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application/vnd.openxmlformats-officedocument.vmlDrawing" PartName="/xl/drawings/vmlDrawing3.v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Types" sheetId="1" r:id="rId1"/>
    <sheet name="Products" sheetId="2" r:id="rId3"/>
    <sheet name="Transactions" sheetId="3" r:id="rId4"/>
    <sheet name="_original_json" sheetId="4" r:id="rId5" state="hidden"/>
  </sheets>
  <definedNames>
    <definedName name="_xlnm._FilterDatabase" localSheetId="1" hidden="1">Products!$A$1:$G$1</definedName>
    <definedName name="_xlnm._FilterDatabase" localSheetId="2" hidden="1">Transactions!$A$1:$K$1</definedName>
    <definedName name="_xlnm._FilterDatabase" localSheetId="0" hidden="1">TransactionTypes!$A$1:$C$1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Type identifier (Purchase, Sale, Adjustment).</t>
        </r>
      </text>
    </comment>
    <comment ref="C1" authorId="0">
      <text>
        <r>
          <rPr>
            <rFont val="Aptos Narrow"/>
            <b/>
            <color rgb="FFFFFFFF"/>
            <sz val="11"/>
          </rPr>
          <t>What this transaction type represents.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name, derived from TransactionTypeId.</t>
        </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Product identifier (SKU or natural key).</t>
        </r>
      </text>
    </comment>
    <comment ref="C1" authorId="0">
      <text>
        <r>
          <rPr>
            <rFont val="Aptos Narrow"/>
            <b/>
            <color rgb="FFFFFFFF"/>
            <sz val="11"/>
          </rPr>
          <t>Price per unit in dollars.</t>
        </r>
      </text>
    </comment>
    <comment ref="D1" authorId="0">
      <text>
        <r>
          <rPr>
            <rFont val="Aptos Narrow"/>
            <b/>
            <color rgb="FFFFFFFF"/>
            <sz val="11"/>
          </rPr>
          <t>Minimum quantity before reorder is recommended.</t>
        </r>
      </text>
    </comment>
    <comment ref="E1" authorId="0">
      <text>
        <r>
          <rPr>
            <rFont val="Aptos Narrow"/>
            <b/>
            <color rgb="FFFFFFFF"/>
            <sz val="11"/>
          </rPr>
          <t>Running total of all transaction quantities for this product.</t>
        </r>
      </text>
    </comment>
    <comment ref="F1" authorId="0">
      <text>
        <r>
          <rPr>
            <rFont val="Aptos Narrow"/>
            <b/>
            <color rgb="FFFFFFFF"/>
            <sz val="11"/>
          </rPr>
          <t>True if current quantity falls below the reorder level.</t>
        </r>
      </text>
    </comment>
    <comment ref="G1" authorId="0">
      <text>
        <r>
          <rPr>
            <rFont val="Aptos Narrow"/>
            <b/>
            <color rgb="FFFFFFFF"/>
            <sz val="11"/>
          </rPr>
          <t>Urgent reorder message if stock is low, otherwise in stock status.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name, derived from ProductId.</t>
        </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Unique transaction identifier.</t>
        </r>
      </text>
    </comment>
    <comment ref="C1" authorId="0">
      <text>
        <r>
          <rPr>
            <rFont val="Aptos Narrow"/>
            <b/>
            <color rgb="FFFFFFFF"/>
            <sz val="11"/>
          </rPr>
          <t>Reference to the product being adjusted.</t>
        </r>
      </text>
    </comment>
    <comment ref="D1" authorId="0">
      <text>
        <r>
          <rPr>
            <rFont val="Aptos Narrow"/>
            <b/>
            <color rgb="FFFFFFFF"/>
            <sz val="11"/>
          </rPr>
          <t>Product display name via lookup.</t>
        </r>
      </text>
    </comment>
    <comment ref="E1" authorId="0">
      <text>
        <r>
          <rPr>
            <rFont val="Aptos Narrow"/>
            <b/>
            <color rgb="FFFFFFFF"/>
            <sz val="11"/>
          </rPr>
          <t>Product unit price via lookup, for calculating transaction amount.</t>
        </r>
      </text>
    </comment>
    <comment ref="F1" authorId="0">
      <text>
        <r>
          <rPr>
            <rFont val="Aptos Narrow"/>
            <b/>
            <color rgb="FFFFFFFF"/>
            <sz val="11"/>
          </rPr>
          <t>Type of transaction (Purchase, Sale, Adjustment).</t>
        </r>
      </text>
    </comment>
    <comment ref="G1" authorId="0">
      <text>
        <r>
          <rPr>
            <rFont val="Aptos Narrow"/>
            <b/>
            <color rgb="FFFFFFFF"/>
            <sz val="11"/>
          </rPr>
          <t>Transaction type display name via lookup.</t>
        </r>
      </text>
    </comment>
    <comment ref="H1" authorId="0">
      <text>
        <r>
          <rPr>
            <rFont val="Aptos Narrow"/>
            <b/>
            <color rgb="FFFFFFFF"/>
            <sz val="11"/>
          </rPr>
          <t>Quantity adjustment (positive for purchases/returns, negative for sales).</t>
        </r>
      </text>
    </comment>
    <comment ref="I1" authorId="0">
      <text>
        <r>
          <rPr>
            <rFont val="Aptos Narrow"/>
            <b/>
            <color rgb="FFFFFFFF"/>
            <sz val="11"/>
          </rPr>
          <t>Transaction value = Quantity × UnitPrice.</t>
        </r>
      </text>
    </comment>
    <comment ref="J1" authorId="0">
      <text>
        <r>
          <rPr>
            <rFont val="Aptos Narrow"/>
            <b/>
            <color rgb="FFFFFFFF"/>
            <sz val="11"/>
          </rPr>
          <t>When the transaction occurred.</t>
        </r>
      </text>
    </comment>
    <comment ref="K1" authorId="0">
      <text>
        <r>
          <rPr>
            <rFont val="Aptos Narrow"/>
            <b/>
            <color rgb="FFFFFFFF"/>
            <sz val="11"/>
          </rPr>
          <t>Optional notes about this transaction.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name, derived from TransactionId.</t>
        </r>
      </text>
    </comment>
  </commentList>
</comments>
</file>

<file path=xl/sharedStrings.xml><?xml version="1.0" encoding="utf-8"?>
<sst xmlns="http://schemas.openxmlformats.org/spreadsheetml/2006/main" count="53" uniqueCount="53">
  <si>
    <t>TransactionTypeId</t>
  </si>
  <si>
    <t>Name</t>
  </si>
  <si>
    <t>Description</t>
  </si>
  <si>
    <t>PURCHASE</t>
  </si>
  <si>
    <t>Stock received from supplier</t>
  </si>
  <si>
    <t>SALE</t>
  </si>
  <si>
    <t>Stock sold to customer</t>
  </si>
  <si>
    <t>ADJUSTMENT</t>
  </si>
  <si>
    <t>Inventory correction or damage write-off</t>
  </si>
  <si>
    <t>ProductId</t>
  </si>
  <si>
    <t>UnitPrice</t>
  </si>
  <si>
    <t>ReorderLevel</t>
  </si>
  <si>
    <t>CurrentQuantity</t>
  </si>
  <si>
    <t>IsLowStock</t>
  </si>
  <si>
    <t>ReorderStatus</t>
  </si>
  <si>
    <t>WIDGET-A</t>
  </si>
  <si>
    <t>12.99</t>
  </si>
  <si>
    <t>GADGET-B</t>
  </si>
  <si>
    <t>24.50</t>
  </si>
  <si>
    <t>PART-C</t>
  </si>
  <si>
    <t>5.00</t>
  </si>
  <si>
    <t>TOOL-D</t>
  </si>
  <si>
    <t>99.99</t>
  </si>
  <si>
    <t>TransactionId</t>
  </si>
  <si>
    <t>Product</t>
  </si>
  <si>
    <t>ProductName</t>
  </si>
  <si>
    <t>ProductUnitPrice</t>
  </si>
  <si>
    <t>TransactionType</t>
  </si>
  <si>
    <t>TransactionTypeName</t>
  </si>
  <si>
    <t>Quantity</t>
  </si>
  <si>
    <t>Amount</t>
  </si>
  <si>
    <t>TransactionDate</t>
  </si>
  <si>
    <t>Notes</t>
  </si>
  <si>
    <t>TXN-001</t>
  </si>
  <si>
    <t>Initial stock delivery</t>
  </si>
  <si>
    <t>TXN-002</t>
  </si>
  <si>
    <t>Bulk order</t>
  </si>
  <si>
    <t>TXN-003</t>
  </si>
  <si>
    <t>Customer purchase</t>
  </si>
  <si>
    <t>TXN-004</t>
  </si>
  <si>
    <t>TXN-005</t>
  </si>
  <si>
    <t>Order fulfillment</t>
  </si>
  <si>
    <t>TXN-006</t>
  </si>
  <si>
    <t>Bulk purchase from supplier</t>
  </si>
  <si>
    <t>TXN-007</t>
  </si>
  <si>
    <t>TXN-008</t>
  </si>
  <si>
    <t>Retail sale</t>
  </si>
  <si>
    <t>TXN-009</t>
  </si>
  <si>
    <t>Premium tool restock</t>
  </si>
  <si>
    <t>TXN-010</t>
  </si>
  <si>
    <t>Professional customer order</t>
  </si>
  <si>
    <t>asdfdsa</t>
  </si>
  <si>
    <t xml:space="preserve">{
  "$schema": "https://example.com/cmcc-schema/v1",
  "Name": "Product Inventory Demo",
  "Description": "Simple inventory system: products with transactions adjusting quantities, low-stock alerts.",
  "TransactionTypes": {
    "Description": "Table: TransactionTypes",
    "schema": [
      {
        "name": "TransactionTypeId",
        "datatype": "string",
        "type": "raw",
        "nullable": false,
        "Description": "Type identifier (Purchase, Sale, Adjustment)."
      },
      {
        "name": "Name",
        "datatype": "string",
        "type": "calculated",
        "nullable": false,
        "Description": "Display name, derived from TransactionTypeId.",
        "formula": "={{TransactionTypeId}}"
      },
      {
        "name": "Description",
        "datatype": "string",
        "type": "raw",
        "nullable": true,
        "Description": "What this transaction type represents."
      }
    ],
    "data": [
      {
        "TransactionTypeId": "PURCHASE",
        "Description": "Stock received from supplier"
      },
      {
        "TransactionTypeId": "SALE",
        "Description": "Stock sold to customer"
      },
      {
        "TransactionTypeId": "ADJUSTMENT",
        "Description": "Inventory correction or damage write-off"
      }
    ]
  },
  "Products": {
    "Description": "Table: Products",
    "schema": [
      {
        "name": "ProductId",
        "datatype": "string",
        "type": "raw",
        "nullable": false,
        "Description": "Product identifier (SKU or natural key)."
      },
      {
        "name": "Name",
        "datatype": "string",
        "type": "calculated",
        "nullable": false,
        "Description": "Display name, derived from ProductId.",
        "formula": "={{ProductId}}"
      },
      {
        "name": "UnitPrice",
        "datatype": "number",
        "type": "raw",
        "nullable": false,
        "Description": "Price per unit in dollars."
      },
      {
        "name": "ReorderLevel",
        "datatype": "integer",
        "type": "raw",
        "nullable": false,
        "Description": "Minimum quantity before reorder is recommended."
      },
      {
        "name": "CurrentQuantity",
        "datatype": "integer",
        "type": "aggregation",
        "nullable": false,
        "Description": "Running total of all transaction quantities for this product.",
        "formula": "=SUMIFS(Transactions!{{Quantity}}, Transactions!{{Product}}, {{ProductId}})"
      },
      {
        "name": "IsLowStock",
        "datatype": "boolean",
        "type": "calculated",
        "nullable": false,
        "Description": "True if current quantity falls below the reorder level.",
        "formula": "={{CurrentQuantity}} &lt; {{ReorderLevel}}"
      },
      {
        "name": "ReorderStatus",
        "datatype": "string",
        "type": "calculated",
        "nullable": false,
        "Description": "Urgent reorder message if stock is low, otherwise in stock status.",
        "formula": "=IF({{IsLowStock}}, \"This needs to be reordered IMMEDIATELY!!\", \"In Stock\")"
      }
    ],
    "data": [
      {
        "ProductId": "WIDGET-A",
        "UnitPrice": "12.99",
        "ReorderLevel": 50
      },
      {
        "ProductId": "GADGET-B",
        "UnitPrice": "24.50",
        "ReorderLevel": 30
      },
      {
        "ProductId": "PART-C",
        "UnitPrice": "5.00",
        "ReorderLevel": 100
      },
      {
        "ProductId": "TOOL-D",
        "UnitPrice": "99.99",
        "ReorderLevel": 10
      }
    ]
  },
  "Transactions": {
    "Description": "Table: Transactions",
    "schema": [
      {
        "name": "TransactionId",
        "datatype": "string",
        "type": "raw",
        "nullable": false,
        "Description": "Unique transaction identifier."
      },
      {
        "name": "Name",
        "datatype": "string",
        "type": "calculated",
        "nullable": false,
        "Description": "Display name, derived from TransactionId.",
        "formula": "={{TransactionId}}"
      },
      {
        "name": "Product",
        "datatype": "string",
        "type": "relationship",
        "nullable": false,
        "RelatedTo": "Products",
        "Description": "Reference to the product being adjusted."
      },
      {
        "name": "ProductName",
        "datatype": "string",
        "type": "lookup",
        "nullable": false,
        "Description": "Product display name via lookup.",
        "formula": "=INDEX(Products!{{Name}}, MATCH({{Product}}, Products!{{ProductId}}, 0))"
      },
      {
        "name": "ProductUnitPrice",
        "datatype": "number",
        "type": "lookup",
        "nullable": false,
        "Description": "Product unit price via lookup, for calculating transaction amount.",
        "formula": "=INDEX(Products!{{UnitPrice}}, MATCH({{Product}}, Products!{{ProductId}}, 0))"
      },
      {
        "name": "TransactionType",
        "datatype": "string",
        "type": "relationship",
        "nullable": false,
        "RelatedTo": "TransactionTypes",
        "Description": "Type of transaction (Purchase, Sale, Adjustment)."
      },
      {
        "name": "TransactionTypeName",
        "datatype": "string",
        "type": "lookup",
        "nullable": false,
        "Description": "Transaction type display name via lookup.",
        "formula": "=INDEX(TransactionTypes!{{Name}}, MATCH({{TransactionType}}, TransactionTypes!{{TransactionTypeId}}, 0))"
      },
      {
        "name": "Quantity",
        "datatype": "integer",
        "type": "raw",
        "nullable": false,
        "Description": "Quantity adjustment (positive for purchases/returns, negative for sales)."
      },
      {
        "name": "Amount",
        "datatype": "number",
        "type": "calculated",
        "nullable": false,
        "Description": "Transaction value = Quantity × UnitPrice.",
        "formula": "={{Quantity}} * {{ProductUnitPrice}}"
      },
      {
        "name": "TransactionDate",
        "datatype": "datetime",
        "type": "raw",
        "nullable": false,
        "Description": "When the transaction occurred."
      },
      {
        "name": "Notes",
        "datatype": "string",
        "type": "raw",
        "nullable": true,
        "Description": "Optional notes about this transaction."
      }
    ],
    "data": [
      {
        "TransactionId": "TXN-001",
        "Product": "WIDGET-A",
        "TransactionType": "PURCHASE",
        "Quantity": 100,
        "TransactionDate": "2026-05-01T10:00:00.000Z",
        "Notes": "Initial stock delivery"
      },
      {
        "TransactionId": "TXN-002",
        "Product": "WIDGET-A",
        "TransactionType": "SALE",
        "Quantity": -25,
        "TransactionDate": "2026-05-05T14:30:00.000Z",
        "Notes": "Bulk order"
      },
      {
        "TransactionId": "TXN-003",
        "Product": "WIDGET-A",
        "TransactionType": "SALE",
        "Quantity": -30,
        "TransactionDate": "2026-05-10T09:00:00.000Z",
        "Notes": "Customer purchase"
      },
      {
        "TransactionId": "TXN-004",
        "Product": "GADGET-B",
        "TransactionType": "PURCHASE",
        "Quantity": 50,
        "TransactionDate": "2026-05-02T11:00:00.000Z"
      },
      {
        "TransactionId": "TXN-005",
        "Product": "GADGET-B",
        "TransactionType": "SALE",
        "Quantity": -35,
        "TransactionDate": "2026-05-08T13:15:00.000Z",
        "Notes": "Order fulfillment"
      },
      {
        "TransactionId": "TXN-006",
        "Product": "PART-C",
        "TransactionType": "PURCHASE",
        "Quantity": 200,
        "TransactionDate": "2026-05-01T08:00:00.000Z",
        "Notes": "Bulk purchase from supplier"
      },
      {
        "TransactionId": "TXN-007",
        "Product": "PART-C",
        "TransactionType": "SALE",
        "Quantity": -80,
        "TransactionDate": "2026-05-06T10:30:00.000Z"
      },
      {
        "TransactionId": "TXN-008",
        "Product": "PART-C",
        "TransactionType": "SALE",
        "Quantity": -50,
        "TransactionDate": "2026-05-12T15:45:00.000Z",
        "Notes": "Retail sale"
      },
      {
        "TransactionId": "TXN-009",
        "Product": "TOOL-D",
        "TransactionType": "PURCHASE",
        "Quantity": 8,
        "TransactionDate": "2026-05-03T09:30:00.000Z",
        "Notes": "Premium tool restock"
      },
      {
        "TransactionId": "TXN-010",
        "Product": "TOOL-D",
        "TransactionType": "SALE",
        "Quantity": -3,
        "TransactionDate": "2026-05-09T16:00:00.000Z",
        "Notes": "Professional customer order"
      },
      {
        "TransactionId": "asdfdsa",
        "Product": "GADGET-B",
        "TransactionType": "PURCHASE",
        "Quantity": 900,
        "TransactionDate": "2026-05-23T21:01:53.127Z"
      }
    ]
  },
  "_meta": {
    "_CMCC_Summary": "Product inventory demo with transaction-based quantity tracking.",
    "_conversion_metadata": {
      "tool_version": "effortless-demo-app",
      "created_date": "2026-05-23",
      "methodology": "rulebook-first Postgres POC",
      "entities": 3,
      "inference_hops": 2
    }
  }
}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</si>
</sst>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fillId="2" applyFill="1"/>
    <xf numFmtId="0" fontId="0" fillId="3" applyFill="1"/>
    <xf numFmtId="0" fontId="0" fillId="4" applyFill="1"/>
    <xf numFmtId="1" applyNumberFormat="1" fontId="0" fillId="3" applyFill="1"/>
    <xf numFmtId="1" applyNumberFormat="1" fontId="0" fillId="4" applyFill="1"/>
    <xf numFmtId="164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201013565063477" customWidth="1"/>
    <col min="2" max="2" width="17.443378448486328" customWidth="1"/>
    <col min="3" max="3" width="39.277469635009766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tr">
        <f>A2</f>
        <v>PURCHASE</v>
      </c>
      <c r="C2" s="2" t="s">
        <v>4</v>
      </c>
    </row>
    <row r="3">
      <c r="A3" s="2" t="s">
        <v>5</v>
      </c>
      <c r="B3" s="3" t="str">
        <f>A3</f>
        <v>SALE</v>
      </c>
      <c r="C3" s="2" t="s">
        <v>6</v>
      </c>
    </row>
    <row r="4">
      <c r="A4" s="2" t="s">
        <v>7</v>
      </c>
      <c r="B4" s="3" t="str">
        <f>A4</f>
        <v>ADJUSTMENT</v>
      </c>
      <c r="C4" s="2" t="s">
        <v>8</v>
      </c>
    </row>
  </sheetData>
  <autoFilter ref="A1:C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41.87560272216797" customWidth="1"/>
  </cols>
  <sheetData>
    <row r="1">
      <c r="A1" s="1" t="s">
        <v>9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>
      <c r="A2" s="2" t="s">
        <v>15</v>
      </c>
      <c r="B2" s="3" t="str">
        <f>A2</f>
        <v>WIDGET-A</v>
      </c>
      <c r="C2" s="2" t="s">
        <v>16</v>
      </c>
      <c r="D2" s="4">
        <v>50</v>
      </c>
      <c r="E2" s="5">
        <f>SUMIFS(Transactions!H2:H999,Transactions!C2:C999, A2)</f>
        <v>45</v>
      </c>
      <c r="F2" s="3" t="b">
        <f>E2 &lt; D2</f>
        <v>1</v>
      </c>
      <c r="G2" s="3" t="str">
        <f>IF(F2, "This needs to be reordered IMMEDIATELY!!", "In Stock")</f>
        <v>This needs to be reordered IMMEDIATELY!!</v>
      </c>
    </row>
    <row r="3">
      <c r="A3" s="2" t="s">
        <v>17</v>
      </c>
      <c r="B3" s="3" t="str">
        <f>A3</f>
        <v>GADGET-B</v>
      </c>
      <c r="C3" s="2" t="s">
        <v>18</v>
      </c>
      <c r="D3" s="4">
        <v>30</v>
      </c>
      <c r="E3" s="5">
        <f>SUMIFS(Transactions!H2:H999,Transactions!C2:C999, A3)</f>
        <v>915</v>
      </c>
      <c r="F3" s="3" t="b">
        <f>E3 &lt; D3</f>
        <v>0</v>
      </c>
      <c r="G3" s="3" t="str">
        <f>IF(F3, "This needs to be reordered IMMEDIATELY!!", "In Stock")</f>
        <v>In Stock</v>
      </c>
    </row>
    <row r="4">
      <c r="A4" s="2" t="s">
        <v>19</v>
      </c>
      <c r="B4" s="3" t="str">
        <f>A4</f>
        <v>PART-C</v>
      </c>
      <c r="C4" s="2" t="s">
        <v>20</v>
      </c>
      <c r="D4" s="4">
        <v>100</v>
      </c>
      <c r="E4" s="5">
        <f>SUMIFS(Transactions!H2:H999,Transactions!C2:C999, A4)</f>
        <v>70</v>
      </c>
      <c r="F4" s="3" t="b">
        <f>E4 &lt; D4</f>
        <v>1</v>
      </c>
      <c r="G4" s="3" t="str">
        <f>IF(F4, "This needs to be reordered IMMEDIATELY!!", "In Stock")</f>
        <v>This needs to be reordered IMMEDIATELY!!</v>
      </c>
    </row>
    <row r="5">
      <c r="A5" s="2" t="s">
        <v>21</v>
      </c>
      <c r="B5" s="3" t="str">
        <f>A5</f>
        <v>TOOL-D</v>
      </c>
      <c r="C5" s="2" t="s">
        <v>22</v>
      </c>
      <c r="D5" s="4">
        <v>10</v>
      </c>
      <c r="E5" s="5">
        <f>SUMIFS(Transactions!H2:H999,Transactions!C2:C999, A5)</f>
        <v>5</v>
      </c>
      <c r="F5" s="3" t="b">
        <f>E5 &lt; D5</f>
        <v>1</v>
      </c>
      <c r="G5" s="3" t="str">
        <f>IF(F5, "This needs to be reordered IMMEDIATELY!!", "In Stock")</f>
        <v>This needs to be reordered IMMEDIATELY!!</v>
      </c>
    </row>
  </sheetData>
  <autoFilter ref="A1:G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22.49436378479004" customWidth="1"/>
    <col min="8" max="8" width="17.443378448486328" customWidth="1"/>
    <col min="9" max="9" width="17.443378448486328" customWidth="1"/>
    <col min="10" max="10" width="23.46630859375" customWidth="1"/>
    <col min="11" max="11" width="27.194570541381836" customWidth="1"/>
  </cols>
  <sheetData>
    <row r="1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>
      <c r="A2" s="2" t="s">
        <v>33</v>
      </c>
      <c r="B2" s="3" t="str">
        <f>A2</f>
        <v>TXN-001</v>
      </c>
      <c r="C2" s="2" t="s">
        <v>15</v>
      </c>
      <c r="D2" s="3" t="str">
        <f>INDEX(Products!B2:B999, MATCH(C2,Products!A2:A999, 0))</f>
        <v>WIDGET-A</v>
      </c>
      <c r="E2" s="3" t="str">
        <f>INDEX(Products!C2:C999, MATCH(C2,Products!A2:A999, 0))</f>
        <v>12.99</v>
      </c>
      <c r="F2" s="2" t="s">
        <v>3</v>
      </c>
      <c r="G2" s="3" t="str">
        <f>INDEX(TransactionTypes!B2:B999, MATCH(F2,TransactionTypes!A2:A999, 0))</f>
        <v>PURCHASE</v>
      </c>
      <c r="H2" s="4">
        <v>100</v>
      </c>
      <c r="I2" s="3">
        <f>H2 * E2</f>
        <v>1299</v>
      </c>
      <c r="J2" s="6">
        <v>46143.416666666664</v>
      </c>
      <c r="K2" s="2" t="s">
        <v>34</v>
      </c>
    </row>
    <row r="3">
      <c r="A3" s="2" t="s">
        <v>35</v>
      </c>
      <c r="B3" s="3" t="str">
        <f>A3</f>
        <v>TXN-002</v>
      </c>
      <c r="C3" s="2" t="s">
        <v>15</v>
      </c>
      <c r="D3" s="3" t="str">
        <f>INDEX(Products!B2:B999, MATCH(C3,Products!A2:A999, 0))</f>
        <v>WIDGET-A</v>
      </c>
      <c r="E3" s="3" t="str">
        <f>INDEX(Products!C2:C999, MATCH(C3,Products!A2:A999, 0))</f>
        <v>12.99</v>
      </c>
      <c r="F3" s="2" t="s">
        <v>5</v>
      </c>
      <c r="G3" s="3" t="str">
        <f>INDEX(TransactionTypes!B2:B999, MATCH(F3,TransactionTypes!A2:A999, 0))</f>
        <v>SALE</v>
      </c>
      <c r="H3" s="4">
        <v>-25</v>
      </c>
      <c r="I3" s="3">
        <f>H3 * E3</f>
        <v>-324.75</v>
      </c>
      <c r="J3" s="6">
        <v>46147.604166666664</v>
      </c>
      <c r="K3" s="2" t="s">
        <v>36</v>
      </c>
    </row>
    <row r="4">
      <c r="A4" s="2" t="s">
        <v>37</v>
      </c>
      <c r="B4" s="3" t="str">
        <f>A4</f>
        <v>TXN-003</v>
      </c>
      <c r="C4" s="2" t="s">
        <v>15</v>
      </c>
      <c r="D4" s="3" t="str">
        <f>INDEX(Products!B2:B999, MATCH(C4,Products!A2:A999, 0))</f>
        <v>WIDGET-A</v>
      </c>
      <c r="E4" s="3" t="str">
        <f>INDEX(Products!C2:C999, MATCH(C4,Products!A2:A999, 0))</f>
        <v>12.99</v>
      </c>
      <c r="F4" s="2" t="s">
        <v>5</v>
      </c>
      <c r="G4" s="3" t="str">
        <f>INDEX(TransactionTypes!B2:B999, MATCH(F4,TransactionTypes!A2:A999, 0))</f>
        <v>SALE</v>
      </c>
      <c r="H4" s="4">
        <v>-30</v>
      </c>
      <c r="I4" s="3">
        <f>H4 * E4</f>
        <v>-389.7</v>
      </c>
      <c r="J4" s="6">
        <v>46152.375</v>
      </c>
      <c r="K4" s="2" t="s">
        <v>38</v>
      </c>
    </row>
    <row r="5">
      <c r="A5" s="2" t="s">
        <v>39</v>
      </c>
      <c r="B5" s="3" t="str">
        <f>A5</f>
        <v>TXN-004</v>
      </c>
      <c r="C5" s="2" t="s">
        <v>17</v>
      </c>
      <c r="D5" s="3" t="str">
        <f>INDEX(Products!B2:B999, MATCH(C5,Products!A2:A999, 0))</f>
        <v>GADGET-B</v>
      </c>
      <c r="E5" s="3" t="str">
        <f>INDEX(Products!C2:C999, MATCH(C5,Products!A2:A999, 0))</f>
        <v>24.50</v>
      </c>
      <c r="F5" s="2" t="s">
        <v>3</v>
      </c>
      <c r="G5" s="3" t="str">
        <f>INDEX(TransactionTypes!B2:B999, MATCH(F5,TransactionTypes!A2:A999, 0))</f>
        <v>PURCHASE</v>
      </c>
      <c r="H5" s="4">
        <v>50</v>
      </c>
      <c r="I5" s="3">
        <f>H5 * E5</f>
        <v>1225</v>
      </c>
      <c r="J5" s="6">
        <v>46144.458333333336</v>
      </c>
      <c r="K5" s="2"/>
    </row>
    <row r="6">
      <c r="A6" s="2" t="s">
        <v>40</v>
      </c>
      <c r="B6" s="3" t="str">
        <f>A6</f>
        <v>TXN-005</v>
      </c>
      <c r="C6" s="2" t="s">
        <v>17</v>
      </c>
      <c r="D6" s="3" t="str">
        <f>INDEX(Products!B2:B999, MATCH(C6,Products!A2:A999, 0))</f>
        <v>GADGET-B</v>
      </c>
      <c r="E6" s="3" t="str">
        <f>INDEX(Products!C2:C999, MATCH(C6,Products!A2:A999, 0))</f>
        <v>24.50</v>
      </c>
      <c r="F6" s="2" t="s">
        <v>5</v>
      </c>
      <c r="G6" s="3" t="str">
        <f>INDEX(TransactionTypes!B2:B999, MATCH(F6,TransactionTypes!A2:A999, 0))</f>
        <v>SALE</v>
      </c>
      <c r="H6" s="4">
        <v>-35</v>
      </c>
      <c r="I6" s="3">
        <f>H6 * E6</f>
        <v>-857.5</v>
      </c>
      <c r="J6" s="6">
        <v>46150.552083333336</v>
      </c>
      <c r="K6" s="2" t="s">
        <v>41</v>
      </c>
    </row>
    <row r="7">
      <c r="A7" s="2" t="s">
        <v>42</v>
      </c>
      <c r="B7" s="3" t="str">
        <f>A7</f>
        <v>TXN-006</v>
      </c>
      <c r="C7" s="2" t="s">
        <v>19</v>
      </c>
      <c r="D7" s="3" t="str">
        <f>INDEX(Products!B2:B999, MATCH(C7,Products!A2:A999, 0))</f>
        <v>PART-C</v>
      </c>
      <c r="E7" s="3" t="str">
        <f>INDEX(Products!C2:C999, MATCH(C7,Products!A2:A999, 0))</f>
        <v>5.00</v>
      </c>
      <c r="F7" s="2" t="s">
        <v>3</v>
      </c>
      <c r="G7" s="3" t="str">
        <f>INDEX(TransactionTypes!B2:B999, MATCH(F7,TransactionTypes!A2:A999, 0))</f>
        <v>PURCHASE</v>
      </c>
      <c r="H7" s="4">
        <v>200</v>
      </c>
      <c r="I7" s="3">
        <f>H7 * E7</f>
        <v>1000</v>
      </c>
      <c r="J7" s="6">
        <v>46143.333333333336</v>
      </c>
      <c r="K7" s="2" t="s">
        <v>43</v>
      </c>
    </row>
    <row r="8">
      <c r="A8" s="2" t="s">
        <v>44</v>
      </c>
      <c r="B8" s="3" t="str">
        <f>A8</f>
        <v>TXN-007</v>
      </c>
      <c r="C8" s="2" t="s">
        <v>19</v>
      </c>
      <c r="D8" s="3" t="str">
        <f>INDEX(Products!B2:B999, MATCH(C8,Products!A2:A999, 0))</f>
        <v>PART-C</v>
      </c>
      <c r="E8" s="3" t="str">
        <f>INDEX(Products!C2:C999, MATCH(C8,Products!A2:A999, 0))</f>
        <v>5.00</v>
      </c>
      <c r="F8" s="2" t="s">
        <v>5</v>
      </c>
      <c r="G8" s="3" t="str">
        <f>INDEX(TransactionTypes!B2:B999, MATCH(F8,TransactionTypes!A2:A999, 0))</f>
        <v>SALE</v>
      </c>
      <c r="H8" s="4">
        <v>-80</v>
      </c>
      <c r="I8" s="3">
        <f>H8 * E8</f>
        <v>-400</v>
      </c>
      <c r="J8" s="6">
        <v>46148.4375</v>
      </c>
      <c r="K8" s="2"/>
    </row>
    <row r="9">
      <c r="A9" s="2" t="s">
        <v>45</v>
      </c>
      <c r="B9" s="3" t="str">
        <f>A9</f>
        <v>TXN-008</v>
      </c>
      <c r="C9" s="2" t="s">
        <v>19</v>
      </c>
      <c r="D9" s="3" t="str">
        <f>INDEX(Products!B2:B999, MATCH(C9,Products!A2:A999, 0))</f>
        <v>PART-C</v>
      </c>
      <c r="E9" s="3" t="str">
        <f>INDEX(Products!C2:C999, MATCH(C9,Products!A2:A999, 0))</f>
        <v>5.00</v>
      </c>
      <c r="F9" s="2" t="s">
        <v>5</v>
      </c>
      <c r="G9" s="3" t="str">
        <f>INDEX(TransactionTypes!B2:B999, MATCH(F9,TransactionTypes!A2:A999, 0))</f>
        <v>SALE</v>
      </c>
      <c r="H9" s="4">
        <v>-50</v>
      </c>
      <c r="I9" s="3">
        <f>H9 * E9</f>
        <v>-250</v>
      </c>
      <c r="J9" s="6">
        <v>46154.65625</v>
      </c>
      <c r="K9" s="2" t="s">
        <v>46</v>
      </c>
    </row>
    <row r="10">
      <c r="A10" s="2" t="s">
        <v>47</v>
      </c>
      <c r="B10" s="3" t="str">
        <f>A10</f>
        <v>TXN-009</v>
      </c>
      <c r="C10" s="2" t="s">
        <v>21</v>
      </c>
      <c r="D10" s="3" t="str">
        <f>INDEX(Products!B2:B999, MATCH(C10,Products!A2:A999, 0))</f>
        <v>TOOL-D</v>
      </c>
      <c r="E10" s="3" t="str">
        <f>INDEX(Products!C2:C999, MATCH(C10,Products!A2:A999, 0))</f>
        <v>99.99</v>
      </c>
      <c r="F10" s="2" t="s">
        <v>3</v>
      </c>
      <c r="G10" s="3" t="str">
        <f>INDEX(TransactionTypes!B2:B999, MATCH(F10,TransactionTypes!A2:A999, 0))</f>
        <v>PURCHASE</v>
      </c>
      <c r="H10" s="4">
        <v>8</v>
      </c>
      <c r="I10" s="3">
        <f>H10 * E10</f>
        <v>799.92</v>
      </c>
      <c r="J10" s="6">
        <v>46145.395833333336</v>
      </c>
      <c r="K10" s="2" t="s">
        <v>48</v>
      </c>
    </row>
    <row r="11">
      <c r="A11" s="2" t="s">
        <v>49</v>
      </c>
      <c r="B11" s="3" t="str">
        <f>A11</f>
        <v>TXN-010</v>
      </c>
      <c r="C11" s="2" t="s">
        <v>21</v>
      </c>
      <c r="D11" s="3" t="str">
        <f>INDEX(Products!B2:B999, MATCH(C11,Products!A2:A999, 0))</f>
        <v>TOOL-D</v>
      </c>
      <c r="E11" s="3" t="str">
        <f>INDEX(Products!C2:C999, MATCH(C11,Products!A2:A999, 0))</f>
        <v>99.99</v>
      </c>
      <c r="F11" s="2" t="s">
        <v>5</v>
      </c>
      <c r="G11" s="3" t="str">
        <f>INDEX(TransactionTypes!B2:B999, MATCH(F11,TransactionTypes!A2:A999, 0))</f>
        <v>SALE</v>
      </c>
      <c r="H11" s="4">
        <v>-3</v>
      </c>
      <c r="I11" s="3">
        <f>H11 * E11</f>
        <v>-299.96999999999997</v>
      </c>
      <c r="J11" s="6">
        <v>46151.666666666664</v>
      </c>
      <c r="K11" s="2" t="s">
        <v>50</v>
      </c>
    </row>
    <row r="12">
      <c r="A12" s="2" t="s">
        <v>51</v>
      </c>
      <c r="B12" s="3" t="str">
        <f>A12</f>
        <v>asdfdsa</v>
      </c>
      <c r="C12" s="2" t="s">
        <v>17</v>
      </c>
      <c r="D12" s="3" t="str">
        <f>INDEX(Products!B2:B999, MATCH(C12,Products!A2:A999, 0))</f>
        <v>GADGET-B</v>
      </c>
      <c r="E12" s="3" t="str">
        <f>INDEX(Products!C2:C999, MATCH(C12,Products!A2:A999, 0))</f>
        <v>24.50</v>
      </c>
      <c r="F12" s="2" t="s">
        <v>3</v>
      </c>
      <c r="G12" s="3" t="str">
        <f>INDEX(TransactionTypes!B2:B999, MATCH(F12,TransactionTypes!A2:A999, 0))</f>
        <v>PURCHASE</v>
      </c>
      <c r="H12" s="4">
        <v>900</v>
      </c>
      <c r="I12" s="3">
        <f>H12 * E12</f>
        <v>22050</v>
      </c>
      <c r="J12" s="6">
        <v>46165.87630934028</v>
      </c>
      <c r="K12" s="2"/>
    </row>
  </sheetData>
  <autoFilter ref="A1:K1"/>
  <headerFooter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52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