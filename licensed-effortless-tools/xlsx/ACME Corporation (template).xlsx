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" sheetId="1" r:id="rId1"/>
    <sheet name="Projects" sheetId="2" r:id="rId3"/>
    <sheet name="Employees" sheetId="3" r:id="rId4"/>
    <sheet name="Roles" sheetId="4" r:id="rId5"/>
    <sheet name="TypesOfProject" sheetId="5" r:id="rId6"/>
    <sheet name="_original_json" sheetId="6" r:id="rId7" state="hidden"/>
  </sheets>
  <definedNames>
    <definedName name="_xlnm._FilterDatabase" localSheetId="0" hidden="1">Client!$A$1:$F$1</definedName>
    <definedName name="_xlnm._FilterDatabase" localSheetId="2" hidden="1">Employees!$A$1:$I$1</definedName>
    <definedName name="_xlnm._FilterDatabase" localSheetId="1" hidden="1">Projects!$A$1:$N$1</definedName>
    <definedName name="_xlnm._FilterDatabase" localSheetId="3" hidden="1">Roles!$A$1:$F$1</definedName>
    <definedName name="_xlnm._FilterDatabase" localSheetId="4" hidden="1">TypesOfProject!$A$1:$F$1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customers.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Thec ustomers email address</t>
        </r>
      </text>
    </comment>
  </commentList>
</comments>
</file>

<file path=xl/sharedStrings.xml><?xml version="1.0" encoding="utf-8"?>
<sst xmlns="http://schemas.openxmlformats.org/spreadsheetml/2006/main" count="91" uniqueCount="91">
  <si>
    <t>ClientId</t>
  </si>
  <si>
    <t>Customer</t>
  </si>
  <si>
    <t>EmailAddress</t>
  </si>
  <si>
    <t>FirstName</t>
  </si>
  <si>
    <t>LastName</t>
  </si>
  <si>
    <t>FullName</t>
  </si>
  <si>
    <t>cust0001</t>
  </si>
  <si>
    <t>CUST0001</t>
  </si>
  <si>
    <t>larry.smith@email.com</t>
  </si>
  <si>
    <t>Bob</t>
  </si>
  <si>
    <t>Smith</t>
  </si>
  <si>
    <t>cust0002</t>
  </si>
  <si>
    <t>CUST0002</t>
  </si>
  <si>
    <t>john.doe@email.com</t>
  </si>
  <si>
    <t>John</t>
  </si>
  <si>
    <t>Doe</t>
  </si>
  <si>
    <t>cust0003</t>
  </si>
  <si>
    <t>CUST0003</t>
  </si>
  <si>
    <t>emily.jones@email.com</t>
  </si>
  <si>
    <t>Emily</t>
  </si>
  <si>
    <t>Jones</t>
  </si>
  <si>
    <t>ProjectId</t>
  </si>
  <si>
    <t>Name</t>
  </si>
  <si>
    <t>Description</t>
  </si>
  <si>
    <t>ProjectType</t>
  </si>
  <si>
    <t>ProjectTypeName</t>
  </si>
  <si>
    <t>ProjectTypeDescription</t>
  </si>
  <si>
    <t>ProjectTypeRequiresManagerApproval</t>
  </si>
  <si>
    <t>DueDate</t>
  </si>
  <si>
    <t>IsApproved</t>
  </si>
  <si>
    <t>ApprovedBy</t>
  </si>
  <si>
    <t>ApprovedByRoleIsManager</t>
  </si>
  <si>
    <t>ApprovedByName</t>
  </si>
  <si>
    <t>ApprovedByEmailAddress</t>
  </si>
  <si>
    <t>ApprovedByPhoneNumber</t>
  </si>
  <si>
    <t>internal-tools-dashboard</t>
  </si>
  <si>
    <t>Internal Tools Dashboard</t>
  </si>
  <si>
    <t>Build internal analytics dashboard for team productivity metrics</t>
  </si>
  <si>
    <t>internal</t>
  </si>
  <si>
    <t>sarah-chen</t>
  </si>
  <si>
    <t>customer-portal-redesign</t>
  </si>
  <si>
    <t>Customer Portal Redesign</t>
  </si>
  <si>
    <t>Complete redesign of customer-facing portal with modern UX</t>
  </si>
  <si>
    <t>clientfacing</t>
  </si>
  <si>
    <t>priya-patel</t>
  </si>
  <si>
    <t>gdpr-compliance-audit</t>
  </si>
  <si>
    <t>GDPR Compliance Audit</t>
  </si>
  <si>
    <t>Annual compliance audit and documentation update</t>
  </si>
  <si>
    <t>compliance</t>
  </si>
  <si>
    <t>mike-johnson</t>
  </si>
  <si>
    <t>EmployeeId</t>
  </si>
  <si>
    <t>PhoneNumber</t>
  </si>
  <si>
    <t>Role</t>
  </si>
  <si>
    <t>RoleName</t>
  </si>
  <si>
    <t>RoleDescription</t>
  </si>
  <si>
    <t>Projects</t>
  </si>
  <si>
    <t>RoleIsManager</t>
  </si>
  <si>
    <t>Sarah Chen</t>
  </si>
  <si>
    <t>sarah.chen@acmecorp.example</t>
  </si>
  <si>
    <t>555-0101</t>
  </si>
  <si>
    <t>projectmanager</t>
  </si>
  <si>
    <t>Mike Johnson</t>
  </si>
  <si>
    <t>mike.johnson@acmecorp.example</t>
  </si>
  <si>
    <t>555-0102</t>
  </si>
  <si>
    <t>developer</t>
  </si>
  <si>
    <t>Priya Patel</t>
  </si>
  <si>
    <t>priya.patel@acmecorp.example</t>
  </si>
  <si>
    <t>555-0103</t>
  </si>
  <si>
    <t>analyst</t>
  </si>
  <si>
    <t>RoleId</t>
  </si>
  <si>
    <t>IsManager</t>
  </si>
  <si>
    <t>Employees</t>
  </si>
  <si>
    <t>CountOfEmployees</t>
  </si>
  <si>
    <t>Developer</t>
  </si>
  <si>
    <t>Developers handle the implementation and are responsible for making the final product do what is expected</t>
  </si>
  <si>
    <t>ProjectManager</t>
  </si>
  <si>
    <t>The project Manager makes sure that the developers do what the analysts ask for</t>
  </si>
  <si>
    <t>Analyst</t>
  </si>
  <si>
    <t>The business analysis know what the customer's want.</t>
  </si>
  <si>
    <t>TypesOfProjectId</t>
  </si>
  <si>
    <t>RequiresManagerApproval</t>
  </si>
  <si>
    <t>CountOfProjects</t>
  </si>
  <si>
    <t>Internal</t>
  </si>
  <si>
    <t>An internal project that is not publicly accessible</t>
  </si>
  <si>
    <t>ClientFacing</t>
  </si>
  <si>
    <t>Open, public facing communication</t>
  </si>
  <si>
    <t>research</t>
  </si>
  <si>
    <t>Research</t>
  </si>
  <si>
    <t/>
  </si>
  <si>
    <t>Compliance</t>
  </si>
  <si>
    <t xml:space="preserve">{
  "$schema": "https://example.com/cmcc-schema/v1",
  "Name": "ACME Corporation (template)",
  "Description": "Rulebook generated from Airtable base \u0027ACME Corporation (template)\u0027.",
  "Client": {
    "Description": "Table: Client",
    "schema": [
      {
        "name": "ClientId",
        "datatype": "string",
        "type": "raw",
        "nullable": false
      },
      {
        "name": "Customer",
        "datatype": "string",
        "type": "raw",
        "nullable": true,
        "Description": "Identifier for the customers."
      },
      {
        "name": "EmailAddress",
        "datatype": "string",
        "type": "raw",
        "nullable": true,
        "Description": "Thec ustomers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"={{FirstName}} \u0026 \u0022 \u0022 \u0026 {{LastName}}"
      }
    ],
    "data": [
      {
        "ClientId": "cust0001",
        "EmailAddress": "larry.smith@email.com",
        "LastName": "Smith",
        "Customer": "CUST0001",
        "FirstName": "Bob",
        "FullName": "Bob Smith"
      },
      {
        "ClientId": "cust0002",
        "EmailAddress": "john.doe@email.com",
        "LastName": "Doe",
        "Customer": "CUST0002",
        "FirstName": "John",
        "FullName": "John Doe"
      },
      {
        "ClientId": "cust0003",
        "EmailAddress": "emily.jones@email.com",
        "LastName": "Jones",
        "Customer": "CUST0003",
        "FirstName": "Emily",
        "FullName": "Emily Jones"
      }
    ]
  },
  "Projects": {
    "Description": "Table: Projects",
    "schema": [
      {
        "name": "ProjectId",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"ProjectType",
        "datatype": "string",
        "type": "relationship",
        "nullable": true,
        "RelatedTo": "TypesOfProject",
        "isReversed": false,
        "prefersSingleRecordLink": true,
        "InverseField": "Projects"
      },
      {
        "name": "ProjectTypeName",
        "datatype": "string",
        "type": "lookup",
        "nullable": true,
        "formula": "=INDEX(TypesOfProject!{{Name}}, MATCH(Projects!{{ProjectType}}, TypesOfProject!{{TypesOfProjectId}}, 0))"
      },
      {
        "name": "ProjectTypeDescription",
        "datatype": "string",
        "type": "lookup",
        "nullable": true,
        "formula": "=INDEX(TypesOfProject!{{Description}}, MATCH(Projects!{{ProjectType}}, TypesOfProject!{{TypesOfProjectId}}, 0))"
      },
      {
        "name": "ProjectTypeRequiresManagerApproval",
        "datatype": "boolean",
        "type": "lookup",
        "nullable": true,
        "formula": "=INDEX(TypesOfProject!{{RequiresManagerApproval}}, MATCH(Projects!{{ProjectType}}, TypesOfProject!{{TypesOfProjectId}}, 0))"
      },
      {
        "name": "DueDate",
        "datatype": "datetime",
        "type": "raw",
        "nullable": true
      },
      {
        "name": "IsApproved",
        "datatype": "boolean",
        "type": "raw",
        "nullable": true
      },
      {
        "name": "ApprovedBy",
        "datatype": "string",
        "type": "relationship",
        "nullable": true,
        "RelatedTo": "Employees",
        "isReversed": false,
        "prefersSingleRecordLink": true,
        "InverseField": "Projects"
      },
      {
        "name": "ApprovedByRoleIsManager",
        "datatype": "boolean",
        "type": "lookup",
        "nullable": true,
        "formula": "=INDEX(Employees!{{RoleIsManager}}, MATCH(Projects!{{ApprovedBy}}, Employees!{{EmployeeId}}, 0))"
      },
      {
        "name": "ApprovedByName",
        "datatype": "string",
        "type": "lookup",
        "nullable": true,
        "formula": "=INDEX(Employees!{{Name}}, MATCH(Projects!{{ApprovedBy}}, Employees!{{EmployeeId}}, 0))"
      },
      {
        "name": "ApprovedByEmailAddress",
        "datatype": "string",
        "type": "lookup",
        "nullable": true,
        "formula": "=INDEX(Employees!{{EmailAddress}}, MATCH(Projects!{{ApprovedBy}}, Employees!{{EmployeeId}}, 0))"
      },
      {
        "name": "ApprovedByPhoneNumber",
        "datatype": "string",
        "type": "lookup",
        "nullable": true,
        "formula": "=INDEX(Employees!{{PhoneNumber}}, MATCH(Projects!{{ApprovedBy}}, Employees!{{EmployeeId}}, 0))"
      }
    ],
    "data": [
      {
        "ProjectId": "internal-tools-dashboard",
        "Name": "Internal Tools Dashboard",
        "IsApproved": true,
        "ApprovedBy": "sarah-chen",
        "ApprovedByEmailAddress": "sarah.chen@acmecorp.example",
        "ProjectTypeName": "Internal",
        "Description": "Build internal analytics dashboard for team productivity metrics",
        "ApprovedByPhoneNumber": "555-0101",
        "DueDate": "2026-06-15",
        "ApprovedByName": "Sarah Chen",
        "ApprovedByRoleIsManager": "True",
        "ProjectTypeRequiresManagerApproval": "",
        "ProjectType": "internal",
        "ProjectTypeDescription": "An internal project that is not publicly accessible"
      },
      {
        "ProjectId": "customer-portal-redesign",
        "Name": "Customer Portal Redesign",
        "ApprovedBy": "priya-patel",
        "ApprovedByEmailAddress": "priya.patel@acmecorp.example",
        "ProjectTypeName": "ClientFacing",
        "Description": "Complete redesign of customer-facing portal with modern UX",
        "ApprovedByPhoneNumber": "555-0103",
        "DueDate": "2026-08-01",
        "ApprovedByName": "Priya Patel",
        "ApprovedByRoleIsManager": "",
        "ProjectTypeRequiresManagerApproval": "True",
        "ProjectType": "clientfacing",
        "ProjectTypeDescription": "Open, public facing communication",
        "IsApproved": false
      },
      {
        "ProjectId": "gdpr-compliance-audit",
        "Name": "GDPR Compliance Audit",
        "IsApproved": true,
        "ApprovedBy": "mike-johnson",
        "ApprovedByEmailAddress": "mike.johnson@acmecorp.example",
        "ProjectTypeName": "Compliance",
        "Description": "Annual compliance audit and documentation update",
        "ApprovedByPhoneNumber": "555-0102",
        "DueDate": "2026-04-30",
        "ApprovedByName": "Mike Johnson",
        "ApprovedByRoleIsManager": "True",
        "ProjectTypeRequiresManagerApproval": "True",
        "ProjectType": "compliance",
        "ProjectTypeDescription": ""
      }
    ]
  },
  "Employees": {
    "Description": "Table: Employees",
    "schema": [
      {
        "name": "EmployeeId",
        "datatype": "string",
        "type": "raw",
        "nullable": false
      },
      {
        "name": "Name",
        "datatype": "string",
        "type": "raw",
        "nullable": true
      },
      {
        "name": "EmailAddress",
        "datatype": "string",
        "type": "raw",
        "nullable": true
      },
      {
        "name": "PhoneNumber",
        "datatype": "string",
        "type": "raw",
        "nullable": true
      },
      {
        "name": "Role",
        "datatype": "string",
        "type": "relationship",
        "nullable": true,
        "RelatedTo": "Roles",
        "isReversed": false,
        "prefersSingleRecordLink": true,
        "InverseField": "Employees"
      },
      {
        "name": "RoleName",
        "datatype": "string",
        "type": "lookup",
        "nullable": true,
        "formula": "=INDEX(Roles!{{Name}}, MATCH(Employees!{{Role}}, Roles!{{RoleId}}, 0))"
      },
      {
        "name": "RoleDescription",
        "datatype": "string",
        "type": "lookup",
        "nullable": true,
        "formula": "=INDEX(Roles!{{Description}}, MATCH(Employees!{{Role}}, Roles!{{RoleId}}, 0))"
      },
      {
        "name": "Projects",
        "datatype": "string",
        "type": "relationship",
        "nullable": true,
        "RelatedTo": "Projects",
        "isReversed": false,
        "prefersSingleRecordLink": false,
        "InverseField": "ApprovedBy"
      },
      {
        "name": "RoleIsManager",
        "datatype": "boolean",
        "type": "lookup",
        "nullable": true,
        "formula": "=INDEX(Roles!{{IsManager}}, MATCH(Employees!{{Role}}, Roles!{{RoleId}}, 0))"
      }
    ],
    "data": [
      {
        "EmployeeId": "sarah-chen",
        "Projects": "internal-tools-dashboard",
        "RoleIsManager": "True",
        "PhoneNumber": "555-0101",
        "RoleDescription": "The project Manager makes sure that the developers do what the analysts ask for",
        "RoleName": "ProjectManager",
        "Name": "Sarah Chen",
        "Role": "projectmanager",
        "EmailAddress": "sarah.chen@acmecorp.example"
      },
      {
        "EmployeeId": "mike-johnson",
        "Projects": "gdpr-compliance-audit",
        "RoleIsManager": "True",
        "PhoneNumber": "555-0102",
        "RoleDescription": "Developers handle the implementation and are responsible for making the final product do what is expected",
        "RoleName": "Developer",
        "Name": "Mike Johnson",
        "Role": "developer",
        "EmailAddress": "mike.johnson@acmecorp.example"
      },
      {
        "EmployeeId": "priya-patel",
        "Projects": "customer-portal-redesign",
        "RoleIsManager": "",
        "PhoneNumber": "555-0103",
        "RoleDescription": "The business analysis know what the customer\u0027s want.",
        "RoleName": "Analyst",
        "Name": "Priya Patel",
        "Role": "analyst",
        "EmailAddress": "priya.patel@acmecorp.example"
      }
    ]
  },
  "Roles": {
    "Description": "Table: Roles",
    "schema": [
      {
        "name": "RoleId",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"IsManager",
        "datatype": "boolean",
        "type": "raw",
        "nullable": true
      },
      {
        "name": "Employees",
        "datatype": "string",
        "type": "relationship",
        "nullable": true,
        "RelatedTo": "Employees",
        "isReversed": false,
        "prefersSingleRecordLink": false,
        "InverseField": "Role"
      },
      {
        "name": "CountOfEmployees",
        "datatype": "integer",
        "type": "aggregation",
        "nullable": true,
        "formula": "=COUNTIFS(Employees!{{Role}}, Roles!{{RoleId}})"
      }
    ],
    "data": [
      {
        "RoleId": "developer",
        "IsManager": true,
        "Name": "Developer",
        "CountOfEmployees": 1,
        "Employees": "mike-johnson",
        "Description": "Developers handle the implementation and are responsible for making the final product do what is expected"
      },
      {
        "RoleId": "projectmanager",
        "IsManager": true,
        "Name": "ProjectManager",
        "CountOfEmployees": 1,
        "Employees": "sarah-chen",
        "Description": "The project Manager makes sure that the developers do what the analysts ask for"
      },
      {
        "RoleId": "analyst",
        "Name": "Analyst",
        "CountOfEmployees": 1,
        "Employees": "priya-patel",
        "Description": "The business analysis know what the customer\u0027s want.",
        "IsManager": false
      }
    ]
  },
  "TypesOfProject": {
    "Description": "Table: TypesOfProject",
    "schema": [
      {
        "name": "TypesOfProjectId",
        "datatype": "string",
        "type": "raw",
        "nullable": false
      },
      {
        "name": "Name",
        "datatype": "string",
        "type": "raw",
        "nullable": true
      },
      {
        "name": "Description",
        "datatype": "string",
        "type": "raw",
        "nullable": true
      },
      {
        "name": "RequiresManagerApproval",
        "datatype": "boolean",
        "type": "raw",
        "nullable": true
      },
      {
        "name": "Projects",
        "datatype": "string",
        "type": "relationship",
        "nullable": true,
        "RelatedTo": "Projects",
        "isReversed": false,
        "prefersSingleRecordLink": false,
        "InverseField": "ProjectType"
      },
      {
        "name": "CountOfProjects",
        "datatype": "integer",
        "type": "aggregation",
        "nullable": true,
        "formula": "=COUNTIFS(Projects!{{ProjectType}}, TypesOfProject!{{TypesOfProjectId}})"
      }
    ],
    "data": [
      {
        "TypesOfProjectId": "internal",
        "Name": "Internal",
        "CountOfProjects": 1,
        "Description": "An internal project that is not publicly accessible",
        "Projects": "internal-tools-dashboard",
        "RequiresManagerApproval": false
      },
      {
        "TypesOfProjectId": "clientfacing",
        "Name": "ClientFacing",
        "CountOfProjects": 1,
        "RequiresManagerApproval": true,
        "Description": "Open, public facing communication",
        "Projects": "customer-portal-redesign"
      },
      {
        "TypesOfProjectId": "research",
        "Name": "Research",
        "CountOfProjects": 0,
        "Description": "",
        "RequiresManagerApproval": false,
        "Projects": ""
      },
      {
        "TypesOfProjectId": "compliance",
        "Name": "Compliance",
        "CountOfProjects": 1,
        "RequiresManagerApproval": true,
        "Projects": "gdpr-compliance-audit",
        "Description": ""
      }
    ]
  },
  "_meta": {
    "_CMCC_Summary": "Airtable export with schema-first type mapping: Schemas, Data, Relationships (FK links), Lookups (INDEX/MATCH), Aggregations (SUMIFS/COUNTIFS/Rollups), and Calculated fields (formulas) in Excel dialect. Field types are determined from Airtable\u0027s schema metadata FIRST (no coercion), with intelligent fallback to formula/data analysis only when schema is unavailable.",
    "_conversion_metadata": {
      "source_base_id": "appzkcmBFPWFGBtRo",
      "table_count": 5,
      "tool_version": "2.0.0",
      "field_type_mapping": "checkbox\u2192boolean, number\u2192number/integer, multipleRecordLinks\u2192relationship, multipleLookupValues\u2192lookup, rollup\u2192aggregation, count\u2192aggregation, formula\u2192calculated",
      "export_mode": "schema_first_type_mapping",
      "type_inference": {
        "enabled": true,
        "priority": "airtable_metadata (NO COERCION) \u2192 formula_analysis \u2192 reference_resolution \u2192 data_analysis (fallback only)",
        "airtable_type_mapping": "checkbox\u2192boolean, singleLineText\u2192string, multilineText\u2192string, number\u2192number/integer, datetime\u2192datetime, singleSelect\u2192string, email\u2192string, url\u2192string, phoneNumber\u2192string",
        "data_coercion_hierarchy": "Only used as fallback when Airtable schema unavailable: datetime \u2192 number \u2192 integer \u2192 boolean \u2192 base64 \u2192 json \u2192 string",
        "nullable_support": true,
        "error_value_handling": "#NUM!, #ERROR!, #N/A, #REF!, #DIV/0!, #VALUE!, #NAME? are treated as NULL"
      }
    }
  }
}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</si>
</sst>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0" fontId="0" fillId="3" applyFill="1"/>
    <xf numFmtId="0" fontId="0" fillId="4" applyFill="1"/>
    <xf numFmtId="164" applyNumberFormat="1" fontId="0" fillId="3" applyFill="1"/>
    <xf numFmtId="1" applyNumberFormat="1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23.963666915893555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tr">
        <f>D2 &amp; " " &amp; E2</f>
        <v>Bob Smith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 t="str">
        <f>D3 &amp; " " &amp; E3</f>
        <v>John Doe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 t="str">
        <f>D4 &amp; " " &amp; E4</f>
        <v>Emily Jones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811702728271484" customWidth="1"/>
    <col min="2" max="2" width="25.371416091918945" customWidth="1"/>
    <col min="3" max="3" width="60.70301055908203" customWidth="1"/>
    <col min="4" max="4" width="17.443378448486328" customWidth="1"/>
    <col min="5" max="5" width="18.1838321685791" customWidth="1"/>
    <col min="6" max="6" width="46.354583740234375" customWidth="1"/>
    <col min="7" max="7" width="37.025062561035156" customWidth="1"/>
    <col min="8" max="8" width="24.629854202270508" customWidth="1"/>
    <col min="9" max="9" width="17.443378448486328" customWidth="1"/>
    <col min="10" max="10" width="17.443378448486328" customWidth="1"/>
    <col min="11" max="11" width="26.7344970703125" customWidth="1"/>
    <col min="12" max="12" width="18.398151397705078" customWidth="1"/>
    <col min="13" max="13" width="33.187591552734375" customWidth="1"/>
    <col min="14" max="14" width="26.284700393676758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>
      <c r="A2" s="2" t="s">
        <v>35</v>
      </c>
      <c r="B2" s="2" t="s">
        <v>36</v>
      </c>
      <c r="C2" s="2" t="s">
        <v>37</v>
      </c>
      <c r="D2" s="2" t="s">
        <v>38</v>
      </c>
      <c r="E2" s="3" t="str">
        <f>INDEX(TypesOfProject!B2:B999, MATCH(D2,TypesOfProject!A2:A999, 0))</f>
        <v>Internal</v>
      </c>
      <c r="F2" s="3" t="str">
        <f>INDEX(TypesOfProject!C2:C999, MATCH(D2,TypesOfProject!A2:A999, 0))</f>
        <v>An internal project that is not publicly accessible</v>
      </c>
      <c r="G2" s="3" t="b">
        <f>INDEX(TypesOfProject!D2:D999, MATCH(D2,TypesOfProject!A2:A999, 0))</f>
        <v>0</v>
      </c>
      <c r="H2" s="4">
        <v>46188</v>
      </c>
      <c r="I2" s="2" t="b">
        <v>1</v>
      </c>
      <c r="J2" s="2" t="s">
        <v>39</v>
      </c>
      <c r="K2" s="3" t="b">
        <f>INDEX(Employees!I2:I999, MATCH(J2,Employees!A2:A999, 0))</f>
        <v>1</v>
      </c>
      <c r="L2" s="3" t="str">
        <f>INDEX(Employees!B2:B999, MATCH(J2,Employees!A2:A999, 0))</f>
        <v>Sarah Chen</v>
      </c>
      <c r="M2" s="3" t="str">
        <f>INDEX(Employees!C2:C999, MATCH(J2,Employees!A2:A999, 0))</f>
        <v>sarah.chen@acmecorp.example</v>
      </c>
      <c r="N2" s="3" t="str">
        <f>INDEX(Employees!D2:D999, MATCH(J2,Employees!A2:A999, 0))</f>
        <v>555-0101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3" t="str">
        <f>INDEX(TypesOfProject!B2:B999, MATCH(D3,TypesOfProject!A2:A999, 0))</f>
        <v>ClientFacing</v>
      </c>
      <c r="F3" s="3" t="str">
        <f>INDEX(TypesOfProject!C2:C999, MATCH(D3,TypesOfProject!A2:A999, 0))</f>
        <v>Open, public facing communication</v>
      </c>
      <c r="G3" s="3" t="b">
        <f>INDEX(TypesOfProject!D2:D999, MATCH(D3,TypesOfProject!A2:A999, 0))</f>
        <v>1</v>
      </c>
      <c r="H3" s="4">
        <v>46235</v>
      </c>
      <c r="I3" s="2" t="b">
        <v>0</v>
      </c>
      <c r="J3" s="2" t="s">
        <v>44</v>
      </c>
      <c r="K3" s="3" t="b">
        <f>INDEX(Employees!I2:I999, MATCH(J3,Employees!A2:A999, 0))</f>
        <v>0</v>
      </c>
      <c r="L3" s="3" t="str">
        <f>INDEX(Employees!B2:B999, MATCH(J3,Employees!A2:A999, 0))</f>
        <v>Priya Patel</v>
      </c>
      <c r="M3" s="3" t="str">
        <f>INDEX(Employees!C2:C999, MATCH(J3,Employees!A2:A999, 0))</f>
        <v>priya.patel@acmecorp.example</v>
      </c>
      <c r="N3" s="3" t="str">
        <f>INDEX(Employees!D2:D999, MATCH(J3,Employees!A2:A999, 0))</f>
        <v>555-0103</v>
      </c>
    </row>
    <row r="4">
      <c r="A4" s="2" t="s">
        <v>45</v>
      </c>
      <c r="B4" s="2" t="s">
        <v>46</v>
      </c>
      <c r="C4" s="2" t="s">
        <v>47</v>
      </c>
      <c r="D4" s="2" t="s">
        <v>48</v>
      </c>
      <c r="E4" s="3" t="str">
        <f>INDEX(TypesOfProject!B2:B999, MATCH(D4,TypesOfProject!A2:A999, 0))</f>
        <v>Compliance</v>
      </c>
      <c r="F4" s="3" t="str">
        <f>INDEX(TypesOfProject!C2:C999, MATCH(D4,TypesOfProject!A2:A999, 0))</f>
      </c>
      <c r="G4" s="3" t="b">
        <f>INDEX(TypesOfProject!D2:D999, MATCH(D4,TypesOfProject!A2:A999, 0))</f>
        <v>1</v>
      </c>
      <c r="H4" s="4">
        <v>46142</v>
      </c>
      <c r="I4" s="2" t="b">
        <v>1</v>
      </c>
      <c r="J4" s="2" t="s">
        <v>49</v>
      </c>
      <c r="K4" s="3" t="b">
        <f>INDEX(Employees!I2:I999, MATCH(J4,Employees!A2:A999, 0))</f>
        <v>1</v>
      </c>
      <c r="L4" s="3" t="str">
        <f>INDEX(Employees!B2:B999, MATCH(J4,Employees!A2:A999, 0))</f>
        <v>Mike Johnson</v>
      </c>
      <c r="M4" s="3" t="str">
        <f>INDEX(Employees!C2:C999, MATCH(J4,Employees!A2:A999, 0))</f>
        <v>mike.johnson@acmecorp.example</v>
      </c>
      <c r="N4" s="3" t="str">
        <f>INDEX(Employees!D2:D999, MATCH(J4,Employees!A2:A999, 0))</f>
        <v>555-0102</v>
      </c>
    </row>
  </sheetData>
  <autoFilter ref="A1:N1"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33.187591552734375" customWidth="1"/>
    <col min="4" max="4" width="17.443378448486328" customWidth="1"/>
    <col min="5" max="5" width="17.443378448486328" customWidth="1"/>
    <col min="6" max="6" width="17.443378448486328" customWidth="1"/>
    <col min="7" max="7" width="103.85759735107422" customWidth="1"/>
    <col min="8" max="8" width="24.811702728271484" customWidth="1"/>
    <col min="9" max="9" width="17.443378448486328" customWidth="1"/>
  </cols>
  <sheetData>
    <row r="1">
      <c r="A1" s="1" t="s">
        <v>50</v>
      </c>
      <c r="B1" s="1" t="s">
        <v>22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>
      <c r="A2" s="2" t="s">
        <v>39</v>
      </c>
      <c r="B2" s="2" t="s">
        <v>57</v>
      </c>
      <c r="C2" s="2" t="s">
        <v>58</v>
      </c>
      <c r="D2" s="2" t="s">
        <v>59</v>
      </c>
      <c r="E2" s="2" t="s">
        <v>60</v>
      </c>
      <c r="F2" s="3" t="str">
        <f>INDEX(Roles!B2:B999, MATCH(E2,Roles!A2:A999, 0))</f>
        <v>ProjectManager</v>
      </c>
      <c r="G2" s="3" t="str">
        <f>INDEX(Roles!C2:C999, MATCH(E2,Roles!A2:A999, 0))</f>
        <v>The project Manager makes sure that the developers do what the analysts ask for</v>
      </c>
      <c r="H2" s="2" t="s">
        <v>35</v>
      </c>
      <c r="I2" s="3" t="b">
        <f>INDEX(Roles!D2:D999, MATCH(E2,Roles!A2:A999, 0))</f>
        <v>1</v>
      </c>
    </row>
    <row r="3">
      <c r="A3" s="2" t="s">
        <v>49</v>
      </c>
      <c r="B3" s="2" t="s">
        <v>61</v>
      </c>
      <c r="C3" s="2" t="s">
        <v>62</v>
      </c>
      <c r="D3" s="2" t="s">
        <v>63</v>
      </c>
      <c r="E3" s="2" t="s">
        <v>64</v>
      </c>
      <c r="F3" s="3" t="str">
        <f>INDEX(Roles!B2:B999, MATCH(E3,Roles!A2:A999, 0))</f>
        <v>Developer</v>
      </c>
      <c r="G3" s="3" t="str">
        <f>INDEX(Roles!C2:C999, MATCH(E3,Roles!A2:A999, 0))</f>
        <v>Developers handle the implementation and are responsible for making the final product do what is expected</v>
      </c>
      <c r="H3" s="2" t="s">
        <v>45</v>
      </c>
      <c r="I3" s="3" t="b">
        <f>INDEX(Roles!D2:D999, MATCH(E3,Roles!A2:A999, 0))</f>
        <v>1</v>
      </c>
    </row>
    <row r="4">
      <c r="A4" s="2" t="s">
        <v>44</v>
      </c>
      <c r="B4" s="2" t="s">
        <v>65</v>
      </c>
      <c r="C4" s="2" t="s">
        <v>66</v>
      </c>
      <c r="D4" s="2" t="s">
        <v>67</v>
      </c>
      <c r="E4" s="2" t="s">
        <v>68</v>
      </c>
      <c r="F4" s="3" t="str">
        <f>INDEX(Roles!B2:B999, MATCH(E4,Roles!A2:A999, 0))</f>
        <v>Analyst</v>
      </c>
      <c r="G4" s="3" t="str">
        <f>INDEX(Roles!C2:C999, MATCH(E4,Roles!A2:A999, 0))</f>
        <v>The business analysis know what the customer's want.</v>
      </c>
      <c r="H4" s="2" t="s">
        <v>40</v>
      </c>
      <c r="I4" s="3" t="b">
        <f>INDEX(Roles!D2:D999, MATCH(E4,Roles!A2:A999, 0))</f>
        <v>0</v>
      </c>
    </row>
  </sheetData>
  <autoFilter ref="A1:I1"/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03.85759735107422" customWidth="1"/>
    <col min="4" max="4" width="17.443378448486328" customWidth="1"/>
    <col min="5" max="5" width="17.443378448486328" customWidth="1"/>
    <col min="6" max="6" width="19.413164138793945" customWidth="1"/>
  </cols>
  <sheetData>
    <row r="1">
      <c r="A1" s="1" t="s">
        <v>69</v>
      </c>
      <c r="B1" s="1" t="s">
        <v>22</v>
      </c>
      <c r="C1" s="1" t="s">
        <v>23</v>
      </c>
      <c r="D1" s="1" t="s">
        <v>70</v>
      </c>
      <c r="E1" s="1" t="s">
        <v>71</v>
      </c>
      <c r="F1" s="1" t="s">
        <v>72</v>
      </c>
    </row>
    <row r="2">
      <c r="A2" s="2" t="s">
        <v>64</v>
      </c>
      <c r="B2" s="2" t="s">
        <v>73</v>
      </c>
      <c r="C2" s="2" t="s">
        <v>74</v>
      </c>
      <c r="D2" s="2" t="b">
        <v>1</v>
      </c>
      <c r="E2" s="2" t="s">
        <v>49</v>
      </c>
      <c r="F2" s="5">
        <f>COUNTIFS(Employees!E2:E999,A2)</f>
        <v>1</v>
      </c>
    </row>
    <row r="3">
      <c r="A3" s="2" t="s">
        <v>60</v>
      </c>
      <c r="B3" s="2" t="s">
        <v>75</v>
      </c>
      <c r="C3" s="2" t="s">
        <v>76</v>
      </c>
      <c r="D3" s="2" t="b">
        <v>1</v>
      </c>
      <c r="E3" s="2" t="s">
        <v>39</v>
      </c>
      <c r="F3" s="5">
        <f>COUNTIFS(Employees!E2:E999,A3)</f>
        <v>1</v>
      </c>
    </row>
    <row r="4">
      <c r="A4" s="2" t="s">
        <v>68</v>
      </c>
      <c r="B4" s="2" t="s">
        <v>77</v>
      </c>
      <c r="C4" s="2" t="s">
        <v>78</v>
      </c>
      <c r="D4" s="2" t="b">
        <v>0</v>
      </c>
      <c r="E4" s="2" t="s">
        <v>44</v>
      </c>
      <c r="F4" s="5">
        <f>COUNTIFS(Employees!E2:E999,A4)</f>
        <v>1</v>
      </c>
    </row>
  </sheetData>
  <autoFilter ref="A1:F1"/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7275161743164" customWidth="1"/>
    <col min="2" max="2" width="17.443378448486328" customWidth="1"/>
    <col min="3" max="3" width="46.354583740234375" customWidth="1"/>
    <col min="4" max="4" width="26.011306762695312" customWidth="1"/>
    <col min="5" max="5" width="24.811702728271484" customWidth="1"/>
    <col min="6" max="6" width="17.443378448486328" customWidth="1"/>
  </cols>
  <sheetData>
    <row r="1">
      <c r="A1" s="1" t="s">
        <v>79</v>
      </c>
      <c r="B1" s="1" t="s">
        <v>22</v>
      </c>
      <c r="C1" s="1" t="s">
        <v>23</v>
      </c>
      <c r="D1" s="1" t="s">
        <v>80</v>
      </c>
      <c r="E1" s="1" t="s">
        <v>55</v>
      </c>
      <c r="F1" s="1" t="s">
        <v>81</v>
      </c>
    </row>
    <row r="2">
      <c r="A2" s="2" t="s">
        <v>38</v>
      </c>
      <c r="B2" s="2" t="s">
        <v>82</v>
      </c>
      <c r="C2" s="2" t="s">
        <v>83</v>
      </c>
      <c r="D2" s="2" t="b">
        <v>0</v>
      </c>
      <c r="E2" s="2" t="s">
        <v>35</v>
      </c>
      <c r="F2" s="5">
        <f>COUNTIFS(Projects!D2:D999,A2)</f>
        <v>1</v>
      </c>
    </row>
    <row r="3">
      <c r="A3" s="2" t="s">
        <v>43</v>
      </c>
      <c r="B3" s="2" t="s">
        <v>84</v>
      </c>
      <c r="C3" s="2" t="s">
        <v>85</v>
      </c>
      <c r="D3" s="2" t="b">
        <v>1</v>
      </c>
      <c r="E3" s="2" t="s">
        <v>40</v>
      </c>
      <c r="F3" s="5">
        <f>COUNTIFS(Projects!D2:D999,A3)</f>
        <v>1</v>
      </c>
    </row>
    <row r="4">
      <c r="A4" s="2" t="s">
        <v>86</v>
      </c>
      <c r="B4" s="2" t="s">
        <v>87</v>
      </c>
      <c r="C4" s="2" t="s">
        <v>88</v>
      </c>
      <c r="D4" s="2" t="b">
        <v>0</v>
      </c>
      <c r="E4" s="2" t="s">
        <v>88</v>
      </c>
      <c r="F4" s="5">
        <f>COUNTIFS(Projects!D2:D999,A4)</f>
        <v>0</v>
      </c>
    </row>
    <row r="5">
      <c r="A5" s="2" t="s">
        <v>48</v>
      </c>
      <c r="B5" s="2" t="s">
        <v>89</v>
      </c>
      <c r="C5" s="2" t="s">
        <v>88</v>
      </c>
      <c r="D5" s="2" t="b">
        <v>1</v>
      </c>
      <c r="E5" s="2" t="s">
        <v>45</v>
      </c>
      <c r="F5" s="5">
        <f>COUNTIFS(Projects!D2:D999,A5)</f>
        <v>1</v>
      </c>
    </row>
  </sheetData>
  <autoFilter ref="A1:F1"/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90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