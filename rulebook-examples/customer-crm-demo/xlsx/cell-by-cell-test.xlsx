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vmlDrawing" PartName="/xl/drawings/vmlDrawing2.vml"/>
  <Override ContentType="application/vnd.openxmlformats-officedocument.spreadsheetml.worksheet+xml" PartName="/xl/worksheets/sheet3.xml"/>
  <Override ContentType="application/vnd.openxmlformats-officedocument.vmlDrawing" PartName="/xl/drawings/vmlDrawing3.vml"/>
  <Override ContentType="application/vnd.openxmlformats-officedocument.spreadsheetml.worksheet+xml" PartName="/xl/worksheets/sheet4.xml"/>
  <Override ContentType="application/vnd.openxmlformats-officedocument.vmlDrawing" PartName="/xl/drawings/vmlDrawing4.vml"/>
  <Override ContentType="application/vnd.openxmlformats-officedocument.spreadsheetml.worksheet+xml" PartName="/xl/worksheets/sheet5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eetMetadata+xml" PartName="/xl/metadata.xml"/>
  <Override ContentType="application/vnd.ms-excel.rdrichvaluetypes+xml" PartName="/xl/richData/rdRichValueTypes.xml"/>
  <Override ContentType="application/vnd.ms-excel.rdrichvaluestructure+xml" PartName="/xl/richData/rdrichvaluestructure.xml"/>
  <Override ContentType="application/vnd.ms-excel.rdrichvalue+xml" PartName="/xl/richData/rdrichvalue.xml"/>
  <Override ContentType="application/vnd.ms-excel.rdarray+xml" PartName="/xl/richData/rdarray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sers" sheetId="1" r:id="rId1"/>
    <sheet name="Customers" sheetId="2" r:id="rId3"/>
    <sheet name="Orders" sheetId="3" r:id="rId4"/>
    <sheet name="Payments" sheetId="4" r:id="rId5"/>
    <sheet name="_original_json" sheetId="5" r:id="rId6" state="hidden"/>
  </sheets>
  <definedNames>
    <definedName name="_xlnm._FilterDatabase" localSheetId="1" hidden="1">Customers!$A$1:$J$1</definedName>
    <definedName name="_xlnm._FilterDatabase" localSheetId="2" hidden="1">Orders!$A$1:$P$1</definedName>
    <definedName name="_xlnm._FilterDatabase" localSheetId="3" hidden="1">Payments!$A$1:$P$1</definedName>
    <definedName name="_xlnm._FilterDatabase" localSheetId="0" hidden="1">Users!$A$1:$G$1</definedName>
  </definedNames>
  <calcPr fullCalcOnLoad="1" fullPrecision="1"/>
</workbook>
</file>

<file path=xl/comments1.xml><?xml version="1.0" encoding="utf-8"?>
<comments xmlns="http://schemas.openxmlformats.org/spreadsheetml/2006/main">
  <authors>
    <d:author xmlns:d="http://schemas.openxmlformats.org/spreadsheetml/2006/main">CMCC</d:author>
  </authors>
  <commentList>
    <comment ref="A1" authorId="0">
      <text>
        <r>
          <rPr>
            <rFont val="Aptos Narrow"/>
            <b/>
            <color rgb="FFFFFFFF"/>
            <sz val="11"/>
          </rPr>
          <t>PK = Email</t>
        </r>
      </text>
    </comment>
    <comment ref="C1" authorId="0">
      <text>
        <r>
          <rPr>
            <rFont val="Aptos Narrow"/>
            <b/>
            <color rgb="FFFFFFFF"/>
            <sz val="11"/>
          </rPr>
          <t>Login email (PK source).</t>
        </r>
      </text>
    </comment>
    <comment ref="D1" authorId="0">
      <text>
        <r>
          <rPr>
            <rFont val="Aptos Narrow"/>
            <b/>
            <color rgb="FFFFFFFF"/>
            <sz val="11"/>
          </rPr>
          <t>Given name.</t>
        </r>
      </text>
    </comment>
    <comment ref="E1" authorId="0">
      <text>
        <r>
          <rPr>
            <rFont val="Aptos Narrow"/>
            <b/>
            <color rgb="FFFFFFFF"/>
            <sz val="11"/>
          </rPr>
          <t>Family name.</t>
        </r>
      </text>
    </comment>
    <comment ref="F1" authorId="0">
      <text>
        <r>
          <rPr>
            <rFont val="Aptos Narrow"/>
            <b/>
            <color rgb="FFFFFFFF"/>
            <sz val="11"/>
          </rPr>
          <t>admin or viewer.</t>
        </r>
      </text>
    </comment>
    <comment ref="G1" authorId="0">
      <text>
        <r>
          <rPr>
            <rFont val="Aptos Narrow"/>
            <b/>
            <color rgb="FFFFFFFF"/>
            <sz val="11"/>
          </rPr>
          <t>LastName, FirstName.</t>
        </r>
      </text>
    </comment>
    <comment ref="B1" authorId="0">
      <text>
        <r>
          <rPr>
            <rFont val="Aptos Narrow"/>
            <b/>
            <color rgb="FFFFFFFF"/>
            <sz val="11"/>
          </rPr>
          <t>Synthetic PK = Email.</t>
        </r>
      </text>
    </comment>
  </commentList>
</comments>
</file>

<file path=xl/comments2.xml><?xml version="1.0" encoding="utf-8"?>
<comments xmlns="http://schemas.openxmlformats.org/spreadsheetml/2006/main">
  <authors>
    <d:author xmlns:d="http://schemas.openxmlformats.org/spreadsheetml/2006/main">CMCC</d:author>
  </authors>
  <commentList>
    <comment ref="A1" authorId="0">
      <text>
        <r>
          <rPr>
            <rFont val="Aptos Narrow"/>
            <b/>
            <color rgb="FFFFFFFF"/>
            <sz val="11"/>
          </rPr>
          <t>PK = Email</t>
        </r>
      </text>
    </comment>
    <comment ref="C1" authorId="0">
      <text>
        <r>
          <rPr>
            <rFont val="Aptos Narrow"/>
            <b/>
            <color rgb="FFFFFFFF"/>
            <sz val="11"/>
          </rPr>
          <t>Customer email (PK source).</t>
        </r>
      </text>
    </comment>
    <comment ref="D1" authorId="0">
      <text>
        <r>
          <rPr>
            <rFont val="Aptos Narrow"/>
            <b/>
            <color rgb="FFFFFFFF"/>
            <sz val="11"/>
          </rPr>
          <t>Given name.</t>
        </r>
      </text>
    </comment>
    <comment ref="E1" authorId="0">
      <text>
        <r>
          <rPr>
            <rFont val="Aptos Narrow"/>
            <b/>
            <color rgb="FFFFFFFF"/>
            <sz val="11"/>
          </rPr>
          <t>Family name.</t>
        </r>
      </text>
    </comment>
    <comment ref="F1" authorId="0">
      <text>
        <r>
          <rPr>
            <rFont val="Aptos Narrow"/>
            <b/>
            <color rgb="FFFFFFFF"/>
            <sz val="11"/>
          </rPr>
          <t>LastName, FirstName.</t>
        </r>
      </text>
    </comment>
    <comment ref="G1" authorId="0">
      <text>
        <r>
          <rPr>
            <rFont val="Aptos Narrow"/>
            <b/>
            <color rgb="FFFFFFFF"/>
            <sz val="11"/>
          </rPr>
          <t>Sum of this customer's order totals from the last 60 days (orders older than 60 days do not count).</t>
        </r>
      </text>
    </comment>
    <comment ref="H1" authorId="0">
      <text>
        <r>
          <rPr>
            <rFont val="Aptos Narrow"/>
            <b/>
            <color rgb="FFFFFFFF"/>
            <sz val="11"/>
          </rPr>
          <t>Number of this customer's orders that are not yet paid in full.</t>
        </r>
      </text>
    </comment>
    <comment ref="I1" authorId="0">
      <text>
        <r>
          <rPr>
            <rFont val="Aptos Narrow"/>
            <b/>
            <color rgb="FFFFFFFF"/>
            <sz val="11"/>
          </rPr>
          <t>Number of this customer's orders with a Total over $500. SUMIFS expression-mode workaround: agg_range yields 1 per row, then a real WHERE clause filters via the operator criterion "&gt;500" (Program.cs ExtractCriteriaOp, supported on SUMIFS but not yet on COUNTIFS).</t>
        </r>
      </text>
    </comment>
    <comment ref="J1" authorId="0">
      <text>
        <r>
          <rPr>
            <rFont val="Aptos Narrow"/>
            <b/>
            <color rgb="FFFFFFFF"/>
            <sz val="11"/>
          </rPr>
          <t>True when LifetimeSales &gt; 1500 AND the customer has no unpaid orders.</t>
        </r>
      </text>
    </comment>
    <comment ref="B1" authorId="0">
      <text>
        <r>
          <rPr>
            <rFont val="Aptos Narrow"/>
            <b/>
            <color rgb="FFFFFFFF"/>
            <sz val="11"/>
          </rPr>
          <t>Synthetic PK = Email.</t>
        </r>
      </text>
    </comment>
  </commentList>
</comments>
</file>

<file path=xl/comments3.xml><?xml version="1.0" encoding="utf-8"?>
<comments xmlns="http://schemas.openxmlformats.org/spreadsheetml/2006/main">
  <authors>
    <d:author xmlns:d="http://schemas.openxmlformats.org/spreadsheetml/2006/main">CMCC</d:author>
  </authors>
  <commentList>
    <comment ref="A1" authorId="0">
      <text>
        <r>
          <rPr>
            <rFont val="Aptos Narrow"/>
            <b/>
            <color rgb="FFFFFFFF"/>
            <sz val="11"/>
          </rPr>
          <t>PK = OrderNumber</t>
        </r>
      </text>
    </comment>
    <comment ref="C1" authorId="0">
      <text>
        <r>
          <rPr>
            <rFont val="Aptos Narrow"/>
            <b/>
            <color rgb="FFFFFFFF"/>
            <sz val="11"/>
          </rPr>
          <t>Human-readable order number (PK source).</t>
        </r>
      </text>
    </comment>
    <comment ref="D1" authorId="0">
      <text>
        <r>
          <rPr>
            <rFont val="Aptos Narrow"/>
            <b/>
            <color rgb="FFFFFFFF"/>
            <sz val="11"/>
          </rPr>
          <t>Date the order was placed.</t>
        </r>
      </text>
    </comment>
    <comment ref="E1" authorId="0">
      <text>
        <r>
          <rPr>
            <rFont val="Aptos Narrow"/>
            <b/>
            <color rgb="FFFFFFFF"/>
            <sz val="11"/>
          </rPr>
          <t>FK -&gt; Customers.Name (the customer's email).</t>
        </r>
      </text>
    </comment>
    <comment ref="F1" authorId="0">
      <text>
        <r>
          <rPr>
            <rFont val="Aptos Narrow"/>
            <b/>
            <color rgb="FFFFFFFF"/>
            <sz val="11"/>
          </rPr>
          <t>Customer's first name, looked up via Customer FK.</t>
        </r>
      </text>
    </comment>
    <comment ref="G1" authorId="0">
      <text>
        <r>
          <rPr>
            <rFont val="Aptos Narrow"/>
            <b/>
            <color rgb="FFFFFFFF"/>
            <sz val="11"/>
          </rPr>
          <t>Customer's last name, looked up via Customer FK.</t>
        </r>
      </text>
    </comment>
    <comment ref="H1" authorId="0">
      <text>
        <r>
          <rPr>
            <rFont val="Aptos Narrow"/>
            <b/>
            <color rgb="FFFFFFFF"/>
            <sz val="11"/>
          </rPr>
          <t>Customer's full name, looked up via Customer FK.</t>
        </r>
      </text>
    </comment>
    <comment ref="I1" authorId="0">
      <text>
        <r>
          <rPr>
            <rFont val="Aptos Narrow"/>
            <b/>
            <color rgb="FFFFFFFF"/>
            <sz val="11"/>
          </rPr>
          <t>Customer's email, looked up via Customer FK.</t>
        </r>
      </text>
    </comment>
    <comment ref="J1" authorId="0">
      <text>
        <r>
          <rPr>
            <rFont val="Aptos Narrow"/>
            <b/>
            <color rgb="FFFFFFFF"/>
            <sz val="11"/>
          </rPr>
          <t>Order total in dollars.</t>
        </r>
      </text>
    </comment>
    <comment ref="K1" authorId="0">
      <text>
        <r>
          <rPr>
            <rFont val="Aptos Narrow"/>
            <b/>
            <color rgb="FFFFFFFF"/>
            <sz val="11"/>
          </rPr>
          <t>Sum of all payments recorded against this order.</t>
        </r>
      </text>
    </comment>
    <comment ref="L1" authorId="0">
      <text>
        <r>
          <rPr>
            <rFont val="Aptos Narrow"/>
            <b/>
            <color rgb="FFFFFFFF"/>
            <sz val="11"/>
          </rPr>
          <t>Outstanding balance: Total - AmountPaid.</t>
        </r>
      </text>
    </comment>
    <comment ref="M1" authorId="0">
      <text>
        <r>
          <rPr>
            <rFont val="Aptos Narrow"/>
            <b/>
            <color rgb="FFFFFFFF"/>
            <sz val="11"/>
          </rPr>
          <t>True when Balance &lt;= 0.</t>
        </r>
      </text>
    </comment>
    <comment ref="N1" authorId="0">
      <text>
        <r>
          <rPr>
            <rFont val="Aptos Narrow"/>
            <b/>
            <color rgb="FFFFFFFF"/>
            <sz val="11"/>
          </rPr>
          <t>1 when the order is unpaid, 0 otherwise — summed by Customers.UnpaidOrderCount.</t>
        </r>
      </text>
    </comment>
    <comment ref="O1" authorId="0">
      <text>
        <r>
          <rPr>
            <rFont val="Aptos Narrow"/>
            <b/>
            <color rgb="FFFFFFFF"/>
            <sz val="11"/>
          </rPr>
          <t>True when OrderDate is within the last 60 days. Drives the 60-day window on Customers.LifetimeSales.</t>
        </r>
      </text>
    </comment>
    <comment ref="P1" authorId="0">
      <text>
        <r>
          <rPr>
            <rFont val="Aptos Narrow"/>
            <b/>
            <color rgb="FFFFFFFF"/>
            <sz val="11"/>
          </rPr>
          <t>Total if the order is recent, 0 otherwise — summed by Customers.LifetimeSales.</t>
        </r>
      </text>
    </comment>
    <comment ref="B1" authorId="0">
      <text>
        <r>
          <rPr>
            <rFont val="Aptos Narrow"/>
            <b/>
            <color rgb="FFFFFFFF"/>
            <sz val="11"/>
          </rPr>
          <t>Synthetic PK = OrderNumber.</t>
        </r>
      </text>
    </comment>
  </commentList>
</comments>
</file>

<file path=xl/comments4.xml><?xml version="1.0" encoding="utf-8"?>
<comments xmlns="http://schemas.openxmlformats.org/spreadsheetml/2006/main">
  <authors>
    <d:author xmlns:d="http://schemas.openxmlformats.org/spreadsheetml/2006/main">CMCC</d:author>
  </authors>
  <commentList>
    <comment ref="A1" authorId="0">
      <text>
        <r>
          <rPr>
            <rFont val="Aptos Narrow"/>
            <b/>
            <color rgb="FFFFFFFF"/>
            <sz val="11"/>
          </rPr>
          <t>PK = PaymentNumber</t>
        </r>
      </text>
    </comment>
    <comment ref="C1" authorId="0">
      <text>
        <r>
          <rPr>
            <rFont val="Aptos Narrow"/>
            <b/>
            <color rgb="FFFFFFFF"/>
            <sz val="11"/>
          </rPr>
          <t>Human-readable payment number (PK source).</t>
        </r>
      </text>
    </comment>
    <comment ref="D1" authorId="0">
      <text>
        <r>
          <rPr>
            <rFont val="Aptos Narrow"/>
            <b/>
            <color rgb="FFFFFFFF"/>
            <sz val="11"/>
          </rPr>
          <t>FK -&gt; Orders.Name (the order number).</t>
        </r>
      </text>
    </comment>
    <comment ref="E1" authorId="0">
      <text>
        <r>
          <rPr>
            <rFont val="Aptos Narrow"/>
            <b/>
            <color rgb="FFFFFFFF"/>
            <sz val="11"/>
          </rPr>
          <t>Date the payment was received.</t>
        </r>
      </text>
    </comment>
    <comment ref="F1" authorId="0">
      <text>
        <r>
          <rPr>
            <rFont val="Aptos Narrow"/>
            <b/>
            <color rgb="FFFFFFFF"/>
            <sz val="11"/>
          </rPr>
          <t>Payment amount in dollars.</t>
        </r>
      </text>
    </comment>
    <comment ref="G1" authorId="0">
      <text>
        <r>
          <rPr>
            <rFont val="Aptos Narrow"/>
            <b/>
            <color rgb="FFFFFFFF"/>
            <sz val="11"/>
          </rPr>
          <t>Payment method: card, check, cash, wire, ach.</t>
        </r>
      </text>
    </comment>
    <comment ref="H1" authorId="0">
      <text>
        <r>
          <rPr>
            <rFont val="Aptos Narrow"/>
            <b/>
            <color rgb="FFFFFFFF"/>
            <sz val="11"/>
          </rPr>
          <t>Parent order's human-readable number.</t>
        </r>
      </text>
    </comment>
    <comment ref="I1" authorId="0">
      <text>
        <r>
          <rPr>
            <rFont val="Aptos Narrow"/>
            <b/>
            <color rgb="FFFFFFFF"/>
            <sz val="11"/>
          </rPr>
          <t>Parent order's date.</t>
        </r>
      </text>
    </comment>
    <comment ref="J1" authorId="0">
      <text>
        <r>
          <rPr>
            <rFont val="Aptos Narrow"/>
            <b/>
            <color rgb="FFFFFFFF"/>
            <sz val="11"/>
          </rPr>
          <t>Parent order's total.</t>
        </r>
      </text>
    </comment>
    <comment ref="K1" authorId="0">
      <text>
        <r>
          <rPr>
            <rFont val="Aptos Narrow"/>
            <b/>
            <color rgb="FFFFFFFF"/>
            <sz val="11"/>
          </rPr>
          <t>Parent order's total paid (across all its payments).</t>
        </r>
      </text>
    </comment>
    <comment ref="L1" authorId="0">
      <text>
        <r>
          <rPr>
            <rFont val="Aptos Narrow"/>
            <b/>
            <color rgb="FFFFFFFF"/>
            <sz val="11"/>
          </rPr>
          <t>Parent order's outstanding balance.</t>
        </r>
      </text>
    </comment>
    <comment ref="M1" authorId="0">
      <text>
        <r>
          <rPr>
            <rFont val="Aptos Narrow"/>
            <b/>
            <color rgb="FFFFFFFF"/>
            <sz val="11"/>
          </rPr>
          <t>Parent order's paid-in-full flag.</t>
        </r>
      </text>
    </comment>
    <comment ref="N1" authorId="0">
      <text>
        <r>
          <rPr>
            <rFont val="Aptos Narrow"/>
            <b/>
            <color rgb="FFFFFFFF"/>
            <sz val="11"/>
          </rPr>
          <t>Parent order's customer FK (email).</t>
        </r>
      </text>
    </comment>
    <comment ref="O1" authorId="0">
      <text>
        <r>
          <rPr>
            <rFont val="Aptos Narrow"/>
            <b/>
            <color rgb="FFFFFFFF"/>
            <sz val="11"/>
          </rPr>
          <t>Parent order's customer full name (two-hop).</t>
        </r>
      </text>
    </comment>
    <comment ref="P1" authorId="0">
      <text>
        <r>
          <rPr>
            <rFont val="Aptos Narrow"/>
            <b/>
            <color rgb="FFFFFFFF"/>
            <sz val="11"/>
          </rPr>
          <t>Parent order's customer email (two-hop).</t>
        </r>
      </text>
    </comment>
    <comment ref="B1" authorId="0">
      <text>
        <r>
          <rPr>
            <rFont val="Aptos Narrow"/>
            <b/>
            <color rgb="FFFFFFFF"/>
            <sz val="11"/>
          </rPr>
          <t>Synthetic PK = PaymentNumber.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<sst xmlns="http://schemas.openxmlformats.org/spreadsheetml/2006/main" count="88" uniqueCount="88">
  <si>
    <t>Name</t>
  </si>
  <si>
    <t>UsersId</t>
  </si>
  <si>
    <t>Email</t>
  </si>
  <si>
    <t>FirstName</t>
  </si>
  <si>
    <t>LastName</t>
  </si>
  <si>
    <t>Role</t>
  </si>
  <si>
    <t>FullName</t>
  </si>
  <si>
    <t>alice@example.com</t>
  </si>
  <si>
    <t>Alice</t>
  </si>
  <si>
    <t>Anderson</t>
  </si>
  <si>
    <t>admin</t>
  </si>
  <si>
    <t>bob@example.com</t>
  </si>
  <si>
    <t>Bob</t>
  </si>
  <si>
    <t>Baker</t>
  </si>
  <si>
    <t>viewer</t>
  </si>
  <si>
    <t>CustomersId</t>
  </si>
  <si>
    <t>LifetimeSales</t>
  </si>
  <si>
    <t>UnpaidOrderCount</t>
  </si>
  <si>
    <t>LargeOrderCount</t>
  </si>
  <si>
    <t>IsVIP</t>
  </si>
  <si>
    <t>ada.lovelace@analytical.engine</t>
  </si>
  <si>
    <t>Ada</t>
  </si>
  <si>
    <t>Lovelace</t>
  </si>
  <si>
    <t>grace.hopper@nautical.mil</t>
  </si>
  <si>
    <t>Grace</t>
  </si>
  <si>
    <t>Hopper</t>
  </si>
  <si>
    <t>alan.turing@bletchley.uk</t>
  </si>
  <si>
    <t>Alan</t>
  </si>
  <si>
    <t>Turing</t>
  </si>
  <si>
    <t>katherine.johnson@nasa.gov</t>
  </si>
  <si>
    <t>Katherine</t>
  </si>
  <si>
    <t>Johnson</t>
  </si>
  <si>
    <t>linus.torvalds@kernel.org</t>
  </si>
  <si>
    <t>Linus</t>
  </si>
  <si>
    <t>Torvalds</t>
  </si>
  <si>
    <t>OrdersId</t>
  </si>
  <si>
    <t>OrderNumber</t>
  </si>
  <si>
    <t>OrderDate</t>
  </si>
  <si>
    <t>Customer</t>
  </si>
  <si>
    <t>CustomerFirstName</t>
  </si>
  <si>
    <t>CustomerLastName</t>
  </si>
  <si>
    <t>CustomerFullName</t>
  </si>
  <si>
    <t>CustomerEmail</t>
  </si>
  <si>
    <t>Total</t>
  </si>
  <si>
    <t>AmountPaid</t>
  </si>
  <si>
    <t>Balance</t>
  </si>
  <si>
    <t>IsPaid</t>
  </si>
  <si>
    <t>UnpaidFlag</t>
  </si>
  <si>
    <t>IsRecent</t>
  </si>
  <si>
    <t>RecentTotal</t>
  </si>
  <si>
    <t>ORD-1001</t>
  </si>
  <si>
    <t>ORD-1002</t>
  </si>
  <si>
    <t>ORD-1003</t>
  </si>
  <si>
    <t>ORD-1004</t>
  </si>
  <si>
    <t>ORD-1005</t>
  </si>
  <si>
    <t>ORD-1006</t>
  </si>
  <si>
    <t>ORD-1007</t>
  </si>
  <si>
    <t>ORD-1008</t>
  </si>
  <si>
    <t>ORD-1009</t>
  </si>
  <si>
    <t>ORD-1010</t>
  </si>
  <si>
    <t>PaymentsId</t>
  </si>
  <si>
    <t>PaymentNumber</t>
  </si>
  <si>
    <t>OrderId</t>
  </si>
  <si>
    <t>PaymentDate</t>
  </si>
  <si>
    <t>Amount</t>
  </si>
  <si>
    <t>Method</t>
  </si>
  <si>
    <t>OrderTotal</t>
  </si>
  <si>
    <t>OrderAmountPaid</t>
  </si>
  <si>
    <t>OrderBalance</t>
  </si>
  <si>
    <t>OrderIsPaid</t>
  </si>
  <si>
    <t>OrderCustomer</t>
  </si>
  <si>
    <t>PMT-2001</t>
  </si>
  <si>
    <t>card</t>
  </si>
  <si>
    <t>PMT-2002</t>
  </si>
  <si>
    <t>PMT-2003</t>
  </si>
  <si>
    <t>ach</t>
  </si>
  <si>
    <t>PMT-2004</t>
  </si>
  <si>
    <t>wire</t>
  </si>
  <si>
    <t>PMT-2005</t>
  </si>
  <si>
    <t>cash</t>
  </si>
  <si>
    <t>PMT-2006</t>
  </si>
  <si>
    <t>check</t>
  </si>
  <si>
    <t>PMT-2007</t>
  </si>
  <si>
    <t>PMT-2008</t>
  </si>
  <si>
    <t>PMT-2009</t>
  </si>
  <si>
    <t>PMT-525034</t>
  </si>
  <si>
    <t>PMT-643977</t>
  </si>
  <si>
    <t xml:space="preserve">{
  "$schema": "https://example.com/cmcc-schema/v1",
  "Name": "Customer CRM Demo",
  "Description": "Minimal CRM demo: customers with orders, lifetime sales rollup, and a VIP threshold flag.",
  "Users": {
    "Description": "Dev-login identities for the demo app. Email is the PK.",
    "schema": [
      {
        "name": "Name",
        "datatype": "string",
        "type": "calculated",
        "nullable": false,
        "Description": "PK = Email",
        "formula": "={{Email}}"
      },
      {
        "name": "UsersId",
        "datatype": "string",
        "type": "raw",
        "nullable": false,
        "Description": "Synthetic PK = Email."
      },
      {
        "name": "Email",
        "datatype": "string",
        "type": "raw",
        "nullable": false,
        "Description": "Login email (PK source)."
      },
      {
        "name": "FirstName",
        "datatype": "string",
        "type": "raw",
        "nullable": true,
        "Description": "Given name."
      },
      {
        "name": "LastName",
        "datatype": "string",
        "type": "raw",
        "nullable": true,
        "Description": "Family name."
      },
      {
        "name": "Role",
        "datatype": "string",
        "type": "raw",
        "nullable": false,
        "Description": "admin or viewer."
      },
      {
        "name": "FullName",
        "datatype": "string",
        "type": "calculated",
        "nullable": true,
        "Description": "LastName, FirstName.",
        "formula": "=CONCAT({{LastName}}, \", \", {{FirstName}})"
      }
    ],
    "data": [
      {
        "Name": "alice@example.com",
        "UsersId": "alice@example.com",
        "Email": "alice@example.com",
        "FirstName": "Alice",
        "LastName": "Anderson",
        "Role": "admin",
        "FullName": "Anderson, Alice"
      },
      {
        "Name": "bob@example.com",
        "UsersId": "bob@example.com",
        "Email": "bob@example.com",
        "FirstName": "Bob",
        "LastName": "Baker",
        "Role": "viewer",
        "FullName": "Baker, Bob"
      }
    ]
  },
  "Customers": {
    "Description": "A CRM contact. Email is the PK.",
    "schema": [
      {
        "name": "Name",
        "datatype": "string",
        "type": "calculated",
        "nullable": false,
        "Description": "PK = Email",
        "formula": "={{Email}}"
      },
      {
        "name": "CustomersId",
        "datatype": "string",
        "type": "raw",
        "nullable": false,
        "Description": "Synthetic PK = Email."
      },
      {
        "name": "Email",
        "datatype": "string",
        "type": "raw",
        "nullable": false,
        "Description": "Customer email (PK source)."
      },
      {
        "name": "FirstName",
        "datatype": "string",
        "type": "raw",
        "nullable": true,
        "Description": "Given name."
      },
      {
        "name": "LastName",
        "datatype": "string",
        "type": "raw",
        "nullable": true,
        "Description": "Family name."
      },
      {
        "name": "FullName",
        "datatype": "string",
        "type": "calculated",
        "nullable": true,
        "Description": "LastName, FirstName.",
        "formula": "=CONCAT({{LastName}}, \", \", {{FirstName}})"
      },
      {
        "name": "LifetimeSales",
        "datatype": "number",
        "type": "aggregation",
        "nullable": true,
        "Description": "Sum of this customer's order totals from the last 60 days (orders older than 60 days do not count).",
        "formula": "=SUMIFS(Orders!{{RecentTotal}}, Orders!{{Customer}}, {{Name}})"
      },
      {
        "name": "UnpaidOrderCount",
        "datatype": "number",
        "type": "aggregation",
        "nullable": true,
        "Description": "Number of this customer's orders that are not yet paid in full.",
        "formula": "=SUMIFS(Orders!{{UnpaidFlag}}, Orders!{{Customer}}, {{Name}})"
      },
      {
        "name": "LargeOrderCount",
        "datatype": "number",
        "type": "aggregation",
        "nullable": true,
        "Description": "Number of this customer's orders with a Total over $500. SUMIFS expression-mode workaround: agg_range yields 1 per row, then a real WHERE clause filters via the operator criterion \"&gt;500\" (Program.cs ExtractCriteriaOp, supported on SUMIFS but not yet on COUNTIFS).",
        "formula": "=SUMIFS(Orders!{{Total}}*0+1, Orders!{{Customer}}, {{Name}}, Orders!{{Total}}, \"&gt;500\")"
      },
      {
        "name": "IsVIP",
        "datatype": "boolean",
        "type": "calculated",
        "nullable": true,
        "Description": "True when LifetimeSales &gt; 1500 AND the customer has no unpaid orders.",
        "formula": "=AND({{LifetimeSales}} &gt; 1500, {{UnpaidOrderCount}} = 0)"
      }
    ],
    "data": [
      {
        "Name": "ada.lovelace@analytical.engine",
        "CustomersId": "ada.lovelace@analytical.engine",
        "Email": "ada.lovelace@analytical.engine",
        "FirstName": "Ada",
        "LastName": "Lovelace",
        "FullName": "Lovelace, Ada",
        "LifetimeSales": "50.00",
        "UnpaidOrderCount": "0",
        "LargeOrderCount": "1.00",
        "IsVIP": false
      },
      {
        "Name": "grace.hopper@nautical.mil",
        "CustomersId": "grace.hopper@nautical.mil",
        "Email": "grace.hopper@nautical.mil",
        "FirstName": "Grace",
        "LastName": "Hopper",
        "FullName": "Hopper, Grace",
        "LifetimeSales": "1820.49",
        "UnpaidOrderCount": "1",
        "LargeOrderCount": "1.00",
        "IsVIP": false
      },
      {
        "Name": "alan.turing@bletchley.uk",
        "CustomersId": "alan.turing@bletchley.uk",
        "Email": "alan.turing@bletchley.uk",
        "FirstName": "Alan",
        "LastName": "Turing",
        "FullName": "Turing, Alan",
        "LifetimeSales": "99.00",
        "UnpaidOrderCount": "0",
        "LargeOrderCount": "0",
        "IsVIP": false
      },
      {
        "Name": "katherine.johnson@nasa.gov",
        "CustomersId": "katherine.johnson@nasa.gov",
        "Email": "katherine.johnson@nasa.gov",
        "FirstName": "Katherine",
        "LastName": "Johnson",
        "FullName": "Johnson, Katherine",
        "LifetimeSales": "1152.00",
        "UnpaidOrderCount": "1",
        "LargeOrderCount": "2.00",
        "IsVIP": false
      },
      {
        "Name": "linus.torvalds@kernel.org",
        "CustomersId": "linus.torvalds@kernel.org",
        "Email": "linus.torvalds@kernel.org",
        "FirstName": "Linus",
        "LastName": "Torvalds",
        "FullName": "Torvalds, Linus",
        "LifetimeSales": "2580.00",
        "UnpaidOrderCount": "0",
        "LargeOrderCount": "1.00",
        "IsVIP": true
      }
    ]
  },
  "Orders": {
    "Description": "A customer order. OrderNumber is the PK.",
    "schema": [
      {
        "name": "Name",
        "datatype": "string",
        "type": "calculated",
        "nullable": false,
        "Description": "PK = OrderNumber",
        "formula": "={{OrderNumber}}"
      },
      {
        "name": "OrdersId",
        "datatype": "string",
        "type": "raw",
        "nullable": false,
        "Description": "Synthetic PK = OrderNumber."
      },
      {
        "name": "OrderNumber",
        "datatype": "string",
        "type": "raw",
        "nullable": false,
        "Description": "Human-readable order number (PK source)."
      },
      {
        "name": "OrderDate",
        "datatype": "date",
        "type": "raw",
        "nullable": false,
        "Description": "Date the order was placed."
      },
      {
        "name": "Customer",
        "datatype": "string",
        "type": "raw",
        "nullable": false,
        "Description": "FK -&gt; Customers.Name (the customer's email)."
      },
      {
        "name": "CustomerFirstName",
        "datatype": "string",
        "type": "lookup",
        "nullable": true,
        "Description": "Customer's first name, looked up via Customer FK.",
        "formula": "=INDEX(Customers!{{FirstName}}, MATCH({{Customer}}, Customers!{{CustomersId}}, 0))"
      },
      {
        "name": "CustomerLastName",
        "datatype": "string",
        "type": "lookup",
        "nullable": true,
        "Description": "Customer's last name, looked up via Customer FK.",
        "formula": "=INDEX(Customers!{{LastName}}, MATCH({{Customer}}, Customers!{{CustomersId}}, 0))"
      },
      {
        "name": "CustomerFullName",
        "datatype": "string",
        "type": "lookup",
        "nullable": true,
        "Description": "Customer's full name, looked up via Customer FK.",
        "formula": "=INDEX(Customers!{{FullName}}, MATCH({{Customer}}, Customers!{{CustomersId}}, 0))"
      },
      {
        "name": "CustomerEmail",
        "datatype": "string",
        "type": "lookup",
        "nullable": true,
        "Description": "Customer's email, looked up via Customer FK.",
        "formula": "=INDEX(Customers!{{Email}}, MATCH({{Customer}}, Customers!{{CustomersId}}, 0))"
      },
      {
        "name": "Total",
        "datatype": "number",
        "type": "raw",
        "nullable": false,
        "Description": "Order total in dollars."
      },
      {
        "name": "AmountPaid",
        "datatype": "number",
        "type": "aggregation",
        "nullable": true,
        "Description": "Sum of all payments recorded against this order.",
        "formula": "=SUMIFS(Payments!{{Amount}}, Payments!{{OrderId}}, {{Name}})"
      },
      {
        "name": "Balance",
        "datatype": "number",
        "type": "calculated",
        "nullable": true,
        "Description": "Outstanding balance: Total - AmountPaid.",
        "formula": "={{Total}} - {{AmountPaid}}"
      },
      {
        "name": "IsPaid",
        "datatype": "boolean",
        "type": "calculated",
        "nullable": true,
        "Description": "True when Balance &lt;= 0.",
        "formula": "={{Balance}} &lt;= 0"
      },
      {
        "name": "UnpaidFlag",
        "datatype": "number",
        "type": "calculated",
        "nullable": true,
        "Description": "1 when the order is unpaid, 0 otherwise — summed by Customers.UnpaidOrderCount.",
        "formula": "=IF({{IsPaid}}, 0, 1)"
      },
      {
        "name": "IsRecent",
        "datatype": "boolean",
        "type": "calculated",
        "nullable": true,
        "Description": "True when OrderDate is within the last 60 days. Drives the 60-day window on Customers.LifetimeSales.",
        "formula": "=DATEDIFF(TODAY(), {{OrderDate}}, \"days\") &lt;= 90"
      },
      {
        "name": "RecentTotal",
        "datatype": "number",
        "type": "calculated",
        "nullable": true,
        "Description": "Total if the order is recent, 0 otherwise — summed by Customers.LifetimeSales.",
        "formula": "=IF({{IsRecent}}, {{Total}}, 0)"
      }
    ],
    "data": [
      {
        "Name": "ORD-1001",
        "OrdersId": "ORD-1001",
        "OrderNumber": "ORD-1001",
        "OrderDate": "2026-01-15T06:00:00.000Z",
        "Customer": "ada.lovelace@analytical.engine",
        "CustomerFirstName": "Ada",
        "CustomerLastName": "Lovelace",
        "CustomerFullName": "Lovelace, Ada",
        "CustomerEmail": "ada.lovelace@analytical.engine",
        "Total": "250.00",
        "AmountPaid": "250.00",
        "Balance": "0.00",
        "IsPaid": true,
        "UnpaidFlag": "0",
        "IsRecent": false,
        "RecentTotal": "0"
      },
      {
        "Name": "ORD-1002",
        "OrdersId": "ORD-1002",
        "OrderNumber": "ORD-1002",
        "OrderDate": "2026-02-03T06:00:00.000Z",
        "Customer": "ada.lovelace@analytical.engine",
        "CustomerFirstName": "Ada",
        "CustomerLastName": "Lovelace",
        "CustomerFullName": "Lovelace, Ada",
        "CustomerEmail": "ada.lovelace@analytical.engine",
        "Total": "875.00",
        "AmountPaid": "875.00",
        "Balance": "0.00",
        "IsPaid": true,
        "UnpaidFlag": "0",
        "IsRecent": false,
        "RecentTotal": "0"
      },
      {
        "Name": "ORD-1003",
        "OrdersId": "ORD-1003",
        "OrderNumber": "ORD-1003",
        "OrderDate": "2026-02-20T06:00:00.000Z",
        "Customer": "grace.hopper@nautical.mil",
        "CustomerFirstName": "Grace",
        "CustomerLastName": "Hopper",
        "CustomerFullName": "Hopper, Grace",
        "CustomerEmail": "grace.hopper@nautical.mil",
        "Total": "1499.99",
        "AmountPaid": "1000.00",
        "Balance": "499.99",
        "IsPaid": false,
        "UnpaidFlag": "1",
        "IsRecent": true,
        "RecentTotal": "1499.99"
      },
      {
        "Name": "ORD-1004",
        "OrdersId": "ORD-1004",
        "OrderNumber": "ORD-1004",
        "OrderDate": "2026-03-10T05:00:00.000Z",
        "Customer": "grace.hopper@nautical.mil",
        "CustomerFirstName": "Grace",
        "CustomerLastName": "Hopper",
        "CustomerFullName": "Hopper, Grace",
        "CustomerEmail": "grace.hopper@nautical.mil",
        "Total": "320.50",
        "AmountPaid": "320.5",
        "Balance": "0.00",
        "IsPaid": true,
        "UnpaidFlag": "0",
        "IsRecent": true,
        "RecentTotal": "320.50"
      },
      {
        "Name": "ORD-1005",
        "OrdersId": "ORD-1005",
        "OrderNumber": "ORD-1005",
        "OrderDate": "2026-03-22T05:00:00.000Z",
        "Customer": "alan.turing@bletchley.uk",
        "CustomerFirstName": "Alan",
        "CustomerLastName": "Turing",
        "CustomerFullName": "Turing, Alan",
        "CustomerEmail": "alan.turing@bletchley.uk",
        "Total": "99.00",
        "AmountPaid": "99.00",
        "Balance": "0.00",
        "IsPaid": true,
        "UnpaidFlag": "0",
        "IsRecent": true,
        "RecentTotal": "99.00"
      },
      {
        "Name": "ORD-1006",
        "OrdersId": "ORD-1006",
        "OrderNumber": "ORD-1006",
        "OrderDate": "2026-04-01T05:00:00.000Z",
        "Customer": "katherine.johnson@nasa.gov",
        "CustomerFirstName": "Katherine",
        "CustomerLastName": "Johnson",
        "CustomerFullName": "Johnson, Katherine",
        "CustomerEmail": "katherine.johnson@nasa.gov",
        "Total": "540.00",
        "AmountPaid": "540.00",
        "Balance": "0.00",
        "IsPaid": true,
        "UnpaidFlag": "0",
        "IsRecent": true,
        "RecentTotal": "540.00"
      },
      {
        "Name": "ORD-1007",
        "OrdersId": "ORD-1007",
        "OrderNumber": "ORD-1007",
        "OrderDate": "2026-04-12T05:00:00.000Z",
        "Customer": "katherine.johnson@nasa.gov",
        "CustomerFirstName": "Katherine",
        "CustomerLastName": "Johnson",
        "CustomerFullName": "Johnson, Katherine",
        "CustomerEmail": "katherine.johnson@nasa.gov",
        "Total": "612.00",
        "AmountPaid": "0",
        "Balance": "612.00",
        "IsPaid": false,
        "UnpaidFlag": "1",
        "IsRecent": true,
        "RecentTotal": "612.00"
      },
      {
        "Name": "ORD-1008",
        "OrdersId": "ORD-1008",
        "OrderNumber": "ORD-1008",
        "OrderDate": "2026-04-28T05:00:00.000Z",
        "Customer": "linus.torvalds@kernel.org",
        "CustomerFirstName": "Linus",
        "CustomerLastName": "Torvalds",
        "CustomerFullName": "Torvalds, Linus",
        "CustomerEmail": "linus.torvalds@kernel.org",
        "Total": "2400.00",
        "AmountPaid": "2400.00",
        "Balance": "0.00",
        "IsPaid": true,
        "UnpaidFlag": "0",
        "IsRecent": true,
        "RecentTotal": "2400.00"
      },
      {
        "Name": "ORD-1009",
        "OrdersId": "ORD-1009",
        "OrderNumber": "ORD-1009",
        "OrderDate": "2026-05-05T05:00:00.000Z",
        "Customer": "linus.torvalds@kernel.org",
        "CustomerFirstName": "Linus",
        "CustomerLastName": "Torvalds",
        "CustomerFullName": "Torvalds, Linus",
        "CustomerEmail": "linus.torvalds@kernel.org",
        "Total": "180.00",
        "AmountPaid": "180",
        "Balance": "0.00",
        "IsPaid": true,
        "UnpaidFlag": "0",
        "IsRecent": true,
        "RecentTotal": "180.00"
      },
      {
        "Name": "ORD-1010",
        "OrdersId": "ORD-1010",
        "OrderNumber": "ORD-1010",
        "OrderDate": "2026-05-15T05:00:00.000Z",
        "Customer": "ada.lovelace@analytical.engine",
        "CustomerFirstName": "Ada",
        "CustomerLastName": "Lovelace",
        "CustomerFullName": "Lovelace, Ada",
        "CustomerEmail": "ada.lovelace@analytical.engine",
        "Total": "50.00",
        "AmountPaid": "50.00",
        "Balance": "0.00",
        "IsPaid": true,
        "UnpaidFlag": "0",
        "IsRecent": true,
        "RecentTotal": "50.00"
      }
    ]
  },
  "Payments": {
    "Description": "A payment recorded against an order. PaymentNumber is the PK.",
    "schema": [
      {
        "name": "Name",
        "datatype": "string",
        "type": "calculated",
        "nullable": false,
        "Description": "PK = PaymentNumber",
        "formula": "={{PaymentNumber}}"
      },
      {
        "name": "PaymentsId",
        "datatype": "string",
        "type": "raw",
        "nullable": false,
        "Description": "Synthetic PK = PaymentNumber."
      },
      {
        "name": "PaymentNumber",
        "datatype": "string",
        "type": "raw",
        "nullable": false,
        "Description": "Human-readable payment number (PK source)."
      },
      {
        "name": "OrderId",
        "datatype": "string",
        "type": "raw",
        "nullable": false,
        "Description": "FK -&gt; Orders.Name (the order number)."
      },
      {
        "name": "PaymentDate",
        "datatype": "date",
        "type": "raw",
        "nullable": false,
        "Description": "Date the payment was received."
      },
      {
        "name": "Amount",
        "datatype": "number",
        "type": "raw",
        "nullable": false,
        "Description": "Payment amount in dollars."
      },
      {
        "name": "Method",
        "datatype": "string",
        "type": "raw",
        "nullable": false,
        "Description": "Payment method: card, check, cash, wire, ach."
      },
      {
        "name": "OrderNumber",
        "datatype": "string",
        "type": "lookup",
        "nullable": true,
        "Description": "Parent order's human-readable number.",
        "formula": "=INDEX(Orders!{{OrderNumber}}, MATCH({{OrderId}}, Orders!{{OrdersId}}, 0))"
      },
      {
        "name": "OrderDate",
        "datatype": "date",
        "type": "lookup",
        "nullable": true,
        "Description": "Parent order's date.",
        "formula": "=INDEX(Orders!{{OrderDate}}, MATCH({{OrderId}}, Orders!{{OrdersId}}, 0))"
      },
      {
        "name": "OrderTotal",
        "datatype": "number",
        "type": "lookup",
        "nullable": true,
        "Description": "Parent order's total.",
        "formula": "=INDEX(Orders!{{Total}}, MATCH({{OrderId}}, Orders!{{OrdersId}}, 0))"
      },
      {
        "name": "OrderAmountPaid",
        "datatype": "number",
        "type": "lookup",
        "nullable": true,
        "Description": "Parent order's total paid (across all its payments).",
        "formula": "=INDEX(Orders!{{AmountPaid}}, MATCH({{OrderId}}, Orders!{{OrdersId}}, 0))"
      },
      {
        "name": "OrderBalance",
        "datatype": "number",
        "type": "lookup",
        "nullable": true,
        "Description": "Parent order's outstanding balance.",
        "formula": "=INDEX(Orders!{{Balance}}, MATCH({{OrderId}}, Orders!{{OrdersId}}, 0))"
      },
      {
        "name": "OrderIsPaid",
        "datatype": "boolean",
        "type": "lookup",
        "nullable": true,
        "Description": "Parent order's paid-in-full flag.",
        "formula": "=INDEX(Orders!{{IsPaid}}, MATCH({{OrderId}}, Orders!{{OrdersId}}, 0))"
      },
      {
        "name": "OrderCustomer",
        "datatype": "string",
        "type": "lookup",
        "nullable": true,
        "Description": "Parent order's customer FK (email).",
        "formula": "=INDEX(Orders!{{Customer}}, MATCH({{OrderId}}, Orders!{{OrdersId}}, 0))"
      },
      {
        "name": "CustomerFullName",
        "datatype": "string",
        "type": "lookup",
        "nullable": true,
        "Description": "Parent order's customer full name (two-hop).",
        "formula": "=INDEX(Orders!{{CustomerFullName}}, MATCH({{OrderId}}, Orders!{{OrdersId}}, 0))"
      },
      {
        "name": "CustomerEmail",
        "datatype": "string",
        "type": "lookup",
        "nullable": true,
        "Description": "Parent order's customer email (two-hop).",
        "formula": "=INDEX(Orders!{{CustomerEmail}}, MATCH({{OrderId}}, Orders!{{OrdersId}}, 0))"
      }
    ],
    "data": [
      {
        "Name": "PMT-2001",
        "PaymentsId": "PMT-2001",
        "PaymentNumber": "PMT-2001",
        "OrderId": "ORD-1001",
        "PaymentDate": "2026-01-16T06:00:00.000Z",
        "Amount": "250.00",
        "Method": "card",
        "OrderNumber": "ORD-1001",
        "OrderDate": "2026-01-15T06:00:00.000Z",
        "OrderTotal": "250.00",
        "OrderAmountPaid": "250.00",
        "OrderBalance": "0.00",
        "OrderIsPaid": true,
        "OrderCustomer": "ada.lovelace@analytical.engine",
        "CustomerFullName": "Lovelace, Ada",
        "CustomerEmail": "ada.lovelace@analytical.engine"
      },
      {
        "Name": "PMT-2002",
        "PaymentsId": "PMT-2002",
        "PaymentNumber": "PMT-2002",
        "OrderId": "ORD-1002",
        "PaymentDate": "2026-02-04T06:00:00.000Z",
        "Amount": "500.00",
        "Method": "card",
        "OrderNumber": "ORD-1002",
        "OrderDate": "2026-02-03T06:00:00.000Z",
        "OrderTotal": "875.00",
        "OrderAmountPaid": "875.00",
        "OrderBalance": "0.00",
        "OrderIsPaid": true,
        "OrderCustomer": "ada.lovelace@analytical.engine",
        "CustomerFullName": "Lovelace, Ada",
        "CustomerEmail": "ada.lovelace@analytical.engine"
      },
      {
        "Name": "PMT-2003",
        "PaymentsId": "PMT-2003",
        "PaymentNumber": "PMT-2003",
        "OrderId": "ORD-1002",
        "PaymentDate": "2026-02-18T06:00:00.000Z",
        "Amount": "375.00",
        "Method": "ach",
        "OrderNumber": "ORD-1002",
        "OrderDate": "2026-02-03T06:00:00.000Z",
        "OrderTotal": "875.00",
        "OrderAmountPaid": "875.00",
        "OrderBalance": "0.00",
        "OrderIsPaid": true,
        "OrderCustomer": "ada.lovelace@analytical.engine",
        "CustomerFullName": "Lovelace, Ada",
        "CustomerEmail": "ada.lovelace@analytical.engine"
      },
      {
        "Name": "PMT-2004",
        "PaymentsId": "PMT-2004",
        "PaymentNumber": "PMT-2004",
        "OrderId": "ORD-1003",
        "PaymentDate": "2026-02-21T06:00:00.000Z",
        "Amount": "1000.00",
        "Method": "wire",
        "OrderNumber": "ORD-1003",
        "OrderDate": "2026-02-20T06:00:00.000Z",
        "OrderTotal": "1499.99",
        "OrderAmountPaid": "1000.00",
        "OrderBalance": "499.99",
        "OrderIsPaid": false,
        "OrderCustomer": "grace.hopper@nautical.mil",
        "CustomerFullName": "Hopper, Grace",
        "CustomerEmail": "grace.hopper@nautical.mil"
      },
      {
        "Name": "PMT-2005",
        "PaymentsId": "PMT-2005",
        "PaymentNumber": "PMT-2005",
        "OrderId": "ORD-1005",
        "PaymentDate": "2026-03-23T05:00:00.000Z",
        "Amount": "99.00",
        "Method": "cash",
        "OrderNumber": "ORD-1005",
        "OrderDate": "2026-03-22T05:00:00.000Z",
        "OrderTotal": "99.00",
        "OrderAmountPaid": "99.00",
        "OrderBalance": "0.00",
        "OrderIsPaid": true,
        "OrderCustomer": "alan.turing@bletchley.uk",
        "CustomerFullName": "Turing, Alan",
        "CustomerEmail": "alan.turing@bletchley.uk"
      },
      {
        "Name": "PMT-2006",
        "PaymentsId": "PMT-2006",
        "PaymentNumber": "PMT-2006",
        "OrderId": "ORD-1006",
        "PaymentDate": "2026-04-02T05:00:00.000Z",
        "Amount": "540.00",
        "Method": "check",
        "OrderNumber": "ORD-1006",
        "OrderDate": "2026-04-01T05:00:00.000Z",
        "OrderTotal": "540.00",
        "OrderAmountPaid": "540.00",
        "OrderBalance": "0.00",
        "OrderIsPaid": true,
        "OrderCustomer": "katherine.johnson@nasa.gov",
        "CustomerFullName": "Johnson, Katherine",
        "CustomerEmail": "katherine.johnson@nasa.gov"
      },
      {
        "Name": "PMT-2007",
        "PaymentsId": "PMT-2007",
        "PaymentNumber": "PMT-2007",
        "OrderId": "ORD-1008",
        "PaymentDate": "2026-04-29T05:00:00.000Z",
        "Amount": "1200.00",
        "Method": "wire",
        "OrderNumber": "ORD-1008",
        "OrderDate": "2026-04-28T05:00:00.000Z",
        "OrderTotal": "2400.00",
        "OrderAmountPaid": "2400.00",
        "OrderBalance": "0.00",
        "OrderIsPaid": true,
        "OrderCustomer": "linus.torvalds@kernel.org",
        "CustomerFullName": "Torvalds, Linus",
        "CustomerEmail": "linus.torvalds@kernel.org"
      },
      {
        "Name": "PMT-2008",
        "PaymentsId": "PMT-2008",
        "PaymentNumber": "PMT-2008",
        "OrderId": "ORD-1008",
        "PaymentDate": "2026-05-10T05:00:00.000Z",
        "Amount": "1200.00",
        "Method": "wire",
        "OrderNumber": "ORD-1008",
        "OrderDate": "2026-04-28T05:00:00.000Z",
        "OrderTotal": "2400.00",
        "OrderAmountPaid": "2400.00",
        "OrderBalance": "0.00",
        "OrderIsPaid": true,
        "OrderCustomer": "linus.torvalds@kernel.org",
        "CustomerFullName": "Torvalds, Linus",
        "CustomerEmail": "linus.torvalds@kernel.org"
      },
      {
        "Name": "PMT-2009",
        "PaymentsId": "PMT-2009",
        "PaymentNumber": "PMT-2009",
        "OrderId": "ORD-1010",
        "PaymentDate": "2026-05-16T05:00:00.000Z",
        "Amount": "50.00",
        "Method": "card",
        "OrderNumber": "ORD-1010",
        "OrderDate": "2026-05-15T05:00:00.000Z",
        "OrderTotal": "50.00",
        "OrderAmountPaid": "50.00",
        "OrderBalance": "0.00",
        "OrderIsPaid": true,
        "OrderCustomer": "ada.lovelace@analytical.engine",
        "CustomerFullName": "Lovelace, Ada",
        "CustomerEmail": "ada.lovelace@analytical.engine"
      },
      {
        "Name": "PMT-525034",
        "PaymentsId": "PMT-525034",
        "PaymentNumber": "PMT-525034",
        "OrderId": "ORD-1004",
        "PaymentDate": "2026-05-20T05:00:00.000Z",
        "Amount": "320.5",
        "Method": "card",
        "OrderNumber": "ORD-1004",
        "OrderDate": "2026-03-10T05:00:00.000Z",
        "OrderTotal": "320.50",
        "OrderAmountPaid": "320.5",
        "OrderBalance": "0.00",
        "OrderIsPaid": true,
        "OrderCustomer": "grace.hopper@nautical.mil",
        "CustomerFullName": "Hopper, Grace",
        "CustomerEmail": "grace.hopper@nautical.mil"
      },
      {
        "Name": "PMT-643977",
        "PaymentsId": "PMT-643977",
        "PaymentNumber": "PMT-643977",
        "OrderId": "ORD-1009",
        "PaymentDate": "2026-05-20T05:00:00.000Z",
        "Amount": "180",
        "Method": "card",
        "OrderNumber": "ORD-1009",
        "OrderDate": "2026-05-05T05:00:00.000Z",
        "OrderTotal": "180.00",
        "OrderAmountPaid": "180",
        "OrderBalance": "0.00",
        "OrderIsPaid": true,
        "OrderCustomer": "linus.torvalds@kernel.org",
        "CustomerFullName": "Torvalds, Linus",
        "CustomerEmail": "linus.torvalds@kernel.org"
      }
    ]
  },
  "_meta": {
    "_CMCC_Summary": "Hand-authored minimal CRM demo rulebook for the effortless-demo-app skill.",
    "_conversion_metadata": {
      "tool_version": "demo-1.0",
      "export_mode": "hand_authored"
    }
  }
}</t>
  </si>
</sst>
</file>

<file path=xl/styles.xml><?xml version="1.0" encoding="utf-8"?>
<styleSheet xmlns="http://schemas.openxmlformats.org/spreadsheetml/2006/main">
  <numFmts count="1">
    <numFmt numFmtId="164" formatCode="m/d/yyyy"/>
  </numFmts>
  <fonts count="2">
    <font>
      <sz val="11"/>
      <name val="Aptos Narrow"/>
    </font>
    <font>
      <b/>
      <sz val="11"/>
      <color rgb="FFFFFFFF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D9EAD3"/>
      </patternFill>
    </fill>
    <fill>
      <patternFill patternType="solid">
        <fgColor rgb="FFE7E6E6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fontId="0" xfId="0"/>
    <xf numFmtId="0" fontId="1" applyFont="1" fillId="2" applyFill="1"/>
    <xf numFmtId="0" fontId="0" fillId="3" applyFill="1"/>
    <xf numFmtId="0" fontId="0" fillId="4" applyFill="1"/>
    <xf numFmtId="164" applyNumberFormat="1" fontId="0" fillId="4" applyFill="1"/>
    <xf numFmtId="164" applyNumberFormat="1" fontId="0" fillId="3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eetMetadata" Target="/xl/metadata.xml"/><Relationship Id="rId8" Type="http://schemas.microsoft.com/office/2017/06/relationships/rdRichValueTypes" Target="/xl/richData/rdRichValueTypes.xml"/><Relationship Id="rId9" Type="http://schemas.microsoft.com/office/2017/06/relationships/rdRichValueStructure" Target="/xl/richData/rdrichvaluestructure.xml"/><Relationship Id="rId10" Type="http://schemas.microsoft.com/office/2017/06/relationships/rdRichValue" Target="/xl/richData/rdrichvalue.xml"/><Relationship Id="rId11" Type="http://schemas.microsoft.com/office/2017/06/relationships/rdArray" Target="/xl/richData/rdarray.xml"/><Relationship Id="rId12" Type="http://schemas.openxmlformats.org/officeDocument/2006/relationships/sharedStrings" Target="sharedString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/>
</rvTypesInfo>
</file>

<file path=xl/richData/rdarray.xml><?xml version="1.0" encoding="utf-8"?>
<arrayData xmlns="http://schemas.microsoft.com/office/spreadsheetml/2017/richdata2" count="0"/>
</file>

<file path=xl/richData/rdrichvalue.xml><?xml version="1.0" encoding="utf-8"?>
<rvData xmlns="http://schemas.microsoft.com/office/spreadsheetml/2017/richdata" count="0"/>
</file>

<file path=xl/richData/rdrichvaluestructure.xml><?xml version="1.0" encoding="utf-8"?>
<rvStructures xmlns="http://schemas.microsoft.com/office/spreadsheetml/2017/richdata" count="0"/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3.vml"/><Relationship Id="rId2" Type="http://schemas.openxmlformats.org/officeDocument/2006/relationships/comments" Target="../comments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4.vml"/><Relationship Id="rId2" Type="http://schemas.openxmlformats.org/officeDocument/2006/relationships/comments" Target="../comments4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G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493473052978516" customWidth="1"/>
    <col min="2" max="2" width="20.493473052978516" customWidth="1"/>
    <col min="3" max="3" width="20.493473052978516" customWidth="1"/>
    <col min="4" max="4" width="17.443378448486328" customWidth="1"/>
    <col min="5" max="5" width="17.443378448486328" customWidth="1"/>
    <col min="6" max="6" width="17.443378448486328" customWidth="1"/>
    <col min="7" max="7" width="17.44337844848632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tr">
        <f>C2</f>
        <v>alice@example.com</v>
      </c>
      <c r="B2" s="3" t="s">
        <v>7</v>
      </c>
      <c r="C2" s="3" t="s">
        <v>7</v>
      </c>
      <c r="D2" s="3" t="s">
        <v>8</v>
      </c>
      <c r="E2" s="3" t="s">
        <v>9</v>
      </c>
      <c r="F2" s="3" t="s">
        <v>10</v>
      </c>
      <c r="G2" s="2" t="str">
        <f>_xlfn.CONCAT(E2, ", ", D2)</f>
        <v>Anderson, Alice</v>
      </c>
    </row>
    <row r="3">
      <c r="A3" s="2" t="str">
        <f>C3</f>
        <v>bob@example.com</v>
      </c>
      <c r="B3" s="3" t="s">
        <v>11</v>
      </c>
      <c r="C3" s="3" t="s">
        <v>11</v>
      </c>
      <c r="D3" s="3" t="s">
        <v>12</v>
      </c>
      <c r="E3" s="3" t="s">
        <v>13</v>
      </c>
      <c r="F3" s="3" t="s">
        <v>14</v>
      </c>
      <c r="G3" s="2" t="str">
        <f>_xlfn.CONCAT(E3, ", ", D3)</f>
        <v>Baker, Bob</v>
      </c>
    </row>
  </sheetData>
  <autoFilter ref="A1:G1"/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J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0.291093826293945" customWidth="1"/>
    <col min="2" max="2" width="30.291093826293945" customWidth="1"/>
    <col min="3" max="3" width="30.291093826293945" customWidth="1"/>
    <col min="4" max="4" width="17.443378448486328" customWidth="1"/>
    <col min="5" max="5" width="17.443378448486328" customWidth="1"/>
    <col min="6" max="6" width="19.247514724731445" customWidth="1"/>
    <col min="7" max="7" width="17.443378448486328" customWidth="1"/>
    <col min="8" max="8" width="19.154558181762695" customWidth="1"/>
    <col min="9" max="9" width="17.92259407043457" customWidth="1"/>
    <col min="10" max="10" width="17.443378448486328" customWidth="1"/>
  </cols>
  <sheetData>
    <row r="1">
      <c r="A1" s="1" t="s">
        <v>0</v>
      </c>
      <c r="B1" s="1" t="s">
        <v>15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16</v>
      </c>
      <c r="H1" s="1" t="s">
        <v>17</v>
      </c>
      <c r="I1" s="1" t="s">
        <v>18</v>
      </c>
      <c r="J1" s="1" t="s">
        <v>19</v>
      </c>
    </row>
    <row r="2">
      <c r="A2" s="2" t="str">
        <f>C2</f>
        <v>ada.lovelace@analytical.engine</v>
      </c>
      <c r="B2" s="3" t="s">
        <v>20</v>
      </c>
      <c r="C2" s="3" t="s">
        <v>20</v>
      </c>
      <c r="D2" s="3" t="s">
        <v>21</v>
      </c>
      <c r="E2" s="3" t="s">
        <v>22</v>
      </c>
      <c r="F2" s="2" t="str">
        <f>_xlfn.CONCAT(E2, ", ", D2)</f>
        <v>Lovelace, Ada</v>
      </c>
      <c r="G2" s="2">
        <f>SUMIFS(Orders!P2:P999,Orders!E2:E999, A2)</f>
        <v>50</v>
      </c>
      <c r="H2" s="2">
        <f>SUMIFS(Orders!N2:N999,Orders!E2:E999, A2)</f>
        <v>0</v>
      </c>
      <c r="I2" s="2" cm="1">
        <f ref="I2:I2" t="array">SUMIFS(Orders!J2:J999*0+1,Orders!E2:E999, A2,Orders!J2:J999, "&gt;500")</f>
        <v>1</v>
      </c>
      <c r="J2" s="2" t="b">
        <f>AND(G2 &gt; 1500, H2 = 0)</f>
        <v>0</v>
      </c>
    </row>
    <row r="3">
      <c r="A3" s="2" t="str">
        <f>C3</f>
        <v>grace.hopper@nautical.mil</v>
      </c>
      <c r="B3" s="3" t="s">
        <v>23</v>
      </c>
      <c r="C3" s="3" t="s">
        <v>23</v>
      </c>
      <c r="D3" s="3" t="s">
        <v>24</v>
      </c>
      <c r="E3" s="3" t="s">
        <v>25</v>
      </c>
      <c r="F3" s="2" t="str">
        <f>_xlfn.CONCAT(E3, ", ", D3)</f>
        <v>Hopper, Grace</v>
      </c>
      <c r="G3" s="2">
        <f>SUMIFS(Orders!P2:P999,Orders!E2:E999, A3)</f>
        <v>1820.49</v>
      </c>
      <c r="H3" s="2">
        <f>SUMIFS(Orders!N2:N999,Orders!E2:E999, A3)</f>
        <v>1</v>
      </c>
      <c r="I3" s="2" cm="1">
        <f ref="I3:I3" t="array">SUMIFS(Orders!J2:J999*0+1,Orders!E2:E999, A3,Orders!J2:J999, "&gt;500")</f>
        <v>1</v>
      </c>
      <c r="J3" s="2" t="b">
        <f>AND(G3 &gt; 1500, H3 = 0)</f>
        <v>0</v>
      </c>
    </row>
    <row r="4">
      <c r="A4" s="2" t="str">
        <f>C4</f>
        <v>alan.turing@bletchley.uk</v>
      </c>
      <c r="B4" s="3" t="s">
        <v>26</v>
      </c>
      <c r="C4" s="3" t="s">
        <v>26</v>
      </c>
      <c r="D4" s="3" t="s">
        <v>27</v>
      </c>
      <c r="E4" s="3" t="s">
        <v>28</v>
      </c>
      <c r="F4" s="2" t="str">
        <f>_xlfn.CONCAT(E4, ", ", D4)</f>
        <v>Turing, Alan</v>
      </c>
      <c r="G4" s="2">
        <f>SUMIFS(Orders!P2:P999,Orders!E2:E999, A4)</f>
        <v>99</v>
      </c>
      <c r="H4" s="2">
        <f>SUMIFS(Orders!N2:N999,Orders!E2:E999, A4)</f>
        <v>0</v>
      </c>
      <c r="I4" s="2" cm="1">
        <f ref="I4:I4" t="array">SUMIFS(Orders!J2:J999*0+1,Orders!E2:E999, A4,Orders!J2:J999, "&gt;500")</f>
        <v>0</v>
      </c>
      <c r="J4" s="2" t="b">
        <f>AND(G4 &gt; 1500, H4 = 0)</f>
        <v>0</v>
      </c>
    </row>
    <row r="5">
      <c r="A5" s="2" t="str">
        <f>C5</f>
        <v>katherine.johnson@nasa.gov</v>
      </c>
      <c r="B5" s="3" t="s">
        <v>29</v>
      </c>
      <c r="C5" s="3" t="s">
        <v>29</v>
      </c>
      <c r="D5" s="3" t="s">
        <v>30</v>
      </c>
      <c r="E5" s="3" t="s">
        <v>31</v>
      </c>
      <c r="F5" s="2" t="str">
        <f>_xlfn.CONCAT(E5, ", ", D5)</f>
        <v>Johnson, Katherine</v>
      </c>
      <c r="G5" s="2">
        <f>SUMIFS(Orders!P2:P999,Orders!E2:E999, A5)</f>
        <v>1152</v>
      </c>
      <c r="H5" s="2">
        <f>SUMIFS(Orders!N2:N999,Orders!E2:E999, A5)</f>
        <v>1</v>
      </c>
      <c r="I5" s="2" cm="1">
        <f ref="I5:I5" t="array">SUMIFS(Orders!J2:J999*0+1,Orders!E2:E999, A5,Orders!J2:J999, "&gt;500")</f>
        <v>2</v>
      </c>
      <c r="J5" s="2" t="b">
        <f>AND(G5 &gt; 1500, H5 = 0)</f>
        <v>0</v>
      </c>
    </row>
    <row r="6">
      <c r="A6" s="2" t="str">
        <f>C6</f>
        <v>linus.torvalds@kernel.org</v>
      </c>
      <c r="B6" s="3" t="s">
        <v>32</v>
      </c>
      <c r="C6" s="3" t="s">
        <v>32</v>
      </c>
      <c r="D6" s="3" t="s">
        <v>33</v>
      </c>
      <c r="E6" s="3" t="s">
        <v>34</v>
      </c>
      <c r="F6" s="2" t="str">
        <f>_xlfn.CONCAT(E6, ", ", D6)</f>
        <v>Torvalds, Linus</v>
      </c>
      <c r="G6" s="2">
        <f>SUMIFS(Orders!P2:P999,Orders!E2:E999, A6)</f>
        <v>2580</v>
      </c>
      <c r="H6" s="2">
        <f>SUMIFS(Orders!N2:N999,Orders!E2:E999, A6)</f>
        <v>0</v>
      </c>
      <c r="I6" s="2" cm="1">
        <f ref="I6:I6" t="array">SUMIFS(Orders!J2:J999*0+1,Orders!E2:E999, A6,Orders!J2:J999, "&gt;500")</f>
        <v>1</v>
      </c>
      <c r="J6" s="2" t="b">
        <f>AND(G6 &gt; 1500, H6 = 0)</f>
        <v>1</v>
      </c>
    </row>
  </sheetData>
  <autoFilter ref="A1:J1"/>
  <headerFooter/>
  <legacyDrawing r:id="rId1"/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P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7.443378448486328" customWidth="1"/>
    <col min="2" max="2" width="17.443378448486328" customWidth="1"/>
    <col min="3" max="3" width="17.443378448486328" customWidth="1"/>
    <col min="4" max="4" width="17.443378448486328" customWidth="1"/>
    <col min="5" max="5" width="30.291093826293945" customWidth="1"/>
    <col min="6" max="6" width="19.976869583129883" customWidth="1"/>
    <col min="7" max="7" width="19.798768997192383" customWidth="1"/>
    <col min="8" max="8" width="19.247514724731445" customWidth="1"/>
    <col min="9" max="9" width="30.291093826293945" customWidth="1"/>
    <col min="10" max="10" width="17.443378448486328" customWidth="1"/>
    <col min="11" max="11" width="17.443378448486328" customWidth="1"/>
    <col min="12" max="12" width="17.443378448486328" customWidth="1"/>
    <col min="13" max="13" width="17.443378448486328" customWidth="1"/>
    <col min="14" max="14" width="17.443378448486328" customWidth="1"/>
    <col min="15" max="15" width="17.443378448486328" customWidth="1"/>
    <col min="16" max="16" width="17.443378448486328" customWidth="1"/>
  </cols>
  <sheetData>
    <row r="1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</row>
    <row r="2">
      <c r="A2" s="2" t="str">
        <f>C2</f>
        <v>ORD-1001</v>
      </c>
      <c r="B2" s="3" t="s">
        <v>50</v>
      </c>
      <c r="C2" s="3" t="s">
        <v>50</v>
      </c>
      <c r="D2" s="4">
        <v>46037.25</v>
      </c>
      <c r="E2" s="3" t="s">
        <v>20</v>
      </c>
      <c r="F2" s="2" t="str">
        <f>INDEX(Customers!D2:D999, MATCH(E2,Customers!B2:B999, 0))</f>
        <v>Ada</v>
      </c>
      <c r="G2" s="2" t="str">
        <f>INDEX(Customers!E2:E999, MATCH(E2,Customers!B2:B999, 0))</f>
        <v>Lovelace</v>
      </c>
      <c r="H2" s="2" t="str">
        <f>INDEX(Customers!F2:F999, MATCH(E2,Customers!B2:B999, 0))</f>
        <v>Lovelace, Ada</v>
      </c>
      <c r="I2" s="2" t="str">
        <f>INDEX(Customers!C2:C999, MATCH(E2,Customers!B2:B999, 0))</f>
        <v>ada.lovelace@analytical.engine</v>
      </c>
      <c r="J2" s="3">
        <v>250</v>
      </c>
      <c r="K2" s="2">
        <f>SUMIFS(Payments!F2:F999,Payments!D2:D999, A2)</f>
        <v>250</v>
      </c>
      <c r="L2" s="2">
        <f>J2 - K2</f>
        <v>0</v>
      </c>
      <c r="M2" s="2" t="b">
        <f>L2 &lt;= 0</f>
        <v>1</v>
      </c>
      <c r="N2" s="2">
        <f>IF(M2, 0, 1)</f>
        <v>0</v>
      </c>
      <c r="O2" s="2" t="b">
        <f>(TODAY() - D2) &lt;= 90</f>
        <v>0</v>
      </c>
      <c r="P2" s="2">
        <f>IF(O2, J2, 0)</f>
        <v>0</v>
      </c>
    </row>
    <row r="3">
      <c r="A3" s="2" t="str">
        <f>C3</f>
        <v>ORD-1002</v>
      </c>
      <c r="B3" s="3" t="s">
        <v>51</v>
      </c>
      <c r="C3" s="3" t="s">
        <v>51</v>
      </c>
      <c r="D3" s="4">
        <v>46056.25</v>
      </c>
      <c r="E3" s="3" t="s">
        <v>20</v>
      </c>
      <c r="F3" s="2" t="str">
        <f>INDEX(Customers!D2:D999, MATCH(E3,Customers!B2:B999, 0))</f>
        <v>Ada</v>
      </c>
      <c r="G3" s="2" t="str">
        <f>INDEX(Customers!E2:E999, MATCH(E3,Customers!B2:B999, 0))</f>
        <v>Lovelace</v>
      </c>
      <c r="H3" s="2" t="str">
        <f>INDEX(Customers!F2:F999, MATCH(E3,Customers!B2:B999, 0))</f>
        <v>Lovelace, Ada</v>
      </c>
      <c r="I3" s="2" t="str">
        <f>INDEX(Customers!C2:C999, MATCH(E3,Customers!B2:B999, 0))</f>
        <v>ada.lovelace@analytical.engine</v>
      </c>
      <c r="J3" s="3">
        <v>875</v>
      </c>
      <c r="K3" s="2">
        <f>SUMIFS(Payments!F2:F999,Payments!D2:D999, A3)</f>
        <v>875</v>
      </c>
      <c r="L3" s="2">
        <f>J3 - K3</f>
        <v>0</v>
      </c>
      <c r="M3" s="2" t="b">
        <f>L3 &lt;= 0</f>
        <v>1</v>
      </c>
      <c r="N3" s="2">
        <f>IF(M3, 0, 1)</f>
        <v>0</v>
      </c>
      <c r="O3" s="2" t="b">
        <f>(TODAY() - D3) &lt;= 90</f>
        <v>0</v>
      </c>
      <c r="P3" s="2">
        <f>IF(O3, J3, 0)</f>
        <v>0</v>
      </c>
    </row>
    <row r="4">
      <c r="A4" s="2" t="str">
        <f>C4</f>
        <v>ORD-1003</v>
      </c>
      <c r="B4" s="3" t="s">
        <v>52</v>
      </c>
      <c r="C4" s="3" t="s">
        <v>52</v>
      </c>
      <c r="D4" s="4">
        <v>46073.25</v>
      </c>
      <c r="E4" s="3" t="s">
        <v>23</v>
      </c>
      <c r="F4" s="2" t="str">
        <f>INDEX(Customers!D2:D999, MATCH(E4,Customers!B2:B999, 0))</f>
        <v>Grace</v>
      </c>
      <c r="G4" s="2" t="str">
        <f>INDEX(Customers!E2:E999, MATCH(E4,Customers!B2:B999, 0))</f>
        <v>Hopper</v>
      </c>
      <c r="H4" s="2" t="str">
        <f>INDEX(Customers!F2:F999, MATCH(E4,Customers!B2:B999, 0))</f>
        <v>Hopper, Grace</v>
      </c>
      <c r="I4" s="2" t="str">
        <f>INDEX(Customers!C2:C999, MATCH(E4,Customers!B2:B999, 0))</f>
        <v>grace.hopper@nautical.mil</v>
      </c>
      <c r="J4" s="3">
        <v>1499.99</v>
      </c>
      <c r="K4" s="2">
        <f>SUMIFS(Payments!F2:F999,Payments!D2:D999, A4)</f>
        <v>1000</v>
      </c>
      <c r="L4" s="2">
        <f>J4 - K4</f>
        <v>499.99</v>
      </c>
      <c r="M4" s="2" t="b">
        <f>L4 &lt;= 0</f>
        <v>0</v>
      </c>
      <c r="N4" s="2">
        <f>IF(M4, 0, 1)</f>
        <v>1</v>
      </c>
      <c r="O4" s="2" t="b">
        <f>(TODAY() - D4) &lt;= 90</f>
        <v>1</v>
      </c>
      <c r="P4" s="2">
        <f>IF(O4, J4, 0)</f>
        <v>1499.99</v>
      </c>
    </row>
    <row r="5">
      <c r="A5" s="2" t="str">
        <f>C5</f>
        <v>ORD-1004</v>
      </c>
      <c r="B5" s="3" t="s">
        <v>53</v>
      </c>
      <c r="C5" s="3" t="s">
        <v>53</v>
      </c>
      <c r="D5" s="4">
        <v>46091.208333333336</v>
      </c>
      <c r="E5" s="3" t="s">
        <v>23</v>
      </c>
      <c r="F5" s="2" t="str">
        <f>INDEX(Customers!D2:D999, MATCH(E5,Customers!B2:B999, 0))</f>
        <v>Grace</v>
      </c>
      <c r="G5" s="2" t="str">
        <f>INDEX(Customers!E2:E999, MATCH(E5,Customers!B2:B999, 0))</f>
        <v>Hopper</v>
      </c>
      <c r="H5" s="2" t="str">
        <f>INDEX(Customers!F2:F999, MATCH(E5,Customers!B2:B999, 0))</f>
        <v>Hopper, Grace</v>
      </c>
      <c r="I5" s="2" t="str">
        <f>INDEX(Customers!C2:C999, MATCH(E5,Customers!B2:B999, 0))</f>
        <v>grace.hopper@nautical.mil</v>
      </c>
      <c r="J5" s="3">
        <v>320.5</v>
      </c>
      <c r="K5" s="2">
        <f>SUMIFS(Payments!F2:F999,Payments!D2:D999, A5)</f>
        <v>320.5</v>
      </c>
      <c r="L5" s="2">
        <f>J5 - K5</f>
        <v>0</v>
      </c>
      <c r="M5" s="2" t="b">
        <f>L5 &lt;= 0</f>
        <v>1</v>
      </c>
      <c r="N5" s="2">
        <f>IF(M5, 0, 1)</f>
        <v>0</v>
      </c>
      <c r="O5" s="2" t="b">
        <f>(TODAY() - D5) &lt;= 90</f>
        <v>1</v>
      </c>
      <c r="P5" s="2">
        <f>IF(O5, J5, 0)</f>
        <v>320.5</v>
      </c>
    </row>
    <row r="6">
      <c r="A6" s="2" t="str">
        <f>C6</f>
        <v>ORD-1005</v>
      </c>
      <c r="B6" s="3" t="s">
        <v>54</v>
      </c>
      <c r="C6" s="3" t="s">
        <v>54</v>
      </c>
      <c r="D6" s="4">
        <v>46103.208333333336</v>
      </c>
      <c r="E6" s="3" t="s">
        <v>26</v>
      </c>
      <c r="F6" s="2" t="str">
        <f>INDEX(Customers!D2:D999, MATCH(E6,Customers!B2:B999, 0))</f>
        <v>Alan</v>
      </c>
      <c r="G6" s="2" t="str">
        <f>INDEX(Customers!E2:E999, MATCH(E6,Customers!B2:B999, 0))</f>
        <v>Turing</v>
      </c>
      <c r="H6" s="2" t="str">
        <f>INDEX(Customers!F2:F999, MATCH(E6,Customers!B2:B999, 0))</f>
        <v>Turing, Alan</v>
      </c>
      <c r="I6" s="2" t="str">
        <f>INDEX(Customers!C2:C999, MATCH(E6,Customers!B2:B999, 0))</f>
        <v>alan.turing@bletchley.uk</v>
      </c>
      <c r="J6" s="3">
        <v>99</v>
      </c>
      <c r="K6" s="2">
        <f>SUMIFS(Payments!F2:F999,Payments!D2:D999, A6)</f>
        <v>99</v>
      </c>
      <c r="L6" s="2">
        <f>J6 - K6</f>
        <v>0</v>
      </c>
      <c r="M6" s="2" t="b">
        <f>L6 &lt;= 0</f>
        <v>1</v>
      </c>
      <c r="N6" s="2">
        <f>IF(M6, 0, 1)</f>
        <v>0</v>
      </c>
      <c r="O6" s="2" t="b">
        <f>(TODAY() - D6) &lt;= 90</f>
        <v>1</v>
      </c>
      <c r="P6" s="2">
        <f>IF(O6, J6, 0)</f>
        <v>99</v>
      </c>
    </row>
    <row r="7">
      <c r="A7" s="2" t="str">
        <f>C7</f>
        <v>ORD-1006</v>
      </c>
      <c r="B7" s="3" t="s">
        <v>55</v>
      </c>
      <c r="C7" s="3" t="s">
        <v>55</v>
      </c>
      <c r="D7" s="4">
        <v>46113.208333333336</v>
      </c>
      <c r="E7" s="3" t="s">
        <v>29</v>
      </c>
      <c r="F7" s="2" t="str">
        <f>INDEX(Customers!D2:D999, MATCH(E7,Customers!B2:B999, 0))</f>
        <v>Katherine</v>
      </c>
      <c r="G7" s="2" t="str">
        <f>INDEX(Customers!E2:E999, MATCH(E7,Customers!B2:B999, 0))</f>
        <v>Johnson</v>
      </c>
      <c r="H7" s="2" t="str">
        <f>INDEX(Customers!F2:F999, MATCH(E7,Customers!B2:B999, 0))</f>
        <v>Johnson, Katherine</v>
      </c>
      <c r="I7" s="2" t="str">
        <f>INDEX(Customers!C2:C999, MATCH(E7,Customers!B2:B999, 0))</f>
        <v>katherine.johnson@nasa.gov</v>
      </c>
      <c r="J7" s="3">
        <v>540</v>
      </c>
      <c r="K7" s="2">
        <f>SUMIFS(Payments!F2:F999,Payments!D2:D999, A7)</f>
        <v>540</v>
      </c>
      <c r="L7" s="2">
        <f>J7 - K7</f>
        <v>0</v>
      </c>
      <c r="M7" s="2" t="b">
        <f>L7 &lt;= 0</f>
        <v>1</v>
      </c>
      <c r="N7" s="2">
        <f>IF(M7, 0, 1)</f>
        <v>0</v>
      </c>
      <c r="O7" s="2" t="b">
        <f>(TODAY() - D7) &lt;= 90</f>
        <v>1</v>
      </c>
      <c r="P7" s="2">
        <f>IF(O7, J7, 0)</f>
        <v>540</v>
      </c>
    </row>
    <row r="8">
      <c r="A8" s="2" t="str">
        <f>C8</f>
        <v>ORD-1007</v>
      </c>
      <c r="B8" s="3" t="s">
        <v>56</v>
      </c>
      <c r="C8" s="3" t="s">
        <v>56</v>
      </c>
      <c r="D8" s="4">
        <v>46124.208333333336</v>
      </c>
      <c r="E8" s="3" t="s">
        <v>29</v>
      </c>
      <c r="F8" s="2" t="str">
        <f>INDEX(Customers!D2:D999, MATCH(E8,Customers!B2:B999, 0))</f>
        <v>Katherine</v>
      </c>
      <c r="G8" s="2" t="str">
        <f>INDEX(Customers!E2:E999, MATCH(E8,Customers!B2:B999, 0))</f>
        <v>Johnson</v>
      </c>
      <c r="H8" s="2" t="str">
        <f>INDEX(Customers!F2:F999, MATCH(E8,Customers!B2:B999, 0))</f>
        <v>Johnson, Katherine</v>
      </c>
      <c r="I8" s="2" t="str">
        <f>INDEX(Customers!C2:C999, MATCH(E8,Customers!B2:B999, 0))</f>
        <v>katherine.johnson@nasa.gov</v>
      </c>
      <c r="J8" s="3">
        <v>612</v>
      </c>
      <c r="K8" s="2">
        <f>SUMIFS(Payments!F2:F999,Payments!D2:D999, A8)</f>
        <v>0</v>
      </c>
      <c r="L8" s="2">
        <f>J8 - K8</f>
        <v>612</v>
      </c>
      <c r="M8" s="2" t="b">
        <f>L8 &lt;= 0</f>
        <v>0</v>
      </c>
      <c r="N8" s="2">
        <f>IF(M8, 0, 1)</f>
        <v>1</v>
      </c>
      <c r="O8" s="2" t="b">
        <f>(TODAY() - D8) &lt;= 90</f>
        <v>1</v>
      </c>
      <c r="P8" s="2">
        <f>IF(O8, J8, 0)</f>
        <v>612</v>
      </c>
    </row>
    <row r="9">
      <c r="A9" s="2" t="str">
        <f>C9</f>
        <v>ORD-1008</v>
      </c>
      <c r="B9" s="3" t="s">
        <v>57</v>
      </c>
      <c r="C9" s="3" t="s">
        <v>57</v>
      </c>
      <c r="D9" s="4">
        <v>46140.208333333336</v>
      </c>
      <c r="E9" s="3" t="s">
        <v>32</v>
      </c>
      <c r="F9" s="2" t="str">
        <f>INDEX(Customers!D2:D999, MATCH(E9,Customers!B2:B999, 0))</f>
        <v>Linus</v>
      </c>
      <c r="G9" s="2" t="str">
        <f>INDEX(Customers!E2:E999, MATCH(E9,Customers!B2:B999, 0))</f>
        <v>Torvalds</v>
      </c>
      <c r="H9" s="2" t="str">
        <f>INDEX(Customers!F2:F999, MATCH(E9,Customers!B2:B999, 0))</f>
        <v>Torvalds, Linus</v>
      </c>
      <c r="I9" s="2" t="str">
        <f>INDEX(Customers!C2:C999, MATCH(E9,Customers!B2:B999, 0))</f>
        <v>linus.torvalds@kernel.org</v>
      </c>
      <c r="J9" s="3">
        <v>2400</v>
      </c>
      <c r="K9" s="2">
        <f>SUMIFS(Payments!F2:F999,Payments!D2:D999, A9)</f>
        <v>2400</v>
      </c>
      <c r="L9" s="2">
        <f>J9 - K9</f>
        <v>0</v>
      </c>
      <c r="M9" s="2" t="b">
        <f>L9 &lt;= 0</f>
        <v>1</v>
      </c>
      <c r="N9" s="2">
        <f>IF(M9, 0, 1)</f>
        <v>0</v>
      </c>
      <c r="O9" s="2" t="b">
        <f>(TODAY() - D9) &lt;= 90</f>
        <v>1</v>
      </c>
      <c r="P9" s="2">
        <f>IF(O9, J9, 0)</f>
        <v>2400</v>
      </c>
    </row>
    <row r="10">
      <c r="A10" s="2" t="str">
        <f>C10</f>
        <v>ORD-1009</v>
      </c>
      <c r="B10" s="3" t="s">
        <v>58</v>
      </c>
      <c r="C10" s="3" t="s">
        <v>58</v>
      </c>
      <c r="D10" s="4">
        <v>46147.208333333336</v>
      </c>
      <c r="E10" s="3" t="s">
        <v>32</v>
      </c>
      <c r="F10" s="2" t="str">
        <f>INDEX(Customers!D2:D999, MATCH(E10,Customers!B2:B999, 0))</f>
        <v>Linus</v>
      </c>
      <c r="G10" s="2" t="str">
        <f>INDEX(Customers!E2:E999, MATCH(E10,Customers!B2:B999, 0))</f>
        <v>Torvalds</v>
      </c>
      <c r="H10" s="2" t="str">
        <f>INDEX(Customers!F2:F999, MATCH(E10,Customers!B2:B999, 0))</f>
        <v>Torvalds, Linus</v>
      </c>
      <c r="I10" s="2" t="str">
        <f>INDEX(Customers!C2:C999, MATCH(E10,Customers!B2:B999, 0))</f>
        <v>linus.torvalds@kernel.org</v>
      </c>
      <c r="J10" s="3">
        <v>180</v>
      </c>
      <c r="K10" s="2">
        <f>SUMIFS(Payments!F2:F999,Payments!D2:D999, A10)</f>
        <v>180</v>
      </c>
      <c r="L10" s="2">
        <f>J10 - K10</f>
        <v>0</v>
      </c>
      <c r="M10" s="2" t="b">
        <f>L10 &lt;= 0</f>
        <v>1</v>
      </c>
      <c r="N10" s="2">
        <f>IF(M10, 0, 1)</f>
        <v>0</v>
      </c>
      <c r="O10" s="2" t="b">
        <f>(TODAY() - D10) &lt;= 90</f>
        <v>1</v>
      </c>
      <c r="P10" s="2">
        <f>IF(O10, J10, 0)</f>
        <v>180</v>
      </c>
    </row>
    <row r="11">
      <c r="A11" s="2" t="str">
        <f>C11</f>
        <v>ORD-1010</v>
      </c>
      <c r="B11" s="3" t="s">
        <v>59</v>
      </c>
      <c r="C11" s="3" t="s">
        <v>59</v>
      </c>
      <c r="D11" s="4">
        <v>46157.208333333336</v>
      </c>
      <c r="E11" s="3" t="s">
        <v>20</v>
      </c>
      <c r="F11" s="2" t="str">
        <f>INDEX(Customers!D2:D999, MATCH(E11,Customers!B2:B999, 0))</f>
        <v>Ada</v>
      </c>
      <c r="G11" s="2" t="str">
        <f>INDEX(Customers!E2:E999, MATCH(E11,Customers!B2:B999, 0))</f>
        <v>Lovelace</v>
      </c>
      <c r="H11" s="2" t="str">
        <f>INDEX(Customers!F2:F999, MATCH(E11,Customers!B2:B999, 0))</f>
        <v>Lovelace, Ada</v>
      </c>
      <c r="I11" s="2" t="str">
        <f>INDEX(Customers!C2:C999, MATCH(E11,Customers!B2:B999, 0))</f>
        <v>ada.lovelace@analytical.engine</v>
      </c>
      <c r="J11" s="3">
        <v>50</v>
      </c>
      <c r="K11" s="2">
        <f>SUMIFS(Payments!F2:F999,Payments!D2:D999, A11)</f>
        <v>50</v>
      </c>
      <c r="L11" s="2">
        <f>J11 - K11</f>
        <v>0</v>
      </c>
      <c r="M11" s="2" t="b">
        <f>L11 &lt;= 0</f>
        <v>1</v>
      </c>
      <c r="N11" s="2">
        <f>IF(M11, 0, 1)</f>
        <v>0</v>
      </c>
      <c r="O11" s="2" t="b">
        <f>(TODAY() - D11) &lt;= 90</f>
        <v>1</v>
      </c>
      <c r="P11" s="2">
        <f>IF(O11, J11, 0)</f>
        <v>50</v>
      </c>
    </row>
  </sheetData>
  <autoFilter ref="A1:P1"/>
  <headerFooter/>
  <legacyDrawing r:id="rId1"/>
</worksheet>
</file>

<file path=xl/worksheets/sheet4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P1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7.443378448486328" customWidth="1"/>
    <col min="2" max="2" width="17.443378448486328" customWidth="1"/>
    <col min="3" max="3" width="17.443378448486328" customWidth="1"/>
    <col min="4" max="4" width="17.443378448486328" customWidth="1"/>
    <col min="5" max="5" width="17.443378448486328" customWidth="1"/>
    <col min="6" max="6" width="17.443378448486328" customWidth="1"/>
    <col min="7" max="7" width="17.443378448486328" customWidth="1"/>
    <col min="8" max="8" width="17.443378448486328" customWidth="1"/>
    <col min="9" max="9" width="17.443378448486328" customWidth="1"/>
    <col min="10" max="10" width="17.443378448486328" customWidth="1"/>
    <col min="11" max="11" width="18.31911277770996" customWidth="1"/>
    <col min="12" max="12" width="17.443378448486328" customWidth="1"/>
    <col min="13" max="13" width="17.443378448486328" customWidth="1"/>
    <col min="14" max="14" width="30.291093826293945" customWidth="1"/>
    <col min="15" max="15" width="19.247514724731445" customWidth="1"/>
    <col min="16" max="16" width="30.291093826293945" customWidth="1"/>
  </cols>
  <sheetData>
    <row r="1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36</v>
      </c>
      <c r="I1" s="1" t="s">
        <v>37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41</v>
      </c>
      <c r="P1" s="1" t="s">
        <v>42</v>
      </c>
    </row>
    <row r="2">
      <c r="A2" s="2" t="str">
        <f>C2</f>
        <v>PMT-2001</v>
      </c>
      <c r="B2" s="3" t="s">
        <v>71</v>
      </c>
      <c r="C2" s="3" t="s">
        <v>71</v>
      </c>
      <c r="D2" s="3" t="s">
        <v>50</v>
      </c>
      <c r="E2" s="4">
        <v>46038.25</v>
      </c>
      <c r="F2" s="3">
        <v>250</v>
      </c>
      <c r="G2" s="3" t="s">
        <v>72</v>
      </c>
      <c r="H2" s="2" t="str">
        <f>INDEX(Orders!C2:C999, MATCH(D2,Orders!B2:B999, 0))</f>
        <v>ORD-1001</v>
      </c>
      <c r="I2" s="5">
        <f>INDEX(Orders!D2:D999, MATCH(D2,Orders!B2:B999, 0))</f>
        <v>46037.25</v>
      </c>
      <c r="J2" s="2">
        <f>INDEX(Orders!J2:J999, MATCH(D2,Orders!B2:B999, 0))</f>
        <v>250</v>
      </c>
      <c r="K2" s="2">
        <f>INDEX(Orders!K2:K999, MATCH(D2,Orders!B2:B999, 0))</f>
        <v>250</v>
      </c>
      <c r="L2" s="2">
        <f>INDEX(Orders!L2:L999, MATCH(D2,Orders!B2:B999, 0))</f>
        <v>0</v>
      </c>
      <c r="M2" s="2" t="b">
        <f>INDEX(Orders!M2:M999, MATCH(D2,Orders!B2:B999, 0))</f>
        <v>1</v>
      </c>
      <c r="N2" s="2" t="str">
        <f>INDEX(Orders!E2:E999, MATCH(D2,Orders!B2:B999, 0))</f>
        <v>ada.lovelace@analytical.engine</v>
      </c>
      <c r="O2" s="2" t="str">
        <f>INDEX(Orders!H2:H999, MATCH(D2,Orders!B2:B999, 0))</f>
        <v>Lovelace, Ada</v>
      </c>
      <c r="P2" s="2" t="str">
        <f>INDEX(Orders!I2:I999, MATCH(D2,Orders!B2:B999, 0))</f>
        <v>ada.lovelace@analytical.engine</v>
      </c>
    </row>
    <row r="3">
      <c r="A3" s="2" t="str">
        <f>C3</f>
        <v>PMT-2002</v>
      </c>
      <c r="B3" s="3" t="s">
        <v>73</v>
      </c>
      <c r="C3" s="3" t="s">
        <v>73</v>
      </c>
      <c r="D3" s="3" t="s">
        <v>51</v>
      </c>
      <c r="E3" s="4">
        <v>46057.25</v>
      </c>
      <c r="F3" s="3">
        <v>500</v>
      </c>
      <c r="G3" s="3" t="s">
        <v>72</v>
      </c>
      <c r="H3" s="2" t="str">
        <f>INDEX(Orders!C2:C999, MATCH(D3,Orders!B2:B999, 0))</f>
        <v>ORD-1002</v>
      </c>
      <c r="I3" s="5">
        <f>INDEX(Orders!D2:D999, MATCH(D3,Orders!B2:B999, 0))</f>
        <v>46056.25</v>
      </c>
      <c r="J3" s="2">
        <f>INDEX(Orders!J2:J999, MATCH(D3,Orders!B2:B999, 0))</f>
        <v>875</v>
      </c>
      <c r="K3" s="2">
        <f>INDEX(Orders!K2:K999, MATCH(D3,Orders!B2:B999, 0))</f>
        <v>875</v>
      </c>
      <c r="L3" s="2">
        <f>INDEX(Orders!L2:L999, MATCH(D3,Orders!B2:B999, 0))</f>
        <v>0</v>
      </c>
      <c r="M3" s="2" t="b">
        <f>INDEX(Orders!M2:M999, MATCH(D3,Orders!B2:B999, 0))</f>
        <v>1</v>
      </c>
      <c r="N3" s="2" t="str">
        <f>INDEX(Orders!E2:E999, MATCH(D3,Orders!B2:B999, 0))</f>
        <v>ada.lovelace@analytical.engine</v>
      </c>
      <c r="O3" s="2" t="str">
        <f>INDEX(Orders!H2:H999, MATCH(D3,Orders!B2:B999, 0))</f>
        <v>Lovelace, Ada</v>
      </c>
      <c r="P3" s="2" t="str">
        <f>INDEX(Orders!I2:I999, MATCH(D3,Orders!B2:B999, 0))</f>
        <v>ada.lovelace@analytical.engine</v>
      </c>
    </row>
    <row r="4">
      <c r="A4" s="2" t="str">
        <f>C4</f>
        <v>PMT-2003</v>
      </c>
      <c r="B4" s="3" t="s">
        <v>74</v>
      </c>
      <c r="C4" s="3" t="s">
        <v>74</v>
      </c>
      <c r="D4" s="3" t="s">
        <v>51</v>
      </c>
      <c r="E4" s="4">
        <v>46071.25</v>
      </c>
      <c r="F4" s="3">
        <v>375</v>
      </c>
      <c r="G4" s="3" t="s">
        <v>75</v>
      </c>
      <c r="H4" s="2" t="str">
        <f>INDEX(Orders!C2:C999, MATCH(D4,Orders!B2:B999, 0))</f>
        <v>ORD-1002</v>
      </c>
      <c r="I4" s="5">
        <f>INDEX(Orders!D2:D999, MATCH(D4,Orders!B2:B999, 0))</f>
        <v>46056.25</v>
      </c>
      <c r="J4" s="2">
        <f>INDEX(Orders!J2:J999, MATCH(D4,Orders!B2:B999, 0))</f>
        <v>875</v>
      </c>
      <c r="K4" s="2">
        <f>INDEX(Orders!K2:K999, MATCH(D4,Orders!B2:B999, 0))</f>
        <v>875</v>
      </c>
      <c r="L4" s="2">
        <f>INDEX(Orders!L2:L999, MATCH(D4,Orders!B2:B999, 0))</f>
        <v>0</v>
      </c>
      <c r="M4" s="2" t="b">
        <f>INDEX(Orders!M2:M999, MATCH(D4,Orders!B2:B999, 0))</f>
        <v>1</v>
      </c>
      <c r="N4" s="2" t="str">
        <f>INDEX(Orders!E2:E999, MATCH(D4,Orders!B2:B999, 0))</f>
        <v>ada.lovelace@analytical.engine</v>
      </c>
      <c r="O4" s="2" t="str">
        <f>INDEX(Orders!H2:H999, MATCH(D4,Orders!B2:B999, 0))</f>
        <v>Lovelace, Ada</v>
      </c>
      <c r="P4" s="2" t="str">
        <f>INDEX(Orders!I2:I999, MATCH(D4,Orders!B2:B999, 0))</f>
        <v>ada.lovelace@analytical.engine</v>
      </c>
    </row>
    <row r="5">
      <c r="A5" s="2" t="str">
        <f>C5</f>
        <v>PMT-2004</v>
      </c>
      <c r="B5" s="3" t="s">
        <v>76</v>
      </c>
      <c r="C5" s="3" t="s">
        <v>76</v>
      </c>
      <c r="D5" s="3" t="s">
        <v>52</v>
      </c>
      <c r="E5" s="4">
        <v>46074.25</v>
      </c>
      <c r="F5" s="3">
        <v>1000</v>
      </c>
      <c r="G5" s="3" t="s">
        <v>77</v>
      </c>
      <c r="H5" s="2" t="str">
        <f>INDEX(Orders!C2:C999, MATCH(D5,Orders!B2:B999, 0))</f>
        <v>ORD-1003</v>
      </c>
      <c r="I5" s="5">
        <f>INDEX(Orders!D2:D999, MATCH(D5,Orders!B2:B999, 0))</f>
        <v>46073.25</v>
      </c>
      <c r="J5" s="2">
        <f>INDEX(Orders!J2:J999, MATCH(D5,Orders!B2:B999, 0))</f>
        <v>1499.99</v>
      </c>
      <c r="K5" s="2">
        <f>INDEX(Orders!K2:K999, MATCH(D5,Orders!B2:B999, 0))</f>
        <v>1000</v>
      </c>
      <c r="L5" s="2">
        <f>INDEX(Orders!L2:L999, MATCH(D5,Orders!B2:B999, 0))</f>
        <v>499.99</v>
      </c>
      <c r="M5" s="2" t="b">
        <f>INDEX(Orders!M2:M999, MATCH(D5,Orders!B2:B999, 0))</f>
        <v>0</v>
      </c>
      <c r="N5" s="2" t="str">
        <f>INDEX(Orders!E2:E999, MATCH(D5,Orders!B2:B999, 0))</f>
        <v>grace.hopper@nautical.mil</v>
      </c>
      <c r="O5" s="2" t="str">
        <f>INDEX(Orders!H2:H999, MATCH(D5,Orders!B2:B999, 0))</f>
        <v>Hopper, Grace</v>
      </c>
      <c r="P5" s="2" t="str">
        <f>INDEX(Orders!I2:I999, MATCH(D5,Orders!B2:B999, 0))</f>
        <v>grace.hopper@nautical.mil</v>
      </c>
    </row>
    <row r="6">
      <c r="A6" s="2" t="str">
        <f>C6</f>
        <v>PMT-2005</v>
      </c>
      <c r="B6" s="3" t="s">
        <v>78</v>
      </c>
      <c r="C6" s="3" t="s">
        <v>78</v>
      </c>
      <c r="D6" s="3" t="s">
        <v>54</v>
      </c>
      <c r="E6" s="4">
        <v>46104.208333333336</v>
      </c>
      <c r="F6" s="3">
        <v>99</v>
      </c>
      <c r="G6" s="3" t="s">
        <v>79</v>
      </c>
      <c r="H6" s="2" t="str">
        <f>INDEX(Orders!C2:C999, MATCH(D6,Orders!B2:B999, 0))</f>
        <v>ORD-1005</v>
      </c>
      <c r="I6" s="5">
        <f>INDEX(Orders!D2:D999, MATCH(D6,Orders!B2:B999, 0))</f>
        <v>46103.208333333336</v>
      </c>
      <c r="J6" s="2">
        <f>INDEX(Orders!J2:J999, MATCH(D6,Orders!B2:B999, 0))</f>
        <v>99</v>
      </c>
      <c r="K6" s="2">
        <f>INDEX(Orders!K2:K999, MATCH(D6,Orders!B2:B999, 0))</f>
        <v>99</v>
      </c>
      <c r="L6" s="2">
        <f>INDEX(Orders!L2:L999, MATCH(D6,Orders!B2:B999, 0))</f>
        <v>0</v>
      </c>
      <c r="M6" s="2" t="b">
        <f>INDEX(Orders!M2:M999, MATCH(D6,Orders!B2:B999, 0))</f>
        <v>1</v>
      </c>
      <c r="N6" s="2" t="str">
        <f>INDEX(Orders!E2:E999, MATCH(D6,Orders!B2:B999, 0))</f>
        <v>alan.turing@bletchley.uk</v>
      </c>
      <c r="O6" s="2" t="str">
        <f>INDEX(Orders!H2:H999, MATCH(D6,Orders!B2:B999, 0))</f>
        <v>Turing, Alan</v>
      </c>
      <c r="P6" s="2" t="str">
        <f>INDEX(Orders!I2:I999, MATCH(D6,Orders!B2:B999, 0))</f>
        <v>alan.turing@bletchley.uk</v>
      </c>
    </row>
    <row r="7">
      <c r="A7" s="2" t="str">
        <f>C7</f>
        <v>PMT-2006</v>
      </c>
      <c r="B7" s="3" t="s">
        <v>80</v>
      </c>
      <c r="C7" s="3" t="s">
        <v>80</v>
      </c>
      <c r="D7" s="3" t="s">
        <v>55</v>
      </c>
      <c r="E7" s="4">
        <v>46114.208333333336</v>
      </c>
      <c r="F7" s="3">
        <v>540</v>
      </c>
      <c r="G7" s="3" t="s">
        <v>81</v>
      </c>
      <c r="H7" s="2" t="str">
        <f>INDEX(Orders!C2:C999, MATCH(D7,Orders!B2:B999, 0))</f>
        <v>ORD-1006</v>
      </c>
      <c r="I7" s="5">
        <f>INDEX(Orders!D2:D999, MATCH(D7,Orders!B2:B999, 0))</f>
        <v>46113.208333333336</v>
      </c>
      <c r="J7" s="2">
        <f>INDEX(Orders!J2:J999, MATCH(D7,Orders!B2:B999, 0))</f>
        <v>540</v>
      </c>
      <c r="K7" s="2">
        <f>INDEX(Orders!K2:K999, MATCH(D7,Orders!B2:B999, 0))</f>
        <v>540</v>
      </c>
      <c r="L7" s="2">
        <f>INDEX(Orders!L2:L999, MATCH(D7,Orders!B2:B999, 0))</f>
        <v>0</v>
      </c>
      <c r="M7" s="2" t="b">
        <f>INDEX(Orders!M2:M999, MATCH(D7,Orders!B2:B999, 0))</f>
        <v>1</v>
      </c>
      <c r="N7" s="2" t="str">
        <f>INDEX(Orders!E2:E999, MATCH(D7,Orders!B2:B999, 0))</f>
        <v>katherine.johnson@nasa.gov</v>
      </c>
      <c r="O7" s="2" t="str">
        <f>INDEX(Orders!H2:H999, MATCH(D7,Orders!B2:B999, 0))</f>
        <v>Johnson, Katherine</v>
      </c>
      <c r="P7" s="2" t="str">
        <f>INDEX(Orders!I2:I999, MATCH(D7,Orders!B2:B999, 0))</f>
        <v>katherine.johnson@nasa.gov</v>
      </c>
    </row>
    <row r="8">
      <c r="A8" s="2" t="str">
        <f>C8</f>
        <v>PMT-2007</v>
      </c>
      <c r="B8" s="3" t="s">
        <v>82</v>
      </c>
      <c r="C8" s="3" t="s">
        <v>82</v>
      </c>
      <c r="D8" s="3" t="s">
        <v>57</v>
      </c>
      <c r="E8" s="4">
        <v>46141.208333333336</v>
      </c>
      <c r="F8" s="3">
        <v>1200</v>
      </c>
      <c r="G8" s="3" t="s">
        <v>77</v>
      </c>
      <c r="H8" s="2" t="str">
        <f>INDEX(Orders!C2:C999, MATCH(D8,Orders!B2:B999, 0))</f>
        <v>ORD-1008</v>
      </c>
      <c r="I8" s="5">
        <f>INDEX(Orders!D2:D999, MATCH(D8,Orders!B2:B999, 0))</f>
        <v>46140.208333333336</v>
      </c>
      <c r="J8" s="2">
        <f>INDEX(Orders!J2:J999, MATCH(D8,Orders!B2:B999, 0))</f>
        <v>2400</v>
      </c>
      <c r="K8" s="2">
        <f>INDEX(Orders!K2:K999, MATCH(D8,Orders!B2:B999, 0))</f>
        <v>2400</v>
      </c>
      <c r="L8" s="2">
        <f>INDEX(Orders!L2:L999, MATCH(D8,Orders!B2:B999, 0))</f>
        <v>0</v>
      </c>
      <c r="M8" s="2" t="b">
        <f>INDEX(Orders!M2:M999, MATCH(D8,Orders!B2:B999, 0))</f>
        <v>1</v>
      </c>
      <c r="N8" s="2" t="str">
        <f>INDEX(Orders!E2:E999, MATCH(D8,Orders!B2:B999, 0))</f>
        <v>linus.torvalds@kernel.org</v>
      </c>
      <c r="O8" s="2" t="str">
        <f>INDEX(Orders!H2:H999, MATCH(D8,Orders!B2:B999, 0))</f>
        <v>Torvalds, Linus</v>
      </c>
      <c r="P8" s="2" t="str">
        <f>INDEX(Orders!I2:I999, MATCH(D8,Orders!B2:B999, 0))</f>
        <v>linus.torvalds@kernel.org</v>
      </c>
    </row>
    <row r="9">
      <c r="A9" s="2" t="str">
        <f>C9</f>
        <v>PMT-2008</v>
      </c>
      <c r="B9" s="3" t="s">
        <v>83</v>
      </c>
      <c r="C9" s="3" t="s">
        <v>83</v>
      </c>
      <c r="D9" s="3" t="s">
        <v>57</v>
      </c>
      <c r="E9" s="4">
        <v>46152.208333333336</v>
      </c>
      <c r="F9" s="3">
        <v>1200</v>
      </c>
      <c r="G9" s="3" t="s">
        <v>77</v>
      </c>
      <c r="H9" s="2" t="str">
        <f>INDEX(Orders!C2:C999, MATCH(D9,Orders!B2:B999, 0))</f>
        <v>ORD-1008</v>
      </c>
      <c r="I9" s="5">
        <f>INDEX(Orders!D2:D999, MATCH(D9,Orders!B2:B999, 0))</f>
        <v>46140.208333333336</v>
      </c>
      <c r="J9" s="2">
        <f>INDEX(Orders!J2:J999, MATCH(D9,Orders!B2:B999, 0))</f>
        <v>2400</v>
      </c>
      <c r="K9" s="2">
        <f>INDEX(Orders!K2:K999, MATCH(D9,Orders!B2:B999, 0))</f>
        <v>2400</v>
      </c>
      <c r="L9" s="2">
        <f>INDEX(Orders!L2:L999, MATCH(D9,Orders!B2:B999, 0))</f>
        <v>0</v>
      </c>
      <c r="M9" s="2" t="b">
        <f>INDEX(Orders!M2:M999, MATCH(D9,Orders!B2:B999, 0))</f>
        <v>1</v>
      </c>
      <c r="N9" s="2" t="str">
        <f>INDEX(Orders!E2:E999, MATCH(D9,Orders!B2:B999, 0))</f>
        <v>linus.torvalds@kernel.org</v>
      </c>
      <c r="O9" s="2" t="str">
        <f>INDEX(Orders!H2:H999, MATCH(D9,Orders!B2:B999, 0))</f>
        <v>Torvalds, Linus</v>
      </c>
      <c r="P9" s="2" t="str">
        <f>INDEX(Orders!I2:I999, MATCH(D9,Orders!B2:B999, 0))</f>
        <v>linus.torvalds@kernel.org</v>
      </c>
    </row>
    <row r="10">
      <c r="A10" s="2" t="str">
        <f>C10</f>
        <v>PMT-2009</v>
      </c>
      <c r="B10" s="3" t="s">
        <v>84</v>
      </c>
      <c r="C10" s="3" t="s">
        <v>84</v>
      </c>
      <c r="D10" s="3" t="s">
        <v>59</v>
      </c>
      <c r="E10" s="4">
        <v>46158.208333333336</v>
      </c>
      <c r="F10" s="3">
        <v>50</v>
      </c>
      <c r="G10" s="3" t="s">
        <v>72</v>
      </c>
      <c r="H10" s="2" t="str">
        <f>INDEX(Orders!C2:C999, MATCH(D10,Orders!B2:B999, 0))</f>
        <v>ORD-1010</v>
      </c>
      <c r="I10" s="5">
        <f>INDEX(Orders!D2:D999, MATCH(D10,Orders!B2:B999, 0))</f>
        <v>46157.208333333336</v>
      </c>
      <c r="J10" s="2">
        <f>INDEX(Orders!J2:J999, MATCH(D10,Orders!B2:B999, 0))</f>
        <v>50</v>
      </c>
      <c r="K10" s="2">
        <f>INDEX(Orders!K2:K999, MATCH(D10,Orders!B2:B999, 0))</f>
        <v>50</v>
      </c>
      <c r="L10" s="2">
        <f>INDEX(Orders!L2:L999, MATCH(D10,Orders!B2:B999, 0))</f>
        <v>0</v>
      </c>
      <c r="M10" s="2" t="b">
        <f>INDEX(Orders!M2:M999, MATCH(D10,Orders!B2:B999, 0))</f>
        <v>1</v>
      </c>
      <c r="N10" s="2" t="str">
        <f>INDEX(Orders!E2:E999, MATCH(D10,Orders!B2:B999, 0))</f>
        <v>ada.lovelace@analytical.engine</v>
      </c>
      <c r="O10" s="2" t="str">
        <f>INDEX(Orders!H2:H999, MATCH(D10,Orders!B2:B999, 0))</f>
        <v>Lovelace, Ada</v>
      </c>
      <c r="P10" s="2" t="str">
        <f>INDEX(Orders!I2:I999, MATCH(D10,Orders!B2:B999, 0))</f>
        <v>ada.lovelace@analytical.engine</v>
      </c>
    </row>
    <row r="11">
      <c r="A11" s="2" t="str">
        <f>C11</f>
        <v>PMT-525034</v>
      </c>
      <c r="B11" s="3" t="s">
        <v>85</v>
      </c>
      <c r="C11" s="3" t="s">
        <v>85</v>
      </c>
      <c r="D11" s="3" t="s">
        <v>53</v>
      </c>
      <c r="E11" s="4">
        <v>46162.208333333336</v>
      </c>
      <c r="F11" s="3">
        <v>320.5</v>
      </c>
      <c r="G11" s="3" t="s">
        <v>72</v>
      </c>
      <c r="H11" s="2" t="str">
        <f>INDEX(Orders!C2:C999, MATCH(D11,Orders!B2:B999, 0))</f>
        <v>ORD-1004</v>
      </c>
      <c r="I11" s="5">
        <f>INDEX(Orders!D2:D999, MATCH(D11,Orders!B2:B999, 0))</f>
        <v>46091.208333333336</v>
      </c>
      <c r="J11" s="2">
        <f>INDEX(Orders!J2:J999, MATCH(D11,Orders!B2:B999, 0))</f>
        <v>320.5</v>
      </c>
      <c r="K11" s="2">
        <f>INDEX(Orders!K2:K999, MATCH(D11,Orders!B2:B999, 0))</f>
        <v>320.5</v>
      </c>
      <c r="L11" s="2">
        <f>INDEX(Orders!L2:L999, MATCH(D11,Orders!B2:B999, 0))</f>
        <v>0</v>
      </c>
      <c r="M11" s="2" t="b">
        <f>INDEX(Orders!M2:M999, MATCH(D11,Orders!B2:B999, 0))</f>
        <v>1</v>
      </c>
      <c r="N11" s="2" t="str">
        <f>INDEX(Orders!E2:E999, MATCH(D11,Orders!B2:B999, 0))</f>
        <v>grace.hopper@nautical.mil</v>
      </c>
      <c r="O11" s="2" t="str">
        <f>INDEX(Orders!H2:H999, MATCH(D11,Orders!B2:B999, 0))</f>
        <v>Hopper, Grace</v>
      </c>
      <c r="P11" s="2" t="str">
        <f>INDEX(Orders!I2:I999, MATCH(D11,Orders!B2:B999, 0))</f>
        <v>grace.hopper@nautical.mil</v>
      </c>
    </row>
    <row r="12">
      <c r="A12" s="2" t="str">
        <f>C12</f>
        <v>PMT-643977</v>
      </c>
      <c r="B12" s="3" t="s">
        <v>86</v>
      </c>
      <c r="C12" s="3" t="s">
        <v>86</v>
      </c>
      <c r="D12" s="3" t="s">
        <v>58</v>
      </c>
      <c r="E12" s="4">
        <v>46162.208333333336</v>
      </c>
      <c r="F12" s="3">
        <v>180</v>
      </c>
      <c r="G12" s="3" t="s">
        <v>72</v>
      </c>
      <c r="H12" s="2" t="str">
        <f>INDEX(Orders!C2:C999, MATCH(D12,Orders!B2:B999, 0))</f>
        <v>ORD-1009</v>
      </c>
      <c r="I12" s="5">
        <f>INDEX(Orders!D2:D999, MATCH(D12,Orders!B2:B999, 0))</f>
        <v>46147.208333333336</v>
      </c>
      <c r="J12" s="2">
        <f>INDEX(Orders!J2:J999, MATCH(D12,Orders!B2:B999, 0))</f>
        <v>180</v>
      </c>
      <c r="K12" s="2">
        <f>INDEX(Orders!K2:K999, MATCH(D12,Orders!B2:B999, 0))</f>
        <v>180</v>
      </c>
      <c r="L12" s="2">
        <f>INDEX(Orders!L2:L999, MATCH(D12,Orders!B2:B999, 0))</f>
        <v>0</v>
      </c>
      <c r="M12" s="2" t="b">
        <f>INDEX(Orders!M2:M999, MATCH(D12,Orders!B2:B999, 0))</f>
        <v>1</v>
      </c>
      <c r="N12" s="2" t="str">
        <f>INDEX(Orders!E2:E999, MATCH(D12,Orders!B2:B999, 0))</f>
        <v>linus.torvalds@kernel.org</v>
      </c>
      <c r="O12" s="2" t="str">
        <f>INDEX(Orders!H2:H999, MATCH(D12,Orders!B2:B999, 0))</f>
        <v>Torvalds, Linus</v>
      </c>
      <c r="P12" s="2" t="str">
        <f>INDEX(Orders!I2:I999, MATCH(D12,Orders!B2:B999, 0))</f>
        <v>linus.torvalds@kernel.org</v>
      </c>
    </row>
  </sheetData>
  <autoFilter ref="A1:P1"/>
  <headerFooter/>
  <legacyDrawing r:id="rId1"/>
</worksheet>
</file>

<file path=xl/worksheets/sheet5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"/>
  <sheetViews>
    <sheetView workbookViewId="0"/>
  </sheetViews>
  <sheetFormatPr defaultRowHeight="15"/>
  <sheetData>
    <row r="1">
      <c r="A1" s="0" t="s">
        <v>87</v>
      </c>
    </row>
  </sheetData>
  <headerFooter/>
</worksheet>
</file>

<file path=EPPlusLicense.txt>This workbook was created with the EPPlus library, licensed to EffortlessAPI Tool under the Polyform Noncommercial license, see https://polyformproject.org/licenses/noncommercial/1.0.0
For more information about EPPlus, see https://epplussoftware.com/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EffortlessAPI Tool under The Polyform Noncommercial License: See https://polyformproject.org/licenses/noncommercial/1.0.0</dc:description>
  <dc:creator>EffortlessAPI Tool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