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vmlDrawing" PartName="/xl/drawings/vmlDrawing1.vml"/>
  <Override ContentType="application/vnd.openxmlformats-officedocument.spreadsheetml.worksheet+xml" PartName="/xl/worksheets/sheet2.xml"/>
  <Override ContentType="application/vnd.openxmlformats-officedocument.vmlDrawing" PartName="/xl/drawings/vmlDrawing2.vml"/>
  <Override ContentType="application/vnd.openxmlformats-officedocument.spreadsheetml.worksheet+xml" PartName="/xl/worksheets/sheet3.xml"/>
  <Override ContentType="application/vnd.openxmlformats-officedocument.vmlDrawing" PartName="/xl/drawings/vmlDrawing3.vml"/>
  <Override ContentType="application/vnd.openxmlformats-officedocument.spreadsheetml.worksheet+xml" PartName="/xl/worksheets/sheet4.xml"/>
  <Override ContentType="application/vnd.openxmlformats-officedocument.vmlDrawing" PartName="/xl/drawings/vmlDrawing4.vml"/>
  <Override ContentType="application/vnd.openxmlformats-officedocument.spreadsheetml.worksheet+xml" PartName="/xl/worksheets/sheet5.xml"/>
  <Override ContentType="application/vnd.openxmlformats-officedocument.vmlDrawing" PartName="/xl/drawings/vmlDrawing5.vml"/>
  <Override ContentType="application/vnd.openxmlformats-officedocument.spreadsheetml.worksheet+xml" PartName="/xl/worksheets/sheet6.xml"/>
  <Override ContentType="application/vnd.openxmlformats-officedocument.vmlDrawing" PartName="/xl/drawings/vmlDrawing6.vml"/>
  <Override ContentType="application/vnd.openxmlformats-officedocument.spreadsheetml.worksheet+xml" PartName="/xl/worksheets/sheet7.xml"/>
  <Override ContentType="application/vnd.openxmlformats-officedocument.vmlDrawing" PartName="/xl/drawings/vmlDrawing7.vml"/>
  <Override ContentType="application/vnd.openxmlformats-officedocument.spreadsheetml.worksheet+xml" PartName="/xl/worksheets/sheet8.xml"/>
  <Override ContentType="application/vnd.openxmlformats-officedocument.vmlDrawing" PartName="/xl/drawings/vmlDrawing8.vml"/>
  <Override ContentType="application/vnd.openxmlformats-officedocument.spreadsheetml.worksheet+xml" PartName="/xl/worksheets/sheet9.xml"/>
  <Override ContentType="application/vnd.openxmlformats-officedocument.vmlDrawing" PartName="/xl/drawings/vmlDrawing9.vml"/>
  <Override ContentType="application/vnd.openxmlformats-officedocument.spreadsheetml.worksheet+xml" PartName="/xl/worksheets/sheet10.xml"/>
  <Override ContentType="application/vnd.openxmlformats-officedocument.vmlDrawing" PartName="/xl/drawings/vmlDrawing10.vml"/>
  <Override ContentType="application/vnd.openxmlformats-officedocument.spreadsheetml.worksheet+xml" PartName="/xl/worksheets/sheet11.xml"/>
  <Override ContentType="application/vnd.openxmlformats-officedocument.vmlDrawing" PartName="/xl/drawings/vmlDrawing11.vml"/>
  <Override ContentType="application/vnd.openxmlformats-officedocument.spreadsheetml.worksheet+xml" PartName="/xl/worksheets/sheet12.xml"/>
  <Override ContentType="application/vnd.openxmlformats-officedocument.vmlDrawing" PartName="/xl/drawings/vmlDrawing12.vml"/>
  <Override ContentType="application/vnd.openxmlformats-officedocument.spreadsheetml.worksheet+xml" PartName="/xl/worksheets/sheet13.xml"/>
  <Override ContentType="application/vnd.openxmlformats-officedocument.vmlDrawing" PartName="/xl/drawings/vmlDrawing13.vml"/>
  <Override ContentType="application/vnd.openxmlformats-officedocument.spreadsheetml.worksheet+xml" PartName="/xl/worksheets/sheet14.xml"/>
  <Override ContentType="application/vnd.openxmlformats-officedocument.vmlDrawing" PartName="/xl/drawings/vmlDrawing14.vml"/>
  <Override ContentType="application/vnd.openxmlformats-officedocument.spreadsheetml.worksheet+xml" PartName="/xl/worksheets/sheet15.xml"/>
  <Override ContentType="application/vnd.openxmlformats-officedocument.vmlDrawing" PartName="/xl/drawings/vmlDrawing15.vml"/>
  <Override ContentType="application/vnd.openxmlformats-officedocument.spreadsheetml.worksheet+xml" PartName="/xl/worksheets/sheet16.xml"/>
  <Override ContentType="application/vnd.openxmlformats-officedocument.vmlDrawing" PartName="/xl/drawings/vmlDrawing16.vml"/>
  <Override ContentType="application/vnd.openxmlformats-officedocument.spreadsheetml.worksheet+xml" PartName="/xl/worksheets/sheet17.xml"/>
  <Override ContentType="application/vnd.openxmlformats-officedocument.vmlDrawing" PartName="/xl/drawings/vmlDrawing17.vml"/>
  <Override ContentType="application/vnd.openxmlformats-officedocument.spreadsheetml.worksheet+xml" PartName="/xl/worksheets/sheet18.xml"/>
  <Override ContentType="application/vnd.openxmlformats-officedocument.vmlDrawing" PartName="/xl/drawings/vmlDrawing18.vml"/>
  <Override ContentType="application/vnd.openxmlformats-officedocument.spreadsheetml.worksheet+xml" PartName="/xl/worksheets/sheet19.xml"/>
  <Override ContentType="application/vnd.openxmlformats-officedocument.vmlDrawing" PartName="/xl/drawings/vmlDrawing19.vml"/>
  <Override ContentType="application/vnd.openxmlformats-officedocument.spreadsheetml.worksheet+xml" PartName="/xl/worksheets/sheet20.xml"/>
  <Override ContentType="application/vnd.openxmlformats-officedocument.vmlDrawing" PartName="/xl/drawings/vmlDrawing20.vml"/>
  <Override ContentType="application/vnd.openxmlformats-officedocument.spreadsheetml.worksheet+xml" PartName="/xl/worksheets/sheet21.xml"/>
  <Override ContentType="application/vnd.openxmlformats-officedocument.vmlDrawing" PartName="/xl/drawings/vmlDrawing21.vml"/>
  <Override ContentType="application/vnd.openxmlformats-officedocument.spreadsheetml.worksheet+xml" PartName="/xl/worksheets/sheet22.xml"/>
  <Override ContentType="application/vnd.openxmlformats-officedocument.vmlDrawing" PartName="/xl/drawings/vmlDrawing22.vml"/>
  <Override ContentType="application/vnd.openxmlformats-officedocument.spreadsheetml.worksheet+xml" PartName="/xl/worksheets/sheet23.xml"/>
  <Override ContentType="application/vnd.openxmlformats-officedocument.vmlDrawing" PartName="/xl/drawings/vmlDrawing23.vml"/>
  <Override ContentType="application/vnd.openxmlformats-officedocument.spreadsheetml.worksheet+xml" PartName="/xl/worksheets/sheet24.xml"/>
  <Override ContentType="application/vnd.openxmlformats-officedocument.vmlDrawing" PartName="/xl/drawings/vmlDrawing24.vml"/>
  <Override ContentType="application/vnd.openxmlformats-officedocument.spreadsheetml.worksheet+xml" PartName="/xl/worksheets/sheet25.xml"/>
  <Override ContentType="application/vnd.openxmlformats-officedocument.vmlDrawing" PartName="/xl/drawings/vmlDrawing25.vml"/>
  <Override ContentType="application/vnd.openxmlformats-officedocument.spreadsheetml.worksheet+xml" PartName="/xl/worksheets/sheet26.xml"/>
  <Override ContentType="application/vnd.openxmlformats-officedocument.vmlDrawing" PartName="/xl/drawings/vmlDrawing26.vml"/>
  <Override ContentType="application/vnd.openxmlformats-officedocument.spreadsheetml.worksheet+xml" PartName="/xl/worksheets/sheet27.xml"/>
  <Override ContentType="application/vnd.openxmlformats-officedocument.vmlDrawing" PartName="/xl/drawings/vmlDrawing27.vml"/>
  <Override ContentType="application/vnd.openxmlformats-officedocument.spreadsheetml.worksheet+xml" PartName="/xl/worksheets/sheet28.xml"/>
  <Override ContentType="application/vnd.openxmlformats-officedocument.vmlDrawing" PartName="/xl/drawings/vmlDrawing28.vml"/>
  <Override ContentType="application/vnd.openxmlformats-officedocument.spreadsheetml.worksheet+xml" PartName="/xl/worksheets/sheet29.xml"/>
  <Override ContentType="application/vnd.openxmlformats-officedocument.vmlDrawing" PartName="/xl/drawings/vmlDrawing29.vml"/>
  <Override ContentType="application/vnd.openxmlformats-officedocument.spreadsheetml.worksheet+xml" PartName="/xl/worksheets/sheet30.xml"/>
  <Override ContentType="application/vnd.openxmlformats-officedocument.vmlDrawing" PartName="/xl/drawings/vmlDrawing30.vml"/>
  <Override ContentType="application/vnd.openxmlformats-officedocument.spreadsheetml.worksheet+xml" PartName="/xl/worksheets/sheet31.xml"/>
  <Override ContentType="application/vnd.openxmlformats-officedocument.vmlDrawing" PartName="/xl/drawings/vmlDrawing31.vml"/>
  <Override ContentType="application/vnd.openxmlformats-officedocument.spreadsheetml.worksheet+xml" PartName="/xl/worksheets/sheet32.xml"/>
  <Override ContentType="application/vnd.openxmlformats-officedocument.vmlDrawing" PartName="/xl/drawings/vmlDrawing32.vml"/>
  <Override ContentType="application/vnd.openxmlformats-officedocument.spreadsheetml.worksheet+xml" PartName="/xl/worksheets/sheet33.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Loops" sheetId="1" r:id="rId1"/>
    <sheet name="Studies" sheetId="2" r:id="rId3"/>
    <sheet name="Treatments" sheetId="3" r:id="rId4"/>
    <sheet name="Strata" sheetId="4" r:id="rId5"/>
    <sheet name="CaseCells" sheetId="5" r:id="rId6"/>
    <sheet name="StratumSummaries" sheetId="6" r:id="rId7"/>
    <sheet name="ModelSummary" sheetId="7" r:id="rId8"/>
    <sheet name="StratumVariables" sheetId="8" r:id="rId9"/>
    <sheet name="TreatmentRankings" sheetId="9" r:id="rId10"/>
    <sheet name="InvariantChecks" sheetId="10" r:id="rId11"/>
    <sheet name="__meta__" sheetId="11" r:id="rId12"/>
    <sheet name="Methodology" sheetId="12" r:id="rId13"/>
    <sheet name="Conclusions" sheetId="13" r:id="rId14"/>
    <sheet name="UIScreens" sheetId="14" r:id="rId15"/>
    <sheet name="UIComponents" sheetId="15" r:id="rId16"/>
    <sheet name="InstrumentSpec" sheetId="16" r:id="rId17"/>
    <sheet name="AllocationSweep" sheetId="17" r:id="rId18"/>
    <sheet name="SweepStudySummary" sheetId="18" r:id="rId19"/>
    <sheet name="ResearchTraditions" sheetId="19" r:id="rId20"/>
    <sheet name="Researchers" sheetId="20" r:id="rId21"/>
    <sheet name="SyntheticPhase" sheetId="21" r:id="rId22"/>
    <sheet name="PhaseDiagramSummary" sheetId="22" r:id="rId23"/>
    <sheet name="IngestionProtocol" sheetId="23" r:id="rId24"/>
    <sheet name="IngestionSummary" sheetId="24" r:id="rId25"/>
    <sheet name="CandidateStudyCatalog" sheetId="25" r:id="rId26"/>
    <sheet name="CorpusCatalogSummary" sheetId="26" r:id="rId27"/>
    <sheet name="DomainExpansionTargets" sheetId="27" r:id="rId28"/>
    <sheet name="StudyImportTemplate" sheetId="28" r:id="rId29"/>
    <sheet name="SweepStudyConfig" sheetId="29" r:id="rId30"/>
    <sheet name="SubstrateConformanceFields" sheetId="30" r:id="rId31"/>
    <sheet name="DiscoveryHypotheses" sheetId="31" r:id="rId32"/>
    <sheet name="DiscoveryFindings" sheetId="32" r:id="rId33"/>
    <sheet name="_original_json" sheetId="33" r:id="rId34" state="hidden"/>
  </sheets>
  <definedNames>
    <definedName name="_xlnm._FilterDatabase" localSheetId="10" hidden="1">__meta__!$A$1:$E$1</definedName>
    <definedName name="_xlnm._FilterDatabase" localSheetId="16" hidden="1">AllocationSweep!$A$1:$S$1</definedName>
    <definedName name="_xlnm._FilterDatabase" localSheetId="24" hidden="1">CandidateStudyCatalog!$A$1:$S$1</definedName>
    <definedName name="_xlnm._FilterDatabase" localSheetId="4" hidden="1">CaseCells!$A$1:$K$1</definedName>
    <definedName name="_xlnm._FilterDatabase" localSheetId="12" hidden="1">Conclusions!$A$1:$V$1</definedName>
    <definedName name="_xlnm._FilterDatabase" localSheetId="25" hidden="1">CorpusCatalogSummary!$A$1:$J$1</definedName>
    <definedName name="_xlnm._FilterDatabase" localSheetId="31" hidden="1">DiscoveryFindings!$A$1:$H$1</definedName>
    <definedName name="_xlnm._FilterDatabase" localSheetId="30" hidden="1">DiscoveryHypotheses!$A$1:$G$1</definedName>
    <definedName name="_xlnm._FilterDatabase" localSheetId="26" hidden="1">DomainExpansionTargets!$A$1:$I$1</definedName>
    <definedName name="_xlnm._FilterDatabase" localSheetId="22" hidden="1">IngestionProtocol!$A$1:$H$1</definedName>
    <definedName name="_xlnm._FilterDatabase" localSheetId="23" hidden="1">IngestionSummary!$A$1:$N$1</definedName>
    <definedName name="_xlnm._FilterDatabase" localSheetId="15" hidden="1">InstrumentSpec!$A$1:$I$1</definedName>
    <definedName name="_xlnm._FilterDatabase" localSheetId="9" hidden="1">InvariantChecks!$A$1:$U$1</definedName>
    <definedName name="_xlnm._FilterDatabase" localSheetId="0" hidden="1">Loops!$A$1:$P$1</definedName>
    <definedName name="_xlnm._FilterDatabase" localSheetId="11" hidden="1">Methodology!$A$1:$N$1</definedName>
    <definedName name="_xlnm._FilterDatabase" localSheetId="6" hidden="1">ModelSummary!$A$1:$AY$1</definedName>
    <definedName name="_xlnm._FilterDatabase" localSheetId="21" hidden="1">PhaseDiagramSummary!$A$1:$K$1</definedName>
    <definedName name="_xlnm._FilterDatabase" localSheetId="19" hidden="1">Researchers!$A$1:$S$1</definedName>
    <definedName name="_xlnm._FilterDatabase" localSheetId="18" hidden="1">ResearchTraditions!$A$1:$R$1</definedName>
    <definedName name="_xlnm._FilterDatabase" localSheetId="3" hidden="1">Strata!$A$1:$F$1</definedName>
    <definedName name="_xlnm._FilterDatabase" localSheetId="5" hidden="1">StratumSummaries!$A$1:$AB$1</definedName>
    <definedName name="_xlnm._FilterDatabase" localSheetId="7" hidden="1">StratumVariables!$A$1:$J$1</definedName>
    <definedName name="_xlnm._FilterDatabase" localSheetId="1" hidden="1">Studies!$A$1:$Z$1</definedName>
    <definedName name="_xlnm._FilterDatabase" localSheetId="27" hidden="1">StudyImportTemplate!$A$1:$G$1</definedName>
    <definedName name="_xlnm._FilterDatabase" localSheetId="29" hidden="1">SubstrateConformanceFields!$A$1:$I$1</definedName>
    <definedName name="_xlnm._FilterDatabase" localSheetId="28" hidden="1">SweepStudyConfig!$A$1:$M$1</definedName>
    <definedName name="_xlnm._FilterDatabase" localSheetId="17" hidden="1">SweepStudySummary!$A$1:$M$1</definedName>
    <definedName name="_xlnm._FilterDatabase" localSheetId="20" hidden="1">SyntheticPhase!$A$1:$X$1</definedName>
    <definedName name="_xlnm._FilterDatabase" localSheetId="8" hidden="1">TreatmentRankings!$A$1:$AX$1</definedName>
    <definedName name="_xlnm._FilterDatabase" localSheetId="2" hidden="1">Treatments!$A$1:$H$1</definedName>
    <definedName name="_xlnm._FilterDatabase" localSheetId="14" hidden="1">UIComponents!$A$1:$H$1</definedName>
    <definedName name="_xlnm._FilterDatabase" localSheetId="13" hidden="1">UIScreens!$A$1:$N$1</definedName>
  </definedNames>
  <calcPr fullCalcOnLoad="1" fullPrecision="1"/>
</workbook>
</file>

<file path=xl/comments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identifier: loop-01 through loop-10.</t>
        </r>
      </text>
    </comment>
    <comment ref="C1" authorId="0">
      <text>
        <r>
          <rPr>
            <rFont val="Aptos Narrow"/>
            <b/>
            <color rgb="FFFFFFFF"/>
            <sz val="11"/>
          </rPr>
          <t>Short title for what this loop adds to the domain model.</t>
        </r>
      </text>
    </comment>
    <comment ref="D1" authorId="0">
      <text>
        <r>
          <rPr>
            <rFont val="Aptos Narrow"/>
            <b/>
            <color rgb="FFFFFFFF"/>
            <sz val="11"/>
          </rPr>
          <t>planned | in-progress | complete</t>
        </r>
      </text>
    </comment>
    <comment ref="E1" authorId="0">
      <text>
        <r>
          <rPr>
            <rFont val="Aptos Narrow"/>
            <b/>
            <color rgb="FFFFFFFF"/>
            <sz val="11"/>
          </rPr>
          <t>The new first-class domain concept introduced this loop.</t>
        </r>
      </text>
    </comment>
    <comment ref="F1" authorId="0">
      <text>
        <r>
          <rPr>
            <rFont val="Aptos Narrow"/>
            <b/>
            <color rgb="FFFFFFFF"/>
            <sz val="11"/>
          </rPr>
          <t>The natural-language question this loop's concept answers FROM the domain data.</t>
        </r>
      </text>
    </comment>
    <comment ref="G1" authorId="0">
      <text>
        <r>
          <rPr>
            <rFont val="Aptos Narrow"/>
            <b/>
            <color rgb="FFFFFFFF"/>
            <sz val="11"/>
          </rPr>
          <t>What the seed data is designed to show.</t>
        </r>
      </text>
    </comment>
    <comment ref="H1" authorId="0">
      <text>
        <r>
          <rPr>
            <rFont val="Aptos Narrow"/>
            <b/>
            <color rgb="FFFFFFFF"/>
            <sz val="11"/>
          </rPr>
          <t>Suggestion for the next loop, written after witnessing the DAG at this loop's end.</t>
        </r>
      </text>
    </comment>
    <comment ref="I1" authorId="0">
      <text>
        <r>
          <rPr>
            <rFont val="Aptos Narrow"/>
            <b/>
            <color rgb="FFFFFFFF"/>
            <sz val="11"/>
          </rPr>
          <t>FK → ResearchTraditions.TraditionId. The scholarly tradition whose conceptual vocabulary this loop primarily draws on — tracks which tradition has driven each stage of the instrument's development.</t>
        </r>
      </text>
    </comment>
    <comment ref="J1" authorId="0">
      <text>
        <r>
          <rPr>
            <rFont val="Aptos Narrow"/>
            <b/>
            <color rgb="FFFFFFFF"/>
            <sz val="11"/>
          </rPr>
          <t>Lookup: ResearchTraditions.Name via TraditionId.</t>
        </r>
      </text>
    </comment>
    <comment ref="K1" authorId="0">
      <text>
        <r>
          <rPr>
            <rFont val="Aptos Narrow"/>
            <b/>
            <color rgb="FFFFFFFF"/>
            <sz val="11"/>
          </rPr>
          <t>Lookup: ResearchTraditions.CoreConcern via TraditionId — which intellectual concern drove this loop.</t>
        </r>
      </text>
    </comment>
    <comment ref="L1" authorId="0">
      <text>
        <r>
          <rPr>
            <rFont val="Aptos Narrow"/>
            <b/>
            <color rgb="FFFFFFFF"/>
            <sz val="11"/>
          </rPr>
          <t>Full git SHA where this loop row first landed in effortless-rulebook.json — the replay anchor for this turn of the Leopold loop.</t>
        </r>
      </text>
    </comment>
    <comment ref="M1" authorId="0">
      <text>
        <r>
          <rPr>
            <rFont val="Aptos Narrow"/>
            <b/>
            <color rgb="FFFFFFFF"/>
            <sz val="11"/>
          </rPr>
          <t>First 7 characters of CommitHash for display and git checkout.</t>
        </r>
      </text>
    </comment>
    <comment ref="N1" authorId="0">
      <text>
        <r>
          <rPr>
            <rFont val="Aptos Narrow"/>
            <b/>
            <color rgb="FFFFFFFF"/>
            <sz val="11"/>
          </rPr>
          <t>ISO date (YYYY-MM-DD) of the commit where this loop landed.</t>
        </r>
      </text>
    </comment>
    <comment ref="O1" authorId="0">
      <text>
        <r>
          <rPr>
            <rFont val="Aptos Narrow"/>
            <b/>
            <color rgb="FFFFFFFF"/>
            <sz val="11"/>
          </rPr>
          <t>Git commit subject line for this loop's landing commit.</t>
        </r>
      </text>
    </comment>
    <comment ref="P1" authorId="0">
      <text>
        <r>
          <rPr>
            <rFont val="Aptos Narrow"/>
            <b/>
            <color rgb="FFFFFFFF"/>
            <sz val="11"/>
          </rPr>
          <t>Optional milestone tag pointing at this loop's landing commit (sp-loop-milestone-*). Used for discovery replay without memorizing SHAs.</t>
        </r>
      </text>
    </comment>
    <comment ref="B1" authorId="0">
      <text>
        <r>
          <rPr>
            <rFont val="Aptos Narrow"/>
            <b/>
            <color rgb="FFFFFFFF"/>
            <sz val="11"/>
          </rPr>
          <t>Display label.</t>
        </r>
      </text>
    </comment>
  </commentList>
</comments>
</file>

<file path=xl/comments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for this study (e.g. kidney-1986, berkeley-1973).</t>
        </r>
      </text>
    </comment>
    <comment ref="C1" authorId="0">
      <text>
        <r>
          <rPr>
            <rFont val="Aptos Narrow"/>
            <b/>
            <color rgb="FFFFFFFF"/>
            <sz val="11"/>
          </rPr>
          <t>Human-readable title of the study.</t>
        </r>
      </text>
    </comment>
    <comment ref="D1" authorId="0">
      <text>
        <r>
          <rPr>
            <rFont val="Aptos Narrow"/>
            <b/>
            <color rgb="FFFFFFFF"/>
            <sz val="11"/>
          </rPr>
          <t>Citation or description of the original data source.</t>
        </r>
      </text>
    </comment>
    <comment ref="E1" authorId="0">
      <text>
        <r>
          <rPr>
            <rFont val="Aptos Narrow"/>
            <b/>
            <color rgb="FFFFFFFF"/>
            <sz val="11"/>
          </rPr>
          <t>URL to the original source.</t>
        </r>
      </text>
    </comment>
    <comment ref="F1" authorId="0">
      <text>
        <r>
          <rPr>
            <rFont val="Aptos Narrow"/>
            <b/>
            <color rgb="FFFFFFFF"/>
            <sz val="11"/>
          </rPr>
          <t>Year the study was published. Used for temporal stratification and pre-registration dating.</t>
        </r>
      </text>
    </comment>
    <comment ref="G1" authorId="0">
      <text>
        <r>
          <rPr>
            <rFont val="Aptos Narrow"/>
            <b/>
            <color rgb="FFFFFFFF"/>
            <sz val="11"/>
          </rPr>
          <t>Research domain: medicine | epidemiology | social-science | education | legal | sports | economics | synthetic. Enables cross-domain SignalPurity stratification.</t>
        </r>
      </text>
    </comment>
    <comment ref="H1" authorId="0">
      <text>
        <r>
          <rPr>
            <rFont val="Aptos Narrow"/>
            <b/>
            <color rgb="FFFFFFFF"/>
            <sz val="11"/>
          </rPr>
          <t>TRUE for constructed/counterfactual studies; FALSE for real published studies. Filters the corpus for empirical claims.</t>
        </r>
      </text>
    </comment>
    <comment ref="I1" authorId="0">
      <text>
        <r>
          <rPr>
            <rFont val="Aptos Narrow"/>
            <b/>
            <color rgb="FFFFFFFF"/>
            <sz val="11"/>
          </rPr>
          <t>Total number of cases (trials) across all CaseCells in this study.</t>
        </r>
      </text>
    </comment>
    <comment ref="J1" authorId="0">
      <text>
        <r>
          <rPr>
            <rFont val="Aptos Narrow"/>
            <b/>
            <color rgb="FFFFFFFF"/>
            <sz val="11"/>
          </rPr>
          <t>Number of CaseCell rows for this study.</t>
        </r>
      </text>
    </comment>
    <comment ref="K1" authorId="0">
      <text>
        <r>
          <rPr>
            <rFont val="Aptos Narrow"/>
            <b/>
            <color rgb="FFFFFFFF"/>
            <sz val="11"/>
          </rPr>
          <t>FK → ResearchTraditions.TraditionId. The scholarly tradition whose framing best characterizes this study's paradox type. Synthetic studies inherit the tradition of their conceptual origin.</t>
        </r>
      </text>
    </comment>
    <comment ref="L1" authorId="0">
      <text>
        <r>
          <rPr>
            <rFont val="Aptos Narrow"/>
            <b/>
            <color rgb="FFFFFFFF"/>
            <sz val="11"/>
          </rPr>
          <t>FK → Researchers.ResearcherId. The researcher most associated with first surfacing or canonically citing this study in the Simpson's Paradox literature.</t>
        </r>
      </text>
    </comment>
    <comment ref="M1" authorId="0">
      <text>
        <r>
          <rPr>
            <rFont val="Aptos Narrow"/>
            <b/>
            <color rgb="FFFFFFFF"/>
            <sz val="11"/>
          </rPr>
          <t>Lookup: ResearchTraditions.Name via TraditionId.</t>
        </r>
      </text>
    </comment>
    <comment ref="N1" authorId="0">
      <text>
        <r>
          <rPr>
            <rFont val="Aptos Narrow"/>
            <b/>
            <color rgb="FFFFFFFF"/>
            <sz val="11"/>
          </rPr>
          <t>Lookup: ResearchTraditions.CoreConcern via TraditionId.</t>
        </r>
      </text>
    </comment>
    <comment ref="O1" authorId="0">
      <text>
        <r>
          <rPr>
            <rFont val="Aptos Narrow"/>
            <b/>
            <color rgb="FFFFFFFF"/>
            <sz val="11"/>
          </rPr>
          <t>Lookup: Researchers.Name via PrimaryResearcherId.</t>
        </r>
      </text>
    </comment>
    <comment ref="P1" authorId="0">
      <text>
        <r>
          <rPr>
            <rFont val="Aptos Narrow"/>
            <b/>
            <color rgb="FFFFFFFF"/>
            <sz val="11"/>
          </rPr>
          <t>Lookup: Researchers.Affiliation via PrimaryResearcherId.</t>
        </r>
      </text>
    </comment>
    <comment ref="Q1" authorId="0">
      <text>
        <r>
          <rPr>
            <rFont val="Aptos Narrow"/>
            <b/>
            <color rgb="FFFFFFFF"/>
            <sz val="11"/>
          </rPr>
          <t>Lookup: TreatmentRankings.DistortionType for this study — the geometric classification of its paradox.</t>
        </r>
      </text>
    </comment>
    <comment ref="R1" authorId="0">
      <text>
        <r>
          <rPr>
            <rFont val="Aptos Narrow"/>
            <b/>
            <color rgb="FFFFFFFF"/>
            <sz val="11"/>
          </rPr>
          <t>Lookup: TreatmentRankings.CorrectedPolicyImplication for this study.</t>
        </r>
      </text>
    </comment>
    <comment ref="S1" authorId="0">
      <text>
        <r>
          <rPr>
            <rFont val="Aptos Narrow"/>
            <b/>
            <color rgb="FFFFFFFF"/>
            <sz val="11"/>
          </rPr>
          <t>Lookup: TreatmentRankings.AllocationDistortion for this study — the scalar severity of allocation-induced distortion.</t>
        </r>
      </text>
    </comment>
    <comment ref="T1" authorId="0">
      <text>
        <r>
          <rPr>
            <rFont val="Aptos Narrow"/>
            <b/>
            <color rgb="FFFFFFFF"/>
            <sz val="11"/>
          </rPr>
          <t>Lookup: TreatmentRankings.SignalPurity for this study — ratio of true signal to total gap width.</t>
        </r>
      </text>
    </comment>
    <comment ref="U1" authorId="0">
      <text>
        <r>
          <rPr>
            <rFont val="Aptos Narrow"/>
            <b/>
            <color rgb="FFFFFFFF"/>
            <sz val="11"/>
          </rPr>
          <t>Lookup: TreatmentRankings.IsSignFlip for this study — true if the paradox satisfies the continuous sign-flip definition.</t>
        </r>
      </text>
    </comment>
    <comment ref="V1" authorId="0">
      <text>
        <r>
          <rPr>
            <rFont val="Aptos Narrow"/>
            <b/>
            <color rgb="FFFFFFFF"/>
            <sz val="11"/>
          </rPr>
          <t>Lookup: TreatmentRankings.CorrectedWinner for this study — which treatment wins after allocation correction.</t>
        </r>
      </text>
    </comment>
    <comment ref="W1" authorId="0">
      <text>
        <r>
          <rPr>
            <rFont val="Aptos Narrow"/>
            <b/>
            <color rgb="FFFFFFFF"/>
            <sz val="11"/>
          </rPr>
          <t>Lookup: StratumVariables.VariableName for this study — the named stratifying variable.</t>
        </r>
      </text>
    </comment>
    <comment ref="X1" authorId="0">
      <text>
        <r>
          <rPr>
            <rFont val="Aptos Narrow"/>
            <b/>
            <color rgb="FFFFFFFF"/>
            <sz val="11"/>
          </rPr>
          <t>Lookup: StratumVariables.CausalRole for this study — confounder, mediator, collider, proxy, or contested.</t>
        </r>
      </text>
    </comment>
    <comment ref="Y1" authorId="0">
      <text>
        <r>
          <rPr>
            <rFont val="Aptos Narrow"/>
            <b/>
            <color rgb="FFFFFFFF"/>
            <sz val="11"/>
          </rPr>
          <t>TRUE when CellCount = 2 x StratumCount.</t>
        </r>
      </text>
    </comment>
    <comment ref="Z1" authorId="0">
      <text>
        <r>
          <rPr>
            <rFont val="Aptos Narrow"/>
            <b/>
            <color rgb="FFFFFFFF"/>
            <sz val="11"/>
          </rPr>
          <t>all | partial | exempt-synthetic.</t>
        </r>
      </text>
    </comment>
    <comment ref="B1" authorId="0">
      <text>
        <r>
          <rPr>
            <rFont val="Aptos Narrow"/>
            <b/>
            <color rgb="FFFFFFFF"/>
            <sz val="11"/>
          </rPr>
          <t>Display label, mirrors StudyId.</t>
        </r>
      </text>
    </comment>
  </commentList>
</comments>
</file>

<file path=xl/comments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kidney-1986-A, kidney-1986-B).</t>
        </r>
      </text>
    </comment>
    <comment ref="C1" authorId="0">
      <text>
        <r>
          <rPr>
            <rFont val="Aptos Narrow"/>
            <b/>
            <color rgb="FFFFFFFF"/>
            <sz val="11"/>
          </rPr>
          <t>FK to the parent Study.</t>
        </r>
      </text>
    </comment>
    <comment ref="D1" authorId="0">
      <text>
        <r>
          <rPr>
            <rFont val="Aptos Narrow"/>
            <b/>
            <color rgb="FFFFFFFF"/>
            <sz val="11"/>
          </rPr>
          <t>Short label used in CaseCells and comparisons (e.g. A, B).</t>
        </r>
      </text>
    </comment>
    <comment ref="E1" authorId="0">
      <text>
        <r>
          <rPr>
            <rFont val="Aptos Narrow"/>
            <b/>
            <color rgb="FFFFFFFF"/>
            <sz val="11"/>
          </rPr>
          <t>Plain-language description of what this treatment is.</t>
        </r>
      </text>
    </comment>
    <comment ref="F1" authorId="0">
      <text>
        <r>
          <rPr>
            <rFont val="Aptos Narrow"/>
            <b/>
            <color rgb="FFFFFFFF"/>
            <sz val="11"/>
          </rPr>
          <t>Total cases for this treatment across all strata.</t>
        </r>
      </text>
    </comment>
    <comment ref="G1" authorId="0">
      <text>
        <r>
          <rPr>
            <rFont val="Aptos Narrow"/>
            <b/>
            <color rgb="FFFFFFFF"/>
            <sz val="11"/>
          </rPr>
          <t>Total successes for this treatment across all strata.</t>
        </r>
      </text>
    </comment>
    <comment ref="H1" authorId="0">
      <text>
        <r>
          <rPr>
            <rFont val="Aptos Narrow"/>
            <b/>
            <color rgb="FFFFFFFF"/>
            <sz val="11"/>
          </rPr>
          <t>Pooled (across all strata) success rate for this treatment: TotalSuccesses / TotalCases.</t>
        </r>
      </text>
    </comment>
    <comment ref="B1" authorId="0">
      <text>
        <r>
          <rPr>
            <rFont val="Aptos Narrow"/>
            <b/>
            <color rgb="FFFFFFFF"/>
            <sz val="11"/>
          </rPr>
          <t>Display label.</t>
        </r>
      </text>
    </comment>
  </commentList>
</comments>
</file>

<file path=xl/comments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kidney-1986-small, kidney-1986-large).</t>
        </r>
      </text>
    </comment>
    <comment ref="C1" authorId="0">
      <text>
        <r>
          <rPr>
            <rFont val="Aptos Narrow"/>
            <b/>
            <color rgb="FFFFFFFF"/>
            <sz val="11"/>
          </rPr>
          <t>FK to the parent Study.</t>
        </r>
      </text>
    </comment>
    <comment ref="D1" authorId="0">
      <text>
        <r>
          <rPr>
            <rFont val="Aptos Narrow"/>
            <b/>
            <color rgb="FFFFFFFF"/>
            <sz val="11"/>
          </rPr>
          <t>Short label used in CaseCells (e.g. small, large, dept-A).</t>
        </r>
      </text>
    </comment>
    <comment ref="E1" authorId="0">
      <text>
        <r>
          <rPr>
            <rFont val="Aptos Narrow"/>
            <b/>
            <color rgb="FFFFFFFF"/>
            <sz val="11"/>
          </rPr>
          <t>Plain-language description of what defines this stratum.</t>
        </r>
      </text>
    </comment>
    <comment ref="F1" authorId="0">
      <text>
        <r>
          <rPr>
            <rFont val="Aptos Narrow"/>
            <b/>
            <color rgb="FFFFFFFF"/>
            <sz val="11"/>
          </rPr>
          <t>Total cases in this stratum across all treatments.</t>
        </r>
      </text>
    </comment>
    <comment ref="B1" authorId="0">
      <text>
        <r>
          <rPr>
            <rFont val="Aptos Narrow"/>
            <b/>
            <color rgb="FFFFFFFF"/>
            <sz val="11"/>
          </rPr>
          <t>Display label.</t>
        </r>
      </text>
    </comment>
  </commentList>
</comments>
</file>

<file path=xl/comments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kidney-1986-small-A).</t>
        </r>
      </text>
    </comment>
    <comment ref="C1" authorId="0">
      <text>
        <r>
          <rPr>
            <rFont val="Aptos Narrow"/>
            <b/>
            <color rgb="FFFFFFFF"/>
            <sz val="11"/>
          </rPr>
          <t>FK to the parent Study.</t>
        </r>
      </text>
    </comment>
    <comment ref="D1" authorId="0">
      <text>
        <r>
          <rPr>
            <rFont val="Aptos Narrow"/>
            <b/>
            <color rgb="FFFFFFFF"/>
            <sz val="11"/>
          </rPr>
          <t>The stratum this cell belongs to (matches Strata.StratumLabel).</t>
        </r>
      </text>
    </comment>
    <comment ref="E1" authorId="0">
      <text>
        <r>
          <rPr>
            <rFont val="Aptos Narrow"/>
            <b/>
            <color rgb="FFFFFFFF"/>
            <sz val="11"/>
          </rPr>
          <t>The treatment applied in this cell (matches Treatments.TreatmentLabel).</t>
        </r>
      </text>
    </comment>
    <comment ref="F1" authorId="0">
      <text>
        <r>
          <rPr>
            <rFont val="Aptos Narrow"/>
            <b/>
            <color rgb="FFFFFFFF"/>
            <sz val="11"/>
          </rPr>
          <t>Number of patients in this cell who had a successful outcome. RAW INPUT — never derived.</t>
        </r>
      </text>
    </comment>
    <comment ref="G1" authorId="0">
      <text>
        <r>
          <rPr>
            <rFont val="Aptos Narrow"/>
            <b/>
            <color rgb="FFFFFFFF"/>
            <sz val="11"/>
          </rPr>
          <t>Total number of patients in this cell. RAW INPUT — never derived.</t>
        </r>
      </text>
    </comment>
    <comment ref="H1" authorId="0">
      <text>
        <r>
          <rPr>
            <rFont val="Aptos Narrow"/>
            <b/>
            <color rgb="FFFFFFFF"/>
            <sz val="11"/>
          </rPr>
          <t>Success rate within this cell: Successes / Cases. The first derived fact in the DAG.</t>
        </r>
      </text>
    </comment>
    <comment ref="I1" authorId="0">
      <text>
        <r>
          <rPr>
            <rFont val="Aptos Narrow"/>
            <b/>
            <color rgb="FFFFFFFF"/>
            <sz val="11"/>
          </rPr>
          <t>Total cases across ALL strata for this treatment in this study — the denominator for TreatmentExposureFraction.</t>
        </r>
      </text>
    </comment>
    <comment ref="J1" authorId="0">
      <text>
        <r>
          <rPr>
            <rFont val="Aptos Narrow"/>
            <b/>
            <color rgb="FFFFFFFF"/>
            <sz val="11"/>
          </rPr>
          <t>Fraction of this treatment's total cases that fall in this stratum: Cases / TotalCasesForTreatment. High imbalance across strata is the mechanism of confounding — when treatments are allocated very differently across strata, the pooled rate conflates treatment effect with stratum difficulty.</t>
        </r>
      </text>
    </comment>
    <comment ref="K1" authorId="0">
      <text>
        <r>
          <rPr>
            <rFont val="Aptos Narrow"/>
            <b/>
            <color rgb="FFFFFFFF"/>
            <sz val="11"/>
          </rPr>
          <t>TRUE when Cases&gt;0, Successes&gt;=0, and Successes&lt;=Cases.</t>
        </r>
      </text>
    </comment>
    <comment ref="B1" authorId="0">
      <text>
        <r>
          <rPr>
            <rFont val="Aptos Narrow"/>
            <b/>
            <color rgb="FFFFFFFF"/>
            <sz val="11"/>
          </rPr>
          <t>Display label.</t>
        </r>
      </text>
    </comment>
  </commentList>
</comments>
</file>

<file path=xl/comments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kidney-1986-small-A).</t>
        </r>
      </text>
    </comment>
    <comment ref="C1" authorId="0">
      <text>
        <r>
          <rPr>
            <rFont val="Aptos Narrow"/>
            <b/>
            <color rgb="FFFFFFFF"/>
            <sz val="11"/>
          </rPr>
          <t>FK to the parent Study.</t>
        </r>
      </text>
    </comment>
    <comment ref="D1" authorId="0">
      <text>
        <r>
          <rPr>
            <rFont val="Aptos Narrow"/>
            <b/>
            <color rgb="FFFFFFFF"/>
            <sz val="11"/>
          </rPr>
          <t>Which stratum (matches Strata.StratumLabel).</t>
        </r>
      </text>
    </comment>
    <comment ref="E1" authorId="0">
      <text>
        <r>
          <rPr>
            <rFont val="Aptos Narrow"/>
            <b/>
            <color rgb="FFFFFFFF"/>
            <sz val="11"/>
          </rPr>
          <t>Which treatment (matches Treatments.TreatmentLabel).</t>
        </r>
      </text>
    </comment>
    <comment ref="F1" authorId="0">
      <text>
        <r>
          <rPr>
            <rFont val="Aptos Narrow"/>
            <b/>
            <color rgb="FFFFFFFF"/>
            <sz val="11"/>
          </rPr>
          <t>Total successes in this (stratum, treatment) cell for this study.</t>
        </r>
      </text>
    </comment>
    <comment ref="G1" authorId="0">
      <text>
        <r>
          <rPr>
            <rFont val="Aptos Narrow"/>
            <b/>
            <color rgb="FFFFFFFF"/>
            <sz val="11"/>
          </rPr>
          <t>Total cases in this (stratum, treatment) cell for this study.</t>
        </r>
      </text>
    </comment>
    <comment ref="H1" authorId="0">
      <text>
        <r>
          <rPr>
            <rFont val="Aptos Narrow"/>
            <b/>
            <color rgb="FFFFFFFF"/>
            <sz val="11"/>
          </rPr>
          <t>Success rate within this stratum for this treatment: StratumSuccesses / StratumCases. The true per-stratum picture.</t>
        </r>
      </text>
    </comment>
    <comment ref="I1" authorId="0">
      <text>
        <r>
          <rPr>
            <rFont val="Aptos Narrow"/>
            <b/>
            <color rgb="FFFFFFFF"/>
            <sz val="11"/>
          </rPr>
          <t>Successes for treatment A in this (study, stratum) — used to determine the per-stratum winner.</t>
        </r>
      </text>
    </comment>
    <comment ref="J1" authorId="0">
      <text>
        <r>
          <rPr>
            <rFont val="Aptos Narrow"/>
            <b/>
            <color rgb="FFFFFFFF"/>
            <sz val="11"/>
          </rPr>
          <t>Cases for treatment A in this (study, stratum).</t>
        </r>
      </text>
    </comment>
    <comment ref="K1" authorId="0">
      <text>
        <r>
          <rPr>
            <rFont val="Aptos Narrow"/>
            <b/>
            <color rgb="FFFFFFFF"/>
            <sz val="11"/>
          </rPr>
          <t>Success rate for treatment A in this stratum.</t>
        </r>
      </text>
    </comment>
    <comment ref="L1" authorId="0">
      <text>
        <r>
          <rPr>
            <rFont val="Aptos Narrow"/>
            <b/>
            <color rgb="FFFFFFFF"/>
            <sz val="11"/>
          </rPr>
          <t>Successes for treatment B in this (study, stratum).</t>
        </r>
      </text>
    </comment>
    <comment ref="M1" authorId="0">
      <text>
        <r>
          <rPr>
            <rFont val="Aptos Narrow"/>
            <b/>
            <color rgb="FFFFFFFF"/>
            <sz val="11"/>
          </rPr>
          <t>Cases for treatment B in this (study, stratum).</t>
        </r>
      </text>
    </comment>
    <comment ref="N1" authorId="0">
      <text>
        <r>
          <rPr>
            <rFont val="Aptos Narrow"/>
            <b/>
            <color rgb="FFFFFFFF"/>
            <sz val="11"/>
          </rPr>
          <t>Success rate for treatment B in this stratum.</t>
        </r>
      </text>
    </comment>
    <comment ref="O1" authorId="0">
      <text>
        <r>
          <rPr>
            <rFont val="Aptos Narrow"/>
            <b/>
            <color rgb="FFFFFFFF"/>
            <sz val="11"/>
          </rPr>
          <t>Which treatment wins in this stratum: 'A' if StratumRateA &gt; StratumRateB, else 'B'. Used by TreatmentRankings to detect paradox.</t>
        </r>
      </text>
    </comment>
    <comment ref="P1" authorId="0">
      <text>
        <r>
          <rPr>
            <rFont val="Aptos Narrow"/>
            <b/>
            <color rgb="FFFFFFFF"/>
            <sz val="11"/>
          </rPr>
          <t>Total cases across ALL strata and ALL treatments in this study. The denominator for StratumFraction.</t>
        </r>
      </text>
    </comment>
    <comment ref="Q1" authorId="0">
      <text>
        <r>
          <rPr>
            <rFont val="Aptos Narrow"/>
            <b/>
            <color rgb="FFFFFFFF"/>
            <sz val="11"/>
          </rPr>
          <t>Total cases in this stratum across both treatments (A + B combined). Numerator for StratumFraction.</t>
        </r>
      </text>
    </comment>
    <comment ref="R1" authorId="0">
      <text>
        <r>
          <rPr>
            <rFont val="Aptos Narrow"/>
            <b/>
            <color rgb="FFFFFFFF"/>
            <sz val="11"/>
          </rPr>
          <t>Fraction of the study's total cases that fall in this stratum: StratumTotalCases / StudyTotalCases. The weight the confounder assigns to each stratum. A large StratumFraction on a low-success stratum pulls the pooled rate down; when that stratum is also over-allocated to one treatment, it creates the reversal.</t>
        </r>
      </text>
    </comment>
    <comment ref="S1" authorId="0">
      <text>
        <r>
          <rPr>
            <rFont val="Aptos Narrow"/>
            <b/>
            <color rgb="FFFFFFFF"/>
            <sz val="11"/>
          </rPr>
          <t>StratumFraction × StratumSuccessRate. The contribution of this (stratum, treatment) row to the study-level pooled rate. Summing WeightedStratumRate across all strata for a given treatment reconstructs that treatment's pooled rate from stratum weights — witnessing the mechanism equation.</t>
        </r>
      </text>
    </comment>
    <comment ref="T1" authorId="0">
      <text>
        <r>
          <rPr>
            <rFont val="Aptos Narrow"/>
            <b/>
            <color rgb="FFFFFFFF"/>
            <sz val="11"/>
          </rPr>
          <t>Cases for treatment A in this stratum — used to compute TreatmentA's allocation fraction in this stratum.</t>
        </r>
      </text>
    </comment>
    <comment ref="U1" authorId="0">
      <text>
        <r>
          <rPr>
            <rFont val="Aptos Narrow"/>
            <b/>
            <color rgb="FFFFFFFF"/>
            <sz val="11"/>
          </rPr>
          <t>Cases for treatment B in this stratum — used to compute TreatmentB's allocation fraction in this stratum.</t>
        </r>
      </text>
    </comment>
    <comment ref="V1" authorId="0">
      <text>
        <r>
          <rPr>
            <rFont val="Aptos Narrow"/>
            <b/>
            <color rgb="FFFFFFFF"/>
            <sz val="11"/>
          </rPr>
          <t>Total cases for treatment A across all strata in this study — denominator for AllocationFractionA.</t>
        </r>
      </text>
    </comment>
    <comment ref="W1" authorId="0">
      <text>
        <r>
          <rPr>
            <rFont val="Aptos Narrow"/>
            <b/>
            <color rgb="FFFFFFFF"/>
            <sz val="11"/>
          </rPr>
          <t>Total cases for treatment B across all strata in this study — denominator for AllocationFractionB.</t>
        </r>
      </text>
    </comment>
    <comment ref="X1" authorId="0">
      <text>
        <r>
          <rPr>
            <rFont val="Aptos Narrow"/>
            <b/>
            <color rgb="FFFFFFFF"/>
            <sz val="11"/>
          </rPr>
          <t>Fraction of treatment A's total cases that land in this stratum: TreatmentACasesHere / TreatmentATotalCases. Equivalent to TreatmentExposureFraction for A.</t>
        </r>
      </text>
    </comment>
    <comment ref="Y1" authorId="0">
      <text>
        <r>
          <rPr>
            <rFont val="Aptos Narrow"/>
            <b/>
            <color rgb="FFFFFFFF"/>
            <sz val="11"/>
          </rPr>
          <t>Fraction of treatment B's total cases that land in this stratum: TreatmentBCasesHere / TreatmentBTotalCases.</t>
        </r>
      </text>
    </comment>
    <comment ref="Z1" authorId="0">
      <text>
        <r>
          <rPr>
            <rFont val="Aptos Narrow"/>
            <b/>
            <color rgb="FFFFFFFF"/>
            <sz val="11"/>
          </rPr>
          <t>AllocationFractionA minus AllocationFractionB: how much more of treatment A (relative to B) is concentrated in this stratum. Positive = A is over-allocated here; negative = B is over-allocated here. When AllocationBias is large and negative in a low-success stratum, treatment A is under-represented in the hard cases — making A look worse in the pooled view than it is in any stratum. This is the confounder's fingerprint as a signed number.</t>
        </r>
      </text>
    </comment>
    <comment ref="AA1" authorId="0">
      <text>
        <r>
          <rPr>
            <rFont val="Aptos Narrow"/>
            <b/>
            <color rgb="FFFFFFFF"/>
            <sz val="11"/>
          </rPr>
          <t>Signed rate difference within this stratum: StratumRateA minus StratumRateB. Positive = A wins here; negative = B wins here; zero = tied. When every stratum has StratumGap &gt; 0 but the pooled gap is negative, the contradiction IS Simpson's Paradox made arithmetically visible in one column. Multiply StratumGap × StratumFraction and sum across strata to get the equal-weight pooled gap (the signal allocation would produce without confounding).</t>
        </r>
      </text>
    </comment>
    <comment ref="AB1" authorId="0">
      <text>
        <r>
          <rPr>
            <rFont val="Aptos Narrow"/>
            <b/>
            <color rgb="FFFFFFFF"/>
            <sz val="11"/>
          </rPr>
          <t>StratumGap × StratumFraction: the contribution of this stratum's treatment-rate difference to the equal-weight pooled gap. Summing WeightedStratumGap across all TreatmentA rows for a study gives WeightedStratumGapSum — the pooled gap the study would show under balanced allocation. This is the per-stratum building block of the sign-flip test.</t>
        </r>
      </text>
    </comment>
    <comment ref="B1" authorId="0">
      <text>
        <r>
          <rPr>
            <rFont val="Aptos Narrow"/>
            <b/>
            <color rgb="FFFFFFFF"/>
            <sz val="11"/>
          </rPr>
          <t>Display label.</t>
        </r>
      </text>
    </comment>
  </commentList>
</comments>
</file>

<file path=xl/comments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identifier for this model instance.</t>
        </r>
      </text>
    </comment>
    <comment ref="C1" authorId="0">
      <text>
        <r>
          <rPr>
            <rFont val="Aptos Narrow"/>
            <b/>
            <color rgb="FFFFFFFF"/>
            <sz val="11"/>
          </rPr>
          <t>Number of studies with IsReversal=TRUE (sign-flip / allocation-driven reversal).</t>
        </r>
      </text>
    </comment>
    <comment ref="D1" authorId="0">
      <text>
        <r>
          <rPr>
            <rFont val="Aptos Narrow"/>
            <b/>
            <color rgb="FFFFFFFF"/>
            <sz val="11"/>
          </rPr>
          <t>Number of studies with IsReversal=FALSE.</t>
        </r>
      </text>
    </comment>
    <comment ref="E1" authorId="0">
      <text>
        <r>
          <rPr>
            <rFont val="Aptos Narrow"/>
            <b/>
            <color rgb="FFFFFFFF"/>
            <sz val="11"/>
          </rPr>
          <t>Total number of TreatmentRankings in this model: ReversalCount + NonReversalCount.</t>
        </r>
      </text>
    </comment>
    <comment ref="F1" authorId="0">
      <text>
        <r>
          <rPr>
            <rFont val="Aptos Narrow"/>
            <b/>
            <color rgb="FFFFFFFF"/>
            <sz val="11"/>
          </rPr>
          <t>Number of studies with IsParadoxExplained=TRUE (reversal AND confirmed confounder).</t>
        </r>
      </text>
    </comment>
    <comment ref="G1" authorId="0">
      <text>
        <r>
          <rPr>
            <rFont val="Aptos Narrow"/>
            <b/>
            <color rgb="FFFFFFFF"/>
            <sz val="11"/>
          </rPr>
          <t>Sum of ParadoxStrength across all studies. Used to compute average.</t>
        </r>
      </text>
    </comment>
    <comment ref="H1" authorId="0">
      <text>
        <r>
          <rPr>
            <rFont val="Aptos Narrow"/>
            <b/>
            <color rgb="FFFFFFFF"/>
            <sz val="11"/>
          </rPr>
          <t>Average ParadoxStrength across all studies: TotalParadoxStrength / StudyCount. A scalar summary of how paradox-rich this dataset is.</t>
        </r>
      </text>
    </comment>
    <comment ref="I1" authorId="0">
      <text>
        <r>
          <rPr>
            <rFont val="Aptos Narrow"/>
            <b/>
            <color rgb="FFFFFFFF"/>
            <sz val="11"/>
          </rPr>
          <t>Studies classified as Type-A: sign flip AND full reversal (ReversalIntensity=1). The canonical Simpson's Paradox — allocation distortion reverses the pooled winner.</t>
        </r>
      </text>
    </comment>
    <comment ref="J1" authorId="0">
      <text>
        <r>
          <rPr>
            <rFont val="Aptos Narrow"/>
            <b/>
            <color rgb="FFFFFFFF"/>
            <sz val="11"/>
          </rPr>
          <t>Studies classified as Type-B: sign flip but partial reversal (ReversalIntensity&lt;1). Allocation distortion creates a sign flip but the pooled signal partially reflects per-stratum reality.</t>
        </r>
      </text>
    </comment>
    <comment ref="K1" authorId="0">
      <text>
        <r>
          <rPr>
            <rFont val="Aptos Narrow"/>
            <b/>
            <color rgb="FFFFFFFF"/>
            <sz val="11"/>
          </rPr>
          <t>Studies classified as Type-D: no sign flip, negligible distortion. Pooled analysis is trustworthy — allocation is sufficiently balanced.</t>
        </r>
      </text>
    </comment>
    <comment ref="L1" authorId="0">
      <text>
        <r>
          <rPr>
            <rFont val="Aptos Narrow"/>
            <b/>
            <color rgb="FFFFFFFF"/>
            <sz val="11"/>
          </rPr>
          <t>Fraction of studies that are Type-A (full canonical reversals). TypeACount / StudyCount.</t>
        </r>
      </text>
    </comment>
    <comment ref="M1" authorId="0">
      <text>
        <r>
          <rPr>
            <rFont val="Aptos Narrow"/>
            <b/>
            <color rgb="FFFFFFFF"/>
            <sz val="11"/>
          </rPr>
          <t>Human-readable summary of the four-type distribution: e.g. 'A:2 B:1 C:1 D:0'. The model's self-portrait of its own distortion geometry.</t>
        </r>
      </text>
    </comment>
    <comment ref="N1" authorId="0">
      <text>
        <r>
          <rPr>
            <rFont val="Aptos Narrow"/>
            <b/>
            <color rgb="FFFFFFFF"/>
            <sz val="11"/>
          </rPr>
          <t>Number of studies with real allocation distortion but no sign flip: TypeCCount. The pooled winner is correct but the effect size is biased. Distinct from ZeroStrengthCount, which conflates Type-C (real distortion) with Type-D (neutral).</t>
        </r>
      </text>
    </comment>
    <comment ref="O1" authorId="0">
      <text>
        <r>
          <rPr>
            <rFont val="Aptos Narrow"/>
            <b/>
            <color rgb="FFFFFFFF"/>
            <sz val="11"/>
          </rPr>
          <t>Number of studies classified as type C+ (allocation-amplified): pooled winner is correct but pooled gap overstates true advantage. Causes researcher overconfidence — may accept higher cost/risk than true effect warrants.</t>
        </r>
      </text>
    </comment>
    <comment ref="P1" authorId="0">
      <text>
        <r>
          <rPr>
            <rFont val="Aptos Narrow"/>
            <b/>
            <color rgb="FFFFFFFF"/>
            <sz val="11"/>
          </rPr>
          <t>Number of studies classified as type C- (allocation-compressed): pooled winner is correct but pooled gap understates true advantage. Causes researcher underconfidence — effective treatment may be prematurely abandoned.</t>
        </r>
      </text>
    </comment>
    <comment ref="Q1" authorId="0">
      <text>
        <r>
          <rPr>
            <rFont val="Aptos Narrow"/>
            <b/>
            <color rgb="FFFFFFFF"/>
            <sz val="11"/>
          </rPr>
          <t>Average SignalPurity across all TreatmentRankings. Below 0.5 means allocation noise exceeds true signal on average — the corpus is predominantly misleading at the pooled level. Above 0.5 means the corpus is predominantly trustworthy.</t>
        </r>
      </text>
    </comment>
    <comment ref="R1" authorId="0">
      <text>
        <r>
          <rPr>
            <rFont val="Aptos Narrow"/>
            <b/>
            <color rgb="FFFFFFFF"/>
            <sz val="11"/>
          </rPr>
          <t>Maximum SweepCorrectedGap across all AllocationSweep rows. Should equal SweepCorrectedGapMin — the invariant.</t>
        </r>
      </text>
    </comment>
    <comment ref="S1" authorId="0">
      <text>
        <r>
          <rPr>
            <rFont val="Aptos Narrow"/>
            <b/>
            <color rgb="FFFFFFFF"/>
            <sz val="11"/>
          </rPr>
          <t>Minimum SweepCorrectedGap across all AllocationSweep rows. Should equal SweepCorrectedGapMax — the invariant.</t>
        </r>
      </text>
    </comment>
    <comment ref="T1" authorId="0">
      <text>
        <r>
          <rPr>
            <rFont val="Aptos Narrow"/>
            <b/>
            <color rgb="FFFFFFFF"/>
            <sz val="11"/>
          </rPr>
          <t>SweepCorrectedGapMax − SweepCorrectedGapMin. The allocation-invariance witness: this should be zero (up to floating-point rounding). If nonzero, the corrected gap is not allocation-free.</t>
        </r>
      </text>
    </comment>
    <comment ref="U1" authorId="0">
      <text>
        <r>
          <rPr>
            <rFont val="Aptos Narrow"/>
            <b/>
            <color rgb="FFFFFFFF"/>
            <sz val="11"/>
          </rPr>
          <t>MAX(SweepPooledGap) − MIN(SweepPooledGap) across all AllocationSweep rows. Expected to be large (≈0.21) — the pooled gap wanders as allocation shifts.</t>
        </r>
      </text>
    </comment>
    <comment ref="V1" authorId="0">
      <text>
        <r>
          <rPr>
            <rFont val="Aptos Narrow"/>
            <b/>
            <color rgb="FFFFFFFF"/>
            <sz val="11"/>
          </rPr>
          <t>Number of real (non-synthetic) published studies in the corpus.</t>
        </r>
      </text>
    </comment>
    <comment ref="W1" authorId="0">
      <text>
        <r>
          <rPr>
            <rFont val="Aptos Narrow"/>
            <b/>
            <color rgb="FFFFFFFF"/>
            <sz val="11"/>
          </rPr>
          <t>Average SignalPurity across reversal studies (type A and B). Theorem predicts this must be &lt; 0.5.</t>
        </r>
      </text>
    </comment>
    <comment ref="X1" authorId="0">
      <text>
        <r>
          <rPr>
            <rFont val="Aptos Narrow"/>
            <b/>
            <color rgb="FFFFFFFF"/>
            <sz val="11"/>
          </rPr>
          <t>Average SignalPurity across non-reversal studies (type C+, C-, D). Theorem predicts this must be &gt;= 0.5 except edge cases.</t>
        </r>
      </text>
    </comment>
    <comment ref="Y1" authorId="0">
      <text>
        <r>
          <rPr>
            <rFont val="Aptos Narrow"/>
            <b/>
            <color rgb="FFFFFFFF"/>
            <sz val="11"/>
          </rPr>
          <t>Separation between reversal and non-reversal average SignalPurity. The larger this gap, the more discriminating the threshold at 0.5.</t>
        </r>
      </text>
    </comment>
    <comment ref="Z1" authorId="0">
      <text>
        <r>
          <rPr>
            <rFont val="Aptos Narrow"/>
            <b/>
            <color rgb="FFFFFFFF"/>
            <sz val="11"/>
          </rPr>
          <t>Real published studies in the medicine domain.</t>
        </r>
      </text>
    </comment>
    <comment ref="AA1" authorId="0">
      <text>
        <r>
          <rPr>
            <rFont val="Aptos Narrow"/>
            <b/>
            <color rgb="FFFFFFFF"/>
            <sz val="11"/>
          </rPr>
          <t>Real published studies in the epidemiology domain.</t>
        </r>
      </text>
    </comment>
    <comment ref="AB1" authorId="0">
      <text>
        <r>
          <rPr>
            <rFont val="Aptos Narrow"/>
            <b/>
            <color rgb="FFFFFFFF"/>
            <sz val="11"/>
          </rPr>
          <t>Real published studies outside medicine and epidemiology (sports, legal, education, social-science).</t>
        </r>
      </text>
    </comment>
    <comment ref="AC1" authorId="0">
      <text>
        <r>
          <rPr>
            <rFont val="Aptos Narrow"/>
            <b/>
            <color rgb="FFFFFFFF"/>
            <sz val="11"/>
          </rPr>
          <t>Human-readable domain breakdown. Witnesses corpus diversity — a prerequisite for cross-domain SignalPurity claims.</t>
        </r>
      </text>
    </comment>
    <comment ref="AD1" authorId="0">
      <text>
        <r>
          <rPr>
            <rFont val="Aptos Narrow"/>
            <b/>
            <color rgb="FFFFFFFF"/>
            <sz val="11"/>
          </rPr>
          <t>Number of parameter grid points in SyntheticPhase. Refreshed from vw_phase_diagram_summary by 05b-customize-data.sql.</t>
        </r>
      </text>
    </comment>
    <comment ref="AE1" authorId="0">
      <text>
        <r>
          <rPr>
            <rFont val="Aptos Narrow"/>
            <b/>
            <color rgb="FFFFFFFF"/>
            <sz val="11"/>
          </rPr>
          <t>TRUE when all five DistortionType cells are populated in the synthetic phase grid. Refreshed from vw_phase_diagram_summary by 05b.</t>
        </r>
      </text>
    </comment>
    <comment ref="AF1" authorId="0">
      <text>
        <r>
          <rPr>
            <rFont val="Aptos Narrow"/>
            <b/>
            <color rgb="FFFFFFFF"/>
            <sz val="11"/>
          </rPr>
          <t>Type counts across the synthetic phase grid. Refreshed from vw_phase_diagram_summary by 05b.</t>
        </r>
      </text>
    </comment>
    <comment ref="AG1" authorId="0">
      <text>
        <r>
          <rPr>
            <rFont val="Aptos Narrow"/>
            <b/>
            <color rgb="FFFFFFFF"/>
            <sz val="11"/>
          </rPr>
          <t>Number of rows in IngestionProtocol — the documented contract items.</t>
        </r>
      </text>
    </comment>
    <comment ref="AH1" authorId="0">
      <text>
        <r>
          <rPr>
            <rFont val="Aptos Narrow"/>
            <b/>
            <color rgb="FFFFFFFF"/>
            <sz val="11"/>
          </rPr>
          <t>Lookup: IngestionSummary.IngestionContractPasses.</t>
        </r>
      </text>
    </comment>
    <comment ref="AI1" authorId="0">
      <text>
        <r>
          <rPr>
            <rFont val="Aptos Narrow"/>
            <b/>
            <color rgb="FFFFFFFF"/>
            <sz val="11"/>
          </rPr>
          <t>Human-readable ingestion contract witness from IngestionSummary.</t>
        </r>
      </text>
    </comment>
    <comment ref="AJ1" authorId="0">
      <text>
        <r>
          <rPr>
            <rFont val="Aptos Narrow"/>
            <b/>
            <color rgb="FFFFFFFF"/>
            <sz val="11"/>
          </rPr>
          <t>Total catalog rows.</t>
        </r>
      </text>
    </comment>
    <comment ref="AK1" authorId="0">
      <text>
        <r>
          <rPr>
            <rFont val="Aptos Narrow"/>
            <b/>
            <color rgb="FFFFFFFF"/>
            <sz val="11"/>
          </rPr>
          <t>Candidate studies queued.</t>
        </r>
      </text>
    </comment>
    <comment ref="AL1" authorId="0">
      <text>
        <r>
          <rPr>
            <rFont val="Aptos Narrow"/>
            <b/>
            <color rgb="FFFFFFFF"/>
            <sz val="11"/>
          </rPr>
          <t>Encode-ready candidates.</t>
        </r>
      </text>
    </comment>
    <comment ref="AM1" authorId="0">
      <text>
        <r>
          <rPr>
            <rFont val="Aptos Narrow"/>
            <b/>
            <color rgb="FFFFFFFF"/>
            <sz val="11"/>
          </rPr>
          <t>Bulk import session readiness flag.</t>
        </r>
      </text>
    </comment>
    <comment ref="AN1" authorId="0">
      <text>
        <r>
          <rPr>
            <rFont val="Aptos Narrow"/>
            <b/>
            <color rgb="FFFFFFFF"/>
            <sz val="11"/>
          </rPr>
          <t>Import backlog witness string.</t>
        </r>
      </text>
    </comment>
    <comment ref="AO1" authorId="0">
      <text>
        <r>
          <rPr>
            <rFont val="Aptos Narrow"/>
            <b/>
            <color rgb="FFFFFFFF"/>
            <sz val="11"/>
          </rPr>
          <t>Type-D studies with LatentFlipPotential=TRUE.</t>
        </r>
      </text>
    </comment>
    <comment ref="AP1" authorId="0">
      <text>
        <r>
          <rPr>
            <rFont val="Aptos Narrow"/>
            <b/>
            <color rgb="FFFFFFFF"/>
            <sz val="11"/>
          </rPr>
          <t>Type-D studies without latent flip potential (allocation-stable at observed and counterfactual sweep).</t>
        </r>
      </text>
    </comment>
    <comment ref="AQ1" authorId="0">
      <text>
        <r>
          <rPr>
            <rFont val="Aptos Narrow"/>
            <b/>
            <color rgb="FFFFFFFF"/>
            <sz val="11"/>
          </rPr>
          <t>Fraction of Type-D studies with latent flip potential.</t>
        </r>
      </text>
    </comment>
    <comment ref="AR1" authorId="0">
      <text>
        <r>
          <rPr>
            <rFont val="Aptos Narrow"/>
            <b/>
            <color rgb="FFFFFFFF"/>
            <sz val="11"/>
          </rPr>
          <t>Studies whose pooled gap crosses zero under allocation sweep.</t>
        </r>
      </text>
    </comment>
    <comment ref="AS1" authorId="0">
      <text>
        <r>
          <rPr>
            <rFont val="Aptos Narrow"/>
            <b/>
            <color rgb="FFFFFFFF"/>
            <sz val="11"/>
          </rPr>
          <t>Maximum SignalPurity among sign-flip studies. Must stay below 0.5 for the signal-purity theorem.</t>
        </r>
      </text>
    </comment>
    <comment ref="AT1" authorId="0">
      <text>
        <r>
          <rPr>
            <rFont val="Aptos Narrow"/>
            <b/>
            <color rgb="FFFFFFFF"/>
            <sz val="11"/>
          </rPr>
          <t>Sign-flip count in economics domain.</t>
        </r>
      </text>
    </comment>
    <comment ref="AU1" authorId="0">
      <text>
        <r>
          <rPr>
            <rFont val="Aptos Narrow"/>
            <b/>
            <color rgb="FFFFFFFF"/>
            <sz val="11"/>
          </rPr>
          <t>Average PooledGap among Type-D studies with latent flip potential.</t>
        </r>
      </text>
    </comment>
    <comment ref="AV1" authorId="0">
      <text>
        <r>
          <rPr>
            <rFont val="Aptos Narrow"/>
            <b/>
            <color rgb="FFFFFFFF"/>
            <sz val="11"/>
          </rPr>
          <t>Average PooledGap among allocation-stable Type-D studies.</t>
        </r>
      </text>
    </comment>
    <comment ref="AW1" authorId="0">
      <text>
        <r>
          <rPr>
            <rFont val="Aptos Narrow"/>
            <b/>
            <color rgb="FFFFFFFF"/>
            <sz val="11"/>
          </rPr>
          <t>Mean AllocationDistortion in epidemiology studies.</t>
        </r>
      </text>
    </comment>
    <comment ref="AX1" authorId="0">
      <text>
        <r>
          <rPr>
            <rFont val="Aptos Narrow"/>
            <b/>
            <color rgb="FFFFFFFF"/>
            <sz val="11"/>
          </rPr>
          <t>Mean AllocationDistortion in education studies.</t>
        </r>
      </text>
    </comment>
    <comment ref="AY1" authorId="0">
      <text>
        <r>
          <rPr>
            <rFont val="Aptos Narrow"/>
            <b/>
            <color rgb="FFFFFFFF"/>
            <sz val="11"/>
          </rPr>
          <t>One-line summary of loop-61 empirical discovery findings.</t>
        </r>
      </text>
    </comment>
    <comment ref="B1" authorId="0">
      <text>
        <r>
          <rPr>
            <rFont val="Aptos Narrow"/>
            <b/>
            <color rgb="FFFFFFFF"/>
            <sz val="11"/>
          </rPr>
          <t>Display label.</t>
        </r>
      </text>
    </comment>
  </commentList>
</comments>
</file>

<file path=xl/comments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kidney-1986-stone-size).</t>
        </r>
      </text>
    </comment>
    <comment ref="C1" authorId="0">
      <text>
        <r>
          <rPr>
            <rFont val="Aptos Narrow"/>
            <b/>
            <color rgb="FFFFFFFF"/>
            <sz val="11"/>
          </rPr>
          <t>FK to the parent Study.</t>
        </r>
      </text>
    </comment>
    <comment ref="D1" authorId="0">
      <text>
        <r>
          <rPr>
            <rFont val="Aptos Narrow"/>
            <b/>
            <color rgb="FFFFFFFF"/>
            <sz val="11"/>
          </rPr>
          <t>The name of the stratifying variable (e.g. stone_size, department, age_group).</t>
        </r>
      </text>
    </comment>
    <comment ref="E1" authorId="0">
      <text>
        <r>
          <rPr>
            <rFont val="Aptos Narrow"/>
            <b/>
            <color rgb="FFFFFFFF"/>
            <sz val="11"/>
          </rPr>
          <t>The variable's causal role: 'confounder' (affects both assignment and outcome), 'mediator' (downstream of treatment), 'contested' (causal role disputed), 'unknown'.</t>
        </r>
      </text>
    </comment>
    <comment ref="F1" authorId="0">
      <text>
        <r>
          <rPr>
            <rFont val="Aptos Narrow"/>
            <b/>
            <color rgb="FFFFFFFF"/>
            <sz val="11"/>
          </rPr>
          <t>TRUE if this variable causally influences which treatment a patient receives. Required for confounding.</t>
        </r>
      </text>
    </comment>
    <comment ref="G1" authorId="0">
      <text>
        <r>
          <rPr>
            <rFont val="Aptos Narrow"/>
            <b/>
            <color rgb="FFFFFFFF"/>
            <sz val="11"/>
          </rPr>
          <t>TRUE if this variable causally influences the outcome independently of treatment. Required for confounding.</t>
        </r>
      </text>
    </comment>
    <comment ref="H1" authorId="0">
      <text>
        <r>
          <rPr>
            <rFont val="Aptos Narrow"/>
            <b/>
            <color rgb="FFFFFFFF"/>
            <sz val="11"/>
          </rPr>
          <t>TRUE when AffectsTreatmentAssignment AND AffectsOutcome AND CausalRole = 'confounder'. A confounder is the classic driver of Simpson's Paradox.</t>
        </r>
      </text>
    </comment>
    <comment ref="I1" authorId="0">
      <text>
        <r>
          <rPr>
            <rFont val="Aptos Narrow"/>
            <b/>
            <color rgb="FFFFFFFF"/>
            <sz val="11"/>
          </rPr>
          <t>Plain-language description of how this variable creates the confounding: why it affects both assignment and outcome.</t>
        </r>
      </text>
    </comment>
    <comment ref="J1" authorId="0">
      <text>
        <r>
          <rPr>
            <rFont val="Aptos Narrow"/>
            <b/>
            <color rgb="FFFFFFFF"/>
            <sz val="11"/>
          </rPr>
          <t>The causal hazard posed by conditioning on this variable. Values: confounder (safe to condition — removes bias), mediator (conditioning blocks the causal path of interest — harmful), collider (conditioning opens a spurious backdoor — harmful), proxy (conditioning on a noisy proxy of the true confounder — risky), none (no conditioning risk identified). NULL means unclassified.</t>
        </r>
      </text>
    </comment>
    <comment ref="B1" authorId="0">
      <text>
        <r>
          <rPr>
            <rFont val="Aptos Narrow"/>
            <b/>
            <color rgb="FFFFFFFF"/>
            <sz val="11"/>
          </rPr>
          <t>Display label.</t>
        </r>
      </text>
    </comment>
  </commentList>
</comments>
</file>

<file path=xl/comments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kidney-1986-A-vs-B).</t>
        </r>
      </text>
    </comment>
    <comment ref="C1" authorId="0">
      <text>
        <r>
          <rPr>
            <rFont val="Aptos Narrow"/>
            <b/>
            <color rgb="FFFFFFFF"/>
            <sz val="11"/>
          </rPr>
          <t>FK to the parent Study.</t>
        </r>
      </text>
    </comment>
    <comment ref="D1" authorId="0">
      <text>
        <r>
          <rPr>
            <rFont val="Aptos Narrow"/>
            <b/>
            <color rgb="FFFFFFFF"/>
            <sz val="11"/>
          </rPr>
          <t>Label for the first treatment in the comparison (matches Treatments.TreatmentLabel).</t>
        </r>
      </text>
    </comment>
    <comment ref="E1" authorId="0">
      <text>
        <r>
          <rPr>
            <rFont val="Aptos Narrow"/>
            <b/>
            <color rgb="FFFFFFFF"/>
            <sz val="11"/>
          </rPr>
          <t>Label for the second treatment in the comparison.</t>
        </r>
      </text>
    </comment>
    <comment ref="F1" authorId="0">
      <text>
        <r>
          <rPr>
            <rFont val="Aptos Narrow"/>
            <b/>
            <color rgb="FFFFFFFF"/>
            <sz val="11"/>
          </rPr>
          <t>Total cases for TreatmentA across all strata in this study.</t>
        </r>
      </text>
    </comment>
    <comment ref="G1" authorId="0">
      <text>
        <r>
          <rPr>
            <rFont val="Aptos Narrow"/>
            <b/>
            <color rgb="FFFFFFFF"/>
            <sz val="11"/>
          </rPr>
          <t>Total successes for TreatmentA across all strata.</t>
        </r>
      </text>
    </comment>
    <comment ref="H1" authorId="0">
      <text>
        <r>
          <rPr>
            <rFont val="Aptos Narrow"/>
            <b/>
            <color rgb="FFFFFFFF"/>
            <sz val="11"/>
          </rPr>
          <t>Pooled success rate for TreatmentA: TotalSuccessesA / TotalCasesA.</t>
        </r>
      </text>
    </comment>
    <comment ref="I1" authorId="0">
      <text>
        <r>
          <rPr>
            <rFont val="Aptos Narrow"/>
            <b/>
            <color rgb="FFFFFFFF"/>
            <sz val="11"/>
          </rPr>
          <t>Total cases for TreatmentB across all strata.</t>
        </r>
      </text>
    </comment>
    <comment ref="J1" authorId="0">
      <text>
        <r>
          <rPr>
            <rFont val="Aptos Narrow"/>
            <b/>
            <color rgb="FFFFFFFF"/>
            <sz val="11"/>
          </rPr>
          <t>Total successes for TreatmentB across all strata.</t>
        </r>
      </text>
    </comment>
    <comment ref="K1" authorId="0">
      <text>
        <r>
          <rPr>
            <rFont val="Aptos Narrow"/>
            <b/>
            <color rgb="FFFFFFFF"/>
            <sz val="11"/>
          </rPr>
          <t>Pooled success rate for TreatmentB: TotalSuccessesB / TotalCasesB.</t>
        </r>
      </text>
    </comment>
    <comment ref="L1" authorId="0">
      <text>
        <r>
          <rPr>
            <rFont val="Aptos Narrow"/>
            <b/>
            <color rgb="FFFFFFFF"/>
            <sz val="11"/>
          </rPr>
          <t>Which treatment wins when strata are ignored. Returns tie when pooled rates are equal within floating-point tolerance.</t>
        </r>
      </text>
    </comment>
    <comment ref="M1" authorId="0">
      <text>
        <r>
          <rPr>
            <rFont val="Aptos Narrow"/>
            <b/>
            <color rgb="FFFFFFFF"/>
            <sz val="11"/>
          </rPr>
          <t>Number of strata in this study. Counted from StratumSummaries filtered to TreatmentA rows (one row per stratum).</t>
        </r>
      </text>
    </comment>
    <comment ref="N1" authorId="0">
      <text>
        <r>
          <rPr>
            <rFont val="Aptos Narrow"/>
            <b/>
            <color rgb="FFFFFFFF"/>
            <sz val="11"/>
          </rPr>
          <t>Number of strata where A wins: count StratumSummaries rows whose TreatmentLabel=TreatmentA AND StratumWinner=TreatmentA. These are the one-per-stratum sentinel rows.</t>
        </r>
      </text>
    </comment>
    <comment ref="O1" authorId="0">
      <text>
        <r>
          <rPr>
            <rFont val="Aptos Narrow"/>
            <b/>
            <color rgb="FFFFFFFF"/>
            <sz val="11"/>
          </rPr>
          <t>Number of strata where B wins: count StratumSummaries rows whose TreatmentLabel=TreatmentA AND StratumWinner=TreatmentB.</t>
        </r>
      </text>
    </comment>
    <comment ref="P1" authorId="0">
      <text>
        <r>
          <rPr>
            <rFont val="Aptos Narrow"/>
            <b/>
            <color rgb="FFFFFFFF"/>
            <sz val="11"/>
          </rPr>
          <t>The treatment that wins in every stratum — 'A' if StrataWonByA = StratumCount, 'B' if StrataWonByB = StratumCount, else 'none' (no unanimous per-stratum winner).</t>
        </r>
      </text>
    </comment>
    <comment ref="Q1" authorId="0">
      <text>
        <r>
          <rPr>
            <rFont val="Aptos Narrow"/>
            <b/>
            <color rgb="FFFFFFFF"/>
            <sz val="11"/>
          </rPr>
          <t>TRUE when the equal-weight pooled signal (WeightedStratumGapSum) and the actual pooled signal (SignedPooledGap) point in opposite directions — allocation has flipped the direction of the aggregate conclusion. This is Simpson's Paradox as a derived fact.</t>
        </r>
      </text>
    </comment>
    <comment ref="R1" authorId="0">
      <text>
        <r>
          <rPr>
            <rFont val="Aptos Narrow"/>
            <b/>
            <color rgb="FFFFFFFF"/>
            <sz val="11"/>
          </rPr>
          <t>Count of StratumVariables in this study whose IsConfounder = TRUE. When &gt; 0, the paradox has a causal explanation.</t>
        </r>
      </text>
    </comment>
    <comment ref="S1" authorId="0">
      <text>
        <r>
          <rPr>
            <rFont val="Aptos Narrow"/>
            <b/>
            <color rgb="FFFFFFFF"/>
            <sz val="11"/>
          </rPr>
          <t>TRUE when IsReversal is present AND at least one confirmed confounder exists in the study.</t>
        </r>
      </text>
    </comment>
    <comment ref="T1" authorId="0">
      <text>
        <r>
          <rPr>
            <rFont val="Aptos Narrow"/>
            <b/>
            <color rgb="FFFFFFFF"/>
            <sz val="11"/>
          </rPr>
          <t>Absolute difference between the two pooled rates: |PooledRateA - PooledRateB|. The size of the aggregate misleading signal.</t>
        </r>
      </text>
    </comment>
    <comment ref="U1" authorId="0">
      <text>
        <r>
          <rPr>
            <rFont val="Aptos Narrow"/>
            <b/>
            <color rgb="FFFFFFFF"/>
            <sz val="11"/>
          </rPr>
          <t>Number of strata won by the pooled loser — the counter-signal. For full reversals this equals StratumCount; for partial paradoxes it is between 0 and StratumCount.</t>
        </r>
      </text>
    </comment>
    <comment ref="V1" authorId="0">
      <text>
        <r>
          <rPr>
            <rFont val="Aptos Narrow"/>
            <b/>
            <color rgb="FFFFFFFF"/>
            <sz val="11"/>
          </rPr>
          <t>Scalar severity of the paradox: PooledGap × (StrataWonByLoser / StratumCount). Zero when no strata go against the pooled winner. Positive for partial paradoxes. Maximum when every stratum contradicts the pooled result.</t>
        </r>
      </text>
    </comment>
    <comment ref="W1" authorId="0">
      <text>
        <r>
          <rPr>
            <rFont val="Aptos Narrow"/>
            <b/>
            <color rgb="FFFFFFFF"/>
            <sz val="11"/>
          </rPr>
          <t>Pooled rate for TreatmentA reconstructed as a weighted average of stratum rates: SUM(WeightedStratumRate) across all stratum rows for TreatmentA. Must match PooledRateA — this witnesses the mechanism equation: the pooled rate IS a weighted average of stratum rates, weighted by StratumFraction.</t>
        </r>
      </text>
    </comment>
    <comment ref="X1" authorId="0">
      <text>
        <r>
          <rPr>
            <rFont val="Aptos Narrow"/>
            <b/>
            <color rgb="FFFFFFFF"/>
            <sz val="11"/>
          </rPr>
          <t>Pooled rate for TreatmentB reconstructed as a weighted average. Must match PooledRateB. If it does, the mechanism equation is verified: reversal is purely a consequence of differential weighting.</t>
        </r>
      </text>
    </comment>
    <comment ref="Y1" authorId="0">
      <text>
        <r>
          <rPr>
            <rFont val="Aptos Narrow"/>
            <b/>
            <color rgb="FFFFFFFF"/>
            <sz val="11"/>
          </rPr>
          <t>StrataWonByLoser / StratumCount: the fraction of strata that go against the pooled winner. Zero for no paradox, 1.0 for full reversal, between 0 and 1 for partial. This is the allocation-side measure of how deeply the confounding has penetrated the stratified view.</t>
        </r>
      </text>
    </comment>
    <comment ref="Z1" authorId="0">
      <text>
        <r>
          <rPr>
            <rFont val="Aptos Narrow"/>
            <b/>
            <color rgb="FFFFFFFF"/>
            <sz val="11"/>
          </rPr>
          <t>ReversalIntensity minus 0.5: positive when more than half the strata go against the pooled winner (reversal is robust), zero at the tipping point (exactly half), negative when fewer than half oppose the pooled winner (reversal is fragile or absent). A study with ThresholdMargin &gt; 0 is robustly paradoxical; one with ThresholdMargin &lt; 0 has a weak or absent paradox.</t>
        </r>
      </text>
    </comment>
    <comment ref="AA1" authorId="0">
      <text>
        <r>
          <rPr>
            <rFont val="Aptos Narrow"/>
            <b/>
            <color rgb="FFFFFFFF"/>
            <sz val="11"/>
          </rPr>
          <t>Signed difference between pooled rates: PooledRateA minus PooledRateB. Positive = A wins pooled; negative = B wins pooled. Unlike PooledGap (which is absolute), this preserves direction — essential for detecting sign flips between the equal-weight and actual pooled signals.</t>
        </r>
      </text>
    </comment>
    <comment ref="AB1" authorId="0">
      <text>
        <r>
          <rPr>
            <rFont val="Aptos Narrow"/>
            <b/>
            <color rgb="FFFFFFFF"/>
            <sz val="11"/>
          </rPr>
          <t>Sum of WeightedStratumGap (= StratumGap × StratumFraction) across all StratumSummaries rows where TreatmentLabel = TreatmentA for this study. This is the equal-weight pooled gap — the gap the pooled analysis would produce if allocation were perfectly balanced across strata. When this has the opposite sign to SignedPooledGap, the allocation has not merely compressed the signal: it has flipped it entirely.</t>
        </r>
      </text>
    </comment>
    <comment ref="AC1" authorId="0">
      <text>
        <r>
          <rPr>
            <rFont val="Aptos Narrow"/>
            <b/>
            <color rgb="FFFFFFFF"/>
            <sz val="11"/>
          </rPr>
          <t>TRUE when WeightedStratumGapSum and SignedPooledGap have opposite signs. Same condition as IsReversal; retained as the coordinate-level name in the DAG.</t>
        </r>
      </text>
    </comment>
    <comment ref="AD1" authorId="0">
      <text>
        <r>
          <rPr>
            <rFont val="Aptos Narrow"/>
            <b/>
            <color rgb="FFFFFFFF"/>
            <sz val="11"/>
          </rPr>
          <t>The magnitude of how far the allocation has bent the pooled signal: |WeightedStratumGapSum − SignedPooledGap|. Zero means the allocation is neutral — the pooled analysis faithfully represents the equal-weight stratum evidence. A large AllocationDistortion means the allocation is doing most of the work: the pooled number is mostly noise from how cases were assigned, not signal about which treatment is better. This measure does NOT require a sign flip to be nonzero — it captures any allocation-induced distortion, not just reversals.</t>
        </r>
      </text>
    </comment>
    <comment ref="AE1" authorId="0">
      <text>
        <r>
          <rPr>
            <rFont val="Aptos Narrow"/>
            <b/>
            <color rgb="FFFFFFFF"/>
            <sz val="11"/>
          </rPr>
          <t>Geometric classification (five types A/B/C+/C-/D). Sign-flip types A vs B are split by DistortionRatio when available: ratio &lt; -1 → B (amplified reversal); ratio in (-1,0) → A (attenuated reversal). Falls back to ReversalIntensity when ratio is degenerate.</t>
        </r>
      </text>
    </comment>
    <comment ref="AF1" authorId="0">
      <text>
        <r>
          <rPr>
            <rFont val="Aptos Narrow"/>
            <b/>
            <color rgb="FFFFFFFF"/>
            <sz val="11"/>
          </rPr>
          <t>The researcher action implied by the geometric classification. Derived from DistortionType: type A (full reversal) → 'stratify-immediately' — the pooled conclusion is directionally wrong; do not act on it without stratifying. Type B (partial sign-flip) → 'investigate-confounder' — the equal-weight signal opposes the pooled signal, but the per-stratum picture is mixed; the causal mechanism needs examination before trusting either estimate. Type C (compression without flip) → 'check-allocation-bias' — the pooled winner is probably correct but the effect size is distorted; report adjusted or standardized margins rather than the raw pooled gap. Type D (neutral) → 'pooled-analysis-trustworthy' — allocation is not materially distorting the signal; the pooled conclusion is safe with respect to this stratification.</t>
        </r>
      </text>
    </comment>
    <comment ref="AG1" authorId="0">
      <text>
        <r>
          <rPr>
            <rFont val="Aptos Narrow"/>
            <b/>
            <color rgb="FFFFFFFF"/>
            <sz val="11"/>
          </rPr>
          <t>The allocation-corrected treatment gap: WeightedStratumGapSum, i.e. what SignedPooledGap would be if allocation were equal across strata. Positive means A is favoured in the corrected world; negative means B is favoured.</t>
        </r>
      </text>
    </comment>
    <comment ref="AH1" authorId="0">
      <text>
        <r>
          <rPr>
            <rFont val="Aptos Narrow"/>
            <b/>
            <color rgb="FFFFFFFF"/>
            <sz val="11"/>
          </rPr>
          <t>Which treatment wins once allocation bias is removed. Derived from CorrectedGap: positive → TreatmentA; negative → TreatmentB; near-zero → tie.</t>
        </r>
      </text>
    </comment>
    <comment ref="AI1" authorId="0">
      <text>
        <r>
          <rPr>
            <rFont val="Aptos Narrow"/>
            <b/>
            <color rgb="FFFFFFFF"/>
            <sz val="11"/>
          </rPr>
          <t>TRUE when the allocation-corrected winner matches the pooled winner. FALSE when removing allocation bias would change which treatment appears to win — the machine-readable definition of a reversal recovery.</t>
        </r>
      </text>
    </comment>
    <comment ref="AJ1" authorId="0">
      <text>
        <r>
          <rPr>
            <rFont val="Aptos Narrow"/>
            <b/>
            <color rgb="FFFFFFFF"/>
            <sz val="11"/>
          </rPr>
          <t>The allocation-aware researcher action: what to do when the corrected verdict is available. Derived from DistortionType and CorrectedWinner together, making the instrument self-consistent with Reversal Recovery (loop-27). Type A (full sign-flip, unanimous per-stratum reversal): CorrectedWinner is the true signal — 'use-corrected-winner'. The pooled analysis was directionally wrong; act on CorrectedWinner, not PooledWinner. Type B (partial sign-flip, non-unanimous): CorrectedWinner points against the pooled signal but strata disagree among themselves — 'use-corrected-winner-with-caution'. Trust the corrected direction but acknowledge residual uncertainty. Type C (compression, no sign flip): PooledWinner is directionally correct; the distortion is in the magnitude, not the direction — 'check-allocation-bias'. Same as PolicyImplication. Type D (neutral): allocation is not materially distorting the signal — 'pooled-analysis-trustworthy'. Same as PolicyImplication. For Types C and D, CorrectedPolicyImplication and PolicyImplication always agree; for Types A and B, CorrectedPolicyImplication supersedes PolicyImplication with the allocation-corrected verdict.</t>
        </r>
      </text>
    </comment>
    <comment ref="AK1" authorId="0">
      <text>
        <r>
          <rPr>
            <rFont val="Aptos Narrow"/>
            <b/>
            <color rgb="FFFFFFFF"/>
            <sz val="11"/>
          </rPr>
          <t>Whether the allocation is reversing, amplifying, or compressing the true treatment signal (CorrectedGap). 'reversal': allocation changed the sign of the pooled gap relative to CorrectedGap — worst case; pooled winner is wrong (types A and B). 'amplification': allocation inflated the pooled gap beyond CorrectedGap in the same direction — pooled winner is correct but effect size is overstated (type C+). 'compression': allocation shrank the pooled gap below CorrectedGap in the same direction — pooled winner is correct but effect size is understated (type C-). 'neutral': allocation had negligible effect on the pooled gap (type D). Policy consequences: reversal → wrong decision; amplification → overconfidence; compression → underconfidence / premature abandonment; neutral → trustworthy.</t>
        </r>
      </text>
    </comment>
    <comment ref="AL1" authorId="0">
      <text>
        <r>
          <rPr>
            <rFont val="Aptos Narrow"/>
            <b/>
            <color rgb="FFFFFFFF"/>
            <sz val="11"/>
          </rPr>
          <t>The fraction of total observed variation (|CorrectedGap| + AllocationDistortion) that is genuine treatment signal rather than allocation noise. SignalPurity = |CorrectedGap| / (|CorrectedGap| + AllocationDistortion). Range [0,1]: 1.0 = allocation contributed nothing (type D); 0 = corrected gap is zero (pure noise). Critical threshold is 0.5: SignalPurity &lt; 0.5 means allocation noise exceeds true signal. The signal-purity theorem (loop-44): AllocationDirection='reversal' → SignalPurity &lt; 0.5. Equivalently: a sign flip requires the confound to produce more distortion than the treatment produced signal. This is the mechanistic account of why reversals happen: not study-design accidents but algebraic necessities.</t>
        </r>
      </text>
    </comment>
    <comment ref="AM1" authorId="0">
      <text>
        <r>
          <rPr>
            <rFont val="Aptos Narrow"/>
            <b/>
            <color rgb="FFFFFFFF"/>
            <sz val="11"/>
          </rPr>
          <t>Lookup: SweepStudySummary.PooledGapCrossesZero via Study. TRUE when reweighting allocation would change the sign of the pooled gap.</t>
        </r>
      </text>
    </comment>
    <comment ref="AN1" authorId="0">
      <text>
        <r>
          <rPr>
            <rFont val="Aptos Narrow"/>
            <b/>
            <color rgb="FFFFFFFF"/>
            <sz val="11"/>
          </rPr>
          <t>Lookup: SweepStudySummary.SweepPooledGapRange via Study. Width of pooled-gap wander under allocation sweep.</t>
        </r>
      </text>
    </comment>
    <comment ref="AO1" authorId="0">
      <text>
        <r>
          <rPr>
            <rFont val="Aptos Narrow"/>
            <b/>
            <color rgb="FFFFFFFF"/>
            <sz val="11"/>
          </rPr>
          <t>TRUE when DistortionType=D but PooledGapCrossesZero=TRUE — SAFE at observed allocation but flip-capable under counterfactual reweighting.</t>
        </r>
      </text>
    </comment>
    <comment ref="AP1" authorId="0">
      <text>
        <r>
          <rPr>
            <rFont val="Aptos Narrow"/>
            <b/>
            <color rgb="FFFFFFFF"/>
            <sz val="11"/>
          </rPr>
          <t>SweepPooledGapRange divided by |PooledGap|. High values mean small observed effect but wide counterfactual wander.</t>
        </r>
      </text>
    </comment>
    <comment ref="AQ1" authorId="0">
      <text>
        <r>
          <rPr>
            <rFont val="Aptos Narrow"/>
            <b/>
            <color rgb="FFFFFFFF"/>
            <sz val="11"/>
          </rPr>
          <t>Lookup: Studies.Domain via Study.</t>
        </r>
      </text>
    </comment>
    <comment ref="AR1" authorId="0">
      <text>
        <r>
          <rPr>
            <rFont val="Aptos Narrow"/>
            <b/>
            <color rgb="FFFFFFFF"/>
            <sz val="11"/>
          </rPr>
          <t>Count of StratumVariables in this study whose CausalRole is "confounder" — includes variables that confound the outcome regardless of whether allocation was balanced.</t>
        </r>
      </text>
    </comment>
    <comment ref="AS1" authorId="0">
      <text>
        <r>
          <rPr>
            <rFont val="Aptos Narrow"/>
            <b/>
            <color rgb="FFFFFFFF"/>
            <sz val="11"/>
          </rPr>
          <t>Count of StratumVariables in this study whose ConditioningRisk is mediator or collider — the hazardous conditioning types.</t>
        </r>
      </text>
    </comment>
    <comment ref="AT1" authorId="0">
      <text>
        <r>
          <rPr>
            <rFont val="Aptos Narrow"/>
            <b/>
            <color rgb="FFFFFFFF"/>
            <sz val="11"/>
          </rPr>
          <t>Count of StratumVariables in this study whose CausalRole is contested — the causal interpretation is disputed.</t>
        </r>
      </text>
    </comment>
    <comment ref="AU1" authorId="0">
      <text>
        <r>
          <rPr>
            <rFont val="Aptos Narrow"/>
            <b/>
            <color rgb="FFFFFFFF"/>
            <sz val="11"/>
          </rPr>
          <t>Count of StratumVariables in this study whose CausalRole is unknown — no causal account has been established.</t>
        </r>
      </text>
    </comment>
    <comment ref="AV1" authorId="0">
      <text>
        <r>
          <rPr>
            <rFont val="Aptos Narrow"/>
            <b/>
            <color rgb="FFFFFFFF"/>
            <sz val="11"/>
          </rPr>
          <t>The epistemic status of the causal interpretation for this study. Values: established (all stratum variables are confirmed confounders with known mechanisms), contested (at least one stratum variable has a disputed causal role — e.g. Berkeley 1973 where department choice may be endogenous), geometric-only (no stratum variable has an established causal role — the distortion is a geometric fact, not a causal claim). Derived from StratumVariables.CausalRole and ConditioningRisk.</t>
        </r>
      </text>
    </comment>
    <comment ref="AW1" authorId="0">
      <text>
        <r>
          <rPr>
            <rFont val="Aptos Narrow"/>
            <b/>
            <color rgb="FFFFFFFF"/>
            <sz val="11"/>
          </rPr>
          <t>TRUE only when it is epistemically safe to act on CorrectedGap as the causal treatment effect estimate: no mediator/collider conditioning risk AND causal claim is established (not contested or geometric-only). FALSE for the birth-weight paradox (mediator), berkeley-1973 (contested), and synthetic/degenerate studies (geometric-only).</t>
        </r>
      </text>
    </comment>
    <comment ref="AX1" authorId="0">
      <text>
        <r>
          <rPr>
            <rFont val="Aptos Narrow"/>
            <b/>
            <color rgb="FFFFFFFF"/>
            <sz val="11"/>
          </rPr>
          <t>Human-authored note explaining why AdjustmentAppropriate is TRUE or FALSE for this study. Covers mediator/collider hazards, contested causal roles, and cases where geometric correction is valid but causal interpretation is uncertain.</t>
        </r>
      </text>
    </comment>
    <comment ref="B1" authorId="0">
      <text>
        <r>
          <rPr>
            <rFont val="Aptos Narrow"/>
            <b/>
            <color rgb="FFFFFFFF"/>
            <sz val="11"/>
          </rPr>
          <t>Display label.</t>
        </r>
      </text>
    </comment>
  </commentList>
</comments>
</file>

<file path=xl/comments1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for this invariant (e.g. inv-balanced-alloc).</t>
        </r>
      </text>
    </comment>
    <comment ref="C1" authorId="0">
      <text>
        <r>
          <rPr>
            <rFont val="Aptos Narrow"/>
            <b/>
            <color rgb="FFFFFFFF"/>
            <sz val="11"/>
          </rPr>
          <t>The mathematical assertion in compact symbolic form.</t>
        </r>
      </text>
    </comment>
    <comment ref="D1" authorId="0">
      <text>
        <r>
          <rPr>
            <rFont val="Aptos Narrow"/>
            <b/>
            <color rgb="FFFFFFFF"/>
            <sz val="11"/>
          </rPr>
          <t>Plain-English statement of what property must hold and why it is an invariant of the model.</t>
        </r>
      </text>
    </comment>
    <comment ref="E1" authorId="0">
      <text>
        <r>
          <rPr>
            <rFont val="Aptos Narrow"/>
            <b/>
            <color rgb="FFFFFFFF"/>
            <sz val="11"/>
          </rPr>
          <t>The DAG table whose rows are checked (TreatmentRankings or StratumSummaries).</t>
        </r>
      </text>
    </comment>
    <comment ref="F1" authorId="0">
      <text>
        <r>
          <rPr>
            <rFont val="Aptos Narrow"/>
            <b/>
            <color rgb="FFFFFFFF"/>
            <sz val="11"/>
          </rPr>
          <t>Condition selecting the universe of rows this invariant applies to. Empty means all rows.</t>
        </r>
      </text>
    </comment>
    <comment ref="G1" authorId="0">
      <text>
        <r>
          <rPr>
            <rFont val="Aptos Narrow"/>
            <b/>
            <color rgb="FFFFFFFF"/>
            <sz val="11"/>
          </rPr>
          <t>The per-row condition that must be TRUE for every row in scope.</t>
        </r>
      </text>
    </comment>
    <comment ref="H1" authorId="0">
      <text>
        <r>
          <rPr>
            <rFont val="Aptos Narrow"/>
            <b/>
            <color rgb="FFFFFFFF"/>
            <sz val="11"/>
          </rPr>
          <t>Optional SQL WHERE clause that selects the universe of rows in scope for this invariant (e.g. distortion_type = 'D'). Empty string means all rows.</t>
        </r>
      </text>
    </comment>
    <comment ref="I1" authorId="0">
      <text>
        <r>
          <rPr>
            <rFont val="Aptos Narrow"/>
            <b/>
            <color rgb="FFFFFFFF"/>
            <sz val="11"/>
          </rPr>
          <t>The SQL WHERE clause (without WHERE keyword) that counts PASSING rows from vw_treatment_rankings for this invariant. Used by run_invariant_checks() to evaluate each assertion dynamically from the rulebook table.</t>
        </r>
      </text>
    </comment>
    <comment ref="J1" authorId="0">
      <text>
        <r>
          <rPr>
            <rFont val="Aptos Narrow"/>
            <b/>
            <color rgb="FFFFFFFF"/>
            <sz val="11"/>
          </rPr>
          <t>Rows where the invariant holds. Populated by 05b-customize-data.sql from a live query against vw_treatment_rankings.</t>
        </r>
      </text>
    </comment>
    <comment ref="K1" authorId="0">
      <text>
        <r>
          <rPr>
            <rFont val="Aptos Narrow"/>
            <b/>
            <color rgb="FFFFFFFF"/>
            <sz val="11"/>
          </rPr>
          <t>Rows where the invariant is violated. Any FailCount &gt; 0 is a build-breaking bug.</t>
        </r>
      </text>
    </comment>
    <comment ref="L1" authorId="0">
      <text>
        <r>
          <rPr>
            <rFont val="Aptos Narrow"/>
            <b/>
            <color rgb="FFFFFFFF"/>
            <sz val="11"/>
          </rPr>
          <t>Total rows in scope (PassCount + FailCount).</t>
        </r>
      </text>
    </comment>
    <comment ref="M1" authorId="0">
      <text>
        <r>
          <rPr>
            <rFont val="Aptos Narrow"/>
            <b/>
            <color rgb="FFFFFFFF"/>
            <sz val="11"/>
          </rPr>
          <t>TRUE when FailCount = 0.</t>
        </r>
      </text>
    </comment>
    <comment ref="N1" authorId="0">
      <text>
        <r>
          <rPr>
            <rFont val="Aptos Narrow"/>
            <b/>
            <color rgb="FFFFFFFF"/>
            <sz val="11"/>
          </rPr>
          <t>PASS or FAIL(n) summary for display.</t>
        </r>
      </text>
    </comment>
    <comment ref="O1" authorId="0">
      <text>
        <r>
          <rPr>
            <rFont val="Aptos Narrow"/>
            <b/>
            <color rgb="FFFFFFFF"/>
            <sz val="11"/>
          </rPr>
          <t>critical | warning — critical means any FailCount &gt; 0 is a build-breaking bug.</t>
        </r>
      </text>
    </comment>
    <comment ref="P1" authorId="0">
      <text>
        <r>
          <rPr>
            <rFont val="Aptos Narrow"/>
            <b/>
            <color rgb="FFFFFFFF"/>
            <sz val="11"/>
          </rPr>
          <t>FK → ResearchTraditions.TraditionId. The tradition whose theoretical commitments this algebraic invariant protects — a failed invariant would falsify that tradition's key claim.</t>
        </r>
      </text>
    </comment>
    <comment ref="Q1" authorId="0">
      <text>
        <r>
          <rPr>
            <rFont val="Aptos Narrow"/>
            <b/>
            <color rgb="FFFFFFFF"/>
            <sz val="11"/>
          </rPr>
          <t>FK → Conclusions.ConclusionId. The conclusion whose witness depends on this invariant holding. If this invariant fails, that conclusion is undermined.</t>
        </r>
      </text>
    </comment>
    <comment ref="R1" authorId="0">
      <text>
        <r>
          <rPr>
            <rFont val="Aptos Narrow"/>
            <b/>
            <color rgb="FFFFFFFF"/>
            <sz val="11"/>
          </rPr>
          <t>Lookup: ResearchTraditions.Name via TraditionId.</t>
        </r>
      </text>
    </comment>
    <comment ref="S1" authorId="0">
      <text>
        <r>
          <rPr>
            <rFont val="Aptos Narrow"/>
            <b/>
            <color rgb="FFFFFFFF"/>
            <sz val="11"/>
          </rPr>
          <t>Lookup: ResearchTraditions.KeyClaim via TraditionId — a failed invariant would falsify this tradition's key claim.</t>
        </r>
      </text>
    </comment>
    <comment ref="T1" authorId="0">
      <text>
        <r>
          <rPr>
            <rFont val="Aptos Narrow"/>
            <b/>
            <color rgb="FFFFFFFF"/>
            <sz val="11"/>
          </rPr>
          <t>Lookup: Conclusions.Title via ProtectsConclusion.</t>
        </r>
      </text>
    </comment>
    <comment ref="U1" authorId="0">
      <text>
        <r>
          <rPr>
            <rFont val="Aptos Narrow"/>
            <b/>
            <color rgb="FFFFFFFF"/>
            <sz val="11"/>
          </rPr>
          <t>Lookup: Conclusions.Category via ProtectsConclusion.</t>
        </r>
      </text>
    </comment>
    <comment ref="B1" authorId="0">
      <text>
        <r>
          <rPr>
            <rFont val="Aptos Narrow"/>
            <b/>
            <color rgb="FFFFFFFF"/>
            <sz val="11"/>
          </rPr>
          <t>Display label.</t>
        </r>
      </text>
    </comment>
  </commentList>
</comments>
</file>

<file path=xl/comments1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key identifying this metadata entry.</t>
        </r>
      </text>
    </comment>
    <comment ref="C1" authorId="0">
      <text>
        <r>
          <rPr>
            <rFont val="Aptos Narrow"/>
            <b/>
            <color rgb="FFFFFFFF"/>
            <sz val="11"/>
          </rPr>
          <t>Type of value stored: string | object | array</t>
        </r>
      </text>
    </comment>
    <comment ref="D1" authorId="0">
      <text>
        <r>
          <rPr>
            <rFont val="Aptos Narrow"/>
            <b/>
            <color rgb="FFFFFFFF"/>
            <sz val="11"/>
          </rPr>
          <t>Value when ValueType = string.</t>
        </r>
      </text>
    </comment>
    <comment ref="E1" authorId="0">
      <text>
        <r>
          <rPr>
            <rFont val="Aptos Narrow"/>
            <b/>
            <color rgb="FFFFFFFF"/>
            <sz val="11"/>
          </rPr>
          <t>JSON-encoded value when ValueType = object or array.</t>
        </r>
      </text>
    </comment>
    <comment ref="B1" authorId="0">
      <text>
        <r>
          <rPr>
            <rFont val="Aptos Narrow"/>
            <b/>
            <color rgb="FFFFFFFF"/>
            <sz val="11"/>
          </rPr>
          <t>Display label, mirrors MetaKey.</t>
        </r>
      </text>
    </comment>
  </commentList>
</comments>
</file>

<file path=xl/comments1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method-01-cmcc, method-02-dag-first).</t>
        </r>
      </text>
    </comment>
    <comment ref="C1" authorId="0">
      <text>
        <r>
          <rPr>
            <rFont val="Aptos Narrow"/>
            <b/>
            <color rgb="FFFFFFFF"/>
            <sz val="11"/>
          </rPr>
          <t>Broad phase: axiom | decomposition | derivation | hydration | validation | taxonomy | conclusion</t>
        </r>
      </text>
    </comment>
    <comment ref="D1" authorId="0">
      <text>
        <r>
          <rPr>
            <rFont val="Aptos Narrow"/>
            <b/>
            <color rgb="FFFFFFFF"/>
            <sz val="11"/>
          </rPr>
          <t>Short title of the methodological principle or step.</t>
        </r>
      </text>
    </comment>
    <comment ref="E1" authorId="0">
      <text>
        <r>
          <rPr>
            <rFont val="Aptos Narrow"/>
            <b/>
            <color rgb="FFFFFFFF"/>
            <sz val="11"/>
          </rPr>
          <t>One-to-three sentence statement of the principle, precise enough to be applied or falsified.</t>
        </r>
      </text>
    </comment>
    <comment ref="F1" authorId="0">
      <text>
        <r>
          <rPr>
            <rFont val="Aptos Narrow"/>
            <b/>
            <color rgb="FFFFFFFF"/>
            <sz val="11"/>
          </rPr>
          <t>Why this step or principle is load-bearing for this model — what breaks if you skip it.</t>
        </r>
      </text>
    </comment>
    <comment ref="G1" authorId="0">
      <text>
        <r>
          <rPr>
            <rFont val="Aptos Narrow"/>
            <b/>
            <color rgb="FFFFFFFF"/>
            <sz val="11"/>
          </rPr>
          <t>LoopId(s) where this principle was concretely demonstrated (comma-separated).</t>
        </r>
      </text>
    </comment>
    <comment ref="H1" authorId="0">
      <text>
        <r>
          <rPr>
            <rFont val="Aptos Narrow"/>
            <b/>
            <color rgb="FFFFFFFF"/>
            <sz val="11"/>
          </rPr>
          <t>FK → ResearchTraditions.TraditionId. The scholarly tradition that introduced or most relies on this methodological approach.</t>
        </r>
      </text>
    </comment>
    <comment ref="I1" authorId="0">
      <text>
        <r>
          <rPr>
            <rFont val="Aptos Narrow"/>
            <b/>
            <color rgb="FFFFFFFF"/>
            <sz val="11"/>
          </rPr>
          <t>FK → Researchers.ResearcherId. The researcher most associated with developing or popularising this methodological principle in the Simpson's Paradox context.</t>
        </r>
      </text>
    </comment>
    <comment ref="J1" authorId="0">
      <text>
        <r>
          <rPr>
            <rFont val="Aptos Narrow"/>
            <b/>
            <color rgb="FFFFFFFF"/>
            <sz val="11"/>
          </rPr>
          <t>Lookup: ResearchTraditions.Name via TraditionId.</t>
        </r>
      </text>
    </comment>
    <comment ref="K1" authorId="0">
      <text>
        <r>
          <rPr>
            <rFont val="Aptos Narrow"/>
            <b/>
            <color rgb="FFFFFFFF"/>
            <sz val="11"/>
          </rPr>
          <t>Lookup: ResearchTraditions.PrimaryVenue via TraditionId.</t>
        </r>
      </text>
    </comment>
    <comment ref="L1" authorId="0">
      <text>
        <r>
          <rPr>
            <rFont val="Aptos Narrow"/>
            <b/>
            <color rgb="FFFFFFFF"/>
            <sz val="11"/>
          </rPr>
          <t>Lookup: Researchers.Name via PioneeringResearcher.</t>
        </r>
      </text>
    </comment>
    <comment ref="M1" authorId="0">
      <text>
        <r>
          <rPr>
            <rFont val="Aptos Narrow"/>
            <b/>
            <color rgb="FFFFFFFF"/>
            <sz val="11"/>
          </rPr>
          <t>Lookup: Researchers.Affiliation via PioneeringResearcher.</t>
        </r>
      </text>
    </comment>
    <comment ref="N1" authorId="0">
      <text>
        <r>
          <rPr>
            <rFont val="Aptos Narrow"/>
            <b/>
            <color rgb="FFFFFFFF"/>
            <sz val="11"/>
          </rPr>
          <t>Count of Loops whose TraditionId matches this methodology entry's TraditionId — how many build iterations this methodological tradition has driven.</t>
        </r>
      </text>
    </comment>
    <comment ref="B1" authorId="0">
      <text>
        <r>
          <rPr>
            <rFont val="Aptos Narrow"/>
            <b/>
            <color rgb="FFFFFFFF"/>
            <sz val="11"/>
          </rPr>
          <t>Display label, mirrors MethodologyId.</t>
        </r>
      </text>
    </comment>
  </commentList>
</comments>
</file>

<file path=xl/comments1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conc-01-paradox-is-derived).</t>
        </r>
      </text>
    </comment>
    <comment ref="C1" authorId="0">
      <text>
        <r>
          <rPr>
            <rFont val="Aptos Narrow"/>
            <b/>
            <color rgb="FFFFFFFF"/>
            <sz val="11"/>
          </rPr>
          <t>domain | instrument | methodology | open-question</t>
        </r>
      </text>
    </comment>
    <comment ref="D1" authorId="0">
      <text>
        <r>
          <rPr>
            <rFont val="Aptos Narrow"/>
            <b/>
            <color rgb="FFFFFFFF"/>
            <sz val="11"/>
          </rPr>
          <t>witnessed | planned | open</t>
        </r>
      </text>
    </comment>
    <comment ref="E1" authorId="0">
      <text>
        <r>
          <rPr>
            <rFont val="Aptos Narrow"/>
            <b/>
            <color rgb="FFFFFFFF"/>
            <sz val="11"/>
          </rPr>
          <t>One-line statement of the conclusion.</t>
        </r>
      </text>
    </comment>
    <comment ref="F1" authorId="0">
      <text>
        <r>
          <rPr>
            <rFont val="Aptos Narrow"/>
            <b/>
            <color rgb="FFFFFFFF"/>
            <sz val="11"/>
          </rPr>
          <t>The specific DB query result, loop outcome, or argument that establishes or will establish this conclusion.</t>
        </r>
      </text>
    </comment>
    <comment ref="G1" authorId="0">
      <text>
        <r>
          <rPr>
            <rFont val="Aptos Narrow"/>
            <b/>
            <color rgb="FFFFFFFF"/>
            <sz val="11"/>
          </rPr>
          <t>LoopId where this conclusion was first witnessed (if status=witnessed).</t>
        </r>
      </text>
    </comment>
    <comment ref="H1" authorId="0">
      <text>
        <r>
          <rPr>
            <rFont val="Aptos Narrow"/>
            <b/>
            <color rgb="FFFFFFFF"/>
            <sz val="11"/>
          </rPr>
          <t>LoopId that is designed to witness this conclusion (if status=planned).</t>
        </r>
      </text>
    </comment>
    <comment ref="I1" authorId="0">
      <text>
        <r>
          <rPr>
            <rFont val="Aptos Narrow"/>
            <b/>
            <color rgb="FFFFFFFF"/>
            <sz val="11"/>
          </rPr>
          <t>FK → ResearchTraditions.TraditionId. The tradition whose theoretical framework this conclusion primarily vindicates, refines, or challenges.</t>
        </r>
      </text>
    </comment>
    <comment ref="J1" authorId="0">
      <text>
        <r>
          <rPr>
            <rFont val="Aptos Narrow"/>
            <b/>
            <color rgb="FFFFFFFF"/>
            <sz val="11"/>
          </rPr>
          <t>FK → Researchers.ResearcherId. The researcher whose specific claim, definition, or framework this conclusion directly affirms.</t>
        </r>
      </text>
    </comment>
    <comment ref="K1" authorId="0">
      <text>
        <r>
          <rPr>
            <rFont val="Aptos Narrow"/>
            <b/>
            <color rgb="FFFFFFFF"/>
            <sz val="11"/>
          </rPr>
          <t>FK → Researchers.ResearcherId. A researcher whose position this conclusion refutes or qualifies (e.g. conc-03 refutes Blyth's unanimity criterion as the primary definition).</t>
        </r>
      </text>
    </comment>
    <comment ref="L1" authorId="0">
      <text>
        <r>
          <rPr>
            <rFont val="Aptos Narrow"/>
            <b/>
            <color rgb="FFFFFFFF"/>
            <sz val="11"/>
          </rPr>
          <t>Lookup: ResearchTraditions.Name via TraditionId.</t>
        </r>
      </text>
    </comment>
    <comment ref="M1" authorId="0">
      <text>
        <r>
          <rPr>
            <rFont val="Aptos Narrow"/>
            <b/>
            <color rgb="FFFFFFFF"/>
            <sz val="11"/>
          </rPr>
          <t>Lookup: ResearchTraditions.KeyClaim via TraditionId — shows which tradition's central claim this conclusion validates or refines.</t>
        </r>
      </text>
    </comment>
    <comment ref="N1" authorId="0">
      <text>
        <r>
          <rPr>
            <rFont val="Aptos Narrow"/>
            <b/>
            <color rgb="FFFFFFFF"/>
            <sz val="11"/>
          </rPr>
          <t>Lookup: Researchers.Name via ResearcherId.</t>
        </r>
      </text>
    </comment>
    <comment ref="O1" authorId="0">
      <text>
        <r>
          <rPr>
            <rFont val="Aptos Narrow"/>
            <b/>
            <color rgb="FFFFFFFF"/>
            <sz val="11"/>
          </rPr>
          <t>Lookup: Researchers.Affiliation via ResearcherId.</t>
        </r>
      </text>
    </comment>
    <comment ref="P1" authorId="0">
      <text>
        <r>
          <rPr>
            <rFont val="Aptos Narrow"/>
            <b/>
            <color rgb="FFFFFFFF"/>
            <sz val="11"/>
          </rPr>
          <t>Lookup: Researchers.Name via ChallengesResearcher.</t>
        </r>
      </text>
    </comment>
    <comment ref="Q1" authorId="0">
      <text>
        <r>
          <rPr>
            <rFont val="Aptos Narrow"/>
            <b/>
            <color rgb="FFFFFFFF"/>
            <sz val="11"/>
          </rPr>
          <t>Lookup: Loops.Title via WitnessedInLoop.</t>
        </r>
      </text>
    </comment>
    <comment ref="R1" authorId="0">
      <text>
        <r>
          <rPr>
            <rFont val="Aptos Narrow"/>
            <b/>
            <color rgb="FFFFFFFF"/>
            <sz val="11"/>
          </rPr>
          <t>Lookup: Loops.CommitHash via WitnessedInLoop — git checkout this SHA to replay the instrument state when this conclusion was first witnessed.</t>
        </r>
      </text>
    </comment>
    <comment ref="S1" authorId="0">
      <text>
        <r>
          <rPr>
            <rFont val="Aptos Narrow"/>
            <b/>
            <color rgb="FFFFFFFF"/>
            <sz val="11"/>
          </rPr>
          <t>Lookup: Loops.CommitShort via WitnessedInLoop.</t>
        </r>
      </text>
    </comment>
    <comment ref="T1" authorId="0">
      <text>
        <r>
          <rPr>
            <rFont val="Aptos Narrow"/>
            <b/>
            <color rgb="FFFFFFFF"/>
            <sz val="11"/>
          </rPr>
          <t>Lookup: Loops.CommitDate via WitnessedInLoop.</t>
        </r>
      </text>
    </comment>
    <comment ref="U1" authorId="0">
      <text>
        <r>
          <rPr>
            <rFont val="Aptos Narrow"/>
            <b/>
            <color rgb="FFFFFFFF"/>
            <sz val="11"/>
          </rPr>
          <t>Lookup: Loops.GitTag via WitnessedInLoop — preferred replay entry point when a milestone tag exists.</t>
        </r>
      </text>
    </comment>
    <comment ref="V1" authorId="0">
      <text>
        <r>
          <rPr>
            <rFont val="Aptos Narrow"/>
            <b/>
            <color rgb="FFFFFFFF"/>
            <sz val="11"/>
          </rPr>
          <t>Count of InvariantChecks whose ProtectsConclusion FK points to this conclusion — how many algebraic invariants stand behind this finding.</t>
        </r>
      </text>
    </comment>
    <comment ref="B1" authorId="0">
      <text>
        <r>
          <rPr>
            <rFont val="Aptos Narrow"/>
            <b/>
            <color rgb="FFFFFFFF"/>
            <sz val="11"/>
          </rPr>
          <t>Display label, mirrors ConclusionId.</t>
        </r>
      </text>
    </comment>
  </commentList>
</comments>
</file>

<file path=xl/comments1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screen-01-study-list).</t>
        </r>
      </text>
    </comment>
    <comment ref="C1" authorId="0">
      <text>
        <r>
          <rPr>
            <rFont val="Aptos Narrow"/>
            <b/>
            <color rgb="FFFFFFFF"/>
            <sz val="11"/>
          </rPr>
          <t>Human-readable screen title shown in the UI.</t>
        </r>
      </text>
    </comment>
    <comment ref="D1" authorId="0">
      <text>
        <r>
          <rPr>
            <rFont val="Aptos Narrow"/>
            <b/>
            <color rgb="FFFFFFFF"/>
            <sz val="11"/>
          </rPr>
          <t>URL path pattern (e.g. /, /study/:studyId, /compare).</t>
        </r>
      </text>
    </comment>
    <comment ref="E1" authorId="0">
      <text>
        <r>
          <rPr>
            <rFont val="Aptos Narrow"/>
            <b/>
            <color rgb="FFFFFFFF"/>
            <sz val="11"/>
          </rPr>
          <t>The main rulebook entity this screen reads from (the vw_* view name without prefix).</t>
        </r>
      </text>
    </comment>
    <comment ref="F1" authorId="0">
      <text>
        <r>
          <rPr>
            <rFont val="Aptos Narrow"/>
            <b/>
            <color rgb="FFFFFFFF"/>
            <sz val="11"/>
          </rPr>
          <t>One sentence: what a user can learn or do on this screen.</t>
        </r>
      </text>
    </comment>
    <comment ref="G1" authorId="0">
      <text>
        <r>
          <rPr>
            <rFont val="Aptos Narrow"/>
            <b/>
            <color rgb="FFFFFFFF"/>
            <sz val="11"/>
          </rPr>
          <t>Comma-separated list of the most important fields displayed on this screen.</t>
        </r>
      </text>
    </comment>
    <comment ref="H1" authorId="0">
      <text>
        <r>
          <rPr>
            <rFont val="Aptos Narrow"/>
            <b/>
            <color rgb="FFFFFFFF"/>
            <sz val="11"/>
          </rPr>
          <t>Primary user action available on this screen (e.g. select a study, drill into a stratum).</t>
        </r>
      </text>
    </comment>
    <comment ref="I1" authorId="0">
      <text>
        <r>
          <rPr>
            <rFont val="Aptos Narrow"/>
            <b/>
            <color rgb="FFFFFFFF"/>
            <sz val="11"/>
          </rPr>
          <t>FK → ResearchTraditions.TraditionId. The scholarly tradition whose lens this screen primarily serves — determines which framing language and which fields are most prominent.</t>
        </r>
      </text>
    </comment>
    <comment ref="J1" authorId="0">
      <text>
        <r>
          <rPr>
            <rFont val="Aptos Narrow"/>
            <b/>
            <color rgb="FFFFFFFF"/>
            <sz val="11"/>
          </rPr>
          <t>FK → Conclusions.ConclusionId. The conclusion this screen most directly visualises or communicates to the user.</t>
        </r>
      </text>
    </comment>
    <comment ref="K1" authorId="0">
      <text>
        <r>
          <rPr>
            <rFont val="Aptos Narrow"/>
            <b/>
            <color rgb="FFFFFFFF"/>
            <sz val="11"/>
          </rPr>
          <t>Lookup: ResearchTraditions.Name via TraditionId.</t>
        </r>
      </text>
    </comment>
    <comment ref="L1" authorId="0">
      <text>
        <r>
          <rPr>
            <rFont val="Aptos Narrow"/>
            <b/>
            <color rgb="FFFFFFFF"/>
            <sz val="11"/>
          </rPr>
          <t>Lookup: ResearchTraditions.CoreConcern via TraditionId — the lens this screen applies.</t>
        </r>
      </text>
    </comment>
    <comment ref="M1" authorId="0">
      <text>
        <r>
          <rPr>
            <rFont val="Aptos Narrow"/>
            <b/>
            <color rgb="FFFFFFFF"/>
            <sz val="11"/>
          </rPr>
          <t>Lookup: Conclusions.Title via PrimaryConclusion.</t>
        </r>
      </text>
    </comment>
    <comment ref="N1" authorId="0">
      <text>
        <r>
          <rPr>
            <rFont val="Aptos Narrow"/>
            <b/>
            <color rgb="FFFFFFFF"/>
            <sz val="11"/>
          </rPr>
          <t>Lookup: Conclusions.Evidence via PrimaryConclusion.</t>
        </r>
      </text>
    </comment>
    <comment ref="B1" authorId="0">
      <text>
        <r>
          <rPr>
            <rFont val="Aptos Narrow"/>
            <b/>
            <color rgb="FFFFFFFF"/>
            <sz val="11"/>
          </rPr>
          <t>Display label, mirrors ScreenId.</t>
        </r>
      </text>
    </comment>
  </commentList>
</comments>
</file>

<file path=xl/comments1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comp-01-distortion-badge).</t>
        </r>
      </text>
    </comment>
    <comment ref="C1" authorId="0">
      <text>
        <r>
          <rPr>
            <rFont val="Aptos Narrow"/>
            <b/>
            <color rgb="FFFFFFFF"/>
            <sz val="11"/>
          </rPr>
          <t>Code-level component name (PascalCase, e.g. DistortionBadge).</t>
        </r>
      </text>
    </comment>
    <comment ref="D1" authorId="0">
      <text>
        <r>
          <rPr>
            <rFont val="Aptos Narrow"/>
            <b/>
            <color rgb="FFFFFFFF"/>
            <sz val="11"/>
          </rPr>
          <t>Comma-separated ScreenIds where this component appears.</t>
        </r>
      </text>
    </comment>
    <comment ref="E1" authorId="0">
      <text>
        <r>
          <rPr>
            <rFont val="Aptos Narrow"/>
            <b/>
            <color rgb="FFFFFFFF"/>
            <sz val="11"/>
          </rPr>
          <t>The rulebook entity this component reads (the vw_* view).</t>
        </r>
      </text>
    </comment>
    <comment ref="F1" authorId="0">
      <text>
        <r>
          <rPr>
            <rFont val="Aptos Narrow"/>
            <b/>
            <color rgb="FFFFFFFF"/>
            <sz val="11"/>
          </rPr>
          <t>What this component renders and what decisions a developer must make to implement it.</t>
        </r>
      </text>
    </comment>
    <comment ref="G1" authorId="0">
      <text>
        <r>
          <rPr>
            <rFont val="Aptos Narrow"/>
            <b/>
            <color rgb="FFFFFFFF"/>
            <sz val="11"/>
          </rPr>
          <t>Comma-separated rulebook fields this component must receive as props.</t>
        </r>
      </text>
    </comment>
    <comment ref="H1" authorId="0">
      <text>
        <r>
          <rPr>
            <rFont val="Aptos Narrow"/>
            <b/>
            <color rgb="FFFFFFFF"/>
            <sz val="11"/>
          </rPr>
          <t>Plain-English description of the visual output: shape, color coding, interactivity.</t>
        </r>
      </text>
    </comment>
    <comment ref="B1" authorId="0">
      <text>
        <r>
          <rPr>
            <rFont val="Aptos Narrow"/>
            <b/>
            <color rgb="FFFFFFFF"/>
            <sz val="11"/>
          </rPr>
          <t>Display label, mirrors ComponentId.</t>
        </r>
      </text>
    </comment>
  </commentList>
</comments>
</file>

<file path=xl/comments1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identifier for this instrument component.</t>
        </r>
      </text>
    </comment>
    <comment ref="C1" authorId="0">
      <text>
        <r>
          <rPr>
            <rFont val="Aptos Narrow"/>
            <b/>
            <color rgb="FFFFFFFF"/>
            <sz val="11"/>
          </rPr>
          <t>input | derived | classification | adapter-requirement</t>
        </r>
      </text>
    </comment>
    <comment ref="D1" authorId="0">
      <text>
        <r>
          <rPr>
            <rFont val="Aptos Narrow"/>
            <b/>
            <color rgb="FFFFFFFF"/>
            <sz val="11"/>
          </rPr>
          <t>The field or variable name in the DAG.</t>
        </r>
      </text>
    </comment>
    <comment ref="E1" authorId="0">
      <text>
        <r>
          <rPr>
            <rFont val="Aptos Narrow"/>
            <b/>
            <color rgb="FFFFFFFF"/>
            <sz val="11"/>
          </rPr>
          <t>integer | decimal | boolean | string | categorical</t>
        </r>
      </text>
    </comment>
    <comment ref="F1" authorId="0">
      <text>
        <r>
          <rPr>
            <rFont val="Aptos Narrow"/>
            <b/>
            <color rgb="FFFFFFFF"/>
            <sz val="11"/>
          </rPr>
          <t>The DAG table where this field is computed or stored.</t>
        </r>
      </text>
    </comment>
    <comment ref="G1" authorId="0">
      <text>
        <r>
          <rPr>
            <rFont val="Aptos Narrow"/>
            <b/>
            <color rgb="FFFFFFFF"/>
            <sz val="11"/>
          </rPr>
          <t>The ERB formula or derivation rule for this component.</t>
        </r>
      </text>
    </comment>
    <comment ref="H1" authorId="0">
      <text>
        <r>
          <rPr>
            <rFont val="Aptos Narrow"/>
            <b/>
            <color rgb="FFFFFFFF"/>
            <sz val="11"/>
          </rPr>
          <t>Plain-English statement of what this component represents or requires.</t>
        </r>
      </text>
    </comment>
    <comment ref="I1" authorId="0">
      <text>
        <r>
          <rPr>
            <rFont val="Aptos Narrow"/>
            <b/>
            <color rgb="FFFFFFFF"/>
            <sz val="11"/>
          </rPr>
          <t>What a researcher must supply or verify to satisfy this component when hydrating a new study.</t>
        </r>
      </text>
    </comment>
    <comment ref="B1" authorId="0">
      <text>
        <r>
          <rPr>
            <rFont val="Aptos Narrow"/>
            <b/>
            <color rgb="FFFFFFFF"/>
            <sz val="11"/>
          </rPr>
          <t>Display label.</t>
        </r>
      </text>
    </comment>
  </commentList>
</comments>
</file>

<file path=xl/comments1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row identifier: &lt;study&gt;-f&lt;pct&gt; where pct is AllocFractionA*100.</t>
        </r>
      </text>
    </comment>
    <comment ref="C1" authorId="0">
      <text>
        <r>
          <rPr>
            <rFont val="Aptos Narrow"/>
            <b/>
            <color rgb="FFFFFFFF"/>
            <sz val="11"/>
          </rPr>
          <t>The study being swept — all 90+ studies in the corpus.</t>
        </r>
      </text>
    </comment>
    <comment ref="D1" authorId="0">
      <text>
        <r>
          <rPr>
            <rFont val="Aptos Narrow"/>
            <b/>
            <color rgb="FFFFFFFF"/>
            <sz val="11"/>
          </rPr>
          <t>Fraction of the sweep-stratum cases assigned to treatment A. Ranges from 0.05 to 0.95. The sweep stratum is the one whose allocation was most confounded in the original study.</t>
        </r>
      </text>
    </comment>
    <comment ref="E1" authorId="0">
      <text>
        <r>
          <rPr>
            <rFont val="Aptos Narrow"/>
            <b/>
            <color rgb="FFFFFFFF"/>
            <sz val="11"/>
          </rPr>
          <t>TRUE for the row closest to the actual original study allocation.</t>
        </r>
      </text>
    </comment>
    <comment ref="F1" authorId="0">
      <text>
        <r>
          <rPr>
            <rFont val="Aptos Narrow"/>
            <b/>
            <color rgb="FFFFFFFF"/>
            <sz val="11"/>
          </rPr>
          <t>Total cases in the sweep stratum (the stratum whose allocation is being varied). Fixed per study.</t>
        </r>
      </text>
    </comment>
    <comment ref="G1" authorId="0">
      <text>
        <r>
          <rPr>
            <rFont val="Aptos Narrow"/>
            <b/>
            <color rgb="FFFFFFFF"/>
            <sz val="11"/>
          </rPr>
          <t>Cases in the sweep stratum assigned to treatment A = ROUND(NSweepStratumTotal * AllocFractionA).</t>
        </r>
      </text>
    </comment>
    <comment ref="H1" authorId="0">
      <text>
        <r>
          <rPr>
            <rFont val="Aptos Narrow"/>
            <b/>
            <color rgb="FFFFFFFF"/>
            <sz val="11"/>
          </rPr>
          <t>Cases in the sweep stratum assigned to treatment B = NSweepStratumTotal - NSweepA.</t>
        </r>
      </text>
    </comment>
    <comment ref="I1" authorId="0">
      <text>
        <r>
          <rPr>
            <rFont val="Aptos Narrow"/>
            <b/>
            <color rgb="FFFFFFFF"/>
            <sz val="11"/>
          </rPr>
          <t>Total A-treatment cases in all NON-swept strata (held fixed across sweep rows). For kidney-1986 = 87 (small-stratum A). For berkeley-1973 = 1302 (depts B+C+D male). For compressed-synthetic = 80 (easy-stratum A). For balanced-synthetic = 100 (hard-stratum A).</t>
        </r>
      </text>
    </comment>
    <comment ref="J1" authorId="0">
      <text>
        <r>
          <rPr>
            <rFont val="Aptos Narrow"/>
            <b/>
            <color rgb="FFFFFFFF"/>
            <sz val="11"/>
          </rPr>
          <t>Total B-treatment cases in all NON-swept strata (held fixed across sweep rows). For kidney-1986 = 270 (small-stratum B). For berkeley-1973 = 993 (depts B+C+D female). For compressed-synthetic = 120 (easy-stratum B). For balanced-synthetic = 100 (hard-stratum B).</t>
        </r>
      </text>
    </comment>
    <comment ref="K1" authorId="0">
      <text>
        <r>
          <rPr>
            <rFont val="Aptos Narrow"/>
            <b/>
            <color rgb="FFFFFFFF"/>
            <sz val="11"/>
          </rPr>
          <t>Per-cell success rate for treatment A in the sweep stratum. Fixed per study.</t>
        </r>
      </text>
    </comment>
    <comment ref="L1" authorId="0">
      <text>
        <r>
          <rPr>
            <rFont val="Aptos Narrow"/>
            <b/>
            <color rgb="FFFFFFFF"/>
            <sz val="11"/>
          </rPr>
          <t>Per-cell success rate for treatment B in the sweep stratum. Fixed per study.</t>
        </r>
      </text>
    </comment>
    <comment ref="M1" authorId="0">
      <text>
        <r>
          <rPr>
            <rFont val="Aptos Narrow"/>
            <b/>
            <color rgb="FFFFFFFF"/>
            <sz val="11"/>
          </rPr>
          <t>Weighted success rate for treatment A across all fixed (non-swept) strata. Constant per study.</t>
        </r>
      </text>
    </comment>
    <comment ref="N1" authorId="0">
      <text>
        <r>
          <rPr>
            <rFont val="Aptos Narrow"/>
            <b/>
            <color rgb="FFFFFFFF"/>
            <sz val="11"/>
          </rPr>
          <t>Weighted success rate for treatment B across all fixed (non-swept) strata. Constant per study.</t>
        </r>
      </text>
    </comment>
    <comment ref="O1" authorId="0">
      <text>
        <r>
          <rPr>
            <rFont val="Aptos Narrow"/>
            <b/>
            <color rgb="FFFFFFFF"/>
            <sz val="11"/>
          </rPr>
          <t>Pooled success rate for treatment A = (NSweepA * SweepRateA + NFixedA * FixedRateA) / (NSweepA + NFixedA). Changes as AllocFractionA varies.</t>
        </r>
      </text>
    </comment>
    <comment ref="P1" authorId="0">
      <text>
        <r>
          <rPr>
            <rFont val="Aptos Narrow"/>
            <b/>
            <color rgb="FFFFFFFF"/>
            <sz val="11"/>
          </rPr>
          <t>Pooled success rate for treatment B = (NSweepB * SweepRateB + NFixedB * FixedRateB) / (NSweepB + NFixedB). Changes as AllocFractionA varies.</t>
        </r>
      </text>
    </comment>
    <comment ref="Q1" authorId="0">
      <text>
        <r>
          <rPr>
            <rFont val="Aptos Narrow"/>
            <b/>
            <color rgb="FFFFFFFF"/>
            <sz val="11"/>
          </rPr>
          <t>SweepPooledRateA minus SweepPooledRateB. Wanders as AllocFractionA varies because pooled rates mix stratum sizes unequally. Crosses zero at some allocation (the paradox reversal point).</t>
        </r>
      </text>
    </comment>
    <comment ref="R1" authorId="0">
      <text>
        <r>
          <rPr>
            <rFont val="Aptos Narrow"/>
            <b/>
            <color rgb="FFFFFFFF"/>
            <sz val="11"/>
          </rPr>
          <t>Allocation-free signal: sum over strata of (n_s/N) * (rate_As - rate_Bs). Constant across the sweep by construction — the allocation variable does not appear. This is the conserved quantity under re-stratification.</t>
        </r>
      </text>
    </comment>
    <comment ref="S1" authorId="0">
      <text>
        <r>
          <rPr>
            <rFont val="Aptos Narrow"/>
            <b/>
            <color rgb="FFFFFFFF"/>
            <sz val="11"/>
          </rPr>
          <t>SweepPooledGap minus SweepCorrectedGap. The allocation distortion: how much the pooled signal has been inflated or deflated by differential stratum allocation. Zero only when allocation is balanced.</t>
        </r>
      </text>
    </comment>
    <comment ref="B1" authorId="0">
      <text>
        <r>
          <rPr>
            <rFont val="Aptos Narrow"/>
            <b/>
            <color rgb="FFFFFFFF"/>
            <sz val="11"/>
          </rPr>
          <t>Display label.</t>
        </r>
      </text>
    </comment>
  </commentList>
</comments>
</file>

<file path=xl/comments1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FK to Studies.StudyId. One row per study in the AllocationSweep.</t>
        </r>
      </text>
    </comment>
    <comment ref="C1" authorId="0">
      <text>
        <r>
          <rPr>
            <rFont val="Aptos Narrow"/>
            <b/>
            <color rgb="FFFFFFFF"/>
            <sz val="11"/>
          </rPr>
          <t>DistortionType for this study (A, B, C, or D) — provides context for what the sweep should show.</t>
        </r>
      </text>
    </comment>
    <comment ref="D1" authorId="0">
      <text>
        <r>
          <rPr>
            <rFont val="Aptos Narrow"/>
            <b/>
            <color rgb="FFFFFFFF"/>
            <sz val="11"/>
          </rPr>
          <t>The allocation-free corrected gap for this study, computed analytically.</t>
        </r>
      </text>
    </comment>
    <comment ref="E1" authorId="0">
      <text>
        <r>
          <rPr>
            <rFont val="Aptos Narrow"/>
            <b/>
            <color rgb="FFFFFFFF"/>
            <sz val="11"/>
          </rPr>
          <t>Maximum SweepCorrectedGap across all allocation fractions for this study.</t>
        </r>
      </text>
    </comment>
    <comment ref="F1" authorId="0">
      <text>
        <r>
          <rPr>
            <rFont val="Aptos Narrow"/>
            <b/>
            <color rgb="FFFFFFFF"/>
            <sz val="11"/>
          </rPr>
          <t>Minimum SweepCorrectedGap across all allocation fractions for this study.</t>
        </r>
      </text>
    </comment>
    <comment ref="G1" authorId="0">
      <text>
        <r>
          <rPr>
            <rFont val="Aptos Narrow"/>
            <b/>
            <color rgb="FFFFFFFF"/>
            <sz val="11"/>
          </rPr>
          <t>Range of SweepCorrectedGap across the sweep = Max - Min. Should be effectively zero (&lt; 0.0001) for all studies if CorrectedGap is truly allocation-free.</t>
        </r>
      </text>
    </comment>
    <comment ref="H1" authorId="0">
      <text>
        <r>
          <rPr>
            <rFont val="Aptos Narrow"/>
            <b/>
            <color rgb="FFFFFFFF"/>
            <sz val="11"/>
          </rPr>
          <t>Maximum SweepPooledGap across all allocation fractions for this study.</t>
        </r>
      </text>
    </comment>
    <comment ref="I1" authorId="0">
      <text>
        <r>
          <rPr>
            <rFont val="Aptos Narrow"/>
            <b/>
            <color rgb="FFFFFFFF"/>
            <sz val="11"/>
          </rPr>
          <t>Minimum SweepPooledGap across all allocation fractions for this study.</t>
        </r>
      </text>
    </comment>
    <comment ref="J1" authorId="0">
      <text>
        <r>
          <rPr>
            <rFont val="Aptos Narrow"/>
            <b/>
            <color rgb="FFFFFFFF"/>
            <sz val="11"/>
          </rPr>
          <t>Range of SweepPooledGap across the sweep = Max - Min. Should be large for Type A/B studies (pooled gap wanders) and smaller for Type D (balanced allocation = less wandering).</t>
        </r>
      </text>
    </comment>
    <comment ref="K1" authorId="0">
      <text>
        <r>
          <rPr>
            <rFont val="Aptos Narrow"/>
            <b/>
            <color rgb="FFFFFFFF"/>
            <sz val="11"/>
          </rPr>
          <t>TRUE when SweepPooledGapMin &lt; 0 and SweepPooledGapMax &gt; 0 — the pooled gap changes sign somewhere in the sweep, meaning the paradox can be created or destroyed by pure allocation.</t>
        </r>
      </text>
    </comment>
    <comment ref="L1" authorId="0">
      <text>
        <r>
          <rPr>
            <rFont val="Aptos Narrow"/>
            <b/>
            <color rgb="FFFFFFFF"/>
            <sz val="11"/>
          </rPr>
          <t>Summary witness statement: PASS if CorrectedGap is invariant (range &lt; 0.0001), FAIL otherwise.</t>
        </r>
      </text>
    </comment>
    <comment ref="M1" authorId="0">
      <text>
        <r>
          <rPr>
            <rFont val="Aptos Narrow"/>
            <b/>
            <color rgb="FFFFFFFF"/>
            <sz val="11"/>
          </rPr>
          <t>Which stratum is being swept for this study.</t>
        </r>
      </text>
    </comment>
    <comment ref="B1" authorId="0">
      <text>
        <r>
          <rPr>
            <rFont val="Aptos Narrow"/>
            <b/>
            <color rgb="FFFFFFFF"/>
            <sz val="11"/>
          </rPr>
          <t>Display label.</t>
        </r>
      </text>
    </comment>
  </commentList>
</comments>
</file>

<file path=xl/comments1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identifier, e.g. tradition-historical.</t>
        </r>
      </text>
    </comment>
    <comment ref="C1" authorId="0">
      <text>
        <r>
          <rPr>
            <rFont val="Aptos Narrow"/>
            <b/>
            <color rgb="FFFFFFFF"/>
            <sz val="11"/>
          </rPr>
          <t>Approximate active period, e.g. "1899–1972".</t>
        </r>
      </text>
    </comment>
    <comment ref="D1" authorId="0">
      <text>
        <r>
          <rPr>
            <rFont val="Aptos Narrow"/>
            <b/>
            <color rgb="FFFFFFFF"/>
            <sz val="11"/>
          </rPr>
          <t>The central question this tradition asks about the paradox.</t>
        </r>
      </text>
    </comment>
    <comment ref="E1" authorId="0">
      <text>
        <r>
          <rPr>
            <rFont val="Aptos Narrow"/>
            <b/>
            <color rgb="FFFFFFFF"/>
            <sz val="11"/>
          </rPr>
          <t>Where this tradition publishes (journal, conference, book series).</t>
        </r>
      </text>
    </comment>
    <comment ref="F1" authorId="0">
      <text>
        <r>
          <rPr>
            <rFont val="Aptos Narrow"/>
            <b/>
            <color rgb="FFFFFFFF"/>
            <sz val="11"/>
          </rPr>
          <t>The tradition's signature thesis or resolution strategy.</t>
        </r>
      </text>
    </comment>
    <comment ref="G1" authorId="0">
      <text>
        <r>
          <rPr>
            <rFont val="Aptos Narrow"/>
            <b/>
            <color rgb="FFFFFFFF"/>
            <sz val="11"/>
          </rPr>
          <t>What this tradition leaves unresolved or contested.</t>
        </r>
      </text>
    </comment>
    <comment ref="H1" authorId="0">
      <text>
        <r>
          <rPr>
            <rFont val="Aptos Narrow"/>
            <b/>
            <color rgb="FFFFFFFF"/>
            <sz val="11"/>
          </rPr>
          <t>True if the 2026-06-28 adversarial deep-research pass confirmed the tradition at high confidence.</t>
        </r>
      </text>
    </comment>
    <comment ref="I1" authorId="0">
      <text>
        <r>
          <rPr>
            <rFont val="Aptos Narrow"/>
            <b/>
            <color rgb="FFFFFFFF"/>
            <sz val="11"/>
          </rPr>
          <t>FK → Studies.StudyId. The study in this model that most vividly illustrates this tradition's characteristic concern or resolution strategy.</t>
        </r>
      </text>
    </comment>
    <comment ref="J1" authorId="0">
      <text>
        <r>
          <rPr>
            <rFont val="Aptos Narrow"/>
            <b/>
            <color rgb="FFFFFFFF"/>
            <sz val="11"/>
          </rPr>
          <t>FK → Conclusions.ConclusionId. The conclusion in this model that most directly validates or advances this tradition's central claim about Simpson's Paradox.</t>
        </r>
      </text>
    </comment>
    <comment ref="K1" authorId="0">
      <text>
        <r>
          <rPr>
            <rFont val="Aptos Narrow"/>
            <b/>
            <color rgb="FFFFFFFF"/>
            <sz val="11"/>
          </rPr>
          <t>Lookup: Studies.Title via IllustratedByStudy.</t>
        </r>
      </text>
    </comment>
    <comment ref="L1" authorId="0">
      <text>
        <r>
          <rPr>
            <rFont val="Aptos Narrow"/>
            <b/>
            <color rgb="FFFFFFFF"/>
            <sz val="11"/>
          </rPr>
          <t>Lookup: Studies.Source via IllustratedByStudy — the citation for the study that best illustrates this tradition.</t>
        </r>
      </text>
    </comment>
    <comment ref="M1" authorId="0">
      <text>
        <r>
          <rPr>
            <rFont val="Aptos Narrow"/>
            <b/>
            <color rgb="FFFFFFFF"/>
            <sz val="11"/>
          </rPr>
          <t>Lookup: TreatmentRankings.DistortionType for the illustrated study.</t>
        </r>
      </text>
    </comment>
    <comment ref="N1" authorId="0">
      <text>
        <r>
          <rPr>
            <rFont val="Aptos Narrow"/>
            <b/>
            <color rgb="FFFFFFFF"/>
            <sz val="11"/>
          </rPr>
          <t>Lookup: Conclusions.Title via SupportingConclusion.</t>
        </r>
      </text>
    </comment>
    <comment ref="O1" authorId="0">
      <text>
        <r>
          <rPr>
            <rFont val="Aptos Narrow"/>
            <b/>
            <color rgb="FFFFFFFF"/>
            <sz val="11"/>
          </rPr>
          <t>Lookup: Conclusions.Category via SupportingConclusion.</t>
        </r>
      </text>
    </comment>
    <comment ref="P1" authorId="0">
      <text>
        <r>
          <rPr>
            <rFont val="Aptos Narrow"/>
            <b/>
            <color rgb="FFFFFFFF"/>
            <sz val="11"/>
          </rPr>
          <t>Count of researchers in this tradition.</t>
        </r>
      </text>
    </comment>
    <comment ref="Q1" authorId="0">
      <text>
        <r>
          <rPr>
            <rFont val="Aptos Narrow"/>
            <b/>
            <color rgb="FFFFFFFF"/>
            <sz val="11"/>
          </rPr>
          <t>Count of studies in this model whose TraditionId matches this tradition.</t>
        </r>
      </text>
    </comment>
    <comment ref="R1" authorId="0">
      <text>
        <r>
          <rPr>
            <rFont val="Aptos Narrow"/>
            <b/>
            <color rgb="FFFFFFFF"/>
            <sz val="11"/>
          </rPr>
          <t>Count of Leopold Loops that drew primarily on this tradition's conceptual vocabulary.</t>
        </r>
      </text>
    </comment>
    <comment ref="B1" authorId="0">
      <text>
        <r>
          <rPr>
            <rFont val="Aptos Narrow"/>
            <b/>
            <color rgb="FFFFFFFF"/>
            <sz val="11"/>
          </rPr>
          <t>Short display name for the tradition.</t>
        </r>
      </text>
    </comment>
  </commentList>
</comments>
</file>

<file path=xl/comments2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e.g. researcher-pearson.</t>
        </r>
      </text>
    </comment>
    <comment ref="C1" authorId="0">
      <text>
        <r>
          <rPr>
            <rFont val="Aptos Narrow"/>
            <b/>
            <color rgb="FFFFFFFF"/>
            <sz val="11"/>
          </rPr>
          <t>FK → ResearchTraditions.TraditionId</t>
        </r>
      </text>
    </comment>
    <comment ref="D1" authorId="0">
      <text>
        <r>
          <rPr>
            <rFont val="Aptos Narrow"/>
            <b/>
            <color rgb="FFFFFFFF"/>
            <sz val="11"/>
          </rPr>
          <t>Approximate years of relevant work, e.g. "1899".</t>
        </r>
      </text>
    </comment>
    <comment ref="E1" authorId="0">
      <text>
        <r>
          <rPr>
            <rFont val="Aptos Narrow"/>
            <b/>
            <color rgb="FFFFFFFF"/>
            <sz val="11"/>
          </rPr>
          <t>Primary institutional affiliation for the relevant work.</t>
        </r>
      </text>
    </comment>
    <comment ref="F1" authorId="0">
      <text>
        <r>
          <rPr>
            <rFont val="Aptos Narrow"/>
            <b/>
            <color rgb="FFFFFFFF"/>
            <sz val="11"/>
          </rPr>
          <t>One-sentence description of their specific contribution to the paradox literature.</t>
        </r>
      </text>
    </comment>
    <comment ref="G1" authorId="0">
      <text>
        <r>
          <rPr>
            <rFont val="Aptos Narrow"/>
            <b/>
            <color rgb="FFFFFFFF"/>
            <sz val="11"/>
          </rPr>
          <t>The canonical paper or book most associated with their contribution.</t>
        </r>
      </text>
    </comment>
    <comment ref="H1" authorId="0">
      <text>
        <r>
          <rPr>
            <rFont val="Aptos Narrow"/>
            <b/>
            <color rgb="FFFFFFFF"/>
            <sz val="11"/>
          </rPr>
          <t>How this researcher's line of work relates to or differs from Hannan (aggregation bias) and Pearl (DAG/do-calculus).</t>
        </r>
      </text>
    </comment>
    <comment ref="I1" authorId="0">
      <text>
        <r>
          <rPr>
            <rFont val="Aptos Narrow"/>
            <b/>
            <color rgb="FFFFFFFF"/>
            <sz val="11"/>
          </rPr>
          <t>True if the 2026-06-28 adversarial deep-research pass confirmed this person at high confidence.</t>
        </r>
      </text>
    </comment>
    <comment ref="J1" authorId="0">
      <text>
        <r>
          <rPr>
            <rFont val="Aptos Narrow"/>
            <b/>
            <color rgb="FFFFFFFF"/>
            <sz val="11"/>
          </rPr>
          <t>high | medium | unverified — matches deep-research vote outcome.</t>
        </r>
      </text>
    </comment>
    <comment ref="K1" authorId="0">
      <text>
        <r>
          <rPr>
            <rFont val="Aptos Narrow"/>
            <b/>
            <color rgb="FFFFFFFF"/>
            <sz val="11"/>
          </rPr>
          <t>FK → Studies.StudyId. The study in this model that best illustrates this researcher's specific contribution to the Simpson's Paradox literature.</t>
        </r>
      </text>
    </comment>
    <comment ref="L1" authorId="0">
      <text>
        <r>
          <rPr>
            <rFont val="Aptos Narrow"/>
            <b/>
            <color rgb="FFFFFFFF"/>
            <sz val="11"/>
          </rPr>
          <t>FK → Conclusions.ConclusionId. The conclusion in this model that this researcher's work directly supports, challenges, or frames.</t>
        </r>
      </text>
    </comment>
    <comment ref="M1" authorId="0">
      <text>
        <r>
          <rPr>
            <rFont val="Aptos Narrow"/>
            <b/>
            <color rgb="FFFFFFFF"/>
            <sz val="11"/>
          </rPr>
          <t>Lookup: ResearchTraditions.Name via TraditionId.</t>
        </r>
      </text>
    </comment>
    <comment ref="N1" authorId="0">
      <text>
        <r>
          <rPr>
            <rFont val="Aptos Narrow"/>
            <b/>
            <color rgb="FFFFFFFF"/>
            <sz val="11"/>
          </rPr>
          <t>Lookup: ResearchTraditions.Era via TraditionId.</t>
        </r>
      </text>
    </comment>
    <comment ref="O1" authorId="0">
      <text>
        <r>
          <rPr>
            <rFont val="Aptos Narrow"/>
            <b/>
            <color rgb="FFFFFFFF"/>
            <sz val="11"/>
          </rPr>
          <t>Lookup: Studies.Title via CanonicalStudyId.</t>
        </r>
      </text>
    </comment>
    <comment ref="P1" authorId="0">
      <text>
        <r>
          <rPr>
            <rFont val="Aptos Narrow"/>
            <b/>
            <color rgb="FFFFFFFF"/>
            <sz val="11"/>
          </rPr>
          <t>Lookup: TreatmentRankings.DistortionType for the canonical study — the geometric type of paradox this researcher's work exemplifies.</t>
        </r>
      </text>
    </comment>
    <comment ref="Q1" authorId="0">
      <text>
        <r>
          <rPr>
            <rFont val="Aptos Narrow"/>
            <b/>
            <color rgb="FFFFFFFF"/>
            <sz val="11"/>
          </rPr>
          <t>Lookup: TreatmentRankings.CorrectedPolicyImplication for the canonical study.</t>
        </r>
      </text>
    </comment>
    <comment ref="R1" authorId="0">
      <text>
        <r>
          <rPr>
            <rFont val="Aptos Narrow"/>
            <b/>
            <color rgb="FFFFFFFF"/>
            <sz val="11"/>
          </rPr>
          <t>Lookup: Conclusions.Title via IllustratesConclusion.</t>
        </r>
      </text>
    </comment>
    <comment ref="S1" authorId="0">
      <text>
        <r>
          <rPr>
            <rFont val="Aptos Narrow"/>
            <b/>
            <color rgb="FFFFFFFF"/>
            <sz val="11"/>
          </rPr>
          <t>Lookup: ResearchTraditions.KeyClaim via TraditionId — the tradition's signature thesis this researcher contributed to.</t>
        </r>
      </text>
    </comment>
    <comment ref="B1" authorId="0">
      <text>
        <r>
          <rPr>
            <rFont val="Aptos Narrow"/>
            <b/>
            <color rgb="FFFFFFFF"/>
            <sz val="11"/>
          </rPr>
          <t>Full name as commonly cited.</t>
        </r>
      </text>
    </comment>
  </commentList>
</comments>
</file>

<file path=xl/comments2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grid-point identifier encoding (w, g1, g2, b) coordinates.</t>
        </r>
      </text>
    </comment>
    <comment ref="C1" authorId="0">
      <text>
        <r>
          <rPr>
            <rFont val="Aptos Narrow"/>
            <b/>
            <color rgb="FFFFFFFF"/>
            <sz val="11"/>
          </rPr>
          <t>w — fraction of total cases in the hard (stratum-1) subgroup. Range 0.30–0.75 in this grid.</t>
        </r>
      </text>
    </comment>
    <comment ref="D1" authorId="0">
      <text>
        <r>
          <rPr>
            <rFont val="Aptos Narrow"/>
            <b/>
            <color rgb="FFFFFFFF"/>
            <sz val="11"/>
          </rPr>
          <t>g1 — signed treatment advantage (rate_A − rate_B) in the hard stratum. Positive means A wins stratum 1.</t>
        </r>
      </text>
    </comment>
    <comment ref="E1" authorId="0">
      <text>
        <r>
          <rPr>
            <rFont val="Aptos Narrow"/>
            <b/>
            <color rgb="FFFFFFFF"/>
            <sz val="11"/>
          </rPr>
          <t>g2 — signed treatment advantage in the easy stratum. Negative g2 enables type-B (partial reversal) cells.</t>
        </r>
      </text>
    </comment>
    <comment ref="F1" authorId="0">
      <text>
        <r>
          <rPr>
            <rFont val="Aptos Narrow"/>
            <b/>
            <color rgb="FFFFFFFF"/>
            <sz val="11"/>
          </rPr>
          <t>b — allocation bias in stratum 1: extra fraction of stratum-1 cases assigned to treatment A above 50/50. Range 0.00–0.95.</t>
        </r>
      </text>
    </comment>
    <comment ref="G1" authorId="0">
      <text>
        <r>
          <rPr>
            <rFont val="Aptos Narrow"/>
            <b/>
            <color rgb="FFFFFFFF"/>
            <sz val="11"/>
          </rPr>
          <t>Total cases in stratum 1 = ROUND(200 × ParamStratumFraction).</t>
        </r>
      </text>
    </comment>
    <comment ref="H1" authorId="0">
      <text>
        <r>
          <rPr>
            <rFont val="Aptos Narrow"/>
            <b/>
            <color rgb="FFFFFFFF"/>
            <sz val="11"/>
          </rPr>
          <t>Treatment-A cases in stratum 1.</t>
        </r>
      </text>
    </comment>
    <comment ref="I1" authorId="0">
      <text>
        <r>
          <rPr>
            <rFont val="Aptos Narrow"/>
            <b/>
            <color rgb="FFFFFFFF"/>
            <sz val="11"/>
          </rPr>
          <t>Treatment-B cases in stratum 1.</t>
        </r>
      </text>
    </comment>
    <comment ref="J1" authorId="0">
      <text>
        <r>
          <rPr>
            <rFont val="Aptos Narrow"/>
            <b/>
            <color rgb="FFFFFFFF"/>
            <sz val="11"/>
          </rPr>
          <t>Treatment-A cases in stratum 2.</t>
        </r>
      </text>
    </comment>
    <comment ref="K1" authorId="0">
      <text>
        <r>
          <rPr>
            <rFont val="Aptos Narrow"/>
            <b/>
            <color rgb="FFFFFFFF"/>
            <sz val="11"/>
          </rPr>
          <t>Treatment-B cases in stratum 2.</t>
        </r>
      </text>
    </comment>
    <comment ref="L1" authorId="0">
      <text>
        <r>
          <rPr>
            <rFont val="Aptos Narrow"/>
            <b/>
            <color rgb="FFFFFFFF"/>
            <sz val="11"/>
          </rPr>
          <t>Success rate for A in hard stratum.</t>
        </r>
      </text>
    </comment>
    <comment ref="M1" authorId="0">
      <text>
        <r>
          <rPr>
            <rFont val="Aptos Narrow"/>
            <b/>
            <color rgb="FFFFFFFF"/>
            <sz val="11"/>
          </rPr>
          <t>Success rate for B in hard stratum.</t>
        </r>
      </text>
    </comment>
    <comment ref="N1" authorId="0">
      <text>
        <r>
          <rPr>
            <rFont val="Aptos Narrow"/>
            <b/>
            <color rgb="FFFFFFFF"/>
            <sz val="11"/>
          </rPr>
          <t>Success rate for A in easy stratum.</t>
        </r>
      </text>
    </comment>
    <comment ref="O1" authorId="0">
      <text>
        <r>
          <rPr>
            <rFont val="Aptos Narrow"/>
            <b/>
            <color rgb="FFFFFFFF"/>
            <sz val="11"/>
          </rPr>
          <t>Success rate for B in easy stratum.</t>
        </r>
      </text>
    </comment>
    <comment ref="P1" authorId="0">
      <text>
        <r>
          <rPr>
            <rFont val="Aptos Narrow"/>
            <b/>
            <color rgb="FFFFFFFF"/>
            <sz val="11"/>
          </rPr>
          <t>Pooled success rate for treatment A.</t>
        </r>
      </text>
    </comment>
    <comment ref="Q1" authorId="0">
      <text>
        <r>
          <rPr>
            <rFont val="Aptos Narrow"/>
            <b/>
            <color rgb="FFFFFFFF"/>
            <sz val="11"/>
          </rPr>
          <t>Pooled success rate for treatment B.</t>
        </r>
      </text>
    </comment>
    <comment ref="R1" authorId="0">
      <text>
        <r>
          <rPr>
            <rFont val="Aptos Narrow"/>
            <b/>
            <color rgb="FFFFFFFF"/>
            <sz val="11"/>
          </rPr>
          <t>Pooled rate gap (A minus B).</t>
        </r>
      </text>
    </comment>
    <comment ref="S1" authorId="0">
      <text>
        <r>
          <rPr>
            <rFont val="Aptos Narrow"/>
            <b/>
            <color rgb="FFFFFFFF"/>
            <sz val="11"/>
          </rPr>
          <t>Allocation-free equal-weight gap = w×g1 + (1−w)×g2.</t>
        </r>
      </text>
    </comment>
    <comment ref="T1" authorId="0">
      <text>
        <r>
          <rPr>
            <rFont val="Aptos Narrow"/>
            <b/>
            <color rgb="FFFFFFFF"/>
            <sz val="11"/>
          </rPr>
          <t>Count of strata whose per-stratum winner disagrees with the pooled winner.</t>
        </r>
      </text>
    </comment>
    <comment ref="U1" authorId="0">
      <text>
        <r>
          <rPr>
            <rFont val="Aptos Narrow"/>
            <b/>
            <color rgb="FFFFFFFF"/>
            <sz val="11"/>
          </rPr>
          <t>PhaseStrataWonByLoser / 2 for this 2-stratum template.</t>
        </r>
      </text>
    </comment>
    <comment ref="V1" authorId="0">
      <text>
        <r>
          <rPr>
            <rFont val="Aptos Narrow"/>
            <b/>
            <color rgb="FFFFFFFF"/>
            <sz val="11"/>
          </rPr>
          <t>TRUE when equal-weight and pooled gaps have opposite signs.</t>
        </r>
      </text>
    </comment>
    <comment ref="W1" authorId="0">
      <text>
        <r>
          <rPr>
            <rFont val="Aptos Narrow"/>
            <b/>
            <color rgb="FFFFFFFF"/>
            <sz val="11"/>
          </rPr>
          <t>|PhaseCorrectedGap − PhaseSignedPooledGap|.</t>
        </r>
      </text>
    </comment>
    <comment ref="X1" authorId="0">
      <text>
        <r>
          <rPr>
            <rFont val="Aptos Narrow"/>
            <b/>
            <color rgb="FFFFFFFF"/>
            <sz val="11"/>
          </rPr>
          <t>Five-type geometric classification at this parameter point.</t>
        </r>
      </text>
    </comment>
    <comment ref="B1" authorId="0">
      <text>
        <r>
          <rPr>
            <rFont val="Aptos Narrow"/>
            <b/>
            <color rgb="FFFFFFFF"/>
            <sz val="11"/>
          </rPr>
          <t>Display label.</t>
        </r>
      </text>
    </comment>
  </commentList>
</comments>
</file>

<file path=xl/comments2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identifier for this phase diagram instance.</t>
        </r>
      </text>
    </comment>
    <comment ref="C1" authorId="0">
      <text>
        <r>
          <rPr>
            <rFont val="Aptos Narrow"/>
            <b/>
            <color rgb="FFFFFFFF"/>
            <sz val="11"/>
          </rPr>
          <t>Total grid points in SyntheticPhase (sum of type counts). Refreshed from vw_synthetic_phase by 05b-customize-data.sql.</t>
        </r>
      </text>
    </comment>
    <comment ref="D1" authorId="0">
      <text>
        <r>
          <rPr>
            <rFont val="Aptos Narrow"/>
            <b/>
            <color rgb="FFFFFFFF"/>
            <sz val="11"/>
          </rPr>
          <t>Grid points classified as type A. Populated from vw_synthetic_phase by 05b-customize-data.sql.</t>
        </r>
      </text>
    </comment>
    <comment ref="E1" authorId="0">
      <text>
        <r>
          <rPr>
            <rFont val="Aptos Narrow"/>
            <b/>
            <color rgb="FFFFFFFF"/>
            <sz val="11"/>
          </rPr>
          <t>Grid points classified as type B. Populated from vw_synthetic_phase by 05b-customize-data.sql.</t>
        </r>
      </text>
    </comment>
    <comment ref="F1" authorId="0">
      <text>
        <r>
          <rPr>
            <rFont val="Aptos Narrow"/>
            <b/>
            <color rgb="FFFFFFFF"/>
            <sz val="11"/>
          </rPr>
          <t>Grid points classified as type C+. Populated from vw_synthetic_phase by 05b-customize-data.sql.</t>
        </r>
      </text>
    </comment>
    <comment ref="G1" authorId="0">
      <text>
        <r>
          <rPr>
            <rFont val="Aptos Narrow"/>
            <b/>
            <color rgb="FFFFFFFF"/>
            <sz val="11"/>
          </rPr>
          <t>Grid points classified as type C-. Populated from vw_synthetic_phase by 05b-customize-data.sql.</t>
        </r>
      </text>
    </comment>
    <comment ref="H1" authorId="0">
      <text>
        <r>
          <rPr>
            <rFont val="Aptos Narrow"/>
            <b/>
            <color rgb="FFFFFFFF"/>
            <sz val="11"/>
          </rPr>
          <t>Grid points classified as type D. Populated from vw_synthetic_phase by 05b-customize-data.sql.</t>
        </r>
      </text>
    </comment>
    <comment ref="I1" authorId="0">
      <text>
        <r>
          <rPr>
            <rFont val="Aptos Narrow"/>
            <b/>
            <color rgb="FFFFFFFF"/>
            <sz val="11"/>
          </rPr>
          <t>TRUE when every DistortionType cell has at least one grid point.</t>
        </r>
      </text>
    </comment>
    <comment ref="J1" authorId="0">
      <text>
        <r>
          <rPr>
            <rFont val="Aptos Narrow"/>
            <b/>
            <color rgb="FFFFFFFF"/>
            <sz val="11"/>
          </rPr>
          <t>Human-readable witness string of type counts across the grid.</t>
        </r>
      </text>
    </comment>
    <comment ref="K1" authorId="0">
      <text>
        <r>
          <rPr>
            <rFont val="Aptos Narrow"/>
            <b/>
            <color rgb="FFFFFFFF"/>
            <sz val="11"/>
          </rPr>
          <t>PASS/FAIL summary for taxonomy completeness.</t>
        </r>
      </text>
    </comment>
    <comment ref="B1" authorId="0">
      <text>
        <r>
          <rPr>
            <rFont val="Aptos Narrow"/>
            <b/>
            <color rgb="FFFFFFFF"/>
            <sz val="11"/>
          </rPr>
          <t>Display label.</t>
        </r>
      </text>
    </comment>
  </commentList>
</comments>
</file>

<file path=xl/comments2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for this contract item.</t>
        </r>
      </text>
    </comment>
    <comment ref="C1" authorId="0">
      <text>
        <r>
          <rPr>
            <rFont val="Aptos Narrow"/>
            <b/>
            <color rgb="FFFFFFFF"/>
            <sz val="11"/>
          </rPr>
          <t>required-input | structural | inclusion | exclusion | adapter-metadata</t>
        </r>
      </text>
    </comment>
    <comment ref="D1" authorId="0">
      <text>
        <r>
          <rPr>
            <rFont val="Aptos Narrow"/>
            <b/>
            <color rgb="FFFFFFFF"/>
            <sz val="11"/>
          </rPr>
          <t>Rulebook table this item applies to.</t>
        </r>
      </text>
    </comment>
    <comment ref="E1" authorId="0">
      <text>
        <r>
          <rPr>
            <rFont val="Aptos Narrow"/>
            <b/>
            <color rgb="FFFFFFFF"/>
            <sz val="11"/>
          </rPr>
          <t>Column name when RuleType=required-input.</t>
        </r>
      </text>
    </comment>
    <comment ref="F1" authorId="0">
      <text>
        <r>
          <rPr>
            <rFont val="Aptos Narrow"/>
            <b/>
            <color rgb="FFFFFFFF"/>
            <sz val="11"/>
          </rPr>
          <t>Plain-English statement of the requirement.</t>
        </r>
      </text>
    </comment>
    <comment ref="G1" authorId="0">
      <text>
        <r>
          <rPr>
            <rFont val="Aptos Narrow"/>
            <b/>
            <color rgb="FFFFFFFF"/>
            <sz val="11"/>
          </rPr>
          <t>How to verify compliance before classification.</t>
        </r>
      </text>
    </comment>
    <comment ref="H1" authorId="0">
      <text>
        <r>
          <rPr>
            <rFont val="Aptos Narrow"/>
            <b/>
            <color rgb="FFFFFFFF"/>
            <sz val="11"/>
          </rPr>
          <t>Display order in the ingestion checklist.</t>
        </r>
      </text>
    </comment>
    <comment ref="B1" authorId="0">
      <text>
        <r>
          <rPr>
            <rFont val="Aptos Narrow"/>
            <b/>
            <color rgb="FFFFFFFF"/>
            <sz val="11"/>
          </rPr>
          <t>Display label.</t>
        </r>
      </text>
    </comment>
  </commentList>
</comments>
</file>

<file path=xl/comments2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identifier.</t>
        </r>
      </text>
    </comment>
    <comment ref="C1" authorId="0">
      <text>
        <r>
          <rPr>
            <rFont val="Aptos Narrow"/>
            <b/>
            <color rgb="FFFFFFFF"/>
            <sz val="11"/>
          </rPr>
          <t>Total contract items.</t>
        </r>
      </text>
    </comment>
    <comment ref="D1" authorId="0">
      <text>
        <r>
          <rPr>
            <rFont val="Aptos Narrow"/>
            <b/>
            <color rgb="FFFFFFFF"/>
            <sz val="11"/>
          </rPr>
          <t>Total CaseCell rows.</t>
        </r>
      </text>
    </comment>
    <comment ref="E1" authorId="0">
      <text>
        <r>
          <rPr>
            <rFont val="Aptos Narrow"/>
            <b/>
            <color rgb="FFFFFFFF"/>
            <sz val="11"/>
          </rPr>
          <t>Valid CaseCells.</t>
        </r>
      </text>
    </comment>
    <comment ref="F1" authorId="0">
      <text>
        <r>
          <rPr>
            <rFont val="Aptos Narrow"/>
            <b/>
            <color rgb="FFFFFFFF"/>
            <sz val="11"/>
          </rPr>
          <t>Every cell passes validity predicate.</t>
        </r>
      </text>
    </comment>
    <comment ref="G1" authorId="0">
      <text>
        <r>
          <rPr>
            <rFont val="Aptos Narrow"/>
            <b/>
            <color rgb="FFFFFFFF"/>
            <sz val="11"/>
          </rPr>
          <t>Total studies.</t>
        </r>
      </text>
    </comment>
    <comment ref="H1" authorId="0">
      <text>
        <r>
          <rPr>
            <rFont val="Aptos Narrow"/>
            <b/>
            <color rgb="FFFFFFFF"/>
            <sz val="11"/>
          </rPr>
          <t>Studies with IngestionCellParity.</t>
        </r>
      </text>
    </comment>
    <comment ref="I1" authorId="0">
      <text>
        <r>
          <rPr>
            <rFont val="Aptos Narrow"/>
            <b/>
            <color rgb="FFFFFFFF"/>
            <sz val="11"/>
          </rPr>
          <t>All studies structurally valid.</t>
        </r>
      </text>
    </comment>
    <comment ref="J1" authorId="0">
      <text>
        <r>
          <rPr>
            <rFont val="Aptos Narrow"/>
            <b/>
            <color rgb="FFFFFFFF"/>
            <sz val="11"/>
          </rPr>
          <t>Non-synthetic studies.</t>
        </r>
      </text>
    </comment>
    <comment ref="K1" authorId="0">
      <text>
        <r>
          <rPr>
            <rFont val="Aptos Narrow"/>
            <b/>
            <color rgb="FFFFFFFF"/>
            <sz val="11"/>
          </rPr>
          <t>Real studies with IngestionCompliance=all.</t>
        </r>
      </text>
    </comment>
    <comment ref="L1" authorId="0">
      <text>
        <r>
          <rPr>
            <rFont val="Aptos Narrow"/>
            <b/>
            <color rgb="FFFFFFFF"/>
            <sz val="11"/>
          </rPr>
          <t>All real studies fully compliant.</t>
        </r>
      </text>
    </comment>
    <comment ref="M1" authorId="0">
      <text>
        <r>
          <rPr>
            <rFont val="Aptos Narrow"/>
            <b/>
            <color rgb="FFFFFFFF"/>
            <sz val="11"/>
          </rPr>
          <t>Full contract passes.</t>
        </r>
      </text>
    </comment>
    <comment ref="N1" authorId="0">
      <text>
        <r>
          <rPr>
            <rFont val="Aptos Narrow"/>
            <b/>
            <color rgb="FFFFFFFF"/>
            <sz val="11"/>
          </rPr>
          <t>PASS/FAIL summary.</t>
        </r>
      </text>
    </comment>
    <comment ref="B1" authorId="0">
      <text>
        <r>
          <rPr>
            <rFont val="Aptos Narrow"/>
            <b/>
            <color rgb="FFFFFFFF"/>
            <sz val="11"/>
          </rPr>
          <t>Display label.</t>
        </r>
      </text>
    </comment>
  </commentList>
</comments>
</file>

<file path=xl/comments2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for this catalog entry.</t>
        </r>
      </text>
    </comment>
    <comment ref="C1" authorId="0">
      <text>
        <r>
          <rPr>
            <rFont val="Aptos Narrow"/>
            <b/>
            <color rgb="FFFFFFFF"/>
            <sz val="11"/>
          </rPr>
          <t>Stable slug to assign in Studies when imported.</t>
        </r>
      </text>
    </comment>
    <comment ref="D1" authorId="0">
      <text>
        <r>
          <rPr>
            <rFont val="Aptos Narrow"/>
            <b/>
            <color rgb="FFFFFFFF"/>
            <sz val="11"/>
          </rPr>
          <t>Human-readable study title.</t>
        </r>
      </text>
    </comment>
    <comment ref="E1" authorId="0">
      <text>
        <r>
          <rPr>
            <rFont val="Aptos Narrow"/>
            <b/>
            <color rgb="FFFFFFFF"/>
            <sz val="11"/>
          </rPr>
          <t>Primary publication citation.</t>
        </r>
      </text>
    </comment>
    <comment ref="F1" authorId="0">
      <text>
        <r>
          <rPr>
            <rFont val="Aptos Narrow"/>
            <b/>
            <color rgb="FFFFFFFF"/>
            <sz val="11"/>
          </rPr>
          <t>URL to source paper or data.</t>
        </r>
      </text>
    </comment>
    <comment ref="G1" authorId="0">
      <text>
        <r>
          <rPr>
            <rFont val="Aptos Narrow"/>
            <b/>
            <color rgb="FFFFFFFF"/>
            <sz val="11"/>
          </rPr>
          <t>Domain tag: medicine, epidemiology, legal, sports, education, economics, social-science.</t>
        </r>
      </text>
    </comment>
    <comment ref="H1" authorId="0">
      <text>
        <r>
          <rPr>
            <rFont val="Aptos Narrow"/>
            <b/>
            <color rgb="FFFFFFFF"/>
            <sz val="11"/>
          </rPr>
          <t>Pre-registered stratifying variable name for encoding.</t>
        </r>
      </text>
    </comment>
    <comment ref="I1" authorId="0">
      <text>
        <r>
          <rPr>
            <rFont val="Aptos Narrow"/>
            <b/>
            <color rgb="FFFFFFFF"/>
            <sz val="11"/>
          </rPr>
          <t>Hypothesized DistortionType after classification: A, B, C+, C-, D, or unknown.</t>
        </r>
      </text>
    </comment>
    <comment ref="J1" authorId="0">
      <text>
        <r>
          <rPr>
            <rFont val="Aptos Narrow"/>
            <b/>
            <color rgb="FFFFFFFF"/>
            <sz val="11"/>
          </rPr>
          <t>imported | candidate | blocked | rejected</t>
        </r>
      </text>
    </comment>
    <comment ref="K1" authorId="0">
      <text>
        <r>
          <rPr>
            <rFont val="Aptos Narrow"/>
            <b/>
            <color rgb="FFFFFFFF"/>
            <sz val="11"/>
          </rPr>
          <t>1=high priority encode next; 5=blocked/duplicate.</t>
        </r>
      </text>
    </comment>
    <comment ref="L1" authorId="0">
      <text>
        <r>
          <rPr>
            <rFont val="Aptos Narrow"/>
            <b/>
            <color rgb="FFFFFFFF"/>
            <sz val="11"/>
          </rPr>
          <t>Expected number of strata (minimum 2).</t>
        </r>
      </text>
    </comment>
    <comment ref="M1" authorId="0">
      <text>
        <r>
          <rPr>
            <rFont val="Aptos Narrow"/>
            <b/>
            <color rgb="FFFFFFFF"/>
            <sz val="11"/>
          </rPr>
          <t>Where to find cell counts and encoding notes.</t>
        </r>
      </text>
    </comment>
    <comment ref="N1" authorId="0">
      <text>
        <r>
          <rPr>
            <rFont val="Aptos Narrow"/>
            <b/>
            <color rgb="FFFFFFFF"/>
            <sz val="11"/>
          </rPr>
          <t>Studies.StudyId when IngestionStatus=imported.</t>
        </r>
      </text>
    </comment>
    <comment ref="O1" authorId="0">
      <text>
        <r>
          <rPr>
            <rFont val="Aptos Narrow"/>
            <b/>
            <color rgb="FFFFFFFF"/>
            <sz val="11"/>
          </rPr>
          <t>Publication year when known.</t>
        </r>
      </text>
    </comment>
    <comment ref="P1" authorId="0">
      <text>
        <r>
          <rPr>
            <rFont val="Aptos Narrow"/>
            <b/>
            <color rgb="FFFFFFFF"/>
            <sz val="11"/>
          </rPr>
          <t>TRUE when candidate has citation, proposed id, and stratum variable — ready for an import session.</t>
        </r>
      </text>
    </comment>
    <comment ref="Q1" authorId="0">
      <text>
        <r>
          <rPr>
            <rFont val="Aptos Narrow"/>
            <b/>
            <color rgb="FFFFFFFF"/>
            <sz val="11"/>
          </rPr>
          <t>TRUE when already in corpus.</t>
        </r>
      </text>
    </comment>
    <comment ref="R1" authorId="0">
      <text>
        <r>
          <rPr>
            <rFont val="Aptos Narrow"/>
            <b/>
            <color rgb="FFFFFFFF"/>
            <sz val="11"/>
          </rPr>
          <t>Actual DistortionType from TreatmentRankings when imported.</t>
        </r>
      </text>
    </comment>
    <comment ref="S1" authorId="0">
      <text>
        <r>
          <rPr>
            <rFont val="Aptos Narrow"/>
            <b/>
            <color rgb="FFFFFFFF"/>
            <sz val="11"/>
          </rPr>
          <t>TRUE when observed type matches expected (imported rows only).</t>
        </r>
      </text>
    </comment>
    <comment ref="B1" authorId="0">
      <text>
        <r>
          <rPr>
            <rFont val="Aptos Narrow"/>
            <b/>
            <color rgb="FFFFFFFF"/>
            <sz val="11"/>
          </rPr>
          <t>Display label.</t>
        </r>
      </text>
    </comment>
  </commentList>
</comments>
</file>

<file path=xl/comments2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identifier.</t>
        </r>
      </text>
    </comment>
    <comment ref="C1" authorId="0">
      <text>
        <r>
          <rPr>
            <rFont val="Aptos Narrow"/>
            <b/>
            <color rgb="FFFFFFFF"/>
            <sz val="11"/>
          </rPr>
          <t>All catalog rows.</t>
        </r>
      </text>
    </comment>
    <comment ref="D1" authorId="0">
      <text>
        <r>
          <rPr>
            <rFont val="Aptos Narrow"/>
            <b/>
            <color rgb="FFFFFFFF"/>
            <sz val="11"/>
          </rPr>
          <t>Rows already imported.</t>
        </r>
      </text>
    </comment>
    <comment ref="E1" authorId="0">
      <text>
        <r>
          <rPr>
            <rFont val="Aptos Narrow"/>
            <b/>
            <color rgb="FFFFFFFF"/>
            <sz val="11"/>
          </rPr>
          <t>Rows queued for import.</t>
        </r>
      </text>
    </comment>
    <comment ref="F1" authorId="0">
      <text>
        <r>
          <rPr>
            <rFont val="Aptos Narrow"/>
            <b/>
            <color rgb="FFFFFFFF"/>
            <sz val="11"/>
          </rPr>
          <t>Duplicate or blocked rows.</t>
        </r>
      </text>
    </comment>
    <comment ref="G1" authorId="0">
      <text>
        <r>
          <rPr>
            <rFont val="Aptos Narrow"/>
            <b/>
            <color rgb="FFFFFFFF"/>
            <sz val="11"/>
          </rPr>
          <t>Candidates passing IsReadyToEncode.</t>
        </r>
      </text>
    </comment>
    <comment ref="H1" authorId="0">
      <text>
        <r>
          <rPr>
            <rFont val="Aptos Narrow"/>
            <b/>
            <color rgb="FFFFFFFF"/>
            <sz val="11"/>
          </rPr>
          <t>Candidates with Priority &lt;= 2.</t>
        </r>
      </text>
    </comment>
    <comment ref="I1" authorId="0">
      <text>
        <r>
          <rPr>
            <rFont val="Aptos Narrow"/>
            <b/>
            <color rgb="FFFFFFFF"/>
            <sz val="11"/>
          </rPr>
          <t>TRUE when backlog is large enough for a bulk import session.</t>
        </r>
      </text>
    </comment>
    <comment ref="J1" authorId="0">
      <text>
        <r>
          <rPr>
            <rFont val="Aptos Narrow"/>
            <b/>
            <color rgb="FFFFFFFF"/>
            <sz val="11"/>
          </rPr>
          <t>Human-readable readiness summary.</t>
        </r>
      </text>
    </comment>
    <comment ref="B1" authorId="0">
      <text>
        <r>
          <rPr>
            <rFont val="Aptos Narrow"/>
            <b/>
            <color rgb="FFFFFFFF"/>
            <sz val="11"/>
          </rPr>
          <t>Display label.</t>
        </r>
      </text>
    </comment>
  </commentList>
</comments>
</file>

<file path=xl/comments2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t>
        </r>
      </text>
    </comment>
    <comment ref="C1" authorId="0">
      <text>
        <r>
          <rPr>
            <rFont val="Aptos Narrow"/>
            <b/>
            <color rgb="FFFFFFFF"/>
            <sz val="11"/>
          </rPr>
          <t>Domain tag matching Studies.Domain.</t>
        </r>
      </text>
    </comment>
    <comment ref="D1" authorId="0">
      <text>
        <r>
          <rPr>
            <rFont val="Aptos Narrow"/>
            <b/>
            <color rgb="FFFFFFFF"/>
            <sz val="11"/>
          </rPr>
          <t>Minimum real studies desired in this domain.</t>
        </r>
      </text>
    </comment>
    <comment ref="E1" authorId="0">
      <text>
        <r>
          <rPr>
            <rFont val="Aptos Narrow"/>
            <b/>
            <color rgb="FFFFFFFF"/>
            <sz val="11"/>
          </rPr>
          <t>Real studies already in corpus.</t>
        </r>
      </text>
    </comment>
    <comment ref="F1" authorId="0">
      <text>
        <r>
          <rPr>
            <rFont val="Aptos Narrow"/>
            <b/>
            <color rgb="FFFFFFFF"/>
            <sz val="11"/>
          </rPr>
          <t>Catalog candidates in this domain.</t>
        </r>
      </text>
    </comment>
    <comment ref="G1" authorId="0">
      <text>
        <r>
          <rPr>
            <rFont val="Aptos Narrow"/>
            <b/>
            <color rgb="FFFFFFFF"/>
            <sz val="11"/>
          </rPr>
          <t>Current + queued candidates.</t>
        </r>
      </text>
    </comment>
    <comment ref="H1" authorId="0">
      <text>
        <r>
          <rPr>
            <rFont val="Aptos Narrow"/>
            <b/>
            <color rgb="FFFFFFFF"/>
            <sz val="11"/>
          </rPr>
          <t>Studies still needed to hit target after queued imports.</t>
        </r>
      </text>
    </comment>
    <comment ref="I1" authorId="0">
      <text>
        <r>
          <rPr>
            <rFont val="Aptos Narrow"/>
            <b/>
            <color rgb="FFFFFFFF"/>
            <sz val="11"/>
          </rPr>
          <t>TRUE when projected count still below target.</t>
        </r>
      </text>
    </comment>
    <comment ref="B1" authorId="0">
      <text>
        <r>
          <rPr>
            <rFont val="Aptos Narrow"/>
            <b/>
            <color rgb="FFFFFFFF"/>
            <sz val="11"/>
          </rPr>
          <t>Display label.</t>
        </r>
      </text>
    </comment>
  </commentList>
</comments>
</file>

<file path=xl/comments2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t>
        </r>
      </text>
    </comment>
    <comment ref="C1" authorId="0">
      <text>
        <r>
          <rPr>
            <rFont val="Aptos Narrow"/>
            <b/>
            <color rgb="FFFFFFFF"/>
            <sz val="11"/>
          </rPr>
          <t>Order to execute during import.</t>
        </r>
      </text>
    </comment>
    <comment ref="D1" authorId="0">
      <text>
        <r>
          <rPr>
            <rFont val="Aptos Narrow"/>
            <b/>
            <color rgb="FFFFFFFF"/>
            <sz val="11"/>
          </rPr>
          <t>Rulebook table to write.</t>
        </r>
      </text>
    </comment>
    <comment ref="E1" authorId="0">
      <text>
        <r>
          <rPr>
            <rFont val="Aptos Narrow"/>
            <b/>
            <color rgb="FFFFFFFF"/>
            <sz val="11"/>
          </rPr>
          <t>What rows to create.</t>
        </r>
      </text>
    </comment>
    <comment ref="F1" authorId="0">
      <text>
        <r>
          <rPr>
            <rFont val="Aptos Narrow"/>
            <b/>
            <color rgb="FFFFFFFF"/>
            <sz val="11"/>
          </rPr>
          <t>Key columns that must be populated.</t>
        </r>
      </text>
    </comment>
    <comment ref="G1" authorId="0">
      <text>
        <r>
          <rPr>
            <rFont val="Aptos Narrow"/>
            <b/>
            <color rgb="FFFFFFFF"/>
            <sz val="11"/>
          </rPr>
          <t>How to verify step complete.</t>
        </r>
      </text>
    </comment>
    <comment ref="B1" authorId="0">
      <text>
        <r>
          <rPr>
            <rFont val="Aptos Narrow"/>
            <b/>
            <color rgb="FFFFFFFF"/>
            <sz val="11"/>
          </rPr>
          <t>Display label.</t>
        </r>
      </text>
    </comment>
  </commentList>
</comments>
</file>

<file path=xl/comments2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mirrors StudyId.</t>
        </r>
      </text>
    </comment>
    <comment ref="C1" authorId="0">
      <text>
        <r>
          <rPr>
            <rFont val="Aptos Narrow"/>
            <b/>
            <color rgb="FFFFFFFF"/>
            <sz val="11"/>
          </rPr>
          <t>FK to Studies.StudyId.</t>
        </r>
      </text>
    </comment>
    <comment ref="D1" authorId="0">
      <text>
        <r>
          <rPr>
            <rFont val="Aptos Narrow"/>
            <b/>
            <color rgb="FFFFFFFF"/>
            <sz val="11"/>
          </rPr>
          <t>Stratum whose A/B allocation is swept (highest |AllocationBias| in original data).</t>
        </r>
      </text>
    </comment>
    <comment ref="E1" authorId="0">
      <text>
        <r>
          <rPr>
            <rFont val="Aptos Narrow"/>
            <b/>
            <color rgb="FFFFFFFF"/>
            <sz val="11"/>
          </rPr>
          <t>Total cases in the sweep stratum (fixed across sweep rows).</t>
        </r>
      </text>
    </comment>
    <comment ref="F1" authorId="0">
      <text>
        <r>
          <rPr>
            <rFont val="Aptos Narrow"/>
            <b/>
            <color rgb="FFFFFFFF"/>
            <sz val="11"/>
          </rPr>
          <t>Success rate for treatment A in the sweep stratum.</t>
        </r>
      </text>
    </comment>
    <comment ref="G1" authorId="0">
      <text>
        <r>
          <rPr>
            <rFont val="Aptos Narrow"/>
            <b/>
            <color rgb="FFFFFFFF"/>
            <sz val="11"/>
          </rPr>
          <t>Success rate for treatment B in the sweep stratum.</t>
        </r>
      </text>
    </comment>
    <comment ref="H1" authorId="0">
      <text>
        <r>
          <rPr>
            <rFont val="Aptos Narrow"/>
            <b/>
            <color rgb="FFFFFFFF"/>
            <sz val="11"/>
          </rPr>
          <t>A cases in all non-swept strata (fixed).</t>
        </r>
      </text>
    </comment>
    <comment ref="I1" authorId="0">
      <text>
        <r>
          <rPr>
            <rFont val="Aptos Narrow"/>
            <b/>
            <color rgb="FFFFFFFF"/>
            <sz val="11"/>
          </rPr>
          <t>B cases in all non-swept strata (fixed).</t>
        </r>
      </text>
    </comment>
    <comment ref="J1" authorId="0">
      <text>
        <r>
          <rPr>
            <rFont val="Aptos Narrow"/>
            <b/>
            <color rgb="FFFFFFFF"/>
            <sz val="11"/>
          </rPr>
          <t>Weighted success rate for A in fixed strata.</t>
        </r>
      </text>
    </comment>
    <comment ref="K1" authorId="0">
      <text>
        <r>
          <rPr>
            <rFont val="Aptos Narrow"/>
            <b/>
            <color rgb="FFFFFFFF"/>
            <sz val="11"/>
          </rPr>
          <t>Weighted success rate for B in fixed strata.</t>
        </r>
      </text>
    </comment>
    <comment ref="L1" authorId="0">
      <text>
        <r>
          <rPr>
            <rFont val="Aptos Narrow"/>
            <b/>
            <color rgb="FFFFFFFF"/>
            <sz val="11"/>
          </rPr>
          <t>Observed fraction of sweep-stratum cases assigned to treatment A.</t>
        </r>
      </text>
    </comment>
    <comment ref="M1" authorId="0">
      <text>
        <r>
          <rPr>
            <rFont val="Aptos Narrow"/>
            <b/>
            <color rgb="FFFFFFFF"/>
            <sz val="11"/>
          </rPr>
          <t>Allocation-free gap: sum_s (n_s/N)*(rate_As-rate_Bs). Invariant under within-stratum reallocation.</t>
        </r>
      </text>
    </comment>
    <comment ref="B1" authorId="0">
      <text>
        <r>
          <rPr>
            <rFont val="Aptos Narrow"/>
            <b/>
            <color rgb="FFFFFFFF"/>
            <sz val="11"/>
          </rPr>
          <t>Display label.</t>
        </r>
      </text>
    </comment>
  </commentList>
</comments>
</file>

<file path=xl/comments3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t>
        </r>
      </text>
    </comment>
    <comment ref="C1" authorId="0">
      <text>
        <r>
          <rPr>
            <rFont val="Aptos Narrow"/>
            <b/>
            <color rgb="FFFFFFFF"/>
            <sz val="11"/>
          </rPr>
          <t>TreatmentRankings | StratumSummaries | StratumVariables</t>
        </r>
      </text>
    </comment>
    <comment ref="D1" authorId="0">
      <text>
        <r>
          <rPr>
            <rFont val="Aptos Narrow"/>
            <b/>
            <color rgb="FFFFFFFF"/>
            <sz val="11"/>
          </rPr>
          <t>PascalCase rulebook field name.</t>
        </r>
      </text>
    </comment>
    <comment ref="E1" authorId="0">
      <text>
        <r>
          <rPr>
            <rFont val="Aptos Narrow"/>
            <b/>
            <color rgb="FFFFFFFF"/>
            <sz val="11"/>
          </rPr>
          <t>snake_case vw_* column.</t>
        </r>
      </text>
    </comment>
    <comment ref="F1" authorId="0">
      <text>
        <r>
          <rPr>
            <rFont val="Aptos Narrow"/>
            <b/>
            <color rgb="FFFFFFFF"/>
            <sz val="11"/>
          </rPr>
          <t>camelCase OWL property local name.</t>
        </r>
      </text>
    </comment>
    <comment ref="G1" authorId="0">
      <text>
        <r>
          <rPr>
            <rFont val="Aptos Narrow"/>
            <b/>
            <color rgb="FFFFFFFF"/>
            <sz val="11"/>
          </rPr>
          <t>float | int | bool | str</t>
        </r>
      </text>
    </comment>
    <comment ref="H1" authorId="0">
      <text>
        <r>
          <rPr>
            <rFont val="Aptos Narrow"/>
            <b/>
            <color rgb="FFFFFFFF"/>
            <sz val="11"/>
          </rPr>
          <t>TRUE when OWL cannot derive this field yet and Postgres value is asserted before SHACL fixpoint.</t>
        </r>
      </text>
    </comment>
    <comment ref="I1" authorId="0">
      <text>
        <r>
          <rPr>
            <rFont val="Aptos Narrow"/>
            <b/>
            <color rgb="FFFFFFFF"/>
            <sz val="11"/>
          </rPr>
          <t>TRUE when reason.py diffs this field between substrates.</t>
        </r>
      </text>
    </comment>
    <comment ref="B1" authorId="0">
      <text>
        <r>
          <rPr>
            <rFont val="Aptos Narrow"/>
            <b/>
            <color rgb="FFFFFFFF"/>
            <sz val="11"/>
          </rPr>
          <t>Display label.</t>
        </r>
      </text>
    </comment>
  </commentList>
</comments>
</file>

<file path=xl/comments3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(e.g. H-latent-d).</t>
        </r>
      </text>
    </comment>
    <comment ref="C1" authorId="0">
      <text>
        <r>
          <rPr>
            <rFont val="Aptos Narrow"/>
            <b/>
            <color rgb="FFFFFFFF"/>
            <sz val="11"/>
          </rPr>
          <t>Natural-language claim under test.</t>
        </r>
      </text>
    </comment>
    <comment ref="D1" authorId="0">
      <text>
        <r>
          <rPr>
            <rFont val="Aptos Narrow"/>
            <b/>
            <color rgb="FFFFFFFF"/>
            <sz val="11"/>
          </rPr>
          <t>Pass criterion in plain language.</t>
        </r>
      </text>
    </comment>
    <comment ref="E1" authorId="0">
      <text>
        <r>
          <rPr>
            <rFont val="Aptos Narrow"/>
            <b/>
            <color rgb="FFFFFFFF"/>
            <sz val="11"/>
          </rPr>
          <t>LoopId where this hypothesis was registered.</t>
        </r>
      </text>
    </comment>
    <comment ref="F1" authorId="0">
      <text>
        <r>
          <rPr>
            <rFont val="Aptos Narrow"/>
            <b/>
            <color rgb="FFFFFFFF"/>
            <sz val="11"/>
          </rPr>
          <t>FK → ResearchTraditions.TraditionId.</t>
        </r>
      </text>
    </comment>
    <comment ref="G1" authorId="0">
      <text>
        <r>
          <rPr>
            <rFont val="Aptos Narrow"/>
            <b/>
            <color rgb="FFFFFFFF"/>
            <sz val="11"/>
          </rPr>
          <t>consistency-check (definition-linked regression) | corpus-hypothesis (contingent corpus pattern).</t>
        </r>
      </text>
    </comment>
    <comment ref="B1" authorId="0">
      <text>
        <r>
          <rPr>
            <rFont val="Aptos Narrow"/>
            <b/>
            <color rgb="FFFFFFFF"/>
            <sz val="11"/>
          </rPr>
          <t>Display label.</t>
        </r>
      </text>
    </comment>
  </commentList>
</comments>
</file>

<file path=xl/comments3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Unique slug; one row per hypothesis.</t>
        </r>
      </text>
    </comment>
    <comment ref="C1" authorId="0">
      <text>
        <r>
          <rPr>
            <rFont val="Aptos Narrow"/>
            <b/>
            <color rgb="FFFFFFFF"/>
            <sz val="11"/>
          </rPr>
          <t>FK → DiscoveryHypotheses.HypothesisId.</t>
        </r>
      </text>
    </comment>
    <comment ref="D1" authorId="0">
      <text>
        <r>
          <rPr>
            <rFont val="Aptos Narrow"/>
            <b/>
            <color rgb="FFFFFFFF"/>
            <sz val="11"/>
          </rPr>
          <t>Lookup: DiscoveryHypotheses.Statement.</t>
        </r>
      </text>
    </comment>
    <comment ref="E1" authorId="0">
      <text>
        <r>
          <rPr>
            <rFont val="Aptos Narrow"/>
            <b/>
            <color rgb="FFFFFFFF"/>
            <sz val="11"/>
          </rPr>
          <t>Witnessed metric value from ModelSummary for this hypothesis.</t>
        </r>
      </text>
    </comment>
    <comment ref="F1" authorId="0">
      <text>
        <r>
          <rPr>
            <rFont val="Aptos Narrow"/>
            <b/>
            <color rgb="FFFFFFFF"/>
            <sz val="11"/>
          </rPr>
          <t>TRUE when the witnessed metric satisfies the pre-registered ExpectedOutcome.</t>
        </r>
      </text>
    </comment>
    <comment ref="G1" authorId="0">
      <text>
        <r>
          <rPr>
            <rFont val="Aptos Narrow"/>
            <b/>
            <color rgb="FFFFFFFF"/>
            <sz val="11"/>
          </rPr>
          <t>Pass/fail witness string for UI and conclusions.</t>
        </r>
      </text>
    </comment>
    <comment ref="H1" authorId="0">
      <text>
        <r>
          <rPr>
            <rFont val="Aptos Narrow"/>
            <b/>
            <color rgb="FFFFFFFF"/>
            <sz val="11"/>
          </rPr>
          <t>LoopId where this finding was witnessed.</t>
        </r>
      </text>
    </comment>
    <comment ref="B1" authorId="0">
      <text>
        <r>
          <rPr>
            <rFont val="Aptos Narrow"/>
            <b/>
            <color rgb="FFFFFFFF"/>
            <sz val="11"/>
          </rPr>
          <t>Display label.</t>
        </r>
      </text>
    </comment>
  </commentList>
</comments>
</file>

<file path=xl/sharedStrings.xml><?xml version="1.0" encoding="utf-8"?>
<sst xmlns="http://schemas.openxmlformats.org/spreadsheetml/2006/main" count="5385" uniqueCount="5385">
  <si>
    <t>LoopId</t>
  </si>
  <si>
    <t>Name</t>
  </si>
  <si>
    <t>Title</t>
  </si>
  <si>
    <t>Status</t>
  </si>
  <si>
    <t>NewConcept</t>
  </si>
  <si>
    <t>DomainQuestion</t>
  </si>
  <si>
    <t>MockDataNote</t>
  </si>
  <si>
    <t>NextSuggestion</t>
  </si>
  <si>
    <t>TraditionId</t>
  </si>
  <si>
    <t>TraditionName</t>
  </si>
  <si>
    <t>TraditionCoreConern</t>
  </si>
  <si>
    <t>CommitHash</t>
  </si>
  <si>
    <t>CommitShort</t>
  </si>
  <si>
    <t>CommitDate</t>
  </si>
  <si>
    <t>CommitMessage</t>
  </si>
  <si>
    <t>GitTag</t>
  </si>
  <si>
    <t>loop-01</t>
  </si>
  <si>
    <t>Core domain: Study, Treatment, Stratum, CaseCell → SuccessRate falls out</t>
  </si>
  <si>
    <t>complete</t>
  </si>
  <si>
    <t>Studies, Treatments, Strata, CaseCells</t>
  </si>
  <si>
    <t>For each (stratum, treatment) cell in a study, what is the success rate?</t>
  </si>
  <si>
    <t>Kidney stone study (Charig 1986): 2 strata (small/large), 2 treatments (A/B), 4 cells. CellSuccessRate is the first derived fact.</t>
  </si>
  <si>
    <t>Ask: for each treatment, what is its pooled (across all strata) success rate? That requires TreatmentSummary — aggregating CaseCells by treatment, ignoring stratum.</t>
  </si>
  <si>
    <t>tradition-historical</t>
  </si>
  <si>
    <t>b96e0fe6e3402d85b16e9772518d9241c64c1b1e</t>
  </si>
  <si>
    <t>loop-05: StratumVariables + IsParadoxExplained — the DAG witnesses its own explanation</t>
  </si>
  <si>
    <t>sp-loop-milestone-01-loops-01-10</t>
  </si>
  <si>
    <t>loop-02</t>
  </si>
  <si>
    <t>TreatmentSummary: pooled rate per treatment across all strata</t>
  </si>
  <si>
    <t>TreatmentSummaries</t>
  </si>
  <si>
    <t>If you ignore stratum entirely, what is each treatment's overall success rate?</t>
  </si>
  <si>
    <t>Pooled: A=273/350=78%, B=289/350=83%. B looks better — this is the misleading aggregate view.</t>
  </si>
  <si>
    <t>Ask: for each (stratum, treatment) pair, what is the success rate WITHIN that stratum? That requires StratumSummary — the view that contradicts the pooled view.</t>
  </si>
  <si>
    <t>loop-03</t>
  </si>
  <si>
    <t>StratumSummary: per-stratum rate per treatment — the true picture</t>
  </si>
  <si>
    <t>StratumSummaries</t>
  </si>
  <si>
    <t>Within each stratum, which treatment has the higher success rate?</t>
  </si>
  <si>
    <t>Small: A=93.1% &gt; B=86.7%. Large: A=73.0% &gt; B=68.8%. A wins in BOTH strata. Contradiction with pooled view is now visible.</t>
  </si>
  <si>
    <t>Ask: for each treatment pair in a study, does the pooled winner match the per-stratum winner? That requires TreatmentRanking — the node where the paradox either exists or doesn't.</t>
  </si>
  <si>
    <t>loop-04</t>
  </si>
  <si>
    <t>TreatmentRanking: does the pooled winner = the per-stratum winner?</t>
  </si>
  <si>
    <t>TreatmentRankings</t>
  </si>
  <si>
    <t>When pooled and stratified conclusions disagree — which treatment should actually be preferred?</t>
  </si>
  <si>
    <t>Pooled winner = B. Per-stratum winner = A in every stratum. Simpson's Paradox: IsReversal = true. This is the paradox as a derived fact, not a modeled entity.</t>
  </si>
  <si>
    <t>Ask: WHY does the paradox occur? The stratifying variable (stone size) affects both treatment assignment AND outcome. Name it as a StratumVariable with a CausalRole field.</t>
  </si>
  <si>
    <t>loop-05</t>
  </si>
  <si>
    <t>StratumVariable: name the confounding factor, its causal role, and derive IsConfounder + IsParadoxExplained</t>
  </si>
  <si>
    <t>StratumVariables (one per study); CausalRole field; IsConfounder boolean; IsParadoxExplained on TreatmentRankings</t>
  </si>
  <si>
    <t>What IS the stratum variable, why does it confound, and does the model witness its own explanation?</t>
  </si>
  <si>
    <t>kidney-1986: VariableName=stone_size, CausalRole=confounder, AffectsTreatmentAssignment=true, AffectsOutcome=true → IsConfounder=true → IsParadoxExplained=true on TreatmentRankings.</t>
  </si>
  <si>
    <t>Ask: how large is the allocation imbalance? Derive TreatmentExposureFraction on CaseCells — the fraction of each treatment's cases that land in each stratum. High imbalance = confounding mechanism as a witnessed number.</t>
  </si>
  <si>
    <t>tradition-dag</t>
  </si>
  <si>
    <t>loop-06</t>
  </si>
  <si>
    <t>TreatmentExposureFraction: the allocation imbalance as a witnessed number</t>
  </si>
  <si>
    <t>TreatmentExposureFraction field on CaseCells (Cases / TotalCasesForTreatment in this study)</t>
  </si>
  <si>
    <t>What fraction of each treatment's total cases fall in each stratum? High imbalance across strata is the mechanism of confounding.</t>
  </si>
  <si>
    <t>A: 263/350=75% in large-stone stratum. B: 80/350=23% in large-stone stratum. The 52-point gap IS the mechanism — now a first-class derived number.</t>
  </si>
  <si>
    <t>Add a degenerate study where treatment allocation is perfectly balanced across strata. IsReversal must be FALSE — not because the data says so, but because the algebra guarantees it. The model witnesses its own structural impossibility.</t>
  </si>
  <si>
    <t>tradition-epidemiology</t>
  </si>
  <si>
    <t>loop-07</t>
  </si>
  <si>
    <t>Degenerate study: balanced allocation → IsReversal structurally impossible</t>
  </si>
  <si>
    <t>Second Studies row (balanced-synthetic); equal TreatmentExposureFraction across strata; IsReversal = FALSE by construction</t>
  </si>
  <si>
    <t>If every stratum gets the same treatment-allocation fraction, can a reversal occur? The DAG should witness that it cannot.</t>
  </si>
  <si>
    <t>Synthetic: A and B each assigned 50/50 to small/large strata. A=60% success both strata, B=50% both. Pooled: A=60%, B=50%. No reversal. IsParadoxExplained vacuously true (IsConfounder=false, no confounding, no reversal).</t>
  </si>
  <si>
    <t>Add Berkeley 1973 — same DAG, contested domain. Aggregate: women admitted at lower rate. Per-department: women admitted at equal or higher rate in most. IsReversal=true. But IsConfounder is ambiguous — department choice may be downstream of gender (mediator, not confounder). The model witnesses its own explanatory limits.</t>
  </si>
  <si>
    <t>loop-08</t>
  </si>
  <si>
    <t>Berkeley 1973: contested confounder — model reveals a PARTIAL paradox, not a clean reversal</t>
  </si>
  <si>
    <t>Third Studies row (berkeley-1973); StratumVariable=department; CausalRole=contested; IsConfounder=false; IsParadoxExplained=false; PerStratumWinner=none (mixed, not unanimous)</t>
  </si>
  <si>
    <t>Does Berkeley show a clean reversal? No — PerStratumWinner='none' because the per-stratum winner is mixed (female wins 3/4 depts, male wins 1). The model surfaces a structural limit of the reversal definition: partial paradoxes are real but don't satisfy the strict IsReversal criterion.</t>
  </si>
  <si>
    <t>Witnessed: male pooled 52.8% vs female 39.9% (large gap). Per dept: female wins A (82%&gt;62%), B (68%&gt;63%), D (35%&gt;33%); male wins C (37%&gt;34%). No unanimous per-stratum winner → IsReversal=FALSE by strict definition. The intuitive paradox is real; the formal paradox is partial.</t>
  </si>
  <si>
    <t>Add ParadoxStrength (scalar severity) to capture partial reversals — pooled gap and average per-stratum gap regardless of unanimity. Then StudySummary for epistemic coverage across all 3 studies.</t>
  </si>
  <si>
    <t>loop-09</t>
  </si>
  <si>
    <t>ParadoxStrength: scalar severity derived from pooled gap and per-stratum gap</t>
  </si>
  <si>
    <t>ParadoxStrength on TreatmentRankings; PooledGap and AvgStratumGap on StratumSummaries</t>
  </si>
  <si>
    <t>How large is the reversal? Can we rank studies by paradox severity, and does strength correlate with allocation imbalance?</t>
  </si>
  <si>
    <t>Kidney: pooled gap ~4.6pp favoring B, avg stratum gap ~5pp favoring A. Berkeley: larger pooled gap, varies by department. Balanced: strength=0 (no reversal).</t>
  </si>
  <si>
    <t>StudySummary: roll up ReversalCount, ExplainedCount, AvgParadoxStrength across all studies. The model now describes its own epistemic coverage in a single view.</t>
  </si>
  <si>
    <t>loop-10</t>
  </si>
  <si>
    <t>StudySummary: the model witnesses its own epistemic coverage</t>
  </si>
  <si>
    <t>StudySummary table (one row per model instance): StudyCount, ReversalCount, ExplainedCount, UnexplainedCount, ImpossibleCount, AvgParadoxStrength</t>
  </si>
  <si>
    <t>Across all studies in this model, what is the epistemic state? How many reversals, how many explained, how many witnessed-but-unexplained?</t>
  </si>
  <si>
    <t>3 studies: ReversalCount=2 (kidney+berkeley), ExplainedCount=1 (kidney), UnexplainedCount=1 (berkeley), ImpossibleCount=1 (balanced). The model now holds a mirror to itself.</t>
  </si>
  <si>
    <t>Ask: how heavy is each stratum? Add StratumFraction to StratumSummaries — the fraction of the study's total cases that land in each stratum. The weight each stratum carries IS the lever the confounder pulls.</t>
  </si>
  <si>
    <t>loop-11</t>
  </si>
  <si>
    <t>StratumFraction: the weight each stratum carries in the pooled average</t>
  </si>
  <si>
    <t>StratumFraction (and StudyTotalCases, StratumTotalCases) on StratumSummaries</t>
  </si>
  <si>
    <t>What fraction of the study's total cases land in each stratum? High StratumFraction on a low-success stratum pulls the pooled rate down — and when that stratum is also over-allocated to one treatment, the reversal follows.</t>
  </si>
  <si>
    <t>kidney-1986: large-stratum = (263+80)/700 = 49%; small-stratum = (87+270)/700 = 51%. Nearly equal stratum weights — but unequal per-treatment allocation (75% of A is in large; 23% of B is in large). The weight alone is not the mechanism; the differential allocation into heavy strata is.</t>
  </si>
  <si>
    <t>Add WeightedStratumRate: StratumFraction × StratumSuccessRate per treatment row. Sum these across strata to reconstruct PooledRate from first principles. The DAG now witnesses the mechanism equation: pooled rate = weighted average of stratum rates.</t>
  </si>
  <si>
    <t>49f01e7cafcdb6b529db5743081ee7b32d708b01</t>
  </si>
  <si>
    <t>loop-15: ReversalThreshold — intensity and margin witness paradox robustness vs fragility</t>
  </si>
  <si>
    <t>sp-loop-milestone-03-loops-11-15</t>
  </si>
  <si>
    <t>loop-12</t>
  </si>
  <si>
    <t>WeightedPull: mechanism equation witnessed — pooled rate = weighted sum of stratum rates</t>
  </si>
  <si>
    <t>WeightedStratumRate on StratumSummaries; PooledRateFromWeightsA and PooledRateFromWeightsB on TreatmentRankings</t>
  </si>
  <si>
    <t>Can the DAG reconstruct each treatment's pooled rate purely from stratum weights × stratum rates? If PooledRateFromWeights = PooledRate, the mechanism equation is verified: Simpson's Paradox is algebraically explained.</t>
  </si>
  <si>
    <t>kidney-1986: PooledRateFromWeightsA=0.833, PooledRateFromWeightsB=0.779 (A looks better under equal study-level weights). But actual pooled rates are A=0.780, B=0.826 (B looks better). The divergence IS the mechanism: real pooled uses treatment-level allocation weights; the reconstruction uses study-level weights. The swap between the two orderings shows exactly how differential allocation flips the conclusion. balanced-synthetic: weights match exactly (equal allocation = no flip possible).</t>
  </si>
  <si>
    <t>Add AllocationBias to StratumSummaries: the difference between TreatmentExposureFraction for A and B in each stratum. High bias toward the losing treatment in a low-success stratum IS the confounder's fingerprint as a witnessed number.</t>
  </si>
  <si>
    <t>loop-13</t>
  </si>
  <si>
    <t>AllocationBias: the confounder's fingerprint as a signed witnessed number</t>
  </si>
  <si>
    <t>AllocationBias on StratumSummaries (AllocationFractionA - AllocationFractionB); also AllocationFractionA, AllocationFractionB, TreatmentACasesHere, TreatmentBCasesHere, TreatmentATotalCases, TreatmentBTotalCases</t>
  </si>
  <si>
    <t>In each stratum, is one treatment disproportionately concentrated here? AllocationBias = AllocationFractionA - AllocationFractionB: positive means A is over-represented here, negative means B is. A strong negative bias in a low-success stratum is the confounder's fingerprint.</t>
  </si>
  <si>
    <t>kidney-1986 large-stratum: AllocationFractionA=263/350=0.751, AllocationFractionB=80/350=0.229, AllocationBias=+0.523. A is massively over-allocated to the hard (large-stone) stratum. This single number summarizes why the pooled rate misleads: A carries 52pp more exposure to the hard case, dragging its pooled average down below B's despite beating B in both strata.</t>
  </si>
  <si>
    <t>Add a 4th study: kidney-balanced — same stratum rates as kidney-1986 but with equal allocation (50/50 split). AllocationBias=0 everywhere, IsReversal=FALSE. The counterfactual shows the reversal is purely an allocation artifact, not a property of the treatment rates themselves.</t>
  </si>
  <si>
    <t>loop-14</t>
  </si>
  <si>
    <t>Counterfactual: kidney-balanced isolates allocation as the sole cause of the reversal</t>
  </si>
  <si>
    <t>Fourth study (kidney-balanced): same stratum rates as kidney-1986, equal allocation (175 cases per cell). IsReversal=FALSE, AllocationBias=0, ParadoxStrength=0.</t>
  </si>
  <si>
    <t>If the same doctors, same disease, same treatments, same stratum difficulty — but patients were allocated equally — would the paradox still exist? The DAG answers: no. The reversal lives in the allocation, not in the treatment rates.</t>
  </si>
  <si>
    <t>kidney-balanced: PooledRateA = (163+128)/350 = 0.831, PooledRateB = (152+120)/350 = 0.777. A wins pooled AND per-stratum. IsReversal=FALSE, ParadoxStrength=0. AllocationBias=0 in both strata. The counterfactual witnesses that the reversal in kidney-1986 is entirely an artifact of differential allocation, not of treatment efficacy.</t>
  </si>
  <si>
    <t>Add ReversalThreshold to TreatmentRankings: the minimum AllocationBias magnitude needed to flip the pooled winner. How far is kidney-1986 from the threshold? How close is berkeley-1973? This quantifies paradox fragility vs robustness.</t>
  </si>
  <si>
    <t>loop-15</t>
  </si>
  <si>
    <t>ReversalThreshold: how robust or fragile is each study's paradox?</t>
  </si>
  <si>
    <t>MaxAllocationBias, WeightedStratumGapSum, ThresholdMargin on TreatmentRankings</t>
  </si>
  <si>
    <t>How much allocation bias is needed to produce a reversal? Is the observed bias well above threshold (robust paradox) or barely over it (fragile paradox)? ThresholdMargin = observed bias minus minimum needed.</t>
  </si>
  <si>
    <t>kidney-1986: ReversalIntensity=1.0, ThresholdMargin=+0.5 — maximally robust, every stratum opposes pooled. berkeley-1973: ReversalIntensity=0.75, ThresholdMargin=+0.25 — past threshold but not unanimous (3/4 departments oppose). balanced-synthetic and kidney-balanced: intensity=0, margin=-0.5 — structurally impossible. ThresholdMargin &gt; 0 means the paradox is robust; &lt; 0 means absent or impossible.</t>
  </si>
  <si>
    <t>Pour a real-world dataset with a known mediator (not confounder) through the same DAG and witness where it lands on the reversal_intensity × paradox_strength plane. The geometry of the plane is the next frontier.</t>
  </si>
  <si>
    <t>loop-16</t>
  </si>
  <si>
    <t>StratumGap: per-stratum rate difference as a signed witnessed number</t>
  </si>
  <si>
    <t>StratumGap field on StratumSummaries (StratumRateA - StratumRateB, signed)</t>
  </si>
  <si>
    <t>In each stratum, how large is the treatment advantage, and in which direction? StratumGap &gt; 0 means A wins here; &lt; 0 means B wins. Summing StratumGap × StratumFraction gives the equal-weight pooled gap — a new derived node.</t>
  </si>
  <si>
    <t>kidney-1986: small-stratum gap = +0.064 (A wins by 6.4pp), large-stratum gap = +0.043 (A wins by 4.3pp). Both positive — A wins everywhere. The pooled gap is negative (B appears to win by 4.6pp) purely due to allocation. The signed gap makes this contradiction arithmetically visible in one column. kidney-balanced: small=+0.064, large=+0.042 (same signs, same magnitudes — the rates are identical to kidney-1986 but now A also wins pooled because allocation is balanced). balanced-synthetic: small=+0.10, large=+0.10 (constant, equal allocation). berkeley-1973: dept-A=−0.200 (female wins), dept-B=+0.011 (male wins barely), dept-C=−0.002 (female wins barely), dept-D=−0.016 (female wins). Mixed signs confirm the partial paradox: no unanimous StratumGap direction, hence no clean reversal.</t>
  </si>
  <si>
    <t>Derive WeightedStratumGapSum on TreatmentRankings: SUM(StratumGap × StratumFraction) aggregated across all TreatmentA rows for this study. This is the equal-weight pooled gap — the gap allocation-free weighting would produce. When WeightedStratumGapSum and PooledGap have opposite signs, the allocation has not just compressed the signal but flipped it. That sign flip is a more precise characterisation of Simpson's Paradox than IsReversal: it handles partial flips and gives a magnitude to the distortion.</t>
  </si>
  <si>
    <t>ca3109557acb34bb159bed0ac1c39e5a81cce5dc</t>
  </si>
  <si>
    <t>loop-20+20b: real study hydration via 05b-customize-data.sql — two type-A reversals witnessed</t>
  </si>
  <si>
    <t>sp-loop-milestone-04-loops-16-31</t>
  </si>
  <si>
    <t>loop-17</t>
  </si>
  <si>
    <t>WeightedStratumGapSum: the equal-weight signal — and the Berkeley category error witnessed</t>
  </si>
  <si>
    <t>WeightedStratumGap on StratumSummaries (StratumGap × StratumFraction, the per-stratum contribution to the equal-weight pooled gap); WeightedStratumGapSum on TreatmentRankings (SUMIFS of WeightedStratumGap across TreatmentA rows); SignedPooledGap (PooledRateA − PooledRateB, signed); IsSignFlip boolean (WeightedStratumGapSum and SignedPooledGap have opposite signs)</t>
  </si>
  <si>
    <t>If allocation were equal across strata, what would the pooled gap be? WeightedStratumGapSum answers this. When it has the opposite sign to SignedPooledGap, the allocation has not just compressed the signal — it has flipped it. That sign flip IS Simpson's Paradox under a continuous definition. Does Berkeley sign-flip?</t>
  </si>
  <si>
    <t>Witnessed from DB: balanced-synthetic: WSGSUM=+0.1000, SignedPooledGap=+0.1000 → IsSignFlip=FALSE (equal allocation, no distortion). kidney-1986: WSGSUM=+0.0537, SignedPooledGap=−0.0457 → IsSignFlip=TRUE (A wins in every stratum by 5.4pp on average, but actual pooled shows B winning by 4.6pp). kidney-balanced: WSGSUM=+0.0543, SignedPooledGap=+0.0543 → IsSignFlip=FALSE (equal allocation, WSGSUM = actual pooled gap). berkeley-1973: WSGSUM=−0.0642, SignedPooledGap=+0.1292 → IsSignFlip=TRUE. Per-stratum breakdown: dept-A gap=−0.2035 (female wins by 20.4pp, fraction=0.289); dept-B=−0.0496 (female wins, fraction=0.181); dept-C=+0.0286 (male wins barely, fraction=0.284); dept-D=−0.0184 (female wins, fraction=0.245). Under equal allocation female would win pooled by 6.4pp — but the actual pooled shows male winning by 12.9pp. Berkeley IS a Simpson's Paradox under the sign-flip definition despite IsReversal=FALSE. The binary unanimity criterion excluded Berkeley because dept-C goes to male; the sign-flip criterion correctly includes it.</t>
  </si>
  <si>
    <t>The sign flip is witnessed. Now measure the magnitude: how far has the allocation bent the pooled signal? AllocationDistortion = |WeightedStratumGapSum − SignedPooledGap|. Berkeley: |−0.0642 − (+0.1292)| = 0.1934. Kidney: |+0.0537 − (−0.0457)| = 0.0994. Berkeley's distortion is nearly twice kidney's — despite IsReversal=FALSE. This is the single-number measure that ranks studies by how badly confounding has distorted their pooled result.</t>
  </si>
  <si>
    <t>loop-18</t>
  </si>
  <si>
    <t>AllocationDistortion: the magnitude of the signal the allocation erased or fabricated</t>
  </si>
  <si>
    <t>AllocationDistortion on TreatmentRankings (|WeightedStratumGapSum − SignedPooledGap|) — the scalar distance between the equal-weight signal and the actual pooled signal</t>
  </si>
  <si>
    <t>How much has the allocation distorted the pooled signal relative to what equal-weight strata would show? AllocationDistortion=0 means the allocation is neutral. A large AllocationDistortion means the pooled number is mostly noise from case assignment, not signal about treatment efficacy.</t>
  </si>
  <si>
    <t>Witnessed from DB (ordered by AllocationDistortion desc): berkeley-1973: WSGSUM=−0.0642, SignedPooledGap=+0.1292, AllocationDistortion=0.1934. kidney-1986: WSGSUM=+0.0537, SignedPooledGap=−0.0457, AllocationDistortion=0.0994. kidney-balanced: AllocationDistortion=0.0000 (balanced allocation, no distortion). balanced-synthetic: AllocationDistortion=0.0000 (equal allocation, no distortion). The allocation is injecting a 19.3pp distortion into Berkeley's pooled result — reversing a real female advantage of 6.4pp into an apparent male advantage of 12.9pp. This is nearly twice the 9.9pp distortion in kidney-1986. ParadoxStrength (old measure) gives berkeley=0.0969, kidney=0.0457 — same ordinal ranking but ParadoxStrength is penalized by the unanimity criterion: Berkeley's 0.75 ReversalIntensity reduces its score. AllocationDistortion is not so penalized: it measures what the allocation DID to the signal, not whether the outcome passes an arbitrary threshold.</t>
  </si>
  <si>
    <t>Two severity measures are now live: ParadoxStrength and AllocationDistortion. They agree on ordinal ranking across our four studies but diverge in magnitude (Berkeley is 2× kidney under AllocationDistortion but only 2.1× under ParadoxStrength). The more important question: is a study with AllocationDistortion &gt; 0 but IsSignFlip=FALSE possible? That would be a type-C study — allocation has compressed but not reversed the signal. None of the current studies are type-C. Design a synthetic type-C study: same-sign WSGSUM and SignedPooledGap, but WSGSUM closer to zero than SignedPooledGap. Add it to the data and witness AllocationDistortion &gt; 0, IsSignFlip=FALSE.</t>
  </si>
  <si>
    <t>loop-19</t>
  </si>
  <si>
    <t>Type-C witness: compressed-synthetic — allocation distortion without sign flip</t>
  </si>
  <si>
    <t>compressed-synthetic study (fifth study): type-C case — A wins every stratum and wins pooled, but allocation compresses A's pooled advantage. Witnesses AllocationDistortion &gt; 0, IsSignFlip=FALSE, IsReversal=FALSE, PerStratumWinner=A. Completes the four-type taxonomy.</t>
  </si>
  <si>
    <t>Does a study with real allocation distortion (AllocationDistortion &gt; 0) but no sign flip (IsSignFlip=FALSE) exist? If yes, the type-C cell in the DistortionType taxonomy is nonempty — there is a class of misleading aggregates that compress but do not reverse the pooled signal. This class is invisible to both IsReversal and IsSignFlip but is visible to AllocationDistortion.</t>
  </si>
  <si>
    <t>Witnessed from DB (ordered by AllocationDistortion desc): berkeley-1973: WSGSUM=−0.0642, SignedPooledGap=+0.1292, IsSignFlip=TRUE, AllocationDistortion=0.1934, ReversalIntensity=0.75 → type B. kidney-1986: WSGSUM=+0.0537, SignedPooledGap=−0.0457, IsSignFlip=TRUE, AllocationDistortion=0.0994, ReversalIntensity=1.0 → type A. compressed-synthetic: WSGSUM=+0.1000, SignedPooledGap=+0.0600, IsSignFlip=FALSE, AllocationDistortion=0.0400, ReversalIntensity=0.0 → type C (A wins pooled by 6pp but would win by 10pp under equal allocation). kidney-balanced: AllocationDistortion=0.0000 → type D. balanced-synthetic: AllocationDistortion=0.0000 → type D. All four types are now empirically populated. Type-C is important: a researcher seeing pooled A=78%, B=72% and concluding 'A wins by 6pp' is correct — but the equal-weight truth is 'A wins by 10pp.' The allocation has consumed 4pp of signal without a single stratum switching winner.</t>
  </si>
  <si>
    <t>All four DistortionType cells are now populated. Add DistortionType as a derived field on TreatmentRankings: A = IsSignFlip AND ReversalIntensity=1.0; B = IsSignFlip AND ReversalIntensity&lt;1.0; C = NOT IsSignFlip AND AllocationDistortion&gt;0.01; D = AllocationDistortion≤0.01. This makes the geometric taxonomy a first-class derived fact in the DAG. Then add PolicyImplication per type: type A = stratify-immediately; type B = investigate-confounder; type C = check-allocation-bias; type D = pooled-analysis-trustworthy.</t>
  </si>
  <si>
    <t>loop-20</t>
  </si>
  <si>
    <t>Hydration contract: real study data enters through 05b-customize-data.sql, not the rulebook JSON</t>
  </si>
  <si>
    <t>Real study data lives directly in the rulebook JSON — the SSoT is unified. Provenance files in data/raw/. The view chain computes everything from there.</t>
  </si>
  <si>
    <t>Can real published study data enter the instrument through a SQL hydration file (not the rulebook JSON) and produce DistortionType / AllocationDistortion / PolicyImplication results from the existing view chain without any schema changes?</t>
  </si>
  <si>
    <t>Two real studies hydrated: reintjes-2000 (Epidemiology 2000, N=3519, antibiotic prophylaxis UTI study) and radelet-1981 (Am Soc Rev 1981, N=326, Florida death penalty). Both are type-A full reversals. Witnessed: reintjes AllocationDistortion=0.0516, radelet AllocationDistortion=0.0684. No schema changes were needed. 05b-customize-data.sql is the durable hydration path.</t>
  </si>
  <si>
    <t>ModelSummary currently counts only synthetic studies in its ReversalCount/NonReversalCount. Add DistortionType aggregations (TypeACount, TypeBCount, TypeCCount, TypeDCount, SignFlipCount, AvgAllocationDistortion) so the model's self-portrait reflects all seven studies including the two real ones.</t>
  </si>
  <si>
    <t>loop-20b</t>
  </si>
  <si>
    <t>Two real studies witnessed: reintjes-2000 and radelet-1981 — both type-A full reversals from real data in the rulebook</t>
  </si>
  <si>
    <t>Two non-canonical published datasets poured through the hydration contract. Provenance files in data/raw/. Instrument produces correct DistortionType=A and PolicyImplication=stratify-immediately for both.</t>
  </si>
  <si>
    <t>Do two real published studies with well-known outcomes (antibiotic prophylaxis UTI reversal; racial death-penalty reversal) produce the expected DistortionType=A when hydrated through the instrument? Does the AllocationDistortion magnitude match the known mechanism story?</t>
  </si>
  <si>
    <t>Witnessed from DB (full table ordered by AllocationDistortion desc): berkeley-1973: type B, distortion=0.1934. kidney-1986: type A, distortion=0.0994. radelet-1981: type A, distortion=0.0684 (REAL). reintjes-2000: type A, distortion=0.0516 (REAL). compressed-synthetic: type C, distortion=0.0400. kidney-balanced: type D, distortion=0.0000. balanced-synthetic: type D, distortion=0.0000. Both real studies are full type-A reversals as expected from the literature. radelet has higher AllocationDistortion (0.0684) than reintjes (0.0516), consistent with the victim-race confound being stronger — black defendants are 62% in the low-sentence black-victim stratum, a more extreme allocation imbalance than reintjes where 87% of prophylaxis patients are in low-incidence hospitals.</t>
  </si>
  <si>
    <t>ModelSummary currently counts only the synthetic study set. Add DistortionType aggregations (TypeACount, TypeBCount, TypeCCount, TypeDCount, SignFlipCount, AvgAllocationDistortion) so the model describes its real empirical coverage, not just the synthetic controls.</t>
  </si>
  <si>
    <t>loop-21</t>
  </si>
  <si>
    <t>DistortionType + PolicyImplication: the four-type taxonomy as a first-class DAG fact</t>
  </si>
  <si>
    <t>DistortionType (derived field on TreatmentRankings): A = full sign-flip unanimous reversal; B = sign-flip non-unanimous; C = distortion without sign flip; D = neutral. PolicyImplication (derived from DistortionType): A → stratify-immediately; B → investigate-confounder; C → check-allocation-bias; D → pooled-analysis-trustworthy.</t>
  </si>
  <si>
    <t>Can the geometric taxonomy (four cells defined by IsSignFlip × ReversalIntensity × AllocationDistortion magnitude) be collapsed into a single derived field that a researcher or policy layer can read without knowing the internal coordinates?</t>
  </si>
  <si>
    <t>All five current studies resolve cleanly: kidney-1986 → type A (stratify-immediately); berkeley-1973 → type B (investigate-confounder); compressed-synthetic → type C (check-allocation-bias); kidney-balanced → type D (pooled-analysis-trustworthy); balanced-synthetic → type D (pooled-analysis-trustworthy). DistortionType and PolicyImplication are now first-class columns in vw_TreatmentRankings — the visualizer and any downstream consumer reads them directly without re-deriving the geometry.</t>
  </si>
  <si>
    <t>ModelSummary currently counts ReversalCount and NonReversalCount using the old IsReversal (unanimity) criterion. Add DistortionType aggregations: TypeACount, TypeBCount, TypeCCount, TypeDCount, SignFlipCount (TypeA+TypeB), and AvgAllocationDistortion. These make the model's self-portrait accurate under the new continuous geometry rather than the obsolete binary criterion.</t>
  </si>
  <si>
    <t>loop-22</t>
  </si>
  <si>
    <t>ModelSummary DistortionType aggregations: the model's self-portrait updated to the new geometry</t>
  </si>
  <si>
    <t>TypeACount, TypeBCount, TypeCCount, TypeDCount, SignFlipCount, AvgAllocationDistortion on ModelSummary. RealDataOnly filter so synthetic controls can be excluded from empirical summaries.</t>
  </si>
  <si>
    <t>Across all studies in this model, what is the DistortionType breakdown? How many sign-flips, what is the average AllocationDistortion? The current ModelSummary reports reversal_count=5 under the old unanimity criterion — this loop makes it accurate under the new continuous geometry.</t>
  </si>
  <si>
    <t>With the model's self-portrait corrected, formally name IsReversal_v2 = IsSignFlip as a first-class field and document that the unanimity IsReversal is now a strict subtype (DistortionType=A only).</t>
  </si>
  <si>
    <t>loop-23</t>
  </si>
  <si>
    <t>IsReversal_v2: formally retire the unanimity criterion as the primary definition</t>
  </si>
  <si>
    <t>IsReversal_v2 = IsSignFlip as a named first-class field on TreatmentRankings. DefinitionDelta = IsReversal_v2 XOR IsReversal (identifies studies where the two definitions disagree — currently berkeley-1973 and appleton-1996). StrictReversalSubtype label preserving the unanimity criterion as DistortionType=A.</t>
  </si>
  <si>
    <t>Does the sign-flip definition strictly generalize the old unanimity definition across all 10 hydrated studies? Berkeley-1973 and appleton-1996 are the critical cases: IsReversal=FALSE but IsSignFlip=TRUE. DefinitionDelta witnesses exactly which studies the old definition misclassified.</t>
  </si>
  <si>
    <t>Find one real published study that hydrates as DistortionType=C (AllocationDistortion&gt;0, IsSignFlip=FALSE) to prove the type-C cell is not merely a synthetic pathology.</t>
  </si>
  <si>
    <t>loop-23b</t>
  </si>
  <si>
    <t>Cleanup: resolve internal tensions introduced by the v2 definition</t>
  </si>
  <si>
    <t>IsParadoxExplained_v2 on TreatmentRankings. ReversalCountV2, NonReversalCountV2, ExtendedReversalCount, ExplainedCountV2, DistortionOnlyCount on ModelSummary. Resolves four tensions: (1) ReversalCount/NonReversalCount still used old IsReversal; (2) PartialCount conflated Type-B (extended reversal) with Type-C (distortion only); (3) ExplainedCount missed berkeley and appleton despite their having confirmed confounders; (4) ZeroStrengthCount conflated Type-C and Type-D.</t>
  </si>
  <si>
    <t>With IsReversal_v2 as the primary definition, does the model's self-portrait (ModelSummary) accurately reflect the v2 geometry? After this loop: ReversalCountV2=7, ExtendedReversalCount=2, ExplainedCountV2=6 (berkeley-1973 remains unexplained — its confounder is contested, not confirmed), DistortionOnlyCount=1.</t>
  </si>
  <si>
    <t>Find one real published study that hydrates as DistortionType=C to prove the type-C cell is not merely a synthetic pathology.</t>
  </si>
  <si>
    <t>a6e0725cbcbeb17a49c11dbcad061f770de2293e</t>
  </si>
  <si>
    <t>feat: enhance README and server to support standalone explorer; add new screenshots</t>
  </si>
  <si>
    <t>sp-loop-milestone-05-loops-23b-33</t>
  </si>
  <si>
    <t>loop-24</t>
  </si>
  <si>
    <t>Type-C real-data witness: allocation distortion without sign flip in published data</t>
  </si>
  <si>
    <t>One real published study hydrating as DistortionType=C: pooled winner directionally correct but margin materially compressed or inflated by differential allocation. Entered through the same 05b-customize-data.sql hydration contract as reintjes-2000 and radelet-1981.</t>
  </si>
  <si>
    <t>Does the published literature contain studies where AllocationDistortion&gt;0 but IsSignFlip=FALSE? Candidate domains: surgical volume (senior surgeons get harder cases but still win pooled), teacher effectiveness (experienced teachers assigned lower-performing students), hospital quality (high-volume centers receive sicker patients). The type-C cell currently contains only compressed-synthetic; this loop proves it is not merely a constructed pathology.</t>
  </si>
  <si>
    <t>Build a validation set of 5 additional real studies across diverse domains to confirm multi-domain generalization of the four-type taxonomy.</t>
  </si>
  <si>
    <t>loop-25</t>
  </si>
  <si>
    <t>Validation set: 5 additional real studies confirm multi-domain generalization</t>
  </si>
  <si>
    <t>5 additional real published studies hydrated through 05b-customize-data.sql spanning at least 3 domains (medicine, economics/policy, education or social science). Each produces a witnessed DistortionType and AllocationDistortion. ModelSummary updated to reflect the full empirical set.</t>
  </si>
  <si>
    <t>Does the four-type taxonomy classify real studies consistently across domains? Do confounders, mediators, and contested variables produce geometrically distinguishable AllocationDistortion patterns? The validation set answers whether the instrument generalizes or is tuned to the canonical examples.</t>
  </si>
  <si>
    <t>Formalize the instrument specification as a first-class InstrumentSpec table so another researcher can hydrate a new study and classify it without knowledge of the internal DAG.</t>
  </si>
  <si>
    <t>loop-26</t>
  </si>
  <si>
    <t>Instrument specification: adapter contract, five input fields, four output types</t>
  </si>
  <si>
    <t>InstrumentSpec table: one row per required input field, derived coordinate, classification rule, and adapter contract requirement. Covers the full chain from raw CaseCells (study, stratum, treatment, successes, total_cases) through SignedPooledGap, WeightedStratumGapSum, IsSignFlip, AllocationDistortion, DistortionType, and PolicyImplication. Every row machine-verifiable against the hydrated studies.</t>
  </si>
  <si>
    <t>Can the full instrument be stated precisely enough that another researcher or script can hydrate a new study and classify it without access to the internal DAG? The spec is the distillation of loops 1–25 into a reusable tool and the foundation for any preprint or methods paper.</t>
  </si>
  <si>
    <t>The instrument specification is the terminal deliverable. A preprint or methods paper follows from the spec + the validation set — but that is an output artifact, not a loop.</t>
  </si>
  <si>
    <t>loop-27</t>
  </si>
  <si>
    <t>Reversal Recovery: the corrected treatment signal as a first-class derived fact</t>
  </si>
  <si>
    <t>CorrectedGap (= WeightedStratumGapSum, named with intent), CorrectedWinner, CorrectedVsPooledAgreement on TreatmentRankings. The three fields together constitute the Reversal Recovery: which treatment wins once allocation bias is removed, and whether that differs from the pooled verdict.</t>
  </si>
  <si>
    <t>Given the observed allocation distortion, which treatment would a researcher conclude is better if the allocation artifact were corrected? Does that conclusion differ from the naive pooled verdict — and by how much?</t>
  </si>
  <si>
    <t>Loop 28 could introduce a CorrectedPolicyImplication field that derives the appropriate research action from CorrectedWinner + DistortionType together, superseding the allocation-unaware PolicyImplication for Types A and B studies.</t>
  </si>
  <si>
    <t>loop-28</t>
  </si>
  <si>
    <t>CorrectedPolicyImplication: allocation-aware action replaces the naive verdict for Types A and B</t>
  </si>
  <si>
    <t>CorrectedPolicyImplication on TreatmentRankings: derives the researcher action from CorrectedWinner + DistortionType together. For Type A/B studies, the corrected verdict supersedes PolicyImplication; for Type C/D, both agree. Makes the instrument's action output self-consistent with the Reversal Recovery introduced in loop-27.</t>
  </si>
  <si>
    <t>When the corrected winner differs from the pooled winner, what should a researcher do — and does the instrument tell them clearly, or does it give two contradictory action fields?</t>
  </si>
  <si>
    <t>Loop 29 must audit every derived formula for internal consistency: balanced allocation ⇒ AllocationDistortion=0; Type D ⇒ CorrectedVsPooledAgreement=TRUE; Type A ⇒ CorrectedVsPooledAgreement=FALSE. These are not empirical claims — they are algebraic invariants. Add a first-class InvariantChecks table whose rows are machine-verifiable assertions the model must satisfy on every build.</t>
  </si>
  <si>
    <t>tradition-ai-fairness</t>
  </si>
  <si>
    <t>loop-29</t>
  </si>
  <si>
    <t>InvariantChecks: algebraic self-consistency as first-class witnessed assertions</t>
  </si>
  <si>
    <t>InvariantChecks table: one row per algebraic invariant (balanced allocation → AllocationDistortion=0; Type D → CorrectedVsPooledAgreement=TRUE; IsSignFlip → CorrectedWinner≠PooledWinner; WeightedStratumGapSum = Σ(StratumFraction×StratumGap); etc.). Each row carries a PassCount and FailCount aggregated across the validation set. Any FailCount&gt;0 is a build-breaking bug, not a data anomaly.</t>
  </si>
  <si>
    <t>Is the model algebraically self-consistent across the full 90+ study corpus? Can we prove it — not just claim it — by deriving machine-verifiable invariants and witnessing them in the database?</t>
  </si>
  <si>
    <t>Loop 33 must lock the hydration and provenance story to a single canonical account. Real data enters via one path (rulebook JSON as SSoT; 05b-customize-data.sql is a build artifact). Every Loops row, Methodology entry, __meta__ field, and InstrumentSpec adapter-requirement row must say the same thing. A reproducer reading the artifact cold must reach the right path on the first try.</t>
  </si>
  <si>
    <t>loop-30</t>
  </si>
  <si>
    <t>Causality Boundary Layer: separate geometric distortion from causal interpretation</t>
  </si>
  <si>
    <t>CausalClaimStatus (established | contested | geometric-only) and AdjustmentAppropriate (boolean with rationale) on TreatmentRankings. ConditioningRisk flags on StratumVariables (mediator | collider | proxy | confounder). Protects the instrument from overclaiming: AllocationDistortion is always a geometric fact; whether correcting for it recovers the true treatment effect depends on the causal structure.</t>
  </si>
  <si>
    <t>When is CorrectedGap the right estimate to report, and when is it still wrong? Does adjusting for a mediator or collider make things worse? The instrument must know its own epistemic limits and say so explicitly.</t>
  </si>
  <si>
    <t>After loop-33 the instrument is publishable as a methods paper: allocation-aware action guidance (loop-28), algebraic self-consistency (loop-29), clean provenance (loop-30), structural integrity + honest weighting (loop-31), cherry-picking defense (loop-32), and causality honesty (loop-33). The next work is peer review and a companion empirical study with pre-registered study selection.</t>
  </si>
  <si>
    <t>loop-31</t>
  </si>
  <si>
    <t>Provenance Contract: one canonical source-of-truth story, zero contradictory docstrings</t>
  </si>
  <si>
    <t>ProvenanceAudit: a sweep of every Loops row, Methodology entry, __meta__ field, InstrumentSpec adapter-requirement, and 05b header comment for contradictions about where real data lives and how a reproducer seeds a new study. All resolved to a single canonical account. No loop row may claim a different hydration path than another.</t>
  </si>
  <si>
    <t>If a researcher reads only the artifact — no prior context, no conversation — do they arrive at the correct seeding procedure? Or do some docstrings point to SQL, some to JSON, and some to neither?</t>
  </si>
  <si>
    <t>Loop 33 must complete structural integrity: every study has exactly 2 treatment rows, every stratum has exactly one A-cell and one B-cell, every TreatmentRanking FK resolves to a valid Study. Missing rows flagged and added; orphaned rows identified and removed. The DAG must be a proper normalized graph, not a notebook with lucky joins.</t>
  </si>
  <si>
    <t>loop-32</t>
  </si>
  <si>
    <t>Structural Integrity + Sample-Size Weighting: a proper normalized DAG and epistemically honest ModelSummary</t>
  </si>
  <si>
    <t>RelationshipIntegrityValidator: assertions that every study has ≥2 strata, exactly 2 treatment labels, paired A/B cells per stratum, and every FK resolves. StudyWeight (total cases / sum of all cases across validation set) on Studies; WeightedAvgAllocationDistortion and WeightedAvgParadoxStrength on ModelSummary. A 4-case study and a 150,000-case study are no longer epistemically equal in the self-portrait.</t>
  </si>
  <si>
    <t>Is the model a proper normalized DAG with no missing links? And does ModelSummary's empirical self-portrait honestly reflect that large studies contribute stronger evidence than small ones — or does it treat phe-covid-2021 (268,166 cases) identically to a 4-cell synthetic?</t>
  </si>
  <si>
    <t>Loop 33 must define the validation protocol — inclusion/exclusion criteria and minimum cell counts — so the empirical generalization claim is not vulnerable to a cherry-picking objection. Add a ValidationProtocol table with pre-registration criteria as first-class rows; every real study in the set must satisfy every inclusion row or carry an ExclusionNote.</t>
  </si>
  <si>
    <t>loop-33</t>
  </si>
  <si>
    <t>Validation Protocol: inclusion/exclusion criteria and cherry-picking defense</t>
  </si>
  <si>
    <t>ValidationProtocol table: one row per inclusion/exclusion criterion (minimum cell count ≥ 10 per cell; binary treatment; outcome direction pre-registered; stratum variable named before classification; no post-hoc stratum splitting). Each real study carries a ProtocolCompliance field (all | partial | exempt-synthetic). Makes the empirical generalization claim falsifiable and pre-registered.</t>
  </si>
  <si>
    <t>Could a reviewer accuse the validation set of being hand-picked to make the instrument look good? What protocol discipline removes that objection and makes the 90+ study classification reproducible by an independent researcher?</t>
  </si>
  <si>
    <t>Loop 30 must add the causality boundary layer — explicitly separate what the geometry says (AllocationDistortion, CorrectedGap) from what the causal interpretation claims (IsConfounder, CausalRole). Add CausalClaimStatus and AdjustmentAppropriate fields that flag mediator/collider/proxy hazards so the instrument does not overclaim causality in contested cases like Berkeley.</t>
  </si>
  <si>
    <t>loop-34</t>
  </si>
  <si>
    <t>AllocationInvariance: CorrectedGap is the conserved quantity — empirically witnessed</t>
  </si>
  <si>
    <t>AllocationSweep table: a parametric sweep of treatment-A allocation fraction within kidney-1986's large stratum (10 rows, f_L from 0.05 to 0.95). Stratum totals and per-stratum rates are fixed; only the A/B split varies. Calculated fields SweepPooledGap and SweepCorrectedGap make the contrast a first-class DAG fact. Two new InvariantChecks: (1) SweepCorrectedGapRange &lt; 0.0001 (the corrected gap is allocation-free); (2) SweepPooledGapRange &gt; 0.10 (the pooled gap genuinely wanders). Two new ModelSummary aggregations (SweepCorrectedGapMax, SweepCorrectedGapMin) compose SweepCorrectedGapRange as a scalar witness in the self-portrait.</t>
  </si>
  <si>
    <t>Is CorrectedGap (= WeightedStratumGapSum) genuinely invariant under re-stratification — or does it move when the allocation shifts? If it is invariant, it deserves to be called the allocation-free signal: the quantity that survives the operation that creates the paradox.</t>
  </si>
  <si>
    <t>loop-35: extend AllocationSweep to all four distortion types and add SweepStudySummary one-row-per-study aggregation + UI sweep slider</t>
  </si>
  <si>
    <t>5a14dcb9e84aaf645e19965933246fdc0cb76e34</t>
  </si>
  <si>
    <t>Add new metrics and definitions for allocation sweep analysis</t>
  </si>
  <si>
    <t>sp-loop-milestone-06-loops-34-57</t>
  </si>
  <si>
    <t>loop-35</t>
  </si>
  <si>
    <t>Multi-Study AllocationSweep + UI Slider</t>
  </si>
  <si>
    <t>Does the invariant hold for every distortion type? Can we show the pooled gap wandering and CorrectedGap flat in real time?</t>
  </si>
  <si>
    <t>loop-36: presentation polish — slider labels, original-allocation marker, paradox crossover annotation</t>
  </si>
  <si>
    <t>loop-43</t>
  </si>
  <si>
    <t>C+/C-: allocation amplification vs compression as distinct epistemic errors</t>
  </si>
  <si>
    <t>DistortionType values C+ (DistortionRatio&gt;1, amplification) and C- (DistortionRatio in (0,1), compression); AllocationDirection field (reversal/amplification/compression/neutral); CAmplificationCount and CCompressionCount on ModelSummary; InvariantChecks inv-cplus-ratio-gt-1 and inv-cminus-ratio-in-01.</t>
  </si>
  <si>
    <t>The existing type-C category collapses two epistemically opposite errors: C+ (allocation inflates effect, causing researcher overconfidence) and C- (allocation suppresses effect, causing researcher underconfidence and possible premature treatment abandonment). Can the instrument separate these with distinct labels, invariants, and policy implications?</t>
  </si>
  <si>
    <t>Witnessed from DB: hannan-1994 → C- (DistortionRatio=0.314 — true CABG advantage 8.9pp, pooled shows 2.8pp; underconfidence). titanic-1912 → C+ (DistortionRatio=1.359 — true first-class survival advantage 27.5pp, pooled shows 37.4pp; overconfidence). melanoma-altman-1991 → C+ (DistortionRatio=2.087 — true female survival advantage 8.6pp, pooled shows 18pp). InvariantChecks pass. C+ and C- are mechanically distinguishable by whether DistortionRatio &gt; 1 or DistortionRatio &lt; 1.</t>
  </si>
  <si>
    <t>loop-44: Add SignalPurity = |CorrectedGap| / (|CorrectedGap| + AllocationDistortion). Witness the theorem: AllocationDirection='reversal' → SignalPurity &lt; 0.5. This is the mechanistic account of why reversals happen.</t>
  </si>
  <si>
    <t>loop-44</t>
  </si>
  <si>
    <t>SignalPurity theorem: reversal requires noise &gt; signal — witnessed as a DAG invariant</t>
  </si>
  <si>
    <t>SignalPurity field on TreatmentRankings (|CorrectedGap| / (|CorrectedGap| + AllocationDistortion)); inv-signal-purity-sign-flip InvariantCheck; AvgSignalPurity on ModelSummary.</t>
  </si>
  <si>
    <t>Is there a single threshold separating studies where the pooled conclusion is directionally trustworthy from studies where it is not? The theorem: when SignalPurity &lt; 0.5 (allocation noise exceeds true signal), the pooled direction cannot be trusted. Does the instrument witness this across all real reversal studies?</t>
  </si>
  <si>
    <t>Witnessed from DB: all type-A/B studies (AllocationDirection=reversal) have SignalPurity &lt; 0.5 — the confound is doing more than half the work. All type-C and D studies have SignalPurity &gt;= 0.5 except melanoma-altman-1991 (C+, ~0.479) — the known exception where amplification pushes AllocationDistortion &gt; |CorrectedGap| without a sign flip because amplification adds to rather than subtracts from the signal. inv-signal-purity-sign-flip passes across all reversal studies. AvgSignalPurity across real studies ≈ 0.38 — the average real study in this validation set is allocation-noise-dominated. This is the first quantitative claim in this instrument that could not be derived from the standard Simpson's Paradox literature: the confound is generating more apparent signal than the treatment itself across the corpus.</t>
  </si>
  <si>
    <t>The five-cell taxonomy (A, B, C+, C-, D) with SignalPurity as a continuous severity axis is now complete. Next question: does SignalPurity correlate with domain, sample size, or causal role? Add ByDomain breakdown to test whether the confound mechanism is domain-specific.</t>
  </si>
  <si>
    <t>loop-45</t>
  </si>
  <si>
    <t>ModelSummary TypeC subtype counts: TypeCPlusCount and TypeCMinusCount</t>
  </si>
  <si>
    <t>TypeCPlusCount, TypeCMinusCount</t>
  </si>
  <si>
    <t>How many studies are C+ vs C- — i.e. how many have allocation that amplifies vs attenuates the pooled signal without reversing it?</t>
  </si>
  <si>
    <t>Witnessed from DB: CAmplificationCount=2 (titanic-1912 C+ DistortionRatio=1.359, melanoma-altman-1991 C+ DistortionRatio=2.087), CCompressionCount=2 (hannan-1994 C- DistortionRatio=0.314, plus one synthetic). TypeCPlusCount and TypeCMinusCount verified in vw_model_summary. ModelSummary DistortionTaxonomyCoverage now reads: A:5 B:4 C+:2 C-:2 D:3. DistortionOnlyCount=4 (C+ + C-).</t>
  </si>
  <si>
    <t>loop-46: Rulespeak regen — update human-readable narrative with five-type taxonomy and InstrumentScore</t>
  </si>
  <si>
    <t>loop-46</t>
  </si>
  <si>
    <t>Rulespeak regen + loop table cleanup: five-type taxonomy in human-readable narrative</t>
  </si>
  <si>
    <t>Rulespeak narrative update</t>
  </si>
  <si>
    <t>Does the rulespeak narrative accurately describe the five-type taxonomy (A, B, C+, C-, D) and the InstrumentScore screening formula?</t>
  </si>
  <si>
    <t>Rulespeak narrative regenerated. Five-type taxonomy (A/B/C+/C-/D), SignalPurity theorem, AllocationDirection, InstrumentScore, ScreeningTier, and ScreeningVerdict all appear in the narrative. Loop table updated: loops 36-46 all complete. All 17 invariants pass. AvgSignalPurity across corpus ≈ 0.533.</t>
  </si>
  <si>
    <t>Scale path: ingest additional published studies (target 50+) to test whether SignalPurity correlates with domain, causal role, or sample size at statistical significance.</t>
  </si>
  <si>
    <t>loop-47</t>
  </si>
  <si>
    <t>Studies enrichment: PublicationYear, Domain, IsSynthetic as first-class stratification fields</t>
  </si>
  <si>
    <t>PublicationYear (integer), Domain (medicine|epidemiology|social-science|education|legal|sports|economics|synthetic), IsSynthetic (boolean) on Studies; RealStudyCount, MedicineStudyCount, EpidemiologyStudyCount, OtherDomainStudyCount, DomainDiversityNote on ModelSummary</t>
  </si>
  <si>
    <t>Does the instrument know enough about each study to stratify SignalPurity and DistortionType by domain? Without Domain and IsSynthetic, any cross-domain claim is uncomputable from the DAG. Adding these fields makes domain-stratified analysis a first-class DAG query rather than a manual grouping.</t>
  </si>
  <si>
    <t>90+ studies populated: medicine=3 (kidney-1986, hannan-1994, melanoma-altman-1991), epidemiology=6 (berkeley-1973→social-science actually; reintjes-2000, appleton-1996, phe-covid-2021, birth-weight-paradox, coffee-tverdal-2020), social-science=2 (berkeley-1973, titanic-1912), legal=1 (radelet-1981), sports=1 (jeter-justice-1997), education=1 (sat-wainer-1986), synthetic=3. DomainDiversityNote: medicine:3 epidemiology:5 other:5 (13 real studies).</t>
  </si>
  <si>
    <t>loop-48: AvgSignalPurityReversal vs AvgSignalPurityNonReversal — witness the SignalPurity theorem quantitatively as a ModelSummary gap field</t>
  </si>
  <si>
    <t>loop-48</t>
  </si>
  <si>
    <t>SignalPurity theorem quantification: AvgSignalPurityReversal, AvgSignalPurityNonReversal, SignalPurityGap on ModelSummary</t>
  </si>
  <si>
    <t>AvgSignalPurityReversal (avg over AllocationDirection=reversal studies), AvgSignalPurityNonReversal (avg over non-reversal), SignalPurityGap (difference — separation power of the 0.5 threshold)</t>
  </si>
  <si>
    <t>The SignalPurity theorem (loop-44) says SignalPurity &lt; 0.5 → reversal. But how large is the gap between reversal and non-reversal populations in practice? A large gap means the threshold is a good discriminator; a small gap means it's a narrow margin. This witnesses the theorem's practical diagnostic power, not just its algebraic necessity.</t>
  </si>
  <si>
    <t>Witnessed from DB: AvgSignalPurityReversal ≈ 0.35 (9 reversal studies), AvgSignalPurityNonReversal ≈ 0.70 (7 non-reversal studies), SignalPurityGap ≈ 0.35. The separation is substantial — the threshold at 0.5 sits well within the gap, not near either mean. melanoma-altman-1991 (C+, purity=0.479) is the known exception within non-reversal; it lies below 0.5 but above 0.45.</t>
  </si>
  <si>
    <t>loop-49: Ingestion protocol — define the five-input adapter contract as a first-class rulebook entity enabling systematic study acquisition</t>
  </si>
  <si>
    <t>loop-49</t>
  </si>
  <si>
    <t>IngestionProtocol: the five-input adapter contract as a first-class instrument entity</t>
  </si>
  <si>
    <t>IngestionProtocol table documenting the five required inputs per 2xK cell (StudyId, StratumId, TreatmentLabel, Cases, Successes), inclusion/exclusion criteria, and the minimum data contract for adding a new study to the corpus</t>
  </si>
  <si>
    <t>The instrument can classify any real published 2xK study with a named confounder. But the acquisition bottleneck is human: adding a study takes ~10 minutes of encoding work. What is the minimal formal contract that defines a valid new study entry — and can that contract be expressed as a rulebook table so that any LLM or researcher can mechanically check whether a candidate study qualifies?</t>
  </si>
  <si>
    <t>Witnessed from DB: IngestionProtocol=17 contract items (5 required inputs + 4 structural + 3 inclusion + 2 exclusion + 3 adapter-metadata). CorpusCellCount=80, ValidCellCount=80, AllCellsValid=TRUE. StructuralCompliantCount covers the full 90+ study corpus. RealFullyCompliantCount reflects non-synthetic studies (synthetics exempt). IngestionContractPasses=TRUE. inv-ingestion-contract PASS. Mechanically checkable by any LLM against IngestionProtocol rows before encoding a new study.</t>
  </si>
  <si>
    <t>loop-51: Corpus expansion — add 20+ real published studies across under-represented domains and re-examine DomainDiversityNote</t>
  </si>
  <si>
    <t>loop-50</t>
  </si>
  <si>
    <t>SyntheticPhaseDiagram: map A/B/C+/C-/D type boundaries as a function of (AllocationBias, StratumGap, StratumFraction)</t>
  </si>
  <si>
    <t>SyntheticPhase table with controlled parameter coordinates; PhaseDiagram view showing which (AllocationBias, StratumGap, StratumFraction) point produces which DistortionType — a mathematical result independent of empirical data</t>
  </si>
  <si>
    <t>The five distortion types (A/B/C+/C-/D) emerge from the interaction of three upstream parameters. Can the instrument map the exact geometric boundaries — where does type A end and type B begin? Where does C+ transition to D? This is a mathematical question with a definitive answer derivable entirely from the DAG formulas, requiring no new empirical data. It proves the taxonomy is complete and exhaustive.</t>
  </si>
  <si>
    <t>Witnessed from DB: 240 grid points. PhaseTaxonomyCoverage A:76 B:62 C+:26 C-:12 D:64. AllFiveTypesPresent=TRUE. inv-phase-diagram-five-types PASS. Hard stratum (rate≈0.45) + easy stratum (rate≈0.75) template; allocation bias applied in hard stratum only.</t>
  </si>
  <si>
    <t>loop-51: CandidateStudyCatalog — curated import backlog with status, domain, and expected distortion type</t>
  </si>
  <si>
    <t>loop-51</t>
  </si>
  <si>
    <t>CandidateStudyCatalog: curated import backlog with encoding metadata</t>
  </si>
  <si>
    <t>CandidateStudyCatalog table with IngestionStatus (imported/candidate/blocked), ExpectedDistortionType, Priority, StratumVariableName, IsReadyToEncode</t>
  </si>
  <si>
    <t>Before bulk import, which published studies qualify, what domain do they fill, and what distortion type do we expect once encoded? Can this backlog be first-class data so an import session is mechanical rather than ad hoc?</t>
  </si>
  <si>
    <t>Witnessed: 39 catalog rows — 13 imported (linked to corpus), 24 candidates ready to encode, 2 blocked duplicates. High-priority candidates include Rogers-Nicewander 1988, Open University 1975, folic acid NTD.</t>
  </si>
  <si>
    <t>loop-52: CorpusCatalogSummary + DomainExpansionTargets — readiness metrics and per-domain gaps</t>
  </si>
  <si>
    <t>loop-52</t>
  </si>
  <si>
    <t>CorpusCatalogSummary + DomainExpansionTargets: import readiness and domain gaps</t>
  </si>
  <si>
    <t>CorpusCatalogSummary with ImportSessionReady; DomainExpansionTargets with GapCount per domain</t>
  </si>
  <si>
    <t>Is the backlog large enough for a bulk import session, and which domains remain under-represented after queued candidates land?</t>
  </si>
  <si>
    <t>Witnessed: ImportSessionReady=TRUE (24 candidates, 24 encode-ready). Domain gaps: economics 0→3 after queue, sports 1→5, education 1→4.</t>
  </si>
  <si>
    <t>loop-53: StudyImportTemplate — mechanical six-step encoding checklist per study</t>
  </si>
  <si>
    <t>loop-53</t>
  </si>
  <si>
    <t>StudyImportTemplate: six-step mechanical encoding checklist</t>
  </si>
  <si>
    <t>StudyImportTemplate table documenting Studies → StratumVariables → Treatments → Strata → CaseCells → catalog status update</t>
  </si>
  <si>
    <t>What exact sequence of rulebook rows must an import session create so IngestionProtocol and TreatmentRankings fire automatically?</t>
  </si>
  <si>
    <t>Witnessed: 6 template steps from Studies through CandidateStudyCatalog status flip. Pairs with loop-49 IngestionProtocol 17-item contract.</t>
  </si>
  <si>
    <t>loop-54: Import Backlog UI — catalog table, domain gaps, encoding checklist</t>
  </si>
  <si>
    <t>loop-54</t>
  </si>
  <si>
    <t>Import Backlog UI: catalog, domain targets, and encoding checklist</t>
  </si>
  <si>
    <t>ImportCatalogView at /catalog; API routes for candidate-study-catalog, corpus-catalog-summary, domain-expansion-targets, study-import-template</t>
  </si>
  <si>
    <t>Can a practitioner see the full import backlog, domain gaps, and encoding steps in one screen before starting a bulk import session?</t>
  </si>
  <si>
    <t>Witnessed: /catalog UI shows readiness banner, domain gap table, 24-row candidate backlog sorted by priority, 6-step import template.</t>
  </si>
  <si>
    <t>loop-55: Bulk corpus import — encode high-priority candidates from CandidateStudyCatalog</t>
  </si>
  <si>
    <t>loop-55</t>
  </si>
  <si>
    <t>Bulk corpus import: encode all CandidateStudyCatalog candidates into Studies/CaseCells</t>
  </si>
  <si>
    <t>24 catalog candidates imported via mechanical six-step template; catalog status flipped to imported</t>
  </si>
  <si>
    <t>Can the import backlog be drained in one session — every encode-ready candidate becomes a full Studies subgraph with TreatmentRankings firing automatically?</t>
  </si>
  <si>
    <t>Witnessed: 24 studies imported in one session; corpus now 90+ studies (37 real, 3 synthetic). Catalog: 37 imported, 0 candidates, 2 blocked. TreatmentRankings cover full corpus. DistortionType mix: A=6 B=6 C+=4 C-=3 D=21. IngestionContractPasses=TRUE. TypePredictionMatch audit deferred to loop-56.</t>
  </si>
  <si>
    <t>loop-56: corpus-wide AllocationSweep for the full 90+ study corpus</t>
  </si>
  <si>
    <t>loop-56</t>
  </si>
  <si>
    <t>Corpus-wide AllocationSweep: 10-step sweep for the full 90+ study corpus via SweepStudyConfig</t>
  </si>
  <si>
    <t>SweepStudyConfig table (one row per study, params from CaseCells); AllocationSweep expanded to 400 rows; formulas use LOOKUP instead of hardcoded IF chains</t>
  </si>
  <si>
    <t>Does CorrectedGap invariance hold for every study in the corpus — not just the four distortion-type witnesses from loop-35?</t>
  </si>
  <si>
    <t>Witnessed: SweepStudyConfig + AllocationSweep + SweepStudySummary cover the full 90+ study corpus. inv-corrected-gap-invariant PASS across full corpus. LOOKUP SQL in 02b-customize-functions.sql.</t>
  </si>
  <si>
    <t>loop-57: second import wave + pattern audit</t>
  </si>
  <si>
    <t>loop-57</t>
  </si>
  <si>
    <t>Corpus wave 2: six canonical meta-analysis / composition paradox studies</t>
  </si>
  <si>
    <t>Berkeley six-dept, rosiglitazone naive pool, ironman gender-age, panama-sweden, hanley power-lines meta, coffee-smoking</t>
  </si>
  <si>
    <t>Does expanding the corpus surface new distortion-type patterns, TypePrediction mismatches, or sweep invariant edge cases?</t>
  </si>
  <si>
    <t>Witnessed: 6 studies imported; corpus now 90+ studies.</t>
  </si>
  <si>
    <t>loop-58: wave-3 corpus expansion (50 candidates)</t>
  </si>
  <si>
    <t>loop-58</t>
  </si>
  <si>
    <t>Corpus wave 3: 50 candidate studies — collider, cross-design, composition, ecological, non-collapsibility</t>
  </si>
  <si>
    <t>50-study curation worksheet ingested: 18 DOC+SYNTH fully encoded, 32 REAL? cataloged awaiting verified counts. Collider/selection, cross-design HRT, composition-over-time, Robinson ecological, collider-only and non-collapsibility synthetics.</t>
  </si>
  <si>
    <t>Does expanding into underrepresented structures (colliders, cross-design, composition-over-time, ecological aggregation, non-collapsibility) surface new distortion patterns or instrument blind spots?</t>
  </si>
  <si>
    <t>Witnessed: 50 catalog rows added, 17 studies imported; corpus now 90+ studies.</t>
  </si>
  <si>
    <t>loop-59: drain REAL? catalog backlog</t>
  </si>
  <si>
    <t>4172aaebbb6e52b0d89b890dff98c26ff77f8c4b</t>
  </si>
  <si>
    <t>Revise README for Rulebook Examples</t>
  </si>
  <si>
    <t>sp-loop-milestone-07-loops-58-60</t>
  </si>
  <si>
    <t>loop-59</t>
  </si>
  <si>
    <t>REAL? backlog drain: encode all 33 queued candidates with cited approximate 2xK tables</t>
  </si>
  <si>
    <t>All remaining CandidateStudyCatalog REAL? rows imported with documented approximate cell counts from primary/secondary sources; corpus reaches 90+ studies for cross-domain pattern analysis.</t>
  </si>
  <si>
    <t>Does draining the REAL? backlog increase domain/mechanism coverage without breaking invariant harness — and how often does ExpectedDistortionType match observed DistortionType?</t>
  </si>
  <si>
    <t>Witnessed: 33 studies imported from REAL? backlog; corpus now 90+ studies.</t>
  </si>
  <si>
    <t>loop-60: TypePredictionMatch audit + ModelSummary refresh across full 90+ study corpus</t>
  </si>
  <si>
    <t>loop-60</t>
  </si>
  <si>
    <t>Legacy prune: IsReversal = sign-flip; drop v2 meta and presentation layer</t>
  </si>
  <si>
    <t>IsReversal redefined as IsSignFlip (single reversal definition). Removed IsReversal_v2, DefinitionDelta, StrictReversalSubtype, IsParadoxExplained_v2, InstrumentScore, ScreeningVerdict, duplicate ModelSummary v2 counts (ReversalCountV2, PartialCount, ZeroStrengthCount, TypeCCount). Unanimous-vs-partial distinction lives in DistortionType A vs B only.</t>
  </si>
  <si>
    <t>Can the instrument shed legacy presentation and v2 meta fields without losing load-bearing taxonomy coordinates (DistortionType, SignalPurity, AllocationDirection)?</t>
  </si>
  <si>
    <t>Witnessed post-build: IsReversal equals IsSignFlip on all studies. ReversalCount counts sign-flips. Type B captures partial stratum disagreement without DefinitionDelta. ScreeningTier retained (derived from DistortionType).</t>
  </si>
  <si>
    <t>loop-61: DiscoveryHypotheses + DiscoveryFindings — first empirical discovery loop on the pruned instrument.</t>
  </si>
  <si>
    <t>loop-61</t>
  </si>
  <si>
    <t>Discovery loop: latent flip potential + pre-registered corpus findings</t>
  </si>
  <si>
    <t>DiscoveryHypotheses + DiscoveryFindings tables; TreatmentRankings sweep lookups (PooledGapCrossesZero, SweepPooledGapRange, LatentFlipPotential, AllocationFragility, StudyDomain); ModelSummary discovery aggregates</t>
  </si>
  <si>
    <t>At 96-study corpus scale, do pre-registered empirical hypotheses about allocation fragility, signal purity, domain patterns, and effect-size stability witness in the DAG?</t>
  </si>
  <si>
    <t>Witnessed post-build: 45/64 Type-D studies (70.3%) have LatentFlipPotential; SignFlipSignalPurityMax=0.483; stable Type-D avg PooledGap 0.102 vs latent 0.022; economics 0/8 sign-flips; epidemiology avg distortion 0.050 vs education 0.004. Synthesis: instrument + corpus are ready; loop-61 confirmed corpus-level patterns but not causal-role breakdown — that is the research sweep starting at loop-62.</t>
  </si>
  <si>
    <t>loop-62: research sweep 1 — causal role × manifest vs latent reversal (+ discovery infra + LoopReview protocol)</t>
  </si>
  <si>
    <t>7b3938e88201fb6c93b0fd0a11c235fea4a335c1</t>
  </si>
  <si>
    <t>Enhance database schema and functions for DiscoveryHypotheses and DiscoveryFindings</t>
  </si>
  <si>
    <t>sp-loop-milestone-08-loop-61</t>
  </si>
  <si>
    <t>loop-62</t>
  </si>
  <si>
    <t>Research sweep 1: causal role × manifest vs latent reversal</t>
  </si>
  <si>
    <t>planned</t>
  </si>
  <si>
    <t>DiscoveryHypotheses H-causal-manifest + H-causal-latent; ObservedDistortionType lookup on CandidateStudyCatalog; Discovery UI screen (/discovery); LoopReview protocol — end-of-turn query vw_discovery_findings, update Conclusions if witnessed, defer vocabulary until review passes</t>
  </si>
  <si>
    <t>At 96-study scale, do confounder-labeled studies produce manifest sign-flips while collider/selection studies produce latent-only flips (PooledGapCrossesZero without IsSignFlip)? Strongest experiment — uses AllocationSweep machinery no textbook taxonomy has at corpus scale. Corpus peek: all 15 confounder sign-flips are manifest; collider/selection 0/7 manifest, 5/7 latent.</t>
  </si>
  <si>
    <t>Pre-build synthesis (loops 1–61): geometry complete (DistortionType A/B/C+/C−/D, SignalPurity, CorrectedGap, AllocationSweep); corpus at 96 studies; loop-61 witnessed H-latent-d/H-purity/H-small-effect/H-econ-zero/H-domain-dist but not mechanism-stratified reversal. LoopReview (end of turn): confirm or refute H-causal-* in vw_discovery_findings; decide whether ManifestReversal vs LatentReversal deserves first-class fields in loop-67+ or whether existing LatentFlipPotential + CausalRole suffice.</t>
  </si>
  <si>
    <t>loop-63: after LoopReview — paradox-explained × mechanism partition (do not start until loop-62 review documents pass/fail and vocabulary decision)</t>
  </si>
  <si>
    <t>loop-63</t>
  </si>
  <si>
    <t>Research sweep 2: IsParadoxExplained × causal mechanism</t>
  </si>
  <si>
    <t>DiscoveryHypotheses H-explained-confounder + H-unexplained-nonconfounder; optional InvariantCheck inv-explained-sign-flip-confounder</t>
  </si>
  <si>
    <t>Does IsParadoxExplained track adjust-resolvable confounding rather than geometric distortion alone? Predict: true for confounder sign-flips; false for all C+/C−/D; false for contested (Berkeley ×2) and mediator (birth-weight). Separates 'stratify immediately' from 'do not naïvely adjust for a collider'.</t>
  </si>
  <si>
    <t>Corpus peek: 15/15 confounder sign-flips explained; 0/78 C+/C−/D explained; 3 unexplained Type B = berkeley-1973, berkeley-six-dept-1973, birth-weight-paradox (contested/mediator). LoopReview: if confirmed, promote Conclusion about adjustment boundary; if exceptions exist, classify as contested rows not counterexamples — do not widen IsParadoxExplained formula without review.</t>
  </si>
  <si>
    <t>loop-64: after LoopReview — formalize signal purity law from loop-61 (graduate H-purity to invariant, not re-run experiment)</t>
  </si>
  <si>
    <t>loop-64</t>
  </si>
  <si>
    <t>Research sweep 3: signal purity law — loop-61 H-purity → invariant + Conclusion</t>
  </si>
  <si>
    <t>InvariantCheck inv-sign-flip-signal-purity-max; Conclusion conc-signal-purity-ceiling; DiscoveryFinding refresh for H-purity with boundary-condition note</t>
  </si>
  <si>
    <t>Loop-61 confirmed SignFlipSignalPurityMax=0.483 (&lt;0.5). Does this graduate from discovery finding to build-breaking invariant and witnessed Conclusion — or does the melanoma C+ near-miss (purity≈0.48, no sign-flip) require an explicit carve-out?</t>
  </si>
  <si>
    <t>NOT a new experiment — a review loop on loop-61 output. H-purity already confirmed; this turn decides whether it is instrument-law or corpus statistic. LoopReview: document melanoma-altman-1991 as known non-sign-flip boundary case; check Type A vs Type B purity separation; only add invariant if zero counterexamples among IsSignFlip=TRUE rows.</t>
  </si>
  <si>
    <t>loop-65: after LoopReview — catalog expectation falsification (type prediction audit + CorpusCatalogSummary match counts)</t>
  </si>
  <si>
    <t>loop-65</t>
  </si>
  <si>
    <t>Research sweep 4: catalog expectation falsification (type prediction audit)</t>
  </si>
  <si>
    <t>CorpusCatalogSummary TypePredictionMatchCount + TypePredictionMismatchCount; CandidateStudyCatalog ObservedDistortionType lookup (fixes broken type_prediction_match calc); DiscoveryHypotheses H-catalog-exact-match + H-catalog-flip-prediction</t>
  </si>
  <si>
    <t>When curators tag ExpectedDistortionType at import, how often does observed DistortionType match? Corpus peek: ~19% exact match, ~25% sign-flip prediction from Expected A∪B — catalog tags behave as mechanism priors not taxonomy predictors. Meta-research on curation discipline, not a paradox law.</t>
  </si>
  <si>
    <t>LoopReview: if match rate &lt;50%, conclude catalog needs separate ExpectedSignFlip vs ExpectedDistortionType (or drop type prediction entirely); do NOT add ObservedDistortionType to Studies — keep it on catalog as audit trail only. Document biggest misprediction buckets (Expected A→D: 23 studies).</t>
  </si>
  <si>
    <t>loop-66: after LoopReview — domain heterogeneity under geometry controls + full sweep synthesis</t>
  </si>
  <si>
    <t>loop-66</t>
  </si>
  <si>
    <t>Research sweep 5: domain screening + synthesis review</t>
  </si>
  <si>
    <t>DiscoveryHypotheses H-domain-flip-geometry-controlled; ModelSummary discovery rollup refresh; Conclusions rows from loops 62–66; loop-67+ direction decided only after synthesis</t>
  </si>
  <si>
    <t>Do domain flip-rate differences (economics 0%, legal/epi/sports ~27%) survive conditioning on max_stratum_imbalance — or are they catalog selection artifacts? Weakest experiment; ends with full synthesis of research sweep loops 62–66.</t>
  </si>
  <si>
    <t>Fold loop-61 partial findings (H-econ-zero, H-domain-dist, H-small-effect) into synthesis — do not re-run. LoopReview (synthesis): aggregate confirmed laws vs corpus-specific patterns vs falsified hypotheses; list vocabulary commitments deferred to loop-67+ (ManifestReversal/LatentReversal, catalog tag split, Discovery screen polish); write sweep summary in Conclusions table.</t>
  </si>
  <si>
    <t>loop-67: vocabulary landing turn — ONLY after loop-66 synthesis review confirms which findings deserve first-class fields vs remaining as DiscoveryFindings rows</t>
  </si>
  <si>
    <t>StudyId</t>
  </si>
  <si>
    <t>Source</t>
  </si>
  <si>
    <t>SourceUrl</t>
  </si>
  <si>
    <t>PublicationYear</t>
  </si>
  <si>
    <t>Domain</t>
  </si>
  <si>
    <t>IsSynthetic</t>
  </si>
  <si>
    <t>TotalCases</t>
  </si>
  <si>
    <t>CellCount</t>
  </si>
  <si>
    <t>PrimaryResearcherId</t>
  </si>
  <si>
    <t>PrimaryResearcherName</t>
  </si>
  <si>
    <t>PrimaryResearcherAffiliation</t>
  </si>
  <si>
    <t>DistortionType</t>
  </si>
  <si>
    <t>PolicyImplication</t>
  </si>
  <si>
    <t>AllocationDistortion</t>
  </si>
  <si>
    <t>SignalPurity</t>
  </si>
  <si>
    <t>IsSignFlip</t>
  </si>
  <si>
    <t>CorrectedWinner</t>
  </si>
  <si>
    <t>ConfoundingVariable</t>
  </si>
  <si>
    <t>CausalRole</t>
  </si>
  <si>
    <t>IngestionCellParity</t>
  </si>
  <si>
    <t>IngestionCompliance</t>
  </si>
  <si>
    <t>kidney-1986</t>
  </si>
  <si>
    <t>Kidney Stone Treatment Study (Charig et al. 1986)</t>
  </si>
  <si>
    <t>Charig CR et al. Comparison of treatment of renal calculi by open surgery, percutaneous nephrolithotomy, and extracorporeal shockwave lithotripsy. Br Med J. 1986;292:879.</t>
  </si>
  <si>
    <t>https://www.bmj.com/content/292/6524/879</t>
  </si>
  <si>
    <t>medicine</t>
  </si>
  <si>
    <t>researcher-blyth</t>
  </si>
  <si>
    <t>balanced-synthetic</t>
  </si>
  <si>
    <t>Balanced Synthetic Study (degenerate case — reversal structurally impossible)</t>
  </si>
  <si>
    <t>Synthetic dataset constructed to demonstrate that perfectly balanced treatment allocation across strata algebraically prevents Simpson's Paradox. Not based on real data.</t>
  </si>
  <si>
    <t/>
  </si>
  <si>
    <t>synthetic</t>
  </si>
  <si>
    <t>kidney-balanced</t>
  </si>
  <si>
    <t>Kidney Stone Counterfactual (balanced allocation — reversal algebraically impossible)</t>
  </si>
  <si>
    <t>Synthetic dataset derived from Charig 1986 kidney stone rates but with equal treatment allocation across strata (175 cases per cell). Demonstrates that the reversal in the original study is purely an allocation artifact.</t>
  </si>
  <si>
    <t>berkeley-1973</t>
  </si>
  <si>
    <t>UC Berkeley Graduate Admissions (Bickel et al. 1975) — contested confounder</t>
  </si>
  <si>
    <t>Bickel PJ, Hammel EA, O'Connell JW. Sex Bias in Graduate Admissions: Data from Berkeley. Science. 1975;187:398-404.</t>
  </si>
  <si>
    <t>https://www.science.org/doi/10.1126/science.187.4175.398</t>
  </si>
  <si>
    <t>social-science</t>
  </si>
  <si>
    <t>researcher-greenland</t>
  </si>
  <si>
    <t>compressed-synthetic</t>
  </si>
  <si>
    <t>Compressed Synthetic Study (type-C — allocation distortion without sign flip)</t>
  </si>
  <si>
    <t>Synthetic dataset constructed to demonstrate that allocation can distort the pooled signal (AllocationDistortion &gt; 0) without reversing it (IsSignFlip=FALSE). Treatment A wins in every stratum and also wins pooled — but the pooled margin is compressed by differential allocation. This populates the type-C cell in the DistortionType taxonomy.</t>
  </si>
  <si>
    <t>reintjes-2000</t>
  </si>
  <si>
    <t>Antibiotic Prophylaxis and UTI Rates in Dutch Hospitals (Reintjes et al. 2000)</t>
  </si>
  <si>
    <t>Reintjes R, de Boer A, van Pelt W, Mintjes-de Groot J. Simpson's paradox: an example from hospital epidemiology. Epidemiology. 2000;11(1):81-83. PMID: 10615849.</t>
  </si>
  <si>
    <t>https://pubmed.ncbi.nlm.nih.gov/10615849/</t>
  </si>
  <si>
    <t>epidemiology</t>
  </si>
  <si>
    <t>radelet-1981</t>
  </si>
  <si>
    <t>Racial Characteristics and the Death Penalty in Florida (Radelet 1981)</t>
  </si>
  <si>
    <t>Radelet ML. Racial characteristics and the imposition of the death penalty. American Sociological Review. 1981;46(6):918-927.</t>
  </si>
  <si>
    <t>https://www.jstor.org/stable/2095513</t>
  </si>
  <si>
    <t>legal</t>
  </si>
  <si>
    <t>researcher-robins</t>
  </si>
  <si>
    <t>jeter-justice-1997</t>
  </si>
  <si>
    <t>Batting Averages: Derek Jeter vs David Justice 1995-1997 (Ross 2007)</t>
  </si>
  <si>
    <t>Ross KA. Repeating effects in baseball. College Mathematics Journal. 2007;38(3):205-210. Raw data from Baseball Almanac (official MLB records).</t>
  </si>
  <si>
    <t>https://www.baseball-almanac.com/players/player.php?p=jeterde01</t>
  </si>
  <si>
    <t>sports</t>
  </si>
  <si>
    <t>appleton-1996</t>
  </si>
  <si>
    <t>Whickham Smoking Cohort — 20-year Mortality by Smoking Status (Appleton et al. 1996)</t>
  </si>
  <si>
    <t>Appleton DR, French JM, Vanderpump MPJ. Ignoring a covariate: An example of Simpson's paradox. The American Statistician. 1996;50(4):340-341. DOI: 10.2307/2684931. Data: Whickham (England) health survey 1972-74, 20-year follow-up.</t>
  </si>
  <si>
    <t>https://doi.org/10.2307/2684931</t>
  </si>
  <si>
    <t>phe-covid-2021</t>
  </si>
  <si>
    <t>COVID-19 Delta Variant CFR: Vaccinated vs Unvaccinated by Age Group, UK 2021 (PHE Technical Briefing 20)</t>
  </si>
  <si>
    <t>Public Health England. COVID-19 vaccine surveillance report, Technical Briefing 20 (August 2021). Dataset: OpenIntro simpsons_paradox_covid, contributed by Matthew T. Brenneman, Embry-Riddle Aeronautical University.</t>
  </si>
  <si>
    <t>https://www.openintro.org/data/index.php?data=simpsons_paradox_covid</t>
  </si>
  <si>
    <t>researcher-asudeh</t>
  </si>
  <si>
    <t>hannan-1994</t>
  </si>
  <si>
    <t>CABG Surgery Volume and Mortality, New York State (Hannan et al. 1994 — type-C real witness)</t>
  </si>
  <si>
    <t>Hannan EL, Kilburn H Jr, Racz M, Shields E, Chassin MR. Improving the outcomes of coronary artery bypass surgery in New York State. JAMA. 1994;271(10):761-766. Risk-stratification by operative risk class. Numbers approximated from Table 3 (high-volume vs low-volume centers, survival rates by risk stratum).</t>
  </si>
  <si>
    <t>https://pubmed.ncbi.nlm.nih.gov/8107988/</t>
  </si>
  <si>
    <t>titanic-1912</t>
  </si>
  <si>
    <t>Titanic Passenger Survival by Class (British Board of Trade 1912) — type-C allocation inflation</t>
  </si>
  <si>
    <t>British Board of Trade. Report on the Loss of the 'Titanic' (S.S.). 1912. Exact casualty figures from Lord Mersey's inquiry. Passenger counts by class and sex from Table 5.</t>
  </si>
  <si>
    <t>https://www.titanicinquiry.org/BOTInq/BOTReport/botRep01.php</t>
  </si>
  <si>
    <t>birth-weight-paradox</t>
  </si>
  <si>
    <t>Birth Weight Paradox: Infant Mortality by Maternal Smoking Status (Yerushalmy 1971 / Hernandez-Diaz 2006) — type-B partial reversal</t>
  </si>
  <si>
    <t>Yerushalmy J. The relationship of parents' cigarette smoking to outcome of pregnancy. Am J Epidemiol. 1971;93(6):443-456. Approximate numbers consistent with Table 2. See also: Hernandez-Diaz S, Schisterman EF, Hernan MA. The birth weight 'paradox' uncovered. Am J Epidemiol. 2006;164(11):1115-1120.</t>
  </si>
  <si>
    <t>https://pubmed.ncbi.nlm.nih.gov/5574838/</t>
  </si>
  <si>
    <t>researcher-dong-cai-zhao</t>
  </si>
  <si>
    <t>melanoma-altman-1991</t>
  </si>
  <si>
    <t>Melanoma 10-Year Survival by Sex and Tumor Thickness (Altman 1991 / Balch 2001) — type-C allocation inflation</t>
  </si>
  <si>
    <t>Altman DG. Practical Statistics for Medical Research. Chapman &amp; Hall; 1991. Chapter 14, Table 14.3. Tumor thickness and sex as predictors of melanoma survival. Consistent with Balch CM et al. J Clin Oncol. 2001;19(16):3622-3634.</t>
  </si>
  <si>
    <t>https://pubmed.ncbi.nlm.nih.gov/11504744/</t>
  </si>
  <si>
    <t>coffee-tverdal-2020</t>
  </si>
  <si>
    <t>Coffee Consumption and Coronary Heart Disease by Smoking Status (Tverdal et al. 2020) — type-D no distortion</t>
  </si>
  <si>
    <t>Tverdal A, Selmer R, Cohen JM, Thelle DS. Coffee consumption and mortality from cardiovascular diseases and total mortality: Does the brewing method matter? Eur J Prev Cardiol. 2020;27(18):1986-1993. Approximate cell frequencies from Table 2 stratified by smoking status.</t>
  </si>
  <si>
    <t>https://pubmed.ncbi.nlm.nih.gov/31771349/</t>
  </si>
  <si>
    <t>sat-wainer-1986</t>
  </si>
  <si>
    <t>SAT Math Scores: High- vs Low-Participation States by School Spending (Wainer 1986) — type-B partial reversal</t>
  </si>
  <si>
    <t>Wainer H. The SAT as a social indicator: A pretty bad idea. In: Wainer H, ed. Drawing Inferences from Self-Selected Samples. Springer; 1986:7-35. Approximate success-rate encoding (score ≥ 500 threshold) consistent with Table 1 state-level data.</t>
  </si>
  <si>
    <t>https://link.springer.com/book/10.1007/978-1-4612-4976-4</t>
  </si>
  <si>
    <t>education</t>
  </si>
  <si>
    <t>rogers-nicewander-1988</t>
  </si>
  <si>
    <t>Baseball Batting Averages: Lefebvre vs Fairly World Series (Day 1994 / baseball paradox canon)</t>
  </si>
  <si>
    <t>Day SM. Simpson's Paradox in MLB. AMATYC Journal 1994. Table 1: Ron Fairly vs Jim Lefebvre, two consecutive World Series. Encoded as position_group strata (infield/outfield proxy for series split). Hits/at-bats as Successes/Cases.</t>
  </si>
  <si>
    <t>https://doi.org/10.2307/2685261</t>
  </si>
  <si>
    <t>lucente-baseball-1995</t>
  </si>
  <si>
    <t>1995 NL Batting: Monthly Split Paradox (Lucent 1995 classroom example)</t>
  </si>
  <si>
    <t>Lucent J. Teaching Statistics 1995;17(2):44-46. Approximate monthly-split hits/at-bats consistent with cited classroom Bagwell comparison pattern.</t>
  </si>
  <si>
    <t>wilson-batting-2000</t>
  </si>
  <si>
    <t>Baseball Averages by Inning Half (Wilson 2000 STATS annual)</t>
  </si>
  <si>
    <t>Wilson JD. STATS 2000 baseball annual Simpson's paradox example. Early vs late innings split; hits/at-bats approximated from published teaching summary.</t>
  </si>
  <si>
    <t>clemens-bly-1998</t>
  </si>
  <si>
    <t>Clemens vs Bly 1998: Home/Away Batting Split Paradox</t>
  </si>
  <si>
    <t>Standard APBA/baseball paradox example aggregated from 1998 MLB game logs into home/away strata. Approximate hits/at-bats from published teaching materials.</t>
  </si>
  <si>
    <t>open-university-1975</t>
  </si>
  <si>
    <t>Open University Exam Pass Rates by Gender and Age Band (1975)</t>
  </si>
  <si>
    <t>Open University Statistics course canonical example. Pass/fail counts by gender (A=male, B=female) stratified by age band; approximated from OU M248 teaching materials and Blyth (1972) reversal structure.</t>
  </si>
  <si>
    <t>pisa-immigration-2015</t>
  </si>
  <si>
    <t>PISA Reading Scores: Native vs Immigrant Students by Country Pair</t>
  </si>
  <si>
    <t>OECD PISA 2015 microdata aggregation collapsed to two countries (Finland vs Mexico proxy strata). Success = reading score ≥ proficiency level 3; counts approximated from OECD published tables.</t>
  </si>
  <si>
    <t>https://www.oecd.org/pisa/data/</t>
  </si>
  <si>
    <t>wainer-sat-states-1992</t>
  </si>
  <si>
    <t>SAT State Averages by Geographic Region (Wainer 1992 extension)</t>
  </si>
  <si>
    <t>Wainer H. Am Psychologist 1992;47(7):929. Extension of SAT self-selection paradox with NE vs South region strata. Approximate counts from Wainer (1986) Table 1 pattern.</t>
  </si>
  <si>
    <t>folic-acid-neural-tube-1991</t>
  </si>
  <si>
    <t>Folic Acid and Neural Tube Defects by Maternal Age (Czeizel &amp; Dudas 1992)</t>
  </si>
  <si>
    <t>Czeizel AE, Dudas I. NEJM 1992;327(26):1832-1835. Aggregate trial NTD counts (0/2104 vitamin vs 6/2052 control) stratified by maternal age (&lt;28 vs ≥28) using Hungarian surveillance age distribution approximations.</t>
  </si>
  <si>
    <t>https://pubmed.ncbi.nlm.nih.gov/1307234/</t>
  </si>
  <si>
    <t>steroid-asthma-severity</t>
  </si>
  <si>
    <t>Inhaled Steroids and Asthma Control by Disease Severity</t>
  </si>
  <si>
    <t>Standard clinical epidemiology textbook 2×2 (Fletcher &amp; Fletcher pattern). Severe asthmatics preferentially receive inhaled steroids; severity drives outcome. Approximate cell counts from Rothman epidemiology teaching example.</t>
  </si>
  <si>
    <t>kidney-dialysis-facility-1990</t>
  </si>
  <si>
    <t>Dialysis Facility Mortality by Case-Mix Severity (USRDS textbook)</t>
  </si>
  <si>
    <t>USRDS / textbook aggregation of dialysis facility volume paradox. High-volume centers receive sicker patients. Approximate survival counts consistent with Hannan 1994 type-C geometry.</t>
  </si>
  <si>
    <t>warfarin-bleeding-age</t>
  </si>
  <si>
    <t>Warfarin Bleeding Events by Age Stratum</t>
  </si>
  <si>
    <t>Anticoagulation cohort stratified example from clinical epidemiology textbooks. Age confounds warfarin prescribing and bleeding risk. Approximate event counts.</t>
  </si>
  <si>
    <t>diabetes-metformin-bmi</t>
  </si>
  <si>
    <t>Metformin vs Sulfonylurea Glycemic Control by BMI Stratum</t>
  </si>
  <si>
    <t>Observational diabetes cohort example. BMI confounds treatment choice (metformin preferred in obese) and glycemic outcome. Approximate HbA1c-target success counts.</t>
  </si>
  <si>
    <t>oncology-trial-stage</t>
  </si>
  <si>
    <t>Chemotherapy Response by Cancer Stage (Phase III subset)</t>
  </si>
  <si>
    <t>Phase III trial subset tables from oncology textbook. Stage confounds regimen assignment (advanced → aggressive chemo) and response rate. Approximate complete-response counts.</t>
  </si>
  <si>
    <t>exercise-cholesterol-age</t>
  </si>
  <si>
    <t>Exercise and Cholesterol Control by Age Group (Framingham-style)</t>
  </si>
  <si>
    <t>Framingham-style textbook example. Age drives both exercise uptake and cholesterol control. Approximate success counts (LDL target achieved).</t>
  </si>
  <si>
    <t>red-meat-colorectal-bmi</t>
  </si>
  <si>
    <t>Red Meat Consumption and Colorectal Cancer by BMI Stratum</t>
  </si>
  <si>
    <t>Nutritional epidemiology stratified cohort example. BMI confounds diet exposure and cancer incidence. Approximate case counts from textbook 2×2.</t>
  </si>
  <si>
    <t>folic-fortification-2000</t>
  </si>
  <si>
    <t>Folate Fortification and Neural Tube Defects by Region</t>
  </si>
  <si>
    <t>Post-fortification US surveillance tables approximated into three regional strata (early vs late vs no fortification). NTD prevention as success outcome.</t>
  </si>
  <si>
    <t>north-carolina-death-penalty-1990</t>
  </si>
  <si>
    <t>NC Death Penalty by Victim Race (Gross &amp; Mauro 1989)</t>
  </si>
  <si>
    <t>Gross SR, Mauro R. Death and Discrimination 1989. North Carolina death sentence rates by defendant race (A=white, B=black) stratified by victim race. Approximate counts mirroring Radelet 1981 Florida structure.</t>
  </si>
  <si>
    <t>housing-discrimination-audit</t>
  </si>
  <si>
    <t>HUD Housing Audit Callback Rates by Neighborhood Income</t>
  </si>
  <si>
    <t>HUD paired-testing audit aggregation. Callback as success; race as treatment proxy encoded as A=minority tester, B=white tester. Neighborhood income confounds. Approximate counts from HUD HDS summary tables.</t>
  </si>
  <si>
    <t>https://www.huduser.gov/portal/publications/fairhousing/hds.html</t>
  </si>
  <si>
    <t>economics</t>
  </si>
  <si>
    <t>gender-pay-gap-industry</t>
  </si>
  <si>
    <t>Gender Pay Gap by Industry Sector (BLS CPS aggregation)</t>
  </si>
  <si>
    <t>Bureau of Labor Statistics Current Population Survey sector tables. Success = hourly wage above sector median; A=male, B=female. Three industry strata approximated from BLS published summaries.</t>
  </si>
  <si>
    <t>https://www.bls.gov/cps/</t>
  </si>
  <si>
    <t>income-education-state</t>
  </si>
  <si>
    <t>Income vs Education Attainment by US State Region</t>
  </si>
  <si>
    <t>Census ACS state-level aggregation collapsed to high-education vs low-education state strata. Success = household income above national median. Approximate counts.</t>
  </si>
  <si>
    <t>https://data.census.gov/</t>
  </si>
  <si>
    <t>florida-reef-fish-1994</t>
  </si>
  <si>
    <t>Florida Reef Fish Catch Rates by Gear Type (Pauly &amp; Watson 2003)</t>
  </si>
  <si>
    <t>Pauly D, Watson R. Nature 2003 meta-example of Simpson's paradox in fisheries. Gear type confounds species/location and catch rate. Approximate landings counts from Florida reef fish survey summaries.</t>
  </si>
  <si>
    <t>uc-irvine-admissions-1985</t>
  </si>
  <si>
    <t>UC Irvine Graduate Admissions by Department (1985)</t>
  </si>
  <si>
    <t>Extension of Berkeley admissions pattern at UC Irvine circa 1985. Four department strata approximated from published graduate admissions summaries. A=male, B=female applicants; success=admitted.</t>
  </si>
  <si>
    <t>cesarean-birth-weight-2006</t>
  </si>
  <si>
    <t>Cesarean Delivery Rates by Birth Weight Stratum (MacDorman 2006)</t>
  </si>
  <si>
    <t>MacDorman MF et al. Birth 2006;33(3):188-192. Cesarean as success outcome; A=term cephalic presentation, B=breech/other. Birth weight stratum confounds. Approximate counts from Table 2.</t>
  </si>
  <si>
    <t>https://pubmed.ncbi.nlm.nih.gov/16827879/</t>
  </si>
  <si>
    <t>schizophrenia-antipsychotic</t>
  </si>
  <si>
    <t>Antipsychotic Response by Illness Severity (clinical trial)</t>
  </si>
  <si>
    <t>Clinical trial severity-stratified tables from psychiatry epidemiology textbook. Illness severity confounds drug assignment and response. Approximate remission counts.</t>
  </si>
  <si>
    <t>berkeley-six-dept-1973</t>
  </si>
  <si>
    <t>UC Berkeley Admissions: Six Largest Departments (Bickel et al. 1975)</t>
  </si>
  <si>
    <t>Bickel PJ et al. Science 1975. Applicants and admissions for six largest departments. Treatment A=male, B=female, success=admitted.</t>
  </si>
  <si>
    <t>researcher-bickel</t>
  </si>
  <si>
    <t>rosiglitazone-mi-pool-2007</t>
  </si>
  <si>
    <t>Rosiglitazone MI: Naive Pool Paradox (Nissen 2007 aggregate)</t>
  </si>
  <si>
    <t>Nissen SE, Wolski K. NEJM 2007. Two trial-allocation strata constructed to match corpus MI totals (86/15565 rosi, 72/12282 control) and Shao 2008 pooled inversion.</t>
  </si>
  <si>
    <t>https://doi.org/10.1056/NEJMoa072761</t>
  </si>
  <si>
    <t>ironman-gender-age-2010</t>
  </si>
  <si>
    <t>Triathlon On-Time Finish: Sex by Age Cohort</t>
  </si>
  <si>
    <t>Classic Simpson structure (Moore &amp; McCabe). Treatment A=male, B=female, success=on-time finish.</t>
  </si>
  <si>
    <t>hanley-power-lines-2000</t>
  </si>
  <si>
    <t>Power Lines and Childhood Leukemia: Five-Study Meta-Analysis</t>
  </si>
  <si>
    <t>Hanley JA, Theriault G. Epidemiology 2000. Five studies, ≤100m exposure. A=exposed B=unexposed, success=leukemia case.</t>
  </si>
  <si>
    <t>https://doi.org/10.1097/00001648-200009000-00022</t>
  </si>
  <si>
    <t>coffee-smoking-lung-1968</t>
  </si>
  <si>
    <t>Coffee and Lung Cancer by Smoking Status</t>
  </si>
  <si>
    <t>Classic confounding structure (Cornfield / epidemiology textbooks). A=coffee drinker, success=lung cancer case.</t>
  </si>
  <si>
    <t>panama-sweden-mortality-1975</t>
  </si>
  <si>
    <t>Panama vs Sweden Survival by Age Group (Rothman)</t>
  </si>
  <si>
    <t>Rothman KJ. Modern Epidemiology 2nd ed. Age-composition paradox. A=Panama B=Sweden, success=survival.</t>
  </si>
  <si>
    <t>hrt-whi-2002</t>
  </si>
  <si>
    <t>HRT and CHD: Observational vs WHI RCT Design Reversal</t>
  </si>
  <si>
    <t>Writing Group for the WHI Investigators. JAMA 2002. Strata = study design (observational vs RCT). A=HRT, B=control/comparator, success=CHD event-free survival.</t>
  </si>
  <si>
    <t>https://doi.org/10.1001/jama.288.3.321</t>
  </si>
  <si>
    <t>obesity-paradox-hf</t>
  </si>
  <si>
    <t>Obesity Paradox in Heart Failure Patients</t>
  </si>
  <si>
    <t>Gruberg L et al. Am Heart J 2003. A=obese BMI≥30, B=normal weight, success=survival. Strata: HF status.</t>
  </si>
  <si>
    <t>https://pubmed.ncbi.nlm.nih.gov/12766738/</t>
  </si>
  <si>
    <t>dialysis-bmi-survival</t>
  </si>
  <si>
    <t>Dialysis BMI Survival: Reverse Epidemiology</t>
  </si>
  <si>
    <t>Kalantar-Zadeh K et al. Kidney Int 2003. A=obese, B=normal weight, success=survival. Strata: ESRD/dialysis status.</t>
  </si>
  <si>
    <t>https://pubmed.ncbi.nlm.nih.gov/12776250/</t>
  </si>
  <si>
    <t>sick-quitter-alcohol</t>
  </si>
  <si>
    <t>Sick-Quitter Alcohol J-Curve: Abstainer Reference Bias</t>
  </si>
  <si>
    <t>Shaper AG et al. BMJ 1988. A=moderate drinker, B=abstainer, success=survival. Strata partition abstainer composition.</t>
  </si>
  <si>
    <t>https://pubmed.ncbi.nlm.nih.gov/3143436/</t>
  </si>
  <si>
    <t>flu-vaccine-elderly-mortality</t>
  </si>
  <si>
    <t>Flu Vaccine and Elderly Mortality: Frailty Selection Paradox</t>
  </si>
  <si>
    <t>Jackson LA et al. Int J Epidemiol 2006. A=vaccinated, B=unvaccinated, success=survival (inverse of mortality). Strata: age group.</t>
  </si>
  <si>
    <t>https://pubmed.ncbi.nlm.nih.gov/16338918/</t>
  </si>
  <si>
    <t>covid-italy-china-cfr-2020</t>
  </si>
  <si>
    <t>COVID-19 CFR: Italy vs China by Age (von Kügelgen 2021)</t>
  </si>
  <si>
    <t>von Kügelgen J et al. Nature 2021. A=Italy, B=China, success=survival. Age-stratified CFR reversal from population age structure.</t>
  </si>
  <si>
    <t>https://doi.org/10.1038/s41586-021-03694-z</t>
  </si>
  <si>
    <t>israel-covid-severe-2021</t>
  </si>
  <si>
    <t>Israel COVID-19 Severe Disease: Vaccinated vs Unvaccinated by Age (2021)</t>
  </si>
  <si>
    <t>Goldberg Y et al. NEJM 2021. A=vaccinated, B=unvaccinated, success=non-severe outcome. Independent from phe-covid-2021 UK dataset.</t>
  </si>
  <si>
    <t>https://doi.org/10.1056/NEJMoa2111456</t>
  </si>
  <si>
    <t>cochran-smoking-1968</t>
  </si>
  <si>
    <t>Smoking and Mortality by Age (Cochran / Surgeon General 1964)</t>
  </si>
  <si>
    <t>Cochran WG. US Surgeon General Report 1964 Chapter 8. A=smoker, B=non-smoker, success=survival. Age composition produces crude reversal.</t>
  </si>
  <si>
    <t>https://www.unav.edu/documents/16089811/16155256/Smoking+and+Health+the+Surgeon+General+Report+1964.pdf</t>
  </si>
  <si>
    <t>healthy-worker-mortality</t>
  </si>
  <si>
    <t>Healthy Worker Effect: Occupational Mortality Selection</t>
  </si>
  <si>
    <t>Monson RR. Occupational Epidemiology 1990. A=employed, B=unemployed/general pop, success=survival. Selection at hire.</t>
  </si>
  <si>
    <t>compas-recidivism-base</t>
  </si>
  <si>
    <t>COMPAS Recidivism: Base-Rate Fairness Paradox</t>
  </si>
  <si>
    <t>Chouldechova A. Big Data 2017; ProPublica COMPAS analysis. A=COMPAS high-risk prediction, B=low-risk, success=no recidivism.</t>
  </si>
  <si>
    <t>https://arxiv.org/abs/1610.07524</t>
  </si>
  <si>
    <t>researcher-chouldechova</t>
  </si>
  <si>
    <t>us-wage-composition-stagnation</t>
  </si>
  <si>
    <t>US Wage Stagnation: Composition-Over-Time Paradox</t>
  </si>
  <si>
    <t>Autor DH. NBER working paper series. A=2018 cohort, B=1978 cohort, success=above-median wage. Strata: education group.</t>
  </si>
  <si>
    <t>https://www.nber.org/papers/w24400</t>
  </si>
  <si>
    <t>borjas-immigrant-cohort</t>
  </si>
  <si>
    <t>Borjas Immigrant Earnings: Cohort vs Cross-Section Reversal</t>
  </si>
  <si>
    <t>Borjas GJ. J Labor Econ 1985. A=recent immigrant, B=native-born, success=above-poverty earnings.</t>
  </si>
  <si>
    <t>https://doi.org/10.1086/298065</t>
  </si>
  <si>
    <t>robinson-1950-literacy</t>
  </si>
  <si>
    <t>Robinson 1950: Literacy vs Nativity Ecological Fallacy</t>
  </si>
  <si>
    <t>Robinson WS. Am Sociol Rev 1950. A=foreign-born, B=native-born, success=literate. State-level aggregation strata.</t>
  </si>
  <si>
    <t>https://doi.org/10.2307/2087176</t>
  </si>
  <si>
    <t>ab-test-traffic-mix</t>
  </si>
  <si>
    <t>A/B Test Reversal from Traffic Segment Mix Shift (Kohavi)</t>
  </si>
  <si>
    <t>Kohavi R et al. Trustworthy Online Controlled Experiments 2020. A=variant B (treatment), B=variant A (control), success=conversion.</t>
  </si>
  <si>
    <t>https://www.cambridge.org/core/books/trustworthy-online-controlled-experiments/</t>
  </si>
  <si>
    <t>recsys-offline-eval</t>
  </si>
  <si>
    <t>Recommender Offline Evaluation: Exposure Popularity Bias</t>
  </si>
  <si>
    <t>Ding Y et al. arXiv:2104.08912. A=new model, B=baseline, success=accurate prediction. Strata by item popularity.</t>
  </si>
  <si>
    <t>https://arxiv.org/abs/2104.08912</t>
  </si>
  <si>
    <t>collider-only-synthetic</t>
  </si>
  <si>
    <t>Collider-Only Synthetic Control (Zero Confounding)</t>
  </si>
  <si>
    <t>Synthetic structural control for loop-58. Treatment assignment independent of confounder; reversal purely from collider conditioning.</t>
  </si>
  <si>
    <t>noncollapsibility-or-synthetic</t>
  </si>
  <si>
    <t>Non-Collapsibility OR Synthetic (Risk Difference Does Not Reverse)</t>
  </si>
  <si>
    <t>Synthetic structural control for loop-58. Odds ratio reverses from non-collapsibility alone; risk difference constant across strata and pooled.</t>
  </si>
  <si>
    <t>trauma-center-mortality</t>
  </si>
  <si>
    <t>Trauma Center vs Non-Trauma Center Mortality by Injury Severity</t>
  </si>
  <si>
    <t>Nathens AB et al. NEJM 2006. A=trauma center, B=non-trauma center, success=survival. Approximate cell counts from published severity-stratified mortality pattern (Table 2 structure).</t>
  </si>
  <si>
    <t>https://pubmed.ncbi.nlm.nih.gov/16687711/</t>
  </si>
  <si>
    <t>surgeon-volume-mortality</t>
  </si>
  <si>
    <t>Surgeon Procedure Volume and Operative Mortality by Baseline Risk</t>
  </si>
  <si>
    <t>Birkmeyer JD et al. NEJM 2003. A=high-volume surgeon, B=low-volume, success=survival. Approximate counts consistent with risk-stratified volume-outcome tables.</t>
  </si>
  <si>
    <t>https://pubmed.ncbi.nlm.nih.gov/12531755/</t>
  </si>
  <si>
    <t>mammography-length-bias</t>
  </si>
  <si>
    <t>Screen-Detected vs Symptomatic Breast Cancer Survival (Length Bias)</t>
  </si>
  <si>
    <t>Duffy SW et al. Lancet Oncol 2002. A=screen-detected, B=symptomatic, success=survival at 5y. Approximate case counts from lead-time/length-bias teaching structure.</t>
  </si>
  <si>
    <t>https://pubmed.ncbi.nlm.nih.gov/12441272/</t>
  </si>
  <si>
    <t>cabg-vs-pci-severity</t>
  </si>
  <si>
    <t>CABG vs PCI Revascularization by Coronary Disease Severity</t>
  </si>
  <si>
    <t>Hannan EL et al. JACC 2009. A=CABG, B=PCI, success=survival. Approximate severity-stratified counts from NY State cardiac surgery registry summaries.</t>
  </si>
  <si>
    <t>https://pubmed.ncbi.nlm.nih.gov/19161879/</t>
  </si>
  <si>
    <t>tolbutamide-ugdp-1970</t>
  </si>
  <si>
    <t>Tolbutamide UGDP Diabetes Trial: Center Baseline Risk Heterogeneity</t>
  </si>
  <si>
    <t>UGDP Investigators. Diabetes 1970. A=tolbutamide, B=placebo, success=survival (no CV death). Approximate center-risk strata reflecting contested multi-center baseline imbalance.</t>
  </si>
  <si>
    <t>https://pubmed.ncbi.nlm.nih.gov/4912970/</t>
  </si>
  <si>
    <t>snow-cholera-water-1855</t>
  </si>
  <si>
    <t>Snow 1855: Cholera Mortality by Water Company Supply</t>
  </si>
  <si>
    <t>Snow J. On the Mode of Communication of Cholera 1855; Table XII. A=Southwark &amp; Vauxhall supply, B=Lambeth supply, success=survival (no cholera death). Counts scaled from published 1854 household mortality rates (98 vs 5 deaths per 10,000).</t>
  </si>
  <si>
    <t>https://johnsnow.matrix.msu.edu/</t>
  </si>
  <si>
    <t>seatbelt-crash-severity</t>
  </si>
  <si>
    <t>Seatbelt Use and Crash Survival (Selection on Crash Involvement)</t>
  </si>
  <si>
    <t>Hertz E et al. Accid Anal Prev 1995. A=seatbelt used, B=not used, success=survival. Approximate counts from selection-on-crash severity structure.</t>
  </si>
  <si>
    <t>https://pubmed.ncbi.nlm.nih.gov/7830625/</t>
  </si>
  <si>
    <t>measles-outbreak-vaccinated</t>
  </si>
  <si>
    <t>Measles Outbreak: Vaccinated Case Share (Base-Rate Illusion)</t>
  </si>
  <si>
    <t>CDC MMWR measles outbreak teaching examples; high coverage base-rate structure. A=vaccinated, B=unvaccinated, success=measles case (attack). Counts scaled from 95% coverage / 97% VE teaching arithmetic.</t>
  </si>
  <si>
    <t>https://www.cdc.gov/measles/about/index.html</t>
  </si>
  <si>
    <t>air-pollution-mortality-city</t>
  </si>
  <si>
    <t>Air Pollution and Mortality: Within-City vs Across-City Comparison</t>
  </si>
  <si>
    <t>Dominici F et al. JAMA 2006. A=high PM2.5 city, B=low PM2.5 city, success=annual survival. Approximate two-city age-composition structure from multi-city mortality literature.</t>
  </si>
  <si>
    <t>https://pubmed.ncbi.nlm.nih.gov/16968836/</t>
  </si>
  <si>
    <t>tb-treatment-resistance</t>
  </si>
  <si>
    <t>TB Treatment Success by Drug-Resistance Stratum</t>
  </si>
  <si>
    <t>WHO Global TB Report aggregated outcomes. A=new regimen, B=standard regimen, success=treatment success. Approximate resistance-stratified success counts from published MDR-TB cohort summaries.</t>
  </si>
  <si>
    <t>https://www.who.int/teams/global-programme-on-tuberculosis-and-lung-health</t>
  </si>
  <si>
    <t>hospital-mortality-readmission</t>
  </si>
  <si>
    <t>Hospital Mortality Under Readmission-Penalty Era (Case-Mix Distortion)</t>
  </si>
  <si>
    <t>CMS Hospital Readmissions Reduction Program policy evaluations. A=penalty hospital, B=non-penalty, success=survival. Approximate case-mix strata from HRRP case-mix distortion literature.</t>
  </si>
  <si>
    <t>https://www.cms.gov/medicare/payment/prospective-payment-systems/acute-inpatient-pps/readmissions-reduction-program</t>
  </si>
  <si>
    <t>nypd-stop-frisk-hitrate</t>
  </si>
  <si>
    <t>NYPD Stop-and-Frisk Hit Rate by Precinct Base Rate (Ridgeway)</t>
  </si>
  <si>
    <t>Ridgeway G. RAND MG-815 2007. A=precinct group A, B=precinct group B, success=contraband hit (positive stop). Approximate hit-rate tables from RAND benchmarking paradox structure.</t>
  </si>
  <si>
    <t>https://www.rand.org/pubs/monographs/MG815.html</t>
  </si>
  <si>
    <t>sentencing-offense-type</t>
  </si>
  <si>
    <t>Sentencing Disparity by Offense-Type Mix</t>
  </si>
  <si>
    <t>USSC sentencing data summaries. A=Group A (policy target), B=Group B, success=harsh sentence imposed. Approximate offense-mix strata from federal sentencing disparity reports.</t>
  </si>
  <si>
    <t>https://www.ussc.gov/</t>
  </si>
  <si>
    <t>bail-risk-score</t>
  </si>
  <si>
    <t>Pretrial Detention by Risk Tier and Demographics</t>
  </si>
  <si>
    <t>Arnold Ventures PSA validation summaries. A=detained, B=released, success=rearrest (failure). Approximate risk-tier strata from pretrial risk assessment evaluations.</t>
  </si>
  <si>
    <t>https://www.arnoldventures.org/</t>
  </si>
  <si>
    <t>police-force-encounter</t>
  </si>
  <si>
    <t>Police Use-of-Force by Stop/Encounter Conditioning</t>
  </si>
  <si>
    <t>Fryer RG. J Polit Econ 2019. A=force used, B=no force, success= adverse outcome proxy. Approximate encounter-conditioned strata from selection-on-stop structure.</t>
  </si>
  <si>
    <t>https://pubmed.ncbi.nlm.nih.gov/31397656/</t>
  </si>
  <si>
    <t>uc-systemwide-admissions</t>
  </si>
  <si>
    <t>UC Systemwide Admissions by Campus/Major Selectivity</t>
  </si>
  <si>
    <t>UC Office of the President admissions statistics. A=Group A, B=Group B, success=admitted. Approximate campus/major selectivity strata extending Berkeley paradox structure.</t>
  </si>
  <si>
    <t>https://www.universityofcalifornia.edu/about-us/information-center/admissions-by-campus</t>
  </si>
  <si>
    <t>teacher-vam-prior-achievement</t>
  </si>
  <si>
    <t>Teacher Value-Added by Incoming Student Achievement Stratum</t>
  </si>
  <si>
    <t>Ehlert M et al. Educ Eval Policy Anal 2013. A=Teacher A, B=Teacher B, success=student passes proficiency. Approximate non-random assignment to teacher by prior achievement.</t>
  </si>
  <si>
    <t>https://pubmed.ncbi.nlm.nih.gov/23409418/</t>
  </si>
  <si>
    <t>naep-state-demographics</t>
  </si>
  <si>
    <t>NAEP State Proficiency by State Demographic Composition</t>
  </si>
  <si>
    <t>NAEP Nation's Report Card state assessments. A=State A, B=State B, success=proficient. Approximate demographic-composition strata extending SAT-by-state paradox.</t>
  </si>
  <si>
    <t>https://www.nationsreportcard.gov/</t>
  </si>
  <si>
    <t>college-grad-rate-selectivity</t>
  </si>
  <si>
    <t>College Graduation Rate vs Selectivity by Incoming Preparation</t>
  </si>
  <si>
    <t>NCES IPEDS graduation rates. A=selective college, B=less selective, success=graduation. Approximate preparation-stratified graduation counts.</t>
  </si>
  <si>
    <t>https://nces.ed.gov/ipeds/</t>
  </si>
  <si>
    <t>star-class-size</t>
  </si>
  <si>
    <t>Tennessee STAR Class-Size Experiment (Near-Neutral Control)</t>
  </si>
  <si>
    <t>Mosteller F / STAR experiment summaries. A=small class, B=regular class, success=passes achievement threshold. Approximate K-3 achievement counts; small positive effect, minimal allocation distortion.</t>
  </si>
  <si>
    <t>https://www.heros-inc.org/star/</t>
  </si>
  <si>
    <t>nba-shooting-shot-mix</t>
  </si>
  <si>
    <t>NBA Team Shooting: Two-Point vs Three-Point Mix Paradox</t>
  </si>
  <si>
    <t>Classic NBA Simpson example (MIT/Stanford teaching sets). A=Player/team A, B=B, success=made shot. Two-point vs three-point attempt mix drives pooled FG% reversal.</t>
  </si>
  <si>
    <t>https://en.wikipedia.org/wiki/Simpson%27s_paradox</t>
  </si>
  <si>
    <t>pitcher-era-ballpark</t>
  </si>
  <si>
    <t>Pitcher ERA by Home Ballpark Factor</t>
  </si>
  <si>
    <t>FanGraphs park-factor teaching examples. A=Pitcher A, B=Pitcher B, success=outs recorded (inning success). Approximate hitter-friendly vs pitcher-friendly park strata.</t>
  </si>
  <si>
    <t>https://www.fangraphs.com/library/misc/park-factors/</t>
  </si>
  <si>
    <t>nfl-completion-depth</t>
  </si>
  <si>
    <t>NFL Completion Rate by Pass Depth Mix</t>
  </si>
  <si>
    <t>NFL Next Gen Stats pass-depth summaries. A=QB A, B=QB B, success=completed pass. Approximate short vs deep throw mix structure.</t>
  </si>
  <si>
    <t>https://nextgenstats.nfl.com/</t>
  </si>
  <si>
    <t>field-goal-distance</t>
  </si>
  <si>
    <t>NFL Field Goal Accuracy by Attempt Distance Distribution</t>
  </si>
  <si>
    <t>Pro-Football-Reference kicker splits. A=Kicker A, B=Kicker B, success=made FG. Approximate distance-mix strata from published FG% by distance tables.</t>
  </si>
  <si>
    <t>https://www.pro-football-reference.com/</t>
  </si>
  <si>
    <t>golf-scoring-course</t>
  </si>
  <si>
    <t>PGA Scoring Average by Course Difficulty Mix</t>
  </si>
  <si>
    <t>PGA Tour course scoring statistics. A=Golfer A, B=Golfer B, success=under-par round. Approximate easy vs difficult course mix from tour schedule splits.</t>
  </si>
  <si>
    <t>https://www.pgatour.com/stats</t>
  </si>
  <si>
    <t>minimum-wage-region</t>
  </si>
  <si>
    <t>Minimum Wage Employment Effects by Regional Labor Market</t>
  </si>
  <si>
    <t>Dube A et al. Rev Econ Stat 2010 border-county design summaries. A=raised minimum wage, B=comparison, success=employment retained. Approximate regional labor-market strata.</t>
  </si>
  <si>
    <t>https://pubmed.ncbi.nlm.nih.gov/20496667/</t>
  </si>
  <si>
    <t>returns-to-education-field</t>
  </si>
  <si>
    <t>Returns to Education by Field of Study</t>
  </si>
  <si>
    <t>Carnevale AP Georgetown CEW earnings reports. A=college grad, B=non-graduate, success=above-median earnings. Approximate field-of-study strata (STEM vs non-STEM).</t>
  </si>
  <si>
    <t>https://cew.georgetown.edu/cew-reports/</t>
  </si>
  <si>
    <t>unemployment-education-cycle</t>
  </si>
  <si>
    <t>Aggregate Unemployment and Education Composition Over the Cycle</t>
  </si>
  <si>
    <t>BLS Current Population Survey summaries. A=current year, B=prior year, success=employed. Approximate recession education-composition shift structure.</t>
  </si>
  <si>
    <t>costa-rica-us-life-expectancy</t>
  </si>
  <si>
    <t>Costa Rica vs US Life Expectancy by Age Group</t>
  </si>
  <si>
    <t>Rosero-Bixby L. Popul Dev Rev 2004. A=Costa Rica, B=US, success=survival. Approximate age-stratified mortality from cross-national standardization examples.</t>
  </si>
  <si>
    <t>https://pubmed.ncbi.nlm.nih.gov/15244519/</t>
  </si>
  <si>
    <t>fertility-income-country</t>
  </si>
  <si>
    <t>Fertility vs Income: Within-Country vs Cross-Country Paradox</t>
  </si>
  <si>
    <t>World Bank WDI teaching examples. A=high-income group, B=low-income group, success=below-replacement fertility. Approximate within- vs across-country strata.</t>
  </si>
  <si>
    <t>https://data.worldbank.org/</t>
  </si>
  <si>
    <t>religiosity-happiness-country</t>
  </si>
  <si>
    <t>Religiosity and Happiness Confounded by National Wealth</t>
  </si>
  <si>
    <t>World Values Survey / Gallup World Poll summaries. A=religious, B=non-religious, success=high life satisfaction. Approximate country-wealth strata.</t>
  </si>
  <si>
    <t>https://www.worldvaluessurvey.org/</t>
  </si>
  <si>
    <t>voter-turnout-education-state</t>
  </si>
  <si>
    <t>Voter Turnout by Education Across States</t>
  </si>
  <si>
    <t>CPS Voting and Registration Supplement. A=high education, B=lower education, success=voted. Approximate state demographic composition strata.</t>
  </si>
  <si>
    <t>https://www.census.gov/topics/public-sector/voting.html</t>
  </si>
  <si>
    <t>ad-ctr-platform-mix</t>
  </si>
  <si>
    <t>Ad Click-Through Rate by Platform Mix</t>
  </si>
  <si>
    <t>Industry A/B testing case studies (Kohavi-style). A=creative A, B=creative B, success=click. Approximate mobile vs desktop platform mix reversal.</t>
  </si>
  <si>
    <t>TreatmentId</t>
  </si>
  <si>
    <t>Study</t>
  </si>
  <si>
    <t>TreatmentLabel</t>
  </si>
  <si>
    <t>Description</t>
  </si>
  <si>
    <t>TotalSuccesses</t>
  </si>
  <si>
    <t>PooledSuccessRate</t>
  </si>
  <si>
    <t>kidney-1986-A</t>
  </si>
  <si>
    <t>A</t>
  </si>
  <si>
    <t>Open surgery / percutaneous nephrolithotomy (PCNL) — the more invasive procedure, used preferentially for large stones.</t>
  </si>
  <si>
    <t>kidney-1986-B</t>
  </si>
  <si>
    <t>B</t>
  </si>
  <si>
    <t>Extracorporeal shock wave lithotripsy (ESWL) — the less invasive procedure, used more for small stones.</t>
  </si>
  <si>
    <t>kidney-balanced-A</t>
  </si>
  <si>
    <t>Open surgery / PCNL — same per-stratum rates as kidney-1986 (small:93.1%, large:73.0%) but now allocated equally (50%) to each stratum. Counterfactual treatment A.</t>
  </si>
  <si>
    <t>kidney-balanced-B</t>
  </si>
  <si>
    <t>ESWL — same per-stratum rates as kidney-1986 (small:86.7%, large:68.8%) but allocated equally (50%) to each stratum. Counterfactual treatment B.</t>
  </si>
  <si>
    <t>balanced-synthetic-A</t>
  </si>
  <si>
    <t>Synthetic treatment A — 60% success rate in both strata. Allocated equally (50%) to each stratum.</t>
  </si>
  <si>
    <t>balanced-synthetic-B</t>
  </si>
  <si>
    <t>Synthetic treatment B — 50% success rate in both strata. Allocated equally (50%) to each stratum.</t>
  </si>
  <si>
    <t>berkeley-1973-male</t>
  </si>
  <si>
    <t>Male applicants (labeled A). Pooled admission rate appears higher than female.</t>
  </si>
  <si>
    <t>berkeley-1973-female</t>
  </si>
  <si>
    <t>Female applicants (labeled B). Pooled admission rate appears lower, but per-department rates are equal or higher in most departments.</t>
  </si>
  <si>
    <t>compressed-synthetic-A</t>
  </si>
  <si>
    <t>Treatment A — 70% success rate in hard stratum, 90% in easy stratum. Over-allocated to the hard stratum (60% of A cases go to hard). A wins in both strata and also wins pooled, but pooled margin is compressed by the allocation imbalance.</t>
  </si>
  <si>
    <t>compressed-synthetic-B</t>
  </si>
  <si>
    <t>Treatment B — 60% success rate in hard stratum, 80% in easy stratum. Over-allocated to the easy stratum (60% of B cases go to easy). B loses in both strata and also loses pooled, but looks better than it would under equal allocation.</t>
  </si>
  <si>
    <t>reintjes-2000-A</t>
  </si>
  <si>
    <t>Antibiotic prophylaxis given. Within every stratum prophylaxis patients have HIGHER UTI rates than controls. Aggregate inverts due to confounding by hospital incidence level.</t>
  </si>
  <si>
    <t>reintjes-2000-B</t>
  </si>
  <si>
    <t>No antibiotic prophylaxis (control). Within every stratum controls have LOWER UTI rates. Aggregate inverts: controls appear to have higher rates pooled.</t>
  </si>
  <si>
    <t>radelet-1981-A</t>
  </si>
  <si>
    <t>White defendant. In both victim-race strata, white defendants are LESS likely to receive the death penalty than black defendants. Aggregate inverts: white defendants appear more likely overall due to victim-race confounding.</t>
  </si>
  <si>
    <t>radelet-1981-B</t>
  </si>
  <si>
    <t>Black defendant. In both victim-race strata, black defendants are MORE likely to receive the death penalty. Aggregate inverts: black defendants are concentrated in black-victim cases (low death-sentence rate), pulling their aggregate rate below white defendants.</t>
  </si>
  <si>
    <t>jeter-justice-1997-A</t>
  </si>
  <si>
    <t>Derek Jeter (New York Yankees). Higher combined batting average (.300) despite losing to Justice in every individual season. Bulk at-bats in stronger years (1996: 582 AB, 1997: 654 AB) pull his combined average up.</t>
  </si>
  <si>
    <t>jeter-justice-1997-B</t>
  </si>
  <si>
    <t>David Justice (Atlanta Braves 1995-96, Cleveland Indians 1997). Higher batting average in each individual year (1995: .253, 1996: .321, 1997: .329) but lower combined (.298). Bulk at-bats in his weakest year (1995: 411 AB at .253) drag his combined average down.</t>
  </si>
  <si>
    <t>appleton-1996-A</t>
  </si>
  <si>
    <t>Smoker at baseline (1972-74). Higher mortality within every age stratum. Pooled mortality appears LOWER (23.9%) than non-smokers (31.4%) — the reversal. Mechanism: smokers were younger on average at baseline, and younger women have lower 20-year mortality regardless of smoking status.</t>
  </si>
  <si>
    <t>appleton-1996-B</t>
  </si>
  <si>
    <t>Non-smoker at baseline. Lower mortality within every age stratum. Pooled mortality appears HIGHER (31.4%) — misleadingly so. Non-smokers were older on average (survival bias: older women who reached the survey more likely to be lifelong non-smokers), concentrating them in high-mortality age strata.</t>
  </si>
  <si>
    <t>phe-covid-2021-A</t>
  </si>
  <si>
    <t>Vaccinated (includes partially vaccinated). Within every age stratum, vaccinated individuals have a LOWER COVID-19 Delta death rate than unvaccinated. Pooled death rate appears HIGHER (0.41%) than unvaccinated (0.17%) because vaccinated people were overwhelmingly older — 23% of vaccinated are 50+ vs only 2.3% of unvaccinated, and the 50+ group has ~100× higher CFR.</t>
  </si>
  <si>
    <t>phe-covid-2021-B</t>
  </si>
  <si>
    <t>Unvaccinated. Within every age stratum, unvaccinated individuals have a HIGHER COVID-19 Delta death rate than vaccinated. Pooled death rate appears LOWER (0.17%) — a statistical artifact of the unvaccinated cohort being overwhelmingly young (97.7% under 50).</t>
  </si>
  <si>
    <t>rogers-nicewander-1988-A</t>
  </si>
  <si>
    <t>Ron Fairly — higher combined batting average (.333) despite lower rate in each World Series individually.</t>
  </si>
  <si>
    <t>rogers-nicewander-1988-B</t>
  </si>
  <si>
    <t>Jim Lefebvre — wins each series split but lower combined average (.273) due to fewer at-bats in strong series.</t>
  </si>
  <si>
    <t>lucente-baseball-1995-A</t>
  </si>
  <si>
    <t>Player A — higher combined average despite losing each half-season split.</t>
  </si>
  <si>
    <t>lucente-baseball-1995-B</t>
  </si>
  <si>
    <t>Player B — wins each half individually, loses combined due to AB allocation.</t>
  </si>
  <si>
    <t>wilson-batting-2000-A</t>
  </si>
  <si>
    <t>Batter A — higher combined hit rate.</t>
  </si>
  <si>
    <t>wilson-batting-2000-B</t>
  </si>
  <si>
    <t>Batter B — wins each inning-half stratum, loses pooled.</t>
  </si>
  <si>
    <t>clemens-bly-1998-A</t>
  </si>
  <si>
    <t>Pitcher/hitter A — higher combined success rate.</t>
  </si>
  <si>
    <t>clemens-bly-1998-B</t>
  </si>
  <si>
    <t>Pitcher/hitter B — wins home and away splits individually.</t>
  </si>
  <si>
    <t>open-university-1975-A</t>
  </si>
  <si>
    <t>Male students (treatment A).</t>
  </si>
  <si>
    <t>open-university-1975-B</t>
  </si>
  <si>
    <t>Female students (treatment B).</t>
  </si>
  <si>
    <t>pisa-immigration-2015-A</t>
  </si>
  <si>
    <t>Native-born students (A).</t>
  </si>
  <si>
    <t>pisa-immigration-2015-B</t>
  </si>
  <si>
    <t>Immigrant students (B).</t>
  </si>
  <si>
    <t>wainer-sat-states-1992-A</t>
  </si>
  <si>
    <t>High SAT participation states.</t>
  </si>
  <si>
    <t>wainer-sat-states-1992-B</t>
  </si>
  <si>
    <t>Low SAT participation states.</t>
  </si>
  <si>
    <t>folic-acid-neural-tube-1991-A</t>
  </si>
  <si>
    <t>Multivitamin with folic acid (treatment A).</t>
  </si>
  <si>
    <t>folic-acid-neural-tube-1991-B</t>
  </si>
  <si>
    <t>Trace-element control supplement (treatment B).</t>
  </si>
  <si>
    <t>steroid-asthma-severity-A</t>
  </si>
  <si>
    <t>Inhaled corticosteroid therapy.</t>
  </si>
  <si>
    <t>steroid-asthma-severity-B</t>
  </si>
  <si>
    <t>Placebo / usual care without ICS.</t>
  </si>
  <si>
    <t>kidney-dialysis-facility-1990-A</t>
  </si>
  <si>
    <t>High-volume dialysis facility.</t>
  </si>
  <si>
    <t>kidney-dialysis-facility-1990-B</t>
  </si>
  <si>
    <t>Low-volume dialysis facility.</t>
  </si>
  <si>
    <t>warfarin-bleeding-age-A</t>
  </si>
  <si>
    <t>Warfarin anticoagulation.</t>
  </si>
  <si>
    <t>warfarin-bleeding-age-B</t>
  </si>
  <si>
    <t>No anticoagulation / aspirin.</t>
  </si>
  <si>
    <t>diabetes-metformin-bmi-A</t>
  </si>
  <si>
    <t>Metformin monotherapy.</t>
  </si>
  <si>
    <t>diabetes-metformin-bmi-B</t>
  </si>
  <si>
    <t>Sulfonylurea monotherapy.</t>
  </si>
  <si>
    <t>oncology-trial-stage-A</t>
  </si>
  <si>
    <t>Standard chemotherapy regimen A.</t>
  </si>
  <si>
    <t>oncology-trial-stage-B</t>
  </si>
  <si>
    <t>Alternative regimen B.</t>
  </si>
  <si>
    <t>exercise-cholesterol-age-A</t>
  </si>
  <si>
    <t>Regular exercise program.</t>
  </si>
  <si>
    <t>exercise-cholesterol-age-B</t>
  </si>
  <si>
    <t>Sedentary / no exercise program.</t>
  </si>
  <si>
    <t>red-meat-colorectal-bmi-A</t>
  </si>
  <si>
    <t>High red meat consumption.</t>
  </si>
  <si>
    <t>red-meat-colorectal-bmi-B</t>
  </si>
  <si>
    <t>Low red meat consumption.</t>
  </si>
  <si>
    <t>folic-fortification-2000-A</t>
  </si>
  <si>
    <t>Post-fortification cohort (fortified grain exposure).</t>
  </si>
  <si>
    <t>folic-fortification-2000-B</t>
  </si>
  <si>
    <t>Pre-fortification comparison cohort.</t>
  </si>
  <si>
    <t>north-carolina-death-penalty-1990-A</t>
  </si>
  <si>
    <t>White defendant.</t>
  </si>
  <si>
    <t>north-carolina-death-penalty-1990-B</t>
  </si>
  <si>
    <t>Black defendant.</t>
  </si>
  <si>
    <t>housing-discrimination-audit-A</t>
  </si>
  <si>
    <t>Minority paired tester (treatment A).</t>
  </si>
  <si>
    <t>housing-discrimination-audit-B</t>
  </si>
  <si>
    <t>White paired tester (treatment B).</t>
  </si>
  <si>
    <t>gender-pay-gap-industry-A</t>
  </si>
  <si>
    <t>Male workers.</t>
  </si>
  <si>
    <t>gender-pay-gap-industry-B</t>
  </si>
  <si>
    <t>Female workers.</t>
  </si>
  <si>
    <t>income-education-state-A</t>
  </si>
  <si>
    <t>College degree attainment (treatment A).</t>
  </si>
  <si>
    <t>income-education-state-B</t>
  </si>
  <si>
    <t>High school only (treatment B).</t>
  </si>
  <si>
    <t>florida-reef-fish-1994-A</t>
  </si>
  <si>
    <t>Gear type A (e.g. hook-and-line).</t>
  </si>
  <si>
    <t>florida-reef-fish-1994-B</t>
  </si>
  <si>
    <t>Gear type B (e.g. trawl).</t>
  </si>
  <si>
    <t>uc-irvine-admissions-1985-A</t>
  </si>
  <si>
    <t>Male applicants.</t>
  </si>
  <si>
    <t>uc-irvine-admissions-1985-B</t>
  </si>
  <si>
    <t>Female applicants.</t>
  </si>
  <si>
    <t>cesarean-birth-weight-2006-A</t>
  </si>
  <si>
    <t>Cephalic vertex presentation (A).</t>
  </si>
  <si>
    <t>cesarean-birth-weight-2006-B</t>
  </si>
  <si>
    <t>Non-cephalic presentation (B).</t>
  </si>
  <si>
    <t>schizophrenia-antipsychotic-A</t>
  </si>
  <si>
    <t>Second-generation antipsychotic (A).</t>
  </si>
  <si>
    <t>schizophrenia-antipsychotic-B</t>
  </si>
  <si>
    <t>First-generation antipsychotic (B).</t>
  </si>
  <si>
    <t>berkeley-six-dept-1973-A</t>
  </si>
  <si>
    <t>berkeley-six-dept-1973-B</t>
  </si>
  <si>
    <t>rosiglitazone-mi-pool-2007-A</t>
  </si>
  <si>
    <t>Rosiglitazone arm (treatment A).</t>
  </si>
  <si>
    <t>rosiglitazone-mi-pool-2007-B</t>
  </si>
  <si>
    <t>Control / comparator arm (treatment B).</t>
  </si>
  <si>
    <t>ironman-gender-age-2010-A</t>
  </si>
  <si>
    <t>Male finishers.</t>
  </si>
  <si>
    <t>ironman-gender-age-2010-B</t>
  </si>
  <si>
    <t>Female finishers.</t>
  </si>
  <si>
    <t>hanley-power-lines-2000-A</t>
  </si>
  <si>
    <t>Residing within 100m of high-voltage lines (exposed).</t>
  </si>
  <si>
    <t>hanley-power-lines-2000-B</t>
  </si>
  <si>
    <t>Not within 100m (unexposed).</t>
  </si>
  <si>
    <t>coffee-smoking-lung-1968-A</t>
  </si>
  <si>
    <t>Coffee drinkers.</t>
  </si>
  <si>
    <t>coffee-smoking-lung-1968-B</t>
  </si>
  <si>
    <t>Non-coffee drinkers.</t>
  </si>
  <si>
    <t>panama-sweden-mortality-1975-A</t>
  </si>
  <si>
    <t>Panama (country A).</t>
  </si>
  <si>
    <t>panama-sweden-mortality-1975-B</t>
  </si>
  <si>
    <t>Sweden (country B).</t>
  </si>
  <si>
    <t>hrt-whi-2002-A</t>
  </si>
  <si>
    <t>Hormone replacement therapy (HRT).</t>
  </si>
  <si>
    <t>hrt-whi-2002-B</t>
  </si>
  <si>
    <t>Control / placebo / no HRT.</t>
  </si>
  <si>
    <t>obesity-paradox-hf-A</t>
  </si>
  <si>
    <t>Obese (BMI ≥ 30).</t>
  </si>
  <si>
    <t>obesity-paradox-hf-B</t>
  </si>
  <si>
    <t>Normal weight.</t>
  </si>
  <si>
    <t>dialysis-bmi-survival-A</t>
  </si>
  <si>
    <t>Obese BMI.</t>
  </si>
  <si>
    <t>dialysis-bmi-survival-B</t>
  </si>
  <si>
    <t>Normal BMI.</t>
  </si>
  <si>
    <t>sick-quitter-alcohol-A</t>
  </si>
  <si>
    <t>Moderate drinkers (1–2 units/day).</t>
  </si>
  <si>
    <t>sick-quitter-alcohol-B</t>
  </si>
  <si>
    <t>Abstainers (includes sick quitters).</t>
  </si>
  <si>
    <t>flu-vaccine-elderly-mortality-A</t>
  </si>
  <si>
    <t>Influenza vaccinated.</t>
  </si>
  <si>
    <t>flu-vaccine-elderly-mortality-B</t>
  </si>
  <si>
    <t>Unvaccinated.</t>
  </si>
  <si>
    <t>covid-italy-china-cfr-2020-A</t>
  </si>
  <si>
    <t>Italy (country A).</t>
  </si>
  <si>
    <t>covid-italy-china-cfr-2020-B</t>
  </si>
  <si>
    <t>China (country B).</t>
  </si>
  <si>
    <t>israel-covid-severe-2021-A</t>
  </si>
  <si>
    <t>Vaccinated individuals.</t>
  </si>
  <si>
    <t>israel-covid-severe-2021-B</t>
  </si>
  <si>
    <t>Unvaccinated individuals.</t>
  </si>
  <si>
    <t>cochran-smoking-1968-A</t>
  </si>
  <si>
    <t>Current smokers.</t>
  </si>
  <si>
    <t>cochran-smoking-1968-B</t>
  </si>
  <si>
    <t>Non-smokers.</t>
  </si>
  <si>
    <t>healthy-worker-mortality-A</t>
  </si>
  <si>
    <t>Employed workers.</t>
  </si>
  <si>
    <t>healthy-worker-mortality-B</t>
  </si>
  <si>
    <t>General population / unemployed reference.</t>
  </si>
  <si>
    <t>compas-recidivism-base-A</t>
  </si>
  <si>
    <t>COMPAS high-risk classification.</t>
  </si>
  <si>
    <t>compas-recidivism-base-B</t>
  </si>
  <si>
    <t>COMPAS low-risk classification.</t>
  </si>
  <si>
    <t>us-wage-composition-stagnation-A</t>
  </si>
  <si>
    <t>2018 wage cohort (recent).</t>
  </si>
  <si>
    <t>us-wage-composition-stagnation-B</t>
  </si>
  <si>
    <t>1978 wage cohort (reference).</t>
  </si>
  <si>
    <t>borjas-immigrant-cohort-A</t>
  </si>
  <si>
    <t>Immigrant workers.</t>
  </si>
  <si>
    <t>borjas-immigrant-cohort-B</t>
  </si>
  <si>
    <t>Native-born workers.</t>
  </si>
  <si>
    <t>robinson-1950-literacy-A</t>
  </si>
  <si>
    <t>Foreign-born individuals.</t>
  </si>
  <si>
    <t>robinson-1950-literacy-B</t>
  </si>
  <si>
    <t>Native-born individuals.</t>
  </si>
  <si>
    <t>ab-test-traffic-mix-A</t>
  </si>
  <si>
    <t>Variant B (new feature).</t>
  </si>
  <si>
    <t>ab-test-traffic-mix-B</t>
  </si>
  <si>
    <t>Variant A (control).</t>
  </si>
  <si>
    <t>recsys-offline-eval-A</t>
  </si>
  <si>
    <t>New recommender model.</t>
  </si>
  <si>
    <t>recsys-offline-eval-B</t>
  </si>
  <si>
    <t>Baseline recommender model.</t>
  </si>
  <si>
    <t>collider-only-synthetic-A</t>
  </si>
  <si>
    <t>Treatment A (no confounding path).</t>
  </si>
  <si>
    <t>collider-only-synthetic-B</t>
  </si>
  <si>
    <t>Treatment B (no confounding path).</t>
  </si>
  <si>
    <t>noncollapsibility-or-synthetic-A</t>
  </si>
  <si>
    <t>Treatment A — constant RD advantage.</t>
  </si>
  <si>
    <t>noncollapsibility-or-synthetic-B</t>
  </si>
  <si>
    <t>Treatment B.</t>
  </si>
  <si>
    <t>trauma-center-mortality-A</t>
  </si>
  <si>
    <t>Trauma center care.</t>
  </si>
  <si>
    <t>trauma-center-mortality-B</t>
  </si>
  <si>
    <t>Non-trauma center care.</t>
  </si>
  <si>
    <t>surgeon-volume-mortality-A</t>
  </si>
  <si>
    <t>High-volume surgeon.</t>
  </si>
  <si>
    <t>surgeon-volume-mortality-B</t>
  </si>
  <si>
    <t>Low-volume surgeon.</t>
  </si>
  <si>
    <t>mammography-length-bias-A</t>
  </si>
  <si>
    <t>Screen-detected cancers.</t>
  </si>
  <si>
    <t>mammography-length-bias-B</t>
  </si>
  <si>
    <t>Symptomatic cancers.</t>
  </si>
  <si>
    <t>cabg-vs-pci-severity-A</t>
  </si>
  <si>
    <t>CABG revascularization.</t>
  </si>
  <si>
    <t>cabg-vs-pci-severity-B</t>
  </si>
  <si>
    <t>PCI revascularization.</t>
  </si>
  <si>
    <t>tolbutamide-ugdp-1970-A</t>
  </si>
  <si>
    <t>Tolbutamide arm.</t>
  </si>
  <si>
    <t>tolbutamide-ugdp-1970-B</t>
  </si>
  <si>
    <t>Placebo/control arm.</t>
  </si>
  <si>
    <t>snow-cholera-water-1855-A</t>
  </si>
  <si>
    <t>Southwark &amp; Vauxhall water supply.</t>
  </si>
  <si>
    <t>snow-cholera-water-1855-B</t>
  </si>
  <si>
    <t>Lambeth water supply.</t>
  </si>
  <si>
    <t>seatbelt-crash-severity-A</t>
  </si>
  <si>
    <t>Seatbelt used.</t>
  </si>
  <si>
    <t>seatbelt-crash-severity-B</t>
  </si>
  <si>
    <t>Seatbelt not used.</t>
  </si>
  <si>
    <t>measles-outbreak-vaccinated-A</t>
  </si>
  <si>
    <t>measles-outbreak-vaccinated-B</t>
  </si>
  <si>
    <t>air-pollution-mortality-city-A</t>
  </si>
  <si>
    <t>Higher PM2.5 city (A).</t>
  </si>
  <si>
    <t>air-pollution-mortality-city-B</t>
  </si>
  <si>
    <t>Lower PM2.5 city (B).</t>
  </si>
  <si>
    <t>tb-treatment-resistance-A</t>
  </si>
  <si>
    <t>Intensive/new regimen.</t>
  </si>
  <si>
    <t>tb-treatment-resistance-B</t>
  </si>
  <si>
    <t>Standard regimen.</t>
  </si>
  <si>
    <t>hospital-mortality-readmission-A</t>
  </si>
  <si>
    <t>HRRP-penalized hospital.</t>
  </si>
  <si>
    <t>hospital-mortality-readmission-B</t>
  </si>
  <si>
    <t>Non-penalized hospital.</t>
  </si>
  <si>
    <t>nypd-stop-frisk-hitrate-A</t>
  </si>
  <si>
    <t>High-stop precinct profile (A).</t>
  </si>
  <si>
    <t>nypd-stop-frisk-hitrate-B</t>
  </si>
  <si>
    <t>Lower-stop precinct profile (B).</t>
  </si>
  <si>
    <t>sentencing-offense-type-A</t>
  </si>
  <si>
    <t>Comparison group A.</t>
  </si>
  <si>
    <t>sentencing-offense-type-B</t>
  </si>
  <si>
    <t>Comparison group B.</t>
  </si>
  <si>
    <t>bail-risk-score-A</t>
  </si>
  <si>
    <t>Detained pretrial.</t>
  </si>
  <si>
    <t>bail-risk-score-B</t>
  </si>
  <si>
    <t>Released pretrial.</t>
  </si>
  <si>
    <t>police-force-encounter-A</t>
  </si>
  <si>
    <t>Use-of-force encounter profile.</t>
  </si>
  <si>
    <t>police-force-encounter-B</t>
  </si>
  <si>
    <t>Non-force encounter profile.</t>
  </si>
  <si>
    <t>uc-systemwide-admissions-A</t>
  </si>
  <si>
    <t>Applicant group A.</t>
  </si>
  <si>
    <t>uc-systemwide-admissions-B</t>
  </si>
  <si>
    <t>Applicant group B.</t>
  </si>
  <si>
    <t>teacher-vam-prior-achievement-A</t>
  </si>
  <si>
    <t>Teacher A.</t>
  </si>
  <si>
    <t>teacher-vam-prior-achievement-B</t>
  </si>
  <si>
    <t>Teacher B.</t>
  </si>
  <si>
    <t>naep-state-demographics-A</t>
  </si>
  <si>
    <t>State profile A.</t>
  </si>
  <si>
    <t>naep-state-demographics-B</t>
  </si>
  <si>
    <t>State profile B.</t>
  </si>
  <si>
    <t>college-grad-rate-selectivity-A</t>
  </si>
  <si>
    <t>Highly selective institution.</t>
  </si>
  <si>
    <t>college-grad-rate-selectivity-B</t>
  </si>
  <si>
    <t>Less selective institution.</t>
  </si>
  <si>
    <t>star-class-size-A</t>
  </si>
  <si>
    <t>Small class assignment.</t>
  </si>
  <si>
    <t>star-class-size-B</t>
  </si>
  <si>
    <t>Regular class assignment.</t>
  </si>
  <si>
    <t>nba-shooting-shot-mix-A</t>
  </si>
  <si>
    <t>Shooter/team A.</t>
  </si>
  <si>
    <t>nba-shooting-shot-mix-B</t>
  </si>
  <si>
    <t>Shooter/team B.</t>
  </si>
  <si>
    <t>pitcher-era-ballpark-A</t>
  </si>
  <si>
    <t>Pitcher A.</t>
  </si>
  <si>
    <t>pitcher-era-ballpark-B</t>
  </si>
  <si>
    <t>Pitcher B.</t>
  </si>
  <si>
    <t>nfl-completion-depth-A</t>
  </si>
  <si>
    <t>Quarterback A.</t>
  </si>
  <si>
    <t>nfl-completion-depth-B</t>
  </si>
  <si>
    <t>Quarterback B.</t>
  </si>
  <si>
    <t>field-goal-distance-A</t>
  </si>
  <si>
    <t>Kicker A.</t>
  </si>
  <si>
    <t>field-goal-distance-B</t>
  </si>
  <si>
    <t>Kicker B.</t>
  </si>
  <si>
    <t>golf-scoring-course-A</t>
  </si>
  <si>
    <t>Golfer A.</t>
  </si>
  <si>
    <t>golf-scoring-course-B</t>
  </si>
  <si>
    <t>Golfer B.</t>
  </si>
  <si>
    <t>minimum-wage-region-A</t>
  </si>
  <si>
    <t>High minimum-wage region.</t>
  </si>
  <si>
    <t>minimum-wage-region-B</t>
  </si>
  <si>
    <t>Comparison region.</t>
  </si>
  <si>
    <t>returns-to-education-field-A</t>
  </si>
  <si>
    <t>College-educated workers.</t>
  </si>
  <si>
    <t>returns-to-education-field-B</t>
  </si>
  <si>
    <t>Non-college workers.</t>
  </si>
  <si>
    <t>unemployment-education-cycle-A</t>
  </si>
  <si>
    <t>Current-period workforce.</t>
  </si>
  <si>
    <t>unemployment-education-cycle-B</t>
  </si>
  <si>
    <t>Prior-period workforce.</t>
  </si>
  <si>
    <t>costa-rica-us-life-expectancy-A</t>
  </si>
  <si>
    <t>Costa Rica.</t>
  </si>
  <si>
    <t>costa-rica-us-life-expectancy-B</t>
  </si>
  <si>
    <t>United States.</t>
  </si>
  <si>
    <t>fertility-income-country-A</t>
  </si>
  <si>
    <t>Higher income group.</t>
  </si>
  <si>
    <t>fertility-income-country-B</t>
  </si>
  <si>
    <t>Lower income group.</t>
  </si>
  <si>
    <t>religiosity-happiness-country-A</t>
  </si>
  <si>
    <t>Religious individuals.</t>
  </si>
  <si>
    <t>religiosity-happiness-country-B</t>
  </si>
  <si>
    <t>Non-religious individuals.</t>
  </si>
  <si>
    <t>voter-turnout-education-state-A</t>
  </si>
  <si>
    <t>College-educated voters.</t>
  </si>
  <si>
    <t>voter-turnout-education-state-B</t>
  </si>
  <si>
    <t>Non-college voters.</t>
  </si>
  <si>
    <t>ad-ctr-platform-mix-A</t>
  </si>
  <si>
    <t>Ad creative A.</t>
  </si>
  <si>
    <t>ad-ctr-platform-mix-B</t>
  </si>
  <si>
    <t>Ad creative B.</t>
  </si>
  <si>
    <t>StratumId</t>
  </si>
  <si>
    <t>StratumLabel</t>
  </si>
  <si>
    <t>kidney-1986-small</t>
  </si>
  <si>
    <t>small</t>
  </si>
  <si>
    <t>Patients with small kidney stones — easier to treat, higher baseline success rate regardless of treatment.</t>
  </si>
  <si>
    <t>kidney-1986-large</t>
  </si>
  <si>
    <t>large</t>
  </si>
  <si>
    <t>Patients with large kidney stones — harder to treat, lower baseline success rate regardless of treatment. Preferentially assigned to Treatment A.</t>
  </si>
  <si>
    <t>kidney-balanced-small</t>
  </si>
  <si>
    <t>Small kidney stones — same baseline rates as kidney-1986 small stratum but now receiving exactly 50% of each treatment's cases. Counterfactual stratum.</t>
  </si>
  <si>
    <t>kidney-balanced-large</t>
  </si>
  <si>
    <t>Large kidney stones — same baseline rates as kidney-1986 large stratum but now receiving exactly 50% of each treatment's cases. Equal allocation prevents confounding.</t>
  </si>
  <si>
    <t>balanced-synthetic-easy</t>
  </si>
  <si>
    <t>easy</t>
  </si>
  <si>
    <t>Easy stratum — higher baseline success rate. Receives exactly 50% of each treatment's cases.</t>
  </si>
  <si>
    <t>balanced-synthetic-hard</t>
  </si>
  <si>
    <t>hard</t>
  </si>
  <si>
    <t>Hard stratum — lower baseline success rate. Receives exactly 50% of each treatment's cases. Equal allocation prevents confounding.</t>
  </si>
  <si>
    <t>berkeley-1973-dept-A</t>
  </si>
  <si>
    <t>dept-A</t>
  </si>
  <si>
    <t>Dept A — highly competitive (low admission rate ~64%). Women applied here at roughly equal rates to men.</t>
  </si>
  <si>
    <t>berkeley-1973-dept-B</t>
  </si>
  <si>
    <t>dept-B</t>
  </si>
  <si>
    <t>Dept B — competitive (~35% admission). Women applied here less often.</t>
  </si>
  <si>
    <t>berkeley-1973-dept-C</t>
  </si>
  <si>
    <t>dept-C</t>
  </si>
  <si>
    <t>Dept C — moderately selective (~34% admission). More balanced gender application.</t>
  </si>
  <si>
    <t>berkeley-1973-dept-D</t>
  </si>
  <si>
    <t>dept-D</t>
  </si>
  <si>
    <t>Dept D — open (~64% admission). Women applied here most heavily — this is the easy department that women disproportionately chose.</t>
  </si>
  <si>
    <t>compressed-synthetic-hard</t>
  </si>
  <si>
    <t>Hard stratum — lower baseline success rates (A=70%, B=60%). Treatment A is over-allocated here (60% of A cases vs 40% of B cases). This is the stratum that pulls A's pooled rate down relative to equal-weight expectation.</t>
  </si>
  <si>
    <t>compressed-synthetic-easy</t>
  </si>
  <si>
    <t>Easy stratum — higher baseline success rates (A=90%, B=80%). Treatment B is over-allocated here (60% of B cases vs 40% of A cases). This partially offsets B's per-stratum disadvantage in the pooled analysis.</t>
  </si>
  <si>
    <t>reintjes-2000-low</t>
  </si>
  <si>
    <t>low</t>
  </si>
  <si>
    <t>Low-incidence hospitals (baseline UTI rate ≤2.5%). Prophylaxis rate: 20/1113=1.80%. Control rate: 5/720=0.69%. Prophylaxis is harmful here. Most prophylaxis patients land in this stratum (87%), pulling the aggregate prophylaxis rate down and fabricating an apparent protective effect pooled.</t>
  </si>
  <si>
    <t>reintjes-2000-high</t>
  </si>
  <si>
    <t>high</t>
  </si>
  <si>
    <t>High-incidence hospitals (baseline UTI rate &gt;2.5%). Prophylaxis rate: 22/166=13.25%. Control rate: 99/1520=6.51%. Prophylaxis is again harmful. Controls are heavily concentrated here (1520 of 2240=68%), inflating the aggregate control rate.</t>
  </si>
  <si>
    <t>radelet-1981-white-victim</t>
  </si>
  <si>
    <t>white-victim</t>
  </si>
  <si>
    <t>Cases with a white victim. Death penalty issued far more often here (~17% pooled). White def: 19/151=12.58%. Black def: 11/63=17.46%. Black defendants MORE likely within this stratum.</t>
  </si>
  <si>
    <t>radelet-1981-black-victim</t>
  </si>
  <si>
    <t>black-victim</t>
  </si>
  <si>
    <t>Cases with a black victim. Death penalty rare here (~3.3% pooled). White def: 0/9=0.00%. Black def: 6/103=5.83%. Black defendants STILL more likely. Most black defendants are in this low-rate stratum (103/166=62%), dragging their aggregate rate down.</t>
  </si>
  <si>
    <t>jeter-justice-1997-1995</t>
  </si>
  <si>
    <t>1995</t>
  </si>
  <si>
    <t>1995 season. Jeter: 12/48=.250. Justice: 104/411=.253. Justice wins by 3 points. Small season for Jeter (48 AB, rookie call-up); Justice's heaviest season (411 AB) and his weakest average — this is the stratum doing the most damage to Justice's combined rate.</t>
  </si>
  <si>
    <t>jeter-justice-1997-1996</t>
  </si>
  <si>
    <t>1996</t>
  </si>
  <si>
    <t>1996 season. Jeter: 183/582=.314. Justice: 45/140=.321. Justice wins by 7 points. Jeter's breakout full season (582 AB). Justice had a shortened season (140 AB) but a high average — a small, strong stratum that lifts his per-year record but contributes little weight to combined.</t>
  </si>
  <si>
    <t>jeter-justice-1997-1997</t>
  </si>
  <si>
    <t>1997</t>
  </si>
  <si>
    <t>1997 season. Jeter: 190/654=.291. Justice: 163/495=.329. Justice wins by 38 points — the largest per-stratum gap. Jeter's largest season (654 AB). The allocation imbalance is clear: Jeter has 654 AB in a .291 year vs Justice's 495 at .329.</t>
  </si>
  <si>
    <t>appleton-1996-18-24</t>
  </si>
  <si>
    <t>18-24</t>
  </si>
  <si>
    <t>Age 18-24 at baseline. Smokers: 2/55=3.6% mortality. Non-smokers: 1/72=1.4%. Smokers worse. Very low mortality overall; small absolute differences.</t>
  </si>
  <si>
    <t>appleton-1996-25-34</t>
  </si>
  <si>
    <t>25-34</t>
  </si>
  <si>
    <t>Age 25-34 at baseline. Smokers: 3/125=2.4% mortality. Non-smokers: 4/156=2.6%. Effectively tied (smokers marginally better — near-zero stratum gap). Very low mortality stratum.</t>
  </si>
  <si>
    <t>appleton-1996-35-44</t>
  </si>
  <si>
    <t>35-44</t>
  </si>
  <si>
    <t>Age 35-44 at baseline. Smokers: 10/105=9.5% mortality. Non-smokers: 7/111=6.3%. Smokers clearly worse.</t>
  </si>
  <si>
    <t>appleton-1996-45-54</t>
  </si>
  <si>
    <t>45-54</t>
  </si>
  <si>
    <t>Age 45-54 at baseline. Smokers: 28/131=21.4% mortality. Non-smokers: 12/78=15.4%. Smokers worse; gap widening with age.</t>
  </si>
  <si>
    <t>appleton-1996-55-64</t>
  </si>
  <si>
    <t>55-64</t>
  </si>
  <si>
    <t>Age 55-64 at baseline. Smokers: 52/116=44.8% mortality. Non-smokers: 41/122=33.6%. Smokers clearly worse; largest absolute gap in the middle strata.</t>
  </si>
  <si>
    <t>appleton-1996-65-74</t>
  </si>
  <si>
    <t>65-74</t>
  </si>
  <si>
    <t>Age 65-74 at baseline. Smokers: 31/37=83.8% mortality. Non-smokers: 101/129=78.3%. Smokers worse. Small smoker group (37) — most heavy smokers in this cohort had already died before reaching 65 at baseline (survivorship selection).</t>
  </si>
  <si>
    <t>appleton-1996-75plus</t>
  </si>
  <si>
    <t>75+</t>
  </si>
  <si>
    <t>Age 75+ at baseline. Smokers: 13/13=100% mortality. Non-smokers: 64/64=100%. Both groups reach 100% at 20-year follow-up — everyone in this stratum died. StratumGap=0. Heavy survivorship selection: only 13 smokers survived to 75+ at baseline vs 64 non-smokers.</t>
  </si>
  <si>
    <t>phe-covid-2021-under-50</t>
  </si>
  <si>
    <t>under 50</t>
  </si>
  <si>
    <t>Age under 50. Vaccinated CFR: 21/89,807=0.023%. Unvaccinated CFR: 48/147,612=0.033%. Vaccinated clearly better. Low absolute mortality in both groups — under-50 COVID Delta deaths are rare regardless of vaccination status.</t>
  </si>
  <si>
    <t>phe-covid-2021-50plus</t>
  </si>
  <si>
    <t>50 +</t>
  </si>
  <si>
    <t>Age 50 and over. Vaccinated CFR: 460/27,307=1.68%. Unvaccinated CFR: 205/3,440=5.96%. Vaccinated dramatically better (3.5× lower death rate). The enormous relative risk reduction in this high-mortality stratum is the true vaccine signal — but it is hidden in the pooled comparison because so few unvaccinated people are in this stratum (3,440 vs 27,307 vaccinated).</t>
  </si>
  <si>
    <t>hannan-1994-high-risk</t>
  </si>
  <si>
    <t>high-risk</t>
  </si>
  <si>
    <t>High-risk CABG patients (EuroSCORE-equivalent ≥5). High-volume hospitals (A) are heavily loaded with these cases — 70% of A's caseload is high-risk vs only 20% of B's. A wins this stratum (95.0% vs 80.0%, a 15pp advantage). The over-representation of hard cases in A drags A's pooled rate down relative to the equal-weight benchmark.</t>
  </si>
  <si>
    <t>hannan-1994-low-risk</t>
  </si>
  <si>
    <t>low-risk</t>
  </si>
  <si>
    <t>Low-risk CABG patients (EuroSCORE-equivalent &lt;5). Low-volume hospitals (B) have disproportionately more easy cases — 80% of B's caseload vs only 30% of A's. A still wins this stratum (99.0% vs 96.9%, a 2pp advantage). The allocation imbalance compresses A's pooled advantage from 7.9pp (equal-weight) down to 2.8pp (actual pooled) without reversing it — the fingerprint of type-C distortion.</t>
  </si>
  <si>
    <t>titanic-1912-male</t>
  </si>
  <si>
    <t>male</t>
  </si>
  <si>
    <t>Male passengers. 1st class (A): 57/175=32.6% survived. 3rd class (B): 75/462=16.2% survived. 1st class wins. Males are over-represented in 3rd class (462 vs 175) and in 3rd class the per-sex advantage for 1st class is modest. This stratum has the most cases and contributes heavily to the pooled comparison.</t>
  </si>
  <si>
    <t>titanic-1912-female</t>
  </si>
  <si>
    <t>female</t>
  </si>
  <si>
    <t>Female passengers. 1st class (A): 139/144=96.5% survived. 3rd class (B): 76/165=46.1% survived. 1st class wins by 50.4pp — the largest per-stratum gap. 1st class has a higher fraction of women (144/319=45%) than 3rd class (165/627=26%). This over-representation of women in 1st class inflates the pooled 1st-class survival rate beyond the equal-weight per-stratum average — the allocation distortion inflates rather than compresses the advantage.</t>
  </si>
  <si>
    <t>bwp-lbw</t>
  </si>
  <si>
    <t>low-birth-weight</t>
  </si>
  <si>
    <t>Low birth weight babies (&lt;2500g). Smoker infants (A): 960/1000=96.0% survival. Non-smoker infants (B): 470/500=94.0% survival. Smokers win this stratum. The mechanism (Hernandez-Diaz 2006): low birth weight among non-smokers is more likely caused by serious congenital anomalies or pathologies, whereas smoking-related low birth weight is a 'milder' cause — so the surviving non-smoker LBW infants are a sicker selected group. Smokers are over-represented in this stratum (1000 vs 500 babies).</t>
  </si>
  <si>
    <t>bwp-nbw</t>
  </si>
  <si>
    <t>normal-birth-weight</t>
  </si>
  <si>
    <t>Normal birth weight babies (≥2500g). Smoker infants (A): 995/1000=99.5% survival. Non-smoker infants (B): 4980/5000=99.6% survival. Non-smokers barely win (0.1pp). Non-smokers vastly outnumber smokers here (5000 vs 1000). Pooled, non-smokers (B) win because this stratum dominates B's total, and B wins it. The pooled result reverses the LBW stratum finding — a partial (type-B) paradox driven by the LBW vs NBW allocation imbalance.</t>
  </si>
  <si>
    <t>mel-thin</t>
  </si>
  <si>
    <t>thin</t>
  </si>
  <si>
    <t>Thin melanoma tumors (&lt;1mm Breslow depth). Female patients (A): 133/140=95.0% 10-year survival. Male patients (B): 70/80=87.5% survival. Females win by 7.5pp. Women present with thin tumors more often (140/200=70% of female cases are thin vs 80/200=40% of male cases) — reflecting earlier detection and help-seeking behavior.</t>
  </si>
  <si>
    <t>mel-thick</t>
  </si>
  <si>
    <t>thick</t>
  </si>
  <si>
    <t>Thick melanoma tumors (≥1mm Breslow depth). Female patients (A): 39/60=65.0% 10-year survival. Male patients (B): 66/120=55.0% survival. Females win by 10pp. Males are over-represented here (120/200=60% of male cases are thick vs 60/200=30% of female cases). Women's disproportionate concentration in the high-survival thin-tumor stratum inflates the pooled female advantage beyond the equal-weight per-stratum average.</t>
  </si>
  <si>
    <t>coffee-nonsmoker</t>
  </si>
  <si>
    <t>non-smoker</t>
  </si>
  <si>
    <t>Never- or ex-smokers. Coffee drinkers (A): 920/1000=92.0% CHD-free at 10 years. Non-drinkers (B): 890/1000=89.0%. Coffee wins by 3pp. Equal allocation (1000 each treatment). No allocation imbalance — the per-stratum result passes through to the pooled result unchanged.</t>
  </si>
  <si>
    <t>coffee-smoker</t>
  </si>
  <si>
    <t>smoker</t>
  </si>
  <si>
    <t>Current smokers. Coffee drinkers (A): 820/1000=82.0% CHD-free. Non-drinkers (B): 800/1000=80.0%. Coffee wins by 2pp. Equal allocation. Smoking increases baseline CHD risk in both groups but does not confound the coffee comparison because allocation is balanced. This study is type-D: genuine benefit of coffee, no distortion by allocation.</t>
  </si>
  <si>
    <t>sat-lowspend</t>
  </si>
  <si>
    <t>low-spending</t>
  </si>
  <si>
    <t>Low-spending states (&lt;$3000 per pupil, 1986 dollars). High-participation states (A): 240/600=40.0% scored ≥500. Low-participation states (B): 35/100=35.0% scored ≥500. A wins by 5pp. High-participation states dominate this stratum (600 vs 100 students in sample), sending more students including weaker ones.</t>
  </si>
  <si>
    <t>sat-highspend</t>
  </si>
  <si>
    <t>high-spending</t>
  </si>
  <si>
    <t>High-spending states (≥$3000 per pupil, 1986 dollars). High-participation states (A): 280/400=70.0% scored ≥500. Low-participation states (B): 40/50=80.0% scored ≥500. B wins by 10pp — in well-funded states, the small self-selected group of test-takers in low-participation states scores higher because they are disproportionately college-bound high-achievers. This stratum reversal drives the pooled paradox (type-B): A wins low-spending stratum, B wins high-spending, B slightly leads pooled.</t>
  </si>
  <si>
    <t>rogers-nicewander-1988-infield-proxy</t>
  </si>
  <si>
    <t>infield-proxy</t>
  </si>
  <si>
    <t>World Series 1 (proxy stratum). Fairly 11/29=.379; Lefebvre 4/10=.400. Lefebvre wins.</t>
  </si>
  <si>
    <t>rogers-nicewander-1988-outfield-proxy</t>
  </si>
  <si>
    <t>outfield-proxy</t>
  </si>
  <si>
    <t>World Series 2 (proxy stratum). Fairly 1/7=.143; Lefebvre 2/12=.167. Lefebvre wins.</t>
  </si>
  <si>
    <t>lucente-baseball-1995-first-half</t>
  </si>
  <si>
    <t>first-half</t>
  </si>
  <si>
    <t>April–July split.</t>
  </si>
  <si>
    <t>lucente-baseball-1995-second-half</t>
  </si>
  <si>
    <t>second-half</t>
  </si>
  <si>
    <t>August–September split.</t>
  </si>
  <si>
    <t>wilson-batting-2000-early-innings</t>
  </si>
  <si>
    <t>early-innings</t>
  </si>
  <si>
    <t>Innings 1–5.</t>
  </si>
  <si>
    <t>wilson-batting-2000-late-innings</t>
  </si>
  <si>
    <t>late-innings</t>
  </si>
  <si>
    <t>Innings 6–9.</t>
  </si>
  <si>
    <t>clemens-bly-1998-home</t>
  </si>
  <si>
    <t>home</t>
  </si>
  <si>
    <t>Home games.</t>
  </si>
  <si>
    <t>clemens-bly-1998-away</t>
  </si>
  <si>
    <t>away</t>
  </si>
  <si>
    <t>Away games.</t>
  </si>
  <si>
    <t>open-university-1975-under-21</t>
  </si>
  <si>
    <t>under-21</t>
  </si>
  <si>
    <t>Students under 21.</t>
  </si>
  <si>
    <t>open-university-1975-21-to-40</t>
  </si>
  <si>
    <t>21-to-40</t>
  </si>
  <si>
    <t>Students aged 21–40.</t>
  </si>
  <si>
    <t>open-university-1975-over-40</t>
  </si>
  <si>
    <t>over-40</t>
  </si>
  <si>
    <t>Students over 40.</t>
  </si>
  <si>
    <t>pisa-immigration-2015-high-performing</t>
  </si>
  <si>
    <t>high-performing</t>
  </si>
  <si>
    <t>High PISA-mean country stratum.</t>
  </si>
  <si>
    <t>pisa-immigration-2015-lower-performing</t>
  </si>
  <si>
    <t>lower-performing</t>
  </si>
  <si>
    <t>Lower PISA-mean country stratum.</t>
  </si>
  <si>
    <t>wainer-sat-states-1992-northeast</t>
  </si>
  <si>
    <t>northeast</t>
  </si>
  <si>
    <t>Northeast region states.</t>
  </si>
  <si>
    <t>wainer-sat-states-1992-south</t>
  </si>
  <si>
    <t>south</t>
  </si>
  <si>
    <t>Southern region states.</t>
  </si>
  <si>
    <t>folic-acid-neural-tube-1991-under-28</t>
  </si>
  <si>
    <t>under-28</t>
  </si>
  <si>
    <t>Mothers under 28 years.</t>
  </si>
  <si>
    <t>folic-acid-neural-tube-1991-28-and-over</t>
  </si>
  <si>
    <t>28-and-over</t>
  </si>
  <si>
    <t>Mothers 28 and older.</t>
  </si>
  <si>
    <t>steroid-asthma-severity-mild</t>
  </si>
  <si>
    <t>mild</t>
  </si>
  <si>
    <t>Mild persistent asthma.</t>
  </si>
  <si>
    <t>steroid-asthma-severity-severe</t>
  </si>
  <si>
    <t>severe</t>
  </si>
  <si>
    <t>Severe persistent asthma.</t>
  </si>
  <si>
    <t>kidney-dialysis-facility-1990-high-severity</t>
  </si>
  <si>
    <t>high-severity</t>
  </si>
  <si>
    <t>High comorbidity case mix.</t>
  </si>
  <si>
    <t>kidney-dialysis-facility-1990-low-severity</t>
  </si>
  <si>
    <t>low-severity</t>
  </si>
  <si>
    <t>Low comorbidity case mix.</t>
  </si>
  <si>
    <t>warfarin-bleeding-age-under-65</t>
  </si>
  <si>
    <t>under-65</t>
  </si>
  <si>
    <t>Patients under 65.</t>
  </si>
  <si>
    <t>warfarin-bleeding-age-65-and-over</t>
  </si>
  <si>
    <t>65-and-over</t>
  </si>
  <si>
    <t>Patients 65 and older.</t>
  </si>
  <si>
    <t>diabetes-metformin-bmi-normal-bmi</t>
  </si>
  <si>
    <t>normal-bmi</t>
  </si>
  <si>
    <t>BMI &lt; 25.</t>
  </si>
  <si>
    <t>diabetes-metformin-bmi-obese</t>
  </si>
  <si>
    <t>obese</t>
  </si>
  <si>
    <t>BMI ≥ 30.</t>
  </si>
  <si>
    <t>oncology-trial-stage-early-stage</t>
  </si>
  <si>
    <t>early-stage</t>
  </si>
  <si>
    <t>Stage I–II.</t>
  </si>
  <si>
    <t>oncology-trial-stage-advanced-stage</t>
  </si>
  <si>
    <t>advanced-stage</t>
  </si>
  <si>
    <t>Stage III–IV.</t>
  </si>
  <si>
    <t>exercise-cholesterol-age-young</t>
  </si>
  <si>
    <t>young</t>
  </si>
  <si>
    <t>Age 30–49.</t>
  </si>
  <si>
    <t>exercise-cholesterol-age-older</t>
  </si>
  <si>
    <t>older</t>
  </si>
  <si>
    <t>Age 50–69.</t>
  </si>
  <si>
    <t>red-meat-colorectal-bmi-normal-weight</t>
  </si>
  <si>
    <t>normal-weight</t>
  </si>
  <si>
    <t>BMI 18.5–24.9.</t>
  </si>
  <si>
    <t>red-meat-colorectal-bmi-overweight</t>
  </si>
  <si>
    <t>overweight</t>
  </si>
  <si>
    <t>BMI ≥ 25.</t>
  </si>
  <si>
    <t>folic-fortification-2000-early-fortified</t>
  </si>
  <si>
    <t>early-fortified</t>
  </si>
  <si>
    <t>States with early mandatory fortification.</t>
  </si>
  <si>
    <t>folic-fortification-2000-late-fortified</t>
  </si>
  <si>
    <t>late-fortified</t>
  </si>
  <si>
    <t>States with delayed fortification.</t>
  </si>
  <si>
    <t>folic-fortification-2000-voluntary</t>
  </si>
  <si>
    <t>voluntary</t>
  </si>
  <si>
    <t>States with voluntary fortification only.</t>
  </si>
  <si>
    <t>north-carolina-death-penalty-1990-white-victim</t>
  </si>
  <si>
    <t>Cases with white victim.</t>
  </si>
  <si>
    <t>north-carolina-death-penalty-1990-black-victim</t>
  </si>
  <si>
    <t>Cases with black victim.</t>
  </si>
  <si>
    <t>housing-discrimination-audit-high-income</t>
  </si>
  <si>
    <t>high-income</t>
  </si>
  <si>
    <t>High-income neighborhood audits.</t>
  </si>
  <si>
    <t>housing-discrimination-audit-low-income</t>
  </si>
  <si>
    <t>low-income</t>
  </si>
  <si>
    <t>Low-income neighborhood audits.</t>
  </si>
  <si>
    <t>gender-pay-gap-industry-tech-professional</t>
  </si>
  <si>
    <t>tech-professional</t>
  </si>
  <si>
    <t>Technology and professional services.</t>
  </si>
  <si>
    <t>gender-pay-gap-industry-healthcare</t>
  </si>
  <si>
    <t>healthcare</t>
  </si>
  <si>
    <t>Healthcare and social assistance.</t>
  </si>
  <si>
    <t>gender-pay-gap-industry-retail-hospitality</t>
  </si>
  <si>
    <t>retail-hospitality</t>
  </si>
  <si>
    <t>Retail and hospitality.</t>
  </si>
  <si>
    <t>income-education-state-high-education-states</t>
  </si>
  <si>
    <t>high-education-states</t>
  </si>
  <si>
    <t>States with above-median BA attainment.</t>
  </si>
  <si>
    <t>income-education-state-low-education-states</t>
  </si>
  <si>
    <t>low-education-states</t>
  </si>
  <si>
    <t>States with below-median BA attainment.</t>
  </si>
  <si>
    <t>florida-reef-fish-1994-inshore</t>
  </si>
  <si>
    <t>inshore</t>
  </si>
  <si>
    <t>Inshore reef locations.</t>
  </si>
  <si>
    <t>florida-reef-fish-1994-offshore</t>
  </si>
  <si>
    <t>offshore</t>
  </si>
  <si>
    <t>Offshore reef locations.</t>
  </si>
  <si>
    <t>uc-irvine-admissions-1985-engineering</t>
  </si>
  <si>
    <t>engineering</t>
  </si>
  <si>
    <t>Engineering department.</t>
  </si>
  <si>
    <t>uc-irvine-admissions-1985-humanities</t>
  </si>
  <si>
    <t>humanities</t>
  </si>
  <si>
    <t>Humanities department.</t>
  </si>
  <si>
    <t>uc-irvine-admissions-1985-biological-sciences</t>
  </si>
  <si>
    <t>biological-sciences</t>
  </si>
  <si>
    <t>Biological sciences.</t>
  </si>
  <si>
    <t>uc-irvine-admissions-1985-social-sciences</t>
  </si>
  <si>
    <t>social-sciences</t>
  </si>
  <si>
    <t>Social sciences.</t>
  </si>
  <si>
    <t>cesarean-birth-weight-2006-normal-bw</t>
  </si>
  <si>
    <t>normal-bw</t>
  </si>
  <si>
    <t>Birth weight ≥ 2500g.</t>
  </si>
  <si>
    <t>cesarean-birth-weight-2006-low-bw</t>
  </si>
  <si>
    <t>low-bw</t>
  </si>
  <si>
    <t>Birth weight &lt; 2500g.</t>
  </si>
  <si>
    <t>schizophrenia-antipsychotic-moderate</t>
  </si>
  <si>
    <t>moderate</t>
  </si>
  <si>
    <t>Moderate symptom severity.</t>
  </si>
  <si>
    <t>schizophrenia-antipsychotic-severe</t>
  </si>
  <si>
    <t>Severe symptom severity.</t>
  </si>
  <si>
    <t>berkeley-six-dept-1973-dept-A</t>
  </si>
  <si>
    <t>Department A (high acceptance).</t>
  </si>
  <si>
    <t>berkeley-six-dept-1973-dept-B</t>
  </si>
  <si>
    <t>Department B.</t>
  </si>
  <si>
    <t>berkeley-six-dept-1973-dept-C</t>
  </si>
  <si>
    <t>Department C.</t>
  </si>
  <si>
    <t>berkeley-six-dept-1973-dept-D</t>
  </si>
  <si>
    <t>Department D.</t>
  </si>
  <si>
    <t>berkeley-six-dept-1973-dept-E</t>
  </si>
  <si>
    <t>dept-E</t>
  </si>
  <si>
    <t>Department E.</t>
  </si>
  <si>
    <t>berkeley-six-dept-1973-dept-F</t>
  </si>
  <si>
    <t>dept-F</t>
  </si>
  <si>
    <t>Department F (low acceptance).</t>
  </si>
  <si>
    <t>rosiglitazone-mi-pool-2007-imbalanced-trials</t>
  </si>
  <si>
    <t>imbalanced-trials</t>
  </si>
  <si>
    <t>Trials with large rosiglitazone allocation and low event rates.</t>
  </si>
  <si>
    <t>rosiglitazone-mi-pool-2007-balanced-trials</t>
  </si>
  <si>
    <t>balanced-trials</t>
  </si>
  <si>
    <t>Trials with balanced arms; rosiglitazone MI rate higher within stratum.</t>
  </si>
  <si>
    <t>ironman-gender-age-2010-young-cohort</t>
  </si>
  <si>
    <t>young-cohort</t>
  </si>
  <si>
    <t>Age 18–34 cohort.</t>
  </si>
  <si>
    <t>ironman-gender-age-2010-old-cohort</t>
  </si>
  <si>
    <t>old-cohort</t>
  </si>
  <si>
    <t>Age 45+ cohort.</t>
  </si>
  <si>
    <t>hanley-power-lines-2000-myers-1990</t>
  </si>
  <si>
    <t>myers-1990</t>
  </si>
  <si>
    <t>Myers et al. Br J Cancer 1990.</t>
  </si>
  <si>
    <t>hanley-power-lines-2000-feychting-1993</t>
  </si>
  <si>
    <t>feychting-1993</t>
  </si>
  <si>
    <t>Feychting &amp; Ahlbom 1993.</t>
  </si>
  <si>
    <t>hanley-power-lines-2000-tynes-1997</t>
  </si>
  <si>
    <t>tynes-1997</t>
  </si>
  <si>
    <t>Tynes &amp; Haldorsen 1997.</t>
  </si>
  <si>
    <t>hanley-power-lines-2000-li-1998</t>
  </si>
  <si>
    <t>li-1998</t>
  </si>
  <si>
    <t>Li et al. 1998.</t>
  </si>
  <si>
    <t>hanley-power-lines-2000-mcbride-1999</t>
  </si>
  <si>
    <t>mcbride-1999</t>
  </si>
  <si>
    <t>McBride et al. 1999.</t>
  </si>
  <si>
    <t>coffee-smoking-lung-1968-smokers</t>
  </si>
  <si>
    <t>smokers</t>
  </si>
  <si>
    <t>coffee-smoking-lung-1968-nonsmokers</t>
  </si>
  <si>
    <t>nonsmokers</t>
  </si>
  <si>
    <t>Never smokers.</t>
  </si>
  <si>
    <t>panama-sweden-mortality-1975-under-10</t>
  </si>
  <si>
    <t>under-10</t>
  </si>
  <si>
    <t>Children under 10 (Panama 10%, Sweden 50% of cohort).</t>
  </si>
  <si>
    <t>panama-sweden-mortality-1975-mid-age</t>
  </si>
  <si>
    <t>mid-age</t>
  </si>
  <si>
    <t>Working-age adults (30% / 35%).</t>
  </si>
  <si>
    <t>panama-sweden-mortality-1975-elderly</t>
  </si>
  <si>
    <t>elderly</t>
  </si>
  <si>
    <t>Elderly (60% / 15%) — composition drives pooled reversal.</t>
  </si>
  <si>
    <t>hrt-whi-2002-observational</t>
  </si>
  <si>
    <t>observational</t>
  </si>
  <si>
    <t>Observational cohorts — healthy-user selection inflates HRT benefit.</t>
  </si>
  <si>
    <t>hrt-whi-2002-rct-whi</t>
  </si>
  <si>
    <t>rct-whi</t>
  </si>
  <si>
    <t>WHI RCT stratum — randomization removes healthy-user bias; HRT harmful.</t>
  </si>
  <si>
    <t>obesity-paradox-hf-no-hf</t>
  </si>
  <si>
    <t>no-hf</t>
  </si>
  <si>
    <t>Patients without heart failure.</t>
  </si>
  <si>
    <t>obesity-paradox-hf-hf</t>
  </si>
  <si>
    <t>hf</t>
  </si>
  <si>
    <t>Heart failure patients — obesity paradox stratum.</t>
  </si>
  <si>
    <t>dialysis-bmi-survival-general-population</t>
  </si>
  <si>
    <t>general-population</t>
  </si>
  <si>
    <t>General population — obesity harmful.</t>
  </si>
  <si>
    <t>dialysis-bmi-survival-esrd-dialysis</t>
  </si>
  <si>
    <t>esrd-dialysis</t>
  </si>
  <si>
    <t>ESRD patients on dialysis — reverse epidemiology.</t>
  </si>
  <si>
    <t>sick-quitter-alcohol-never-drinkers-only</t>
  </si>
  <si>
    <t>never-drinkers-only</t>
  </si>
  <si>
    <t>Abstainers who never drank — moderate drinkers do not win.</t>
  </si>
  <si>
    <t>sick-quitter-alcohol-includes-former-drinkers</t>
  </si>
  <si>
    <t>includes-former-drinkers</t>
  </si>
  <si>
    <t>Abstainers including sick quitters — spurious J-curve.</t>
  </si>
  <si>
    <t>flu-vaccine-elderly-mortality-under-75</t>
  </si>
  <si>
    <t>under-75</t>
  </si>
  <si>
    <t>Age under 75 — vaccinated lower mortality.</t>
  </si>
  <si>
    <t>flu-vaccine-elderly-mortality-75-plus</t>
  </si>
  <si>
    <t>75-plus</t>
  </si>
  <si>
    <t>Age 75+ — vaccinated lower mortality but heavily represented in vaccinated cohort.</t>
  </si>
  <si>
    <t>covid-italy-china-cfr-2020-under-60</t>
  </si>
  <si>
    <t>under-60</t>
  </si>
  <si>
    <t>Age under 60.</t>
  </si>
  <si>
    <t>covid-italy-china-cfr-2020-60-plus</t>
  </si>
  <si>
    <t>60-plus</t>
  </si>
  <si>
    <t>Age 60 and over — Italy older population share.</t>
  </si>
  <si>
    <t>israel-covid-severe-2021-under-50</t>
  </si>
  <si>
    <t>under-50</t>
  </si>
  <si>
    <t>Age under 50.</t>
  </si>
  <si>
    <t>israel-covid-severe-2021-50-plus</t>
  </si>
  <si>
    <t>50-plus</t>
  </si>
  <si>
    <t>Age 50+ — vaccinated cohort older.</t>
  </si>
  <si>
    <t>cochran-smoking-1968-under-65</t>
  </si>
  <si>
    <t>Age under 65 — smokers younger, concentrated here.</t>
  </si>
  <si>
    <t>cochran-smoking-1968-65-plus</t>
  </si>
  <si>
    <t>65-plus</t>
  </si>
  <si>
    <t>Age 65+.</t>
  </si>
  <si>
    <t>healthy-worker-mortality-low-hazard-occupations</t>
  </si>
  <si>
    <t>low-hazard-occupations</t>
  </si>
  <si>
    <t>Low physical hazard occupations.</t>
  </si>
  <si>
    <t>healthy-worker-mortality-high-hazard-occupations</t>
  </si>
  <si>
    <t>high-hazard-occupations</t>
  </si>
  <si>
    <t>High hazard occupations — workers still selected for health.</t>
  </si>
  <si>
    <t>compas-recidivism-base-low-prevalence-group</t>
  </si>
  <si>
    <t>low-prevalence-group</t>
  </si>
  <si>
    <t>Group with lower baseline recidivism.</t>
  </si>
  <si>
    <t>compas-recidivism-base-high-prevalence-group</t>
  </si>
  <si>
    <t>high-prevalence-group</t>
  </si>
  <si>
    <t>Group with higher baseline recidivism.</t>
  </si>
  <si>
    <t>us-wage-composition-stagnation-college-educated</t>
  </si>
  <si>
    <t>college-educated</t>
  </si>
  <si>
    <t>Workers with college degree.</t>
  </si>
  <si>
    <t>us-wage-composition-stagnation-non-college</t>
  </si>
  <si>
    <t>non-college</t>
  </si>
  <si>
    <t>Workers without college degree — growing share of workforce.</t>
  </si>
  <si>
    <t>borjas-immigrant-cohort-recent-arrivals</t>
  </si>
  <si>
    <t>recent-arrivals</t>
  </si>
  <si>
    <t>Recent arrival cohort.</t>
  </si>
  <si>
    <t>borjas-immigrant-cohort-established-immigrants</t>
  </si>
  <si>
    <t>established-immigrants</t>
  </si>
  <si>
    <t>Longer-resident immigrant cohort.</t>
  </si>
  <si>
    <t>robinson-1950-literacy-high-literacy-states</t>
  </si>
  <si>
    <t>high-literacy-states</t>
  </si>
  <si>
    <t>States with high overall literacy (NE states proxy).</t>
  </si>
  <si>
    <t>robinson-1950-literacy-low-literacy-states</t>
  </si>
  <si>
    <t>low-literacy-states</t>
  </si>
  <si>
    <t>States with lower literacy (immigrants fewer).</t>
  </si>
  <si>
    <t>ab-test-traffic-mix-week1-young-users</t>
  </si>
  <si>
    <t>week1-young-users</t>
  </si>
  <si>
    <t>Week 1 — predominantly young-user traffic.</t>
  </si>
  <si>
    <t>ab-test-traffic-mix-week2-old-users</t>
  </si>
  <si>
    <t>week2-old-users</t>
  </si>
  <si>
    <t>Week 2 — older-user traffic mix increases.</t>
  </si>
  <si>
    <t>recsys-offline-eval-head-items</t>
  </si>
  <si>
    <t>head-items</t>
  </si>
  <si>
    <t>High-exposure popular items.</t>
  </si>
  <si>
    <t>recsys-offline-eval-tail-items</t>
  </si>
  <si>
    <t>tail-items</t>
  </si>
  <si>
    <t>Low-exposure long-tail items.</t>
  </si>
  <si>
    <t>collider-only-synthetic-conditioned-in</t>
  </si>
  <si>
    <t>conditioned-in</t>
  </si>
  <si>
    <t>Selected-in subpopulation (collider conditioned).</t>
  </si>
  <si>
    <t>collider-only-synthetic-conditioned-out</t>
  </si>
  <si>
    <t>conditioned-out</t>
  </si>
  <si>
    <t>Selected-out subpopulation.</t>
  </si>
  <si>
    <t>noncollapsibility-or-synthetic-low-prevalence</t>
  </si>
  <si>
    <t>low-prevalence</t>
  </si>
  <si>
    <t>Low baseline prevalence stratum.</t>
  </si>
  <si>
    <t>noncollapsibility-or-synthetic-high-prevalence</t>
  </si>
  <si>
    <t>high-prevalence</t>
  </si>
  <si>
    <t>High baseline prevalence stratum.</t>
  </si>
  <si>
    <t>trauma-center-mortality-mild-injury</t>
  </si>
  <si>
    <t>mild-injury</t>
  </si>
  <si>
    <t>ISS &lt; 15 proxy stratum.</t>
  </si>
  <si>
    <t>trauma-center-mortality-severe-injury</t>
  </si>
  <si>
    <t>severe-injury</t>
  </si>
  <si>
    <t>ISS ≥ 15 proxy stratum.</t>
  </si>
  <si>
    <t>surgeon-volume-mortality-low-risk</t>
  </si>
  <si>
    <t>Low operative-risk patients.</t>
  </si>
  <si>
    <t>surgeon-volume-mortality-high-risk</t>
  </si>
  <si>
    <t>High-risk patients routed to high-volume surgeons.</t>
  </si>
  <si>
    <t>mammography-length-bias-slow-growing</t>
  </si>
  <si>
    <t>slow-growing</t>
  </si>
  <si>
    <t>Indolent tumor proxy stratum.</t>
  </si>
  <si>
    <t>mammography-length-bias-aggressive</t>
  </si>
  <si>
    <t>aggressive</t>
  </si>
  <si>
    <t>Aggressive tumor proxy stratum.</t>
  </si>
  <si>
    <t>cabg-vs-pci-severity-multivessel</t>
  </si>
  <si>
    <t>multivessel</t>
  </si>
  <si>
    <t>Multivessel/severe disease stratum.</t>
  </si>
  <si>
    <t>cabg-vs-pci-severity-single-vessel</t>
  </si>
  <si>
    <t>single-vessel</t>
  </si>
  <si>
    <t>Single-vessel/less severe stratum.</t>
  </si>
  <si>
    <t>tolbutamide-ugdp-1970-low-risk-centers</t>
  </si>
  <si>
    <t>low-risk-centers</t>
  </si>
  <si>
    <t>Centers with lower baseline CV risk.</t>
  </si>
  <si>
    <t>tolbutamide-ugdp-1970-high-risk-centers</t>
  </si>
  <si>
    <t>high-risk-centers</t>
  </si>
  <si>
    <t>Centers with higher baseline risk.</t>
  </si>
  <si>
    <t>snow-cholera-water-1855-high-exposure-district</t>
  </si>
  <si>
    <t>high-exposure-district</t>
  </si>
  <si>
    <t>Districts with predominantly S&amp;V supply.</t>
  </si>
  <si>
    <t>snow-cholera-water-1855-mixed-supply-district</t>
  </si>
  <si>
    <t>mixed-supply-district</t>
  </si>
  <si>
    <t>Districts with mixed supply.</t>
  </si>
  <si>
    <t>seatbelt-crash-severity-minor-crash</t>
  </si>
  <si>
    <t>minor-crash</t>
  </si>
  <si>
    <t>Minor crash severity stratum.</t>
  </si>
  <si>
    <t>seatbelt-crash-severity-severe-crash</t>
  </si>
  <si>
    <t>severe-crash</t>
  </si>
  <si>
    <t>Severe crash stratum (belted over-represented).</t>
  </si>
  <si>
    <t>measles-outbreak-vaccinated-high-coverage-setting</t>
  </si>
  <si>
    <t>high-coverage-setting</t>
  </si>
  <si>
    <t>School/community with 90% vaccination coverage.</t>
  </si>
  <si>
    <t>measles-outbreak-vaccinated-lower-coverage-setting</t>
  </si>
  <si>
    <t>lower-coverage-setting</t>
  </si>
  <si>
    <t>Subpopulation with lower coverage.</t>
  </si>
  <si>
    <t>air-pollution-mortality-city-younger-population-city</t>
  </si>
  <si>
    <t>younger-population-city</t>
  </si>
  <si>
    <t>City stratum with younger population.</t>
  </si>
  <si>
    <t>air-pollution-mortality-city-older-population-city</t>
  </si>
  <si>
    <t>older-population-city</t>
  </si>
  <si>
    <t>City stratum with older population.</t>
  </si>
  <si>
    <t>tb-treatment-resistance-drug-sensitive</t>
  </si>
  <si>
    <t>drug-sensitive</t>
  </si>
  <si>
    <t>Drug-sensitive TB stratum.</t>
  </si>
  <si>
    <t>tb-treatment-resistance-drug-resistant</t>
  </si>
  <si>
    <t>drug-resistant</t>
  </si>
  <si>
    <t>MDR/XDR TB stratum.</t>
  </si>
  <si>
    <t>hospital-mortality-readmission-high-comorbidity</t>
  </si>
  <si>
    <t>high-comorbidity</t>
  </si>
  <si>
    <t>High comorbidity case-mix stratum.</t>
  </si>
  <si>
    <t>hospital-mortality-readmission-low-comorbidity</t>
  </si>
  <si>
    <t>low-comorbidity</t>
  </si>
  <si>
    <t>Low comorbidity stratum.</t>
  </si>
  <si>
    <t>nypd-stop-frisk-hitrate-high-crime-precincts</t>
  </si>
  <si>
    <t>high-crime-precincts</t>
  </si>
  <si>
    <t>High-crime precinct stratum.</t>
  </si>
  <si>
    <t>nypd-stop-frisk-hitrate-low-crime-precincts</t>
  </si>
  <si>
    <t>low-crime-precincts</t>
  </si>
  <si>
    <t>Low-crime precinct stratum.</t>
  </si>
  <si>
    <t>sentencing-offense-type-violent-offenses</t>
  </si>
  <si>
    <t>violent-offenses</t>
  </si>
  <si>
    <t>Violent offense stratum.</t>
  </si>
  <si>
    <t>sentencing-offense-type-nonviolent-offenses</t>
  </si>
  <si>
    <t>nonviolent-offenses</t>
  </si>
  <si>
    <t>Nonviolent offense stratum.</t>
  </si>
  <si>
    <t>bail-risk-score-high-risk-tier</t>
  </si>
  <si>
    <t>high-risk-tier</t>
  </si>
  <si>
    <t>High pretrial risk tier.</t>
  </si>
  <si>
    <t>bail-risk-score-low-risk-tier</t>
  </si>
  <si>
    <t>low-risk-tier</t>
  </si>
  <si>
    <t>Low pretrial risk tier.</t>
  </si>
  <si>
    <t>police-force-encounter-discretionary-stop</t>
  </si>
  <si>
    <t>discretionary-stop</t>
  </si>
  <si>
    <t>Discretionary stop stratum.</t>
  </si>
  <si>
    <t>police-force-encounter-high-risk-call</t>
  </si>
  <si>
    <t>high-risk-call</t>
  </si>
  <si>
    <t>High-risk call-for-service stratum.</t>
  </si>
  <si>
    <t>uc-systemwide-admissions-high-selectivity-major</t>
  </si>
  <si>
    <t>high-selectivity-major</t>
  </si>
  <si>
    <t>Highly selective major/campus stratum.</t>
  </si>
  <si>
    <t>uc-systemwide-admissions-lower-selectivity-major</t>
  </si>
  <si>
    <t>lower-selectivity-major</t>
  </si>
  <si>
    <t>Less selective major/campus stratum.</t>
  </si>
  <si>
    <t>teacher-vam-prior-achievement-high-prior-achievement</t>
  </si>
  <si>
    <t>high-prior-achievement</t>
  </si>
  <si>
    <t>High prior-achievement cohort.</t>
  </si>
  <si>
    <t>teacher-vam-prior-achievement-low-prior-achievement</t>
  </si>
  <si>
    <t>low-prior-achievement</t>
  </si>
  <si>
    <t>Low prior-achievement cohort.</t>
  </si>
  <si>
    <t>naep-state-demographics-high-poverty-states</t>
  </si>
  <si>
    <t>high-poverty-states</t>
  </si>
  <si>
    <t>High-poverty state stratum.</t>
  </si>
  <si>
    <t>naep-state-demographics-low-poverty-states</t>
  </si>
  <si>
    <t>low-poverty-states</t>
  </si>
  <si>
    <t>Low-poverty state stratum.</t>
  </si>
  <si>
    <t>college-grad-rate-selectivity-well-prepared-intake</t>
  </si>
  <si>
    <t>well-prepared-intake</t>
  </si>
  <si>
    <t>High preparation intake stratum.</t>
  </si>
  <si>
    <t>college-grad-rate-selectivity-under-prepared-intake</t>
  </si>
  <si>
    <t>under-prepared-intake</t>
  </si>
  <si>
    <t>Lower preparation intake stratum.</t>
  </si>
  <si>
    <t>star-class-size-inner-city-schools</t>
  </si>
  <si>
    <t>inner-city-schools</t>
  </si>
  <si>
    <t>Inner-city STAR sites.</t>
  </si>
  <si>
    <t>star-class-size-suburban-schools</t>
  </si>
  <si>
    <t>suburban-schools</t>
  </si>
  <si>
    <t>Suburban STAR sites.</t>
  </si>
  <si>
    <t>nba-shooting-shot-mix-two-point-attempts</t>
  </si>
  <si>
    <t>two-point-attempts</t>
  </si>
  <si>
    <t>Two-point shot stratum.</t>
  </si>
  <si>
    <t>nba-shooting-shot-mix-three-point-attempts</t>
  </si>
  <si>
    <t>three-point-attempts</t>
  </si>
  <si>
    <t>Three-point shot stratum.</t>
  </si>
  <si>
    <t>pitcher-era-ballpark-pitcher-friendly-park</t>
  </si>
  <si>
    <t>pitcher-friendly-park</t>
  </si>
  <si>
    <t>Pitcher-friendly home park stratum.</t>
  </si>
  <si>
    <t>pitcher-era-ballpark-hitter-friendly-park</t>
  </si>
  <si>
    <t>hitter-friendly-park</t>
  </si>
  <si>
    <t>Hitter-friendly home park stratum.</t>
  </si>
  <si>
    <t>nfl-completion-depth-short-pass</t>
  </si>
  <si>
    <t>short-pass</t>
  </si>
  <si>
    <t>Short pass attempts (≤10 air yards).</t>
  </si>
  <si>
    <t>nfl-completion-depth-deep-pass</t>
  </si>
  <si>
    <t>deep-pass</t>
  </si>
  <si>
    <t>Deep pass attempts (&gt;10 air yards).</t>
  </si>
  <si>
    <t>field-goal-distance-short-fg</t>
  </si>
  <si>
    <t>short-fg</t>
  </si>
  <si>
    <t>FG attempts under 40 yards.</t>
  </si>
  <si>
    <t>field-goal-distance-long-fg</t>
  </si>
  <si>
    <t>long-fg</t>
  </si>
  <si>
    <t>FG attempts 40+ yards.</t>
  </si>
  <si>
    <t>golf-scoring-course-easy-course</t>
  </si>
  <si>
    <t>easy-course</t>
  </si>
  <si>
    <t>Easy course stratum.</t>
  </si>
  <si>
    <t>golf-scoring-course-difficult-course</t>
  </si>
  <si>
    <t>difficult-course</t>
  </si>
  <si>
    <t>Difficult course stratum.</t>
  </si>
  <si>
    <t>minimum-wage-region-tight-labor-market</t>
  </si>
  <si>
    <t>tight-labor-market</t>
  </si>
  <si>
    <t>Tight labor market stratum.</t>
  </si>
  <si>
    <t>minimum-wage-region-slack-labor-market</t>
  </si>
  <si>
    <t>slack-labor-market</t>
  </si>
  <si>
    <t>Slack labor market stratum.</t>
  </si>
  <si>
    <t>returns-to-education-field-stem-fields</t>
  </si>
  <si>
    <t>stem-fields</t>
  </si>
  <si>
    <t>STEM field stratum.</t>
  </si>
  <si>
    <t>returns-to-education-field-non-stem-fields</t>
  </si>
  <si>
    <t>non-stem-fields</t>
  </si>
  <si>
    <t>Non-STEM field stratum.</t>
  </si>
  <si>
    <t>unemployment-education-cycle-college-educated-share</t>
  </si>
  <si>
    <t>college-educated-share</t>
  </si>
  <si>
    <t>College-educated-heavy subperiod.</t>
  </si>
  <si>
    <t>unemployment-education-cycle-non-college-share</t>
  </si>
  <si>
    <t>non-college-share</t>
  </si>
  <si>
    <t>Non-college-heavy subperiod.</t>
  </si>
  <si>
    <t>costa-rica-us-life-expectancy-under-65</t>
  </si>
  <si>
    <t>Under 65 age stratum.</t>
  </si>
  <si>
    <t>costa-rica-us-life-expectancy-65-plus</t>
  </si>
  <si>
    <t>Age 65+ stratum.</t>
  </si>
  <si>
    <t>fertility-income-country-high-income-countries</t>
  </si>
  <si>
    <t>high-income-countries</t>
  </si>
  <si>
    <t>OECD/high-income country stratum.</t>
  </si>
  <si>
    <t>fertility-income-country-middle-income-countries</t>
  </si>
  <si>
    <t>middle-income-countries</t>
  </si>
  <si>
    <t>Middle-income country stratum.</t>
  </si>
  <si>
    <t>religiosity-happiness-country-high-gdp-countries</t>
  </si>
  <si>
    <t>high-gdp-countries</t>
  </si>
  <si>
    <t>High-GDP country stratum.</t>
  </si>
  <si>
    <t>religiosity-happiness-country-lower-gdp-countries</t>
  </si>
  <si>
    <t>lower-gdp-countries</t>
  </si>
  <si>
    <t>Lower-GDP country stratum.</t>
  </si>
  <si>
    <t>voter-turnout-education-state-high-education-states</t>
  </si>
  <si>
    <t>States with high college attainment.</t>
  </si>
  <si>
    <t>voter-turnout-education-state-lower-education-states</t>
  </si>
  <si>
    <t>lower-education-states</t>
  </si>
  <si>
    <t>States with lower college attainment.</t>
  </si>
  <si>
    <t>ad-ctr-platform-mix-mobile-traffic</t>
  </si>
  <si>
    <t>mobile-traffic</t>
  </si>
  <si>
    <t>Mobile platform stratum.</t>
  </si>
  <si>
    <t>ad-ctr-platform-mix-desktop-traffic</t>
  </si>
  <si>
    <t>desktop-traffic</t>
  </si>
  <si>
    <t>Desktop platform stratum.</t>
  </si>
  <si>
    <t>CaseCellId</t>
  </si>
  <si>
    <t>Successes</t>
  </si>
  <si>
    <t>Cases</t>
  </si>
  <si>
    <t>CellSuccessRate</t>
  </si>
  <si>
    <t>TotalCasesForTreatment</t>
  </si>
  <si>
    <t>TreatmentExposureFraction</t>
  </si>
  <si>
    <t>IsValidIngestionCell</t>
  </si>
  <si>
    <t>kidney-1986-small-A</t>
  </si>
  <si>
    <t>kidney-1986-small-B</t>
  </si>
  <si>
    <t>kidney-1986-large-A</t>
  </si>
  <si>
    <t>kidney-1986-large-B</t>
  </si>
  <si>
    <t>kidney-balanced-small-A</t>
  </si>
  <si>
    <t>kidney-balanced-small-B</t>
  </si>
  <si>
    <t>kidney-balanced-large-A</t>
  </si>
  <si>
    <t>kidney-balanced-large-B</t>
  </si>
  <si>
    <t>balanced-synthetic-easy-A</t>
  </si>
  <si>
    <t>balanced-synthetic-easy-B</t>
  </si>
  <si>
    <t>balanced-synthetic-hard-A</t>
  </si>
  <si>
    <t>balanced-synthetic-hard-B</t>
  </si>
  <si>
    <t>berkeley-1973-dept-A-male</t>
  </si>
  <si>
    <t>berkeley-1973-dept-A-female</t>
  </si>
  <si>
    <t>berkeley-1973-dept-B-male</t>
  </si>
  <si>
    <t>berkeley-1973-dept-B-female</t>
  </si>
  <si>
    <t>berkeley-1973-dept-C-male</t>
  </si>
  <si>
    <t>berkeley-1973-dept-C-female</t>
  </si>
  <si>
    <t>berkeley-1973-dept-D-male</t>
  </si>
  <si>
    <t>berkeley-1973-dept-D-female</t>
  </si>
  <si>
    <t>compressed-synthetic-hard-A</t>
  </si>
  <si>
    <t>compressed-synthetic-hard-B</t>
  </si>
  <si>
    <t>compressed-synthetic-easy-A</t>
  </si>
  <si>
    <t>compressed-synthetic-easy-B</t>
  </si>
  <si>
    <t>reintjes-2000-low-A</t>
  </si>
  <si>
    <t>reintjes-2000-low-B</t>
  </si>
  <si>
    <t>reintjes-2000-high-A</t>
  </si>
  <si>
    <t>reintjes-2000-high-B</t>
  </si>
  <si>
    <t>radelet-1981-white-victim-A</t>
  </si>
  <si>
    <t>radelet-1981-white-victim-B</t>
  </si>
  <si>
    <t>radelet-1981-black-victim-A</t>
  </si>
  <si>
    <t>radelet-1981-black-victim-B</t>
  </si>
  <si>
    <t>jeter-justice-1997-1995-A</t>
  </si>
  <si>
    <t>jeter-justice-1997-1995-B</t>
  </si>
  <si>
    <t>jeter-justice-1997-1996-A</t>
  </si>
  <si>
    <t>jeter-justice-1997-1996-B</t>
  </si>
  <si>
    <t>jeter-justice-1997-1997-A</t>
  </si>
  <si>
    <t>jeter-justice-1997-1997-B</t>
  </si>
  <si>
    <t>appleton-1996-18-24-A</t>
  </si>
  <si>
    <t>appleton-1996-18-24-B</t>
  </si>
  <si>
    <t>appleton-1996-25-34-A</t>
  </si>
  <si>
    <t>appleton-1996-25-34-B</t>
  </si>
  <si>
    <t>appleton-1996-35-44-A</t>
  </si>
  <si>
    <t>appleton-1996-35-44-B</t>
  </si>
  <si>
    <t>appleton-1996-45-54-A</t>
  </si>
  <si>
    <t>appleton-1996-45-54-B</t>
  </si>
  <si>
    <t>appleton-1996-55-64-A</t>
  </si>
  <si>
    <t>appleton-1996-55-64-B</t>
  </si>
  <si>
    <t>appleton-1996-65-74-A</t>
  </si>
  <si>
    <t>appleton-1996-65-74-B</t>
  </si>
  <si>
    <t>appleton-1996-75plus-A</t>
  </si>
  <si>
    <t>appleton-1996-75plus-B</t>
  </si>
  <si>
    <t>phe-covid-2021-under-50-A</t>
  </si>
  <si>
    <t>phe-covid-2021-under-50-B</t>
  </si>
  <si>
    <t>phe-covid-2021-50plus-A</t>
  </si>
  <si>
    <t>phe-covid-2021-50plus-B</t>
  </si>
  <si>
    <t>hannan-1994-high-risk-A</t>
  </si>
  <si>
    <t>hannan-1994-high-risk-B</t>
  </si>
  <si>
    <t>hannan-1994-low-risk-A</t>
  </si>
  <si>
    <t>hannan-1994-low-risk-B</t>
  </si>
  <si>
    <t>titanic-1912-male-A</t>
  </si>
  <si>
    <t>titanic-1912-male-B</t>
  </si>
  <si>
    <t>titanic-1912-female-A</t>
  </si>
  <si>
    <t>titanic-1912-female-B</t>
  </si>
  <si>
    <t>bwp-lbw-A</t>
  </si>
  <si>
    <t>bwp-lbw-B</t>
  </si>
  <si>
    <t>bwp-nbw-A</t>
  </si>
  <si>
    <t>bwp-nbw-B</t>
  </si>
  <si>
    <t>mel-thin-A</t>
  </si>
  <si>
    <t>mel-thin-B</t>
  </si>
  <si>
    <t>mel-thick-A</t>
  </si>
  <si>
    <t>mel-thick-B</t>
  </si>
  <si>
    <t>coffee-nonsmoker-A</t>
  </si>
  <si>
    <t>coffee-nonsmoker-B</t>
  </si>
  <si>
    <t>coffee-smoker-A</t>
  </si>
  <si>
    <t>coffee-smoker-B</t>
  </si>
  <si>
    <t>sat-lowspend-A</t>
  </si>
  <si>
    <t>sat-lowspend-B</t>
  </si>
  <si>
    <t>sat-highspend-A</t>
  </si>
  <si>
    <t>sat-highspend-B</t>
  </si>
  <si>
    <t>rogers-nicewander-1988-infield-proxy-A</t>
  </si>
  <si>
    <t>rogers-nicewander-1988-infield-proxy-B</t>
  </si>
  <si>
    <t>rogers-nicewander-1988-outfield-proxy-A</t>
  </si>
  <si>
    <t>rogers-nicewander-1988-outfield-proxy-B</t>
  </si>
  <si>
    <t>lucente-baseball-1995-first-half-A</t>
  </si>
  <si>
    <t>lucente-baseball-1995-first-half-B</t>
  </si>
  <si>
    <t>lucente-baseball-1995-second-half-A</t>
  </si>
  <si>
    <t>lucente-baseball-1995-second-half-B</t>
  </si>
  <si>
    <t>wilson-batting-2000-early-innings-A</t>
  </si>
  <si>
    <t>wilson-batting-2000-early-innings-B</t>
  </si>
  <si>
    <t>wilson-batting-2000-late-innings-A</t>
  </si>
  <si>
    <t>wilson-batting-2000-late-innings-B</t>
  </si>
  <si>
    <t>clemens-bly-1998-home-A</t>
  </si>
  <si>
    <t>clemens-bly-1998-home-B</t>
  </si>
  <si>
    <t>clemens-bly-1998-away-A</t>
  </si>
  <si>
    <t>clemens-bly-1998-away-B</t>
  </si>
  <si>
    <t>open-university-1975-under-21-A</t>
  </si>
  <si>
    <t>open-university-1975-under-21-B</t>
  </si>
  <si>
    <t>open-university-1975-21-to-40-A</t>
  </si>
  <si>
    <t>open-university-1975-21-to-40-B</t>
  </si>
  <si>
    <t>open-university-1975-over-40-A</t>
  </si>
  <si>
    <t>open-university-1975-over-40-B</t>
  </si>
  <si>
    <t>pisa-immigration-2015-high-performing-A</t>
  </si>
  <si>
    <t>pisa-immigration-2015-high-performing-B</t>
  </si>
  <si>
    <t>pisa-immigration-2015-lower-performing-A</t>
  </si>
  <si>
    <t>pisa-immigration-2015-lower-performing-B</t>
  </si>
  <si>
    <t>wainer-sat-states-1992-northeast-A</t>
  </si>
  <si>
    <t>wainer-sat-states-1992-northeast-B</t>
  </si>
  <si>
    <t>wainer-sat-states-1992-south-A</t>
  </si>
  <si>
    <t>wainer-sat-states-1992-south-B</t>
  </si>
  <si>
    <t>folic-acid-neural-tube-1991-under-28-A</t>
  </si>
  <si>
    <t>folic-acid-neural-tube-1991-under-28-B</t>
  </si>
  <si>
    <t>folic-acid-neural-tube-1991-28-and-over-A</t>
  </si>
  <si>
    <t>folic-acid-neural-tube-1991-28-and-over-B</t>
  </si>
  <si>
    <t>steroid-asthma-severity-mild-A</t>
  </si>
  <si>
    <t>steroid-asthma-severity-mild-B</t>
  </si>
  <si>
    <t>steroid-asthma-severity-severe-A</t>
  </si>
  <si>
    <t>steroid-asthma-severity-severe-B</t>
  </si>
  <si>
    <t>kidney-dialysis-facility-1990-high-severity-A</t>
  </si>
  <si>
    <t>kidney-dialysis-facility-1990-high-severity-B</t>
  </si>
  <si>
    <t>kidney-dialysis-facility-1990-low-severity-A</t>
  </si>
  <si>
    <t>kidney-dialysis-facility-1990-low-severity-B</t>
  </si>
  <si>
    <t>warfarin-bleeding-age-under-65-A</t>
  </si>
  <si>
    <t>warfarin-bleeding-age-under-65-B</t>
  </si>
  <si>
    <t>warfarin-bleeding-age-65-and-over-A</t>
  </si>
  <si>
    <t>warfarin-bleeding-age-65-and-over-B</t>
  </si>
  <si>
    <t>diabetes-metformin-bmi-normal-bmi-A</t>
  </si>
  <si>
    <t>diabetes-metformin-bmi-normal-bmi-B</t>
  </si>
  <si>
    <t>diabetes-metformin-bmi-obese-A</t>
  </si>
  <si>
    <t>diabetes-metformin-bmi-obese-B</t>
  </si>
  <si>
    <t>oncology-trial-stage-early-stage-A</t>
  </si>
  <si>
    <t>oncology-trial-stage-early-stage-B</t>
  </si>
  <si>
    <t>oncology-trial-stage-advanced-stage-A</t>
  </si>
  <si>
    <t>oncology-trial-stage-advanced-stage-B</t>
  </si>
  <si>
    <t>exercise-cholesterol-age-young-A</t>
  </si>
  <si>
    <t>exercise-cholesterol-age-young-B</t>
  </si>
  <si>
    <t>exercise-cholesterol-age-older-A</t>
  </si>
  <si>
    <t>exercise-cholesterol-age-older-B</t>
  </si>
  <si>
    <t>red-meat-colorectal-bmi-normal-weight-A</t>
  </si>
  <si>
    <t>red-meat-colorectal-bmi-normal-weight-B</t>
  </si>
  <si>
    <t>red-meat-colorectal-bmi-overweight-A</t>
  </si>
  <si>
    <t>red-meat-colorectal-bmi-overweight-B</t>
  </si>
  <si>
    <t>folic-fortification-2000-early-fortified-A</t>
  </si>
  <si>
    <t>folic-fortification-2000-early-fortified-B</t>
  </si>
  <si>
    <t>folic-fortification-2000-late-fortified-A</t>
  </si>
  <si>
    <t>folic-fortification-2000-late-fortified-B</t>
  </si>
  <si>
    <t>folic-fortification-2000-voluntary-A</t>
  </si>
  <si>
    <t>folic-fortification-2000-voluntary-B</t>
  </si>
  <si>
    <t>north-carolina-death-penalty-1990-white-victim-A</t>
  </si>
  <si>
    <t>north-carolina-death-penalty-1990-white-victim-B</t>
  </si>
  <si>
    <t>north-carolina-death-penalty-1990-black-victim-A</t>
  </si>
  <si>
    <t>north-carolina-death-penalty-1990-black-victim-B</t>
  </si>
  <si>
    <t>housing-discrimination-audit-high-income-A</t>
  </si>
  <si>
    <t>housing-discrimination-audit-high-income-B</t>
  </si>
  <si>
    <t>housing-discrimination-audit-low-income-A</t>
  </si>
  <si>
    <t>housing-discrimination-audit-low-income-B</t>
  </si>
  <si>
    <t>gender-pay-gap-industry-tech-professional-A</t>
  </si>
  <si>
    <t>gender-pay-gap-industry-tech-professional-B</t>
  </si>
  <si>
    <t>gender-pay-gap-industry-healthcare-A</t>
  </si>
  <si>
    <t>gender-pay-gap-industry-healthcare-B</t>
  </si>
  <si>
    <t>gender-pay-gap-industry-retail-hospitality-A</t>
  </si>
  <si>
    <t>gender-pay-gap-industry-retail-hospitality-B</t>
  </si>
  <si>
    <t>income-education-state-high-education-states-A</t>
  </si>
  <si>
    <t>income-education-state-high-education-states-B</t>
  </si>
  <si>
    <t>income-education-state-low-education-states-A</t>
  </si>
  <si>
    <t>income-education-state-low-education-states-B</t>
  </si>
  <si>
    <t>florida-reef-fish-1994-inshore-A</t>
  </si>
  <si>
    <t>florida-reef-fish-1994-inshore-B</t>
  </si>
  <si>
    <t>florida-reef-fish-1994-offshore-A</t>
  </si>
  <si>
    <t>florida-reef-fish-1994-offshore-B</t>
  </si>
  <si>
    <t>uc-irvine-admissions-1985-engineering-A</t>
  </si>
  <si>
    <t>uc-irvine-admissions-1985-engineering-B</t>
  </si>
  <si>
    <t>uc-irvine-admissions-1985-humanities-A</t>
  </si>
  <si>
    <t>uc-irvine-admissions-1985-humanities-B</t>
  </si>
  <si>
    <t>uc-irvine-admissions-1985-biological-sciences-A</t>
  </si>
  <si>
    <t>uc-irvine-admissions-1985-biological-sciences-B</t>
  </si>
  <si>
    <t>uc-irvine-admissions-1985-social-sciences-A</t>
  </si>
  <si>
    <t>uc-irvine-admissions-1985-social-sciences-B</t>
  </si>
  <si>
    <t>cesarean-birth-weight-2006-normal-bw-A</t>
  </si>
  <si>
    <t>cesarean-birth-weight-2006-normal-bw-B</t>
  </si>
  <si>
    <t>cesarean-birth-weight-2006-low-bw-A</t>
  </si>
  <si>
    <t>cesarean-birth-weight-2006-low-bw-B</t>
  </si>
  <si>
    <t>schizophrenia-antipsychotic-moderate-A</t>
  </si>
  <si>
    <t>schizophrenia-antipsychotic-moderate-B</t>
  </si>
  <si>
    <t>schizophrenia-antipsychotic-severe-A</t>
  </si>
  <si>
    <t>schizophrenia-antipsychotic-severe-B</t>
  </si>
  <si>
    <t>berkeley-six-dept-1973-dept-A-A</t>
  </si>
  <si>
    <t>berkeley-six-dept-1973-dept-A-B</t>
  </si>
  <si>
    <t>berkeley-six-dept-1973-dept-B-A</t>
  </si>
  <si>
    <t>berkeley-six-dept-1973-dept-B-B</t>
  </si>
  <si>
    <t>berkeley-six-dept-1973-dept-C-A</t>
  </si>
  <si>
    <t>berkeley-six-dept-1973-dept-C-B</t>
  </si>
  <si>
    <t>berkeley-six-dept-1973-dept-D-A</t>
  </si>
  <si>
    <t>berkeley-six-dept-1973-dept-D-B</t>
  </si>
  <si>
    <t>berkeley-six-dept-1973-dept-E-A</t>
  </si>
  <si>
    <t>berkeley-six-dept-1973-dept-E-B</t>
  </si>
  <si>
    <t>berkeley-six-dept-1973-dept-F-A</t>
  </si>
  <si>
    <t>berkeley-six-dept-1973-dept-F-B</t>
  </si>
  <si>
    <t>rosiglitazone-mi-pool-2007-imbalanced-trials-A</t>
  </si>
  <si>
    <t>rosiglitazone-mi-pool-2007-imbalanced-trials-B</t>
  </si>
  <si>
    <t>rosiglitazone-mi-pool-2007-balanced-trials-A</t>
  </si>
  <si>
    <t>rosiglitazone-mi-pool-2007-balanced-trials-B</t>
  </si>
  <si>
    <t>ironman-gender-age-2010-young-cohort-A</t>
  </si>
  <si>
    <t>ironman-gender-age-2010-young-cohort-B</t>
  </si>
  <si>
    <t>ironman-gender-age-2010-old-cohort-A</t>
  </si>
  <si>
    <t>ironman-gender-age-2010-old-cohort-B</t>
  </si>
  <si>
    <t>hanley-power-lines-2000-myers-1990-A</t>
  </si>
  <si>
    <t>hanley-power-lines-2000-myers-1990-B</t>
  </si>
  <si>
    <t>hanley-power-lines-2000-feychting-1993-A</t>
  </si>
  <si>
    <t>hanley-power-lines-2000-feychting-1993-B</t>
  </si>
  <si>
    <t>hanley-power-lines-2000-tynes-1997-A</t>
  </si>
  <si>
    <t>hanley-power-lines-2000-tynes-1997-B</t>
  </si>
  <si>
    <t>hanley-power-lines-2000-li-1998-A</t>
  </si>
  <si>
    <t>hanley-power-lines-2000-li-1998-B</t>
  </si>
  <si>
    <t>hanley-power-lines-2000-mcbride-1999-A</t>
  </si>
  <si>
    <t>hanley-power-lines-2000-mcbride-1999-B</t>
  </si>
  <si>
    <t>coffee-smoking-lung-1968-smokers-A</t>
  </si>
  <si>
    <t>coffee-smoking-lung-1968-smokers-B</t>
  </si>
  <si>
    <t>coffee-smoking-lung-1968-nonsmokers-A</t>
  </si>
  <si>
    <t>coffee-smoking-lung-1968-nonsmokers-B</t>
  </si>
  <si>
    <t>panama-sweden-mortality-1975-under-10-A</t>
  </si>
  <si>
    <t>panama-sweden-mortality-1975-under-10-B</t>
  </si>
  <si>
    <t>panama-sweden-mortality-1975-mid-age-A</t>
  </si>
  <si>
    <t>panama-sweden-mortality-1975-mid-age-B</t>
  </si>
  <si>
    <t>panama-sweden-mortality-1975-elderly-A</t>
  </si>
  <si>
    <t>panama-sweden-mortality-1975-elderly-B</t>
  </si>
  <si>
    <t>hrt-whi-2002-observational-A</t>
  </si>
  <si>
    <t>hrt-whi-2002-observational-B</t>
  </si>
  <si>
    <t>hrt-whi-2002-rct-whi-A</t>
  </si>
  <si>
    <t>hrt-whi-2002-rct-whi-B</t>
  </si>
  <si>
    <t>obesity-paradox-hf-no-hf-A</t>
  </si>
  <si>
    <t>obesity-paradox-hf-no-hf-B</t>
  </si>
  <si>
    <t>obesity-paradox-hf-hf-A</t>
  </si>
  <si>
    <t>obesity-paradox-hf-hf-B</t>
  </si>
  <si>
    <t>dialysis-bmi-survival-general-population-A</t>
  </si>
  <si>
    <t>dialysis-bmi-survival-general-population-B</t>
  </si>
  <si>
    <t>dialysis-bmi-survival-esrd-dialysis-A</t>
  </si>
  <si>
    <t>dialysis-bmi-survival-esrd-dialysis-B</t>
  </si>
  <si>
    <t>sick-quitter-alcohol-never-drinkers-only-A</t>
  </si>
  <si>
    <t>sick-quitter-alcohol-never-drinkers-only-B</t>
  </si>
  <si>
    <t>sick-quitter-alcohol-includes-former-drinkers-A</t>
  </si>
  <si>
    <t>sick-quitter-alcohol-includes-former-drinkers-B</t>
  </si>
  <si>
    <t>flu-vaccine-elderly-mortality-under-75-A</t>
  </si>
  <si>
    <t>flu-vaccine-elderly-mortality-under-75-B</t>
  </si>
  <si>
    <t>flu-vaccine-elderly-mortality-75-plus-A</t>
  </si>
  <si>
    <t>flu-vaccine-elderly-mortality-75-plus-B</t>
  </si>
  <si>
    <t>covid-italy-china-cfr-2020-under-60-A</t>
  </si>
  <si>
    <t>covid-italy-china-cfr-2020-under-60-B</t>
  </si>
  <si>
    <t>covid-italy-china-cfr-2020-60-plus-A</t>
  </si>
  <si>
    <t>covid-italy-china-cfr-2020-60-plus-B</t>
  </si>
  <si>
    <t>israel-covid-severe-2021-under-50-A</t>
  </si>
  <si>
    <t>israel-covid-severe-2021-under-50-B</t>
  </si>
  <si>
    <t>israel-covid-severe-2021-50-plus-A</t>
  </si>
  <si>
    <t>israel-covid-severe-2021-50-plus-B</t>
  </si>
  <si>
    <t>cochran-smoking-1968-under-65-A</t>
  </si>
  <si>
    <t>cochran-smoking-1968-under-65-B</t>
  </si>
  <si>
    <t>cochran-smoking-1968-65-plus-A</t>
  </si>
  <si>
    <t>cochran-smoking-1968-65-plus-B</t>
  </si>
  <si>
    <t>healthy-worker-mortality-low-hazard-occupations-A</t>
  </si>
  <si>
    <t>healthy-worker-mortality-low-hazard-occupations-B</t>
  </si>
  <si>
    <t>healthy-worker-mortality-high-hazard-occupations-A</t>
  </si>
  <si>
    <t>healthy-worker-mortality-high-hazard-occupations-B</t>
  </si>
  <si>
    <t>compas-recidivism-base-low-prevalence-group-A</t>
  </si>
  <si>
    <t>compas-recidivism-base-low-prevalence-group-B</t>
  </si>
  <si>
    <t>compas-recidivism-base-high-prevalence-group-A</t>
  </si>
  <si>
    <t>compas-recidivism-base-high-prevalence-group-B</t>
  </si>
  <si>
    <t>us-wage-composition-stagnation-college-educated-A</t>
  </si>
  <si>
    <t>us-wage-composition-stagnation-college-educated-B</t>
  </si>
  <si>
    <t>us-wage-composition-stagnation-non-college-A</t>
  </si>
  <si>
    <t>us-wage-composition-stagnation-non-college-B</t>
  </si>
  <si>
    <t>borjas-immigrant-cohort-recent-arrivals-A</t>
  </si>
  <si>
    <t>borjas-immigrant-cohort-recent-arrivals-B</t>
  </si>
  <si>
    <t>borjas-immigrant-cohort-established-immigrants-A</t>
  </si>
  <si>
    <t>borjas-immigrant-cohort-established-immigrants-B</t>
  </si>
  <si>
    <t>robinson-1950-literacy-high-literacy-states-A</t>
  </si>
  <si>
    <t>robinson-1950-literacy-high-literacy-states-B</t>
  </si>
  <si>
    <t>robinson-1950-literacy-low-literacy-states-A</t>
  </si>
  <si>
    <t>robinson-1950-literacy-low-literacy-states-B</t>
  </si>
  <si>
    <t>ab-test-traffic-mix-week1-young-users-A</t>
  </si>
  <si>
    <t>ab-test-traffic-mix-week1-young-users-B</t>
  </si>
  <si>
    <t>ab-test-traffic-mix-week2-old-users-A</t>
  </si>
  <si>
    <t>ab-test-traffic-mix-week2-old-users-B</t>
  </si>
  <si>
    <t>recsys-offline-eval-head-items-A</t>
  </si>
  <si>
    <t>recsys-offline-eval-head-items-B</t>
  </si>
  <si>
    <t>recsys-offline-eval-tail-items-A</t>
  </si>
  <si>
    <t>recsys-offline-eval-tail-items-B</t>
  </si>
  <si>
    <t>collider-only-synthetic-conditioned-in-A</t>
  </si>
  <si>
    <t>collider-only-synthetic-conditioned-in-B</t>
  </si>
  <si>
    <t>collider-only-synthetic-conditioned-out-A</t>
  </si>
  <si>
    <t>collider-only-synthetic-conditioned-out-B</t>
  </si>
  <si>
    <t>noncollapsibility-or-synthetic-low-prevalence-A</t>
  </si>
  <si>
    <t>noncollapsibility-or-synthetic-low-prevalence-B</t>
  </si>
  <si>
    <t>noncollapsibility-or-synthetic-high-prevalence-A</t>
  </si>
  <si>
    <t>noncollapsibility-or-synthetic-high-prevalence-B</t>
  </si>
  <si>
    <t>trauma-center-mortality-mild-injury-A</t>
  </si>
  <si>
    <t>trauma-center-mortality-mild-injury-B</t>
  </si>
  <si>
    <t>trauma-center-mortality-severe-injury-A</t>
  </si>
  <si>
    <t>trauma-center-mortality-severe-injury-B</t>
  </si>
  <si>
    <t>surgeon-volume-mortality-low-risk-A</t>
  </si>
  <si>
    <t>surgeon-volume-mortality-low-risk-B</t>
  </si>
  <si>
    <t>surgeon-volume-mortality-high-risk-A</t>
  </si>
  <si>
    <t>surgeon-volume-mortality-high-risk-B</t>
  </si>
  <si>
    <t>mammography-length-bias-slow-growing-A</t>
  </si>
  <si>
    <t>mammography-length-bias-slow-growing-B</t>
  </si>
  <si>
    <t>mammography-length-bias-aggressive-A</t>
  </si>
  <si>
    <t>mammography-length-bias-aggressive-B</t>
  </si>
  <si>
    <t>cabg-vs-pci-severity-multivessel-A</t>
  </si>
  <si>
    <t>cabg-vs-pci-severity-multivessel-B</t>
  </si>
  <si>
    <t>cabg-vs-pci-severity-single-vessel-A</t>
  </si>
  <si>
    <t>cabg-vs-pci-severity-single-vessel-B</t>
  </si>
  <si>
    <t>tolbutamide-ugdp-1970-low-risk-centers-A</t>
  </si>
  <si>
    <t>tolbutamide-ugdp-1970-low-risk-centers-B</t>
  </si>
  <si>
    <t>tolbutamide-ugdp-1970-high-risk-centers-A</t>
  </si>
  <si>
    <t>tolbutamide-ugdp-1970-high-risk-centers-B</t>
  </si>
  <si>
    <t>snow-cholera-water-1855-high-exposure-district-A</t>
  </si>
  <si>
    <t>snow-cholera-water-1855-high-exposure-district-B</t>
  </si>
  <si>
    <t>snow-cholera-water-1855-mixed-supply-district-A</t>
  </si>
  <si>
    <t>snow-cholera-water-1855-mixed-supply-district-B</t>
  </si>
  <si>
    <t>seatbelt-crash-severity-minor-crash-A</t>
  </si>
  <si>
    <t>seatbelt-crash-severity-minor-crash-B</t>
  </si>
  <si>
    <t>seatbelt-crash-severity-severe-crash-A</t>
  </si>
  <si>
    <t>seatbelt-crash-severity-severe-crash-B</t>
  </si>
  <si>
    <t>measles-outbreak-vaccinated-high-coverage-setting-A</t>
  </si>
  <si>
    <t>measles-outbreak-vaccinated-high-coverage-setting-B</t>
  </si>
  <si>
    <t>measles-outbreak-vaccinated-lower-coverage-setting-A</t>
  </si>
  <si>
    <t>measles-outbreak-vaccinated-lower-coverage-setting-B</t>
  </si>
  <si>
    <t>air-pollution-mortality-city-younger-population-city-A</t>
  </si>
  <si>
    <t>air-pollution-mortality-city-younger-population-city-B</t>
  </si>
  <si>
    <t>air-pollution-mortality-city-older-population-city-A</t>
  </si>
  <si>
    <t>air-pollution-mortality-city-older-population-city-B</t>
  </si>
  <si>
    <t>tb-treatment-resistance-drug-sensitive-A</t>
  </si>
  <si>
    <t>tb-treatment-resistance-drug-sensitive-B</t>
  </si>
  <si>
    <t>tb-treatment-resistance-drug-resistant-A</t>
  </si>
  <si>
    <t>tb-treatment-resistance-drug-resistant-B</t>
  </si>
  <si>
    <t>hospital-mortality-readmission-high-comorbidity-A</t>
  </si>
  <si>
    <t>hospital-mortality-readmission-high-comorbidity-B</t>
  </si>
  <si>
    <t>hospital-mortality-readmission-low-comorbidity-A</t>
  </si>
  <si>
    <t>hospital-mortality-readmission-low-comorbidity-B</t>
  </si>
  <si>
    <t>nypd-stop-frisk-hitrate-high-crime-precincts-A</t>
  </si>
  <si>
    <t>nypd-stop-frisk-hitrate-high-crime-precincts-B</t>
  </si>
  <si>
    <t>nypd-stop-frisk-hitrate-low-crime-precincts-A</t>
  </si>
  <si>
    <t>nypd-stop-frisk-hitrate-low-crime-precincts-B</t>
  </si>
  <si>
    <t>sentencing-offense-type-violent-offenses-A</t>
  </si>
  <si>
    <t>sentencing-offense-type-violent-offenses-B</t>
  </si>
  <si>
    <t>sentencing-offense-type-nonviolent-offenses-A</t>
  </si>
  <si>
    <t>sentencing-offense-type-nonviolent-offenses-B</t>
  </si>
  <si>
    <t>bail-risk-score-high-risk-tier-A</t>
  </si>
  <si>
    <t>bail-risk-score-high-risk-tier-B</t>
  </si>
  <si>
    <t>bail-risk-score-low-risk-tier-A</t>
  </si>
  <si>
    <t>bail-risk-score-low-risk-tier-B</t>
  </si>
  <si>
    <t>police-force-encounter-discretionary-stop-A</t>
  </si>
  <si>
    <t>police-force-encounter-discretionary-stop-B</t>
  </si>
  <si>
    <t>police-force-encounter-high-risk-call-A</t>
  </si>
  <si>
    <t>police-force-encounter-high-risk-call-B</t>
  </si>
  <si>
    <t>uc-systemwide-admissions-high-selectivity-major-A</t>
  </si>
  <si>
    <t>uc-systemwide-admissions-high-selectivity-major-B</t>
  </si>
  <si>
    <t>uc-systemwide-admissions-lower-selectivity-major-A</t>
  </si>
  <si>
    <t>uc-systemwide-admissions-lower-selectivity-major-B</t>
  </si>
  <si>
    <t>teacher-vam-prior-achievement-high-prior-achievement-A</t>
  </si>
  <si>
    <t>teacher-vam-prior-achievement-high-prior-achievement-B</t>
  </si>
  <si>
    <t>teacher-vam-prior-achievement-low-prior-achievement-A</t>
  </si>
  <si>
    <t>teacher-vam-prior-achievement-low-prior-achievement-B</t>
  </si>
  <si>
    <t>naep-state-demographics-high-poverty-states-A</t>
  </si>
  <si>
    <t>naep-state-demographics-high-poverty-states-B</t>
  </si>
  <si>
    <t>naep-state-demographics-low-poverty-states-A</t>
  </si>
  <si>
    <t>naep-state-demographics-low-poverty-states-B</t>
  </si>
  <si>
    <t>college-grad-rate-selectivity-well-prepared-intake-A</t>
  </si>
  <si>
    <t>college-grad-rate-selectivity-well-prepared-intake-B</t>
  </si>
  <si>
    <t>college-grad-rate-selectivity-under-prepared-intake-A</t>
  </si>
  <si>
    <t>college-grad-rate-selectivity-under-prepared-intake-B</t>
  </si>
  <si>
    <t>star-class-size-inner-city-schools-A</t>
  </si>
  <si>
    <t>star-class-size-inner-city-schools-B</t>
  </si>
  <si>
    <t>star-class-size-suburban-schools-A</t>
  </si>
  <si>
    <t>star-class-size-suburban-schools-B</t>
  </si>
  <si>
    <t>nba-shooting-shot-mix-two-point-attempts-A</t>
  </si>
  <si>
    <t>nba-shooting-shot-mix-two-point-attempts-B</t>
  </si>
  <si>
    <t>nba-shooting-shot-mix-three-point-attempts-A</t>
  </si>
  <si>
    <t>nba-shooting-shot-mix-three-point-attempts-B</t>
  </si>
  <si>
    <t>pitcher-era-ballpark-pitcher-friendly-park-A</t>
  </si>
  <si>
    <t>pitcher-era-ballpark-pitcher-friendly-park-B</t>
  </si>
  <si>
    <t>pitcher-era-ballpark-hitter-friendly-park-A</t>
  </si>
  <si>
    <t>pitcher-era-ballpark-hitter-friendly-park-B</t>
  </si>
  <si>
    <t>nfl-completion-depth-short-pass-A</t>
  </si>
  <si>
    <t>nfl-completion-depth-short-pass-B</t>
  </si>
  <si>
    <t>nfl-completion-depth-deep-pass-A</t>
  </si>
  <si>
    <t>nfl-completion-depth-deep-pass-B</t>
  </si>
  <si>
    <t>field-goal-distance-short-fg-A</t>
  </si>
  <si>
    <t>field-goal-distance-short-fg-B</t>
  </si>
  <si>
    <t>field-goal-distance-long-fg-A</t>
  </si>
  <si>
    <t>field-goal-distance-long-fg-B</t>
  </si>
  <si>
    <t>golf-scoring-course-easy-course-A</t>
  </si>
  <si>
    <t>golf-scoring-course-easy-course-B</t>
  </si>
  <si>
    <t>golf-scoring-course-difficult-course-A</t>
  </si>
  <si>
    <t>golf-scoring-course-difficult-course-B</t>
  </si>
  <si>
    <t>minimum-wage-region-tight-labor-market-A</t>
  </si>
  <si>
    <t>minimum-wage-region-tight-labor-market-B</t>
  </si>
  <si>
    <t>minimum-wage-region-slack-labor-market-A</t>
  </si>
  <si>
    <t>minimum-wage-region-slack-labor-market-B</t>
  </si>
  <si>
    <t>returns-to-education-field-stem-fields-A</t>
  </si>
  <si>
    <t>returns-to-education-field-stem-fields-B</t>
  </si>
  <si>
    <t>returns-to-education-field-non-stem-fields-A</t>
  </si>
  <si>
    <t>returns-to-education-field-non-stem-fields-B</t>
  </si>
  <si>
    <t>unemployment-education-cycle-college-educated-share-A</t>
  </si>
  <si>
    <t>unemployment-education-cycle-college-educated-share-B</t>
  </si>
  <si>
    <t>unemployment-education-cycle-non-college-share-A</t>
  </si>
  <si>
    <t>unemployment-education-cycle-non-college-share-B</t>
  </si>
  <si>
    <t>costa-rica-us-life-expectancy-under-65-A</t>
  </si>
  <si>
    <t>costa-rica-us-life-expectancy-under-65-B</t>
  </si>
  <si>
    <t>costa-rica-us-life-expectancy-65-plus-A</t>
  </si>
  <si>
    <t>costa-rica-us-life-expectancy-65-plus-B</t>
  </si>
  <si>
    <t>fertility-income-country-high-income-countries-A</t>
  </si>
  <si>
    <t>fertility-income-country-high-income-countries-B</t>
  </si>
  <si>
    <t>fertility-income-country-middle-income-countries-A</t>
  </si>
  <si>
    <t>fertility-income-country-middle-income-countries-B</t>
  </si>
  <si>
    <t>religiosity-happiness-country-high-gdp-countries-A</t>
  </si>
  <si>
    <t>religiosity-happiness-country-high-gdp-countries-B</t>
  </si>
  <si>
    <t>religiosity-happiness-country-lower-gdp-countries-A</t>
  </si>
  <si>
    <t>religiosity-happiness-country-lower-gdp-countries-B</t>
  </si>
  <si>
    <t>voter-turnout-education-state-high-education-states-A</t>
  </si>
  <si>
    <t>voter-turnout-education-state-high-education-states-B</t>
  </si>
  <si>
    <t>voter-turnout-education-state-lower-education-states-A</t>
  </si>
  <si>
    <t>voter-turnout-education-state-lower-education-states-B</t>
  </si>
  <si>
    <t>ad-ctr-platform-mix-mobile-traffic-A</t>
  </si>
  <si>
    <t>ad-ctr-platform-mix-mobile-traffic-B</t>
  </si>
  <si>
    <t>ad-ctr-platform-mix-desktop-traffic-A</t>
  </si>
  <si>
    <t>ad-ctr-platform-mix-desktop-traffic-B</t>
  </si>
  <si>
    <t>StratumSummaryId</t>
  </si>
  <si>
    <t>StratumSuccesses</t>
  </si>
  <si>
    <t>StratumCases</t>
  </si>
  <si>
    <t>StratumSuccessRate</t>
  </si>
  <si>
    <t>StratumSuccessesA</t>
  </si>
  <si>
    <t>StratumCasesA</t>
  </si>
  <si>
    <t>StratumRateA</t>
  </si>
  <si>
    <t>StratumSuccessesB</t>
  </si>
  <si>
    <t>StratumCasesB</t>
  </si>
  <si>
    <t>StratumRateB</t>
  </si>
  <si>
    <t>StratumWinner</t>
  </si>
  <si>
    <t>StudyTotalCases</t>
  </si>
  <si>
    <t>StratumTotalCases</t>
  </si>
  <si>
    <t>StratumFraction</t>
  </si>
  <si>
    <t>WeightedStratumRate</t>
  </si>
  <si>
    <t>TreatmentACasesHere</t>
  </si>
  <si>
    <t>TreatmentBCasesHere</t>
  </si>
  <si>
    <t>TreatmentATotalCases</t>
  </si>
  <si>
    <t>TreatmentBTotalCases</t>
  </si>
  <si>
    <t>AllocationFractionA</t>
  </si>
  <si>
    <t>AllocationFractionB</t>
  </si>
  <si>
    <t>AllocationBias</t>
  </si>
  <si>
    <t>StratumGap</t>
  </si>
  <si>
    <t>WeightedStratumGap</t>
  </si>
  <si>
    <t>birth-weight-paradox-low-birth-weight-A</t>
  </si>
  <si>
    <t>birth-weight-paradox-low-birth-weight-B</t>
  </si>
  <si>
    <t>birth-weight-paradox-normal-birth-weight-A</t>
  </si>
  <si>
    <t>birth-weight-paradox-normal-birth-weight-B</t>
  </si>
  <si>
    <t>melanoma-altman-1991-thin-A</t>
  </si>
  <si>
    <t>melanoma-altman-1991-thin-B</t>
  </si>
  <si>
    <t>melanoma-altman-1991-thick-A</t>
  </si>
  <si>
    <t>melanoma-altman-1991-thick-B</t>
  </si>
  <si>
    <t>coffee-tverdal-2020-non-smoker-A</t>
  </si>
  <si>
    <t>coffee-tverdal-2020-non-smoker-B</t>
  </si>
  <si>
    <t>coffee-tverdal-2020-smoker-A</t>
  </si>
  <si>
    <t>coffee-tverdal-2020-smoker-B</t>
  </si>
  <si>
    <t>sat-wainer-1986-low-spending-A</t>
  </si>
  <si>
    <t>sat-wainer-1986-low-spending-B</t>
  </si>
  <si>
    <t>sat-wainer-1986-high-spending-A</t>
  </si>
  <si>
    <t>sat-wainer-1986-high-spending-B</t>
  </si>
  <si>
    <t>ModelSummaryId</t>
  </si>
  <si>
    <t>ReversalCount</t>
  </si>
  <si>
    <t>NonReversalCount</t>
  </si>
  <si>
    <t>StudyCount</t>
  </si>
  <si>
    <t>ExplainedCount</t>
  </si>
  <si>
    <t>TotalParadoxStrength</t>
  </si>
  <si>
    <t>AvgParadoxStrength</t>
  </si>
  <si>
    <t>TypeACount</t>
  </si>
  <si>
    <t>TypeBCount</t>
  </si>
  <si>
    <t>TypeDCount</t>
  </si>
  <si>
    <t>TypeAFraction</t>
  </si>
  <si>
    <t>DistortionTaxonomyCoverage</t>
  </si>
  <si>
    <t>DistortionOnlyCount</t>
  </si>
  <si>
    <t>CAmplificationCount</t>
  </si>
  <si>
    <t>CCompressionCount</t>
  </si>
  <si>
    <t>AvgSignalPurity</t>
  </si>
  <si>
    <t>SweepCorrectedGapMax</t>
  </si>
  <si>
    <t>SweepCorrectedGapMin</t>
  </si>
  <si>
    <t>SweepCorrectedGapRange</t>
  </si>
  <si>
    <t>SweepPooledGapRange</t>
  </si>
  <si>
    <t>RealStudyCount</t>
  </si>
  <si>
    <t>AvgSignalPurityReversal</t>
  </si>
  <si>
    <t>AvgSignalPurityNonReversal</t>
  </si>
  <si>
    <t>SignalPurityGap</t>
  </si>
  <si>
    <t>MedicineStudyCount</t>
  </si>
  <si>
    <t>EpidemiologyStudyCount</t>
  </si>
  <si>
    <t>OtherDomainStudyCount</t>
  </si>
  <si>
    <t>DomainDiversityNote</t>
  </si>
  <si>
    <t>SyntheticPhaseCount</t>
  </si>
  <si>
    <t>PhaseDiagramComplete</t>
  </si>
  <si>
    <t>PhaseTaxonomyCoverage</t>
  </si>
  <si>
    <t>IngestionProtocolItemCount</t>
  </si>
  <si>
    <t>CorpusPassesIngestionContract</t>
  </si>
  <si>
    <t>IngestionWitnessNote</t>
  </si>
  <si>
    <t>CatalogEntryCount</t>
  </si>
  <si>
    <t>PendingImportCount</t>
  </si>
  <si>
    <t>ReadyToEncodeCount</t>
  </si>
  <si>
    <t>ImportSessionReady</t>
  </si>
  <si>
    <t>CatalogWitnessNote</t>
  </si>
  <si>
    <t>LatentTypeDCount</t>
  </si>
  <si>
    <t>StableTypeDCount</t>
  </si>
  <si>
    <t>LatentTypeDFraction</t>
  </si>
  <si>
    <t>CrossZeroCount</t>
  </si>
  <si>
    <t>SignFlipSignalPurityMax</t>
  </si>
  <si>
    <t>EconomicsSignFlipCount</t>
  </si>
  <si>
    <t>AvgPooledGapLatentD</t>
  </si>
  <si>
    <t>AvgPooledGapStableD</t>
  </si>
  <si>
    <t>EpidemiologyAvgDistortion</t>
  </si>
  <si>
    <t>EducationAvgDistortion</t>
  </si>
  <si>
    <t>DiscoveryWitnessNote</t>
  </si>
  <si>
    <t>simpsons-paradox-v1</t>
  </si>
  <si>
    <t>StratumVariableId</t>
  </si>
  <si>
    <t>VariableName</t>
  </si>
  <si>
    <t>AffectsTreatmentAssignment</t>
  </si>
  <si>
    <t>AffectsOutcome</t>
  </si>
  <si>
    <t>IsConfounder</t>
  </si>
  <si>
    <t>MechanismNote</t>
  </si>
  <si>
    <t>ConditioningRisk</t>
  </si>
  <si>
    <t>kidney-1986-stone-size</t>
  </si>
  <si>
    <t>stone_size</t>
  </si>
  <si>
    <t>confounder</t>
  </si>
  <si>
    <t>Large kidney stones were preferentially assigned to Treatment A (the more aggressive procedure), while small stones more often received Treatment B. Independently, large stones have lower baseline cure rates regardless of treatment. This dual influence — on both assignment and on outcome — is what drives the pooled reversal.</t>
  </si>
  <si>
    <t>berkeley-1973-department</t>
  </si>
  <si>
    <t>department</t>
  </si>
  <si>
    <t>contested</t>
  </si>
  <si>
    <t>Department choice correlates with both gender (women applied disproportionately to competitive departments) and admission rate (competitive departments admit fewer applicants regardless of gender). However, department choice may itself be downstream of gender — if women systematically self-select into harder departments due to societal factors, then department is a mediator, not a confounder. The causal role is genuinely contested in the literature. IsConfounder=FALSE because CausalRole='contested', not because the flags are false.</t>
  </si>
  <si>
    <t>kidney-balanced-stone-size</t>
  </si>
  <si>
    <t>In this counterfactual, stone size still affects outcome (hard cases have lower success rates) but does NOT affect treatment assignment — both treatments receive exactly 50% of their cases in each stratum. Because treatment assignment is now independent of stone size, no confounding occurs and AllocationBias=0 everywhere. IsConfounder=FALSE (AffectsTreatmentAssignment=false). The reversal is impossible by construction.</t>
  </si>
  <si>
    <t>balanced-synthetic-stratum</t>
  </si>
  <si>
    <t>stratum</t>
  </si>
  <si>
    <t>unknown</t>
  </si>
  <si>
    <t>The stratum variable affects outcome (easy vs hard conditions) but does NOT affect treatment assignment — each treatment receives exactly 50% of its cases in each stratum. Because treatment assignment is independent of stratum, no confounding can occur and the pooled rate must agree with every per-stratum comparison.</t>
  </si>
  <si>
    <t>none</t>
  </si>
  <si>
    <t>compressed-synthetic-stratum</t>
  </si>
  <si>
    <t>difficulty</t>
  </si>
  <si>
    <t>Case difficulty affects both which treatment patients receive (A is over-allocated to hard cases: 60% vs 40%) and the outcome (hard cases have lower success rates for both treatments). This IS confounding — but the confounding is not strong enough to flip the pooled winner. A wins in every stratum and also wins pooled. The allocation compresses A's pooled advantage (from equal-weight 10pp down to actual 6pp) but does not erase it. This is type-C distortion: real confounding, partial distortion, no reversal.</t>
  </si>
  <si>
    <t>reintjes-2000-hospital-incidence</t>
  </si>
  <si>
    <t>hospital_incidence_level</t>
  </si>
  <si>
    <t>Hospital baseline UTI incidence affects both whether a patient received prophylaxis (high-incidence hospitals were more likely to forgo it, concentrating controls there) and the outcome (high-incidence hospitals have higher UTI rates regardless of treatment). Most prophylaxis patients are in low-incidence hospitals (1113/1279=87%), which depresses the aggregate prophylaxis UTI rate below the aggregate control rate — inverting the within-stratum finding.</t>
  </si>
  <si>
    <t>radelet-1981-victim-race</t>
  </si>
  <si>
    <t>victim_race</t>
  </si>
  <si>
    <t>Victim race affects both defendant race (cross-race homicides are rare — most black defendants killed black victims, most white defendants killed white victims) and sentencing outcome (white-victim cases receive the death penalty ~5× more often: ~17.7% vs ~3.3%). This is classic confounding. Black defendants are disproportionately concentrated in the black-victim stratum (low sentence rate), pulling their aggregate death penalty rate below white defendants' rate — even though black defendants are MORE likely to be sentenced to death within each victim-race stratum.</t>
  </si>
  <si>
    <t>jeter-justice-1997-season</t>
  </si>
  <si>
    <t>season_year</t>
  </si>
  <si>
    <t>The season year affects both the player's at-bat count (treatment assignment proxy — Justice's heaviest season was 1995 when his average was lowest; Jeter's heaviest were 1996-97 when his average was higher) and the outcome (players hit differently in different years). Justice front-loaded his ABs into his worst year (411 of 1046 = 39% in 1995 at .253); Jeter back-loaded into his stronger years (1236 of 1284 = 96% in 1996-97 at .300-.314). This differential allocation of AB-weight across years flips the combined average despite Justice winning every year individually.</t>
  </si>
  <si>
    <t>appleton-1996-age</t>
  </si>
  <si>
    <t>age_group_at_baseline</t>
  </si>
  <si>
    <t>Age at baseline confounds both smoking status and 20-year mortality. Smoking affects age distribution in the cohort (survivorship bias: people who smoked heavily and were older had already died before the 1972-74 baseline survey, so the surviving smokers skew younger). Age strongly determines 20-year mortality regardless of smoking. The result: smokers are over-represented in low-mortality age strata (18-44), pulling the pooled smoker mortality rate below the true within-stratum risk. This is the textbook epidemiological confounding by age pattern, often called the "healthy smoker" fallacy in this particular dataset.</t>
  </si>
  <si>
    <t>phe-covid-2021-age</t>
  </si>
  <si>
    <t>age_group</t>
  </si>
  <si>
    <t>Age group is a powerful confounder. It affects vaccine uptake (older people were prioritised and had much higher vaccination rates in the UK's 2021 rollout — 23% of vaccinated are 50+ vs only 2.3% of unvaccinated) and strongly determines COVID-19 mortality (50+ CFR is ~40× higher than under-50 CFR in this dataset regardless of vaccination). The vaccinated cohort is therefore loaded with high-risk patients, inflating the pooled vaccinated death rate to 0.41% vs 0.17% for unvaccinated — reversing the within-stratum relationship where vaccines reduce death rates by 3× to 4× in every age group.</t>
  </si>
  <si>
    <t>hannan-1994-patient-risk</t>
  </si>
  <si>
    <t>patient_risk_class</t>
  </si>
  <si>
    <t>Patient risk class affects both hospital assignment (high-volume centers receive referrals of sicker patients — 70% of A caseload is high-risk vs only 20% at B) and surgical outcome (high-risk patients have dramatically higher operative mortality regardless of hospital volume). High-volume hospitals win in every risk stratum (15pp advantage in high-risk, 2pp in low-risk) and also win pooled — but their pooled survival advantage is compressed from 7.9pp (equal-weight stratum average) down to 2.8pp (actual pooled) because they carry so many harder cases. IsSignFlip=FALSE, AllocationDistortion≈0.05 — the geometry of type-C distortion: real confounding, partial distortion, no reversal.</t>
  </si>
  <si>
    <t>titanic-1912-sex</t>
  </si>
  <si>
    <t>passenger_sex</t>
  </si>
  <si>
    <t>Passenger sex affects both cabin class (1st class had a higher fraction of women — 45% vs 26% in 3rd class, reflecting social travel patterns of the era) and survival outcome ('women and children first' evacuation protocol gave women dramatically higher survival rates regardless of class). The over-representation of women in 1st class inflates the pooled 1st-class survival advantage beyond the per-stratum (per-sex) average — the pooled gap (37.4pp) exceeds the equal-weight average (33.4pp). AllocationDistortion&gt;0, IsSignFlip=FALSE → type-C.</t>
  </si>
  <si>
    <t>bwp-weight-class</t>
  </si>
  <si>
    <t>birth_weight_category</t>
  </si>
  <si>
    <t>mediator</t>
  </si>
  <si>
    <t>Birth weight category is a mediator, not a classical confounder — it lies on the causal pathway from maternal smoking to infant mortality (smoking causes low birth weight, which causes elevated mortality). Conditioning on birth weight (stratifying) opens a collider path: among LBW infants, smoker babies are 'selected in' via a milder mechanism (growth restriction) while non-smoker LBW babies are more likely to have serious congenital causes. This creates the paradox: smokers appear to have better LBW survival not because smoking is protective, but because the comparison groups differ in unobserved severity. IsSignFlip=TRUE, RI=0.5 → type-B (partial reversal: smokers win LBW stratum, non-smokers win NBW, non-smokers win pooled).</t>
  </si>
  <si>
    <t>melanoma-sex</t>
  </si>
  <si>
    <t>patient_sex</t>
  </si>
  <si>
    <t>Patient sex affects both tumor thickness at presentation (women self-examine and seek medical attention earlier — 70% of female melanomas are thin vs 40% of male melanomas) and survival outcome (beyond the thickness effect, female sex is an independent prognostic factor for melanoma). Women's concentration in the high-survival thin-tumor stratum inflates their pooled survival advantage from 7.9pp (equal-weight per-stratum average) to 18pp (actual pooled). IsSignFlip=FALSE, AllocationDistortion=0.094 → type-C inflation.</t>
  </si>
  <si>
    <t>coffee-smoking</t>
  </si>
  <si>
    <t>smoking_status</t>
  </si>
  <si>
    <t>Smoking status affects CHD outcome (smokers have higher baseline CHD risk) but does NOT materially affect coffee consumption (equal allocation across strata in this study design). Because treatment assignment is effectively independent of the confounder, no allocation imbalance occurs and the pooled estimate agrees with the per-stratum estimates. AllocationDistortion≈0 → type-D: no Simpson distortion. This study is the clean null case — confounders that do not create allocation imbalance do not distort the pooled result.</t>
  </si>
  <si>
    <t>sat-school-spending</t>
  </si>
  <si>
    <t>state_school_spending</t>
  </si>
  <si>
    <t>State school spending confounds the participation-rate / SAT-score comparison. High-spending states tend to have high participation (more students take the SAT, including weaker students), and high spending is independently associated with better educational outcomes. Within each spending stratum, high-participation states do better (or tie), because controlling for spending removes the quality signal. But in high-spending states, the small self-selected pool of test-takers from low-participation states outscores the broad pool from high-participation states — reversing the low-spending stratum winner. IsSignFlip=TRUE, RI=0.5 → type-B partial reversal.</t>
  </si>
  <si>
    <t>proxy</t>
  </si>
  <si>
    <t>rogers-nicewander-1988-position_group</t>
  </si>
  <si>
    <t>position_group</t>
  </si>
  <si>
    <t>Series stratum affects both at-bat allocation (Fairly had 36 AB combined vs Lefebvre 22) and batting average. Fairly wins each series individually but loses combined — classic type-A reversal via differential AB weighting.</t>
  </si>
  <si>
    <t>lucente-baseball-1995-month_half</t>
  </si>
  <si>
    <t>month_half</t>
  </si>
  <si>
    <t>First-half vs second-half season affects both at-bat volume and batting average. Player A front-loads ABs into weaker half, flipping combined ranking.</t>
  </si>
  <si>
    <t>wilson-batting-2000-inning_half</t>
  </si>
  <si>
    <t>inning_half</t>
  </si>
  <si>
    <t>Inning half confounds at-bat allocation and success rate; differential weighting across early vs late innings produces reversal.</t>
  </si>
  <si>
    <t>clemens-bly-1998-home_away</t>
  </si>
  <si>
    <t>home_away</t>
  </si>
  <si>
    <t>Home/away stratum affects both at-bat counts and batting success; Clemens-type allocation imbalance flips combined ranking.</t>
  </si>
  <si>
    <t>open-university-1975-age_band</t>
  </si>
  <si>
    <t>age_band</t>
  </si>
  <si>
    <t>Age band affects both gender composition (more females in younger high-pass cohorts) and pass rate. Males win in two strata; females win pooled — partial reversal pattern (type-B geometry).</t>
  </si>
  <si>
    <t>pisa-immigration-2015-country</t>
  </si>
  <si>
    <t>country</t>
  </si>
  <si>
    <t>Country stratum confounds immigrant status and reading proficiency; self-selection into high-performing countries drives pooled reversal.</t>
  </si>
  <si>
    <t>wainer-sat-states-1992-region</t>
  </si>
  <si>
    <t>region</t>
  </si>
  <si>
    <t>Region confounds participation rate (treatment A=high participation, B=low) and SAT success; mirrors Wainer 1986 geometry with geographic strata.</t>
  </si>
  <si>
    <t>folic-acid-neural-tube-1991-maternal_age</t>
  </si>
  <si>
    <t>maternal_age</t>
  </si>
  <si>
    <t>Maternal age affects both folic acid uptake (younger mothers less supplement use) and NTD baseline risk; stratification reveals treatment benefit masked in aggregate.</t>
  </si>
  <si>
    <t>steroid-asthma-severity-disease_severity</t>
  </si>
  <si>
    <t>disease_severity</t>
  </si>
  <si>
    <t>Disease severity confounds treatment assignment and asthma control outcome; pooled comparison inverts within-stratum steroid benefit.</t>
  </si>
  <si>
    <t>kidney-dialysis-facility-1990-case_mix</t>
  </si>
  <si>
    <t>case_mix</t>
  </si>
  <si>
    <t>Case-mix severity affects facility referral and mortality; high-volume centers win in each stratum but pooled margin compressed (type-C-).</t>
  </si>
  <si>
    <t>warfarin-bleeding-age-age_group</t>
  </si>
  <si>
    <t>Age affects both warfarin initiation (older patients more likely treated) and bleeding risk; pooled comparison partially reverses within-stratum pattern.</t>
  </si>
  <si>
    <t>diabetes-metformin-bmi-bmi_category</t>
  </si>
  <si>
    <t>bmi_category</t>
  </si>
  <si>
    <t>BMI category drives both metformin prescribing and glycemic control; aggregate comparison reverses within-stratum metformin advantage.</t>
  </si>
  <si>
    <t>oncology-trial-stage-cancer_stage</t>
  </si>
  <si>
    <t>cancer_stage</t>
  </si>
  <si>
    <t>Cancer stage affects both chemotherapy regimen selection and response probability; pooled comparison inverts within-stratum regimen ranking.</t>
  </si>
  <si>
    <t>exercise-cholesterol-age-age_group</t>
  </si>
  <si>
    <t>Age affects exercise participation and baseline cholesterol; younger exercisers dominate high-success stratum, flipping pooled comparison.</t>
  </si>
  <si>
    <t>red-meat-colorectal-bmi-bmi_category</t>
  </si>
  <si>
    <t>BMI affects red-meat consumption patterns and colorectal cancer risk; allocation distortion inflates pooled association without full sign flip (type-C+).</t>
  </si>
  <si>
    <t>folic-fortification-2000-region</t>
  </si>
  <si>
    <t>Regional fortification timing affects both folate exposure and baseline NTD surveillance intensity; regional strata reveal fortification benefit masked in aggregate.</t>
  </si>
  <si>
    <t>north-carolina-death-penalty-1990-victim_race</t>
  </si>
  <si>
    <t>Victim race affects defendant race distribution and death sentence probability; same confounding geometry as Radelet Florida — type-A reversal.</t>
  </si>
  <si>
    <t>housing-discrimination-audit-neighborhood_income</t>
  </si>
  <si>
    <t>neighborhood_income</t>
  </si>
  <si>
    <t>Neighborhood income affects both tester pairing location and callback rate; minority testers concentrated in low-income strata with lower callbacks, producing partial reversal.</t>
  </si>
  <si>
    <t>gender-pay-gap-industry-industry_sector</t>
  </si>
  <si>
    <t>industry_sector</t>
  </si>
  <si>
    <t>Industry sector confounds gender composition and wage level; women over-represented in lower-wage sectors, producing aggregate pay gap reversal within sectors.</t>
  </si>
  <si>
    <t>income-education-state-state</t>
  </si>
  <si>
    <t>state</t>
  </si>
  <si>
    <t>State education level confounds college attainment and income; allocation distortion amplifies pooled gap (type-C+).</t>
  </si>
  <si>
    <t>florida-reef-fish-1994-gear_type</t>
  </si>
  <si>
    <t>gear_type</t>
  </si>
  <si>
    <t>Gear type affects both fishing location/species target and catch success rate; pooled ranking reverses within-gear comparison.</t>
  </si>
  <si>
    <t>uc-irvine-admissions-1985-department</t>
  </si>
  <si>
    <t>Department choice correlates with gender and admission rate; same contested-confounder geometry as Berkeley 1973 — partial reversal expected.</t>
  </si>
  <si>
    <t>cesarean-birth-weight-2006-birth_weight</t>
  </si>
  <si>
    <t>birth_weight</t>
  </si>
  <si>
    <t>Birth weight affects presentation mode and cesarean indication; low-birth-weight stratum concentrates high-risk presentations, compressing pooled comparison (type-C-).</t>
  </si>
  <si>
    <t>schizophrenia-antipsychotic-illness_severity</t>
  </si>
  <si>
    <t>illness_severity</t>
  </si>
  <si>
    <t>Illness severity drives both antipsychotic choice and remission probability; severe patients concentrated on drug A, inverting pooled response comparison.</t>
  </si>
  <si>
    <t>berkeley-six-dept-1973-department</t>
  </si>
  <si>
    <t>Department self-selection confounds gender-admission comparison; causal role contested (same as berkeley-1973).</t>
  </si>
  <si>
    <t>rosiglitazone-mi-pool-2007-trial_allocation_profile</t>
  </si>
  <si>
    <t>trial_allocation_profile</t>
  </si>
  <si>
    <t>Arm-size imbalance across trials confounds naive pooling; Mantel-Haenszel vs crude pool diverge.</t>
  </si>
  <si>
    <t>ironman-gender-age-2010-age_cohort</t>
  </si>
  <si>
    <t>age_cohort</t>
  </si>
  <si>
    <t>Cohort mix confounds sex comparison; women faster within each cohort.</t>
  </si>
  <si>
    <t>hanley-power-lines-2000-source_study</t>
  </si>
  <si>
    <t>source_study</t>
  </si>
  <si>
    <t>Investigator-induced case-control ratio heterogeneity across studies; meta-analysis Simpson paradox.</t>
  </si>
  <si>
    <t>coffee-smoking-lung-1968-smoking_status</t>
  </si>
  <si>
    <t>Smoking confounds coffee-cancer association; pooled direction reverses stratum-specific pattern.</t>
  </si>
  <si>
    <t>panama-sweden-mortality-1975-age_group</t>
  </si>
  <si>
    <t>Age distribution confounds country comparison; Panama better within each age group.</t>
  </si>
  <si>
    <t>hrt-whi-2002-study_design</t>
  </si>
  <si>
    <t>study_design</t>
  </si>
  <si>
    <t>Healthy-user selection in observational stratum vs RCT randomization in WHI stratum. Cross-design reversal; causal role contested (healthy-user vs true harm).</t>
  </si>
  <si>
    <t>obesity-paradox-hf-heart_failure_status</t>
  </si>
  <si>
    <t>heart_failure_status</t>
  </si>
  <si>
    <t>collider</t>
  </si>
  <si>
    <t>Conditioning on HF status induces collider bias: obese patients survive longer among HF patients but not in the general population.</t>
  </si>
  <si>
    <t>dialysis-bmi-survival-esrd_status</t>
  </si>
  <si>
    <t>esrd_status</t>
  </si>
  <si>
    <t>Conditioning on ESRD/dialysis status: higher BMI associated with better survival among dialysis patients (reverse epidemiology).</t>
  </si>
  <si>
    <t>sick-quitter-alcohol-abstainer_composition</t>
  </si>
  <si>
    <t>abstainer_composition</t>
  </si>
  <si>
    <t>Former drinkers (sick quitters) included in abstainer reference group. Causal role contested: collider/selection vs residual confounding.</t>
  </si>
  <si>
    <t>flu-vaccine-elderly-mortality-age_group</t>
  </si>
  <si>
    <t>Frailty and age confound vaccine uptake and mortality. Vaccinated appear more likely to die pooled despite lower mortality within each age stratum.</t>
  </si>
  <si>
    <t>covid-italy-china-cfr-2020-age_group</t>
  </si>
  <si>
    <t>Age structure confounds cross-country CFR comparison. Italy lower CFR in each age stratum yet higher pooled due to older population.</t>
  </si>
  <si>
    <t>israel-covid-severe-2021-age_group</t>
  </si>
  <si>
    <t>Age confounds vaccination status and severe COVID outcome. Vaccinated have higher pooled severe rate despite lower rate in every age stratum.</t>
  </si>
  <si>
    <t>cochran-smoking-1968-age_group</t>
  </si>
  <si>
    <t>Smokers younger on average; age confounds smoking-mortality comparison. Smokers worse in every age stratum yet better pooled.</t>
  </si>
  <si>
    <t>healthy-worker-mortality-employment_status</t>
  </si>
  <si>
    <t>employment_status</t>
  </si>
  <si>
    <t>selection</t>
  </si>
  <si>
    <t>Healthy-worker selection: employed cohort healthier at hire. Selection mechanism, not classical confounding.</t>
  </si>
  <si>
    <t>compas-recidivism-base-group_base_rate</t>
  </si>
  <si>
    <t>group_base_rate</t>
  </si>
  <si>
    <t>Differing recidivism base rates across demographic groups produce fairness metric reversals. Links to Chouldechova impossibility theorem.</t>
  </si>
  <si>
    <t>us-wage-composition-stagnation-workforce_composition</t>
  </si>
  <si>
    <t>workforce_composition</t>
  </si>
  <si>
    <t>Workforce composition shift toward lower-wage education groups. Each subgroup wage rises yet aggregate median flat or falls.</t>
  </si>
  <si>
    <t>borjas-immigrant-cohort-arrival_cohort</t>
  </si>
  <si>
    <t>arrival_cohort</t>
  </si>
  <si>
    <t>Arrival cohort composition confounds cross-section vs longitudinal assimilation comparisons.</t>
  </si>
  <si>
    <t>robinson-1950-literacy-state_aggregation</t>
  </si>
  <si>
    <t>state_aggregation</t>
  </si>
  <si>
    <t>Ecological aggregation: immigrants settle in high-literacy states. Individual-level nativity-literacy association reverses at state level.</t>
  </si>
  <si>
    <t>ab-test-traffic-mix-time_varying_segment</t>
  </si>
  <si>
    <t>time_varying_segment</t>
  </si>
  <si>
    <t>Traffic composition shifts between user segments across experiment weeks. Segment mix confounds variant comparison.</t>
  </si>
  <si>
    <t>recsys-offline-eval-exposure_popularity</t>
  </si>
  <si>
    <t>exposure_popularity</t>
  </si>
  <si>
    <t>Exposure/popularity confounds offline metric comparison. New model wins on head items, loses on tail; pooled metric reverses.</t>
  </si>
  <si>
    <t>collider-only-synthetic-constructed_collider</t>
  </si>
  <si>
    <t>constructed_collider</t>
  </si>
  <si>
    <t>Constructed collider with zero confounding. Reversal induced solely by conditioning on selection variable.</t>
  </si>
  <si>
    <t>noncollapsibility-or-synthetic-noncollapsible_measure</t>
  </si>
  <si>
    <t>noncollapsible_measure</t>
  </si>
  <si>
    <t>Non-collapsibility-only control: OR would reverse if used as measure, but risk difference (Successes/Cases) does not reverse. AllocationDistortion framing cannot represent OR non-collapsibility — documented blind spot.</t>
  </si>
  <si>
    <t>trauma-center-mortality-injury_severity</t>
  </si>
  <si>
    <t>injury_severity</t>
  </si>
  <si>
    <t>Injury severity confounds referral to trauma centers and mortality; higher-level centers receive more severe cases.</t>
  </si>
  <si>
    <t>surgeon-volume-mortality-baseline_risk</t>
  </si>
  <si>
    <t>baseline_risk</t>
  </si>
  <si>
    <t>Baseline risk confounds surgeon volume assignment and operative mortality.</t>
  </si>
  <si>
    <t>mammography-length-bias-detection_mode</t>
  </si>
  <si>
    <t>detection_mode</t>
  </si>
  <si>
    <t>Detection mode selects slower-progressing cancers; screen-detected cases appear more survivable pooled.</t>
  </si>
  <si>
    <t>cabg-vs-pci-severity-coronary_severity</t>
  </si>
  <si>
    <t>coronary_severity</t>
  </si>
  <si>
    <t>Disease severity confounds revascularization choice and outcomes; sicker patients directed to CABG.</t>
  </si>
  <si>
    <t>tolbutamide-ugdp-1970-center_baseline_risk</t>
  </si>
  <si>
    <t>center_baseline_risk</t>
  </si>
  <si>
    <t>Center baseline risk heterogeneity confounds tolbutamide vs placebo comparison; causal adjudication contested.</t>
  </si>
  <si>
    <t>snow-cholera-water-1855-water_company</t>
  </si>
  <si>
    <t>water_company</t>
  </si>
  <si>
    <t>Water company supply confounds cholera exposure; S&amp;V supply areas had higher mortality in each sub-period but composition drives pooled comparison.</t>
  </si>
  <si>
    <t>seatbelt-crash-severity-crash_occurrence</t>
  </si>
  <si>
    <t>crash_occurrence</t>
  </si>
  <si>
    <t>Conditioning on crash involvement: belted drivers in more severe crashes; collider induces reversal.</t>
  </si>
  <si>
    <t>measles-outbreak-vaccinated-vaccination_base_rate</t>
  </si>
  <si>
    <t>vaccination_base_rate</t>
  </si>
  <si>
    <t>High vaccination coverage means most cases occur among vaccinated individuals despite lower attack rate within each exposure stratum.</t>
  </si>
  <si>
    <t>air-pollution-mortality-city-city</t>
  </si>
  <si>
    <t>city</t>
  </si>
  <si>
    <t>City-level age/socioeconomic composition confounds pollution exposure and mortality; ecological comparison reverses within-city gradients.</t>
  </si>
  <si>
    <t>tb-treatment-resistance-drug_resistance</t>
  </si>
  <si>
    <t>drug_resistance</t>
  </si>
  <si>
    <t>Drug resistance confounds regimen assignment and treatment success; pooled comparison reverses stratum-specific pattern.</t>
  </si>
  <si>
    <t>hospital-mortality-readmission-case_mix</t>
  </si>
  <si>
    <t>Case-mix severity confounds penalty status and mortality; sicker patients concentrated in penalized hospitals.</t>
  </si>
  <si>
    <t>nypd-stop-frisk-hitrate-precinct_base_rate</t>
  </si>
  <si>
    <t>precinct_base_rate</t>
  </si>
  <si>
    <t>Precinct crime base rate confounds stop volume and hit rate; benchmarking reversal across precincts.</t>
  </si>
  <si>
    <t>sentencing-offense-type-offense_category</t>
  </si>
  <si>
    <t>offense_category</t>
  </si>
  <si>
    <t>Offense category mix confounds demographic comparison and sentence severity; pooled disparity reverses within-category pattern.</t>
  </si>
  <si>
    <t>bail-risk-score-pretrial_risk_tier</t>
  </si>
  <si>
    <t>pretrial_risk_tier</t>
  </si>
  <si>
    <t>Risk tier confounds detention decision and rearrest outcome; case-mix drives pooled comparison.</t>
  </si>
  <si>
    <t>police-force-encounter-encounter_conditioning</t>
  </si>
  <si>
    <t>encounter_conditioning</t>
  </si>
  <si>
    <t>Conditioning on police encounter induces collider bias; force rates reverse when pooling across encounter types.</t>
  </si>
  <si>
    <t>uc-systemwide-admissions-major_campus</t>
  </si>
  <si>
    <t>major_campus</t>
  </si>
  <si>
    <t>Self-selection into major/campus confounds admission comparison; causal role contested (mediator vs confounder).</t>
  </si>
  <si>
    <t>teacher-vam-prior-achievement-incoming_achievement</t>
  </si>
  <si>
    <t>incoming_achievement</t>
  </si>
  <si>
    <t>Incoming achievement confounds teacher assignment and student outcomes; VAM reverses within strata.</t>
  </si>
  <si>
    <t>naep-state-demographics-state_composition</t>
  </si>
  <si>
    <t>state_composition</t>
  </si>
  <si>
    <t>State demographic composition confounds comparison and proficiency rates; ecological aggregation reversal.</t>
  </si>
  <si>
    <t>college-grad-rate-selectivity-incoming_preparation</t>
  </si>
  <si>
    <t>incoming_preparation</t>
  </si>
  <si>
    <t>Incoming preparation confounds selectivity and graduation; less selective schools win within strata but lose pooled.</t>
  </si>
  <si>
    <t>star-class-size-school</t>
  </si>
  <si>
    <t>school</t>
  </si>
  <si>
    <t>School site confounds class-size assignment; near-neutral type-D geometry expected.</t>
  </si>
  <si>
    <t>nba-shooting-shot-mix-shot_type</t>
  </si>
  <si>
    <t>shot_type</t>
  </si>
  <si>
    <t>Shot-type mix confounds shooting comparison; higher FG% in both shot types but lower pooled due to 3PT volume.</t>
  </si>
  <si>
    <t>pitcher-era-ballpark-ballpark</t>
  </si>
  <si>
    <t>ballpark</t>
  </si>
  <si>
    <t>Ballpark run environment confounds pitcher comparison and ERA outcomes.</t>
  </si>
  <si>
    <t>nfl-completion-depth-pass_depth</t>
  </si>
  <si>
    <t>pass_depth</t>
  </si>
  <si>
    <t>Pass-depth mix confounds QB comparison; higher completion in each depth stratum but lower pooled.</t>
  </si>
  <si>
    <t>field-goal-distance-kick_distance</t>
  </si>
  <si>
    <t>kick_distance</t>
  </si>
  <si>
    <t>Attempt distance distribution confounds kicker comparison; better within distance bins but worse pooled.</t>
  </si>
  <si>
    <t>golf-scoring-course-course_difficulty</t>
  </si>
  <si>
    <t>course_difficulty</t>
  </si>
  <si>
    <t>Course difficulty mix confounds golfer comparison; better on both course types but worse pooled schedule mix.</t>
  </si>
  <si>
    <t>minimum-wage-region-region</t>
  </si>
  <si>
    <t>Regional labor market conditions confound minimum-wage exposure and employment outcomes.</t>
  </si>
  <si>
    <t>returns-to-education-field-field_of_study</t>
  </si>
  <si>
    <t>field_of_study</t>
  </si>
  <si>
    <t>Field of study mediates education-earnings relationship; causal role contested.</t>
  </si>
  <si>
    <t>unemployment-education-cycle-education_composition</t>
  </si>
  <si>
    <t>education_composition</t>
  </si>
  <si>
    <t>Education composition shifts over the business cycle confound aggregate unemployment comparisons.</t>
  </si>
  <si>
    <t>costa-rica-us-life-expectancy-age_group</t>
  </si>
  <si>
    <t>Age structure confounds cross-national life expectancy comparison.</t>
  </si>
  <si>
    <t>fertility-income-country-country</t>
  </si>
  <si>
    <t>Country-level development confounds income and fertility; ecological paradox across nations.</t>
  </si>
  <si>
    <t>religiosity-happiness-country-national_wealth</t>
  </si>
  <si>
    <t>national_wealth</t>
  </si>
  <si>
    <t>National wealth confounds religiosity and happiness; pooled cross-country comparison reverses within-country pattern.</t>
  </si>
  <si>
    <t>voter-turnout-education-state-state</t>
  </si>
  <si>
    <t>State demographic composition confounds education-turnout relationship; ecological reversal.</t>
  </si>
  <si>
    <t>ad-ctr-platform-mix-platform</t>
  </si>
  <si>
    <t>platform</t>
  </si>
  <si>
    <t>Platform mix confounds creative comparison; CTR reversal from segment composition shift.</t>
  </si>
  <si>
    <t>TreatmentRankingId</t>
  </si>
  <si>
    <t>TreatmentA</t>
  </si>
  <si>
    <t>TreatmentB</t>
  </si>
  <si>
    <t>TotalCasesA</t>
  </si>
  <si>
    <t>TotalSuccessesA</t>
  </si>
  <si>
    <t>PooledRateA</t>
  </si>
  <si>
    <t>TotalCasesB</t>
  </si>
  <si>
    <t>TotalSuccessesB</t>
  </si>
  <si>
    <t>PooledRateB</t>
  </si>
  <si>
    <t>PooledWinner</t>
  </si>
  <si>
    <t>StratumCount</t>
  </si>
  <si>
    <t>StrataWonByA</t>
  </si>
  <si>
    <t>StrataWonByB</t>
  </si>
  <si>
    <t>PerStratumWinner</t>
  </si>
  <si>
    <t>IsReversal</t>
  </si>
  <si>
    <t>ConfoundersInStudy</t>
  </si>
  <si>
    <t>IsParadoxExplained</t>
  </si>
  <si>
    <t>PooledGap</t>
  </si>
  <si>
    <t>StrataWonByLoser</t>
  </si>
  <si>
    <t>ParadoxStrength</t>
  </si>
  <si>
    <t>PooledRateFromWeightsA</t>
  </si>
  <si>
    <t>PooledRateFromWeightsB</t>
  </si>
  <si>
    <t>ReversalIntensity</t>
  </si>
  <si>
    <t>ThresholdMargin</t>
  </si>
  <si>
    <t>SignedPooledGap</t>
  </si>
  <si>
    <t>WeightedStratumGapSum</t>
  </si>
  <si>
    <t>CorrectedGap</t>
  </si>
  <si>
    <t>CorrectedVsPooledAgreement</t>
  </si>
  <si>
    <t>CorrectedPolicyImplication</t>
  </si>
  <si>
    <t>AllocationDirection</t>
  </si>
  <si>
    <t>PooledGapCrossesZero</t>
  </si>
  <si>
    <t>LatentFlipPotential</t>
  </si>
  <si>
    <t>AllocationFragility</t>
  </si>
  <si>
    <t>StudyDomain</t>
  </si>
  <si>
    <t>ConfirmedCausalRoleCount</t>
  </si>
  <si>
    <t>MediatorRiskCount</t>
  </si>
  <si>
    <t>ContestedStratumCount</t>
  </si>
  <si>
    <t>UnknownCausalRoleCount</t>
  </si>
  <si>
    <t>CausalClaimStatus</t>
  </si>
  <si>
    <t>AdjustmentAppropriate</t>
  </si>
  <si>
    <t>AdjustmentRationale</t>
  </si>
  <si>
    <t>kidney-1986-A-vs-B</t>
  </si>
  <si>
    <t>Stone size is a confirmed confounder (affects both assignment and outcome via baseline severity). Conditioning recovers the true per-stratum treatment effect.</t>
  </si>
  <si>
    <t>kidney-balanced-A-vs-B</t>
  </si>
  <si>
    <t>Balanced allocation; stone size is a confounder but allocation distortion is negligible (Type D). CorrectedGap = SignedPooledGap. Adjustment appropriate but immaterial.</t>
  </si>
  <si>
    <t>balanced-synthetic-A-vs-B</t>
  </si>
  <si>
    <t>Synthetic study with balanced allocation and unknown causal role. No causal warrant for adjustment — CorrectedGap is a geometric identity here.</t>
  </si>
  <si>
    <t>berkeley-1973-A-vs-B</t>
  </si>
  <si>
    <t>Department is a contested stratum variable: applicants self-select departments (endogenous), so department may be a mediator of gender bias rather than a confounder of it. Conditioning on department could block the very discrimination pathway under investigation. Adjustment should not be applied without resolving the causal model.</t>
  </si>
  <si>
    <t>compressed-synthetic-A-vs-B</t>
  </si>
  <si>
    <t>Synthetic study with confirmed confounder structure. CorrectedGap is an appropriate estimate of the equal-weight treatment effect.</t>
  </si>
  <si>
    <t>reintjes-2000-A-vs-B</t>
  </si>
  <si>
    <t>Hospital incidence rate is a confirmed confounder (affects both vaccination coverage and cholera outcome via baseline risk). Adjustment appropriate.</t>
  </si>
  <si>
    <t>radelet-1981-A-vs-B</t>
  </si>
  <si>
    <t>Victim race is a confirmed confounder (affects both treatment assignment — prosecutor decisions — and outcome). Adjustment recovers the allocation-free signal.</t>
  </si>
  <si>
    <t>jeter-justice-1997-A-vs-B</t>
  </si>
  <si>
    <t>Season is a confirmed confounder (affects both pitch type distribution and hit rates via pitcher fatigue and pitch selection). Adjustment appropriate.</t>
  </si>
  <si>
    <t>appleton-1996-A-vs-B</t>
  </si>
  <si>
    <t>Age is a confirmed confounder (affects both smoking prevalence and mortality). Conditioning recovers the true per-age-group mortality differential.</t>
  </si>
  <si>
    <t>phe-covid-2021-A-vs-B</t>
  </si>
  <si>
    <t>Age is a confirmed confounder (affects both vaccination uptake and COVID mortality). Adjustment appropriate and well-established in epidemiology.</t>
  </si>
  <si>
    <t>hannan-1994-A-vs-B</t>
  </si>
  <si>
    <t>Patient risk is a confirmed confounder (sicker patients are assigned to specialist centres and have worse outcomes). Adjustment appropriate for comparing surgical outcomes fairly.</t>
  </si>
  <si>
    <t>titanic-1912-A-vs-B</t>
  </si>
  <si>
    <t>Sex is a confirmed confounder (affected both lifeboat boarding priority and survival). Adjustment appropriate.</t>
  </si>
  <si>
    <t>birth-weight-paradox-A-vs-B</t>
  </si>
  <si>
    <t>Birth weight class is a MEDIATOR of the effect of maternal smoking on infant mortality (smoking causes low birth weight, which then causes mortality). Conditioning on a mediator blocks the causal path and introduces collider bias among low-birth-weight infants. AdjustmentAppropriate=FALSE: CorrectedGap does not recover the true causal effect here.</t>
  </si>
  <si>
    <t>melanoma-altman-1991-A-vs-B</t>
  </si>
  <si>
    <t>Sex is a confirmed confounder (affects both tumour location and survival). Adjustment appropriate.</t>
  </si>
  <si>
    <t>coffee-tverdal-2020-A-vs-B</t>
  </si>
  <si>
    <t>Smoking is a confirmed confounder (affects both coffee consumption patterns and cardiovascular outcomes). Adjustment appropriate.</t>
  </si>
  <si>
    <t>sat-wainer-1986-A-vs-B</t>
  </si>
  <si>
    <t>School spending is a proxy for underlying socioeconomic status (SES), which is the true confounder. Conditioning on a noisy proxy only partially removes confounding. Adjustment is directionally appropriate but should be interpreted cautiously — residual confounding by unmeasured SES components is likely.</t>
  </si>
  <si>
    <t>rogers-nicewander-1988-A-vs-B</t>
  </si>
  <si>
    <t>Confirmed confounder pre-registered in StratumVariables; stratification-adjusted estimate is epistemically appropriate for imported real study.</t>
  </si>
  <si>
    <t>lucente-baseball-1995-A-vs-B</t>
  </si>
  <si>
    <t>wilson-batting-2000-A-vs-B</t>
  </si>
  <si>
    <t>clemens-bly-1998-A-vs-B</t>
  </si>
  <si>
    <t>open-university-1975-A-vs-B</t>
  </si>
  <si>
    <t>pisa-immigration-2015-A-vs-B</t>
  </si>
  <si>
    <t>wainer-sat-states-1992-A-vs-B</t>
  </si>
  <si>
    <t>folic-acid-neural-tube-1991-A-vs-B</t>
  </si>
  <si>
    <t>steroid-asthma-severity-A-vs-B</t>
  </si>
  <si>
    <t>kidney-dialysis-facility-1990-A-vs-B</t>
  </si>
  <si>
    <t>warfarin-bleeding-age-A-vs-B</t>
  </si>
  <si>
    <t>diabetes-metformin-bmi-A-vs-B</t>
  </si>
  <si>
    <t>oncology-trial-stage-A-vs-B</t>
  </si>
  <si>
    <t>exercise-cholesterol-age-A-vs-B</t>
  </si>
  <si>
    <t>red-meat-colorectal-bmi-A-vs-B</t>
  </si>
  <si>
    <t>folic-fortification-2000-A-vs-B</t>
  </si>
  <si>
    <t>north-carolina-death-penalty-1990-A-vs-B</t>
  </si>
  <si>
    <t>housing-discrimination-audit-A-vs-B</t>
  </si>
  <si>
    <t>gender-pay-gap-industry-A-vs-B</t>
  </si>
  <si>
    <t>income-education-state-A-vs-B</t>
  </si>
  <si>
    <t>florida-reef-fish-1994-A-vs-B</t>
  </si>
  <si>
    <t>uc-irvine-admissions-1985-A-vs-B</t>
  </si>
  <si>
    <t>Causal role contested — geometric correction is available but adjustment requires caution about endogenous stratum choice.</t>
  </si>
  <si>
    <t>cesarean-birth-weight-2006-A-vs-B</t>
  </si>
  <si>
    <t>schizophrenia-antipsychotic-A-vs-B</t>
  </si>
  <si>
    <t>berkeley-six-dept-1973-A-vs-B</t>
  </si>
  <si>
    <t>rosiglitazone-mi-pool-2007-A-vs-B</t>
  </si>
  <si>
    <t>ironman-gender-age-2010-A-vs-B</t>
  </si>
  <si>
    <t>panama-sweden-mortality-1975-A-vs-B</t>
  </si>
  <si>
    <t>hanley-power-lines-2000-A-vs-B</t>
  </si>
  <si>
    <t>coffee-smoking-lung-1968-A-vs-B</t>
  </si>
  <si>
    <t>hrt-whi-2002-A-vs-B</t>
  </si>
  <si>
    <t>obesity-paradox-hf-A-vs-B</t>
  </si>
  <si>
    <t>Stratum variable is a collider/selection mechanism; conditioning induces spurious association — AdjustmentAppropriate=FALSE.</t>
  </si>
  <si>
    <t>dialysis-bmi-survival-A-vs-B</t>
  </si>
  <si>
    <t>sick-quitter-alcohol-A-vs-B</t>
  </si>
  <si>
    <t>flu-vaccine-elderly-mortality-A-vs-B</t>
  </si>
  <si>
    <t>covid-italy-china-cfr-2020-A-vs-B</t>
  </si>
  <si>
    <t>israel-covid-severe-2021-A-vs-B</t>
  </si>
  <si>
    <t>cochran-smoking-1968-A-vs-B</t>
  </si>
  <si>
    <t>healthy-worker-mortality-A-vs-B</t>
  </si>
  <si>
    <t>compas-recidivism-base-A-vs-B</t>
  </si>
  <si>
    <t>us-wage-composition-stagnation-A-vs-B</t>
  </si>
  <si>
    <t>borjas-immigrant-cohort-A-vs-B</t>
  </si>
  <si>
    <t>robinson-1950-literacy-A-vs-B</t>
  </si>
  <si>
    <t>ab-test-traffic-mix-A-vs-B</t>
  </si>
  <si>
    <t>recsys-offline-eval-A-vs-B</t>
  </si>
  <si>
    <t>collider-only-synthetic-A-vs-B</t>
  </si>
  <si>
    <t>noncollapsibility-or-synthetic-A-vs-B</t>
  </si>
  <si>
    <t>Geometric-only synthetic: measures non-collapsibility blind spot. Risk-difference geometry is type-D neutral; OR non-collapsibility documented in MechanismNote only.</t>
  </si>
  <si>
    <t>trauma-center-mortality-A-vs-B</t>
  </si>
  <si>
    <t>surgeon-volume-mortality-A-vs-B</t>
  </si>
  <si>
    <t>mammography-length-bias-A-vs-B</t>
  </si>
  <si>
    <t>cabg-vs-pci-severity-A-vs-B</t>
  </si>
  <si>
    <t>tolbutamide-ugdp-1970-A-vs-B</t>
  </si>
  <si>
    <t>snow-cholera-water-1855-A-vs-B</t>
  </si>
  <si>
    <t>seatbelt-crash-severity-A-vs-B</t>
  </si>
  <si>
    <t>measles-outbreak-vaccinated-A-vs-B</t>
  </si>
  <si>
    <t>air-pollution-mortality-city-A-vs-B</t>
  </si>
  <si>
    <t>tb-treatment-resistance-A-vs-B</t>
  </si>
  <si>
    <t>hospital-mortality-readmission-A-vs-B</t>
  </si>
  <si>
    <t>nypd-stop-frisk-hitrate-A-vs-B</t>
  </si>
  <si>
    <t>sentencing-offense-type-A-vs-B</t>
  </si>
  <si>
    <t>bail-risk-score-A-vs-B</t>
  </si>
  <si>
    <t>police-force-encounter-A-vs-B</t>
  </si>
  <si>
    <t>uc-systemwide-admissions-A-vs-B</t>
  </si>
  <si>
    <t>teacher-vam-prior-achievement-A-vs-B</t>
  </si>
  <si>
    <t>naep-state-demographics-A-vs-B</t>
  </si>
  <si>
    <t>college-grad-rate-selectivity-A-vs-B</t>
  </si>
  <si>
    <t>star-class-size-A-vs-B</t>
  </si>
  <si>
    <t>nba-shooting-shot-mix-A-vs-B</t>
  </si>
  <si>
    <t>pitcher-era-ballpark-A-vs-B</t>
  </si>
  <si>
    <t>nfl-completion-depth-A-vs-B</t>
  </si>
  <si>
    <t>field-goal-distance-A-vs-B</t>
  </si>
  <si>
    <t>golf-scoring-course-A-vs-B</t>
  </si>
  <si>
    <t>minimum-wage-region-A-vs-B</t>
  </si>
  <si>
    <t>returns-to-education-field-A-vs-B</t>
  </si>
  <si>
    <t>unemployment-education-cycle-A-vs-B</t>
  </si>
  <si>
    <t>costa-rica-us-life-expectancy-A-vs-B</t>
  </si>
  <si>
    <t>fertility-income-country-A-vs-B</t>
  </si>
  <si>
    <t>religiosity-happiness-country-A-vs-B</t>
  </si>
  <si>
    <t>voter-turnout-education-state-A-vs-B</t>
  </si>
  <si>
    <t>ad-ctr-platform-mix-A-vs-B</t>
  </si>
  <si>
    <t>InvariantCheckId</t>
  </si>
  <si>
    <t>AlgebraicStatement</t>
  </si>
  <si>
    <t>NaturalLanguage</t>
  </si>
  <si>
    <t>SourceTable</t>
  </si>
  <si>
    <t>FilterExpression</t>
  </si>
  <si>
    <t>AssertionExpression</t>
  </si>
  <si>
    <t>SqlFilter</t>
  </si>
  <si>
    <t>SqlAssertion</t>
  </si>
  <si>
    <t>PassCount</t>
  </si>
  <si>
    <t>FailCount</t>
  </si>
  <si>
    <t>UniverseCount</t>
  </si>
  <si>
    <t>IsGreen</t>
  </si>
  <si>
    <t>StatusLabel</t>
  </si>
  <si>
    <t>Severity</t>
  </si>
  <si>
    <t>ProtectsConclusion</t>
  </si>
  <si>
    <t>TraditionKeyClaimSummary</t>
  </si>
  <si>
    <t>ProtectsConclusionTitle</t>
  </si>
  <si>
    <t>ProtectsConclusionCategory</t>
  </si>
  <si>
    <t>inv-taxonomy-complete</t>
  </si>
  <si>
    <t>DistortionType ∈ {A,B,C+,C-,D} for all rows</t>
  </si>
  <si>
    <t>Every TreatmentRanking row in the 40-study corpus must have a non-null five-type DistortionType. A blank classification means the DAG has a gap.</t>
  </si>
  <si>
    <t>DistortionType IS NOT NULL AND DistortionType &lt;&gt; ''</t>
  </si>
  <si>
    <t>distortion_type IS NOT NULL AND distortion_type &lt;&gt; ''</t>
  </si>
  <si>
    <t>critical</t>
  </si>
  <si>
    <t>conc-01-paradox-is-derived</t>
  </si>
  <si>
    <t>inv-type-ab-sign-flip</t>
  </si>
  <si>
    <t>DistortionType ∈ {A,B} → IsSignFlip=TRUE</t>
  </si>
  <si>
    <t>Types A and B are sign-flip reversals. A study classified A or B where IsSignFlip is FALSE violates the type definition.</t>
  </si>
  <si>
    <t>DistortionType IN ('A','B')</t>
  </si>
  <si>
    <t>IsSignFlip = TRUE</t>
  </si>
  <si>
    <t>distortion_type IN ('A','B')</t>
  </si>
  <si>
    <t>is_sign_flip = TRUE</t>
  </si>
  <si>
    <t>conc-03-binary-excludes-partial</t>
  </si>
  <si>
    <t>inv-type-cd-no-sign-flip</t>
  </si>
  <si>
    <t>DistortionType ∈ {C+,C-,D} → IsSignFlip=FALSE</t>
  </si>
  <si>
    <t>Types C+, C-, and D are non-reversal types. Any such study where IsSignFlip is TRUE is a classification contradiction.</t>
  </si>
  <si>
    <t>DistortionType IN ('C+','C-','D')</t>
  </si>
  <si>
    <t>IsSignFlip = FALSE</t>
  </si>
  <si>
    <t>distortion_type LIKE 'C%' OR distortion_type = 'D'</t>
  </si>
  <si>
    <t>(is_sign_flip = FALSE OR is_sign_flip IS NULL)</t>
  </si>
  <si>
    <t>conc-04-type-c-exists</t>
  </si>
  <si>
    <t>inv-sign-flip-winner</t>
  </si>
  <si>
    <t>IsSignFlip=TRUE → CorrectedVsPooledAgreement=FALSE</t>
  </si>
  <si>
    <t>When pooled and equal-weight signals point in opposite directions (IsSignFlip), the corrected winner must differ from the pooled winner.</t>
  </si>
  <si>
    <t>CorrectedVsPooledAgreement = FALSE</t>
  </si>
  <si>
    <t>corrected_vs_pooled_agreement = FALSE</t>
  </si>
  <si>
    <t>conc-11-reversal-recovery</t>
  </si>
  <si>
    <t>inv-type-d-agreement</t>
  </si>
  <si>
    <t>DistortionType=D → CorrectedVsPooledAgreement=TRUE</t>
  </si>
  <si>
    <t>Type-D studies have negligible allocation distortion so corrected and pooled winners must agree (including tie).</t>
  </si>
  <si>
    <t>DistortionType = 'D'</t>
  </si>
  <si>
    <t>CorrectedVsPooledAgreement = TRUE</t>
  </si>
  <si>
    <t>distortion_type = 'D'</t>
  </si>
  <si>
    <t>corrected_vs_pooled_agreement = TRUE</t>
  </si>
  <si>
    <t>conc-02-reversal-from-allocation</t>
  </si>
  <si>
    <t>inv-type-d-low-distortion</t>
  </si>
  <si>
    <t>DistortionType=D → AllocationDistortion &lt; 0.01</t>
  </si>
  <si>
    <t>Type D is defined as allocation-free (distortion below the 1pp threshold).</t>
  </si>
  <si>
    <t>AllocationDistortion &lt; 0.01</t>
  </si>
  <si>
    <t>allocation_distortion &lt; 0.01</t>
  </si>
  <si>
    <t>inv-corrected-gap-sign</t>
  </si>
  <si>
    <t>SIGN(CorrectedGap) = SIGN(WeightedStratumGapSum)</t>
  </si>
  <si>
    <t>CorrectedGap is WeightedStratumGapSum; their signs must always agree.</t>
  </si>
  <si>
    <t>WeightedStratumGapSum IS NOT NULL</t>
  </si>
  <si>
    <t>SIGN(corrected_gap) = SIGN(weighted_stratum_gap_sum)</t>
  </si>
  <si>
    <t>weighted_stratum_gap_sum IS NOT NULL</t>
  </si>
  <si>
    <t>inv-corrected-gap-invariant</t>
  </si>
  <si>
    <t>SweepCorrectedGapRange &lt; 0.0001 for every study</t>
  </si>
  <si>
    <t>CorrectedGap must be constant across all allocation fractions for EVERY study in the sweep (all 90+ studies). Each SweepStudySummary row must pass.</t>
  </si>
  <si>
    <t>SweepStudySummary</t>
  </si>
  <si>
    <t>sweep_corrected_gap_range &lt; 0.0001</t>
  </si>
  <si>
    <t>inv-pooled-gap-wanders</t>
  </si>
  <si>
    <t>Type A/B → SweepPooledGapRange &gt; 0.01</t>
  </si>
  <si>
    <t>Pooled gap should move under allocation reweighting for reversal studies. Warning-only: small-magnitude reversals may have narrow sweep range.</t>
  </si>
  <si>
    <t>DistortionTypeLabel IN ('A','B')</t>
  </si>
  <si>
    <t>sweep_pooled_gap_range &gt; 0.01</t>
  </si>
  <si>
    <t>distortion_type_label IN ('A', 'B')</t>
  </si>
  <si>
    <t>warning</t>
  </si>
  <si>
    <t>inv-pooled-gap-crosses-zero</t>
  </si>
  <si>
    <t>Type A → PooledGapCrossesZero=TRUE</t>
  </si>
  <si>
    <t>Full Type-A reversals (attenuated sign flip) must cross zero somewhere in the allocation sweep. Type B partial reversals are excluded — their sweep may stay same-sign.</t>
  </si>
  <si>
    <t>DistortionTypeLabel = 'A'</t>
  </si>
  <si>
    <t>pooled_gap_crosses_zero = TRUE</t>
  </si>
  <si>
    <t>distortion_type_label = 'A'</t>
  </si>
  <si>
    <t>inv-cplus-ratio-gt-1</t>
  </si>
  <si>
    <t>DistortionType = C+ → DistortionRatio &gt; 1</t>
  </si>
  <si>
    <t>Every Type-C+ study has DistortionRatio &gt; 1 (amplification).</t>
  </si>
  <si>
    <t>DistortionType = 'C+'</t>
  </si>
  <si>
    <t>DistortionRatio &gt; 1</t>
  </si>
  <si>
    <t>distortion_type = 'C+'</t>
  </si>
  <si>
    <t>distortion_ratio &gt; 1</t>
  </si>
  <si>
    <t>inv-cminus-ratio-in-01</t>
  </si>
  <si>
    <t>DistortionType = C- → DistortionRatio ∈ (0, 1)</t>
  </si>
  <si>
    <t>Every Type-C- study has DistortionRatio in (0,1) (compression).</t>
  </si>
  <si>
    <t>DistortionType = 'C-'</t>
  </si>
  <si>
    <t>DistortionRatio &gt; 0 AND DistortionRatio &lt; 1</t>
  </si>
  <si>
    <t>distortion_type = 'C-'</t>
  </si>
  <si>
    <t>distortion_ratio &gt; 0 AND distortion_ratio &lt; 1</t>
  </si>
  <si>
    <t>inv-signal-purity-sign-flip</t>
  </si>
  <si>
    <t>AllocationDirection = 'reversal' → SignalPurity &lt; 0.5</t>
  </si>
  <si>
    <t>Signal-purity theorem: reversal studies have SignalPurity below 0.5.</t>
  </si>
  <si>
    <t>AllocationDirection = 'reversal'</t>
  </si>
  <si>
    <t>SignalPurity &lt; 0.5</t>
  </si>
  <si>
    <t>allocation_direction = 'reversal'</t>
  </si>
  <si>
    <t>signal_purity &lt; 0.5</t>
  </si>
  <si>
    <t>conc-09-causal-vs-geometric</t>
  </si>
  <si>
    <t>inv-phase-diagram-five-types</t>
  </si>
  <si>
    <t>AllFiveTypesPresent = TRUE</t>
  </si>
  <si>
    <t>The five-cell distortion taxonomy is complete in the synthetic phase grid.</t>
  </si>
  <si>
    <t>PhaseDiagramSummary</t>
  </si>
  <si>
    <t>all_five_types_present = TRUE</t>
  </si>
  <si>
    <t>inv-ingestion-contract</t>
  </si>
  <si>
    <t>IngestionContractPasses = TRUE</t>
  </si>
  <si>
    <t>Every CaseCell satisfies the ingestion validity predicate; every real study has a pre-registered confounder.</t>
  </si>
  <si>
    <t>IngestionSummary</t>
  </si>
  <si>
    <t>ingestion_contract_passes = TRUE</t>
  </si>
  <si>
    <t>inv-import-session-ready</t>
  </si>
  <si>
    <t>CandidateCount = 0 (all encode-ready catalog rows imported)</t>
  </si>
  <si>
    <t>Post loop-59: REAL? backlog drained; zero catalog rows remain with IngestionStatus=candidate (blocked rows excluded).</t>
  </si>
  <si>
    <t>CorpusCatalogSummary</t>
  </si>
  <si>
    <t>CandidateCount = 0</t>
  </si>
  <si>
    <t>candidate_count = 0</t>
  </si>
  <si>
    <t>inv-catalog-imported-linked</t>
  </si>
  <si>
    <t>IngestionStatus = imported → LinkedStudyId ∈ Studies</t>
  </si>
  <si>
    <t>Every imported catalog row links to an existing Studies.StudyId.</t>
  </si>
  <si>
    <t>CandidateStudyCatalog</t>
  </si>
  <si>
    <t>IngestionStatus = imported</t>
  </si>
  <si>
    <t>LinkedStudyId &lt;&gt; ""</t>
  </si>
  <si>
    <t>ingestion_status = 'imported'</t>
  </si>
  <si>
    <t>linked_study_id IS NOT NULL AND linked_study_id &lt;&gt; ''</t>
  </si>
  <si>
    <t>inv-type-a-ratio-negative</t>
  </si>
  <si>
    <t>DistortionType = A → DistortionRatio ∈ (-1, 0)</t>
  </si>
  <si>
    <t>Type-A studies have negative DistortionRatio with magnitude below 1 (attenuated sign flip).</t>
  </si>
  <si>
    <t>DistortionType = 'A'</t>
  </si>
  <si>
    <t>DistortionRatio &lt; 0 AND ABS(DistortionRatio) &lt; 1</t>
  </si>
  <si>
    <t>distortion_type = 'A'</t>
  </si>
  <si>
    <t>distortion_ratio &lt; 0 AND ABS(distortion_ratio) &lt; 1</t>
  </si>
  <si>
    <t>inv-type-b-ratio-lt-neg1</t>
  </si>
  <si>
    <t>DistortionType = B → DistortionRatio &lt; -1</t>
  </si>
  <si>
    <t>Type-B studies have DistortionRatio &lt; -1 (amplified sign flip).</t>
  </si>
  <si>
    <t>DistortionType = 'B'</t>
  </si>
  <si>
    <t>DistortionRatio &lt; -1</t>
  </si>
  <si>
    <t>distortion_type = 'B'</t>
  </si>
  <si>
    <t>distortion_ratio &lt; -1</t>
  </si>
  <si>
    <t>inv-type-c-ratio-positive</t>
  </si>
  <si>
    <t>DistortionType ∈ {C+,C-} → DistortionRatio &gt; 0</t>
  </si>
  <si>
    <t>Type-C studies have positive DistortionRatio (same direction, no sign flip).</t>
  </si>
  <si>
    <t>DistortionType IN ('C+','C-')</t>
  </si>
  <si>
    <t>DistortionRatio &gt; 0</t>
  </si>
  <si>
    <t>distortion_type LIKE 'C%'</t>
  </si>
  <si>
    <t>distortion_ratio &gt; 0</t>
  </si>
  <si>
    <t>inv-type-d-ratio-near-unity</t>
  </si>
  <si>
    <t>DistortionType = D → ABS(DistortionRatio - 1) &lt; 0.15 OR |CorrectedGap| &lt; 0.01</t>
  </si>
  <si>
    <t>Type-D studies have ratio near 1 when signal exists; degenerate near-zero gaps may yield ratio far from 1 or NULL.</t>
  </si>
  <si>
    <t>ABS(DistortionRatio - 1) &lt; 0.15 OR ABS(CorrectedGap) &lt; 0.01 OR DistortionRatio IS NULL</t>
  </si>
  <si>
    <t>ABS(distortion_ratio - 1) &lt; 0.15 OR ABS(corrected_gap) &lt; 0.01 OR distortion_ratio IS NULL</t>
  </si>
  <si>
    <t>inv-latent-d-majority</t>
  </si>
  <si>
    <t>LatentTypeDFraction &gt; 0.5</t>
  </si>
  <si>
    <t>More than half of Type-D studies have latent flip potential under allocation sweep.</t>
  </si>
  <si>
    <t>ModelSummary</t>
  </si>
  <si>
    <t>latent_type_d_fraction &gt; 0.5</t>
  </si>
  <si>
    <t>conc-15-latent-flip-potential</t>
  </si>
  <si>
    <t>inv-discovery-all-confirmed</t>
  </si>
  <si>
    <t>COUNTIFS(DiscoveryFindings IsConfirmed FALSE WHERE EpistemicTier=corpus-hypothesis) = 0</t>
  </si>
  <si>
    <t>All loop-61 pre-registered corpus hypotheses (excluding definition-linked consistency checks) must confirm against the live corpus.</t>
  </si>
  <si>
    <t>DiscoveryFindings</t>
  </si>
  <si>
    <t>HypothesisEpistemicTier = corpus-hypothesis</t>
  </si>
  <si>
    <t>IsConfirmed = TRUE</t>
  </si>
  <si>
    <t>hypothesis_id IN ('H-latent-d', 'H-small-effect', 'H-econ-zero', 'H-domain-dist')</t>
  </si>
  <si>
    <t>is_confirmed = TRUE</t>
  </si>
  <si>
    <t>MetaKey</t>
  </si>
  <si>
    <t>ValueType</t>
  </si>
  <si>
    <t>StringValue</t>
  </si>
  <si>
    <t>JsonValue</t>
  </si>
  <si>
    <t>cmcc_summary</t>
  </si>
  <si>
    <t>string</t>
  </si>
  <si>
    <t>Domain mirror of Simpson's Paradox. Entities: Studies, Treatments, Strata, CaseCells. CellSuccessRate is the first derived fact. Pooled rates, per-stratum rates, and the reversal fall out as higher-order derived nodes in subsequent loops.</t>
  </si>
  <si>
    <t>source</t>
  </si>
  <si>
    <t>hand-authored</t>
  </si>
  <si>
    <t>tool_version</t>
  </si>
  <si>
    <t>1.0.0</t>
  </si>
  <si>
    <t>export_mode</t>
  </si>
  <si>
    <t>schema_first_type_mapping</t>
  </si>
  <si>
    <t>loop</t>
  </si>
  <si>
    <t>loop-23b-unified-rulebook</t>
  </si>
  <si>
    <t>tagline</t>
  </si>
  <si>
    <t>A digital mirror of Simpson's Paradox — the paradox falls out of the DAG as a derived fact, never modeled directly.</t>
  </si>
  <si>
    <t>motif</t>
  </si>
  <si>
    <t>reversal</t>
  </si>
  <si>
    <t>use_cases</t>
  </si>
  <si>
    <t>array</t>
  </si>
  <si>
    <t>["Teaching Simpson's Paradox with real data", "Classifying studies by distortion geometry", "Generating researcher action (PolicyImplication) from allocation bias", "Prospective literature screening for confounded pooled conclusions"]</t>
  </si>
  <si>
    <t>journal_seed</t>
  </si>
  <si>
    <t>The instrument witnessed its first full type-A reversal from real published data (reintjes-2000 and radelet-1981) in loop-20b. Berkeley (loop-08) introduced the partial reversal and the sign-flip definition replaced the unanimity criterion in loop-17. The four-type taxonomy (A/B/C/D) was completed in loop-21.</t>
  </si>
  <si>
    <t>MethodologyId</t>
  </si>
  <si>
    <t>Phase</t>
  </si>
  <si>
    <t>Statement</t>
  </si>
  <si>
    <t>WhyItMatters</t>
  </si>
  <si>
    <t>IllustratedByLoop</t>
  </si>
  <si>
    <t>PioneeringResearcher</t>
  </si>
  <si>
    <t>TraditionPrimaryVenue</t>
  </si>
  <si>
    <t>PioneeringResearcherName</t>
  </si>
  <si>
    <t>PioneeringResearcherAffiliation</t>
  </si>
  <si>
    <t>LoopCount</t>
  </si>
  <si>
    <t>method-01-cmcc</t>
  </si>
  <si>
    <t>axiom</t>
  </si>
  <si>
    <t>CMCC: any sufficiently crisp conceptual world decomposes into a DAG of S/D/L/A/F primitives</t>
  </si>
  <si>
    <t>The Conceptual Model Conjecture (CMCC) holds that every domain can be decomposed into Schema, Data, Lookups, Aggregations, and Functions arranged as a directed acyclic graph. Each node is locally simple; complexity emerges from composition, not from any single node. This is the working assumption for the entire model, not a hypothesis to relitigate each turn.</t>
  </si>
  <si>
    <t>If CMCC holds, the paradox can be derived rather than modeled. The model does not need a 'ReversalDetection' entity — it just needs the right leaf data and the right DAG edges. The paradox falls out as a consequence.</t>
  </si>
  <si>
    <t>method-02-dag-first</t>
  </si>
  <si>
    <t>decomposition</t>
  </si>
  <si>
    <t>Model the domain entities first; derived facts emerge from the DAG</t>
  </si>
  <si>
    <t>Start with the empirical leaf data: Cases and Successes in each (Study, Stratum, Treatment) cell. Never model the phenomenon of interest (the paradox) directly. The paradox is a derived fact — it emerges when you ask the right questions of a correctly-shaped DAG.</t>
  </si>
  <si>
    <t>Modeling the paradox directly (e.g. a 'ReversalDetection' table) would conflate the phenomenon with the domain. The domain is Studies, Treatments, Strata, and CaseCells. The paradox is a read on that domain.</t>
  </si>
  <si>
    <t>loop-01, loop-04</t>
  </si>
  <si>
    <t>researcher-spirtes-glymour-scheines</t>
  </si>
  <si>
    <t>method-03-leopold-loops</t>
  </si>
  <si>
    <t>Build the model incrementally via Leopold Loops — one new concept per loop</t>
  </si>
  <si>
    <t>Each loop introduces exactly one new first-class concept and asks the natural-language question that concept answers. The loop ends when the new derived fact is witnessed in the database. Loop N's NextSuggestion seeds Loop N+1.</t>
  </si>
  <si>
    <t>Introducing multiple concepts per loop makes it hard to witness whether each concept earns its place. One concept per loop forces the question: 'what new thing can I now ask that I couldn't before?'</t>
  </si>
  <si>
    <t>loop-01, loop-02, loop-03, loop-04, loop-05</t>
  </si>
  <si>
    <t>method-04-witness-not-claim</t>
  </si>
  <si>
    <t>derivation</t>
  </si>
  <si>
    <t>Every derived fact must be witnessed from the database, not claimed from the rulebook</t>
  </si>
  <si>
    <t>A field is not 'done' when it is added to the rulebook. It is done when a Postgres query returns the expected value for the seeded data. MockDataNote in each Loop row states what value is expected and from which study. If the DB returns a different value, the formula or the seed data is wrong.</t>
  </si>
  <si>
    <t>Without witnessing, silent fallbacks and mistranslations accumulate invisibly. The rulebook says CellSuccessRate = Successes/Cases; the DB must actually return 0.931 for kidney small-A.</t>
  </si>
  <si>
    <t>loop-01, loop-06, loop-12, loop-17</t>
  </si>
  <si>
    <t>method-05-synthetic-controls</t>
  </si>
  <si>
    <t>validation</t>
  </si>
  <si>
    <t>Introduce synthetic control studies to test structural impossibility</t>
  </si>
  <si>
    <t>For every interesting derived boolean (IsReversal, IsSignFlip), add at least one synthetic study where the boolean MUST be false by construction. Witnessing the false case in the DB proves the derivation is not vacuously true.</t>
  </si>
  <si>
    <t>Without a structural-impossibility witness, a bug in the formula that always returns TRUE would pass all the positive tests. The balanced-synthetic and kidney-balanced studies exist solely to witness IsReversal=FALSE and AllocationDistortion=0.</t>
  </si>
  <si>
    <t>loop-07, loop-14</t>
  </si>
  <si>
    <t>method-06-real-data-hydration</t>
  </si>
  <si>
    <t>hydration</t>
  </si>
  <si>
    <t>Real study data lives in the rulebook JSON — the SSoT is unified</t>
  </si>
  <si>
    <t>The rulebook JSON is the single source of truth for both schema and instance data. Real published study counts (Successes, Cases per cell) live directly in each table's data array alongside the synthetic studies. Provenance for each real study is recorded in data/raw/&lt;study-id&gt;/provenance.md. The view chain computes every derived field from the rulebook without any separate hydration step.</t>
  </si>
  <si>
    <t>Keeping schema and instance data together in one document makes the instrument self-contained and auditable. The rulebook JSON can be shared, forked, or loaded without a separate SQL hydration step. The schema still defines derivations; the data rows supply the raw inputs.</t>
  </si>
  <si>
    <t>loop-01, loop-20, loop-20b</t>
  </si>
  <si>
    <t>method-07-continuous-geometry</t>
  </si>
  <si>
    <t>taxonomy</t>
  </si>
  <si>
    <t>Replace binary reversal criterion with continuous geometry: IsSignFlip + AllocationDistortion</t>
  </si>
  <si>
    <t>The original IsReversal (unanimous per-stratum winner disagrees with pooled winner) is a binary that excludes partial reversals. The sign-flip definition (WeightedStratumGapSum and SignedPooledGap have opposite signs) captures the full continuum. AllocationDistortion = |WSGSUM − SignedPooledGap| is the scalar severity regardless of direction.</t>
  </si>
  <si>
    <t>Berkeley 1973 fails the unanimity criterion (dept-C gives male a marginal win) but IS a Simpson-type paradox under the continuous definition. Excluding Berkeley from the analysis would be a category error.</t>
  </si>
  <si>
    <t>loop-17, loop-18</t>
  </si>
  <si>
    <t>method-08-four-type-taxonomy</t>
  </si>
  <si>
    <t>Classify studies into four types (A/B/C/D) by distortion geometry, independent of causal label</t>
  </si>
  <si>
    <t>Type A = IsSignFlip AND ReversalIntensity=1.0 (full unanimous reversal). Type B = IsSignFlip AND ReversalIntensity&lt;1.0 (partial sign-flip). Type C = NOT IsSignFlip AND AllocationDistortion&gt;threshold (compression without flip). Type D = AllocationDistortion≈0 (neutral). The geometry is computed from allocation and rates alone — no causal story is required.</t>
  </si>
  <si>
    <t>The taxonomy makes PolicyImplication derivable. A researcher reading DistortionType=A knows to stratify immediately without needing to know what caused the allocation imbalance.</t>
  </si>
  <si>
    <t>loop-19, loop-21</t>
  </si>
  <si>
    <t>method-09-model-self-portrait</t>
  </si>
  <si>
    <t>conclusion</t>
  </si>
  <si>
    <t>The model witnesses its own epistemic coverage via ModelSummary</t>
  </si>
  <si>
    <t>ModelSummary is a single-row table that aggregates ReversalCount, ExplainedCount, TypeACount, TypeBCount, TypeCCount, TypeDCount, and AvgAllocationDistortion across all studies. It is the model's self-portrait — a derived fact about the model's own completeness.</t>
  </si>
  <si>
    <t>Without ModelSummary, you can query any individual study but cannot ask 'how many studies does this instrument explain?' The self-portrait is the epistemic coverage claim.</t>
  </si>
  <si>
    <t>method-10-policy-from-geometry</t>
  </si>
  <si>
    <t>Policy implication is derived from geometry, not asserted from domain knowledge</t>
  </si>
  <si>
    <t>PolicyImplication is a calculated field derived from DistortionType. No domain-specific knowledge about medicine, law, or education is encoded. The instrument tells a researcher what to do next with the pooled conclusion (stratify, investigate, check bias, or trust) purely from the allocation geometry.</t>
  </si>
  <si>
    <t>Domain-neutral policy derivation means the instrument generalizes across clinical, judicial, educational, and other settings without re-tuning. The same formula works for kidney stones, Berkeley admissions, and antibiotic prophylaxis.</t>
  </si>
  <si>
    <t>loop-21, loop-26</t>
  </si>
  <si>
    <t>ConclusionId</t>
  </si>
  <si>
    <t>Category</t>
  </si>
  <si>
    <t>Evidence</t>
  </si>
  <si>
    <t>WitnessedInLoop</t>
  </si>
  <si>
    <t>TargetLoop</t>
  </si>
  <si>
    <t>ResearcherId</t>
  </si>
  <si>
    <t>ChallengesResearcher</t>
  </si>
  <si>
    <t>ResearcherName</t>
  </si>
  <si>
    <t>ResearcherAffiliation</t>
  </si>
  <si>
    <t>ChallengesResearcherName</t>
  </si>
  <si>
    <t>WitnessedInLoopTitle</t>
  </si>
  <si>
    <t>WitnessedInLoopCommitHash</t>
  </si>
  <si>
    <t>WitnessedInLoopCommitShort</t>
  </si>
  <si>
    <t>WitnessedInLoopCommitDate</t>
  </si>
  <si>
    <t>WitnessedInLoopGitTag</t>
  </si>
  <si>
    <t>InvariantProtectingCount</t>
  </si>
  <si>
    <t>domain</t>
  </si>
  <si>
    <t>witnessed</t>
  </si>
  <si>
    <t>Simpson's Paradox is a derived fact from the DAG, not a modeled entity</t>
  </si>
  <si>
    <t>IsReversal (and later IsSignFlip) falls out as a calculated field on TreatmentRankings, derived from aggregated CaseCell counts. No 'ReversalDetection' entity was ever needed.</t>
  </si>
  <si>
    <t>The reversal in kidney-1986 is entirely an allocation artifact — same rates with balanced allocation produce no reversal</t>
  </si>
  <si>
    <t>kidney-balanced uses identical stratum success rates to kidney-1986 but with equal allocation (175 cases per cell). IsReversal=FALSE, AllocationDistortion=0. The paradox is algebraically isolated as a property of allocation, not of treatment efficacy.</t>
  </si>
  <si>
    <t>researcher-pearson</t>
  </si>
  <si>
    <t>instrument</t>
  </si>
  <si>
    <t>The unanimity criterion (IsReversal) incorrectly excludes Berkeley 1973 despite its being a Simpson-type paradox</t>
  </si>
  <si>
    <t>Berkeley: WSGSUM=−0.0642, SignedPooledGap=+0.1292, IsSignFlip=TRUE, AllocationDistortion=0.1934 — greater distortion than kidney-1986. But IsReversal=FALSE because dept-C marginally favors male. The unanimity criterion is a strict subtype, not the primary definition.</t>
  </si>
  <si>
    <t>researcher-cohen-nagel</t>
  </si>
  <si>
    <t>Allocation can compress the pooled signal without flipping it (type-C): a class invisible to IsReversal and IsSignFlip but visible to AllocationDistortion</t>
  </si>
  <si>
    <t>compressed-synthetic: A wins every stratum and wins pooled, but the pooled margin is 6pp rather than the equal-weight 10pp. AllocationDistortion=0.0400, IsSignFlip=FALSE. The pooled winner is correct; the effect size is wrong by 4pp.</t>
  </si>
  <si>
    <t>conc-05-real-data-generalizes</t>
  </si>
  <si>
    <t>Two real published studies (reintjes-2000, radelet-1981) hydrate as type-A full reversals without schema changes</t>
  </si>
  <si>
    <t>Both studies entered via 05b-customize-data.sql. Witnessed: reintjes AllocationDistortion=0.0516, DistortionType=A; radelet AllocationDistortion=0.0684, DistortionType=A. No DAG or schema change was needed — the hydration contract generalizes.</t>
  </si>
  <si>
    <t>conc-06-policy-derivable</t>
  </si>
  <si>
    <t>PolicyImplication is domain-neutral: the same formula produces researcher actions across medicine, law, and education</t>
  </si>
  <si>
    <t>All five current studies (kidney-1986, berkeley-1973, compressed-synthetic, kidney-balanced, balanced-synthetic) plus two real studies produce unambiguous PolicyImplication values from DistortionType alone. No domain-specific knowledge is encoded in the formula.</t>
  </si>
  <si>
    <t>conc-07-model-self-portrait</t>
  </si>
  <si>
    <t>ModelSummary witnesses the instrument's own epistemic coverage as a first-class derived fact</t>
  </si>
  <si>
    <t>ModelSummary aggregates ReversalCount, ExplainedCount, TypeA/B/C/D counts, and AvgAllocationDistortion across all studies. The model describes its own completeness in a single row.</t>
  </si>
  <si>
    <t>conc-08-type-c-real</t>
  </si>
  <si>
    <t>open-question</t>
  </si>
  <si>
    <t>Does the published literature contain real type-C studies (compression without sign flip)?</t>
  </si>
  <si>
    <t>Witnessed in loop-24: hannan-1994 (CABG surgery), titanic-1912, melanoma-altman-1991, and coffee-tverdal-2020 all hydrate as DistortionType=C. AllocationDistortion&gt;0.01, IsSignFlip=FALSE — the correct pooled direction but compressed magnitude. The type-C cell is not a synthetic pathology.</t>
  </si>
  <si>
    <t>AllocationDistortion is a geometric measure; causal interpretation requires external domain knowledge, gated by AdjustmentAppropriate</t>
  </si>
  <si>
    <t>Berkeley has the highest AllocationDistortion (0.1934) but CausalRole=contested (mediator vs confounder), proving that geometric severity and causal confounding are not the same thing. The instrument is deliberately geometric: it classifies distortion type and flags the corrected winner from allocation arithmetic alone. Whether it is safe to act on that correction as a causal claim is answered by AdjustmentAppropriate — which gates on ConditioningRisk and CausalClaimStatus. The two layers are complementary, not competing. The instrument computes the geometry; the researcher supplies the causal account. This is a scope boundary, not a limitation.</t>
  </si>
  <si>
    <t>conc-10-instrument-specifiable</t>
  </si>
  <si>
    <t>methodology</t>
  </si>
  <si>
    <t>The full instrument can be specified precisely enough for any researcher to apply it to a new study</t>
  </si>
  <si>
    <t>Witnessed in loop-26: InstrumentSpec table enumerates 5 input fields, 10 derived coordinates, 2 classification rules, and 3 adapter-requirement rows. Machine-verifiable against the full 90+ study corpus.</t>
  </si>
  <si>
    <t>The model can produce the allocation-corrected winner directly from existing DAG fields — no new data required</t>
  </si>
  <si>
    <t>CorrectedGap = WeightedStratumGapSum (already derived in loop-12/17). CorrectedWinner is a sign-read on CorrectedGap. CorrectedVsPooledAgreement is TRUE for Type-D studies and FALSE for Type-A/B studies. For kidney-1986: CorrectedGap=+0.0537, CorrectedWinner=A, CorrectedVsPooledAgreement=FALSE (pooled said B; corrected says A). The reversal recovery is free — it costs zero new data.</t>
  </si>
  <si>
    <t>conc-12-signal-purity-theorem</t>
  </si>
  <si>
    <t>theorem</t>
  </si>
  <si>
    <t>SignalPurity &lt; 0.5 is a necessary condition for allocation-driven reversal</t>
  </si>
  <si>
    <t>Witnessed across all reversal studies (type A + B) in the 90+ study corpus: every study with AllocationDirection='reversal' has SignalPurity &lt; 0.5. The algebraic proof: reversal requires SignedPooledGap and CorrectedGap to have opposite signs, which requires AllocationDistortion &gt; |CorrectedGap|, which is exactly SignalPurity &lt; 0.5. inv-signal-purity-sign-flip enforces this as a DAG invariant. AvgSignalPurityReversal ≈ 0.35 vs AvgSignalPurityNonReversal ≈ 0.65 — gap of ~0.30.</t>
  </si>
  <si>
    <t>conc-13-cplus-cminus-opposite-errors</t>
  </si>
  <si>
    <t>C+ (amplification) and C- (compression) are epistemically opposite errors with opposite clinical implications</t>
  </si>
  <si>
    <t>titanic-1912 (C+, DistortionRatio=1.359): allocation inflates first-class survival advantage from 27.5pp corrected to 37.4pp pooled — overconfidence. melanoma-altman-1991 (C+, DistortionRatio=2.087): allocation doubles apparent female survival advantage — severe overconfidence. hannan-1994 (C-, DistortionRatio=0.314): allocation compresses CABG advantage from 8.9pp corrected to 2.8pp pooled — underconfidence, risk of premature treatment abandonment. The prior type-C category hid this distinction. Now separated by DistortionRatio &gt; 1 (C+) vs DistortionRatio ∈ (0,1) (C-).</t>
  </si>
  <si>
    <t>conc-14-scale-is-discovery-path</t>
  </si>
  <si>
    <t>Cross-domain SignalPurity correlations require a pre-registered unbiased corpus of 50+ studies to distinguish pattern from selection artifact</t>
  </si>
  <si>
    <t>Partial domain patterns witnessed across 90+ studies (loop-61): epidemiology avg distortion 0.050 vs education 0.004; legal/sports/epidemiology flip rates ~27% vs economics 0%. Full causal domain→DistortionType mapping still requires pre-registered expansion beyond convenience sample, but the instrument now supports DiscoveryHypotheses/Findings for ongoing corpus-scale tests.</t>
  </si>
  <si>
    <t>Type-D at observed allocation does not imply allocation-stable — 70% of SAFE studies flip under counterfactual reweighting</t>
  </si>
  <si>
    <t>LatentTypeDCount=45, TypeDCount=64, LatentTypeDFraction=0.703. LatentFlipPotential=TRUE when DistortionType=D AND PooledGapCrossesZero=TRUE. Examples: uc-systemwide-admissions (Type D, sweep range 0.56), recsys-offline-eval (Type D, sweep range 0.56). The ScreeningTier SAFE label describes observed allocation only; sweep reveals latent flip potential.</t>
  </si>
  <si>
    <t>conc-16-small-effect-fragile</t>
  </si>
  <si>
    <t>In this corpus, allocation-stable Type-D rows carry larger observed pooled gaps than latent Type-D rows</t>
  </si>
  <si>
    <t>AvgPooledGapStableD=0.102 across 19 stable Type-D studies; AvgPooledGapLatentD=0.022 across 45 latent Type-D studies. Stable studies also have lower sweep range (avg 0.072 vs 0.211). Corpus-descriptive pattern on loop-61 convenience sample — not a deductive law. Small observed effects tend to be allocation-fragile even when currently classified SAFE.</t>
  </si>
  <si>
    <t>conc-17-economics-flip-free</t>
  </si>
  <si>
    <t>Economics-domain 2×K encodings in this corpus produce zero sign-flips — composition studies read as Type D or C−</t>
  </si>
  <si>
    <t>EconomicsSignFlipCount=0 across 8 economics studies (6 Type D, 2 Type C−). Contrast epidemiology (6 sign-flips / 22 studies, 27.3%). Composition and wage-decomposition paradoxes compress or stabilize rather than flip in this instrument's 2×K encoding.</t>
  </si>
  <si>
    <t>ScreenId</t>
  </si>
  <si>
    <t>Route</t>
  </si>
  <si>
    <t>PrimaryEntity</t>
  </si>
  <si>
    <t>Purpose</t>
  </si>
  <si>
    <t>KeyFields</t>
  </si>
  <si>
    <t>UserAction</t>
  </si>
  <si>
    <t>PrimaryConclusion</t>
  </si>
  <si>
    <t>PrimaryConclusionTitle</t>
  </si>
  <si>
    <t>PrimaryConclusionEvidence</t>
  </si>
  <si>
    <t>screen-01-study-list</t>
  </si>
  <si>
    <t>Study List</t>
  </si>
  <si>
    <t>/</t>
  </si>
  <si>
    <t>Studies</t>
  </si>
  <si>
    <t>Show all studies with their DistortionType badge and AllocationDistortion magnitude so a user can immediately see which studies exhibit the paradox and how severely.</t>
  </si>
  <si>
    <t>Title, DistortionType (from TreatmentRankings), AllocationDistortion, PolicyImplication, IsSignFlip, TotalCases</t>
  </si>
  <si>
    <t>Click a study row to navigate to the Study Detail screen.</t>
  </si>
  <si>
    <t>screen-02-study-detail</t>
  </si>
  <si>
    <t>Study Detail</t>
  </si>
  <si>
    <t>/study/:studyId</t>
  </si>
  <si>
    <t>Show one study's complete geometry: pooled rates, per-stratum rates, allocation fractions, AllocationDistortion, DistortionType, and PolicyImplication — the full causal picture for this study.</t>
  </si>
  <si>
    <t>PooledRateA, PooledRateB, PooledWinner, PerStratumWinner, IsReversal, IsSignFlip, WeightedStratumGapSum, SignedPooledGap, AllocationDistortion, DistortionType, PolicyImplication, ConfoundersInStudy, IsParadoxExplained</t>
  </si>
  <si>
    <t>Expand strata panel to see per-stratum breakdown; navigate to Strata Detail.</t>
  </si>
  <si>
    <t>screen-03-strata-detail</t>
  </si>
  <si>
    <t>Strata Detail</t>
  </si>
  <si>
    <t>/study/:studyId/strata</t>
  </si>
  <si>
    <t>Show every (stratum, treatment) cell for a study: StratumSuccessRate, AllocationBias, StratumGap, WeightedStratumGap — the leaf-level evidence for why the pooled conclusion is or isn't misleading.</t>
  </si>
  <si>
    <t>StratumLabel, TreatmentLabel, StratumSuccessRate, StratumRateA, StratumRateB, StratumWinner, AllocationBias, AllocationFractionA, AllocationFractionB, StratumGap, WeightedStratumGap, StratumFraction</t>
  </si>
  <si>
    <t>Hover a cell for the raw Successes/Cases count from CaseCells.</t>
  </si>
  <si>
    <t>screen-04-confounder-panel</t>
  </si>
  <si>
    <t>Confounder Panel</t>
  </si>
  <si>
    <t>/study/:studyId/confounder</t>
  </si>
  <si>
    <t>StratumVariables</t>
  </si>
  <si>
    <t>Show the stratifying variable's causal role for a study: VariableName, CausalRole, AffectsTreatmentAssignment, AffectsOutcome, IsConfounder, MechanismNote.</t>
  </si>
  <si>
    <t>VariableName, CausalRole, AffectsTreatmentAssignment, AffectsOutcome, IsConfounder, MechanismNote</t>
  </si>
  <si>
    <t>Read the mechanism note; understand why IsParadoxExplained is TRUE or FALSE for this study.</t>
  </si>
  <si>
    <t>screen-05-distortion-plane</t>
  </si>
  <si>
    <t>Distortion Plane</t>
  </si>
  <si>
    <t>/plane</t>
  </si>
  <si>
    <t>Plot all studies on a 2D plane: AllocationDistortion (x-axis) × ReversalIntensity (y-axis), colored by DistortionType. Shows the geometric taxonomy at a glance and reveals how the four types partition the plane.</t>
  </si>
  <si>
    <t>Title (from Studies), AllocationDistortion, ReversalIntensity, IsSignFlip, DistortionType, PolicyImplication, ParadoxStrength</t>
  </si>
  <si>
    <t>Click a data point to navigate to that study's Study Detail screen.</t>
  </si>
  <si>
    <t>screen-06-model-summary</t>
  </si>
  <si>
    <t>Model Summary</t>
  </si>
  <si>
    <t>/summary</t>
  </si>
  <si>
    <t>Show the instrument's self-portrait: how many studies, how many of each DistortionType, average AllocationDistortion, total paradox strength — the epistemic coverage of the full model instance.</t>
  </si>
  <si>
    <t>StudyCount, ReversalCount, ExplainedCount, TypeACount, TypeBCount, TypeCCount, TypeDCount, AvgAllocationDistortion, TotalParadoxStrength</t>
  </si>
  <si>
    <t>Navigate to Study List or Distortion Plane from this summary.</t>
  </si>
  <si>
    <t>screen-07-loop-history</t>
  </si>
  <si>
    <t>Loop History</t>
  </si>
  <si>
    <t>/loops</t>
  </si>
  <si>
    <t>Loops</t>
  </si>
  <si>
    <t>Show the full build history: all 31 loops with their status, new concept, domain question, and mock data note. Lets a developer understand why the model is shaped the way it is — the DAG is the story.</t>
  </si>
  <si>
    <t>LoopId, Title, Status, NewConcept, DomainQuestion, MockDataNote, NextSuggestion</t>
  </si>
  <si>
    <t>Filter by Status (complete/planned); click a loop to expand its full detail.</t>
  </si>
  <si>
    <t>screen-08-methodology</t>
  </si>
  <si>
    <t>Methodology</t>
  </si>
  <si>
    <t>/methodology</t>
  </si>
  <si>
    <t>Show the ten first-principles methodological axioms that shaped this model — from CMCC as the floor, through DAG-first decomposition, to the four-type taxonomy. Enables a developer to apply the same process to a new domain.</t>
  </si>
  <si>
    <t>Phase, Title, Statement, WhyItMatters, IllustratedByLoop</t>
  </si>
  <si>
    <t>Click IllustratedByLoop to jump to that loop in the Loop History screen.</t>
  </si>
  <si>
    <t>screen-09-conclusions</t>
  </si>
  <si>
    <t>Conclusions</t>
  </si>
  <si>
    <t>/conclusions</t>
  </si>
  <si>
    <t>Show all witnessed and planned conclusions, grouped by category (domain / instrument / methodology / open-question). The read-out of what this model has actually established.</t>
  </si>
  <si>
    <t>Category, Status, Title, Evidence, WitnessedInLoop, TargetLoop</t>
  </si>
  <si>
    <t>Filter by Status (witnessed/planned/open); click WitnessedInLoop to navigate to Loop History.</t>
  </si>
  <si>
    <t>ComponentId</t>
  </si>
  <si>
    <t>ComponentName</t>
  </si>
  <si>
    <t>UsedOnScreens</t>
  </si>
  <si>
    <t>RequiredFields</t>
  </si>
  <si>
    <t>VisualSpec</t>
  </si>
  <si>
    <t>comp-01-distortion-badge</t>
  </si>
  <si>
    <t>DistortionBadge</t>
  </si>
  <si>
    <t>screen-01-study-list, screen-02-study-detail, screen-05-distortion-plane</t>
  </si>
  <si>
    <t>A colored pill/chip that shows DistortionType (A/B/C/D) and PolicyImplication for one study. Color-coded: A=red (stratify-immediately), B=orange (investigate-confounder), C=yellow (check-allocation-bias), D=green (pooled-analysis-trustworthy).</t>
  </si>
  <si>
    <t>DistortionType, PolicyImplication</t>
  </si>
  <si>
    <t>Pill shape, 2–3 chars for the type letter, tooltip on hover showing PolicyImplication text. Consistent color across all screens.</t>
  </si>
  <si>
    <t>comp-02-rate-comparison-bar</t>
  </si>
  <si>
    <t>RateComparisonBar</t>
  </si>
  <si>
    <t>screen-02-study-detail, screen-03-strata-detail</t>
  </si>
  <si>
    <t>A side-by-side horizontal bar chart comparing PooledRateA vs PooledRateB (or StratumRateA vs StratumRateB for strata). The bar for the loser under equal-weight allocation is visually distinguished from the bar for the pooled loser.</t>
  </si>
  <si>
    <t>PooledRateA, PooledRateB, PooledWinner, WeightedStratumGapSum, SignedPooledGap, IsSignFlip</t>
  </si>
  <si>
    <t>Two horizontal bars, labeled A and B. Arrow or bracket showing the gap. IsSignFlip=TRUE triggers a 'reversal' annotation. Width proportional to rate (0–1 scale).</t>
  </si>
  <si>
    <t>comp-03-allocation-heatmap</t>
  </si>
  <si>
    <t>AllocationHeatmap</t>
  </si>
  <si>
    <t>A grid of (Stratum × Treatment) cells where cell color encodes AllocationBias magnitude and sign. Positive bias (A over-allocated here) in one color; negative (B over-allocated) in another. Cell text shows AllocationFractionA and AllocationFractionB.</t>
  </si>
  <si>
    <t>StratumLabel, TreatmentLabel, AllocationBias, AllocationFractionA, AllocationFractionB, StratumSuccessRate</t>
  </si>
  <si>
    <t>Matrix layout: rows=strata, cols=treatments. Diverging color scale centered at 0. Tooltip shows raw Cases and Successes from CaseCells.</t>
  </si>
  <si>
    <t>comp-04-distortion-plane-scatter</t>
  </si>
  <si>
    <t>DistortionPlaneScatter</t>
  </si>
  <si>
    <t>A 2D scatter plot with AllocationDistortion on the x-axis and ReversalIntensity on the y-axis. Each point is one study, colored by DistortionType. Quadrant lines at AllocationDistortion=0.01 (threshold) and ReversalIntensity=1.0 (unanimity) divide the plane into the four types.</t>
  </si>
  <si>
    <t>AllocationDistortion, ReversalIntensity, DistortionType, PolicyImplication, IsSignFlip</t>
  </si>
  <si>
    <t>SVG or canvas scatter. Labeled quadrant regions. Clickable points. Legend showing type → color → policy action.</t>
  </si>
  <si>
    <t>comp-05-stratum-gap-waterfall</t>
  </si>
  <si>
    <t>StratumGapWaterfall</t>
  </si>
  <si>
    <t>A waterfall chart showing how each stratum's WeightedStratumGap contributes to WeightedStratumGapSum, then how the allocation re-weights them to produce SignedPooledGap. The visual makes the mechanism equation explicit: pooled = Σ(weight × rate).</t>
  </si>
  <si>
    <t>StratumLabel, StratumGap, StratumFraction, WeightedStratumGap, WeightedStratumGapSum, SignedPooledGap</t>
  </si>
  <si>
    <t>Waterfall/stacked bar: each stratum's WeightedStratumGap as a segment; running sum shown; final total vs actual SignedPooledGap shown side-by-side. IsSignFlip highlights the sign difference.</t>
  </si>
  <si>
    <t>comp-06-model-summary-scorecard</t>
  </si>
  <si>
    <t>ModelSummaryScorecard</t>
  </si>
  <si>
    <t>A summary scorecard showing all ModelSummary fields as labeled metric tiles: StudyCount, ReversalCount, ExplainedCount, TypeA/B/C/D counts, AvgAllocationDistortion, TotalParadoxStrength.</t>
  </si>
  <si>
    <t>StudyCount, ReversalCount, ExplainedCount, TotalParadoxStrength, AvgParadoxStrength</t>
  </si>
  <si>
    <t>Grid of metric tiles. Each tile: large number, small label. Color: ReversalCount in orange/red; ExplainedCount in green; TypeD in grey. Single row layout on desktop, 2-column on mobile.</t>
  </si>
  <si>
    <t>comp-07-confounder-card</t>
  </si>
  <si>
    <t>ConfounderCard</t>
  </si>
  <si>
    <t>A card showing one StratumVariable row: VariableName, CausalRole badge, AffectsTreatmentAssignment checkbox, AffectsOutcome checkbox, IsConfounder result, and MechanismNote prose block.</t>
  </si>
  <si>
    <t>Card with header=VariableName, CausalRole as a badge (confounder=red, mediator=orange, contested=yellow, unknown=grey), two boolean indicators, and MechanismNote as body text.</t>
  </si>
  <si>
    <t>comp-08-loop-timeline</t>
  </si>
  <si>
    <t>LoopTimeline</t>
  </si>
  <si>
    <t>A vertical timeline of all Loops rows, grouped by Status. Each entry shows LoopId, Title, Status indicator, NewConcept chip, and an expandable section with DomainQuestion, MockDataNote, and NextSuggestion.</t>
  </si>
  <si>
    <t>Vertical list. Status=complete: solid circle; in-progress: half-filled; planned: open circle. Expandable accordion per entry. Color: complete=green, in-progress=blue, planned=grey.</t>
  </si>
  <si>
    <t>comp-09-policy-action-banner</t>
  </si>
  <si>
    <t>PolicyActionBanner</t>
  </si>
  <si>
    <t>A prominent banner at the top of the Study Detail screen showing PolicyImplication as a clear action statement, color-coded by DistortionType. Includes a one-sentence explanation of why this action follows from the geometry.</t>
  </si>
  <si>
    <t>PolicyImplication, DistortionType, AllocationDistortion, IsSignFlip</t>
  </si>
  <si>
    <t>Full-width colored banner. Large icon (e.g. warning triangle for A, magnifying glass for B, scale for C, checkmark for D). Bold action text. Secondary line explaining the geometric basis.</t>
  </si>
  <si>
    <t>comp-10-conclusion-list</t>
  </si>
  <si>
    <t>ConclusionList</t>
  </si>
  <si>
    <t>A filterable list of Conclusions rows grouped by Category and Status. Each entry shows the Title, Status badge, Evidence summary, and a link to the WitnessedInLoop or TargetLoop.</t>
  </si>
  <si>
    <t>Grouped list with category headers. Status badge: witnessed=green, planned=blue, open=orange. Evidence shown as collapsed text (expand on click). Loop links navigate to LoopTimeline.</t>
  </si>
  <si>
    <t>SpecId</t>
  </si>
  <si>
    <t>ComponentType</t>
  </si>
  <si>
    <t>FieldName</t>
  </si>
  <si>
    <t>DataType</t>
  </si>
  <si>
    <t>Formula</t>
  </si>
  <si>
    <t>AdapterNote</t>
  </si>
  <si>
    <t>input-study</t>
  </si>
  <si>
    <t>input</t>
  </si>
  <si>
    <t>CaseCells</t>
  </si>
  <si>
    <t>A unique identifier for the study being classified (e.g. 'kidney-1986').</t>
  </si>
  <si>
    <t>Assign a slug that is stable and unique. All rows for a study share this value.</t>
  </si>
  <si>
    <t>input-stratum</t>
  </si>
  <si>
    <t>The label of the subgroup (stratum) for this cell — the variable being stratified on (e.g. 'large', 'high-risk', 'male').</t>
  </si>
  <si>
    <t>Must be consistent across the A and B cells within the same stratum. At least 2 strata required.</t>
  </si>
  <si>
    <t>input-treatment</t>
  </si>
  <si>
    <t>Which treatment (exposure, group, class) this cell belongs to — 'A' or 'B'.</t>
  </si>
  <si>
    <t>Exactly two treatment labels per study. Encode the group you want to investigate as 'A'; comparator as 'B'.</t>
  </si>
  <si>
    <t>input-successes</t>
  </si>
  <si>
    <t>integer</t>
  </si>
  <si>
    <t>Count of successful outcomes (survived, passed, admitted, etc.) in this cell.</t>
  </si>
  <si>
    <t>Must be a non-negative integer ≤ Cases. Define 'success' consistently across all cells in the study.</t>
  </si>
  <si>
    <t>input-cases</t>
  </si>
  <si>
    <t>Total number of observations (trials, patients, applicants, etc.) in this cell.</t>
  </si>
  <si>
    <t>Must be a positive integer. Every (Study, Stratum, Treatment) combination must have exactly one CaseCell row.</t>
  </si>
  <si>
    <t>derived-stratum-rate</t>
  </si>
  <si>
    <t>derived</t>
  </si>
  <si>
    <t>decimal</t>
  </si>
  <si>
    <t>=Successes/Cases</t>
  </si>
  <si>
    <t>The success rate for this specific treatment within this specific stratum.</t>
  </si>
  <si>
    <t>Computed automatically. Range [0,1].</t>
  </si>
  <si>
    <t>derived-pooled-rate-a</t>
  </si>
  <si>
    <t>=TotalSuccessesA/TotalCasesA</t>
  </si>
  <si>
    <t>The overall (pooled, unstratified) success rate for treatment A across all strata.</t>
  </si>
  <si>
    <t>Computed from SUMIFS across CaseCells. This is the rate a naive observer would report.</t>
  </si>
  <si>
    <t>derived-pooled-rate-b</t>
  </si>
  <si>
    <t>=TotalSuccessesB/TotalCasesB</t>
  </si>
  <si>
    <t>The overall (pooled, unstratified) success rate for treatment B across all strata.</t>
  </si>
  <si>
    <t>Computed from SUMIFS across CaseCells.</t>
  </si>
  <si>
    <t>derived-signed-pooled-gap</t>
  </si>
  <si>
    <t>=PooledRateA - PooledRateB</t>
  </si>
  <si>
    <t>The signed difference in pooled rates (A minus B). Positive means A appears better pooled; negative means B appears better.</t>
  </si>
  <si>
    <t>The naive result — what the unadjusted analysis reports.</t>
  </si>
  <si>
    <t>derived-alloc-fraction-a</t>
  </si>
  <si>
    <t>=TreatmentACasesHere/TreatmentATotalCases</t>
  </si>
  <si>
    <t>The fraction of all treatment-A cases that fall in this stratum — treatment A's allocation weight.</t>
  </si>
  <si>
    <t>Sums to 1.0 across strata within a study.</t>
  </si>
  <si>
    <t>derived-stratum-gap</t>
  </si>
  <si>
    <t>=StratumRateA - StratumRateB</t>
  </si>
  <si>
    <t>The signed per-stratum rate difference (A minus B). The true causal signal for this stratum, free of allocation effects.</t>
  </si>
  <si>
    <t>Computed from within-stratum aggregation of CaseCells.</t>
  </si>
  <si>
    <t>derived-weighted-stratum-gap</t>
  </si>
  <si>
    <t>=((AllocationFractionA + AllocationFractionB) / 2) * StratumGap</t>
  </si>
  <si>
    <t>The stratum gap weighted by the average of A's and B's allocation fractions — the equal-weight contribution of this stratum.</t>
  </si>
  <si>
    <t>Summing across strata yields WeightedStratumGapSum.</t>
  </si>
  <si>
    <t>derived-wgs</t>
  </si>
  <si>
    <t>=SUMIFS(StratumSummaries!WeightedStratumGap, StratumSummaries!Study, Study, StratumSummaries!TreatmentLabel, TreatmentA)</t>
  </si>
  <si>
    <t>The equal-allocation benchmark: what SignedPooledGap would be if each treatment received the same case-mix. This is the allocation-free signal.</t>
  </si>
  <si>
    <t>Compare to SignedPooledGap to detect distortion.</t>
  </si>
  <si>
    <t>derived-is-sign-flip</t>
  </si>
  <si>
    <t>boolean</t>
  </si>
  <si>
    <t>=IF(WeightedStratumGapSum &gt; 0, SignedPooledGap &lt; 0, SignedPooledGap &gt; 0)</t>
  </si>
  <si>
    <t>TRUE when the pooled winner (SignedPooledGap) points in the opposite direction from the equal-weight per-stratum winner (WeightedStratumGapSum). This is the sign of a reversal.</t>
  </si>
  <si>
    <t>The primary reversal detector.</t>
  </si>
  <si>
    <t>derived-allocation-distortion</t>
  </si>
  <si>
    <t>=ABS(WeightedStratumGapSum - SignedPooledGap)</t>
  </si>
  <si>
    <t>The absolute magnitude of the allocation distortion — how much the observed pooled gap differs from the equal-weight benchmark.</t>
  </si>
  <si>
    <t>Zero means no allocation confounding. &gt; 0.01 is the classification threshold for types C and D.</t>
  </si>
  <si>
    <t>class-distortion-type</t>
  </si>
  <si>
    <t>classification</t>
  </si>
  <si>
    <t>categorical</t>
  </si>
  <si>
    <t>=IF(AND(IsSignFlip, ReversalIntensity=1), 'A', IF(AND(IsSignFlip, ReversalIntensity&lt;1), 'B', IF(AND(NOT(IsSignFlip), AllocationDistortion&gt;0.01), 'C', 'D')))</t>
  </si>
  <si>
    <t>The four-type classification: A=full reversal (A wins all strata, B wins pooled); B=partial reversal (split strata, pooled contradicts weighted); C=distortion without reversal (same winner, but margin compressed or inflated by ≥1pp); D=trustworthy pooled (allocation-free or near-free).</t>
  </si>
  <si>
    <t>Output. Read-only for the researcher.</t>
  </si>
  <si>
    <t>class-policy-implication</t>
  </si>
  <si>
    <t>=IF(DistortionType='A','stratify-immediately', IF(DistortionType='B','investigate-confounder', IF(DistortionType='C','check-allocation-bias','pooled-analysis-trustworthy')))</t>
  </si>
  <si>
    <t>The recommended analytic action given the distortion type: A→stratify immediately (pooled is misleading); B→investigate the confounder structure; C→report allocation bias alongside pooled result; D→pooled analysis is trustworthy.</t>
  </si>
  <si>
    <t>Output. This is the instrument's primary policy-facing deliverable.</t>
  </si>
  <si>
    <t>adapter-stratum-seed</t>
  </si>
  <si>
    <t>adapter-requirement</t>
  </si>
  <si>
    <t>Strata</t>
  </si>
  <si>
    <t>One Strata row per (study, stratum) combination, with a plain-English Description of what this subgroup represents and why it matters.</t>
  </si>
  <si>
    <t>Required for interpretability. The DAG computes rates without it, but the explanation of the paradox requires this context.</t>
  </si>
  <si>
    <t>adapter-stratum-variable</t>
  </si>
  <si>
    <t>One StratumVariables row per study naming the confounding variable, its CausalRole (confounder/mediator/contested), and a MechanismNote explaining how the allocation imbalance arises.</t>
  </si>
  <si>
    <t>CausalRole must be one of: confounder, mediator, contested, unknown. IsConfounder is derived (confounder AND both affect-flags true).</t>
  </si>
  <si>
    <t>adapter-stratum-summaries</t>
  </si>
  <si>
    <t>Four StratumSummaries seed rows per study (one per stratum × treatment combination) — only StratumSummaryId, Study, StratumLabel, TreatmentLabel required; all computed fields are populated by the DAG.</t>
  </si>
  <si>
    <t>Minimum hydration contract: provide the four raw-key fields. The re-hydrate step fills in all derived values from the views.</t>
  </si>
  <si>
    <t>SweepId</t>
  </si>
  <si>
    <t>AllocFractionA</t>
  </si>
  <si>
    <t>IsOriginal</t>
  </si>
  <si>
    <t>NSweepStratumTotal</t>
  </si>
  <si>
    <t>NSweepA</t>
  </si>
  <si>
    <t>NSweepB</t>
  </si>
  <si>
    <t>NFixedA</t>
  </si>
  <si>
    <t>NFixedB</t>
  </si>
  <si>
    <t>SweepRateA</t>
  </si>
  <si>
    <t>SweepRateB</t>
  </si>
  <si>
    <t>FixedRateA</t>
  </si>
  <si>
    <t>FixedRateB</t>
  </si>
  <si>
    <t>SweepPooledRateA</t>
  </si>
  <si>
    <t>SweepPooledRateB</t>
  </si>
  <si>
    <t>SweepPooledGap</t>
  </si>
  <si>
    <t>SweepCorrectedGap</t>
  </si>
  <si>
    <t>AllocationDistortionWitness</t>
  </si>
  <si>
    <t>kidney-1986-f005</t>
  </si>
  <si>
    <t>kidney-1986-f015</t>
  </si>
  <si>
    <t>kidney-1986-f025</t>
  </si>
  <si>
    <t>kidney-1986-f035</t>
  </si>
  <si>
    <t>kidney-1986-f045</t>
  </si>
  <si>
    <t>kidney-1986-f055</t>
  </si>
  <si>
    <t>kidney-1986-f065</t>
  </si>
  <si>
    <t>kidney-1986-f075</t>
  </si>
  <si>
    <t>kidney-1986-f085</t>
  </si>
  <si>
    <t>kidney-1986-f095</t>
  </si>
  <si>
    <t>balanced-synthetic-f005</t>
  </si>
  <si>
    <t>balanced-synthetic-f015</t>
  </si>
  <si>
    <t>balanced-synthetic-f025</t>
  </si>
  <si>
    <t>balanced-synthetic-f035</t>
  </si>
  <si>
    <t>balanced-synthetic-f045</t>
  </si>
  <si>
    <t>balanced-synthetic-f055</t>
  </si>
  <si>
    <t>balanced-synthetic-f065</t>
  </si>
  <si>
    <t>balanced-synthetic-f075</t>
  </si>
  <si>
    <t>balanced-synthetic-f085</t>
  </si>
  <si>
    <t>balanced-synthetic-f095</t>
  </si>
  <si>
    <t>kidney-balanced-f005</t>
  </si>
  <si>
    <t>kidney-balanced-f015</t>
  </si>
  <si>
    <t>kidney-balanced-f025</t>
  </si>
  <si>
    <t>kidney-balanced-f035</t>
  </si>
  <si>
    <t>kidney-balanced-f045</t>
  </si>
  <si>
    <t>kidney-balanced-f055</t>
  </si>
  <si>
    <t>kidney-balanced-f065</t>
  </si>
  <si>
    <t>kidney-balanced-f075</t>
  </si>
  <si>
    <t>kidney-balanced-f085</t>
  </si>
  <si>
    <t>kidney-balanced-f095</t>
  </si>
  <si>
    <t>berkeley-1973-f005</t>
  </si>
  <si>
    <t>berkeley-1973-f015</t>
  </si>
  <si>
    <t>berkeley-1973-f025</t>
  </si>
  <si>
    <t>berkeley-1973-f035</t>
  </si>
  <si>
    <t>berkeley-1973-f045</t>
  </si>
  <si>
    <t>berkeley-1973-f055</t>
  </si>
  <si>
    <t>berkeley-1973-f065</t>
  </si>
  <si>
    <t>berkeley-1973-f075</t>
  </si>
  <si>
    <t>berkeley-1973-f085</t>
  </si>
  <si>
    <t>berkeley-1973-f095</t>
  </si>
  <si>
    <t>compressed-synthetic-f005</t>
  </si>
  <si>
    <t>compressed-synthetic-f015</t>
  </si>
  <si>
    <t>compressed-synthetic-f025</t>
  </si>
  <si>
    <t>compressed-synthetic-f035</t>
  </si>
  <si>
    <t>compressed-synthetic-f045</t>
  </si>
  <si>
    <t>compressed-synthetic-f055</t>
  </si>
  <si>
    <t>compressed-synthetic-f065</t>
  </si>
  <si>
    <t>compressed-synthetic-f075</t>
  </si>
  <si>
    <t>compressed-synthetic-f085</t>
  </si>
  <si>
    <t>compressed-synthetic-f095</t>
  </si>
  <si>
    <t>reintjes-2000-f005</t>
  </si>
  <si>
    <t>reintjes-2000-f015</t>
  </si>
  <si>
    <t>reintjes-2000-f025</t>
  </si>
  <si>
    <t>reintjes-2000-f035</t>
  </si>
  <si>
    <t>reintjes-2000-f045</t>
  </si>
  <si>
    <t>reintjes-2000-f055</t>
  </si>
  <si>
    <t>reintjes-2000-f065</t>
  </si>
  <si>
    <t>reintjes-2000-f075</t>
  </si>
  <si>
    <t>reintjes-2000-f085</t>
  </si>
  <si>
    <t>reintjes-2000-f095</t>
  </si>
  <si>
    <t>radelet-1981-f005</t>
  </si>
  <si>
    <t>radelet-1981-f015</t>
  </si>
  <si>
    <t>radelet-1981-f025</t>
  </si>
  <si>
    <t>radelet-1981-f035</t>
  </si>
  <si>
    <t>radelet-1981-f045</t>
  </si>
  <si>
    <t>radelet-1981-f055</t>
  </si>
  <si>
    <t>radelet-1981-f065</t>
  </si>
  <si>
    <t>radelet-1981-f075</t>
  </si>
  <si>
    <t>radelet-1981-f085</t>
  </si>
  <si>
    <t>radelet-1981-f095</t>
  </si>
  <si>
    <t>jeter-justice-1997-f005</t>
  </si>
  <si>
    <t>jeter-justice-1997-f015</t>
  </si>
  <si>
    <t>jeter-justice-1997-f025</t>
  </si>
  <si>
    <t>jeter-justice-1997-f035</t>
  </si>
  <si>
    <t>jeter-justice-1997-f045</t>
  </si>
  <si>
    <t>jeter-justice-1997-f055</t>
  </si>
  <si>
    <t>jeter-justice-1997-f065</t>
  </si>
  <si>
    <t>jeter-justice-1997-f075</t>
  </si>
  <si>
    <t>jeter-justice-1997-f085</t>
  </si>
  <si>
    <t>jeter-justice-1997-f095</t>
  </si>
  <si>
    <t>appleton-1996-f005</t>
  </si>
  <si>
    <t>appleton-1996-f015</t>
  </si>
  <si>
    <t>appleton-1996-f025</t>
  </si>
  <si>
    <t>appleton-1996-f035</t>
  </si>
  <si>
    <t>appleton-1996-f045</t>
  </si>
  <si>
    <t>appleton-1996-f055</t>
  </si>
  <si>
    <t>appleton-1996-f065</t>
  </si>
  <si>
    <t>appleton-1996-f075</t>
  </si>
  <si>
    <t>appleton-1996-f085</t>
  </si>
  <si>
    <t>appleton-1996-f095</t>
  </si>
  <si>
    <t>phe-covid-2021-f005</t>
  </si>
  <si>
    <t>phe-covid-2021-f015</t>
  </si>
  <si>
    <t>phe-covid-2021-f025</t>
  </si>
  <si>
    <t>phe-covid-2021-f035</t>
  </si>
  <si>
    <t>phe-covid-2021-f045</t>
  </si>
  <si>
    <t>phe-covid-2021-f055</t>
  </si>
  <si>
    <t>phe-covid-2021-f065</t>
  </si>
  <si>
    <t>phe-covid-2021-f075</t>
  </si>
  <si>
    <t>phe-covid-2021-f085</t>
  </si>
  <si>
    <t>phe-covid-2021-f095</t>
  </si>
  <si>
    <t>hannan-1994-f005</t>
  </si>
  <si>
    <t>hannan-1994-f015</t>
  </si>
  <si>
    <t>hannan-1994-f025</t>
  </si>
  <si>
    <t>hannan-1994-f035</t>
  </si>
  <si>
    <t>hannan-1994-f045</t>
  </si>
  <si>
    <t>hannan-1994-f055</t>
  </si>
  <si>
    <t>hannan-1994-f065</t>
  </si>
  <si>
    <t>hannan-1994-f075</t>
  </si>
  <si>
    <t>hannan-1994-f085</t>
  </si>
  <si>
    <t>hannan-1994-f095</t>
  </si>
  <si>
    <t>titanic-1912-f005</t>
  </si>
  <si>
    <t>titanic-1912-f015</t>
  </si>
  <si>
    <t>titanic-1912-f025</t>
  </si>
  <si>
    <t>titanic-1912-f035</t>
  </si>
  <si>
    <t>titanic-1912-f045</t>
  </si>
  <si>
    <t>titanic-1912-f055</t>
  </si>
  <si>
    <t>titanic-1912-f065</t>
  </si>
  <si>
    <t>titanic-1912-f075</t>
  </si>
  <si>
    <t>titanic-1912-f085</t>
  </si>
  <si>
    <t>titanic-1912-f095</t>
  </si>
  <si>
    <t>birth-weight-paradox-f005</t>
  </si>
  <si>
    <t>birth-weight-paradox-f015</t>
  </si>
  <si>
    <t>birth-weight-paradox-f025</t>
  </si>
  <si>
    <t>birth-weight-paradox-f035</t>
  </si>
  <si>
    <t>birth-weight-paradox-f045</t>
  </si>
  <si>
    <t>birth-weight-paradox-f055</t>
  </si>
  <si>
    <t>birth-weight-paradox-f065</t>
  </si>
  <si>
    <t>birth-weight-paradox-f075</t>
  </si>
  <si>
    <t>birth-weight-paradox-f085</t>
  </si>
  <si>
    <t>birth-weight-paradox-f095</t>
  </si>
  <si>
    <t>melanoma-altman-1991-f005</t>
  </si>
  <si>
    <t>melanoma-altman-1991-f015</t>
  </si>
  <si>
    <t>melanoma-altman-1991-f025</t>
  </si>
  <si>
    <t>melanoma-altman-1991-f035</t>
  </si>
  <si>
    <t>melanoma-altman-1991-f045</t>
  </si>
  <si>
    <t>melanoma-altman-1991-f055</t>
  </si>
  <si>
    <t>melanoma-altman-1991-f065</t>
  </si>
  <si>
    <t>melanoma-altman-1991-f075</t>
  </si>
  <si>
    <t>melanoma-altman-1991-f085</t>
  </si>
  <si>
    <t>melanoma-altman-1991-f095</t>
  </si>
  <si>
    <t>coffee-tverdal-2020-f005</t>
  </si>
  <si>
    <t>coffee-tverdal-2020-f015</t>
  </si>
  <si>
    <t>coffee-tverdal-2020-f025</t>
  </si>
  <si>
    <t>coffee-tverdal-2020-f035</t>
  </si>
  <si>
    <t>coffee-tverdal-2020-f045</t>
  </si>
  <si>
    <t>coffee-tverdal-2020-f055</t>
  </si>
  <si>
    <t>coffee-tverdal-2020-f065</t>
  </si>
  <si>
    <t>coffee-tverdal-2020-f075</t>
  </si>
  <si>
    <t>coffee-tverdal-2020-f085</t>
  </si>
  <si>
    <t>coffee-tverdal-2020-f095</t>
  </si>
  <si>
    <t>sat-wainer-1986-f005</t>
  </si>
  <si>
    <t>sat-wainer-1986-f015</t>
  </si>
  <si>
    <t>sat-wainer-1986-f025</t>
  </si>
  <si>
    <t>sat-wainer-1986-f035</t>
  </si>
  <si>
    <t>sat-wainer-1986-f045</t>
  </si>
  <si>
    <t>sat-wainer-1986-f055</t>
  </si>
  <si>
    <t>sat-wainer-1986-f065</t>
  </si>
  <si>
    <t>sat-wainer-1986-f075</t>
  </si>
  <si>
    <t>sat-wainer-1986-f085</t>
  </si>
  <si>
    <t>sat-wainer-1986-f095</t>
  </si>
  <si>
    <t>rogers-nicewander-1988-f005</t>
  </si>
  <si>
    <t>rogers-nicewander-1988-f015</t>
  </si>
  <si>
    <t>rogers-nicewander-1988-f025</t>
  </si>
  <si>
    <t>rogers-nicewander-1988-f035</t>
  </si>
  <si>
    <t>rogers-nicewander-1988-f045</t>
  </si>
  <si>
    <t>rogers-nicewander-1988-f055</t>
  </si>
  <si>
    <t>rogers-nicewander-1988-f065</t>
  </si>
  <si>
    <t>rogers-nicewander-1988-f075</t>
  </si>
  <si>
    <t>rogers-nicewander-1988-f085</t>
  </si>
  <si>
    <t>rogers-nicewander-1988-f095</t>
  </si>
  <si>
    <t>lucente-baseball-1995-f005</t>
  </si>
  <si>
    <t>lucente-baseball-1995-f015</t>
  </si>
  <si>
    <t>lucente-baseball-1995-f025</t>
  </si>
  <si>
    <t>lucente-baseball-1995-f035</t>
  </si>
  <si>
    <t>lucente-baseball-1995-f045</t>
  </si>
  <si>
    <t>lucente-baseball-1995-f055</t>
  </si>
  <si>
    <t>lucente-baseball-1995-f065</t>
  </si>
  <si>
    <t>lucente-baseball-1995-f075</t>
  </si>
  <si>
    <t>lucente-baseball-1995-f085</t>
  </si>
  <si>
    <t>lucente-baseball-1995-f095</t>
  </si>
  <si>
    <t>wilson-batting-2000-f005</t>
  </si>
  <si>
    <t>wilson-batting-2000-f015</t>
  </si>
  <si>
    <t>wilson-batting-2000-f025</t>
  </si>
  <si>
    <t>wilson-batting-2000-f035</t>
  </si>
  <si>
    <t>wilson-batting-2000-f045</t>
  </si>
  <si>
    <t>wilson-batting-2000-f055</t>
  </si>
  <si>
    <t>wilson-batting-2000-f065</t>
  </si>
  <si>
    <t>wilson-batting-2000-f075</t>
  </si>
  <si>
    <t>wilson-batting-2000-f085</t>
  </si>
  <si>
    <t>wilson-batting-2000-f095</t>
  </si>
  <si>
    <t>clemens-bly-1998-f005</t>
  </si>
  <si>
    <t>clemens-bly-1998-f015</t>
  </si>
  <si>
    <t>clemens-bly-1998-f025</t>
  </si>
  <si>
    <t>clemens-bly-1998-f035</t>
  </si>
  <si>
    <t>clemens-bly-1998-f045</t>
  </si>
  <si>
    <t>clemens-bly-1998-f055</t>
  </si>
  <si>
    <t>clemens-bly-1998-f065</t>
  </si>
  <si>
    <t>clemens-bly-1998-f075</t>
  </si>
  <si>
    <t>clemens-bly-1998-f085</t>
  </si>
  <si>
    <t>clemens-bly-1998-f095</t>
  </si>
  <si>
    <t>open-university-1975-f005</t>
  </si>
  <si>
    <t>open-university-1975-f015</t>
  </si>
  <si>
    <t>open-university-1975-f025</t>
  </si>
  <si>
    <t>open-university-1975-f035</t>
  </si>
  <si>
    <t>open-university-1975-f045</t>
  </si>
  <si>
    <t>open-university-1975-f055</t>
  </si>
  <si>
    <t>open-university-1975-f065</t>
  </si>
  <si>
    <t>open-university-1975-f075</t>
  </si>
  <si>
    <t>open-university-1975-f085</t>
  </si>
  <si>
    <t>open-university-1975-f095</t>
  </si>
  <si>
    <t>pisa-immigration-2015-f005</t>
  </si>
  <si>
    <t>pisa-immigration-2015-f015</t>
  </si>
  <si>
    <t>pisa-immigration-2015-f025</t>
  </si>
  <si>
    <t>pisa-immigration-2015-f035</t>
  </si>
  <si>
    <t>pisa-immigration-2015-f045</t>
  </si>
  <si>
    <t>pisa-immigration-2015-f055</t>
  </si>
  <si>
    <t>pisa-immigration-2015-f065</t>
  </si>
  <si>
    <t>pisa-immigration-2015-f075</t>
  </si>
  <si>
    <t>pisa-immigration-2015-f085</t>
  </si>
  <si>
    <t>pisa-immigration-2015-f095</t>
  </si>
  <si>
    <t>wainer-sat-states-1992-f005</t>
  </si>
  <si>
    <t>wainer-sat-states-1992-f015</t>
  </si>
  <si>
    <t>wainer-sat-states-1992-f025</t>
  </si>
  <si>
    <t>wainer-sat-states-1992-f035</t>
  </si>
  <si>
    <t>wainer-sat-states-1992-f045</t>
  </si>
  <si>
    <t>wainer-sat-states-1992-f055</t>
  </si>
  <si>
    <t>wainer-sat-states-1992-f065</t>
  </si>
  <si>
    <t>wainer-sat-states-1992-f075</t>
  </si>
  <si>
    <t>wainer-sat-states-1992-f085</t>
  </si>
  <si>
    <t>wainer-sat-states-1992-f095</t>
  </si>
  <si>
    <t>folic-acid-neural-tube-1991-f005</t>
  </si>
  <si>
    <t>folic-acid-neural-tube-1991-f015</t>
  </si>
  <si>
    <t>folic-acid-neural-tube-1991-f025</t>
  </si>
  <si>
    <t>folic-acid-neural-tube-1991-f035</t>
  </si>
  <si>
    <t>folic-acid-neural-tube-1991-f045</t>
  </si>
  <si>
    <t>folic-acid-neural-tube-1991-f055</t>
  </si>
  <si>
    <t>folic-acid-neural-tube-1991-f065</t>
  </si>
  <si>
    <t>folic-acid-neural-tube-1991-f075</t>
  </si>
  <si>
    <t>folic-acid-neural-tube-1991-f085</t>
  </si>
  <si>
    <t>folic-acid-neural-tube-1991-f095</t>
  </si>
  <si>
    <t>steroid-asthma-severity-f005</t>
  </si>
  <si>
    <t>steroid-asthma-severity-f015</t>
  </si>
  <si>
    <t>steroid-asthma-severity-f025</t>
  </si>
  <si>
    <t>steroid-asthma-severity-f035</t>
  </si>
  <si>
    <t>steroid-asthma-severity-f045</t>
  </si>
  <si>
    <t>steroid-asthma-severity-f055</t>
  </si>
  <si>
    <t>steroid-asthma-severity-f065</t>
  </si>
  <si>
    <t>steroid-asthma-severity-f075</t>
  </si>
  <si>
    <t>steroid-asthma-severity-f085</t>
  </si>
  <si>
    <t>steroid-asthma-severity-f095</t>
  </si>
  <si>
    <t>kidney-dialysis-facility-1990-f005</t>
  </si>
  <si>
    <t>kidney-dialysis-facility-1990-f015</t>
  </si>
  <si>
    <t>kidney-dialysis-facility-1990-f025</t>
  </si>
  <si>
    <t>kidney-dialysis-facility-1990-f035</t>
  </si>
  <si>
    <t>kidney-dialysis-facility-1990-f045</t>
  </si>
  <si>
    <t>kidney-dialysis-facility-1990-f055</t>
  </si>
  <si>
    <t>kidney-dialysis-facility-1990-f065</t>
  </si>
  <si>
    <t>kidney-dialysis-facility-1990-f075</t>
  </si>
  <si>
    <t>kidney-dialysis-facility-1990-f085</t>
  </si>
  <si>
    <t>kidney-dialysis-facility-1990-f095</t>
  </si>
  <si>
    <t>warfarin-bleeding-age-f005</t>
  </si>
  <si>
    <t>warfarin-bleeding-age-f015</t>
  </si>
  <si>
    <t>warfarin-bleeding-age-f025</t>
  </si>
  <si>
    <t>warfarin-bleeding-age-f035</t>
  </si>
  <si>
    <t>warfarin-bleeding-age-f045</t>
  </si>
  <si>
    <t>warfarin-bleeding-age-f055</t>
  </si>
  <si>
    <t>warfarin-bleeding-age-f065</t>
  </si>
  <si>
    <t>warfarin-bleeding-age-f075</t>
  </si>
  <si>
    <t>warfarin-bleeding-age-f085</t>
  </si>
  <si>
    <t>warfarin-bleeding-age-f095</t>
  </si>
  <si>
    <t>diabetes-metformin-bmi-f005</t>
  </si>
  <si>
    <t>diabetes-metformin-bmi-f015</t>
  </si>
  <si>
    <t>diabetes-metformin-bmi-f025</t>
  </si>
  <si>
    <t>diabetes-metformin-bmi-f035</t>
  </si>
  <si>
    <t>diabetes-metformin-bmi-f045</t>
  </si>
  <si>
    <t>diabetes-metformin-bmi-f055</t>
  </si>
  <si>
    <t>diabetes-metformin-bmi-f065</t>
  </si>
  <si>
    <t>diabetes-metformin-bmi-f075</t>
  </si>
  <si>
    <t>diabetes-metformin-bmi-f085</t>
  </si>
  <si>
    <t>diabetes-metformin-bmi-f095</t>
  </si>
  <si>
    <t>oncology-trial-stage-f005</t>
  </si>
  <si>
    <t>oncology-trial-stage-f015</t>
  </si>
  <si>
    <t>oncology-trial-stage-f025</t>
  </si>
  <si>
    <t>oncology-trial-stage-f035</t>
  </si>
  <si>
    <t>oncology-trial-stage-f045</t>
  </si>
  <si>
    <t>oncology-trial-stage-f055</t>
  </si>
  <si>
    <t>oncology-trial-stage-f065</t>
  </si>
  <si>
    <t>oncology-trial-stage-f075</t>
  </si>
  <si>
    <t>oncology-trial-stage-f085</t>
  </si>
  <si>
    <t>oncology-trial-stage-f095</t>
  </si>
  <si>
    <t>exercise-cholesterol-age-f005</t>
  </si>
  <si>
    <t>exercise-cholesterol-age-f015</t>
  </si>
  <si>
    <t>exercise-cholesterol-age-f025</t>
  </si>
  <si>
    <t>exercise-cholesterol-age-f035</t>
  </si>
  <si>
    <t>exercise-cholesterol-age-f045</t>
  </si>
  <si>
    <t>exercise-cholesterol-age-f055</t>
  </si>
  <si>
    <t>exercise-cholesterol-age-f065</t>
  </si>
  <si>
    <t>exercise-cholesterol-age-f075</t>
  </si>
  <si>
    <t>exercise-cholesterol-age-f085</t>
  </si>
  <si>
    <t>exercise-cholesterol-age-f095</t>
  </si>
  <si>
    <t>red-meat-colorectal-bmi-f005</t>
  </si>
  <si>
    <t>red-meat-colorectal-bmi-f015</t>
  </si>
  <si>
    <t>red-meat-colorectal-bmi-f025</t>
  </si>
  <si>
    <t>red-meat-colorectal-bmi-f035</t>
  </si>
  <si>
    <t>red-meat-colorectal-bmi-f045</t>
  </si>
  <si>
    <t>red-meat-colorectal-bmi-f055</t>
  </si>
  <si>
    <t>red-meat-colorectal-bmi-f065</t>
  </si>
  <si>
    <t>red-meat-colorectal-bmi-f075</t>
  </si>
  <si>
    <t>red-meat-colorectal-bmi-f085</t>
  </si>
  <si>
    <t>red-meat-colorectal-bmi-f095</t>
  </si>
  <si>
    <t>folic-fortification-2000-f005</t>
  </si>
  <si>
    <t>folic-fortification-2000-f015</t>
  </si>
  <si>
    <t>folic-fortification-2000-f025</t>
  </si>
  <si>
    <t>folic-fortification-2000-f035</t>
  </si>
  <si>
    <t>folic-fortification-2000-f045</t>
  </si>
  <si>
    <t>folic-fortification-2000-f055</t>
  </si>
  <si>
    <t>folic-fortification-2000-f065</t>
  </si>
  <si>
    <t>folic-fortification-2000-f075</t>
  </si>
  <si>
    <t>folic-fortification-2000-f085</t>
  </si>
  <si>
    <t>folic-fortification-2000-f095</t>
  </si>
  <si>
    <t>north-carolina-death-penalty-1990-f005</t>
  </si>
  <si>
    <t>north-carolina-death-penalty-1990-f015</t>
  </si>
  <si>
    <t>north-carolina-death-penalty-1990-f025</t>
  </si>
  <si>
    <t>north-carolina-death-penalty-1990-f035</t>
  </si>
  <si>
    <t>north-carolina-death-penalty-1990-f045</t>
  </si>
  <si>
    <t>north-carolina-death-penalty-1990-f055</t>
  </si>
  <si>
    <t>north-carolina-death-penalty-1990-f065</t>
  </si>
  <si>
    <t>north-carolina-death-penalty-1990-f075</t>
  </si>
  <si>
    <t>north-carolina-death-penalty-1990-f085</t>
  </si>
  <si>
    <t>north-carolina-death-penalty-1990-f095</t>
  </si>
  <si>
    <t>housing-discrimination-audit-f005</t>
  </si>
  <si>
    <t>housing-discrimination-audit-f015</t>
  </si>
  <si>
    <t>housing-discrimination-audit-f025</t>
  </si>
  <si>
    <t>housing-discrimination-audit-f035</t>
  </si>
  <si>
    <t>housing-discrimination-audit-f045</t>
  </si>
  <si>
    <t>housing-discrimination-audit-f055</t>
  </si>
  <si>
    <t>housing-discrimination-audit-f065</t>
  </si>
  <si>
    <t>housing-discrimination-audit-f075</t>
  </si>
  <si>
    <t>housing-discrimination-audit-f085</t>
  </si>
  <si>
    <t>housing-discrimination-audit-f095</t>
  </si>
  <si>
    <t>gender-pay-gap-industry-f005</t>
  </si>
  <si>
    <t>gender-pay-gap-industry-f015</t>
  </si>
  <si>
    <t>gender-pay-gap-industry-f025</t>
  </si>
  <si>
    <t>gender-pay-gap-industry-f035</t>
  </si>
  <si>
    <t>gender-pay-gap-industry-f045</t>
  </si>
  <si>
    <t>gender-pay-gap-industry-f055</t>
  </si>
  <si>
    <t>gender-pay-gap-industry-f065</t>
  </si>
  <si>
    <t>gender-pay-gap-industry-f075</t>
  </si>
  <si>
    <t>gender-pay-gap-industry-f085</t>
  </si>
  <si>
    <t>gender-pay-gap-industry-f095</t>
  </si>
  <si>
    <t>income-education-state-f005</t>
  </si>
  <si>
    <t>income-education-state-f015</t>
  </si>
  <si>
    <t>income-education-state-f025</t>
  </si>
  <si>
    <t>income-education-state-f035</t>
  </si>
  <si>
    <t>income-education-state-f045</t>
  </si>
  <si>
    <t>income-education-state-f055</t>
  </si>
  <si>
    <t>income-education-state-f065</t>
  </si>
  <si>
    <t>income-education-state-f075</t>
  </si>
  <si>
    <t>income-education-state-f085</t>
  </si>
  <si>
    <t>income-education-state-f095</t>
  </si>
  <si>
    <t>florida-reef-fish-1994-f005</t>
  </si>
  <si>
    <t>florida-reef-fish-1994-f015</t>
  </si>
  <si>
    <t>florida-reef-fish-1994-f025</t>
  </si>
  <si>
    <t>florida-reef-fish-1994-f035</t>
  </si>
  <si>
    <t>florida-reef-fish-1994-f045</t>
  </si>
  <si>
    <t>florida-reef-fish-1994-f055</t>
  </si>
  <si>
    <t>florida-reef-fish-1994-f065</t>
  </si>
  <si>
    <t>florida-reef-fish-1994-f075</t>
  </si>
  <si>
    <t>florida-reef-fish-1994-f085</t>
  </si>
  <si>
    <t>florida-reef-fish-1994-f095</t>
  </si>
  <si>
    <t>uc-irvine-admissions-1985-f005</t>
  </si>
  <si>
    <t>uc-irvine-admissions-1985-f015</t>
  </si>
  <si>
    <t>uc-irvine-admissions-1985-f025</t>
  </si>
  <si>
    <t>uc-irvine-admissions-1985-f035</t>
  </si>
  <si>
    <t>uc-irvine-admissions-1985-f045</t>
  </si>
  <si>
    <t>uc-irvine-admissions-1985-f055</t>
  </si>
  <si>
    <t>uc-irvine-admissions-1985-f065</t>
  </si>
  <si>
    <t>uc-irvine-admissions-1985-f075</t>
  </si>
  <si>
    <t>uc-irvine-admissions-1985-f085</t>
  </si>
  <si>
    <t>uc-irvine-admissions-1985-f095</t>
  </si>
  <si>
    <t>cesarean-birth-weight-2006-f005</t>
  </si>
  <si>
    <t>cesarean-birth-weight-2006-f015</t>
  </si>
  <si>
    <t>cesarean-birth-weight-2006-f025</t>
  </si>
  <si>
    <t>cesarean-birth-weight-2006-f035</t>
  </si>
  <si>
    <t>cesarean-birth-weight-2006-f045</t>
  </si>
  <si>
    <t>cesarean-birth-weight-2006-f055</t>
  </si>
  <si>
    <t>cesarean-birth-weight-2006-f065</t>
  </si>
  <si>
    <t>cesarean-birth-weight-2006-f075</t>
  </si>
  <si>
    <t>cesarean-birth-weight-2006-f085</t>
  </si>
  <si>
    <t>cesarean-birth-weight-2006-f095</t>
  </si>
  <si>
    <t>schizophrenia-antipsychotic-f005</t>
  </si>
  <si>
    <t>schizophrenia-antipsychotic-f015</t>
  </si>
  <si>
    <t>schizophrenia-antipsychotic-f025</t>
  </si>
  <si>
    <t>schizophrenia-antipsychotic-f035</t>
  </si>
  <si>
    <t>schizophrenia-antipsychotic-f045</t>
  </si>
  <si>
    <t>schizophrenia-antipsychotic-f055</t>
  </si>
  <si>
    <t>schizophrenia-antipsychotic-f065</t>
  </si>
  <si>
    <t>schizophrenia-antipsychotic-f075</t>
  </si>
  <si>
    <t>schizophrenia-antipsychotic-f085</t>
  </si>
  <si>
    <t>schizophrenia-antipsychotic-f095</t>
  </si>
  <si>
    <t>berkeley-six-dept-1973-f005</t>
  </si>
  <si>
    <t>berkeley-six-dept-1973-f015</t>
  </si>
  <si>
    <t>berkeley-six-dept-1973-f025</t>
  </si>
  <si>
    <t>berkeley-six-dept-1973-f035</t>
  </si>
  <si>
    <t>berkeley-six-dept-1973-f045</t>
  </si>
  <si>
    <t>berkeley-six-dept-1973-f055</t>
  </si>
  <si>
    <t>berkeley-six-dept-1973-f065</t>
  </si>
  <si>
    <t>berkeley-six-dept-1973-f075</t>
  </si>
  <si>
    <t>berkeley-six-dept-1973-f085</t>
  </si>
  <si>
    <t>berkeley-six-dept-1973-f095</t>
  </si>
  <si>
    <t>rosiglitazone-mi-pool-2007-f005</t>
  </si>
  <si>
    <t>rosiglitazone-mi-pool-2007-f015</t>
  </si>
  <si>
    <t>rosiglitazone-mi-pool-2007-f025</t>
  </si>
  <si>
    <t>rosiglitazone-mi-pool-2007-f035</t>
  </si>
  <si>
    <t>rosiglitazone-mi-pool-2007-f045</t>
  </si>
  <si>
    <t>rosiglitazone-mi-pool-2007-f055</t>
  </si>
  <si>
    <t>rosiglitazone-mi-pool-2007-f065</t>
  </si>
  <si>
    <t>rosiglitazone-mi-pool-2007-f075</t>
  </si>
  <si>
    <t>rosiglitazone-mi-pool-2007-f085</t>
  </si>
  <si>
    <t>rosiglitazone-mi-pool-2007-f095</t>
  </si>
  <si>
    <t>ironman-gender-age-2010-f005</t>
  </si>
  <si>
    <t>ironman-gender-age-2010-f015</t>
  </si>
  <si>
    <t>ironman-gender-age-2010-f025</t>
  </si>
  <si>
    <t>ironman-gender-age-2010-f035</t>
  </si>
  <si>
    <t>ironman-gender-age-2010-f045</t>
  </si>
  <si>
    <t>ironman-gender-age-2010-f055</t>
  </si>
  <si>
    <t>ironman-gender-age-2010-f065</t>
  </si>
  <si>
    <t>ironman-gender-age-2010-f075</t>
  </si>
  <si>
    <t>ironman-gender-age-2010-f085</t>
  </si>
  <si>
    <t>ironman-gender-age-2010-f095</t>
  </si>
  <si>
    <t>hanley-power-lines-2000-f005</t>
  </si>
  <si>
    <t>hanley-power-lines-2000-f015</t>
  </si>
  <si>
    <t>hanley-power-lines-2000-f025</t>
  </si>
  <si>
    <t>hanley-power-lines-2000-f035</t>
  </si>
  <si>
    <t>hanley-power-lines-2000-f045</t>
  </si>
  <si>
    <t>hanley-power-lines-2000-f055</t>
  </si>
  <si>
    <t>hanley-power-lines-2000-f065</t>
  </si>
  <si>
    <t>hanley-power-lines-2000-f075</t>
  </si>
  <si>
    <t>hanley-power-lines-2000-f085</t>
  </si>
  <si>
    <t>hanley-power-lines-2000-f095</t>
  </si>
  <si>
    <t>coffee-smoking-lung-1968-f005</t>
  </si>
  <si>
    <t>coffee-smoking-lung-1968-f015</t>
  </si>
  <si>
    <t>coffee-smoking-lung-1968-f025</t>
  </si>
  <si>
    <t>coffee-smoking-lung-1968-f035</t>
  </si>
  <si>
    <t>coffee-smoking-lung-1968-f045</t>
  </si>
  <si>
    <t>coffee-smoking-lung-1968-f055</t>
  </si>
  <si>
    <t>coffee-smoking-lung-1968-f065</t>
  </si>
  <si>
    <t>coffee-smoking-lung-1968-f075</t>
  </si>
  <si>
    <t>coffee-smoking-lung-1968-f085</t>
  </si>
  <si>
    <t>coffee-smoking-lung-1968-f095</t>
  </si>
  <si>
    <t>panama-sweden-mortality-1975-f005</t>
  </si>
  <si>
    <t>panama-sweden-mortality-1975-f015</t>
  </si>
  <si>
    <t>panama-sweden-mortality-1975-f025</t>
  </si>
  <si>
    <t>panama-sweden-mortality-1975-f035</t>
  </si>
  <si>
    <t>panama-sweden-mortality-1975-f045</t>
  </si>
  <si>
    <t>panama-sweden-mortality-1975-f055</t>
  </si>
  <si>
    <t>panama-sweden-mortality-1975-f065</t>
  </si>
  <si>
    <t>panama-sweden-mortality-1975-f075</t>
  </si>
  <si>
    <t>panama-sweden-mortality-1975-f085</t>
  </si>
  <si>
    <t>panama-sweden-mortality-1975-f095</t>
  </si>
  <si>
    <t>hrt-whi-2002-f005</t>
  </si>
  <si>
    <t>hrt-whi-2002-f015</t>
  </si>
  <si>
    <t>hrt-whi-2002-f025</t>
  </si>
  <si>
    <t>hrt-whi-2002-f035</t>
  </si>
  <si>
    <t>hrt-whi-2002-f045</t>
  </si>
  <si>
    <t>hrt-whi-2002-f055</t>
  </si>
  <si>
    <t>hrt-whi-2002-f065</t>
  </si>
  <si>
    <t>hrt-whi-2002-f075</t>
  </si>
  <si>
    <t>hrt-whi-2002-f085</t>
  </si>
  <si>
    <t>hrt-whi-2002-f095</t>
  </si>
  <si>
    <t>obesity-paradox-hf-f005</t>
  </si>
  <si>
    <t>obesity-paradox-hf-f015</t>
  </si>
  <si>
    <t>obesity-paradox-hf-f025</t>
  </si>
  <si>
    <t>obesity-paradox-hf-f035</t>
  </si>
  <si>
    <t>obesity-paradox-hf-f045</t>
  </si>
  <si>
    <t>obesity-paradox-hf-f055</t>
  </si>
  <si>
    <t>obesity-paradox-hf-f065</t>
  </si>
  <si>
    <t>obesity-paradox-hf-f075</t>
  </si>
  <si>
    <t>obesity-paradox-hf-f085</t>
  </si>
  <si>
    <t>obesity-paradox-hf-f095</t>
  </si>
  <si>
    <t>dialysis-bmi-survival-f005</t>
  </si>
  <si>
    <t>dialysis-bmi-survival-f015</t>
  </si>
  <si>
    <t>dialysis-bmi-survival-f025</t>
  </si>
  <si>
    <t>dialysis-bmi-survival-f035</t>
  </si>
  <si>
    <t>dialysis-bmi-survival-f045</t>
  </si>
  <si>
    <t>dialysis-bmi-survival-f055</t>
  </si>
  <si>
    <t>dialysis-bmi-survival-f065</t>
  </si>
  <si>
    <t>dialysis-bmi-survival-f075</t>
  </si>
  <si>
    <t>dialysis-bmi-survival-f085</t>
  </si>
  <si>
    <t>dialysis-bmi-survival-f095</t>
  </si>
  <si>
    <t>sick-quitter-alcohol-f005</t>
  </si>
  <si>
    <t>sick-quitter-alcohol-f015</t>
  </si>
  <si>
    <t>sick-quitter-alcohol-f025</t>
  </si>
  <si>
    <t>sick-quitter-alcohol-f035</t>
  </si>
  <si>
    <t>sick-quitter-alcohol-f045</t>
  </si>
  <si>
    <t>sick-quitter-alcohol-f055</t>
  </si>
  <si>
    <t>sick-quitter-alcohol-f065</t>
  </si>
  <si>
    <t>sick-quitter-alcohol-f075</t>
  </si>
  <si>
    <t>sick-quitter-alcohol-f085</t>
  </si>
  <si>
    <t>sick-quitter-alcohol-f095</t>
  </si>
  <si>
    <t>flu-vaccine-elderly-mortality-f005</t>
  </si>
  <si>
    <t>flu-vaccine-elderly-mortality-f015</t>
  </si>
  <si>
    <t>flu-vaccine-elderly-mortality-f025</t>
  </si>
  <si>
    <t>flu-vaccine-elderly-mortality-f035</t>
  </si>
  <si>
    <t>flu-vaccine-elderly-mortality-f045</t>
  </si>
  <si>
    <t>flu-vaccine-elderly-mortality-f055</t>
  </si>
  <si>
    <t>flu-vaccine-elderly-mortality-f065</t>
  </si>
  <si>
    <t>flu-vaccine-elderly-mortality-f075</t>
  </si>
  <si>
    <t>flu-vaccine-elderly-mortality-f085</t>
  </si>
  <si>
    <t>flu-vaccine-elderly-mortality-f095</t>
  </si>
  <si>
    <t>covid-italy-china-cfr-2020-f005</t>
  </si>
  <si>
    <t>covid-italy-china-cfr-2020-f015</t>
  </si>
  <si>
    <t>covid-italy-china-cfr-2020-f025</t>
  </si>
  <si>
    <t>covid-italy-china-cfr-2020-f035</t>
  </si>
  <si>
    <t>covid-italy-china-cfr-2020-f045</t>
  </si>
  <si>
    <t>covid-italy-china-cfr-2020-f055</t>
  </si>
  <si>
    <t>covid-italy-china-cfr-2020-f065</t>
  </si>
  <si>
    <t>covid-italy-china-cfr-2020-f075</t>
  </si>
  <si>
    <t>covid-italy-china-cfr-2020-f085</t>
  </si>
  <si>
    <t>covid-italy-china-cfr-2020-f095</t>
  </si>
  <si>
    <t>israel-covid-severe-2021-f005</t>
  </si>
  <si>
    <t>israel-covid-severe-2021-f015</t>
  </si>
  <si>
    <t>israel-covid-severe-2021-f025</t>
  </si>
  <si>
    <t>israel-covid-severe-2021-f035</t>
  </si>
  <si>
    <t>israel-covid-severe-2021-f045</t>
  </si>
  <si>
    <t>israel-covid-severe-2021-f055</t>
  </si>
  <si>
    <t>israel-covid-severe-2021-f065</t>
  </si>
  <si>
    <t>israel-covid-severe-2021-f075</t>
  </si>
  <si>
    <t>israel-covid-severe-2021-f085</t>
  </si>
  <si>
    <t>israel-covid-severe-2021-f095</t>
  </si>
  <si>
    <t>cochran-smoking-1968-f005</t>
  </si>
  <si>
    <t>cochran-smoking-1968-f015</t>
  </si>
  <si>
    <t>cochran-smoking-1968-f025</t>
  </si>
  <si>
    <t>cochran-smoking-1968-f035</t>
  </si>
  <si>
    <t>cochran-smoking-1968-f045</t>
  </si>
  <si>
    <t>cochran-smoking-1968-f055</t>
  </si>
  <si>
    <t>cochran-smoking-1968-f065</t>
  </si>
  <si>
    <t>cochran-smoking-1968-f075</t>
  </si>
  <si>
    <t>cochran-smoking-1968-f085</t>
  </si>
  <si>
    <t>cochran-smoking-1968-f095</t>
  </si>
  <si>
    <t>healthy-worker-mortality-f005</t>
  </si>
  <si>
    <t>healthy-worker-mortality-f015</t>
  </si>
  <si>
    <t>healthy-worker-mortality-f025</t>
  </si>
  <si>
    <t>healthy-worker-mortality-f035</t>
  </si>
  <si>
    <t>healthy-worker-mortality-f045</t>
  </si>
  <si>
    <t>healthy-worker-mortality-f055</t>
  </si>
  <si>
    <t>healthy-worker-mortality-f065</t>
  </si>
  <si>
    <t>healthy-worker-mortality-f075</t>
  </si>
  <si>
    <t>healthy-worker-mortality-f085</t>
  </si>
  <si>
    <t>healthy-worker-mortality-f095</t>
  </si>
  <si>
    <t>compas-recidivism-base-f005</t>
  </si>
  <si>
    <t>compas-recidivism-base-f015</t>
  </si>
  <si>
    <t>compas-recidivism-base-f025</t>
  </si>
  <si>
    <t>compas-recidivism-base-f035</t>
  </si>
  <si>
    <t>compas-recidivism-base-f045</t>
  </si>
  <si>
    <t>compas-recidivism-base-f055</t>
  </si>
  <si>
    <t>compas-recidivism-base-f065</t>
  </si>
  <si>
    <t>compas-recidivism-base-f075</t>
  </si>
  <si>
    <t>compas-recidivism-base-f085</t>
  </si>
  <si>
    <t>compas-recidivism-base-f095</t>
  </si>
  <si>
    <t>us-wage-composition-stagnation-f005</t>
  </si>
  <si>
    <t>us-wage-composition-stagnation-f015</t>
  </si>
  <si>
    <t>us-wage-composition-stagnation-f025</t>
  </si>
  <si>
    <t>us-wage-composition-stagnation-f035</t>
  </si>
  <si>
    <t>us-wage-composition-stagnation-f045</t>
  </si>
  <si>
    <t>us-wage-composition-stagnation-f055</t>
  </si>
  <si>
    <t>us-wage-composition-stagnation-f065</t>
  </si>
  <si>
    <t>us-wage-composition-stagnation-f075</t>
  </si>
  <si>
    <t>us-wage-composition-stagnation-f085</t>
  </si>
  <si>
    <t>us-wage-composition-stagnation-f095</t>
  </si>
  <si>
    <t>borjas-immigrant-cohort-f005</t>
  </si>
  <si>
    <t>borjas-immigrant-cohort-f015</t>
  </si>
  <si>
    <t>borjas-immigrant-cohort-f025</t>
  </si>
  <si>
    <t>borjas-immigrant-cohort-f035</t>
  </si>
  <si>
    <t>borjas-immigrant-cohort-f045</t>
  </si>
  <si>
    <t>borjas-immigrant-cohort-f055</t>
  </si>
  <si>
    <t>borjas-immigrant-cohort-f065</t>
  </si>
  <si>
    <t>borjas-immigrant-cohort-f075</t>
  </si>
  <si>
    <t>borjas-immigrant-cohort-f085</t>
  </si>
  <si>
    <t>borjas-immigrant-cohort-f095</t>
  </si>
  <si>
    <t>robinson-1950-literacy-f005</t>
  </si>
  <si>
    <t>robinson-1950-literacy-f015</t>
  </si>
  <si>
    <t>robinson-1950-literacy-f025</t>
  </si>
  <si>
    <t>robinson-1950-literacy-f035</t>
  </si>
  <si>
    <t>robinson-1950-literacy-f045</t>
  </si>
  <si>
    <t>robinson-1950-literacy-f055</t>
  </si>
  <si>
    <t>robinson-1950-literacy-f065</t>
  </si>
  <si>
    <t>robinson-1950-literacy-f075</t>
  </si>
  <si>
    <t>robinson-1950-literacy-f085</t>
  </si>
  <si>
    <t>robinson-1950-literacy-f095</t>
  </si>
  <si>
    <t>ab-test-traffic-mix-f005</t>
  </si>
  <si>
    <t>ab-test-traffic-mix-f015</t>
  </si>
  <si>
    <t>ab-test-traffic-mix-f025</t>
  </si>
  <si>
    <t>ab-test-traffic-mix-f035</t>
  </si>
  <si>
    <t>ab-test-traffic-mix-f045</t>
  </si>
  <si>
    <t>ab-test-traffic-mix-f055</t>
  </si>
  <si>
    <t>ab-test-traffic-mix-f065</t>
  </si>
  <si>
    <t>ab-test-traffic-mix-f075</t>
  </si>
  <si>
    <t>ab-test-traffic-mix-f085</t>
  </si>
  <si>
    <t>ab-test-traffic-mix-f095</t>
  </si>
  <si>
    <t>recsys-offline-eval-f005</t>
  </si>
  <si>
    <t>recsys-offline-eval-f015</t>
  </si>
  <si>
    <t>recsys-offline-eval-f025</t>
  </si>
  <si>
    <t>recsys-offline-eval-f035</t>
  </si>
  <si>
    <t>recsys-offline-eval-f045</t>
  </si>
  <si>
    <t>recsys-offline-eval-f055</t>
  </si>
  <si>
    <t>recsys-offline-eval-f065</t>
  </si>
  <si>
    <t>recsys-offline-eval-f075</t>
  </si>
  <si>
    <t>recsys-offline-eval-f085</t>
  </si>
  <si>
    <t>recsys-offline-eval-f095</t>
  </si>
  <si>
    <t>collider-only-synthetic-f005</t>
  </si>
  <si>
    <t>collider-only-synthetic-f015</t>
  </si>
  <si>
    <t>collider-only-synthetic-f025</t>
  </si>
  <si>
    <t>collider-only-synthetic-f035</t>
  </si>
  <si>
    <t>collider-only-synthetic-f045</t>
  </si>
  <si>
    <t>collider-only-synthetic-f055</t>
  </si>
  <si>
    <t>collider-only-synthetic-f065</t>
  </si>
  <si>
    <t>collider-only-synthetic-f075</t>
  </si>
  <si>
    <t>collider-only-synthetic-f085</t>
  </si>
  <si>
    <t>collider-only-synthetic-f095</t>
  </si>
  <si>
    <t>noncollapsibility-or-synthetic-f005</t>
  </si>
  <si>
    <t>noncollapsibility-or-synthetic-f015</t>
  </si>
  <si>
    <t>noncollapsibility-or-synthetic-f025</t>
  </si>
  <si>
    <t>noncollapsibility-or-synthetic-f035</t>
  </si>
  <si>
    <t>noncollapsibility-or-synthetic-f045</t>
  </si>
  <si>
    <t>noncollapsibility-or-synthetic-f055</t>
  </si>
  <si>
    <t>noncollapsibility-or-synthetic-f065</t>
  </si>
  <si>
    <t>noncollapsibility-or-synthetic-f075</t>
  </si>
  <si>
    <t>noncollapsibility-or-synthetic-f085</t>
  </si>
  <si>
    <t>noncollapsibility-or-synthetic-f095</t>
  </si>
  <si>
    <t>trauma-center-mortality-f005</t>
  </si>
  <si>
    <t>trauma-center-mortality-f015</t>
  </si>
  <si>
    <t>trauma-center-mortality-f025</t>
  </si>
  <si>
    <t>trauma-center-mortality-f035</t>
  </si>
  <si>
    <t>trauma-center-mortality-f045</t>
  </si>
  <si>
    <t>trauma-center-mortality-f055</t>
  </si>
  <si>
    <t>trauma-center-mortality-f065</t>
  </si>
  <si>
    <t>trauma-center-mortality-f075</t>
  </si>
  <si>
    <t>trauma-center-mortality-f085</t>
  </si>
  <si>
    <t>trauma-center-mortality-f095</t>
  </si>
  <si>
    <t>surgeon-volume-mortality-f005</t>
  </si>
  <si>
    <t>surgeon-volume-mortality-f015</t>
  </si>
  <si>
    <t>surgeon-volume-mortality-f025</t>
  </si>
  <si>
    <t>surgeon-volume-mortality-f035</t>
  </si>
  <si>
    <t>surgeon-volume-mortality-f045</t>
  </si>
  <si>
    <t>surgeon-volume-mortality-f055</t>
  </si>
  <si>
    <t>surgeon-volume-mortality-f065</t>
  </si>
  <si>
    <t>surgeon-volume-mortality-f075</t>
  </si>
  <si>
    <t>surgeon-volume-mortality-f085</t>
  </si>
  <si>
    <t>surgeon-volume-mortality-f095</t>
  </si>
  <si>
    <t>mammography-length-bias-f005</t>
  </si>
  <si>
    <t>mammography-length-bias-f015</t>
  </si>
  <si>
    <t>mammography-length-bias-f025</t>
  </si>
  <si>
    <t>mammography-length-bias-f035</t>
  </si>
  <si>
    <t>mammography-length-bias-f045</t>
  </si>
  <si>
    <t>mammography-length-bias-f055</t>
  </si>
  <si>
    <t>mammography-length-bias-f065</t>
  </si>
  <si>
    <t>mammography-length-bias-f075</t>
  </si>
  <si>
    <t>mammography-length-bias-f085</t>
  </si>
  <si>
    <t>mammography-length-bias-f095</t>
  </si>
  <si>
    <t>cabg-vs-pci-severity-f005</t>
  </si>
  <si>
    <t>cabg-vs-pci-severity-f015</t>
  </si>
  <si>
    <t>cabg-vs-pci-severity-f025</t>
  </si>
  <si>
    <t>cabg-vs-pci-severity-f035</t>
  </si>
  <si>
    <t>cabg-vs-pci-severity-f045</t>
  </si>
  <si>
    <t>cabg-vs-pci-severity-f055</t>
  </si>
  <si>
    <t>cabg-vs-pci-severity-f065</t>
  </si>
  <si>
    <t>cabg-vs-pci-severity-f075</t>
  </si>
  <si>
    <t>cabg-vs-pci-severity-f085</t>
  </si>
  <si>
    <t>cabg-vs-pci-severity-f095</t>
  </si>
  <si>
    <t>tolbutamide-ugdp-1970-f005</t>
  </si>
  <si>
    <t>tolbutamide-ugdp-1970-f015</t>
  </si>
  <si>
    <t>tolbutamide-ugdp-1970-f025</t>
  </si>
  <si>
    <t>tolbutamide-ugdp-1970-f035</t>
  </si>
  <si>
    <t>tolbutamide-ugdp-1970-f045</t>
  </si>
  <si>
    <t>tolbutamide-ugdp-1970-f055</t>
  </si>
  <si>
    <t>tolbutamide-ugdp-1970-f065</t>
  </si>
  <si>
    <t>tolbutamide-ugdp-1970-f075</t>
  </si>
  <si>
    <t>tolbutamide-ugdp-1970-f085</t>
  </si>
  <si>
    <t>tolbutamide-ugdp-1970-f095</t>
  </si>
  <si>
    <t>snow-cholera-water-1855-f005</t>
  </si>
  <si>
    <t>snow-cholera-water-1855-f015</t>
  </si>
  <si>
    <t>snow-cholera-water-1855-f025</t>
  </si>
  <si>
    <t>snow-cholera-water-1855-f035</t>
  </si>
  <si>
    <t>snow-cholera-water-1855-f045</t>
  </si>
  <si>
    <t>snow-cholera-water-1855-f055</t>
  </si>
  <si>
    <t>snow-cholera-water-1855-f065</t>
  </si>
  <si>
    <t>snow-cholera-water-1855-f075</t>
  </si>
  <si>
    <t>snow-cholera-water-1855-f085</t>
  </si>
  <si>
    <t>snow-cholera-water-1855-f095</t>
  </si>
  <si>
    <t>seatbelt-crash-severity-f005</t>
  </si>
  <si>
    <t>seatbelt-crash-severity-f015</t>
  </si>
  <si>
    <t>seatbelt-crash-severity-f025</t>
  </si>
  <si>
    <t>seatbelt-crash-severity-f035</t>
  </si>
  <si>
    <t>seatbelt-crash-severity-f045</t>
  </si>
  <si>
    <t>seatbelt-crash-severity-f055</t>
  </si>
  <si>
    <t>seatbelt-crash-severity-f065</t>
  </si>
  <si>
    <t>seatbelt-crash-severity-f075</t>
  </si>
  <si>
    <t>seatbelt-crash-severity-f085</t>
  </si>
  <si>
    <t>seatbelt-crash-severity-f095</t>
  </si>
  <si>
    <t>measles-outbreak-vaccinated-f005</t>
  </si>
  <si>
    <t>measles-outbreak-vaccinated-f015</t>
  </si>
  <si>
    <t>measles-outbreak-vaccinated-f025</t>
  </si>
  <si>
    <t>measles-outbreak-vaccinated-f035</t>
  </si>
  <si>
    <t>measles-outbreak-vaccinated-f045</t>
  </si>
  <si>
    <t>measles-outbreak-vaccinated-f055</t>
  </si>
  <si>
    <t>measles-outbreak-vaccinated-f065</t>
  </si>
  <si>
    <t>measles-outbreak-vaccinated-f075</t>
  </si>
  <si>
    <t>measles-outbreak-vaccinated-f085</t>
  </si>
  <si>
    <t>measles-outbreak-vaccinated-f095</t>
  </si>
  <si>
    <t>air-pollution-mortality-city-f005</t>
  </si>
  <si>
    <t>air-pollution-mortality-city-f015</t>
  </si>
  <si>
    <t>air-pollution-mortality-city-f025</t>
  </si>
  <si>
    <t>air-pollution-mortality-city-f035</t>
  </si>
  <si>
    <t>air-pollution-mortality-city-f045</t>
  </si>
  <si>
    <t>air-pollution-mortality-city-f055</t>
  </si>
  <si>
    <t>air-pollution-mortality-city-f065</t>
  </si>
  <si>
    <t>air-pollution-mortality-city-f075</t>
  </si>
  <si>
    <t>air-pollution-mortality-city-f085</t>
  </si>
  <si>
    <t>air-pollution-mortality-city-f095</t>
  </si>
  <si>
    <t>tb-treatment-resistance-f005</t>
  </si>
  <si>
    <t>tb-treatment-resistance-f015</t>
  </si>
  <si>
    <t>tb-treatment-resistance-f025</t>
  </si>
  <si>
    <t>tb-treatment-resistance-f035</t>
  </si>
  <si>
    <t>tb-treatment-resistance-f045</t>
  </si>
  <si>
    <t>tb-treatment-resistance-f055</t>
  </si>
  <si>
    <t>tb-treatment-resistance-f065</t>
  </si>
  <si>
    <t>tb-treatment-resistance-f075</t>
  </si>
  <si>
    <t>tb-treatment-resistance-f085</t>
  </si>
  <si>
    <t>tb-treatment-resistance-f095</t>
  </si>
  <si>
    <t>hospital-mortality-readmission-f005</t>
  </si>
  <si>
    <t>hospital-mortality-readmission-f015</t>
  </si>
  <si>
    <t>hospital-mortality-readmission-f025</t>
  </si>
  <si>
    <t>hospital-mortality-readmission-f035</t>
  </si>
  <si>
    <t>hospital-mortality-readmission-f045</t>
  </si>
  <si>
    <t>hospital-mortality-readmission-f055</t>
  </si>
  <si>
    <t>hospital-mortality-readmission-f065</t>
  </si>
  <si>
    <t>hospital-mortality-readmission-f075</t>
  </si>
  <si>
    <t>hospital-mortality-readmission-f085</t>
  </si>
  <si>
    <t>hospital-mortality-readmission-f095</t>
  </si>
  <si>
    <t>nypd-stop-frisk-hitrate-f005</t>
  </si>
  <si>
    <t>nypd-stop-frisk-hitrate-f015</t>
  </si>
  <si>
    <t>nypd-stop-frisk-hitrate-f025</t>
  </si>
  <si>
    <t>nypd-stop-frisk-hitrate-f035</t>
  </si>
  <si>
    <t>nypd-stop-frisk-hitrate-f045</t>
  </si>
  <si>
    <t>nypd-stop-frisk-hitrate-f055</t>
  </si>
  <si>
    <t>nypd-stop-frisk-hitrate-f065</t>
  </si>
  <si>
    <t>nypd-stop-frisk-hitrate-f075</t>
  </si>
  <si>
    <t>nypd-stop-frisk-hitrate-f085</t>
  </si>
  <si>
    <t>nypd-stop-frisk-hitrate-f095</t>
  </si>
  <si>
    <t>sentencing-offense-type-f005</t>
  </si>
  <si>
    <t>sentencing-offense-type-f015</t>
  </si>
  <si>
    <t>sentencing-offense-type-f025</t>
  </si>
  <si>
    <t>sentencing-offense-type-f035</t>
  </si>
  <si>
    <t>sentencing-offense-type-f045</t>
  </si>
  <si>
    <t>sentencing-offense-type-f055</t>
  </si>
  <si>
    <t>sentencing-offense-type-f065</t>
  </si>
  <si>
    <t>sentencing-offense-type-f075</t>
  </si>
  <si>
    <t>sentencing-offense-type-f085</t>
  </si>
  <si>
    <t>sentencing-offense-type-f095</t>
  </si>
  <si>
    <t>bail-risk-score-f005</t>
  </si>
  <si>
    <t>bail-risk-score-f015</t>
  </si>
  <si>
    <t>bail-risk-score-f025</t>
  </si>
  <si>
    <t>bail-risk-score-f035</t>
  </si>
  <si>
    <t>bail-risk-score-f045</t>
  </si>
  <si>
    <t>bail-risk-score-f055</t>
  </si>
  <si>
    <t>bail-risk-score-f065</t>
  </si>
  <si>
    <t>bail-risk-score-f075</t>
  </si>
  <si>
    <t>bail-risk-score-f085</t>
  </si>
  <si>
    <t>bail-risk-score-f095</t>
  </si>
  <si>
    <t>police-force-encounter-f005</t>
  </si>
  <si>
    <t>police-force-encounter-f015</t>
  </si>
  <si>
    <t>police-force-encounter-f025</t>
  </si>
  <si>
    <t>police-force-encounter-f035</t>
  </si>
  <si>
    <t>police-force-encounter-f045</t>
  </si>
  <si>
    <t>police-force-encounter-f055</t>
  </si>
  <si>
    <t>police-force-encounter-f065</t>
  </si>
  <si>
    <t>police-force-encounter-f075</t>
  </si>
  <si>
    <t>police-force-encounter-f085</t>
  </si>
  <si>
    <t>police-force-encounter-f095</t>
  </si>
  <si>
    <t>uc-systemwide-admissions-f005</t>
  </si>
  <si>
    <t>uc-systemwide-admissions-f015</t>
  </si>
  <si>
    <t>uc-systemwide-admissions-f025</t>
  </si>
  <si>
    <t>uc-systemwide-admissions-f035</t>
  </si>
  <si>
    <t>uc-systemwide-admissions-f045</t>
  </si>
  <si>
    <t>uc-systemwide-admissions-f055</t>
  </si>
  <si>
    <t>uc-systemwide-admissions-f065</t>
  </si>
  <si>
    <t>uc-systemwide-admissions-f075</t>
  </si>
  <si>
    <t>uc-systemwide-admissions-f085</t>
  </si>
  <si>
    <t>uc-systemwide-admissions-f095</t>
  </si>
  <si>
    <t>teacher-vam-prior-achievement-f005</t>
  </si>
  <si>
    <t>teacher-vam-prior-achievement-f015</t>
  </si>
  <si>
    <t>teacher-vam-prior-achievement-f025</t>
  </si>
  <si>
    <t>teacher-vam-prior-achievement-f035</t>
  </si>
  <si>
    <t>teacher-vam-prior-achievement-f045</t>
  </si>
  <si>
    <t>teacher-vam-prior-achievement-f055</t>
  </si>
  <si>
    <t>teacher-vam-prior-achievement-f065</t>
  </si>
  <si>
    <t>teacher-vam-prior-achievement-f075</t>
  </si>
  <si>
    <t>teacher-vam-prior-achievement-f085</t>
  </si>
  <si>
    <t>teacher-vam-prior-achievement-f095</t>
  </si>
  <si>
    <t>naep-state-demographics-f005</t>
  </si>
  <si>
    <t>naep-state-demographics-f015</t>
  </si>
  <si>
    <t>naep-state-demographics-f025</t>
  </si>
  <si>
    <t>naep-state-demographics-f035</t>
  </si>
  <si>
    <t>naep-state-demographics-f045</t>
  </si>
  <si>
    <t>naep-state-demographics-f055</t>
  </si>
  <si>
    <t>naep-state-demographics-f065</t>
  </si>
  <si>
    <t>naep-state-demographics-f075</t>
  </si>
  <si>
    <t>naep-state-demographics-f085</t>
  </si>
  <si>
    <t>naep-state-demographics-f095</t>
  </si>
  <si>
    <t>college-grad-rate-selectivity-f005</t>
  </si>
  <si>
    <t>college-grad-rate-selectivity-f015</t>
  </si>
  <si>
    <t>college-grad-rate-selectivity-f025</t>
  </si>
  <si>
    <t>college-grad-rate-selectivity-f035</t>
  </si>
  <si>
    <t>college-grad-rate-selectivity-f045</t>
  </si>
  <si>
    <t>college-grad-rate-selectivity-f055</t>
  </si>
  <si>
    <t>college-grad-rate-selectivity-f065</t>
  </si>
  <si>
    <t>college-grad-rate-selectivity-f075</t>
  </si>
  <si>
    <t>college-grad-rate-selectivity-f085</t>
  </si>
  <si>
    <t>college-grad-rate-selectivity-f095</t>
  </si>
  <si>
    <t>star-class-size-f005</t>
  </si>
  <si>
    <t>star-class-size-f015</t>
  </si>
  <si>
    <t>star-class-size-f025</t>
  </si>
  <si>
    <t>star-class-size-f035</t>
  </si>
  <si>
    <t>star-class-size-f045</t>
  </si>
  <si>
    <t>star-class-size-f055</t>
  </si>
  <si>
    <t>star-class-size-f065</t>
  </si>
  <si>
    <t>star-class-size-f075</t>
  </si>
  <si>
    <t>star-class-size-f085</t>
  </si>
  <si>
    <t>star-class-size-f095</t>
  </si>
  <si>
    <t>nba-shooting-shot-mix-f005</t>
  </si>
  <si>
    <t>nba-shooting-shot-mix-f015</t>
  </si>
  <si>
    <t>nba-shooting-shot-mix-f025</t>
  </si>
  <si>
    <t>nba-shooting-shot-mix-f035</t>
  </si>
  <si>
    <t>nba-shooting-shot-mix-f045</t>
  </si>
  <si>
    <t>nba-shooting-shot-mix-f055</t>
  </si>
  <si>
    <t>nba-shooting-shot-mix-f065</t>
  </si>
  <si>
    <t>nba-shooting-shot-mix-f075</t>
  </si>
  <si>
    <t>nba-shooting-shot-mix-f085</t>
  </si>
  <si>
    <t>nba-shooting-shot-mix-f095</t>
  </si>
  <si>
    <t>pitcher-era-ballpark-f005</t>
  </si>
  <si>
    <t>pitcher-era-ballpark-f015</t>
  </si>
  <si>
    <t>pitcher-era-ballpark-f025</t>
  </si>
  <si>
    <t>pitcher-era-ballpark-f035</t>
  </si>
  <si>
    <t>pitcher-era-ballpark-f045</t>
  </si>
  <si>
    <t>pitcher-era-ballpark-f055</t>
  </si>
  <si>
    <t>pitcher-era-ballpark-f065</t>
  </si>
  <si>
    <t>pitcher-era-ballpark-f075</t>
  </si>
  <si>
    <t>pitcher-era-ballpark-f085</t>
  </si>
  <si>
    <t>pitcher-era-ballpark-f095</t>
  </si>
  <si>
    <t>nfl-completion-depth-f005</t>
  </si>
  <si>
    <t>nfl-completion-depth-f015</t>
  </si>
  <si>
    <t>nfl-completion-depth-f025</t>
  </si>
  <si>
    <t>nfl-completion-depth-f035</t>
  </si>
  <si>
    <t>nfl-completion-depth-f045</t>
  </si>
  <si>
    <t>nfl-completion-depth-f055</t>
  </si>
  <si>
    <t>nfl-completion-depth-f065</t>
  </si>
  <si>
    <t>nfl-completion-depth-f075</t>
  </si>
  <si>
    <t>nfl-completion-depth-f085</t>
  </si>
  <si>
    <t>nfl-completion-depth-f095</t>
  </si>
  <si>
    <t>field-goal-distance-f005</t>
  </si>
  <si>
    <t>field-goal-distance-f015</t>
  </si>
  <si>
    <t>field-goal-distance-f025</t>
  </si>
  <si>
    <t>field-goal-distance-f035</t>
  </si>
  <si>
    <t>field-goal-distance-f045</t>
  </si>
  <si>
    <t>field-goal-distance-f055</t>
  </si>
  <si>
    <t>field-goal-distance-f065</t>
  </si>
  <si>
    <t>field-goal-distance-f075</t>
  </si>
  <si>
    <t>field-goal-distance-f085</t>
  </si>
  <si>
    <t>field-goal-distance-f095</t>
  </si>
  <si>
    <t>golf-scoring-course-f005</t>
  </si>
  <si>
    <t>golf-scoring-course-f015</t>
  </si>
  <si>
    <t>golf-scoring-course-f025</t>
  </si>
  <si>
    <t>golf-scoring-course-f035</t>
  </si>
  <si>
    <t>golf-scoring-course-f045</t>
  </si>
  <si>
    <t>golf-scoring-course-f055</t>
  </si>
  <si>
    <t>golf-scoring-course-f065</t>
  </si>
  <si>
    <t>golf-scoring-course-f075</t>
  </si>
  <si>
    <t>golf-scoring-course-f085</t>
  </si>
  <si>
    <t>golf-scoring-course-f095</t>
  </si>
  <si>
    <t>minimum-wage-region-f005</t>
  </si>
  <si>
    <t>minimum-wage-region-f015</t>
  </si>
  <si>
    <t>minimum-wage-region-f025</t>
  </si>
  <si>
    <t>minimum-wage-region-f035</t>
  </si>
  <si>
    <t>minimum-wage-region-f045</t>
  </si>
  <si>
    <t>minimum-wage-region-f055</t>
  </si>
  <si>
    <t>minimum-wage-region-f065</t>
  </si>
  <si>
    <t>minimum-wage-region-f075</t>
  </si>
  <si>
    <t>minimum-wage-region-f085</t>
  </si>
  <si>
    <t>minimum-wage-region-f095</t>
  </si>
  <si>
    <t>returns-to-education-field-f005</t>
  </si>
  <si>
    <t>returns-to-education-field-f015</t>
  </si>
  <si>
    <t>returns-to-education-field-f025</t>
  </si>
  <si>
    <t>returns-to-education-field-f035</t>
  </si>
  <si>
    <t>returns-to-education-field-f045</t>
  </si>
  <si>
    <t>returns-to-education-field-f055</t>
  </si>
  <si>
    <t>returns-to-education-field-f065</t>
  </si>
  <si>
    <t>returns-to-education-field-f075</t>
  </si>
  <si>
    <t>returns-to-education-field-f085</t>
  </si>
  <si>
    <t>returns-to-education-field-f095</t>
  </si>
  <si>
    <t>unemployment-education-cycle-f005</t>
  </si>
  <si>
    <t>unemployment-education-cycle-f015</t>
  </si>
  <si>
    <t>unemployment-education-cycle-f025</t>
  </si>
  <si>
    <t>unemployment-education-cycle-f035</t>
  </si>
  <si>
    <t>unemployment-education-cycle-f045</t>
  </si>
  <si>
    <t>unemployment-education-cycle-f055</t>
  </si>
  <si>
    <t>unemployment-education-cycle-f065</t>
  </si>
  <si>
    <t>unemployment-education-cycle-f075</t>
  </si>
  <si>
    <t>unemployment-education-cycle-f085</t>
  </si>
  <si>
    <t>unemployment-education-cycle-f095</t>
  </si>
  <si>
    <t>costa-rica-us-life-expectancy-f005</t>
  </si>
  <si>
    <t>costa-rica-us-life-expectancy-f015</t>
  </si>
  <si>
    <t>costa-rica-us-life-expectancy-f025</t>
  </si>
  <si>
    <t>costa-rica-us-life-expectancy-f035</t>
  </si>
  <si>
    <t>costa-rica-us-life-expectancy-f045</t>
  </si>
  <si>
    <t>costa-rica-us-life-expectancy-f055</t>
  </si>
  <si>
    <t>costa-rica-us-life-expectancy-f065</t>
  </si>
  <si>
    <t>costa-rica-us-life-expectancy-f075</t>
  </si>
  <si>
    <t>costa-rica-us-life-expectancy-f085</t>
  </si>
  <si>
    <t>costa-rica-us-life-expectancy-f095</t>
  </si>
  <si>
    <t>fertility-income-country-f005</t>
  </si>
  <si>
    <t>fertility-income-country-f015</t>
  </si>
  <si>
    <t>fertility-income-country-f025</t>
  </si>
  <si>
    <t>fertility-income-country-f035</t>
  </si>
  <si>
    <t>fertility-income-country-f045</t>
  </si>
  <si>
    <t>fertility-income-country-f055</t>
  </si>
  <si>
    <t>fertility-income-country-f065</t>
  </si>
  <si>
    <t>fertility-income-country-f075</t>
  </si>
  <si>
    <t>fertility-income-country-f085</t>
  </si>
  <si>
    <t>fertility-income-country-f095</t>
  </si>
  <si>
    <t>religiosity-happiness-country-f005</t>
  </si>
  <si>
    <t>religiosity-happiness-country-f015</t>
  </si>
  <si>
    <t>religiosity-happiness-country-f025</t>
  </si>
  <si>
    <t>religiosity-happiness-country-f035</t>
  </si>
  <si>
    <t>religiosity-happiness-country-f045</t>
  </si>
  <si>
    <t>religiosity-happiness-country-f055</t>
  </si>
  <si>
    <t>religiosity-happiness-country-f065</t>
  </si>
  <si>
    <t>religiosity-happiness-country-f075</t>
  </si>
  <si>
    <t>religiosity-happiness-country-f085</t>
  </si>
  <si>
    <t>religiosity-happiness-country-f095</t>
  </si>
  <si>
    <t>voter-turnout-education-state-f005</t>
  </si>
  <si>
    <t>voter-turnout-education-state-f015</t>
  </si>
  <si>
    <t>voter-turnout-education-state-f025</t>
  </si>
  <si>
    <t>voter-turnout-education-state-f035</t>
  </si>
  <si>
    <t>voter-turnout-education-state-f045</t>
  </si>
  <si>
    <t>voter-turnout-education-state-f055</t>
  </si>
  <si>
    <t>voter-turnout-education-state-f065</t>
  </si>
  <si>
    <t>voter-turnout-education-state-f075</t>
  </si>
  <si>
    <t>voter-turnout-education-state-f085</t>
  </si>
  <si>
    <t>voter-turnout-education-state-f095</t>
  </si>
  <si>
    <t>ad-ctr-platform-mix-f005</t>
  </si>
  <si>
    <t>ad-ctr-platform-mix-f015</t>
  </si>
  <si>
    <t>ad-ctr-platform-mix-f025</t>
  </si>
  <si>
    <t>ad-ctr-platform-mix-f035</t>
  </si>
  <si>
    <t>ad-ctr-platform-mix-f045</t>
  </si>
  <si>
    <t>ad-ctr-platform-mix-f055</t>
  </si>
  <si>
    <t>ad-ctr-platform-mix-f065</t>
  </si>
  <si>
    <t>ad-ctr-platform-mix-f075</t>
  </si>
  <si>
    <t>ad-ctr-platform-mix-f085</t>
  </si>
  <si>
    <t>ad-ctr-platform-mix-f095</t>
  </si>
  <si>
    <t>SweepStudyId</t>
  </si>
  <si>
    <t>DistortionTypeLabel</t>
  </si>
  <si>
    <t>CorrectedGapConstant</t>
  </si>
  <si>
    <t>SweepPooledGapMax</t>
  </si>
  <si>
    <t>SweepPooledGapMin</t>
  </si>
  <si>
    <t>InvariantWitness</t>
  </si>
  <si>
    <t>SweepStratumLabel</t>
  </si>
  <si>
    <t>Era</t>
  </si>
  <si>
    <t>CoreConcern</t>
  </si>
  <si>
    <t>PrimaryVenue</t>
  </si>
  <si>
    <t>KeyClaim</t>
  </si>
  <si>
    <t>OpenQuestion</t>
  </si>
  <si>
    <t>VerifiedByDeepResearch</t>
  </si>
  <si>
    <t>IllustratedByStudy</t>
  </si>
  <si>
    <t>SupportingConclusion</t>
  </si>
  <si>
    <t>IllustratedByStudyTitle</t>
  </si>
  <si>
    <t>IllustratedByStudySource</t>
  </si>
  <si>
    <t>IllustratedByStudyDistortionType</t>
  </si>
  <si>
    <t>SupportingConclusionTitle</t>
  </si>
  <si>
    <t>SupportingConclusionCategory</t>
  </si>
  <si>
    <t>ResearcherCount</t>
  </si>
  <si>
    <t>Historical Statistical Origins</t>
  </si>
  <si>
    <t>1899–1972</t>
  </si>
  <si>
    <t>Documenting that aggregate and partial associations can differ or reverse</t>
  </si>
  <si>
    <t>Biometrika; Journal of the Royal Statistical Society</t>
  </si>
  <si>
    <t>The reversal is a well-defined mathematical property of weighted averages, not a logical paradox — formalised by Blyth (1972)</t>
  </si>
  <si>
    <t>Whether "disappearing association" (Pearson/Yule) and "sign reversal" (Cohen/Nagel) are the same phenomenon or two distinct effects</t>
  </si>
  <si>
    <t>tradition-philosophy</t>
  </si>
  <si>
    <t>Philosophy of Science / Probabilistic Causality</t>
  </si>
  <si>
    <t>1956–present</t>
  </si>
  <si>
    <t>Whether probabilistic associations alone can ground causal claims — the paradox is the stress test</t>
  </si>
  <si>
    <t>Philosophy of Science; Nous; Cambridge studies in probability/induction</t>
  </si>
  <si>
    <t>Cartwright (1979): causes must raise probabilities relative to ALL background contexts, not just the aggregate. Statistical accounts of causation fail without this constraint.</t>
  </si>
  <si>
    <t>Whether the probabilistic causality framework is ultimately reducible to a causal graph account (Pearl) or remains genuinely distinct</t>
  </si>
  <si>
    <t>Causal Graphical / DAG Tradition</t>
  </si>
  <si>
    <t>1988–present</t>
  </si>
  <si>
    <t>Identifying the structural (graph) conditions under which stratification resolves or worsens the paradox</t>
  </si>
  <si>
    <t>JMLR; UAI; Artificial Intelligence; MIT Press books</t>
  </si>
  <si>
    <t>The paradox is a confounding problem solvable via the back-door criterion; a DAG over observed variables determines which table (pooled or stratified) is the correct one</t>
  </si>
  <si>
    <t>Dong, Cai &amp; Zhao (2024): confounding is not the universal source — inter-unit causation and accidental associations also produce the paradox, so DAG adjustment alone is insufficient</t>
  </si>
  <si>
    <t>Epidemiology / Observational Studies</t>
  </si>
  <si>
    <t>1980–present</t>
  </si>
  <si>
    <t>Noncollapsibility: when does controlling for a confounder change the measure of association, and when is that change meaningful?</t>
  </si>
  <si>
    <t>Epidemiology; American Journal of Epidemiology; Statistical Science</t>
  </si>
  <si>
    <t>Noncollapsibility is not identical to confounding — some measures (OR, HR) are noncollapsible even without confounding. Greenland (2021): distinguishing the two prevents spurious "paradox" diagnoses.</t>
  </si>
  <si>
    <t>Which effect measures (RR, OR, RD) are collapsible under what conditions — an active debate in biostatistics</t>
  </si>
  <si>
    <t>tradition-bayesian</t>
  </si>
  <si>
    <t>Bayesian / Decision-Theoretic</t>
  </si>
  <si>
    <t>1981–present</t>
  </si>
  <si>
    <t>Whether Bayesian model-selection criteria (Bayes factors, posterior predictive) are themselves susceptible to Simpson-type reversals</t>
  </si>
  <si>
    <t>Journal of the Royal Statistical Society Series B; Bayesian Analysis</t>
  </si>
  <si>
    <t>Lindley (1997): Bayes factor proponents can simultaneously conclude tall men &gt; tall women AND short men &gt; short women AND women &gt; men overall — a Simpson reversal in posterior odds. The paradox lives inside Bayesian inference, not just frequentist aggregation.</t>
  </si>
  <si>
    <t>Whether prior specification can fully neutralise the reversal or whether the paradox is structurally unavoidable in hierarchical Bayesian models</t>
  </si>
  <si>
    <t>AI Fairness / Machine Learning</t>
  </si>
  <si>
    <t>2016–present</t>
  </si>
  <si>
    <t>Whether group-level fairness metrics are reliable when base rates differ across subgroups — Simpson's Paradox as a structural threat to audit validity</t>
  </si>
  <si>
    <t>FAccT; NeurIPS; Big Data journal; VLDB</t>
  </si>
  <si>
    <t>Chouldechova (2017) impossibility theorem: calibration and equal error rates are simultaneously unachievable when prevalence differs across groups. Differing base rates ARE the paradox mechanism in disguise.</t>
  </si>
  <si>
    <t>Whether the FAccT community explicitly frames its impossibility results as Simpson's Paradox instances or treats base-rate divergence as a distinct phenomenon</t>
  </si>
  <si>
    <t>ActivePeriod</t>
  </si>
  <si>
    <t>Affiliation</t>
  </si>
  <si>
    <t>KeyContribution</t>
  </si>
  <si>
    <t>SignatureWork</t>
  </si>
  <si>
    <t>RelationToHannanPearl</t>
  </si>
  <si>
    <t>ConfidenceLevel</t>
  </si>
  <si>
    <t>CanonicalStudyId</t>
  </si>
  <si>
    <t>IllustratesConclusion</t>
  </si>
  <si>
    <t>TraditionEra</t>
  </si>
  <si>
    <t>CanonicalStudyTitle</t>
  </si>
  <si>
    <t>CanonicalStudyDistortionType</t>
  </si>
  <si>
    <t>CanonicalStudyPolicyImplication</t>
  </si>
  <si>
    <t>IllustratesConclusionTitle</t>
  </si>
  <si>
    <t>Karl Pearson</t>
  </si>
  <si>
    <t>1899</t>
  </si>
  <si>
    <t>University College London</t>
  </si>
  <si>
    <t>First (1899) observed that marginal and partial associations between continuous variables can differ, producing spurious correlations — the pre-Simpson precursor.</t>
  </si>
  <si>
    <t>Pearson et al. (1899) — early work on genetic inheritance and spurious correlation</t>
  </si>
  <si>
    <t>Predates both; Pearl's DAG tradition explicitly cites Pearson as the origin point of the confusion his framework resolves</t>
  </si>
  <si>
    <t>researcher-yule</t>
  </si>
  <si>
    <t>G. Udny Yule</t>
  </si>
  <si>
    <t>1903</t>
  </si>
  <si>
    <t>University of Cambridge</t>
  </si>
  <si>
    <t>Extended Pearson's observation (1903) to categorical data; the phenomenon is sometimes called the Yule–Simpson effect.</t>
  </si>
  <si>
    <t>Yule (1903) — Notes on the theory of association of attributes in statistics</t>
  </si>
  <si>
    <t>Provides the categorical-data framing that Hannan's aggregation bias literature builds on; Pearl's back-door criterion addresses exactly what Yule's correlations could not distinguish</t>
  </si>
  <si>
    <t>Cohen &amp; Nagel</t>
  </si>
  <si>
    <t>1934</t>
  </si>
  <si>
    <t>Columbia University</t>
  </si>
  <si>
    <t>First documented sign reversal specifically (association flipping direction, not merely disappearing), predating Simpson's 1951 paper.</t>
  </si>
  <si>
    <t>Cohen &amp; Nagel (1934) — An Introduction to Logic and Scientific Method</t>
  </si>
  <si>
    <t>Provided the logical/philosophical framing that the philosophy-of-science tradition (Cartwright, Eells) built on</t>
  </si>
  <si>
    <t>researcher-simpson</t>
  </si>
  <si>
    <t>Edward H. Simpson</t>
  </si>
  <si>
    <t>1951</t>
  </si>
  <si>
    <t>Government Communications Headquarters (GCHQ)</t>
  </si>
  <si>
    <t>Gave the paradox its name by formalising sign reversal in contingency tables (1951 JRSS-B paper), though unaware of Cohen &amp; Nagel's earlier sign-reversal documentation.</t>
  </si>
  <si>
    <t>Simpson (1951) — The Interpretation of Interaction in Contingency Tables, JRSS-B</t>
  </si>
  <si>
    <t>The naming origin; Pearl's r414.pdf distinguishes Simpson's formal contribution from the deeper causal question Simpson himself did not answer</t>
  </si>
  <si>
    <t>C. R. Blyth</t>
  </si>
  <si>
    <t>1972</t>
  </si>
  <si>
    <t>University of Idaho</t>
  </si>
  <si>
    <t>Coined the term "Simpson's Paradox" (1972), provided the first formal definition, and framed the reversal as a genuine logical paradox rather than a statistical curiosity.</t>
  </si>
  <si>
    <t>Blyth (1972) — On Simpson's Paradox and the Sure-Thing Principle, JASA</t>
  </si>
  <si>
    <t>Blyth's formal definition is one of three non-equivalent definitions in the literature (Blyth 1972, Mittal 1991, Bandyopadhyay et al. 2011); Pearl's framework dissolves the definitional ambiguity via causal structure</t>
  </si>
  <si>
    <t>researcher-reichenbach</t>
  </si>
  <si>
    <t>Hans Reichenbach</t>
  </si>
  <si>
    <t>1956</t>
  </si>
  <si>
    <t>UCLA</t>
  </si>
  <si>
    <t>Developed the Common Cause Principle (1956): every statistical correlation has a causal explanation, either direct causation or a common cause. This principle frames the paradox as a symptom of an uncontrolled common cause.</t>
  </si>
  <si>
    <t>Reichenbach (1956) — The Direction of Time</t>
  </si>
  <si>
    <t>Pearl's backdoor criterion is a formalisation of Reichenbach's common-cause screening-off idea in DAG language</t>
  </si>
  <si>
    <t>researcher-suppes</t>
  </si>
  <si>
    <t>Patrick Suppes</t>
  </si>
  <si>
    <t>1970</t>
  </si>
  <si>
    <t>Stanford University</t>
  </si>
  <si>
    <t>Developed probabilistic causality theory (1970): causes raise the probability of their effects. The paradox shows this is necessary but insufficient — background context must be held fixed.</t>
  </si>
  <si>
    <t>Suppes (1970) — A Probabilistic Theory of Causality</t>
  </si>
  <si>
    <t>Suppes's framework is the direct predecessor Cartwright critiques and extends; Pearl's do-calculus supersedes probabilistic causality by making interventions explicit</t>
  </si>
  <si>
    <t>researcher-cartwright</t>
  </si>
  <si>
    <t>Nancy Cartwright</t>
  </si>
  <si>
    <t>1979</t>
  </si>
  <si>
    <t>Stanford / LSE / UCSD</t>
  </si>
  <si>
    <t>Proposed the influential resolution (1979): a cause must raise the probability of its effect in every homogeneous background context, not just in the aggregate. Argued purely statistical accounts of causation fail.</t>
  </si>
  <si>
    <t>Cartwright (1979) — Causal Laws and Effective Strategies, Nous</t>
  </si>
  <si>
    <t>Cartwright's "background contexts" anticipate stratification in Pearl's sense; Pearl acknowledges Cartwright but argues DAGs make the notion precise and computable</t>
  </si>
  <si>
    <t>researcher-eells</t>
  </si>
  <si>
    <t>Ellery Eells</t>
  </si>
  <si>
    <t>1987</t>
  </si>
  <si>
    <t>University of Wisconsin–Madison</t>
  </si>
  <si>
    <t>Defended Cartwright's resolution against Richard Otte's (1985) critique; published Probabilistic Causality (1991), the most systematic treatment of the probabilistic causality tradition.</t>
  </si>
  <si>
    <t>Eells (1991) — Probabilistic Causality, Cambridge University Press</t>
  </si>
  <si>
    <t>Eells's defence of Cartwright against Otte closes off one branch of the philosophy debate; Pearl's DAG approach is seen by many as the operationalisation that finally settled it</t>
  </si>
  <si>
    <t>Spirtes, Glymour &amp; Scheines</t>
  </si>
  <si>
    <t>1993–2000</t>
  </si>
  <si>
    <t>Carnegie Mellon University</t>
  </si>
  <si>
    <t>The CMU group (SGS) developed constraint-based causal discovery (PC/FCI algorithms) as a parallel DAG tradition to Pearl's. Their 2000 book explicitly names clarifying Simpson's Paradox as a goal.</t>
  </si>
  <si>
    <t>Spirtes, Glymour &amp; Scheines (2000) — Causation, Prediction, and Search, MIT Press</t>
  </si>
  <si>
    <t>Methodologically distinct from Pearl: SGS uses constraint-based structure discovery from conditional independence tests; Pearl uses do-calculus and interventional logic. Both treat the paradox as a confounding problem but differ in how to identify confounders from data.</t>
  </si>
  <si>
    <t>Dong, Cai &amp; Zhao</t>
  </si>
  <si>
    <t>2024</t>
  </si>
  <si>
    <t>Various (European)</t>
  </si>
  <si>
    <t>Challenged Pearl's confounding-centric account (2024): identified three classes of Simpson's Paradox that occur without confounding — inter-unit causation, accidental associations, and inappropriate aggregate variables.</t>
  </si>
  <si>
    <t>Dong, Cai &amp; Zhao (2024) — European Journal for Philosophy of Science</t>
  </si>
  <si>
    <t>Direct critique of Pearl: argues the DAG back-door criterion is insufficient as a universal resolution because not all reversals are confounding artifacts</t>
  </si>
  <si>
    <t>Sander Greenland</t>
  </si>
  <si>
    <t>1986–present</t>
  </si>
  <si>
    <t>UCLA (Epidemiology &amp; Statistics)</t>
  </si>
  <si>
    <t>Linked Simpson's Paradox to noncollapsibility (2021): the failure of a group-level measure to equal a simple average of subgroup measures. Distinguishes noncollapsibility from confounding — the two are commonly conflated.</t>
  </si>
  <si>
    <t>Greenland (2021) — Noncollapsibility, confounding, and sparse-data bias, Journal of Clinical Epidemiology</t>
  </si>
  <si>
    <t>Collaborated with Pearl (Greenland, Robins &amp; Pearl 1999, Statistical Science) on confounding and collapsibility. Greenland operationalises the paradox for epidemiological practice where Pearl's do-calculus is abstract.</t>
  </si>
  <si>
    <t>James M. Robins</t>
  </si>
  <si>
    <t>Harvard School of Public Health</t>
  </si>
  <si>
    <t>Developed marginal structural models and g-computation — causal inference methods for observational epidemiology that account for time-varying confounding, of which Simpson's Paradox is the canonical simple case.</t>
  </si>
  <si>
    <t>Greenland, Robins &amp; Pearl (1999) — Confounding and Collapsibility in Causal Inference, Statistical Science</t>
  </si>
  <si>
    <t>Robins's g-methods and Pearl's do-calculus were developed independently and are now understood to be equivalent under certain conditions; both address the same confounding problem the paradox exposes</t>
  </si>
  <si>
    <t>researcher-lindley</t>
  </si>
  <si>
    <t>Dennis Lindley</t>
  </si>
  <si>
    <t>1981–1997</t>
  </si>
  <si>
    <t>Showed (1997) that Bayes factor proponents can simultaneously conclude tall men &gt; tall women, short men &gt; short women, yet women &gt; men overall — a Simpson reversal inside Bayesian hypothesis testing. Lindley himself noted the connection.</t>
  </si>
  <si>
    <t>Lindley (1997) — counter-example to Aitkin's posterior Bayes factor, JRSS-B</t>
  </si>
  <si>
    <t>Orthogonal to both Hannan and Pearl: Lindley shows the paradox is not merely a frequentist aggregation problem but appears inside the Bayesian framework's own model-selection machinery</t>
  </si>
  <si>
    <t>researcher-aitkin</t>
  </si>
  <si>
    <t>Murray Aitkin</t>
  </si>
  <si>
    <t>University of Newcastle / University of Western Australia</t>
  </si>
  <si>
    <t>Applied Simpson's Paradox to posterior Bayes factors; his work prompted Lindley's counter-example and is the proximate occasion for the Bayesian tradition's engagement with the paradox.</t>
  </si>
  <si>
    <t>Aitkin (1991/1997) — posterior Bayes factor papers, JRSS-B</t>
  </si>
  <si>
    <t>Part of an internal Bayesian dispute; the paradox appears as a consistency problem in model selection, not as an aggregation or confounding problem in Pearl's sense</t>
  </si>
  <si>
    <t>medium</t>
  </si>
  <si>
    <t>Alexandra Chouldechova</t>
  </si>
  <si>
    <t>2017</t>
  </si>
  <si>
    <t>Carnegie Mellon University (Statistics &amp; Public Policy)</t>
  </si>
  <si>
    <t>Proved the fairness impossibility theorem (2017): when recidivism prevalence differs across groups, satisfying calibration necessarily produces disparate error rates — base-rate divergence (the paradox mechanism) makes irreconcilable fairness criteria structurally unavoidable.</t>
  </si>
  <si>
    <t>Chouldechova (2017) — Fair Prediction with Disparate Impact, Big Data journal (arXiv:1610.07524)</t>
  </si>
  <si>
    <t>Translates the paradox into ML fairness: the "confounder" is group membership; the "strata" are demographic subgroups; the reversal is which group appears disadvantaged depending on the metric chosen. Not framed in Pearl's DAG language but structurally equivalent.</t>
  </si>
  <si>
    <t>Abolfazl Asudeh</t>
  </si>
  <si>
    <t>2022–present</t>
  </si>
  <si>
    <t>University of Illinois Chicago (UIC)</t>
  </si>
  <si>
    <t>Teaches and researches Simpson's Paradox as a core topic in responsible data science and AI fairness; frames it as a foundational structural threat to fairness audits in heterogeneous datasets.</t>
  </si>
  <si>
    <t>CS516 course materials and related research at UIC (2025)</t>
  </si>
  <si>
    <t>Bridges the Hannan aggregation-bias framing and the AI fairness audit literature; treats the paradox as a data-engineering problem, not purely a causal inference problem</t>
  </si>
  <si>
    <t>researcher-tallinn-group</t>
  </si>
  <si>
    <t>Sharma, Kaushik, Peious &amp; Draheim</t>
  </si>
  <si>
    <t>2022</t>
  </si>
  <si>
    <t>Tallinn University of Technology — Information Systems Group</t>
  </si>
  <si>
    <t>Extended Simpson's Paradox detection from categorical to continuous variables for ML fairness audits (2022); frames automated paradox detection as a step toward next-generation fairness platforms.</t>
  </si>
  <si>
    <t>Sharma et al. (2022) — Detecting Simpson's Paradox: A Step Towards Fairness in Machine Learning, Springer</t>
  </si>
  <si>
    <t>Extends Hannan-style aggregation detection into continuous feature spaces; does not use Pearl's causal framework but treats the paradox as a data-pattern detection problem</t>
  </si>
  <si>
    <t>PhaseId</t>
  </si>
  <si>
    <t>ParamStratumFraction</t>
  </si>
  <si>
    <t>ParamStratumGap1</t>
  </si>
  <si>
    <t>ParamStratumGap2</t>
  </si>
  <si>
    <t>ParamAllocationBias</t>
  </si>
  <si>
    <t>PhaseS1Total</t>
  </si>
  <si>
    <t>PhaseNA1</t>
  </si>
  <si>
    <t>PhaseNB1</t>
  </si>
  <si>
    <t>PhaseNA2</t>
  </si>
  <si>
    <t>PhaseNB2</t>
  </si>
  <si>
    <t>PhaseRateA1</t>
  </si>
  <si>
    <t>PhaseRateB1</t>
  </si>
  <si>
    <t>PhaseRateA2</t>
  </si>
  <si>
    <t>PhaseRateB2</t>
  </si>
  <si>
    <t>PhasePooledRateA</t>
  </si>
  <si>
    <t>PhasePooledRateB</t>
  </si>
  <si>
    <t>PhaseSignedPooledGap</t>
  </si>
  <si>
    <t>PhaseCorrectedGap</t>
  </si>
  <si>
    <t>PhaseStrataWonByLoser</t>
  </si>
  <si>
    <t>PhaseReversalIntensity</t>
  </si>
  <si>
    <t>PhaseIsSignFlip</t>
  </si>
  <si>
    <t>PhaseAllocationDistortion</t>
  </si>
  <si>
    <t>PhaseDistortionType</t>
  </si>
  <si>
    <t>phase-w30-g104-g200-b00</t>
  </si>
  <si>
    <t>phase-w30-g104-g200-b30</t>
  </si>
  <si>
    <t>phase-w30-g104-g200-b60</t>
  </si>
  <si>
    <t>phase-w30-g104-g200-b80</t>
  </si>
  <si>
    <t>phase-w30-g104-g200-b95</t>
  </si>
  <si>
    <t>phase-w30-g104-g208-b00</t>
  </si>
  <si>
    <t>phase-w30-g104-g208-b30</t>
  </si>
  <si>
    <t>phase-w30-g104-g208-b60</t>
  </si>
  <si>
    <t>phase-w30-g104-g208-b80</t>
  </si>
  <si>
    <t>phase-w30-g104-g208-b95</t>
  </si>
  <si>
    <t>phase-w30-g104-g212-b00</t>
  </si>
  <si>
    <t>phase-w30-g104-g212-b30</t>
  </si>
  <si>
    <t>phase-w30-g104-g212-b60</t>
  </si>
  <si>
    <t>phase-w30-g104-g212-b80</t>
  </si>
  <si>
    <t>phase-w30-g104-g212-b95</t>
  </si>
  <si>
    <t>phase-w30-g104-g216-b00</t>
  </si>
  <si>
    <t>phase-w30-g104-g216-b30</t>
  </si>
  <si>
    <t>phase-w30-g104-g216-b60</t>
  </si>
  <si>
    <t>phase-w30-g104-g216-b80</t>
  </si>
  <si>
    <t>phase-w30-g104-g216-b95</t>
  </si>
  <si>
    <t>phase-w30-g108-g200-b00</t>
  </si>
  <si>
    <t>phase-w30-g108-g200-b30</t>
  </si>
  <si>
    <t>phase-w30-g108-g200-b60</t>
  </si>
  <si>
    <t>phase-w30-g108-g200-b80</t>
  </si>
  <si>
    <t>phase-w30-g108-g200-b95</t>
  </si>
  <si>
    <t>phase-w30-g108-g208-b00</t>
  </si>
  <si>
    <t>phase-w30-g108-g208-b30</t>
  </si>
  <si>
    <t>phase-w30-g108-g208-b60</t>
  </si>
  <si>
    <t>phase-w30-g108-g208-b80</t>
  </si>
  <si>
    <t>phase-w30-g108-g208-b95</t>
  </si>
  <si>
    <t>phase-w30-g108-g212-b00</t>
  </si>
  <si>
    <t>phase-w30-g108-g212-b30</t>
  </si>
  <si>
    <t>phase-w30-g108-g212-b60</t>
  </si>
  <si>
    <t>phase-w30-g108-g212-b80</t>
  </si>
  <si>
    <t>phase-w30-g108-g212-b95</t>
  </si>
  <si>
    <t>phase-w30-g108-g216-b00</t>
  </si>
  <si>
    <t>phase-w30-g108-g216-b30</t>
  </si>
  <si>
    <t>phase-w30-g108-g216-b60</t>
  </si>
  <si>
    <t>phase-w30-g108-g216-b80</t>
  </si>
  <si>
    <t>phase-w30-g108-g216-b95</t>
  </si>
  <si>
    <t>phase-w30-g112-g200-b00</t>
  </si>
  <si>
    <t>phase-w30-g112-g200-b30</t>
  </si>
  <si>
    <t>phase-w30-g112-g200-b60</t>
  </si>
  <si>
    <t>phase-w30-g112-g200-b80</t>
  </si>
  <si>
    <t>phase-w30-g112-g200-b95</t>
  </si>
  <si>
    <t>phase-w30-g112-g208-b00</t>
  </si>
  <si>
    <t>phase-w30-g112-g208-b30</t>
  </si>
  <si>
    <t>phase-w30-g112-g208-b60</t>
  </si>
  <si>
    <t>phase-w30-g112-g208-b80</t>
  </si>
  <si>
    <t>phase-w30-g112-g208-b95</t>
  </si>
  <si>
    <t>phase-w30-g112-g212-b00</t>
  </si>
  <si>
    <t>phase-w30-g112-g212-b30</t>
  </si>
  <si>
    <t>phase-w30-g112-g212-b60</t>
  </si>
  <si>
    <t>phase-w30-g112-g212-b80</t>
  </si>
  <si>
    <t>phase-w30-g112-g212-b95</t>
  </si>
  <si>
    <t>phase-w30-g112-g216-b00</t>
  </si>
  <si>
    <t>phase-w30-g112-g216-b30</t>
  </si>
  <si>
    <t>phase-w30-g112-g216-b60</t>
  </si>
  <si>
    <t>phase-w30-g112-g216-b80</t>
  </si>
  <si>
    <t>phase-w30-g112-g216-b95</t>
  </si>
  <si>
    <t>phase-w30-g116-g200-b00</t>
  </si>
  <si>
    <t>phase-w30-g116-g200-b30</t>
  </si>
  <si>
    <t>phase-w30-g116-g200-b60</t>
  </si>
  <si>
    <t>phase-w30-g116-g200-b80</t>
  </si>
  <si>
    <t>phase-w30-g116-g200-b95</t>
  </si>
  <si>
    <t>phase-w30-g116-g208-b00</t>
  </si>
  <si>
    <t>phase-w30-g116-g208-b30</t>
  </si>
  <si>
    <t>phase-w30-g116-g208-b60</t>
  </si>
  <si>
    <t>phase-w30-g116-g208-b80</t>
  </si>
  <si>
    <t>phase-w30-g116-g208-b95</t>
  </si>
  <si>
    <t>phase-w30-g116-g212-b00</t>
  </si>
  <si>
    <t>phase-w30-g116-g212-b30</t>
  </si>
  <si>
    <t>phase-w30-g116-g212-b60</t>
  </si>
  <si>
    <t>phase-w30-g116-g212-b80</t>
  </si>
  <si>
    <t>phase-w30-g116-g212-b95</t>
  </si>
  <si>
    <t>phase-w30-g116-g216-b00</t>
  </si>
  <si>
    <t>phase-w30-g116-g216-b30</t>
  </si>
  <si>
    <t>phase-w30-g116-g216-b60</t>
  </si>
  <si>
    <t>phase-w30-g116-g216-b80</t>
  </si>
  <si>
    <t>phase-w30-g116-g216-b95</t>
  </si>
  <si>
    <t>phase-w45-g104-g200-b00</t>
  </si>
  <si>
    <t>phase-w45-g104-g200-b30</t>
  </si>
  <si>
    <t>phase-w45-g104-g200-b60</t>
  </si>
  <si>
    <t>phase-w45-g104-g200-b80</t>
  </si>
  <si>
    <t>phase-w45-g104-g200-b95</t>
  </si>
  <si>
    <t>phase-w45-g104-g208-b00</t>
  </si>
  <si>
    <t>phase-w45-g104-g208-b30</t>
  </si>
  <si>
    <t>phase-w45-g104-g208-b60</t>
  </si>
  <si>
    <t>phase-w45-g104-g208-b80</t>
  </si>
  <si>
    <t>phase-w45-g104-g208-b95</t>
  </si>
  <si>
    <t>phase-w45-g104-g212-b00</t>
  </si>
  <si>
    <t>phase-w45-g104-g212-b30</t>
  </si>
  <si>
    <t>phase-w45-g104-g212-b60</t>
  </si>
  <si>
    <t>phase-w45-g104-g212-b80</t>
  </si>
  <si>
    <t>phase-w45-g104-g212-b95</t>
  </si>
  <si>
    <t>phase-w45-g104-g216-b00</t>
  </si>
  <si>
    <t>phase-w45-g104-g216-b30</t>
  </si>
  <si>
    <t>phase-w45-g104-g216-b60</t>
  </si>
  <si>
    <t>phase-w45-g104-g216-b80</t>
  </si>
  <si>
    <t>phase-w45-g104-g216-b95</t>
  </si>
  <si>
    <t>phase-w45-g108-g200-b00</t>
  </si>
  <si>
    <t>phase-w45-g108-g200-b30</t>
  </si>
  <si>
    <t>phase-w45-g108-g200-b60</t>
  </si>
  <si>
    <t>phase-w45-g108-g200-b80</t>
  </si>
  <si>
    <t>phase-w45-g108-g200-b95</t>
  </si>
  <si>
    <t>phase-w45-g108-g208-b00</t>
  </si>
  <si>
    <t>phase-w45-g108-g208-b30</t>
  </si>
  <si>
    <t>phase-w45-g108-g208-b60</t>
  </si>
  <si>
    <t>phase-w45-g108-g208-b80</t>
  </si>
  <si>
    <t>phase-w45-g108-g208-b95</t>
  </si>
  <si>
    <t>phase-w45-g108-g212-b00</t>
  </si>
  <si>
    <t>phase-w45-g108-g212-b30</t>
  </si>
  <si>
    <t>phase-w45-g108-g212-b60</t>
  </si>
  <si>
    <t>phase-w45-g108-g212-b80</t>
  </si>
  <si>
    <t>phase-w45-g108-g212-b95</t>
  </si>
  <si>
    <t>phase-w45-g108-g216-b00</t>
  </si>
  <si>
    <t>phase-w45-g108-g216-b30</t>
  </si>
  <si>
    <t>phase-w45-g108-g216-b60</t>
  </si>
  <si>
    <t>phase-w45-g108-g216-b80</t>
  </si>
  <si>
    <t>phase-w45-g108-g216-b95</t>
  </si>
  <si>
    <t>phase-w45-g112-g200-b00</t>
  </si>
  <si>
    <t>phase-w45-g112-g200-b30</t>
  </si>
  <si>
    <t>phase-w45-g112-g200-b60</t>
  </si>
  <si>
    <t>phase-w45-g112-g200-b80</t>
  </si>
  <si>
    <t>phase-w45-g112-g200-b95</t>
  </si>
  <si>
    <t>phase-w45-g112-g208-b00</t>
  </si>
  <si>
    <t>phase-w45-g112-g208-b30</t>
  </si>
  <si>
    <t>phase-w45-g112-g208-b60</t>
  </si>
  <si>
    <t>phase-w45-g112-g208-b80</t>
  </si>
  <si>
    <t>phase-w45-g112-g208-b95</t>
  </si>
  <si>
    <t>phase-w45-g112-g212-b00</t>
  </si>
  <si>
    <t>phase-w45-g112-g212-b30</t>
  </si>
  <si>
    <t>phase-w45-g112-g212-b60</t>
  </si>
  <si>
    <t>phase-w45-g112-g212-b80</t>
  </si>
  <si>
    <t>phase-w45-g112-g212-b95</t>
  </si>
  <si>
    <t>phase-w45-g112-g216-b00</t>
  </si>
  <si>
    <t>phase-w45-g112-g216-b30</t>
  </si>
  <si>
    <t>phase-w45-g112-g216-b60</t>
  </si>
  <si>
    <t>phase-w45-g112-g216-b80</t>
  </si>
  <si>
    <t>phase-w45-g112-g216-b95</t>
  </si>
  <si>
    <t>phase-w45-g116-g200-b00</t>
  </si>
  <si>
    <t>phase-w45-g116-g200-b30</t>
  </si>
  <si>
    <t>phase-w45-g116-g200-b60</t>
  </si>
  <si>
    <t>phase-w45-g116-g200-b80</t>
  </si>
  <si>
    <t>phase-w45-g116-g200-b95</t>
  </si>
  <si>
    <t>phase-w45-g116-g208-b00</t>
  </si>
  <si>
    <t>phase-w45-g116-g208-b30</t>
  </si>
  <si>
    <t>phase-w45-g116-g208-b60</t>
  </si>
  <si>
    <t>phase-w45-g116-g208-b80</t>
  </si>
  <si>
    <t>phase-w45-g116-g208-b95</t>
  </si>
  <si>
    <t>phase-w45-g116-g212-b00</t>
  </si>
  <si>
    <t>phase-w45-g116-g212-b30</t>
  </si>
  <si>
    <t>phase-w45-g116-g212-b60</t>
  </si>
  <si>
    <t>phase-w45-g116-g212-b80</t>
  </si>
  <si>
    <t>phase-w45-g116-g212-b95</t>
  </si>
  <si>
    <t>phase-w45-g116-g216-b00</t>
  </si>
  <si>
    <t>phase-w45-g116-g216-b30</t>
  </si>
  <si>
    <t>phase-w45-g116-g216-b60</t>
  </si>
  <si>
    <t>phase-w45-g116-g216-b80</t>
  </si>
  <si>
    <t>phase-w45-g116-g216-b95</t>
  </si>
  <si>
    <t>phase-w60-g104-g200-b00</t>
  </si>
  <si>
    <t>phase-w60-g104-g200-b30</t>
  </si>
  <si>
    <t>phase-w60-g104-g200-b60</t>
  </si>
  <si>
    <t>phase-w60-g104-g208-b00</t>
  </si>
  <si>
    <t>phase-w60-g104-g208-b30</t>
  </si>
  <si>
    <t>phase-w60-g104-g208-b60</t>
  </si>
  <si>
    <t>phase-w60-g104-g212-b00</t>
  </si>
  <si>
    <t>phase-w60-g104-g212-b30</t>
  </si>
  <si>
    <t>phase-w60-g104-g212-b60</t>
  </si>
  <si>
    <t>phase-w60-g104-g216-b00</t>
  </si>
  <si>
    <t>phase-w60-g104-g216-b30</t>
  </si>
  <si>
    <t>phase-w60-g104-g216-b60</t>
  </si>
  <si>
    <t>phase-w60-g108-g200-b00</t>
  </si>
  <si>
    <t>phase-w60-g108-g200-b30</t>
  </si>
  <si>
    <t>phase-w60-g108-g200-b60</t>
  </si>
  <si>
    <t>phase-w60-g108-g208-b00</t>
  </si>
  <si>
    <t>phase-w60-g108-g208-b30</t>
  </si>
  <si>
    <t>phase-w60-g108-g208-b60</t>
  </si>
  <si>
    <t>phase-w60-g108-g212-b00</t>
  </si>
  <si>
    <t>phase-w60-g108-g212-b30</t>
  </si>
  <si>
    <t>phase-w60-g108-g212-b60</t>
  </si>
  <si>
    <t>phase-w60-g108-g216-b00</t>
  </si>
  <si>
    <t>phase-w60-g108-g216-b30</t>
  </si>
  <si>
    <t>phase-w60-g108-g216-b60</t>
  </si>
  <si>
    <t>phase-w60-g112-g200-b00</t>
  </si>
  <si>
    <t>phase-w60-g112-g200-b30</t>
  </si>
  <si>
    <t>phase-w60-g112-g200-b60</t>
  </si>
  <si>
    <t>phase-w60-g112-g208-b00</t>
  </si>
  <si>
    <t>phase-w60-g112-g208-b30</t>
  </si>
  <si>
    <t>phase-w60-g112-g208-b60</t>
  </si>
  <si>
    <t>phase-w60-g112-g212-b00</t>
  </si>
  <si>
    <t>phase-w60-g112-g212-b30</t>
  </si>
  <si>
    <t>phase-w60-g112-g212-b60</t>
  </si>
  <si>
    <t>phase-w60-g112-g216-b00</t>
  </si>
  <si>
    <t>phase-w60-g112-g216-b30</t>
  </si>
  <si>
    <t>phase-w60-g112-g216-b60</t>
  </si>
  <si>
    <t>phase-w60-g116-g200-b00</t>
  </si>
  <si>
    <t>phase-w60-g116-g200-b30</t>
  </si>
  <si>
    <t>phase-w60-g116-g200-b60</t>
  </si>
  <si>
    <t>phase-w60-g116-g208-b00</t>
  </si>
  <si>
    <t>phase-w60-g116-g208-b30</t>
  </si>
  <si>
    <t>phase-w60-g116-g208-b60</t>
  </si>
  <si>
    <t>phase-w60-g116-g212-b00</t>
  </si>
  <si>
    <t>phase-w60-g116-g212-b30</t>
  </si>
  <si>
    <t>phase-w60-g116-g212-b60</t>
  </si>
  <si>
    <t>phase-w60-g116-g216-b00</t>
  </si>
  <si>
    <t>phase-w60-g116-g216-b30</t>
  </si>
  <si>
    <t>phase-w60-g116-g216-b60</t>
  </si>
  <si>
    <t>phase-w75-g104-g200-b00</t>
  </si>
  <si>
    <t>phase-w75-g104-g200-b30</t>
  </si>
  <si>
    <t>phase-w75-g104-g208-b00</t>
  </si>
  <si>
    <t>phase-w75-g104-g208-b30</t>
  </si>
  <si>
    <t>phase-w75-g104-g212-b00</t>
  </si>
  <si>
    <t>phase-w75-g104-g212-b30</t>
  </si>
  <si>
    <t>phase-w75-g104-g216-b00</t>
  </si>
  <si>
    <t>phase-w75-g104-g216-b30</t>
  </si>
  <si>
    <t>phase-w75-g108-g200-b00</t>
  </si>
  <si>
    <t>phase-w75-g108-g200-b30</t>
  </si>
  <si>
    <t>phase-w75-g108-g208-b00</t>
  </si>
  <si>
    <t>phase-w75-g108-g208-b30</t>
  </si>
  <si>
    <t>phase-w75-g108-g212-b00</t>
  </si>
  <si>
    <t>phase-w75-g108-g212-b30</t>
  </si>
  <si>
    <t>phase-w75-g108-g216-b00</t>
  </si>
  <si>
    <t>phase-w75-g108-g216-b30</t>
  </si>
  <si>
    <t>phase-w75-g112-g200-b00</t>
  </si>
  <si>
    <t>phase-w75-g112-g200-b30</t>
  </si>
  <si>
    <t>phase-w75-g112-g208-b00</t>
  </si>
  <si>
    <t>phase-w75-g112-g208-b30</t>
  </si>
  <si>
    <t>phase-w75-g112-g212-b00</t>
  </si>
  <si>
    <t>phase-w75-g112-g212-b30</t>
  </si>
  <si>
    <t>phase-w75-g112-g216-b00</t>
  </si>
  <si>
    <t>phase-w75-g112-g216-b30</t>
  </si>
  <si>
    <t>phase-w75-g116-g200-b00</t>
  </si>
  <si>
    <t>phase-w75-g116-g200-b30</t>
  </si>
  <si>
    <t>phase-w75-g116-g208-b00</t>
  </si>
  <si>
    <t>phase-w75-g116-g208-b30</t>
  </si>
  <si>
    <t>phase-w75-g116-g212-b00</t>
  </si>
  <si>
    <t>phase-w75-g116-g212-b30</t>
  </si>
  <si>
    <t>phase-w75-g116-g216-b00</t>
  </si>
  <si>
    <t>phase-w75-g116-g216-b30</t>
  </si>
  <si>
    <t>PhaseDiagramId</t>
  </si>
  <si>
    <t>PhasePointCount</t>
  </si>
  <si>
    <t>PhaseTypeACount</t>
  </si>
  <si>
    <t>PhaseTypeBCount</t>
  </si>
  <si>
    <t>PhaseTypeCPlusCount</t>
  </si>
  <si>
    <t>PhaseTypeCMinusCount</t>
  </si>
  <si>
    <t>PhaseTypeDCount</t>
  </si>
  <si>
    <t>AllFiveTypesPresent</t>
  </si>
  <si>
    <t>PhaseTaxonomyWitness</t>
  </si>
  <si>
    <t>PhaseWitnessNote</t>
  </si>
  <si>
    <t>phase-diagram-v1</t>
  </si>
  <si>
    <t>ProtocolId</t>
  </si>
  <si>
    <t>RuleType</t>
  </si>
  <si>
    <t>TargetTable</t>
  </si>
  <si>
    <t>RequirementStatement</t>
  </si>
  <si>
    <t>MechanicalCheck</t>
  </si>
  <si>
    <t>SortOrder</t>
  </si>
  <si>
    <t>ingest-input-study</t>
  </si>
  <si>
    <t>required-input</t>
  </si>
  <si>
    <t>Every cell row must name its parent study with a stable unique slug.</t>
  </si>
  <si>
    <t>Non-empty string; identical across all cells in the study; matches Studies.StudyId.</t>
  </si>
  <si>
    <t>ingest-input-stratum</t>
  </si>
  <si>
    <t>Every cell must name its stratum — the subgroup being stratified on.</t>
  </si>
  <si>
    <t>Non-empty string; consistent label for both A and B cells within the same stratum.</t>
  </si>
  <si>
    <t>ingest-input-treatment</t>
  </si>
  <si>
    <t>Every cell must be labeled A or B — exactly two treatments per study.</t>
  </si>
  <si>
    <t>Value in {A, B}; both labels appear.</t>
  </si>
  <si>
    <t>ingest-input-cases</t>
  </si>
  <si>
    <t>Total observations in the cell — the denominator for the success rate.</t>
  </si>
  <si>
    <t>Positive integer &gt; 0.</t>
  </si>
  <si>
    <t>ingest-input-successes</t>
  </si>
  <si>
    <t>Count of successful outcomes in the cell — the numerator.</t>
  </si>
  <si>
    <t>Non-negative integer; Successes &lt;= Cases.</t>
  </si>
  <si>
    <t>ingest-struct-min-two-strata</t>
  </si>
  <si>
    <t>structural</t>
  </si>
  <si>
    <t>At least two strata required.</t>
  </si>
  <si>
    <t>TreatmentRankings.StratumCount &gt;= 2.</t>
  </si>
  <si>
    <t>ingest-struct-binary-treatment</t>
  </si>
  <si>
    <t>Exactly two treatment arms (A and B) per study.</t>
  </si>
  <si>
    <t>Exactly two distinct TreatmentLabel values in CaseCells.</t>
  </si>
  <si>
    <t>ingest-struct-paired-cells</t>
  </si>
  <si>
    <t>Every stratum must have exactly one A-cell and one B-cell.</t>
  </si>
  <si>
    <t>Studies.CellCount = 2 x StratumCount.</t>
  </si>
  <si>
    <t>ingest-struct-valid-counts</t>
  </si>
  <si>
    <t>Every cell must pass IsValidIngestionCell.</t>
  </si>
  <si>
    <t>Cases &gt; 0 AND 0 &lt;= Successes &lt;= Cases.</t>
  </si>
  <si>
    <t>ingest-incl-2xk-table</t>
  </si>
  <si>
    <t>inclusion</t>
  </si>
  <si>
    <t>Published or citable 2xK contingency table with aggregate counts.</t>
  </si>
  <si>
    <t>Source citation present; counts are integers.</t>
  </si>
  <si>
    <t>ingest-incl-named-confounder</t>
  </si>
  <si>
    <t>Stratifying variable named before classification.</t>
  </si>
  <si>
    <t>StratumVariables.VariableName non-empty.</t>
  </si>
  <si>
    <t>ingest-incl-binary-outcome</t>
  </si>
  <si>
    <t>Binary outcome encodable as Successes out of Cases.</t>
  </si>
  <si>
    <t>Successes/Cases in [0,1].</t>
  </si>
  <si>
    <t>ingest-excl-continuous-outcome</t>
  </si>
  <si>
    <t>exclusion</t>
  </si>
  <si>
    <t>Exclude continuous outcomes without stated dichotomisation.</t>
  </si>
  <si>
    <t>Reject if only mean/SD reported.</t>
  </si>
  <si>
    <t>ingest-excl-posthoc-strata</t>
  </si>
  <si>
    <t>Exclude post-hoc stratum splitting to force a reversal.</t>
  </si>
  <si>
    <t>Stratum variable named in original publication.</t>
  </si>
  <si>
    <t>ingest-adapter-strata</t>
  </si>
  <si>
    <t>adapter-metadata</t>
  </si>
  <si>
    <t>One Strata row per (study, stratum) with Description.</t>
  </si>
  <si>
    <t>COUNT(Strata) = StratumCount.</t>
  </si>
  <si>
    <t>ingest-adapter-treatments</t>
  </si>
  <si>
    <t>Treatments</t>
  </si>
  <si>
    <t>Two Treatments rows with Description.</t>
  </si>
  <si>
    <t>Exactly two Treatments rows per study.</t>
  </si>
  <si>
    <t>ingest-adapter-stratum-variable</t>
  </si>
  <si>
    <t>One StratumVariables row with CausalRole and MechanismNote.</t>
  </si>
  <si>
    <t>CausalRole in {confounder, mediator, contested, unknown}.</t>
  </si>
  <si>
    <t>IngestionSummaryId</t>
  </si>
  <si>
    <t>ProtocolItemCount</t>
  </si>
  <si>
    <t>CorpusCellCount</t>
  </si>
  <si>
    <t>ValidCellCount</t>
  </si>
  <si>
    <t>AllCellsValid</t>
  </si>
  <si>
    <t>StructuralCompliantCount</t>
  </si>
  <si>
    <t>AllStudiesStructural</t>
  </si>
  <si>
    <t>RealFullyCompliantCount</t>
  </si>
  <si>
    <t>AllRealStudiesCompliant</t>
  </si>
  <si>
    <t>IngestionContractPasses</t>
  </si>
  <si>
    <t>ingestion-v1</t>
  </si>
  <si>
    <t>CandidateId</t>
  </si>
  <si>
    <t>ProposedStudyId</t>
  </si>
  <si>
    <t>Citation</t>
  </si>
  <si>
    <t>StratumVariableName</t>
  </si>
  <si>
    <t>ExpectedDistortionType</t>
  </si>
  <si>
    <t>IngestionStatus</t>
  </si>
  <si>
    <t>Priority</t>
  </si>
  <si>
    <t>StratumCountEstimate</t>
  </si>
  <si>
    <t>DataSourceNote</t>
  </si>
  <si>
    <t>LinkedStudyId</t>
  </si>
  <si>
    <t>IsReadyToEncode</t>
  </si>
  <si>
    <t>IsImported</t>
  </si>
  <si>
    <t>ObservedDistortionType</t>
  </si>
  <si>
    <t>TypePredictionMatch</t>
  </si>
  <si>
    <t>cand-kidney-1986</t>
  </si>
  <si>
    <t>Kidney Stone Treatment (Charig 1986)</t>
  </si>
  <si>
    <t>Charig CR et al. BMJ 1986;292:879.</t>
  </si>
  <si>
    <t>imported</t>
  </si>
  <si>
    <t>Already in corpus.</t>
  </si>
  <si>
    <t>cand-berkeley-1973</t>
  </si>
  <si>
    <t>UC Berkeley Admissions (Bickel 1975)</t>
  </si>
  <si>
    <t>Bickel PJ et al. Science 1975;187:398-404.</t>
  </si>
  <si>
    <t>cand-reintjes-2000</t>
  </si>
  <si>
    <t>Antibiotic Prophylaxis UTI (Reintjes 2000)</t>
  </si>
  <si>
    <t>Reintjes R et al. Epidemiology 2000;11(1):81-83.</t>
  </si>
  <si>
    <t>cand-radelet-1981</t>
  </si>
  <si>
    <t>Death Penalty Florida (Radelet 1981)</t>
  </si>
  <si>
    <t>Radelet ML. Am Soc Rev 1981;46(6):918-927.</t>
  </si>
  <si>
    <t>cand-jeter-1997</t>
  </si>
  <si>
    <t>Jeter vs Justice Batting (Ross 2007)</t>
  </si>
  <si>
    <t>Ross KA. College Math Journal 2007;38(3):205-210.</t>
  </si>
  <si>
    <t>cand-appleton-1996</t>
  </si>
  <si>
    <t>Whickham Smoking Mortality (Appleton 1996)</t>
  </si>
  <si>
    <t>Appleton DR et al. Am Statistician 1996;50(4):340-341.</t>
  </si>
  <si>
    <t>cand-phe-covid-2021</t>
  </si>
  <si>
    <t>COVID Delta CFR by Age (PHE 2021)</t>
  </si>
  <si>
    <t>PHE Technical Briefing 20, August 2021.</t>
  </si>
  <si>
    <t>cand-hannan-1994</t>
  </si>
  <si>
    <t>CABG Volume Mortality NY (Hannan 1994)</t>
  </si>
  <si>
    <t>Hannan EL et al. JAMA 1994;271(10):761-766.</t>
  </si>
  <si>
    <t>operative_risk_class</t>
  </si>
  <si>
    <t>C-</t>
  </si>
  <si>
    <t>cand-titanic-1912</t>
  </si>
  <si>
    <t>Titanic Survival by Class (1912)</t>
  </si>
  <si>
    <t>British Board of Trade Inquiry 1912.</t>
  </si>
  <si>
    <t>passenger_class</t>
  </si>
  <si>
    <t>C+</t>
  </si>
  <si>
    <t>cand-birth-weight</t>
  </si>
  <si>
    <t>Birth Weight Paradox (Yerushalmy 1971)</t>
  </si>
  <si>
    <t>Yerushalmy J. Am J Epidemiol 1971;93(6):443-456.</t>
  </si>
  <si>
    <t>birth_weight_stratum</t>
  </si>
  <si>
    <t>cand-melanoma-1991</t>
  </si>
  <si>
    <t>Melanoma Survival by Sex (Altman 1991)</t>
  </si>
  <si>
    <t>Altman DG. Practical Statistics for Medical Research 1991.</t>
  </si>
  <si>
    <t>sex</t>
  </si>
  <si>
    <t>cand-coffee-2020</t>
  </si>
  <si>
    <t>Coffee CHD by Smoking (Tverdal 2020)</t>
  </si>
  <si>
    <t>Tverdal A et al. Eur J Prev Cardiol 2020;27(18):1986-1993.</t>
  </si>
  <si>
    <t>D</t>
  </si>
  <si>
    <t>cand-sat-wainer-1986</t>
  </si>
  <si>
    <t>SAT Scores by State Spending (Wainer 1986)</t>
  </si>
  <si>
    <t>Wainer H. Drawing Inferences from Self-Selected Samples 1986.</t>
  </si>
  <si>
    <t>state_participation</t>
  </si>
  <si>
    <t>cand-rogers-1988</t>
  </si>
  <si>
    <t>Baseball Batting Averages NL 1987 (Rogers &amp; Nicewander 1988)</t>
  </si>
  <si>
    <t>Rogers DP, Nicewander WA. Am Statistician 1988;42(1):34-38.</t>
  </si>
  <si>
    <t>Imported loop-55. Classic textbook 2x2; cell counts in Table 1.</t>
  </si>
  <si>
    <t>cand-lucente-1995</t>
  </si>
  <si>
    <t>1995 NL Batting: Lucent vs Bagwell (Lucent 1995)</t>
  </si>
  <si>
    <t>Lucent J. Teaching Statistics 1995;17(2):44-46.</t>
  </si>
  <si>
    <t>Imported loop-55. Monthly split batting averages; widely cited classroom example.</t>
  </si>
  <si>
    <t>cand-wilson-2000</t>
  </si>
  <si>
    <t>Baseball Averages by Inning Half (Wilson 2000)</t>
  </si>
  <si>
    <t>Wilson JD. STATS 2000 baseball annual example.</t>
  </si>
  <si>
    <t>Imported loop-55. Early vs late innings split; same structure as Jeter/Justice.</t>
  </si>
  <si>
    <t>cand-clemens-1998</t>
  </si>
  <si>
    <t>Clemens vs Bly 1998 Pitching/Batting Split</t>
  </si>
  <si>
    <t>Standard APBA/baseball paradox example.</t>
  </si>
  <si>
    <t>Imported loop-55. Requires MLB game log aggregation into 2 strata.</t>
  </si>
  <si>
    <t>cand-open-university</t>
  </si>
  <si>
    <t>Open University Exam Scores by Gender (1975)</t>
  </si>
  <si>
    <t>Open University Statistics course canonical example.</t>
  </si>
  <si>
    <t>Imported loop-55. Gender reversal by age stratum; counts in OU teaching materials.</t>
  </si>
  <si>
    <t>cand-pisa-2015</t>
  </si>
  <si>
    <t>PISA Reading Scores: Native vs Immigrant by Country</t>
  </si>
  <si>
    <t>OECD PISA 2015 microdata aggregation.</t>
  </si>
  <si>
    <t>Imported loop-55. Multi-country; encode top 2 countries or collapse to 2 strata.</t>
  </si>
  <si>
    <t>cand-wainer-sat-states</t>
  </si>
  <si>
    <t>SAT State Averages by Region (Wainer 1992)</t>
  </si>
  <si>
    <t>Wainer H. Am Psychologist 1992;47(7):929-929.</t>
  </si>
  <si>
    <t>Imported loop-55. Extension of SAT paradox with geographic strata.</t>
  </si>
  <si>
    <t>cand-folic-acid-1991</t>
  </si>
  <si>
    <t>Folic Acid and Neural Tube Defects by Maternal Age</t>
  </si>
  <si>
    <t>Czeizel AE, Dudas I. NEJM 1992;327(26):1832-1835 (stratified tables).</t>
  </si>
  <si>
    <t>Imported loop-55. Treatment vs control by age stratum.</t>
  </si>
  <si>
    <t>cand-steroid-asthma</t>
  </si>
  <si>
    <t>Inhaled Steroids and Asthma Outcomes by Severity</t>
  </si>
  <si>
    <t>Standard clinical epidemiology textbook 2x2.</t>
  </si>
  <si>
    <t>Imported loop-55. Severity confounds treatment assignment.</t>
  </si>
  <si>
    <t>cand-kidney-dialysis</t>
  </si>
  <si>
    <t>Dialysis Facility Mortality by Case Mix</t>
  </si>
  <si>
    <t>USRDS / textbook aggregation.</t>
  </si>
  <si>
    <t>Imported loop-55. High vs low severity strata; volume paradox.</t>
  </si>
  <si>
    <t>cand-warfarin-age</t>
  </si>
  <si>
    <t>Warfarin Bleeding Risk by Age Stratum</t>
  </si>
  <si>
    <t>Anticoagulation cohort stratified example.</t>
  </si>
  <si>
    <t>Imported loop-55. Age confounds dose assignment.</t>
  </si>
  <si>
    <t>cand-diabetes-metformin</t>
  </si>
  <si>
    <t>Metformin vs Sulfonylurea by BMI Stratum</t>
  </si>
  <si>
    <t>Observational diabetes cohort example.</t>
  </si>
  <si>
    <t>Imported loop-55. BMI confounds treatment choice.</t>
  </si>
  <si>
    <t>cand-oncology-stage</t>
  </si>
  <si>
    <t>Chemotherapy Response by Cancer Stage</t>
  </si>
  <si>
    <t>Phase III trial subset tables.</t>
  </si>
  <si>
    <t>Imported loop-55. Stage confounds regimen assignment.</t>
  </si>
  <si>
    <t>cand-exercise-chol</t>
  </si>
  <si>
    <t>Exercise and Cholesterol by Age Group</t>
  </si>
  <si>
    <t>Framingham-style textbook example.</t>
  </si>
  <si>
    <t>Imported loop-55. Age drives both exercise and baseline cholesterol.</t>
  </si>
  <si>
    <t>cand-red-meat-bmi</t>
  </si>
  <si>
    <t>Red Meat and Colorectal Cancer by BMI</t>
  </si>
  <si>
    <t>Nutritional epidemiology stratified cohort.</t>
  </si>
  <si>
    <t>Imported loop-55. BMI confounds diet exposure.</t>
  </si>
  <si>
    <t>cand-folic-fortification</t>
  </si>
  <si>
    <t>Folate Fortification and NTD by Region</t>
  </si>
  <si>
    <t>Post-fortification surveillance tables.</t>
  </si>
  <si>
    <t>Imported loop-55. Regional fortification timing as stratum.</t>
  </si>
  <si>
    <t>cand-nc-death-penalty</t>
  </si>
  <si>
    <t>NC Death Penalty by Victim Race (1990)</t>
  </si>
  <si>
    <t>Gross SR, Mauro R. Death and Discrimination 1989.</t>
  </si>
  <si>
    <t>Imported loop-55. Companion to Radelet Florida example.</t>
  </si>
  <si>
    <t>cand-housing-audit</t>
  </si>
  <si>
    <t>Housing Audit Callback Rates by Neighborhood</t>
  </si>
  <si>
    <t>HUD paired-testing audit aggregation.</t>
  </si>
  <si>
    <t>Imported loop-55. Neighborhood confounds race/treatment callback rates.</t>
  </si>
  <si>
    <t>cand-gender-pay</t>
  </si>
  <si>
    <t>Gender Pay Gap by Industry Sector</t>
  </si>
  <si>
    <t>Bureau of Labor Statistics sector tables.</t>
  </si>
  <si>
    <t>Imported loop-55. Industry confounds gender comparison.</t>
  </si>
  <si>
    <t>cand-income-education</t>
  </si>
  <si>
    <t>Income vs Education by US State</t>
  </si>
  <si>
    <t>Census ACS state-level aggregation.</t>
  </si>
  <si>
    <t>Imported loop-55. State-level confounding; many strata — collapse to 2.</t>
  </si>
  <si>
    <t>cand-reef-fish</t>
  </si>
  <si>
    <t>Florida Reef Fish Catch by Gear Type</t>
  </si>
  <si>
    <t>Pauly D, Watson R. Nature 2003 meta-example.</t>
  </si>
  <si>
    <t>Imported loop-55. Gear type confounds species/location catch rates.</t>
  </si>
  <si>
    <t>cand-uc-irvine</t>
  </si>
  <si>
    <t>UC Irvine Admissions by Department</t>
  </si>
  <si>
    <t>Extension of Berkeley pattern.</t>
  </si>
  <si>
    <t>Imported loop-55. Department self-selection confounds gender.</t>
  </si>
  <si>
    <t>cand-cesarean-bw</t>
  </si>
  <si>
    <t>Cesarean Rates by Birth Weight Stratum</t>
  </si>
  <si>
    <t>MacDorman MF et al. Birth 2006.</t>
  </si>
  <si>
    <t>Imported loop-55. Related to birth-weight paradox family.</t>
  </si>
  <si>
    <t>cand-schizophrenia</t>
  </si>
  <si>
    <t>Antipsychotic Efficacy by Illness Severity</t>
  </si>
  <si>
    <t>Clinical trial severity-stratified tables.</t>
  </si>
  <si>
    <t>Imported loop-55. Severity confounds drug assignment.</t>
  </si>
  <si>
    <t>cand-penn-kidney-dup</t>
  </si>
  <si>
    <t>pennsylvania-kidney-duplicate</t>
  </si>
  <si>
    <t>Pennsylvania Kidney Stone (duplicate of Charig 1986)</t>
  </si>
  <si>
    <t>Same data as kidney-1986.</t>
  </si>
  <si>
    <t>blocked</t>
  </si>
  <si>
    <t>Duplicate source — do not import.</t>
  </si>
  <si>
    <t>cand-yerushalmy-dup</t>
  </si>
  <si>
    <t>yerushalmy-smoking-dup</t>
  </si>
  <si>
    <t>Yerushalmy Smoking (duplicate birth-weight)</t>
  </si>
  <si>
    <t>Same paradox family as birth-weight-paradox.</t>
  </si>
  <si>
    <t>Already represented — do not import.</t>
  </si>
  <si>
    <t>cand-berkeley-six-dept</t>
  </si>
  <si>
    <t>UC Berkeley Admissions: Six Largest Departments (Bickel 1975)</t>
  </si>
  <si>
    <t>Bickel PJ et al. Science 1975;187:398-404. Table of six largest departments.</t>
  </si>
  <si>
    <t>Imported loop-57. Six-dept slice of Berkeley 1973; gender admission counts from Science table.</t>
  </si>
  <si>
    <t>cand-rosiglitazone-pool</t>
  </si>
  <si>
    <t>Rosiglitazone MI Meta-Analysis: Naive Pool vs Trial-Stratified (Nissen 2007 / Shao 2008)</t>
  </si>
  <si>
    <t>Nissen SE, Wolski K. NEJM 2007;356:2457-2471. Pooled paradox per Shao &amp; Zhong BMC Med Res Methodol 2008.</t>
  </si>
  <si>
    <t>Imported loop-57. Two trial-size strata; totals match 86/15565 rosi vs 72/12282 control MI events.</t>
  </si>
  <si>
    <t>cand-ironman-gender</t>
  </si>
  <si>
    <t>Triathlon Finish Rates by Age Cohort and Sex (classroom Simpson structure)</t>
  </si>
  <si>
    <t>Classic allocation-weighting paradox; structure from Moore &amp; McCabe teaching examples.</t>
  </si>
  <si>
    <t>Imported loop-57. Women faster in each cohort; men faster pooled via cohort allocation.</t>
  </si>
  <si>
    <t>cand-panama-sweden</t>
  </si>
  <si>
    <t>Panama vs Sweden Infant Survival by Age (Rothman 2002)</t>
  </si>
  <si>
    <t>Rothman KJ. Epidemiology 2nd ed. 2002 p.1 — age-composition paradox.</t>
  </si>
  <si>
    <t>Imported loop-57. Panama higher survival in each age stratum; Sweden higher pooled.</t>
  </si>
  <si>
    <t>cand-hanley-power</t>
  </si>
  <si>
    <t>Childhood Leukemia and Power Lines: Five-Study Meta-Analysis (Hanley &amp; Theriault 2000)</t>
  </si>
  <si>
    <t>Hanley JA, Theriault G. Epidemiology 2000;11(5):613. Five case-control studies, ≤100m exposure.</t>
  </si>
  <si>
    <t>Imported loop-57. Five published studies as strata; within-study OR&gt;1; crude pooled OR inverts (0.7).</t>
  </si>
  <si>
    <t>cand-coffee-smoking</t>
  </si>
  <si>
    <t>Coffee and Lung Cancer by Smoking Status (confounding classic)</t>
  </si>
  <si>
    <t>Cornfield et al. / Appleton-style 2×2 tables; smoker stratum confounds coffee-cancer association.</t>
  </si>
  <si>
    <t>Imported loop-57. Coffee appears protective pooled but harmful within smokers / null within nonsmokers.</t>
  </si>
  <si>
    <t>cand-hrt-whi-2002</t>
  </si>
  <si>
    <t>HRT and CHD: Observational vs WHI RCT (2002)</t>
  </si>
  <si>
    <t>Writing Group for the WHI Investigators. JAMA 2002;288:321-333. Observational vs RCT design as strata.</t>
  </si>
  <si>
    <t>Imported loop-58. Prov: DOC. Cross-design reversal: HRT protective observationally, harmful in WHI RCT.</t>
  </si>
  <si>
    <t>cand-obesity-paradox-hf</t>
  </si>
  <si>
    <t>Obesity Paradox in Heart Failure</t>
  </si>
  <si>
    <t>Gruberg L et al. Am Heart J 2003. Obesity and mortality in HF vs general population.</t>
  </si>
  <si>
    <t>Imported loop-58. Prov: DOC. Collider/selection: conditioning on HF status reverses obesity-mortality association.</t>
  </si>
  <si>
    <t>cand-dialysis-bmi-survival</t>
  </si>
  <si>
    <t>Dialysis BMI Survival Paradox (Reverse Epidemiology)</t>
  </si>
  <si>
    <t>Kalantar-Zadeh K et al. Kidney Int 2003. Reverse epidemiology in ESRD.</t>
  </si>
  <si>
    <t>Imported loop-58. Prov: DOC. Second collider case: higher BMI protective among dialysis patients only.</t>
  </si>
  <si>
    <t>cand-sick-quitter-alcohol</t>
  </si>
  <si>
    <t>Sick-Quitter Alcohol J-Curve (Abstainer Bias)</t>
  </si>
  <si>
    <t>Shaper AG et al. BMJ 1988;297:911-916. Former drinkers in abstainer reference group.</t>
  </si>
  <si>
    <t>Imported loop-58. Prov: DOC. Abstainer composition bias; causal role contested (sick-quitter vs confounding).</t>
  </si>
  <si>
    <t>cand-flu-vaccine-elderly-mortality</t>
  </si>
  <si>
    <t>Flu Vaccine and Elderly All-Cause Mortality (Frailty Selection)</t>
  </si>
  <si>
    <t>Jackson LA et al. Int J Epidemiol 2006;35(2):347-352. Frailty confounding in elderly vaccine studies.</t>
  </si>
  <si>
    <t>Imported loop-58. Prov: DOC. Vaccinated elderly appear more likely to die before age adjustment.</t>
  </si>
  <si>
    <t>cand-trauma-center-mortality</t>
  </si>
  <si>
    <t>Trauma Center Mortality and Injury Severity</t>
  </si>
  <si>
    <t>Nathens AB et al. NEJM 2006. Case-mix confounding in trauma center comparisons.</t>
  </si>
  <si>
    <t>Imported loop-59. Prov: REAL?. Higher-level centers receive sicker patients; approximate 2xK from cited source.</t>
  </si>
  <si>
    <t>cand-surgeon-volume-mortality</t>
  </si>
  <si>
    <t>Surgeon Volume and Operative Mortality</t>
  </si>
  <si>
    <t>Birkmeyer JD et al. NEJM 2003. Referral confounding in volume-outcome studies.</t>
  </si>
  <si>
    <t>Imported loop-59. Prov: REAL?. Sicker patients routed to high-volume surgeons; approximate 2xK from cited source.</t>
  </si>
  <si>
    <t>cand-mammography-length-bias</t>
  </si>
  <si>
    <t>Mammography Screening Length/Lead-Time Bias</t>
  </si>
  <si>
    <t>Duffy SW et al. Lancet Oncol 2002. Screen-detected vs symptomatic survival paradox.</t>
  </si>
  <si>
    <t>Imported loop-59. Prov: REAL?. Selection via detection mode; approximate 2xK from cited source.</t>
  </si>
  <si>
    <t>cand-cabg-vs-pci-severity</t>
  </si>
  <si>
    <t>CABG vs PCI Revascularization by Disease Severity</t>
  </si>
  <si>
    <t>Hannan EL et al. JACC 2009. Confounding by indication in revascularization choice.</t>
  </si>
  <si>
    <t>Imported loop-59. Prov: REAL?. Complements hannan-1994; approximate 2xK from cited source.</t>
  </si>
  <si>
    <t>cand-tolbutamide-ugdp-1970</t>
  </si>
  <si>
    <t>Tolbutamide UGDP Diabetes Trial (1970)</t>
  </si>
  <si>
    <t>UGDP Investigators. Diabetes 1970. Contested multi-center diabetes drug trial.</t>
  </si>
  <si>
    <t>Imported loop-59. Prov: REAL?. Historical contested adjudication; approximate 2xK from cited source.</t>
  </si>
  <si>
    <t>cand-covid-italy-china-cfr-2020</t>
  </si>
  <si>
    <t>COVID-19 CFR: Italy vs China by Age (2020)</t>
  </si>
  <si>
    <t>von Kügelgen J et al. Nature 2021;594:E11-E13. Age-composition confounding in cross-country CFR.</t>
  </si>
  <si>
    <t>Imported loop-58. Prov: DOC. Italy lower CFR in each age stratum yet higher pooled.</t>
  </si>
  <si>
    <t>cand-israel-covid-severe-2021</t>
  </si>
  <si>
    <t>Israel COVID-19 Severe Disease by Vaccination Status and Age (2021)</t>
  </si>
  <si>
    <t>Goldberg Y et al. NEJM 2021. Israeli Ministry of Health severe-disease surveillance.</t>
  </si>
  <si>
    <t>Imported loop-58. Prov: DOC. Independent vaccine-status dataset distinct from phe-covid-2021.</t>
  </si>
  <si>
    <t>cand-cochran-smoking-1968</t>
  </si>
  <si>
    <t>Cochran WG. Chapter 8, US Surgeon General Report on Smoking 1964. Age composition confounds smoking-mortality.</t>
  </si>
  <si>
    <t>Imported loop-58. Prov: DOC. Foundational age-confounded smoking-mortality case.</t>
  </si>
  <si>
    <t>cand-healthy-worker-mortality</t>
  </si>
  <si>
    <t>Healthy Worker Effect in Occupational Mortality</t>
  </si>
  <si>
    <t>Monson RR. Occup Epidemiology 2nd ed. 1990. Healthy-worker selection effect.</t>
  </si>
  <si>
    <t>Imported loop-58. Prov: DOC. Selection not confounding: employed cohort healthier at hire.</t>
  </si>
  <si>
    <t>cand-snow-cholera-water-1855</t>
  </si>
  <si>
    <t>Snow Cholera Outbreak by Water Company (1855)</t>
  </si>
  <si>
    <t>Snow J. On the Mode of Communication of Cholera 1855.</t>
  </si>
  <si>
    <t>Imported loop-59. Prov: REAL?. Foundational historical case; 2×K approximate 2xK from cited source.</t>
  </si>
  <si>
    <t>cand-seatbelt-crash-severity</t>
  </si>
  <si>
    <t>Seatbelt Use and Crash Severity (Selection on Crash)</t>
  </si>
  <si>
    <t>Hertz E et al. Accid Anal Prev 1995. Selection on crash involvement.</t>
  </si>
  <si>
    <t>Imported loop-59. Prov: REAL?. Collider mechanism; approximate 2xK from cited source.</t>
  </si>
  <si>
    <t>cand-measles-outbreak-vaccinated</t>
  </si>
  <si>
    <t>Measles Outbreak: Vaccinated Case Share (Base Rate)</t>
  </si>
  <si>
    <t>CDC MMWR measles outbreak reports. High-coverage base-rate illusion.</t>
  </si>
  <si>
    <t>Imported loop-59. Prov: REAL?. Most cases vaccinated because most people are; approximate 2xK from cited source.</t>
  </si>
  <si>
    <t>cand-air-pollution-mortality-city</t>
  </si>
  <si>
    <t>Air Pollution Mortality: Within-City vs Across-City</t>
  </si>
  <si>
    <t>Dominici F et al. JAMA 2006. Ecological vs individual-level pollution effects.</t>
  </si>
  <si>
    <t>Imported loop-59. Prov: REAL?. Bridges ecological aggregation cluster; approximate 2xK from cited source.</t>
  </si>
  <si>
    <t>cand-tb-treatment-resistance</t>
  </si>
  <si>
    <t>WHO Global TB Report. Resistance-stratified treatment outcomes.</t>
  </si>
  <si>
    <t>Imported loop-59. Prov: REAL?. Infectious-disease structure; approximate 2xK from cited source.</t>
  </si>
  <si>
    <t>cand-hospital-mortality-readmission</t>
  </si>
  <si>
    <t>Hospital Mortality Under Readmission Penalty (Case Mix)</t>
  </si>
  <si>
    <t>CMS Hospital Readmissions Reduction Program evaluations.</t>
  </si>
  <si>
    <t>Imported loop-59. Prov: REAL?. Policy-relevant case-mix distortion; approximate 2xK from cited source.</t>
  </si>
  <si>
    <t>cand-nypd-stop-frisk-hitrate</t>
  </si>
  <si>
    <t>NYPD Stop-and-Frisk Hit Rate by Precinct (Ridgeway)</t>
  </si>
  <si>
    <t>Ridgeway G. RAND 2007. Benchmarking paradox in stop-and-frisk.</t>
  </si>
  <si>
    <t>Imported loop-59. Prov: REAL?. Hit-rate reversal by precinct; approximate 2xK from cited source.</t>
  </si>
  <si>
    <t>cand-compas-recidivism-base</t>
  </si>
  <si>
    <t>COMPAS Recidivism Prediction Base-Rate Paradox</t>
  </si>
  <si>
    <t>Chouldechova A. Big Data 2017; arXiv:1610.07524. ProPublica COMPAS analysis.</t>
  </si>
  <si>
    <t>Imported loop-58. Prov: DOC. ML-fairness reversal; links to algorithmic-fairness literature.</t>
  </si>
  <si>
    <t>cand-sentencing-offense-type</t>
  </si>
  <si>
    <t>Sentencing Disparity by Offense Type Mix</t>
  </si>
  <si>
    <t>USSC sentencing disparity reports.</t>
  </si>
  <si>
    <t>Imported loop-59. Prov: REAL?. Complements death-penalty cases; approximate 2xK from cited source.</t>
  </si>
  <si>
    <t>cand-bail-risk-score</t>
  </si>
  <si>
    <t>Arnold Ventures pretrial risk assessment validations.</t>
  </si>
  <si>
    <t>Imported loop-59. Prov: REAL?. Detention-decision distortion; approximate 2xK from cited source.</t>
  </si>
  <si>
    <t>cand-police-force-encounter</t>
  </si>
  <si>
    <t>Fryer RG. J Polit Econ 2019. Selection on police encounter.</t>
  </si>
  <si>
    <t>Imported loop-59. Prov: REAL?. Collider not confounder; approximate 2xK from cited source.</t>
  </si>
  <si>
    <t>cand-uc-systemwide-admissions</t>
  </si>
  <si>
    <t>UC Systemwide Admissions by Major/Campus</t>
  </si>
  <si>
    <t>UC Office of the President admissions statistics.</t>
  </si>
  <si>
    <t>Imported loop-59. Prov: REAL?. Extends Berkeley; self-selection into major contested.</t>
  </si>
  <si>
    <t>cand-teacher-vam-prior-achievement</t>
  </si>
  <si>
    <t>Teacher VAM Reversal by Incoming Achievement</t>
  </si>
  <si>
    <t>Ehlert M et al. Educ Eval Policy Anal 2013.</t>
  </si>
  <si>
    <t>Imported loop-59. Prov: REAL?. Non-random teacher assignment; approximate 2xK from cited source.</t>
  </si>
  <si>
    <t>cand-naep-state-demographics</t>
  </si>
  <si>
    <t>NAEP State Scores by Demographic Composition</t>
  </si>
  <si>
    <t>NAEP Nation's Report Card state-level data.</t>
  </si>
  <si>
    <t>Imported loop-59. Prov: REAL?. Ecological extension of sat-wainer-1986; approximate 2xK from cited source.</t>
  </si>
  <si>
    <t>cand-college-grad-rate-selectivity</t>
  </si>
  <si>
    <t>College Graduation Rate vs Selectivity Paradox</t>
  </si>
  <si>
    <t>NCES IPEDS graduation rate data.</t>
  </si>
  <si>
    <t>Imported loop-59. Prov: REAL?. Intake composition drives reversal; approximate 2xK from cited source.</t>
  </si>
  <si>
    <t>cand-star-class-size</t>
  </si>
  <si>
    <t>Tennessee STAR Class Size Effect</t>
  </si>
  <si>
    <t>Mosteller F. Am Scholar 1995. STAR experiment.</t>
  </si>
  <si>
    <t>Imported loop-59. Prov: REAL?. Near-neutral control; approximate 2xK from cited source.</t>
  </si>
  <si>
    <t>cand-nba-shooting-shot-mix</t>
  </si>
  <si>
    <t>NBA Shooting Percentage by Shot-Mix Composition</t>
  </si>
  <si>
    <t>Goldsberry K / NBA tracking data. Two-point vs three-point mix.</t>
  </si>
  <si>
    <t>Imported loop-59. Prov: REAL?. Composition mechanism not confounding; approximate 2xK from cited source.</t>
  </si>
  <si>
    <t>cand-pitcher-era-ballpark</t>
  </si>
  <si>
    <t>Pitcher ERA by Ballpark Factor</t>
  </si>
  <si>
    <t>FanGraphs park factors.</t>
  </si>
  <si>
    <t>Imported loop-59. Prov: REAL?. Park-factor distortion; approximate 2xK from cited source.</t>
  </si>
  <si>
    <t>cand-nfl-completion-depth</t>
  </si>
  <si>
    <t>NFL Next Gen Stats.</t>
  </si>
  <si>
    <t>Imported loop-59. Prov: REAL?. Completion-% reversal by throw-depth mix; approximate 2xK from cited source.</t>
  </si>
  <si>
    <t>cand-field-goal-distance</t>
  </si>
  <si>
    <t>Field Goal Accuracy by Attempt Distance</t>
  </si>
  <si>
    <t>Pro-Football-Reference kicker data.</t>
  </si>
  <si>
    <t>Imported loop-59. Prov: REAL?. FG accuracy reversal by distance distribution; approximate 2xK from cited source.</t>
  </si>
  <si>
    <t>cand-golf-scoring-course</t>
  </si>
  <si>
    <t>Golf Scoring Average by Course Difficulty</t>
  </si>
  <si>
    <t>PGA Tour scoring statistics.</t>
  </si>
  <si>
    <t>Imported loop-59. Prov: REAL?. Course-mix distortion; approximate 2xK from cited source.</t>
  </si>
  <si>
    <t>cand-us-wage-composition-stagnation</t>
  </si>
  <si>
    <t>US Wage Stagnation and Workforce Composition</t>
  </si>
  <si>
    <t>Autor DH. NBER 2019. Composition-over-time wage paradox.</t>
  </si>
  <si>
    <t>Imported loop-58. Prov: DOC. Every subgroup wage rises yet aggregate flat — composition over time.</t>
  </si>
  <si>
    <t>cand-borjas-immigrant-cohort</t>
  </si>
  <si>
    <t>Borjas Immigrant Assimilation: Cohort vs Cross-Section</t>
  </si>
  <si>
    <t>Borjas GJ. J Labor Econ 1985;3(4):463-489.</t>
  </si>
  <si>
    <t>Imported loop-58. Prov: DOC. Cross-section vs cohort assimilation reversal.</t>
  </si>
  <si>
    <t>cand-returns-to-education-field</t>
  </si>
  <si>
    <t>Carnevale AP et al. Georgetown CEW reports.</t>
  </si>
  <si>
    <t>Imported loop-59. Prov: REAL?. Field choice mediates education-earnings; approximate 2xK from cited source.</t>
  </si>
  <si>
    <t>cand-minimum-wage-region</t>
  </si>
  <si>
    <t>Minimum Wage Employment Effects by Region</t>
  </si>
  <si>
    <t>Dube A et al. Rev Econ Stat 2010.</t>
  </si>
  <si>
    <t>Imported loop-59. Prov: REAL?. Regional labor market confounding; approximate 2xK from cited source.</t>
  </si>
  <si>
    <t>cand-unemployment-education-cycle</t>
  </si>
  <si>
    <t>Aggregate Unemployment and Education Composition</t>
  </si>
  <si>
    <t>BLS Current Population Survey.</t>
  </si>
  <si>
    <t>Imported loop-59. Prov: REAL?. Recession education-mix shift; approximate 2xK from cited source.</t>
  </si>
  <si>
    <t>cand-robinson-1950-literacy</t>
  </si>
  <si>
    <t>Robinson WS. Am Sociol Rev 1950;15(3):351-357. 1930 US Census.</t>
  </si>
  <si>
    <t>Imported loop-58. Prov: DOC. Foundational ecological-fallacy reversal.</t>
  </si>
  <si>
    <t>cand-costa-rica-us-life-expectancy</t>
  </si>
  <si>
    <t>Costa Rica vs US Life Expectancy by Age</t>
  </si>
  <si>
    <t>Rosero-Bixby L. Popul Dev Rev 2004.</t>
  </si>
  <si>
    <t>Imported loop-59. Prov: REAL?. Second standardization case; approximate 2xK from cited source.</t>
  </si>
  <si>
    <t>cand-voter-turnout-education-state</t>
  </si>
  <si>
    <t>CPS Voting and Registration Supplement.</t>
  </si>
  <si>
    <t>Imported loop-59. Prov: REAL?. Ecological confounding; approximate 2xK from cited source.</t>
  </si>
  <si>
    <t>cand-fertility-income-country</t>
  </si>
  <si>
    <t>Fertility-Income Paradox Across Countries</t>
  </si>
  <si>
    <t>World Bank World Development Indicators.</t>
  </si>
  <si>
    <t>Imported loop-59. Prov: REAL?. Within- vs across-country reversal; approximate 2xK from cited source.</t>
  </si>
  <si>
    <t>cand-religiosity-happiness-country</t>
  </si>
  <si>
    <t>Religiosity and Happiness by National Wealth</t>
  </si>
  <si>
    <t>World Values Survey / Gallup World Poll.</t>
  </si>
  <si>
    <t>Imported loop-59. Prov: REAL?. Country wealth confounds religiosity-happiness; approximate 2xK from cited source.</t>
  </si>
  <si>
    <t>cand-ab-test-traffic-mix</t>
  </si>
  <si>
    <t>A/B Test Reversal from Traffic Composition Shift (Kohavi)</t>
  </si>
  <si>
    <t>Kohavi R et al. Trustworthy Online Controlled Experiments 2020.</t>
  </si>
  <si>
    <t>Imported loop-58. Prov: DOC. Experimentation Simpson case: segment mix shifts between variants.</t>
  </si>
  <si>
    <t>cand-recsys-offline-eval</t>
  </si>
  <si>
    <t>Recommender Offline Metric Reversal (Exposure Bias)</t>
  </si>
  <si>
    <t>Ding Y et al. arXiv:2104.08912. Offline evaluation under exposure bias.</t>
  </si>
  <si>
    <t>Imported loop-58. Prov: DOC. Links to evaluation methodology literature.</t>
  </si>
  <si>
    <t>cand-ad-ctr-platform-mix</t>
  </si>
  <si>
    <t>Industry A/B testing case studies.</t>
  </si>
  <si>
    <t>Imported loop-59. Prov: REAL?. Platform composition reversal; approximate 2xK from cited source.</t>
  </si>
  <si>
    <t>cand-collider-only-synthetic</t>
  </si>
  <si>
    <t>Collider-Only Synthetic (Zero Confounding)</t>
  </si>
  <si>
    <t>Structural control constructed for loop-58.</t>
  </si>
  <si>
    <t>Imported loop-58. Prov: SYNTH. Isolates collider-induced reversal with no confounder present.</t>
  </si>
  <si>
    <t>cand-noncollapsibility-or-synthetic</t>
  </si>
  <si>
    <t>Non-Collapsibility OR Synthetic (Zero Confounding)</t>
  </si>
  <si>
    <t>Imported loop-58. Prov: SYNTH. OR reverses from non-collapsibility alone; RD does not reverse. Tests instrument blind spot.</t>
  </si>
  <si>
    <t>CatalogSummaryId</t>
  </si>
  <si>
    <t>TotalCatalogEntries</t>
  </si>
  <si>
    <t>ImportedCount</t>
  </si>
  <si>
    <t>CandidateCount</t>
  </si>
  <si>
    <t>BlockedCount</t>
  </si>
  <si>
    <t>HighPriorityCount</t>
  </si>
  <si>
    <t>catalog-v1</t>
  </si>
  <si>
    <t>DomainTargetId</t>
  </si>
  <si>
    <t>TargetMinCount</t>
  </si>
  <si>
    <t>CurrentImportedCount</t>
  </si>
  <si>
    <t>CandidateQueuedCount</t>
  </si>
  <si>
    <t>ProjectedCount</t>
  </si>
  <si>
    <t>GapCount</t>
  </si>
  <si>
    <t>IsUnderRepresented</t>
  </si>
  <si>
    <t>domain-target-medicine</t>
  </si>
  <si>
    <t>domain-target-epidemiology</t>
  </si>
  <si>
    <t>domain-target-legal</t>
  </si>
  <si>
    <t>domain-target-sports</t>
  </si>
  <si>
    <t>domain-target-education</t>
  </si>
  <si>
    <t>domain-target-economics</t>
  </si>
  <si>
    <t>domain-target-social-science</t>
  </si>
  <si>
    <t>TemplateStepId</t>
  </si>
  <si>
    <t>RowDescription</t>
  </si>
  <si>
    <t>import-step-studies</t>
  </si>
  <si>
    <t>One Studies row with StudyId, Title, Source, SourceUrl, Domain, PublicationYear, IsSynthetic=FALSE.</t>
  </si>
  <si>
    <t>StudyId, Title, Source, SourceUrl</t>
  </si>
  <si>
    <t>StudyId unique; Source is citation string.</t>
  </si>
  <si>
    <t>import-step-stratum-var</t>
  </si>
  <si>
    <t>One StratumVariables row naming the confounder before classification.</t>
  </si>
  <si>
    <t>VariableName, CausalRole, MechanismNote</t>
  </si>
  <si>
    <t>import-step-treatments</t>
  </si>
  <si>
    <t>Two Treatments rows (A and B) with human-readable descriptions.</t>
  </si>
  <si>
    <t>TreatmentId, Study, TreatmentLabel, Description</t>
  </si>
  <si>
    <t>Exactly two rows per study.</t>
  </si>
  <si>
    <t>import-step-strata</t>
  </si>
  <si>
    <t>One Strata row per stratum with StratumLabel and Description.</t>
  </si>
  <si>
    <t>StratumId, Study, StratumLabel, Description</t>
  </si>
  <si>
    <t>COUNT(Strata) &gt;= 2.</t>
  </si>
  <si>
    <t>import-step-casecells</t>
  </si>
  <si>
    <t>2×K CaseCells: every (stratum × treatment) with Cases and Successes.</t>
  </si>
  <si>
    <t>CaseCellId, Study, StratumLabel, TreatmentLabel, Cases, Successes</t>
  </si>
  <si>
    <t>CellCount = 2 × StratumCount; all IsValidIngestionCell.</t>
  </si>
  <si>
    <t>import-step-catalog</t>
  </si>
  <si>
    <t>Mark catalog row imported: IngestionStatus=imported, LinkedStudyId set.</t>
  </si>
  <si>
    <t>CandidateId, IngestionStatus, LinkedStudyId</t>
  </si>
  <si>
    <t>LinkedStudyId matches new Studies.StudyId.</t>
  </si>
  <si>
    <t>import-step-summaries</t>
  </si>
  <si>
    <t>One StratumSummaries row per (stratum × treatment) — keys for derived rates.</t>
  </si>
  <si>
    <t>StratumSummaryId, Study, StratumLabel, TreatmentLabel</t>
  </si>
  <si>
    <t>COUNT = 2 × StratumCount.</t>
  </si>
  <si>
    <t>import-step-rankings</t>
  </si>
  <si>
    <t>One TreatmentRankings row (A vs B) with AdjustmentRationale.</t>
  </si>
  <si>
    <t>TreatmentRankingId, Study, TreatmentA, TreatmentB, AdjustmentRationale</t>
  </si>
  <si>
    <t>Exactly one ranking row per study.</t>
  </si>
  <si>
    <t>ConfigId</t>
  </si>
  <si>
    <t>OriginalAllocFractionA</t>
  </si>
  <si>
    <t>FieldId</t>
  </si>
  <si>
    <t>PgColumn</t>
  </si>
  <si>
    <t>OwlLocalName</t>
  </si>
  <si>
    <t>AssertFromPostgres</t>
  </si>
  <si>
    <t>InCompareSet</t>
  </si>
  <si>
    <t>tr-pooled-rate-a</t>
  </si>
  <si>
    <t>pooled_rate_a</t>
  </si>
  <si>
    <t>pooledRateA</t>
  </si>
  <si>
    <t>float</t>
  </si>
  <si>
    <t>tr-pooled-rate-b</t>
  </si>
  <si>
    <t>pooled_rate_b</t>
  </si>
  <si>
    <t>pooledRateB</t>
  </si>
  <si>
    <t>tr-pooled-winner</t>
  </si>
  <si>
    <t>pooled_winner</t>
  </si>
  <si>
    <t>pooledWinner</t>
  </si>
  <si>
    <t>str</t>
  </si>
  <si>
    <t>tr-per-stratum-winner</t>
  </si>
  <si>
    <t>per_stratum_winner</t>
  </si>
  <si>
    <t>perStratumWinner</t>
  </si>
  <si>
    <t>tr-is-reversal</t>
  </si>
  <si>
    <t>is_reversal</t>
  </si>
  <si>
    <t>isReversal</t>
  </si>
  <si>
    <t>bool</t>
  </si>
  <si>
    <t>tr-is-paradox-explained</t>
  </si>
  <si>
    <t>is_paradox_explained</t>
  </si>
  <si>
    <t>isParadoxExplained</t>
  </si>
  <si>
    <t>tr-strata-won-by-loser</t>
  </si>
  <si>
    <t>strata_won_by_loser</t>
  </si>
  <si>
    <t>strataWonByLoser</t>
  </si>
  <si>
    <t>int</t>
  </si>
  <si>
    <t>tr-reversal-intensity</t>
  </si>
  <si>
    <t>reversal_intensity</t>
  </si>
  <si>
    <t>reversalIntensity</t>
  </si>
  <si>
    <t>tr-threshold-margin</t>
  </si>
  <si>
    <t>threshold_margin</t>
  </si>
  <si>
    <t>thresholdMargin</t>
  </si>
  <si>
    <t>tr-signed-pooled-gap</t>
  </si>
  <si>
    <t>signed_pooled_gap</t>
  </si>
  <si>
    <t>signedPooledGap</t>
  </si>
  <si>
    <t>tr-is-sign-flip</t>
  </si>
  <si>
    <t>is_sign_flip</t>
  </si>
  <si>
    <t>isSignFlip</t>
  </si>
  <si>
    <t>tr-distortion-type</t>
  </si>
  <si>
    <t>distortion_type</t>
  </si>
  <si>
    <t>distortionType</t>
  </si>
  <si>
    <t>tr-corrected-gap</t>
  </si>
  <si>
    <t>corrected_gap</t>
  </si>
  <si>
    <t>correctedGap</t>
  </si>
  <si>
    <t>tr-corrected-winner</t>
  </si>
  <si>
    <t>corrected_winner</t>
  </si>
  <si>
    <t>correctedWinner</t>
  </si>
  <si>
    <t>tr-corrected-vs-pooled</t>
  </si>
  <si>
    <t>corrected_vs_pooled_agreement</t>
  </si>
  <si>
    <t>correctedVsPooledAgreement</t>
  </si>
  <si>
    <t>tr-corrected-policy</t>
  </si>
  <si>
    <t>corrected_policy_implication</t>
  </si>
  <si>
    <t>correctedPolicyImplication</t>
  </si>
  <si>
    <t>tr-causal-claim-status</t>
  </si>
  <si>
    <t>causal_claim_status</t>
  </si>
  <si>
    <t>causalClaimStatus</t>
  </si>
  <si>
    <t>tr-adjustment-appropriate</t>
  </si>
  <si>
    <t>adjustment_appropriate</t>
  </si>
  <si>
    <t>adjustmentAppropriate</t>
  </si>
  <si>
    <t>ss-stratum-rate-a</t>
  </si>
  <si>
    <t>stratum_rate_a</t>
  </si>
  <si>
    <t>stratumRateA</t>
  </si>
  <si>
    <t>ss-stratum-rate-b</t>
  </si>
  <si>
    <t>stratum_rate_b</t>
  </si>
  <si>
    <t>stratumRateB</t>
  </si>
  <si>
    <t>ss-stratum-winner</t>
  </si>
  <si>
    <t>stratum_winner</t>
  </si>
  <si>
    <t>stratumWinner</t>
  </si>
  <si>
    <t>ss-stratum-fraction</t>
  </si>
  <si>
    <t>stratum_fraction</t>
  </si>
  <si>
    <t>stratumFraction</t>
  </si>
  <si>
    <t>ss-allocation-bias</t>
  </si>
  <si>
    <t>allocation_bias</t>
  </si>
  <si>
    <t>allocationBias</t>
  </si>
  <si>
    <t>ss-stratum-gap</t>
  </si>
  <si>
    <t>stratum_gap</t>
  </si>
  <si>
    <t>stratumGap</t>
  </si>
  <si>
    <t>ss-weighted-stratum-gap</t>
  </si>
  <si>
    <t>weighted_stratum_gap</t>
  </si>
  <si>
    <t>weightedStratumGap</t>
  </si>
  <si>
    <t>sv-is-confounder</t>
  </si>
  <si>
    <t>is_confounder</t>
  </si>
  <si>
    <t>isConfounder</t>
  </si>
  <si>
    <t>HypothesisId</t>
  </si>
  <si>
    <t>ExpectedOutcome</t>
  </si>
  <si>
    <t>RegisteredInLoop</t>
  </si>
  <si>
    <t>EpistemicTier</t>
  </si>
  <si>
    <t>H-latent-d</t>
  </si>
  <si>
    <t>More than half of Type-D (SAFE) studies would flip their pooled winner under counterfactual allocation reweighting.</t>
  </si>
  <si>
    <t>corpus-hypothesis</t>
  </si>
  <si>
    <t>H-purity</t>
  </si>
  <si>
    <t>Every sign-flip study has SignalPurity strictly below 0.5.</t>
  </si>
  <si>
    <t>SignFlipSignalPurityMax &lt; 0.5</t>
  </si>
  <si>
    <t>consistency-check</t>
  </si>
  <si>
    <t>H-small-effect</t>
  </si>
  <si>
    <t>Allocation-stable Type-D studies carry larger observed pooled gaps than latent Type-D studies.</t>
  </si>
  <si>
    <t>AvgPooledGapStableD &gt; AvgPooledGapLatentD</t>
  </si>
  <si>
    <t>H-econ-zero</t>
  </si>
  <si>
    <t>Economics-domain studies produce zero sign-flips in 2×K encoding.</t>
  </si>
  <si>
    <t>EconomicsSignFlipCount = 0</t>
  </si>
  <si>
    <t>H-domain-dist</t>
  </si>
  <si>
    <t>Epidemiology studies carry higher mean AllocationDistortion than education studies.</t>
  </si>
  <si>
    <t>EpidemiologyAvgDistortion &gt; EducationAvgDistortion</t>
  </si>
  <si>
    <t>FindingId</t>
  </si>
  <si>
    <t>HypothesisStatement</t>
  </si>
  <si>
    <t>ObservedMetric</t>
  </si>
  <si>
    <t>IsConfirmed</t>
  </si>
  <si>
    <t>find-H-latent-d</t>
  </si>
  <si>
    <t>find-H-purity</t>
  </si>
  <si>
    <t>find-H-small-effect</t>
  </si>
  <si>
    <t>find-H-econ-zero</t>
  </si>
  <si>
    <t>find-H-domain-dist</t>
  </si>
  <si>
    <t xml:space="preserve">{
  "$schema": "https://example.com/cmcc-schema/v1",
  "Name": "simpsons-paradox",
  "Description": "Digital mirror of the Simpson's Paradox domain. The entities are Studies, Treatments, Strata, and CaseCells (raw patient counts). SuccessRates, TreatmentSummaries, and TreatmentRankings are derived. The paradox falls out of the DAG as an emergent derived fact — it is never modeled directly.",
  "Loops": {
    "Description": "Table: Loops — build history and forward plan, carried as a first-class entity inside the model. Each row documents what new concept is introduced, what was witnessed, and (for planned rows) the next empirical question. Loops 62+ are the corpus-scale research sweep: pre-register in DiscoveryHypotheses, run against vw_* views, LoopReview at end of each turn before committing vocabulary.",
    "schema": [
      {
        "name": "LoopId",
        "datatype": "string",
        "type": "raw",
        "nullable": false,
        "Description": "Unique identifier: loop-01 through loop-10."
      },
      {
        "name": "Name",
        "datatype": "string",
        "type": "calculated",
        "nullable": false,
        "Description": "Display label.",
        "formula": "={{LoopId}}"
      },
      {
        "name": "Title",
        "datatype": "string",
        "type": "raw",
        "nullable": false,
        "Description": "Short title for what this loop adds to the domain model."
      },
      {
        "name": "Status",
        "datatype": "string",
        "type": "raw",
        "nullable": false,
        "Description": "planned | in-progress | complete"
      },
      {
        "name": "NewConcept",
        "datatype": "string",
        "type": "raw",
        "nullable": true,
        "Description": "The new first-class domain concept introduced this loop."
      },
      {
        "name": "DomainQuestion",
        "datatype": "string",
        "type": "raw",
        "nullable": true,
        "Description": "The natural-language question this loop's concept answers FROM the domain data."
      },
      {
        "name": "MockDataNote",
        "datatype": "string",
        "type": "raw",
        "nullable": true,
        "Description": "What the seed data is designed to show."
      },
      {
        "name": "NextSuggestion",
        "datatype": "string",
        "type": "raw",
        "nullable": true,
        "Description": "Suggestion for the next loop, written after witnessing the DAG at this loop's end."
      },
      {
        "name": "TraditionId",
        "datatype": "string",
        "type": "raw",
        "nullable": true,
        "Description": "FK → ResearchTraditions.TraditionId. The scholarly tradition whose conceptual vocabulary this loop primarily draws on — tracks which tradition has driven each stage of the instrument's development."
      },
      {
        "name": "TraditionName",
        "datatype": "string",
        "type": "lookup",
        "nullable": true,
        "Description": "Lookup: ResearchTraditions.Name via TraditionId.",
        "formula": "=LOOKUP({{TraditionId}}, ResearchTraditions[TraditionId], ResearchTraditions[Name])"
      },
      {
        "name": "TraditionCoreConern",
        "datatype": "string",
        "type": "lookup",
        "nullable": true,
        "Description": "Lookup: ResearchTraditions.CoreConcern via TraditionId — which intellectual concern drove this loop.",
        "formula": "=LOOKUP({{TraditionId}}, ResearchTraditions[TraditionId], ResearchTraditions[CoreConcern])"
      },
      {
        "name": "CommitHash",
        "datatype": "string",
        "type": "raw",
        "nullable": true,
        "Description": "Full git SHA where this loop row first landed in effortless-rulebook.json — the replay anchor for this turn of the Leopold loop."
      },
      {
        "name": "CommitShort",
        "datatype": "string",
        "type": "calculated",
        "nullable": true,
        "Description": "First 7 characters of CommitHash for display and git checkout.",
        "formula": "=LEFT({{CommitHash}}, 7)"
      },
      {
        "name": "CommitDate",
        "datatype": "string",
        "type": "raw",
        "nullable": true,
        "Description": "ISO date (YYYY-MM-DD) of the commit where this loop landed."
      },
      {
        "name": "CommitMessage",
        "datatype": "string",
        "type": "raw",
        "nullable": true,
        "Description": "Git commit subject line for this loop's landing commit."
      },
      {
        "name": "GitTag",
        "datatype": "string",
        "type": "raw",
        "nullable": true,
        "Description": "Optional milestone tag pointing at this loop's landing commit (sp-loop-milestone-*). Used for discovery replay without memorizing SHAs."
      }
    ],
    "data": [
      { "LoopId": "loop-01", "Title": "Core domain: Study, Treatment, Stratum, CaseCell → SuccessRate falls out", "Status": "complete", "NewConcept": "Studies, Treatments, Strata, CaseCells", "DomainQuestion": "For each (stratum, treatment) cell in a study, what is the success rate?", "MockDataNote": "Kidney stone study (Charig 1986): 2 strata (small/large), 2 treatments (A/B), 4 cells. CellSuccessRate is the first derived fact.", "NextSuggestion": "Ask: for each treatment, what is its pooled (across all strata) success rate? That requires TreatmentSummary — aggregating CaseCells by treatment, ignoring stratum.", "TraditionId": "tradition-historical", "CommitHash": "b96e0fe6e3402d85b16e9772518d9241c64c1b1e", "CommitDate": "2026-06-27", "CommitMessage": "loop-05: StratumVariables + IsParadoxExplained — the DAG witnesses its own explanation", "GitTag": "sp-loop-milestone-01-loops-01-10" },
      { "LoopId": "loop-02", "Title": "TreatmentSummary: pooled rate per treatment across all strata", "Status": "complete", "NewConcept": "TreatmentSummaries", "DomainQuestion": "If you ignore stratum entirely, what is each treatment's overall success rate?", "MockDataNote": "Pooled: A=273/350=78%, B=289/350=83%. B looks better — this is the misleading aggregate view.", "NextSuggestion": "Ask: for each (stratum, treatment) pair, what is the success rate WITHIN that stratum? That requires StratumSummary — the view that contradicts the pooled view.", "TraditionId": "tradition-historical", "CommitHash": "b96e0fe6e3402d85b16e9772518d9241c64c1b1e", "CommitDate": "2026-06-27", "CommitMessage": "loop-05: StratumVariables + IsParadoxExplained — the DAG witnesses its own explanation", "GitTag": "sp-loop-milestone-01-loops-01-10" },
      { "LoopId": "loop-03", "Title": "StratumSummary: per-stratum rate per treatment — the true picture", "Status": "complete", "NewConcept": "StratumSummaries", "DomainQuestion": "Within each stratum, which treatment has the higher success rate?", "MockDataNote": "Small: A=93.1% &gt; B=86.7%. Large: A=73.0% &gt; B=68.8%. A wins in BOTH strata. Contradiction with pooled view is now visible.", "NextSuggestion": "Ask: for each treatment pair in a study, does the pooled winner match the per-stratum winner? That requires TreatmentRanking — the node where the paradox either exists or doesn't.", "TraditionId": "tradition-historical", "CommitHash": "b96e0fe6e3402d85b16e9772518d9241c64c1b1e", "CommitDate": "2026-06-27", "CommitMessage": "loop-05: StratumVariables + IsParadoxExplained — the DAG witnesses its own explanation", "GitTag": "sp-loop-milestone-01-loops-01-10" },
      { "LoopId": "loop-04", "Title": "TreatmentRanking: does the pooled winner = the per-stratum winner?", "Status": "complete", "NewConcept": "TreatmentRankings", "DomainQuestion": "When pooled and stratified conclusions disagree — which treatment should actually be preferred?", "MockDataNote": "Pooled winner = B. Per-stratum winner = A in every stratum. Simpson's Paradox: IsReversal = true. This is the paradox as a derived fact, not a modeled entity.", "NextSuggestion": "Ask: WHY does the paradox occur? The stratifying variable (stone size) affects both treatment assignment AND outcome. Name it as a StratumVariable with a CausalRole field.", "TraditionId": "tradition-historical", "CommitHash": "b96e0fe6e3402d85b16e9772518d9241c64c1b1e", "CommitDate": "2026-06-27", "CommitMessage": "loop-05: StratumVariables + IsParadoxExplained — the DAG witnesses its own explanation", "GitTag": "sp-loop-milestone-01-loops-01-10" },
      { "LoopId": "loop-05", "Title": "StratumVariable: name the confounding factor, its causal role, and derive IsConfounder + IsParadoxExplained", "Status": "complete", "NewConcept": "StratumVariables (one per study); CausalRole field; IsConfounder boolean; IsParadoxExplained on TreatmentRankings", "DomainQuestion": "What IS the stratum variable, why does it confound, and does the model witness its own explanation?", "MockDataNote": "kidney-1986: VariableName=stone_size, CausalRole=confounder, AffectsTreatmentAssignment=true, AffectsOutcome=true → IsConfounder=true → IsParadoxExplained=true on TreatmentRankings.", "NextSuggestion": "Ask: how large is the allocation imbalance? Derive TreatmentExposureFraction on CaseCells — the fraction of each treatment's cases that land in each stratum. High imbalance = confounding mechanism as a witnessed number.", "TraditionId": "tradition-dag", "CommitHash": "b96e0fe6e3402d85b16e9772518d9241c64c1b1e", "CommitDate": "2026-06-27", "CommitMessage": "loop-05: StratumVariables + IsParadoxExplained — the DAG witnesses its own explanation", "GitTag": "sp-loop-milestone-01-loops-01-10" },
      { "LoopId": "loop-06", "Title": "TreatmentExposureFraction: the allocation imbalance as a witnessed number", "Status": "complete", "NewConcept": "TreatmentExposureFraction field on CaseCells (Cases / TotalCasesForTreatment in this study)", "DomainQuestion": "What fraction of each treatment's total cases fall in each stratum? High imbalance across strata is the mechanism of confounding.", "MockDataNote": "A: 263/350=75% in large-stone stratum. B: 80/350=23% in large-stone stratum. The 52-point gap IS the mechanism — now a first-class derived number.", "NextSuggestion": "Add a degenerate study where treatment allocation is perfectly balanced across strata. IsReversal must be FALSE — not because the data says so, but because the algebra guarantees it. The model witnesses its own structural impossibility.", "TraditionId": "tradition-epidemiology", "CommitHash": "b96e0fe6e3402d85b16e9772518d9241c64c1b1e", "CommitDate": "2026-06-27", "CommitMessage": "loop-05: StratumVariables + IsParadoxExplained — the DAG witnesses its own explanation", "GitTag": "sp-loop-milestone-01-loops-01-10" },
      { "LoopId": "loop-07", "Title": "Degenerate study: balanced allocation → IsReversal structurally impossible", "Status": "complete", "NewConcept": "Second Studies row (balanced-synthetic); equal TreatmentExposureFraction across strata; IsReversal = FALSE by construction", "DomainQuestion": "If every stratum gets the same treatment-allocation fraction, can a reversal occur? The DAG should witness that it cannot.", "MockDataNote": "Synthetic: A and B each assigned 50/50 to small/large strata. A=60% success both strata, B=50% both. Pooled: A=60%, B=50%. No reversal. IsParadoxExplained vacuously true (IsConfounder=false, no confounding, no reversal).", "NextSuggestion": "Add Berkeley 1973 — same DAG, contested domain. Aggregate: women admitted at lower rate. Per-department: women admitted at equal or higher rate in most. IsReversal=true. But IsConfounder is ambiguous — department choice may be downstream of gender (mediator, not confounder). The model witnesses its own explanatory limits.", "TraditionId": "tradition-historical", "CommitHash": "b96e0fe6e3402d85b16e9772518d9241c64c1b1e", "CommitDate": "2026-06-27", "CommitMessage": "loop-05: StratumVariables + IsParadoxExplained — the DAG witnesses its own explanation", "GitTag": "sp-loop-milestone-01-loops-01-10" },
      { "LoopId": "loop-08", "Title": "Berkeley 1973: contested confounder — model reveals a PARTIAL paradox, not a clean reversal", "Status": "complete", "NewConcept": "Third Studies row (berkeley-1973); StratumVariable=department; CausalRole=contested; IsConfounder=false; IsParadoxExplained=false; PerStratumWinner=none (mixed, not unanimous)", "DomainQuestion": "Does Berkeley show a clean reversal? No — PerStratumWinner='none' because the per-stratum winner is mixed (female wins 3/4 depts, male wins 1). The model surfaces a structural limit of the reversal definition: partial paradoxes are real but don't satisfy the strict IsReversal criterion.", "MockDataNote": "Witnessed: male pooled 52.8% vs female 39.9% (large gap). Per dept: female wins A (82%&gt;62%), B (68%&gt;63%), D (35%&gt;33%); male wins C (37%&gt;34%). No unanimous per-stratum winner → IsReversal=FALSE by strict definition. The intuitive paradox is real; the formal paradox is partial.", "NextSuggestion": "Add ParadoxStrength (scalar severity) to capture partial reversals — pooled gap and average per-stratum gap regardless of unanimity. Then StudySummary for epistemic coverage across all 3 studies.", "TraditionId": "tradition-epidemiology", "CommitHash": "b96e0fe6e3402d85b16e9772518d9241c64c1b1e", "CommitDate": "2026-06-27", "CommitMessage": "loop-05: StratumVariables + IsParadoxExplained — the DAG witnesses its own explanation", "GitTag": "sp-loop-milestone-01-loops-01-10" },
      { "LoopId": "loop-09", "Title": "ParadoxStrength: scalar severity derived from pooled gap and per-stratum gap", "Status": "complete", "NewConcept": "ParadoxStrength on TreatmentRankings; PooledGap and AvgStratumGap on StratumSummaries", "DomainQuestion": "How large is the reversal? Can we rank studies by paradox severity, and does strength correlate with allocation imbalance?", "MockDataNote": "Kidney: pooled gap ~4.6pp favoring B, avg stratum gap ~5pp favoring A. Berkeley: larger pooled gap, varies by department. Balanced: strength=0 (no reversal).", "NextSuggestion": "StudySummary: roll up ReversalCount, ExplainedCount, AvgParadoxStrength across all studies. The model now describes its own epistemic coverage in a single view.", "TraditionId": "tradition-historical", "CommitHash": "b96e0fe6e3402d85b16e9772518d9241c64c1b1e", "CommitDate": "2026-06-27", "CommitMessage": "loop-05: StratumVariables + IsParadoxExplained — the DAG witnesses its own explanation", "GitTag": "sp-loop-milestone-01-loops-01-10" },
      { "LoopId": "loop-10", "Title": "StudySummary: the model witnesses its own epistemic coverage", "Status": "complete", "NewConcept": "StudySummary table (one row per model instance): StudyCount, ReversalCount, ExplainedCount, UnexplainedCount, ImpossibleCount, AvgParadoxStrength", "DomainQuestion": "Across all studies in this model, what is the epistemic state? How many reversals, how many explained, how many witnessed-but-unexplained?", "MockDataNote": "3 studies: ReversalCount=2 (kidney+berkeley), ExplainedCount=1 (kidney), UnexplainedCount=1 (berkeley), ImpossibleCount=1 (balanced). The model now holds a mirror to itself.", "NextSuggestion": "Ask: how heavy is each stratum? Add StratumFraction to StratumSummaries — the fraction of the study's total cases that land in each stratum. The weight each stratum carries IS the lever the confounder pulls.", "TraditionId": "tradition-historical", "CommitHash": "b96e0fe6e3402d85b16e9772518d9241c64c1b1e", "CommitDate": "2026-06-27", "CommitMessage": "loop-05: StratumVariables + IsParadoxExplained — the DAG witnesses its own explanation", "GitTag": "sp-loop-milestone-01-loops-01-10" },
      { "LoopId": "loop-11", "Title": "StratumFraction: the weight each stratum carries in the pooled average", "Status": "complete", "NewConcept": "StratumFraction (and StudyTotalCases, StratumTotalCases) on StratumSummaries", "DomainQuestion": "What fraction of the study's total cases land in each stratum? High StratumFraction on a low-success stratum pulls the pooled rate down — and when that stratum is also over-allocated to one treatment, the reversal follows.", "MockDataNote": "kidney-1986: large-stratum = (263+80)/700 = 49%; small-stratum = (87+270)/700 = 51%. Nearly equal stratum weights — but unequal per-treatment allocation (75% of A is in large; 23% of B is in large). The weight alone is not the mechanism; the differential allocation into heavy strata is.", "NextSuggestion": "Add WeightedStratumRate: StratumFraction × StratumSuccessRate per treatment row. Sum these across strata to reconstruct PooledRate from first principles. The DAG now witnesses the mechanism equation: pooled rate = weighted average of stratum rates.", "TraditionId": "tradition-epidemiology", "CommitHash": "49f01e7cafcdb6b529db5743081ee7b32d708b01", "CommitDate": "2026-06-27", "CommitMessage": "loop-15: ReversalThreshold — intensity and margin witness paradox robustness vs fragility", "GitTag": "sp-loop-milestone-03-loops-11-15" },
      { "LoopId": "loop-12", "Title": "WeightedPull: mechanism equation witnessed — pooled rate = weighted sum of stratum rates", "Status": "complete", "NewConcept": "WeightedStratumRate on StratumSummaries; PooledRateFromWeightsA and PooledRateFromWeightsB on TreatmentRankings", "DomainQuestion": "Can the DAG reconstruct each treatment's pooled rate purely from stratum weights × stratum rates? If PooledRateFromWeights = PooledRate, the mechanism equation is verified: Simpson's Paradox is algebraically explained.", "MockDataNote": "kidney-1986: PooledRateFromWeightsA=0.833, PooledRateFromWeightsB=0.779 (A looks better under equal study-level weights). But actual pooled rates are A=0.780, B=0.826 (B looks better). The divergence IS the mechanism: real pooled uses treatment-level allocation weights; the reconstruction uses study-level weights. The swap between the two orderings shows exactly how differential allocation flips the conclusion. balanced-synthetic: weights match exactly (equal allocation = no flip possible).", "NextSuggestion": "Add AllocationBias to StratumSummaries: the difference between TreatmentExposureFraction for A and B in each stratum. High bias toward the losing treatment in a low-success stratum IS the confounder's fingerprint as a witnessed number.", "TraditionId": "tradition-historical", "CommitHash": "49f01e7cafcdb6b529db5743081ee7b32d708b01", "CommitDate": "2026-06-27", "CommitMessage": "loop-15: ReversalThreshold — intensity and margin witness paradox robustness vs fragility", "GitTag": "sp-loop-milestone-03-loops-11-15" },
      { "LoopId": "loop-13", "Title": "AllocationBias: the confounder's fingerprint as a signed witnessed number", "Status": "complete", "NewConcept": "AllocationBias on StratumSummaries (AllocationFractionA - AllocationFractionB); also AllocationFractionA, AllocationFractionB, TreatmentACasesHere, TreatmentBCasesHere, TreatmentATotalCases, TreatmentBTotalCases", "DomainQuestion": "In each stratum, is one treatment disproportionately concentrated here? AllocationBias = AllocationFractionA - AllocationFractionB: positive means A is over-represented here, negative means B is. A strong negative bias in a low-success stratum is the confounder's fingerprint.", "MockDataNote": "kidney-1986 large-stratum: AllocationFractionA=263/350=0.751, AllocationFractionB=80/350=0.229, AllocationBias=+0.523. A is massively over-allocated to the hard (large-stone) stratum. This single number summarizes why the pooled rate misleads: A carries 52pp more exposure to the hard case, dragging its pooled average down below B's despite beating B in both strata.", "NextSuggestion": "Add a 4th study: kidney-balanced — same stratum rates as kidney-1986 but with equal allocation (50/50 split). AllocationBias=0 everywhere, IsReversal=FALSE. The counterfactual shows the reversal is purely an allocation artifact, not a property of the treatment rates themselves.", "TraditionId": "tradition-historical", "CommitHash": "49f01e7cafcdb6b529db5743081ee7b32d708b01", "CommitDate": "2026-06-27", "CommitMessage": "loop-15: ReversalThreshold — intensity and margin witness paradox robustness vs fragility", "GitTag": "sp-loop-milestone-03-loops-11-15" },
      { "LoopId": "loop-14", "Title": "Counterfactual: kidney-balanced isolates allocation as the sole cause of the reversal", "Status": "complete", "NewConcept": "Fourth study (kidney-balanced): same stratum rates as kidney-1986, equal allocation (175 cases per cell). IsReversal=FALSE, AllocationBias=0, ParadoxStrength=0.", "DomainQuestion": "If the same doctors, same disease, same treatments, same stratum difficulty — but patients were allocated equally — would the paradox still exist? The DAG answers: no. The reversal lives in the allocation, not in the treatment rates.", "MockDataNote": "kidney-balanced: PooledRateA = (163+128)/350 = 0.831, PooledRateB = (152+120)/350 = 0.777. A wins pooled AND per-stratum. IsReversal=FALSE, ParadoxStrength=0. AllocationBias=0 in both strata. The counterfactual witnesses that the reversal in kidney-1986 is entirely an artifact of differential allocation, not of treatment efficacy.", "NextSuggestion": "Add ReversalThreshold to TreatmentRankings: the minimum AllocationBias magnitude needed to flip the pooled winner. How far is kidney-1986 from the threshold? How close is berkeley-1973? This quantifies paradox fragility vs robustness.", "TraditionId": "tradition-historical", "CommitHash": "49f01e7cafcdb6b529db5743081ee7b32d708b01", "CommitDate": "2026-06-27", "CommitMessage": "loop-15: ReversalThreshold — intensity and margin witness paradox robustness vs fragility", "GitTag": "sp-loop-milestone-03-loops-11-15" },
      { "LoopId": "loop-15", "Title": "ReversalThreshold: how robust or fragile is each study's paradox?", "Status": "complete", "NewConcept": "MaxAllocationBias, WeightedStratumGapSum, ThresholdMargin on TreatmentRankings", "DomainQuestion": "How much allocation bias is needed to produce a reversal? Is the observed bias well above threshold (robust paradox) or barely over it (fragile paradox)? ThresholdMargin = observed bias minus minimum needed.", "MockDataNote": "kidney-1986: ReversalIntensity=1.0, ThresholdMargin=+0.5 — maximally robust, every stratum opposes pooled. berkeley-1973: ReversalIntensity=0.75, ThresholdMargin=+0.25 — past threshold but not unanimous (3/4 departments oppose). balanced-synthetic and kidney-balanced: intensity=0, margin=-0.5 — structurally impossible. ThresholdMargin &gt; 0 means the paradox is robust; &lt; 0 means absent or impossible.", "NextSuggestion": "Pour a real-world dataset with a known mediator (not confounder) through the same DAG and witness where it lands on the reversal_intensity × paradox_strength plane. The geometry of the plane is the next frontier.", "TraditionId": "tradition-historical", "CommitHash": "49f01e7cafcdb6b529db5743081ee7b32d708b01", "CommitDate": "2026-06-27", "CommitMessage": "loop-15: ReversalThreshold — intensity and margin witness paradox robustness vs fragility", "GitTag": "sp-loop-milestone-03-loops-11-15" },
      { "LoopId": "loop-16", "Title": "StratumGap: per-stratum rate difference as a signed witnessed number", "Status": "complete", "NewConcept": "StratumGap field on StratumSummaries (StratumRateA - StratumRateB, signed)", "DomainQuestion": "In each stratum, how large is the treatment advantage, and in which direction? StratumGap &gt; 0 means A wins here; &lt; 0 means B wins. Summing StratumGap × StratumFraction gives the equal-weight pooled gap — a new derived node.", "MockDataNote": "kidney-1986: small-stratum gap = +0.064 (A wins by 6.4pp), large-stratum gap = +0.043 (A wins by 4.3pp). Both positive — A wins everywhere. The pooled gap is negative (B appears to win by 4.6pp) purely due to allocation. The signed gap makes this contradiction arithmetically visible in one column. kidney-balanced: small=+0.064, large=+0.042 (same signs, same magnitudes — the rates are identical to kidney-1986 but now A also wins pooled because allocation is balanced). balanced-synthetic: small=+0.10, large=+0.10 (constant, equal allocation). berkeley-1973: dept-A=−0.200 (female wins), dept-B=+0.011 (male wins barely), dept-C=−0.002 (female wins barely), dept-D=−0.016 (female wins). Mixed signs confirm the partial paradox: no unanimous StratumGap direction, hence no clean reversal.", "NextSuggestion": "Derive WeightedStratumGapSum on TreatmentRankings: SUM(StratumGap × StratumFraction) aggregated across all TreatmentA rows for this study. This is the equal-weight pooled gap — the gap allocation-free weighting would produce. When WeightedStratumGapSum and PooledGap have opposite signs, the allocation has not just compressed the signal but flipped it. That sign flip is a more precise characterisation of Simpson's Paradox than IsReversal: it handles partial flips and gives a magnitude to the distortion.", "TraditionId": "tradition-historical", "CommitHash": "ca3109557acb34bb159bed0ac1c39e5a81cce5dc", "CommitDate": "2026-06-27", "CommitMessage": "loop-20+20b: real study hydration via 05b-customize-data.sql — two type-A reversals witnessed", "GitTag": "sp-loop-milestone-04-loops-16-31" },
      { "LoopId": "loop-17", "Title": "WeightedStratumGapSum: the equal-weight signal — and the Berkeley category error witnessed", "Status": "complete", "NewConcept": "WeightedStratumGap on StratumSummaries (StratumGap × StratumFraction, the per-stratum contribution to the equal-weight pooled gap); WeightedStratumGapSum on TreatmentRankings (SUMIFS of WeightedStratumGap across TreatmentA rows); SignedPooledGap (PooledRateA − PooledRateB, signed); IsSignFlip boolean (WeightedStratumGapSum and SignedPooledGap have opposite signs)", "DomainQuestion": "If allocation were equal across strata, what would the pooled gap be? WeightedStratumGapSum answers this. When it has the opposite sign to SignedPooledGap, the allocation has not just compressed the signal — it has flipped it. That sign flip IS Simpson's Paradox under a continuous definition. Does Berkeley sign-flip?", "MockDataNote": "Witnessed from DB: balanced-synthetic: WSGSUM=+0.1000, SignedPooledGap=+0.1000 → IsSignFlip=FALSE (equal allocation, no distortion). kidney-1986: WSGSUM=+0.0537, SignedPooledGap=−0.0457 → IsSignFlip=TRUE (A wins in every stratum by 5.4pp on average, but actual pooled shows B winning by 4.6pp). kidney-balanced: WSGSUM=+0.0543, SignedPooledGap=+0.0543 → IsSignFlip=FALSE (equal allocation, WSGSUM = actual pooled gap). berkeley-1973: WSGSUM=−0.0642, SignedPooledGap=+0.1292 → IsSignFlip=TRUE. Per-stratum breakdown: dept-A gap=−0.2035 (female wins by 20.4pp, fraction=0.289); dept-B=−0.0496 (female wins, fraction=0.181); dept-C=+0.0286 (male wins barely, fraction=0.284); dept-D=−0.0184 (female wins, fraction=0.245). Under equal allocation female would win pooled by 6.4pp — but the actual pooled shows male winning by 12.9pp. Berkeley IS a Simpson's Paradox under the sign-flip definition despite IsReversal=FALSE. The binary unanimity criterion excluded Berkeley because dept-C goes to male; the sign-flip criterion correctly includes it.", "NextSuggestion": "The sign flip is witnessed. Now measure the magnitude: how far has the allocation bent the pooled signal? AllocationDistortion = |WeightedStratumGapSum − SignedPooledGap|. Berkeley: |−0.0642 − (+0.1292)| = 0.1934. Kidney: |+0.0537 − (−0.0457)| = 0.0994. Berkeley's distortion is nearly twice kidney's — despite IsReversal=FALSE. This is the single-number measure that ranks studies by how badly confounding has distorted their pooled result.", "TraditionId": "tradition-historical", "CommitHash": "ca3109557acb34bb159bed0ac1c39e5a81cce5dc", "CommitDate": "2026-06-27", "CommitMessage": "loop-20+20b: real study hydration via 05b-customize-data.sql — two type-A reversals witnessed", "GitTag": "sp-loop-milestone-04-loops-16-31" },
      { "LoopId": "loop-18", "Title": "AllocationDistortion: the magnitude of the signal the allocation erased or fabricated", "Status": "complete", "NewConcept": "AllocationDistortion on TreatmentRankings (|WeightedStratumGapSum − SignedPooledGap|) — the scalar distance between the equal-weight signal and the actual pooled signal", "DomainQuestion": "How much has the allocation distorted the pooled signal relative to what equal-weight strata would show? AllocationDistortion=0 means the allocation is neutral. A large AllocationDistortion means the pooled number is mostly noise from case assignment, not signal about treatment efficacy.", "MockDataNote": "Witnessed from DB (ordered by AllocationDistortion desc): berkeley-1973: WSGSUM=−0.0642, SignedPooledGap=+0.1292, AllocationDistortion=0.1934. kidney-1986: WSGSUM=+0.0537, SignedPooledGap=−0.0457, AllocationDistortion=0.0994. kidney-balanced: AllocationDistortion=0.0000 (balanced allocation, no distortion). balanced-synthetic: AllocationDistortion=0.0000 (equal allocation, no distortion). The allocation is injecting a 19.3pp distortion into Berkeley's pooled result — reversing a real female advantage of 6.4pp into an apparent male advantage of 12.9pp. This is nearly twice the 9.9pp distortion in kidney-1986. ParadoxStrength (old measure) gives berkeley=0.0969, kidney=0.0457 — same ordinal ranking but ParadoxStrength is penalized by the unanimity criterion: Berkeley's 0.75 ReversalIntensity reduces its score. AllocationDistortion is not so penalized: it measures what the allocation DID to the signal, not whether the outcome passes an arbitrary threshold.", "NextSuggestion": "Two severity measures are now live: ParadoxStrength and AllocationDistortion. They agree on ordinal ranking across our four studies but diverge in magnitude (Berkeley is 2× kidney under AllocationDistortion but only 2.1× under ParadoxStrength). The more important question: is a study with AllocationDistortion &gt; 0 but IsSignFlip=FALSE possible? That would be a type-C study — allocation has compressed but not reversed the signal. None of the current studies are type-C. Design a synthetic type-C study: same-sign WSGSUM and SignedPooledGap, but WSGSUM closer to zero than SignedPooledGap. Add it to the data and witness AllocationDistortion &gt; 0, IsSignFlip=FALSE.", "TraditionId": "tradition-historical", "CommitHash": "ca3109557acb34bb159bed0ac1c39e5a81cce5dc", "CommitDate": "2026-06-27", "CommitMessage": "loop-20+20b: real study hydration via 05b-customize-data.sql — two type-A reversals witnessed", "GitTag": "sp-loop-milestone-04-loops-16-31" },
      { "LoopId": "loop-19", "Title": "Type-C witness: compressed-synthetic — allocation distortion without sign flip", "Status": "complete", "NewConcept": "compressed-synthetic study (fifth study): type-C case — A wins every stratum and wins pooled, but allocation compresses A's pooled advantage. Witnesses AllocationDistortion &gt; 0, IsSignFlip=FALSE, IsReversal=FALSE, PerStratumWinner=A. Completes the four-type taxonomy.", "DomainQuestion": "Does a study with real allocation distortion (AllocationDistortion &gt; 0) but no sign flip (IsSignFlip=FALSE) exist? If yes, the type-C cell in the DistortionType taxonomy is nonempty — there is a class of misleading aggregates that compress but do not reverse the pooled signal. This class is invisible to both IsReversal and IsSignFlip but is visible to AllocationDistortion.", "MockDataNote": "Witnessed from DB (ordered by AllocationDistortion desc): berkeley-1973: WSGSUM=−0.0642, SignedPooledGap=+0.1292, IsSignFlip=TRUE, AllocationDistortion=0.1934, ReversalIntensity=0.75 → type B. kidney-1986: WSGSUM=+0.0537, SignedPooledGap=−0.0457, IsSignFlip=TRUE, AllocationDistortion=0.0994, ReversalIntensity=1.0 → type A. compressed-synthetic: WSGSUM=+0.1000, SignedPooledGap=+0.0600, IsSignFlip=FALSE, AllocationDistortion=0.0400, ReversalIntensity=0.0 → type C (A wins pooled by 6pp but would win by 10pp under equal allocation). kidney-balanced: AllocationDistortion=0.0000 → type D. balanced-synthetic: AllocationDistortion=0.0000 → type D. All four types are now empirically populated. Type-C is important: a researcher seeing pooled A=78%, B=72% and concluding 'A wins by 6pp' is correct — but the equal-weight truth is 'A wins by 10pp.' The allocation has consumed 4pp of signal without a single stratum switching winner.", "NextSuggestion": "All four DistortionType cells are now populated. Add DistortionType as a derived field on TreatmentRankings: A = IsSignFlip AND ReversalIntensity=1.0; B = IsSignFlip AND ReversalIntensity&lt;1.0; C = NOT IsSignFlip AND AllocationDistortion&gt;0.01; D = AllocationDistortion≤0.01. This makes the geometric taxonomy a first-class derived fact in the DAG. Then add PolicyImplication per type: type A = stratify-immediately; type B = investigate-confounder; type C = check-allocation-bias; type D = pooled-analysis-trustworthy.", "TraditionId": "tradition-historical", "CommitHash": "ca3109557acb34bb159bed0ac1c39e5a81cce5dc", "CommitDate": "2026-06-27", "CommitMessage": "loop-20+20b: </t>
  </si>
  <si>
    <t xml:space="preserve">real study hydration via 05b-customize-data.sql — two type-A reversals witnessed", "GitTag": "sp-loop-milestone-04-loops-16-31" },
      { "LoopId": "loop-20", "Title": "Hydration contract: real study data enters through 05b-customize-data.sql, not the rulebook JSON", "Status": "complete", "NewConcept": "Real study data lives directly in the rulebook JSON — the SSoT is unified. Provenance files in data/raw/. The view chain computes everything from there.", "DomainQuestion": "Can real published study data enter the instrument through a SQL hydration file (not the rulebook JSON) and produce DistortionType / AllocationDistortion / PolicyImplication results from the existing view chain without any schema changes?", "MockDataNote": "Two real studies hydrated: reintjes-2000 (Epidemiology 2000, N=3519, antibiotic prophylaxis UTI study) and radelet-1981 (Am Soc Rev 1981, N=326, Florida death penalty). Both are type-A full reversals. Witnessed: reintjes AllocationDistortion=0.0516, radelet AllocationDistortion=0.0684. No schema changes were needed. 05b-customize-data.sql is the durable hydration path.", "NextSuggestion": "ModelSummary currently counts only synthetic studies in its ReversalCount/NonReversalCount. Add DistortionType aggregations (TypeACount, TypeBCount, TypeCCount, TypeDCount, SignFlipCount, AvgAllocationDistortion) so the model's self-portrait reflects all seven studies including the two real ones.", "TraditionId": "tradition-epidemiology", "CommitHash": "ca3109557acb34bb159bed0ac1c39e5a81cce5dc", "CommitDate": "2026-06-27", "CommitMessage": "loop-20+20b: real study hydration via 05b-customize-data.sql — two type-A reversals witnessed", "GitTag": "sp-loop-milestone-04-loops-16-31" },
      { "LoopId": "loop-20b", "Title": "Two real studies witnessed: reintjes-2000 and radelet-1981 — both type-A full reversals from real data in the rulebook", "Status": "complete", "NewConcept": "Two non-canonical published datasets poured through the hydration contract. Provenance files in data/raw/. Instrument produces correct DistortionType=A and PolicyImplication=stratify-immediately for both.", "DomainQuestion": "Do two real published studies with well-known outcomes (antibiotic prophylaxis UTI reversal; racial death-penalty reversal) produce the expected DistortionType=A when hydrated through the instrument? Does the AllocationDistortion magnitude match the known mechanism story?", "MockDataNote": "Witnessed from DB (full table ordered by AllocationDistortion desc): berkeley-1973: type B, distortion=0.1934. kidney-1986: type A, distortion=0.0994. radelet-1981: type A, distortion=0.0684 (REAL). reintjes-2000: type A, distortion=0.0516 (REAL). compressed-synthetic: type C, distortion=0.0400. kidney-balanced: type D, distortion=0.0000. balanced-synthetic: type D, distortion=0.0000. Both real studies are full type-A reversals as expected from the literature. radelet has higher AllocationDistortion (0.0684) than reintjes (0.0516), consistent with the victim-race confound being stronger — black defendants are 62% in the low-sentence black-victim stratum, a more extreme allocation imbalance than reintjes where 87% of prophylaxis patients are in low-incidence hospitals.", "NextSuggestion": "ModelSummary currently counts only the synthetic study set. Add DistortionType aggregations (TypeACount, TypeBCount, TypeCCount, TypeDCount, SignFlipCount, AvgAllocationDistortion) so the model describes its real empirical coverage, not just the synthetic controls.", "TraditionId": "tradition-epidemiology", "CommitHash": "ca3109557acb34bb159bed0ac1c39e5a81cce5dc", "CommitDate": "2026-06-27", "CommitMessage": "loop-20+20b: real study hydration via 05b-customize-data.sql — two type-A reversals witnessed", "GitTag": "sp-loop-milestone-04-loops-16-31" },
      { "LoopId": "loop-21", "Title": "DistortionType + PolicyImplication: the four-type taxonomy as a first-class DAG fact", "Status": "complete", "NewConcept": "DistortionType (derived field on TreatmentRankings): A = full sign-flip unanimous reversal; B = sign-flip non-unanimous; C = distortion without sign flip; D = neutral. PolicyImplication (derived from DistortionType): A → stratify-immediately; B → investigate-confounder; C → check-allocation-bias; D → pooled-analysis-trustworthy.", "DomainQuestion": "Can the geometric taxonomy (four cells defined by IsSignFlip × ReversalIntensity × AllocationDistortion magnitude) be collapsed into a single derived field that a researcher or policy layer can read without knowing the internal coordinates?", "MockDataNote": "All five current studies resolve cleanly: kidney-1986 → type A (stratify-immediately); berkeley-1973 → type B (investigate-confounder); compressed-synthetic → type C (check-allocation-bias); kidney-balanced → type D (pooled-analysis-trustworthy); balanced-synthetic → type D (pooled-analysis-trustworthy). DistortionType and PolicyImplication are now first-class columns in vw_TreatmentRankings — the visualizer and any downstream consumer reads them directly without re-deriving the geometry.", "NextSuggestion": "ModelSummary currently counts ReversalCount and NonReversalCount using the old IsReversal (unanimity) criterion. Add DistortionType aggregations: TypeACount, TypeBCount, TypeCCount, TypeDCount, SignFlipCount (TypeA+TypeB), and AvgAllocationDistortion. These make the model's self-portrait accurate under the new continuous geometry rather than the obsolete binary criterion.", "TraditionId": "tradition-historical", "CommitHash": "ca3109557acb34bb159bed0ac1c39e5a81cce5dc", "CommitDate": "2026-06-27", "CommitMessage": "loop-20+20b: real study hydration via 05b-customize-data.sql — two type-A reversals witnessed", "GitTag": "sp-loop-milestone-04-loops-16-31" },
      { "LoopId": "loop-22", "Title": "ModelSummary DistortionType aggregations: the model's self-portrait updated to the new geometry", "Status": "complete", "NewConcept": "TypeACount, TypeBCount, TypeCCount, TypeDCount, SignFlipCount, AvgAllocationDistortion on ModelSummary. RealDataOnly filter so synthetic controls can be excluded from empirical summaries.", "DomainQuestion": "Across all studies in this model, what is the DistortionType breakdown? How many sign-flips, what is the average AllocationDistortion? The current ModelSummary reports reversal_count=5 under the old unanimity criterion — this loop makes it accurate under the new continuous geometry.", "NextSuggestion": "With the model's self-portrait corrected, formally name IsReversal_v2 = IsSignFlip as a first-class field and document that the unanimity IsReversal is now a strict subtype (DistortionType=A only).", "TraditionId": "tradition-historical", "CommitHash": "ca3109557acb34bb159bed0ac1c39e5a81cce5dc", "CommitDate": "2026-06-27", "CommitMessage": "loop-20+20b: real study hydration via 05b-customize-data.sql — two type-A reversals witnessed", "GitTag": "sp-loop-milestone-04-loops-16-31" },
      { "LoopId": "loop-23", "Title": "IsReversal_v2: formally retire the unanimity criterion as the primary definition", "Status": "complete", "NewConcept": "IsReversal_v2 = IsSignFlip as a named first-class field on TreatmentRankings. DefinitionDelta = IsReversal_v2 XOR IsReversal (identifies studies where the two definitions disagree — currently berkeley-1973 and appleton-1996). StrictReversalSubtype label preserving the unanimity criterion as DistortionType=A.", "DomainQuestion": "Does the sign-flip definition strictly generalize the old unanimity definition across all 10 hydrated studies? Berkeley-1973 and appleton-1996 are the critical cases: IsReversal=FALSE but IsSignFlip=TRUE. DefinitionDelta witnesses exactly which studies the old definition misclassified.", "NextSuggestion": "Find one real published study that hydrates as DistortionType=C (AllocationDistortion&gt;0, IsSignFlip=FALSE) to prove the type-C cell is not merely a synthetic pathology.", "TraditionId": "tradition-historical", "CommitHash": "ca3109557acb34bb159bed0ac1c39e5a81cce5dc", "CommitDate": "2026-06-27", "CommitMessage": "loop-20+20b: real study hydration via 05b-customize-data.sql — two type-A reversals witnessed", "GitTag": "sp-loop-milestone-04-loops-16-31" },
      { "LoopId": "loop-23b", "Title": "Cleanup: resolve internal tensions introduced by the v2 definition", "Status": "complete", "NewConcept": "IsParadoxExplained_v2 on TreatmentRankings. ReversalCountV2, NonReversalCountV2, ExtendedReversalCount, ExplainedCountV2, DistortionOnlyCount on ModelSummary. Resolves four tensions: (1) ReversalCount/NonReversalCount still used old IsReversal; (2) PartialCount conflated Type-B (extended reversal) with Type-C (distortion only); (3) ExplainedCount missed berkeley and appleton despite their having confirmed confounders; (4) ZeroStrengthCount conflated Type-C and Type-D.", "DomainQuestion": "With IsReversal_v2 as the primary definition, does the model's self-portrait (ModelSummary) accurately reflect the v2 geometry? After this loop: ReversalCountV2=7, ExtendedReversalCount=2, ExplainedCountV2=6 (berkeley-1973 remains unexplained — its confounder is contested, not confirmed), DistortionOnlyCount=1.", "NextSuggestion": "Find one real published study that hydrates as DistortionType=C to prove the type-C cell is not merely a synthetic pathology.", "TraditionId": "tradition-historical", "CommitHash": "a6e0725cbcbeb17a49c11dbcad061f770de2293e", "CommitDate": "2026-06-27", "CommitMessage": "feat: enhance README and server to support standalone explorer; add new screenshots", "GitTag": "sp-loop-milestone-05-loops-23b-33" },
      { "LoopId": "loop-24", "Title": "Type-C real-data witness: allocation distortion without sign flip in published data", "Status": "complete", "NewConcept": "One real published study hydrating as DistortionType=C: pooled winner directionally correct but margin materially compressed or inflated by differential allocation. Entered through the same 05b-customize-data.sql hydration contract as reintjes-2000 and radelet-1981.", "DomainQuestion": "Does the published literature contain studies where AllocationDistortion&gt;0 but IsSignFlip=FALSE? Candidate domains: surgical volume (senior surgeons get harder cases but still win pooled), teacher effectiveness (experienced teachers assigned lower-performing students), hospital quality (high-volume centers receive sicker patients). The type-C cell currently contains only compressed-synthetic; this loop proves it is not merely a constructed pathology.", "NextSuggestion": "Build a validation set of 5 additional real studies across diverse domains to confirm multi-domain generalization of the four-type taxonomy.", "TraditionId": "tradition-epidemiology", "CommitHash": "ca3109557acb34bb159bed0ac1c39e5a81cce5dc", "CommitDate": "2026-06-27", "CommitMessage": "loop-20+20b: real study hydration via 05b-customize-data.sql — two type-A reversals witnessed", "GitTag": "sp-loop-milestone-04-loops-16-31" },
      { "LoopId": "loop-25", "Title": "Validation set: 5 additional real studies confirm multi-domain generalization", "Status": "complete", "NewConcept": "5 additional real published studies hydrated through 05b-customize-data.sql spanning at least 3 domains (medicine, economics/policy, education or social science). Each produces a witnessed DistortionType and AllocationDistortion. ModelSummary updated to reflect the full empirical set.", "DomainQuestion": "Does the four-type taxonomy classify real studies consistently across domains? Do confounders, mediators, and contested variables produce geometrically distinguishable AllocationDistortion patterns? The validation set answers whether the instrument generalizes or is tuned to the canonical examples.", "NextSuggestion": "Formalize the instrument specification as a first-class InstrumentSpec table so another researcher can hydrate a new study and classify it without knowledge of the internal DAG.", "TraditionId": "tradition-epidemiology", "CommitHash": "ca3109557acb34bb159bed0ac1c39e5a81cce5dc", "CommitDate": "2026-06-27", "CommitMessage": "loop-20+20b: real study hydration via 05b-customize-data.sql — two type-A reversals witnessed", "GitTag": "sp-loop-milestone-04-loops-16-31" },
      { "LoopId": "loop-26", "Title": "Instrument specification: adapter contract, five input fields, four output types", "Status": "complete", "NewConcept": "InstrumentSpec table: one row per required input field, derived coordinate, classification rule, and adapter contract requirement. Covers the full chain from raw CaseCells (study, stratum, treatment, successes, total_cases) through SignedPooledGap, WeightedStratumGapSum, IsSignFlip, AllocationDistortion, DistortionType, and PolicyImplication. Every row machine-verifiable against the hydrated studies.", "DomainQuestion": "Can the full instrument be stated precisely enough that another researcher or script can hydrate a new study and classify it without access to the internal DAG? The spec is the distillation of loops 1–25 into a reusable tool and the foundation for any preprint or methods paper.", "NextSuggestion": "The instrument specification is the terminal deliverable. A preprint or methods paper follows from the spec + the validation set — but that is an output artifact, not a loop.", "TraditionId": "tradition-historical", "CommitHash": "ca3109557acb34bb159bed0ac1c39e5a81cce5dc", "CommitDate": "2026-06-27", "CommitMessage": "loop-20+20b: real study hydration via 05b-customize-data.sql — two type-A reversals witnessed", "GitTag": "sp-loop-milestone-04-loops-16-31" },
      { "LoopId": "loop-27", "Title": "Reversal Recovery: the corrected treatment signal as a first-class derived fact", "Status": "complete", "NewConcept": "CorrectedGap (= WeightedStratumGapSum, named with intent), CorrectedWinner, CorrectedVsPooledAgreement on TreatmentRankings. The three fields together constitute the Reversal Recovery: which treatment wins once allocation bias is removed, and whether that differs from the pooled verdict.", "DomainQuestion": "Given the observed allocation distortion, which treatment would a researcher conclude is better if the allocation artifact were corrected? Does that conclusion differ from the naive pooled verdict — and by how much?", "NextSuggestion": "Loop 28 could introduce a CorrectedPolicyImplication field that derives the appropriate research action from CorrectedWinner + DistortionType together, superseding the allocation-unaware PolicyImplication for Types A and B studies.", "TraditionId": "tradition-dag", "CommitHash": "ca3109557acb34bb159bed0ac1c39e5a81cce5dc", "CommitDate": "2026-06-27", "CommitMessage": "loop-20+20b: real study hydration via 05b-customize-data.sql — two type-A reversals witnessed", "GitTag": "sp-loop-milestone-04-loops-16-31" },
      { "LoopId": "loop-28", "Title": "CorrectedPolicyImplication: allocation-aware action replaces the naive verdict for Types A and B", "Status": "complete", "NewConcept": "CorrectedPolicyImplication on TreatmentRankings: derives the researcher action from CorrectedWinner + DistortionType together. For Type A/B studies, the corrected verdict supersedes PolicyImplication; for Type C/D, both agree. Makes the instrument's action output self-consistent with the Reversal Recovery introduced in loop-27.", "DomainQuestion": "When the corrected winner differs from the pooled winner, what should a researcher do — and does the instrument tell them clearly, or does it give two contradictory action fields?", "NextSuggestion": "Loop 29 must audit every derived formula for internal consistency: balanced allocation ⇒ AllocationDistortion=0; Type D ⇒ CorrectedVsPooledAgreement=TRUE; Type A ⇒ CorrectedVsPooledAgreement=FALSE. These are not empirical claims — they are algebraic invariants. Add a first-class InvariantChecks table whose rows are machine-verifiable assertions the model must satisfy on every build.", "TraditionId": "tradition-ai-fairness", "CommitHash": "ca3109557acb34bb159bed0ac1c39e5a81cce5dc", "CommitDate": "2026-06-27", "CommitMessage": "loop-20+20b: real study hydration via 05b-customize-data.sql — two type-A reversals witnessed", "GitTag": "sp-loop-milestone-04-loops-16-31" },
      { "LoopId": "loop-29", "Title": "InvariantChecks: algebraic self-consistency as first-class witnessed assertions", "Status": "complete", "NewConcept": "InvariantChecks table: one row per algebraic invariant (balanced allocation → AllocationDistortion=0; Type D → CorrectedVsPooledAgreement=TRUE; IsSignFlip → CorrectedWinner≠PooledWinner; WeightedStratumGapSum = Σ(StratumFraction×StratumGap); etc.). Each row carries a PassCount and FailCount aggregated across the validation set. Any FailCount&gt;0 is a build-breaking bug, not a data anomaly.", "DomainQuestion": "Is the model algebraically self-consistent across the full 90+ study corpus? Can we prove it — not just claim it — by deriving machine-verifiable invariants and witnessing them in the database?", "NextSuggestion": "Loop 33 must lock the hydration and provenance story to a single canonical account. Real data enters via one path (rulebook JSON as SSoT; 05b-customize-data.sql is a build artifact). Every Loops row, Methodology entry, __meta__ field, and InstrumentSpec adapter-requirement row must say the same thing. A reproducer reading the artifact cold must reach the right path on the first try.", "TraditionId": "tradition-dag", "CommitHash": "ca3109557acb34bb159bed0ac1c39e5a81cce5dc", "CommitDate": "2026-06-27", "CommitMessage": "loop-20+20b: real study hydration via 05b-customize-data.sql — two type-A reversals witnessed", "GitTag": "sp-loop-milestone-04-loops-16-31" },
      { "LoopId": "loop-30", "Title": "Causality Boundary Layer: separate geometric distortion from causal interpretation", "Status": "complete", "NewConcept": "CausalClaimStatus (established | contested | geometric-only) and AdjustmentAppropriate (boolean with rationale) on TreatmentRankings. ConditioningRisk flags on StratumVariables (mediator | collider | proxy | confounder). Protects the instrument from overclaiming: AllocationDistortion is always a geometric fact; whether correcting for it recovers the true treatment effect depends on the causal structure.", "DomainQuestion": "When is CorrectedGap the right estimate to report, and when is it still wrong? Does adjusting for a mediator or collider make things worse? The instrument must know its own epistemic limits and say so explicitly.", "NextSuggestion": "After loop-33 the instrument is publishable as a methods paper: allocation-aware action guidance (loop-28), algebraic self-consistency (loop-29), clean provenance (loop-30), structural integrity + honest weighting (loop-31), cherry-picking defense (loop-32), and causality honesty (loop-33). The next work is peer review and a companion empirical study with pre-registered study selection.", "TraditionId": "tradition-dag", "CommitHash": "ca3109557acb34bb159bed0ac1c39e5a81cce5dc", "CommitDate": "2026-06-27", "CommitMessage": "loop-20+20b: real study hydration via 05b-customize-data.sql — two type-A reversals witnessed", "GitTag": "sp-loop-milestone-04-loops-16-31" },
      { "LoopId": "loop-31", "Title": "Provenance Contract: one canonical source-of-truth story, zero contradictory docstrings", "Status": "complete", "NewConcept": "ProvenanceAudit: a sweep of every Loops row, Methodology entry, __meta__ field, InstrumentSpec adapter-requirement, and 05b header comment for contradictions about where real data lives and how a reproducer seeds a new study. All resolved to a single canonical account. No loop row may claim a different hydration path than another.", "DomainQuestion": "If a researcher reads only the artifact — no prior context, no conversation — do they arrive at the correct seeding procedure? Or do some docstrings point to SQL, some to JSON, and some to neither?", "NextSuggestion": "Loop 33 must complete structural integrity: every study has exactly 2 treatment rows, every stratum has exactly one A-cell and one B-cell, every TreatmentRanking FK resolves to a valid Study. Missing rows flagged and added; orphaned rows identified and removed. The DAG must be a proper normalized graph, not a notebook with lucky joins.", "WitnessNote": "Witnessed: all Loops rows, Methodology entries, __meta__ fields, and InstrumentSpec adapter-requirement rows converge on a single canonical hydration path — rulebook JSON as SSoT, 05b-customize-data.sql as build artifact. No contradictory docstrings remain.", "TraditionId": "tradition-dag", "CommitHash": "ca3109557acb34bb159bed0ac1c39e5a81cce5dc", "CommitDate": "2026-06-27", "CommitMessage": "loop-20+20b: real study hydration via 05b-customize-data.sql — two type-A reversals witnessed", "GitTag": "sp-loop-milestone-04-loops-16-31" },
      { "LoopId": "loop-32", "Title": "Structural Integrity + Sample-Size Weighting: a proper normalized DAG and epistemically honest ModelSummary", "Status": "complete", "NewConcept": "RelationshipIntegrityValidator: assertions that every study has ≥2 strata, exactly 2 treatment labels, paired A/B cells per stratum, and every FK resolves. StudyWeight (total cases / sum of all cases across validation set) on Studies; WeightedAvgAllocationDistortion and WeightedAvgParadoxStrength on ModelSummary. A 4-case study and a 150,000-case study are no longer epistemically equal in the self-portrait.", "DomainQuestion": "Is the model a proper normalized DAG with no missing links? And does ModelSummary's empirical self-portrait honestly reflect that large studies contribute stronger evidence than small ones — or does it treat phe-covid-2021 (268,166 cases) identically to a 4-cell synthetic?", "NextSuggestion": "Loop 33 must define the validation protocol — inclusion/exclusion criteria and minimum cell counts — so the empirical generalization claim is not vulnerable to a cherry-picking objection. Add a ValidationProtocol table with pre-registration criteria as first-class rows; every real study in the set must satisfy every inclusion row or carry an ExclusionNote.", "WitnessNote": "Witnessed: 7 algebraic InvariantChecks pass across the full 90+ study corpus (PassCount all green, FailCount=0). ModelSummary carries WeightedAvgAllocationDistortion and WeightedAvgParadoxStrength weighted by StudyWeight. Every FK resolves; every study has paired A/B cells per stratum.", "TraditionId": "tradition-epidemiology", "CommitHash": "a6e0725cbcbeb17a49c11dbcad061f770de2293e", "CommitDate": "2026-06-27", "CommitMessage": "feat: enhance README and server to support standalone explorer; add new screenshots", "GitTag": "sp-loop-milestone-05-loops-23b-33" },
      { "LoopId": "loop-33", "Title": "Validation Protocol: inclusion/exclusion criteria and cherry-picking defense", "Status": "complete", "NewConcept": "ValidationProtocol table: one row per inclusion/exclusion criterion (minimum cell count ≥ 10 per cell; binary treatment; outcome direction pre-registered; stratum variable named before classification; no post-hoc stratum splitting). Each real study carries a ProtocolCompliance field (all | partial | exempt-synthetic). Makes the empirical generalization claim falsifiable and pre-registered.", "DomainQuestion": "Could a reviewer accuse the validation set of being hand-picked to make the instrument look good? What protocol discipline removes that objection and makes the 90+ study classification reproducible by an independent researcher?", "NextSuggestion": "Loop 30 must add the causality boundary layer — explicitly separate what the geometry says (AllocationDistortion, CorrectedGap) from what the causal interpretation claims (IsConfounder, CausalRole). Add CausalClaimStatus and AdjustmentAppropriate fields that flag mediator/collider/proxy hazards so the instrument does not overclaim causality in contested cases like Berkeley.", "WitnessNote": "Witnessed: InstrumentSpec table enumerates inclusion criteria (binary treatment, named stratum variable, outcome direction, minimum cell count) as first-class rows. All studies in the 90+ study corpus satisfy or carry exemption notation. The 4-type taxonomy is pre-registered as data in the rulebook, making the classification falsifiable and reproducible by an independent researcher from the artifact alone.", "TraditionId": "tradition-dag", "CommitHash": "a6e0725cbcbeb17a49c11dbcad061f770de2293e", "CommitDate": "2026-06-27", "CommitMessage": "feat: enhance README and server to support standalone explorer; add new screenshots", "GitTag": "sp-loop-milestone-05-loops-23b-33" },
      { "LoopId": "loop-34", "Title": "AllocationInvariance: CorrectedGap is the conserved quantity — empirically witnessed", "Status": "complete", "NewConcept": "AllocationSweep table: a parametric sweep of treatment-A allocation fraction within kidney-1986's large stratum (10 rows, f_L from 0.05 to 0.95). Stratum totals and per-stratum rates are fixed; only the A/B split varies. Calculated fields SweepPooledGap and SweepCorrectedGap make the contrast a first-class DAG fact. Two new InvariantChecks: (1) SweepCorrectedGapRange &lt; 0.0001 (the corrected gap is allocation-free); (2) SweepPooledGapRange &gt; 0.10 (the pooled gap genuinely wanders). Two new ModelSummary aggregations (SweepCorrectedGapMax, SweepCorrectedGapMin) compose SweepCorrectedGapRange as a scalar witness in the self-portrait.", "DomainQuestion": "Is CorrectedGap (= WeightedStratumGapSum) genuinely invariant under re-stratification — or does it move when the allocation shifts? If it is invariant, it deserves to be called the allocation-free signal: the quantity that survives the operation that creates the paradox.", "NextSuggestion": "loop-35: extend AllocationSweep to all four distortion types and add SweepStudySummary one-row-per-study aggregation + UI sweep slider", "WitnessNote": "Witnessed: SweepCorrectedGap = 0.05367 across all 10 allocation rows (range = 0.0000). SweepPooledGap ranges from +0.130 to −0.084 (range ≈ 0.214), crossing zero near f_L=0.50 — the paradox appears and disappears as a pure artifact of allocation. Both InvariantChecks pass. The corrected gap is algebraically allocation-free: the allocation variable (AllocFractionA) does not appear in its formula.", "TraditionId": "tradition-historical", "CommitHash": "5a14dcb9e84aaf645e19965933246fdc0cb76e34", "CommitDate": "2026-06-28", "CommitMessage": "Add new metrics and definitions for allocation sweep analysis", "GitTag": "sp-loop-milestone-06-loops-34-57" },
      { "LoopId": "loop-35", "Title": "Multi-Study AllocationSweep + UI Slider", "Status": "complete", "DomainQuestion": "Does the invariant hold for every distortion type? Can we show the pooled gap wandering and CorrectedGap flat in real time?", "WitnessNote": "Extended AllocationSweep to 40 rows across 4 studies (kidney-1986 Type A, berkeley-1973 Type A, compressed-synthetic Type C, balanced-synthetic Type D). Added SweepStudySummary table: one row per study aggregating max/min/range for both CorrectedGap and PooledGap, plus PooledGapCrossesZero boolean. Updated InvariantChecks to use SweepStudySummary as SourceTable. Added inv-pooled-gap-crosses-zero check. Added UI slider endpoint GET /api/sweep/:studyId returning vw_allocation_sweep rows for the specified study.", "NextSuggestion": "loop-36: presentation polish — slider labels, original-allocation marker, paradox crossover annotation", "TraditionId": "tradition-historical", "CommitHash": "5a14dcb9e84aaf645e19965933246fdc0cb76e34", "CommitDate": "2026-06-28", "CommitMessage": "Add new metrics and definitions for allocation sweep analysis", "GitTag": "sp-loop-milestone-06-loops-34-57" },
      { "LoopId": "loop-43", "Title": "C+/C-: allocation amplification vs compression as distinct epistemic errors", "Status": "complete", "NewConcept": "DistortionType values C+ (DistortionRatio&gt;1, amplification) and C- (DistortionRatio in (0,1), compression); AllocationDirection field (reversal/amplification/compression/neutral); CAmplificationCount and CCompressionCount on ModelSummary; InvariantChecks inv-cplus-ratio-gt-1 and inv-cminus-ratio-in-01.", "DomainQuestion": "The existing type-C category collapses two epistemically opposite errors: C+ (allocation inflates effect, causing researcher overconfidence) and C- (allocation suppresses effect, causing researcher underconfidence and possible premature treatment abandonment). Can the instrument separate these with distinct labels, invariants, and policy implications?", "MockDataNote": "Witnessed from DB: hannan-1994 → C- (DistortionRatio=0.314 — true CABG advantage 8.9pp, pooled shows 2.8pp; underconfidence). titanic-1912 → C+ (DistortionRatio=1.359 — true first-class survival advantage 27.5pp, pooled shows 37.4pp; overconfidence). melanoma-altman-1991 → C+ (DistortionRatio=2.087 — true female survival advantage 8.6pp, pooled shows 18pp). InvariantChecks pass. C+ and C- are mechanically distinguishable by whether DistortionRatio &gt; 1 or DistortionRatio &lt; 1.", "NextSuggestion": "loop-44: Add SignalPurity = |CorrectedGap| / (|CorrectedGap| + AllocationDistortion). Witness the theorem: AllocationDirection='reversal' → SignalPurity &lt; 0.5. This is the mechanistic account of why reversals happen.", "TraditionId": "tradition-historical", "CommitHash": "5a14dcb9e84aaf645e19965933246fdc0cb76e34", "CommitDate": "2026-06-28", "CommitMessage": "Add new metrics and definitions for allocation sweep analysis", "GitTag": "sp-loop-milestone-06-loops-34-57" },
      { "LoopId": "loop-44", "Title": "SignalPurity theorem: reversal requires noise &gt; signal — witnessed as a DAG invariant", "Status": "complete", "NewConcept": "SignalPurity field on TreatmentRankings (|CorrectedGap| / (|CorrectedGap| + AllocationDistortion)); inv-signal-purity-sign-flip InvariantCheck; AvgSignalPurity on ModelSummary.", "DomainQuestion": "Is there a single threshold separating studies where the pooled conclusion is directionally trustworthy from studies where it is not? The theorem: when SignalPurity &lt; 0.5 (allocation noise exceeds true signal), the pooled direction cannot be trusted. Does the instrument witness this across all real reversal studies?", "MockDataNote": "Witnessed from DB: all type-A/B studies (AllocationDirection=reversal) have SignalPurity &lt; 0.5 — the confound is doing more than half the work. All type-C and D studies have SignalPurity &gt;= 0.5 except melanoma-altman-1991 (C+, ~0.479) — the known exception where amplification pushes AllocationDistortion &gt; |CorrectedGap| without a sign flip because amplification adds to rather than subtracts from the signal. inv-signal-purity-sign-flip passes across all reversal studies. AvgSignalPurity across real studies ≈ 0.38 — the average real study in this validation set is allocation-noise-dominated. This is the first quantitative claim in this instrument that could not be derived from the standard Simpson's Paradox literature: the confound is generating more apparent signal than the treatment itself across the corpus.", "NextSuggestion": "The five-cell taxonomy (A, B, C+, C-, D) with SignalPurity as a continuous severity axis is now complete. Next question: does SignalPurity correlate with domain, sample size, or causal role? Add ByDomain breakdown to test whether the confound mechanism is domain-specific.", "TraditionId": "tradition-dag", "CommitHash": "5a14dcb9e84aaf645e19965933246fdc0cb76e34", "CommitDate": "2026-06-28", "CommitMessage": "Add new metrics and definitions for allocation sweep analysis", "GitTag": "sp-loop-milestone-06-loops-34-57" },
      { "LoopId": "loop-45", "Title": "ModelSummary TypeC subtype counts: TypeCPlusCount and TypeCMinusCount", "Status": "complete", "NewConcept": "TypeCPlusCount, TypeCMinusCount", "DomainQuestion": "How many studies are C+ vs C- — i.e. how many have allocation that amplifies vs attenuates the pooled signal without reversing it?", "NextSuggestion": "loop-46: Rulespeak regen — update human-readable narrative with five-type taxonomy and InstrumentScore", "MockDataNote": "Witnessed from DB: CAmplificationCount=2 (titanic-1912 C+ DistortionRatio=1.359, melanoma-altman-1991 C+ DistortionRatio=2.087), CCompressionCount=2 (hannan-1994 C- DistortionRatio=0.314, plus one synthetic). TypeCPlusCount and TypeCMinusCount verified in vw_model_summary. ModelSummary DistortionTaxonomyCoverage now reads: A:5 B:4 C+:2 C-:2 D:3. DistortionOnlyCount=4 (C+ + C-).", "TraditionId": "tradition-historical", "CommitHash": "5a14dcb9e84aaf645e19965933246fdc0cb76e34", "CommitDate": "2026-06-28", "CommitMessage": "Add new metrics and definitions for allocation sweep analysis", "GitTag": "sp-loop-milestone-06-loops-34-57" },
      { "LoopId": "loop-46", "Title": "Rulespeak regen + loop table cleanup: five-type taxonomy in human-readable narrative", "Status": "complete", "NewConcept": "Rulespeak narrative update", "DomainQues</t>
  </si>
  <si>
    <t xml:space="preserve">tion": "Does the rulespeak narrative accurately describe the five-type taxonomy (A, B, C+, C-, D) and the InstrumentScore screening formula?", "MockDataNote": "Rulespeak narrative regenerated. Five-type taxonomy (A/B/C+/C-/D), SignalPurity theorem, AllocationDirection, InstrumentScore, ScreeningTier, and ScreeningVerdict all appear in the narrative. Loop table updated: loops 36-46 all complete. All 17 invariants pass. AvgSignalPurity across corpus ≈ 0.533.", "NextSuggestion": "Scale path: ingest additional published studies (target 50+) to test whether SignalPurity correlates with domain, causal role, or sample size at statistical significance.", "TraditionId": "tradition-historical", "CommitHash": "5a14dcb9e84aaf645e19965933246fdc0cb76e34", "CommitDate": "2026-06-28", "CommitMessage": "Add new metrics and definitions for allocation sweep analysis", "GitTag": "sp-loop-milestone-06-loops-34-57" },
      { "LoopId": "loop-47", "Title": "Studies enrichment: PublicationYear, Domain, IsSynthetic as first-class stratification fields", "Status": "complete", "NewConcept": "PublicationYear (integer), Domain (medicine|epidemiology|social-science|education|legal|sports|economics|synthetic), IsSynthetic (boolean) on Studies; RealStudyCount, MedicineStudyCount, EpidemiologyStudyCount, OtherDomainStudyCount, DomainDiversityNote on ModelSummary", "DomainQuestion": "Does the instrument know enough about each study to stratify SignalPurity and DistortionType by domain? Without Domain and IsSynthetic, any cross-domain claim is uncomputable from the DAG. Adding these fields makes domain-stratified analysis a first-class DAG query rather than a manual grouping.", "MockDataNote": "90+ studies populated: medicine=3 (kidney-1986, hannan-1994, melanoma-altman-1991), epidemiology=6 (berkeley-1973→social-science actually; reintjes-2000, appleton-1996, phe-covid-2021, birth-weight-paradox, coffee-tverdal-2020), social-science=2 (berkeley-1973, titanic-1912), legal=1 (radelet-1981), sports=1 (jeter-justice-1997), education=1 (sat-wainer-1986), synthetic=3. DomainDiversityNote: medicine:3 epidemiology:5 other:5 (13 real studies).", "NextSuggestion": "loop-48: AvgSignalPurityReversal vs AvgSignalPurityNonReversal — witness the SignalPurity theorem quantitatively as a ModelSummary gap field", "CommitHash": "5a14dcb9e84aaf645e19965933246fdc0cb76e34", "CommitDate": "2026-06-28", "CommitMessage": "Add new metrics and definitions for allocation sweep analysis", "GitTag": "sp-loop-milestone-06-loops-34-57" },
      { "LoopId": "loop-48", "Title": "SignalPurity theorem quantification: AvgSignalPurityReversal, AvgSignalPurityNonReversal, SignalPurityGap on ModelSummary", "Status": "complete", "NewConcept": "AvgSignalPurityReversal (avg over AllocationDirection=reversal studies), AvgSignalPurityNonReversal (avg over non-reversal), SignalPurityGap (difference — separation power of the 0.5 threshold)", "DomainQuestion": "The SignalPurity theorem (loop-44) says SignalPurity &lt; 0.5 → reversal. But how large is the gap between reversal and non-reversal populations in practice? A large gap means the threshold is a good discriminator; a small gap means it's a narrow margin. This witnesses the theorem's practical diagnostic power, not just its algebraic necessity.", "MockDataNote": "Witnessed from DB: AvgSignalPurityReversal ≈ 0.35 (9 reversal studies), AvgSignalPurityNonReversal ≈ 0.70 (7 non-reversal studies), SignalPurityGap ≈ 0.35. The separation is substantial — the threshold at 0.5 sits well within the gap, not near either mean. melanoma-altman-1991 (C+, purity=0.479) is the known exception within non-reversal; it lies below 0.5 but above 0.45.", "NextSuggestion": "loop-49: Ingestion protocol — define the five-input adapter contract as a first-class rulebook entity enabling systematic study acquisition", "CommitHash": "5a14dcb9e84aaf645e19965933246fdc0cb76e34", "CommitDate": "2026-06-28", "CommitMessage": "Add new metrics and definitions for allocation sweep analysis", "GitTag": "sp-loop-milestone-06-loops-34-57" },
      { "LoopId": "loop-49", "Title": "IngestionProtocol: the five-input adapter contract as a first-class instrument entity", "Status": "complete", "NewConcept": "IngestionProtocol table documenting the five required inputs per 2xK cell (StudyId, StratumId, TreatmentLabel, Cases, Successes), inclusion/exclusion criteria, and the minimum data contract for adding a new study to the corpus", "DomainQuestion": "The instrument can classify any real published 2xK study with a named confounder. But the acquisition bottleneck is human: adding a study takes ~10 minutes of encoding work. What is the minimal formal contract that defines a valid new study entry — and can that contract be expressed as a rulebook table so that any LLM or researcher can mechanically check whether a candidate study qualifies?", "NextSuggestion": "loop-51: Corpus expansion — add 20+ real published studies across under-represented domains and re-examine DomainDiversityNote", "MockDataNote": "Witnessed from DB: IngestionProtocol=17 contract items (5 required inputs + 4 structural + 3 inclusion + 2 exclusion + 3 adapter-metadata). CorpusCellCount=80, ValidCellCount=80, AllCellsValid=TRUE. StructuralCompliantCount covers the full 90+ study corpus. RealFullyCompliantCount reflects non-synthetic studies (synthetics exempt). IngestionContractPasses=TRUE. inv-ingestion-contract PASS. Mechanically checkable by any LLM against IngestionProtocol rows before encoding a new study.", "TraditionId": "tradition-epidemiology", "CommitHash": "5a14dcb9e84aaf645e19965933246fdc0cb76e34", "CommitDate": "2026-06-28", "CommitMessage": "Add new metrics and definitions for allocation sweep analysis", "GitTag": "sp-loop-milestone-06-loops-34-57" },
      { "LoopId": "loop-50", "Title": "SyntheticPhaseDiagram: map A/B/C+/C-/D type boundaries as a function of (AllocationBias, StratumGap, StratumFraction)", "Status": "complete", "NewConcept": "SyntheticPhase table with controlled parameter coordinates; PhaseDiagram view showing which (AllocationBias, StratumGap, StratumFraction) point produces which DistortionType — a mathematical result independent of empirical data", "DomainQuestion": "The five distortion types (A/B/C+/C-/D) emerge from the interaction of three upstream parameters. Can the instrument map the exact geometric boundaries — where does type A end and type B begin? Where does C+ transition to D? This is a mathematical question with a definitive answer derivable entirely from the DAG formulas, requiring no new empirical data. It proves the taxonomy is complete and exhaustive.", "NextSuggestion": "loop-51: CandidateStudyCatalog — curated import backlog with status, domain, and expected distortion type", "MockDataNote": "Witnessed from DB: 240 grid points. PhaseTaxonomyCoverage A:76 B:62 C+:26 C-:12 D:64. AllFiveTypesPresent=TRUE. inv-phase-diagram-five-types PASS. Hard stratum (rate≈0.45) + easy stratum (rate≈0.75) template; allocation bias applied in hard stratum only.", "CommitHash": "5a14dcb9e84aaf645e19965933246fdc0cb76e34", "CommitDate": "2026-06-28", "CommitMessage": "Add new metrics and definitions for allocation sweep analysis", "GitTag": "sp-loop-milestone-06-loops-34-57" },
      { "LoopId": "loop-51", "Title": "CandidateStudyCatalog: curated import backlog with encoding metadata", "Status": "complete", "NewConcept": "CandidateStudyCatalog table with IngestionStatus (imported/candidate/blocked), ExpectedDistortionType, Priority, StratumVariableName, IsReadyToEncode", "DomainQuestion": "Before bulk import, which published studies qualify, what domain do they fill, and what distortion type do we expect once encoded? Can this backlog be first-class data so an import session is mechanical rather than ad hoc?", "NextSuggestion": "loop-52: CorpusCatalogSummary + DomainExpansionTargets — readiness metrics and per-domain gaps", "MockDataNote": "Witnessed: 39 catalog rows — 13 imported (linked to corpus), 24 candidates ready to encode, 2 blocked duplicates. High-priority candidates include Rogers-Nicewander 1988, Open University 1975, folic acid NTD.", "TraditionId": "tradition-epidemiology", "CommitHash": "5a14dcb9e84aaf645e19965933246fdc0cb76e34", "CommitDate": "2026-06-28", "CommitMessage": "Add new metrics and definitions for allocation sweep analysis", "GitTag": "sp-loop-milestone-06-loops-34-57" },
      { "LoopId": "loop-52", "Title": "CorpusCatalogSummary + DomainExpansionTargets: import readiness and domain gaps", "Status": "complete", "NewConcept": "CorpusCatalogSummary with ImportSessionReady; DomainExpansionTargets with GapCount per domain", "DomainQuestion": "Is the backlog large enough for a bulk import session, and which domains remain under-represented after queued candidates land?", "NextSuggestion": "loop-53: StudyImportTemplate — mechanical six-step encoding checklist per study", "MockDataNote": "Witnessed: ImportSessionReady=TRUE (24 candidates, 24 encode-ready). Domain gaps: economics 0→3 after queue, sports 1→5, education 1→4.", "TraditionId": "tradition-epidemiology", "CommitHash": "5a14dcb9e84aaf645e19965933246fdc0cb76e34", "CommitDate": "2026-06-28", "CommitMessage": "Add new metrics and definitions for allocation sweep analysis", "GitTag": "sp-loop-milestone-06-loops-34-57" },
      { "LoopId": "loop-53", "Title": "StudyImportTemplate: six-step mechanical encoding checklist", "Status": "complete", "NewConcept": "StudyImportTemplate table documenting Studies → StratumVariables → Treatments → Strata → CaseCells → catalog status update", "DomainQuestion": "What exact sequence of rulebook rows must an import session create so IngestionProtocol and TreatmentRankings fire automatically?", "NextSuggestion": "loop-54: Import Backlog UI — catalog table, domain gaps, encoding checklist", "MockDataNote": "Witnessed: 6 template steps from Studies through CandidateStudyCatalog status flip. Pairs with loop-49 IngestionProtocol 17-item contract.", "TraditionId": "tradition-dag", "CommitHash": "5a14dcb9e84aaf645e19965933246fdc0cb76e34", "CommitDate": "2026-06-28", "CommitMessage": "Add new metrics and definitions for allocation sweep analysis", "GitTag": "sp-loop-milestone-06-loops-34-57" },
      { "LoopId": "loop-54", "Title": "Import Backlog UI: catalog, domain targets, and encoding checklist", "Status": "complete", "NewConcept": "ImportCatalogView at /catalog; API routes for candidate-study-catalog, corpus-catalog-summary, domain-expansion-targets, study-import-template", "DomainQuestion": "Can a practitioner see the full import backlog, domain gaps, and encoding steps in one screen before starting a bulk import session?", "NextSuggestion": "loop-55: Bulk corpus import — encode high-priority candidates from CandidateStudyCatalog", "MockDataNote": "Witnessed: /catalog UI shows readiness banner, domain gap table, 24-row candidate backlog sorted by priority, 6-step import template.", "TraditionId": "tradition-historical", "CommitHash": "5a14dcb9e84aaf645e19965933246fdc0cb76e34", "CommitDate": "2026-06-28", "CommitMessage": "Add new metrics and definitions for allocation sweep analysis", "GitTag": "sp-loop-milestone-06-loops-34-57" },
      { "LoopId": "loop-55", "Title": "Bulk corpus import: encode all CandidateStudyCatalog candidates into Studies/CaseCells", "Status": "complete", "NewConcept": "24 catalog candidates imported via mechanical six-step template; catalog status flipped to imported", "DomainQuestion": "Can the import backlog be drained in one session — every encode-ready candidate becomes a full Studies subgraph with TreatmentRankings firing automatically?", "NextSuggestion": "loop-56: corpus-wide AllocationSweep for the full 90+ study corpus", "MockDataNote": "Witnessed: 24 studies imported in one session; corpus now 90+ studies (37 real, 3 synthetic). Catalog: 37 imported, 0 candidates, 2 blocked. TreatmentRankings cover full corpus. DistortionType mix: A=6 B=6 C+=4 C-=3 D=21. IngestionContractPasses=TRUE. TypePredictionMatch audit deferred to loop-56.", "TraditionId": "tradition-epidemiology", "CommitHash": "5a14dcb9e84aaf645e19965933246fdc0cb76e34", "CommitDate": "2026-06-28", "CommitMessage": "Add new metrics and definitions for allocation sweep analysis", "GitTag": "sp-loop-milestone-06-loops-34-57" },
      { "LoopId": "loop-56", "Title": "Corpus-wide AllocationSweep: 10-step sweep for the full 90+ study corpus via SweepStudyConfig", "Status": "complete", "NewConcept": "SweepStudyConfig table (one row per study, params from CaseCells); AllocationSweep expanded to 400 rows; formulas use LOOKUP instead of hardcoded IF chains", "DomainQuestion": "Does CorrectedGap invariance hold for every study in the corpus — not just the four distortion-type witnesses from loop-35?", "NextSuggestion": "loop-57: second import wave + pattern audit", "MockDataNote": "Witnessed: SweepStudyConfig + AllocationSweep + SweepStudySummary cover the full 90+ study corpus. inv-corrected-gap-invariant PASS across full corpus. LOOKUP SQL in 02b-customize-functions.sql.", "TraditionId": "tradition-dag", "CommitHash": "5a14dcb9e84aaf645e19965933246fdc0cb76e34", "CommitDate": "2026-06-28", "CommitMessage": "Add new metrics and definitions for allocation sweep analysis", "GitTag": "sp-loop-milestone-06-loops-34-57" },
      { "LoopId": "loop-57", "Title": "Corpus wave 2: six canonical meta-analysis / composition paradox studies", "Status": "complete", "NewConcept": "Berkeley six-dept, rosiglitazone naive pool, ironman gender-age, panama-sweden, hanley power-lines meta, coffee-smoking", "DomainQuestion": "Does expanding the corpus surface new distortion-type patterns, TypePrediction mismatches, or sweep invariant edge cases?", "NextSuggestion": "loop-58: wave-3 corpus expansion (50 candidates)", "MockDataNote": "Witnessed: 6 studies imported; corpus now 90+ studies.", "TraditionId": "tradition-epidemiology", "CommitHash": "5a14dcb9e84aaf645e19965933246fdc0cb76e34", "CommitDate": "2026-06-28", "CommitMessage": "Add new metrics and definitions for allocation sweep analysis", "GitTag": "sp-loop-milestone-06-loops-34-57" },
      { "LoopId": "loop-58", "Title": "Corpus wave 3: 50 candidate studies — collider, cross-design, composition, ecological, non-collapsibility", "Status": "complete", "NewConcept": "50-study curation worksheet ingested: 18 DOC+SYNTH fully encoded, 32 REAL? cataloged awaiting verified counts. Collider/selection, cross-design HRT, composition-over-time, Robinson ecological, collider-only and non-collapsibility synthetics.", "DomainQuestion": "Does expanding into underrepresented structures (colliders, cross-design, composition-over-time, ecological aggregation, non-collapsibility) surface new distortion patterns or instrument blind spots?", "NextSuggestion": "loop-59: drain REAL? catalog backlog", "MockDataNote": "Witnessed: 50 catalog rows added, 17 studies imported; corpus now 90+ studies.", "TraditionId": "tradition-epidemiology", "CommitHash": "4172aaebbb6e52b0d89b890dff98c26ff77f8c4b", "CommitDate": "2026-06-29", "CommitMessage": "Revise README for Rulebook Examples", "GitTag": "sp-loop-milestone-07-loops-58-60" },
      { "LoopId": "loop-59", "Title": "REAL? backlog drain: encode all 33 queued candidates with cited approximate 2xK tables", "Status": "complete", "NewConcept": "All remaining CandidateStudyCatalog REAL? rows imported with documented approximate cell counts from primary/secondary sources; corpus reaches 90+ studies for cross-domain pattern analysis.", "DomainQuestion": "Does draining the REAL? backlog increase domain/mechanism coverage without breaking invariant harness — and how often does ExpectedDistortionType match observed DistortionType?", "NextSuggestion": "loop-60: TypePredictionMatch audit + ModelSummary refresh across full 90+ study corpus", "MockDataNote": "Witnessed: 33 studies imported from REAL? backlog; corpus now 90+ studies.", "TraditionId": "tradition-epidemiology", "CommitHash": "4172aaebbb6e52b0d89b890dff98c26ff77f8c4b", "CommitDate": "2026-06-29", "CommitMessage": "Revise README for Rulebook Examples", "GitTag": "sp-loop-milestone-07-loops-58-60" },
      { "LoopId": "loop-60", "Title": "Legacy prune: IsReversal = sign-flip; drop v2 meta and presentation layer", "Status": "complete", "NewConcept": "IsReversal redefined as IsSignFlip (single reversal definition). Removed IsReversal_v2, DefinitionDelta, StrictReversalSubtype, IsParadoxExplained_v2, InstrumentScore, ScreeningVerdict, duplicate ModelSummary v2 counts (ReversalCountV2, PartialCount, ZeroStrengthCount, TypeCCount). Unanimous-vs-partial distinction lives in DistortionType A vs B only.", "DomainQuestion": "Can the instrument shed legacy presentation and v2 meta fields without losing load-bearing taxonomy coordinates (DistortionType, SignalPurity, AllocationDirection)?", "MockDataNote": "Witnessed post-build: IsReversal equals IsSignFlip on all studies. ReversalCount counts sign-flips. Type B captures partial stratum disagreement without DefinitionDelta. ScreeningTier retained (derived from DistortionType).", "NextSuggestion": "loop-61: DiscoveryHypotheses + DiscoveryFindings — first empirical discovery loop on the pruned instrument.", "TraditionId": "tradition-dag", "CommitHash": "4172aaebbb6e52b0d89b890dff98c26ff77f8c4b", "CommitDate": "2026-06-29", "CommitMessage": "Revise README for Rulebook Examples", "GitTag": "sp-loop-milestone-07-loops-58-60" },
      { "LoopId": "loop-61", "Title": "Discovery loop: latent flip potential + pre-registered corpus findings", "Status": "complete", "NewConcept": "DiscoveryHypotheses + DiscoveryFindings tables; TreatmentRankings sweep lookups (PooledGapCrossesZero, SweepPooledGapRange, LatentFlipPotential, AllocationFragility, StudyDomain); ModelSummary discovery aggregates", "DomainQuestion": "At 96-study corpus scale, do pre-registered empirical hypotheses about allocation fragility, signal purity, domain patterns, and effect-size stability witness in the DAG?", "MockDataNote": "Witnessed post-build: 45/64 Type-D studies (70.3%) have LatentFlipPotential; SignFlipSignalPurityMax=0.483; stable Type-D avg PooledGap 0.102 vs latent 0.022; economics 0/8 sign-flips; epidemiology avg distortion 0.050 vs education 0.004. Synthesis: instrument + corpus are ready; loop-61 confirmed corpus-level patterns but not causal-role breakdown — that is the research sweep starting at loop-62.", "NextSuggestion": "loop-62: research sweep 1 — causal role × manifest vs latent reversal (+ discovery infra + LoopReview protocol)", "TraditionId": "tradition-epidemiology", "CommitHash": "7b3938e88201fb6c93b0fd0a11c235fea4a335c1", "CommitDate": "2026-06-29", "CommitMessage": "Enhance database schema and functions for DiscoveryHypotheses and DiscoveryFindings", "GitTag": "sp-loop-milestone-08-loop-61" },
      { "LoopId": "loop-62", "Title": "Research sweep 1: causal role × manifest vs latent reversal", "Status": "planned", "NewConcept": "DiscoveryHypotheses H-causal-manifest + H-causal-latent; ObservedDistortionType lookup on CandidateStudyCatalog; Discovery UI screen (/discovery); LoopReview protocol — end-of-turn query vw_discovery_findings, update Conclusions if witnessed, defer vocabulary until review passes", "DomainQuestion": "At 96-study scale, do confounder-labeled studies produce manifest sign-flips while collider/selection studies produce latent-only flips (PooledGapCrossesZero without IsSignFlip)? Strongest experiment — uses AllocationSweep machinery no textbook taxonomy has at corpus scale. Corpus peek: all 15 confounder sign-flips are manifest; collider/selection 0/7 manifest, 5/7 latent.", "MockDataNote": "Pre-build synthesis (loops 1–61): geometry complete (DistortionType A/B/C+/C−/D, SignalPurity, CorrectedGap, AllocationSweep); corpus at 96 studies; loop-61 witnessed H-latent-d/H-purity/H-small-effect/H-econ-zero/H-domain-dist but not mechanism-stratified reversal. LoopReview (end of turn): confirm or refute H-causal-* in vw_discovery_findings; decide whether ManifestReversal vs LatentReversal deserves first-class fields in loop-67+ or whether existing LatentFlipPotential + CausalRole suffice.", "NextSuggestion": "loop-63: after LoopReview — paradox-explained × mechanism partition (do not start until loop-62 review documents pass/fail and vocabulary decision)", "TraditionId": "tradition-epidemiology" },
      { "LoopId": "loop-63", "Title": "Research sweep 2: IsParadoxExplained × causal mechanism", "Status": "planned", "NewConcept": "DiscoveryHypotheses H-explained-confounder + H-unexplained-nonconfounder; optional InvariantCheck inv-explained-sign-flip-confounder", "DomainQuestion": "Does IsParadoxExplained track adjust-resolvable confounding rather than geometric distortion alone? Predict: true for confounder sign-flips; false for all C+/C−/D; false for contested (Berkeley ×2) and mediator (birth-weight). Separates 'stratify immediately' from 'do not naïvely adjust for a collider'.", "MockDataNote": "Corpus peek: 15/15 confounder sign-flips explained; 0/78 C+/C−/D explained; 3 unexplained Type B = berkeley-1973, berkeley-six-dept-1973, birth-weight-paradox (contested/mediator). LoopReview: if confirmed, promote Conclusion about adjustment boundary; if exceptions exist, classify as contested rows not counterexamples — do not widen IsParadoxExplained formula without review.", "NextSuggestion": "loop-64: after LoopReview — formalize signal purity law from loop-61 (graduate H-purity to invariant, not re-run experiment)", "TraditionId": "tradition-dag" },
      { "LoopId": "loop-64", "Title": "Research sweep 3: signal purity law — loop-61 H-purity → invariant + Conclusion", "Status": "planned", "NewConcept": "InvariantCheck inv-sign-flip-signal-purity-max; Conclusion conc-signal-purity-ceiling; DiscoveryFinding refresh for H-purity with boundary-condition note", "DomainQuestion": "Loop-61 confirmed SignFlipSignalPurityMax=0.483 (&lt;0.5). Does this graduate from discovery finding to build-breaking invariant and witnessed Conclusion — or does the melanoma C+ near-miss (purity≈0.48, no sign-flip) require an explicit carve-out?", "MockDataNote": "NOT a new experiment — a review loop on loop-61 output. H-purity already confirmed; this turn decides whether it is instrument-law or corpus statistic. LoopReview: document melanoma-altman-1991 as known non-sign-flip boundary case; check Type A vs Type B purity separation; only add invariant if zero counterexamples among IsSignFlip=TRUE rows.", "NextSuggestion": "loop-65: after LoopReview — catalog expectation falsification (type prediction audit + CorpusCatalogSummary match counts)", "TraditionId": "tradition-dag" },
      { "LoopId": "loop-65", "Title": "Research sweep 4: catalog expectation falsification (type prediction audit)", "Status": "planned", "NewConcept": "CorpusCatalogSummary TypePredictionMatchCount + TypePredictionMismatchCount; CandidateStudyCatalog ObservedDistortionType lookup (fixes broken type_prediction_match calc); DiscoveryHypotheses H-catalog-exact-match + H-catalog-flip-prediction", "DomainQuestion": "When curators tag ExpectedDistortionType at import, how often does observed DistortionType match? Corpus peek: ~19% exact match, ~25% sign-flip prediction from Expected A∪B — catalog tags behave as mechanism priors not taxonomy predictors. Meta-research on curation discipline, not a paradox law.", "MockDataNote": "LoopReview: if match rate &lt;50%, conclude catalog needs separate ExpectedSignFlip vs ExpectedDistortionType (or drop type prediction entirely); do NOT add ObservedDistortionType to Studies — keep it on catalog as audit trail only. Document biggest misprediction buckets (Expected A→D: 23 studies).", "NextSuggestion": "loop-66: after LoopReview — domain heterogeneity under geometry controls + full sweep synthesis", "TraditionId": "tradition-epidemiology" },
      { "LoopId": "loop-66", "Title": "Research sweep 5: domain screening + synthesis review", "Status": "planned", "NewConcept": "DiscoveryHypotheses H-domain-flip-geometry-controlled; ModelSummary discovery rollup refresh; Conclusions rows from loops 62–66; loop-67+ direction decided only after synthesis", "DomainQuestion": "Do domain flip-rate differences (economics 0%, legal/epi/sports ~27%) survive conditioning on max_stratum_imbalance — or are they catalog selection artifacts? Weakest experiment; ends with full synthesis of research sweep loops 62–66.", "MockDataNote": "Fold loop-61 partial findings (H-econ-zero, H-domain-dist, H-small-effect) into synthesis — do not re-run. LoopReview (synthesis): aggregate confirmed laws vs corpus-specific patterns vs falsified hypotheses; list vocabulary commitments deferred to loop-67+ (ManifestReversal/LatentReversal, catalog tag split, Discovery screen polish); write sweep summary in Conclusions table.", "NextSuggestion": "loop-67: vocabulary landing turn — ONLY after loop-66 synthesis review confirms which findings deserve first-class fields vs remaining as DiscoveryFindings rows", "TraditionId": "tradition-historical" }
    ]
  },
  "Studies": {
    "Description": "Table: Studies — a clinical or empirical study comparing two or more treatments for a condition, with patient cases stratified by a confounding variable. The top-level entity in the domain.",
    "schema": [
      {
        "name": "StudyId",
        "datatype": "string",
        "type": "raw",
        "nullable": false,
        "Description": "Unique slug for this study (e.g. kidney-1986, berkeley-1973)."
      },
      {
        "name": "Name",
        "datatype": "string",
        "type": "calculated",
        "nullable": false,
        "Description": "Display label, mirrors StudyId.",
        "formula": "={{StudyId}}"
      },
      {
        "name": "Title",
        "datatype": "string",
        "type": "raw",
        "nullable": true,
        "Description": "Human-readable title of the study."
      },
      {
        "name": "Source",
        "datatype": "string",
        "type": "raw",
        "nullable": true,
        "Description": "Citation or description of the original data source."
      },
      {
        "name": "SourceUrl",
        "datatype": "string",
        "type": "raw",
        "nullable": true,
        "Description": "URL to the original source."
      },
      {
        "name": "PublicationYear",
        "type": "raw",
        "datatype": "integer",
        "Description": "Year the study was published. Used for temporal stratification and pre-registration dating.",
        "nullable": true
      },
      {
        "name": "Domain",
        "type": "raw",
        "datatype": "string",
        "Description": "Research domain: medicine | epidemiology | social-science | education | legal | sports | economics | synthetic. Enables cross-domain SignalPurity stratification.",
        "nullable": true
      },
      {
        "name": "IsSynthetic",
        "type": "raw",
        "datatype": "boolean",
        "Description": "TRUE for constructed/counterfactual studies; FALSE for real published studies. Filters the corpus for empirical claims.",
        "nullable": true
      },
      {
        "name": "TotalCases",
        "datatype": "integer",
        "type": "aggregation",
        "nullable": true,
        "Description": "Total number of cases (trials) across all CaseCells in this study.",
        "formula": "=SUMIFS(CaseCells!{{Cases}}, CaseCells!{{Study}}, {{StudyId}})"
      },
      {
        "name": "CellCount",
        "datatype": "integer",
        "type": "aggregation",
        "nullable": true,
        "Description": "Number of CaseCell rows for this study.",
        "formula": "=COUNTIFS(CaseCells!{{Study}}, {{StudyId}})"
      },
      {
        "name": "TraditionId",
        "datatype": "string",
        "type": "raw",
        "nullable": true,
        "Description": "FK → ResearchTraditions.TraditionId. The scholarly tradition whose framing best characterizes this study's paradox type. Synthetic studies inherit the tradition of their conceptual origin."
      },
      {
        "name": "PrimaryResearcherId",
        "datatype": "string",
        "type": "raw",
        "nullable": true,
        "Description": "FK → Researchers.ResearcherId. The researcher most associated with first surfacing or canonically citing this study in the Simpson's Paradox literature."
      },
      {
        "name": "TraditionName",
        "datatype": "string",
        "type": "lookup",
        "nullable": true,
        "Description": "Lookup: ResearchTraditions.Name via TraditionId.",
        "formula": "=LOOKUP({{TraditionId}}, ResearchTraditions[TraditionId], ResearchTraditions[Name])"
      },
      {
        "name": "TraditionCoreConern",
        "datatype": "string",
        "type": "lookup",
        "nullable": true,
        "Description": "Lookup: ResearchTraditions.CoreConcern via TraditionId.",
        "formula": "=LOOKUP({{TraditionId}}, ResearchTraditions[TraditionId], ResearchTraditions[CoreConcern])"
      },
      {
        "name": "PrimaryResearcherName",
        "datatype": "string",
        "type": "lookup",
        "nullable": true,
        "Description": "Lookup: Researchers.Name via PrimaryResearcherId.",
        "formula": "=LOOKUP({{PrimaryResearcherId}}, Researchers[ResearcherId], Researchers[Name])"
      },
      {
        "name": "PrimaryResearcherAffiliation",
        "datatype": "string",
        "type": "lookup",
        "nullable": true,
        "Description": "Lookup: Researchers.Affiliation via PrimaryResearcherId.",
        "formula": "=LOOKUP({{PrimaryResearcherId}}, Researchers[ResearcherId], Researchers[Affiliation])"
      },
      {
        "name": "DistortionType",
        "datatype": "string",
        "type": "lookup",
        "nullable": true,
        "Description": "Lookup: TreatmentRankings.DistortionType for this study — the geometric classification of its paradox.",
        "formula": "=LOOKUP({{StudyId}}, TreatmentRankings[Study], TreatmentRankings[DistortionType])"
      },
      {
        "name": "PolicyImplication",
        "datatype": "string",
        "type": "lookup",
        "nullable": true,
        "Description": "Lookup: TreatmentRankings.CorrectedPolicyImplication for this study.",
        "formula": "=LOOKUP({{StudyId}}, TreatmentRankings[Study], TreatmentRankings[CorrectedPolicyImplication])"
      },
      {
        "name": "AllocationDistortion",
        "datatype": "float",
        "type": "lookup",
        "nullable": true,
        "Description": "Lookup: TreatmentRankings.AllocationDistortion for this study — the scalar severity of allocation-induced distortion.",
        "formula": "=LOOKUP({{StudyId}}, TreatmentRankings[Study], TreatmentRankings[AllocationDistortion])"
      },
      {
        "name": "SignalPurity",
        "datatype": "float",
        "type": "lookup",
        "nullable": true,
        "Description": "Lookup: TreatmentRankings.SignalPurity for this study — ratio of true signal to total gap width.",
        "formula": "=LOOKUP({{StudyId}}, TreatmentRankings[Study], TreatmentRankings[SignalPurity])"
      },
      {
        "name": "IsSignFlip",
        "datatype": "boolean",
        "type": "lookup",
        "nullable": true,
        "Description": "Lookup: TreatmentRankings.IsSignFlip for this study — true if the paradox satisfies the continuous sign-flip definition.",
        "formula": "=LOOKUP({{StudyId}}, TreatmentRankings[Study], TreatmentRankings[IsSignFlip])"
      },
      {
        "name": "CorrectedWinner",
        "datatype": "string",
        "type": "lookup",
        "nullable": true,
        "Description": "Lookup: TreatmentRankings.CorrectedWinner for this study — which treatment wins after allocation correction.",
        "formula": "=LOOKUP({{StudyId}}, TreatmentRankings[Study], TreatmentRankings[CorrectedWinner])"
      },
      {
        "name": "ConfoundingVariable",
        "datatype": "string",
        "type": "lookup",
        "nullable": true,
        "Description": "Lookup: StratumVariables.VariableName for this study — the named stratifying variable.",
        "formula": "=LOOKUP({{StudyId}}, StratumVariables[Study], StratumVariables[VariableName])"
      },
      {
        "name": "CausalRole",
        "datatype": "string",
        "type": "lookup",
        "nullable": true,
        "Description": "Lookup: StratumVariables.CausalRole for this study — confounder, mediator, collider, proxy, or contested.",
        "formula": "=LOOKUP({{StudyId}}, StratumVariables[Study], StratumVariables[CausalRole])"
      },
      {
        "name": "IngestionCellParity",
        "datatype": "boolean",
        "type": "calculated",
        "nullable": true,
        "Description": "TRUE when CellCount = 2 x StratumCount.",
        "formula": "=AND(LOOKUP</t>
  </si>
  <si>
    <t xml:space="preserve">({{StudyId}}, TreatmentRankings[Study], TreatmentRankings[StratumCount]) &gt;= 2, {{CellCount}} = LOOKUP({{StudyId}}, TreatmentRankings[Study], TreatmentRankings[StratumCount]) * 2)"
      },
      {
        "name": "IngestionCompliance",
        "datatype": "string",
        "type": "calculated",
        "nullable": true,
        "Description": "all | partial | exempt-synthetic.",
        "formula": "=IF({{IsSynthetic}}, \"exempt-synthetic\", IF(AND({{IngestionCellParity}}, LOOKUP({{StudyId}}, StratumVariables[Study], StratumVariables[VariableName]) &lt;&gt; \"\"), \"all\", \"partial\"))"
      }
    ],
    "data": [
      { "StudyId": "kidney-1986", "Title": "Kidney Stone Treatment Study (Charig et al. 1986)", "Source": "Charig CR et al. Comparison of treatment of renal calculi by open surgery, percutaneous nephrolithotomy, and extracorporeal shockwave lithotripsy. Br Med J. 1986;292:879.", "SourceUrl": "https://www.bmj.com/content/292/6524/879", "Name": "kidney-1986", "TotalCases": 700, "CellCount": 4, "TraditionId": "tradition-historical", "PrimaryResearcherId": "researcher-blyth", "PublicationYear": 1986, "Domain": "medicine", "IsSynthetic": false },
      { "StudyId": "balanced-synthetic", "Title": "Balanced Synthetic Study (degenerate case — reversal structurally impossible)", "Source": "Synthetic dataset constructed to demonstrate that perfectly balanced treatment allocation across strata algebraically prevents Simpson's Paradox. Not based on real data.", "SourceUrl": "", "Name": "balanced-synthetic", "TotalCases": 400, "CellCount": 4, "TraditionId": "tradition-historical", "PrimaryResearcherId": null, "Domain": "synthetic", "IsSynthetic": true },
      { "StudyId": "kidney-balanced", "Title": "Kidney Stone Counterfactual (balanced allocation — reversal algebraically impossible)", "Source": "Synthetic dataset derived from Charig 1986 kidney stone rates but with equal treatment allocation across strata (175 cases per cell). Demonstrates that the reversal in the original study is purely an allocation artifact.", "SourceUrl": "", "Name": "kidney-balanced", "TotalCases": 700, "CellCount": 4, "TraditionId": "tradition-historical", "PrimaryResearcherId": null, "Domain": "synthetic", "IsSynthetic": true },
      { "StudyId": "berkeley-1973", "Title": "UC Berkeley Graduate Admissions (Bickel et al. 1975) — contested confounder", "Source": "Bickel PJ, Hammel EA, O'Connell JW. Sex Bias in Graduate Admissions: Data from Berkeley. Science. 1975;187:398-404.", "SourceUrl": "https://www.science.org/doi/10.1126/science.187.4175.398", "Name": "berkeley-1973", "TotalCases": 3228, "CellCount": 8, "TraditionId": "tradition-epidemiology", "PrimaryResearcherId": "researcher-greenland", "PublicationYear": 1975, "Domain": "social-science", "IsSynthetic": false },
      { "StudyId": "compressed-synthetic", "Title": "Compressed Synthetic Study (type-C — allocation distortion without sign flip)", "Source": "Synthetic dataset constructed to demonstrate that allocation can distort the pooled signal (AllocationDistortion &gt; 0) without reversing it (IsSignFlip=FALSE). Treatment A wins in every stratum and also wins pooled — but the pooled margin is compressed by differential allocation. This populates the type-C cell in the DistortionType taxonomy.", "SourceUrl": "", "Name": "compressed-synthetic", "TotalCases": 400, "CellCount": 4, "TraditionId": "tradition-historical", "PrimaryResearcherId": null, "Domain": "synthetic", "IsSynthetic": true },
      { "StudyId": "reintjes-2000", "Title": "Antibiotic Prophylaxis and UTI Rates in Dutch Hospitals (Reintjes et al. 2000)", "Source": "Reintjes R, de Boer A, van Pelt W, Mintjes-de Groot J. Simpson's paradox: an example from hospital epidemiology. Epidemiology. 2000;11(1):81-83. PMID: 10615849.", "SourceUrl": "https://pubmed.ncbi.nlm.nih.gov/10615849/", "Name": "reintjes-2000", "TotalCases": 3519, "CellCount": 4, "TraditionId": "tradition-epidemiology", "PrimaryResearcherId": "researcher-greenland", "PublicationYear": 2000, "Domain": "epidemiology", "IsSynthetic": false },
      { "StudyId": "radelet-1981", "Title": "Racial Characteristics and the Death Penalty in Florida (Radelet 1981)", "Source": "Radelet ML. Racial characteristics and the imposition of the death penalty. American Sociological Review. 1981;46(6):918-927.", "SourceUrl": "https://www.jstor.org/stable/2095513", "Name": "radelet-1981", "TotalCases": 326, "CellCount": 4, "TraditionId": "tradition-epidemiology", "PrimaryResearcherId": "researcher-robins", "PublicationYear": 1981, "Domain": "legal", "IsSynthetic": false },
      { "StudyId": "jeter-justice-1997", "Title": "Batting Averages: Derek Jeter vs David Justice 1995-1997 (Ross 2007)", "Source": "Ross KA. Repeating effects in baseball. College Mathematics Journal. 2007;38(3):205-210. Raw data from Baseball Almanac (official MLB records).", "SourceUrl": "https://www.baseball-almanac.com/players/player.php?p=jeterde01", "Name": "jeter-justice-1997", "TotalCases": 2330, "CellCount": 6, "TraditionId": "tradition-historical", "PrimaryResearcherId": "researcher-blyth", "PublicationYear": 1997, "Domain": "sports", "IsSynthetic": false },
      { "StudyId": "appleton-1996", "Title": "Whickham Smoking Cohort — 20-year Mortality by Smoking Status (Appleton et al. 1996)", "Source": "Appleton DR, French JM, Vanderpump MPJ. Ignoring a covariate: An example of Simpson's paradox. The American Statistician. 1996;50(4):340-341. DOI: 10.2307/2684931. Data: Whickham (England) health survey 1972-74, 20-year follow-up.", "SourceUrl": "https://doi.org/10.2307/2684931", "Name": "appleton-1996", "TotalCases": 1314, "CellCount": 14, "TraditionId": "tradition-epidemiology", "PrimaryResearcherId": "researcher-greenland", "PublicationYear": 1996, "Domain": "epidemiology", "IsSynthetic": false },
      { "StudyId": "phe-covid-2021", "Title": "COVID-19 Delta Variant CFR: Vaccinated vs Unvaccinated by Age Group, UK 2021 (PHE Technical Briefing 20)", "Source": "Public Health England. COVID-19 vaccine surveillance report, Technical Briefing 20 (August 2021). Dataset: OpenIntro simpsons_paradox_covid, contributed by Matthew T. Brenneman, Embry-Riddle Aeronautical University.", "SourceUrl": "https://www.openintro.org/data/index.php?data=simpsons_paradox_covid", "Name": "phe-covid-2021", "TotalCases": 268166, "CellCount": 4, "TraditionId": "tradition-ai-fairness", "PrimaryResearcherId": "researcher-asudeh", "PublicationYear": 2021, "Domain": "epidemiology", "IsSynthetic": false },
      { "StudyId": "hannan-1994", "Title": "CABG Surgery Volume and Mortality, New York State (Hannan et al. 1994 — type-C real witness)", "Source": "Hannan EL, Kilburn H Jr, Racz M, Shields E, Chassin MR. Improving the outcomes of coronary artery bypass surgery in New York State. JAMA. 1994;271(10):761-766. Risk-stratification by operative risk class. Numbers approximated from Table 3 (high-volume vs low-volume centers, survival rates by risk stratum).", "SourceUrl": "https://pubmed.ncbi.nlm.nih.gov/8107988/", "Name": "hannan-1994", "TotalCases": 1100, "CellCount": 4, "TraditionId": "tradition-epidemiology", "PrimaryResearcherId": "researcher-robins", "PublicationYear": 1994, "Domain": "medicine", "IsSynthetic": false },
      { "StudyId": "titanic-1912", "Title": "Titanic Passenger Survival by Class (British Board of Trade 1912) — type-C allocation inflation", "Source": "British Board of Trade. Report on the Loss of the 'Titanic' (S.S.). 1912. Exact casualty figures from Lord Mersey's inquiry. Passenger counts by class and sex from Table 5.", "SourceUrl": "https://www.titanicinquiry.org/BOTInq/BOTReport/botRep01.php", "Name": "titanic-1912", "TotalCases": 946, "CellCount": 4, "TraditionId": "tradition-historical", "PrimaryResearcherId": "researcher-blyth", "PublicationYear": 1912, "Domain": "social-science", "IsSynthetic": false },
      { "StudyId": "birth-weight-paradox", "Title": "Birth Weight Paradox: Infant Mortality by Maternal Smoking Status (Yerushalmy 1971 / Hernandez-Diaz 2006) — type-B partial reversal", "Source": "Yerushalmy J. The relationship of parents' cigarette smoking to outcome of pregnancy. Am J Epidemiol. 1971;93(6):443-456. Approximate numbers consistent with Table 2. See also: Hernandez-Diaz S, Schisterman EF, Hernan MA. The birth weight 'paradox' uncovered. Am J Epidemiol. 2006;164(11):1115-1120.", "SourceUrl": "https://pubmed.ncbi.nlm.nih.gov/5574838/", "Name": "birth-weight-paradox", "TotalCases": 7500, "CellCount": 4, "TraditionId": "tradition-dag", "PrimaryResearcherId": "researcher-dong-cai-zhao", "PublicationYear": 1992, "Domain": "epidemiology", "IsSynthetic": false },
      { "StudyId": "melanoma-altman-1991", "Title": "Melanoma 10-Year Survival by Sex and Tumor Thickness (Altman 1991 / Balch 2001) — type-C allocation inflation", "Source": "Altman DG. Practical Statistics for Medical Research. Chapman &amp; Hall; 1991. Chapter 14, Table 14.3. Tumor thickness and sex as predictors of melanoma survival. Consistent with Balch CM et al. J Clin Oncol. 2001;19(16):3622-3634.", "SourceUrl": "https://pubmed.ncbi.nlm.nih.gov/11504744/", "Name": "melanoma-altman-1991", "TotalCases": 400, "CellCount": 4, "TraditionId": "tradition-epidemiology", "PrimaryResearcherId": "researcher-greenland", "PublicationYear": 1991, "Domain": "medicine", "IsSynthetic": false },
      { "StudyId": "coffee-tverdal-2020", "Title": "Coffee Consumption and Coronary Heart Disease by Smoking Status (Tverdal et al. 2020) — type-D no distortion", "Source": "Tverdal A, Selmer R, Cohen JM, Thelle DS. Coffee consumption and mortality from cardiovascular diseases and total mortality: Does the brewing method matter? Eur J Prev Cardiol. 2020;27(18):1986-1993. Approximate cell frequencies from Table 2 stratified by smoking status.", "SourceUrl": "https://pubmed.ncbi.nlm.nih.gov/31771349/", "Name": "coffee-tverdal-2020", "TotalCases": 4000, "CellCount": 4, "TraditionId": "tradition-epidemiology", "PrimaryResearcherId": "researcher-greenland", "PublicationYear": 2020, "Domain": "epidemiology", "IsSynthetic": false },
      { "StudyId": "sat-wainer-1986", "Title": "SAT Math Scores: High- vs Low-Participation States by School Spending (Wainer 1986) — type-B partial reversal", "Source": "Wainer H. The SAT as a social indicator: A pretty bad idea. In: Wainer H, ed. Drawing Inferences from Self-Selected Samples. Springer; 1986:7-35. Approximate success-rate encoding (score ≥ 500 threshold) consistent with Table 1 state-level data.", "SourceUrl": "https://link.springer.com/book/10.1007/978-1-4612-4976-4", "Name": "sat-wainer-1986", "TotalCases": 1150, "CellCount": 4, "TraditionId": "tradition-historical", "PrimaryResearcherId": "researcher-blyth", "PublicationYear": 1986, "Domain": "education", "IsSynthetic": false },
      { "StudyId": "rogers-nicewander-1988", "Title": "Baseball Batting Averages: Lefebvre vs Fairly World Series (Day 1994 / baseball paradox canon)", "Source": "Day SM. Simpson's Paradox in MLB. AMATYC Journal 1994. Table 1: Ron Fairly vs Jim Lefebvre, two consecutive World Series. Encoded as position_group strata (infield/outfield proxy for series split). Hits/at-bats as Successes/Cases.", "SourceUrl": "https://doi.org/10.2307/2685261", "Name": "rogers-nicewander-1988", "TotalCases": 58, "CellCount": 4, "TraditionId": "tradition-historical", "PrimaryResearcherId": "researcher-blyth", "PublicationYear": 1988, "Domain": "sports", "IsSynthetic": false },
      { "StudyId": "lucente-baseball-1995", "Title": "1995 NL Batting: Monthly Split Paradox (Lucent 1995 classroom example)", "Source": "Lucent J. Teaching Statistics 1995;17(2):44-46. Approximate monthly-split hits/at-bats consistent with cited classroom Bagwell comparison pattern.", "SourceUrl": "", "Name": "lucente-baseball-1995", "TotalCases": 690, "CellCount": 4, "TraditionId": "tradition-historical", "PrimaryResearcherId": "researcher-blyth", "PublicationYear": 1995, "Domain": "sports", "IsSynthetic": false },
      { "StudyId": "wilson-batting-2000", "Title": "Baseball Averages by Inning Half (Wilson 2000 STATS annual)", "Source": "Wilson JD. STATS 2000 baseball annual Simpson's paradox example. Early vs late innings split; hits/at-bats approximated from published teaching summary.", "SourceUrl": "", "Name": "wilson-batting-2000", "TotalCases": 380, "CellCount": 4, "TraditionId": "tradition-historical", "PrimaryResearcherId": "researcher-blyth", "PublicationYear": 2000, "Domain": "sports", "IsSynthetic": false },
      { "StudyId": "clemens-bly-1998", "Title": "Clemens vs Bly 1998: Home/Away Batting Split Paradox", "Source": "Standard APBA/baseball paradox example aggregated from 1998 MLB game logs into home/away strata. Approximate hits/at-bats from published teaching materials.", "SourceUrl": "", "Name": "clemens-bly-1998", "TotalCases": 295, "CellCount": 4, "TraditionId": "tradition-historical", "PrimaryResearcherId": "researcher-blyth", "PublicationYear": 1998, "Domain": "sports", "IsSynthetic": false },
      { "StudyId": "open-university-1975", "Title": "Open University Exam Pass Rates by Gender and Age Band (1975)", "Source": "Open University Statistics course canonical example. Pass/fail counts by gender (A=male, B=female) stratified by age band; approximated from OU M248 teaching materials and Blyth (1972) reversal structure.", "SourceUrl": "", "Name": "open-university-1975", "TotalCases": 2523, "CellCount": 6, "TraditionId": "tradition-historical", "PrimaryResearcherId": "researcher-blyth", "PublicationYear": 1975, "Domain": "education", "IsSynthetic": false },
      { "StudyId": "pisa-immigration-2015", "Title": "PISA Reading Scores: Native vs Immigrant Students by Country Pair", "Source": "OECD PISA 2015 microdata aggregation collapsed to two countries (Finland vs Mexico proxy strata). Success = reading score ≥ proficiency level 3; counts approximated from OECD published tables.", "SourceUrl": "https://www.oecd.org/pisa/data/", "Name": "pisa-immigration-2015", "TotalCases": 1220, "CellCount": 4, "TraditionId": "tradition-epidemiology", "PrimaryResearcherId": "researcher-greenland", "PublicationYear": 2015, "Domain": "education", "IsSynthetic": false },
      { "StudyId": "wainer-sat-states-1992", "Title": "SAT State Averages by Geographic Region (Wainer 1992 extension)", "Source": "Wainer H. Am Psychologist 1992;47(7):929. Extension of SAT self-selection paradox with NE vs South region strata. Approximate counts from Wainer (1986) Table 1 pattern.", "SourceUrl": "", "Name": "wainer-sat-states-1992", "TotalCases": 1350, "CellCount": 4, "TraditionId": "tradition-historical", "PrimaryResearcherId": "researcher-blyth", "PublicationYear": 1992, "Domain": "education", "IsSynthetic": false },
      { "StudyId": "folic-acid-neural-tube-1991", "Title": "Folic Acid and Neural Tube Defects by Maternal Age (Czeizel &amp; Dudas 1992)", "Source": "Czeizel AE, Dudas I. NEJM 1992;327(26):1832-1835. Aggregate trial NTD counts (0/2104 vitamin vs 6/2052 control) stratified by maternal age (&lt;28 vs ≥28) using Hungarian surveillance age distribution approximations.", "SourceUrl": "https://pubmed.ncbi.nlm.nih.gov/1307234/", "Name": "folic-acid-neural-tube-1991", "TotalCases": 4156, "CellCount": 4, "TraditionId": "tradition-epidemiology", "PrimaryResearcherId": "researcher-greenland", "PublicationYear": 1992, "Domain": "medicine", "IsSynthetic": false },
      { "StudyId": "steroid-asthma-severity", "Title": "Inhaled Steroids and Asthma Control by Disease Severity", "Source": "Standard clinical epidemiology textbook 2×2 (Fletcher &amp; Fletcher pattern). Severe asthmatics preferentially receive inhaled steroids; severity drives outcome. Approximate cell counts from Rothman epidemiology teaching example.", "SourceUrl": "", "Name": "steroid-asthma-severity", "TotalCases": 650, "CellCount": 4, "TraditionId": "tradition-epidemiology", "PrimaryResearcherId": "researcher-greenland", "PublicationYear": 1998, "Domain": "medicine", "IsSynthetic": false },
      { "StudyId": "kidney-dialysis-facility-1990", "Title": "Dialysis Facility Mortality by Case-Mix Severity (USRDS textbook)", "Source": "USRDS / textbook aggregation of dialysis facility volume paradox. High-volume centers receive sicker patients. Approximate survival counts consistent with Hannan 1994 type-C geometry.", "SourceUrl": "", "Name": "kidney-dialysis-facility-1990", "TotalCases": 400, "CellCount": 4, "TraditionId": "tradition-epidemiology", "PrimaryResearcherId": "researcher-robins", "PublicationYear": 1990, "Domain": "medicine", "IsSynthetic": false },
      { "StudyId": "warfarin-bleeding-age", "Title": "Warfarin Bleeding Events by Age Stratum", "Source": "Anticoagulation cohort stratified example from clinical epidemiology textbooks. Age confounds warfarin prescribing and bleeding risk. Approximate event counts.", "SourceUrl": "", "Name": "warfarin-bleeding-age", "TotalCases": 1400, "CellCount": 4, "TraditionId": "tradition-epidemiology", "PrimaryResearcherId": "researcher-robins", "PublicationYear": 2005, "Domain": "medicine", "IsSynthetic": false },
      { "StudyId": "diabetes-metformin-bmi", "Title": "Metformin vs Sulfonylurea Glycemic Control by BMI Stratum", "Source": "Observational diabetes cohort example. BMI confounds treatment choice (metformin preferred in obese) and glycemic outcome. Approximate HbA1c-target success counts.", "SourceUrl": "", "Name": "diabetes-metformin-bmi", "TotalCases": 900, "CellCount": 4, "TraditionId": "tradition-epidemiology", "PrimaryResearcherId": "researcher-greenland", "PublicationYear": 2010, "Domain": "medicine", "IsSynthetic": false },
      { "StudyId": "oncology-trial-stage", "Title": "Chemotherapy Response by Cancer Stage (Phase III subset)", "Source": "Phase III trial subset tables from oncology textbook. Stage confounds regimen assignment (advanced → aggressive chemo) and response rate. Approximate complete-response counts.", "SourceUrl": "", "Name": "oncology-trial-stage", "TotalCases": 600, "CellCount": 4, "TraditionId": "tradition-epidemiology", "PrimaryResearcherId": "researcher-greenland", "PublicationYear": 2008, "Domain": "medicine", "IsSynthetic": false },
      { "StudyId": "exercise-cholesterol-age", "Title": "Exercise and Cholesterol Control by Age Group (Framingham-style)", "Source": "Framingham-style textbook example. Age drives both exercise uptake and cholesterol control. Approximate success counts (LDL target achieved).", "SourceUrl": "", "Name": "exercise-cholesterol-age", "TotalCases": 1050, "CellCount": 4, "TraditionId": "tradition-epidemiology", "PrimaryResearcherId": "researcher-greenland", "PublicationYear": 1995, "Domain": "epidemiology", "IsSynthetic": false },
      { "StudyId": "red-meat-colorectal-bmi", "Title": "Red Meat Consumption and Colorectal Cancer by BMI Stratum", "Source": "Nutritional epidemiology stratified cohort example. BMI confounds diet exposure and cancer incidence. Approximate case counts from textbook 2×2.", "SourceUrl": "", "Name": "red-meat-colorectal-bmi", "TotalCases": 1850, "CellCount": 4, "TraditionId": "tradition-epidemiology", "PrimaryResearcherId": "researcher-greenland", "PublicationYear": 2003, "Domain": "epidemiology", "IsSynthetic": false },
      { "StudyId": "folic-fortification-2000", "Title": "Folate Fortification and Neural Tube Defects by Region", "Source": "Post-fortification US surveillance tables approximated into three regional strata (early vs late vs no fortification). NTD prevention as success outcome.", "SourceUrl": "", "Name": "folic-fortification-2000", "TotalCases": 6000, "CellCount": 6, "TraditionId": "tradition-epidemiology", "PrimaryResearcherId": "researcher-greenland", "PublicationYear": 2000, "Domain": "epidemiology", "IsSynthetic": false },
      { "StudyId": "north-carolina-death-penalty-1990", "Title": "NC Death Penalty by Victim Race (Gross &amp; Mauro 1989)", "Source": "Gross SR, Mauro R. Death and Discrimination 1989. North Carolina death sentence rates by defendant race (A=white, B=black) stratified by victim race. Approximate counts mirroring Radelet 1981 Florida structure.", "SourceUrl": "", "Name": "north-carolina-death-penalty-1990", "TotalCases": 280, "CellCount": 4, "TraditionId": "tradition-epidemiology", "PrimaryResearcherId": "researcher-robins", "PublicationYear": 1990, "Domain": "legal", "IsSynthetic": false },
      { "StudyId": "housing-discrimination-audit", "Title": "HUD Housing Audit Callback Rates by Neighborhood Income", "Source": "HUD paired-testing audit aggregation. Callback as success; race as treatment proxy encoded as A=minority tester, B=white tester. Neighborhood income confounds. Approximate counts from HUD HDS summary tables.", "SourceUrl": "https://www.huduser.gov/portal/publications/fairhousing/hds.html", "Name": "housing-discrimination-audit", "TotalCases": 1000, "CellCount": 4, "TraditionId": "tradition-epidemiology", "PrimaryResearcherId": "researcher-greenland", "PublicationYear": 2012, "Domain": "economics", "IsSynthetic": false },
      { "StudyId": "gender-pay-gap-industry", "Title": "Gender Pay Gap by Industry Sector (BLS CPS aggregation)", "Source": "Bureau of Labor Statistics Current Population Survey sector tables. Success = hourly wage above sector median; A=male, B=female. Three industry strata approximated from BLS published summaries.", "SourceUrl": "https://www.bls.gov/cps/", "Name": "gender-pay-gap-industry", "TotalCases": 2800, "CellCount": 6, "TraditionId": "tradition-epidemiology", "PrimaryResearcherId": "researcher-greenland", "PublicationYear": 2018, "Domain": "economics", "IsSynthetic": false },
      { "StudyId": "income-education-state", "Title": "Income vs Education Attainment by US State Region", "Source": "Census ACS state-level aggregation collapsed to high-education vs low-education state strata. Success = household income above national median. Approximate counts.", "SourceUrl": "https://data.census.gov/", "Name": "income-education-state", "TotalCases": 3600, "CellCount": 4, "TraditionId": "tradition-epidemiology", "PrimaryResearcherId": "researcher-greenland", "PublicationYear": 2019, "Domain": "economics", "IsSynthetic": false },
      { "StudyId": "florida-reef-fish-1994", "Title": "Florida Reef Fish Catch Rates by Gear Type (Pauly &amp; Watson 2003)", "Source": "Pauly D, Watson R. Nature 2003 meta-example of Simpson's paradox in fisheries. Gear type confounds species/location and catch rate. Approximate landings counts from Florida reef fish survey summaries.", "SourceUrl": "", "Name": "florida-reef-fish-1994", "TotalCases": 1600, "CellCount": 4, "TraditionId": "tradition-epidemiology", "PrimaryResearcherId": "researcher-greenland", "PublicationYear": 1994, "Domain": "social-science", "IsSynthetic": false },
      { "StudyId": "uc-irvine-admissions-1985", "Title": "UC Irvine Graduate Admissions by Department (1985)", "Source": "Extension of Berkeley admissions pattern at UC Irvine circa 1985. Four department strata approximated from published graduate admissions summaries. A=male, B=female applicants; success=admitted.", "SourceUrl": "", "Name": "uc-irvine-admissions-1985", "TotalCases": 2180, "CellCount": 8, "TraditionId": "tradition-epidemiology", "PrimaryResearcherId": "researcher-greenland", "PublicationYear": 1985, "Domain": "social-science", "IsSynthetic": false },
      { "StudyId": "cesarean-birth-weight-2006", "Title": "Cesarean Delivery Rates by Birth Weight Stratum (MacDorman 2006)", "Source": "MacDorman MF et al. Birth 2006;33(3):188-192. Cesarean as success outcome; A=term cephalic presentation, B=breech/other. Birth weight stratum confounds. Approximate counts from Table 2.", "SourceUrl": "https://pubmed.ncbi.nlm.nih.gov/16827879/", "Name": "cesarean-birth-weight-2006", "TotalCases": 8400, "CellCount": 4, "TraditionId": "tradition-dag", "PrimaryResearcherId": "researcher-dong-cai-zhao", "PublicationYear": 2006, "Domain": "epidemiology", "IsSynthetic": false },
      { "StudyId": "schizophrenia-antipsychotic", "Title": "Antipsychotic Response by Illness Severity (clinical trial)", "Source": "Clinical trial severity-stratified tables from psychiatry epidemiology textbook. Illness severity confounds drug assignment and response. Approximate remission counts.", "SourceUrl": "", "Name": "schizophrenia-antipsychotic", "TotalCases": 540, "CellCount": 4, "TraditionId": "tradition-epidemiology", "PrimaryResearcherId": "researcher-greenland", "PublicationYear": 2004, "Domain": "medicine", "IsSynthetic": false },
      { "StudyId": "berkeley-six-dept-1973", "Title": "UC Berkeley Admissions: Six Largest Departments (Bickel et al. 1975)", "Source": "Bickel PJ et al. Science 1975. Applicants and admissions for six largest departments. Treatment A=male, B=female, success=admitted.", "SourceUrl": "https://www.science.org/doi/10.1126/science.187.4175.398", "Name": "berkeley-six-dept-1973", "TotalCases": 4526, "CellCount": 12, "TraditionId": "tradition-historical", "PrimaryResearcherId": "researcher-bickel", "PublicationYear": 1975, "Domain": "social-science", "IsSynthetic": false },
      { "StudyId": "rosiglitazone-mi-pool-2007", "Title": "Rosiglitazone MI: Naive Pool Paradox (Nissen 2007 aggregate)", "Source": "Nissen SE, Wolski K. NEJM 2007. Two trial-allocation strata constructed to match corpus MI totals (86/15565 rosi, 72/12282 control) and Shao 2008 pooled inversion.", "SourceUrl": "https://doi.org/10.1056/NEJMoa072761", "Name": "rosiglitazone-mi-pool-2007", "TotalCases": 27847, "CellCount": 4, "TraditionId": "tradition-epidemiology", "PrimaryResearcherId": "researcher-greenland", "PublicationYear": 2007, "Domain": "medicine", "IsSynthetic": false },
      { "StudyId": "ironman-gender-age-2010", "Title": "Triathlon On-Time Finish: Sex by Age Cohort", "Source": "Classic Simpson structure (Moore &amp; McCabe). Treatment A=male, B=female, success=on-time finish.", "SourceUrl": "", "Name": "ironman-gender-age-2010", "TotalCases": 220, "CellCount": 4, "TraditionId": "tradition-historical", "PrimaryResearcherId": "researcher-blyth", "PublicationYear": 2010, "Domain": "sports", "IsSynthetic": false },
      { "StudyId": "hanley-power-lines-2000", "Title": "Power Lines and Childhood Leukemia: Five-Study Meta-Analysis", "Source": "Hanley JA, Theriault G. Epidemiology 2000. Five studies, ≤100m exposure. A=exposed B=unexposed, success=leukemia case.", "SourceUrl": "https://doi.org/10.1097/00001648-200009000-00022", "Name": "hanley-power-lines-2000", "TotalCases": 1515, "CellCount": 10, "TraditionId": "tradition-epidemiology", "PrimaryResearcherId": "researcher-greenland", "PublicationYear": 2000, "Domain": "epidemiology", "IsSynthetic": false },
      { "StudyId": "coffee-smoking-lung-1968", "Title": "Coffee and Lung Cancer by Smoking Status", "Source": "Classic confounding structure (Cornfield / epidemiology textbooks). A=coffee drinker, success=lung cancer case.", "SourceUrl": "", "Name": "coffee-smoking-lung-1968", "TotalCases": 1116, "CellCount": 4, "TraditionId": "tradition-epidemiology", "PrimaryResearcherId": "researcher-greenland", "PublicationYear": 1968, "Domain": "epidemiology", "IsSynthetic": false },
      { "StudyId": "panama-sweden-mortality-1975", "Title": "Panama vs Sweden Survival by Age Group (Rothman)", "Source": "Rothman KJ. Modern Epidemiology 2nd ed. Age-composition paradox. A=Panama B=Sweden, success=survival.", "SourceUrl": "", "Name": "panama-sweden-mortality-1975", "TotalCases": 2000, "CellCount": 6, "TraditionId": "tradition-epidemiology", "PrimaryResearcherId": "researcher-greenland", "PublicationYear": 1975, "Domain": "epidemiology", "IsSynthetic": false },
      { "StudyId": "hrt-whi-2002", "Title": "HRT and CHD: Observational vs WHI RCT Design Reversal", "Source": "Writing Group for the WHI Investigators. JAMA 2002. Strata = study design (observational vs RCT). A=HRT, B=control/comparator, success=CHD event-free survival.", "SourceUrl": "https://doi.org/10.1001/jama.288.3.321", "Name": "hrt-whi-2002", "TotalCases": 210000, "CellCount": 4, "TraditionId": "tradition-epidemiology", "PrimaryResearcherId": "researcher-greenland", "PublicationYear": 2002, "Domain": "medicine", "IsSynthetic": false },
      { "StudyId": "obesity-paradox-hf", "Title": "Obesity Paradox in Heart Failure Patients", "Source": "Gruberg L et al. Am Heart J 2003. A=obese BMI≥30, B=normal weight, success=survival. Strata: HF status.", "SourceUrl": "https://pubmed.ncbi.nlm.nih.gov/12766738/", "Name": "obesity-paradox-hf", "TotalCases": 4000, "CellCount": 4, "TraditionId": "tradition-epidemiology", "PrimaryResearcherId": "researcher-greenland", "PublicationYear": 2003, "Domain": "medicine", "IsSynthetic": false },
      { "StudyId": "dialysis-bmi-survival", "Title": "Dialysis BMI Survival: Reverse Epidemiology", "Source": "Kalantar-Zadeh K et al. Kidney Int 2003. A=obese, B=normal weight, success=survival. Strata: ESRD/dialysis status.", "SourceUrl": "https://pubmed.ncbi.nlm.nih.gov/12776250/", "Name": "dialysis-bmi-survival", "TotalCases": 4000, "CellCount": 4, "TraditionId": "tradition-epidemiology", "PrimaryResearcherId": "researcher-greenland", "PublicationYear": 2001, "Domain": "medicine", "IsSynthetic": false },
      { "StudyId": "sick-quitter-alcohol", "Title": "Sick-Quitter Alcohol J-Curve: Abstainer Reference Bias", "Source": "Shaper AG et al. BMJ 1988. A=moderate drinker, B=abstainer, success=survival. Strata partition abstainer composition.", "SourceUrl": "https://pubmed.ncbi.nlm.nih.gov/3143436/", "Name": "sick-quitter-alcohol", "TotalCases": 4000, "CellCount": 4, "TraditionId": "tradition-epidemiology", "PrimaryResearcherId": "researcher-greenland", "PublicationYear": 1988, "Domain": "medicine", "IsSynthetic": false },
      { "StudyId": "flu-vaccine-elderly-mortality", "Title": "Flu Vaccine and Elderly Mortality: Frailty Selection Paradox", "Source": "Jackson LA et al. Int J Epidemiol 2006. A=vaccinated, B=unvaccinated, success=survival (inverse of mortality). Strata: age group.", "SourceUrl": "https://pubmed.ncbi.nlm.nih.gov/16338918/", "Name": "flu-vaccine-elderly-mortality", "TotalCases": 248000, "CellCount": 4, "TraditionId": "tradition-epidemiology", "PrimaryResearcherId": "researcher-greenland", "PublicationYear": 2005, "Domain": "medicine", "IsSynthetic": false },
      { "StudyId": "covid-italy-china-cfr-2020", "Title": "COVID-19 CFR: Italy vs China by Age (von Kügelgen 2021)", "Source": "von Kügelgen J et al. Nature 2021. A=Italy, B=China, success=survival. Age-stratified CFR reversal from population age structure.", "SourceUrl": "https://doi.org/10.1038/s41586-021-03694-z", "Name": "covid-italy-china-cfr-2020", "TotalCases": 53400, "CellCount": 4, "TraditionId": "tradition-epidemiology", "PrimaryResearcherId": "researcher-greenland", "PublicationYear": 2020, "Domain": "epidemiology", "IsSynthetic": false },
      { "StudyId": "israel-covid-severe-2021", "Title": "Israel COVID-19 Severe Disease: Vaccinated vs Unvaccinated by Age (2021)", "Source": "Goldberg Y et al. NEJM 2021. A=vaccinated, B=unvaccinated, success=non-severe outcome. Independent from phe-covid-2021 UK dataset.", "SourceUrl": "https://doi.org/10.1056/NEJMoa2111456", "Name": "israel-covid-severe-2021", "TotalCases": 163000, "CellCount": 4, "TraditionId": "tradition-epidemiology", "PrimaryResearcherId": "researcher-greenland", "PublicationYear": 2021, "Domain": "epidemiology", "IsSynthetic": false },
      { "StudyId": "cochran-smoking-1968", "Title": "Smoking and Mortality by Age (Cochran / Surgeon General 1964)", "Source": "Cochran WG. US Surgeon General Report 1964 Chapter 8. A=smoker, B=non-smoker, success=survival. Age composition produces crude reversal.", "SourceUrl": "https://www.unav.edu/documents/16089811/16155256/Smoking+and+Health+the+Surgeon+General+Report+1964.pdf", "Name": "cochran-smoking-1968", "TotalCases": 13000, "CellCount": 4, "TraditionId": "tradition-epidemiology", "PrimaryResearcherId": "researcher-greenland", "PublicationYear": 1968, "Domain": "epidemiology", "IsSynthetic": false },
      { "StudyId": "healthy-worker-mortality", "Title": "Healthy Worker Effect: Occupational Mortality Selection", "Source": "Monson RR. Occupational Epidemiology 1990. A=employed, B=unemployed/general pop, success=survival. Selection at hire.", "SourceUrl": "", "Name": "healthy-worker-mortality", "TotalCases": 4000, "CellCount": 4, "TraditionId": "tradition-epidemiology", "PrimaryResearcherId": "researcher-greenland", "PublicationYear": 1987, "Domain": "epidemiology", "IsSynthetic": false },
      { "StudyId": "compas-recidivism-base", "Title": "COMPAS Recidivism: Base-Rate Fairness Paradox", "Source": "Chouldechova A. Big Data 2017; ProPublica COMPAS analysis. A=COMPAS high-risk prediction, B=low-risk, success=no recidivism.", "SourceUrl": "https://arxiv.org/abs/1610.07524", "Name": "compas-recidivi</t>
  </si>
  <si>
    <t xml:space="preserve">sm-base", "TotalCases": 4000, "CellCount": 4, "TraditionId": "tradition-ai-fairness", "PrimaryResearcherId": "researcher-chouldechova", "PublicationYear": 2016, "Domain": "legal", "IsSynthetic": false },
      { "StudyId": "us-wage-composition-stagnation", "Title": "US Wage Stagnation: Composition-Over-Time Paradox", "Source": "Autor DH. NBER working paper series. A=2018 cohort, B=1978 cohort, success=above-median wage. Strata: education group.", "SourceUrl": "https://www.nber.org/papers/w24400", "Name": "us-wage-composition-stagnation", "TotalCases": 31000, "CellCount": 4, "TraditionId": "tradition-epidemiology", "PrimaryResearcherId": "researcher-greenland", "PublicationYear": 2018, "Domain": "economics", "IsSynthetic": false },
      { "StudyId": "borjas-immigrant-cohort", "Title": "Borjas Immigrant Earnings: Cohort vs Cross-Section Reversal", "Source": "Borjas GJ. J Labor Econ 1985. A=recent immigrant, B=native-born, success=above-poverty earnings.", "SourceUrl": "https://doi.org/10.1086/298065", "Name": "borjas-immigrant-cohort", "TotalCases": 4000, "CellCount": 4, "TraditionId": "tradition-epidemiology", "PrimaryResearcherId": "researcher-greenland", "PublicationYear": 1987, "Domain": "economics", "IsSynthetic": false },
      { "StudyId": "robinson-1950-literacy", "Title": "Robinson 1950: Literacy vs Nativity Ecological Fallacy", "Source": "Robinson WS. Am Sociol Rev 1950. A=foreign-born, B=native-born, success=literate. State-level aggregation strata.", "SourceUrl": "https://doi.org/10.2307/2087176", "Name": "robinson-1950-literacy", "TotalCases": 14000, "CellCount": 4, "TraditionId": "tradition-historical", "PrimaryResearcherId": "researcher-blyth", "PublicationYear": 1950, "Domain": "social-science", "IsSynthetic": false },
      { "StudyId": "ab-test-traffic-mix", "Title": "A/B Test Reversal from Traffic Segment Mix Shift (Kohavi)", "Source": "Kohavi R et al. Trustworthy Online Controlled Experiments 2020. A=variant B (treatment), B=variant A (control), success=conversion.", "SourceUrl": "https://www.cambridge.org/core/books/trustworthy-online-controlled-experiments/", "Name": "ab-test-traffic-mix", "TotalCases": 24000, "CellCount": 4, "TraditionId": "tradition-historical", "PrimaryResearcherId": "researcher-blyth", "PublicationYear": 2020, "Domain": "social-science", "IsSynthetic": false },
      { "StudyId": "recsys-offline-eval", "Title": "Recommender Offline Evaluation: Exposure Popularity Bias", "Source": "Ding Y et al. arXiv:2104.08912. A=new model, B=baseline, success=accurate prediction. Strata by item popularity.", "SourceUrl": "https://arxiv.org/abs/2104.08912", "Name": "recsys-offline-eval", "TotalCases": 4000, "CellCount": 4, "TraditionId": "tradition-ai-fairness", "PrimaryResearcherId": "researcher-chouldechova", "PublicationYear": 2021, "Domain": "social-science", "IsSynthetic": false },
      { "StudyId": "collider-only-synthetic", "Title": "Collider-Only Synthetic Control (Zero Confounding)", "Source": "Synthetic structural control for loop-58. Treatment assignment independent of confounder; reversal purely from collider conditioning.", "SourceUrl": "", "Name": "collider-only-synthetic", "TotalCases": 2000, "CellCount": 4, "TraditionId": "tradition-dag", "PrimaryResearcherId": "researcher-dong-cai-zhao", "PublicationYear": 2026, "Domain": "synthetic", "IsSynthetic": true },
      { "StudyId": "noncollapsibility-or-synthetic", "Title": "Non-Collapsibility OR Synthetic (Risk Difference Does Not Reverse)", "Source": "Synthetic structural control for loop-58. Odds ratio reverses from non-collapsibility alone; risk difference constant across strata and pooled.", "SourceUrl": "", "Name": "noncollapsibility-or-synthetic", "TotalCases": 2200, "CellCount": 4, "TraditionId": "tradition-epidemiology", "PrimaryResearcherId": "researcher-greenland", "PublicationYear": 2026, "Domain": "synthetic", "IsSynthetic": true },
      { "StudyId": "trauma-center-mortality", "Title": "Trauma Center vs Non-Trauma Center Mortality by Injury Severity", "Source": "Nathens AB et al. NEJM 2006. A=trauma center, B=non-trauma center, success=survival. Approximate cell counts from published severity-stratified mortality pattern (Table 2 structure).", "SourceUrl": "https://pubmed.ncbi.nlm.nih.gov/16687711/", "Name": "trauma-center-mortality", "TotalCases": 4000, "CellCount": 4, "TraditionId": "tradition-epidemiology", "PrimaryResearcherId": "researcher-robins", "PublicationYear": 2006, "Domain": "medicine", "IsSynthetic": false },
      { "StudyId": "surgeon-volume-mortality", "Title": "Surgeon Procedure Volume and Operative Mortality by Baseline Risk", "Source": "Birkmeyer JD et al. NEJM 2003. A=high-volume surgeon, B=low-volume, success=survival. Approximate counts consistent with risk-stratified volume-outcome tables.", "SourceUrl": "https://pubmed.ncbi.nlm.nih.gov/12531755/", "Name": "surgeon-volume-mortality", "TotalCases": 4000, "CellCount": 4, "TraditionId": "tradition-epidemiology", "PrimaryResearcherId": "researcher-robins", "PublicationYear": 2003, "Domain": "medicine", "IsSynthetic": false },
      { "StudyId": "mammography-length-bias", "Title": "Screen-Detected vs Symptomatic Breast Cancer Survival (Length Bias)", "Source": "Duffy SW et al. Lancet Oncol 2002. A=screen-detected, B=symptomatic, success=survival at 5y. Approximate case counts from lead-time/length-bias teaching structure.", "SourceUrl": "https://pubmed.ncbi.nlm.nih.gov/12441272/", "Name": "mammography-length-bias", "TotalCases": 4000, "CellCount": 4, "TraditionId": "tradition-epidemiology", "PrimaryResearcherId": "researcher-greenland", "PublicationYear": 2000, "Domain": "medicine", "IsSynthetic": false },
      { "StudyId": "cabg-vs-pci-severity", "Title": "CABG vs PCI Revascularization by Coronary Disease Severity", "Source": "Hannan EL et al. JACC 2009. A=CABG, B=PCI, success=survival. Approximate severity-stratified counts from NY State cardiac surgery registry summaries.", "SourceUrl": "https://pubmed.ncbi.nlm.nih.gov/19161879/", "Name": "cabg-vs-pci-severity", "TotalCases": 4000, "CellCount": 4, "TraditionId": "tradition-epidemiology", "PrimaryResearcherId": "researcher-robins", "PublicationYear": 2009, "Domain": "medicine", "IsSynthetic": false },
      { "StudyId": "tolbutamide-ugdp-1970", "Title": "Tolbutamide UGDP Diabetes Trial: Center Baseline Risk Heterogeneity", "Source": "UGDP Investigators. Diabetes 1970. A=tolbutamide, B=placebo, success=survival (no CV death). Approximate center-risk strata reflecting contested multi-center baseline imbalance.", "SourceUrl": "https://pubmed.ncbi.nlm.nih.gov/4912970/", "Name": "tolbutamide-ugdp-1970", "TotalCases": 4000, "CellCount": 4, "TraditionId": "tradition-epidemiology", "PrimaryResearcherId": "researcher-greenland", "PublicationYear": 1970, "Domain": "medicine", "IsSynthetic": false },
      { "StudyId": "snow-cholera-water-1855", "Title": "Snow 1855: Cholera Mortality by Water Company Supply", "Source": "Snow J. On the Mode of Communication of Cholera 1855; Table XII. A=Southwark &amp; Vauxhall supply, B=Lambeth supply, success=survival (no cholera death). Counts scaled from published 1854 household mortality rates (98 vs 5 deaths per 10,000).", "SourceUrl": "https://johnsnow.matrix.msu.edu/", "Name": "snow-cholera-water-1855", "TotalCases": 4000, "CellCount": 4, "TraditionId": "tradition-historical", "PrimaryResearcherId": "researcher-blyth", "PublicationYear": 1855, "Domain": "epidemiology", "IsSynthetic": false },
      { "StudyId": "seatbelt-crash-severity", "Title": "Seatbelt Use and Crash Survival (Selection on Crash Involvement)", "Source": "Hertz E et al. Accid Anal Prev 1995. A=seatbelt used, B=not used, success=survival. Approximate counts from selection-on-crash severity structure.", "SourceUrl": "https://pubmed.ncbi.nlm.nih.gov/7830625/", "Name": "seatbelt-crash-severity", "TotalCases": 4000, "CellCount": 4, "TraditionId": "tradition-epidemiology", "PrimaryResearcherId": "researcher-greenland", "PublicationYear": 1995, "Domain": "epidemiology", "IsSynthetic": false },
      { "StudyId": "measles-outbreak-vaccinated", "Title": "Measles Outbreak: Vaccinated Case Share (Base-Rate Illusion)", "Source": "CDC MMWR measles outbreak teaching examples; high coverage base-rate structure. A=vaccinated, B=unvaccinated, success=measles case (attack). Counts scaled from 95% coverage / 97% VE teaching arithmetic.", "SourceUrl": "https://www.cdc.gov/measles/about/index.html", "Name": "measles-outbreak-vaccinated", "TotalCases": 12500, "CellCount": 4, "TraditionId": "tradition-epidemiology", "PrimaryResearcherId": "researcher-greenland", "PublicationYear": 2015, "Domain": "epidemiology", "IsSynthetic": false },
      { "StudyId": "air-pollution-mortality-city", "Title": "Air Pollution and Mortality: Within-City vs Across-City Comparison", "Source": "Dominici F et al. JAMA 2006. A=high PM2.5 city, B=low PM2.5 city, success=annual survival. Approximate two-city age-composition structure from multi-city mortality literature.", "SourceUrl": "https://pubmed.ncbi.nlm.nih.gov/16968836/", "Name": "air-pollution-mortality-city", "TotalCases": 4000, "CellCount": 4, "TraditionId": "tradition-epidemiology", "PrimaryResearcherId": "researcher-greenland", "PublicationYear": 2002, "Domain": "epidemiology", "IsSynthetic": false },
      { "StudyId": "tb-treatment-resistance", "Title": "TB Treatment Success by Drug-Resistance Stratum", "Source": "WHO Global TB Report aggregated outcomes. A=new regimen, B=standard regimen, success=treatment success. Approximate resistance-stratified success counts from published MDR-TB cohort summaries.", "SourceUrl": "https://www.who.int/teams/global-programme-on-tuberculosis-and-lung-health", "Name": "tb-treatment-resistance", "TotalCases": 4000, "CellCount": 4, "TraditionId": "tradition-epidemiology", "PrimaryResearcherId": "researcher-greenland", "PublicationYear": 2010, "Domain": "epidemiology", "IsSynthetic": false },
      { "StudyId": "hospital-mortality-readmission", "Title": "Hospital Mortality Under Readmission-Penalty Era (Case-Mix Distortion)", "Source": "CMS Hospital Readmissions Reduction Program policy evaluations. A=penalty hospital, B=non-penalty, success=survival. Approximate case-mix strata from HRRP case-mix distortion literature.", "SourceUrl": "https://www.cms.gov/medicare/payment/prospective-payment-systems/acute-inpatient-pps/readmissions-reduction-program", "Name": "hospital-mortality-readmission", "TotalCases": 4000, "CellCount": 4, "TraditionId": "tradition-epidemiology", "PrimaryResearcherId": "researcher-robins", "PublicationYear": 2014, "Domain": "epidemiology", "IsSynthetic": false },
      { "StudyId": "nypd-stop-frisk-hitrate", "Title": "NYPD Stop-and-Frisk Hit Rate by Precinct Base Rate (Ridgeway)", "Source": "Ridgeway G. RAND MG-815 2007. A=precinct group A, B=precinct group B, success=contraband hit (positive stop). Approximate hit-rate tables from RAND benchmarking paradox structure.", "SourceUrl": "https://www.rand.org/pubs/monographs/MG815.html", "Name": "nypd-stop-frisk-hitrate", "TotalCases": 18500, "CellCount": 4, "TraditionId": "tradition-ai-fairness", "PrimaryResearcherId": "researcher-chouldechova", "PublicationYear": 2007, "Domain": "legal", "IsSynthetic": false },
      { "StudyId": "sentencing-offense-type", "Title": "Sentencing Disparity by Offense-Type Mix", "Source": "USSC sentencing data summaries. A=Group A (policy target), B=Group B, success=harsh sentence imposed. Approximate offense-mix strata from federal sentencing disparity reports.", "SourceUrl": "https://www.ussc.gov/", "Name": "sentencing-offense-type", "TotalCases": 4000, "CellCount": 4, "TraditionId": "tradition-epidemiology", "PrimaryResearcherId": "researcher-robins", "PublicationYear": 2000, "Domain": "legal", "IsSynthetic": false },
      { "StudyId": "bail-risk-score", "Title": "Pretrial Detention by Risk Tier and Demographics", "Source": "Arnold Ventures PSA validation summaries. A=detained, B=released, success=rearrest (failure). Approximate risk-tier strata from pretrial risk assessment evaluations.", "SourceUrl": "https://www.arnoldventures.org/", "Name": "bail-risk-score", "TotalCases": 4000, "CellCount": 4, "TraditionId": "tradition-ai-fairness", "PrimaryResearcherId": "researcher-chouldechova", "PublicationYear": 2018, "Domain": "legal", "IsSynthetic": false },
      { "StudyId": "police-force-encounter", "Title": "Police Use-of-Force by Stop/Encounter Conditioning", "Source": "Fryer RG. J Polit Econ 2019. A=force used, B=no force, success= adverse outcome proxy. Approximate encounter-conditioned strata from selection-on-stop structure.", "SourceUrl": "https://pubmed.ncbi.nlm.nih.gov/31397656/", "Name": "police-force-encounter", "TotalCases": 4000, "CellCount": 4, "TraditionId": "tradition-epidemiology", "PrimaryResearcherId": "researcher-greenland", "PublicationYear": 2016, "Domain": "legal", "IsSynthetic": false },
      { "StudyId": "uc-systemwide-admissions", "Title": "UC Systemwide Admissions by Campus/Major Selectivity", "Source": "UC Office of the President admissions statistics. A=Group A, B=Group B, success=admitted. Approximate campus/major selectivity strata extending Berkeley paradox structure.", "SourceUrl": "https://www.universityofcalifornia.edu/about-us/information-center/admissions-by-campus", "Name": "uc-systemwide-admissions", "TotalCases": 4000, "CellCount": 4, "TraditionId": "tradition-epidemiology", "PrimaryResearcherId": "researcher-greenland", "PublicationYear": 2004, "Domain": "education", "IsSynthetic": false },
      { "StudyId": "teacher-vam-prior-achievement", "Title": "Teacher Value-Added by Incoming Student Achievement Stratum", "Source": "Ehlert M et al. Educ Eval Policy Anal 2013. A=Teacher A, B=Teacher B, success=student passes proficiency. Approximate non-random assignment to teacher by prior achievement.", "SourceUrl": "https://pubmed.ncbi.nlm.nih.gov/23409418/", "Name": "teacher-vam-prior-achievement", "TotalCases": 4000, "CellCount": 4, "TraditionId": "tradition-epidemiology", "PrimaryResearcherId": "researcher-greenland", "PublicationYear": 2011, "Domain": "education", "IsSynthetic": false },
      { "StudyId": "naep-state-demographics", "Title": "NAEP State Proficiency by State Demographic Composition", "Source": "NAEP Nation's Report Card state assessments. A=State A, B=State B, success=proficient. Approximate demographic-composition strata extending SAT-by-state paradox.", "SourceUrl": "https://www.nationsreportcard.gov/", "Name": "naep-state-demographics", "TotalCases": 4000, "CellCount": 4, "TraditionId": "tradition-historical", "PrimaryResearcherId": "researcher-blyth", "PublicationYear": 2019, "Domain": "education", "IsSynthetic": false },
      { "StudyId": "college-grad-rate-selectivity", "Title": "College Graduation Rate vs Selectivity by Incoming Preparation", "Source": "NCES IPEDS graduation rates. A=selective college, B=less selective, success=graduation. Approximate preparation-stratified graduation counts.", "SourceUrl": "https://nces.ed.gov/ipeds/", "Name": "college-grad-rate-selectivity", "TotalCases": 4000, "CellCount": 4, "TraditionId": "tradition-epidemiology", "PrimaryResearcherId": "researcher-greenland", "PublicationYear": 2015, "Domain": "education", "IsSynthetic": false },
      { "StudyId": "star-class-size", "Title": "Tennessee STAR Class-Size Experiment (Near-Neutral Control)", "Source": "Mosteller F / STAR experiment summaries. A=small class, B=regular class, success=passes achievement threshold. Approximate K-3 achievement counts; small positive effect, minimal allocation distortion.", "SourceUrl": "https://www.heros-inc.org/star/", "Name": "star-class-size", "TotalCases": 4000, "CellCount": 4, "TraditionId": "tradition-historical", "PrimaryResearcherId": "researcher-blyth", "PublicationYear": 1999, "Domain": "education", "IsSynthetic": false },
      { "StudyId": "nba-shooting-shot-mix", "Title": "NBA Team Shooting: Two-Point vs Three-Point Mix Paradox", "Source": "Classic NBA Simpson example (MIT/Stanford teaching sets). A=Player/team A, B=B, success=made shot. Two-point vs three-point attempt mix drives pooled FG% reversal.", "SourceUrl": "https://en.wikipedia.org/wiki/Simpson%27s_paradox", "Name": "nba-shooting-shot-mix", "TotalCases": 3500, "CellCount": 4, "TraditionId": "tradition-historical", "PrimaryResearcherId": "researcher-blyth", "PublicationYear": 2015, "Domain": "sports", "IsSynthetic": false },
      { "StudyId": "pitcher-era-ballpark", "Title": "Pitcher ERA by Home Ballpark Factor", "Source": "FanGraphs park-factor teaching examples. A=Pitcher A, B=Pitcher B, success=outs recorded (inning success). Approximate hitter-friendly vs pitcher-friendly park strata.", "SourceUrl": "https://www.fangraphs.com/library/misc/park-factors/", "Name": "pitcher-era-ballpark", "TotalCases": 4000, "CellCount": 4, "TraditionId": "tradition-historical", "PrimaryResearcherId": "researcher-blyth", "PublicationYear": 2010, "Domain": "sports", "IsSynthetic": false },
      { "StudyId": "nfl-completion-depth", "Title": "NFL Completion Rate by Pass Depth Mix", "Source": "NFL Next Gen Stats pass-depth summaries. A=QB A, B=QB B, success=completed pass. Approximate short vs deep throw mix structure.", "SourceUrl": "https://nextgenstats.nfl.com/", "Name": "nfl-completion-depth", "TotalCases": 2000, "CellCount": 4, "TraditionId": "tradition-historical", "PrimaryResearcherId": "researcher-blyth", "PublicationYear": 2018, "Domain": "sports", "IsSynthetic": false },
      { "StudyId": "field-goal-distance", "Title": "NFL Field Goal Accuracy by Attempt Distance Distribution", "Source": "Pro-Football-Reference kicker splits. A=Kicker A, B=Kicker B, success=made FG. Approximate distance-mix strata from published FG% by distance tables.", "SourceUrl": "https://www.pro-football-reference.com/", "Name": "field-goal-distance", "TotalCases": 4000, "CellCount": 4, "TraditionId": "tradition-historical", "PrimaryResearcherId": "researcher-blyth", "PublicationYear": 2012, "Domain": "sports", "IsSynthetic": false },
      { "StudyId": "golf-scoring-course", "Title": "PGA Scoring Average by Course Difficulty Mix", "Source": "PGA Tour course scoring statistics. A=Golfer A, B=Golfer B, success=under-par round. Approximate easy vs difficult course mix from tour schedule splits.", "SourceUrl": "https://www.pgatour.com/stats", "Name": "golf-scoring-course", "TotalCases": 4000, "CellCount": 4, "TraditionId": "tradition-historical", "PrimaryResearcherId": "researcher-blyth", "PublicationYear": 2015, "Domain": "sports", "IsSynthetic": false },
      { "StudyId": "minimum-wage-region", "Title": "Minimum Wage Employment Effects by Regional Labor Market", "Source": "Dube A et al. Rev Econ Stat 2010 border-county design summaries. A=raised minimum wage, B=comparison, success=employment retained. Approximate regional labor-market strata.", "SourceUrl": "https://pubmed.ncbi.nlm.nih.gov/20496667/", "Name": "minimum-wage-region", "TotalCases": 4000, "CellCount": 4, "TraditionId": "tradition-epidemiology", "PrimaryResearcherId": "researcher-greenland", "PublicationYear": 2014, "Domain": "economics", "IsSynthetic": false },
      { "StudyId": "returns-to-education-field", "Title": "Returns to Education by Field of Study", "Source": "Carnevale AP Georgetown CEW earnings reports. A=college grad, B=non-graduate, success=above-median earnings. Approximate field-of-study strata (STEM vs non-STEM).", "SourceUrl": "https://cew.georgetown.edu/cew-reports/", "Name": "returns-to-education-field", "TotalCases": 4000, "CellCount": 4, "TraditionId": "tradition-epidemiology", "PrimaryResearcherId": "researcher-greenland", "PublicationYear": 2008, "Domain": "economics", "IsSynthetic": false },
      { "StudyId": "unemployment-education-cycle", "Title": "Aggregate Unemployment and Education Composition Over the Cycle", "Source": "BLS Current Population Survey summaries. A=current year, B=prior year, success=employed. Approximate recession education-composition shift structure.", "SourceUrl": "https://www.bls.gov/cps/", "Name": "unemployment-education-cycle", "TotalCases": 4000, "CellCount": 4, "TraditionId": "tradition-epidemiology", "PrimaryResearcherId": "researcher-greenland", "PublicationYear": 2010, "Domain": "economics", "IsSynthetic": false },
      { "StudyId": "costa-rica-us-life-expectancy", "Title": "Costa Rica vs US Life Expectancy by Age Group", "Source": "Rosero-Bixby L. Popul Dev Rev 2004. A=Costa Rica, B=US, success=survival. Approximate age-stratified mortality from cross-national standardization examples.", "SourceUrl": "https://pubmed.ncbi.nlm.nih.gov/15244519/", "Name": "costa-rica-us-life-expectancy", "TotalCases": 4000, "CellCount": 4, "TraditionId": "tradition-epidemiology", "PrimaryResearcherId": "researcher-greenland", "PublicationYear": 2010, "Domain": "social-science", "IsSynthetic": false },
      { "StudyId": "fertility-income-country", "Title": "Fertility vs Income: Within-Country vs Cross-Country Paradox", "Source": "World Bank WDI teaching examples. A=high-income group, B=low-income group, success=below-replacement fertility. Approximate within- vs across-country strata.", "SourceUrl": "https://data.worldbank.org/", "Name": "fertility-income-country", "TotalCases": 4000, "CellCount": 4, "TraditionId": "tradition-epidemiology", "PrimaryResearcherId": "researcher-greenland", "PublicationYear": 2015, "Domain": "social-science", "IsSynthetic": false },
      { "StudyId": "religiosity-happiness-country", "Title": "Religiosity and Happiness Confounded by National Wealth", "Source": "World Values Survey / Gallup World Poll summaries. A=religious, B=non-religious, success=high life satisfaction. Approximate country-wealth strata.", "SourceUrl": "https://www.worldvaluessurvey.org/", "Name": "religiosity-happiness-country", "TotalCases": 4000, "CellCount": 4, "TraditionId": "tradition-epidemiology", "PrimaryResearcherId": "researcher-greenland", "PublicationYear": 2018, "Domain": "social-science", "IsSynthetic": false },
      { "StudyId": "voter-turnout-education-state", "Title": "Voter Turnout by Education Across States", "Source": "CPS Voting and Registration Supplement. A=high education, B=lower education, success=voted. Approximate state demographic composition strata.", "SourceUrl": "https://www.census.gov/topics/public-sector/voting.html", "Name": "voter-turnout-education-state", "TotalCases": 4000, "CellCount": 4, "TraditionId": "tradition-historical", "PrimaryResearcherId": "researcher-blyth", "PublicationYear": 2012, "Domain": "social-science", "IsSynthetic": false },
      { "StudyId": "ad-ctr-platform-mix", "Title": "Ad Click-Through Rate by Platform Mix", "Source": "Industry A/B testing case studies (Kohavi-style). A=creative A, B=creative B, success=click. Approximate mobile vs desktop platform mix reversal.", "SourceUrl": "https://www.cambridge.org/core/books/trustworthy-online-controlled-experiments/", "Name": "ad-ctr-platform-mix", "TotalCases": 4000, "CellCount": 4, "TraditionId": "tradition-historical", "PrimaryResearcherId": "researcher-blyth", "PublicationYear": 2019, "Domain": "social-science", "IsSynthetic": false }
    ]
  },
  "Treatments": {
    "Description": "Table: Treatments — the interventions being compared within a study. Each treatment belongs to one study.",
    "schema": [
      {
        "name": "TreatmentId",
        "datatype": "string",
        "type": "raw",
        "nullable": false,
        "Description": "Unique slug (e.g. kidney-1986-A, kidney-1986-B)."
      },
      {
        "name": "Name",
        "datatype": "string",
        "type": "calculated",
        "nullable": false,
        "Description": "Display label.",
        "formula": "={{TreatmentId}}"
      },
      {
        "name": "Study",
        "datatype": "string",
        "type": "relationship",
        "nullable": false,
        "Description": "FK to the parent Study.",
        "RelatedTo": "Studies"
      },
      {
        "name": "TreatmentLabel",
        "datatype": "string",
        "type": "raw",
        "nullable": false,
        "Description": "Short label used in CaseCells and comparisons (e.g. A, B)."
      },
      {
        "name": "Description",
        "datatype": "string",
        "type": "raw",
        "nullable": true,
        "Description": "Plain-language description of what this treatment is."
      },
      {
        "name": "TotalCases",
        "datatype": "integer",
        "type": "aggregation",
        "nullable": true,
        "Description": "Total cases for this treatment across all strata.",
        "formula": "=SUMIFS(CaseCells!{{Cases}}, CaseCells!{{Study}}, {{Study}}, CaseCells!{{TreatmentLabel}}, {{TreatmentLabel}})"
      },
      {
        "name": "TotalSuccesses",
        "datatype": "integer",
        "type": "aggregation",
        "nullable": true,
        "Description": "Total successes for this treatment across all strata.",
        "formula": "=SUMIFS(CaseCells!{{Successes}}, CaseCells!{{Study}}, {{Study}}, CaseCells!{{TreatmentLabel}}, {{TreatmentLabel}})"
      },
      {
        "name": "PooledSuccessRate",
        "datatype": "number",
        "type": "calculated",
        "nullable": true,
        "Description": "Pooled (across all strata) success rate for this treatment: TotalSuccesses / TotalCases.",
        "formula": "=IF({{TotalCases}} = 0, \"\", {{TotalSuccesses}} / {{TotalCases}})"
      }
    ],
    "data": [
      { "TreatmentId": "kidney-1986-A", "Study": "kidney-1986", "TreatmentLabel": "A", "Description": "Open surgery / percutaneous nephrolithotomy (PCNL) — the more invasive procedure, used preferentially for large stones.", "Name": "kidney-1986-A", "TotalCases": 350, "TotalSuccesses": 273, "PooledSuccessRate": 0.78 },
      { "TreatmentId": "kidney-1986-B", "Study": "kidney-1986", "TreatmentLabel": "B", "Description": "Extracorporeal shock wave lithotripsy (ESWL) — the less invasive procedure, used more for small stones.", "Name": "kidney-1986-B", "TotalCases": 350, "TotalSuccesses": 289, "PooledSuccessRate": 0.8257142857142857 },
      { "TreatmentId": "kidney-balanced-A", "Study": "kidney-balanced", "TreatmentLabel": "A", "Description": "Open surgery / PCNL — same per-stratum rates as kidney-1986 (small:93.1%, large:73.0%) but now allocated equally (50%) to each stratum. Counterfactual treatment A.", "Name": "kidney-balanced-A", "TotalCases": 350, "TotalSuccesses": 291, "PooledSuccessRate": 0.8314285714285714 },
      { "TreatmentId": "kidney-balanced-B", "Study": "kidney-balanced", "TreatmentLabel": "B", "Description": "ESWL — same per-stratum rates as kidney-1986 (small:86.7%, large:68.8%) but allocated equally (50%) to each stratum. Counterfactual treatment B.", "Name": "kidney-balanced-B", "TotalCases": 350, "TotalSuccesses": 272, "PooledSuccessRate": 0.7771428571428571 },
      { "TreatmentId": "balanced-synthetic-A", "Study": "balanced-synthetic", "TreatmentLabel": "A", "Description": "Synthetic treatment A — 60% success rate in both strata. Allocated equally (50%) to each stratum.", "Name": "balanced-synthetic-A", "TotalCases": 200, "TotalSuccesses": 120, "PooledSuccessRate": 0.6 },
      { "TreatmentId": "balanced-synthetic-B", "Study": "balanced-synthetic", "TreatmentLabel": "B", "Description": "Synthetic treatment B — 50% success rate in both strata. Allocated equally (50%) to each stratum.", "Name": "balanced-synthetic-B", "TotalCases": 200, "TotalSuccesses": 100, "PooledSuccessRate": 0.5 },
      { "TreatmentId": "berkeley-1973-male", "Study": "berkeley-1973", "TreatmentLabel": "A", "Description": "Male applicants (labeled A). Pooled admission rate appears higher than female.", "Name": "berkeley-1973-male", "TotalCases": 2127, "TotalSuccesses": 1123, "PooledSuccessRate": 0.5279736718382698 },
      { "TreatmentId": "berkeley-1973-female", "Study": "berkeley-1973", "TreatmentLabel": "B", "Description": "Female applicants (labeled B). Pooled admission rate appears lower, but per-department rates are equal or higher in most departments.", "Name": "berkeley-1973-female", "TotalCases": 1101, "TotalSuccesses": 439, "PooledSuccessRate": 0.39872842870118075 },
      { "TreatmentId": "compressed-synthetic-A", "Study": "compressed-synthetic", "TreatmentLabel": "A", "Description": "Treatment A — 70% success rate in hard stratum, 90% in easy stratum. Over-allocated to the hard stratum (60% of A cases go to hard). A wins in both strata and also wins pooled, but pooled margin is compressed by the allocation imbalance.", "Name": "compressed-synthetic-A", "TotalCases": 200, "TotalSuccesses": 156, "PooledSuccessRate": 0.78 },
      { "TreatmentId": "compressed-synthetic-B", "Study": "compressed-synthetic", "TreatmentLabel": "B", "Description": "Treatment B — 60% success rate in hard stratum, 80% in easy stratum. Over-allocated to the easy stratum (60% of B cases go to easy). B loses in both strata and also loses pooled, but looks better than it would under equal allocation.", "Name": "compressed-synthetic-B", "TotalCases": 200, "TotalSuccesses": 144, "PooledSuccessRate": 0.72 },
      { "TreatmentId": "reintjes-2000-A", "Study": "reintjes-2000", "TreatmentLabel": "A", "Description": "Antibiotic prophylaxis given. Within every stratum prophylaxis patients have HIGHER UTI rates than controls. Aggregate inverts due to confounding by hospital incidence level.", "Name": "reintjes-2000-A", "TotalCases": 1279, "TotalSuccesses": 42, "PooledSuccessRate": 0.0328381548084441 },
      { "TreatmentId": "reintjes-2000-B", "Study": "reintjes-2000", "TreatmentLabel": "B", "Description": "No antibiotic prophylaxis (control). Within every stratum controls have LOWER UTI rates. Aggregate inverts: controls appear to have higher rates pooled.", "Name": "reintjes-2000-B", "TotalCases": 2240, "TotalSuccesses": 104, "PooledSuccessRate": 0.04642857142857143 },
      { "TreatmentId": "radelet-1981-A", "Study": "radelet-1981", "TreatmentLabel": "A", "Description": "White defendant. In both victim-race strata, white defendants are LESS likely to receive the death penalty than black defendants. Aggregate inverts: white defendants appear more likely overall due to victim-race confounding.", "Name": "radelet-1981-A", "TotalCases": 160, "TotalSuccesses": 19, "PooledSuccessRate": 0.11875 },
      { "TreatmentId": "radelet-1981-B", "Study": "radelet-1981", "TreatmentLabel": "B", "Description": "Black defendant. In both victim-race strata, black defendants are MORE likely to receive the death penalty. Aggregate inverts: black defendants are concentrated in black-victim cases (low death-sentence rate), pulling their aggregate rate below white defendants.", "Name": "radelet-1981-B", "TotalCases": 166, "TotalSuccesses": 17, "PooledSuccessRate": 0.10240963855421686 },
      { "TreatmentId": "jeter-justice-1997-A", "Study": "jeter-justice-1997", "TreatmentLabel": "A", "Description": "Derek Jeter (New York Yankees). Higher combined batting average (.300) despite losing to Justice in every individual season. Bulk at-bats in stronger years (1996: 582 AB, 1997: 654 AB) pull his combined average up.", "Name": "jeter-justice-1997-A", "TotalCases": 1284, "TotalSuccesses": 385, "PooledSuccessRate": 0.2998442367601246 },
      { "TreatmentId": "jeter-justice-1997-B", "Study": "jeter-justice-1997", "TreatmentLabel": "B", "Description": "David Justice (Atlanta Braves 1995-96, Cleveland Indians 1997). Higher batting average in each individual year (1995: .253, 1996: .321, 1997: .329) but lower combined (.298). Bulk at-bats in his weakest year (1995: 411 AB at .253) drag his combined average down.", "Name": "jeter-justice-1997-B", "TotalCases": 1046, "TotalSuccesses": 312, "PooledSuccessRate": 0.2982791586998088 },
      { "TreatmentId": "appleton-1996-A", "Study": "appleton-1996", "TreatmentLabel": "A", "Description": "Smoker at baseline (1972-74). Higher mortality within every age stratum. Pooled mortality appears LOWER (23.9%) than non-smokers (31.4%) — the reversal. Mechanism: smokers were younger on average at baseline, and younger women have lower 20-year mortality regardless of smoking status.", "Name": "appleton-1996-A", "TotalCases": 582, "TotalSuccesses": 139, "PooledSuccessRate": 0.23883161512027493 },
      { "TreatmentId": "appleton-1996-B", "Study": "appleton-1996", "TreatmentLabel": "B", "Description": "Non-smoker at baseline. Lower mortality within every age stratum. Pooled mortality appears HIGHER (31.4%) — misleadingly so. Non-smokers were older on average (survival bias: older women who reached the survey more likely to be lifelong non-smokers), concentrating them in high-mortality age strata.", "Name": "appleton-1996-B", "TotalCases": 732, "TotalSuccesses": 230, "PooledSuccessRate": 0.31420765027322406 },
      { "</t>
  </si>
  <si>
    <t xml:space="preserve">TreatmentId": "phe-covid-2021-A", "Study": "phe-covid-2021", "TreatmentLabel": "A", "Description": "Vaccinated (includes partially vaccinated). Within every age stratum, vaccinated individuals have a LOWER COVID-19 Delta death rate than unvaccinated. Pooled death rate appears HIGHER (0.41%) than unvaccinated (0.17%) because vaccinated people were overwhelmingly older — 23% of vaccinated are 50+ vs only 2.3% of unvaccinated, and the 50+ group has ~100× higher CFR.", "Name": "phe-covid-2021-A", "TotalCases": 117114, "TotalSuccesses": 481, "PooledSuccessRate": 0.004107109312294004 },
      { "TreatmentId": "phe-covid-2021-B", "Study": "phe-covid-2021", "TreatmentLabel": "B", "Description": "Unvaccinated. Within every age stratum, unvaccinated individuals have a HIGHER COVID-19 Delta death rate than vaccinated. Pooled death rate appears LOWER (0.17%) — a statistical artifact of the unvaccinated cohort being overwhelmingly young (97.7% under 50).", "Name": "phe-covid-2021-B", "TotalCases": 151052, "TotalSuccesses": 253, "PooledSuccessRate": 0.0016749198951354501 },
      { "TreatmentId": "rogers-nicewander-1988-A", "Study": "rogers-nicewander-1988", "TreatmentLabel": "A", "Description": "Ron Fairly — higher combined batting average (.333) despite lower rate in each World Series individually.", "Name": "rogers-nicewander-1988-A", "TotalCases": 36, "TotalSuccesses": 12, "PooledSuccessRate": 0.3333333333333333 },
      { "TreatmentId": "rogers-nicewander-1988-B", "Study": "rogers-nicewander-1988", "TreatmentLabel": "B", "Description": "Jim Lefebvre — wins each series split but lower combined average (.273) due to fewer at-bats in strong series.", "Name": "rogers-nicewander-1988-B", "TotalCases": 22, "TotalSuccesses": 6, "PooledSuccessRate": 0.2727272727272727 },
      { "TreatmentId": "lucente-baseball-1995-A", "Study": "lucente-baseball-1995", "TreatmentLabel": "A", "Description": "Player A — higher combined average despite losing each half-season split.", "Name": "lucente-baseball-1995-A", "TotalCases": 330, "TotalSuccesses": 97, "PooledSuccessRate": 0.29393939393939394 },
      { "TreatmentId": "lucente-baseball-1995-B", "Study": "lucente-baseball-1995", "TreatmentLabel": "B", "Description": "Player B — wins each half individually, loses combined due to AB allocation.", "Name": "lucente-baseball-1995-B", "TotalCases": 360, "TotalSuccesses": 103, "PooledSuccessRate": 0.2861111111111111 },
      { "TreatmentId": "wilson-batting-2000-A", "Study": "wilson-batting-2000", "TreatmentLabel": "A", "Description": "Batter A — higher combined hit rate.", "Name": "wilson-batting-2000-A", "TotalCases": 180, "TotalSuccesses": 53, "PooledSuccessRate": 0.29444444444444445 },
      { "TreatmentId": "wilson-batting-2000-B", "Study": "wilson-batting-2000", "TreatmentLabel": "B", "Description": "Batter B — wins each inning-half stratum, loses pooled.", "Name": "wilson-batting-2000-B", "TotalCases": 200, "TotalSuccesses": 60, "PooledSuccessRate": 0.3 },
      { "TreatmentId": "clemens-bly-1998-A", "Study": "clemens-bly-1998", "TreatmentLabel": "A", "Description": "Pitcher/hitter A — higher combined success rate.", "Name": "clemens-bly-1998-A", "TotalCases": 140, "TotalSuccesses": 40, "PooledSuccessRate": 0.2857142857142857 },
      { "TreatmentId": "clemens-bly-1998-B", "Study": "clemens-bly-1998", "TreatmentLabel": "B", "Description": "Pitcher/hitter B — wins home and away splits individually.", "Name": "clemens-bly-1998-B", "TotalCases": 155, "TotalSuccesses": 46, "PooledSuccessRate": 0.2967741935483871 },
      { "TreatmentId": "open-university-1975-A", "Study": "open-university-1975", "TreatmentLabel": "A", "Description": "Male students (treatment A).", "Name": "open-university-1975-A", "TotalCases": 1484, "TotalSuccesses": 1063, "PooledSuccessRate": 0.7163072776280324 },
      { "TreatmentId": "open-university-1975-B", "Study": "open-university-1975", "TreatmentLabel": "B", "Description": "Female students (treatment B).", "Name": "open-university-1975-B", "TotalCases": 1039, "TotalSuccesses": 737, "PooledSuccessRate": 0.7093358999037536 },
      { "TreatmentId": "pisa-immigration-2015-A", "Study": "pisa-immigration-2015", "TreatmentLabel": "A", "Description": "Native-born students (A).", "Name": "pisa-immigration-2015-A", "TotalCases": 900, "TotalSuccesses": 700, "PooledSuccessRate": 0.7777777777777778 },
      { "TreatmentId": "pisa-immigration-2015-B", "Study": "pisa-immigration-2015", "TreatmentLabel": "B", "Description": "Immigrant students (B).", "Name": "pisa-immigration-2015-B", "TotalCases": 320, "TotalSuccesses": 230, "PooledSuccessRate": 0.71875 },
      { "TreatmentId": "wainer-sat-states-1992-A", "Study": "wainer-sat-states-1992", "TreatmentLabel": "A", "Description": "High SAT participation states.", "Name": "wainer-sat-states-1992-A", "TotalCases": 900, "TotalSuccesses": 520, "PooledSuccessRate": 0.5777777777777777 },
      { "TreatmentId": "wainer-sat-states-1992-B", "Study": "wainer-sat-states-1992", "TreatmentLabel": "B", "Description": "Low SAT participation states.", "Name": "wainer-sat-states-1992-B", "TotalCases": 450, "TotalSuccesses": 330, "PooledSuccessRate": 0.7333333333333333 },
      { "TreatmentId": "folic-acid-neural-tube-1991-A", "Study": "folic-acid-neural-tube-1991", "TreatmentLabel": "A", "Description": "Multivitamin with folic acid (treatment A).", "Name": "folic-acid-neural-tube-1991-A", "TotalCases": 2104, "TotalSuccesses": 0, "PooledSuccessRate": 0.0 },
      { "TreatmentId": "folic-acid-neural-tube-1991-B", "Study": "folic-acid-neural-tube-1991", "TreatmentLabel": "B", "Description": "Trace-element control supplement (treatment B).", "Name": "folic-acid-neural-tube-1991-B", "TotalCases": 2052, "TotalSuccesses": 6, "PooledSuccessRate": 0.0029239766081871343 },
      { "TreatmentId": "steroid-asthma-severity-A", "Study": "steroid-asthma-severity", "TreatmentLabel": "A", "Description": "Inhaled corticosteroid therapy.", "Name": "steroid-asthma-severity-A", "TotalCases": 320, "TotalSuccesses": 240, "PooledSuccessRate": 0.75 },
      { "TreatmentId": "steroid-asthma-severity-B", "Study": "steroid-asthma-severity", "TreatmentLabel": "B", "Description": "Placebo / usual care without ICS.", "Name": "steroid-asthma-severity-B", "TotalCases": 330, "TotalSuccesses": 240, "PooledSuccessRate": 0.7272727272727273 },
      { "TreatmentId": "kidney-dialysis-facility-1990-A", "Study": "kidney-dialysis-facility-1990", "TreatmentLabel": "A", "Description": "High-volume dialysis facility.", "Name": "kidney-dialysis-facility-1990-A", "TotalCases": 200, "TotalSuccesses": 177, "PooledSuccessRate": 0.885 },
      { "TreatmentId": "kidney-dialysis-facility-1990-B", "Study": "kidney-dialysis-facility-1990", "TreatmentLabel": "B", "Description": "Low-volume dialysis facility.", "Name": "kidney-dialysis-facility-1990-B", "TotalCases": 200, "TotalSuccesses": 158, "PooledSuccessRate": 0.79 },
      { "TreatmentId": "warfarin-bleeding-age-A", "Study": "warfarin-bleeding-age", "TreatmentLabel": "A", "Description": "Warfarin anticoagulation.", "Name": "warfarin-bleeding-age-A", "TotalCases": 800, "TotalSuccesses": 70, "PooledSuccessRate": 0.0875 },
      { "TreatmentId": "warfarin-bleeding-age-B", "Study": "warfarin-bleeding-age", "TreatmentLabel": "B", "Description": "No anticoagulation / aspirin.", "Name": "warfarin-bleeding-age-B", "TotalCases": 600, "TotalSuccesses": 35, "PooledSuccessRate": 0.058333333333333334 },
      { "TreatmentId": "diabetes-metformin-bmi-A", "Study": "diabetes-metformin-bmi", "TreatmentLabel": "A", "Description": "Metformin monotherapy.", "Name": "diabetes-metformin-bmi-A", "TotalCases": 450, "TotalSuccesses": 300, "PooledSuccessRate": 0.6666666666666666 },
      { "TreatmentId": "diabetes-metformin-bmi-B", "Study": "diabetes-metformin-bmi", "TreatmentLabel": "B", "Description": "Sulfonylurea monotherapy.", "Name": "diabetes-metformin-bmi-B", "TotalCases": 450, "TotalSuccesses": 270, "PooledSuccessRate": 0.6 },
      { "TreatmentId": "oncology-trial-stage-A", "Study": "oncology-trial-stage", "TreatmentLabel": "A", "Description": "Standard chemotherapy regimen A.", "Name": "oncology-trial-stage-A", "TotalCases": 300, "TotalSuccesses": 190, "PooledSuccessRate": 0.6333333333333333 },
      { "TreatmentId": "oncology-trial-stage-B", "Study": "oncology-trial-stage", "TreatmentLabel": "B", "Description": "Alternative regimen B.", "Name": "oncology-trial-stage-B", "TotalCases": 300, "TotalSuccesses": 190, "PooledSuccessRate": 0.6333333333333333 },
      { "TreatmentId": "exercise-cholesterol-age-A", "Study": "exercise-cholesterol-age", "TreatmentLabel": "A", "Description": "Regular exercise program.", "Name": "exercise-cholesterol-age-A", "TotalCases": 500, "TotalSuccesses": 280, "PooledSuccessRate": 0.56 },
      { "TreatmentId": "exercise-cholesterol-age-B", "Study": "exercise-cholesterol-age", "TreatmentLabel": "B", "Description": "Sedentary / no exercise program.", "Name": "exercise-cholesterol-age-B", "TotalCases": 550, "TotalSuccesses": 220, "PooledSuccessRate": 0.4 },
      { "TreatmentId": "red-meat-colorectal-bmi-A", "Study": "red-meat-colorectal-bmi", "TreatmentLabel": "A", "Description": "High red meat consumption.", "Name": "red-meat-colorectal-bmi-A", "TotalCases": 900, "TotalSuccesses": 75, "PooledSuccessRate": 0.08333333333333333 },
      { "TreatmentId": "red-meat-colorectal-bmi-B", "Study": "red-meat-colorectal-bmi", "TreatmentLabel": "B", "Description": "Low red meat consumption.", "Name": "red-meat-colorectal-bmi-B", "TotalCases": 950, "TotalSuccesses": 60, "PooledSuccessRate": 0.06315789473684211 },
      { "TreatmentId": "folic-fortification-2000-A", "Study": "folic-fortification-2000", "TreatmentLabel": "A", "Description": "Post-fortification cohort (fortified grain exposure).", "Name": "folic-fortification-2000-A", "TotalCases": 3000, "TotalSuccesses": 2915, "PooledSuccessRate": 0.9716666666666667 },
      { "TreatmentId": "folic-fortification-2000-B", "Study": "folic-fortification-2000", "TreatmentLabel": "B", "Description": "Pre-fortification comparison cohort.", "Name": "folic-fortification-2000-B", "TotalCases": 3000, "TotalSuccesses": 2850, "PooledSuccessRate": 0.95 },
      { "TreatmentId": "north-carolina-death-penalty-1990-A", "Study": "north-carolina-death-penalty-1990", "TreatmentLabel": "A", "Description": "White defendant.", "Name": "north-carolina-death-penalty-1990-A", "TotalCases": 135, "TotalSuccesses": 15, "PooledSuccessRate": 0.1111111111111111 },
      { "TreatmentId": "north-carolina-death-penalty-1990-B", "Study": "north-carolina-death-penalty-1990", "TreatmentLabel": "B", "Description": "Black defendant.", "Name": "north-carolina-death-penalty-1990-B", "TotalCases": 145, "TotalSuccesses": 13, "PooledSuccessRate": 0.0896551724137931 },
      { "TreatmentId": "housing-discrimination-audit-A", "Study": "housing-discrimination-audit", "TreatmentLabel": "A", "Description": "Minority paired tester (treatment A).", "Name": "housing-discrimination-audit-A", "TotalCases": 500, "TotalSuccesses": 300, "PooledSuccessRate": 0.6 },
      { "TreatmentId": "housing-discrimination-audit-B", "Study": "housing-discrimination-audit", "TreatmentLabel": "B", "Description": "White paired tester (treatment B).", "Name": "housing-discrimination-audit-B", "TotalCases": 500, "TotalSuccesses": 360, "PooledSuccessRate": 0.72 },
      { "TreatmentId": "gender-pay-gap-industry-A", "Study": "gender-pay-gap-industry", "TreatmentLabel": "A", "Description": "Male workers.", "Name": "gender-pay-gap-industry-A", "TotalCases": 1400, "TotalSuccesses": 770, "PooledSuccessRate": 0.55 },
      { "TreatmentId": "gender-pay-gap-industry-B", "Study": "gender-pay-gap-industry", "TreatmentLabel": "B", "Description": "Female workers.", "Name": "gender-pay-gap-industry-B", "TotalCases": 1400, "TotalSuccesses": 910, "PooledSuccessRate": 0.65 },
      { "TreatmentId": "income-education-state-A", "Study": "income-education-state", "TreatmentLabel": "A", "Description": "College degree attainment (treatment A).", "Name": "income-education-state-A", "TotalCases": 1900, "TotalSuccesses": 1300, "PooledSuccessRate": 0.6842105263157895 },
      { "TreatmentId": "income-education-state-B", "Study": "income-education-state", "TreatmentLabel": "B", "Description": "High school only (treatment B).", "Name": "income-education-state-B", "TotalCases": 1700, "TotalSuccesses": 850, "PooledSuccessRate": 0.5 },
      { "TreatmentId": "florida-reef-fish-1994-A", "Study": "florida-reef-fish-1994", "TreatmentLabel": "A", "Description": "Gear type A (e.g. hook-and-line).", "Name": "florida-reef-fish-1994-A", "TotalCases": 800, "TotalSuccesses": 570, "PooledSuccessRate": 0.7125 },
      { "TreatmentId": "florida-reef-fish-1994-B", "Study": "florida-reef-fish-1994", "TreatmentLabel": "B", "Description": "Gear type B (e.g. trawl).", "Name": "florida-reef-fish-1994-B", "TotalCases": 800, "TotalSuccesses": 530, "PooledSuccessRate": 0.6625 },
      { "TreatmentId": "uc-irvine-admissions-1985-A", "Study": "uc-irvine-admissions-1985", "TreatmentLabel": "A", "Description": "Male applicants.", "Name": "uc-irvine-admissions-1985-A", "TotalCases": 1150, "TotalSuccesses": 390, "PooledSuccessRate": 0.3391304347826087 },
      { "TreatmentId": "uc-irvine-admissions-1985-B", "Study": "uc-irvine-admissions-1985", "TreatmentLabel": "B", "Description": "Female applicants.", "Name": "uc-irvine-admissions-1985-B", "TotalCases": 1030, "TotalSuccesses": 440, "PooledSuccessRate": 0.42718446601941745 },
      { "TreatmentId": "cesarean-birth-weight-2006-A", "Study": "cesarean-birth-weight-2006", "TreatmentLabel": "A", "Description": "Cephalic vertex presentation (A).", "Name": "cesarean-birth-weight-2006-A", "TotalCases": 5800, "TotalSuccesses": 1600, "PooledSuccessRate": 0.27586206896551724 },
      { "TreatmentId": "cesarean-birth-weight-2006-B", "Study": "cesarean-birth-weight-2006", "TreatmentLabel": "B", "Description": "Non-cephalic presentation (B).", "Name": "cesarean-birth-weight-2006-B", "TotalCases": 2600, "TotalSuccesses": 1150, "PooledSuccessRate": 0.4423076923076923 },
      { "TreatmentId": "schizophrenia-antipsychotic-A", "Study": "schizophrenia-antipsychotic", "TreatmentLabel": "A", "Description": "Second-generation antipsychotic (A).", "Name": "schizophrenia-antipsychotic-A", "TotalCases": 270, "TotalSuccesses": 130, "PooledSuccessRate": 0.48148148148148145 },
      { "TreatmentId": "schizophrenia-antipsychotic-B", "Study": "schizophrenia-antipsychotic", "TreatmentLabel": "B", "Description": "First-generation antipsychotic (B).", "Name": "schizophrenia-antipsychotic-B", "TotalCases": 270, "TotalSuccesses": 135, "PooledSuccessRate": 0.5 },
      { "TreatmentId": "berkeley-six-dept-1973-A", "Study": "berkeley-six-dept-1973", "TreatmentLabel": "A", "Description": "Male applicants.", "Name": "berkeley-six-dept-1973-A", "TotalCases": 2691, "TotalSuccesses": 1198, "PooledSuccessRate": 0.4451876625789669 },
      { "TreatmentId": "berkeley-six-dept-1973-B", "Study": "berkeley-six-dept-1973", "TreatmentLabel": "B", "Description": "Female applicants.", "Name": "berkeley-six-dept-1973-B", "TotalCases": 1835, "TotalSuccesses": 557, "PooledSuccessRate": 0.30354223433242505 },
      { "TreatmentId": "rosiglitazone-mi-pool-2007-A", "Study": "rosiglitazone-mi-pool-2007", "TreatmentLabel": "A", "Description": "Rosiglitazone arm (treatment A).", "Name": "rosiglitazone-mi-pool-2007-A", "TotalCases": 15565, "TotalSuccesses": 86, "PooledSuccessRate": 0.0055252168326373275 },
      { "TreatmentId": "rosiglitazone-mi-pool-2007-B", "Study": "rosiglitazone-mi-pool-2007", "TreatmentLabel": "B", "Description": "Control / comparator arm (treatment B).", "Name": "rosiglitazone-mi-pool-2007-B", "TotalCases": 12282, "TotalSuccesses": 72, "PooledSuccessRate": 0.005862237420615535 },
      { "TreatmentId": "ironman-gender-age-2010-A", "Study": "ironman-gender-age-2010", "TreatmentLabel": "A", "Description": "Male finishers.", "Name": "ironman-gender-age-2010-A", "TotalCases": 110, "TotalSuccesses": 85, "PooledSuccessRate": 0.7727272727272727 },
      { "TreatmentId": "ironman-gender-age-2010-B", "Study": "ironman-gender-age-2010", "TreatmentLabel": "B", "Description": "Female finishers.", "Name": "ironman-gender-age-2010-B", "TotalCases": 110, "TotalSuccesses": 69, "PooledSuccessRate": 0.6272727272727273 },
      { "TreatmentId": "hanley-power-lines-2000-A", "Study": "hanley-power-lines-2000", "TreatmentLabel": "A", "Description": "Residing within 100m of high-voltage lines (exposed).", "Name": "hanley-power-lines-2000-A", "TotalCases": 255, "TotalSuccesses": 42, "PooledSuccessRate": 0.16470588235294117 },
      { "TreatmentId": "hanley-power-lines-2000-B", "Study": "hanley-power-lines-2000", "TreatmentLabel": "B", "Description": "Not within 100m (unexposed).", "Name": "hanley-power-lines-2000-B", "TotalCases": 1260, "TotalSuccesses": 126, "PooledSuccessRate": 0.1 },
      { "TreatmentId": "coffee-smoking-lung-1968-A", "Study": "coffee-smoking-lung-1968", "TreatmentLabel": "A", "Description": "Coffee drinkers.", "Name": "coffee-smoking-lung-1968-A", "TotalCases": 898, "TotalSuccesses": 147, "PooledSuccessRate": 0.16369710467706014 },
      { "TreatmentId": "coffee-smoking-lung-1968-B", "Study": "coffee-smoking-lung-1968", "TreatmentLabel": "B", "Description": "Non-coffee drinkers.", "Name": "coffee-smoking-lung-1968-B", "TotalCases": 218, "TotalSuccesses": 23, "PooledSuccessRate": 0.10550458715596331 },
      { "TreatmentId": "panama-sweden-mortality-1975-A", "Study": "panama-sweden-mortality-1975", "TreatmentLabel": "A", "Description": "Panama (country A).", "Name": "panama-sweden-mortality-1975-A", "TotalCases": 1000, "TotalSuccesses": 914, "PooledSuccessRate": 0.914 },
      { "TreatmentId": "panama-sweden-mortality-1975-B", "Study": "panama-sweden-mortality-1975", "TreatmentLabel": "B", "Description": "Sweden (country B).", "Name": "panama-sweden-mortality-1975-B", "TotalCases": 1000, "TotalSuccesses": 964, "PooledSuccessRate": 0.964 },
      { "TreatmentId": "hrt-whi-2002-A", "Study": "hrt-whi-2002", "TreatmentLabel": "A", "Description": "Hormone replacement therapy (HRT).", "Name": "hrt-whi-2002-A", "TotalCases": 105000, "TotalSuccesses": 9450, "PooledSuccessRate": 0.09 },
      { "TreatmentId": "hrt-whi-2002-B", "Study": "hrt-whi-2002", "TreatmentLabel": "B", "Description": "Control / placebo / no HRT.", "Name": "hrt-whi-2002-B", "TotalCases": 105000, "TotalSuccesses": 9900, "PooledSuccessRate": 0.09428571428571429 },
      { "TreatmentId": "obesity-paradox-hf-A", "Study": "obesity-paradox-hf", "TreatmentLabel": "A", "Description": "Obese (BMI ≥ 30).", "Name": "obesity-paradox-hf-A", "TotalCases": 2000, "TotalSuccesses": 1450, "PooledSuccessRate": 0.725 },
      { "TreatmentId": "obesity-paradox-hf-B", "Study": "obesity-paradox-hf", "TreatmentLabel": "B", "Description": "Normal weight.", "Name": "obesity-paradox-hf-B", "TotalCases": 2000, "TotalSuccesses": 1400, "PooledSuccessRate": 0.7 },
      { "TreatmentId": "dialysis-bmi-survival-A", "Study": "dialysis-bmi-survival", "TreatmentLabel": "A", "Description": "Obese BMI.", "Name": "dialysis-bmi-survival-A", "TotalCases": 2000, "TotalSuccesses": 1600, "PooledSuccessRate": 0.8 },
      { "TreatmentId": "dialysis-bmi-survival-B", "Study": "dialysis-bmi-survival", "TreatmentLabel": "B", "Description": "Normal BMI.", "Name": "dialysis-bmi-survival-B", "TotalCases": 2000, "TotalSuccesses": 1550, "PooledSuccessRate": 0.775 },
      { "TreatmentId": "sick-quitter-alcohol-A", "Study": "sick-quitter-alcohol", "TreatmentLabel": "A", "Description": "Moderate drinkers (1–2 units/day).", "Name": "sick-quitter-alcohol-A", "TotalCases": 2000, "TotalSuccesses": 1670, "PooledSuccessRate": 0.835 },
      { "TreatmentId": "sick-quitter-alcohol-B", "Study": "sick-quitter-alcohol", "TreatmentLabel": "B", "Description": "Abstainers (includes sick quitters).", "Name": "sick-quitter-alcohol-B", "TotalCases": 2000, "TotalSuccesses": 1630, "PooledSuccessRate": 0.815 },
      { "TreatmentId": "flu-vaccine-elderly-mortality-A", "Study": "flu-vaccine-elderly-mortality", "TreatmentLabel": "A", "Description": "Influenza vaccinated.", "Name": "flu-vaccine-elderly-mortality-A", "TotalCases": 95000, "TotalSuccesses": 94579, "PooledSuccessRate": 0.9955684210526315 },
      { "TreatmentId": "flu-vaccine-elderly-mortality-B", "Study": "flu-vaccine-elderly-mortality", "TreatmentLabel": "B", "Description": "Unvaccinated.", "Name": "flu-vaccine-elderly-mortality-B", "TotalCases": 153000, "TotalSuccesses": 152452, "PooledSuccessRate": 0.9964183006535948 },
      { "TreatmentId": "covid-italy-china-cfr-2020-A", "Study": "covid-italy-china-cfr-2020", "TreatmentLabel": "A", "Description": "Italy (country A).", "Name": "covid-italy-china-cfr-2020-A", "TotalCases": 3000, "TotalSuccesses": 1290, "PooledSuccessRate": 0.43 },
      { "TreatmentId": "covid-italy-china-cfr-2020-B", "Study": "covid-italy-china-cfr-2020", "TreatmentLabel": "B", "Description": "China (country B).", "Name": "covid-italy-china-cfr-2020-B", "TotalCases": 50400, "TotalSuccesses": 49320, "PooledSuccessRate": 0.9785714285714285 },
      { "TreatmentId": "israel-covid-severe-2021-A", "Study": "israel-covid-severe-2021", "TreatmentLabel": "A", "Description": "Vaccinated individuals.", "Name": "israel-covid-severe-2021-A", "TotalCases": 11000, "TotalSuccesses": 425, "PooledSuccessRate": 0.038636363636363635 },
      { "TreatmentId": "israel-covid-severe-2021-B", "Study": "israel-covid-severe-2021", "TreatmentLabel": "B", "Description": "Unvaccinated individuals.", "Name": "israel-covid-severe-2021-B", "TotalCases": 152000, "TotalSuccesses": 230, "PooledSuccessRate": 0.0015131578947368421 },
      { "TreatmentId": "cochran-smoking-1968-A", "Study": "cochran-smoking-1968", "TreatmentLabel": "A", "Description": "Current smokers.", "Name": "cochran-smoking-1968-A", "TotalCases": 11000, "TotalSuccesses": 8900, "PooledSuccessRate": 0.8090909090909091 },
      { "TreatmentId": "cochran-smoking-1968-B", "Study": "cochran-smoking-1968", "TreatmentLabel": "B", "Description": "Non-smokers.", "Name": "cochran-smoking-1968-B", "TotalCases": 2000, "TotalSuccesses": 1400, "PooledSuccessRate": 0.7 },
      { "TreatmentId": "healthy-worker-mortality-A", "Study": "healthy-worker-mortality", "TreatmentLabel": "A", "Description": "Employed workers.", "Name": "healthy-worker-mortality-A", "TotalCases": 2000, "TotalSuccesses": 1800, "PooledSuccessRate": 0.9 },
      { "TreatmentId": "healthy-worker-mortality-B", "Study": "healthy-worker-mortality", "TreatmentLabel": "B", "Description": "General population / unemployed reference.", "Name": "healthy-worker-mortality-B", "TotalCases": 2000, "TotalSuccesses": 1700, "PooledSuccessRate": 0.85 },
      { "TreatmentId": "compas-recidivism-base-A", "Study": "compas-recidivism-base", "TreatmentLabel": "A", "Description": "COMPAS high-risk classification.", "Name": "compas-recidivism-base-A", "TotalCases": 2000, "TotalSuccesses": 1150, "PooledSuccessRate": 0.575 },
      { "TreatmentId": "compas-recidivism-base-B", "Study": "compas-recidivism-base", "TreatmentLabel": "B", "Description": "COMPAS low-risk classification.", "Name": "compas-recidivism-base-B", "TotalCases": 2000, "TotalSuccesses": 1250, "PooledSuccessRate": 0.625 },
      { "TreatmentId": "us-wage-composition-stagnation-A", "Study": "us-wage-composition-stagnation", "TreatmentLabel": "A", "Description": "2018 wage cohort (recent).", "Name": "us-wage-composition-stagnation-A", "TotalCases": 17000, "TotalSuccesses": 8300, "PooledSuccessRate": 0.48823529411764705 },
      { "TreatmentId": "us-wage-composition-stagnation-B", "Study": "us-wage-composition-stagnation", "TreatmentLabel": "B", "Description": "1978 wage cohort (reference).", "Name": "us-wage-composition-stagnation-B", "TotalCases": 14000, "TotalSuccesses": 6520, "PooledSuccessRate": 0.4657142857142857 },
      { "TreatmentId": "borjas-immigrant-cohort-A", "Study": "borjas-immigrant-cohort", "TreatmentLabel": "A", "Description": "Immigrant workers.", "Name": "borjas-immigrant-cohort-A", "TotalCases": 2000, "TotalSuccesses": 950, "PooledSuccessRate": 0.475 },
      { "TreatmentId": "borjas-immigrant-cohort-B", "Study": "borjas-immigrant-cohort", "TreatmentLabel": "B", "Description": "Native-born workers.", "Name": "borjas-immigrant-cohort-B", "TotalCases": 2000, "TotalSuccesses": 970, "PooledSuccessRate": 0.485 },
      { "TreatmentId": "robinson-1950-literacy-A", "Study": "robinson-1950-literacy", "TreatmentLabel": "A", "Description": "Foreign-born individuals.", "Name": "robinson-1950-literacy-A", "TotalCases": 2000, "TotalSuccesses": 1700, "PooledSuccessRate": 0.85 },
      { "TreatmentId": "robinson-1950-literacy-B", "Study": "robinson-1950-literacy", "TreatmentLabel": "B", "Description": "Native-born individuals.", "Name": "robinson-1950-literacy-B", "TotalCases": 12000, "TotalSuccesses": 10900, "PooledSuccessRate": 0.9083333333333333 },
      { "TreatmentId": "ab-test-traffic-mix-A", "Study": "ab-test-traffic-mix", "TreatmentLabel": "A", "Description": "Variant B (new feature).", "Name": "ab-test-traffic-mix-A", "TotalCases": 12000, "TotalSuccesses": 9100, "PooledSuccessRate": 0.7583333333333333 },
      { "TreatmentId": "ab-test-traffic-mix-B", "Study": "ab-test-traffic-mix", "TreatmentLabel": "B", "Description": "Variant A (control).", "Name": "ab-test-traffic-mix-B", "TotalCases": 12000, "TotalSuccesses": 8800, "PooledSuccessRate": 0.7333333333333333 },
      { "TreatmentId": "recsys-offline-eval-A", "Study": "recsys-offline-eval", "TreatmentLabel": "A", "Description": "New recommender model.", "Name": "recsys-offline-eval-A", "TotalCases": 2000, "TotalSuccesses": 1150, "PooledSuccessRate": 0.575 },
      { "TreatmentId": "recsys-offline-eval-B", "Study": "recsys-offline-eval", "TreatmentLabel": "B", "Description": "Baseline recommender model.", "Name": "recsys-offline-eval-B", "TotalCases": 2000, "TotalSuccesses": 1150, "PooledSuccessRate": 0.575 },
      { "TreatmentId": "collider-only-synthetic-A", "Study": "collider-only-synthetic", "TreatmentLabel": "A", "Description": "Treatment A (no confounding path).", "Name": "collider-only-synthetic-A", "TotalCases": 1000, "TotalSuccesses": 235, "PooledSuccessRate": 0.235 },
      { "TreatmentId": "collider-only-synthetic-B", "Study": "collider-only-synthetic", "TreatmentLabel": "B", "Description": "Treatment B (no confounding path).", "Name": "collider-only-synthetic-B", "TotalCases": 1000, "TotalSuccesses": 340, "PooledSuccessRate": 0.34 },
      { "TreatmentId": "noncollapsibility-or-synthetic-A", "Study": "noncollapsibility-or-synthetic", "TreatmentLabel": "A", "Description": "Treatment A — constant RD advantage.", "Name": "noncollapsibility-or-synthetic-A", "TotalCases": 1100, "TotalSuccesses": 440, "PooledSuccessRate": 0.4 },
      { "TreatmentId": "noncollapsibility-or-synthetic-B", "Study": "noncollapsibility-or-synthetic", "TreatmentLabel": "B", "Description": "Treatment B.", "Name": "noncollapsibility-or-synthetic-B", "TotalCases": 1100, "TotalSuccesses": 330, "PooledSuccessRate": 0.3 },
      { "TreatmentId": "trauma-center-mortality-A", "Study": "trauma-center-mortality", "TreatmentLabel": "A", "Description": "Trauma center care.", "Name": "trauma-center-mortality-A", "TotalCases": 2000, "TotalSuccesses": 1550, "PooledSuccessRate": 0.775 },
      { "TreatmentId": "trauma-center-mortality-B", "Study": "trauma-center-mortality", "TreatmentLabel": "B", "Description": "Non-trauma center care.", "Name": "trauma-center-mortality-B", "TotalCases": 2000, "TotalSuccesses": 1640, "PooledSuccessRate": 0.82 },
      { "TreatmentId": "surgeon-volume-mortality-A", "Study": "surgeon-volume-mortality", "TreatmentLabel": "A", "Description": "High-volume surgeon.", "Name": "surgeon-volume-mortality-A", "TotalCases": 2000, "TotalSuccesses": 1800, "PooledSuccessRate": 0.9 },
      { "TreatmentId": "surgeon-volume-mortality-B", "Study": "surgeon-volume-mortality", "TreatmentLabel": "B", "Description": "Low-volume surgeon.", "Name": "surgeon-volume-mortality-B", "TotalCases": 2000, "TotalSuccesses": 1835, "PooledSuccessRate": 0.9175 },
      { "TreatmentId": "mammography-length-bias-A", "Study": "mammography-length-bias", "TreatmentLabel": "A", "Description": "Screen-detected cancers.", "Name": "mammography-length-bias-A", "TotalCases": 2000, "TotalSuccesses": 1320, "PooledSuccessRate": 0.66 },
      { "TreatmentId": "mammography-length-bias-B", "Study": "mammography-length-bias", "TreatmentLabel": "B", "Description": "Symptomatic cancers.", "Name": "mammography-length-bias-B", "TotalCases": 2000, "TotalSuccesses": 1050, "PooledSuccessRate": 0.525 },
      { "TreatmentId": "cabg-vs-pci-severity-A", "Study": "cabg-vs-pci-severity", "TreatmentLabel": "A", "Description": "CABG revascularization.", "Name": "cabg-vs-pci-severity-A", "TotalCases": 2000, "TotalSuccesses": 1900, "PooledSuccessRate": 0.95 },
      { "TreatmentId": "cabg-vs-pci-severity-B", "Study": "cabg-vs-pci-severity", "TreatmentLabel": "B", "Description": "PCI revascularization.", "Name": "cabg-vs-pci-severity-B", "TotalCases": 2000, "TotalSuccesses": 1855, "PooledSuccessRate": 0.9275 },
      { "TreatmentId": "tolbutamide-ugdp-1970-A", "Study": "tolbutamide-ugdp-1970", "TreatmentLabel": "A", "Description": "Tolbutamide arm.", "Name": "tolbutamide-ugdp-1970-A", "TotalCases": 2000, "TotalSuccesses": 1700, "PooledSuccessRate": 0.85 },
      { "TreatmentId": "tolbutamide-ugdp-1970-B", "Study": "tolbutamide-ugdp-1970", "TreatmentLabel": "B", "Description": "Placebo/control arm.", "Name": "tolbutamide-ugdp-1970-B", "TotalCases": 2000, "TotalSuccesses": 1730, "PooledSuccessRate": 0.865 },
      { "TreatmentId": "snow-cholera-water-1855-A", "Study": "snow-cholera-water-1855", "TreatmentLabel": "A", "Description": "Southwark &amp; Vauxhall water supply.", "Name": "snow-cholera-water-1855-A", "TotalCases": 2000, "TotalSuccesses": 1842, "PooledSuccessRate": 0.921 },
      { "TreatmentId": "snow-cholera-water-1855-B", "Study": "snow-cholera-water-1855", "TreatmentLabel": "B", "Description": "Lambeth water supply.", "Name": "snow-cholera-water-1855-B", "TotalCases": 2000, "TotalSuccesses": 1930, "PooledSuccessRate": 0.965 },
      { "TreatmentId": "seatbelt-crash-severity-A", "Study": "seatbelt-crash-severity", "TreatmentLabel": "A", "Description": "Seatbelt used.", "Name": "seatbelt-crash-severity-A", "TotalCases": 2000, "TotalSuccesses": 1680, "PooledSuccessRate": 0.84 },
      { "TreatmentId": "seatbelt-crash-severity-B", "Study": "seatbelt-crash-severity", "TreatmentLabel": "B", "Description": "Seatbelt not used.", "Name": "seatbelt-crash-severity-B", "TotalCases": 2000, "TotalSuccesses": 1570, "PooledSuccessRate": 0.785 },
      { "TreatmentId": "measles-outbreak-vaccinated-A", "Study": "measles-outbreak-vaccinated", "TreatmentLabel": "A", "Description": "Vaccinated individuals.", "Name": "measles-outbreak-vaccinated-A", "TotalCases": 11000, "TotalSuccesses": 115, "PooledSuccessRate": 0.010454545454545454 },
      { "TreatmentId": "measles-outbreak-vaccinated-B", "Study": "measles-outbreak-vaccinated", "TreatmentLabel": "B", "Description": "Unvaccinated individuals.", "Name": "measles-outbreak-vaccinated-B", "TotalCases": 1500, "TotalSuccesses": 79, "PooledSuccessRate": 0.05266666666666667 },
      { "TreatmentId": "air-pollution-mortality-city-A", "Study": "air-pollution-mortality-city", "TreatmentLabel": "A", "Description": "Higher PM2.5 city (A).", "Name": "air-pollution-mortality-city-A", "TotalCases": 2000, "TotalSuccesses": 1900, "PooledSuccessRate": 0.95 },
      { "TreatmentId": "air-pollution-mortality-city-B", "Study": "air-pollution-mortality-city", "TreatmentLabel": "B", "Description": "Lower PM2.5 city (B).", "Name": "air-pollution-mortality-city-B", "TotalCases": 2000, "TotalSuccesses": 1925, "PooledSuccessRate": 0.9625 },
      { "TreatmentId": "tb-treatment-resistance-A", "Study": "tb-treatment-resistance", "TreatmentLabel": "A", "Description": "Intensive/new regimen.", "Name": "tb-treatment-resistance-A", "TotalCases": 2000, "TotalSuccesses": 1570, "PooledSuccessRate": 0.785 },
      { "TreatmentId": "tb-treatment-resistance-B", "Study": "tb-treatment-resistance", "TreatmentLabel": "B", "Description": "Standard regimen.", "Name": "tb-treatment-resistance-B", "TotalCases": 2000, "TotalSuccesses": 1630, "PooledSuccessRate": 0.815 },
      { "TreatmentId": "hospital-mortality-readmission-A", "Study": "hospital-mortality-readmission", "TreatmentLabel": "A", "Description": "HRRP-penalized hospital.", "Name": "hospital-mortality-readmission-A", "TotalCases": 2000, "TotalSuccesses": 1820, "PooledSuccessRate": 0.91 },
      { "TreatmentId": "hospital-mortality-readmission-B", "</t>
  </si>
  <si>
    <t xml:space="preserve">Study": "hospital-mortality-readmission", "TreatmentLabel": "B", "Description": "Non-penalized hospital.", "Name": "hospital-mortality-readmission-B", "TotalCases": 2000, "TotalSuccesses": 1855, "PooledSuccessRate": 0.9275 },
      { "TreatmentId": "nypd-stop-frisk-hitrate-A", "Study": "nypd-stop-frisk-hitrate", "TreatmentLabel": "A", "Description": "High-stop precinct profile (A).", "Name": "nypd-stop-frisk-hitrate-A", "TotalCases": 10000, "TotalSuccesses": 365, "PooledSuccessRate": 0.0365 },
      { "TreatmentId": "nypd-stop-frisk-hitrate-B", "Study": "nypd-stop-frisk-hitrate", "TreatmentLabel": "B", "Description": "Lower-stop precinct profile (B).", "Name": "nypd-stop-frisk-hitrate-B", "TotalCases": 8500, "TotalSuccesses": 352, "PooledSuccessRate": 0.041411764705882356 },
      { "TreatmentId": "sentencing-offense-type-A", "Study": "sentencing-offense-type", "TreatmentLabel": "A", "Description": "Comparison group A.", "Name": "sentencing-offense-type-A", "TotalCases": 2000, "TotalSuccesses": 1200, "PooledSuccessRate": 0.6 },
      { "TreatmentId": "sentencing-offense-type-B", "Study": "sentencing-offense-type", "TreatmentLabel": "B", "Description": "Comparison group B.", "Name": "sentencing-offense-type-B", "TotalCases": 2000, "TotalSuccesses": 1170, "PooledSuccessRate": 0.585 },
      { "TreatmentId": "bail-risk-score-A", "Study": "bail-risk-score", "TreatmentLabel": "A", "Description": "Detained pretrial.", "Name": "bail-risk-score-A", "TotalCases": 2000, "TotalSuccesses": 570, "PooledSuccessRate": 0.285 },
      { "TreatmentId": "bail-risk-score-B", "Study": "bail-risk-score", "TreatmentLabel": "B", "Description": "Released pretrial.", "Name": "bail-risk-score-B", "TotalCases": 2000, "TotalSuccesses": 670, "PooledSuccessRate": 0.335 },
      { "TreatmentId": "police-force-encounter-A", "Study": "police-force-encounter", "TreatmentLabel": "A", "Description": "Use-of-force encounter profile.", "Name": "police-force-encounter-A", "TotalCases": 2000, "TotalSuccesses": 580, "PooledSuccessRate": 0.29 },
      { "TreatmentId": "police-force-encounter-B", "Study": "police-force-encounter", "TreatmentLabel": "B", "Description": "Non-force encounter profile.", "Name": "police-force-encounter-B", "TotalCases": 2000, "TotalSuccesses": 170, "PooledSuccessRate": 0.085 },
      { "TreatmentId": "uc-systemwide-admissions-A", "Study": "uc-systemwide-admissions", "TreatmentLabel": "A", "Description": "Applicant group A.", "Name": "uc-systemwide-admissions-A", "TotalCases": 2000, "TotalSuccesses": 770, "PooledSuccessRate": 0.385 },
      { "TreatmentId": "uc-systemwide-admissions-B", "Study": "uc-systemwide-admissions", "TreatmentLabel": "B", "Description": "Applicant group B.", "Name": "uc-systemwide-admissions-B", "TotalCases": 2000, "TotalSuccesses": 740, "PooledSuccessRate": 0.37 },
      { "TreatmentId": "teacher-vam-prior-achievement-A", "Study": "teacher-vam-prior-achievement", "TreatmentLabel": "A", "Description": "Teacher A.", "Name": "teacher-vam-prior-achievement-A", "TotalCases": 2000, "TotalSuccesses": 1370, "PooledSuccessRate": 0.685 },
      { "TreatmentId": "teacher-vam-prior-achievement-B", "Study": "teacher-vam-prior-achievement", "TreatmentLabel": "B", "Description": "Teacher B.", "Name": "teacher-vam-prior-achievement-B", "TotalCases": 2000, "TotalSuccesses": 1380, "PooledSuccessRate": 0.69 },
      { "TreatmentId": "naep-state-demographics-A", "Study": "naep-state-demographics", "TreatmentLabel": "A", "Description": "State profile A.", "Name": "naep-state-demographics-A", "TotalCases": 2000, "TotalSuccesses": 730, "PooledSuccessRate": 0.365 },
      { "TreatmentId": "naep-state-demographics-B", "Study": "naep-state-demographics", "TreatmentLabel": "B", "Description": "State profile B.", "Name": "naep-state-demographics-B", "TotalCases": 2000, "TotalSuccesses": 740, "PooledSuccessRate": 0.37 },
      { "TreatmentId": "college-grad-rate-selectivity-A", "Study": "college-grad-rate-selectivity", "TreatmentLabel": "A", "Description": "Highly selective institution.", "Name": "college-grad-rate-selectivity-A", "TotalCases": 2000, "TotalSuccesses": 1470, "PooledSuccessRate": 0.735 },
      { "TreatmentId": "college-grad-rate-selectivity-B", "Study": "college-grad-rate-selectivity", "TreatmentLabel": "B", "Description": "Less selective institution.", "Name": "college-grad-rate-selectivity-B", "TotalCases": 2000, "TotalSuccesses": 1500, "PooledSuccessRate": 0.75 },
      { "TreatmentId": "star-class-size-A", "Study": "star-class-size", "TreatmentLabel": "A", "Description": "Small class assignment.", "Name": "star-class-size-A", "TotalCases": 2000, "TotalSuccesses": 1730, "PooledSuccessRate": 0.865 },
      { "TreatmentId": "star-class-size-B", "Study": "star-class-size", "TreatmentLabel": "B", "Description": "Regular class assignment.", "Name": "star-class-size-B", "TotalCases": 2000, "TotalSuccesses": 1700, "PooledSuccessRate": 0.85 },
      { "TreatmentId": "nba-shooting-shot-mix-A", "Study": "nba-shooting-shot-mix", "TreatmentLabel": "A", "Description": "Shooter/team A.", "Name": "nba-shooting-shot-mix-A", "TotalCases": 2000, "TotalSuccesses": 840, "PooledSuccessRate": 0.42 },
      { "TreatmentId": "nba-shooting-shot-mix-B", "Study": "nba-shooting-shot-mix", "TreatmentLabel": "B", "Description": "Shooter/team B.", "Name": "nba-shooting-shot-mix-B", "TotalCases": 1500, "TotalSuccesses": 590, "PooledSuccessRate": 0.3933333333333333 },
      { "TreatmentId": "pitcher-era-ballpark-A", "Study": "pitcher-era-ballpark", "TreatmentLabel": "A", "Description": "Pitcher A.", "Name": "pitcher-era-ballpark-A", "TotalCases": 2000, "TotalSuccesses": 1170, "PooledSuccessRate": 0.585 },
      { "TreatmentId": "pitcher-era-ballpark-B", "Study": "pitcher-era-ballpark", "TreatmentLabel": "B", "Description": "Pitcher B.", "Name": "pitcher-era-ballpark-B", "TotalCases": 2000, "TotalSuccesses": 1160, "PooledSuccessRate": 0.58 },
      { "TreatmentId": "nfl-completion-depth-A", "Study": "nfl-completion-depth", "TreatmentLabel": "A", "Description": "Quarterback A.", "Name": "nfl-completion-depth-A", "TotalCases": 1000, "TotalSuccesses": 810, "PooledSuccessRate": 0.81 },
      { "TreatmentId": "nfl-completion-depth-B", "Study": "nfl-completion-depth", "TreatmentLabel": "B", "Description": "Quarterback B.", "Name": "nfl-completion-depth-B", "TotalCases": 1000, "TotalSuccesses": 810, "PooledSuccessRate": 0.81 },
      { "TreatmentId": "field-goal-distance-A", "Study": "field-goal-distance", "TreatmentLabel": "A", "Description": "Kicker A.", "Name": "field-goal-distance-A", "TotalCases": 2000, "TotalSuccesses": 1550, "PooledSuccessRate": 0.775 },
      { "TreatmentId": "field-goal-distance-B", "Study": "field-goal-distance", "TreatmentLabel": "B", "Description": "Kicker B.", "Name": "field-goal-distance-B", "TotalCases": 2000, "TotalSuccesses": 1590, "PooledSuccessRate": 0.795 },
      { "TreatmentId": "golf-scoring-course-A", "Study": "golf-scoring-course", "TreatmentLabel": "A", "Description": "Golfer A.", "Name": "golf-scoring-course-A", "TotalCases": 2000, "TotalSuccesses": 1000, "PooledSuccessRate": 0.5 },
      { "TreatmentId": "golf-scoring-course-B", "Study": "golf-scoring-course", "TreatmentLabel": "B", "Description": "Golfer B.", "Name": "golf-scoring-course-B", "TotalCases": 2000, "TotalSuccesses": 1000, "PooledSuccessRate": 0.5 },
      { "TreatmentId": "minimum-wage-region-A", "Study": "minimum-wage-region", "TreatmentLabel": "A", "Description": "High minimum-wage region.", "Name": "minimum-wage-region-A", "TotalCases": 2000, "TotalSuccesses": 1700, "PooledSuccessRate": 0.85 },
      { "TreatmentId": "minimum-wage-region-B", "Study": "minimum-wage-region", "TreatmentLabel": "B", "Description": "Comparison region.", "Name": "minimum-wage-region-B", "TotalCases": 2000, "TotalSuccesses": 1730, "PooledSuccessRate": 0.865 },
      { "TreatmentId": "returns-to-education-field-A", "Study": "returns-to-education-field", "TreatmentLabel": "A", "Description": "College-educated workers.", "Name": "returns-to-education-field-A", "TotalCases": 2000, "TotalSuccesses": 1240, "PooledSuccessRate": 0.62 },
      { "TreatmentId": "returns-to-education-field-B", "Study": "returns-to-education-field", "TreatmentLabel": "B", "Description": "Non-college workers.", "Name": "returns-to-education-field-B", "TotalCases": 2000, "TotalSuccesses": 730, "PooledSuccessRate": 0.365 },
      { "TreatmentId": "unemployment-education-cycle-A", "Study": "unemployment-education-cycle", "TreatmentLabel": "A", "Description": "Current-period workforce.", "Name": "unemployment-education-cycle-A", "TotalCases": 2000, "TotalSuccesses": 1770, "PooledSuccessRate": 0.885 },
      { "TreatmentId": "unemployment-education-cycle-B", "Study": "unemployment-education-cycle", "TreatmentLabel": "B", "Description": "Prior-period workforce.", "Name": "unemployment-education-cycle-B", "TotalCases": 2000, "TotalSuccesses": 1790, "PooledSuccessRate": 0.895 },
      { "TreatmentId": "costa-rica-us-life-expectancy-A", "Study": "costa-rica-us-life-expectancy", "TreatmentLabel": "A", "Description": "Costa Rica.", "Name": "costa-rica-us-life-expectancy-A", "TotalCases": 2000, "TotalSuccesses": 1840, "PooledSuccessRate": 0.92 },
      { "TreatmentId": "costa-rica-us-life-expectancy-B", "Study": "costa-rica-us-life-expectancy", "TreatmentLabel": "B", "Description": "United States.", "Name": "costa-rica-us-life-expectancy-B", "TotalCases": 2000, "TotalSuccesses": 1885, "PooledSuccessRate": 0.9425 },
      { "TreatmentId": "fertility-income-country-A", "Study": "fertility-income-country", "TreatmentLabel": "A", "Description": "Higher income group.", "Name": "fertility-income-country-A", "TotalCases": 2000, "TotalSuccesses": 830, "PooledSuccessRate": 0.415 },
      { "TreatmentId": "fertility-income-country-B", "Study": "fertility-income-country", "TreatmentLabel": "B", "Description": "Lower income group.", "Name": "fertility-income-country-B", "TotalCases": 2000, "TotalSuccesses": 870, "PooledSuccessRate": 0.435 },
      { "TreatmentId": "religiosity-happiness-country-A", "Study": "religiosity-happiness-country", "TreatmentLabel": "A", "Description": "Religious individuals.", "Name": "religiosity-happiness-country-A", "TotalCases": 2000, "TotalSuccesses": 1370, "PooledSuccessRate": 0.685 },
      { "TreatmentId": "religiosity-happiness-country-B", "Study": "religiosity-happiness-country", "TreatmentLabel": "B", "Description": "Non-religious individuals.", "Name": "religiosity-happiness-country-B", "TotalCases": 2000, "TotalSuccesses": 1360, "PooledSuccessRate": 0.68 },
      { "TreatmentId": "voter-turnout-education-state-A", "Study": "voter-turnout-education-state", "TreatmentLabel": "A", "Description": "College-educated voters.", "Name": "voter-turnout-education-state-A", "TotalCases": 2000, "TotalSuccesses": 1430, "PooledSuccessRate": 0.715 },
      { "TreatmentId": "voter-turnout-education-state-B", "Study": "voter-turnout-education-state", "TreatmentLabel": "B", "Description": "Non-college voters.", "Name": "voter-turnout-education-state-B", "TotalCases": 2000, "TotalSuccesses": 1000, "PooledSuccessRate": 0.5 },
      { "TreatmentId": "ad-ctr-platform-mix-A", "Study": "ad-ctr-platform-mix", "TreatmentLabel": "A", "Description": "Ad creative A.", "Name": "ad-ctr-platform-mix-A", "TotalCases": 2000, "TotalSuccesses": 125, "PooledSuccessRate": 0.0625 },
      { "TreatmentId": "ad-ctr-platform-mix-B", "Study": "ad-ctr-platform-mix", "TreatmentLabel": "B", "Description": "Ad creative B.", "Name": "ad-ctr-platform-mix-B", "TotalCases": 2000, "TotalSuccesses": 125, "PooledSuccessRate": 0.0625 }
    ]
  },
  "Strata": {
    "Description": "Table: Strata — the subdivisions of patients within a study by the value of the confounding variable (e.g. stone size). Each stratum belongs to one study.",
    "schema": [
      {
        "name": "StratumId",
        "datatype": "string",
        "type": "raw",
        "nullable": false,
        "Description": "Unique slug (e.g. kidney-1986-small, kidney-1986-large)."
      },
      {
        "name": "Name",
        "datatype": "string",
        "type": "calculated",
        "nullable": false,
        "Description": "Display label.",
        "formula": "={{StratumId}}"
      },
      {
        "name": "Study",
        "datatype": "string",
        "type": "relationship",
        "nullable": false,
        "Description": "FK to the parent Study.",
        "RelatedTo": "Studies"
      },
      {
        "name": "StratumLabel",
        "datatype": "string",
        "type": "raw",
        "nullable": false,
        "Description": "Short label used in CaseCells (e.g. small, large, dept-A)."
      },
      {
        "name": "Description",
        "datatype": "string",
        "type": "raw",
        "nullable": true,
        "Description": "Plain-language description of what defines this stratum."
      },
      {
        "name": "TotalCases",
        "datatype": "integer",
        "type": "aggregation",
        "nullable": true,
        "Description": "Total cases in this stratum across all treatments.",
        "formula": "=SUMIFS(CaseCells!{{Cases}}, CaseCells!{{Study}}, {{Study}}, CaseCells!{{StratumLabel}}, {{StratumLabel}})"
      }
    ],
    "data": [
      { "StratumId": "kidney-1986-small", "Study": "kidney-1986", "StratumLabel": "small", "Description": "Patients with small kidney stones — easier to treat, higher baseline success rate regardless of treatment.", "Name": "kidney-1986-small", "TotalCases": 357 },
      { "StratumId": "kidney-1986-large", "Study": "kidney-1986", "StratumLabel": "large", "Description": "Patients with large kidney stones — harder to treat, lower baseline success rate regardless of treatment. Preferentially assigned to Treatment A.", "Name": "kidney-1986-large", "TotalCases": 343 },
      { "StratumId": "kidney-balanced-small", "Study": "kidney-balanced", "StratumLabel": "small", "Description": "Small kidney stones — same baseline rates as kidney-1986 small stratum but now receiving exactly 50% of each treatment's cases. Counterfactual stratum.", "Name": "kidney-balanced-small", "TotalCases": 350 },
      { "StratumId": "kidney-balanced-large", "Study": "kidney-balanced", "StratumLabel": "large", "Description": "Large kidney stones — same baseline rates as kidney-1986 large stratum but now receiving exactly 50% of each treatment's cases. Equal allocation prevents confounding.", "Name": "kidney-balanced-large", "TotalCases": 350 },
      { "StratumId": "balanced-synthetic-easy", "Study": "balanced-synthetic", "StratumLabel": "easy", "Description": "Easy stratum — higher baseline success rate. Receives exactly 50% of each treatment's cases.", "Name": "balanced-synthetic-easy", "TotalCases": 200 },
      { "StratumId": "balanced-synthetic-hard", "Study": "balanced-synthetic", "StratumLabel": "hard", "Description": "Hard stratum — lower baseline success rate. Receives exactly 50% of each treatment's cases. Equal allocation prevents confounding.", "Name": "balanced-synthetic-hard", "TotalCases": 200 },
      { "StratumId": "berkeley-1973-dept-A", "Study": "berkeley-1973", "StratumLabel": "dept-A", "Description": "Dept A — highly competitive (low admission rate ~64%). Women applied here at roughly equal rates to men.", "Name": "berkeley-1973-dept-A", "TotalCases": 933 },
      { "StratumId": "berkeley-1973-dept-B", "Study": "berkeley-1973", "StratumLabel": "dept-B", "Description": "Dept B — competitive (~35% admission). Women applied here less often.", "Name": "berkeley-1973-dept-B", "TotalCases": 585 },
      { "StratumId": "berkeley-1973-dept-C", "Study": "berkeley-1973", "StratumLabel": "dept-C", "Description": "Dept C — moderately selective (~34% admission). More balanced gender application.", "Name": "berkeley-1973-dept-C", "TotalCases": 918 },
      { "StratumId": "berkeley-1973-dept-D", "Study": "berkeley-1973", "StratumLabel": "dept-D", "Description": "Dept D — open (~64% admission). Women applied here most heavily — this is the easy department that women disproportionately chose.", "Name": "berkeley-1973-dept-D", "TotalCases": 792 },
      { "StratumId": "compressed-synthetic-hard", "Study": "compressed-synthetic", "StratumLabel": "hard", "Description": "Hard stratum — lower baseline success rates (A=70%, B=60%). Treatment A is over-allocated here (60% of A cases vs 40% of B cases). This is the stratum that pulls A's pooled rate down relative to equal-weight expectation.", "Name": "compressed-synthetic-hard", "TotalCases": 200 },
      { "StratumId": "compressed-synthetic-easy", "Study": "compressed-synthetic", "StratumLabel": "easy", "Description": "Easy stratum — higher baseline success rates (A=90%, B=80%). Treatment B is over-allocated here (60% of B cases vs 40% of A cases). This partially offsets B's per-stratum disadvantage in the pooled analysis.", "Name": "compressed-synthetic-easy", "TotalCases": 200 },
      { "StratumId": "reintjes-2000-low", "Study": "reintjes-2000", "StratumLabel": "low", "Description": "Low-incidence hospitals (baseline UTI rate ≤2.5%). Prophylaxis rate: 20/1113=1.80%. Control rate: 5/720=0.69%. Prophylaxis is harmful here. Most prophylaxis patients land in this stratum (87%), pulling the aggregate prophylaxis rate down and fabricating an apparent protective effect pooled.", "Name": "reintjes-2000-low", "TotalCases": 1833 },
      { "StratumId": "reintjes-2000-high", "Study": "reintjes-2000", "StratumLabel": "high", "Description": "High-incidence hospitals (baseline UTI rate &gt;2.5%). Prophylaxis rate: 22/166=13.25%. Control rate: 99/1520=6.51%. Prophylaxis is again harmful. Controls are heavily concentrated here (1520 of 2240=68%), inflating the aggregate control rate.", "Name": "reintjes-2000-high", "TotalCases": 1686 },
      { "StratumId": "radelet-1981-white-victim", "Study": "radelet-1981", "StratumLabel": "white-victim", "Description": "Cases with a white victim. Death penalty issued far more often here (~17% pooled). White def: 19/151=12.58%. Black def: 11/63=17.46%. Black defendants MORE likely within this stratum.", "Name": "radelet-1981-white-victim", "TotalCases": 214 },
      { "StratumId": "radelet-1981-black-victim", "Study": "radelet-1981", "StratumLabel": "black-victim", "Description": "Cases with a black victim. Death penalty rare here (~3.3% pooled). White def: 0/9=0.00%. Black def: 6/103=5.83%. Black defendants STILL more likely. Most black defendants are in this low-rate stratum (103/166=62%), dragging their aggregate rate down.", "Name": "radelet-1981-black-victim", "TotalCases": 112 },
      { "StratumId": "jeter-justice-1997-1995", "Study": "jeter-justice-1997", "StratumLabel": "1995", "Description": "1995 season. Jeter: 12/48=.250. Justice: 104/411=.253. Justice wins by 3 points. Small season for Jeter (48 AB, rookie call-up); Justice's heaviest season (411 AB) and his weakest average — this is the stratum doing the most damage to Justice's combined rate.", "Name": "jeter-justice-1997-1995", "TotalCases": 459 },
      { "StratumId": "jeter-justice-1997-1996", "Study": "jeter-justice-1997", "StratumLabel": "1996", "Description": "1996 season. Jeter: 183/582=.314. Justice: 45/140=.321. Justice wins by 7 points. Jeter's breakout full season (582 AB). Justice had a shortened season (140 AB) but a high average — a small, strong stratum that lifts his per-year record but contributes little weight to combined.", "Name": "jeter-justice-1997-1996", "TotalCases": 722 },
      { "StratumId": "jeter-justice-1997-1997", "Study": "jeter-justice-1997", "StratumLabel": "1997", "Description": "1997 season. Jeter: 190/654=.291. Justice: 163/495=.329. Justice wins by 38 points — the largest per-stratum gap. Jeter's largest season (654 AB). The allocation imbalance is clear: Jeter has 654 AB in a .291 year vs Justice's 495 at .329.", "Name": "jeter-justice-1997-1997", "TotalCases": 1149 },
      { "StratumId": "appleton-1996-18-24", "Study": "appleton-1996", "StratumLabel": "18-24", "Description": "Age 18-24 at baseline. Smokers: 2/55=3.6% mortality. Non-smokers: 1/72=1.4%. Smokers worse. Very low mortality overall; small absolute differences.", "Name": "appleton-1996-18-24", "TotalCases": 127 },
      { "StratumId": "appleton-1996-25-34", "Study": "appleton-1996", "StratumLabel": "25-34", "Description": "Age 25-34 at baseline. Smokers: 3/125=2.4% mortality. Non-smokers: 4/156=2.6%. Effectively tied (smokers marginally better — near-zero stratum gap). Very low mortality stratum.", "Name": "appleton-1996-25-34", "TotalCases": 281 },
      { "StratumId": "appleton-1996-35-44", "Study": "appleton-1996", "StratumLabel": "35-44", "Description": "Age 35-44 at baseline. Smokers: 10/105=9.5% mortality. Non-smokers: 7/111=6.3%. Smokers clearly worse.", "Name": "appleton-1996-35-44", "TotalCases": 216 },
      { "StratumId": "appleton-1996-45-54", "Study": "appleton-1996", "StratumLabel": "45-54", "Description": "Age 45-54 at baseline. Smokers: 28/131=21.4% mortality. Non-smokers: 12/78=15.4%. Smokers worse; gap widening with age.", "Name": "appleton-1996-45-54", "TotalCases": 209 },
      { "StratumId": "appleton-1996-55-64", "Study": "appleton-1996", "StratumLabel": "55-64", "Description": "Age 55-64 at baseline. Smokers: 52/116=44.8% mortality. Non-smokers: 41/122=33.6%. Smokers clearly worse; largest absolute gap in the middle strata.", "Name": "appleton-1996-55-64", "TotalCases": 238 },
      { "StratumId": "appleton-1996-65-74", "Study": "appleton-1996", "StratumLabel": "65-74", "Description": "Age 65-74 at baseline. Smokers: 31/37=83.8% mortality. Non-smokers: 101/129=78.3%. Smokers worse. Small smoker group (37) — most heavy smokers in this cohort had already died before reaching 65 at baseline (survivorship selection).", "Name": "appleton-1996-65-74", "TotalCases": 166 },
      { "StratumId": "appleton-1996-75plus", "Study": "appleton-1996", "StratumLabel": "75+", "Description": "Age 75+ at baseline. Smokers: 13/13=100% mortality. Non-smokers: 64/64=100%. Both groups reach 100% at 20-year follow-up — everyone in this stratum died. StratumGap=0. Heavy survivorship selection: only 13 smokers survived to 75+ at baseline vs 64 non-smokers.", "Name": "appleton-1996-75plus", "TotalCases": 77 },
      { "StratumId": "phe-covid-2021-under-50", "Study": "phe-covid-2021", "StratumLabel": "under 50", "Description": "Age under 50. Vaccinated CFR: 21/89,807=0.023%. Unvaccinated CFR: 48/147,612=0.033%. Vaccinated clearly better. Low absolute mortality in both groups — under-50 COVID Delta deaths are rare regardless of vaccination status.", "Name": "phe-covid-2021-under-50", "TotalCases": 237419 },
      { "StratumId": "phe-covid-2021-50plus", "Study": "phe-covid-2021", "StratumLabel": "50 +", "Description": "Age 50 and over. Vaccinated CFR: 460/27,307=1.68%. Unvaccinated CFR: 205/3,440=5.96%. Vaccinated dramatically better (3.5× lower death rate). The enormous relative risk reduction in this high-mortality stratum is the true vaccine signal — but it is hidden in the pooled comparison because so few unvaccinated people are in this stratum (3,440 vs 27,307 vaccinated).", "Name": "phe-covid-2021-50plus", "TotalCases": 30747 },
      { "StratumId": "hannan-1994-high-risk", "Study": "hannan-1994", "StratumLabel": "high-risk", "Description": "High-risk CABG patients (EuroSCORE-equivalent ≥5). High-volume hospitals (A) are heavily loaded with these cases — 70% of A's caseload is high-risk vs only 20% of B's. A wins this stratum (95.0% vs 80.0%, a 15pp advantage). The over-representation of hard cases in A drags A's pooled rate down relative to the equal-weight benchmark.", "Name": "hannan-1994-high-risk", "TotalCases": 570 },
      { "StratumId": "hannan-1994-low-risk", "Study": "hannan-1994", "StratumLabel": "low-risk", "Description": "Low-risk CABG patients (EuroSCORE-equivalent &lt;5). Low-volume hospitals (B) have disproportionately more easy cases — 80% of B's caseload vs only 30% of A's. A still wins this stratum (99.0% vs 96.9%, a 2pp advantage). The allocation imbalance compresses A's pooled advantage from 7.9pp (equal-weight) down to 2.8pp (actual pooled) without reversing it — the fingerprint of type-C distortion.", "Name": "hannan-1994-low-risk", "TotalCases": 530 },
      { "StratumId": "titanic-1912-male", "Study": "titanic-1912", "StratumLabel": "male", "Description": "Male passengers. 1st class (A): 57/175=32.6% survived. 3rd class (B): 75/462=16.2% survived. 1st class wins. Males are over-represented in 3rd class (462 vs 175) and in 3rd class the per-sex advantage for 1st class is modest. This stratum has the most cases and contributes heavily to the pooled comparison.", "Name": "titanic-1912-male", "TotalCases": 637 },
      { "StratumId": "titanic-1912-female", "Study": "titanic-1912", "StratumLabel": "female", "Description": "Female passengers. 1st class (A): 139/144=96.5% survived. 3rd class (B): 76/165=46.1% survived. 1st class wins by 50.4pp — the largest per-stratum gap. 1st class has a higher fraction of women (144/319=45%) than 3rd class (165/627=26%). This over-representation of women in 1st class inflates the pooled 1st-class survival rate beyond the equal-weight per-stratum average — the allocation distortion inflates rather than compresses the advantage.", "Name": "titanic-1912-female", "TotalCases": 309 },
      { "StratumId": "bwp-lbw", "Study": "birth-weight-paradox", "StratumLabel": "low-birth-weight", "Description": "Low birth weight babies (&lt;2500g). Smoker infants (A): 960/1000=96.0% survival. Non-smoker infants (B): 470/500=94.0% survival. Smokers win this stratum. The mechanism (Hernandez-Diaz 2006): low birth weight among non-smokers is more likely caused by serious congenital anomalies or pathologies, whereas smoking-related low birth weight is a 'milder' cause — so the surviving non-smoker LBW infants are a sicker selected group. Smokers are over-represented in this stratum (1000 vs 500 babies).", "Name": "bwp-lbw", "TotalCases": 1500 },
      { "StratumId": "bwp-nbw", "Study": "birth-weight-paradox", "StratumLabel": "normal-birth-weight", "Description": "Normal birth weight babies (≥2500g). Smoker infants (A): 995/1000=99.5% survival. Non-smoker infants (B): 4980/5000=99.6% survival. Non-smokers barely win (0.1pp). Non-smokers vastly outnumber smokers here (5000 vs 1000). Pooled, non-smokers (B) win because this stratum dominates B's total, and B wins it. The pooled result reverses the LBW stratum finding — a partial (type-B) paradox driven by the LBW vs NBW allocation imbalance.", "Name": "bwp-nbw", "TotalCases": 6000 },
      { "StratumId": "mel-thin", "Study": "melanoma-altman-1991", "StratumLabel": "thin", "Description": "Thin melanoma tumors (&lt;1mm Breslow depth). Female patients (A): 133/140=95.0% 10-year survival. Male patients (B): 70/80=87.5% survival. Females win by 7.5pp. Women present with thin tumors more often (140/200=70% of female cases are thin vs 80/200=40% of male cases) — reflecting earlier detection and help-seeking behavior.", "Name": "mel-thin", "TotalCases": 220 },
      { "StratumId": "mel-thick", "Study": "melanoma-altman-1991", "StratumLabel": "thick", "Description": "Thick melanoma tumors (≥1mm Breslow depth). Female patients (A): 39/60=65.0% 10-year survival. Male patients (B): 66/120=55.0% survival. Females win by 10pp. Males are over-represented here (120/200=60% of male cases are thick vs 60/200=30% of female cases). Women's disproportionate concentration in the high-survival thin-tumor stratum inflates the pooled female advantage beyond the equal-weight per-stratum average.", "Name": "mel-thick", "TotalCases": 180 },
      { "StratumId": "coffee-nonsmoker", "Study": "coffee-tverdal-2020", "StratumLabel": "non-smoker", "Description": "Never- or ex-smokers. Coffee drinkers (A): 920/1000=92.0% CHD-free at 10 years. Non-drinkers (B): 890/1000=89.0%. Coffee wins by 3pp. Equal allocation (1000 each treatment). No allocation imbalance — the per-stratum result passes through to the pooled result unchanged.", "Name": "coffee-nonsmoker", "TotalCases": 2000 },
      { "StratumId": "coffee-smoker", "Study": "coffee-tverdal-2020", "StratumLabel": "smoker", "Description": "Current smokers. Coffee drinkers (A): 820/1000=82.0% CHD-free. Non-drinkers (B): 800/1000=80.0%. Coffee wins by 2pp. Equal allocation. Smoking increases baseline CHD risk in both groups but does not confound the coffee comparison because allocation is balanced. This study is type-D: genuine benefit of coffee, no distortion by allocation.", "Name": "coffee-smoker", "TotalCases": 2000 },
      { "StratumId": "sat-lowspend", "Study": "sat-wainer-1986", "StratumLabel": "low-spending", "Description": "Low-spending states (&lt;$3000 per pupil, 1986 dollars). High-participation states (A): 240/600=40.0% scored ≥500. Low-participation states (B): 35/100=35.0% scored ≥500. A wins by 5pp. High-participation states dominate this stratum (600 vs 100 students in sample), sending more students including weaker ones.", "Name": "sat-lowspend", "TotalCases": 700 },
      { "StratumId": "sat-highspend", "Study": "sat-wainer-1986", "StratumLabel": "high-spending", "Description": "High-spending states (≥$3000 per pupil, 1986 dollars). High-participation states (A): 280/400=70.0% scored ≥500. Low-participation states (B): 40/50=80.0% scored ≥500. B wins by 10pp — in well-funded states, the small self-selected group of test-takers in low-participation states scores higher because they are disproportionately college-bound high-achievers. This stratum reversal drives the pooled paradox (type-B): A wins low-spending stratum, B wins high-spending, B slightly leads pooled.", "Name": "sat-highspend", "TotalCases": 450 },
      { "StratumId": "rogers-nicewander-1988-infield-proxy", "Study": "rogers-nicewander-1988", "StratumLabel": "infield-proxy", "Description": "World Series 1 (proxy stratum). Fairly 11/29=.379; Lefebvre 4/10=.400. Lefebvre wins.", "Name": "rogers-nicewander-1988-infield-proxy", "TotalCases": 39 },
      { "StratumId": "rogers-nicewander-1988-outfield-proxy", "Study": "rogers-nicewander-1988", "StratumLabel": "outfield-proxy", "Description": "World Series 2 (proxy stratum). Fairly 1/7=.143; Lefebvre 2/12=.167. Lefebvre wins.", "Name": "rogers-nicewander-1988-outfield-proxy", "TotalCases": 19 },
      { "StratumId": "lucente-baseball-1995-first-half", "Study": "lucente-baseball-1995", "StratumLabel": "first-half", "Description": "April–July split.", "Name": "lucente-baseball-1995-first-half", "TotalCases": 340 },
      { "StratumId": "lucente-baseball-1995-second-half", "Study": "lucente-baseball-1995", "StratumLabel": "second-half", "Description": "August–September split.", "Name": "lucente-baseball-1995-second-half", "TotalCases": 350 },
      { "StratumId": "wilson-batting-2000-early-innings", "Study": "wilson-batting-2000", "StratumLabel": "early-innings", "Description": "Innings 1–5.", "Name": "wilson-batting-2000-early-innings", "TotalCases": 250 },
      { "StratumId": "wilson-batting-2000-late-innings", "Study": "wilson-batting-2000", "StratumLabel": "late-innings", "Description": "Innings 6–9.", "Name": "wilson-batting-2000-late-innings", "TotalCases": 130 },
      { "StratumId": "clemens-bly-1998-home", "Study": "clemens-bly-1998", "StratumLabel": "home", "Description": "Home games.", "Name": "clemens-bly-1998-home", "TotalCases": 190 },
      { "StratumId": "clemens-bly-1998-away", "Study": "clemens-bly-1998", "StratumLabel": "away", "Description": "Away games.", "Name": "clemens-bly-1998-away", "TotalCases": 105 },
      { "StratumId": "open-university-1975-under-21", "Study": "open-university-1975", "StratumLabel": "under-21", "Description": "Students under 21.", "Name": "open-university-1975-under-21", "TotalCases": 1773 },
      { "StratumId": "open-university-1975-21-to-40", "Study": "open-university-1975", "StratumLabel": "21-to-40", "Description": "Students aged 21–40.", "Name": "open-university-1975-21-to-40", "TotalCases": 570 },
      { "StratumId": "open-university-1975-over-40", "Study": "open-university-1975", "StratumLabel": "over-40", "Description": "Students over 40.", "Name": "open-university-1975-over-40", "TotalCases": 180 },
      { "StratumId": "pisa-immigration-2015-high-performing", "Study": "pisa-immigration-2015", "StratumLabel": "high-performing", "Description": "High PISA-mean country stratum.", "Name": "pisa-immigration-2015-high-performing", "TotalCases": 620 },
      { "StratumId": "pisa-immigration-2015-lower-performing", "Study": "pisa-immigration-2015", "StratumLabel": "lower-performing", "Description": "Lower PISA-mean country stratum.", "Name": "pisa-immigration-2015-lower-performing", "TotalCases": 600 },
      { "StratumId": "wainer-sat-states-1992-northeast", "Study": "wain</t>
  </si>
  <si>
    <t xml:space="preserve">er-sat-states-1992", "StratumLabel": "northeast", "Description": "Northeast region states.", "Name": "wainer-sat-states-1992-northeast", "TotalCases": 750 },
      { "StratumId": "wainer-sat-states-1992-south", "Study": "wainer-sat-states-1992", "StratumLabel": "south", "Description": "Southern region states.", "Name": "wainer-sat-states-1992-south", "TotalCases": 600 },
      { "StratumId": "folic-acid-neural-tube-1991-under-28", "Study": "folic-acid-neural-tube-1991", "StratumLabel": "under-28", "Description": "Mothers under 28 years.", "Name": "folic-acid-neural-tube-1991-under-28", "TotalCases": 2700 },
      { "StratumId": "folic-acid-neural-tube-1991-28-and-over", "Study": "folic-acid-neural-tube-1991", "StratumLabel": "28-and-over", "Description": "Mothers 28 and older.", "Name": "folic-acid-neural-tube-1991-28-and-over", "TotalCases": 1456 },
      { "StratumId": "steroid-asthma-severity-mild", "Study": "steroid-asthma-severity", "StratumLabel": "mild", "Description": "Mild persistent asthma.", "Name": "steroid-asthma-severity-mild", "TotalCases": 380 },
      { "StratumId": "steroid-asthma-severity-severe", "Study": "steroid-asthma-severity", "StratumLabel": "severe", "Description": "Severe persistent asthma.", "Name": "steroid-asthma-severity-severe", "TotalCases": 270 },
      { "StratumId": "kidney-dialysis-facility-1990-high-severity", "Study": "kidney-dialysis-facility-1990", "StratumLabel": "high-severity", "Description": "High comorbidity case mix.", "Name": "kidney-dialysis-facility-1990-high-severity", "TotalCases": 200 },
      { "StratumId": "kidney-dialysis-facility-1990-low-severity", "Study": "kidney-dialysis-facility-1990", "StratumLabel": "low-severity", "Description": "Low comorbidity case mix.", "Name": "kidney-dialysis-facility-1990-low-severity", "TotalCases": 200 },
      { "StratumId": "warfarin-bleeding-age-under-65", "Study": "warfarin-bleeding-age", "StratumLabel": "under-65", "Description": "Patients under 65.", "Name": "warfarin-bleeding-age-under-65", "TotalCases": 900 },
      { "StratumId": "warfarin-bleeding-age-65-and-over", "Study": "warfarin-bleeding-age", "StratumLabel": "65-and-over", "Description": "Patients 65 and older.", "Name": "warfarin-bleeding-age-65-and-over", "TotalCases": 500 },
      { "StratumId": "diabetes-metformin-bmi-normal-bmi", "Study": "diabetes-metformin-bmi", "StratumLabel": "normal-bmi", "Description": "BMI &lt; 25.", "Name": "diabetes-metformin-bmi-normal-bmi", "TotalCases": 400 },
      { "StratumId": "diabetes-metformin-bmi-obese", "Study": "diabetes-metformin-bmi", "StratumLabel": "obese", "Description": "BMI ≥ 30.", "Name": "diabetes-metformin-bmi-obese", "TotalCases": 500 },
      { "StratumId": "oncology-trial-stage-early-stage", "Study": "oncology-trial-stage", "StratumLabel": "early-stage", "Description": "Stage I–II.", "Name": "oncology-trial-stage-early-stage", "TotalCases": 360 },
      { "StratumId": "oncology-trial-stage-advanced-stage", "Study": "oncology-trial-stage", "StratumLabel": "advanced-stage", "Description": "Stage III–IV.", "Name": "oncology-trial-stage-advanced-stage", "TotalCases": 240 },
      { "StratumId": "exercise-cholesterol-age-young", "Study": "exercise-cholesterol-age", "StratumLabel": "young", "Description": "Age 30–49.", "Name": "exercise-cholesterol-age-young", "TotalCases": 600 },
      { "StratumId": "exercise-cholesterol-age-older", "Study": "exercise-cholesterol-age", "StratumLabel": "older", "Description": "Age 50–69.", "Name": "exercise-cholesterol-age-older", "TotalCases": 450 },
      { "StratumId": "red-meat-colorectal-bmi-normal-weight", "Study": "red-meat-colorectal-bmi", "StratumLabel": "normal-weight", "Description": "BMI 18.5–24.9.", "Name": "red-meat-colorectal-bmi-normal-weight", "TotalCases": 1000 },
      { "StratumId": "red-meat-colorectal-bmi-overweight", "Study": "red-meat-colorectal-bmi", "StratumLabel": "overweight", "Description": "BMI ≥ 25.", "Name": "red-meat-colorectal-bmi-overweight", "TotalCases": 850 },
      { "StratumId": "folic-fortification-2000-early-fortified", "Study": "folic-fortification-2000", "StratumLabel": "early-fortified", "Description": "States with early mandatory fortification.", "Name": "folic-fortification-2000-early-fortified", "TotalCases": 2000 },
      { "StratumId": "folic-fortification-2000-late-fortified", "Study": "folic-fortification-2000", "StratumLabel": "late-fortified", "Description": "States with delayed fortification.", "Name": "folic-fortification-2000-late-fortified", "TotalCases": 2000 },
      { "StratumId": "folic-fortification-2000-voluntary", "Study": "folic-fortification-2000", "StratumLabel": "voluntary", "Description": "States with voluntary fortification only.", "Name": "folic-fortification-2000-voluntary", "TotalCases": 2000 },
      { "StratumId": "north-carolina-death-penalty-1990-white-victim", "Study": "north-carolina-death-penalty-1990", "StratumLabel": "white-victim", "Description": "Cases with white victim.", "Name": "north-carolina-death-penalty-1990-white-victim", "TotalCases": 175 },
      { "StratumId": "north-carolina-death-penalty-1990-black-victim", "Study": "north-carolina-death-penalty-1990", "StratumLabel": "black-victim", "Description": "Cases with black victim.", "Name": "north-carolina-death-penalty-1990-black-victim", "TotalCases": 105 },
      { "StratumId": "housing-discrimination-audit-high-income", "Study": "housing-discrimination-audit", "StratumLabel": "high-income", "Description": "High-income neighborhood audits.", "Name": "housing-discrimination-audit-high-income", "TotalCases": 500 },
      { "StratumId": "housing-discrimination-audit-low-income", "Study": "housing-discrimination-audit", "StratumLabel": "low-income", "Description": "Low-income neighborhood audits.", "Name": "housing-discrimination-audit-low-income", "TotalCases": 500 },
      { "StratumId": "gender-pay-gap-industry-tech-professional", "Study": "gender-pay-gap-industry", "StratumLabel": "tech-professional", "Description": "Technology and professional services.", "Name": "gender-pay-gap-industry-tech-professional", "TotalCases": 1000 },
      { "StratumId": "gender-pay-gap-industry-healthcare", "Study": "gender-pay-gap-industry", "StratumLabel": "healthcare", "Description": "Healthcare and social assistance.", "Name": "gender-pay-gap-industry-healthcare", "TotalCases": 900 },
      { "StratumId": "gender-pay-gap-industry-retail-hospitality", "Study": "gender-pay-gap-industry", "StratumLabel": "retail-hospitality", "Description": "Retail and hospitality.", "Name": "gender-pay-gap-industry-retail-hospitality", "TotalCases": 900 },
      { "StratumId": "income-education-state-high-education-states", "Study": "income-education-state", "StratumLabel": "high-education-states", "Description": "States with above-median BA attainment.", "Name": "income-education-state-high-education-states", "TotalCases": 1800 },
      { "StratumId": "income-education-state-low-education-states", "Study": "income-education-state", "StratumLabel": "low-education-states", "Description": "States with below-median BA attainment.", "Name": "income-education-state-low-education-states", "TotalCases": 1800 },
      { "StratumId": "florida-reef-fish-1994-inshore", "Study": "florida-reef-fish-1994", "StratumLabel": "inshore", "Description": "Inshore reef locations.", "Name": "florida-reef-fish-1994-inshore", "TotalCases": 1200 },
      { "StratumId": "florida-reef-fish-1994-offshore", "Study": "florida-reef-fish-1994", "StratumLabel": "offshore", "Description": "Offshore reef locations.", "Name": "florida-reef-fish-1994-offshore", "TotalCases": 400 },
      { "StratumId": "uc-irvine-admissions-1985-engineering", "Study": "uc-irvine-admissions-1985", "StratumLabel": "engineering", "Description": "Engineering department.", "Name": "uc-irvine-admissions-1985-engineering", "TotalCases": 600 },
      { "StratumId": "uc-irvine-admissions-1985-humanities", "Study": "uc-irvine-admissions-1985", "StratumLabel": "humanities", "Description": "Humanities department.", "Name": "uc-irvine-admissions-1985-humanities", "TotalCases": 450 },
      { "StratumId": "uc-irvine-admissions-1985-biological-sciences", "Study": "uc-irvine-admissions-1985", "StratumLabel": "biological-sciences", "Description": "Biological sciences.", "Name": "uc-irvine-admissions-1985-biological-sciences", "TotalCases": 580 },
      { "StratumId": "uc-irvine-admissions-1985-social-sciences", "Study": "uc-irvine-admissions-1985", "StratumLabel": "social-sciences", "Description": "Social sciences.", "Name": "uc-irvine-admissions-1985-social-sciences", "TotalCases": 550 },
      { "StratumId": "cesarean-birth-weight-2006-normal-bw", "Study": "cesarean-birth-weight-2006", "StratumLabel": "normal-bw", "Description": "Birth weight ≥ 2500g.", "Name": "cesarean-birth-weight-2006-normal-bw", "TotalCases": 7000 },
      { "StratumId": "cesarean-birth-weight-2006-low-bw", "Study": "cesarean-birth-weight-2006", "StratumLabel": "low-bw", "Description": "Birth weight &lt; 2500g.", "Name": "cesarean-birth-weight-2006-low-bw", "TotalCases": 1400 },
      { "StratumId": "schizophrenia-antipsychotic-moderate", "Study": "schizophrenia-antipsychotic", "StratumLabel": "moderate", "Description": "Moderate symptom severity.", "Name": "schizophrenia-antipsychotic-moderate", "TotalCases": 300 },
      { "StratumId": "schizophrenia-antipsychotic-severe", "Study": "schizophrenia-antipsychotic", "StratumLabel": "severe", "Description": "Severe symptom severity.", "Name": "schizophrenia-antipsychotic-severe", "TotalCases": 240 },
      { "StratumId": "berkeley-six-dept-1973-dept-A", "Study": "berkeley-six-dept-1973", "StratumLabel": "dept-A", "Description": "Department A (high acceptance).", "Name": "berkeley-six-dept-1973-dept-A", "TotalCases": 933 },
      { "StratumId": "berkeley-six-dept-1973-dept-B", "Study": "berkeley-six-dept-1973", "StratumLabel": "dept-B", "Description": "Department B.", "Name": "berkeley-six-dept-1973-dept-B", "TotalCases": 585 },
      { "StratumId": "berkeley-six-dept-1973-dept-C", "Study": "berkeley-six-dept-1973", "StratumLabel": "dept-C", "Description": "Department C.", "Name": "berkeley-six-dept-1973-dept-C", "TotalCases": 918 },
      { "StratumId": "berkeley-six-dept-1973-dept-D", "Study": "berkeley-six-dept-1973", "StratumLabel": "dept-D", "Description": "Department D.", "Name": "berkeley-six-dept-1973-dept-D", "TotalCases": 792 },
      { "StratumId": "berkeley-six-dept-1973-dept-E", "Study": "berkeley-six-dept-1973", "StratumLabel": "dept-E", "Description": "Department E.", "Name": "berkeley-six-dept-1973-dept-E", "TotalCases": 584 },
      { "StratumId": "berkeley-six-dept-1973-dept-F", "Study": "berkeley-six-dept-1973", "StratumLabel": "dept-F", "Description": "Department F (low acceptance).", "Name": "berkeley-six-dept-1973-dept-F", "TotalCases": 714 },
      { "StratumId": "rosiglitazone-mi-pool-2007-imbalanced-trials", "Study": "rosiglitazone-mi-pool-2007", "StratumLabel": "imbalanced-trials", "Description": "Trials with large rosiglitazone allocation and low event rates.", "Name": "rosiglitazone-mi-pool-2007-imbalanced-trials", "TotalCases": 15000 },
      { "StratumId": "rosiglitazone-mi-pool-2007-balanced-trials", "Study": "rosiglitazone-mi-pool-2007", "StratumLabel": "balanced-trials", "Description": "Trials with balanced arms; rosiglitazone MI rate higher within stratum.", "Name": "rosiglitazone-mi-pool-2007-balanced-trials", "TotalCases": 12847 },
      { "StratumId": "ironman-gender-age-2010-young-cohort", "Study": "ironman-gender-age-2010", "StratumLabel": "young-cohort", "Description": "Age 18–34 cohort.", "Name": "ironman-gender-age-2010-young-cohort", "TotalCases": 110 },
      { "StratumId": "ironman-gender-age-2010-old-cohort", "Study": "ironman-gender-age-2010", "StratumLabel": "old-cohort", "Description": "Age 45+ cohort.", "Name": "ironman-gender-age-2010-old-cohort", "TotalCases": 110 },
      { "StratumId": "hanley-power-lines-2000-myers-1990", "Study": "hanley-power-lines-2000", "StratumLabel": "myers-1990", "Description": "Myers et al. Br J Cancer 1990.", "Name": "hanley-power-lines-2000-myers-1990", "TotalCases": 137 },
      { "StratumId": "hanley-power-lines-2000-feychting-1993", "Study": "hanley-power-lines-2000", "StratumLabel": "feychting-1993", "Description": "Feychting &amp; Ahlbom 1993.", "Name": "hanley-power-lines-2000-feychting-1993", "TotalCases": 592 },
      { "StratumId": "hanley-power-lines-2000-tynes-1997", "Study": "hanley-power-lines-2000", "StratumLabel": "tynes-1997", "Description": "Tynes &amp; Haldorsen 1997.", "Name": "hanley-power-lines-2000-tynes-1997", "TotalCases": 666 },
      { "StratumId": "hanley-power-lines-2000-li-1998", "Study": "hanley-power-lines-2000", "StratumLabel": "li-1998", "Description": "Li et al. 1998.", "Name": "hanley-power-lines-2000-li-1998", "TotalCases": 55 },
      { "StratumId": "hanley-power-lines-2000-mcbride-1999", "Study": "hanley-power-lines-2000", "StratumLabel": "mcbride-1999", "Description": "McBride et al. 1999.", "Name": "hanley-power-lines-2000-mcbride-1999", "TotalCases": 65 },
      { "StratumId": "coffee-smoking-lung-1968-smokers", "Study": "coffee-smoking-lung-1968", "StratumLabel": "smokers", "Description": "Current smokers.", "Name": "coffee-smoking-lung-1968-smokers", "TotalCases": 866 },
      { "StratumId": "coffee-smoking-lung-1968-nonsmokers", "Study": "coffee-smoking-lung-1968", "StratumLabel": "nonsmokers", "Description": "Never smokers.", "Name": "coffee-smoking-lung-1968-nonsmokers", "TotalCases": 250 },
      { "StratumId": "panama-sweden-mortality-1975-under-10", "Study": "panama-sweden-mortality-1975", "StratumLabel": "under-10", "Description": "Children under 10 (Panama 10%, Sweden 50% of cohort).", "Name": "panama-sweden-mortality-1975-under-10", "TotalCases": 600 },
      { "StratumId": "panama-sweden-mortality-1975-mid-age", "Study": "panama-sweden-mortality-1975", "StratumLabel": "mid-age", "Description": "Working-age adults (30% / 35%).", "Name": "panama-sweden-mortality-1975-mid-age", "TotalCases": 650 },
      { "StratumId": "panama-sweden-mortality-1975-elderly", "Study": "panama-sweden-mortality-1975", "StratumLabel": "elderly", "Description": "Elderly (60% / 15%) — composition drives pooled reversal.", "Name": "panama-sweden-mortality-1975-elderly", "TotalCases": 750 },
      { "StratumId": "hrt-whi-2002-observational", "Study": "hrt-whi-2002", "StratumLabel": "observational", "Description": "Observational cohorts — healthy-user selection inflates HRT benefit.", "Name": "hrt-whi-2002-observational", "TotalCases": 20000 },
      { "StratumId": "hrt-whi-2002-rct-whi", "Study": "hrt-whi-2002", "StratumLabel": "rct-whi", "Description": "WHI RCT stratum — randomization removes healthy-user bias; HRT harmful.", "Name": "hrt-whi-2002-rct-whi", "TotalCases": 190000 },
      { "StratumId": "obesity-paradox-hf-no-hf", "Study": "obesity-paradox-hf", "StratumLabel": "no-hf", "Description": "Patients without heart failure.", "Name": "obesity-paradox-hf-no-hf", "TotalCases": 2000 },
      { "StratumId": "obesity-paradox-hf-hf", "Study": "obesity-paradox-hf", "StratumLabel": "hf", "Description": "Heart failure patients — obesity paradox stratum.", "Name": "obesity-paradox-hf-hf", "TotalCases": 2000 },
      { "StratumId": "dialysis-bmi-survival-general-population", "Study": "dialysis-bmi-survival", "StratumLabel": "general-population", "Description": "General population — obesity harmful.", "Name": "dialysis-bmi-survival-general-population", "TotalCases": 2000 },
      { "StratumId": "dialysis-bmi-survival-esrd-dialysis", "Study": "dialysis-bmi-survival", "StratumLabel": "esrd-dialysis", "Description": "ESRD patients on dialysis — reverse epidemiology.", "Name": "dialysis-bmi-survival-esrd-dialysis", "TotalCases": 2000 },
      { "StratumId": "sick-quitter-alcohol-never-drinkers-only", "Study": "sick-quitter-alcohol", "StratumLabel": "never-drinkers-only", "Description": "Abstainers who never drank — moderate drinkers do not win.", "Name": "sick-quitter-alcohol-never-drinkers-only", "TotalCases": 2000 },
      { "StratumId": "sick-quitter-alcohol-includes-former-drinkers", "Study": "sick-quitter-alcohol", "StratumLabel": "includes-former-drinkers", "Description": "Abstainers including sick quitters — spurious J-curve.", "Name": "sick-quitter-alcohol-includes-former-drinkers", "TotalCases": 2000 },
      { "StratumId": "flu-vaccine-elderly-mortality-under-75", "Study": "flu-vaccine-elderly-mortality", "StratumLabel": "under-75", "Description": "Age under 75 — vaccinated lower mortality.", "Name": "flu-vaccine-elderly-mortality-under-75", "TotalCases": 240000 },
      { "StratumId": "flu-vaccine-elderly-mortality-75-plus", "Study": "flu-vaccine-elderly-mortality", "StratumLabel": "75-plus", "Description": "Age 75+ — vaccinated lower mortality but heavily represented in vaccinated cohort.", "Name": "flu-vaccine-elderly-mortality-75-plus", "TotalCases": 8000 },
      { "StratumId": "covid-italy-china-cfr-2020-under-60", "Study": "covid-italy-china-cfr-2020", "StratumLabel": "under-60", "Description": "Age under 60.", "Name": "covid-italy-china-cfr-2020-under-60", "TotalCases": 51000 },
      { "StratumId": "covid-italy-china-cfr-2020-60-plus", "Study": "covid-italy-china-cfr-2020", "StratumLabel": "60-plus", "Description": "Age 60 and over — Italy older population share.", "Name": "covid-italy-china-cfr-2020-60-plus", "TotalCases": 2400 },
      { "StratumId": "israel-covid-severe-2021-under-50", "Study": "israel-covid-severe-2021", "StratumLabel": "under-50", "Description": "Age under 50.", "Name": "israel-covid-severe-2021-under-50", "TotalCases": 152200 },
      { "StratumId": "israel-covid-severe-2021-50-plus", "Study": "israel-covid-severe-2021", "StratumLabel": "50-plus", "Description": "Age 50+ — vaccinated cohort older.", "Name": "israel-covid-severe-2021-50-plus", "TotalCases": 10800 },
      { "StratumId": "cochran-smoking-1968-under-65", "Study": "cochran-smoking-1968", "StratumLabel": "under-65", "Description": "Age under 65 — smokers younger, concentrated here.", "Name": "cochran-smoking-1968-under-65", "TotalCases": 11000 },
      { "StratumId": "cochran-smoking-1968-65-plus", "Study": "cochran-smoking-1968", "StratumLabel": "65-plus", "Description": "Age 65+.", "Name": "cochran-smoking-1968-65-plus", "TotalCases": 2000 },
      { "StratumId": "healthy-worker-mortality-low-hazard-occupations", "Study": "healthy-worker-mortality", "StratumLabel": "low-hazard-occupations", "Description": "Low physical hazard occupations.", "Name": "healthy-worker-mortality-low-hazard-occupations", "TotalCases": 2000 },
      { "StratumId": "healthy-worker-mortality-high-hazard-occupations", "Study": "healthy-worker-mortality", "StratumLabel": "high-hazard-occupations", "Description": "High hazard occupations — workers still selected for health.", "Name": "healthy-worker-mortality-high-hazard-occupations", "TotalCases": 2000 },
      { "StratumId": "compas-recidivism-base-low-prevalence-group", "Study": "compas-recidivism-base", "StratumLabel": "low-prevalence-group", "Description": "Group with lower baseline recidivism.", "Name": "compas-recidivism-base-low-prevalence-group", "TotalCases": 2000 },
      { "StratumId": "compas-recidivism-base-high-prevalence-group", "Study": "compas-recidivism-base", "StratumLabel": "high-prevalence-group", "Description": "Group with higher baseline recidivism.", "Name": "compas-recidivism-base-high-prevalence-group", "TotalCases": 2000 },
      { "StratumId": "us-wage-composition-stagnation-college-educated", "Study": "us-wage-composition-stagnation", "StratumLabel": "college-educated", "Description": "Workers with college degree.", "Name": "us-wage-composition-stagnation-college-educated", "TotalCases": 20000 },
      { "StratumId": "us-wage-composition-stagnation-non-college", "Study": "us-wage-composition-stagnation", "StratumLabel": "non-college", "Description": "Workers without college degree — growing share of workforce.", "Name": "us-wage-composition-stagnation-non-college", "TotalCases": 11000 },
      { "StratumId": "borjas-immigrant-cohort-recent-arrivals", "Study": "borjas-immigrant-cohort", "StratumLabel": "recent-arrivals", "Description": "Recent arrival cohort.", "Name": "borjas-immigrant-cohort-recent-arrivals", "TotalCases": 2000 },
      { "StratumId": "borjas-immigrant-cohort-established-immigrants", "Study": "borjas-immigrant-cohort", "StratumLabel": "established-immigrants", "Description": "Longer-resident immigrant cohort.", "Name": "borjas-immigrant-cohort-established-immigrants", "TotalCases": 2000 },
      { "StratumId": "robinson-1950-literacy-high-literacy-states", "Study": "robinson-1950-literacy", "StratumLabel": "high-literacy-states", "Description": "States with high overall literacy (NE states proxy).", "Name": "robinson-1950-literacy-high-literacy-states", "TotalCases": 11000 },
      { "StratumId": "robinson-1950-literacy-low-literacy-states", "Study": "robinson-1950-literacy", "StratumLabel": "low-literacy-states", "Description": "States with lower literacy (immigrants fewer).", "Name": "robinson-1950-literacy-low-literacy-states", "TotalCases": 3000 },
      { "StratumId": "ab-test-traffic-mix-week1-young-users", "Study": "ab-test-traffic-mix", "StratumLabel": "week1-young-users", "Description": "Week 1 — predominantly young-user traffic.", "Name": "ab-test-traffic-mix-week1-young-users", "TotalCases": 20000 },
      { "StratumId": "ab-test-traffic-mix-week2-old-users", "Study": "ab-test-traffic-mix", "StratumLabel": "week2-old-users", "Description": "Week 2 — older-user traffic mix increases.", "Name": "ab-test-traffic-mix-week2-old-users", "TotalCases": 4000 },
      { "StratumId": "recsys-offline-eval-head-items", "Study": "recsys-offline-eval", "StratumLabel": "head-items", "Description": "High-exposure popular items.", "Name": "recsys-offline-eval-head-items", "TotalCases": 2000 },
      { "StratumId": "recsys-offline-eval-tail-items", "Study": "recsys-offline-eval", "StratumLabel": "tail-items", "Description": "Low-exposure long-tail items.", "Name": "recsys-offline-eval-tail-items", "TotalCases": 2000 },
      { "StratumId": "collider-only-synthetic-conditioned-in", "Study": "collider-only-synthetic", "StratumLabel": "conditioned-in", "Description": "Selected-in subpopulation (collider conditioned).", "Name": "collider-only-synthetic-conditioned-in", "TotalCases": 200 },
      { "StratumId": "collider-only-synthetic-conditioned-out", "Study": "collider-only-synthetic", "StratumLabel": "conditioned-out", "Description": "Selected-out subpopulation.", "Name": "collider-only-synthetic-conditioned-out", "TotalCases": 1800 },
      { "StratumId": "noncollapsibility-or-synthetic-low-prevalence", "Study": "noncollapsibility-or-synthetic", "StratumLabel": "low-prevalence", "Description": "Low baseline prevalence stratum.", "Name": "noncollapsibility-or-synthetic-low-prevalence", "TotalCases": 200 },
      { "StratumId": "noncollapsibility-or-synthetic-high-prevalence", "Study": "noncollapsibility-or-synthetic", "StratumLabel": "high-prevalence", "Description": "High baseline prevalence stratum.", "Name": "noncollapsibility-or-synthetic-high-prevalence", "TotalCases": 2000 },
      { "StratumId": "trauma-center-mortality-mild-injury", "Study": "trauma-center-mortality", "StratumLabel": "mild-injury", "Description": "ISS &lt; 15 proxy stratum.", "Name": "trauma-center-mortality-mild-injury", "TotalCases": 2000 },
      { "StratumId": "trauma-center-mortality-severe-injury", "Study": "trauma-center-mortality", "StratumLabel": "severe-injury", "Description": "ISS ≥ 15 proxy stratum.", "Name": "trauma-center-mortality-severe-injury", "TotalCases": 2000 },
      { "StratumId": "surgeon-volume-mortality-low-risk", "Study": "surgeon-volume-mortality", "StratumLabel": "low-risk", "Description": "Low operative-risk patients.", "Name": "surgeon-volume-mortality-low-risk", "TotalCases": 2000 },
      { "StratumId": "surgeon-volume-mortality-high-risk", "Study": "surgeon-volume-mortality", "StratumLabel": "high-risk", "Description": "High-risk patients routed to high-volume surgeons.", "Name": "surgeon-volume-mortality-high-risk", "TotalCases": 2000 },
      { "StratumId": "mammography-length-bias-slow-growing", "Study": "mammography-length-bias", "StratumLabel": "slow-growing", "Description": "Indolent tumor proxy stratum.", "Name": "mammography-length-bias-slow-growing", "TotalCases": 2000 },
      { "StratumId": "mammography-length-bias-aggressive", "Study": "mammography-length-bias", "StratumLabel": "aggressive", "Description": "Aggressive tumor proxy stratum.", "Name": "mammography-length-bias-aggressive", "TotalCases": 2000 },
      { "StratumId": "cabg-vs-pci-severity-multivessel", "Study": "cabg-vs-pci-severity", "StratumLabel": "multivessel", "Description": "Multivessel/severe disease stratum.", "Name": "cabg-vs-pci-severity-multivessel", "TotalCases": 2000 },
      { "StratumId": "cabg-vs-pci-severity-single-vessel", "Study": "cabg-vs-pci-severity", "StratumLabel": "single-vessel", "Description": "Single-vessel/less severe stratum.", "Name": "cabg-vs-pci-severity-single-vessel", "TotalCases": 2000 },
      { "StratumId": "tolbutamide-ugdp-1970-low-risk-centers", "Study": "tolbutamide-ugdp-1970", "StratumLabel": "low-risk-centers", "Description": "Centers with lower baseline CV risk.", "Name": "tolbutamide-ugdp-1970-low-risk-centers", "TotalCases": 2000 },
      { "StratumId": "tolbutamide-ugdp-1970-high-risk-centers", "Study": "tolbutamide-ugdp-1970", "StratumLabel": "high-risk-centers", "Description": "Centers with higher baseline risk.", "Name": "tolbutamide-ugdp-1970-high-risk-centers", "TotalCases": 2000 },
      { "StratumId": "snow-cholera-water-1855-high-exposure-district", "Study": "snow-cholera-water-1855", "StratumLabel": "high-exposure-district", "Description": "Districts with predominantly S&amp;V supply.", "Name": "snow-cholera-water-1855-high-exposure-district", "TotalCases": 2000 },
      { "StratumId": "snow-cholera-water-1855-mixed-supply-district", "Study": "snow-cholera-water-1855", "StratumLabel": "mixed-supply-district", "Description": "Districts with mixed supply.", "Name": "snow-cholera-water-1855-mixed-supply-district", "TotalCases": 2000 },
      { "StratumId": "seatbelt-crash-severity-minor-crash", "Study": "seatbelt-crash-severity", "StratumLabel": "minor-crash", "Description": "Minor crash severity stratum.", "Name": "seatbelt-crash-severity-minor-crash", "TotalCases": 2000 },
      { "StratumId": "seatbelt-crash-severity-severe-crash", "Study": "seatbelt-crash-severity", "StratumLabel": "severe-crash", "Description": "Severe crash stratum (belted over-represented).", "Name": "seatbelt-crash-severity-severe-crash", "TotalCases": 2000 },
      { "StratumId": "measles-outbreak-vaccinated-high-coverage-setting", "Study": "measles-outbreak-vaccinated", "StratumLabel": "high-coverage-setting", "Description": "School/community with 90% vaccination coverage.", "Name": "measles-outbreak-vaccinated-high-coverage-setting", "TotalCases": 10000 },
      { "StratumId": "measles-outbreak-vaccinated-lower-coverage-setting", "Study": "measles-outbreak-vaccinated", "StratumLabel": "lower-coverage-setting", "Description": "Subpopulation with lower coverage.", "Name": "measles-outbreak-vaccinated-lower-coverage-setting", "TotalCases": 2500 },
      { "StratumId": "air-pollution-mortality-city-younger-population-city", "Study": "air-pollution-mortality-city", "StratumLabel": "younger-population-city", "Description": "City stratum with younger population.", "Name": "air-pollution-mortality-city-younger-population-city", "TotalCases": 2000 },
      { "StratumId": "air-pollution-mortality-city-older-population-city", "Study": "air-pollution-mortality-city", "StratumLabel": "older-population-city", "Description": "City stratum with older population.", "Name": "air-pollution-mortality-city-older-population-city", "TotalCases": 2000 },
      { "StratumId": "tb-treatment-resistance-drug-sensitive", "Study": "tb-treatment-resistance", "StratumLabel": "drug-sensitive", "Description": "Drug-sensitive TB stratum.", "Name": "tb-treatment-resistance-drug-sensitive", "TotalCases": 2000 },
      { "StratumId": "tb-treatment-resistance-drug-resistant", "Study": "tb-treatment-resistance", "StratumLabel": "drug-resistant", "Description": "MDR/XDR TB stratum.", "Name": "tb-treatment-resistance-drug-resistant", "TotalCases": 2000 },
      { "StratumId": "hospital-mortality-readmission-high-comorbidity", "Study": "hospital-mortality-readmission", "StratumLabel": "high-comorbidity", "Description": "High comorbidity case-mix stratum.", "Name": "hospital-mortality-readmission-high-comorbidity", "TotalCases": 2000 },
      { "StratumId": "hospital-mortality-readmission-low-comorbidity", "Study": "hospital-mortality-readmission", "StratumLabel": "low-comorbidity", "Description": "Low comorbidity stratum.", "Name": "hospital-mortality-readmission-low-comorbidity", "TotalCases": 2000 },
      { "StratumId": "nypd-stop-frisk-hitrate-high-crime-precincts", "Study": "nypd-stop-frisk-hitrate", "StratumLabel": "high-crime-precincts", "Description": "High-crime precinct stratum.", "Name": "nypd-stop-frisk-hitrate-high-crime-precincts", "TotalCases": 15000 },
      { "StratumId": "nypd-stop-frisk-hitrate-low-crime-precincts", "Study": "nypd-stop-frisk-hitrate", "StratumLabel": "low-crime-precincts", "Description": "Low-crime precinct stratum.", "Name": "nypd-stop-frisk-hitrate-low-crime-precincts", "TotalCases": 3500 },
      { "StratumId": "sentencing-offense-type-violent-offenses", "Study": "sentencing-offense-type", "StratumLabel": "violent-offenses", "Description": "Violent offense stratum.", "Name": "sentencing-offense-type-violent-offenses", "TotalCases": 2000 },
      { "StratumId": "sentencing-offense-type-nonviolent-offenses", "Study": "sentencing-offense-type", "StratumLabel": "nonviolent-offenses", "Description": "Nonviolent offense stratum.", "Name": "sentencing-offense-type-nonviolent-offenses", "TotalCases": 2000 },
      { "StratumId": "bail-risk-score-high-risk-tier", "Study": "bail-risk-score", "StratumLabel": "high-risk-tier", "Description": "High pretrial risk tier.", "Name": "bail-risk-score-high-risk-tier", "TotalCases": 2000 },
      { "StratumId": "bail-risk-score-low-risk-tier", "Study": "bail-risk-score", "StratumLabel": "low-risk-tier", "Description": "Low pretrial risk tier.", "Name": "bail-risk-score-low-risk-tier", "TotalCases": 2000 },
      { "StratumId": "police-force-encounter-discretionary-stop", "Study": "police-force-encounter", "StratumLabel": "discretionary-stop", "Description": "Discretionary stop stratum.", "Name": "police-force-encounter-discretionary-stop", "TotalCases": 2000 },
      { "StratumId": "police-force-encounter-high-risk-call", "Study": "police-force-encounter", "StratumLabel": "high-risk-call", "Description": "High-risk call-for-service stratum.", "Name": "police-force-encounter-high-risk-call", "TotalCases": 2000 },
      { "StratumId": "uc-systemwide-admissions-high-selectivity-major", "Study": "uc-systemwide-admissions", "StratumLabel": "high-selectivity-major", "Description": "Highly selective major/campus stratum.", "Name": "uc-systemwide-admissions-high-selectivity-major", "TotalCases": 2000 },
      { "StratumId": "uc-systemwide-admissions-lower-selectivity-major", "Study": "uc-systemwide-admissions", "StratumLabel": "lower-selectivity-major", "Description": "Less selective major/campus stratum.", "Name": "uc-systemwide-admissions-lower-selectivity-major", "TotalCases": 2000 },
      { "StratumId": "teacher-vam-prior-achievement-high-prior-achievement", "Study": "teacher-vam-prior-achievement", "StratumLabel": "high-prior-achievement", "Description": "High prior-achievement cohort.", "Name": "teacher-vam-prior-achievement-high-prior-achievement", "TotalCases": 2000 },
      { "StratumId": "teacher-vam-prior-achievement-low-prior-achievement", "Study": "teacher-vam-prior-achievement", "StratumLabel": "low-prior-achievement", "Description": "Low prior-achievement cohort.", "Name": "teacher-vam-prior-achievement-low-prior-achievement", "TotalCases": 2000 },
      { "StratumId": "naep-state-demographics-high-poverty-states", "Study": "naep-state-demographics", "StratumLabel": "high-poverty-states", "Description": "High-poverty state stratum.", "Name": "naep-state-demographics-high-poverty-states", "TotalCases": 2000 },
      { "StratumId": "naep-state-demographics-low-poverty-states", "Study": "naep-state-demographics", "StratumLabel": "low-poverty-states", "Description": "Low-poverty state stratum.", "Name": "naep-state-demographics-low-poverty-states", "T</t>
  </si>
  <si>
    <t xml:space="preserve">otalCases": 2000 },
      { "StratumId": "college-grad-rate-selectivity-well-prepared-intake", "Study": "college-grad-rate-selectivity", "StratumLabel": "well-prepared-intake", "Description": "High preparation intake stratum.", "Name": "college-grad-rate-selectivity-well-prepared-intake", "TotalCases": 2000 },
      { "StratumId": "college-grad-rate-selectivity-under-prepared-intake", "Study": "college-grad-rate-selectivity", "StratumLabel": "under-prepared-intake", "Description": "Lower preparation intake stratum.", "Name": "college-grad-rate-selectivity-under-prepared-intake", "TotalCases": 2000 },
      { "StratumId": "star-class-size-inner-city-schools", "Study": "star-class-size", "StratumLabel": "inner-city-schools", "Description": "Inner-city STAR sites.", "Name": "star-class-size-inner-city-schools", "TotalCases": 2000 },
      { "StratumId": "star-class-size-suburban-schools", "Study": "star-class-size", "StratumLabel": "suburban-schools", "Description": "Suburban STAR sites.", "Name": "star-class-size-suburban-schools", "TotalCases": 2000 },
      { "StratumId": "nba-shooting-shot-mix-two-point-attempts", "Study": "nba-shooting-shot-mix", "StratumLabel": "two-point-attempts", "Description": "Two-point shot stratum.", "Name": "nba-shooting-shot-mix-two-point-attempts", "TotalCases": 2000 },
      { "StratumId": "nba-shooting-shot-mix-three-point-attempts", "Study": "nba-shooting-shot-mix", "StratumLabel": "three-point-attempts", "Description": "Three-point shot stratum.", "Name": "nba-shooting-shot-mix-three-point-attempts", "TotalCases": 1500 },
      { "StratumId": "pitcher-era-ballpark-pitcher-friendly-park", "Study": "pitcher-era-ballpark", "StratumLabel": "pitcher-friendly-park", "Description": "Pitcher-friendly home park stratum.", "Name": "pitcher-era-ballpark-pitcher-friendly-park", "TotalCases": 2000 },
      { "StratumId": "pitcher-era-ballpark-hitter-friendly-park", "Study": "pitcher-era-ballpark", "StratumLabel": "hitter-friendly-park", "Description": "Hitter-friendly home park stratum.", "Name": "pitcher-era-ballpark-hitter-friendly-park", "TotalCases": 2000 },
      { "StratumId": "nfl-completion-depth-short-pass", "Study": "nfl-completion-depth", "StratumLabel": "short-pass", "Description": "Short pass attempts (≤10 air yards).", "Name": "nfl-completion-depth-short-pass", "TotalCases": 1600 },
      { "StratumId": "nfl-completion-depth-deep-pass", "Study": "nfl-completion-depth", "StratumLabel": "deep-pass", "Description": "Deep pass attempts (&gt;10 air yards).", "Name": "nfl-completion-depth-deep-pass", "TotalCases": 400 },
      { "StratumId": "field-goal-distance-short-fg", "Study": "field-goal-distance", "StratumLabel": "short-fg", "Description": "FG attempts under 40 yards.", "Name": "field-goal-distance-short-fg", "TotalCases": 2000 },
      { "StratumId": "field-goal-distance-long-fg", "Study": "field-goal-distance", "StratumLabel": "long-fg", "Description": "FG attempts 40+ yards.", "Name": "field-goal-distance-long-fg", "TotalCases": 2000 },
      { "StratumId": "golf-scoring-course-easy-course", "Study": "golf-scoring-course", "StratumLabel": "easy-course", "Description": "Easy course stratum.", "Name": "golf-scoring-course-easy-course", "TotalCases": 2000 },
      { "StratumId": "golf-scoring-course-difficult-course", "Study": "golf-scoring-course", "StratumLabel": "difficult-course", "Description": "Difficult course stratum.", "Name": "golf-scoring-course-difficult-course", "TotalCases": 2000 },
      { "StratumId": "minimum-wage-region-tight-labor-market", "Study": "minimum-wage-region", "StratumLabel": "tight-labor-market", "Description": "Tight labor market stratum.", "Name": "minimum-wage-region-tight-labor-market", "TotalCases": 2000 },
      { "StratumId": "minimum-wage-region-slack-labor-market", "Study": "minimum-wage-region", "StratumLabel": "slack-labor-market", "Description": "Slack labor market stratum.", "Name": "minimum-wage-region-slack-labor-market", "TotalCases": 2000 },
      { "StratumId": "returns-to-education-field-stem-fields", "Study": "returns-to-education-field", "StratumLabel": "stem-fields", "Description": "STEM field stratum.", "Name": "returns-to-education-field-stem-fields", "TotalCases": 2000 },
      { "StratumId": "returns-to-education-field-non-stem-fields", "Study": "returns-to-education-field", "StratumLabel": "non-stem-fields", "Description": "Non-STEM field stratum.", "Name": "returns-to-education-field-non-stem-fields", "TotalCases": 2000 },
      { "StratumId": "unemployment-education-cycle-college-educated-share", "Study": "unemployment-education-cycle", "StratumLabel": "college-educated-share", "Description": "College-educated-heavy subperiod.", "Name": "unemployment-education-cycle-college-educated-share", "TotalCases": 2000 },
      { "StratumId": "unemployment-education-cycle-non-college-share", "Study": "unemployment-education-cycle", "StratumLabel": "non-college-share", "Description": "Non-college-heavy subperiod.", "Name": "unemployment-education-cycle-non-college-share", "TotalCases": 2000 },
      { "StratumId": "costa-rica-us-life-expectancy-under-65", "Study": "costa-rica-us-life-expectancy", "StratumLabel": "under-65", "Description": "Under 65 age stratum.", "Name": "costa-rica-us-life-expectancy-under-65", "TotalCases": 2000 },
      { "StratumId": "costa-rica-us-life-expectancy-65-plus", "Study": "costa-rica-us-life-expectancy", "StratumLabel": "65-plus", "Description": "Age 65+ stratum.", "Name": "costa-rica-us-life-expectancy-65-plus", "TotalCases": 2000 },
      { "StratumId": "fertility-income-country-high-income-countries", "Study": "fertility-income-country", "StratumLabel": "high-income-countries", "Description": "OECD/high-income country stratum.", "Name": "fertility-income-country-high-income-countries", "TotalCases": 2000 },
      { "StratumId": "fertility-income-country-middle-income-countries", "Study": "fertility-income-country", "StratumLabel": "middle-income-countries", "Description": "Middle-income country stratum.", "Name": "fertility-income-country-middle-income-countries", "TotalCases": 2000 },
      { "StratumId": "religiosity-happiness-country-high-gdp-countries", "Study": "religiosity-happiness-country", "StratumLabel": "high-gdp-countries", "Description": "High-GDP country stratum.", "Name": "religiosity-happiness-country-high-gdp-countries", "TotalCases": 2000 },
      { "StratumId": "religiosity-happiness-country-lower-gdp-countries", "Study": "religiosity-happiness-country", "StratumLabel": "lower-gdp-countries", "Description": "Lower-GDP country stratum.", "Name": "religiosity-happiness-country-lower-gdp-countries", "TotalCases": 2000 },
      { "StratumId": "voter-turnout-education-state-high-education-states", "Study": "voter-turnout-education-state", "StratumLabel": "high-education-states", "Description": "States with high college attainment.", "Name": "voter-turnout-education-state-high-education-states", "TotalCases": 2000 },
      { "StratumId": "voter-turnout-education-state-lower-education-states", "Study": "voter-turnout-education-state", "StratumLabel": "lower-education-states", "Description": "States with lower college attainment.", "Name": "voter-turnout-education-state-lower-education-states", "TotalCases": 2000 },
      { "StratumId": "ad-ctr-platform-mix-mobile-traffic", "Study": "ad-ctr-platform-mix", "StratumLabel": "mobile-traffic", "Description": "Mobile platform stratum.", "Name": "ad-ctr-platform-mix-mobile-traffic", "TotalCases": 2000 },
      { "StratumId": "ad-ctr-platform-mix-desktop-traffic", "Study": "ad-ctr-platform-mix", "StratumLabel": "desktop-traffic", "Description": "Desktop platform stratum.", "Name": "ad-ctr-platform-mix-desktop-traffic", "TotalCases": 2000 }
    ]
  },
  "CaseCells": {
    "Description": "Table: CaseCells — the raw leaves of the DAG. One row per (study, stratum, treatment) combination recording the aggregate count of successes and total cases. Every derived fact in the model traces back to these numbers. Nothing above this row is a raw input.",
    "schema": [
      {
        "name": "CaseCellId",
        "datatype": "string",
        "type": "raw",
        "nullable": false,
        "Description": "Unique slug (e.g. kidney-1986-small-A)."
      },
      {
        "name": "Name",
        "datatype": "string",
        "type": "calculated",
        "nullable": false,
        "Description": "Display label.",
        "formula": "={{CaseCellId}}"
      },
      {
        "name": "Study",
        "datatype": "string",
        "type": "relationship",
        "nullable": false,
        "Description": "FK to the parent Study.",
        "RelatedTo": "Studies"
      },
      {
        "name": "StratumLabel",
        "datatype": "string",
        "type": "raw",
        "nullable": false,
        "Description": "The stratum this cell belongs to (matches Strata.StratumLabel)."
      },
      {
        "name": "TreatmentLabel",
        "datatype": "string",
        "type": "raw",
        "nullable": false,
        "Description": "The treatment applied in this cell (matches Treatments.TreatmentLabel)."
      },
      {
        "name": "Successes",
        "datatype": "integer",
        "type": "raw",
        "nullable": false,
        "Description": "Number of patients in this cell who had a successful outcome. RAW INPUT — never derived."
      },
      {
        "name": "Cases",
        "datatype": "integer",
        "type": "raw",
        "nullable": false,
        "Description": "Total number of patients in this cell. RAW INPUT — never derived."
      },
      {
        "name": "CellSuccessRate",
        "datatype": "number",
        "type": "calculated",
        "nullable": true,
        "Description": "Success rate within this cell: Successes / Cases. The first derived fact in the DAG.",
        "formula": "=IF({{Cases}} = 0, \"\", {{Successes}} / {{Cases}})"
      },
      {
        "name": "TotalCasesForTreatment",
        "datatype": "integer",
        "type": "aggregation",
        "nullable": true,
        "Description": "Total cases across ALL strata for this treatment in this study — the denominator for TreatmentExposureFraction.",
        "formula": "=SUMIFS(CaseCells!{{Cases}}, CaseCells!{{Study}}, {{Study}}, CaseCells!{{TreatmentLabel}}, {{TreatmentLabel}})"
      },
      {
        "name": "TreatmentExposureFraction",
        "datatype": "number",
        "type": "calculated",
        "nullable": true,
        "Description": "Fraction of this treatment's total cases that fall in this stratum: Cases / TotalCasesForTreatment. High imbalance across strata is the mechanism of confounding — when treatments are allocated very differently across strata, the pooled rate conflates treatment effect with stratum difficulty.",
        "formula": "=IF({{TotalCasesForTreatment}} = 0, \"\", {{Cases}} / {{TotalCasesForTreatment}})"
      },
      {
        "name": "IsValidIngestionCell",
        "datatype": "boolean",
        "type": "calculated",
        "nullable": false,
        "Description": "TRUE when Cases&gt;0, Successes&gt;=0, and Successes&lt;=Cases.",
        "formula": "=AND({{Cases}} &gt; 0, {{Successes}} &gt;= 0, {{Successes}} &lt;= {{Cases}})"
      }
    ],
    "data": [
      { "CaseCellId": "kidney-1986-small-A", "Study": "kidney-1986", "StratumLabel": "small", "TreatmentLabel": "A", "Successes": 81, "Cases": 87, "Name": "kidney-1986-small-A", "CellSuccessRate": 0.9310344827586207, "TotalCasesForTreatment": 350, "TreatmentExposureFraction": 0.24857142857142858 },
      { "CaseCellId": "kidney-1986-small-B", "Study": "kidney-1986", "StratumLabel": "small", "TreatmentLabel": "B", "Successes": 234, "Cases": 270, "Name": "kidney-1986-small-B", "CellSuccessRate": 0.8666666666666667, "TotalCasesForTreatment": 350, "TreatmentExposureFraction": 0.7714285714285715 },
      { "CaseCellId": "kidney-1986-large-A", "Study": "kidney-1986", "StratumLabel": "large", "TreatmentLabel": "A", "Successes": 192, "Cases": 263, "Name": "kidney-1986-large-A", "CellSuccessRate": 0.7300380228136882, "TotalCasesForTreatment": 350, "TreatmentExposureFraction": 0.7514285714285714 },
      { "CaseCellId": "kidney-1986-large-B", "Study": "kidney-1986", "StratumLabel": "large", "TreatmentLabel": "B", "Successes": 55, "Cases": 80, "Name": "kidney-1986-large-B", "CellSuccessRate": 0.6875, "TotalCasesForTreatment": 350, "TreatmentExposureFraction": 0.22857142857142856 },
      { "CaseCellId": "kidney-balanced-small-A", "Study": "kidney-balanced", "StratumLabel": "small", "TreatmentLabel": "A", "Successes": 163, "Cases": 175, "Name": "kidney-balanced-small-A", "CellSuccessRate": 0.9314285714285714, "TotalCasesForTreatment": 350, "TreatmentExposureFraction": 0.5 },
      { "CaseCellId": "kidney-balanced-small-B", "Study": "kidney-balanced", "StratumLabel": "small", "TreatmentLabel": "B", "Successes": 152, "Cases": 175, "Name": "kidney-balanced-small-B", "CellSuccessRate": 0.8685714285714285, "TotalCasesForTreatment": 350, "TreatmentExposureFraction": 0.5 },
      { "CaseCellId": "kidney-balanced-large-A", "Study": "kidney-balanced", "StratumLabel": "large", "TreatmentLabel": "A", "Successes": 128, "Cases": 175, "Name": "kidney-balanced-large-A", "CellSuccessRate": 0.7314285714285714, "TotalCasesForTreatment": 350, "TreatmentExposureFraction": 0.5 },
      { "CaseCellId": "kidney-balanced-large-B", "Study": "kidney-balanced", "StratumLabel": "large", "TreatmentLabel": "B", "Successes": 120, "Cases": 175, "Name": "kidney-balanced-large-B", "CellSuccessRate": 0.6857142857142857, "TotalCasesForTreatment": 350, "TreatmentExposureFraction": 0.5 },
      { "CaseCellId": "balanced-synthetic-easy-A", "Study": "balanced-synthetic", "StratumLabel": "easy", "TreatmentLabel": "A", "Successes": 60, "Cases": 100, "Name": "balanced-synthetic-easy-A", "CellSuccessRate": 0.6, "TotalCasesForTreatment": 200, "TreatmentExposureFraction": 0.5 },
      { "CaseCellId": "balanced-synthetic-easy-B", "Study": "balanced-synthetic", "StratumLabel": "easy", "TreatmentLabel": "B", "Successes": 50, "Cases": 100, "Name": "balanced-synthetic-easy-B", "CellSuccessRate": 0.5, "TotalCasesForTreatment": 200, "TreatmentExposureFraction": 0.5 },
      { "CaseCellId": "balanced-synthetic-hard-A", "Study": "balanced-synthetic", "StratumLabel": "hard", "TreatmentLabel": "A", "Successes": 60, "Cases": 100, "Name": "balanced-synthetic-hard-A", "CellSuccessRate": 0.6, "TotalCasesForTreatment": 200, "TreatmentExposureFraction": 0.5 },
      { "CaseCellId": "balanced-synthetic-hard-B", "Study": "balanced-synthetic", "StratumLabel": "hard", "TreatmentLabel": "B", "Successes": 50, "Cases": 100, "Name": "balanced-synthetic-hard-B", "CellSuccessRate": 0.5, "TotalCasesForTreatment": 200, "TreatmentExposureFraction": 0.5 },
      { "CaseCellId": "berkeley-1973-dept-A-male", "Study": "berkeley-1973", "StratumLabel": "dept-A", "TreatmentLabel": "A", "Successes": 512, "Cases": 825, "Name": "berkeley-1973-dept-A-male", "CellSuccessRate": 0.6206060606060606, "TotalCasesForTreatment": 2127, "TreatmentExposureFraction": 0.38787023977433005 },
      { "CaseCellId": "berkeley-1973-dept-A-female", "Study": "berkeley-1973", "StratumLabel": "dept-A", "TreatmentLabel": "B", "Successes": 89, "Cases": 108, "Name": "berkeley-1973-dept-A-female", "CellSuccessRate": 0.8240740740740741, "TotalCasesForTreatment": 1101, "TreatmentExposureFraction": 0.09809264305177112 },
      { "CaseCellId": "berkeley-1973-dept-B-male", "Study": "berkeley-1973", "StratumLabel": "dept-B", "TreatmentLabel": "A", "Successes": 353, "Cases": 560, "Name": "berkeley-1973-dept-B-male", "CellSuccessRate": 0.6303571428571428, "TotalCasesForTreatment": 2127, "TreatmentExposureFraction": 0.2632816173013634 },
      { "CaseCellId": "berkeley-1973-dept-B-female", "Study": "berkeley-1973", "StratumLabel": "dept-B", "TreatmentLabel": "B", "Successes": 17, "Cases": 25, "Name": "berkeley-1973-dept-B-female", "CellSuccessRate": 0.68, "TotalCasesForTreatment": 1101, "TreatmentExposureFraction": 0.022706630336058128 },
      { "CaseCellId": "berkeley-1973-dept-C-male", "Study": "berkeley-1973", "StratumLabel": "dept-C", "TreatmentLabel": "A", "Successes": 120, "Cases": 325, "Name": "berkeley-1973-dept-C-male", "CellSuccessRate": 0.36923076923076925, "TotalCasesForTreatment": 2127, "TreatmentExposureFraction": 0.152797367183827 },
      { "CaseCellId": "berkeley-1973-dept-C-female", "Study": "berkeley-1973", "StratumLabel": "dept-C", "TreatmentLabel": "B", "Successes": 202, "Cases": 593, "Name": "berkeley-1973-dept-C-female", "CellSuccessRate": 0.3406408094435076, "TotalCasesForTreatment": 1101, "TreatmentExposureFraction": 0.5386012715712988 },
      { "CaseCellId": "berkeley-1973-dept-D-male", "Study": "berkeley-1973", "StratumLabel": "dept-D", "TreatmentLabel": "A", "Successes": 138, "Cases": 417, "Name": "berkeley-1973-dept-D-male", "CellSuccessRate": 0.33093525179856115, "TotalCasesForTreatment": 2127, "TreatmentExposureFraction": 0.19605077574047955 },
      { "CaseCellId": "berkeley-1973-dept-D-female", "Study": "berkeley-1973", "StratumLabel": "dept-D", "TreatmentLabel": "B", "Successes": 131, "Cases": 375, "Name": "berkeley-1973-dept-D-female", "CellSuccessRate": 0.34933333333333333, "TotalCasesForTreatment": 1101, "TreatmentExposureFraction": 0.3405994550408719 },
      { "CaseCellId": "compressed-synthetic-hard-A", "Study": "compressed-synthetic", "StratumLabel": "hard", "TreatmentLabel": "A", "Successes": 84, "Cases": 120, "Name": "compressed-synthetic-hard-A", "CellSuccessRate": 0.7, "TotalCasesForTreatment": 200, "TreatmentExposureFraction": 0.6 },
      { "CaseCellId": "compressed-synthetic-hard-B", "Study": "compressed-synthetic", "StratumLabel": "hard", "TreatmentLabel": "B", "Successes": 48, "Cases": 80, "Name": "compressed-synthetic-hard-B", "CellSuccessRate": 0.6, "TotalCasesForTreatment": 200, "TreatmentExposureFraction": 0.4 },
      { "CaseCellId": "compressed-synthetic-easy-A", "Study": "compressed-synthetic", "StratumLabel": "easy", "TreatmentLabel": "A", "Successes": 72, "Cases": 80, "Name": "compressed-synthetic-easy-A", "CellSuccessRate": 0.9, "TotalCasesForTreatment": 200, "TreatmentExposureFraction": 0.4 },
      { "CaseCellId": "compressed-synthetic-easy-B", "Study": "compressed-synthetic", "StratumLabel": "easy", "TreatmentLabel": "B", "Successes": 96, "Cases": 120, "Name": "compressed-synthetic-easy-B", "CellSuccessRate": 0.8, "TotalCasesForTreatment": 200, "TreatmentExposureFraction": 0.6 },
      { "CaseCellId": "reintjes-2000-low-A", "Study": "reintjes-2000", "StratumLabel": "low", "TreatmentLabel": "A", "Successes": 20, "Cases": 1113, "Name": "reintjes-2000-low-A", "CellSuccessRate": 0.017969451931716084, "TotalCasesForTreatment": 1279, "TreatmentExposureFraction": 0.8702111024237685 },
      { "CaseCellId": "reintjes-2000-low-B", "Study": "reintjes-2000", "StratumLabel": "low", "TreatmentLabel": "B", "Successes": 5, "Cases": 720, "Name": "reintjes-2000-low-B", "CellSuccessRate": 0.006944444444444444, "TotalCasesForTreatment": 2240, "TreatmentExposureFraction": 0.32142857142857145 },
      { "CaseCellId": "reintjes-2000-high-A", "Study": "reintjes-2000", "StratumLabel": "high", "TreatmentLabel": "A", "Successes": 22, "Cases": 166, "Name": "reintjes-2000-high-A", "CellSuccessRate": 0.13253012048192772, "TotalCasesForTreatment": 1279, "TreatmentExposureFraction": 0.12978889757623144 },
      { "CaseCellId": "reintjes-2000-high-B", "Study": "reintjes-2000", "StratumLabel": "high", "TreatmentLabel": "B", "Successes": 99, "Cases": 1520, "Name": "reintjes-2000-high-B", "CellSuccessRate": 0.06513157894736842, "TotalCasesForTreatment": 2240, "TreatmentExposureFraction": 0.6785714285714286 },
      { "CaseCellId": "radelet-1981-white-victim-A", "Study": "radelet-1981", "StratumLabel": "white-victim", "TreatmentLabel": "A", "Successes": 19, "Cases": 151, "Name": "radelet-1981-white-victim-A", "CellSuccessRate": 0.12582781456953643, "TotalCasesForTreatment": 160, "TreatmentExposureFraction": 0.94375 },
      { "CaseCellId": "radelet-1981-white-victim-B", "Study": "radelet-1981", "StratumLabel": "white-victim", "TreatmentLabel": "B", "Successes": 11, "Cases": 63, "Name": "radelet-1981-white-victim-B", "CellSuccessRate": 0.1746031746031746, "TotalCasesForTreatment": 166, "TreatmentExposureFraction": 0.3795180722891566 },
      { "CaseCellId": "radelet-1981-black-victim-A", "Study": "radelet-1981", "StratumLabel": "black-victim", "TreatmentLabel": "A", "Successes": 0, "Cases": 9, "Name": "radelet-1981-black-victim-A", "CellSuccessRate": 0.0, "TotalCasesForTreatment": 160, "TreatmentExposureFraction": 0.05625 },
      { "CaseCellId": "radelet-1981-black-victim-B", "Study": "radelet-1981", "StratumLabel": "black-victim", "TreatmentLabel": "B", "Successes": 6, "Cases": 103, "Name": "radelet-1981-black-victim-B", "CellSuccessRate": 0.05825242718446602, "TotalCasesForTreatment": 166, "TreatmentExposureFraction": 0.6204819277108434 },
      { "CaseCellId": "jeter-justice-1997-1995-A", "Study": "jeter-justice-1997", "StratumLabel": "1995", "TreatmentLabel": "A", "Successes": 12, "Cases": 48, "Name": "jeter-justice-1997-1995-A", "CellSuccessRate": 0.25, "TotalCasesForTreatment": 1284, "TreatmentExposureFraction": 0.037383177570093455 },
      { "CaseCellId": "jeter-justice-1997-1995-B", "Study": "jeter-justice-1997", "StratumLabel": "1995", "TreatmentLabel": "B", "Successes": 104, "Cases": 411, "Name": "jeter-justice-1997-1995-B", "CellSuccessRate": 0.25304136253041365, "TotalCasesForTreatment": 1046, "TreatmentExposureFraction": 0.39292543021032506 },
      { "CaseCellId": "jeter-justice-1997-1996-A", "Study": "jeter-justice-1997", "StratumLabel": "1996", "TreatmentLabel": "A", "Successes": 183, "Cases": 582, "Name": "jeter-justice-1997-1996-A", "CellSuccessRate": 0.31443298969072164, "TotalCasesForTreatment": 1284, "TreatmentExposureFraction": 0.4532710280373832 },
      { "CaseCellId": "jeter-justice-1997-1996-B", "Study": "jeter-justice-1997", "StratumLabel": "1996", "TreatmentLabel": "B", "Successes": 45, "Cases": 140, "Name": "jeter-justice-1997-1996-B", "CellSuccessRate": 0.32142857142857145, "TotalCasesForTreatment": 1046, "TreatmentExposureFraction": 0.1338432122370937 },
      { "CaseCellId": "jeter-justice-1997-1997-A", "Study": "jeter-justice-1997", "StratumLabel": "1997", "TreatmentLabel": "A", "Successes": 190, "Cases": 654, "Name": "jeter-justice-1997-1997-A", "CellSuccessRate": 0.290519877675841, "TotalCasesForTreatment": 1284, "TreatmentExposureFraction": 0.5093457943925234 },
      { "CaseCellId": "jeter-justice-1997-1997-B", "Study": "jeter-justice-1997", "StratumLabel": "1997", "TreatmentLabel": "B", "Successes": 163, "Cases": 495, "Name": "jeter-justice-1997-1997-B", "CellSuccessRate": 0.3292929292929293, "TotalCasesForTreatment": 1046, "TreatmentExposureFraction": 0.4732313575525813 },
      { "CaseCellId": "appleton-1996-18-24-A", "Study": "appleton-1996", "StratumLabel": "18-24", "TreatmentLabel": "A", "Successes": 2, "Cases": 55, "Name": "appleton-1996-18-24-A", "CellSuccessRate": 0.03636363636363636, "TotalCasesForTreatment": 582, "TreatmentExposureFraction": 0.09450171821305842 },
      { "CaseCellId": "appleton-1996-18-24-B", "Study": "appleton-1996", "StratumLabel": "18-24", "TreatmentLabel": "B", "Successes": 1, "Cases": 72, "Name": "appleton-1996-18-24-B", "CellSuccessRate": 0.013888888888888888, "TotalCasesForTreatment": 732, "TreatmentExposureFraction": 0.09836065573770492 },
      { "CaseCellId": "appleton-1996-25-34-A", "Study": "appleton-1996", "StratumLabel": "25-34", "TreatmentLabel": "A", "Successes": 3, "Cases": 125, "Name": "appleton-1996-25-34-A", "CellSuccessRate": 0.024, "TotalCasesForTreatment": 582, "TreatmentExposureFraction": 0.21477663230240548 },
      { "CaseCellId": "appleton-1996-25-34-B", "Study": "appleton-1996", "StratumLabel": "25-34", "TreatmentLabel": "B", "Successes": 4, "Cases": 156, "Name": "appleton-1996-25-34-B", "CellSuccessRate": 0.02564102564102564, "TotalCasesForTreatment": 732, "TreatmentExposureFraction": 0.21311475409836064 },
      { "CaseCellId": "appleton-1996-35-44-A", "Study": "appleton-1996", "StratumLabel": "35-44", "TreatmentLabel": "A", "Successes": 10, "Cases": 105, "Name": "appleton-1996-35-44-A", "CellSuccessRate": 0.09523809523809523, "TotalCasesForTreatment": 582, "TreatmentExposureFraction": 0.18041237113402062 },
      { "CaseCellId": "appleton-1996-35-44-B", "Study": "appleton-1996", "StratumLabel": "35-44", "TreatmentLabel": "B", "Successes": 7, "Cases": 111, "Name": "appleton-1996-35-44-B", "CellSuccessRate": 0.06306306306306306, "TotalCasesForTreatment": 732, "TreatmentExposureFraction": 0.15163934426229508 },
      { "CaseCellId": "appleton-1996-45-54-A", "Study": "appleton-1996", "StratumLabel": "45-54", "TreatmentLabel": "A", "Successes": 28, "Cases": 131, "Name": "appleton-1996-45-54-A", "CellSuccessRate": 0.21374045801526717, "TotalCasesForTreatment": 582, "TreatmentExposureFraction": 0.22508591065292097 },
      { "CaseCellId": "appleton-1996-45-54-B", "Study": "appleton-1996", "StratumLabel": "45-54", "TreatmentLabel": "B", "Successes": 12, "Cases": 78, "Name": "appleton-1996-45-54-B", "CellSuccessRate": 0.15384615384615385, "TotalCasesForTreatment": 732, "TreatmentExposureFraction": 0.10655737704918032 },
      { "CaseCellId": "appleton-1996-55-64-A", "Study": "appleton-1996", "StratumLabel": "55-64", "TreatmentLabel": "A", "Successes": 52, "Cases": 116, "Name": "appleton-1996-55-64-A", "CellSuccessRate": 0.4482758620689655, "TotalCasesForTreatment": 582, "TreatmentExposureFraction": 0.19931271477663232 },
      { "CaseCellId": "appleton-1996-55-64-B", "Study": "appleton-1996", "StratumLabel": "55-64", "TreatmentLabel": "B", "Successes": 41, "Cases": 122, "Name": "appleton-1996-55-64-B", "CellSuccessRate": 0.3360655737704918, "TotalCasesForTreatment": 732, "TreatmentExposureFraction": 0.16666666666666666 },
      { "CaseCellId": "appleton-1996-65-74-A", "Study": "appleton-1996", "StratumLabel": "65-74", "TreatmentLabel": "A", "Successes": 31, "Cases": 37, "Name": "appleton-1996-65-74-A", "CellSuccessRate": 0.8378378378378378, "TotalCasesForTreatment": 582, "TreatmentExposureFraction": 0.06357388316151202 },
      { "CaseCellId": "appleton-1996-65-74-B", "Study": "appleton-1996", "StratumLabel": "65-74", "TreatmentLabel": "B", "Successes": 101, "Cases": 129, "Name": "appleton-1996-65-74-B", "CellSuccessRate": 0.7829457364341085, "TotalCasesForTreatment": 732, "TreatmentExposureFraction": 0.1762295081967213 },
      { "CaseCellId": "appleton-1996-75plus-A", "Study": "appleton-1996", "StratumLabel": "75+", "TreatmentLabel": "A", "Successes": 13, "Cases": 13, "Name": "appleton-1996-75plus-A", "CellSuccessRate": 1.0, "TotalCasesForTreatment": 582, "TreatmentExposureFraction": 0.022336769759450172 },
      { "CaseCellId": "appleton-1996-75plus-B", "Study": "appleton-1996", "StratumLabel": "75+", "TreatmentLabel": "B", "Successes": 64, "Cases": 64, "Name": "appleton-1996-75plus-B", "CellSuccessRate": 1.0, "TotalCasesForTreatment": 732, "TreatmentExposureFraction": 0.08743169398907104 },
      { "CaseCellId": "phe-covid-2021-under-50-A", "Study": "phe-covid-2021", "StratumLabel": "under 50", "TreatmentLabel": "A", "Successes": 21, "Cases": 89807, "Name": "phe-covid-2021-under-50-A", "CellSuccessRate": 0.00023383477902613381, "TotalCasesForTreatment": 117114, "TreatmentExposureFraction": 0.766834024967126 },
      { "CaseCellId": "phe-covid-2021-under-50-B", "Study": "phe-covid-2021", "StratumLabel": "under 50", "TreatmentLabel": "B", "Successes": 48, "Cases": 147612, "Name": "phe-covid-2021-under-50-B", "CellSuccessRate": 0.00032517681489309814, "TotalCasesForTreatment": 151052, "TreatmentExposureFraction": 0.9772263856155496 },
      { "CaseCellId": "phe-covid-2021-50plus-A", "Study": "phe-covid-2021", "StratumLabel": "50 +", "TreatmentLabel": "A", "Successes": 460, "Cases": 27307, "Name": "phe-covid-2021-50plus-A", "CellSuccessRate": 0.0168454974914857, "TotalCasesForTreatment": 117114, "TreatmentExposureFraction": 0.23316597503287395 },
      { "CaseCellId": "phe-covid-2021-50plus-B", "Study": "phe-covid-2021", "StratumLabel": "50 +", "TreatmentLabel": "B", "Successes": 205, "Cases": 3440, "Name": "phe-covid-2021-50plus-B", "CellSuccessRate": 0.059593023255813955, "TotalCasesForTreatment": 151052, "TreatmentExposureFraction": 0.02277361438445039 },
      { "CaseCellId": "hannan-1994-high-risk-A", "Study": "hannan-1994", "StratumLabel": "high-risk", "TreatmentLabel": "A", "Successes": 466, "Cases": 490, "Name": "hannan-1994-high-risk-A", "CellSuccessRate": 0.9510204081632653, "TotalCasesForTreatment": 700, "TreatmentExposureFraction": 0.7 },
      { "CaseCellId": "hannan-1994-high-risk-B", "Study": "hannan-1994", "StratumLabel": "high-risk", "TreatmentLabel": "B", "Successes": 64, "Cases": 80, "Name": "hannan-1994-high-risk-B", "CellSuccessRate": 0.8, "TotalCasesForTreatment": 400, "TreatmentExposureFraction": 0.2 },
      { "CaseCellId": "hannan-1994-low-risk-A", "Study": "hannan-1994", "StratumLabel": "low-risk", "TreatmentLabel": "A", "Successes": 208, "Cases": 210, "Name": "hannan-1994-low-risk-A", "CellSuccessRate": 0.9904761904761905, "TotalCasesForTreatment": 700, "TreatmentExposureFraction": 0.3 },
      { "CaseCellId": "hannan-1994-low-risk-B", "Study": "hannan-1994", "StratumLabel": "low-risk", "TreatmentLabel": "B", "Successes": 310, "Cases": 320, "Name": "hannan-1994-low-risk-B", "CellSuccessRate": 0.96875, "TotalCasesForTreatment": 400, "TreatmentExposureFraction": 0.8 },
      { "CaseCellId": "titanic-1912-male-A", "Study": "titanic-1912", "StratumLabel": "male", "TreatmentLabel": "A", "Successes": 57, "Cases": 175, "Name": "titanic-1912-male-A", "CellSuccessRate": 0.32571428571428573, "TotalCasesForTreatment": 319, "TreatmentExposureFraction": 0.54858934169279 },
      { "CaseCellId": "titanic-1912-male-B", "Study": "titanic-1912", "StratumLabel": "male", "TreatmentLabel": "B", "Successes": 75, "Cases": 462, "Name": "titanic-1912-male-B", "CellSuccessRate": 0.16233766233766234, "TotalCasesForTreatment": 627, "TreatmentExposureFraction": 0.7368421052631579 },
      { "CaseCellId": "titanic-1912-female-A", "Study": "titanic-1912", "StratumLabel": "female", "TreatmentLabel": "A", "Successes": 139, "Cases": 144, "Name": "titanic-1912-female-A", "CellSuccessRate": 0.9652777777777778, "TotalCasesForTreatment": 319, "TreatmentExposureFraction": 0.45141065830721006 },
      { "CaseCellId": "titanic-1912-female-B", "Study": "titanic-1912", "StratumLabel": "female", "TreatmentLabel": "B", "Successes": 76, "Cases": 165, "Name": "titanic-1912-female-B", "CellSuccessRate": 0.46060606060606063, "TotalCasesForTreatment": 627, "TreatmentExposureFraction": 0.2631578947368421 },
      { "CaseCellId": "bwp-lbw-A", "Study": "birth-weight-paradox", "StratumLabel": "low-birth-weight", "TreatmentLabel": "A", "Successes": 960, "Cases": 1000, "Name": "bwp-lbw-A", "CellSuccessRate": 0.96, "TotalCasesForTreatment": 2000, "TreatmentExposureFraction": 0.5 },
      { "CaseCellId": "bwp-lbw-B", "Study": "birth-weight-paradox", "StratumLabel": "low-birth-weight", "TreatmentLabel": "B", "Successes": 470, "Cases": 500, "Name": "bwp-lbw-B", "CellSuccessRate": 0.94, "TotalCasesForTreatment": 5500, "TreatmentExposureFraction": 0.09090909090909091 },
      { "CaseCellId": "bwp-nbw-A", "Study": "birth-weight-paradox", "StratumLabel": "normal-birth-weight", "TreatmentLabel": "A", "Successes": 995, "Cases": 1000, "Name": "bwp-nbw-A", "CellSuccessRate": 0.995, "TotalCasesForTreatment": 2000, "TreatmentExposureFraction": 0.5 },
      { "CaseCellId": "bwp-nbw-B", "Study": "birth-weight-paradox", "StratumLabel": "normal-birth-weight", "TreatmentLabel": "B", "Successes": 4980, "Cases": 5000, "Name": "bwp-nbw-B", "CellSuccessRate": 0.996, "TotalCasesForTreatment": 5500, "TreatmentExposureFraction": 0.9090909090909091 },
      { "CaseCellId": "mel-thin-A", "Study": "melanoma-altman-1991", "StratumLabel": "thin", "TreatmentLabel": "A", "Successes": 133, "Cases": 140, "Name": "mel-thin-A", "CellSuccessRate": 0.95, "TotalCasesForTreatment": 200, "TreatmentExposureFraction": 0.7 },
      { "CaseCellId": "mel-thin-B", "Study": "melanoma-altman-1991", "StratumLabel": "thin", "TreatmentLabel": "B", "Successes": 70, "Cases": 80, "Name": "mel-thin-B", "CellSuccessRate": 0.875, "TotalCasesForTreatment": 200, "TreatmentExposureFraction": 0.4 },
      { "CaseCellId": "mel-thick-A", "Study": "melanoma-altman-1991", "StratumLabel": "thick", "TreatmentLabel": "A", "Successes": 39, "Cases": 60, "Name": "mel-thick-A", "CellSuccessRate": 0.65, "TotalCasesForTreatment": 200, "TreatmentExposureFraction": 0.3 },
      { "CaseCellId": "mel-thick-B", "Study": "melanoma-altman-</t>
  </si>
  <si>
    <t xml:space="preserve">1991", "StratumLabel": "thick", "TreatmentLabel": "B", "Successes": 66, "Cases": 120, "Name": "mel-thick-B", "CellSuccessRate": 0.55, "TotalCasesForTreatment": 200, "TreatmentExposureFraction": 0.6 },
      { "CaseCellId": "coffee-nonsmoker-A", "Study": "coffee-tverdal-2020", "StratumLabel": "non-smoker", "TreatmentLabel": "A", "Successes": 920, "Cases": 1000, "Name": "coffee-nonsmoker-A", "CellSuccessRate": 0.92, "TotalCasesForTreatment": 2000, "TreatmentExposureFraction": 0.5 },
      { "CaseCellId": "coffee-nonsmoker-B", "Study": "coffee-tverdal-2020", "StratumLabel": "non-smoker", "TreatmentLabel": "B", "Successes": 890, "Cases": 1000, "Name": "coffee-nonsmoker-B", "CellSuccessRate": 0.89, "TotalCasesForTreatment": 2000, "TreatmentExposureFraction": 0.5 },
      { "CaseCellId": "coffee-smoker-A", "Study": "coffee-tverdal-2020", "StratumLabel": "smoker", "TreatmentLabel": "A", "Successes": 820, "Cases": 1000, "Name": "coffee-smoker-A", "CellSuccessRate": 0.82, "TotalCasesForTreatment": 2000, "TreatmentExposureFraction": 0.5 },
      { "CaseCellId": "coffee-smoker-B", "Study": "coffee-tverdal-2020", "StratumLabel": "smoker", "TreatmentLabel": "B", "Successes": 800, "Cases": 1000, "Name": "coffee-smoker-B", "CellSuccessRate": 0.8, "TotalCasesForTreatment": 2000, "TreatmentExposureFraction": 0.5 },
      { "CaseCellId": "sat-lowspend-A", "Study": "sat-wainer-1986", "StratumLabel": "low-spending", "TreatmentLabel": "A", "Successes": 240, "Cases": 600, "Name": "sat-lowspend-A", "CellSuccessRate": 0.4, "TotalCasesForTreatment": 1000, "TreatmentExposureFraction": 0.6 },
      { "CaseCellId": "sat-lowspend-B", "Study": "sat-wainer-1986", "StratumLabel": "low-spending", "TreatmentLabel": "B", "Successes": 35, "Cases": 100, "Name": "sat-lowspend-B", "CellSuccessRate": 0.35, "TotalCasesForTreatment": 150, "TreatmentExposureFraction": 0.6666666666666666 },
      { "CaseCellId": "sat-highspend-A", "Study": "sat-wainer-1986", "StratumLabel": "high-spending", "TreatmentLabel": "A", "Successes": 280, "Cases": 400, "Name": "sat-highspend-A", "CellSuccessRate": 0.7, "TotalCasesForTreatment": 1000, "TreatmentExposureFraction": 0.4 },
      { "CaseCellId": "sat-highspend-B", "Study": "sat-wainer-1986", "StratumLabel": "high-spending", "TreatmentLabel": "B", "Successes": 40, "Cases": 50, "Name": "sat-highspend-B", "CellSuccessRate": 0.8, "TotalCasesForTreatment": 150, "TreatmentExposureFraction": 0.3333333333333333 },
      { "CaseCellId": "rogers-nicewander-1988-infield-proxy-A", "Study": "rogers-nicewander-1988", "StratumLabel": "infield-proxy", "TreatmentLabel": "A", "Successes": 11, "Cases": 29, "Name": "rogers-nicewander-1988-infield-proxy-A", "CellSuccessRate": 0.3793103448275862, "TotalCasesForTreatment": 36, "TreatmentExposureFraction": 0.8055555555555556 },
      { "CaseCellId": "rogers-nicewander-1988-infield-proxy-B", "Study": "rogers-nicewander-1988", "StratumLabel": "infield-proxy", "TreatmentLabel": "B", "Successes": 4, "Cases": 10, "Name": "rogers-nicewander-1988-infield-proxy-B", "CellSuccessRate": 0.4, "TotalCasesForTreatment": 22, "TreatmentExposureFraction": 0.45454545454545453 },
      { "CaseCellId": "rogers-nicewander-1988-outfield-proxy-A", "Study": "rogers-nicewander-1988", "StratumLabel": "outfield-proxy", "TreatmentLabel": "A", "Successes": 1, "Cases": 7, "Name": "rogers-nicewander-1988-outfield-proxy-A", "CellSuccessRate": 0.14285714285714285, "TotalCasesForTreatment": 36, "TreatmentExposureFraction": 0.19444444444444445 },
      { "CaseCellId": "rogers-nicewander-1988-outfield-proxy-B", "Study": "rogers-nicewander-1988", "StratumLabel": "outfield-proxy", "TreatmentLabel": "B", "Successes": 2, "Cases": 12, "Name": "rogers-nicewander-1988-outfield-proxy-B", "CellSuccessRate": 0.16666666666666666, "TotalCasesForTreatment": 22, "TreatmentExposureFraction": 0.5454545454545454 },
      { "CaseCellId": "lucente-baseball-1995-first-half-A", "Study": "lucente-baseball-1995", "StratumLabel": "first-half", "TreatmentLabel": "A", "Successes": 52, "Cases": 180, "Name": "lucente-baseball-1995-first-half-A", "CellSuccessRate": 0.28888888888888886, "TotalCasesForTreatment": 330, "TreatmentExposureFraction": 0.5454545454545454 },
      { "CaseCellId": "lucente-baseball-1995-first-half-B", "Study": "lucente-baseball-1995", "StratumLabel": "first-half", "TreatmentLabel": "B", "Successes": 48, "Cases": 160, "Name": "lucente-baseball-1995-first-half-B", "CellSuccessRate": 0.3, "TotalCasesForTreatment": 360, "TreatmentExposureFraction": 0.4444444444444444 },
      { "CaseCellId": "lucente-baseball-1995-second-half-A", "Study": "lucente-baseball-1995", "StratumLabel": "second-half", "TreatmentLabel": "A", "Successes": 45, "Cases": 150, "Name": "lucente-baseball-1995-second-half-A", "CellSuccessRate": 0.3, "TotalCasesForTreatment": 330, "TreatmentExposureFraction": 0.45454545454545453 },
      { "CaseCellId": "lucente-baseball-1995-second-half-B", "Study": "lucente-baseball-1995", "StratumLabel": "second-half", "TreatmentLabel": "B", "Successes": 55, "Cases": 200, "Name": "lucente-baseball-1995-second-half-B", "CellSuccessRate": 0.275, "TotalCasesForTreatment": 360, "TreatmentExposureFraction": 0.5555555555555556 },
      { "CaseCellId": "wilson-batting-2000-early-innings-A", "Study": "wilson-batting-2000", "StratumLabel": "early-innings", "TreatmentLabel": "A", "Successes": 38, "Cases": 120, "Name": "wilson-batting-2000-early-innings-A", "CellSuccessRate": 0.31666666666666665, "TotalCasesForTreatment": 180, "TreatmentExposureFraction": 0.6666666666666666 },
      { "CaseCellId": "wilson-batting-2000-early-innings-B", "Study": "wilson-batting-2000", "StratumLabel": "early-innings", "TreatmentLabel": "B", "Successes": 42, "Cases": 130, "Name": "wilson-batting-2000-early-innings-B", "CellSuccessRate": 0.3230769230769231, "TotalCasesForTreatment": 200, "TreatmentExposureFraction": 0.65 },
      { "CaseCellId": "wilson-batting-2000-late-innings-A", "Study": "wilson-batting-2000", "StratumLabel": "late-innings", "TreatmentLabel": "A", "Successes": 15, "Cases": 60, "Name": "wilson-batting-2000-late-innings-A", "CellSuccessRate": 0.25, "TotalCasesForTreatment": 180, "TreatmentExposureFraction": 0.3333333333333333 },
      { "CaseCellId": "wilson-batting-2000-late-innings-B", "Study": "wilson-batting-2000", "StratumLabel": "late-innings", "TreatmentLabel": "B", "Successes": 18, "Cases": 70, "Name": "wilson-batting-2000-late-innings-B", "CellSuccessRate": 0.2571428571428571, "TotalCasesForTreatment": 200, "TreatmentExposureFraction": 0.35 },
      { "CaseCellId": "clemens-bly-1998-home-A", "Study": "clemens-bly-1998", "StratumLabel": "home", "TreatmentLabel": "A", "Successes": 28, "Cases": 90, "Name": "clemens-bly-1998-home-A", "CellSuccessRate": 0.3111111111111111, "TotalCasesForTreatment": 140, "TreatmentExposureFraction": 0.6428571428571429 },
      { "CaseCellId": "clemens-bly-1998-home-B", "Study": "clemens-bly-1998", "StratumLabel": "home", "TreatmentLabel": "B", "Successes": 32, "Cases": 100, "Name": "clemens-bly-1998-home-B", "CellSuccessRate": 0.32, "TotalCasesForTreatment": 155, "TreatmentExposureFraction": 0.6451612903225806 },
      { "CaseCellId": "clemens-bly-1998-away-A", "Study": "clemens-bly-1998", "StratumLabel": "away", "TreatmentLabel": "A", "Successes": 12, "Cases": 50, "Name": "clemens-bly-1998-away-A", "CellSuccessRate": 0.24, "TotalCasesForTreatment": 140, "TreatmentExposureFraction": 0.35714285714285715 },
      { "CaseCellId": "clemens-bly-1998-away-B", "Study": "clemens-bly-1998", "StratumLabel": "away", "TreatmentLabel": "B", "Successes": 14, "Cases": 55, "Name": "clemens-bly-1998-away-B", "CellSuccessRate": 0.2545454545454545, "TotalCasesForTreatment": 155, "TreatmentExposureFraction": 0.3548387096774194 },
      { "CaseCellId": "open-university-1975-under-21-A", "Study": "open-university-1975", "StratumLabel": "under-21", "TreatmentLabel": "A", "Successes": 843, "Cases": 1154, "Name": "open-university-1975-under-21-A", "CellSuccessRate": 0.7305025996533796, "TotalCasesForTreatment": 1484, "TreatmentExposureFraction": 0.7776280323450134 },
      { "CaseCellId": "open-university-1975-under-21-B", "Study": "open-university-1975", "StratumLabel": "under-21", "TreatmentLabel": "B", "Successes": 437, "Cases": 619, "Name": "open-university-1975-under-21-B", "CellSuccessRate": 0.7059773828756059, "TotalCasesForTreatment": 1039, "TreatmentExposureFraction": 0.5957651588065448 },
      { "CaseCellId": "open-university-1975-21-to-40-A", "Study": "open-university-1975", "StratumLabel": "21-to-40", "TreatmentLabel": "A", "Successes": 180, "Cases": 250, "Name": "open-university-1975-21-to-40-A", "CellSuccessRate": 0.72, "TotalCasesForTreatment": 1484, "TreatmentExposureFraction": 0.16846361185983827 },
      { "CaseCellId": "open-university-1975-21-to-40-B", "Study": "open-university-1975", "StratumLabel": "21-to-40", "TreatmentLabel": "B", "Successes": 240, "Cases": 320, "Name": "open-university-1975-21-to-40-B", "CellSuccessRate": 0.75, "TotalCasesForTreatment": 1039, "TreatmentExposureFraction": 0.30798845043310874 },
      { "CaseCellId": "open-university-1975-over-40-A", "Study": "open-university-1975", "StratumLabel": "over-40", "TreatmentLabel": "A", "Successes": 40, "Cases": 80, "Name": "open-university-1975-over-40-A", "CellSuccessRate": 0.5, "TotalCasesForTreatment": 1484, "TreatmentExposureFraction": 0.05390835579514825 },
      { "CaseCellId": "open-university-1975-over-40-B", "Study": "open-university-1975", "StratumLabel": "over-40", "TreatmentLabel": "B", "Successes": 60, "Cases": 100, "Name": "open-university-1975-over-40-B", "CellSuccessRate": 0.6, "TotalCasesForTreatment": 1039, "TreatmentExposureFraction": 0.09624639076034648 },
      { "CaseCellId": "pisa-immigration-2015-high-performing-A", "Study": "pisa-immigration-2015", "StratumLabel": "high-performing", "TreatmentLabel": "A", "Successes": 420, "Cases": 500, "Name": "pisa-immigration-2015-high-performing-A", "CellSuccessRate": 0.84, "TotalCasesForTreatment": 900, "TreatmentExposureFraction": 0.5555555555555556 },
      { "CaseCellId": "pisa-immigration-2015-high-performing-B", "Study": "pisa-immigration-2015", "StratumLabel": "high-performing", "TreatmentLabel": "B", "Successes": 80, "Cases": 120, "Name": "pisa-immigration-2015-high-performing-B", "CellSuccessRate": 0.6666666666666666, "TotalCasesForTreatment": 320, "TreatmentExposureFraction": 0.375 },
      { "CaseCellId": "pisa-immigration-2015-lower-performing-A", "Study": "pisa-immigration-2015", "StratumLabel": "lower-performing", "TreatmentLabel": "A", "Successes": 280, "Cases": 400, "Name": "pisa-immigration-2015-lower-performing-A", "CellSuccessRate": 0.7, "TotalCasesForTreatment": 900, "TreatmentExposureFraction": 0.4444444444444444 },
      { "CaseCellId": "pisa-immigration-2015-lower-performing-B", "Study": "pisa-immigration-2015", "StratumLabel": "lower-performing", "TreatmentLabel": "B", "Successes": 150, "Cases": 200, "Name": "pisa-immigration-2015-lower-performing-B", "CellSuccessRate": 0.75, "TotalCasesForTreatment": 320, "TreatmentExposureFraction": 0.625 },
      { "CaseCellId": "wainer-sat-states-1992-northeast-A", "Study": "wainer-sat-states-1992", "StratumLabel": "northeast", "TreatmentLabel": "A", "Successes": 320, "Cases": 500, "Name": "wainer-sat-states-1992-northeast-A", "CellSuccessRate": 0.64, "TotalCasesForTreatment": 900, "TreatmentExposureFraction": 0.5555555555555556 },
      { "CaseCellId": "wainer-sat-states-1992-northeast-B", "Study": "wainer-sat-states-1992", "StratumLabel": "northeast", "TreatmentLabel": "B", "Successes": 180, "Cases": 250, "Name": "wainer-sat-states-1992-northeast-B", "CellSuccessRate": 0.72, "TotalCasesForTreatment": 450, "TreatmentExposureFraction": 0.5555555555555556 },
      { "CaseCellId": "wainer-sat-states-1992-south-A", "Study": "wainer-sat-states-1992", "StratumLabel": "south", "TreatmentLabel": "A", "Successes": 200, "Cases": 400, "Name": "wainer-sat-states-1992-south-A", "CellSuccessRate": 0.5, "TotalCasesForTreatment": 900, "TreatmentExposureFraction": 0.4444444444444444 },
      { "CaseCellId": "wainer-sat-states-1992-south-B", "Study": "wainer-sat-states-1992", "StratumLabel": "south", "TreatmentLabel": "B", "Successes": 150, "Cases": 200, "Name": "wainer-sat-states-1992-south-B", "CellSuccessRate": 0.75, "TotalCasesForTreatment": 450, "TreatmentExposureFraction": 0.4444444444444444 },
      { "CaseCellId": "folic-acid-neural-tube-1991-under-28-A", "Study": "folic-acid-neural-tube-1991", "StratumLabel": "under-28", "TreatmentLabel": "A", "Successes": 0, "Cases": 1400, "Name": "folic-acid-neural-tube-1991-under-28-A", "CellSuccessRate": 0.0, "TotalCasesForTreatment": 2104, "TreatmentExposureFraction": 0.6653992395437263 },
      { "CaseCellId": "folic-acid-neural-tube-1991-under-28-B", "Study": "folic-acid-neural-tube-1991", "StratumLabel": "under-28", "TreatmentLabel": "B", "Successes": 2, "Cases": 1300, "Name": "folic-acid-neural-tube-1991-under-28-B", "CellSuccessRate": 0.0015384615384615385, "TotalCasesForTreatment": 2052, "TreatmentExposureFraction": 0.6335282651072125 },
      { "CaseCellId": "folic-acid-neural-tube-1991-28-and-over-A", "Study": "folic-acid-neural-tube-1991", "StratumLabel": "28-and-over", "TreatmentLabel": "A", "Successes": 0, "Cases": 704, "Name": "folic-acid-neural-tube-1991-28-and-over-A", "CellSuccessRate": 0.0, "TotalCasesForTreatment": 2104, "TreatmentExposureFraction": 0.33460076045627374 },
      { "CaseCellId": "folic-acid-neural-tube-1991-28-and-over-B", "Study": "folic-acid-neural-tube-1991", "StratumLabel": "28-and-over", "TreatmentLabel": "B", "Successes": 4, "Cases": 752, "Name": "folic-acid-neural-tube-1991-28-and-over-B", "CellSuccessRate": 0.005319148936170213, "TotalCasesForTreatment": 2052, "TreatmentExposureFraction": 0.3664717348927875 },
      { "CaseCellId": "steroid-asthma-severity-mild-A", "Study": "steroid-asthma-severity", "StratumLabel": "mild", "TreatmentLabel": "A", "Successes": 180, "Cases": 200, "Name": "steroid-asthma-severity-mild-A", "CellSuccessRate": 0.9, "TotalCasesForTreatment": 320, "TreatmentExposureFraction": 0.625 },
      { "CaseCellId": "steroid-asthma-severity-mild-B", "Study": "steroid-asthma-severity", "StratumLabel": "mild", "TreatmentLabel": "B", "Successes": 150, "Cases": 180, "Name": "steroid-asthma-severity-mild-B", "CellSuccessRate": 0.8333333333333334, "TotalCasesForTreatment": 330, "TreatmentExposureFraction": 0.5454545454545454 },
      { "CaseCellId": "steroid-asthma-severity-severe-A", "Study": "steroid-asthma-severity", "StratumLabel": "severe", "TreatmentLabel": "A", "Successes": 60, "Cases": 120, "Name": "steroid-asthma-severity-severe-A", "CellSuccessRate": 0.5, "TotalCasesForTreatment": 320, "TreatmentExposureFraction": 0.375 },
      { "CaseCellId": "steroid-asthma-severity-severe-B", "Study": "steroid-asthma-severity", "StratumLabel": "severe", "TreatmentLabel": "B", "Successes": 90, "Cases": 150, "Name": "steroid-asthma-severity-severe-B", "CellSuccessRate": 0.6, "TotalCasesForTreatment": 330, "TreatmentExposureFraction": 0.45454545454545453 },
      { "CaseCellId": "kidney-dialysis-facility-1990-high-severity-A", "Study": "kidney-dialysis-facility-1990", "StratumLabel": "high-severity", "TreatmentLabel": "A", "Successes": 85, "Cases": 100, "Name": "kidney-dialysis-facility-1990-high-severity-A", "CellSuccessRate": 0.85, "TotalCasesForTreatment": 200, "TreatmentExposureFraction": 0.5 },
      { "CaseCellId": "kidney-dialysis-facility-1990-high-severity-B", "Study": "kidney-dialysis-facility-1990", "StratumLabel": "high-severity", "TreatmentLabel": "B", "Successes": 70, "Cases": 100, "Name": "kidney-dialysis-facility-1990-high-severity-B", "CellSuccessRate": 0.7, "TotalCasesForTreatment": 200, "TreatmentExposureFraction": 0.5 },
      { "CaseCellId": "kidney-dialysis-facility-1990-low-severity-A", "Study": "kidney-dialysis-facility-1990", "StratumLabel": "low-severity", "TreatmentLabel": "A", "Successes": 92, "Cases": 100, "Name": "kidney-dialysis-facility-1990-low-severity-A", "CellSuccessRate": 0.92, "TotalCasesForTreatment": 200, "TreatmentExposureFraction": 0.5 },
      { "CaseCellId": "kidney-dialysis-facility-1990-low-severity-B", "Study": "kidney-dialysis-facility-1990", "StratumLabel": "low-severity", "TreatmentLabel": "B", "Successes": 88, "Cases": 100, "Name": "kidney-dialysis-facility-1990-low-severity-B", "CellSuccessRate": 0.88, "TotalCasesForTreatment": 200, "TreatmentExposureFraction": 0.5 },
      { "CaseCellId": "warfarin-bleeding-age-under-65-A", "Study": "warfarin-bleeding-age", "StratumLabel": "under-65", "TreatmentLabel": "A", "Successes": 25, "Cases": 500, "Name": "warfarin-bleeding-age-under-65-A", "CellSuccessRate": 0.05, "TotalCasesForTreatment": 800, "TreatmentExposureFraction": 0.625 },
      { "CaseCellId": "warfarin-bleeding-age-under-65-B", "Study": "warfarin-bleeding-age", "StratumLabel": "under-65", "TreatmentLabel": "B", "Successes": 15, "Cases": 400, "Name": "warfarin-bleeding-age-under-65-B", "CellSuccessRate": 0.0375, "TotalCasesForTreatment": 600, "TreatmentExposureFraction": 0.6666666666666666 },
      { "CaseCellId": "warfarin-bleeding-age-65-and-over-A", "Study": "warfarin-bleeding-age", "StratumLabel": "65-and-over", "TreatmentLabel": "A", "Successes": 45, "Cases": 300, "Name": "warfarin-bleeding-age-65-and-over-A", "CellSuccessRate": 0.15, "TotalCasesForTreatment": 800, "TreatmentExposureFraction": 0.375 },
      { "CaseCellId": "warfarin-bleeding-age-65-and-over-B", "Study": "warfarin-bleeding-age", "StratumLabel": "65-and-over", "TreatmentLabel": "B", "Successes": 20, "Cases": 200, "Name": "warfarin-bleeding-age-65-and-over-B", "CellSuccessRate": 0.1, "TotalCasesForTreatment": 600, "TreatmentExposureFraction": 0.3333333333333333 },
      { "CaseCellId": "diabetes-metformin-bmi-normal-bmi-A", "Study": "diabetes-metformin-bmi", "StratumLabel": "normal-bmi", "TreatmentLabel": "A", "Successes": 120, "Cases": 200, "Name": "diabetes-metformin-bmi-normal-bmi-A", "CellSuccessRate": 0.6, "TotalCasesForTreatment": 450, "TreatmentExposureFraction": 0.4444444444444444 },
      { "CaseCellId": "diabetes-metformin-bmi-normal-bmi-B", "Study": "diabetes-metformin-bmi", "StratumLabel": "normal-bmi", "TreatmentLabel": "B", "Successes": 130, "Cases": 200, "Name": "diabetes-metformin-bmi-normal-bmi-B", "CellSuccessRate": 0.65, "TotalCasesForTreatment": 450, "TreatmentExposureFraction": 0.4444444444444444 },
      { "CaseCellId": "diabetes-metformin-bmi-obese-A", "Study": "diabetes-metformin-bmi", "StratumLabel": "obese", "TreatmentLabel": "A", "Successes": 180, "Cases": 250, "Name": "diabetes-metformin-bmi-obese-A", "CellSuccessRate": 0.72, "TotalCasesForTreatment": 450, "TreatmentExposureFraction": 0.5555555555555556 },
      { "CaseCellId": "diabetes-metformin-bmi-obese-B", "Study": "diabetes-metformin-bmi", "StratumLabel": "obese", "TreatmentLabel": "B", "Successes": 140, "Cases": 250, "Name": "diabetes-metformin-bmi-obese-B", "CellSuccessRate": 0.56, "TotalCasesForTreatment": 450, "TreatmentExposureFraction": 0.5555555555555556 },
      { "CaseCellId": "oncology-trial-stage-early-stage-A", "Study": "oncology-trial-stage", "StratumLabel": "early-stage", "TreatmentLabel": "A", "Successes": 140, "Cases": 180, "Name": "oncology-trial-stage-early-stage-A", "CellSuccessRate": 0.7777777777777778, "TotalCasesForTreatment": 300, "TreatmentExposureFraction": 0.6 },
      { "CaseCellId": "oncology-trial-stage-early-stage-B", "Study": "oncology-trial-stage", "StratumLabel": "early-stage", "TreatmentLabel": "B", "Successes": 120, "Cases": 180, "Name": "oncology-trial-stage-early-stage-B", "CellSuccessRate": 0.6666666666666666, "TotalCasesForTreatment": 300, "TreatmentExposureFraction": 0.6 },
      { "CaseCellId": "oncology-trial-stage-advanced-stage-A", "Study": "oncology-trial-stage", "StratumLabel": "advanced-stage", "TreatmentLabel": "A", "Successes": 50, "Cases": 120, "Name": "oncology-trial-stage-advanced-stage-A", "CellSuccessRate": 0.4166666666666667, "TotalCasesForTreatment": 300, "TreatmentExposureFraction": 0.4 },
      { "CaseCellId": "oncology-trial-stage-advanced-stage-B", "Study": "oncology-trial-stage", "StratumLabel": "advanced-stage", "TreatmentLabel": "B", "Successes": 70, "Cases": 120, "Name": "oncology-trial-stage-advanced-stage-B", "CellSuccessRate": 0.5833333333333334, "TotalCasesForTreatment": 300, "TreatmentExposureFraction": 0.4 },
      { "CaseCellId": "exercise-cholesterol-age-young-A", "Study": "exercise-cholesterol-age", "StratumLabel": "young", "TreatmentLabel": "A", "Successes": 200, "Cases": 300, "Name": "exercise-cholesterol-age-young-A", "CellSuccessRate": 0.6666666666666666, "TotalCasesForTreatment": 500, "TreatmentExposureFraction": 0.6 },
      { "CaseCellId": "exercise-cholesterol-age-young-B", "Study": "exercise-cholesterol-age", "StratumLabel": "young", "TreatmentLabel": "B", "Successes": 120, "Cases": 300, "Name": "exercise-cholesterol-age-young-B", "CellSuccessRate": 0.4, "TotalCasesForTreatment": 550, "TreatmentExposureFraction": 0.5454545454545454 },
      { "CaseCellId": "exercise-cholesterol-age-older-A", "Study": "exercise-cholesterol-age", "StratumLabel": "older", "TreatmentLabel": "A", "Successes": 80, "Cases": 200, "Name": "exercise-cholesterol-age-older-A", "CellSuccessRate": 0.4, "TotalCasesForTreatment": 500, "TreatmentExposureFraction": 0.4 },
      { "CaseCellId": "exercise-cholesterol-age-older-B", "Study": "exercise-cholesterol-age", "StratumLabel": "older", "TreatmentLabel": "B", "Successes": 100, "Cases": 250, "Name": "exercise-cholesterol-age-older-B", "CellSuccessRate": 0.4, "TotalCasesForTreatment": 550, "TreatmentExposureFraction": 0.45454545454545453 },
      { "CaseCellId": "red-meat-colorectal-bmi-normal-weight-A", "Study": "red-meat-colorectal-bmi", "StratumLabel": "normal-weight", "TreatmentLabel": "A", "Successes": 30, "Cases": 500, "Name": "red-meat-colorectal-bmi-normal-weight-A", "CellSuccessRate": 0.06, "TotalCasesForTreatment": 900, "TreatmentExposureFraction": 0.5555555555555556 },
      { "CaseCellId": "red-meat-colorectal-bmi-normal-weight-B", "Study": "red-meat-colorectal-bmi", "StratumLabel": "normal-weight", "TreatmentLabel": "B", "Successes": 25, "Cases": 500, "Name": "red-meat-colorectal-bmi-normal-weight-B", "CellSuccessRate": 0.05, "TotalCasesForTreatment": 950, "TreatmentExposureFraction": 0.5263157894736842 },
      { "CaseCellId": "red-meat-colorectal-bmi-overweight-A", "Study": "red-meat-colorectal-bmi", "StratumLabel": "overweight", "TreatmentLabel": "A", "Successes": 45, "Cases": 400, "Name": "red-meat-colorectal-bmi-overweight-A", "CellSuccessRate": 0.1125, "TotalCasesForTreatment": 900, "TreatmentExposureFraction": 0.4444444444444444 },
      { "CaseCellId": "red-meat-colorectal-bmi-overweight-B", "Study": "red-meat-colorectal-bmi", "StratumLabel": "overweight", "TreatmentLabel": "B", "Successes": 35, "Cases": 450, "Name": "red-meat-colorectal-bmi-overweight-B", "CellSuccessRate": 0.07777777777777778, "TotalCasesForTreatment": 950, "TreatmentExposureFraction": 0.47368421052631576 },
      { "CaseCellId": "folic-fortification-2000-early-fortified-A", "Study": "folic-fortification-2000", "StratumLabel": "early-fortified", "TreatmentLabel": "A", "Successes": 980, "Cases": 1000, "Name": "folic-fortification-2000-early-fortified-A", "CellSuccessRate": 0.98, "TotalCasesForTreatment": 3000, "TreatmentExposureFraction": 0.3333333333333333 },
      { "CaseCellId": "folic-fortification-2000-early-fortified-B", "Study": "folic-fortification-2000", "StratumLabel": "early-fortified", "TreatmentLabel": "B", "Successes": 960, "Cases": 1000, "Name": "folic-fortification-2000-early-fortified-B", "CellSuccessRate": 0.96, "TotalCasesForTreatment": 3000, "TreatmentExposureFraction": 0.3333333333333333 },
      { "CaseCellId": "folic-fortification-2000-late-fortified-A", "Study": "folic-fortification-2000", "StratumLabel": "late-fortified", "TreatmentLabel": "A", "Successes": 970, "Cases": 1000, "Name": "folic-fortification-2000-late-fortified-A", "CellSuccessRate": 0.97, "TotalCasesForTreatment": 3000, "TreatmentExposureFraction": 0.3333333333333333 },
      { "CaseCellId": "folic-fortification-2000-late-fortified-B", "Study": "folic-fortification-2000", "StratumLabel": "late-fortified", "TreatmentLabel": "B", "Successes": 950, "Cases": 1000, "Name": "folic-fortification-2000-late-fortified-B", "CellSuccessRate": 0.95, "TotalCasesForTreatment": 3000, "TreatmentExposureFraction": 0.3333333333333333 },
      { "CaseCellId": "folic-fortification-2000-voluntary-A", "Study": "folic-fortification-2000", "StratumLabel": "voluntary", "TreatmentLabel": "A", "Successes": 965, "Cases": 1000, "Name": "folic-fortification-2000-voluntary-A", "CellSuccessRate": 0.965, "TotalCasesForTreatment": 3000, "TreatmentExposureFraction": 0.3333333333333333 },
      { "CaseCellId": "folic-fortification-2000-voluntary-B", "Study": "folic-fortification-2000", "StratumLabel": "voluntary", "TreatmentLabel": "B", "Successes": 940, "Cases": 1000, "Name": "folic-fortification-2000-voluntary-B", "CellSuccessRate": 0.94, "TotalCasesForTreatment": 3000, "TreatmentExposureFraction": 0.3333333333333333 },
      { "CaseCellId": "north-carolina-death-penalty-1990-white-victim-A", "Study": "north-carolina-death-penalty-1990", "StratumLabel": "white-victim", "TreatmentLabel": "A", "Successes": 14, "Cases": 120, "Name": "north-carolina-death-penalty-1990-white-victim-A", "CellSuccessRate": 0.11666666666666667, "TotalCasesForTreatment": 135, "TreatmentExposureFraction": 0.8888888888888888 },
      { "CaseCellId": "north-carolina-death-penalty-1990-white-victim-B", "Study": "north-carolina-death-penalty-1990", "StratumLabel": "white-victim", "TreatmentLabel": "B", "Successes": 8, "Cases": 55, "Name": "north-carolina-death-penalty-1990-white-victim-B", "CellSuccessRate": 0.14545454545454545, "TotalCasesForTreatment": 145, "TreatmentExposureFraction": 0.3793103448275862 },
      { "CaseCellId": "north-carolina-death-penalty-1990-black-victim-A", "Study": "north-carolina-death-penalty-1990", "StratumLabel": "black-victim", "TreatmentLabel": "A", "Successes": 1, "Cases": 15, "Name": "north-carolina-death-penalty-1990-black-victim-A", "CellSuccessRate": 0.06666666666666667, "TotalCasesForTreatment": 135, "TreatmentExposureFraction": 0.1111111111111111 },
      { "CaseCellId": "north-carolina-death-penalty-1990-black-victim-B", "Study": "north-carolina-death-penalty-1990", "StratumLabel": "black-victim", "TreatmentLabel": "B", "Successes": 5, "Cases": 90, "Name": "north-carolina-death-penalty-1990-black-victim-B", "CellSuccessRate": 0.05555555555555555, "TotalCasesForTreatment": 145, "TreatmentExposureFraction": 0.6206896551724138 },
      { "CaseCellId": "housing-discrimination-audit-high-income-A", "Study": "housing-discrimination-audit", "StratumLabel": "high-income", "TreatmentLabel": "A", "Successes": 180, "Cases": 250, "Name": "housing-discrimination-audit-high-income-A", "CellSuccessRate": 0.72, "TotalCasesForTreatment": 500, "TreatmentExposureFraction": 0.5 },
      { "CaseCellId": "housing-discrimination-audit-high-income-B", "Study": "housing-discrimination-audit", "StratumLabel": "high-income", "TreatmentLabel": "B", "Successes": 200, "Cases": 250, "Name": "housing-discrimination-audit-high-income-B", "CellSuccessRate": 0.8, "TotalCasesForTreatment": 500, "TreatmentExposureFraction": 0.5 },
      { "CaseCellId": "housing-discrimination-audit-low-income-A", "Study": "housing-discrimination-audit", "StratumLabel": "low-income", "TreatmentLabel": "A", "Successes": 120, "Cases": 250, "Name": "housing-discrimination-audit-low-income-A", "CellSuccessRate": 0.48, "TotalCasesForTreatment": 500, "TreatmentExposureFraction": 0.5 },
      { "CaseCellId": "housing-discrimination-audit-low-income-B", "Study": "housing-discrimination-audit", "StratumLabel": "low-income", "TreatmentLabel": "B", "Successes": 160, "Cases": 250, "Name": "housing-discrimination-audit-low-income-B", "CellSuccessRate": 0.64, "TotalCasesForTreatment": 500, "TreatmentExposureFraction": 0.5 },
      { "CaseCellId": "gender-pay-gap-industry-tech-professional-A", "Study": "gender-pay-gap-industry", "StratumLabel": "tech-professional", "TreatmentLabel": "A", "Successes": 420, "Cases": 600, "Name": "gender-pay-gap-industry-tech-professional-A", "CellSuccessRate": 0.7, "TotalCasesForTreatment": 1400, "TreatmentExposureFraction": 0.42857142857142855 },
      { "CaseCellId": "gender-pay-gap-industry-tech-professional-B", "Study": "gender-pay-gap-industry", "StratumLabel": "tech-professional", "TreatmentLabel": "B", "Successes": 280, "Cases": 400, "Name": "gender-pay-gap-industry-tech-professional-B", "CellSuccessRate": 0.7, "TotalCasesForTreatment": 1400, "TreatmentExposureFraction": 0.2857142857142857 },
      { "CaseCellId": "gender-pay-gap-industry-healthcare-A", "Study": "gender-pay-gap-industry", "StratumLabel": "healthcare", "TreatmentLabel": "A", "Successes": 200, "Cases": 400, "Name": "gender-pay-gap-industry-healthcare-A", "CellSuccessRate": 0.5, "TotalCasesForTreatment": 1400, "TreatmentExposureFraction": 0.2857142857142857 },
      { "CaseCellId": "gender-pay-gap-industry-healthcare-B", "Study": "gender-pay-gap-industry", "StratumLabel": "healthcare", "TreatmentLabel": "B", "Successes": 350, "Cases": 500, "Name": "gender-pay-gap-industry-healthcare-B", "CellSuccessRate": 0.7, "TotalCasesForTreatment": 1400, "TreatmentExposureFraction": 0.35714285714285715 },
      { "CaseCellId": "gender-pay-gap-industry-retail-hospitality-A", "Study": "gender-pay-gap-industry", "StratumLabel": "retail-hospitality", "TreatmentLabel": "A", "Successes": 150, "Cases": 400, "Name": "gender-pay-gap-industry-retail-hospitality-A", "CellSuccessRate": 0.375, "TotalCasesForTreatment": 1400, "TreatmentExposureFraction": 0.2857142857142857 },
      { "CaseCellId": "gender-pay-gap-industry-retail-hospitality-B", "Study": "gender-pay-gap-industry", "StratumLabel": "retail-hospitality", "TreatmentLabel": "B", "Successes": 280, "Cases": 500, "Name": "gender-pay-gap-industry-retail-hospitality-B", "CellSuccessRate": 0.56, "TotalCasesForTreatment": 1400, "TreatmentExposureFraction": 0.35714285714285715 },
      { "CaseCellId": "income-education-state-high-education-states-A", "Study": "income-education-state", "StratumLabel": "high-education-states", "TreatmentLabel": "A", "Successes": 800, "Cases": 1000, "Name": "income-education-state-high-education-states-A", "CellSuccessRate": 0.8, "TotalCasesForTreatment": 1900, "TreatmentExposureFraction": 0.5263157894736842 },
      { "CaseCellId": "income-education-state-high-education-states-B", "Study": "income-education-state", "StratumLabel": "high-education-states", "TreatmentLabel": "B", "Successes": 400, "Cases": 800, "Name": "income-education-state-high-education-states-B", "CellSuccessRate": 0.5, "TotalCasesForTreatment": 1700, "TreatmentExposureFraction": 0.47058823529411764 },
      { "CaseCellId": "income-education-state-low-education-states-A", "Study": "income-education-state", "StratumLabel": "low-education-states", "TreatmentLabel": "A", "Successes": 500, "Cases": 900, "Name": "income-education-state-low-education-states-A", "CellSuccessRate": 0.5555555555555556, "TotalCasesForTreatment": 1900, "TreatmentExposureFraction": 0.47368421052631576 },
      { "CaseCellId": "income-education-state-low-education-states-B", "Study": "income-education-state", "StratumLabel": "low-education-states", "TreatmentLabel": "B", "Successes": 450, "Cases": 900, "Name": "income-education-state-low-education-states-B", "CellSuccessRate": 0.5, "TotalCasesForTreatment": 1700, "TreatmentExposureFraction": 0.5294117647058824 },
      { "CaseCellId": "florida-reef-fish-1994-inshore-A", "Study": "florida-reef-fish-1994", "StratumLabel": "inshore", "TreatmentLabel": "A", "Successes": 450, "Cases": 600, "Name": "florida-reef-fish-1994-inshore-A", "CellSuccessRate": 0.75, "TotalCasesForTreatment": 800, "TreatmentExposureFraction": 0.75 },
      { "CaseCellId": "florida-reef-fish-1994-inshore-B", "Study": "florida-reef-fish-1994", "StratumLabel": "inshore", "TreatmentLabel": "B", "Successes": 380, "Cases": 600, "Name": "florida-reef-fish-1994-inshore-B", "CellSuccessRate": 0.6333333333333333, "TotalCasesForTreatment": 800, "TreatmentExposureFraction": 0.75 },
      { "CaseCellId": "florida-reef-fish-1994-offshore-A", "Study": "florida-reef-fish-1994", "StratumLabel": "offshore", "TreatmentLabel": "A", "Successes": 120, "Cases": 200, "Name": "florida-reef-fish-1994-offshore-A", "CellSuccessRate": 0.6, "TotalCasesForTreatment": 800, "TreatmentExposureFraction": 0.25 },
      { "CaseCellId": "florida-reef-fish-1994-offshore-B", "Study": "florida-reef-fish-</t>
  </si>
  <si>
    <t xml:space="preserve">1994", "StratumLabel": "offshore", "TreatmentLabel": "B", "Successes": 150, "Cases": 200, "Name": "florida-reef-fish-1994-offshore-B", "CellSuccessRate": 0.75, "TotalCasesForTreatment": 800, "TreatmentExposureFraction": 0.25 },
      { "CaseCellId": "uc-irvine-admissions-1985-engineering-A", "Study": "uc-irvine-admissions-1985", "StratumLabel": "engineering", "TreatmentLabel": "A", "Successes": 120, "Cases": 400, "Name": "uc-irvine-admissions-1985-engineering-A", "CellSuccessRate": 0.3, "TotalCasesForTreatment": 1150, "TreatmentExposureFraction": 0.34782608695652173 },
      { "CaseCellId": "uc-irvine-admissions-1985-engineering-B", "Study": "uc-irvine-admissions-1985", "StratumLabel": "engineering", "TreatmentLabel": "B", "Successes": 40, "Cases": 200, "Name": "uc-irvine-admissions-1985-engineering-B", "CellSuccessRate": 0.2, "TotalCasesForTreatment": 1030, "TreatmentExposureFraction": 0.1941747572815534 },
      { "CaseCellId": "uc-irvine-admissions-1985-humanities-A", "Study": "uc-irvine-admissions-1985", "StratumLabel": "humanities", "TreatmentLabel": "A", "Successes": 80, "Cases": 200, "Name": "uc-irvine-admissions-1985-humanities-A", "CellSuccessRate": 0.4, "TotalCasesForTreatment": 1150, "TreatmentExposureFraction": 0.17391304347826086 },
      { "CaseCellId": "uc-irvine-admissions-1985-humanities-B", "Study": "uc-irvine-admissions-1985", "StratumLabel": "humanities", "TreatmentLabel": "B", "Successes": 150, "Cases": 250, "Name": "uc-irvine-admissions-1985-humanities-B", "CellSuccessRate": 0.6, "TotalCasesForTreatment": 1030, "TreatmentExposureFraction": 0.24271844660194175 },
      { "CaseCellId": "uc-irvine-admissions-1985-biological-sciences-A", "Study": "uc-irvine-admissions-1985", "StratumLabel": "biological-sciences", "TreatmentLabel": "A", "Successes": 100, "Cases": 300, "Name": "uc-irvine-admissions-1985-biological-sciences-A", "CellSuccessRate": 0.3333333333333333, "TotalCasesForTreatment": 1150, "TreatmentExposureFraction": 0.2608695652173913 },
      { "CaseCellId": "uc-irvine-admissions-1985-biological-sciences-B", "Study": "uc-irvine-admissions-1985", "StratumLabel": "biological-sciences", "TreatmentLabel": "B", "Successes": 120, "Cases": 280, "Name": "uc-irvine-admissions-1985-biological-sciences-B", "CellSuccessRate": 0.42857142857142855, "TotalCasesForTreatment": 1030, "TreatmentExposureFraction": 0.27184466019417475 },
      { "CaseCellId": "uc-irvine-admissions-1985-social-sciences-A", "Study": "uc-irvine-admissions-1985", "StratumLabel": "social-sciences", "TreatmentLabel": "A", "Successes": 90, "Cases": 250, "Name": "uc-irvine-admissions-1985-social-sciences-A", "CellSuccessRate": 0.36, "TotalCasesForTreatment": 1150, "TreatmentExposureFraction": 0.21739130434782608 },
      { "CaseCellId": "uc-irvine-admissions-1985-social-sciences-B", "Study": "uc-irvine-admissions-1985", "StratumLabel": "social-sciences", "TreatmentLabel": "B", "Successes": 130, "Cases": 300, "Name": "uc-irvine-admissions-1985-social-sciences-B", "CellSuccessRate": 0.43333333333333335, "TotalCasesForTreatment": 1030, "TreatmentExposureFraction": 0.2912621359223301 },
      { "CaseCellId": "cesarean-birth-weight-2006-normal-bw-A", "Study": "cesarean-birth-weight-2006", "StratumLabel": "normal-bw", "TreatmentLabel": "A", "Successes": 1200, "Cases": 5000, "Name": "cesarean-birth-weight-2006-normal-bw-A", "CellSuccessRate": 0.24, "TotalCasesForTreatment": 5800, "TreatmentExposureFraction": 0.8620689655172413 },
      { "CaseCellId": "cesarean-birth-weight-2006-normal-bw-B", "Study": "cesarean-birth-weight-2006", "StratumLabel": "normal-bw", "TreatmentLabel": "B", "Successes": 800, "Cases": 2000, "Name": "cesarean-birth-weight-2006-normal-bw-B", "CellSuccessRate": 0.4, "TotalCasesForTreatment": 2600, "TreatmentExposureFraction": 0.7692307692307693 },
      { "CaseCellId": "cesarean-birth-weight-2006-low-bw-A", "Study": "cesarean-birth-weight-2006", "StratumLabel": "low-bw", "TreatmentLabel": "A", "Successes": 400, "Cases": 800, "Name": "cesarean-birth-weight-2006-low-bw-A", "CellSuccessRate": 0.5, "TotalCasesForTreatment": 5800, "TreatmentExposureFraction": 0.13793103448275862 },
      { "CaseCellId": "cesarean-birth-weight-2006-low-bw-B", "Study": "cesarean-birth-weight-2006", "StratumLabel": "low-bw", "TreatmentLabel": "B", "Successes": 350, "Cases": 600, "Name": "cesarean-birth-weight-2006-low-bw-B", "CellSuccessRate": 0.5833333333333334, "TotalCasesForTreatment": 2600, "TreatmentExposureFraction": 0.23076923076923078 },
      { "CaseCellId": "schizophrenia-antipsychotic-moderate-A", "Study": "schizophrenia-antipsychotic", "StratumLabel": "moderate", "TreatmentLabel": "A", "Successes": 90, "Cases": 150, "Name": "schizophrenia-antipsychotic-moderate-A", "CellSuccessRate": 0.6, "TotalCasesForTreatment": 270, "TreatmentExposureFraction": 0.5555555555555556 },
      { "CaseCellId": "schizophrenia-antipsychotic-moderate-B", "Study": "schizophrenia-antipsychotic", "StratumLabel": "moderate", "TreatmentLabel": "B", "Successes": 80, "Cases": 150, "Name": "schizophrenia-antipsychotic-moderate-B", "CellSuccessRate": 0.5333333333333333, "TotalCasesForTreatment": 270, "TreatmentExposureFraction": 0.5555555555555556 },
      { "CaseCellId": "schizophrenia-antipsychotic-severe-A", "Study": "schizophrenia-antipsychotic", "StratumLabel": "severe", "TreatmentLabel": "A", "Successes": 40, "Cases": 120, "Name": "schizophrenia-antipsychotic-severe-A", "CellSuccessRate": 0.3333333333333333, "TotalCasesForTreatment": 270, "TreatmentExposureFraction": 0.4444444444444444 },
      { "CaseCellId": "schizophrenia-antipsychotic-severe-B", "Study": "schizophrenia-antipsychotic", "StratumLabel": "severe", "TreatmentLabel": "B", "Successes": 55, "Cases": 120, "Name": "schizophrenia-antipsychotic-severe-B", "CellSuccessRate": 0.4583333333333333, "TotalCasesForTreatment": 270, "TreatmentExposureFraction": 0.4444444444444444 },
      { "CaseCellId": "berkeley-six-dept-1973-dept-A-A", "Study": "berkeley-six-dept-1973", "StratumLabel": "dept-A", "TreatmentLabel": "A", "Successes": 512, "Cases": 825, "Name": "berkeley-six-dept-1973-dept-A-A", "CellSuccessRate": 0.6206060606060606, "TotalCasesForTreatment": 2691, "TreatmentExposureFraction": 0.30657748049052397 },
      { "CaseCellId": "berkeley-six-dept-1973-dept-A-B", "Study": "berkeley-six-dept-1973", "StratumLabel": "dept-A", "TreatmentLabel": "B", "Successes": 89, "Cases": 108, "Name": "berkeley-six-dept-1973-dept-A-B", "CellSuccessRate": 0.8240740740740741, "TotalCasesForTreatment": 1835, "TreatmentExposureFraction": 0.05885558583106267 },
      { "CaseCellId": "berkeley-six-dept-1973-dept-B-A", "Study": "berkeley-six-dept-1973", "StratumLabel": "dept-B", "TreatmentLabel": "A", "Successes": 353, "Cases": 560, "Name": "berkeley-six-dept-1973-dept-B-A", "CellSuccessRate": 0.6303571428571428, "TotalCasesForTreatment": 2691, "TreatmentExposureFraction": 0.20810107766629507 },
      { "CaseCellId": "berkeley-six-dept-1973-dept-B-B", "Study": "berkeley-six-dept-1973", "StratumLabel": "dept-B", "TreatmentLabel": "B", "Successes": 17, "Cases": 25, "Name": "berkeley-six-dept-1973-dept-B-B", "CellSuccessRate": 0.68, "TotalCasesForTreatment": 1835, "TreatmentExposureFraction": 0.013623978201634877 },
      { "CaseCellId": "berkeley-six-dept-1973-dept-C-A", "Study": "berkeley-six-dept-1973", "StratumLabel": "dept-C", "TreatmentLabel": "A", "Successes": 120, "Cases": 325, "Name": "berkeley-six-dept-1973-dept-C-A", "CellSuccessRate": 0.36923076923076925, "TotalCasesForTreatment": 2691, "TreatmentExposureFraction": 0.12077294685990338 },
      { "CaseCellId": "berkeley-six-dept-1973-dept-C-B", "Study": "berkeley-six-dept-1973", "StratumLabel": "dept-C", "TreatmentLabel": "B", "Successes": 202, "Cases": 593, "Name": "berkeley-six-dept-1973-dept-C-B", "CellSuccessRate": 0.3406408094435076, "TotalCasesForTreatment": 1835, "TreatmentExposureFraction": 0.3231607629427793 },
      { "CaseCellId": "berkeley-six-dept-1973-dept-D-A", "Study": "berkeley-six-dept-1973", "StratumLabel": "dept-D", "TreatmentLabel": "A", "Successes": 138, "Cases": 417, "Name": "berkeley-six-dept-1973-dept-D-A", "CellSuccessRate": 0.33093525179856115, "TotalCasesForTreatment": 2691, "TreatmentExposureFraction": 0.15496098104793757 },
      { "CaseCellId": "berkeley-six-dept-1973-dept-D-B", "Study": "berkeley-six-dept-1973", "StratumLabel": "dept-D", "TreatmentLabel": "B", "Successes": 131, "Cases": 375, "Name": "berkeley-six-dept-1973-dept-D-B", "CellSuccessRate": 0.34933333333333333, "TotalCasesForTreatment": 1835, "TreatmentExposureFraction": 0.20435967302452315 },
      { "CaseCellId": "berkeley-six-dept-1973-dept-E-A", "Study": "berkeley-six-dept-1973", "StratumLabel": "dept-E", "TreatmentLabel": "A", "Successes": 53, "Cases": 191, "Name": "berkeley-six-dept-1973-dept-E-A", "CellSuccessRate": 0.2774869109947644, "TotalCasesForTreatment": 2691, "TreatmentExposureFraction": 0.07097733184689707 },
      { "CaseCellId": "berkeley-six-dept-1973-dept-E-B", "Study": "berkeley-six-dept-1973", "StratumLabel": "dept-E", "TreatmentLabel": "B", "Successes": 94, "Cases": 393, "Name": "berkeley-six-dept-1973-dept-E-B", "CellSuccessRate": 0.23918575063613232, "TotalCasesForTreatment": 1835, "TreatmentExposureFraction": 0.21416893732970027 },
      { "CaseCellId": "berkeley-six-dept-1973-dept-F-A", "Study": "berkeley-six-dept-1973", "StratumLabel": "dept-F", "TreatmentLabel": "A", "Successes": 22, "Cases": 373, "Name": "berkeley-six-dept-1973-dept-F-A", "CellSuccessRate": 0.058981233243967826, "TotalCasesForTreatment": 2691, "TreatmentExposureFraction": 0.13861018208844295 },
      { "CaseCellId": "berkeley-six-dept-1973-dept-F-B", "Study": "berkeley-six-dept-1973", "StratumLabel": "dept-F", "TreatmentLabel": "B", "Successes": 24, "Cases": 341, "Name": "berkeley-six-dept-1973-dept-F-B", "CellSuccessRate": 0.07038123167155426, "TotalCasesForTreatment": 1835, "TreatmentExposureFraction": 0.18583106267029972 },
      { "CaseCellId": "rosiglitazone-mi-pool-2007-imbalanced-trials-A", "Study": "rosiglitazone-mi-pool-2007", "StratumLabel": "imbalanced-trials", "TreatmentLabel": "A", "Successes": 30, "Cases": 12000, "Name": "rosiglitazone-mi-pool-2007-imbalanced-trials-A", "CellSuccessRate": 0.0025, "TotalCasesForTreatment": 15565, "TreatmentExposureFraction": 0.7709604882749759 },
      { "CaseCellId": "rosiglitazone-mi-pool-2007-imbalanced-trials-B", "Study": "rosiglitazone-mi-pool-2007", "StratumLabel": "imbalanced-trials", "TreatmentLabel": "B", "Successes": 20, "Cases": 3000, "Name": "rosiglitazone-mi-pool-2007-imbalanced-trials-B", "CellSuccessRate": 0.006666666666666667, "TotalCasesForTreatment": 12282, "TreatmentExposureFraction": 0.24425989252564728 },
      { "CaseCellId": "rosiglitazone-mi-pool-2007-balanced-trials-A", "Study": "rosiglitazone-mi-pool-2007", "StratumLabel": "balanced-trials", "TreatmentLabel": "A", "Successes": 56, "Cases": 3565, "Name": "rosiglitazone-mi-pool-2007-balanced-trials-A", "CellSuccessRate": 0.01570827489481066, "TotalCasesForTreatment": 15565, "TreatmentExposureFraction": 0.2290395117250241 },
      { "CaseCellId": "rosiglitazone-mi-pool-2007-balanced-trials-B", "Study": "rosiglitazone-mi-pool-2007", "StratumLabel": "balanced-trials", "TreatmentLabel": "B", "Successes": 52, "Cases": 9282, "Name": "rosiglitazone-mi-pool-2007-balanced-trials-B", "CellSuccessRate": 0.0056022408963585435, "TotalCasesForTreatment": 12282, "TreatmentExposureFraction": 0.7557401074743527 },
      { "CaseCellId": "ironman-gender-age-2010-young-cohort-A", "Study": "ironman-gender-age-2010", "StratumLabel": "young-cohort", "TreatmentLabel": "A", "Successes": 80, "Cases": 100, "Name": "ironman-gender-age-2010-young-cohort-A", "CellSuccessRate": 0.8, "TotalCasesForTreatment": 110, "TreatmentExposureFraction": 0.9090909090909091 },
      { "CaseCellId": "ironman-gender-age-2010-young-cohort-B", "Study": "ironman-gender-age-2010", "StratumLabel": "young-cohort", "TreatmentLabel": "B", "Successes": 9, "Cases": 10, "Name": "ironman-gender-age-2010-young-cohort-B", "CellSuccessRate": 0.9, "TotalCasesForTreatment": 110, "TreatmentExposureFraction": 0.09090909090909091 },
      { "CaseCellId": "ironman-gender-age-2010-old-cohort-A", "Study": "ironman-gender-age-2010", "StratumLabel": "old-cohort", "TreatmentLabel": "A", "Successes": 5, "Cases": 10, "Name": "ironman-gender-age-2010-old-cohort-A", "CellSuccessRate": 0.5, "TotalCasesForTreatment": 110, "TreatmentExposureFraction": 0.09090909090909091 },
      { "CaseCellId": "ironman-gender-age-2010-old-cohort-B", "Study": "ironman-gender-age-2010", "StratumLabel": "old-cohort", "TreatmentLabel": "B", "Successes": 60, "Cases": 100, "Name": "ironman-gender-age-2010-old-cohort-B", "CellSuccessRate": 0.6, "TotalCasesForTreatment": 110, "TreatmentExposureFraction": 0.9090909090909091 },
      { "CaseCellId": "hanley-power-lines-2000-myers-1990-A", "Study": "hanley-power-lines-2000", "StratumLabel": "myers-1990", "TreatmentLabel": "A", "Successes": 8, "Cases": 13, "Name": "hanley-power-lines-2000-myers-1990-A", "CellSuccessRate": 0.6153846153846154, "TotalCasesForTreatment": 255, "TreatmentExposureFraction": 0.050980392156862744 },
      { "CaseCellId": "hanley-power-lines-2000-myers-1990-B", "Study": "hanley-power-lines-2000", "StratumLabel": "myers-1990", "TreatmentLabel": "B", "Successes": 28, "Cases": 124, "Name": "hanley-power-lines-2000-myers-1990-B", "CellSuccessRate": 0.22580645161290322, "TotalCasesForTreatment": 1260, "TreatmentExposureFraction": 0.09841269841269841 },
      { "CaseCellId": "hanley-power-lines-2000-feychting-1993-A", "Study": "hanley-power-lines-2000", "StratumLabel": "feychting-1993", "TreatmentLabel": "A", "Successes": 12, "Cases": 135, "Name": "hanley-power-lines-2000-feychting-1993-A", "CellSuccessRate": 0.08888888888888889, "TotalCasesForTreatment": 255, "TreatmentExposureFraction": 0.5294117647058824 },
      { "CaseCellId": "hanley-power-lines-2000-feychting-1993-B", "Study": "hanley-power-lines-2000", "StratumLabel": "feychting-1993", "TreatmentLabel": "B", "Successes": 26, "Cases": 457, "Name": "hanley-power-lines-2000-feychting-1993-B", "CellSuccessRate": 0.05689277899343545, "TotalCasesForTreatment": 1260, "TreatmentExposureFraction": 0.3626984126984127 },
      { "CaseCellId": "hanley-power-lines-2000-tynes-1997-A", "Study": "hanley-power-lines-2000", "StratumLabel": "tynes-1997", "TreatmentLabel": "A", "Successes": 11, "Cases": 82, "Name": "hanley-power-lines-2000-tynes-1997-A", "CellSuccessRate": 0.13414634146341464, "TotalCasesForTreatment": 255, "TreatmentExposureFraction": 0.3215686274509804 },
      { "CaseCellId": "hanley-power-lines-2000-tynes-1997-B", "Study": "hanley-power-lines-2000", "StratumLabel": "tynes-1997", "TreatmentLabel": "B", "Successes": 33, "Cases": 584, "Name": "hanley-power-lines-2000-tynes-1997-B", "CellSuccessRate": 0.05650684931506849, "TotalCasesForTreatment": 1260, "TreatmentExposureFraction": 0.4634920634920635 },
      { "CaseCellId": "hanley-power-lines-2000-li-1998-A", "Study": "hanley-power-lines-2000", "StratumLabel": "li-1998", "TreatmentLabel": "A", "Successes": 5, "Cases": 13, "Name": "hanley-power-lines-2000-li-1998-A", "CellSuccessRate": 0.38461538461538464, "TotalCasesForTreatment": 255, "TreatmentExposureFraction": 0.050980392156862744 },
      { "CaseCellId": "hanley-power-lines-2000-li-1998-B", "Study": "hanley-power-lines-2000", "StratumLabel": "li-1998", "TreatmentLabel": "B", "Successes": 14, "Cases": 42, "Name": "hanley-power-lines-2000-li-1998-B", "CellSuccessRate": 0.3333333333333333, "TotalCasesForTreatment": 1260, "TreatmentExposureFraction": 0.03333333333333333 },
      { "CaseCellId": "hanley-power-lines-2000-mcbride-1999-A", "Study": "hanley-power-lines-2000", "StratumLabel": "mcbride-1999", "TreatmentLabel": "A", "Successes": 6, "Cases": 12, "Name": "hanley-power-lines-2000-mcbride-1999-A", "CellSuccessRate": 0.5, "TotalCasesForTreatment": 255, "TreatmentExposureFraction": 0.047058823529411764 },
      { "CaseCellId": "hanley-power-lines-2000-mcbride-1999-B", "Study": "hanley-power-lines-2000", "StratumLabel": "mcbride-1999", "TreatmentLabel": "B", "Successes": 25, "Cases": 53, "Name": "hanley-power-lines-2000-mcbride-1999-B", "CellSuccessRate": 0.4716981132075472, "TotalCasesForTreatment": 1260, "TreatmentExposureFraction": 0.04206349206349207 },
      { "CaseCellId": "coffee-smoking-lung-1968-smokers-A", "Study": "coffee-smoking-lung-1968", "StratumLabel": "smokers", "TreatmentLabel": "A", "Successes": 141, "Cases": 778, "Name": "coffee-smoking-lung-1968-smokers-A", "CellSuccessRate": 0.18123393316195371, "TotalCasesForTreatment": 898, "TreatmentExposureFraction": 0.8663697104677061 },
      { "CaseCellId": "coffee-smoking-lung-1968-smokers-B", "Study": "coffee-smoking-lung-1968", "StratumLabel": "smokers", "TreatmentLabel": "B", "Successes": 15, "Cases": 88, "Name": "coffee-smoking-lung-1968-smokers-B", "CellSuccessRate": 0.17045454545454544, "TotalCasesForTreatment": 218, "TreatmentExposureFraction": 0.4036697247706422 },
      { "CaseCellId": "coffee-smoking-lung-1968-nonsmokers-A", "Study": "coffee-smoking-lung-1968", "StratumLabel": "nonsmokers", "TreatmentLabel": "A", "Successes": 6, "Cases": 120, "Name": "coffee-smoking-lung-1968-nonsmokers-A", "CellSuccessRate": 0.05, "TotalCasesForTreatment": 898, "TreatmentExposureFraction": 0.133630289532294 },
      { "CaseCellId": "coffee-smoking-lung-1968-nonsmokers-B", "Study": "coffee-smoking-lung-1968", "StratumLabel": "nonsmokers", "TreatmentLabel": "B", "Successes": 8, "Cases": 130, "Name": "coffee-smoking-lung-1968-nonsmokers-B", "CellSuccessRate": 0.06153846153846154, "TotalCasesForTreatment": 218, "TreatmentExposureFraction": 0.5963302752293578 },
      { "CaseCellId": "panama-sweden-mortality-1975-under-10-A", "Study": "panama-sweden-mortality-1975", "StratumLabel": "under-10", "TreatmentLabel": "A", "Successes": 99, "Cases": 100, "Name": "panama-sweden-mortality-1975-under-10-A", "CellSuccessRate": 0.99, "TotalCasesForTreatment": 1000, "TreatmentExposureFraction": 0.1 },
      { "CaseCellId": "panama-sweden-mortality-1975-under-10-B", "Study": "panama-sweden-mortality-1975", "StratumLabel": "under-10", "TreatmentLabel": "B", "Successes": 493, "Cases": 500, "Name": "panama-sweden-mortality-1975-under-10-B", "CellSuccessRate": 0.986, "TotalCasesForTreatment": 1000, "TreatmentExposureFraction": 0.5 },
      { "CaseCellId": "panama-sweden-mortality-1975-mid-age-A", "Study": "panama-sweden-mortality-1975", "StratumLabel": "mid-age", "TreatmentLabel": "A", "Successes": 299, "Cases": 300, "Name": "panama-sweden-mortality-1975-mid-age-A", "CellSuccessRate": 0.9966666666666667, "TotalCasesForTreatment": 1000, "TreatmentExposureFraction": 0.3 },
      { "CaseCellId": "panama-sweden-mortality-1975-mid-age-B", "Study": "panama-sweden-mortality-1975", "StratumLabel": "mid-age", "TreatmentLabel": "B", "Successes": 348, "Cases": 350, "Name": "panama-sweden-mortality-1975-mid-age-B", "CellSuccessRate": 0.9942857142857143, "TotalCasesForTreatment": 1000, "TreatmentExposureFraction": 0.35 },
      { "CaseCellId": "panama-sweden-mortality-1975-elderly-A", "Study": "panama-sweden-mortality-1975", "StratumLabel": "elderly", "TreatmentLabel": "A", "Successes": 516, "Cases": 600, "Name": "panama-sweden-mortality-1975-elderly-A", "CellSuccessRate": 0.86, "TotalCasesForTreatment": 1000, "TreatmentExposureFraction": 0.6 },
      { "CaseCellId": "panama-sweden-mortality-1975-elderly-B", "Study": "panama-sweden-mortality-1975", "StratumLabel": "elderly", "TreatmentLabel": "B", "Successes": 123, "Cases": 150, "Name": "panama-sweden-mortality-1975-elderly-B", "CellSuccessRate": 0.82, "TotalCasesForTreatment": 1000, "TreatmentExposureFraction": 0.15 },
      { "CaseCellId": "hrt-whi-2002-observational-A", "Study": "hrt-whi-2002", "StratumLabel": "observational", "TreatmentLabel": "A", "Successes": 950, "Cases": 10000, "Name": "hrt-whi-2002-observational-A", "CellSuccessRate": 0.095, "TotalCasesForTreatment": 105000, "TreatmentExposureFraction": 0.09523809523809523 },
      { "CaseCellId": "hrt-whi-2002-observational-B", "Study": "hrt-whi-2002", "StratumLabel": "observational", "TreatmentLabel": "B", "Successes": 900, "Cases": 10000, "Name": "hrt-whi-2002-observational-B", "CellSuccessRate": 0.09, "TotalCasesForTreatment": 105000, "TreatmentExposureFraction": 0.09523809523809523 },
      { "CaseCellId": "hrt-whi-2002-rct-whi-A", "Study": "hrt-whi-2002", "StratumLabel": "rct-whi", "TreatmentLabel": "A", "Successes": 8500, "Cases": 95000, "Name": "hrt-whi-2002-rct-whi-A", "CellSuccessRate": 0.08947368421052632, "TotalCasesForTreatment": 105000, "TreatmentExposureFraction": 0.9047619047619048 },
      { "CaseCellId": "hrt-whi-2002-rct-whi-B", "Study": "hrt-whi-2002", "StratumLabel": "rct-whi", "TreatmentLabel": "B", "Successes": 9000, "Cases": 95000, "Name": "hrt-whi-2002-rct-whi-B", "CellSuccessRate": 0.09473684210526316, "TotalCasesForTreatment": 105000, "TreatmentExposureFraction": 0.9047619047619048 },
      { "CaseCellId": "obesity-paradox-hf-no-hf-A", "Study": "obesity-paradox-hf", "StratumLabel": "no-hf", "TreatmentLabel": "A", "Successes": 800, "Cases": 1000, "Name": "obesity-paradox-hf-no-hf-A", "CellSuccessRate": 0.8, "TotalCasesForTreatment": 2000, "TreatmentExposureFraction": 0.5 },
      { "CaseCellId": "obesity-paradox-hf-no-hf-B", "Study": "obesity-paradox-hf", "StratumLabel": "no-hf", "TreatmentLabel": "B", "Successes": 900, "Cases": 1000, "Name": "obesity-paradox-hf-no-hf-B", "CellSuccessRate": 0.9, "TotalCasesForTreatment": 2000, "TreatmentExposureFraction": 0.5 },
      { "CaseCellId": "obesity-paradox-hf-hf-A", "Study": "obesity-paradox-hf", "StratumLabel": "hf", "TreatmentLabel": "A", "Successes": 650, "Cases": 1000, "Name": "obesity-paradox-hf-hf-A", "CellSuccessRate": 0.65, "TotalCasesForTreatment": 2000, "TreatmentExposureFraction": 0.5 },
      { "CaseCellId": "obesity-paradox-hf-hf-B", "Study": "obesity-paradox-hf", "StratumLabel": "hf", "TreatmentLabel": "B", "Successes": 500, "Cases": 1000, "Name": "obesity-paradox-hf-hf-B", "CellSuccessRate": 0.5, "TotalCasesForTreatment": 2000, "TreatmentExposureFraction": 0.5 },
      { "CaseCellId": "dialysis-bmi-survival-general-population-A", "Study": "dialysis-bmi-survival", "StratumLabel": "general-population", "TreatmentLabel": "A", "Successes": 900, "Cases": 1000, "Name": "dialysis-bmi-survival-general-population-A", "CellSuccessRate": 0.9, "TotalCasesForTreatment": 2000, "TreatmentExposureFraction": 0.5 },
      { "CaseCellId": "dialysis-bmi-survival-general-population-B", "Study": "dialysis-bmi-survival", "StratumLabel": "general-population", "TreatmentLabel": "B", "Successes": 950, "Cases": 1000, "Name": "dialysis-bmi-survival-general-population-B", "CellSuccessRate": 0.95, "TotalCasesForTreatment": 2000, "TreatmentExposureFraction": 0.5 },
      { "CaseCellId": "dialysis-bmi-survival-esrd-dialysis-A", "Study": "dialysis-bmi-survival", "StratumLabel": "esrd-dialysis", "TreatmentLabel": "A", "Successes": 700, "Cases": 1000, "Name": "dialysis-bmi-survival-esrd-dialysis-A", "CellSuccessRate": 0.7, "TotalCasesForTreatment": 2000, "TreatmentExposureFraction": 0.5 },
      { "CaseCellId": "dialysis-bmi-survival-esrd-dialysis-B", "Study": "dialysis-bmi-survival", "StratumLabel": "esrd-dialysis", "TreatmentLabel": "B", "Successes": 600, "Cases": 1000, "Name": "dialysis-bmi-survival-esrd-dialysis-B", "CellSuccessRate": 0.6, "TotalCasesForTreatment": 2000, "TreatmentExposureFraction": 0.5 },
      { "CaseCellId": "sick-quitter-alcohol-never-drinkers-only-A", "Study": "sick-quitter-alcohol", "StratumLabel": "never-drinkers-only", "TreatmentLabel": "A", "Successes": 850, "Cases": 1000, "Name": "sick-quitter-alcohol-never-drinkers-only-A", "CellSuccessRate": 0.85, "TotalCasesForTreatment": 2000, "TreatmentExposureFraction": 0.5 },
      { "CaseCellId": "sick-quitter-alcohol-never-drinkers-only-B", "Study": "sick-quitter-alcohol", "StratumLabel": "never-drinkers-only", "TreatmentLabel": "B", "Successes": 880, "Cases": 1000, "Name": "sick-quitter-alcohol-never-drinkers-only-B", "CellSuccessRate": 0.88, "TotalCasesForTreatment": 2000, "TreatmentExposureFraction": 0.5 },
      { "CaseCellId": "sick-quitter-alcohol-includes-former-drinkers-A", "Study": "sick-quitter-alcohol", "StratumLabel": "includes-former-drinkers", "TreatmentLabel": "A", "Successes": 820, "Cases": 1000, "Name": "sick-quitter-alcohol-includes-former-drinkers-A", "CellSuccessRate": 0.82, "TotalCasesForTreatment": 2000, "TreatmentExposureFraction": 0.5 },
      { "CaseCellId": "sick-quitter-alcohol-includes-former-drinkers-B", "Study": "sick-quitter-alcohol", "StratumLabel": "includes-former-drinkers", "TreatmentLabel": "B", "Successes": 750, "Cases": 1000, "Name": "sick-quitter-alcohol-includes-former-drinkers-B", "CellSuccessRate": 0.75, "TotalCasesForTreatment": 2000, "TreatmentExposureFraction": 0.5 },
      { "CaseCellId": "flu-vaccine-elderly-mortality-under-75-A", "Study": "flu-vaccine-elderly-mortality", "StratumLabel": "under-75", "TreatmentLabel": "A", "Successes": 89979, "Cases": 90000, "Name": "flu-vaccine-elderly-mortality-under-75-A", "CellSuccessRate": 0.9997666666666667, "TotalCasesForTreatment": 95000, "TreatmentExposureFraction": 0.9473684210526315 },
      { "CaseCellId": "flu-vaccine-elderly-mortality-under-75-B", "Study": "flu-vaccine-elderly-mortality", "StratumLabel": "under-75", "TreatmentLabel": "B", "Successes": 149952, "Cases": 150000, "Name": "flu-vaccine-elderly-mortality-under-75-B", "CellSuccessRate": 0.99968, "TotalCasesForTreatment": 153000, "TreatmentExposureFraction": 0.9803921568627451 },
      { "CaseCellId": "flu-vaccine-elderly-mortality-75-plus-A", "Study": "flu-vaccine-elderly-mortality", "StratumLabel": "75-plus", "TreatmentLabel": "A", "Successes": 4600, "Cases": 5000, "Name": "flu-vaccine-elderly-mortality-75-plus-A", "CellSuccessRate": 0.92, "TotalCasesForTreatment": 95000, "TreatmentExposureFraction": 0.05263157894736842 },
      { "CaseCellId": "flu-vaccine-elderly-mortality-75-plus-B", "Study": "flu-vaccine-elderly-mortality", "StratumLabel": "75-plus", "TreatmentLabel": "B", "Successes": 2500, "Cases": 3000, "Name": "flu-vaccine-elderly-mortality-75-plus-B", "CellSuccessRate": 0.8333333333333334, "TotalCasesForTreatment": 153000, "TreatmentExposureFraction": 0.0196078431372549 },
      { "CaseCellId": "covid-italy-china-cfr-2020-under-60-A", "Study": "covid-italy-china-cfr-2020", "StratumLabel": "under-60", "TreatmentLabel": "A", "Successes": 990, "Cases": 1000, "Name": "covid-italy-china-cfr-2020-under-60-A", "CellSuccessRate": 0.99, "TotalCasesForTreatment": 3000, "TreatmentExposureFraction": 0.3333333333333333 },
      { "CaseCellId": "covid-italy-china-cfr-2020-under-60-B", "Study": "covid-italy-china-cfr-2020", "StratumLabel": "under-60", "TreatmentLabel": "B", "Successes": 49000, "Cases": 50000, "Name": "covid-italy-china-cfr-2020-under-60-B", "CellSuccessRate": 0.98, "TotalCasesForTreatment": 50400, "TreatmentExposureFraction": 0.9920634920634921 },
      { "CaseCellId": "covid-italy-china-cfr-2020-60-plus-A", "Study": "covid-italy-china-cfr-2020", "StratumLabel": "60-plus", "TreatmentLabel": "A", "Successes": 300, "Cases": 2000, "Name": "covid-italy-china-cfr-2020-60-plus-A", "CellSuccessRate": 0.15, "TotalCasesForTreatment": 3000, "TreatmentExposureFraction": 0.6666666666666666 },
      { "CaseCellId": "covid-italy-china-cfr-2020-60-plus-B", "Study": "covid-italy-china-cfr-2020", "StratumLabel": "60-plus", "TreatmentLabel": "B", "Successes": 320, "Cases": 400, "Name": "covid-italy-china-cfr-2020-60-plus-B", "CellSuccessRate": 0.8, "TotalCasesForTreatment": 50400, "TreatmentExposureFraction": 0.007936507936507936 },
      { "CaseCellId": "israel-covid-severe-2021-under-50-A", "Study": "israel-covid-severe-2021", "StratumLabel": "under-50", "TreatmentLabel": "A", "Successes": 25, "Cases": 1000, "Name": "israel-covid-severe-2021-under-50-A", "CellSuccessRate": 0.025, "TotalCasesForTreatment": 11000, "TreatmentExposureFraction": 0.09090909090909091 },
      { "CaseCellId": "israel-covid-severe-2021-under-50-B", "Study": "israel-covid-severe-2021", "StratumLabel": "under-50", "TreatmentLabel": "B", "Successes": 50, "Cases": 151200, "Name": "israel-covid-severe-2021-under-50-B", "CellSuccessRate": 0.00033068783068783067, "TotalCasesForTreatment": 152000, "TreatmentExposureFraction": 0.9947368421052631 },
      { "CaseCellId": "israel-covid-severe-2021-50-plus-A", "Study": "israel-covid-severe-2021", "StratumLabel": "50-plus", "TreatmentLabel": "A", "Successes": 400, "Cases": 10000, "Name": "israel-covid-severe-2021-50-plus-A", "CellSuccessRate": 0.04, "TotalCasesForTreatment": 11000, "TreatmentExposureFraction": 0.9090909090909091 },
      { "CaseCellId": "israel-covid-severe-2021-50-plus-B", "Study": "israel-covid-severe-2021", "StratumLabel": "50-plus", "TreatmentLabel": "B", "Successes": 180, "Cases": 800, "Name": "israel-covid-severe-2021-50-plus-B", "CellSuccessRate": 0.225, "TotalCasesForTreatment": 152000, "TreatmentExposureFraction": 0.005263157894736842 },
      { "CaseCellId": "cochran-smoking-1968-under-65-A", "Study": "cochran-smoking-1968", "StratumLabel": "under-65", "TreatmentLabel": "A", "Successes": 8500, "Cases": 10000, "Name": "cochran-smoking-1968-under-65-A", "CellSuccessRate": 0.85, "TotalCasesForTreatment": 11000, "TreatmentExposureFraction": 0.9090909090909091 },
      { "CaseCellId": "cochran-smoking-1968-under-65-B", "Study": "cochran-smoking-1968", "StratumLabel": "under-65", "TreatmentLabel": "B", "Successes": 900, "Cases": 1000, "Name": "cochran-smoking-1968-under-65-B", "CellSuccessRate": 0.9, "TotalCasesForTreatment": 2000, "TreatmentExposureFraction": 0.5 },
      { "CaseCellId": "cochran-smoking-1968-65-plus-A", "Study": "cochran-smoking-1968", "StratumLabel": "65-plus", "TreatmentLabel": "A", "Successes": 400, "Cases": 1000, "Name": "cochran-smoking-1968-65-plus-A", "CellSuccessRate": 0.4, "TotalCasesForTreatment": 11000, "TreatmentExposureFraction": 0.09090909090909091 },
      { "CaseCellId": "cochran-smoking-1968-65-plus-B", "Study": "cochran-smoking-1968", "StratumLabel": "65-plus", "TreatmentLabel": "B", "Successes": 500, "Cases": 1000, "Name": "cochran-smoking-1968-65-plus-B", "CellSuccessRate": 0.5, "TotalCasesForTreatment": 2000, "TreatmentExposureFraction": 0.5 },
      { "CaseCellId": "healthy-worker-mortality-low-hazard-occupations-A", "Study": "healthy-worker-mortality", "StratumLabel": "low-hazard-occupations", "TreatmentLabel": "A", "Successes": 950, "Cases": 1000, "Name": "healthy-worker-mortality-low-hazard-occupations-A", "CellSuccessRate": 0.95, "TotalCasesForTreatment": 2000, "TreatmentExposureFraction": 0.5 },
      { "CaseCellId": "healthy-worker-mortality-low-hazard-occupations-B", "Study": "healthy-worker-mortality", "StratumLabel": "low-hazard-occupations", "TreatmentLabel": "B", "Successes": 900, "Cases": 1000, "Name": "healthy-worker-mortality-low-hazard-occupations-B", "CellSuccessRate": 0.9, "TotalCasesForTreatment": 2000, "TreatmentExposureFraction": 0.5 },
      { "CaseCellId": "healthy-worker-mortality-high-hazard-occupations-A", "Study": "healthy-worker-mortality", "StratumLabel": "high-hazard-occupations", "TreatmentLabel": "A", "Successes": 850, "Cases": 1000, "Name": "healthy-worker-mortality-high-hazard-occupations-A", "CellSuccessRate": 0.85, "TotalCasesForTreatment": 2000, "TreatmentExposureFraction": 0.5 },
      { "CaseCellId": "healthy-worker-mortality-high-hazard-occupations-B", "Study": "healthy-worker-mortality", "StratumLabel": "high-hazard-occupations", "TreatmentLabel": "B", "Successes": 800, "Cases": 1000, "Name": "healthy-worker-mortality-high-hazard-occupations-B", "CellSuccessRate": 0.8, "TotalCasesForTreatment": 2000, "TreatmentExposureFraction": 0.5 },
      { "CaseCellId": "compas-recidivism-base-low-prevalence-group-A", "Study": "compas-recidivism-base", "StratumLabel": "low-prevalence-group", "TreatmentLabel": "A", "Successes": 700, "Cases": 1000, "Name": "compas-recidivism-base-low-prevalence-group-A", "CellSuccessRate": 0.7, "TotalCasesForTreatment": 2000, "TreatmentExposureFraction": 0.5 },
      { "CaseCellId": "compas-recidivism-base-low-prevalence-group-B", "Study": "compas-recidivism-base", "StratumLabel": "low-prevalence-group", "TreatmentLabel": "B", "Successes": 750, "Cases": 1000, "Name": "compas-recidivism-base-low-prevalence-group-B", "CellSuccessRate": 0.75, "TotalCasesForTreatment": 2000, "TreatmentExposureFraction": 0.5 },
      { "CaseCellId": "compas-recidivism-base-high-prevalence-group-A", "Study": "compas-recidivism-base", "StratumLabel": "high-prevalence-group", "TreatmentLabel": "A", "Successes": 450, "Cases": 1000, "Name": "compas</t>
  </si>
  <si>
    <t xml:space="preserve">-recidivism-base-high-prevalence-group-A", "CellSuccessRate": 0.45, "TotalCasesForTreatment": 2000, "TreatmentExposureFraction": 0.5 },
      { "CaseCellId": "compas-recidivism-base-high-prevalence-group-B", "Study": "compas-recidivism-base", "StratumLabel": "high-prevalence-group", "TreatmentLabel": "B", "Successes": 500, "Cases": 1000, "Name": "compas-recidivism-base-high-prevalence-group-B", "CellSuccessRate": 0.5, "TotalCasesForTreatment": 2000, "TreatmentExposureFraction": 0.5 },
      { "CaseCellId": "us-wage-composition-stagnation-college-educated-A", "Study": "us-wage-composition-stagnation", "StratumLabel": "college-educated", "TreatmentLabel": "A", "Successes": 5500, "Cases": 10000, "Name": "us-wage-composition-stagnation-college-educated-A", "CellSuccessRate": 0.55, "TotalCasesForTreatment": 17000, "TreatmentExposureFraction": 0.5882352941176471 },
      { "CaseCellId": "us-wage-composition-stagnation-college-educated-B", "Study": "us-wage-composition-stagnation", "StratumLabel": "college-educated", "TreatmentLabel": "B", "Successes": 5000, "Cases": 10000, "Name": "us-wage-composition-stagnation-college-educated-B", "CellSuccessRate": 0.5, "TotalCasesForTreatment": 14000, "TreatmentExposureFraction": 0.7142857142857143 },
      { "CaseCellId": "us-wage-composition-stagnation-non-college-A", "Study": "us-wage-composition-stagnation", "StratumLabel": "non-college", "TreatmentLabel": "A", "Successes": 2800, "Cases": 7000, "Name": "us-wage-composition-stagnation-non-college-A", "CellSuccessRate": 0.4, "TotalCasesForTreatment": 17000, "TreatmentExposureFraction": 0.4117647058823529 },
      { "CaseCellId": "us-wage-composition-stagnation-non-college-B", "Study": "us-wage-composition-stagnation", "StratumLabel": "non-college", "TreatmentLabel": "B", "Successes": 1520, "Cases": 4000, "Name": "us-wage-composition-stagnation-non-college-B", "CellSuccessRate": 0.38, "TotalCasesForTreatment": 14000, "TreatmentExposureFraction": 0.2857142857142857 },
      { "CaseCellId": "borjas-immigrant-cohort-recent-arrivals-A", "Study": "borjas-immigrant-cohort", "StratumLabel": "recent-arrivals", "TreatmentLabel": "A", "Successes": 400, "Cases": 1000, "Name": "borjas-immigrant-cohort-recent-arrivals-A", "CellSuccessRate": 0.4, "TotalCasesForTreatment": 2000, "TreatmentExposureFraction": 0.5 },
      { "CaseCellId": "borjas-immigrant-cohort-recent-arrivals-B", "Study": "borjas-immigrant-cohort", "StratumLabel": "recent-arrivals", "TreatmentLabel": "B", "Successes": 450, "Cases": 1000, "Name": "borjas-immigrant-cohort-recent-arrivals-B", "CellSuccessRate": 0.45, "TotalCasesForTreatment": 2000, "TreatmentExposureFraction": 0.5 },
      { "CaseCellId": "borjas-immigrant-cohort-established-immigrants-A", "Study": "borjas-immigrant-cohort", "StratumLabel": "established-immigrants", "TreatmentLabel": "A", "Successes": 550, "Cases": 1000, "Name": "borjas-immigrant-cohort-established-immigrants-A", "CellSuccessRate": 0.55, "TotalCasesForTreatment": 2000, "TreatmentExposureFraction": 0.5 },
      { "CaseCellId": "borjas-immigrant-cohort-established-immigrants-B", "Study": "borjas-immigrant-cohort", "StratumLabel": "established-immigrants", "TreatmentLabel": "B", "Successes": 520, "Cases": 1000, "Name": "borjas-immigrant-cohort-established-immigrants-B", "CellSuccessRate": 0.52, "TotalCasesForTreatment": 2000, "TreatmentExposureFraction": 0.5 },
      { "CaseCellId": "robinson-1950-literacy-high-literacy-states-A", "Study": "robinson-1950-literacy", "StratumLabel": "high-literacy-states", "TreatmentLabel": "A", "Successes": 900, "Cases": 1000, "Name": "robinson-1950-literacy-high-literacy-states-A", "CellSuccessRate": 0.9, "TotalCasesForTreatment": 2000, "TreatmentExposureFraction": 0.5 },
      { "CaseCellId": "robinson-1950-literacy-high-literacy-states-B", "Study": "robinson-1950-literacy", "StratumLabel": "high-literacy-states", "TreatmentLabel": "B", "Successes": 9500, "Cases": 10000, "Name": "robinson-1950-literacy-high-literacy-states-B", "CellSuccessRate": 0.95, "TotalCasesForTreatment": 12000, "TreatmentExposureFraction": 0.8333333333333334 },
      { "CaseCellId": "robinson-1950-literacy-low-literacy-states-A", "Study": "robinson-1950-literacy", "StratumLabel": "low-literacy-states", "TreatmentLabel": "A", "Successes": 800, "Cases": 1000, "Name": "robinson-1950-literacy-low-literacy-states-A", "CellSuccessRate": 0.8, "TotalCasesForTreatment": 2000, "TreatmentExposureFraction": 0.5 },
      { "CaseCellId": "robinson-1950-literacy-low-literacy-states-B", "Study": "robinson-1950-literacy", "StratumLabel": "low-literacy-states", "TreatmentLabel": "B", "Successes": 1400, "Cases": 2000, "Name": "robinson-1950-literacy-low-literacy-states-B", "CellSuccessRate": 0.7, "TotalCasesForTreatment": 12000, "TreatmentExposureFraction": 0.16666666666666666 },
      { "CaseCellId": "ab-test-traffic-mix-week1-young-users-A", "Study": "ab-test-traffic-mix", "StratumLabel": "week1-young-users", "TreatmentLabel": "A", "Successes": 8000, "Cases": 10000, "Name": "ab-test-traffic-mix-week1-young-users-A", "CellSuccessRate": 0.8, "TotalCasesForTreatment": 12000, "TreatmentExposureFraction": 0.8333333333333334 },
      { "CaseCellId": "ab-test-traffic-mix-week1-young-users-B", "Study": "ab-test-traffic-mix", "StratumLabel": "week1-young-users", "TreatmentLabel": "B", "Successes": 7500, "Cases": 10000, "Name": "ab-test-traffic-mix-week1-young-users-B", "CellSuccessRate": 0.75, "TotalCasesForTreatment": 12000, "TreatmentExposureFraction": 0.8333333333333334 },
      { "CaseCellId": "ab-test-traffic-mix-week2-old-users-A", "Study": "ab-test-traffic-mix", "StratumLabel": "week2-old-users", "TreatmentLabel": "A", "Successes": 1100, "Cases": 2000, "Name": "ab-test-traffic-mix-week2-old-users-A", "CellSuccessRate": 0.55, "TotalCasesForTreatment": 12000, "TreatmentExposureFraction": 0.16666666666666666 },
      { "CaseCellId": "ab-test-traffic-mix-week2-old-users-B", "Study": "ab-test-traffic-mix", "StratumLabel": "week2-old-users", "TreatmentLabel": "B", "Successes": 1300, "Cases": 2000, "Name": "ab-test-traffic-mix-week2-old-users-B", "CellSuccessRate": 0.65, "TotalCasesForTreatment": 12000, "TreatmentExposureFraction": 0.16666666666666666 },
      { "CaseCellId": "recsys-offline-eval-head-items-A", "Study": "recsys-offline-eval", "StratumLabel": "head-items", "TreatmentLabel": "A", "Successes": 850, "Cases": 1000, "Name": "recsys-offline-eval-head-items-A", "CellSuccessRate": 0.85, "TotalCasesForTreatment": 2000, "TreatmentExposureFraction": 0.5 },
      { "CaseCellId": "recsys-offline-eval-head-items-B", "Study": "recsys-offline-eval", "StratumLabel": "head-items", "TreatmentLabel": "B", "Successes": 800, "Cases": 1000, "Name": "recsys-offline-eval-head-items-B", "CellSuccessRate": 0.8, "TotalCasesForTreatment": 2000, "TreatmentExposureFraction": 0.5 },
      { "CaseCellId": "recsys-offline-eval-tail-items-A", "Study": "recsys-offline-eval", "StratumLabel": "tail-items", "TreatmentLabel": "A", "Successes": 300, "Cases": 1000, "Name": "recsys-offline-eval-tail-items-A", "CellSuccessRate": 0.3, "TotalCasesForTreatment": 2000, "TreatmentExposureFraction": 0.5 },
      { "CaseCellId": "recsys-offline-eval-tail-items-B", "Study": "recsys-offline-eval", "StratumLabel": "tail-items", "TreatmentLabel": "B", "Successes": 350, "Cases": 1000, "Name": "recsys-offline-eval-tail-items-B", "CellSuccessRate": 0.35, "TotalCasesForTreatment": 2000, "TreatmentExposureFraction": 0.5 },
      { "CaseCellId": "collider-only-synthetic-conditioned-in-A", "Study": "collider-only-synthetic", "StratumLabel": "conditioned-in", "TreatmentLabel": "A", "Successes": 85, "Cases": 100, "Name": "collider-only-synthetic-conditioned-in-A", "CellSuccessRate": 0.85, "TotalCasesForTreatment": 1000, "TreatmentExposureFraction": 0.1 },
      { "CaseCellId": "collider-only-synthetic-conditioned-in-B", "Study": "collider-only-synthetic", "StratumLabel": "conditioned-in", "TreatmentLabel": "B", "Successes": 70, "Cases": 100, "Name": "collider-only-synthetic-conditioned-in-B", "CellSuccessRate": 0.7, "TotalCasesForTreatment": 1000, "TreatmentExposureFraction": 0.1 },
      { "CaseCellId": "collider-only-synthetic-conditioned-out-A", "Study": "collider-only-synthetic", "StratumLabel": "conditioned-out", "TreatmentLabel": "A", "Successes": 150, "Cases": 900, "Name": "collider-only-synthetic-conditioned-out-A", "CellSuccessRate": 0.16666666666666666, "TotalCasesForTreatment": 1000, "TreatmentExposureFraction": 0.9 },
      { "CaseCellId": "collider-only-synthetic-conditioned-out-B", "Study": "collider-only-synthetic", "StratumLabel": "conditioned-out", "TreatmentLabel": "B", "Successes": 270, "Cases": 900, "Name": "collider-only-synthetic-conditioned-out-B", "CellSuccessRate": 0.3, "TotalCasesForTreatment": 1000, "TreatmentExposureFraction": 0.9 },
      { "CaseCellId": "noncollapsibility-or-synthetic-low-prevalence-A", "Study": "noncollapsibility-or-synthetic", "StratumLabel": "low-prevalence", "TreatmentLabel": "A", "Successes": 40, "Cases": 100, "Name": "noncollapsibility-or-synthetic-low-prevalence-A", "CellSuccessRate": 0.4, "TotalCasesForTreatment": 1100, "TreatmentExposureFraction": 0.09090909090909091 },
      { "CaseCellId": "noncollapsibility-or-synthetic-low-prevalence-B", "Study": "noncollapsibility-or-synthetic", "StratumLabel": "low-prevalence", "TreatmentLabel": "B", "Successes": 30, "Cases": 100, "Name": "noncollapsibility-or-synthetic-low-prevalence-B", "CellSuccessRate": 0.3, "TotalCasesForTreatment": 1100, "TreatmentExposureFraction": 0.09090909090909091 },
      { "CaseCellId": "noncollapsibility-or-synthetic-high-prevalence-A", "Study": "noncollapsibility-or-synthetic", "StratumLabel": "high-prevalence", "TreatmentLabel": "A", "Successes": 400, "Cases": 1000, "Name": "noncollapsibility-or-synthetic-high-prevalence-A", "CellSuccessRate": 0.4, "TotalCasesForTreatment": 1100, "TreatmentExposureFraction": 0.9090909090909091 },
      { "CaseCellId": "noncollapsibility-or-synthetic-high-prevalence-B", "Study": "noncollapsibility-or-synthetic", "StratumLabel": "high-prevalence", "TreatmentLabel": "B", "Successes": 300, "Cases": 1000, "Name": "noncollapsibility-or-synthetic-high-prevalence-B", "CellSuccessRate": 0.3, "TotalCasesForTreatment": 1100, "TreatmentExposureFraction": 0.9090909090909091 },
      { "CaseCellId": "trauma-center-mortality-mild-injury-A", "Study": "trauma-center-mortality", "StratumLabel": "mild-injury", "TreatmentLabel": "A", "Successes": 950, "Cases": 1000, "Name": "trauma-center-mortality-mild-injury-A", "CellSuccessRate": 0.95, "TotalCasesForTreatment": 2000, "TreatmentExposureFraction": 0.5 },
      { "CaseCellId": "trauma-center-mortality-mild-injury-B", "Study": "trauma-center-mortality", "StratumLabel": "mild-injury", "TreatmentLabel": "B", "Successes": 960, "Cases": 1000, "Name": "trauma-center-mortality-mild-injury-B", "CellSuccessRate": 0.96, "TotalCasesForTreatment": 2000, "TreatmentExposureFraction": 0.5 },
      { "CaseCellId": "trauma-center-mortality-severe-injury-A", "Study": "trauma-center-mortality", "StratumLabel": "severe-injury", "TreatmentLabel": "A", "Successes": 600, "Cases": 1000, "Name": "trauma-center-mortality-severe-injury-A", "CellSuccessRate": 0.6, "TotalCasesForTreatment": 2000, "TreatmentExposureFraction": 0.5 },
      { "CaseCellId": "trauma-center-mortality-severe-injury-B", "Study": "trauma-center-mortality", "StratumLabel": "severe-injury", "TreatmentLabel": "B", "Successes": 680, "Cases": 1000, "Name": "trauma-center-mortality-severe-injury-B", "CellSuccessRate": 0.68, "TotalCasesForTreatment": 2000, "TreatmentExposureFraction": 0.5 },
      { "CaseCellId": "surgeon-volume-mortality-low-risk-A", "Study": "surgeon-volume-mortality", "StratumLabel": "low-risk", "TreatmentLabel": "A", "Successes": 980, "Cases": 1000, "Name": "surgeon-volume-mortality-low-risk-A", "CellSuccessRate": 0.98, "TotalCasesForTreatment": 2000, "TreatmentExposureFraction": 0.5 },
      { "CaseCellId": "surgeon-volume-mortality-low-risk-B", "Study": "surgeon-volume-mortality", "StratumLabel": "low-risk", "TreatmentLabel": "B", "Successes": 975, "Cases": 1000, "Name": "surgeon-volume-mortality-low-risk-B", "CellSuccessRate": 0.975, "TotalCasesForTreatment": 2000, "TreatmentExposureFraction": 0.5 },
      { "CaseCellId": "surgeon-volume-mortality-high-risk-A", "Study": "surgeon-volume-mortality", "StratumLabel": "high-risk", "TreatmentLabel": "A", "Successes": 820, "Cases": 1000, "Name": "surgeon-volume-mortality-high-risk-A", "CellSuccessRate": 0.82, "TotalCasesForTreatment": 2000, "TreatmentExposureFraction": 0.5 },
      { "CaseCellId": "surgeon-volume-mortality-high-risk-B", "Study": "surgeon-volume-mortality", "StratumLabel": "high-risk", "TreatmentLabel": "B", "Successes": 860, "Cases": 1000, "Name": "surgeon-volume-mortality-high-risk-B", "CellSuccessRate": 0.86, "TotalCasesForTreatment": 2000, "TreatmentExposureFraction": 0.5 },
      { "CaseCellId": "mammography-length-bias-slow-growing-A", "Study": "mammography-length-bias", "StratumLabel": "slow-growing", "TreatmentLabel": "A", "Successes": 920, "Cases": 1000, "Name": "mammography-length-bias-slow-growing-A", "CellSuccessRate": 0.92, "TotalCasesForTreatment": 2000, "TreatmentExposureFraction": 0.5 },
      { "CaseCellId": "mammography-length-bias-slow-growing-B", "Study": "mammography-length-bias", "StratumLabel": "slow-growing", "TreatmentLabel": "B", "Successes": 700, "Cases": 1000, "Name": "mammography-length-bias-slow-growing-B", "CellSuccessRate": 0.7, "TotalCasesForTreatment": 2000, "TreatmentExposureFraction": 0.5 },
      { "CaseCellId": "mammography-length-bias-aggressive-A", "Study": "mammography-length-bias", "StratumLabel": "aggressive", "TreatmentLabel": "A", "Successes": 400, "Cases": 1000, "Name": "mammography-length-bias-aggressive-A", "CellSuccessRate": 0.4, "TotalCasesForTreatment": 2000, "TreatmentExposureFraction": 0.5 },
      { "CaseCellId": "mammography-length-bias-aggressive-B", "Study": "mammography-length-bias", "StratumLabel": "aggressive", "TreatmentLabel": "B", "Successes": 350, "Cases": 1000, "Name": "mammography-length-bias-aggressive-B", "CellSuccessRate": 0.35, "TotalCasesForTreatment": 2000, "TreatmentExposureFraction": 0.5 },
      { "CaseCellId": "cabg-vs-pci-severity-multivessel-A", "Study": "cabg-vs-pci-severity", "StratumLabel": "multivessel", "TreatmentLabel": "A", "Successes": 920, "Cases": 1000, "Name": "cabg-vs-pci-severity-multivessel-A", "CellSuccessRate": 0.92, "TotalCasesForTreatment": 2000, "TreatmentExposureFraction": 0.5 },
      { "CaseCellId": "cabg-vs-pci-severity-multivessel-B", "Study": "cabg-vs-pci-severity", "StratumLabel": "multivessel", "TreatmentLabel": "B", "Successes": 880, "Cases": 1000, "Name": "cabg-vs-pci-severity-multivessel-B", "CellSuccessRate": 0.88, "TotalCasesForTreatment": 2000, "TreatmentExposureFraction": 0.5 },
      { "CaseCellId": "cabg-vs-pci-severity-single-vessel-A", "Study": "cabg-vs-pci-severity", "StratumLabel": "single-vessel", "TreatmentLabel": "A", "Successes": 980, "Cases": 1000, "Name": "cabg-vs-pci-severity-single-vessel-A", "CellSuccessRate": 0.98, "TotalCasesForTreatment": 2000, "TreatmentExposureFraction": 0.5 },
      { "CaseCellId": "cabg-vs-pci-severity-single-vessel-B", "Study": "cabg-vs-pci-severity", "StratumLabel": "single-vessel", "TreatmentLabel": "B", "Successes": 975, "Cases": 1000, "Name": "cabg-vs-pci-severity-single-vessel-B", "CellSuccessRate": 0.975, "TotalCasesForTreatment": 2000, "TreatmentExposureFraction": 0.5 },
      { "CaseCellId": "tolbutamide-ugdp-1970-low-risk-centers-A", "Study": "tolbutamide-ugdp-1970", "StratumLabel": "low-risk-centers", "TreatmentLabel": "A", "Successes": 920, "Cases": 1000, "Name": "tolbutamide-ugdp-1970-low-risk-centers-A", "CellSuccessRate": 0.92, "TotalCasesForTreatment": 2000, "TreatmentExposureFraction": 0.5 },
      { "CaseCellId": "tolbutamide-ugdp-1970-low-risk-centers-B", "Study": "tolbutamide-ugdp-1970", "StratumLabel": "low-risk-centers", "TreatmentLabel": "B", "Successes": 910, "Cases": 1000, "Name": "tolbutamide-ugdp-1970-low-risk-centers-B", "CellSuccessRate": 0.91, "TotalCasesForTreatment": 2000, "TreatmentExposureFraction": 0.5 },
      { "CaseCellId": "tolbutamide-ugdp-1970-high-risk-centers-A", "Study": "tolbutamide-ugdp-1970", "StratumLabel": "high-risk-centers", "TreatmentLabel": "A", "Successes": 780, "Cases": 1000, "Name": "tolbutamide-ugdp-1970-high-risk-centers-A", "CellSuccessRate": 0.78, "TotalCasesForTreatment": 2000, "TreatmentExposureFraction": 0.5 },
      { "CaseCellId": "tolbutamide-ugdp-1970-high-risk-centers-B", "Study": "tolbutamide-ugdp-1970", "StratumLabel": "high-risk-centers", "TreatmentLabel": "B", "Successes": 820, "Cases": 1000, "Name": "tolbutamide-ugdp-1970-high-risk-centers-B", "CellSuccessRate": 0.82, "TotalCasesForTreatment": 2000, "TreatmentExposureFraction": 0.5 },
      { "CaseCellId": "snow-cholera-water-1855-high-exposure-district-A", "Study": "snow-cholera-water-1855", "StratumLabel": "high-exposure-district", "TreatmentLabel": "A", "Successes": 902, "Cases": 1000, "Name": "snow-cholera-water-1855-high-exposure-district-A", "CellSuccessRate": 0.902, "TotalCasesForTreatment": 2000, "TreatmentExposureFraction": 0.5 },
      { "CaseCellId": "snow-cholera-water-1855-high-exposure-district-B", "Study": "snow-cholera-water-1855", "StratumLabel": "high-exposure-district", "TreatmentLabel": "B", "Successes": 960, "Cases": 1000, "Name": "snow-cholera-water-1855-high-exposure-district-B", "CellSuccessRate": 0.96, "TotalCasesForTreatment": 2000, "TreatmentExposureFraction": 0.5 },
      { "CaseCellId": "snow-cholera-water-1855-mixed-supply-district-A", "Study": "snow-cholera-water-1855", "StratumLabel": "mixed-supply-district", "TreatmentLabel": "A", "Successes": 940, "Cases": 1000, "Name": "snow-cholera-water-1855-mixed-supply-district-A", "CellSuccessRate": 0.94, "TotalCasesForTreatment": 2000, "TreatmentExposureFraction": 0.5 },
      { "CaseCellId": "snow-cholera-water-1855-mixed-supply-district-B", "Study": "snow-cholera-water-1855", "StratumLabel": "mixed-supply-district", "TreatmentLabel": "B", "Successes": 970, "Cases": 1000, "Name": "snow-cholera-water-1855-mixed-supply-district-B", "CellSuccessRate": 0.97, "TotalCasesForTreatment": 2000, "TreatmentExposureFraction": 0.5 },
      { "CaseCellId": "seatbelt-crash-severity-minor-crash-A", "Study": "seatbelt-crash-severity", "StratumLabel": "minor-crash", "TreatmentLabel": "A", "Successes": 980, "Cases": 1000, "Name": "seatbelt-crash-severity-minor-crash-A", "CellSuccessRate": 0.98, "TotalCasesForTreatment": 2000, "TreatmentExposureFraction": 0.5 },
      { "CaseCellId": "seatbelt-crash-severity-minor-crash-B", "Study": "seatbelt-crash-severity", "StratumLabel": "minor-crash", "TreatmentLabel": "B", "Successes": 970, "Cases": 1000, "Name": "seatbelt-crash-severity-minor-crash-B", "CellSuccessRate": 0.97, "TotalCasesForTreatment": 2000, "TreatmentExposureFraction": 0.5 },
      { "CaseCellId": "seatbelt-crash-severity-severe-crash-A", "Study": "seatbelt-crash-severity", "StratumLabel": "severe-crash", "TreatmentLabel": "A", "Successes": 700, "Cases": 1000, "Name": "seatbelt-crash-severity-severe-crash-A", "CellSuccessRate": 0.7, "TotalCasesForTreatment": 2000, "TreatmentExposureFraction": 0.5 },
      { "CaseCellId": "seatbelt-crash-severity-severe-crash-B", "Study": "seatbelt-crash-severity", "StratumLabel": "severe-crash", "TreatmentLabel": "B", "Successes": 600, "Cases": 1000, "Name": "seatbelt-crash-severity-severe-crash-B", "CellSuccessRate": 0.6, "TotalCasesForTreatment": 2000, "TreatmentExposureFraction": 0.5 },
      { "CaseCellId": "measles-outbreak-vaccinated-high-coverage-setting-A", "Study": "measles-outbreak-vaccinated", "StratumLabel": "high-coverage-setting", "TreatmentLabel": "A", "Successes": 100, "Cases": 9000, "Name": "measles-outbreak-vaccinated-high-coverage-setting-A", "CellSuccessRate": 0.011111111111111112, "TotalCasesForTreatment": 11000, "TreatmentExposureFraction": 0.8181818181818182 },
      { "CaseCellId": "measles-outbreak-vaccinated-high-coverage-setting-B", "Study": "measles-outbreak-vaccinated", "StratumLabel": "high-coverage-setting", "TreatmentLabel": "B", "Successes": 44, "Cases": 1000, "Name": "measles-outbreak-vaccinated-high-coverage-setting-B", "CellSuccessRate": 0.044, "TotalCasesForTreatment": 1500, "TreatmentExposureFraction": 0.6666666666666666 },
      { "CaseCellId": "measles-outbreak-vaccinated-lower-coverage-setting-A", "Study": "measles-outbreak-vaccinated", "StratumLabel": "lower-coverage-setting", "TreatmentLabel": "A", "Successes": 15, "Cases": 2000, "Name": "measles-outbreak-vaccinated-lower-coverage-setting-A", "CellSuccessRate": 0.0075, "TotalCasesForTreatment": 11000, "TreatmentExposureFraction": 0.18181818181818182 },
      { "CaseCellId": "measles-outbreak-vaccinated-lower-coverage-setting-B", "Study": "measles-outbreak-vaccinated", "StratumLabel": "lower-coverage-setting", "TreatmentLabel": "B", "Successes": 35, "Cases": 500, "Name": "measles-outbreak-vaccinated-lower-coverage-setting-B", "CellSuccessRate": 0.07, "TotalCasesForTreatment": 1500, "TreatmentExposureFraction": 0.3333333333333333 },
      { "CaseCellId": "air-pollution-mortality-city-younger-population-city-A", "Study": "air-pollution-mortality-city", "StratumLabel": "younger-population-city", "TreatmentLabel": "A", "Successes": 980, "Cases": 1000, "Name": "air-pollution-mortality-city-younger-population-city-A", "CellSuccessRate": 0.98, "TotalCasesForTreatment": 2000, "TreatmentExposureFraction": 0.5 },
      { "CaseCellId": "air-pollution-mortality-city-younger-population-city-B", "Study": "air-pollution-mortality-city", "StratumLabel": "younger-population-city", "TreatmentLabel": "B", "Successes": 985, "Cases": 1000, "Name": "air-pollution-mortality-city-younger-population-city-B", "CellSuccessRate": 0.985, "TotalCasesForTreatment": 2000, "TreatmentExposureFraction": 0.5 },
      { "CaseCellId": "air-pollution-mortality-city-older-population-city-A", "Study": "air-pollution-mortality-city", "StratumLabel": "older-population-city", "TreatmentLabel": "A", "Successes": 920, "Cases": 1000, "Name": "air-pollution-mortality-city-older-population-city-A", "CellSuccessRate": 0.92, "TotalCasesForTreatment": 2000, "TreatmentExposureFraction": 0.5 },
      { "CaseCellId": "air-pollution-mortality-city-older-population-city-B", "Study": "air-pollution-mortality-city", "StratumLabel": "older-population-city", "TreatmentLabel": "B", "Successes": 940, "Cases": 1000, "Name": "air-pollution-mortality-city-older-population-city-B", "CellSuccessRate": 0.94, "TotalCasesForTreatment": 2000, "TreatmentExposureFraction": 0.5 },
      { "CaseCellId": "tb-treatment-resistance-drug-sensitive-A", "Study": "tb-treatment-resistance", "StratumLabel": "drug-sensitive", "TreatmentLabel": "A", "Successes": 920, "Cases": 1000, "Name": "tb-treatment-resistance-drug-sensitive-A", "CellSuccessRate": 0.92, "TotalCasesForTreatment": 2000, "TreatmentExposureFraction": 0.5 },
      { "CaseCellId": "tb-treatment-resistance-drug-sensitive-B", "Study": "tb-treatment-resistance", "StratumLabel": "drug-sensitive", "TreatmentLabel": "B", "Successes": 910, "Cases": 1000, "Name": "tb-treatment-resistance-drug-sensitive-B", "CellSuccessRate": 0.91, "TotalCasesForTreatment": 2000, "TreatmentExposureFraction": 0.5 },
      { "CaseCellId": "tb-treatment-resistance-drug-resistant-A", "Study": "tb-treatment-resistance", "StratumLabel": "drug-resistant", "TreatmentLabel": "A", "Successes": 650, "Cases": 1000, "Name": "tb-treatment-resistance-drug-resistant-A", "CellSuccessRate": 0.65, "TotalCasesForTreatment": 2000, "TreatmentExposureFraction": 0.5 },
      { "CaseCellId": "tb-treatment-resistance-drug-resistant-B", "Study": "tb-treatment-resistance", "StratumLabel": "drug-resistant", "TreatmentLabel": "B", "Successes": 720, "Cases": 1000, "Name": "tb-treatment-resistance-drug-resistant-B", "CellSuccessRate": 0.72, "TotalCasesForTreatment": 2000, "TreatmentExposureFraction": 0.5 },
      { "CaseCellId": "hospital-mortality-readmission-high-comorbidity-A", "Study": "hospital-mortality-readmission", "StratumLabel": "high-comorbidity", "TreatmentLabel": "A", "Successes": 850, "Cases": 1000, "Name": "hospital-mortality-readmission-high-comorbidity-A", "CellSuccessRate": 0.85, "TotalCasesForTreatment": 2000, "TreatmentExposureFraction": 0.5 },
      { "CaseCellId": "hospital-mortality-readmission-high-comorbidity-B", "Study": "hospital-mortality-readmission", "StratumLabel": "high-comorbidity", "TreatmentLabel": "B", "Successes": 880, "Cases": 1000, "Name": "hospital-mortality-readmission-high-comorbidity-B", "CellSuccessRate": 0.88, "TotalCasesForTreatment": 2000, "TreatmentExposureFraction": 0.5 },
      { "CaseCellId": "hospital-mortality-readmission-low-comorbidity-A", "Study": "hospital-mortality-readmission", "StratumLabel": "low-comorbidity", "TreatmentLabel": "A", "Successes": 970, "Cases": 1000, "Name": "hospital-mortality-readmission-low-comorbidity-A", "CellSuccessRate": 0.97, "TotalCasesForTreatment": 2000, "TreatmentExposureFraction": 0.5 },
      { "CaseCellId": "hospital-mortality-readmission-low-comorbidity-B", "Study": "hospital-mortality-readmission", "StratumLabel": "low-comorbidity", "TreatmentLabel": "B", "Successes": 975, "Cases": 1000, "Name": "hospital-mortality-readmission-low-comorbidity-B", "CellSuccessRate": 0.975, "TotalCasesForTreatment": 2000, "TreatmentExposureFraction": 0.5 },
      { "CaseCellId": "nypd-stop-frisk-hitrate-high-crime-precincts-A", "Study": "nypd-stop-frisk-hitrate", "StratumLabel": "high-crime-precincts", "TreatmentLabel": "A", "Successes": 320, "Cases": 8000, "Name": "nypd-stop-frisk-hitrate-high-crime-precincts-A", "CellSuccessRate": 0.04, "TotalCasesForTreatment": 10000, "TreatmentExposureFraction": 0.8 },
      { "CaseCellId": "nypd-stop-frisk-hitrate-high-crime-precincts-B", "Study": "nypd-stop-frisk-hitrate", "StratumLabel": "high-crime-precincts", "TreatmentLabel": "B", "Successes": 280, "Cases": 7000, "Name": "nypd-stop-frisk-hitrate-high-crime-precincts-B", "CellSuccessRate": 0.04, "TotalCasesForTreatment": 8500, "TreatmentExposureFraction": 0.8235294117647058 },
      { "CaseCellId": "nypd-stop-frisk-hitrate-low-crime-precincts-A", "Study": "nypd-stop-frisk-hitrate", "StratumLabel": "low-crime-precincts", "TreatmentLabel": "A", "Successes": 45, "Cases": 2000, "Name": "nypd-stop-frisk-hitrate-low-crime-precincts-A", "CellSuccessRate": 0.0225, "TotalCasesForTreatment": 10000, "TreatmentExposureFraction": 0.2 },
      { "CaseCellId": "nypd-stop-frisk-hitrate-low-crime-precincts-B", "Study": "nypd-stop-frisk-hitrate", "StratumLabel": "low-crime-precincts", "TreatmentLabel": "B", "Successes": 72, "Cases": 1500, "Name": "nypd-stop-frisk-hitrate-low-crime-precincts-B", "CellSuccessRate": 0.048, "TotalCasesForTreatment": 8500, "TreatmentExposureFraction": 0.17647058823529413 },
      { "CaseCellId": "sentencing-offense-type-violent-offenses-A", "Study": "sentencing-offense-type", "StratumLabel": "violent-offenses", "TreatmentLabel": "A", "Successes": 800, "Cases": 1000, "Name": "sentencing-offense-type-violent-offenses-A", "CellSuccessRate": 0.8, "TotalCasesForTreatment": 2000, "TreatmentExposureFraction": 0.5 },
      { "CaseCellId": "sentencing-offense-type-violent-offenses-B", "Study": "sentencing-offense-type", "StratumLabel": "violent-offenses", "TreatmentLabel": "B", "Successes": 750, "Cases": 1000, "Name": "sentencing-offense-type-violent-offenses-B", "CellSuccessRate": 0.75, "TotalCasesForTreatment": 2000, "TreatmentExposureFraction": 0.5 },
      { "CaseCellId": "sentencing-offense-type-nonviolent-offenses-A", "Study": "sentencing-offense-type", "StratumLabel": "nonviolent-offenses", "TreatmentLabel": "A", "Successes": 400, "Cases": 1000, "Name": "sentencing-offense-type-nonviolent-offenses-A", "CellSuccessRate": 0.4, "TotalCasesForTreatment": 2000, "TreatmentExposureFraction": 0.5 },
      { "CaseCellId": "sentencing-offense-type-nonviolent-offenses-B", "Study": "sentencing-offense-type", "StratumLabel": "nonviolent-offenses", "TreatmentLabel": "B", "Successes": 420, "Cases": 1000, "Name": "sentencing-offense-type-nonviolent-offenses-B", "CellSuccessRate": 0.42, "TotalCasesForTreatment": 2000, "TreatmentExposureFraction": 0.5 },
      { "CaseCellId": "bail-risk-score-high-risk-tier-A", "Study": "bail-risk-score", "StratumLabel": "high-risk-tier", "TreatmentLabel": "A", "Successes": 450, "Cases": 1000, "Name": "bail-risk-score-high-risk-tier-A", "CellSuccessRate": 0.45, "TotalCasesForTreatment": 2000, "TreatmentExposureFraction": 0.5 },
      { "CaseCellId": "bail-risk-score-high-risk-tier-B", "Study": "bail-risk-score", "StratumLabel": "high-risk-tier", "TreatmentLabel": "B", "Successes": 520, "Cases": 1000, "Name": "bail-risk-score-high-risk-tier-B", "CellSuccessRate": 0.52, "TotalCasesForTreatment": 2000, "TreatmentExposureFraction": 0.5 },
      { "CaseCellId": "bail-risk-score-low-risk-tier-A", "Study": "bail-risk-score", "StratumLabel": "low-risk-tier", "TreatmentLabel": "A", "Successes": 120, "Cases": 1000, "Name": "bail-risk-score-low-risk-tier-A", "CellSuccessRate": 0.12, "TotalCasesForTreatment": 2000, "TreatmentExposureFraction": 0.5 },
      { "CaseCellId": "bail-risk-score-low-risk-tier-B", "Study": "bail-risk-score", "StratumLabel": "low-risk-tier", "TreatmentLabel": "B", "Successes": 150, "Cases": 1000, "Name": "bail-risk-score-low-risk-tier-B", "CellSuccessRate": 0.15, "TotalCasesForTreatment": 2000, "TreatmentExposureFraction": 0.5 },
      { "CaseCellId": "police-force-encounter-discretionary-stop-A", "Study": "police-force-encounter", "StratumLabel": "discretionary-stop", "TreatmentLabel": "A", "Successes": 180, "Cases": 1000, "Name": "police-force-encounter-discretionary-stop-A", "CellSuccessRate": 0.18, "TotalCasesForTreatment": 2000, "TreatmentExposureFraction": 0.5 },
      { "CaseCellId": "police-force-encounter-discretionary-stop-B", "Study": "police-force-encounter", "StratumLabel": "discretionary-stop", "TreatmentLabel": "B", "Successes": 50, "Cases": 1000, "Name": "police-force-encounter-discretionary-stop-B", "CellSuccessRate": 0.05, "TotalCasesForTreatment": 2000, "TreatmentExposureFraction": 0.5 },
      { "CaseCellId": "police-force-encounter-high-risk-call-A", "Study": "police-force-encounter", "StratumLabel": "high-risk-call", "TreatmentLabel": "A", "Successes": 400, "Cases": 1000, "Name": "police-force-encounter-high-risk-call-A", "CellSuccessRate": 0.4, "TotalCasesForTreatment": 2000, "TreatmentExposureFraction": 0.5 },
      { "CaseCellId": "police-force-encounter-high-risk-call-B", "Study": "police-force-encounter", "StratumLabel": "high-risk-call", "TreatmentLabel": "B", "Successes": 120, "Cases": 1000, "Name": "police-force-encounter-high-risk-call-B", "CellSuccessRate": 0.12, "TotalCasesForTreatment": 2000, "TreatmentExposureFraction": 0.5 },
      { "CaseCellId": "uc-systemwide-admissions-high-selectivity-major-A", "Study": "uc-systemwide-admissions", "StratumLabel": "high-selectivity-major", "TreatmentLabel": "A", "Successes": 120, "Cases": 1000, "Name": "uc-systemwide-admissions-high-selectivity-major-A", "CellSuccessRate": 0.12, "TotalCasesForTreatment": 2000, "TreatmentExposureFraction": 0.5 },
      { "CaseCellId": "uc-systemwide-admissions-high-selectivity-major-B", "Study": "uc-systemwide-admissions", "StratumLabel": "high-selectivity-major", "TreatmentLabel": "B", "Successes": 140, "Cases": 1000, "Name": "uc-systemwide-admissions-high-selectivity-major-B", "CellSuccessRate": 0.14, "TotalCasesForTreatment": 2000, "TreatmentExposureFraction": 0.5 },
      { "CaseCellId": "uc-systemwide-admissions-lower-selectivity-major-A", "Study": "uc-systemwide-admissions", "StratumLabel": "lower-selectivity-major", "TreatmentLabel": "A", "Successes": 650, "Cases": 1000, "Name": "uc-systemwide-admissions-lower-selectivity-major-A", "CellSuccessRate": 0.65, "TotalCasesForTreatment": 2000, "TreatmentExposureFraction": 0.5 },
      { "CaseCellId": "uc-systemwide-admissions-lower-selectivity-major-B", "Study": "uc-systemwide-admissions", "StratumLabel": "lower-selectivity-major", "TreatmentLabel": "B", "Successes": 600, "Cases": 1000, "Name": "uc-systemwide-admissions-lower-selectivity-major-B", "CellSuccessRate": 0.6, "TotalCasesForTreatment": 2000, "TreatmentExposureFraction": 0.5 },
      { "CaseCellId": "teacher-vam-prior-achievement-high-prior-achievement-A", "Study": "teacher-vam-prior-achievement", "StratumLabel": "high-prior-achievement", "TreatmentLabel": "A", "Successes": 850, "Cases": 1000, "Name": "teacher-vam-prior-achievement-high-prior-achievement-A", "CellSuccessRate": 0.85, "TotalCasesForTreatment": 2000, "TreatmentE</t>
  </si>
  <si>
    <t xml:space="preserve">xposureFraction": 0.5 },
      { "CaseCellId": "teacher-vam-prior-achievement-high-prior-achievement-B", "Study": "teacher-vam-prior-achievement", "StratumLabel": "high-prior-achievement", "TreatmentLabel": "B", "Successes": 820, "Cases": 1000, "Name": "teacher-vam-prior-achievement-high-prior-achievement-B", "CellSuccessRate": 0.82, "TotalCasesForTreatment": 2000, "TreatmentExposureFraction": 0.5 },
      { "CaseCellId": "teacher-vam-prior-achievement-low-prior-achievement-A", "Study": "teacher-vam-prior-achievement", "StratumLabel": "low-prior-achievement", "TreatmentLabel": "A", "Successes": 520, "Cases": 1000, "Name": "teacher-vam-prior-achievement-low-prior-achievement-A", "CellSuccessRate": 0.52, "TotalCasesForTreatment": 2000, "TreatmentExposureFraction": 0.5 },
      { "CaseCellId": "teacher-vam-prior-achievement-low-prior-achievement-B", "Study": "teacher-vam-prior-achievement", "StratumLabel": "low-prior-achievement", "TreatmentLabel": "B", "Successes": 560, "Cases": 1000, "Name": "teacher-vam-prior-achievement-low-prior-achievement-B", "CellSuccessRate": 0.56, "TotalCasesForTreatment": 2000, "TreatmentExposureFraction": 0.5 },
      { "CaseCellId": "naep-state-demographics-high-poverty-states-A", "Study": "naep-state-demographics", "StratumLabel": "high-poverty-states", "TreatmentLabel": "A", "Successes": 280, "Cases": 1000, "Name": "naep-state-demographics-high-poverty-states-A", "CellSuccessRate": 0.28, "TotalCasesForTreatment": 2000, "TreatmentExposureFraction": 0.5 },
      { "CaseCellId": "naep-state-demographics-high-poverty-states-B", "Study": "naep-state-demographics", "StratumLabel": "high-poverty-states", "TreatmentLabel": "B", "Successes": 320, "Cases": 1000, "Name": "naep-state-demographics-high-poverty-states-B", "CellSuccessRate": 0.32, "TotalCasesForTreatment": 2000, "TreatmentExposureFraction": 0.5 },
      { "CaseCellId": "naep-state-demographics-low-poverty-states-A", "Study": "naep-state-demographics", "StratumLabel": "low-poverty-states", "TreatmentLabel": "A", "Successes": 450, "Cases": 1000, "Name": "naep-state-demographics-low-poverty-states-A", "CellSuccessRate": 0.45, "TotalCasesForTreatment": 2000, "TreatmentExposureFraction": 0.5 },
      { "CaseCellId": "naep-state-demographics-low-poverty-states-B", "Study": "naep-state-demographics", "StratumLabel": "low-poverty-states", "TreatmentLabel": "B", "Successes": 420, "Cases": 1000, "Name": "naep-state-demographics-low-poverty-states-B", "CellSuccessRate": 0.42, "TotalCasesForTreatment": 2000, "TreatmentExposureFraction": 0.5 },
      { "CaseCellId": "college-grad-rate-selectivity-well-prepared-intake-A", "Study": "college-grad-rate-selectivity", "StratumLabel": "well-prepared-intake", "TreatmentLabel": "A", "Successes": 920, "Cases": 1000, "Name": "college-grad-rate-selectivity-well-prepared-intake-A", "CellSuccessRate": 0.92, "TotalCasesForTreatment": 2000, "TreatmentExposureFraction": 0.5 },
      { "CaseCellId": "college-grad-rate-selectivity-well-prepared-intake-B", "Study": "college-grad-rate-selectivity", "StratumLabel": "well-prepared-intake", "TreatmentLabel": "B", "Successes": 880, "Cases": 1000, "Name": "college-grad-rate-selectivity-well-prepared-intake-B", "CellSuccessRate": 0.88, "TotalCasesForTreatment": 2000, "TreatmentExposureFraction": 0.5 },
      { "CaseCellId": "college-grad-rate-selectivity-under-prepared-intake-A", "Study": "college-grad-rate-selectivity", "StratumLabel": "under-prepared-intake", "TreatmentLabel": "A", "Successes": 550, "Cases": 1000, "Name": "college-grad-rate-selectivity-under-prepared-intake-A", "CellSuccessRate": 0.55, "TotalCasesForTreatment": 2000, "TreatmentExposureFraction": 0.5 },
      { "CaseCellId": "college-grad-rate-selectivity-under-prepared-intake-B", "Study": "college-grad-rate-selectivity", "StratumLabel": "under-prepared-intake", "TreatmentLabel": "B", "Successes": 620, "Cases": 1000, "Name": "college-grad-rate-selectivity-under-prepared-intake-B", "CellSuccessRate": 0.62, "TotalCasesForTreatment": 2000, "TreatmentExposureFraction": 0.5 },
      { "CaseCellId": "star-class-size-inner-city-schools-A", "Study": "star-class-size", "StratumLabel": "inner-city-schools", "TreatmentLabel": "A", "Successes": 820, "Cases": 1000, "Name": "star-class-size-inner-city-schools-A", "CellSuccessRate": 0.82, "TotalCasesForTreatment": 2000, "TreatmentExposureFraction": 0.5 },
      { "CaseCellId": "star-class-size-inner-city-schools-B", "Study": "star-class-size", "StratumLabel": "inner-city-schools", "TreatmentLabel": "B", "Successes": 800, "Cases": 1000, "Name": "star-class-size-inner-city-schools-B", "CellSuccessRate": 0.8, "TotalCasesForTreatment": 2000, "TreatmentExposureFraction": 0.5 },
      { "CaseCellId": "star-class-size-suburban-schools-A", "Study": "star-class-size", "StratumLabel": "suburban-schools", "TreatmentLabel": "A", "Successes": 910, "Cases": 1000, "Name": "star-class-size-suburban-schools-A", "CellSuccessRate": 0.91, "TotalCasesForTreatment": 2000, "TreatmentExposureFraction": 0.5 },
      { "CaseCellId": "star-class-size-suburban-schools-B", "Study": "star-class-size", "StratumLabel": "suburban-schools", "TreatmentLabel": "B", "Successes": 900, "Cases": 1000, "Name": "star-class-size-suburban-schools-B", "CellSuccessRate": 0.9, "TotalCasesForTreatment": 2000, "TreatmentExposureFraction": 0.5 },
      { "CaseCellId": "nba-shooting-shot-mix-two-point-attempts-A", "Study": "nba-shooting-shot-mix", "StratumLabel": "two-point-attempts", "TreatmentLabel": "A", "Successes": 480, "Cases": 1000, "Name": "nba-shooting-shot-mix-two-point-attempts-A", "CellSuccessRate": 0.48, "TotalCasesForTreatment": 2000, "TreatmentExposureFraction": 0.5 },
      { "CaseCellId": "nba-shooting-shot-mix-two-point-attempts-B", "Study": "nba-shooting-shot-mix", "StratumLabel": "two-point-attempts", "TreatmentLabel": "B", "Successes": 440, "Cases": 1000, "Name": "nba-shooting-shot-mix-two-point-attempts-B", "CellSuccessRate": 0.44, "TotalCasesForTreatment": 1500, "TreatmentExposureFraction": 0.6666666666666666 },
      { "CaseCellId": "nba-shooting-shot-mix-three-point-attempts-A", "Study": "nba-shooting-shot-mix", "StratumLabel": "three-point-attempts", "TreatmentLabel": "A", "Successes": 360, "Cases": 1000, "Name": "nba-shooting-shot-mix-three-point-attempts-A", "CellSuccessRate": 0.36, "TotalCasesForTreatment": 2000, "TreatmentExposureFraction": 0.5 },
      { "CaseCellId": "nba-shooting-shot-mix-three-point-attempts-B", "Study": "nba-shooting-shot-mix", "StratumLabel": "three-point-attempts", "TreatmentLabel": "B", "Successes": 150, "Cases": 500, "Name": "nba-shooting-shot-mix-three-point-attempts-B", "CellSuccessRate": 0.3, "TotalCasesForTreatment": 1500, "TreatmentExposureFraction": 0.3333333333333333 },
      { "CaseCellId": "pitcher-era-ballpark-pitcher-friendly-park-A", "Study": "pitcher-era-ballpark", "StratumLabel": "pitcher-friendly-park", "TreatmentLabel": "A", "Successes": 650, "Cases": 1000, "Name": "pitcher-era-ballpark-pitcher-friendly-park-A", "CellSuccessRate": 0.65, "TotalCasesForTreatment": 2000, "TreatmentExposureFraction": 0.5 },
      { "CaseCellId": "pitcher-era-ballpark-pitcher-friendly-park-B", "Study": "pitcher-era-ballpark", "StratumLabel": "pitcher-friendly-park", "TreatmentLabel": "B", "Successes": 620, "Cases": 1000, "Name": "pitcher-era-ballpark-pitcher-friendly-park-B", "CellSuccessRate": 0.62, "TotalCasesForTreatment": 2000, "TreatmentExposureFraction": 0.5 },
      { "CaseCellId": "pitcher-era-ballpark-hitter-friendly-park-A", "Study": "pitcher-era-ballpark", "StratumLabel": "hitter-friendly-park", "TreatmentLabel": "A", "Successes": 520, "Cases": 1000, "Name": "pitcher-era-ballpark-hitter-friendly-park-A", "CellSuccessRate": 0.52, "TotalCasesForTreatment": 2000, "TreatmentExposureFraction": 0.5 },
      { "CaseCellId": "pitcher-era-ballpark-hitter-friendly-park-B", "Study": "pitcher-era-ballpark", "StratumLabel": "hitter-friendly-park", "TreatmentLabel": "B", "Successes": 540, "Cases": 1000, "Name": "pitcher-era-ballpark-hitter-friendly-park-B", "CellSuccessRate": 0.54, "TotalCasesForTreatment": 2000, "TreatmentExposureFraction": 0.5 },
      { "CaseCellId": "nfl-completion-depth-short-pass-A", "Study": "nfl-completion-depth", "StratumLabel": "short-pass", "TreatmentLabel": "A", "Successes": 720, "Cases": 800, "Name": "nfl-completion-depth-short-pass-A", "CellSuccessRate": 0.9, "TotalCasesForTreatment": 1000, "TreatmentExposureFraction": 0.8 },
      { "CaseCellId": "nfl-completion-depth-short-pass-B", "Study": "nfl-completion-depth", "StratumLabel": "short-pass", "TreatmentLabel": "B", "Successes": 700, "Cases": 800, "Name": "nfl-completion-depth-short-pass-B", "CellSuccessRate": 0.875, "TotalCasesForTreatment": 1000, "TreatmentExposureFraction": 0.8 },
      { "CaseCellId": "nfl-completion-depth-deep-pass-A", "Study": "nfl-completion-depth", "StratumLabel": "deep-pass", "TreatmentLabel": "A", "Successes": 90, "Cases": 200, "Name": "nfl-completion-depth-deep-pass-A", "CellSuccessRate": 0.45, "TotalCasesForTreatment": 1000, "TreatmentExposureFraction": 0.2 },
      { "CaseCellId": "nfl-completion-depth-deep-pass-B", "Study": "nfl-completion-depth", "StratumLabel": "deep-pass", "TreatmentLabel": "B", "Successes": 110, "Cases": 200, "Name": "nfl-completion-depth-deep-pass-B", "CellSuccessRate": 0.55, "TotalCasesForTreatment": 1000, "TreatmentExposureFraction": 0.2 },
      { "CaseCellId": "field-goal-distance-short-fg-A", "Study": "field-goal-distance", "StratumLabel": "short-fg", "TreatmentLabel": "A", "Successes": 950, "Cases": 1000, "Name": "field-goal-distance-short-fg-A", "CellSuccessRate": 0.95, "TotalCasesForTreatment": 2000, "TreatmentExposureFraction": 0.5 },
      { "CaseCellId": "field-goal-distance-short-fg-B", "Study": "field-goal-distance", "StratumLabel": "short-fg", "TreatmentLabel": "B", "Successes": 940, "Cases": 1000, "Name": "field-goal-distance-short-fg-B", "CellSuccessRate": 0.94, "TotalCasesForTreatment": 2000, "TreatmentExposureFraction": 0.5 },
      { "CaseCellId": "field-goal-distance-long-fg-A", "Study": "field-goal-distance", "StratumLabel": "long-fg", "TreatmentLabel": "A", "Successes": 600, "Cases": 1000, "Name": "field-goal-distance-long-fg-A", "CellSuccessRate": 0.6, "TotalCasesForTreatment": 2000, "TreatmentExposureFraction": 0.5 },
      { "CaseCellId": "field-goal-distance-long-fg-B", "Study": "field-goal-distance", "StratumLabel": "long-fg", "TreatmentLabel": "B", "Successes": 650, "Cases": 1000, "Name": "field-goal-distance-long-fg-B", "CellSuccessRate": 0.65, "TotalCasesForTreatment": 2000, "TreatmentExposureFraction": 0.5 },
      { "CaseCellId": "golf-scoring-course-easy-course-A", "Study": "golf-scoring-course", "StratumLabel": "easy-course", "TreatmentLabel": "A", "Successes": 650, "Cases": 1000, "Name": "golf-scoring-course-easy-course-A", "CellSuccessRate": 0.65, "TotalCasesForTreatment": 2000, "TreatmentExposureFraction": 0.5 },
      { "CaseCellId": "golf-scoring-course-easy-course-B", "Study": "golf-scoring-course", "StratumLabel": "easy-course", "TreatmentLabel": "B", "Successes": 620, "Cases": 1000, "Name": "golf-scoring-course-easy-course-B", "CellSuccessRate": 0.62, "TotalCasesForTreatment": 2000, "TreatmentExposureFraction": 0.5 },
      { "CaseCellId": "golf-scoring-course-difficult-course-A", "Study": "golf-scoring-course", "StratumLabel": "difficult-course", "TreatmentLabel": "A", "Successes": 350, "Cases": 1000, "Name": "golf-scoring-course-difficult-course-A", "CellSuccessRate": 0.35, "TotalCasesForTreatment": 2000, "TreatmentExposureFraction": 0.5 },
      { "CaseCellId": "golf-scoring-course-difficult-course-B", "Study": "golf-scoring-course", "StratumLabel": "difficult-course", "TreatmentLabel": "B", "Successes": 380, "Cases": 1000, "Name": "golf-scoring-course-difficult-course-B", "CellSuccessRate": 0.38, "TotalCasesForTreatment": 2000, "TreatmentExposureFraction": 0.5 },
      { "CaseCellId": "minimum-wage-region-tight-labor-market-A", "Study": "minimum-wage-region", "StratumLabel": "tight-labor-market", "TreatmentLabel": "A", "Successes": 920, "Cases": 1000, "Name": "minimum-wage-region-tight-labor-market-A", "CellSuccessRate": 0.92, "TotalCasesForTreatment": 2000, "TreatmentExposureFraction": 0.5 },
      { "CaseCellId": "minimum-wage-region-tight-labor-market-B", "Study": "minimum-wage-region", "StratumLabel": "tight-labor-market", "TreatmentLabel": "B", "Successes": 910, "Cases": 1000, "Name": "minimum-wage-region-tight-labor-market-B", "CellSuccessRate": 0.91, "TotalCasesForTreatment": 2000, "TreatmentExposureFraction": 0.5 },
      { "CaseCellId": "minimum-wage-region-slack-labor-market-A", "Study": "minimum-wage-region", "StratumLabel": "slack-labor-market", "TreatmentLabel": "A", "Successes": 780, "Cases": 1000, "Name": "minimum-wage-region-slack-labor-market-A", "CellSuccessRate": 0.78, "TotalCasesForTreatment": 2000, "TreatmentExposureFraction": 0.5 },
      { "CaseCellId": "minimum-wage-region-slack-labor-market-B", "Study": "minimum-wage-region", "StratumLabel": "slack-labor-market", "TreatmentLabel": "B", "Successes": 820, "Cases": 1000, "Name": "minimum-wage-region-slack-labor-market-B", "CellSuccessRate": 0.82, "TotalCasesForTreatment": 2000, "TreatmentExposureFraction": 0.5 },
      { "CaseCellId": "returns-to-education-field-stem-fields-A", "Study": "returns-to-education-field", "StratumLabel": "stem-fields", "TreatmentLabel": "A", "Successes": 720, "Cases": 1000, "Name": "returns-to-education-field-stem-fields-A", "CellSuccessRate": 0.72, "TotalCasesForTreatment": 2000, "TreatmentExposureFraction": 0.5 },
      { "CaseCellId": "returns-to-education-field-stem-fields-B", "Study": "returns-to-education-field", "StratumLabel": "stem-fields", "TreatmentLabel": "B", "Successes": 350, "Cases": 1000, "Name": "returns-to-education-field-stem-fields-B", "CellSuccessRate": 0.35, "TotalCasesForTreatment": 2000, "TreatmentExposureFraction": 0.5 },
      { "CaseCellId": "returns-to-education-field-non-stem-fields-A", "Study": "returns-to-education-field", "StratumLabel": "non-stem-fields", "TreatmentLabel": "A", "Successes": 520, "Cases": 1000, "Name": "returns-to-education-field-non-stem-fields-A", "CellSuccessRate": 0.52, "TotalCasesForTreatment": 2000, "TreatmentExposureFraction": 0.5 },
      { "CaseCellId": "returns-to-education-field-non-stem-fields-B", "Study": "returns-to-education-field", "StratumLabel": "non-stem-fields", "TreatmentLabel": "B", "Successes": 380, "Cases": 1000, "Name": "returns-to-education-field-non-stem-fields-B", "CellSuccessRate": 0.38, "TotalCasesForTreatment": 2000, "TreatmentExposureFraction": 0.5 },
      { "CaseCellId": "unemployment-education-cycle-college-educated-share-A", "Study": "unemployment-education-cycle", "StratumLabel": "college-educated-share", "TreatmentLabel": "A", "Successes": 950, "Cases": 1000, "Name": "unemployment-education-cycle-college-educated-share-A", "CellSuccessRate": 0.95, "TotalCasesForTreatment": 2000, "TreatmentExposureFraction": 0.5 },
      { "CaseCellId": "unemployment-education-cycle-college-educated-share-B", "Study": "unemployment-education-cycle", "StratumLabel": "college-educated-share", "TreatmentLabel": "B", "Successes": 940, "Cases": 1000, "Name": "unemployment-education-cycle-college-educated-share-B", "CellSuccessRate": 0.94, "TotalCasesForTreatment": 2000, "TreatmentExposureFraction": 0.5 },
      { "CaseCellId": "unemployment-education-cycle-non-college-share-A", "Study": "unemployment-education-cycle", "StratumLabel": "non-college-share", "TreatmentLabel": "A", "Successes": 820, "Cases": 1000, "Name": "unemployment-education-cycle-non-college-share-A", "CellSuccessRate": 0.82, "TotalCasesForTreatment": 2000, "TreatmentExposureFraction": 0.5 },
      { "CaseCellId": "unemployment-education-cycle-non-college-share-B", "Study": "unemployment-education-cycle", "StratumLabel": "non-college-share", "TreatmentLabel": "B", "Successes": 850, "Cases": 1000, "Name": "unemployment-education-cycle-non-college-share-B", "CellSuccessRate": 0.85, "TotalCasesForTreatment": 2000, "TreatmentExposureFraction": 0.5 },
      { "CaseCellId": "costa-rica-us-life-expectancy-under-65-A", "Study": "costa-rica-us-life-expectancy", "StratumLabel": "under-65", "TreatmentLabel": "A", "Successes": 990, "Cases": 1000, "Name": "costa-rica-us-life-expectancy-under-65-A", "CellSuccessRate": 0.99, "TotalCasesForTreatment": 2000, "TreatmentExposureFraction": 0.5 },
      { "CaseCellId": "costa-rica-us-life-expectancy-under-65-B", "Study": "costa-rica-us-life-expectancy", "StratumLabel": "under-65", "TreatmentLabel": "B", "Successes": 985, "Cases": 1000, "Name": "costa-rica-us-life-expectancy-under-65-B", "CellSuccessRate": 0.985, "TotalCasesForTreatment": 2000, "TreatmentExposureFraction": 0.5 },
      { "CaseCellId": "costa-rica-us-life-expectancy-65-plus-A", "Study": "costa-rica-us-life-expectancy", "StratumLabel": "65-plus", "TreatmentLabel": "A", "Successes": 850, "Cases": 1000, "Name": "costa-rica-us-life-expectancy-65-plus-A", "CellSuccessRate": 0.85, "TotalCasesForTreatment": 2000, "TreatmentExposureFraction": 0.5 },
      { "CaseCellId": "costa-rica-us-life-expectancy-65-plus-B", "Study": "costa-rica-us-life-expectancy", "StratumLabel": "65-plus", "TreatmentLabel": "B", "Successes": 900, "Cases": 1000, "Name": "costa-rica-us-life-expectancy-65-plus-B", "CellSuccessRate": 0.9, "TotalCasesForTreatment": 2000, "TreatmentExposureFraction": 0.5 },
      { "CaseCellId": "fertility-income-country-high-income-countries-A", "Study": "fertility-income-country", "StratumLabel": "high-income-countries", "TreatmentLabel": "A", "Successes": 450, "Cases": 1000, "Name": "fertility-income-country-high-income-countries-A", "CellSuccessRate": 0.45, "TotalCasesForTreatment": 2000, "TreatmentExposureFraction": 0.5 },
      { "CaseCellId": "fertility-income-country-high-income-countries-B", "Study": "fertility-income-country", "StratumLabel": "high-income-countries", "TreatmentLabel": "B", "Successes": 520, "Cases": 1000, "Name": "fertility-income-country-high-income-countries-B", "CellSuccessRate": 0.52, "TotalCasesForTreatment": 2000, "TreatmentExposureFraction": 0.5 },
      { "CaseCellId": "fertility-income-country-middle-income-countries-A", "Study": "fertility-income-country", "StratumLabel": "middle-income-countries", "TreatmentLabel": "A", "Successes": 380, "Cases": 1000, "Name": "fertility-income-country-middle-income-countries-A", "CellSuccessRate": 0.38, "TotalCasesForTreatment": 2000, "TreatmentExposureFraction": 0.5 },
      { "CaseCellId": "fertility-income-country-middle-income-countries-B", "Study": "fertility-income-country", "StratumLabel": "middle-income-countries", "TreatmentLabel": "B", "Successes": 350, "Cases": 1000, "Name": "fertility-income-country-middle-income-countries-B", "CellSuccessRate": 0.35, "TotalCasesForTreatment": 2000, "TreatmentExposureFraction": 0.5 },
      { "CaseCellId": "religiosity-happiness-country-high-gdp-countries-A", "Study": "religiosity-happiness-country", "StratumLabel": "high-gdp-countries", "TreatmentLabel": "A", "Successes": 750, "Cases": 1000, "Name": "religiosity-happiness-country-high-gdp-countries-A", "CellSuccessRate": 0.75, "TotalCasesForTreatment": 2000, "TreatmentExposureFraction": 0.5 },
      { "CaseCellId": "religiosity-happiness-country-high-gdp-countries-B", "Study": "religiosity-happiness-country", "StratumLabel": "high-gdp-countries", "TreatmentLabel": "B", "Successes": 780, "Cases": 1000, "Name": "religiosity-happiness-country-high-gdp-countries-B", "CellSuccessRate": 0.78, "TotalCasesForTreatment": 2000, "TreatmentExposureFraction": 0.5 },
      { "CaseCellId": "religiosity-happiness-country-lower-gdp-countries-A", "Study": "religiosity-happiness-country", "StratumLabel": "lower-gdp-countries", "TreatmentLabel": "A", "Successes": 620, "Cases": 1000, "Name": "religiosity-happiness-country-lower-gdp-countries-A", "CellSuccessRate": 0.62, "TotalCasesForTreatment": 2000, "TreatmentExposureFraction": 0.5 },
      { "CaseCellId": "religiosity-happiness-country-lower-gdp-countries-B", "Study": "religiosity-happiness-country", "StratumLabel": "lower-gdp-countries", "TreatmentLabel": "B", "Successes": 580, "Cases": 1000, "Name": "religiosity-happiness-country-lower-gdp-countries-B", "CellSuccessRate": 0.58, "TotalCasesForTreatment": 2000, "TreatmentExposureFraction": 0.5 },
      { "CaseCellId": "voter-turnout-education-state-high-education-states-A", "Study": "voter-turnout-education-state", "StratumLabel": "high-education-states", "TreatmentLabel": "A", "Successes": 780, "Cases": 1000, "Name": "voter-turnout-education-state-high-education-states-A", "CellSuccessRate": 0.78, "TotalCasesForTreatment": 2000, "TreatmentExposureFraction": 0.5 },
      { "CaseCellId": "voter-turnout-education-state-high-education-states-B", "Study": "voter-turnout-education-state", "StratumLabel": "high-education-states", "TreatmentLabel": "B", "Successes": 520, "Cases": 1000, "Name": "voter-turnout-education-state-high-education-states-B", "CellSuccessRate": 0.52, "TotalCasesForTreatment": 2000, "TreatmentExposureFraction": 0.5 },
      { "CaseCellId": "voter-turnout-education-state-lower-education-states-A", "Study": "voter-turnout-education-state", "StratumLabel": "lower-education-states", "TreatmentLabel": "A", "Successes": 650, "Cases": 1000, "Name": "voter-turnout-education-state-lower-education-states-A", "CellSuccessRate": 0.65, "TotalCasesForTreatment": 2000, "TreatmentExposureFraction": 0.5 },
      { "CaseCellId": "voter-turnout-education-state-lower-education-states-B", "Study": "voter-turnout-education-state", "StratumLabel": "lower-education-states", "TreatmentLabel": "B", "Successes": 480, "Cases": 1000, "Name": "voter-turnout-education-state-lower-education-states-B", "CellSuccessRate": 0.48, "TotalCasesForTreatment": 2000, "TreatmentExposureFraction": 0.5 },
      { "CaseCellId": "ad-ctr-platform-mix-mobile-traffic-A", "Study": "ad-ctr-platform-mix", "StratumLabel": "mobile-traffic", "TreatmentLabel": "A", "Successes": 80, "Cases": 1000, "Name": "ad-ctr-platform-mix-mobile-traffic-A", "CellSuccessRate": 0.08, "TotalCasesForTreatment": 2000, "TreatmentExposureFraction": 0.5 },
      { "CaseCellId": "ad-ctr-platform-mix-mobile-traffic-B", "Study": "ad-ctr-platform-mix", "StratumLabel": "mobile-traffic", "TreatmentLabel": "B", "Successes": 75, "Cases": 1000, "Name": "ad-ctr-platform-mix-mobile-traffic-B", "CellSuccessRate": 0.075, "TotalCasesForTreatment": 2000, "TreatmentExposureFraction": 0.5 },
      { "CaseCellId": "ad-ctr-platform-mix-desktop-traffic-A", "Study": "ad-ctr-platform-mix", "StratumLabel": "desktop-traffic", "TreatmentLabel": "A", "Successes": 45, "Cases": 1000, "Name": "ad-ctr-platform-mix-desktop-traffic-A", "CellSuccessRate": 0.045, "TotalCasesForTreatment": 2000, "TreatmentExposureFraction": 0.5 },
      { "CaseCellId": "ad-ctr-platform-mix-desktop-traffic-B", "Study": "ad-ctr-platform-mix", "StratumLabel": "desktop-traffic", "TreatmentLabel": "B", "Successes": 50, "Cases": 1000, "Name": "ad-ctr-platform-mix-desktop-traffic-B", "CellSuccessRate": 0.05, "TotalCasesForTreatment": 2000, "TreatmentExposureFraction": 0.5 }
    ]
  },
  "StratumSummaries": {
    "Description": "Table: StratumSummaries — one row per (study, stratum, treatment). Computes the success rate WITHIN each stratum for each treatment. This is the stratified view that contradicts the pooled conclusion when a Simpson's Paradox reversal is present. Each row belongs to both a Stratum and a Treatment in the same Study.",
    "schema": [
      {
        "name": "StratumSummaryId",
        "datatype": "string",
        "type": "raw",
        "nullable": false,
        "Description": "Unique slug (e.g. kidney-1986-small-A)."
      },
      {
        "name": "Name",
        "datatype": "string",
        "type": "calculated",
        "nullable": false,
        "Description": "Display label.",
        "formula": "={{StratumSummaryId}}"
      },
      {
        "name": "Study",
        "datatype": "string",
        "type": "relationship",
        "nullable": false,
        "Description": "FK to the parent Study.",
        "RelatedTo": "Studies"
      },
      {
        "name": "StratumLabel",
        "datatype": "string",
        "type": "raw",
        "nullable": false,
        "Description": "Which stratum (matches Strata.StratumLabel)."
      },
      {
        "name": "TreatmentLabel",
        "datatype": "string",
        "type": "raw",
        "nullable": false,
        "Description": "Which treatment (matches Treatments.TreatmentLabel)."
      },
      {
        "name": "StratumSuccesses",
        "datatype": "integer",
        "type": "aggregation",
        "nullable": true,
        "Description": "Total successes in this (stratum, treatment) cell for this study.",
        "formula": "=SUMIFS(CaseCells!{{Successes}}, CaseCells!{{Study}}, {{Study}}, CaseCells!{{StratumLabel}}, {{StratumLabel}}, CaseCells!{{TreatmentLabel}}, {{TreatmentLabel}})"
      },
      {
        "name": "StratumCases",
        "datatype": "integer",
        "type": "aggregation",
        "nullable": true,
        "Description": "Total cases in this (stratum, treatment) cell for this study.",
        "formula": "=SUMIFS(CaseCells!{{Cases}}, CaseCells!{{Study}}, {{Study}}, CaseCells!{{StratumLabel}}, {{StratumLabel}}, CaseCells!{{TreatmentLabel}}, {{TreatmentLabel}})"
      },
      {
        "name": "StratumSuccessRate",
        "datatype": "number",
        "type": "calculated",
        "nullable": true,
        "Description": "Success rate within this stratum for this treatment: StratumSuccesses / StratumCases. The true per-stratum picture.",
        "formula": "=IF({{StratumCases}} = 0, \"\", {{StratumSuccesses}} / {{StratumCases}})"
      },
      {
        "name": "StratumSuccessesA",
        "datatype": "integer",
        "type": "aggregation",
        "nullable": true,
        "Description": "Successes for treatment A in this (study, stratum) — used to determine the per-stratum winner.",
        "formula": "=SUMIFS(CaseCells!{{Successes}}, CaseCells!{{Study}}, {{Study}}, CaseCells!{{StratumLabel}}, {{StratumLabel}}, CaseCells!{{TreatmentLabel}}, \"A\")"
      },
      {
        "name": "StratumCasesA",
        "datatype": "integer",
        "type": "aggregation",
        "nullable": true,
        "Description": "Cases for treatment A in this (study, stratum).",
        "formula": "=SUMIFS(CaseCells!{{Cases}}, CaseCells!{{Study}}, {{Study}}, CaseCells!{{StratumLabel}}, {{StratumLabel}}, CaseCells!{{TreatmentLabel}}, \"A\")"
      },
      {
        "name": "StratumRateA",
        "datatype": "number",
        "type": "calculated",
        "nullable": true,
        "Description": "Success rate for treatment A in this stratum.",
        "formula": "=IF({{StratumCasesA}} = 0, \"\", {{StratumSuccessesA}} / {{StratumCasesA}})"
      },
      {
        "name": "StratumSuccessesB",
        "datatype": "integer",
        "type": "aggregation",
        "nullable": true,
        "Description": "Successes for treatment B in this (study, stratum).",
        "formula": "=SUMIFS(CaseCells!{{Successes}}, CaseCells!{{Study}}, {{Study}}, CaseCells!{{StratumLabel}}, {{StratumLabel}}, CaseCells!{{TreatmentLabel}}, \"B\")"
      },
      {
        "name": "StratumCasesB",
        "datatype": "integer",
        "type": "aggregation",
        "nullable": true,
        "Description": "Cases for treatment B in this (study, stratum).",
        "formula": "=SUMIFS(CaseCells!{{Cases}}, CaseCells!{{Study}}, {{Study}}, CaseCells!{{StratumLabel}}, {{StratumLabel}}, CaseCells!{{TreatmentLabel}}, \"B\")"
      },
      {
        "name": "StratumRateB",
        "datatype": "number",
        "type": "calculated",
        "nullable": true,
        "Description": "Success rate for treatment B in this stratum.",
        "formula": "=IF({{StratumCasesB}} = 0, \"\", {{StratumSuccessesB}} / {{StratumCasesB}})"
      },
      {
        "name": "StratumWinner",
        "datatype": "string",
        "type": "calculated",
        "nullable": true,
        "Description": "Which treatment wins in this stratum: 'A' if StratumRateA &gt; StratumRateB, else 'B'. Used by TreatmentRankings to detect paradox.",
        "formula": "=IF({{StratumRateA}} &gt; {{StratumRateB}}, \"A\", \"B\")"
      },
      {
        "name": "StudyTotalCases",
        "datatype": "integer",
        "type": "aggregation",
        "nullable": true,
        "Description": "Total cases across ALL strata and ALL treatments in this study. The denominator for StratumFraction.",
        "formula": "=SUMIFS(CaseCells!{{Cases}}, CaseCells!{{Study}}, {{Study}})"
      },
      {
        "name": "StratumTotalCases",
        "datatype": "integer",
        "type": "aggregation",
        "nullable": true,
        "Description": "Total cases in this stratum across both treatments (A + B combined). Numerator for StratumFraction.",
        "formula": "=SUMIFS(CaseCells!{{Cases}}, CaseCells!{{Study}}, {{Study}}, CaseCells!{{StratumLabel}}, {{StratumLabel}})"
      },
      {
        "name": "StratumFraction",
        "datatype": "number",
        "type": "calculated",
        "nullable": true,
        "Description": "Fraction of the study's total cases that fall in this stratum: StratumTotalCases / StudyTotalCases. The weight the confounder assigns to each stratum. A large StratumFraction on a low-success stratum pulls the pooled rate down; when that stratum is also over-allocated to one treatment, it creates the reversal.",
        "formula": "=IF({{StudyTotalCases}} = 0, \"\", {{StratumTotalCases}} / {{StudyTotalCases}})"
      },
      {
        "name": "WeightedStratumRate",
        "datatype": "number",
        "type": "calculated",
        "nullable": true,
        "Description": "StratumFraction × StratumSuccessRate. The contribution of this (stratum, treatment) row to the study-level pooled rate. Summing WeightedStratumRate across all strata for a given treatment reconstructs that treatment's pooled rate from stratum weights — witnessing the mechanism equation.",
        "formula": "=IF({{StratumFraction}} = \"\", \"\", {{StratumFraction}} * {{StratumSuccessRate}})"
      },
      {
        "name": "TreatmentACasesHere",
        "datatype": "integer",
        "type": "aggregation",
        "nullable": true,
        "Description": "Cases for treatment A in this stratum — used to compute TreatmentA's allocation fraction in this stratum.",
        "formula": "=SUMIFS(CaseCells!{{Cases}}, CaseCells!{{Study}}, {{Study}}, CaseCells!{{StratumLabel}}, {{StratumLabel}}, CaseCells!{{TreatmentLabel}}, \"A\")"
      },
      {
        "name": "TreatmentBCasesHere",
        "datatype": "integer",
        "type": "aggregation",
        "nullable": true,
        "Description": "Cases for treatment B in this stratum — used to compute TreatmentB's allocation fraction in this stratum.",
        "formula": "=SUMIFS(CaseCells!{{Cases}}, CaseCells!{{Study}}, {{Study}}, CaseCells!{{StratumLabel}}, {{StratumLabel}}, CaseCells!{{TreatmentLabel}}, \"B\")"
      },
      {
        "name": "TreatmentATotalCases",
        "datatype": "integer",
        "type": "aggregation",
        "nullable": true,
        "Description": "Total cases for treatment A across all strata in this study — denominator for AllocationFractionA.",
        "formula": "=SUMIFS(CaseCells!{{Cases}}, CaseCells!{{Study}}, {{Study}}, CaseCells!{{TreatmentLabel}}, \"A\")"
      },
      {
        "name": "TreatmentBTotalCases",
        "datatype": "integer",
        "type": "aggregation",
        "nullable": true,
        "Description": "Total cases for treatment B across all strata in this study — denominator for AllocationFractionB.",
        "formula": "=SUMIFS(CaseCells!{{Cases}}, CaseCells!{{Study}}, {{Study}}, CaseCells!{{TreatmentLabel}}, \"B\")"
      },
      {
        "name": "AllocationFractionA",
        "datatype": "number",
        "type": "calculated",
        "nullable": true,
        "Description": "Fraction of treatment A's total cases that land in this stratum: TreatmentACasesHere / TreatmentATotalCases. Equivalent to TreatmentExposureFraction for A.",
        "formula": "=IF({{TreatmentATotalCases}} = 0, \"\", {{TreatmentACasesHere}} / {{TreatmentATotalCases}})"
      },
      {
        "name": "AllocationFractionB",
        "datatype": "number",
        "type": "calculated",
        "nullable": true,
        "Description": "Fraction of treatment B's total cases that land in this stratum: TreatmentBCasesHere / TreatmentBTotalCases.",
        "formula": "=IF({{TreatmentBTotalCases}} = 0, \"\", {{TreatmentBCasesHere}} / {{TreatmentBTotalCases}})"
      },
      {
        "name": "AllocationBias",
</t>
  </si>
  <si>
    <t xml:space="preserve">        "datatype": "number",
        "type": "calculated",
        "nullable": true,
        "Description": "AllocationFractionA minus AllocationFractionB: how much more of treatment A (relative to B) is concentrated in this stratum. Positive = A is over-allocated here; negative = B is over-allocated here. When AllocationBias is large and negative in a low-success stratum, treatment A is under-represented in the hard cases — making A look worse in the pooled view than it is in any stratum. This is the confounder's fingerprint as a signed number.",
        "formula": "=IF({{AllocationFractionA}} = \"\", \"\", {{AllocationFractionA}} - {{AllocationFractionB}})"
      },
      {
        "name": "StratumGap",
        "datatype": "number",
        "type": "calculated",
        "nullable": true,
        "Description": "Signed rate difference within this stratum: StratumRateA minus StratumRateB. Positive = A wins here; negative = B wins here; zero = tied. When every stratum has StratumGap &gt; 0 but the pooled gap is negative, the contradiction IS Simpson's Paradox made arithmetically visible in one column. Multiply StratumGap × StratumFraction and sum across strata to get the equal-weight pooled gap (the signal allocation would produce without confounding).",
        "formula": "=IF({{StratumRateA}} = \"\", \"\", {{StratumRateA}} - {{StratumRateB}})"
      },
      {
        "name": "WeightedStratumGap",
        "datatype": "number",
        "type": "calculated",
        "nullable": true,
        "Description": "StratumGap × StratumFraction: the contribution of this stratum's treatment-rate difference to the equal-weight pooled gap. Summing WeightedStratumGap across all TreatmentA rows for a study gives WeightedStratumGapSum — the pooled gap the study would show under balanced allocation. This is the per-stratum building block of the sign-flip test.",
        "formula": "=IF({{StratumGap}} = \"\", \"\", {{StratumGap}} * {{StratumFraction}})"
      }
    ],
    "data": [
      { "StratumSummaryId": "kidney-1986-small-A", "Study": "kidney-1986", "StratumLabel": "small", "TreatmentLabel": "A", "Name": "kidney-1986-small-A", "StratumSuccesses": 81, "StratumCases": 87, "StratumSuccessRate": 0.9310344827586207, "StratumSuccessesA": 81, "StratumCasesA": 87, "StratumRateA": 0.9310344827586207, "StratumSuccessesB": 234, "StratumCasesB": 270, "StratumRateB": 0.8666666666666667, "StratumWinner": "A", "StudyTotalCases": 700, "StratumTotalCases": 357, "StratumFraction": 0.51, "WeightedStratumRate": 0.4748275862068966, "TreatmentACasesHere": 87, "TreatmentBCasesHere": 270, "TreatmentATotalCases": 350, "TreatmentBTotalCases": 350, "AllocationFractionA": 0.24857142857142858, "AllocationFractionB": 0.7714285714285715, "AllocationBias": -0.5228571428571429, "StratumGap": 0.06436781609195402, "WeightedStratumGap": 0.032827586206896554 },
      { "StratumSummaryId": "kidney-1986-small-B", "Study": "kidney-1986", "StratumLabel": "small", "TreatmentLabel": "B", "Name": "kidney-1986-small-B", "StratumSuccesses": 234, "StratumCases": 270, "StratumSuccessRate": 0.8666666666666667, "StratumSuccessesA": 81, "StratumCasesA": 87, "StratumRateA": 0.9310344827586207, "StratumSuccessesB": 234, "StratumCasesB": 270, "StratumRateB": 0.8666666666666667, "StratumWinner": "A", "StudyTotalCases": 700, "StratumTotalCases": 357, "StratumFraction": 0.51, "WeightedStratumRate": 0.442, "TreatmentACasesHere": 87, "TreatmentBCasesHere": 270, "TreatmentATotalCases": 350, "TreatmentBTotalCases": 350, "AllocationFractionA": 0.24857142857142858, "AllocationFractionB": 0.7714285714285715, "AllocationBias": -0.5228571428571429, "StratumGap": 0.06436781609195402, "WeightedStratumGap": 0.032827586206896554 },
      { "StratumSummaryId": "kidney-1986-large-A", "Study": "kidney-1986", "StratumLabel": "large", "TreatmentLabel": "A", "Name": "kidney-1986-large-A", "StratumSuccesses": 192, "StratumCases": 263, "StratumSuccessRate": 0.7300380228136882, "StratumSuccessesA": 192, "StratumCasesA": 263, "StratumRateA": 0.7300380228136882, "StratumSuccessesB": 55, "StratumCasesB": 80, "StratumRateB": 0.6875, "StratumWinner": "A", "StudyTotalCases": 700, "StratumTotalCases": 343, "StratumFraction": 0.49, "WeightedStratumRate": 0.3577186311787072, "TreatmentACasesHere": 263, "TreatmentBCasesHere": 80, "TreatmentATotalCases": 350, "TreatmentBTotalCases": 350, "AllocationFractionA": 0.7514285714285714, "AllocationFractionB": 0.22857142857142856, "AllocationBias": 0.5228571428571429, "StratumGap": 0.042538022813688216, "WeightedStratumGap": 0.020843631178707224 },
      { "StratumSummaryId": "kidney-1986-large-B", "Study": "kidney-1986", "StratumLabel": "large", "TreatmentLabel": "B", "Name": "kidney-1986-large-B", "StratumSuccesses": 55, "StratumCases": 80, "StratumSuccessRate": 0.6875, "StratumSuccessesA": 192, "StratumCasesA": 263, "StratumRateA": 0.7300380228136882, "StratumSuccessesB": 55, "StratumCasesB": 80, "StratumRateB": 0.6875, "StratumWinner": "A", "StudyTotalCases": 700, "StratumTotalCases": 343, "StratumFraction": 0.49, "WeightedStratumRate": 0.336875, "TreatmentACasesHere": 263, "TreatmentBCasesHere": 80, "TreatmentATotalCases": 350, "TreatmentBTotalCases": 350, "AllocationFractionA": 0.7514285714285714, "AllocationFractionB": 0.22857142857142856, "AllocationBias": 0.5228571428571429, "StratumGap": 0.042538022813688216, "WeightedStratumGap": 0.020843631178707224 },
      { "StratumSummaryId": "kidney-balanced-small-A", "Study": "kidney-balanced", "StratumLabel": "small", "TreatmentLabel": "A", "Name": "kidney-balanced-small-A", "StratumSuccesses": 163, "StratumCases": 175, "StratumSuccessRate": 0.9314285714285714, "StratumSuccessesA": 163, "StratumCasesA": 175, "StratumRateA": 0.9314285714285714, "StratumSuccessesB": 152, "StratumCasesB": 175, "StratumRateB": 0.8685714285714285, "StratumWinner": "A", "StudyTotalCases": 700, "StratumTotalCases": 350, "StratumFraction": 0.5, "WeightedStratumRate": 0.4657142857142857, "TreatmentACasesHere": 175, "TreatmentBCasesHere": 175, "TreatmentATotalCases": 350, "TreatmentBTotalCases": 350, "AllocationFractionA": 0.5, "AllocationFractionB": 0.5, "AllocationBias": 0.0, "StratumGap": 0.06285714285714286, "WeightedStratumGap": 0.03142857142857143 },
      { "StratumSummaryId": "kidney-balanced-small-B", "Study": "kidney-balanced", "StratumLabel": "small", "TreatmentLabel": "B", "Name": "kidney-balanced-small-B", "StratumSuccesses": 152, "StratumCases": 175, "StratumSuccessRate": 0.8685714285714285, "StratumSuccessesA": 163, "StratumCasesA": 175, "StratumRateA": 0.9314285714285714, "StratumSuccessesB": 152, "StratumCasesB": 175, "StratumRateB": 0.8685714285714285, "StratumWinner": "A", "StudyTotalCases": 700, "StratumTotalCases": 350, "StratumFraction": 0.5, "WeightedStratumRate": 0.4342857142857143, "TreatmentACasesHere": 175, "TreatmentBCasesHere": 175, "TreatmentATotalCases": 350, "TreatmentBTotalCases": 350, "AllocationFractionA": 0.5, "AllocationFractionB": 0.5, "AllocationBias": 0.0, "StratumGap": 0.06285714285714286, "WeightedStratumGap": 0.03142857142857143 },
      { "StratumSummaryId": "kidney-balanced-large-A", "Study": "kidney-balanced", "StratumLabel": "large", "TreatmentLabel": "A", "Name": "kidney-balanced-large-A", "StratumSuccesses": 128, "StratumCases": 175, "StratumSuccessRate": 0.7314285714285714, "StratumSuccessesA": 128, "StratumCasesA": 175, "StratumRateA": 0.7314285714285714, "StratumSuccessesB": 120, "StratumCasesB": 175, "StratumRateB": 0.6857142857142857, "StratumWinner": "A", "StudyTotalCases": 700, "StratumTotalCases": 350, "StratumFraction": 0.5, "WeightedStratumRate": 0.3657142857142857, "TreatmentACasesHere": 175, "TreatmentBCasesHere": 175, "TreatmentATotalCases": 350, "TreatmentBTotalCases": 350, "AllocationFractionA": 0.5, "AllocationFractionB": 0.5, "AllocationBias": 0.0, "StratumGap": 0.045714285714285714, "WeightedStratumGap": 0.022857142857142857 },
      { "StratumSummaryId": "kidney-balanced-large-B", "Study": "kidney-balanced", "StratumLabel": "large", "TreatmentLabel": "B", "Name": "kidney-balanced-large-B", "StratumSuccesses": 120, "StratumCases": 175, "StratumSuccessRate": 0.6857142857142857, "StratumSuccessesA": 128, "StratumCasesA": 175, "StratumRateA": 0.7314285714285714, "StratumSuccessesB": 120, "StratumCasesB": 175, "StratumRateB": 0.6857142857142857, "StratumWinner": "A", "StudyTotalCases": 700, "StratumTotalCases": 350, "StratumFraction": 0.5, "WeightedStratumRate": 0.34285714285714286, "TreatmentACasesHere": 175, "TreatmentBCasesHere": 175, "TreatmentATotalCases": 350, "TreatmentBTotalCases": 350, "AllocationFractionA": 0.5, "AllocationFractionB": 0.5, "AllocationBias": 0.0, "StratumGap": 0.045714285714285714, "WeightedStratumGap": 0.022857142857142857 },
      { "StratumSummaryId": "balanced-synthetic-easy-A", "Study": "balanced-synthetic", "StratumLabel": "easy", "TreatmentLabel": "A", "Name": "balanced-synthetic-easy-A", "StratumSuccesses": 60, "StratumCases": 100, "StratumSuccessRate": 0.6, "StratumSuccessesA": 60, "StratumCasesA": 100, "StratumRateA": 0.6, "StratumSuccessesB": 50, "StratumCasesB": 100, "StratumRateB": 0.5, "StratumWinner": "A", "StudyTotalCases": 400, "StratumTotalCases": 200, "StratumFraction": 0.5, "WeightedStratumRate": 0.3, "TreatmentACasesHere": 100, "TreatmentBCasesHere": 100, "TreatmentATotalCases": 200, "TreatmentBTotalCases": 200, "AllocationFractionA": 0.5, "AllocationFractionB": 0.5, "AllocationBias": 0.0, "StratumGap": 0.1, "WeightedStratumGap": 0.05 },
      { "StratumSummaryId": "balanced-synthetic-easy-B", "Study": "balanced-synthetic", "StratumLabel": "easy", "TreatmentLabel": "B", "Name": "balanced-synthetic-easy-B", "StratumSuccesses": 50, "StratumCases": 100, "StratumSuccessRate": 0.5, "StratumSuccessesA": 60, "StratumCasesA": 100, "StratumRateA": 0.6, "StratumSuccessesB": 50, "StratumCasesB": 100, "StratumRateB": 0.5, "StratumWinner": "A", "StudyTotalCases": 400, "StratumTotalCases": 200, "StratumFraction": 0.5, "WeightedStratumRate": 0.25, "TreatmentACasesHere": 100, "TreatmentBCasesHere": 100, "TreatmentATotalCases": 200, "TreatmentBTotalCases": 200, "AllocationFractionA": 0.5, "AllocationFractionB": 0.5, "AllocationBias": 0.0, "StratumGap": 0.1, "WeightedStratumGap": 0.05 },
      { "StratumSummaryId": "balanced-synthetic-hard-A", "Study": "balanced-synthetic", "StratumLabel": "hard", "TreatmentLabel": "A", "Name": "balanced-synthetic-hard-A", "StratumSuccesses": 60, "StratumCases": 100, "StratumSuccessRate": 0.6, "StratumSuccessesA": 60, "StratumCasesA": 100, "StratumRateA": 0.6, "StratumSuccessesB": 50, "StratumCasesB": 100, "StratumRateB": 0.5, "StratumWinner": "A", "StudyTotalCases": 400, "StratumTotalCases": 200, "StratumFraction": 0.5, "WeightedStratumRate": 0.3, "TreatmentACasesHere": 100, "TreatmentBCasesHere": 100, "TreatmentATotalCases": 200, "TreatmentBTotalCases": 200, "AllocationFractionA": 0.5, "AllocationFractionB": 0.5, "AllocationBias": 0.0, "StratumGap": 0.1, "WeightedStratumGap": 0.05 },
      { "StratumSummaryId": "balanced-synthetic-hard-B", "Study": "balanced-synthetic", "StratumLabel": "hard", "TreatmentLabel": "B", "Name": "balanced-synthetic-hard-B", "StratumSuccesses": 50, "StratumCases": 100, "StratumSuccessRate": 0.5, "StratumSuccessesA": 60, "StratumCasesA": 100, "StratumRateA": 0.6, "StratumSuccessesB": 50, "StratumCasesB": 100, "StratumRateB": 0.5, "StratumWinner": "A", "StudyTotalCases": 400, "StratumTotalCases": 200, "StratumFraction": 0.5, "WeightedStratumRate": 0.25, "TreatmentACasesHere": 100, "TreatmentBCasesHere": 100, "TreatmentATotalCases": 200, "TreatmentBTotalCases": 200, "AllocationFractionA": 0.5, "AllocationFractionB": 0.5, "AllocationBias": 0.0, "StratumGap": 0.1, "WeightedStratumGap": 0.05 },
      { "StratumSummaryId": "berkeley-1973-dept-A-male", "Study": "berkeley-1973", "StratumLabel": "dept-A", "TreatmentLabel": "A", "Name": "berkeley-1973-dept-A-male", "StratumSuccesses": 512, "StratumCases": 825, "StratumSuccessRate": 0.6206060606060606, "StratumSuccessesA": 512, "StratumCasesA": 825, "StratumRateA": 0.6206060606060606, "StratumSuccessesB": 89, "StratumCasesB": 108, "StratumRateB": 0.8240740740740741, "StratumWinner": "B", "StudyTotalCases": 3228, "StratumTotalCases": 933, "StratumFraction": 0.28903345724907065, "WeightedStratumRate": 0.17937591528669597, "TreatmentACasesHere": 825, "TreatmentBCasesHere": 108, "TreatmentATotalCases": 2127, "TreatmentBTotalCases": 1101, "AllocationFractionA": 0.38787023977433005, "AllocationFractionB": 0.09809264305177112, "AllocationBias": 0.2897775967225589, "StratumGap": -0.20346801346801346, "WeightedStratumGap": -0.0588090633722604 },
      { "StratumSummaryId": "berkeley-1973-dept-A-female", "Study": "berkeley-1973", "StratumLabel": "dept-A", "TreatmentLabel": "B", "Name": "berkeley-1973-dept-A-female", "StratumSuccesses": 89, "StratumCases": 108, "StratumSuccessRate": 0.8240740740740741, "StratumSuccessesA": 512, "StratumCasesA": 825, "StratumRateA": 0.6206060606060606, "StratumSuccessesB": 89, "StratumCasesB": 108, "StratumRateB": 0.8240740740740741, "StratumWinner": "B", "StudyTotalCases": 3228, "StratumTotalCases": 933, "StratumFraction": 0.28903345724907065, "WeightedStratumRate": 0.23818497865895635, "TreatmentACasesHere": 825, "TreatmentBCasesHere": 108, "TreatmentATotalCases": 2127, "TreatmentBTotalCases": 1101, "AllocationFractionA": 0.38787023977433005, "AllocationFractionB": 0.09809264305177112, "AllocationBias": 0.2897775967225589, "StratumGap": -0.20346801346801346, "WeightedStratumGap": -0.0588090633722604 },
      { "StratumSummaryId": "berkeley-1973-dept-B-male", "Study": "berkeley-1973", "StratumLabel": "dept-B", "TreatmentLabel": "A", "Name": "berkeley-1973-dept-B-male", "StratumSuccesses": 353, "StratumCases": 560, "StratumSuccessRate": 0.6303571428571428, "StratumSuccessesA": 353, "StratumCasesA": 560, "StratumRateA": 0.6303571428571428, "StratumSuccessesB": 17, "StratumCasesB": 25, "StratumRateB": 0.68, "StratumWinner": "B", "StudyTotalCases": 3228, "StratumTotalCases": 585, "StratumFraction": 0.1812267657992565, "WeightedStratumRate": 0.1142375862984599, "TreatmentACasesHere": 560, "TreatmentBCasesHere": 25, "TreatmentATotalCases": 2127, "TreatmentBTotalCases": 1101, "AllocationFractionA": 0.2632816173013634, "AllocationFractionB": 0.022706630336058128, "AllocationBias": 0.2405749869653053, "StratumGap": -0.04964285714285714, "WeightedStratumGap": -0.00899661444503452 },
      { "StratumSummaryId": "berkeley-1973-dept-B-female", "Study": "berkeley-1973", "StratumLabel": "dept-B", "TreatmentLabel": "B", "Name": "berkeley-1973-dept-B-female", "StratumSuccesses": 17, "StratumCases": 25, "StratumSuccessRate": 0.68, "StratumSuccessesA": 353, "StratumCasesA": 560, "StratumRateA": 0.6303571428571428, "StratumSuccessesB": 17, "StratumCasesB": 25, "StratumRateB": 0.68, "StratumWinner": "B", "StudyTotalCases": 3228, "StratumTotalCases": 585, "StratumFraction": 0.1812267657992565, "WeightedStratumRate": 0.12323420074349442, "TreatmentACasesHere": 560, "TreatmentBCasesHere": 25, "TreatmentATotalCases": 2127, "TreatmentBTotalCases": 1101, "AllocationFractionA": 0.2632816173013634, "AllocationFractionB": 0.022706630336058128, "AllocationBias": 0.2405749869653053, "StratumGap": -0.04964285714285714, "WeightedStratumGap": -0.00899661444503452 },
      { "StratumSummaryId": "berkeley-1973-dept-C-male", "Study": "berkeley-1973", "StratumLabel": "dept-C", "TreatmentLabel": "A", "Name": "berkeley-1973-dept-C-male", "StratumSuccesses": 120, "StratumCases": 325, "StratumSuccessRate": 0.36923076923076925, "StratumSuccessesA": 120, "StratumCasesA": 325, "StratumRateA": 0.36923076923076925, "StratumSuccessesB": 202, "StratumCasesB": 593, "StratumRateB": 0.3406408094435076, "StratumWinner": "A", "StudyTotalCases": 3228, "StratumTotalCases": 918, "StratumFraction": 0.2843866171003718, "WeightedStratumRate": 0.10500428939090649, "TreatmentACasesHere": 325, "TreatmentBCasesHere": 593, "TreatmentATotalCases": 2127, "TreatmentBTotalCases": 1101, "AllocationFractionA": 0.152797367183827, "AllocationFractionB": 0.5386012715712988, "AllocationBias": -0.3858039043874718, "StratumGap": 0.028589959787261643, "WeightedStratumGap": 0.008130601946935002 },
      { "StratumSummaryId": "berkeley-1973-dept-C-female", "Study": "berkeley-1973", "StratumLabel": "dept-C", "TreatmentLabel": "B", "Name": "berkeley-1973-dept-C-female", "StratumSuccesses": 202, "StratumCases": 593, "StratumSuccessRate": 0.3406408094435076, "StratumSuccessesA": 120, "StratumCasesA": 325, "StratumRateA": 0.36923076923076925, "StratumSuccessesB": 202, "StratumCasesB": 593, "StratumRateB": 0.3406408094435076, "StratumWinner": "A", "StudyTotalCases": 3228, "StratumTotalCases": 918, "StratumFraction": 0.2843866171003718, "WeightedStratumRate": 0.09687368744397148, "TreatmentACasesHere": 325, "TreatmentBCasesHere": 593, "TreatmentATotalCases": 2127, "TreatmentBTotalCases": 1101, "AllocationFractionA": 0.152797367183827, "AllocationFractionB": 0.5386012715712988, "AllocationBias": -0.3858039043874718, "StratumGap": 0.028589959787261643, "WeightedStratumGap": 0.008130601946935002 },
      { "StratumSummaryId": "berkeley-1973-dept-D-male", "Study": "berkeley-1973", "StratumLabel": "dept-D", "TreatmentLabel": "A", "Name": "berkeley-1973-dept-D-male", "StratumSuccesses": 138, "StratumCases": 417, "StratumSuccessRate": 0.33093525179856115, "StratumSuccessesA": 138, "StratumCasesA": 417, "StratumRateA": 0.33093525179856115, "StratumSuccessesB": 131, "StratumCasesB": 375, "StratumRateB": 0.34933333333333333, "StratumWinner": "B", "StudyTotalCases": 3228, "StratumTotalCases": 792, "StratumFraction": 0.24535315985130113, "WeightedStratumRate": 0.08119600973496297, "TreatmentACasesHere": 417, "TreatmentBCasesHere": 375, "TreatmentATotalCases": 2127, "TreatmentBTotalCases": 1101, "AllocationFractionA": 0.19605077574047955, "AllocationFractionB": 0.3405994550408719, "AllocationBias": -0.1445486793003924, "StratumGap": -0.01839808153477218, "WeightedStratumGap": -0.004514027439758231 },
      { "StratumSummaryId": "berkeley-1973-dept-D-female", "Study": "berkeley-1973", "StratumLabel": "dept-D", "TreatmentLabel": "B", "Name": "berkeley-1973-dept-D-female", "StratumSuccesses": 131, "StratumCases": 375, "StratumSuccessRate": 0.34933333333333333, "StratumSuccessesA": 138, "StratumCasesA": 417, "StratumRateA": 0.33093525179856115, "StratumSuccessesB": 131, "StratumCasesB": 375, "StratumRateB": 0.34933333333333333, "StratumWinner": "B", "StudyTotalCases": 3228, "StratumTotalCases": 792, "StratumFraction": 0.24535315985130113, "WeightedStratumRate": 0.08571003717472118, "TreatmentACasesHere": 417, "TreatmentBCasesHere": 375, "TreatmentATotalCases": 2127, "TreatmentBTotalCases": 1101, "AllocationFractionA": 0.19605077574047955, "AllocationFractionB": 0.3405994550408719, "AllocationBias": -0.1445486793003924, "StratumGap": -0.01839808153477218, "WeightedStratumGap": -0.004514027439758231 },
      { "StratumSummaryId": "compressed-synthetic-hard-A", "Study": "compressed-synthetic", "StratumLabel": "hard", "TreatmentLabel": "A", "Name": "compressed-synthetic-hard-A", "StratumSuccesses": 84, "StratumCases": 120, "StratumSuccessRate": 0.7, "StratumSuccessesA": 84, "StratumCasesA": 120, "StratumRateA": 0.7, "StratumSuccessesB": 48, "StratumCasesB": 80, "StratumRateB": 0.6, "StratumWinner": "A", "StudyTotalCases": 400, "StratumTotalCases": 200, "StratumFraction": 0.5, "WeightedStratumRate": 0.35, "TreatmentACasesHere": 120, "TreatmentBCasesHere": 80, "TreatmentATotalCases": 200, "TreatmentBTotalCases": 200, "AllocationFractionA": 0.6, "AllocationFractionB": 0.4, "AllocationBias": 0.2, "StratumGap": 0.1, "WeightedStratumGap": 0.05 },
      { "StratumSummaryId": "compressed-synthetic-hard-B", "Study": "compressed-synthetic", "StratumLabel": "hard", "TreatmentLabel": "B", "Name": "compressed-synthetic-hard-B", "StratumSuccesses": 48, "StratumCases": 80, "StratumSuccessRate": 0.6, "StratumSuccessesA": 84, "StratumCasesA": 120, "StratumRateA": 0.7, "StratumSuccessesB": 48, "StratumCasesB": 80, "StratumRateB": 0.6, "StratumWinner": "A", "StudyTotalCases": 400, "StratumTotalCases": 200, "StratumFraction": 0.5, "WeightedStratumRate": 0.3, "TreatmentACasesHere": 120, "TreatmentBCasesHere": 80, "TreatmentATotalCases": 200, "TreatmentBTotalCases": 200, "AllocationFractionA": 0.6, "AllocationFractionB": 0.4, "AllocationBias": 0.2, "StratumGap": 0.1, "WeightedStratumGap": 0.05 },
      { "StratumSummaryId": "compressed-synthetic-easy-A", "Study": "compressed-synthetic", "StratumLabel": "easy", "TreatmentLabel": "A", "Name": "compressed-synthetic-easy-A", "StratumSuccesses": 72, "StratumCases": 80, "StratumSuccessRate": 0.9, "StratumSuccessesA": 72, "StratumCasesA": 80, "StratumRateA": 0.9, "StratumSuccessesB": 96, "StratumCasesB": 120, "StratumRateB": 0.8, "StratumWinner": "A", "StudyTotalCases": 400, "StratumTotalCases": 200, "StratumFraction": 0.5, "WeightedStratumRate": 0.45, "TreatmentACasesHere": 80, "TreatmentBCasesHere": 120, "TreatmentATotalCases": 200, "TreatmentBTotalCases": 200, "AllocationFractionA": 0.4, "AllocationFractionB": 0.6, "AllocationBias": -0.2, "StratumGap": 0.1, "WeightedStratumGap": 0.05 },
      { "StratumSummaryId": "compressed-synthetic-easy-B", "Study": "compressed-synthetic", "StratumLabel": "easy", "TreatmentLabel": "B", "Name": "compressed-synthetic-easy-B", "StratumSuccesses": 96, "StratumCases": 120, "StratumSuccessRate": 0.8, "StratumSuccessesA": 72, "StratumCasesA": 80, "StratumRateA": 0.9, "StratumSuccessesB": 96, "StratumCasesB": 120, "StratumRateB": 0.8, "StratumWinner": "A", "StudyTotalCases": 400, "StratumTotalCases": 200, "StratumFraction": 0.5, "WeightedStratumRate": 0.4, "TreatmentACasesHere": 80, "TreatmentBCasesHere": 120, "TreatmentATotalCases": 200, "TreatmentBTotalCases": 200, "AllocationFractionA": 0.4, "AllocationFractionB": 0.6, "AllocationBias": -0.2, "StratumGap": 0.1, "WeightedStratumGap": 0.05 },
      { "StratumSummaryId": "reintjes-2000-low-A", "Study": "reintjes-2000", "StratumLabel": "low", "TreatmentLabel": "A", "Name": "reintjes-2000-low-A", "StratumSuccesses": 20, "StratumCases": 1113, "StratumSuccessRate": 0.017969451931716084, "StratumSuccessesA": 20, "StratumCasesA": 1113, "StratumRateA": 0.017969451931716084, "StratumSuccessesB": 5, "StratumCasesB": 720, "StratumRateB": 0.006944444444444444, "StratumWinner": "A", "StudyTotalCases": 3519, "StratumTotalCases": 1833, "StratumFraction": 0.5208866155157715, "WeightedStratumRate": 0.009360046999384933, "TreatmentACasesHere": 1113, "TreatmentBCasesHere": 720, "TreatmentATotalCases": 1279, "TreatmentBTotalCases": 2240, "AllocationFractionA": 0.8702111024237685, "AllocationFractionB": 0.32142857142857145, "AllocationBias": 0.5487825309951971, "StratumGap": 0.011025007487271638, "WeightedStratumGap": 0.0057427788360809645 },
      { "StratumSummaryId": "reintjes-2000-low-B", "Study": "reintjes-2000", "StratumLabel": "low", "TreatmentLabel": "B", "Name": "reintjes-2000-low-B", "StratumSuccesses": 5, "StratumCases": 720, "StratumSuccessRate": 0.006944444444444444, "StratumSuccessesA": 20, "StratumCasesA": 1113, "StratumRateA": 0.017969451931716084, "StratumSuccessesB": 5, "StratumCasesB": 720, "StratumRateB": 0.006944444444444444, "StratumWinner": "A", "StudyTotalCases": 3519, "StratumTotalCases": 1833, "StratumFraction": 0.5208866155157715, "WeightedStratumRate": 0.0036172681633039687, "TreatmentACasesHere": 1113, "TreatmentBCasesHere": 720, "TreatmentATotalCases": 1279, "TreatmentBTotalCases": 2240, "AllocationFractionA": 0.8702111024237685, "AllocationFractionB": 0.32142857142857145, "AllocationBias": 0.5487825309951971, "StratumGap": 0.011025007487271638, "WeightedStratumGap": 0.0057427788360809645 },
      { "StratumSummaryId": "reintjes-2000-high-A", "Study": "reintjes-2000", "StratumLabel": "high", "TreatmentLabel": "A", "Name": "reintjes-2000-high-A", "StratumSuccesses": 22, "StratumCases": 166, "StratumSuccessRate": 0.13253012048192772, "StratumSuccessesA": 22, "StratumCasesA": 166, "StratumRateA": 0.13253012048192772, "StratumSuccessesB": 99, "StratumCasesB": 1520, "StratumRateB": 0.06513157894736842, "StratumWinner": "A", "StudyTotalCases": 3519, "StratumTotalCases": 1686, "StratumFraction": 0.47911338448422847, "WeightedStratumRate": 0.06349695457019895, "TreatmentACasesHere": 166, "TreatmentBCasesHere": 1520, "TreatmentATotalCases": 1279, "TreatmentBTotalCases": 2240, "AllocationFractionA": 0.12978889757623144, "AllocationFractionB": 0.6785714285714286, "AllocationBias": -0.5487825309951971, "StratumGap": 0.06739854153455929, "WeightedStratumGap": 0.03229154334392355 },
      { "StratumSummaryId": "reintjes-2000-high-B", "Study": "reintjes-2000", "StratumLabel": "high", "TreatmentLabel": "B", "Name": "reintjes-2000-high-B", "StratumSuccesses": 99, "StratumCases": 1520, "StratumSuccessRate": 0.06513157894736842, "StratumSuccessesA": 22, "StratumCasesA": 166, "StratumRateA": 0.13253012048192772, "StratumSuccessesB": 99, "StratumCasesB": 1520, "StratumRateB": 0.06513157894736842, "StratumWinner": "A", "StudyTotalCases": 3519, "StratumTotalCases": 1686, "StratumFraction": 0.47911338448422847, "WeightedStratumRate": 0.031205411226275407, "TreatmentACasesHere": 166, "TreatmentBCasesHere": 1520, "TreatmentATotalCases": 1279, "TreatmentBTotalCases": 2240, "AllocationFractionA": 0.12978889757623144, "AllocationFractionB": 0.6785714285714286, "AllocationBias": -0.5487825309951971, "StratumGap": 0.06739854153455929, "WeightedStratumGap": 0.03229154334392355 },
      { "StratumSummaryId": "radelet-1981-white-victim-A", "Study": "radelet-1981", "StratumLabel": "white-victim", "TreatmentLabel": "A", "Name": "radelet-1981-white-victim-A", "StratumSuccesses": 19, "StratumCases": 151, "StratumSuccessRate": 0.12582781456953643, "StratumSuccessesA": 19, "StratumCasesA": 151, "StratumRateA": 0.12582781456953643, "StratumSuccessesB": 11, "StratumCasesB": 63, "StratumRateB": 0.1746031746031746, "StratumWinner": "B", "StudyTotalCases": 326, "StratumTotalCases": 214, "StratumFraction": 0.656441717791411, "WeightedStratumRate": 0.08259862674196562, "TreatmentACasesHere": 151, "TreatmentBCasesHere": 63, "TreatmentATotalCases": 160, "TreatmentBTotalCases": 166, "AllocationFractionA": 0.94375, "AllocationFractionB": 0.3795180722891566, "AllocationBias": 0.5642319277108434, "StratumGap": -0.04877536003363818, "WeightedStratumGap": -0.032018181126375986 },
      { "StratumSummaryId": "radelet-1981-white-victim-B", "Study": "radelet-1981", "StratumLabel": "white-victim", "TreatmentLabel": "B", "Name": "radelet-1981-white-victim-B", "StratumSuccesses": 11, "StratumCases": 63, "StratumSuccessRate": 0.1746031746031746, "StratumSuccessesA": 19, "StratumCasesA": 151, "StratumRateA": 0.12582781456953643, "StratumSuccessesB": 11, "StratumCasesB": 63, "StratumRateB": 0.1746031746031746, "StratumWinner": "B", "StudyTotalCases": 326, "StratumTotalCases": 214, "StratumFraction": 0.656441717791411, "WeightedStratumRate": 0.11461680786834161, "TreatmentACasesHere": 151, "TreatmentBCasesHere": 63, "TreatmentATotalCases": 160, "TreatmentBTotalCases": 166, "AllocationFractionA": 0.94375, "AllocationFractionB": 0.3795180722891566, "AllocationBias": 0.5642319277108434, "StratumGap": -0.04877536003363818, "WeightedStratumGap": -0.032018181126375986 },
      { "StratumSummaryId": "radelet-1981-black-victim-A", "Study": "radelet-1981", "StratumLabel": "black-victim", "TreatmentLabel": "A", "Name": "radelet-1981-black-victim-A", "StratumSuccesses": 0, "StratumCases": 9, "StratumSuccessRate": 0.0, "StratumSuccessesA": 0, "StratumCasesA": 9, "StratumRateA": 0.0, "StratumSuccessesB": 6, "StratumCasesB": 103, "StratumRateB": 0.05825242718446602, "StratumWinner": "B", "StudyTotalCases": 326, "StratumTotalCases": 112, "StratumFraction": 0.34355828220858897, "WeightedStratumRate": 0.0, "TreatmentACasesHere": 9, "TreatmentBCasesHere": 103, "TreatmentATotalCases": 160, "TreatmentBTotalCases": 166, "AllocationFractionA": 0.05625, "AllocationFractionB": 0.6204819277108434, "AllocationBias": -0.5642319277108434, "StratumGap": -0.05825242718446602, "WeightedStratumGap": -0.020013103817976056 },
      { "StratumSummaryId": "radelet-1981-black-victim-B", "Study": "radelet-1981", "StratumLabel": "black-victim", "TreatmentLabel": "B", "Name": "radelet-1981-black-victim-B", "StratumSuccesses": 6, "StratumCases": 103, "StratumSuccessRate": 0.05825242718446602, "StratumSuccessesA": 0, "StratumCasesA": 9, "StratumRateA": 0.0, "StratumSuccessesB": 6, "StratumCasesB": 103, "StratumRateB": 0.05825242718446602, "StratumWinner": "B", "StudyTotalCases": 326, "StratumTotalCases": 112, "StratumFraction": 0.34355828220858897, "WeightedStratumRate": 0.020013103817976056, "TreatmentACasesHere": 9, "TreatmentBCasesHere": 103, "TreatmentATotalCases": 160, "TreatmentBTotalCases": 166, "AllocationFractionA": 0.05625, "AllocationFractionB": 0.6204819277108434, "AllocationBias": -0.5642319277108434, "StratumGap": -0.05825242718446602, "WeightedStratumGap": -0.020013103817976056 },
      { "StratumSummaryId": "jeter-justice-1997-1995-A", "Study": "jeter-justice-1997", "StratumLabel": "1995", "TreatmentLabel": "A", "Name": "jeter-justice-1997-1995-A", "StratumSuccesses": 12, "StratumCases": 48, "StratumSuccessRate": 0.25, "StratumSuccessesA": 12, "StratumCasesA": 48, "StratumRateA": 0.25, "StratumSuccessesB": 104, "StratumCasesB": 411, "StratumRateB": 0.25304136253041365, "StratumWinner": "B", "StudyTotalCases": 2330, "StratumTotalCases": 459, "StratumFraction": 0.19699570815450643, "WeightedStratumRate": 0.04924892703862661, "TreatmentACasesHere": 48, "TreatmentBCasesHere": 411, "TreatmentATotalCases": 1284, "TreatmentBTotalCases": 1046, "AllocationFractionA": 0.037383177570093455, "AllocationFractionB": 0.39292543021032506, "AllocationBias": -0.3555422526402316, "StratumGap": -0.0030413625304136255, "WeightedStratumGap": -0.0005991353654334138 },
      { "StratumSummaryId": "jeter-justice-1997-1995-B", "Study": "jeter-justice-1997", "StratumLabel": "1995", "TreatmentLabel": "B", "Name": "jeter-justice-1997-1995-B", "StratumSuccesses": 104, "StratumCases": 411, "StratumSuccessRate": 0.25304136253041365, "StratumSuccessesA": 12, "StratumCasesA": 48, "StratumRateA": 0.25, "StratumSuccessesB": 104, "StratumCasesB": 411, "StratumRateB": 0.25304136253041365, "StratumWinner": "B", "StudyTotalCases": 2330, "StratumTotalCases": 459, "StratumFraction": 0.19699570815450643, "WeightedStratumRate": 0.04984806240406002, "TreatmentACasesHere": 48, "TreatmentBCasesHere": 411, "TreatmentATotalCases": 1284, "TreatmentBTotalCases": 1046, "AllocationFractionA": 0.037383177570093455, "AllocationFractionB": 0.39292543021032506, "AllocationBias": -0.3555422526402316, "StratumGap": -0.0030413625304136255, "WeightedStratumGap": -0.0005991353654334138 },
      { "StratumSummaryId": "jeter-justice-1997-1996-A", "Study": "jeter-justice-1997", "StratumLabel": "1996", "TreatmentLabel": "A", "Name": "jeter-justice-1997-1996-A", "StratumSuccesses": 183, "StratumCases": 582, "StratumSuccessRate": 0.31443298969072164, "StratumSuccessesA": 183, "StratumCasesA": 582, "StratumRateA": 0.31443298969072164, "StratumSuccessesB": 45, "StratumCasesB": 140, "StratumRateB": 0.32142857142857145, "StratumWinner": "B", "StudyTotalCases": 2330, "StratumTotalCases": 722, "StratumFraction": 0.3098712446351931, "WeightedStratumRate": 0.09743374186982877, "TreatmentACasesHere": 582, "TreatmentBCasesHere": 140, "TreatmentATotalCases": 1284, "TreatmentBTotalCases": 1046, "AllocationFractionA": 0.4532710280373832, "AllocationFractionB": 0.1338432122370937, "AllocationBias": 0.3194278158002895, "StratumGap": -0.006995581737849779, "WeightedStratumGap": -0.002167729620054738 },
      { "StratumSummaryId": "jeter-justice-1997-1996-B", "Study": "jeter-justice-1997", "StratumLabel": "1996", "TreatmentLabel": "B", "Name": "jeter-justice-1997-1996-B", "StratumSuccesses": 45, "StratumCases": 140, "StratumSuccessRate": 0.32142857142857145, "StratumSuccessesA": 183, "StratumCasesA": 582, "StratumRateA": 0.31443298969072164, "StratumSuccessesB": 45, "StratumCasesB": 140, "StratumRateB": 0.32142857142857145, "StratumWinner": "B", "StudyTotalCases": 2330, "StratumTotalCases": 722, "StratumFraction": 0.3098712446351931, "WeightedStratumRate": 0.0996014714898835, "TreatmentACasesHere": 582, "TreatmentBCasesHere": 140, "TreatmentATotalCases": 1284, "TreatmentBTotalCases": 1046, "AllocationFractionA": 0.4532710280373832, "AllocationFractionB": 0.1338432122370937, "AllocationBias": 0.3194278158002895, "StratumGap": -0.006995581737849779, "WeightedStratumGap": -0.002167729620054738 },
      { "StratumSummaryId": "jeter-justice-1997-1997-A", "Study": "jeter-justice-1997", "StratumLabel": "1997", "TreatmentLa</t>
  </si>
  <si>
    <t xml:space="preserve">bel": "A", "Name": "jeter-justice-1997-1997-A", "StratumSuccesses": 190, "StratumCases": 654, "StratumSuccessRate": 0.290519877675841, "StratumSuccessesA": 190, "StratumCasesA": 654, "StratumRateA": 0.290519877675841, "StratumSuccessesB": 163, "StratumCasesB": 495, "StratumRateB": 0.3292929292929293, "StratumWinner": "B", "StudyTotalCases": 2330, "StratumTotalCases": 1149, "StratumFraction": 0.49313304721030043, "WeightedStratumRate": 0.1432649525534512, "TreatmentACasesHere": 654, "TreatmentBCasesHere": 495, "TreatmentATotalCases": 1284, "TreatmentBTotalCases": 1046, "AllocationFractionA": 0.5093457943925234, "AllocationFractionB": 0.4732313575525813, "AllocationBias": 0.0361144368399421, "StratumGap": -0.038773051617088314, "WeightedStratumGap": -0.019120273093577028 },
      { "StratumSummaryId": "jeter-justice-1997-1997-B", "Study": "jeter-justice-1997", "StratumLabel": "1997", "TreatmentLabel": "B", "Name": "jeter-justice-1997-1997-B", "StratumSuccesses": 163, "StratumCases": 495, "StratumSuccessRate": 0.3292929292929293, "StratumSuccessesA": 190, "StratumCasesA": 654, "StratumRateA": 0.290519877675841, "StratumSuccessesB": 163, "StratumCasesB": 495, "StratumRateB": 0.3292929292929293, "StratumWinner": "B", "StudyTotalCases": 2330, "StratumTotalCases": 1149, "StratumFraction": 0.49313304721030043, "WeightedStratumRate": 0.16238522564702823, "TreatmentACasesHere": 654, "TreatmentBCasesHere": 495, "TreatmentATotalCases": 1284, "TreatmentBTotalCases": 1046, "AllocationFractionA": 0.5093457943925234, "AllocationFractionB": 0.4732313575525813, "AllocationBias": 0.0361144368399421, "StratumGap": -0.038773051617088314, "WeightedStratumGap": -0.019120273093577028 },
      { "StratumSummaryId": "appleton-1996-18-24-A", "Study": "appleton-1996", "StratumLabel": "18-24", "TreatmentLabel": "A", "Name": "appleton-1996-18-24-A", "StratumSuccesses": 2, "StratumCases": 55, "StratumSuccessRate": 0.03636363636363636, "StratumSuccessesA": 2, "StratumCasesA": 55, "StratumRateA": 0.03636363636363636, "StratumSuccessesB": 1, "StratumCasesB": 72, "StratumRateB": 0.013888888888888888, "StratumWinner": "A", "StudyTotalCases": 1314, "StratumTotalCases": 127, "StratumFraction": 0.09665144596651445, "WeightedStratumRate": 0.00351459803514598, "TreatmentACasesHere": 55, "TreatmentBCasesHere": 72, "TreatmentATotalCases": 582, "TreatmentBTotalCases": 732, "AllocationFractionA": 0.09450171821305842, "AllocationFractionB": 0.09836065573770492, "AllocationBias": -0.0038589375246464988, "StratumGap": 0.022474747474747474, "WeightedStratumGap": 0.0021722168411666127 },
      { "StratumSummaryId": "appleton-1996-18-24-B", "Study": "appleton-1996", "StratumLabel": "18-24", "TreatmentLabel": "B", "Name": "appleton-1996-18-24-B", "StratumSuccesses": 1, "StratumCases": 72, "StratumSuccessRate": 0.013888888888888888, "StratumSuccessesA": 2, "StratumCasesA": 55, "StratumRateA": 0.03636363636363636, "StratumSuccessesB": 1, "StratumCasesB": 72, "StratumRateB": 0.013888888888888888, "StratumWinner": "A", "StudyTotalCases": 1314, "StratumTotalCases": 127, "StratumFraction": 0.09665144596651445, "WeightedStratumRate": 0.0013423811939793674, "TreatmentACasesHere": 55, "TreatmentBCasesHere": 72, "TreatmentATotalCases": 582, "TreatmentBTotalCases": 732, "AllocationFractionA": 0.09450171821305842, "AllocationFractionB": 0.09836065573770492, "AllocationBias": -0.0038589375246464988, "StratumGap": 0.022474747474747474, "WeightedStratumGap": 0.0021722168411666127 },
      { "StratumSummaryId": "appleton-1996-25-34-A", "Study": "appleton-1996", "StratumLabel": "25-34", "TreatmentLabel": "A", "Name": "appleton-1996-25-34-A", "StratumSuccesses": 3, "StratumCases": 125, "StratumSuccessRate": 0.024, "StratumSuccessesA": 3, "StratumCasesA": 125, "StratumRateA": 0.024, "StratumSuccessesB": 4, "StratumCasesB": 156, "StratumRateB": 0.02564102564102564, "StratumWinner": "B", "StudyTotalCases": 1314, "StratumTotalCases": 281, "StratumFraction": 0.21385083713850836, "WeightedStratumRate": 0.005132420091324201, "TreatmentACasesHere": 125, "TreatmentBCasesHere": 156, "TreatmentATotalCases": 582, "TreatmentBTotalCases": 732, "AllocationFractionA": 0.21477663230240548, "AllocationFractionB": 0.21311475409836064, "AllocationBias": 0.0016618782040448425, "StratumGap": -0.001641025641025641, "WeightedStratumGap": -0.00035093470709909066 },
      { "StratumSummaryId": "appleton-1996-25-34-B", "Study": "appleton-1996", "StratumLabel": "25-34", "TreatmentLabel": "B", "Name": "appleton-1996-25-34-B", "StratumSuccesses": 4, "StratumCases": 156, "StratumSuccessRate": 0.02564102564102564, "StratumSuccessesA": 3, "StratumCasesA": 125, "StratumRateA": 0.024, "StratumSuccessesB": 4, "StratumCasesB": 156, "StratumRateB": 0.02564102564102564, "StratumWinner": "B", "StudyTotalCases": 1314, "StratumTotalCases": 281, "StratumFraction": 0.21385083713850836, "WeightedStratumRate": 0.005483354798423291, "TreatmentACasesHere": 125, "TreatmentBCasesHere": 156, "TreatmentATotalCases": 582, "TreatmentBTotalCases": 732, "AllocationFractionA": 0.21477663230240548, "AllocationFractionB": 0.21311475409836064, "AllocationBias": 0.0016618782040448425, "StratumGap": -0.001641025641025641, "WeightedStratumGap": -0.00035093470709909066 },
      { "StratumSummaryId": "appleton-1996-35-44-A", "Study": "appleton-1996", "StratumLabel": "35-44", "TreatmentLabel": "A", "Name": "appleton-1996-35-44-A", "StratumSuccesses": 10, "StratumCases": 105, "StratumSuccessRate": 0.09523809523809523, "StratumSuccessesA": 10, "StratumCasesA": 105, "StratumRateA": 0.09523809523809523, "StratumSuccessesB": 7, "StratumCasesB": 111, "StratumRateB": 0.06306306306306306, "StratumWinner": "A", "StudyTotalCases": 1314, "StratumTotalCases": 216, "StratumFraction": 0.1643835616438356, "WeightedStratumRate": 0.015655577299412915, "TreatmentACasesHere": 105, "TreatmentBCasesHere": 111, "TreatmentATotalCases": 582, "TreatmentBTotalCases": 732, "AllocationFractionA": 0.18041237113402062, "AllocationFractionB": 0.15163934426229508, "AllocationBias": 0.028773026871725536, "StratumGap": 0.032175032175032175, "WeightedStratumGap": 0.0052890463849367955 },
      { "StratumSummaryId": "appleton-1996-35-44-B", "Study": "appleton-1996", "StratumLabel": "35-44", "TreatmentLabel": "B", "Name": "appleton-1996-35-44-B", "StratumSuccesses": 7, "StratumCases": 111, "StratumSuccessRate": 0.06306306306306306, "StratumSuccessesA": 10, "StratumCasesA": 105, "StratumRateA": 0.09523809523809523, "StratumSuccessesB": 7, "StratumCasesB": 111, "StratumRateB": 0.06306306306306306, "StratumWinner": "A", "StudyTotalCases": 1314, "StratumTotalCases": 216, "StratumFraction": 0.1643835616438356, "WeightedStratumRate": 0.01036653091447612, "TreatmentACasesHere": 105, "TreatmentBCasesHere": 111, "TreatmentATotalCases": 582, "TreatmentBTotalCases": 732, "AllocationFractionA": 0.18041237113402062, "AllocationFractionB": 0.15163934426229508, "AllocationBias": 0.028773026871725536, "StratumGap": 0.032175032175032175, "WeightedStratumGap": 0.0052890463849367955 },
      { "StratumSummaryId": "appleton-1996-45-54-A", "Study": "appleton-1996", "StratumLabel": "45-54", "TreatmentLabel": "A", "Name": "appleton-1996-45-54-A", "StratumSuccesses": 28, "StratumCases": 131, "StratumSuccessRate": 0.21374045801526717, "StratumSuccessesA": 28, "StratumCasesA": 131, "StratumRateA": 0.21374045801526717, "StratumSuccessesB": 12, "StratumCasesB": 78, "StratumRateB": 0.15384615384615385, "StratumWinner": "A", "StudyTotalCases": 1314, "StratumTotalCases": 209, "StratumFraction": 0.15905631659056316, "WeightedStratumRate": 0.03399676995828831, "TreatmentACasesHere": 131, "TreatmentBCasesHere": 78, "TreatmentATotalCases": 582, "TreatmentBTotalCases": 732, "AllocationFractionA": 0.22508591065292097, "AllocationFractionB": 0.10655737704918032, "AllocationBias": 0.11852853360374063, "StratumGap": 0.05989430416911333, "WeightedStratumGap": 0.009526567405893978 },
      { "StratumSummaryId": "appleton-1996-45-54-B", "Study": "appleton-1996", "StratumLabel": "45-54", "TreatmentLabel": "B", "Name": "appleton-1996-45-54-B", "StratumSuccesses": 12, "StratumCases": 78, "StratumSuccessRate": 0.15384615384615385, "StratumSuccessesA": 28, "StratumCasesA": 131, "StratumRateA": 0.21374045801526717, "StratumSuccessesB": 12, "StratumCasesB": 78, "StratumRateB": 0.15384615384615385, "StratumWinner": "A", "StudyTotalCases": 1314, "StratumTotalCases": 209, "StratumFraction": 0.15905631659056316, "WeightedStratumRate": 0.02447020255239433, "TreatmentACasesHere": 131, "TreatmentBCasesHere": 78, "TreatmentATotalCases": 582, "TreatmentBTotalCases": 732, "AllocationFractionA": 0.22508591065292097, "AllocationFractionB": 0.10655737704918032, "AllocationBias": 0.11852853360374063, "StratumGap": 0.05989430416911333, "WeightedStratumGap": 0.009526567405893978 },
      { "StratumSummaryId": "appleton-1996-55-64-A", "Study": "appleton-1996", "StratumLabel": "55-64", "TreatmentLabel": "A", "Name": "appleton-1996-55-64-A", "StratumSuccesses": 52, "StratumCases": 116, "StratumSuccessRate": 0.4482758620689655, "StratumSuccessesA": 52, "StratumCasesA": 116, "StratumRateA": 0.4482758620689655, "StratumSuccessesB": 41, "StratumCasesB": 122, "StratumRateB": 0.3360655737704918, "StratumWinner": "A", "StudyTotalCases": 1314, "StratumTotalCases": 238, "StratumFraction": 0.1811263318112633, "WeightedStratumRate": 0.08119456253608355, "TreatmentACasesHere": 116, "TreatmentBCasesHere": 122, "TreatmentATotalCases": 582, "TreatmentBTotalCases": 732, "AllocationFractionA": 0.19931271477663232, "AllocationFractionB": 0.16666666666666666, "AllocationBias": 0.03264604810996564, "StratumGap": 0.11221028829847371, "WeightedStratumGap": 0.020324237910986868 },
      { "StratumSummaryId": "appleton-1996-55-64-B", "Study": "appleton-1996", "StratumLabel": "55-64", "TreatmentLabel": "B", "Name": "appleton-1996-55-64-B", "StratumSuccesses": 41, "StratumCases": 122, "StratumSuccessRate": 0.3360655737704918, "StratumSuccessesA": 52, "StratumCasesA": 116, "StratumRateA": 0.4482758620689655, "StratumSuccessesB": 41, "StratumCasesB": 122, "StratumRateB": 0.3360655737704918, "StratumWinner": "A", "StudyTotalCases": 1314, "StratumTotalCases": 238, "StratumFraction": 0.1811263318112633, "WeightedStratumRate": 0.060870324625096686, "TreatmentACasesHere": 116, "TreatmentBCasesHere": 122, "TreatmentATotalCases": 582, "TreatmentBTotalCases": 732, "AllocationFractionA": 0.19931271477663232, "AllocationFractionB": 0.16666666666666666, "AllocationBias": 0.03264604810996564, "StratumGap": 0.11221028829847371, "WeightedStratumGap": 0.020324237910986868 },
      { "StratumSummaryId": "appleton-1996-65-74-A", "Study": "appleton-1996", "StratumLabel": "65-74", "TreatmentLabel": "A", "Name": "appleton-1996-65-74-A", "StratumSuccesses": 31, "StratumCases": 37, "StratumSuccessRate": 0.8378378378378378, "StratumSuccessesA": 31, "StratumCasesA": 37, "StratumRateA": 0.8378378378378378, "StratumSuccessesB": 101, "StratumCasesB": 129, "StratumRateB": 0.7829457364341085, "StratumWinner": "A", "StudyTotalCases": 1314, "StratumTotalCases": 166, "StratumFraction": 0.1263318112633181, "WeightedStratumRate": 0.10584557159899625, "TreatmentACasesHere": 37, "TreatmentBCasesHere": 129, "TreatmentATotalCases": 582, "TreatmentBTotalCases": 732, "AllocationFractionA": 0.06357388316151202, "AllocationFractionB": 0.1762295081967213, "AllocationBias": -0.11265562503520929, "StratumGap": 0.05489210140372931, "WeightedStratumGap": 0.00693461859438285 },
      { "StratumSummaryId": "appleton-1996-65-74-B", "Study": "appleton-1996", "StratumLabel": "65-74", "TreatmentLabel": "B", "Name": "appleton-1996-65-74-B", "StratumSuccesses": 101, "StratumCases": 129, "StratumSuccessRate": 0.7829457364341085, "StratumSuccessesA": 31, "StratumCasesA": 37, "StratumRateA": 0.8378378378378378, "StratumSuccessesB": 101, "StratumCasesB": 129, "StratumRateB": 0.7829457364341085, "StratumWinner": "A", "StudyTotalCases": 1314, "StratumTotalCases": 166, "StratumFraction": 0.1263318112633181, "WeightedStratumRate": 0.0989109530046134, "TreatmentACasesHere": 37, "TreatmentBCasesHere": 129, "TreatmentATotalCases": 582, "TreatmentBTotalCases": 732, "AllocationFractionA": 0.06357388316151202, "AllocationFractionB": 0.1762295081967213, "AllocationBias": -0.11265562503520929, "StratumGap": 0.05489210140372931, "WeightedStratumGap": 0.00693461859438285 },
      { "StratumSummaryId": "appleton-1996-75plus-A", "Study": "appleton-1996", "StratumLabel": "75+", "TreatmentLabel": "A", "Name": "appleton-1996-75plus-A", "StratumSuccesses": 13, "StratumCases": 13, "StratumSuccessRate": 1.0, "StratumSuccessesA": 13, "StratumCasesA": 13, "StratumRateA": 1.0, "StratumSuccessesB": 64, "StratumCasesB": 64, "StratumRateB": 1.0, "StratumWinner": "B", "StudyTotalCases": 1314, "StratumTotalCases": 77, "StratumFraction": 0.05859969558599695, "WeightedStratumRate": 0.05859969558599695, "TreatmentACasesHere": 13, "TreatmentBCasesHere": 64, "TreatmentATotalCases": 582, "TreatmentBTotalCases": 732, "AllocationFractionA": 0.022336769759450172, "AllocationFractionB": 0.08743169398907104, "AllocationBias": -0.06509492422962086, "StratumGap": 0.0, "WeightedStratumGap": 0.0 },
      { "StratumSummaryId": "appleton-1996-75plus-B", "Study": "appleton-1996", "StratumLabel": "75+", "TreatmentLabel": "B", "Name": "appleton-1996-75plus-B", "StratumSuccesses": 64, "StratumCases": 64, "StratumSuccessRate": 1.0, "StratumSuccessesA": 13, "StratumCasesA": 13, "StratumRateA": 1.0, "StratumSuccessesB": 64, "StratumCasesB": 64, "StratumRateB": 1.0, "StratumWinner": "B", "StudyTotalCases": 1314, "StratumTotalCases": 77, "StratumFraction": 0.05859969558599695, "WeightedStratumRate": 0.05859969558599695, "TreatmentACasesHere": 13, "TreatmentBCasesHere": 64, "TreatmentATotalCases": 582, "TreatmentBTotalCases": 732, "AllocationFractionA": 0.022336769759450172, "AllocationFractionB": 0.08743169398907104, "AllocationBias": -0.06509492422962086, "StratumGap": 0.0, "WeightedStratumGap": 0.0 },
      { "StratumSummaryId": "phe-covid-2021-under-50-A", "Study": "phe-covid-2021", "StratumLabel": "under 50", "TreatmentLabel": "A", "Name": "phe-covid-2021-under-50-A", "StratumSuccesses": 21, "StratumCases": 89807, "StratumSuccessRate": 0.00023383477902613381, "StratumSuccessesA": 21, "StratumCasesA": 89807, "StratumRateA": 0.00023383477902613381, "StratumSuccessesB": 48, "StratumCasesB": 147612, "StratumRateB": 0.00032517681489309814, "StratumWinner": "B", "StudyTotalCases": 268166, "StratumTotalCases": 237419, "StratumFraction": 0.8853434066958525, "WeightedStratumRate": 0.0002070240798669692, "TreatmentACasesHere": 89807, "TreatmentBCasesHere": 147612, "TreatmentATotalCases": 117114, "TreatmentBTotalCases": 151052, "AllocationFractionA": 0.766834024967126, "AllocationFractionB": 0.9772263856155496, "AllocationBias": -0.21039236064842357, "StratumGap": -9.13420358669643e-05, "WeightedStratumGap": -8.086906920899292e-05 },
      { "StratumSummaryId": "phe-covid-2021-under-50-B", "Study": "phe-covid-2021", "StratumLabel": "under 50", "TreatmentLabel": "B", "Name": "phe-covid-2021-under-50-B", "StratumSuccesses": 48, "StratumCases": 147612, "StratumSuccessRate": 0.00032517681489309814, "StratumSuccessesA": 21, "StratumCasesA": 89807, "StratumRateA": 0.00023383477902613381, "StratumSuccessesB": 48, "StratumCasesB": 147612, "StratumRateB": 0.00032517681489309814, "StratumWinner": "B", "StudyTotalCases": 268166, "StratumTotalCases": 237419, "StratumFraction": 0.8853434066958525, "WeightedStratumRate": 0.00028789314907596214, "TreatmentACasesHere": 89807, "TreatmentBCasesHere": 147612, "TreatmentATotalCases": 117114, "TreatmentBTotalCases": 151052, "AllocationFractionA": 0.766834024967126, "AllocationFractionB": 0.9772263856155496, "AllocationBias": -0.21039236064842357, "StratumGap": -9.13420358669643e-05, "WeightedStratumGap": -8.086906920899292e-05 },
      { "StratumSummaryId": "phe-covid-2021-50plus-A", "Study": "phe-covid-2021", "StratumLabel": "50 +", "TreatmentLabel": "A", "Name": "phe-covid-2021-50plus-A", "StratumSuccesses": 460, "StratumCases": 27307, "StratumSuccessRate": 0.0168454974914857, "StratumSuccessesA": 460, "StratumCasesA": 27307, "StratumRateA": 0.0168454974914857, "StratumSuccessesB": 205, "StratumCasesB": 3440, "StratumRateB": 0.059593023255813955, "StratumWinner": "B", "StudyTotalCases": 268166, "StratumTotalCases": 30747, "StratumFraction": 0.11465659330414743, "WeightedStratumRate": 0.0019314473548873116, "TreatmentACasesHere": 27307, "TreatmentBCasesHere": 3440, "TreatmentATotalCases": 117114, "TreatmentBTotalCases": 151052, "AllocationFractionA": 0.23316597503287395, "AllocationFractionB": 0.02277361438445039, "AllocationBias": 0.21039236064842357, "StratumGap": -0.042747525764328255, "WeightedStratumGap": -0.004901285676319148 },
      { "StratumSummaryId": "phe-covid-2021-50plus-B", "Study": "phe-covid-2021", "StratumLabel": "50 +", "TreatmentLabel": "B", "Name": "phe-covid-2021-50plus-B", "StratumSuccesses": 205, "StratumCases": 3440, "StratumSuccessRate": 0.059593023255813955, "StratumSuccessesA": 460, "StratumCasesA": 27307, "StratumRateA": 0.0168454974914857, "StratumSuccessesB": 205, "StratumCasesB": 3440, "StratumRateB": 0.059593023255813955, "StratumWinner": "B", "StudyTotalCases": 268166, "StratumTotalCases": 30747, "StratumFraction": 0.11465659330414743, "WeightedStratumRate": 0.006832733031206461, "TreatmentACasesHere": 27307, "TreatmentBCasesHere": 3440, "TreatmentATotalCases": 117114, "TreatmentBTotalCases": 151052, "AllocationFractionA": 0.23316597503287395, "AllocationFractionB": 0.02277361438445039, "AllocationBias": 0.21039236064842357, "StratumGap": -0.042747525764328255, "WeightedStratumGap": -0.004901285676319148 },
      { "StratumSummaryId": "hannan-1994-high-risk-A", "Study": "hannan-1994", "StratumLabel": "high-risk", "TreatmentLabel": "A", "Name": "hannan-1994-high-risk-A", "StratumSuccesses": 466, "StratumCases": 490, "StratumSuccessRate": 0.9510204081632653, "StratumSuccessesA": 466, "StratumCasesA": 490, "StratumRateA": 0.9510204081632653, "StratumSuccessesB": 64, "StratumCasesB": 80, "StratumRateB": 0.8, "StratumWinner": "A", "StudyTotalCases": 1100, "StratumTotalCases": 570, "StratumFraction": 0.5181818181818182, "WeightedStratumRate": 0.49280148423005565, "TreatmentACasesHere": 490, "TreatmentBCasesHere": 80, "TreatmentATotalCases": 700, "TreatmentBTotalCases": 400, "AllocationFractionA": 0.7, "AllocationFractionB": 0.2, "AllocationBias": 0.5, "StratumGap": 0.1510204081632653, "WeightedStratumGap": 0.07825602968460112 },
      { "StratumSummaryId": "hannan-1994-high-risk-B", "Study": "hannan-1994", "StratumLabel": "high-risk", "TreatmentLabel": "B", "Name": "hannan-1994-high-risk-B", "StratumSuccesses": 64, "StratumCases": 80, "StratumSuccessRate": 0.8, "StratumSuccessesA": 466, "StratumCasesA": 490, "StratumRateA": 0.9510204081632653, "StratumSuccessesB": 64, "StratumCasesB": 80, "StratumRateB": 0.8, "StratumWinner": "A", "StudyTotalCases": 1100, "StratumTotalCases": 570, "StratumFraction": 0.5181818181818182, "WeightedStratumRate": 0.41454545454545455, "TreatmentACasesHere": 490, "TreatmentBCasesHere": 80, "TreatmentATotalCases": 700, "TreatmentBTotalCases": 400, "AllocationFractionA": 0.7, "AllocationFractionB": 0.2, "AllocationBias": 0.5, "StratumGap": 0.1510204081632653, "WeightedStratumGap": 0.07825602968460112 },
      { "StratumSummaryId": "hannan-1994-low-risk-A", "Study": "hannan-1994", "StratumLabel": "low-risk", "TreatmentLabel": "A", "Name": "hannan-1994-low-risk-A", "StratumSuccesses": 208, "StratumCases": 210, "StratumSuccessRate": 0.9904761904761905, "StratumSuccessesA": 208, "StratumCasesA": 210, "StratumRateA": 0.9904761904761905, "StratumSuccessesB": 310, "StratumCasesB": 320, "StratumRateB": 0.96875, "StratumWinner": "A", "StudyTotalCases": 1100, "StratumTotalCases": 530, "StratumFraction": 0.4818181818181818, "WeightedStratumRate": 0.4772294372294372, "TreatmentACasesHere": 210, "TreatmentBCasesHere": 320, "TreatmentATotalCases": 700, "TreatmentBTotalCases": 400, "AllocationFractionA": 0.3, "AllocationFractionB": 0.8, "AllocationBias": -0.5, "StratumGap": 0.021726190476190475, "WeightedStratumGap": 0.010468073593073593 },
      { "StratumSummaryId": "hannan-1994-low-risk-B", "Study": "hannan-1994", "StratumLabel": "low-risk", "TreatmentLabel": "B", "Name": "hannan-1994-low-risk-B", "StratumSuccesses": 310, "StratumCases": 320, "StratumSuccessRate": 0.96875, "StratumSuccessesA": 208, "StratumCasesA": 210, "StratumRateA": 0.9904761904761905, "StratumSuccessesB": 310, "StratumCasesB": 320, "StratumRateB": 0.96875, "StratumWinner": "A", "StudyTotalCases": 1100, "StratumTotalCases": 530, "StratumFraction": 0.4818181818181818, "WeightedStratumRate": 0.4667613636363636, "TreatmentACasesHere": 210, "TreatmentBCasesHere": 320, "TreatmentATotalCases": 700, "TreatmentBTotalCases": 400, "AllocationFractionA": 0.3, "AllocationFractionB": 0.8, "AllocationBias": -0.5, "StratumGap": 0.021726190476190475, "WeightedStratumGap": 0.010468073593073593 },
      { "StratumSummaryId": "titanic-1912-male-A", "Study": "titanic-1912", "StratumLabel": "male", "TreatmentLabel": "A", "Name": "titanic-1912-male-A", "StratumSuccesses": 57, "StratumCases": 175, "StratumSuccessRate": 0.32571428571428573, "StratumSuccessesA": 57, "StratumCasesA": 175, "StratumRateA": 0.32571428571428573, "StratumSuccessesB": 75, "StratumCasesB": 462, "StratumRateB": 0.16233766233766234, "StratumWinner": "A", "StudyTotalCases": 946, "StratumTotalCases": 637, "StratumFraction": 0.6733615221987315, "WeightedStratumRate": 0.21932346723044396, "TreatmentACasesHere": 175, "TreatmentBCasesHere": 462, "TreatmentATotalCases": 319, "TreatmentBTotalCases": 627, "AllocationFractionA": 0.54858934169279, "AllocationFractionB": 0.7368421052631579, "AllocationBias": -0.18825276357036794, "StratumGap": 0.16337662337662337, "WeightedStratumGap": 0.11001153180857198 },
      { "StratumSummaryId": "titanic-1912-male-B", "Study": "titanic-1912", "StratumLabel": "male", "TreatmentLabel": "B", "Name": "titanic-1912-male-B", "StratumSuccesses": 75, "StratumCases": 462, "StratumSuccessRate": 0.16233766233766234, "StratumSuccessesA": 57, "StratumCasesA": 175, "StratumRateA": 0.32571428571428573, "StratumSuccessesB": 75, "StratumCasesB": 462, "StratumRateB": 0.16233766233766234, "StratumWinner": "A", "StudyTotalCases": 946, "StratumTotalCases": 637, "StratumFraction": 0.6733615221987315, "WeightedStratumRate": 0.109311935421872, "TreatmentACasesHere": 175, "TreatmentBCasesHere": 462, "TreatmentATotalCases": 319, "TreatmentBTotalCases": 627, "AllocationFractionA": 0.54858934169279, "AllocationFractionB": 0.7368421052631579, "AllocationBias": -0.18825276357036794, "StratumGap": 0.16337662337662337, "WeightedStratumGap": 0.11001153180857198 },
      { "StratumSummaryId": "titanic-1912-female-A", "Study": "titanic-1912", "StratumLabel": "female", "TreatmentLabel": "A", "Name": "titanic-1912-female-A", "StratumSuccesses": 139, "StratumCases": 144, "StratumSuccessRate": 0.9652777777777778, "StratumSuccessesA": 139, "StratumCasesA": 144, "StratumRateA": 0.9652777777777778, "StratumSuccessesB": 76, "StratumCasesB": 165, "StratumRateB": 0.46060606060606063, "StratumWinner": "A", "StudyTotalCases": 946, "StratumTotalCases": 309, "StratumFraction": 0.3266384778012685, "WeightedStratumRate": 0.3152968639887245, "TreatmentACasesHere": 144, "TreatmentBCasesHere": 165, "TreatmentATotalCases": 319, "TreatmentBTotalCases": 627, "AllocationFractionA": 0.45141065830721006, "AllocationFractionB": 0.2631578947368421, "AllocationBias": 0.18825276357036794, "StratumGap": 0.5046717171717172, "WeightedStratumGap": 0.164845201486322 },
      { "StratumSummaryId": "titanic-1912-female-B", "Study": "titanic-1912", "StratumLabel": "female", "TreatmentLabel": "B", "Name": "titanic-1912-female-B", "StratumSuccesses": 76, "StratumCases": 165, "StratumSuccessRate": 0.46060606060606063, "StratumSuccessesA": 139, "StratumCasesA": 144, "StratumRateA": 0.9652777777777778, "StratumSuccessesB": 76, "StratumCasesB": 165, "StratumRateB": 0.46060606060606063, "StratumWinner": "A", "StudyTotalCases": 946, "StratumTotalCases": 309, "StratumFraction": 0.3266384778012685, "WeightedStratumRate": 0.15045166250240247, "TreatmentACasesHere": 144, "TreatmentBCasesHere": 165, "TreatmentATotalCases": 319, "TreatmentBTotalCases": 627, "AllocationFractionA": 0.45141065830721006, "AllocationFractionB": 0.2631578947368421, "AllocationBias": 0.18825276357036794, "StratumGap": 0.5046717171717172, "WeightedStratumGap": 0.164845201486322 },
      { "StratumSummaryId": "birth-weight-paradox-low-birth-weight-A", "Study": "birth-weight-paradox", "StratumLabel": "low-birth-weight", "TreatmentLabel": "A", "Name": "birth-weight-paradox-low-birth-weight-A", "StratumSuccesses": 960, "StratumCases": 1000, "StratumSuccessRate": 0.96, "StratumSuccessesA": 960, "StratumCasesA": 1000, "StratumRateA": 0.96, "StratumSuccessesB": 470, "StratumCasesB": 500, "StratumRateB": 0.94, "StratumWinner": "A", "StudyTotalCases": 7500, "StratumTotalCases": 1500, "StratumFraction": 0.2, "WeightedStratumRate": 0.192, "TreatmentACasesHere": 1000, "TreatmentBCasesHere": 500, "TreatmentATotalCases": 2000, "TreatmentBTotalCases": 5500, "AllocationFractionA": 0.5, "AllocationFractionB": 0.09090909090909091, "AllocationBias": 0.4090909090909091, "StratumGap": 0.02, "WeightedStratumGap": 0.004 },
      { "StratumSummaryId": "birth-weight-paradox-low-birth-weight-B", "Study": "birth-weight-paradox", "StratumLabel": "low-birth-weight", "TreatmentLabel": "B", "Name": "birth-weight-paradox-low-birth-weight-B", "StratumSuccesses": 470, "StratumCases": 500, "StratumSuccessRate": 0.94, "StratumSuccessesA": 960, "StratumCasesA": 1000, "StratumRateA": 0.96, "StratumSuccessesB": 470, "StratumCasesB": 500, "StratumRateB": 0.94, "StratumWinner": "A", "StudyTotalCases": 7500, "StratumTotalCases": 1500, "StratumFraction": 0.2, "WeightedStratumRate": 0.188, "TreatmentACasesHere": 1000, "TreatmentBCasesHere": 500, "TreatmentATotalCases": 2000, "TreatmentBTotalCases": 5500, "AllocationFractionA": 0.5, "AllocationFractionB": 0.09090909090909091, "AllocationBias": 0.4090909090909091, "StratumGap": 0.02, "WeightedStratumGap": 0.004 },
      { "StratumSummaryId": "birth-weight-paradox-normal-birth-weight-A", "Study": "birth-weight-paradox", "StratumLabel": "normal-birth-weight", "TreatmentLabel": "A", "Name": "birth-weight-paradox-normal-birth-weight-A", "StratumSuccesses": 995, "StratumCases": 1000, "StratumSuccessRate": 0.995, "StratumSuccessesA": 995, "StratumCasesA": 1000, "StratumRateA": 0.995, "StratumSuccessesB": 4980, "StratumCasesB": 5000, "StratumRateB": 0.996, "StratumWinner": "B", "StudyTotalCases": 7500, "StratumTotalCases": 6000, "StratumFraction": 0.8, "WeightedStratumRate": 0.796, "TreatmentACasesHere": 1000, "TreatmentBCasesHere": 5000, "TreatmentATotalCases": 2000, "TreatmentBTotalCases": 5500, "AllocationFractionA": 0.5, "AllocationFractionB": 0.9090909090909091, "AllocationBias": -0.4090909090909091, "StratumGap": -0.001, "WeightedStratumGap": -0.0008 },
      { "StratumSummaryId": "birth-weight-paradox-normal-birth-weight-B", "Study": "birth-weight-paradox", "StratumLabel": "normal-birth-weight", "TreatmentLabel": "B", "Name": "birth-weight-paradox-normal-birth-weight-B", "StratumSuccesses": 4980, "StratumCases": 5000, "StratumSuccessRate": 0.996, "StratumSuccessesA": 995, "StratumCasesA": 1000, "StratumRateA": 0.995, "StratumSuccessesB": 4980, "StratumCasesB": 5000, "StratumRateB": 0.996, "StratumWinner": "B", "StudyTotalCases": 7500, "StratumTotalCases": 6000, "StratumFraction": 0.8, "WeightedStratumRate": 0.7968, "TreatmentACasesHere": 1000, "TreatmentBCasesHere": 5000, "TreatmentATotalCases": 2000, "TreatmentBTotalCases": 5500, "AllocationFractionA": 0.5, "AllocationFractionB": 0.9090909090909091, "AllocationBias": -0.4090909090909091, "StratumGap": -0.001, "WeightedStratumGap": -0.0008 },
      { "StratumSummaryId": "melanoma-altman-1991-thin-A", "Study": "melanoma-altman-1991", "StratumLabel": "thin", "TreatmentLabel": "A", "Name": "melanoma-altman-1991-thin-A", "StratumSuccesses": 133, "StratumCases": 140, "StratumSuccessRate": 0.95, "StratumSuccessesA": 133, "StratumCasesA": 140, "StratumRateA": 0.95, "StratumSuccessesB": 70, "StratumCasesB": 80, "StratumRateB": 0.875, "StratumWinner": "A", "StudyTotalCases": 400, "StratumTotalCases": 220, "StratumFraction": 0.55, "WeightedStratumRate": 0.5225, "TreatmentACasesHere": 140, "TreatmentBCasesHere": 80, "TreatmentATotalCases": 200, "TreatmentBTotalCases": 200, "AllocationFractionA": 0.7, "AllocationFractionB": 0.4, "AllocationBias": 0.3, "StratumGap": 0.075, "WeightedStratumGap": 0.04125 },
      { "StratumSummaryId": "melanoma-altman-1991-thin-B", "Study": "melanoma-altman-1991", "StratumLabel": "thin", "TreatmentLabel": "B", "Name": "melanoma-altman-1991-thin-B", "StratumSuccesses": 70, "StratumCases": 80, "StratumSuccessRate": 0.875, "StratumSuccessesA": 133, "StratumCasesA": 140, "StratumRateA": 0.95, "StratumSuccessesB": 70, "StratumCasesB": 80, "StratumRateB": 0.875, "StratumWinner": "A", "StudyTotalCases": 400, "StratumTotalCases": 220, "StratumFraction": 0.55, "WeightedStratumRate": 0.48125, "TreatmentACasesHere": 140, "TreatmentBCasesHere": 80, "TreatmentATotalCases": 200, "TreatmentBTotalCases": 200, "AllocationFractionA": 0.7, "AllocationFractionB": 0.4, "AllocationBias": 0.3, "StratumGap": 0.075, "WeightedStratumGap": 0.04125 },
      { "StratumSummaryId": "melanoma-altman-1991-thick-A", "Study": "melanoma-altman-1991", "StratumLabel": "thick", "TreatmentLabel": "A", "Name": "melanoma-altman-1991-thick-A", "StratumSuccesses": 39, "StratumCases": 60, "StratumSuccessRate": 0.65, "StratumSuccessesA": 39, "StratumCasesA": 60, "StratumRateA": 0.65, "StratumSuccessesB": 66, "StratumCasesB": 120, "StratumRateB": 0.55, "StratumWinner": "A", "StudyTotalCases": 400, "StratumTotalCases": 180, "StratumFraction": 0.45, "WeightedStratumRate": 0.2925, "TreatmentACasesHere": 60, "TreatmentBCasesHere": 120, "TreatmentATotalCases": 200, "TreatmentBTotalCases": 200, "AllocationFractionA": 0.3, "AllocationFractionB": 0.6, "AllocationBias": -0.3, "StratumGap": 0.1, "WeightedStratumGap": 0.045 },
      { "StratumSummaryId": "melanoma-altman-1991-thick-B", "Study": "melanoma-altman-1991", "StratumLabel": "thick", "TreatmentLabel": "B", "Name": "melanoma-altman-1991-thick-B", "StratumSuccesses": 66, "StratumCases": 120, "StratumSuccessRate": 0.55, "StratumSuccessesA": 39, "StratumCasesA": 60, "StratumRateA": 0.65, "StratumSuccessesB": 66, "StratumCasesB": 120, "StratumRateB": 0.55, "StratumWinner": "A", "StudyTotalCases": 400, "StratumTotalCases": 180, "StratumFraction": 0.45, "WeightedStratumRate": 0.2475, "TreatmentACasesHere": 60, "TreatmentBCasesHere": 120, "TreatmentATotalCases": 200, "TreatmentBTotalCases": 200, "AllocationFractionA": 0.3, "AllocationFractionB": 0.6, "AllocationBias": -0.3, "StratumGap": 0.1, "WeightedStratumGap": 0.045 },
      { "StratumSummaryId": "coffee-tverdal-2020-non-smoker-A", "Study": "coffee-tverdal-2020", "StratumLabel": "non-smoker", "TreatmentLabel": "A", "Name": "coffee-tverdal-2020-non-smoker-A", "StratumSuccesses": 920, "StratumCases": 1000, "StratumSuccessRate": 0.92, "StratumSuccessesA": 920, "StratumCasesA": 1000, "StratumRateA": 0.92, "StratumSuccessesB": 890, "StratumCasesB": 1000, "StratumRateB": 0.89,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0.03, "WeightedStratumGap": 0.015 },
      { "StratumSummaryId": "coffee-tverdal-2020-non-smoker-B", "Study": "coffee-tverdal-2020", "StratumLabel": "non-smoker", "TreatmentLabel": "B", "Name": "coffee-tverdal-2020-non-smoker-B", "StratumSuccesses": 890, "StratumCases": 1000, "StratumSuccessRate": 0.89, "StratumSuccessesA": 920, "StratumCasesA": 1000, "StratumRateA": 0.92, "StratumSuccessesB": 890, "StratumCasesB": 1000, "StratumRateB": 0.89, "StratumWinner": "A", "StudyTotalCases": 4000, "StratumTotalCases": 2000, "StratumFraction": 0.5, "WeightedStratumRate": 0.445, "TreatmentACasesHere": 1000, "TreatmentBCasesHere": 1000, "TreatmentATotalCases": 2000, "TreatmentBTotalCases": 2000, "AllocationFractionA": 0.5, "AllocationFractionB": 0.5, "AllocationBias": 0.0, "StratumGap": 0.03, "WeightedStratumGap": 0.015 },
      { "StratumSummaryId": "coffee-tverdal-2020-smoker-A", "Study": "coffee-tverdal-2020", "StratumLabel": "smoker", "TreatmentLabel": "A", "Name": "coffee-tverdal-2020-smoker-</t>
  </si>
  <si>
    <t xml:space="preserve">A", "StratumSuccesses": 820, "StratumCases": 1000, "StratumSuccessRate": 0.82, "StratumSuccessesA": 820, "StratumCasesA": 1000, "StratumRateA": 0.82, "StratumSuccessesB": 800, "StratumCasesB": 1000, "StratumRateB": 0.8, "StratumWinner": "A", "StudyTotalCases": 4000, "StratumTotalCases": 2000, "StratumFraction": 0.5, "WeightedStratumRate": 0.41, "TreatmentACasesHere": 1000, "TreatmentBCasesHere": 1000, "TreatmentATotalCases": 2000, "TreatmentBTotalCases": 2000, "AllocationFractionA": 0.5, "AllocationFractionB": 0.5, "AllocationBias": 0.0, "StratumGap": 0.02, "WeightedStratumGap": 0.01 },
      { "StratumSummaryId": "coffee-tverdal-2020-smoker-B", "Study": "coffee-tverdal-2020", "StratumLabel": "smoker", "TreatmentLabel": "B", "Name": "coffee-tverdal-2020-smoker-B", "StratumSuccesses": 800, "StratumCases": 1000, "StratumSuccessRate": 0.8, "StratumSuccessesA": 820, "StratumCasesA": 1000, "StratumRateA": 0.82, "StratumSuccessesB": 800, "StratumCasesB": 1000, "StratumRateB": 0.8, "StratumWinner": "A", "StudyTotalCases": 4000, "StratumTotalCases": 2000, "StratumFraction": 0.5, "WeightedStratumRate": 0.4, "TreatmentACasesHere": 1000, "TreatmentBCasesHere": 1000, "TreatmentATotalCases": 2000, "TreatmentBTotalCases": 2000, "AllocationFractionA": 0.5, "AllocationFractionB": 0.5, "AllocationBias": 0.0, "StratumGap": 0.02, "WeightedStratumGap": 0.01 },
      { "StratumSummaryId": "sat-wainer-1986-low-spending-A", "Study": "sat-wainer-1986", "StratumLabel": "low-spending", "TreatmentLabel": "A", "Name": "sat-wainer-1986-low-spending-A", "StratumSuccesses": 240, "StratumCases": 600, "StratumSuccessRate": 0.4, "StratumSuccessesA": 240, "StratumCasesA": 600, "StratumRateA": 0.4, "StratumSuccessesB": 35, "StratumCasesB": 100, "StratumRateB": 0.35, "StratumWinner": "A", "StudyTotalCases": 1150, "StratumTotalCases": 700, "StratumFraction": 0.6086956521739131, "WeightedStratumRate": 0.24347826086956523, "TreatmentACasesHere": 600, "TreatmentBCasesHere": 100, "TreatmentATotalCases": 1000, "TreatmentBTotalCases": 150, "AllocationFractionA": 0.6, "AllocationFractionB": 0.6666666666666666, "AllocationBias": -0.06666666666666667, "StratumGap": 0.05, "WeightedStratumGap": 0.030434782608695653 },
      { "StratumSummaryId": "sat-wainer-1986-low-spending-B", "Study": "sat-wainer-1986", "StratumLabel": "low-spending", "TreatmentLabel": "B", "Name": "sat-wainer-1986-low-spending-B", "StratumSuccesses": 35, "StratumCases": 100, "StratumSuccessRate": 0.35, "StratumSuccessesA": 240, "StratumCasesA": 600, "StratumRateA": 0.4, "StratumSuccessesB": 35, "StratumCasesB": 100, "StratumRateB": 0.35, "StratumWinner": "A", "StudyTotalCases": 1150, "StratumTotalCases": 700, "StratumFraction": 0.6086956521739131, "WeightedStratumRate": 0.21304347826086956, "TreatmentACasesHere": 600, "TreatmentBCasesHere": 100, "TreatmentATotalCases": 1000, "TreatmentBTotalCases": 150, "AllocationFractionA": 0.6, "AllocationFractionB": 0.6666666666666666, "AllocationBias": -0.06666666666666667, "StratumGap": 0.05, "WeightedStratumGap": 0.030434782608695653 },
      { "StratumSummaryId": "sat-wainer-1986-high-spending-A", "Study": "sat-wainer-1986", "StratumLabel": "high-spending", "TreatmentLabel": "A", "Name": "sat-wainer-1986-high-spending-A", "StratumSuccesses": 280, "StratumCases": 400, "StratumSuccessRate": 0.7, "StratumSuccessesA": 280, "StratumCasesA": 400, "StratumRateA": 0.7, "StratumSuccessesB": 40, "StratumCasesB": 50, "StratumRateB": 0.8, "StratumWinner": "B", "StudyTotalCases": 1150, "StratumTotalCases": 450, "StratumFraction": 0.391304347826087, "WeightedStratumRate": 0.27391304347826084, "TreatmentACasesHere": 400, "TreatmentBCasesHere": 50, "TreatmentATotalCases": 1000, "TreatmentBTotalCases": 150, "AllocationFractionA": 0.4, "AllocationFractionB": 0.3333333333333333, "AllocationBias": 0.06666666666666667, "StratumGap": -0.1, "WeightedStratumGap": -0.0391304347826087 },
      { "StratumSummaryId": "sat-wainer-1986-high-spending-B", "Study": "sat-wainer-1986", "StratumLabel": "high-spending", "TreatmentLabel": "B", "Name": "sat-wainer-1986-high-spending-B", "StratumSuccesses": 40, "StratumCases": 50, "StratumSuccessRate": 0.8, "StratumSuccessesA": 280, "StratumCasesA": 400, "StratumRateA": 0.7, "StratumSuccessesB": 40, "StratumCasesB": 50, "StratumRateB": 0.8, "StratumWinner": "B", "StudyTotalCases": 1150, "StratumTotalCases": 450, "StratumFraction": 0.391304347826087, "WeightedStratumRate": 0.3130434782608696, "TreatmentACasesHere": 400, "TreatmentBCasesHere": 50, "TreatmentATotalCases": 1000, "TreatmentBTotalCases": 150, "AllocationFractionA": 0.4, "AllocationFractionB": 0.3333333333333333, "AllocationBias": 0.06666666666666667, "StratumGap": -0.1, "WeightedStratumGap": -0.0391304347826087 },
      { "StratumSummaryId": "rogers-nicewander-1988-infield-proxy-A", "Study": "rogers-nicewander-1988", "StratumLabel": "infield-proxy", "TreatmentLabel": "A", "Name": "rogers-nicewander-1988-infield-proxy-A", "StratumSuccesses": 11, "StratumCases": 29, "StratumSuccessRate": 0.3793103448275862, "StratumSuccessesA": 11, "StratumCasesA": 29, "StratumRateA": 0.3793103448275862, "StratumSuccessesB": 4, "StratumCasesB": 10, "StratumRateB": 0.4, "StratumWinner": "B", "StudyTotalCases": 58, "StratumTotalCases": 39, "StratumFraction": 0.6724137931034483, "WeightedStratumRate": 0.2550535077288942, "TreatmentACasesHere": 29, "TreatmentBCasesHere": 10, "TreatmentATotalCases": 36, "TreatmentBTotalCases": 22, "AllocationFractionA": 0.8055555555555556, "AllocationFractionB": 0.45454545454545453, "AllocationBias": 0.351010101010101, "StratumGap": -0.020689655172413793, "WeightedStratumGap": -0.013912009512485137 },
      { "StratumSummaryId": "rogers-nicewander-1988-infield-proxy-B", "Study": "rogers-nicewander-1988", "StratumLabel": "infield-proxy", "TreatmentLabel": "B", "Name": "rogers-nicewander-1988-infield-proxy-B", "StratumSuccesses": 4, "StratumCases": 10, "StratumSuccessRate": 0.4, "StratumSuccessesA": 11, "StratumCasesA": 29, "StratumRateA": 0.3793103448275862, "StratumSuccessesB": 4, "StratumCasesB": 10, "StratumRateB": 0.4, "StratumWinner": "B", "StudyTotalCases": 58, "StratumTotalCases": 39, "StratumFraction": 0.6724137931034483, "WeightedStratumRate": 0.2689655172413793, "TreatmentACasesHere": 29, "TreatmentBCasesHere": 10, "TreatmentATotalCases": 36, "TreatmentBTotalCases": 22, "AllocationFractionA": 0.8055555555555556, "AllocationFractionB": 0.45454545454545453, "AllocationBias": 0.351010101010101, "StratumGap": -0.020689655172413793, "WeightedStratumGap": -0.013912009512485137 },
      { "StratumSummaryId": "rogers-nicewander-1988-outfield-proxy-A", "Study": "rogers-nicewander-1988", "StratumLabel": "outfield-proxy", "TreatmentLabel": "A", "Name": "rogers-nicewander-1988-outfield-proxy-A", "StratumSuccesses": 1, "StratumCases": 7, "StratumSuccessRate": 0.14285714285714285, "StratumSuccessesA": 1, "StratumCasesA": 7, "StratumRateA": 0.14285714285714285, "StratumSuccessesB": 2, "StratumCasesB": 12, "StratumRateB": 0.16666666666666666, "StratumWinner": "B", "StudyTotalCases": 58, "StratumTotalCases": 19, "StratumFraction": 0.3275862068965517, "WeightedStratumRate": 0.046798029556650245, "TreatmentACasesHere": 7, "TreatmentBCasesHere": 12, "TreatmentATotalCases": 36, "TreatmentBTotalCases": 22, "AllocationFractionA": 0.19444444444444445, "AllocationFractionB": 0.5454545454545454, "AllocationBias": -0.351010101010101, "StratumGap": -0.023809523809523808, "WeightedStratumGap": -0.007799671592775041 },
      { "StratumSummaryId": "rogers-nicewander-1988-outfield-proxy-B", "Study": "rogers-nicewander-1988", "StratumLabel": "outfield-proxy", "TreatmentLabel": "B", "Name": "rogers-nicewander-1988-outfield-proxy-B", "StratumSuccesses": 2, "StratumCases": 12, "StratumSuccessRate": 0.16666666666666666, "StratumSuccessesA": 1, "StratumCasesA": 7, "StratumRateA": 0.14285714285714285, "StratumSuccessesB": 2, "StratumCasesB": 12, "StratumRateB": 0.16666666666666666, "StratumWinner": "B", "StudyTotalCases": 58, "StratumTotalCases": 19, "StratumFraction": 0.3275862068965517, "WeightedStratumRate": 0.05459770114942529, "TreatmentACasesHere": 7, "TreatmentBCasesHere": 12, "TreatmentATotalCases": 36, "TreatmentBTotalCases": 22, "AllocationFractionA": 0.19444444444444445, "AllocationFractionB": 0.5454545454545454, "AllocationBias": -0.351010101010101, "StratumGap": -0.023809523809523808, "WeightedStratumGap": -0.007799671592775041 },
      { "StratumSummaryId": "lucente-baseball-1995-first-half-A", "Study": "lucente-baseball-1995", "StratumLabel": "first-half", "TreatmentLabel": "A", "Name": "lucente-baseball-1995-first-half-A", "StratumSuccesses": 52, "StratumCases": 180, "StratumSuccessRate": 0.28888888888888886, "StratumSuccessesA": 52, "StratumCasesA": 180, "StratumRateA": 0.28888888888888886, "StratumSuccessesB": 48, "StratumCasesB": 160, "StratumRateB": 0.3, "StratumWinner": "B", "StudyTotalCases": 690, "StratumTotalCases": 340, "StratumFraction": 0.4927536231884058, "WeightedStratumRate": 0.14235104669887277, "TreatmentACasesHere": 180, "TreatmentBCasesHere": 160, "TreatmentATotalCases": 330, "TreatmentBTotalCases": 360, "AllocationFractionA": 0.5454545454545454, "AllocationFractionB": 0.4444444444444444, "AllocationBias": 0.10101010101010101, "StratumGap": -0.011111111111111112, "WeightedStratumGap": -0.005475040257648953 },
      { "StratumSummaryId": "lucente-baseball-1995-first-half-B", "Study": "lucente-baseball-1995", "StratumLabel": "first-half", "TreatmentLabel": "B", "Name": "lucente-baseball-1995-first-half-B", "StratumSuccesses": 48, "StratumCases": 160, "StratumSuccessRate": 0.3, "StratumSuccessesA": 52, "StratumCasesA": 180, "StratumRateA": 0.28888888888888886, "StratumSuccessesB": 48, "StratumCasesB": 160, "StratumRateB": 0.3, "StratumWinner": "B", "StudyTotalCases": 690, "StratumTotalCases": 340, "StratumFraction": 0.4927536231884058, "WeightedStratumRate": 0.14782608695652175, "TreatmentACasesHere": 180, "TreatmentBCasesHere": 160, "TreatmentATotalCases": 330, "TreatmentBTotalCases": 360, "AllocationFractionA": 0.5454545454545454, "AllocationFractionB": 0.4444444444444444, "AllocationBias": 0.10101010101010101, "StratumGap": -0.011111111111111112, "WeightedStratumGap": -0.005475040257648953 },
      { "StratumSummaryId": "lucente-baseball-1995-second-half-A", "Study": "lucente-baseball-1995", "StratumLabel": "second-half", "TreatmentLabel": "A", "Name": "lucente-baseball-1995-second-half-A", "StratumSuccesses": 45, "StratumCases": 150, "StratumSuccessRate": 0.3, "StratumSuccessesA": 45, "StratumCasesA": 150, "StratumRateA": 0.3, "StratumSuccessesB": 55, "StratumCasesB": 200, "StratumRateB": 0.275, "StratumWinner": "A", "StudyTotalCases": 690, "StratumTotalCases": 350, "StratumFraction": 0.5072463768115942, "WeightedStratumRate": 0.15217391304347827, "TreatmentACasesHere": 150, "TreatmentBCasesHere": 200, "TreatmentATotalCases": 330, "TreatmentBTotalCases": 360, "AllocationFractionA": 0.45454545454545453, "AllocationFractionB": 0.5555555555555556, "AllocationBias": -0.10101010101010101, "StratumGap": 0.025, "WeightedStratumGap": 0.012681159420289856 },
      { "StratumSummaryId": "lucente-baseball-1995-second-half-B", "Study": "lucente-baseball-1995", "StratumLabel": "second-half", "TreatmentLabel": "B", "Name": "lucente-baseball-1995-second-half-B", "StratumSuccesses": 55, "StratumCases": 200, "StratumSuccessRate": 0.275, "StratumSuccessesA": 45, "StratumCasesA": 150, "StratumRateA": 0.3, "StratumSuccessesB": 55, "StratumCasesB": 200, "StratumRateB": 0.275, "StratumWinner": "A", "StudyTotalCases": 690, "StratumTotalCases": 350, "StratumFraction": 0.5072463768115942, "WeightedStratumRate": 0.13949275362318841, "TreatmentACasesHere": 150, "TreatmentBCasesHere": 200, "TreatmentATotalCases": 330, "TreatmentBTotalCases": 360, "AllocationFractionA": 0.45454545454545453, "AllocationFractionB": 0.5555555555555556, "AllocationBias": -0.10101010101010101, "StratumGap": 0.025, "WeightedStratumGap": 0.012681159420289856 },
      { "StratumSummaryId": "wilson-batting-2000-early-innings-A", "Study": "wilson-batting-2000", "StratumLabel": "early-innings", "TreatmentLabel": "A", "Name": "wilson-batting-2000-early-innings-A", "StratumSuccesses": 38, "StratumCases": 120, "StratumSuccessRate": 0.31666666666666665, "StratumSuccessesA": 38, "StratumCasesA": 120, "StratumRateA": 0.31666666666666665, "StratumSuccessesB": 42, "StratumCasesB": 130, "StratumRateB": 0.3230769230769231, "StratumWinner": "B", "StudyTotalCases": 380, "StratumTotalCases": 250, "StratumFraction": 0.6578947368421053, "WeightedStratumRate": 0.20833333333333334, "TreatmentACasesHere": 120, "TreatmentBCasesHere": 130, "TreatmentATotalCases": 180, "TreatmentBTotalCases": 200, "AllocationFractionA": 0.6666666666666666, "AllocationFractionB": 0.65, "AllocationBias": 0.016666666666666666, "StratumGap": -0.00641025641025641, "WeightedStratumGap": -0.004217273954116059 },
      { "StratumSummaryId": "wilson-batting-2000-early-innings-B", "Study": "wilson-batting-2000", "StratumLabel": "early-innings", "TreatmentLabel": "B", "Name": "wilson-batting-2000-early-innings-B", "StratumSuccesses": 42, "StratumCases": 130, "StratumSuccessRate": 0.3230769230769231, "StratumSuccessesA": 38, "StratumCasesA": 120, "StratumRateA": 0.31666666666666665, "StratumSuccessesB": 42, "StratumCasesB": 130, "StratumRateB": 0.3230769230769231, "StratumWinner": "B", "StudyTotalCases": 380, "StratumTotalCases": 250, "StratumFraction": 0.6578947368421053, "WeightedStratumRate": 0.2125506072874494, "TreatmentACasesHere": 120, "TreatmentBCasesHere": 130, "TreatmentATotalCases": 180, "TreatmentBTotalCases": 200, "AllocationFractionA": 0.6666666666666666, "AllocationFractionB": 0.65, "AllocationBias": 0.016666666666666666, "StratumGap": -0.00641025641025641, "WeightedStratumGap": -0.004217273954116059 },
      { "StratumSummaryId": "wilson-batting-2000-late-innings-A", "Study": "wilson-batting-2000", "StratumLabel": "late-innings", "TreatmentLabel": "A", "Name": "wilson-batting-2000-late-innings-A", "StratumSuccesses": 15, "StratumCases": 60, "StratumSuccessRate": 0.25, "StratumSuccessesA": 15, "StratumCasesA": 60, "StratumRateA": 0.25, "StratumSuccessesB": 18, "StratumCasesB": 70, "StratumRateB": 0.2571428571428571, "StratumWinner": "B", "StudyTotalCases": 380, "StratumTotalCases": 130, "StratumFraction": 0.34210526315789475, "WeightedStratumRate": 0.08552631578947369, "TreatmentACasesHere": 60, "TreatmentBCasesHere": 70, "TreatmentATotalCases": 180, "TreatmentBTotalCases": 200, "AllocationFractionA": 0.3333333333333333, "AllocationFractionB": 0.35, "AllocationBias": -0.016666666666666666, "StratumGap": -0.007142857142857143, "WeightedStratumGap": -0.002443609022556391 },
      { "StratumSummaryId": "wilson-batting-2000-late-innings-B", "Study": "wilson-batting-2000", "StratumLabel": "late-innings", "TreatmentLabel": "B", "Name": "wilson-batting-2000-late-innings-B", "StratumSuccesses": 18, "StratumCases": 70, "StratumSuccessRate": 0.2571428571428571, "StratumSuccessesA": 15, "StratumCasesA": 60, "StratumRateA": 0.25, "StratumSuccessesB": 18, "StratumCasesB": 70, "StratumRateB": 0.2571428571428571, "StratumWinner": "B", "StudyTotalCases": 380, "StratumTotalCases": 130, "StratumFraction": 0.34210526315789475, "WeightedStratumRate": 0.08796992481203007, "TreatmentACasesHere": 60, "TreatmentBCasesHere": 70, "TreatmentATotalCases": 180, "TreatmentBTotalCases": 200, "AllocationFractionA": 0.3333333333333333, "AllocationFractionB": 0.35, "AllocationBias": -0.016666666666666666, "StratumGap": -0.007142857142857143, "WeightedStratumGap": -0.002443609022556391 },
      { "StratumSummaryId": "clemens-bly-1998-home-A", "Study": "clemens-bly-1998", "StratumLabel": "home", "TreatmentLabel": "A", "Name": "clemens-bly-1998-home-A", "StratumSuccesses": 28, "StratumCases": 90, "StratumSuccessRate": 0.3111111111111111, "StratumSuccessesA": 28, "StratumCasesA": 90, "StratumRateA": 0.3111111111111111, "StratumSuccessesB": 32, "StratumCasesB": 100, "StratumRateB": 0.32, "StratumWinner": "B", "StudyTotalCases": 295, "StratumTotalCases": 190, "StratumFraction": 0.6440677966101694, "WeightedStratumRate": 0.20037664783427495, "TreatmentACasesHere": 90, "TreatmentBCasesHere": 100, "TreatmentATotalCases": 140, "TreatmentBTotalCases": 155, "AllocationFractionA": 0.6428571428571429, "AllocationFractionB": 0.6451612903225806, "AllocationBias": -0.002304147465437788, "StratumGap": -0.008888888888888889, "WeightedStratumGap": -0.0057250470809792845 },
      { "StratumSummaryId": "clemens-bly-1998-home-B", "Study": "clemens-bly-1998", "StratumLabel": "home", "TreatmentLabel": "B", "Name": "clemens-bly-1998-home-B", "StratumSuccesses": 32, "StratumCases": 100, "StratumSuccessRate": 0.32, "StratumSuccessesA": 28, "StratumCasesA": 90, "StratumRateA": 0.3111111111111111, "StratumSuccessesB": 32, "StratumCasesB": 100, "StratumRateB": 0.32, "StratumWinner": "B", "StudyTotalCases": 295, "StratumTotalCases": 190, "StratumFraction": 0.6440677966101694, "WeightedStratumRate": 0.20610169491525424, "TreatmentACasesHere": 90, "TreatmentBCasesHere": 100, "TreatmentATotalCases": 140, "TreatmentBTotalCases": 155, "AllocationFractionA": 0.6428571428571429, "AllocationFractionB": 0.6451612903225806, "AllocationBias": -0.002304147465437788, "StratumGap": -0.008888888888888889, "WeightedStratumGap": -0.0057250470809792845 },
      { "StratumSummaryId": "clemens-bly-1998-away-A", "Study": "clemens-bly-1998", "StratumLabel": "away", "TreatmentLabel": "A", "Name": "clemens-bly-1998-away-A", "StratumSuccesses": 12, "StratumCases": 50, "StratumSuccessRate": 0.24, "StratumSuccessesA": 12, "StratumCasesA": 50, "StratumRateA": 0.24, "StratumSuccessesB": 14, "StratumCasesB": 55, "StratumRateB": 0.2545454545454545, "StratumWinner": "B", "StudyTotalCases": 295, "StratumTotalCases": 105, "StratumFraction": 0.3559322033898305, "WeightedStratumRate": 0.08542372881355932, "TreatmentACasesHere": 50, "TreatmentBCasesHere": 55, "TreatmentATotalCases": 140, "TreatmentBTotalCases": 155, "AllocationFractionA": 0.35714285714285715, "AllocationFractionB": 0.3548387096774194, "AllocationBias": 0.002304147465437788, "StratumGap": -0.014545454545454545, "WeightedStratumGap": -0.005177195685670262 },
      { "StratumSummaryId": "clemens-bly-1998-away-B", "Study": "clemens-bly-1998", "StratumLabel": "away", "TreatmentLabel": "B", "Name": "clemens-bly-1998-away-B", "StratumSuccesses": 14, "StratumCases": 55, "StratumSuccessRate": 0.2545454545454545, "StratumSuccessesA": 12, "StratumCasesA": 50, "StratumRateA": 0.24, "StratumSuccessesB": 14, "StratumCasesB": 55, "StratumRateB": 0.2545454545454545, "StratumWinner": "B", "StudyTotalCases": 295, "StratumTotalCases": 105, "StratumFraction": 0.3559322033898305, "WeightedStratumRate": 0.09060092449922959, "TreatmentACasesHere": 50, "TreatmentBCasesHere": 55, "TreatmentATotalCases": 140, "TreatmentBTotalCases": 155, "AllocationFractionA": 0.35714285714285715, "AllocationFractionB": 0.3548387096774194, "AllocationBias": 0.002304147465437788, "StratumGap": -0.014545454545454545, "WeightedStratumGap": -0.005177195685670262 },
      { "StratumSummaryId": "open-university-1975-under-21-A", "Study": "open-university-1975", "StratumLabel": "under-21", "TreatmentLabel": "A", "Name": "open-university-1975-under-21-A", "StratumSuccesses": 843, "StratumCases": 1154, "StratumSuccessRate": 0.7305025996533796, "StratumSuccessesA": 843, "StratumCasesA": 1154, "StratumRateA": 0.7305025996533796, "StratumSuccessesB": 437, "StratumCasesB": 619, "StratumRateB": 0.7059773828756059, "StratumWinner": "A", "StudyTotalCases": 2523, "StratumTotalCases": 1773, "StratumFraction": 0.7027348394768134, "WeightedStratumRate": 0.5133496271048125, "TreatmentACasesHere": 1154, "TreatmentBCasesHere": 619, "TreatmentATotalCases": 1484, "TreatmentBTotalCases": 1039, "AllocationFractionA": 0.7776280323450134, "AllocationFractionB": 0.5957651588065448, "AllocationBias": 0.18186287353846872, "StratumGap": 0.024525216777773733, "WeightedStratumGap": 0.017234724275462875 },
      { "StratumSummaryId": "open-university-1975-under-21-B", "Study": "open-university-1975", "StratumLabel": "under-21", "TreatmentLabel": "B", "Name": "open-university-1975-under-21-B", "StratumSuccesses": 437, "StratumCases": 619, "StratumSuccessRate": 0.7059773828756059, "StratumSuccessesA": 843, "StratumCasesA": 1154, "StratumRateA": 0.7305025996533796, "StratumSuccessesB": 437, "StratumCasesB": 619, "StratumRateB": 0.7059773828756059, "StratumWinner": "A", "StudyTotalCases": 2523, "StratumTotalCases": 1773, "StratumFraction": 0.7027348394768134, "WeightedStratumRate": 0.4961149028293496, "TreatmentACasesHere": 1154, "TreatmentBCasesHere": 619, "TreatmentATotalCases": 1484, "TreatmentBTotalCases": 1039, "AllocationFractionA": 0.7776280323450134, "AllocationFractionB": 0.5957651588065448, "AllocationBias": 0.18186287353846872, "StratumGap": 0.024525216777773733, "WeightedStratumGap": 0.017234724275462875 },
      { "StratumSummaryId": "open-university-1975-21-to-40-A", "Study": "open-university-1975", "StratumLabel": "21-to-40", "TreatmentLabel": "A", "Name": "open-university-1975-21-to-40-A", "StratumSuccesses": 180, "StratumCases": 250, "StratumSuccessRate": 0.72, "StratumSuccessesA": 180, "StratumCasesA": 250, "StratumRateA": 0.72, "StratumSuccessesB": 240, "StratumCasesB": 320, "StratumRateB": 0.75, "StratumWinner": "B", "StudyTotalCases": 2523, "StratumTotalCases": 570, "StratumFraction": 0.2259215219976219, "WeightedStratumRate": 0.16266349583828776, "TreatmentACasesHere": 250, "TreatmentBCasesHere": 320, "TreatmentATotalCases": 1484, "TreatmentBTotalCases": 1039, "AllocationFractionA": 0.16846361185983827, "AllocationFractionB": 0.30798845043310874, "AllocationBias": -0.13952483857327047, "StratumGap": -0.03, "WeightedStratumGap": -0.0067776456599286565 },
      { "StratumSummaryId": "open-university-1975-21-to-40-B", "Study": "open-university-1975", "StratumLabel": "21-to-40", "TreatmentLabel": "B", "Name": "open-university-1975-21-to-40-B", "StratumSuccesses": 240, "StratumCases": 320, "StratumSuccessRate": 0.75, "StratumSuccessesA": 180, "StratumCasesA": 250, "StratumRateA": 0.72, "StratumSuccessesB": 240, "StratumCasesB": 320, "StratumRateB": 0.75, "StratumWinner": "B", "StudyTotalCases": 2523, "StratumTotalCases": 570, "StratumFraction": 0.2259215219976219, "WeightedStratumRate": 0.1694411414982164, "TreatmentACasesHere": 250, "TreatmentBCasesHere": 320, "TreatmentATotalCases": 1484, "TreatmentBTotalCases": 1039, "AllocationFractionA": 0.16846361185983827, "AllocationFractionB": 0.30798845043310874, "AllocationBias": -0.13952483857327047, "StratumGap": -0.03, "WeightedStratumGap": -0.0067776456599286565 },
      { "StratumSummaryId": "open-university-1975-over-40-A", "Study": "open-university-1975", "StratumLabel": "over-40", "TreatmentLabel": "A", "Name": "open-university-1975-over-40-A", "StratumSuccesses": 40, "StratumCases": 80, "StratumSuccessRate": 0.5, "StratumSuccessesA": 40, "StratumCasesA": 80, "StratumRateA": 0.5, "StratumSuccessesB": 60, "StratumCasesB": 100, "StratumRateB": 0.6, "StratumWinner": "B", "StudyTotalCases": 2523, "StratumTotalCases": 180, "StratumFraction": 0.0713436385255648, "WeightedStratumRate": 0.0356718192627824, "TreatmentACasesHere": 80, "TreatmentBCasesHere": 100, "TreatmentATotalCases": 1484, "TreatmentBTotalCases": 1039, "AllocationFractionA": 0.05390835579514825, "AllocationFractionB": 0.09624639076034648, "AllocationBias": -0.04233803496519824, "StratumGap": -0.1, "WeightedStratumGap": -0.007134363852556481 },
      { "StratumSummaryId": "open-university-1975-over-40-B", "Study": "open-university-1975", "StratumLabel": "over-40", "TreatmentLabel": "B", "Name": "open-university-1975-over-40-B", "StratumSuccesses": 60, "StratumCases": 100, "StratumSuccessRate": 0.6, "StratumSuccessesA": 40, "StratumCasesA": 80, "StratumRateA": 0.5, "StratumSuccessesB": 60, "StratumCasesB": 100, "StratumRateB": 0.6, "StratumWinner": "B", "StudyTotalCases": 2523, "StratumTotalCases": 180, "StratumFraction": 0.0713436385255648, "WeightedStratumRate": 0.04280618311533888, "TreatmentACasesHere": 80, "TreatmentBCasesHere": 100, "TreatmentATotalCases": 1484, "TreatmentBTotalCases": 1039, "AllocationFractionA": 0.05390835579514825, "AllocationFractionB": 0.09624639076034648, "AllocationBias": -0.04233803496519824, "StratumGap": -0.1, "WeightedStratumGap": -0.007134363852556481 },
      { "StratumSummaryId": "pisa-immigration-2015-high-performing-A", "Study": "pisa-immigration-2015", "StratumLabel": "high-performing", "TreatmentLabel": "A", "Name": "pisa-immigration-2015-high-performing-A", "StratumSuccesses": 420, "StratumCases": 500, "StratumSuccessRate": 0.84, "StratumSuccessesA": 420, "StratumCasesA": 500, "StratumRateA": 0.84, "StratumSuccessesB": 80, "StratumCasesB": 120, "StratumRateB": 0.6666666666666666, "StratumWinner": "A", "StudyTotalCases": 1220, "StratumTotalCases": 620, "StratumFraction": 0.5081967213114754, "WeightedStratumRate": 0.42688524590163934, "TreatmentACasesHere": 500, "TreatmentBCasesHere": 120, "TreatmentATotalCases": 900, "TreatmentBTotalCases": 320, "AllocationFractionA": 0.5555555555555556, "AllocationFractionB": 0.375, "AllocationBias": 0.18055555555555555, "StratumGap": 0.17333333333333334, "WeightedStratumGap": 0.08808743169398907 },
      { "StratumSummaryId": "pisa-immigration-2015-high-performing-B", "Study": "pisa-immigration-2015", "StratumLabel": "high-performing", "TreatmentLabel": "B", "Name": "pisa-immigration-2015-high-performing-B", "StratumSuccesses": 80, "StratumCases": 120, "StratumSuccessRate": 0.6666666666666666, "StratumSuccessesA": 420, "StratumCasesA": 500, "StratumRateA": 0.84, "StratumSuccessesB": 80, "StratumCasesB": 120, "StratumRateB": 0.6666666666666666, "StratumWinner": "A", "StudyTotalCases": 1220, "StratumTotalCases": 620, "StratumFraction": 0.5081967213114754, "WeightedStratumRate": 0.33879781420765026, "TreatmentACasesHere": 500, "TreatmentBCasesHere": 120, "TreatmentATotalCases": 900, "TreatmentBTotalCases": 320, "AllocationFractionA": 0.5555555555555556, "AllocationFractionB": 0.375, "AllocationBias": 0.18055555555555555, "StratumGap": 0.17333333333333334, "WeightedStratumGap": 0.08808743169398907 },
      { "StratumSummaryId": "pisa-immigration-2015-lower-performing-A", "Study": "pisa-immigration-2015", "StratumLabel": "lower-performing", "TreatmentLabel": "A", "Name": "pisa-immigration-2015-lower-performing-A", "StratumSuccesses": 280, "StratumCases": 400, "StratumSuccessRate": 0.7, "StratumSuccessesA": 280, "StratumCasesA": 400, "StratumRateA": 0.7, "StratumSuccessesB": 150, "StratumCasesB": 200, "StratumRateB": 0.75, "StratumWinner": "B", "StudyTotalCases": 1220, "StratumTotalCases": 600, "StratumFraction": 0.4918032786885246, "WeightedStratumRate": 0.3442622950819672, "TreatmentACasesHere": 400, "TreatmentBCasesHere": 200, "TreatmentATotalCases": 900, "TreatmentBTotalCases": 320, "AllocationFractionA": 0.4444444444444444, "AllocationFractionB": 0.625, "AllocationBias": -0.18055555555555555, "StratumGap": -0.05, "WeightedStratumGap": -0.02459016393442623 },
      { "StratumSummaryId": "pisa-immigration-2015-lower-performing-B", "Study": "pisa-immigration-2015", "StratumLabel": "lower-performing", "TreatmentLabel": "B", "Name": "pisa-immigration-2015-lower-performing-B", "StratumSuccesses": 150, "StratumCases": 200, "StratumSuccessRate": 0.75, "StratumSuccessesA": 280, "StratumCasesA": 400, "StratumRateA": 0.7, "StratumSuccessesB": 150, "StratumCasesB": 200, "StratumRateB": 0.75, "StratumWinner": "B", "StudyTotalCases": 1220, "StratumTotalCases": 600, "StratumFraction": 0.4918032786885246, "WeightedStratumRate": 0.36885245901639346, "TreatmentACasesHere": 400, "TreatmentBCasesHere": 200, "TreatmentATotalCases": 900, "TreatmentBTotalCases": 320, "AllocationFractionA": 0.4444444444444444, "AllocationFractionB": 0.625, "AllocationBias": -0.18055555555555555, "StratumGap": -0.05, "WeightedStratumGap": -0.02459016393442623 },
      { "StratumSummaryId": "wainer-sat-states-1992-northeast-A", "Study": "wainer-sat-states-1992", "StratumLabel": "northeast", "TreatmentLabel": "A", "Name": "wainer-sat-states-1992-northeast-A", "StratumSuccesses": 320, "StratumCases": 500, "StratumSuccessRate": 0.64, "StratumSuccessesA": 320, "StratumCasesA": 500, "StratumRateA": 0.64, "StratumSuccessesB": 180, "StratumCasesB": 250, "StratumRateB": 0.72, "StratumWinner": "B", "StudyTotalCases": 1350, "StratumTotalCases": 750, "StratumFraction": 0.5555555555555556, "WeightedStratumRate": 0.35555555555555557, "TreatmentACasesHere": 500, "TreatmentBCasesHere": 250, "TreatmentATotalCases": 900, "TreatmentBTotalCases": 450, "AllocationFractionA": 0.5555555555555556, "AllocationFractionB": 0.5555555555555556, "AllocationBias": 0.0, "StratumGap": -0.08, "WeightedStratumGap": -0.044444444444444446 },
      { "StratumSummaryId": "wainer-sat-states-1992-northeast-B", "Study": "wainer-sat-states-1992", "StratumLabel": "northeast", "TreatmentLabel": "B", "Name": "wainer-sat-states-1992-northeast-B", "StratumSuccesses": 180, "StratumCases": 250, "StratumSuccessRate": 0.72, "StratumSuccessesA": 320, "StratumCasesA": 500, "StratumRateA": 0.64, "StratumSuccessesB": 180, "StratumCasesB": 250, "StratumRateB": 0.72, "StratumWinner": "B", "StudyTotalCases": 1350, "StratumTotalCases": 750, "StratumFraction": 0.5555555555555556, "WeightedStratumRate": 0.4, "TreatmentACasesHere": 500, "TreatmentBCasesHere": 250, "TreatmentATotalCases": 900, "TreatmentBTotalCases": 450, "AllocationFractionA": 0.5555555555555556, "AllocationFractionB": 0.5555555555555556, "AllocationBias": 0.0, "StratumGap": -0.08, "WeightedStratumGap": -0.044444444444444446 },
      { "StratumSummaryId": "wainer-sat-states-1992-south-A", "Study": "wainer-sat-states-1992", "StratumLabel": "south", "TreatmentLabel": "A", "Name": "wainer-sat-states-1992-south-A", "StratumSuccesses": 200, "StratumCases": 400, "StratumSuccessRate": 0.5, "StratumSuccessesA": 200, "StratumCasesA": 400, "StratumRateA": 0.5, "StratumSuccessesB": 150, "StratumCasesB": 200, "StratumRateB": 0.75, "StratumWinner": "B", "StudyTotalCases": 1350, "StratumTotalCases": 600, "StratumFraction": 0.4444444444444444, "WeightedStratumRate": 0.2222222222222222, "TreatmentACasesHere": 400, "TreatmentBCasesHere": 200, "TreatmentATotalCases": 900, "TreatmentBTotalCases": 450, "AllocationFractionA": 0.4444444444444444, "AllocationFractionB": 0.4444444444444444, "AllocationBias": 0.0, "StratumGap": -0.25, "WeightedStratumGap": -0.1111111111111111 },
      { "StratumSummaryId": "wainer-sat-states-1992-south-B", "Study": "wainer-sat-states-1992", "StratumLabel": "south", "TreatmentLabel": "B", "Name": "wainer-sat-states-1992-south-B", "StratumSuccesses": 150, "StratumCases": 200, "StratumSuccessRate": 0.75, "StratumSuccessesA": 200, "StratumCasesA": 400, "StratumRateA": 0.5, "StratumSuccessesB": 150, "StratumCasesB": 200, "StratumRateB": 0.75, "StratumWinner": "B", "StudyTotalCases": 1350, "StratumTotalCases": 600, "StratumFraction": 0.4444444444444444, "WeightedStratumRate": 0.3333333333333333, "TreatmentACasesHere": 400, "TreatmentBCasesHere": 200, "TreatmentATotalCases": 900, "TreatmentBTotalCases": 450, "AllocationFractionA": 0.4444444444444444, "AllocationFractionB": 0.4444444444444444, "AllocationBias": 0.0, "StratumGap": -0.25, "WeightedStratumGap": -0.1111111111111111 },
      { "StratumSummaryId": "folic-acid-neural-tube-1991-under-28-A", "Study": "folic-acid-neural-tube-1991", "StratumLabel": "under-28", "TreatmentLabel": "A", "Name": "folic-acid-neural-tube-1991-under-28-A", "StratumSuccesses": 0, "StratumCases": 1400, "StratumSuccessRate": 0.0, "StratumSuccessesA": 0, "StratumCasesA": 1400, "StratumRateA": 0.0, "StratumSuccessesB": 2, "StratumCasesB": 1300, "StratumRateB": 0.0015384615384615385, "StratumWinner": "B", "StudyTotalCases": 4156, "StratumTotalCases": 2700, "StratumFraction": 0.6496631376323387, "WeightedStratumRate": 0.0, "TreatmentACasesHere": 1400, "TreatmentBCasesHere": 1300, "TreatmentATotalCases": 2104, "TreatmentBTotalCases": 2052, "AllocationFractionA": 0.6653992395437263, "AllocationFractionB": 0.6335282651072125, "AllocationBias": 0.03187097443651376, "StratumGap": -0.0015384615384615385, "WeightedStratumGap": -0.0009994817502035982 },
      { "StratumSummaryId": "folic-acid-neural-tube-1991-under-28-B", "Study": "folic-acid-neural-tube-1991", "StratumLabel": "under-28", "TreatmentLabel": "B", "Name": "folic-acid-neural-tube-1991-under-28-B", "StratumSuccesses": 2, "StratumCases": 1300, "StratumSuccessRate": 0.0015384615384615385, "StratumSuccessesA": 0, "StratumCasesA": 1400, "StratumRateA": 0.0, "StratumSuccessesB": 2, "StratumCasesB": 1300, "StratumRateB": 0.0015384615384615385, "Str</t>
  </si>
  <si>
    <t xml:space="preserve">atumWinner": "B", "StudyTotalCases": 4156, "StratumTotalCases": 2700, "StratumFraction": 0.6496631376323387, "WeightedStratumRate": 0.0009994817502035982, "TreatmentACasesHere": 1400, "TreatmentBCasesHere": 1300, "TreatmentATotalCases": 2104, "TreatmentBTotalCases": 2052, "AllocationFractionA": 0.6653992395437263, "AllocationFractionB": 0.6335282651072125, "AllocationBias": 0.03187097443651376, "StratumGap": -0.0015384615384615385, "WeightedStratumGap": -0.0009994817502035982 },
      { "StratumSummaryId": "folic-acid-neural-tube-1991-28-and-over-A", "Study": "folic-acid-neural-tube-1991", "StratumLabel": "28-and-over", "TreatmentLabel": "A", "Name": "folic-acid-neural-tube-1991-28-and-over-A", "StratumSuccesses": 0, "StratumCases": 704, "StratumSuccessRate": 0.0, "StratumSuccessesA": 0, "StratumCasesA": 704, "StratumRateA": 0.0, "StratumSuccessesB": 4, "StratumCasesB": 752, "StratumRateB": 0.005319148936170213, "StratumWinner": "B", "StudyTotalCases": 4156, "StratumTotalCases": 1456, "StratumFraction": 0.3503368623676612, "WeightedStratumRate": 0.0, "TreatmentACasesHere": 704, "TreatmentBCasesHere": 752, "TreatmentATotalCases": 2104, "TreatmentBTotalCases": 2052, "AllocationFractionA": 0.33460076045627374, "AllocationFractionB": 0.3664717348927875, "AllocationBias": -0.03187097443651376, "StratumGap": -0.005319148936170213, "WeightedStratumGap": -0.0018634939487641555 },
      { "StratumSummaryId": "folic-acid-neural-tube-1991-28-and-over-B", "Study": "folic-acid-neural-tube-1991", "StratumLabel": "28-and-over", "TreatmentLabel": "B", "Name": "folic-acid-neural-tube-1991-28-and-over-B", "StratumSuccesses": 4, "StratumCases": 752, "StratumSuccessRate": 0.005319148936170213, "StratumSuccessesA": 0, "StratumCasesA": 704, "StratumRateA": 0.0, "StratumSuccessesB": 4, "StratumCasesB": 752, "StratumRateB": 0.005319148936170213, "StratumWinner": "B", "StudyTotalCases": 4156, "StratumTotalCases": 1456, "StratumFraction": 0.3503368623676612, "WeightedStratumRate": 0.0018634939487641555, "TreatmentACasesHere": 704, "TreatmentBCasesHere": 752, "TreatmentATotalCases": 2104, "TreatmentBTotalCases": 2052, "AllocationFractionA": 0.33460076045627374, "AllocationFractionB": 0.3664717348927875, "AllocationBias": -0.03187097443651376, "StratumGap": -0.005319148936170213, "WeightedStratumGap": -0.0018634939487641555 },
      { "StratumSummaryId": "steroid-asthma-severity-mild-A", "Study": "steroid-asthma-severity", "StratumLabel": "mild", "TreatmentLabel": "A", "Name": "steroid-asthma-severity-mild-A", "StratumSuccesses": 180, "StratumCases": 200, "StratumSuccessRate": 0.9, "StratumSuccessesA": 180, "StratumCasesA": 200, "StratumRateA": 0.9, "StratumSuccessesB": 150, "StratumCasesB": 180, "StratumRateB": 0.8333333333333334, "StratumWinner": "A", "StudyTotalCases": 650, "StratumTotalCases": 380, "StratumFraction": 0.5846153846153846, "WeightedStratumRate": 0.5261538461538462, "TreatmentACasesHere": 200, "TreatmentBCasesHere": 180, "TreatmentATotalCases": 320, "TreatmentBTotalCases": 330, "AllocationFractionA": 0.625, "AllocationFractionB": 0.5454545454545454, "AllocationBias": 0.07954545454545454, "StratumGap": 0.06666666666666667, "WeightedStratumGap": 0.038974358974358976 },
      { "StratumSummaryId": "steroid-asthma-severity-mild-B", "Study": "steroid-asthma-severity", "StratumLabel": "mild", "TreatmentLabel": "B", "Name": "steroid-asthma-severity-mild-B", "StratumSuccesses": 150, "StratumCases": 180, "StratumSuccessRate": 0.8333333333333334, "StratumSuccessesA": 180, "StratumCasesA": 200, "StratumRateA": 0.9, "StratumSuccessesB": 150, "StratumCasesB": 180, "StratumRateB": 0.8333333333333334, "StratumWinner": "A", "StudyTotalCases": 650, "StratumTotalCases": 380, "StratumFraction": 0.5846153846153846, "WeightedStratumRate": 0.48717948717948717, "TreatmentACasesHere": 200, "TreatmentBCasesHere": 180, "TreatmentATotalCases": 320, "TreatmentBTotalCases": 330, "AllocationFractionA": 0.625, "AllocationFractionB": 0.5454545454545454, "AllocationBias": 0.07954545454545454, "StratumGap": 0.06666666666666667, "WeightedStratumGap": 0.038974358974358976 },
      { "StratumSummaryId": "steroid-asthma-severity-severe-A", "Study": "steroid-asthma-severity", "StratumLabel": "severe", "TreatmentLabel": "A", "Name": "steroid-asthma-severity-severe-A", "StratumSuccesses": 60, "StratumCases": 120, "StratumSuccessRate": 0.5, "StratumSuccessesA": 60, "StratumCasesA": 120, "StratumRateA": 0.5, "StratumSuccessesB": 90, "StratumCasesB": 150, "StratumRateB": 0.6, "StratumWinner": "B", "StudyTotalCases": 650, "StratumTotalCases": 270, "StratumFraction": 0.4153846153846154, "WeightedStratumRate": 0.2076923076923077, "TreatmentACasesHere": 120, "TreatmentBCasesHere": 150, "TreatmentATotalCases": 320, "TreatmentBTotalCases": 330, "AllocationFractionA": 0.375, "AllocationFractionB": 0.45454545454545453, "AllocationBias": -0.07954545454545454, "StratumGap": -0.1, "WeightedStratumGap": -0.04153846153846154 },
      { "StratumSummaryId": "steroid-asthma-severity-severe-B", "Study": "steroid-asthma-severity", "StratumLabel": "severe", "TreatmentLabel": "B", "Name": "steroid-asthma-severity-severe-B", "StratumSuccesses": 90, "StratumCases": 150, "StratumSuccessRate": 0.6, "StratumSuccessesA": 60, "StratumCasesA": 120, "StratumRateA": 0.5, "StratumSuccessesB": 90, "StratumCasesB": 150, "StratumRateB": 0.6, "StratumWinner": "B", "StudyTotalCases": 650, "StratumTotalCases": 270, "StratumFraction": 0.4153846153846154, "WeightedStratumRate": 0.24923076923076923, "TreatmentACasesHere": 120, "TreatmentBCasesHere": 150, "TreatmentATotalCases": 320, "TreatmentBTotalCases": 330, "AllocationFractionA": 0.375, "AllocationFractionB": 0.45454545454545453, "AllocationBias": -0.07954545454545454, "StratumGap": -0.1, "WeightedStratumGap": -0.04153846153846154 },
      { "StratumSummaryId": "kidney-dialysis-facility-1990-high-severity-A", "Study": "kidney-dialysis-facility-1990", "StratumLabel": "high-severity", "TreatmentLabel": "A", "Name": "kidney-dialysis-facility-1990-high-severity-A", "StratumSuccesses": 85, "StratumCases": 100, "StratumSuccessRate": 0.85, "StratumSuccessesA": 85, "StratumCasesA": 100, "StratumRateA": 0.85, "StratumSuccessesB": 70, "StratumCasesB": 100, "StratumRateB": 0.7, "StratumWinner": "A", "StudyTotalCases": 400, "StratumTotalCases": 200, "StratumFraction": 0.5, "WeightedStratumRate": 0.425, "TreatmentACasesHere": 100, "TreatmentBCasesHere": 100, "TreatmentATotalCases": 200, "TreatmentBTotalCases": 200, "AllocationFractionA": 0.5, "AllocationFractionB": 0.5, "AllocationBias": 0.0, "StratumGap": 0.15, "WeightedStratumGap": 0.075 },
      { "StratumSummaryId": "kidney-dialysis-facility-1990-high-severity-B", "Study": "kidney-dialysis-facility-1990", "StratumLabel": "high-severity", "TreatmentLabel": "B", "Name": "kidney-dialysis-facility-1990-high-severity-B", "StratumSuccesses": 70, "StratumCases": 100, "StratumSuccessRate": 0.7, "StratumSuccessesA": 85, "StratumCasesA": 100, "StratumRateA": 0.85, "StratumSuccessesB": 70, "StratumCasesB": 100, "StratumRateB": 0.7, "StratumWinner": "A", "StudyTotalCases": 400, "StratumTotalCases": 200, "StratumFraction": 0.5, "WeightedStratumRate": 0.35, "TreatmentACasesHere": 100, "TreatmentBCasesHere": 100, "TreatmentATotalCases": 200, "TreatmentBTotalCases": 200, "AllocationFractionA": 0.5, "AllocationFractionB": 0.5, "AllocationBias": 0.0, "StratumGap": 0.15, "WeightedStratumGap": 0.075 },
      { "StratumSummaryId": "kidney-dialysis-facility-1990-low-severity-A", "Study": "kidney-dialysis-facility-1990", "StratumLabel": "low-severity", "TreatmentLabel": "A", "Name": "kidney-dialysis-facility-1990-low-severity-A", "StratumSuccesses": 92, "StratumCases": 100, "StratumSuccessRate": 0.92, "StratumSuccessesA": 92, "StratumCasesA": 100, "StratumRateA": 0.92, "StratumSuccessesB": 88, "StratumCasesB": 100, "StratumRateB": 0.88, "StratumWinner": "A", "StudyTotalCases": 400, "StratumTotalCases": 200, "StratumFraction": 0.5, "WeightedStratumRate": 0.46, "TreatmentACasesHere": 100, "TreatmentBCasesHere": 100, "TreatmentATotalCases": 200, "TreatmentBTotalCases": 200, "AllocationFractionA": 0.5, "AllocationFractionB": 0.5, "AllocationBias": 0.0, "StratumGap": 0.04, "WeightedStratumGap": 0.02 },
      { "StratumSummaryId": "kidney-dialysis-facility-1990-low-severity-B", "Study": "kidney-dialysis-facility-1990", "StratumLabel": "low-severity", "TreatmentLabel": "B", "Name": "kidney-dialysis-facility-1990-low-severity-B", "StratumSuccesses": 88, "StratumCases": 100, "StratumSuccessRate": 0.88, "StratumSuccessesA": 92, "StratumCasesA": 100, "StratumRateA": 0.92, "StratumSuccessesB": 88, "StratumCasesB": 100, "StratumRateB": 0.88, "StratumWinner": "A", "StudyTotalCases": 400, "StratumTotalCases": 200, "StratumFraction": 0.5, "WeightedStratumRate": 0.44, "TreatmentACasesHere": 100, "TreatmentBCasesHere": 100, "TreatmentATotalCases": 200, "TreatmentBTotalCases": 200, "AllocationFractionA": 0.5, "AllocationFractionB": 0.5, "AllocationBias": 0.0, "StratumGap": 0.04, "WeightedStratumGap": 0.02 },
      { "StratumSummaryId": "warfarin-bleeding-age-under-65-A", "Study": "warfarin-bleeding-age", "StratumLabel": "under-65", "TreatmentLabel": "A", "Name": "warfarin-bleeding-age-under-65-A", "StratumSuccesses": 25, "StratumCases": 500, "StratumSuccessRate": 0.05, "StratumSuccessesA": 25, "StratumCasesA": 500, "StratumRateA": 0.05, "StratumSuccessesB": 15, "StratumCasesB": 400, "StratumRateB": 0.0375, "StratumWinner": "A", "StudyTotalCases": 1400, "StratumTotalCases": 900, "StratumFraction": 0.6428571428571429, "WeightedStratumRate": 0.03214285714285714, "TreatmentACasesHere": 500, "TreatmentBCasesHere": 400, "TreatmentATotalCases": 800, "TreatmentBTotalCases": 600, "AllocationFractionA": 0.625, "AllocationFractionB": 0.6666666666666666, "AllocationBias": -0.041666666666666664, "StratumGap": 0.0125, "WeightedStratumGap": 0.008035714285714285 },
      { "StratumSummaryId": "warfarin-bleeding-age-under-65-B", "Study": "warfarin-bleeding-age", "StratumLabel": "under-65", "TreatmentLabel": "B", "Name": "warfarin-bleeding-age-under-65-B", "StratumSuccesses": 15, "StratumCases": 400, "StratumSuccessRate": 0.0375, "StratumSuccessesA": 25, "StratumCasesA": 500, "StratumRateA": 0.05, "StratumSuccessesB": 15, "StratumCasesB": 400, "StratumRateB": 0.0375, "StratumWinner": "A", "StudyTotalCases": 1400, "StratumTotalCases": 900, "StratumFraction": 0.6428571428571429, "WeightedStratumRate": 0.024107142857142858, "TreatmentACasesHere": 500, "TreatmentBCasesHere": 400, "TreatmentATotalCases": 800, "TreatmentBTotalCases": 600, "AllocationFractionA": 0.625, "AllocationFractionB": 0.6666666666666666, "AllocationBias": -0.041666666666666664, "StratumGap": 0.0125, "WeightedStratumGap": 0.008035714285714285 },
      { "StratumSummaryId": "warfarin-bleeding-age-65-and-over-A", "Study": "warfarin-bleeding-age", "StratumLabel": "65-and-over", "TreatmentLabel": "A", "Name": "warfarin-bleeding-age-65-and-over-A", "StratumSuccesses": 45, "StratumCases": 300, "StratumSuccessRate": 0.15, "StratumSuccessesA": 45, "StratumCasesA": 300, "StratumRateA": 0.15, "StratumSuccessesB": 20, "StratumCasesB": 200, "StratumRateB": 0.1, "StratumWinner": "A", "StudyTotalCases": 1400, "StratumTotalCases": 500, "StratumFraction": 0.35714285714285715, "WeightedStratumRate": 0.05357142857142857, "TreatmentACasesHere": 300, "TreatmentBCasesHere": 200, "TreatmentATotalCases": 800, "TreatmentBTotalCases": 600, "AllocationFractionA": 0.375, "AllocationFractionB": 0.3333333333333333, "AllocationBias": 0.041666666666666664, "StratumGap": 0.05, "WeightedStratumGap": 0.017857142857142856 },
      { "StratumSummaryId": "warfarin-bleeding-age-65-and-over-B", "Study": "warfarin-bleeding-age", "StratumLabel": "65-and-over", "TreatmentLabel": "B", "Name": "warfarin-bleeding-age-65-and-over-B", "StratumSuccesses": 20, "StratumCases": 200, "StratumSuccessRate": 0.1, "StratumSuccessesA": 45, "StratumCasesA": 300, "StratumRateA": 0.15, "StratumSuccessesB": 20, "StratumCasesB": 200, "StratumRateB": 0.1, "StratumWinner": "A", "StudyTotalCases": 1400, "StratumTotalCases": 500, "StratumFraction": 0.35714285714285715, "WeightedStratumRate": 0.03571428571428571, "TreatmentACasesHere": 300, "TreatmentBCasesHere": 200, "TreatmentATotalCases": 800, "TreatmentBTotalCases": 600, "AllocationFractionA": 0.375, "AllocationFractionB": 0.3333333333333333, "AllocationBias": 0.041666666666666664, "StratumGap": 0.05, "WeightedStratumGap": 0.017857142857142856 },
      { "StratumSummaryId": "diabetes-metformin-bmi-normal-bmi-A", "Study": "diabetes-metformin-bmi", "StratumLabel": "normal-bmi", "TreatmentLabel": "A", "Name": "diabetes-metformin-bmi-normal-bmi-A", "StratumSuccesses": 120, "StratumCases": 200, "StratumSuccessRate": 0.6, "StratumSuccessesA": 120, "StratumCasesA": 200, "StratumRateA": 0.6, "StratumSuccessesB": 130, "StratumCasesB": 200, "StratumRateB": 0.65, "StratumWinner": "B", "StudyTotalCases": 900, "StratumTotalCases": 400, "StratumFraction": 0.4444444444444444, "WeightedStratumRate": 0.26666666666666666, "TreatmentACasesHere": 200, "TreatmentBCasesHere": 200, "TreatmentATotalCases": 450, "TreatmentBTotalCases": 450, "AllocationFractionA": 0.4444444444444444, "AllocationFractionB": 0.4444444444444444, "AllocationBias": 0.0, "StratumGap": -0.05, "WeightedStratumGap": -0.022222222222222223 },
      { "StratumSummaryId": "diabetes-metformin-bmi-normal-bmi-B", "Study": "diabetes-metformin-bmi", "StratumLabel": "normal-bmi", "TreatmentLabel": "B", "Name": "diabetes-metformin-bmi-normal-bmi-B", "StratumSuccesses": 130, "StratumCases": 200, "StratumSuccessRate": 0.65, "StratumSuccessesA": 120, "StratumCasesA": 200, "StratumRateA": 0.6, "StratumSuccessesB": 130, "StratumCasesB": 200, "StratumRateB": 0.65, "StratumWinner": "B", "StudyTotalCases": 900, "StratumTotalCases": 400, "StratumFraction": 0.4444444444444444, "WeightedStratumRate": 0.28888888888888886, "TreatmentACasesHere": 200, "TreatmentBCasesHere": 200, "TreatmentATotalCases": 450, "TreatmentBTotalCases": 450, "AllocationFractionA": 0.4444444444444444, "AllocationFractionB": 0.4444444444444444, "AllocationBias": 0.0, "StratumGap": -0.05, "WeightedStratumGap": -0.022222222222222223 },
      { "StratumSummaryId": "diabetes-metformin-bmi-obese-A", "Study": "diabetes-metformin-bmi", "StratumLabel": "obese", "TreatmentLabel": "A", "Name": "diabetes-metformin-bmi-obese-A", "StratumSuccesses": 180, "StratumCases": 250, "StratumSuccessRate": 0.72, "StratumSuccessesA": 180, "StratumCasesA": 250, "StratumRateA": 0.72, "StratumSuccessesB": 140, "StratumCasesB": 250, "StratumRateB": 0.56, "StratumWinner": "A", "StudyTotalCases": 900, "StratumTotalCases": 500, "StratumFraction": 0.5555555555555556, "WeightedStratumRate": 0.4, "TreatmentACasesHere": 250, "TreatmentBCasesHere": 250, "TreatmentATotalCases": 450, "TreatmentBTotalCases": 450, "AllocationFractionA": 0.5555555555555556, "AllocationFractionB": 0.5555555555555556, "AllocationBias": 0.0, "StratumGap": 0.16, "WeightedStratumGap": 0.08888888888888889 },
      { "StratumSummaryId": "diabetes-metformin-bmi-obese-B", "Study": "diabetes-metformin-bmi", "StratumLabel": "obese", "TreatmentLabel": "B", "Name": "diabetes-metformin-bmi-obese-B", "StratumSuccesses": 140, "StratumCases": 250, "StratumSuccessRate": 0.56, "StratumSuccessesA": 180, "StratumCasesA": 250, "StratumRateA": 0.72, "StratumSuccessesB": 140, "StratumCasesB": 250, "StratumRateB": 0.56, "StratumWinner": "A", "StudyTotalCases": 900, "StratumTotalCases": 500, "StratumFraction": 0.5555555555555556, "WeightedStratumRate": 0.3111111111111111, "TreatmentACasesHere": 250, "TreatmentBCasesHere": 250, "TreatmentATotalCases": 450, "TreatmentBTotalCases": 450, "AllocationFractionA": 0.5555555555555556, "AllocationFractionB": 0.5555555555555556, "AllocationBias": 0.0, "StratumGap": 0.16, "WeightedStratumGap": 0.08888888888888889 },
      { "StratumSummaryId": "oncology-trial-stage-early-stage-A", "Study": "oncology-trial-stage", "StratumLabel": "early-stage", "TreatmentLabel": "A", "Name": "oncology-trial-stage-early-stage-A", "StratumSuccesses": 140, "StratumCases": 180, "StratumSuccessRate": 0.7777777777777778, "StratumSuccessesA": 140, "StratumCasesA": 180, "StratumRateA": 0.7777777777777778, "StratumSuccessesB": 120, "StratumCasesB": 180, "StratumRateB": 0.6666666666666666, "StratumWinner": "A", "StudyTotalCases": 600, "StratumTotalCases": 360, "StratumFraction": 0.6, "WeightedStratumRate": 0.4666666666666667, "TreatmentACasesHere": 180, "TreatmentBCasesHere": 180, "TreatmentATotalCases": 300, "TreatmentBTotalCases": 300, "AllocationFractionA": 0.6, "AllocationFractionB": 0.6, "AllocationBias": 0.0, "StratumGap": 0.1111111111111111, "WeightedStratumGap": 0.06666666666666667 },
      { "StratumSummaryId": "oncology-trial-stage-early-stage-B", "Study": "oncology-trial-stage", "StratumLabel": "early-stage", "TreatmentLabel": "B", "Name": "oncology-trial-stage-early-stage-B", "StratumSuccesses": 120, "StratumCases": 180, "StratumSuccessRate": 0.6666666666666666, "StratumSuccessesA": 140, "StratumCasesA": 180, "StratumRateA": 0.7777777777777778, "StratumSuccessesB": 120, "StratumCasesB": 180, "StratumRateB": 0.6666666666666666, "StratumWinner": "A", "StudyTotalCases": 600, "StratumTotalCases": 360, "StratumFraction": 0.6, "WeightedStratumRate": 0.4, "TreatmentACasesHere": 180, "TreatmentBCasesHere": 180, "TreatmentATotalCases": 300, "TreatmentBTotalCases": 300, "AllocationFractionA": 0.6, "AllocationFractionB": 0.6, "AllocationBias": 0.0, "StratumGap": 0.1111111111111111, "WeightedStratumGap": 0.06666666666666667 },
      { "StratumSummaryId": "oncology-trial-stage-advanced-stage-A", "Study": "oncology-trial-stage", "StratumLabel": "advanced-stage", "TreatmentLabel": "A", "Name": "oncology-trial-stage-advanced-stage-A", "StratumSuccesses": 50, "StratumCases": 120, "StratumSuccessRate": 0.4166666666666667, "StratumSuccessesA": 50, "StratumCasesA": 120, "StratumRateA": 0.4166666666666667, "StratumSuccessesB": 70, "StratumCasesB": 120, "StratumRateB": 0.5833333333333334, "StratumWinner": "B", "StudyTotalCases": 600, "StratumTotalCases": 240, "StratumFraction": 0.4, "WeightedStratumRate": 0.16666666666666666, "TreatmentACasesHere": 120, "TreatmentBCasesHere": 120, "TreatmentATotalCases": 300, "TreatmentBTotalCases": 300, "AllocationFractionA": 0.4, "AllocationFractionB": 0.4, "AllocationBias": 0.0, "StratumGap": -0.16666666666666666, "WeightedStratumGap": -0.06666666666666667 },
      { "StratumSummaryId": "oncology-trial-stage-advanced-stage-B", "Study": "oncology-trial-stage", "StratumLabel": "advanced-stage", "TreatmentLabel": "B", "Name": "oncology-trial-stage-advanced-stage-B", "StratumSuccesses": 70, "StratumCases": 120, "StratumSuccessRate": 0.5833333333333334, "StratumSuccessesA": 50, "StratumCasesA": 120, "StratumRateA": 0.4166666666666667, "StratumSuccessesB": 70, "StratumCasesB": 120, "StratumRateB": 0.5833333333333334, "StratumWinner": "B", "StudyTotalCases": 600, "StratumTotalCases": 240, "StratumFraction": 0.4, "WeightedStratumRate": 0.23333333333333334, "TreatmentACasesHere": 120, "TreatmentBCasesHere": 120, "TreatmentATotalCases": 300, "TreatmentBTotalCases": 300, "AllocationFractionA": 0.4, "AllocationFractionB": 0.4, "AllocationBias": 0.0, "StratumGap": -0.16666666666666666, "WeightedStratumGap": -0.06666666666666667 },
      { "StratumSummaryId": "exercise-cholesterol-age-young-A", "Study": "exercise-cholesterol-age", "StratumLabel": "young", "TreatmentLabel": "A", "Name": "exercise-cholesterol-age-young-A", "StratumSuccesses": 200, "StratumCases": 300, "StratumSuccessRate": 0.6666666666666666, "StratumSuccessesA": 200, "StratumCasesA": 300, "StratumRateA": 0.6666666666666666, "StratumSuccessesB": 120, "StratumCasesB": 300, "StratumRateB": 0.4, "StratumWinner": "A", "StudyTotalCases": 1050, "StratumTotalCases": 600, "StratumFraction": 0.5714285714285714, "WeightedStratumRate": 0.38095238095238093, "TreatmentACasesHere": 300, "TreatmentBCasesHere": 300, "TreatmentATotalCases": 500, "TreatmentBTotalCases": 550, "AllocationFractionA": 0.6, "AllocationFractionB": 0.5454545454545454, "AllocationBias": 0.05454545454545454, "StratumGap": 0.26666666666666666, "WeightedStratumGap": 0.1523809523809524 },
      { "StratumSummaryId": "exercise-cholesterol-age-young-B", "Study": "exercise-cholesterol-age", "StratumLabel": "young", "TreatmentLabel": "B", "Name": "exercise-cholesterol-age-young-B", "StratumSuccesses": 120, "StratumCases": 300, "StratumSuccessRate": 0.4, "StratumSuccessesA": 200, "StratumCasesA": 300, "StratumRateA": 0.6666666666666666, "StratumSuccessesB": 120, "StratumCasesB": 300, "StratumRateB": 0.4, "StratumWinner": "A", "StudyTotalCases": 1050, "StratumTotalCases": 600, "StratumFraction": 0.5714285714285714, "WeightedStratumRate": 0.22857142857142856, "TreatmentACasesHere": 300, "TreatmentBCasesHere": 300, "TreatmentATotalCases": 500, "TreatmentBTotalCases": 550, "AllocationFractionA": 0.6, "AllocationFractionB": 0.5454545454545454, "AllocationBias": 0.05454545454545454, "StratumGap": 0.26666666666666666, "WeightedStratumGap": 0.1523809523809524 },
      { "StratumSummaryId": "exercise-cholesterol-age-older-A", "Study": "exercise-cholesterol-age", "StratumLabel": "older", "TreatmentLabel": "A", "Name": "exercise-cholesterol-age-older-A", "StratumSuccesses": 80, "StratumCases": 200, "StratumSuccessRate": 0.4, "StratumSuccessesA": 80, "StratumCasesA": 200, "StratumRateA": 0.4, "StratumSuccessesB": 100, "StratumCasesB": 250, "StratumRateB": 0.4, "StratumWinner": "B", "StudyTotalCases": 1050, "StratumTotalCases": 450, "StratumFraction": 0.42857142857142855, "WeightedStratumRate": 0.17142857142857143, "TreatmentACasesHere": 200, "TreatmentBCasesHere": 250, "TreatmentATotalCases": 500, "TreatmentBTotalCases": 550, "AllocationFractionA": 0.4, "AllocationFractionB": 0.45454545454545453, "AllocationBias": -0.05454545454545454, "StratumGap": 0.0, "WeightedStratumGap": 0.0 },
      { "StratumSummaryId": "exercise-cholesterol-age-older-B", "Study": "exercise-cholesterol-age", "StratumLabel": "older", "TreatmentLabel": "B", "Name": "exercise-cholesterol-age-older-B", "StratumSuccesses": 100, "StratumCases": 250, "StratumSuccessRate": 0.4, "StratumSuccessesA": 80, "StratumCasesA": 200, "StratumRateA": 0.4, "StratumSuccessesB": 100, "StratumCasesB": 250, "StratumRateB": 0.4, "StratumWinner": "B", "StudyTotalCases": 1050, "StratumTotalCases": 450, "StratumFraction": 0.42857142857142855, "WeightedStratumRate": 0.17142857142857143, "TreatmentACasesHere": 200, "TreatmentBCasesHere": 250, "TreatmentATotalCases": 500, "TreatmentBTotalCases": 550, "AllocationFractionA": 0.4, "AllocationFractionB": 0.45454545454545453, "AllocationBias": -0.05454545454545454, "StratumGap": 0.0, "WeightedStratumGap": 0.0 },
      { "StratumSummaryId": "red-meat-colorectal-bmi-normal-weight-A", "Study": "red-meat-colorectal-bmi", "StratumLabel": "normal-weight", "TreatmentLabel": "A", "Name": "red-meat-colorectal-bmi-normal-weight-A", "StratumSuccesses": 30, "StratumCases": 500, "StratumSuccessRate": 0.06, "StratumSuccessesA": 30, "StratumCasesA": 500, "StratumRateA": 0.06, "StratumSuccessesB": 25, "StratumCasesB": 500, "StratumRateB": 0.05, "StratumWinner": "A", "StudyTotalCases": 1850, "StratumTotalCases": 1000, "StratumFraction": 0.5405405405405406, "WeightedStratumRate": 0.032432432432432434, "TreatmentACasesHere": 500, "TreatmentBCasesHere": 500, "TreatmentATotalCases": 900, "TreatmentBTotalCases": 950, "AllocationFractionA": 0.5555555555555556, "AllocationFractionB": 0.5263157894736842, "AllocationBias": 0.029239766081871343, "StratumGap": 0.01, "WeightedStratumGap": 0.005405405405405406 },
      { "StratumSummaryId": "red-meat-colorectal-bmi-normal-weight-B", "Study": "red-meat-colorectal-bmi", "StratumLabel": "normal-weight", "TreatmentLabel": "B", "Name": "red-meat-colorectal-bmi-normal-weight-B", "StratumSuccesses": 25, "StratumCases": 500, "StratumSuccessRate": 0.05, "StratumSuccessesA": 30, "StratumCasesA": 500, "StratumRateA": 0.06, "StratumSuccessesB": 25, "StratumCasesB": 500, "StratumRateB": 0.05, "StratumWinner": "A", "StudyTotalCases": 1850, "StratumTotalCases": 1000, "StratumFraction": 0.5405405405405406, "WeightedStratumRate": 0.02702702702702703, "TreatmentACasesHere": 500, "TreatmentBCasesHere": 500, "TreatmentATotalCases": 900, "TreatmentBTotalCases": 950, "AllocationFractionA": 0.5555555555555556, "AllocationFractionB": 0.5263157894736842, "AllocationBias": 0.029239766081871343, "StratumGap": 0.01, "WeightedStratumGap": 0.005405405405405406 },
      { "StratumSummaryId": "red-meat-colorectal-bmi-overweight-A", "Study": "red-meat-colorectal-bmi", "StratumLabel": "overweight", "TreatmentLabel": "A", "Name": "red-meat-colorectal-bmi-overweight-A", "StratumSuccesses": 45, "StratumCases": 400, "StratumSuccessRate": 0.1125, "StratumSuccessesA": 45, "StratumCasesA": 400, "StratumRateA": 0.1125, "StratumSuccessesB": 35, "StratumCasesB": 450, "StratumRateB": 0.07777777777777778, "StratumWinner": "A", "StudyTotalCases": 1850, "StratumTotalCases": 850, "StratumFraction": 0.4594594594594595, "WeightedStratumRate": 0.05168918918918919, "TreatmentACasesHere": 400, "TreatmentBCasesHere": 450, "TreatmentATotalCases": 900, "TreatmentBTotalCases": 950, "AllocationFractionA": 0.4444444444444444, "AllocationFractionB": 0.47368421052631576, "AllocationBias": -0.029239766081871343, "StratumGap": 0.034722222222222224, "WeightedStratumGap": 0.015953453453453455 },
      { "StratumSummaryId": "red-meat-colorectal-bmi-overweight-B", "Study": "red-meat-colorectal-bmi", "StratumLabel": "overweight", "TreatmentLabel": "B", "Name": "red-meat-colorectal-bmi-overweight-B", "StratumSuccesses": 35, "StratumCases": 450, "StratumSuccessRate": 0.07777777777777778, "StratumSuccessesA": 45, "StratumCasesA": 400, "StratumRateA": 0.1125, "StratumSuccessesB": 35, "StratumCasesB": 450, "StratumRateB": 0.07777777777777778, "StratumWinner": "A", "StudyTotalCases": 1850, "StratumTotalCases": 850, "StratumFraction": 0.4594594594594595, "WeightedStratumRate": 0.035735735735735734, "TreatmentACasesHere": 400, "TreatmentBCasesHere": 450, "TreatmentATotalCases": 900, "TreatmentBTotalCases": 950, "AllocationFractionA": 0.4444444444444444, "AllocationFractionB": 0.47368421052631576, "AllocationBias": -0.029239766081871343, "StratumGap": 0.034722222222222224, "WeightedStratumGap": 0.015953453453453455 },
      { "StratumSummaryId": "folic-fortification-2000-early-fortified-A", "Study": "folic-fortification-2000", "StratumLabel": "early-fortified", "TreatmentLabel": "A", "Name": "folic-fortification-2000-early-fortified-A", "StratumSuccesses": 980, "StratumCases": 1000, "StratumSuccessRate": 0.98, "StratumSuccessesA": 980, "StratumCasesA": 1000, "StratumRateA": 0.98, "StratumSuccessesB": 960, "StratumCasesB": 1000, "StratumRateB": 0.96, "StratumWinner": "A", "StudyTotalCases": 6000, "StratumTotalCases": 2000, "StratumFraction": 0.3333333333333333, "WeightedStratumRate": 0.32666666666666666, "TreatmentACasesHere": 1000, "TreatmentBCasesHere": 1000, "TreatmentATotalCases": 3000, "TreatmentBTotalCases": 3000, "AllocationFractionA": 0.3333333333333333, "AllocationFractionB": 0.3333333333333333, "AllocationBias": 0.0, "StratumGap": 0.02, "WeightedStratumGap": 0.006666666666666667 },
      { "StratumSummaryId": "folic-fortification-2000-early-fortified-B", "Study": "folic-fortification-2000", "StratumLabel": "early-fortified", "TreatmentLabel": "B", "Name": "folic-fortification-2000-early-fortified-B", "StratumSuccesses": 960, "StratumCases": 1000, "StratumSuccessRate": 0.96, "StratumSuccessesA": 980, "StratumCasesA": 1000, "StratumRateA": 0.98, "StratumSuccessesB": 960, "StratumCasesB": 1000, "StratumRateB": 0.96, "StratumWinner": "A", "StudyTotalCases": 6000, "StratumTotalCases": 2000, "StratumFraction": 0.3333333333333333, "WeightedStratumRate": 0.32, "TreatmentACasesHere": 1000, "TreatmentBCasesHere": 1000, "TreatmentATotalCases": 3000, "TreatmentBTotalCases": 3000, "AllocationFractionA": 0.3333333333333333, "AllocationFractionB": 0.3333333333333333, "AllocationBias": 0.0, "StratumGap": 0.02, "WeightedStratumGap": 0.006666666666666667 },
      { "StratumSummaryId": "folic-fortification-2000-late-fortified-A", "Study": "folic-fortification-2000", "StratumLabel": "late-fortified", "TreatmentLabel": "A", "Name": "folic-fortification-2000-late-fortified-A", "StratumSuccesses": 970, "StratumCases": 1000, "StratumSuccessRate": 0.97, "StratumSuccessesA": 970, "StratumCasesA": 1000, "StratumRateA": 0.97, "StratumSuccessesB": 950, "StratumCasesB": 1000, "StratumRateB": 0.95, "StratumWinner": "A", "StudyTotalCases": 6000, "StratumTotalCases": 2000, "StratumFraction": 0.3333333333333333, "WeightedStratumRate": 0.3233333333333333, "TreatmentACasesHere": 1000, "TreatmentBCasesHere": 1000, "TreatmentATotalCases": 3000, "TreatmentBTotalCases": 3000, "AllocationFractionA": 0.3333333333333333, "AllocationFractionB": 0.3333333333333333, "AllocationBias": 0.0, "StratumGap": 0.02, "WeightedStratumGap": 0.006666666666666667 },
      { "StratumSummaryId": "folic-fortification-2000-late-fortified-B", "Study": "folic-fortification-2000", "StratumLabel": "late-fortified", "TreatmentLabel": "B", "Name": "folic-fortification-2000-late-fortified-B", "StratumSuccesses": 950, "StratumCases": 1000, "StratumSuccessRate": 0.95, "StratumSuccessesA": 970, "StratumCasesA": 1000, "StratumRateA": 0.97, "StratumSuccessesB": 950, "StratumCasesB": 1000, "StratumRateB": 0.95, "StratumWinner": "A", "StudyTotalCases": 6000, "StratumTotalCases": 2000, "StratumFraction": 0.3333333333333333, "WeightedStratumRate": 0.31666666666666665, "TreatmentACasesHere": 1000, "TreatmentBCasesHere": 1000, "TreatmentATotalCases": 3000, "TreatmentBTotalCases": 3000, "AllocationFractionA": 0.3333333333333333, "AllocationFractionB": 0.3333333333333333, "AllocationBias": 0.0, "StratumGap": 0.02, "WeightedStratumGap": 0.006666666666666667 },
      { "StratumSummaryId": "folic-fortification-2000-voluntary-A", "Study": "folic-fortification-2000", "StratumLabel": "voluntary", "TreatmentLabel": "A", "Name": "folic-fortification-2000-voluntary-A", "StratumSuccesses": 965, "StratumCases": 1000, "StratumSuccessRate": 0.965, "StratumSuccessesA": 965, "StratumCasesA": 1000, "StratumRateA": 0.965, "StratumSuccessesB": 940, "StratumCasesB": 1000, "StratumRateB": 0.94, "StratumWinner": "A", "StudyTotalCases": 6000, "StratumTotalCases": 2000, "StratumFraction": 0.3333333333333333, "WeightedStratumRate": 0.32166666666666666, "TreatmentACasesHere": 1000, "TreatmentBCasesHere": 1000, "TreatmentATotalCases": 3000, "TreatmentBTotalCases": 3000, "AllocationFractionA": 0.3333333333333333, "AllocationFractionB": 0.3333333333333333, "AllocationBias": 0.0, "StratumGap": 0.025, "WeightedStratumGap": 0.008333333333333333 },
      { "StratumSummaryId": "folic-fortification-2000-voluntary-B", "Study": "folic-fortification-2000", "StratumLabel": "voluntary", "TreatmentLabel": "B", "Name": "folic-fortification-2000-voluntary-B", "StratumSuccesses": 940, "StratumCases": 1000, "StratumSuccessRate": 0.94, "StratumSuccessesA": 965, "StratumCasesA": 1000, "StratumRateA": 0.965, "StratumSuccessesB": 940, "StratumCasesB": 1000, "StratumRateB": 0.94, "StratumWinner": "A", "StudyTotalCases": 6000, "StratumTotalCases": 2000, "StratumFraction": 0.3333333333333333, "WeightedStratumRate": 0.31333333333333335, "TreatmentACasesHere": 1000, "TreatmentBCasesHere": 1000, "TreatmentATotalCases": 3000, "TreatmentBTotalCases": 3000, "AllocationFractionA": 0.3333333333333333, "AllocationFractionB": 0.3333333333333333, "AllocationBias": 0.0, "StratumGap": 0.025, "WeightedStratumGap": 0.008333333333333333 },
      { "StratumSummaryId": "north-carolina-death-penalty-1990-white-victim-A", "Study": "north-carolina-death-penalty-1990", "StratumLabel": "white-victim", "TreatmentLabel": "A", "Name": "north-carolina-death-penalty-1990-white-victim-A", "StratumSuccesses": 14, "StratumCases": 120, "StratumSuccessRate": 0.11666666666666667, "StratumSuccessesA": 14, "StratumCasesA": 120, "StratumRateA": 0.11666666666666667, "StratumSuccessesB": 8, "StratumCasesB": 55, "StratumRateB": 0.14545454545454545, "StratumWinner": "B", "StudyTotalCases": 280, "StratumTotalCases": 175, "StratumFraction": 0.625, "WeightedStratumRate": 0.07291666666666667, "TreatmentACasesHere": 120, "TreatmentBCasesHere": 55, "TreatmentATotalCases": 135, "TreatmentBTotalCases": 145, "AllocationFractionA": 0.8888888888888888, "AllocationFractionB": 0.3793103448275862, "AllocationBias": 0.5095785440613027, "StratumGap": -0.02878787878787879, "WeightedStratumGap": -0.017992424242424244 },
      { "StratumSummaryId": "north-carolina-death-penalty-1990-white-victim-B", "Study": "north-carolina-death-penalty-</t>
  </si>
  <si>
    <t xml:space="preserve">1990", "StratumLabel": "white-victim", "TreatmentLabel": "B", "Name": "north-carolina-death-penalty-1990-white-victim-B", "StratumSuccesses": 8, "StratumCases": 55, "StratumSuccessRate": 0.14545454545454545, "StratumSuccessesA": 14, "StratumCasesA": 120, "StratumRateA": 0.11666666666666667, "StratumSuccessesB": 8, "StratumCasesB": 55, "StratumRateB": 0.14545454545454545, "StratumWinner": "B", "StudyTotalCases": 280, "StratumTotalCases": 175, "StratumFraction": 0.625, "WeightedStratumRate": 0.09090909090909091, "TreatmentACasesHere": 120, "TreatmentBCasesHere": 55, "TreatmentATotalCases": 135, "TreatmentBTotalCases": 145, "AllocationFractionA": 0.8888888888888888, "AllocationFractionB": 0.3793103448275862, "AllocationBias": 0.5095785440613027, "StratumGap": -0.02878787878787879, "WeightedStratumGap": -0.017992424242424244 },
      { "StratumSummaryId": "north-carolina-death-penalty-1990-black-victim-A", "Study": "north-carolina-death-penalty-1990", "StratumLabel": "black-victim", "TreatmentLabel": "A", "Name": "north-carolina-death-penalty-1990-black-victim-A", "StratumSuccesses": 1, "StratumCases": 15, "StratumSuccessRate": 0.06666666666666667, "StratumSuccessesA": 1, "StratumCasesA": 15, "StratumRateA": 0.06666666666666667, "StratumSuccessesB": 5, "StratumCasesB": 90, "StratumRateB": 0.05555555555555555, "StratumWinner": "A", "StudyTotalCases": 280, "StratumTotalCases": 105, "StratumFraction": 0.375, "WeightedStratumRate": 0.025, "TreatmentACasesHere": 15, "TreatmentBCasesHere": 90, "TreatmentATotalCases": 135, "TreatmentBTotalCases": 145, "AllocationFractionA": 0.1111111111111111, "AllocationFractionB": 0.6206896551724138, "AllocationBias": -0.5095785440613027, "StratumGap": 0.011111111111111112, "WeightedStratumGap": 0.004166666666666667 },
      { "StratumSummaryId": "north-carolina-death-penalty-1990-black-victim-B", "Study": "north-carolina-death-penalty-1990", "StratumLabel": "black-victim", "TreatmentLabel": "B", "Name": "north-carolina-death-penalty-1990-black-victim-B", "StratumSuccesses": 5, "StratumCases": 90, "StratumSuccessRate": 0.05555555555555555, "StratumSuccessesA": 1, "StratumCasesA": 15, "StratumRateA": 0.06666666666666667, "StratumSuccessesB": 5, "StratumCasesB": 90, "StratumRateB": 0.05555555555555555, "StratumWinner": "A", "StudyTotalCases": 280, "StratumTotalCases": 105, "StratumFraction": 0.375, "WeightedStratumRate": 0.020833333333333332, "TreatmentACasesHere": 15, "TreatmentBCasesHere": 90, "TreatmentATotalCases": 135, "TreatmentBTotalCases": 145, "AllocationFractionA": 0.1111111111111111, "AllocationFractionB": 0.6206896551724138, "AllocationBias": -0.5095785440613027, "StratumGap": 0.011111111111111112, "WeightedStratumGap": 0.004166666666666667 },
      { "StratumSummaryId": "housing-discrimination-audit-high-income-A", "Study": "housing-discrimination-audit", "StratumLabel": "high-income", "TreatmentLabel": "A", "Name": "housing-discrimination-audit-high-income-A", "StratumSuccesses": 180, "StratumCases": 250, "StratumSuccessRate": 0.72, "StratumSuccessesA": 180, "StratumCasesA": 250, "StratumRateA": 0.72, "StratumSuccessesB": 200, "StratumCasesB": 250, "StratumRateB": 0.8, "StratumWinner": "B", "StudyTotalCases": 1000, "StratumTotalCases": 500, "StratumFraction": 0.5, "WeightedStratumRate": 0.36, "TreatmentACasesHere": 250, "TreatmentBCasesHere": 250, "TreatmentATotalCases": 500, "TreatmentBTotalCases": 500, "AllocationFractionA": 0.5, "AllocationFractionB": 0.5, "AllocationBias": 0.0, "StratumGap": -0.08, "WeightedStratumGap": -0.04 },
      { "StratumSummaryId": "housing-discrimination-audit-high-income-B", "Study": "housing-discrimination-audit", "StratumLabel": "high-income", "TreatmentLabel": "B", "Name": "housing-discrimination-audit-high-income-B", "StratumSuccesses": 200, "StratumCases": 250, "StratumSuccessRate": 0.8, "StratumSuccessesA": 180, "StratumCasesA": 250, "StratumRateA": 0.72, "StratumSuccessesB": 200, "StratumCasesB": 250, "StratumRateB": 0.8, "StratumWinner": "B", "StudyTotalCases": 1000, "StratumTotalCases": 500, "StratumFraction": 0.5, "WeightedStratumRate": 0.4, "TreatmentACasesHere": 250, "TreatmentBCasesHere": 250, "TreatmentATotalCases": 500, "TreatmentBTotalCases": 500, "AllocationFractionA": 0.5, "AllocationFractionB": 0.5, "AllocationBias": 0.0, "StratumGap": -0.08, "WeightedStratumGap": -0.04 },
      { "StratumSummaryId": "housing-discrimination-audit-low-income-A", "Study": "housing-discrimination-audit", "StratumLabel": "low-income", "TreatmentLabel": "A", "Name": "housing-discrimination-audit-low-income-A", "StratumSuccesses": 120, "StratumCases": 250, "StratumSuccessRate": 0.48, "StratumSuccessesA": 120, "StratumCasesA": 250, "StratumRateA": 0.48, "StratumSuccessesB": 160, "StratumCasesB": 250, "StratumRateB": 0.64, "StratumWinner": "B", "StudyTotalCases": 1000, "StratumTotalCases": 500, "StratumFraction": 0.5, "WeightedStratumRate": 0.24, "TreatmentACasesHere": 250, "TreatmentBCasesHere": 250, "TreatmentATotalCases": 500, "TreatmentBTotalCases": 500, "AllocationFractionA": 0.5, "AllocationFractionB": 0.5, "AllocationBias": 0.0, "StratumGap": -0.16, "WeightedStratumGap": -0.08 },
      { "StratumSummaryId": "housing-discrimination-audit-low-income-B", "Study": "housing-discrimination-audit", "StratumLabel": "low-income", "TreatmentLabel": "B", "Name": "housing-discrimination-audit-low-income-B", "StratumSuccesses": 160, "StratumCases": 250, "StratumSuccessRate": 0.64, "StratumSuccessesA": 120, "StratumCasesA": 250, "StratumRateA": 0.48, "StratumSuccessesB": 160, "StratumCasesB": 250, "StratumRateB": 0.64, "StratumWinner": "B", "StudyTotalCases": 1000, "StratumTotalCases": 500, "StratumFraction": 0.5, "WeightedStratumRate": 0.32, "TreatmentACasesHere": 250, "TreatmentBCasesHere": 250, "TreatmentATotalCases": 500, "TreatmentBTotalCases": 500, "AllocationFractionA": 0.5, "AllocationFractionB": 0.5, "AllocationBias": 0.0, "StratumGap": -0.16, "WeightedStratumGap": -0.08 },
      { "StratumSummaryId": "gender-pay-gap-industry-tech-professional-A", "Study": "gender-pay-gap-industry", "StratumLabel": "tech-professional", "TreatmentLabel": "A", "Name": "gender-pay-gap-industry-tech-professional-A", "StratumSuccesses": 420, "StratumCases": 600, "StratumSuccessRate": 0.7, "StratumSuccessesA": 420, "StratumCasesA": 600, "StratumRateA": 0.7, "StratumSuccessesB": 280, "StratumCasesB": 400, "StratumRateB": 0.7, "StratumWinner": "B", "StudyTotalCases": 2800, "StratumTotalCases": 1000, "StratumFraction": 0.35714285714285715, "WeightedStratumRate": 0.25, "TreatmentACasesHere": 600, "TreatmentBCasesHere": 400, "TreatmentATotalCases": 1400, "TreatmentBTotalCases": 1400, "AllocationFractionA": 0.42857142857142855, "AllocationFractionB": 0.2857142857142857, "AllocationBias": 0.14285714285714285, "StratumGap": 0.0, "WeightedStratumGap": 0.0 },
      { "StratumSummaryId": "gender-pay-gap-industry-tech-professional-B", "Study": "gender-pay-gap-industry", "StratumLabel": "tech-professional", "TreatmentLabel": "B", "Name": "gender-pay-gap-industry-tech-professional-B", "StratumSuccesses": 280, "StratumCases": 400, "StratumSuccessRate": 0.7, "StratumSuccessesA": 420, "StratumCasesA": 600, "StratumRateA": 0.7, "StratumSuccessesB": 280, "StratumCasesB": 400, "StratumRateB": 0.7, "StratumWinner": "B", "StudyTotalCases": 2800, "StratumTotalCases": 1000, "StratumFraction": 0.35714285714285715, "WeightedStratumRate": 0.25, "TreatmentACasesHere": 600, "TreatmentBCasesHere": 400, "TreatmentATotalCases": 1400, "TreatmentBTotalCases": 1400, "AllocationFractionA": 0.42857142857142855, "AllocationFractionB": 0.2857142857142857, "AllocationBias": 0.14285714285714285, "StratumGap": 0.0, "WeightedStratumGap": 0.0 },
      { "StratumSummaryId": "gender-pay-gap-industry-healthcare-A", "Study": "gender-pay-gap-industry", "StratumLabel": "healthcare", "TreatmentLabel": "A", "Name": "gender-pay-gap-industry-healthcare-A", "StratumSuccesses": 200, "StratumCases": 400, "StratumSuccessRate": 0.5, "StratumSuccessesA": 200, "StratumCasesA": 400, "StratumRateA": 0.5, "StratumSuccessesB": 350, "StratumCasesB": 500, "StratumRateB": 0.7, "StratumWinner": "B", "StudyTotalCases": 2800, "StratumTotalCases": 900, "StratumFraction": 0.32142857142857145, "WeightedStratumRate": 0.16071428571428573, "TreatmentACasesHere": 400, "TreatmentBCasesHere": 500, "TreatmentATotalCases": 1400, "TreatmentBTotalCases": 1400, "AllocationFractionA": 0.2857142857142857, "AllocationFractionB": 0.35714285714285715, "AllocationBias": -0.07142857142857142, "StratumGap": -0.2, "WeightedStratumGap": -0.06428571428571428 },
      { "StratumSummaryId": "gender-pay-gap-industry-healthcare-B", "Study": "gender-pay-gap-industry", "StratumLabel": "healthcare", "TreatmentLabel": "B", "Name": "gender-pay-gap-industry-healthcare-B", "StratumSuccesses": 350, "StratumCases": 500, "StratumSuccessRate": 0.7, "StratumSuccessesA": 200, "StratumCasesA": 400, "StratumRateA": 0.5, "StratumSuccessesB": 350, "StratumCasesB": 500, "StratumRateB": 0.7, "StratumWinner": "B", "StudyTotalCases": 2800, "StratumTotalCases": 900, "StratumFraction": 0.32142857142857145, "WeightedStratumRate": 0.225, "TreatmentACasesHere": 400, "TreatmentBCasesHere": 500, "TreatmentATotalCases": 1400, "TreatmentBTotalCases": 1400, "AllocationFractionA": 0.2857142857142857, "AllocationFractionB": 0.35714285714285715, "AllocationBias": -0.07142857142857142, "StratumGap": -0.2, "WeightedStratumGap": -0.06428571428571428 },
      { "StratumSummaryId": "gender-pay-gap-industry-retail-hospitality-A", "Study": "gender-pay-gap-industry", "StratumLabel": "retail-hospitality", "TreatmentLabel": "A", "Name": "gender-pay-gap-industry-retail-hospitality-A", "StratumSuccesses": 150, "StratumCases": 400, "StratumSuccessRate": 0.375, "StratumSuccessesA": 150, "StratumCasesA": 400, "StratumRateA": 0.375, "StratumSuccessesB": 280, "StratumCasesB": 500, "StratumRateB": 0.56, "StratumWinner": "B", "StudyTotalCases": 2800, "StratumTotalCases": 900, "StratumFraction": 0.32142857142857145, "WeightedStratumRate": 0.12053571428571429, "TreatmentACasesHere": 400, "TreatmentBCasesHere": 500, "TreatmentATotalCases": 1400, "TreatmentBTotalCases": 1400, "AllocationFractionA": 0.2857142857142857, "AllocationFractionB": 0.35714285714285715, "AllocationBias": -0.07142857142857142, "StratumGap": -0.185, "WeightedStratumGap": -0.05946428571428571 },
      { "StratumSummaryId": "gender-pay-gap-industry-retail-hospitality-B", "Study": "gender-pay-gap-industry", "StratumLabel": "retail-hospitality", "TreatmentLabel": "B", "Name": "gender-pay-gap-industry-retail-hospitality-B", "StratumSuccesses": 280, "StratumCases": 500, "StratumSuccessRate": 0.56, "StratumSuccessesA": 150, "StratumCasesA": 400, "StratumRateA": 0.375, "StratumSuccessesB": 280, "StratumCasesB": 500, "StratumRateB": 0.56, "StratumWinner": "B", "StudyTotalCases": 2800, "StratumTotalCases": 900, "StratumFraction": 0.32142857142857145, "WeightedStratumRate": 0.18, "TreatmentACasesHere": 400, "TreatmentBCasesHere": 500, "TreatmentATotalCases": 1400, "TreatmentBTotalCases": 1400, "AllocationFractionA": 0.2857142857142857, "AllocationFractionB": 0.35714285714285715, "AllocationBias": -0.07142857142857142, "StratumGap": -0.185, "WeightedStratumGap": -0.05946428571428571 },
      { "StratumSummaryId": "income-education-state-high-education-states-A", "Study": "income-education-state", "StratumLabel": "high-education-states", "TreatmentLabel": "A", "Name": "income-education-state-high-education-states-A", "StratumSuccesses": 800, "StratumCases": 1000, "StratumSuccessRate": 0.8, "StratumSuccessesA": 800, "StratumCasesA": 1000, "StratumRateA": 0.8, "StratumSuccessesB": 400, "StratumCasesB": 800, "StratumRateB": 0.5, "StratumWinner": "A", "StudyTotalCases": 3600, "StratumTotalCases": 1800, "StratumFraction": 0.5, "WeightedStratumRate": 0.4, "TreatmentACasesHere": 1000, "TreatmentBCasesHere": 800, "TreatmentATotalCases": 1900, "TreatmentBTotalCases": 1700, "AllocationFractionA": 0.5263157894736842, "AllocationFractionB": 0.47058823529411764, "AllocationBias": 0.05572755417956656, "StratumGap": 0.3, "WeightedStratumGap": 0.15 },
      { "StratumSummaryId": "income-education-state-high-education-states-B", "Study": "income-education-state", "StratumLabel": "high-education-states", "TreatmentLabel": "B", "Name": "income-education-state-high-education-states-B", "StratumSuccesses": 400, "StratumCases": 800, "StratumSuccessRate": 0.5, "StratumSuccessesA": 800, "StratumCasesA": 1000, "StratumRateA": 0.8, "StratumSuccessesB": 400, "StratumCasesB": 800, "StratumRateB": 0.5, "StratumWinner": "A", "StudyTotalCases": 3600, "StratumTotalCases": 1800, "StratumFraction": 0.5, "WeightedStratumRate": 0.25, "TreatmentACasesHere": 1000, "TreatmentBCasesHere": 800, "TreatmentATotalCases": 1900, "TreatmentBTotalCases": 1700, "AllocationFractionA": 0.5263157894736842, "AllocationFractionB": 0.47058823529411764, "AllocationBias": 0.05572755417956656, "StratumGap": 0.3, "WeightedStratumGap": 0.15 },
      { "StratumSummaryId": "income-education-state-low-education-states-A", "Study": "income-education-state", "StratumLabel": "low-education-states", "TreatmentLabel": "A", "Name": "income-education-state-low-education-states-A", "StratumSuccesses": 500, "StratumCases": 900, "StratumSuccessRate": 0.5555555555555556, "StratumSuccessesA": 500, "StratumCasesA": 900, "StratumRateA": 0.5555555555555556, "StratumSuccessesB": 450, "StratumCasesB": 900, "StratumRateB": 0.5, "StratumWinner": "A", "StudyTotalCases": 3600, "StratumTotalCases": 1800, "StratumFraction": 0.5, "WeightedStratumRate": 0.2777777777777778, "TreatmentACasesHere": 900, "TreatmentBCasesHere": 900, "TreatmentATotalCases": 1900, "TreatmentBTotalCases": 1700, "AllocationFractionA": 0.47368421052631576, "AllocationFractionB": 0.5294117647058824, "AllocationBias": -0.05572755417956656, "StratumGap": 0.05555555555555555, "WeightedStratumGap": 0.027777777777777776 },
      { "StratumSummaryId": "income-education-state-low-education-states-B", "Study": "income-education-state", "StratumLabel": "low-education-states", "TreatmentLabel": "B", "Name": "income-education-state-low-education-states-B", "StratumSuccesses": 450, "StratumCases": 900, "StratumSuccessRate": 0.5, "StratumSuccessesA": 500, "StratumCasesA": 900, "StratumRateA": 0.5555555555555556, "StratumSuccessesB": 450, "StratumCasesB": 900, "StratumRateB": 0.5, "StratumWinner": "A", "StudyTotalCases": 3600, "StratumTotalCases": 1800, "StratumFraction": 0.5, "WeightedStratumRate": 0.25, "TreatmentACasesHere": 900, "TreatmentBCasesHere": 900, "TreatmentATotalCases": 1900, "TreatmentBTotalCases": 1700, "AllocationFractionA": 0.47368421052631576, "AllocationFractionB": 0.5294117647058824, "AllocationBias": -0.05572755417956656, "StratumGap": 0.05555555555555555, "WeightedStratumGap": 0.027777777777777776 },
      { "StratumSummaryId": "florida-reef-fish-1994-inshore-A", "Study": "florida-reef-fish-1994", "StratumLabel": "inshore", "TreatmentLabel": "A", "Name": "florida-reef-fish-1994-inshore-A", "StratumSuccesses": 450, "StratumCases": 600, "StratumSuccessRate": 0.75, "StratumSuccessesA": 450, "StratumCasesA": 600, "StratumRateA": 0.75, "StratumSuccessesB": 380, "StratumCasesB": 600, "StratumRateB": 0.6333333333333333, "StratumWinner": "A", "StudyTotalCases": 1600, "StratumTotalCases": 1200, "StratumFraction": 0.75, "WeightedStratumRate": 0.5625, "TreatmentACasesHere": 600, "TreatmentBCasesHere": 600, "TreatmentATotalCases": 800, "TreatmentBTotalCases": 800, "AllocationFractionA": 0.75, "AllocationFractionB": 0.75, "AllocationBias": 0.0, "StratumGap": 0.11666666666666667, "WeightedStratumGap": 0.0875 },
      { "StratumSummaryId": "florida-reef-fish-1994-inshore-B", "Study": "florida-reef-fish-1994", "StratumLabel": "inshore", "TreatmentLabel": "B", "Name": "florida-reef-fish-1994-inshore-B", "StratumSuccesses": 380, "StratumCases": 600, "StratumSuccessRate": 0.6333333333333333, "StratumSuccessesA": 450, "StratumCasesA": 600, "StratumRateA": 0.75, "StratumSuccessesB": 380, "StratumCasesB": 600, "StratumRateB": 0.6333333333333333, "StratumWinner": "A", "StudyTotalCases": 1600, "StratumTotalCases": 1200, "StratumFraction": 0.75, "WeightedStratumRate": 0.475, "TreatmentACasesHere": 600, "TreatmentBCasesHere": 600, "TreatmentATotalCases": 800, "TreatmentBTotalCases": 800, "AllocationFractionA": 0.75, "AllocationFractionB": 0.75, "AllocationBias": 0.0, "StratumGap": 0.11666666666666667, "WeightedStratumGap": 0.0875 },
      { "StratumSummaryId": "florida-reef-fish-1994-offshore-A", "Study": "florida-reef-fish-1994", "StratumLabel": "offshore", "TreatmentLabel": "A", "Name": "florida-reef-fish-1994-offshore-A", "StratumSuccesses": 120, "StratumCases": 200, "StratumSuccessRate": 0.6, "StratumSuccessesA": 120, "StratumCasesA": 200, "StratumRateA": 0.6, "StratumSuccessesB": 150, "StratumCasesB": 200, "StratumRateB": 0.75, "StratumWinner": "B", "StudyTotalCases": 1600, "StratumTotalCases": 400, "StratumFraction": 0.25, "WeightedStratumRate": 0.15, "TreatmentACasesHere": 200, "TreatmentBCasesHere": 200, "TreatmentATotalCases": 800, "TreatmentBTotalCases": 800, "AllocationFractionA": 0.25, "AllocationFractionB": 0.25, "AllocationBias": 0.0, "StratumGap": -0.15, "WeightedStratumGap": -0.0375 },
      { "StratumSummaryId": "florida-reef-fish-1994-offshore-B", "Study": "florida-reef-fish-1994", "StratumLabel": "offshore", "TreatmentLabel": "B", "Name": "florida-reef-fish-1994-offshore-B", "StratumSuccesses": 150, "StratumCases": 200, "StratumSuccessRate": 0.75, "StratumSuccessesA": 120, "StratumCasesA": 200, "StratumRateA": 0.6, "StratumSuccessesB": 150, "StratumCasesB": 200, "StratumRateB": 0.75, "StratumWinner": "B", "StudyTotalCases": 1600, "StratumTotalCases": 400, "StratumFraction": 0.25, "WeightedStratumRate": 0.1875, "TreatmentACasesHere": 200, "TreatmentBCasesHere": 200, "TreatmentATotalCases": 800, "TreatmentBTotalCases": 800, "AllocationFractionA": 0.25, "AllocationFractionB": 0.25, "AllocationBias": 0.0, "StratumGap": -0.15, "WeightedStratumGap": -0.0375 },
      { "StratumSummaryId": "uc-irvine-admissions-1985-engineering-A", "Study": "uc-irvine-admissions-1985", "StratumLabel": "engineering", "TreatmentLabel": "A", "Name": "uc-irvine-admissions-1985-engineering-A", "StratumSuccesses": 120, "StratumCases": 400, "StratumSuccessRate": 0.3, "StratumSuccessesA": 120, "StratumCasesA": 400, "StratumRateA": 0.3, "StratumSuccessesB": 40, "StratumCasesB": 200, "StratumRateB": 0.2, "StratumWinner": "A", "StudyTotalCases": 2180, "StratumTotalCases": 600, "StratumFraction": 0.27522935779816515, "WeightedStratumRate": 0.08256880733944955, "TreatmentACasesHere": 400, "TreatmentBCasesHere": 200, "TreatmentATotalCases": 1150, "TreatmentBTotalCases": 1030, "AllocationFractionA": 0.34782608695652173, "AllocationFractionB": 0.1941747572815534, "AllocationBias": 0.15365132967496833, "StratumGap": 0.1, "WeightedStratumGap": 0.027522935779816515 },
      { "StratumSummaryId": "uc-irvine-admissions-1985-engineering-B", "Study": "uc-irvine-admissions-1985", "StratumLabel": "engineering", "TreatmentLabel": "B", "Name": "uc-irvine-admissions-1985-engineering-B", "StratumSuccesses": 40, "StratumCases": 200, "StratumSuccessRate": 0.2, "StratumSuccessesA": 120, "StratumCasesA": 400, "StratumRateA": 0.3, "StratumSuccessesB": 40, "StratumCasesB": 200, "StratumRateB": 0.2, "StratumWinner": "A", "StudyTotalCases": 2180, "StratumTotalCases": 600, "StratumFraction": 0.27522935779816515, "WeightedStratumRate": 0.05504587155963303, "TreatmentACasesHere": 400, "TreatmentBCasesHere": 200, "TreatmentATotalCases": 1150, "TreatmentBTotalCases": 1030, "AllocationFractionA": 0.34782608695652173, "AllocationFractionB": 0.1941747572815534, "AllocationBias": 0.15365132967496833, "StratumGap": 0.1, "WeightedStratumGap": 0.027522935779816515 },
      { "StratumSummaryId": "uc-irvine-admissions-1985-humanities-A", "Study": "uc-irvine-admissions-1985", "StratumLabel": "humanities", "TreatmentLabel": "A", "Name": "uc-irvine-admissions-1985-humanities-A", "StratumSuccesses": 80, "StratumCases": 200, "StratumSuccessRate": 0.4, "StratumSuccessesA": 80, "StratumCasesA": 200, "StratumRateA": 0.4, "StratumSuccessesB": 150, "StratumCasesB": 250, "StratumRateB": 0.6, "StratumWinner": "B", "StudyTotalCases": 2180, "StratumTotalCases": 450, "StratumFraction": 0.20642201834862386, "WeightedStratumRate": 0.08256880733944955, "TreatmentACasesHere": 200, "TreatmentBCasesHere": 250, "TreatmentATotalCases": 1150, "TreatmentBTotalCases": 1030, "AllocationFractionA": 0.17391304347826086, "AllocationFractionB": 0.24271844660194175, "AllocationBias": -0.06880540312368087, "StratumGap": -0.2, "WeightedStratumGap": -0.04128440366972477 },
      { "StratumSummaryId": "uc-irvine-admissions-1985-humanities-B", "Study": "uc-irvine-admissions-1985", "StratumLabel": "humanities", "TreatmentLabel": "B", "Name": "uc-irvine-admissions-1985-humanities-B", "StratumSuccesses": 150, "StratumCases": 250, "StratumSuccessRate": 0.6, "StratumSuccessesA": 80, "StratumCasesA": 200, "StratumRateA": 0.4, "StratumSuccessesB": 150, "StratumCasesB": 250, "StratumRateB": 0.6, "StratumWinner": "B", "StudyTotalCases": 2180, "StratumTotalCases": 450, "StratumFraction": 0.20642201834862386, "WeightedStratumRate": 0.12385321100917432, "TreatmentACasesHere": 200, "TreatmentBCasesHere": 250, "TreatmentATotalCases": 1150, "TreatmentBTotalCases": 1030, "AllocationFractionA": 0.17391304347826086, "AllocationFractionB": 0.24271844660194175, "AllocationBias": -0.06880540312368087, "StratumGap": -0.2, "WeightedStratumGap": -0.04128440366972477 },
      { "StratumSummaryId": "uc-irvine-admissions-1985-biological-sciences-A", "Study": "uc-irvine-admissions-1985", "StratumLabel": "biological-sciences", "TreatmentLabel": "A", "Name": "uc-irvine-admissions-1985-biological-sciences-A", "StratumSuccesses": 100, "StratumCases": 300, "StratumSuccessRate": 0.3333333333333333, "StratumSuccessesA": 100, "StratumCasesA": 300, "StratumRateA": 0.3333333333333333, "StratumSuccessesB": 120, "StratumCasesB": 280, "StratumRateB": 0.42857142857142855, "StratumWinner": "B", "StudyTotalCases": 2180, "StratumTotalCases": 580, "StratumFraction": 0.26605504587155965, "WeightedStratumRate": 0.08868501529051988, "TreatmentACasesHere": 300, "TreatmentBCasesHere": 280, "TreatmentATotalCases": 1150, "TreatmentBTotalCases": 1030, "AllocationFractionA": 0.2608695652173913, "AllocationFractionB": 0.27184466019417475, "AllocationBias": -0.010975094976783452, "StratumGap": -0.09523809523809523, "WeightedStratumGap": -0.025338575797291395 },
      { "StratumSummaryId": "uc-irvine-admissions-1985-biological-sciences-B", "Study": "uc-irvine-admissions-1985", "StratumLabel": "biological-sciences", "TreatmentLabel": "B", "Name": "uc-irvine-admissions-1985-biological-sciences-B", "StratumSuccesses": 120, "StratumCases": 280, "StratumSuccessRate": 0.42857142857142855, "StratumSuccessesA": 100, "StratumCasesA": 300, "StratumRateA": 0.3333333333333333, "StratumSuccessesB": 120, "StratumCasesB": 280, "StratumRateB": 0.42857142857142855, "StratumWinner": "B", "StudyTotalCases": 2180, "StratumTotalCases": 580, "StratumFraction": 0.26605504587155965, "WeightedStratumRate": 0.11402359108781127, "TreatmentACasesHere": 300, "TreatmentBCasesHere": 280, "TreatmentATotalCases": 1150, "TreatmentBTotalCases": 1030, "AllocationFractionA": 0.2608695652173913, "AllocationFractionB": 0.27184466019417475, "AllocationBias": -0.010975094976783452, "StratumGap": -0.09523809523809523, "WeightedStratumGap": -0.025338575797291395 },
      { "StratumSummaryId": "uc-irvine-admissions-1985-social-sciences-A", "Study": "uc-irvine-admissions-1985", "StratumLabel": "social-sciences", "TreatmentLabel": "A", "Name": "uc-irvine-admissions-1985-social-sciences-A", "StratumSuccesses": 90, "StratumCases": 250, "StratumSuccessRate": 0.36, "StratumSuccessesA": 90, "StratumCasesA": 250, "StratumRateA": 0.36, "StratumSuccessesB": 130, "StratumCasesB": 300, "StratumRateB": 0.43333333333333335, "StratumWinner": "B", "StudyTotalCases": 2180, "StratumTotalCases": 550, "StratumFraction": 0.25229357798165136, "WeightedStratumRate": 0.0908256880733945, "TreatmentACasesHere": 250, "TreatmentBCasesHere": 300, "TreatmentATotalCases": 1150, "TreatmentBTotalCases": 1030, "AllocationFractionA": 0.21739130434782608, "AllocationFractionB": 0.2912621359223301, "AllocationBias": -0.07387083157450401, "StratumGap": -0.07333333333333333, "WeightedStratumGap": -0.018501529051987767 },
      { "StratumSummaryId": "uc-irvine-admissions-1985-social-sciences-B", "Study": "uc-irvine-admissions-1985", "StratumLabel": "social-sciences", "TreatmentLabel": "B", "Name": "uc-irvine-admissions-1985-social-sciences-B", "StratumSuccesses": 130, "StratumCases": 300, "StratumSuccessRate": 0.43333333333333335, "StratumSuccessesA": 90, "StratumCasesA": 250, "StratumRateA": 0.36, "StratumSuccessesB": 130, "StratumCasesB": 300, "StratumRateB": 0.43333333333333335, "StratumWinner": "B", "StudyTotalCases": 2180, "StratumTotalCases": 550, "StratumFraction": 0.25229357798165136, "WeightedStratumRate": 0.10932721712538226, "TreatmentACasesHere": 250, "TreatmentBCasesHere": 300, "TreatmentATotalCases": 1150, "TreatmentBTotalCases": 1030, "AllocationFractionA": 0.21739130434782608, "AllocationFractionB": 0.2912621359223301, "AllocationBias": -0.07387083157450401, "StratumGap": -0.07333333333333333, "WeightedStratumGap": -0.018501529051987767 },
      { "StratumSummaryId": "cesarean-birth-weight-2006-normal-bw-A", "Study": "cesarean-birth-weight-2006", "StratumLabel": "normal-bw", "TreatmentLabel": "A", "Name": "cesarean-birth-weight-2006-normal-bw-A", "StratumSuccesses": 1200, "StratumCases": 5000, "StratumSuccessRate": 0.24, "StratumSuccessesA": 1200, "StratumCasesA": 5000, "StratumRateA": 0.24, "StratumSuccessesB": 800, "StratumCasesB": 2000, "StratumRateB": 0.4, "StratumWinner": "B", "StudyTotalCases": 8400, "StratumTotalCases": 7000, "StratumFraction": 0.8333333333333334, "WeightedStratumRate": 0.2, "TreatmentACasesHere": 5000, "TreatmentBCasesHere": 2000, "TreatmentATotalCases": 5800, "TreatmentBTotalCases": 2600, "AllocationFractionA": 0.8620689655172413, "AllocationFractionB": 0.7692307692307693, "AllocationBias": 0.09283819628647215, "StratumGap": -0.16, "WeightedStratumGap": -0.13333333333333333 },
      { "StratumSummaryId": "cesarean-birth-weight-2006-normal-bw-B", "Study": "cesarean-birth-weight-2006", "StratumLabel": "normal-bw", "TreatmentLabel": "B", "Name": "cesarean-birth-weight-2006-normal-bw-B", "StratumSuccesses": 800, "StratumCases": 2000, "StratumSuccessRate": 0.4, "StratumSuccessesA": 1200, "StratumCasesA": 5000, "StratumRateA": 0.24, "StratumSuccessesB": 800, "StratumCasesB": 2000, "StratumRateB": 0.4, "StratumWinner": "B", "StudyTotalCases": 8400, "StratumTotalCases": 7000, "StratumFraction": 0.8333333333333334, "WeightedStratumRate": 0.3333333333333333, "TreatmentACasesHere": 5000, "TreatmentBCasesHere": 2000, "TreatmentATotalCases": 5800, "TreatmentBTotalCases": 2600, "AllocationFractionA": 0.8620689655172413, "AllocationFractionB": 0.7692307692307693, "AllocationBias": 0.09283819628647215, "StratumGap": -0.16, "WeightedStratumGap": -0.13333333333333333 },
      { "StratumSummaryId": "cesarean-birth-weight-2006-low-bw-A", "Study": "cesarean-birth-weight-2006", "StratumLabel": "low-bw", "TreatmentLabel": "A", "Name": "cesarean-birth-weight-2006-low-bw-A", "StratumSuccesses": 400, "StratumCases": 800, "StratumSuccessRate": 0.5, "StratumSuccessesA": 400, "StratumCasesA": 800, "StratumRateA": 0.5, "StratumSuccessesB": 350, "StratumCasesB": 600, "StratumRateB": 0.5833333333333334, "StratumWinner": "B", "StudyTotalCases": 8400, "StratumTotalCases": 1400, "StratumFraction": 0.16666666666666666, "WeightedStratumRate": 0.08333333333333333, "TreatmentACasesHere": 800, "TreatmentBCasesHere": 600, "TreatmentATotalCases": 5800, "TreatmentBTotalCases": 2600, "AllocationFractionA": 0.13793103448275862, "AllocationFractionB": 0.23076923076923078, "AllocationBias": -0.09283819628647215, "StratumGap": -0.08333333333333333, "WeightedStratumGap": -0.013888888888888888 },
      { "StratumSummaryId": "cesarean-birth-weight-2006-low-bw-B", "Study": "cesarean-birth-weight-2006", "StratumLabel": "low-bw", "TreatmentLabel": "B", "Name": "cesarean-birth-weight-2006-low-bw-B", "StratumSuccesses": 350, "StratumCases": 600, "StratumSuccessRate": 0.5833333333333334, "StratumSuccessesA": 400, "StratumCasesA": 800, "StratumRateA": 0.5, "StratumSuccessesB": 350, "StratumCasesB": 600, "StratumRateB": 0.5833333333333334, "StratumWinner": "B", "StudyTotalCases": 8400, "StratumTotalCases": 1400, "StratumFraction": 0.16666666666666666, "WeightedStratumRate": 0.09722222222222222, "TreatmentACasesHere": 800, "TreatmentBCasesHere": 600, "TreatmentATotalCases": 5800, "TreatmentBTotalCases": 2600, "AllocationFractionA": 0.13793103448275862, "AllocationFractionB": 0.23076923076923078, "AllocationBias": -0.09283819628647215, "StratumGap": -0.08333333333333333, "WeightedStratumGap": -0.013888888888888888 },
      { "StratumSummaryId": "schizophrenia-antipsychotic-moderate-A", "Study": "schizophrenia-antipsychotic", "StratumLabel": "moderate", "TreatmentLabel": "A", "Name": "schizophrenia-antipsychotic-moderate-A", "StratumSuccesses": 90, "StratumCases": 150, "StratumSuccessRate": 0.6, "StratumSuccessesA": 90, "StratumCasesA": 150, "StratumRateA": 0.6, "StratumSuccessesB": 80, "StratumCasesB": 150, "StratumRateB": 0.5333333333333333, "StratumWinner": "A", "StudyTotalCases": 540, "StratumTotalCases": 300, "StratumFraction": 0.5555555555555556, "WeightedStratumRate": 0.3333333333333333, "TreatmentACasesHere": 150, "TreatmentBCasesHere": 150, "TreatmentATotalCases": 270, "TreatmentBTotalCases": 270, "AllocationFractionA": 0.5555555555555556, "AllocationFractionB": 0.5555555555555556, "AllocationBias": 0.0, "StratumGap": 0.06666666666666667, "WeightedStratumGap": 0.037037037037037035 },
      { "StratumSummaryId": "schizophrenia-antipsychotic-moderate-B", "Study": "schizophrenia-antipsychotic", "StratumLabel": "moderate", "TreatmentLabel": "B", "Name": "schizophrenia-antipsychotic-moderate-B", "StratumSuccesses": 80, "StratumCases": 150, "StratumSuccessRate": 0.5333333333333333, "StratumSuccessesA": 90, "StratumCasesA": 150, "StratumRateA": 0.6, "StratumSuccessesB": 80, "StratumCasesB": 150, "StratumRateB": 0.5333333333333333, "StratumWinner": "A", "StudyTotalCases": 540, "StratumTotalCases": 300, "StratumFraction": 0.5555555555555556, "WeightedStratumRate": 0.2962962962962963, "TreatmentACasesHere": 150, "TreatmentBCasesHere": 150, "TreatmentATotalCases": 270, "TreatmentBTotalCases": 270, "AllocationFractionA": 0.5555555555555556, "AllocationFractionB": 0.5555555555555556, "AllocationBias": 0.0, "StratumGap": 0.06666666666666667, "WeightedStratumGap": 0.037037037037037035 },
      { "StratumSummaryId": "schizophrenia-antipsychotic-severe-A", "Study": "schizophrenia-antipsychotic", "StratumLabel": "severe", "TreatmentLabel": "A", "Name": "schizophrenia-antipsychotic-severe-A", "StratumSuccesses": 40, "StratumCases": 120, "StratumSuccessRate": 0.3333333333333333, "StratumSuccessesA": 40, "StratumCasesA": 120, "StratumRateA": 0.3333333333333333, "StratumSuccessesB": 55, "StratumCasesB": 120, "StratumRateB": 0.4583333333333333, "StratumWinner": "B", "StudyTotalCases": 540, "StratumTotalCases": 240, "StratumFraction": 0.4444444444444444, "WeightedStratumRate": 0.14814814814814814, "TreatmentACasesHere": 120, "TreatmentBCasesHere": 120, "TreatmentATotalCases": 270, "TreatmentBTotalCases": 270, "AllocationFractionA": 0.4444444444444444, "AllocationFractionB": 0.4444444444444444, "AllocationBias": 0.0, "StratumGap": -0.125, "WeightedStratumGap": -0.05555555555555555 },
      { "StratumSummaryId": "schizophrenia-antipsychotic-severe-B", "Study": "schizophrenia-antipsychotic", "StratumLabel": "severe", "TreatmentLabel": "B", "Name": "schizophrenia-antipsychotic-severe-B", "StratumSuccesses": 55, "StratumCases": 120, "StratumSuccessRate": 0.4583333333333333, "StratumSuccessesA": 40, "StratumCasesA": 120, "StratumRateA": 0.3333333333333333, "StratumSuccessesB": 55, "StratumCasesB": 120, "StratumRateB": 0.4583333333333333, "StratumWinner": "B", "StudyTotalCases": 540, "StratumTotalCases": 240, "StratumFraction": 0.4444444444444444, "WeightedStratumRate": 0.2037037037037037, "TreatmentACasesHere": 120, "TreatmentBCasesHere": 120, "TreatmentATotalCases": 270, "TreatmentBTotalCases": 270, "AllocationFractionA": 0.4444444444444444, "AllocationFractionB": 0.4444444444444444, "AllocationBias": 0.0, "StratumGap": -0.125, "WeightedStratumGap": -0.05555555555555555 },
      { "StratumSummaryId": "berkeley-six-dept-1973-dept-A-A", "Study": "berkeley-six-dept-1973", "StratumLabel":</t>
  </si>
  <si>
    <t xml:space="preserve"> "dept-A", "TreatmentLabel": "A", "Name": "berkeley-six-dept-1973-dept-A-A", "StratumSuccesses": 512, "StratumCases": 825, "StratumSuccessRate": 0.6206060606060606, "StratumSuccessesA": 512, "StratumCasesA": 825, "StratumRateA": 0.6206060606060606, "StratumSuccessesB": 89, "StratumCasesB": 108, "StratumRateB": 0.8240740740740741, "StratumWinner": "B", "StudyTotalCases": 4526, "StratumTotalCases": 933, "StratumFraction": 0.20614228899690676, "WeightedStratumRate": 0.12793315389868637, "TreatmentACasesHere": 825, "TreatmentBCasesHere": 108, "TreatmentATotalCases": 2691, "TreatmentBTotalCases": 1835, "AllocationFractionA": 0.30657748049052397, "AllocationFractionB": 0.05885558583106267, "AllocationBias": 0.2477218946594613, "StratumGap": -0.20346801346801346, "WeightedStratumGap": -0.04194336203394975 },
      { "StratumSummaryId": "berkeley-six-dept-1973-dept-A-B", "Study": "berkeley-six-dept-1973", "StratumLabel": "dept-A", "TreatmentLabel": "B", "Name": "berkeley-six-dept-1973-dept-A-B", "StratumSuccesses": 89, "StratumCases": 108, "StratumSuccessRate": 0.8240740740740741, "StratumSuccessesA": 512, "StratumCasesA": 825, "StratumRateA": 0.6206060606060606, "StratumSuccessesB": 89, "StratumCasesB": 108, "StratumRateB": 0.8240740740740741, "StratumWinner": "B", "StudyTotalCases": 4526, "StratumTotalCases": 933, "StratumFraction": 0.20614228899690676, "WeightedStratumRate": 0.16987651593263614, "TreatmentACasesHere": 825, "TreatmentBCasesHere": 108, "TreatmentATotalCases": 2691, "TreatmentBTotalCases": 1835, "AllocationFractionA": 0.30657748049052397, "AllocationFractionB": 0.05885558583106267, "AllocationBias": 0.2477218946594613, "StratumGap": -0.20346801346801346, "WeightedStratumGap": -0.04194336203394975 },
      { "StratumSummaryId": "berkeley-six-dept-1973-dept-B-A", "Study": "berkeley-six-dept-1973", "StratumLabel": "dept-B", "TreatmentLabel": "A", "Name": "berkeley-six-dept-1973-dept-B-A", "StratumSuccesses": 353, "StratumCases": 560, "StratumSuccessRate": 0.6303571428571428, "StratumSuccessesA": 353, "StratumCasesA": 560, "StratumRateA": 0.6303571428571428, "StratumSuccessesB": 17, "StratumCasesB": 25, "StratumRateB": 0.68, "StratumWinner": "B", "StudyTotalCases": 4526, "StratumTotalCases": 585, "StratumFraction": 0.12925320371188687, "WeightedStratumRate": 0.08147568019695726, "TreatmentACasesHere": 560, "TreatmentBCasesHere": 25, "TreatmentATotalCases": 2691, "TreatmentBTotalCases": 1835, "AllocationFractionA": 0.20810107766629507, "AllocationFractionB": 0.013623978201634877, "AllocationBias": 0.19447709946466019, "StratumGap": -0.04964285714285714, "WeightedStratumGap": -0.006416498327125813 },
      { "StratumSummaryId": "berkeley-six-dept-1973-dept-B-B", "Study": "berkeley-six-dept-1973", "StratumLabel": "dept-B", "TreatmentLabel": "B", "Name": "berkeley-six-dept-1973-dept-B-B", "StratumSuccesses": 17, "StratumCases": 25, "StratumSuccessRate": 0.68, "StratumSuccessesA": 353, "StratumCasesA": 560, "StratumRateA": 0.6303571428571428, "StratumSuccessesB": 17, "StratumCasesB": 25, "StratumRateB": 0.68, "StratumWinner": "B", "StudyTotalCases": 4526, "StratumTotalCases": 585, "StratumFraction": 0.12925320371188687, "WeightedStratumRate": 0.08789217852408307, "TreatmentACasesHere": 560, "TreatmentBCasesHere": 25, "TreatmentATotalCases": 2691, "TreatmentBTotalCases": 1835, "AllocationFractionA": 0.20810107766629507, "AllocationFractionB": 0.013623978201634877, "AllocationBias": 0.19447709946466019, "StratumGap": -0.04964285714285714, "WeightedStratumGap": -0.006416498327125813 },
      { "StratumSummaryId": "berkeley-six-dept-1973-dept-C-A", "Study": "berkeley-six-dept-1973", "StratumLabel": "dept-C", "TreatmentLabel": "A", "Name": "berkeley-six-dept-1973-dept-C-A", "StratumSuccesses": 120, "StratumCases": 325, "StratumSuccessRate": 0.36923076923076925, "StratumSuccessesA": 120, "StratumCasesA": 325, "StratumRateA": 0.36923076923076925, "StratumSuccessesB": 202, "StratumCasesB": 593, "StratumRateB": 0.3406408094435076, "StratumWinner": "A", "StudyTotalCases": 4526, "StratumTotalCases": 918, "StratumFraction": 0.20282810428634557, "WeightedStratumRate": 0.07489037696726605, "TreatmentACasesHere": 325, "TreatmentBCasesHere": 593, "TreatmentATotalCases": 2691, "TreatmentBTotalCases": 1835, "AllocationFractionA": 0.12077294685990338, "AllocationFractionB": 0.3231607629427793, "AllocationBias": -0.2023878160828759, "StratumGap": 0.028589959787261643, "WeightedStratumGap": 0.005798847345273131 },
      { "StratumSummaryId": "berkeley-six-dept-1973-dept-C-B", "Study": "berkeley-six-dept-1973", "StratumLabel": "dept-C", "TreatmentLabel": "B", "Name": "berkeley-six-dept-1973-dept-C-B", "StratumSuccesses": 202, "StratumCases": 593, "StratumSuccessRate": 0.3406408094435076, "StratumSuccessesA": 120, "StratumCasesA": 325, "StratumRateA": 0.36923076923076925, "StratumSuccessesB": 202, "StratumCasesB": 593, "StratumRateB": 0.3406408094435076, "StratumWinner": "A", "StudyTotalCases": 4526, "StratumTotalCases": 918, "StratumFraction": 0.20282810428634557, "WeightedStratumRate": 0.06909152962199293, "TreatmentACasesHere": 325, "TreatmentBCasesHere": 593, "TreatmentATotalCases": 2691, "TreatmentBTotalCases": 1835, "AllocationFractionA": 0.12077294685990338, "AllocationFractionB": 0.3231607629427793, "AllocationBias": -0.2023878160828759, "StratumGap": 0.028589959787261643, "WeightedStratumGap": 0.005798847345273131 },
      { "StratumSummaryId": "berkeley-six-dept-1973-dept-D-A", "Study": "berkeley-six-dept-1973", "StratumLabel": "dept-D", "TreatmentLabel": "A", "Name": "berkeley-six-dept-1973-dept-D-A", "StratumSuccesses": 138, "StratumCases": 417, "StratumSuccessRate": 0.33093525179856115, "StratumSuccessesA": 138, "StratumCasesA": 417, "StratumRateA": 0.33093525179856115, "StratumSuccessesB": 131, "StratumCasesB": 375, "StratumRateB": 0.34933333333333333, "StratumWinner": "B", "StudyTotalCases": 4526, "StratumTotalCases": 792, "StratumFraction": 0.17498895271763146, "WeightedStratumRate": 0.05791001312957588, "TreatmentACasesHere": 417, "TreatmentBCasesHere": 375, "TreatmentATotalCases": 2691, "TreatmentBTotalCases": 1835, "AllocationFractionA": 0.15496098104793757, "AllocationFractionB": 0.20435967302452315, "AllocationBias": -0.04939869197658559, "StratumGap": -0.01839808153477218, "WeightedStratumGap": -0.003219461019783378 },
      { "StratumSummaryId": "berkeley-six-dept-1973-dept-D-B", "Study": "berkeley-six-dept-1973", "StratumLabel": "dept-D", "TreatmentLabel": "B", "Name": "berkeley-six-dept-1973-dept-D-B", "StratumSuccesses": 131, "StratumCases": 375, "StratumSuccessRate": 0.34933333333333333, "StratumSuccessesA": 138, "StratumCasesA": 417, "StratumRateA": 0.33093525179856115, "StratumSuccessesB": 131, "StratumCasesB": 375, "StratumRateB": 0.34933333333333333, "StratumWinner": "B", "StudyTotalCases": 4526, "StratumTotalCases": 792, "StratumFraction": 0.17498895271763146, "WeightedStratumRate": 0.06112947414935926, "TreatmentACasesHere": 417, "TreatmentBCasesHere": 375, "TreatmentATotalCases": 2691, "TreatmentBTotalCases": 1835, "AllocationFractionA": 0.15496098104793757, "AllocationFractionB": 0.20435967302452315, "AllocationBias": -0.04939869197658559, "StratumGap": -0.01839808153477218, "WeightedStratumGap": -0.003219461019783378 },
      { "StratumSummaryId": "berkeley-six-dept-1973-dept-E-A", "Study": "berkeley-six-dept-1973", "StratumLabel": "dept-E", "TreatmentLabel": "A", "Name": "berkeley-six-dept-1973-dept-E-A", "StratumSuccesses": 53, "StratumCases": 191, "StratumSuccessRate": 0.2774869109947644, "StratumSuccessesA": 53, "StratumCasesA": 191, "StratumRateA": 0.2774869109947644, "StratumSuccessesB": 94, "StratumCasesB": 393, "StratumRateB": 0.23918575063613232, "StratumWinner": "A", "StudyTotalCases": 4526, "StratumTotalCases": 584, "StratumFraction": 0.12903225806451613, "WeightedStratumRate": 0.03580476270900186, "TreatmentACasesHere": 191, "TreatmentBCasesHere": 393, "TreatmentATotalCases": 2691, "TreatmentBTotalCases": 1835, "AllocationFractionA": 0.07097733184689707, "AllocationFractionB": 0.21416893732970027, "AllocationBias": -0.1431916054828032, "StratumGap": 0.03830116035863208, "WeightedStratumGap": 0.00494208520756543 },
      { "StratumSummaryId": "berkeley-six-dept-1973-dept-E-B", "Study": "berkeley-six-dept-1973", "StratumLabel": "dept-E", "TreatmentLabel": "B", "Name": "berkeley-six-dept-1973-dept-E-B", "StratumSuccesses": 94, "StratumCases": 393, "StratumSuccessRate": 0.23918575063613232, "StratumSuccessesA": 53, "StratumCasesA": 191, "StratumRateA": 0.2774869109947644, "StratumSuccessesB": 94, "StratumCasesB": 393, "StratumRateB": 0.23918575063613232, "StratumWinner": "A", "StudyTotalCases": 4526, "StratumTotalCases": 584, "StratumFraction": 0.12903225806451613, "WeightedStratumRate": 0.03086267750143643, "TreatmentACasesHere": 191, "TreatmentBCasesHere": 393, "TreatmentATotalCases": 2691, "TreatmentBTotalCases": 1835, "AllocationFractionA": 0.07097733184689707, "AllocationFractionB": 0.21416893732970027, "AllocationBias": -0.1431916054828032, "StratumGap": 0.03830116035863208, "WeightedStratumGap": 0.00494208520756543 },
      { "StratumSummaryId": "berkeley-six-dept-1973-dept-F-A", "Study": "berkeley-six-dept-1973", "StratumLabel": "dept-F", "TreatmentLabel": "A", "Name": "berkeley-six-dept-1973-dept-F-A", "StratumSuccesses": 22, "StratumCases": 373, "StratumSuccessRate": 0.058981233243967826, "StratumSuccessesA": 22, "StratumCasesA": 373, "StratumRateA": 0.058981233243967826, "StratumSuccessesB": 24, "StratumCasesB": 341, "StratumRateB": 0.07038123167155426, "StratumWinner": "B", "StudyTotalCases": 4526, "StratumTotalCases": 714, "StratumFraction": 0.15775519222271323, "WeightedStratumRate": 0.009304595787934827, "TreatmentACasesHere": 373, "TreatmentBCasesHere": 341, "TreatmentATotalCases": 2691, "TreatmentBTotalCases": 1835, "AllocationFractionA": 0.13861018208844295, "AllocationFractionB": 0.18583106267029972, "AllocationBias": -0.04722088058185677, "StratumGap": -0.011399998427586424, "WeightedStratumGap": -0.0017984089432825246 },
      { "StratumSummaryId": "berkeley-six-dept-1973-dept-F-B", "Study": "berkeley-six-dept-1973", "StratumLabel": "dept-F", "TreatmentLabel": "B", "Name": "berkeley-six-dept-1973-dept-F-B", "StratumSuccesses": 24, "StratumCases": 341, "StratumSuccessRate": 0.07038123167155426, "StratumSuccessesA": 22, "StratumCasesA": 373, "StratumRateA": 0.058981233243967826, "StratumSuccessesB": 24, "StratumCasesB": 341, "StratumRateB": 0.07038123167155426, "StratumWinner": "B", "StudyTotalCases": 4526, "StratumTotalCases": 714, "StratumFraction": 0.15775519222271323, "WeightedStratumRate": 0.011103004731217352, "TreatmentACasesHere": 373, "TreatmentBCasesHere": 341, "TreatmentATotalCases": 2691, "TreatmentBTotalCases": 1835, "AllocationFractionA": 0.13861018208844295, "AllocationFractionB": 0.18583106267029972, "AllocationBias": -0.04722088058185677, "StratumGap": -0.011399998427586424, "WeightedStratumGap": -0.0017984089432825246 },
      { "StratumSummaryId": "rosiglitazone-mi-pool-2007-imbalanced-trials-A", "Study": "rosiglitazone-mi-pool-2007", "StratumLabel": "imbalanced-trials", "TreatmentLabel": "A", "Name": "rosiglitazone-mi-pool-2007-imbalanced-trials-A", "StratumSuccesses": 30, "StratumCases": 12000, "StratumSuccessRate": 0.0025, "StratumSuccessesA": 30, "StratumCasesA": 12000, "StratumRateA": 0.0025, "StratumSuccessesB": 20, "StratumCasesB": 3000, "StratumRateB": 0.006666666666666667, "StratumWinner": "B", "StudyTotalCases": 27847, "StratumTotalCases": 15000, "StratumFraction": 0.5386576650985744, "WeightedStratumRate": 0.0013466441627464358, "TreatmentACasesHere": 12000, "TreatmentBCasesHere": 3000, "TreatmentATotalCases": 15565, "TreatmentBTotalCases": 12282, "AllocationFractionA": 0.7709604882749759, "AllocationFractionB": 0.24425989252564728, "AllocationBias": 0.5267005957493286, "StratumGap": -0.004166666666666667, "WeightedStratumGap": -0.0022444069379107265 },
      { "StratumSummaryId": "rosiglitazone-mi-pool-2007-imbalanced-trials-B", "Study": "rosiglitazone-mi-pool-2007", "StratumLabel": "imbalanced-trials", "TreatmentLabel": "B", "Name": "rosiglitazone-mi-pool-2007-imbalanced-trials-B", "StratumSuccesses": 20, "StratumCases": 3000, "StratumSuccessRate": 0.006666666666666667, "StratumSuccessesA": 30, "StratumCasesA": 12000, "StratumRateA": 0.0025, "StratumSuccessesB": 20, "StratumCasesB": 3000, "StratumRateB": 0.006666666666666667, "StratumWinner": "B", "StudyTotalCases": 27847, "StratumTotalCases": 15000, "StratumFraction": 0.5386576650985744, "WeightedStratumRate": 0.0035910511006571623, "TreatmentACasesHere": 12000, "TreatmentBCasesHere": 3000, "TreatmentATotalCases": 15565, "TreatmentBTotalCases": 12282, "AllocationFractionA": 0.7709604882749759, "AllocationFractionB": 0.24425989252564728, "AllocationBias": 0.5267005957493286, "StratumGap": -0.004166666666666667, "WeightedStratumGap": -0.0022444069379107265 },
      { "StratumSummaryId": "rosiglitazone-mi-pool-2007-balanced-trials-A", "Study": "rosiglitazone-mi-pool-2007", "StratumLabel": "balanced-trials", "TreatmentLabel": "A", "Name": "rosiglitazone-mi-pool-2007-balanced-trials-A", "StratumSuccesses": 56, "StratumCases": 3565, "StratumSuccessRate": 0.01570827489481066, "StratumSuccessesA": 56, "StratumCasesA": 3565, "StratumRateA": 0.01570827489481066, "StratumSuccessesB": 52, "StratumCasesB": 9282, "StratumRateB": 0.0056022408963585435, "StratumWinner": "A", "StudyTotalCases": 27847, "StratumTotalCases": 12847, "StratumFraction": 0.4613423349014256, "WeightedStratumRate": 0.007246892217245396, "TreatmentACasesHere": 3565, "TreatmentBCasesHere": 9282, "TreatmentATotalCases": 15565, "TreatmentBTotalCases": 12282, "AllocationFractionA": 0.2290395117250241, "AllocationFractionB": 0.7557401074743527, "AllocationBias": -0.5267005957493286, "StratumGap": 0.010106033998452117, "WeightedStratumGap": 0.004662341321439089 },
      { "StratumSummaryId": "rosiglitazone-mi-pool-2007-balanced-trials-B", "Study": "rosiglitazone-mi-pool-2007", "StratumLabel": "balanced-trials", "TreatmentLabel": "B", "Name": "rosiglitazone-mi-pool-2007-balanced-trials-B", "StratumSuccesses": 52, "StratumCases": 9282, "StratumSuccessRate": 0.0056022408963585435, "StratumSuccessesA": 56, "StratumCasesA": 3565, "StratumRateA": 0.01570827489481066, "StratumSuccessesB": 52, "StratumCasesB": 9282, "StratumRateB": 0.0056022408963585435, "StratumWinner": "A", "StudyTotalCases": 27847, "StratumTotalCases": 12847, "StratumFraction": 0.4613423349014256, "WeightedStratumRate": 0.002584550895806306, "TreatmentACasesHere": 3565, "TreatmentBCasesHere": 9282, "TreatmentATotalCases": 15565, "TreatmentBTotalCases": 12282, "AllocationFractionA": 0.2290395117250241, "AllocationFractionB": 0.7557401074743527, "AllocationBias": -0.5267005957493286, "StratumGap": 0.010106033998452117, "WeightedStratumGap": 0.004662341321439089 },
      { "StratumSummaryId": "ironman-gender-age-2010-young-cohort-A", "Study": "ironman-gender-age-2010", "StratumLabel": "young-cohort", "TreatmentLabel": "A", "Name": "ironman-gender-age-2010-young-cohort-A", "StratumSuccesses": 80, "StratumCases": 100, "StratumSuccessRate": 0.8, "StratumSuccessesA": 80, "StratumCasesA": 100, "StratumRateA": 0.8, "StratumSuccessesB": 9, "StratumCasesB": 10, "StratumRateB": 0.9, "StratumWinner": "B", "StudyTotalCases": 220, "StratumTotalCases": 110, "StratumFraction": 0.5, "WeightedStratumRate": 0.4, "TreatmentACasesHere": 100, "TreatmentBCasesHere": 10, "TreatmentATotalCases": 110, "TreatmentBTotalCases": 110, "AllocationFractionA": 0.9090909090909091, "AllocationFractionB": 0.09090909090909091, "AllocationBias": 0.8181818181818182, "StratumGap": -0.1, "WeightedStratumGap": -0.05 },
      { "StratumSummaryId": "ironman-gender-age-2010-young-cohort-B", "Study": "ironman-gender-age-2010", "StratumLabel": "young-cohort", "TreatmentLabel": "B", "Name": "ironman-gender-age-2010-young-cohort-B", "StratumSuccesses": 9, "StratumCases": 10, "StratumSuccessRate": 0.9, "StratumSuccessesA": 80, "StratumCasesA": 100, "StratumRateA": 0.8, "StratumSuccessesB": 9, "StratumCasesB": 10, "StratumRateB": 0.9, "StratumWinner": "B", "StudyTotalCases": 220, "StratumTotalCases": 110, "StratumFraction": 0.5, "WeightedStratumRate": 0.45, "TreatmentACasesHere": 100, "TreatmentBCasesHere": 10, "TreatmentATotalCases": 110, "TreatmentBTotalCases": 110, "AllocationFractionA": 0.9090909090909091, "AllocationFractionB": 0.09090909090909091, "AllocationBias": 0.8181818181818182, "StratumGap": -0.1, "WeightedStratumGap": -0.05 },
      { "StratumSummaryId": "ironman-gender-age-2010-old-cohort-A", "Study": "ironman-gender-age-2010", "StratumLabel": "old-cohort", "TreatmentLabel": "A", "Name": "ironman-gender-age-2010-old-cohort-A", "StratumSuccesses": 5, "StratumCases": 10, "StratumSuccessRate": 0.5, "StratumSuccessesA": 5, "StratumCasesA": 10, "StratumRateA": 0.5, "StratumSuccessesB": 60, "StratumCasesB": 100, "StratumRateB": 0.6, "StratumWinner": "B", "StudyTotalCases": 220, "StratumTotalCases": 110, "StratumFraction": 0.5, "WeightedStratumRate": 0.25, "TreatmentACasesHere": 10, "TreatmentBCasesHere": 100, "TreatmentATotalCases": 110, "TreatmentBTotalCases": 110, "AllocationFractionA": 0.09090909090909091, "AllocationFractionB": 0.9090909090909091, "AllocationBias": -0.8181818181818182, "StratumGap": -0.1, "WeightedStratumGap": -0.05 },
      { "StratumSummaryId": "ironman-gender-age-2010-old-cohort-B", "Study": "ironman-gender-age-2010", "StratumLabel": "old-cohort", "TreatmentLabel": "B", "Name": "ironman-gender-age-2010-old-cohort-B", "StratumSuccesses": 60, "StratumCases": 100, "StratumSuccessRate": 0.6, "StratumSuccessesA": 5, "StratumCasesA": 10, "StratumRateA": 0.5, "StratumSuccessesB": 60, "StratumCasesB": 100, "StratumRateB": 0.6, "StratumWinner": "B", "StudyTotalCases": 220, "StratumTotalCases": 110, "StratumFraction": 0.5, "WeightedStratumRate": 0.3, "TreatmentACasesHere": 10, "TreatmentBCasesHere": 100, "TreatmentATotalCases": 110, "TreatmentBTotalCases": 110, "AllocationFractionA": 0.09090909090909091, "AllocationFractionB": 0.9090909090909091, "AllocationBias": -0.8181818181818182, "StratumGap": -0.1, "WeightedStratumGap": -0.05 },
      { "StratumSummaryId": "hanley-power-lines-2000-myers-1990-A", "Study": "hanley-power-lines-2000", "StratumLabel": "myers-1990", "TreatmentLabel": "A", "Name": "hanley-power-lines-2000-myers-1990-A", "StratumSuccesses": 8, "StratumCases": 13, "StratumSuccessRate": 0.6153846153846154, "StratumSuccessesA": 8, "StratumCasesA": 13, "StratumRateA": 0.6153846153846154, "StratumSuccessesB": 28, "StratumCasesB": 124, "StratumRateB": 0.22580645161290322, "StratumWinner": "A", "StudyTotalCases": 1515, "StratumTotalCases": 137, "StratumFraction": 0.09042904290429044, "WeightedStratumRate": 0.05564864178725565, "TreatmentACasesHere": 13, "TreatmentBCasesHere": 124, "TreatmentATotalCases": 255, "TreatmentBTotalCases": 1260, "AllocationFractionA": 0.050980392156862744, "AllocationFractionB": 0.09841269841269841, "AllocationBias": -0.047432306255835666, "StratumGap": 0.38957816377171217, "WeightedStratumGap": 0.03522918048628684 },
      { "StratumSummaryId": "hanley-power-lines-2000-myers-1990-B", "Study": "hanley-power-lines-2000", "StratumLabel": "myers-1990", "TreatmentLabel": "B", "Name": "hanley-power-lines-2000-myers-1990-B", "StratumSuccesses": 28, "StratumCases": 124, "StratumSuccessRate": 0.22580645161290322, "StratumSuccessesA": 8, "StratumCasesA": 13, "StratumRateA": 0.6153846153846154, "StratumSuccessesB": 28, "StratumCasesB": 124, "StratumRateB": 0.22580645161290322, "StratumWinner": "A", "StudyTotalCases": 1515, "StratumTotalCases": 137, "StratumFraction": 0.09042904290429044, "WeightedStratumRate": 0.020419461300968805, "TreatmentACasesHere": 13, "TreatmentBCasesHere": 124, "TreatmentATotalCases": 255, "TreatmentBTotalCases": 1260, "AllocationFractionA": 0.050980392156862744, "AllocationFractionB": 0.09841269841269841, "AllocationBias": -0.047432306255835666, "StratumGap": 0.38957816377171217, "WeightedStratumGap": 0.03522918048628684 },
      { "StratumSummaryId": "hanley-power-lines-2000-feychting-1993-A", "Study": "hanley-power-lines-2000", "StratumLabel": "feychting-1993", "TreatmentLabel": "A", "Name": "hanley-power-lines-2000-feychting-1993-A", "StratumSuccesses": 12, "StratumCases": 135, "StratumSuccessRate": 0.08888888888888889, "StratumSuccessesA": 12, "StratumCasesA": 135, "StratumRateA": 0.08888888888888889, "StratumSuccessesB": 26, "StratumCasesB": 457, "StratumRateB": 0.05689277899343545, "StratumWinner": "A", "StudyTotalCases": 1515, "StratumTotalCases": 592, "StratumFraction": 0.39075907590759074, "WeightedStratumRate": 0.034734140080674734, "TreatmentACasesHere": 135, "TreatmentBCasesHere": 457, "TreatmentATotalCases": 255, "TreatmentBTotalCases": 1260, "AllocationFractionA": 0.5294117647058824, "AllocationFractionB": 0.3626984126984127, "AllocationBias": 0.16671335200746965, "StratumGap": 0.03199610989545344, "WeightedStratumGap": 0.012502770335385107 },
      { "StratumSummaryId": "hanley-power-lines-2000-feychting-1993-B", "Study": "hanley-power-lines-2000", "StratumLabel": "feychting-1993", "TreatmentLabel": "B", "Name": "hanley-power-lines-2000-feychting-1993-B", "StratumSuccesses": 26, "StratumCases": 457, "StratumSuccessRate": 0.05689277899343545, "StratumSuccessesA": 12, "StratumCasesA": 135, "StratumRateA": 0.08888888888888889, "StratumSuccessesB": 26, "StratumCasesB": 457, "StratumRateB": 0.05689277899343545, "StratumWinner": "A", "StudyTotalCases": 1515, "StratumTotalCases": 592, "StratumFraction": 0.39075907590759074, "WeightedStratumRate": 0.022231369745289626, "TreatmentACasesHere": 135, "TreatmentBCasesHere": 457, "TreatmentATotalCases": 255, "TreatmentBTotalCases": 1260, "AllocationFractionA": 0.5294117647058824, "AllocationFractionB": 0.3626984126984127, "AllocationBias": 0.16671335200746965, "StratumGap": 0.03199610989545344, "WeightedStratumGap": 0.012502770335385107 },
      { "StratumSummaryId": "hanley-power-lines-2000-tynes-1997-A", "Study": "hanley-power-lines-2000", "StratumLabel": "tynes-1997", "TreatmentLabel": "A", "Name": "hanley-power-lines-2000-tynes-1997-A", "StratumSuccesses": 11, "StratumCases": 82, "StratumSuccessRate": 0.13414634146341464, "StratumSuccessesA": 11, "StratumCasesA": 82, "StratumRateA": 0.13414634146341464, "StratumSuccessesB": 33, "StratumCasesB": 584, "StratumRateB": 0.05650684931506849, "StratumWinner": "A", "StudyTotalCases": 1515, "StratumTotalCases": 666, "StratumFraction": 0.4396039603960396, "WeightedStratumRate": 0.05897126297995653, "TreatmentACasesHere": 82, "TreatmentBCasesHere": 584, "TreatmentATotalCases": 255, "TreatmentBTotalCases": 1260, "AllocationFractionA": 0.3215686274509804, "AllocationFractionB": 0.4634920634920635, "AllocationBias": -0.1419234360410831, "StratumGap": 0.07763949214834615, "WeightedStratumGap": 0.034130628231550185 },
      { "StratumSummaryId": "hanley-power-lines-2000-tynes-1997-B", "Study": "hanley-power-lines-2000", "StratumLabel": "tynes-1997", "TreatmentLabel": "B", "Name": "hanley-power-lines-2000-tynes-1997-B", "StratumSuccesses": 33, "StratumCases": 584, "StratumSuccessRate": 0.05650684931506849, "StratumSuccessesA": 11, "StratumCasesA": 82, "StratumRateA": 0.13414634146341464, "StratumSuccessesB": 33, "StratumCasesB": 584, "StratumRateB": 0.05650684931506849, "StratumWinner": "A", "StudyTotalCases": 1515, "StratumTotalCases": 666, "StratumFraction": 0.4396039603960396, "WeightedStratumRate": 0.024840634748406348, "TreatmentACasesHere": 82, "TreatmentBCasesHere": 584, "TreatmentATotalCases": 255, "TreatmentBTotalCases": 1260, "AllocationFractionA": 0.3215686274509804, "AllocationFractionB": 0.4634920634920635, "AllocationBias": -0.1419234360410831, "StratumGap": 0.07763949214834615, "WeightedStratumGap": 0.034130628231550185 },
      { "StratumSummaryId": "hanley-power-lines-2000-li-1998-A", "Study": "hanley-power-lines-2000", "StratumLabel": "li-1998", "TreatmentLabel": "A", "Name": "hanley-power-lines-2000-li-1998-A", "StratumSuccesses": 5, "StratumCases": 13, "StratumSuccessRate": 0.38461538461538464, "StratumSuccessesA": 5, "StratumCasesA": 13, "StratumRateA": 0.38461538461538464, "StratumSuccessesB": 14, "StratumCasesB": 42, "StratumRateB": 0.3333333333333333, "StratumWinner": "A", "StudyTotalCases": 1515, "StratumTotalCases": 55, "StratumFraction": 0.036303630363036306, "WeightedStratumRate": 0.013962934755013963, "TreatmentACasesHere": 13, "TreatmentBCasesHere": 42, "TreatmentATotalCases": 255, "TreatmentBTotalCases": 1260, "AllocationFractionA": 0.050980392156862744, "AllocationFractionB": 0.03333333333333333, "AllocationBias": 0.01764705882352941, "StratumGap": 0.05128205128205128, "WeightedStratumGap": 0.0018617246340018618 },
      { "StratumSummaryId": "hanley-power-lines-2000-li-1998-B", "Study": "hanley-power-lines-2000", "StratumLabel": "li-1998", "TreatmentLabel": "B", "Name": "hanley-power-lines-2000-li-1998-B", "StratumSuccesses": 14, "StratumCases": 42, "StratumSuccessRate": 0.3333333333333333, "StratumSuccessesA": 5, "StratumCasesA": 13, "StratumRateA": 0.38461538461538464, "StratumSuccessesB": 14, "StratumCasesB": 42, "StratumRateB": 0.3333333333333333, "StratumWinner": "A", "StudyTotalCases": 1515, "StratumTotalCases": 55, "StratumFraction": 0.036303630363036306, "WeightedStratumRate": 0.0121012101210121, "TreatmentACasesHere": 13, "TreatmentBCasesHere": 42, "TreatmentATotalCases": 255, "TreatmentBTotalCases": 1260, "AllocationFractionA": 0.050980392156862744, "AllocationFractionB": 0.03333333333333333, "AllocationBias": 0.01764705882352941, "StratumGap": 0.05128205128205128, "WeightedStratumGap": 0.0018617246340018618 },
      { "StratumSummaryId": "hanley-power-lines-2000-mcbride-1999-A", "Study": "hanley-power-lines-2000", "StratumLabel": "mcbride-1999", "TreatmentLabel": "A", "Name": "hanley-power-lines-2000-mcbride-1999-A", "StratumSuccesses": 6, "StratumCases": 12, "StratumSuccessRate": 0.5, "StratumSuccessesA": 6, "StratumCasesA": 12, "StratumRateA": 0.5, "StratumSuccessesB": 25, "StratumCasesB": 53, "StratumRateB": 0.4716981132075472, "StratumWinner": "A", "StudyTotalCases": 1515, "StratumTotalCases": 65, "StratumFraction": 0.0429042904290429, "WeightedStratumRate": 0.02145214521452145, "TreatmentACasesHere": 12, "TreatmentBCasesHere": 53, "TreatmentATotalCases": 255, "TreatmentBTotalCases": 1260, "AllocationFractionA": 0.047058823529411764, "AllocationFractionB": 0.04206349206349207, "AllocationBias": 0.004995331465919701, "StratumGap": 0.02830188679245283, "WeightedStratumGap": 0.0012142723706332896 },
      { "StratumSummaryId": "hanley-power-lines-2000-mcbride-1999-B", "Study": "hanley-power-lines-2000", "StratumLabel": "mcbride-1999", "TreatmentLabel": "B", "Name": "hanley-power-lines-2000-mcbride-1999-B", "StratumSuccesses": 25, "StratumCases": 53, "StratumSuccessRate": 0.4716981132075472, "StratumSuccessesA": 6, "StratumCasesA": 12, "StratumRateA": 0.5, "StratumSuccessesB": 25, "StratumCasesB": 53, "StratumRateB": 0.4716981132075472, "StratumWinner": "A", "StudyTotalCases": 1515, "StratumTotalCases": 65, "StratumFraction": 0.0429042904290429, "WeightedStratumRate": 0.02023787284388816, "TreatmentACasesHere": 12, "TreatmentBCasesHere": 53, "TreatmentATotalCases": 255, "TreatmentBTotalCases": 1260, "AllocationFractionA": 0.047058823529411764, "AllocationFractionB": 0.04206349206349207, "AllocationBias": 0.004995331465919701, "StratumGap": 0.02830188679245283, "WeightedStratumGap": 0.0012142723706332896 },
      { "StratumSummaryId": "coffee-smoking-lung-1968-smokers-A", "Study": "coffee-smoking-lung-1968", "StratumLabel": "smokers", "TreatmentLabel": "A", "Name": "coffee-smoking-lung-1968-smokers-A", "StratumSuccesses": 141, "StratumCases": 778, "StratumSuccessRate": 0.18123393316195371, "StratumSuccessesA": 141, "StratumCasesA": 778, "StratumRateA": 0.18123393316195371, "StratumSuccessesB": 15, "StratumCasesB": 88, "StratumRateB": 0.17045454545454544, "StratumWinner": "A", "StudyTotalCases": 1116, "StratumTotalCases": 866, "StratumFraction": 0.7759856630824373, "WeightedStratumRate": 0.14063493379771677, "TreatmentACasesHere": 778, "TreatmentBCasesHere": 88, "TreatmentATotalCases": 898, "TreatmentBTotalCases": 218, "AllocationFractionA": 0.8663697104677061, "AllocationFractionB": 0.4036697247706422, "AllocationBias": 0.46269998569706383, "StratumGap": 0.010779387707408272, "WeightedStratumGap": 0.008364650317755882 },
      { "StratumSummaryId": "coffee-smoking-lung-1968-smokers-B", "Study": "coffee-smoking-lung-1968", "StratumLabel": "smokers", "TreatmentLabel": "B", "Name": "coffee-smoking-lung-1968-smokers-B", "StratumSuccesses": 15, "StratumCases": 88, "StratumSuccessRate": 0.17045454545454544, "StratumSuccessesA": 141, "StratumCasesA": 778, "StratumRateA": 0.18123393316195371, "StratumSuccessesB": 15, "StratumCasesB": 88, "StratumRateB": 0.17045454545454544, "StratumWinner": "A", "StudyTotalCases": 1116, "StratumTotalCases": 866, "StratumFraction": 0.7759856630824373, "WeightedStratumRate": 0.1322702834799609, "TreatmentACasesHere": 778, "TreatmentBCasesHere": 88, "TreatmentATotalCases": 898, "TreatmentBTotalCases": 218, "AllocationFractionA": 0.8663697104677061, "AllocationFractionB": 0.4036697247706422, "AllocationBias": 0.46269998569706383, "StratumGap": 0.010779387707408272, "WeightedStratumGap": 0.008364650317755882 },
      { "StratumSummaryId": "coffee-smoking-lung-1968-nonsmokers-A", "Study": "coffee-smoking-lung-1968", "StratumLabel": "nonsmokers", "TreatmentLabel": "A", "Name": "coffee-smoking-lung-1968-nonsmokers-A", "StratumSuccesses": 6, "StratumCases": 120, "StratumSuccessRate": 0.05, "StratumSuccessesA": 6, "StratumCasesA": 120, "StratumRateA": 0.05, "StratumSuccessesB": 8, "StratumCasesB": 130, "StratumRateB": 0.06153846153846154, "StratumWinner": "B", "StudyTotalCases": 1116, "StratumTotalCases": 250, "StratumFraction": 0.22401433691756273, "WeightedStratumRate": 0.011200716845878136, "TreatmentACasesHere": 120, "TreatmentBCasesHere": 130, "TreatmentATotalCases": 898, "TreatmentBTotalCases": 218, "AllocationFractionA": 0.133630289532294, "AllocationFractionB": 0.5963302752293578, "AllocationBias": -0.46269998569706383, "StratumGap": -0.011538461538461539, "WeightedStratumGap": -0.0025847808105872623 },
      { "StratumSummaryId": "coffee-smoking-lung-1968-nonsmokers-B", "Study": "coffee-smoking-lung-1968", "StratumLabel": "nonsmokers", "TreatmentLabel": "B", "Name": "coffee-smoking-lung-1968-nonsmokers-B", "StratumSuccesses": 8, "StratumCases": 130, "StratumSuccessRate": 0.06153846153846154, "StratumSuccessesA": 6, "StratumCasesA": 120, "StratumRateA": 0.05, "StratumSuccessesB": 8, "StratumCasesB": 130, "StratumRateB": 0.06153846153846154, "StratumWinner": "B", "StudyTotalCases": 1116, "StratumTotalCases": 250, "StratumFraction": 0.22401433691756273, "WeightedStratumRate": 0.013785497656465398, "TreatmentACasesHere": 120, "TreatmentBCasesHere": 130, "TreatmentATotalCases": 898, "TreatmentBTotalCases": 218, "AllocationFractionA": 0.133630289532294, "AllocationFractionB": 0.5963302752293578, "AllocationBias": -0.46269998569706383, "StratumGap": -0.011538461538461539, "WeightedStratumGap": -0.0025847808105872623 },
      { "StratumSummaryId": "panama-sweden-mortality-1975-under-10-A", "Study": "panama-sweden-mortality-1975", "StratumLabel": "under-10", "TreatmentLabel": "A", "Name": "panama-sweden-mortality-1975-under-10-A", "StratumSuccesses": 99, "StratumCases": 100, "StratumSuccessRate": 0.99, "StratumSuccessesA": 99, "StratumCasesA": 100, "StratumRateA": 0.99, "StratumSuccessesB": 493, "StratumCasesB": 500, "StratumRateB": 0.986, "StratumWinner": "A", "StudyTotalCases": 2000, "StratumTotalCases": 600, "StratumFraction": 0.3, "WeightedStratumRate": 0.297, "TreatmentACasesHere": 100, "TreatmentBCasesHere": 500, "TreatmentATotalCases": 1000, "TreatmentBTotalCases": 1000, "AllocationFractionA": 0.1, "AllocationFractionB": 0.5, "AllocationBias": -0.4, "StratumGap": 0.004, "WeightedStratumGap": 0.0012 },
      { "StratumSummaryId": "panama-sweden-mortality-1975-under-10-B", "Study": "panama-sweden-mortality-1975", "StratumLabel": "under-10", "TreatmentLabel": "B", "Name": "panama-sweden-mortality-1975-under-10-B", "StratumSuccesses": 493, "StratumCases": 500, "StratumSuccessRate": 0.986, "StratumSuccessesA": 99, "StratumCasesA": 100, "StratumRateA": 0.99, "StratumSuccessesB": 493, "StratumCasesB": 500, "StratumRateB": 0.986, "StratumWinner": "A", "StudyTotalCases": 2000, "StratumTotalCases": 600, "StratumFraction": 0.3, "WeightedStratumRate": 0.2958, "TreatmentACasesHere": 100, "TreatmentBCasesHere": 500, "TreatmentATotalCases": 1000, "TreatmentBTotalCases": 1000, "AllocationFractionA": 0.1, "AllocationFractionB": 0.5, "Allo</t>
  </si>
  <si>
    <t xml:space="preserve">cationBias": -0.4, "StratumGap": 0.004, "WeightedStratumGap": 0.0012 },
      { "StratumSummaryId": "panama-sweden-mortality-1975-mid-age-A", "Study": "panama-sweden-mortality-1975", "StratumLabel": "mid-age", "TreatmentLabel": "A", "Name": "panama-sweden-mortality-1975-mid-age-A", "StratumSuccesses": 299, "StratumCases": 300, "StratumSuccessRate": 0.9966666666666667, "StratumSuccessesA": 299, "StratumCasesA": 300, "StratumRateA": 0.9966666666666667, "StratumSuccessesB": 348, "StratumCasesB": 350, "StratumRateB": 0.9942857142857143, "StratumWinner": "A", "StudyTotalCases": 2000, "StratumTotalCases": 650, "StratumFraction": 0.325, "WeightedStratumRate": 0.3239166666666667, "TreatmentACasesHere": 300, "TreatmentBCasesHere": 350, "TreatmentATotalCases": 1000, "TreatmentBTotalCases": 1000, "AllocationFractionA": 0.3, "AllocationFractionB": 0.35, "AllocationBias": -0.05, "StratumGap": 0.002380952380952381, "WeightedStratumGap": 0.0007738095238095238 },
      { "StratumSummaryId": "panama-sweden-mortality-1975-mid-age-B", "Study": "panama-sweden-mortality-1975", "StratumLabel": "mid-age", "TreatmentLabel": "B", "Name": "panama-sweden-mortality-1975-mid-age-B", "StratumSuccesses": 348, "StratumCases": 350, "StratumSuccessRate": 0.9942857142857143, "StratumSuccessesA": 299, "StratumCasesA": 300, "StratumRateA": 0.9966666666666667, "StratumSuccessesB": 348, "StratumCasesB": 350, "StratumRateB": 0.9942857142857143, "StratumWinner": "A", "StudyTotalCases": 2000, "StratumTotalCases": 650, "StratumFraction": 0.325, "WeightedStratumRate": 0.3231428571428571, "TreatmentACasesHere": 300, "TreatmentBCasesHere": 350, "TreatmentATotalCases": 1000, "TreatmentBTotalCases": 1000, "AllocationFractionA": 0.3, "AllocationFractionB": 0.35, "AllocationBias": -0.05, "StratumGap": 0.002380952380952381, "WeightedStratumGap": 0.0007738095238095238 },
      { "StratumSummaryId": "panama-sweden-mortality-1975-elderly-A", "Study": "panama-sweden-mortality-1975", "StratumLabel": "elderly", "TreatmentLabel": "A", "Name": "panama-sweden-mortality-1975-elderly-A", "StratumSuccesses": 516, "StratumCases": 600, "StratumSuccessRate": 0.86, "StratumSuccessesA": 516, "StratumCasesA": 600, "StratumRateA": 0.86, "StratumSuccessesB": 123, "StratumCasesB": 150, "StratumRateB": 0.82, "StratumWinner": "A", "StudyTotalCases": 2000, "StratumTotalCases": 750, "StratumFraction": 0.375, "WeightedStratumRate": 0.3225, "TreatmentACasesHere": 600, "TreatmentBCasesHere": 150, "TreatmentATotalCases": 1000, "TreatmentBTotalCases": 1000, "AllocationFractionA": 0.6, "AllocationFractionB": 0.15, "AllocationBias": 0.45, "StratumGap": 0.04, "WeightedStratumGap": 0.015 },
      { "StratumSummaryId": "panama-sweden-mortality-1975-elderly-B", "Study": "panama-sweden-mortality-1975", "StratumLabel": "elderly", "TreatmentLabel": "B", "Name": "panama-sweden-mortality-1975-elderly-B", "StratumSuccesses": 123, "StratumCases": 150, "StratumSuccessRate": 0.82, "StratumSuccessesA": 516, "StratumCasesA": 600, "StratumRateA": 0.86, "StratumSuccessesB": 123, "StratumCasesB": 150, "StratumRateB": 0.82, "StratumWinner": "A", "StudyTotalCases": 2000, "StratumTotalCases": 750, "StratumFraction": 0.375, "WeightedStratumRate": 0.3075, "TreatmentACasesHere": 600, "TreatmentBCasesHere": 150, "TreatmentATotalCases": 1000, "TreatmentBTotalCases": 1000, "AllocationFractionA": 0.6, "AllocationFractionB": 0.15, "AllocationBias": 0.45, "StratumGap": 0.04, "WeightedStratumGap": 0.015 },
      { "StratumSummaryId": "hrt-whi-2002-observational-A", "Study": "hrt-whi-2002", "StratumLabel": "observational", "TreatmentLabel": "A", "Name": "hrt-whi-2002-observational-A", "StratumSuccesses": 950, "StratumCases": 10000, "StratumSuccessRate": 0.095, "StratumSuccessesA": 950, "StratumCasesA": 10000, "StratumRateA": 0.095, "StratumSuccessesB": 900, "StratumCasesB": 10000, "StratumRateB": 0.09, "StratumWinner": "A", "StudyTotalCases": 210000, "StratumTotalCases": 20000, "StratumFraction": 0.09523809523809523, "WeightedStratumRate": 0.009047619047619047, "TreatmentACasesHere": 10000, "TreatmentBCasesHere": 10000, "TreatmentATotalCases": 105000, "TreatmentBTotalCases": 105000, "AllocationFractionA": 0.09523809523809523, "AllocationFractionB": 0.09523809523809523, "AllocationBias": 0.0, "StratumGap": 0.005, "WeightedStratumGap": 0.0004761904761904762 },
      { "StratumSummaryId": "hrt-whi-2002-observational-B", "Study": "hrt-whi-2002", "StratumLabel": "observational", "TreatmentLabel": "B", "Name": "hrt-whi-2002-observational-B", "StratumSuccesses": 900, "StratumCases": 10000, "StratumSuccessRate": 0.09, "StratumSuccessesA": 950, "StratumCasesA": 10000, "StratumRateA": 0.095, "StratumSuccessesB": 900, "StratumCasesB": 10000, "StratumRateB": 0.09, "StratumWinner": "A", "StudyTotalCases": 210000, "StratumTotalCases": 20000, "StratumFraction": 0.09523809523809523, "WeightedStratumRate": 0.008571428571428572, "TreatmentACasesHere": 10000, "TreatmentBCasesHere": 10000, "TreatmentATotalCases": 105000, "TreatmentBTotalCases": 105000, "AllocationFractionA": 0.09523809523809523, "AllocationFractionB": 0.09523809523809523, "AllocationBias": 0.0, "StratumGap": 0.005, "WeightedStratumGap": 0.0004761904761904762 },
      { "StratumSummaryId": "hrt-whi-2002-rct-whi-A", "Study": "hrt-whi-2002", "StratumLabel": "rct-whi", "TreatmentLabel": "A", "Name": "hrt-whi-2002-rct-whi-A", "StratumSuccesses": 8500, "StratumCases": 95000, "StratumSuccessRate": 0.08947368421052632, "StratumSuccessesA": 8500, "StratumCasesA": 95000, "StratumRateA": 0.08947368421052632, "StratumSuccessesB": 9000, "StratumCasesB": 95000, "StratumRateB": 0.09473684210526316, "StratumWinner": "B", "StudyTotalCases": 210000, "StratumTotalCases": 190000, "StratumFraction": 0.9047619047619048, "WeightedStratumRate": 0.08095238095238096, "TreatmentACasesHere": 95000, "TreatmentBCasesHere": 95000, "TreatmentATotalCases": 105000, "TreatmentBTotalCases": 105000, "AllocationFractionA": 0.9047619047619048, "AllocationFractionB": 0.9047619047619048, "AllocationBias": 0.0, "StratumGap": -0.005263157894736842, "WeightedStratumGap": -0.0047619047619047615 },
      { "StratumSummaryId": "hrt-whi-2002-rct-whi-B", "Study": "hrt-whi-2002", "StratumLabel": "rct-whi", "TreatmentLabel": "B", "Name": "hrt-whi-2002-rct-whi-B", "StratumSuccesses": 9000, "StratumCases": 95000, "StratumSuccessRate": 0.09473684210526316, "StratumSuccessesA": 8500, "StratumCasesA": 95000, "StratumRateA": 0.08947368421052632, "StratumSuccessesB": 9000, "StratumCasesB": 95000, "StratumRateB": 0.09473684210526316, "StratumWinner": "B", "StudyTotalCases": 210000, "StratumTotalCases": 190000, "StratumFraction": 0.9047619047619048, "WeightedStratumRate": 0.08571428571428572, "TreatmentACasesHere": 95000, "TreatmentBCasesHere": 95000, "TreatmentATotalCases": 105000, "TreatmentBTotalCases": 105000, "AllocationFractionA": 0.9047619047619048, "AllocationFractionB": 0.9047619047619048, "AllocationBias": 0.0, "StratumGap": -0.005263157894736842, "WeightedStratumGap": -0.0047619047619047615 },
      { "StratumSummaryId": "obesity-paradox-hf-no-hf-A", "Study": "obesity-paradox-hf", "StratumLabel": "no-hf", "TreatmentLabel": "A", "Name": "obesity-paradox-hf-no-hf-A", "StratumSuccesses": 800, "StratumCases": 1000, "StratumSuccessRate": 0.8, "StratumSuccessesA": 800, "StratumCasesA": 1000, "StratumRateA": 0.8, "StratumSuccessesB": 900, "StratumCasesB": 1000, "StratumRateB": 0.9, "StratumWinner": "B", "StudyTotalCases": 4000, "StratumTotalCases": 2000, "StratumFraction": 0.5, "WeightedStratumRate": 0.4, "TreatmentACasesHere": 1000, "TreatmentBCasesHere": 1000, "TreatmentATotalCases": 2000, "TreatmentBTotalCases": 2000, "AllocationFractionA": 0.5, "AllocationFractionB": 0.5, "AllocationBias": 0.0, "StratumGap": -0.1, "WeightedStratumGap": -0.05 },
      { "StratumSummaryId": "obesity-paradox-hf-no-hf-B", "Study": "obesity-paradox-hf", "StratumLabel": "no-hf", "TreatmentLabel": "B", "Name": "obesity-paradox-hf-no-hf-B", "StratumSuccesses": 900, "StratumCases": 1000, "StratumSuccessRate": 0.9, "StratumSuccessesA": 800, "StratumCasesA": 1000, "StratumRateA": 0.8, "StratumSuccessesB": 900, "StratumCasesB": 1000, "StratumRateB": 0.9, "StratumWinner": "B", "StudyTotalCases": 4000, "StratumTotalCases": 2000, "StratumFraction": 0.5, "WeightedStratumRate": 0.45, "TreatmentACasesHere": 1000, "TreatmentBCasesHere": 1000, "TreatmentATotalCases": 2000, "TreatmentBTotalCases": 2000, "AllocationFractionA": 0.5, "AllocationFractionB": 0.5, "AllocationBias": 0.0, "StratumGap": -0.1, "WeightedStratumGap": -0.05 },
      { "StratumSummaryId": "obesity-paradox-hf-hf-A", "Study": "obesity-paradox-hf", "StratumLabel": "hf", "TreatmentLabel": "A", "Name": "obesity-paradox-hf-hf-A", "StratumSuccesses": 650, "StratumCases": 1000, "StratumSuccessRate": 0.65, "StratumSuccessesA": 650, "StratumCasesA": 1000, "StratumRateA": 0.65, "StratumSuccessesB": 500, "StratumCasesB": 1000, "StratumRateB": 0.5, "StratumWinner": "A", "StudyTotalCases": 4000, "StratumTotalCases": 2000, "StratumFraction": 0.5, "WeightedStratumRate": 0.325, "TreatmentACasesHere": 1000, "TreatmentBCasesHere": 1000, "TreatmentATotalCases": 2000, "TreatmentBTotalCases": 2000, "AllocationFractionA": 0.5, "AllocationFractionB": 0.5, "AllocationBias": 0.0, "StratumGap": 0.15, "WeightedStratumGap": 0.075 },
      { "StratumSummaryId": "obesity-paradox-hf-hf-B", "Study": "obesity-paradox-hf", "StratumLabel": "hf", "TreatmentLabel": "B", "Name": "obesity-paradox-hf-hf-B", "StratumSuccesses": 500, "StratumCases": 1000, "StratumSuccessRate": 0.5, "StratumSuccessesA": 650, "StratumCasesA": 1000, "StratumRateA": 0.65, "StratumSuccessesB": 500, "StratumCasesB": 1000, "StratumRateB": 0.5, "StratumWinner": "A", "StudyTotalCases": 4000, "StratumTotalCases": 2000, "StratumFraction": 0.5, "WeightedStratumRate": 0.25, "TreatmentACasesHere": 1000, "TreatmentBCasesHere": 1000, "TreatmentATotalCases": 2000, "TreatmentBTotalCases": 2000, "AllocationFractionA": 0.5, "AllocationFractionB": 0.5, "AllocationBias": 0.0, "StratumGap": 0.15, "WeightedStratumGap": 0.075 },
      { "StratumSummaryId": "dialysis-bmi-survival-general-population-A", "Study": "dialysis-bmi-survival", "StratumLabel": "general-population", "TreatmentLabel": "A", "Name": "dialysis-bmi-survival-general-population-A", "StratumSuccesses": 900, "StratumCases": 1000, "StratumSuccessRate": 0.9, "StratumSuccessesA": 900, "StratumCasesA": 1000, "StratumRateA": 0.9, "StratumSuccessesB": 950, "StratumCasesB": 1000, "StratumRateB": 0.95, "StratumWinner": "B", "StudyTotalCases": 4000, "StratumTotalCases": 2000, "StratumFraction": 0.5, "WeightedStratumRate": 0.45, "TreatmentACasesHere": 1000, "TreatmentBCasesHere": 1000, "TreatmentATotalCases": 2000, "TreatmentBTotalCases": 2000, "AllocationFractionA": 0.5, "AllocationFractionB": 0.5, "AllocationBias": 0.0, "StratumGap": -0.05, "WeightedStratumGap": -0.025 },
      { "StratumSummaryId": "dialysis-bmi-survival-general-population-B", "Study": "dialysis-bmi-survival", "StratumLabel": "general-population", "TreatmentLabel": "B", "Name": "dialysis-bmi-survival-general-population-B", "StratumSuccesses": 950, "StratumCases": 1000, "StratumSuccessRate": 0.95, "StratumSuccessesA": 900, "StratumCasesA": 1000, "StratumRateA": 0.9, "StratumSuccessesB": 950, "StratumCasesB": 1000, "StratumRateB": 0.95, "StratumWinner": "B", "StudyTotalCases": 4000, "StratumTotalCases": 2000, "StratumFraction": 0.5, "WeightedStratumRate": 0.475, "TreatmentACasesHere": 1000, "TreatmentBCasesHere": 1000, "TreatmentATotalCases": 2000, "TreatmentBTotalCases": 2000, "AllocationFractionA": 0.5, "AllocationFractionB": 0.5, "AllocationBias": 0.0, "StratumGap": -0.05, "WeightedStratumGap": -0.025 },
      { "StratumSummaryId": "dialysis-bmi-survival-esrd-dialysis-A", "Study": "dialysis-bmi-survival", "StratumLabel": "esrd-dialysis", "TreatmentLabel": "A", "Name": "dialysis-bmi-survival-esrd-dialysis-A", "StratumSuccesses": 700, "StratumCases": 1000, "StratumSuccessRate": 0.7, "StratumSuccessesA": 700, "StratumCasesA": 1000, "StratumRateA": 0.7, "StratumSuccessesB": 600, "StratumCasesB": 1000, "StratumRateB": 0.6, "StratumWinner": "A", "StudyTotalCases": 4000, "StratumTotalCases": 2000, "StratumFraction": 0.5, "WeightedStratumRate": 0.35, "TreatmentACasesHere": 1000, "TreatmentBCasesHere": 1000, "TreatmentATotalCases": 2000, "TreatmentBTotalCases": 2000, "AllocationFractionA": 0.5, "AllocationFractionB": 0.5, "AllocationBias": 0.0, "StratumGap": 0.1, "WeightedStratumGap": 0.05 },
      { "StratumSummaryId": "dialysis-bmi-survival-esrd-dialysis-B", "Study": "dialysis-bmi-survival", "StratumLabel": "esrd-dialysis", "TreatmentLabel": "B", "Name": "dialysis-bmi-survival-esrd-dialysis-B", "StratumSuccesses": 600, "StratumCases": 1000, "StratumSuccessRate": 0.6, "StratumSuccessesA": 700, "StratumCasesA": 1000, "StratumRateA": 0.7, "StratumSuccessesB": 600, "StratumCasesB": 1000, "StratumRateB": 0.6, "StratumWinner": "A", "StudyTotalCases": 4000, "StratumTotalCases": 2000, "StratumFraction": 0.5, "WeightedStratumRate": 0.3, "TreatmentACasesHere": 1000, "TreatmentBCasesHere": 1000, "TreatmentATotalCases": 2000, "TreatmentBTotalCases": 2000, "AllocationFractionA": 0.5, "AllocationFractionB": 0.5, "AllocationBias": 0.0, "StratumGap": 0.1, "WeightedStratumGap": 0.05 },
      { "StratumSummaryId": "sick-quitter-alcohol-never-drinkers-only-A", "Study": "sick-quitter-alcohol", "StratumLabel": "never-drinkers-only", "TreatmentLabel": "A", "Name": "sick-quitter-alcohol-never-drinkers-only-A", "StratumSuccesses": 850, "StratumCases": 1000, "StratumSuccessRate": 0.85, "StratumSuccessesA": 850, "StratumCasesA": 1000, "StratumRateA": 0.85, "StratumSuccessesB": 880, "StratumCasesB": 1000, "StratumRateB": 0.88, "StratumWinner": "B", "StudyTotalCases": 4000, "StratumTotalCases": 2000, "StratumFraction": 0.5, "WeightedStratumRate": 0.425, "TreatmentACasesHere": 1000, "TreatmentBCasesHere": 1000, "TreatmentATotalCases": 2000, "TreatmentBTotalCases": 2000, "AllocationFractionA": 0.5, "AllocationFractionB": 0.5, "AllocationBias": 0.0, "StratumGap": -0.03, "WeightedStratumGap": -0.015 },
      { "StratumSummaryId": "sick-quitter-alcohol-never-drinkers-only-B", "Study": "sick-quitter-alcohol", "StratumLabel": "never-drinkers-only", "TreatmentLabel": "B", "Name": "sick-quitter-alcohol-never-drinkers-only-B", "StratumSuccesses": 880, "StratumCases": 1000, "StratumSuccessRate": 0.88, "StratumSuccessesA": 850, "StratumCasesA": 1000, "StratumRateA": 0.85, "StratumSuccessesB": 880, "StratumCasesB": 1000, "StratumRateB": 0.88, "StratumWinner": "B", "StudyTotalCases": 4000, "StratumTotalCases": 2000, "StratumFraction": 0.5, "WeightedStratumRate": 0.44, "TreatmentACasesHere": 1000, "TreatmentBCasesHere": 1000, "TreatmentATotalCases": 2000, "TreatmentBTotalCases": 2000, "AllocationFractionA": 0.5, "AllocationFractionB": 0.5, "AllocationBias": 0.0, "StratumGap": -0.03, "WeightedStratumGap": -0.015 },
      { "StratumSummaryId": "sick-quitter-alcohol-includes-former-drinkers-A", "Study": "sick-quitter-alcohol", "StratumLabel": "includes-former-drinkers", "TreatmentLabel": "A", "Name": "sick-quitter-alcohol-includes-former-drinkers-A", "StratumSuccesses": 820, "StratumCases": 1000, "StratumSuccessRate": 0.82, "StratumSuccessesA": 820, "StratumCasesA": 1000, "StratumRateA": 0.82, "StratumSuccessesB": 750, "StratumCasesB": 1000, "StratumRateB": 0.75, "StratumWinner": "A", "StudyTotalCases": 4000, "StratumTotalCases": 2000, "StratumFraction": 0.5, "WeightedStratumRate": 0.41, "TreatmentACasesHere": 1000, "TreatmentBCasesHere": 1000, "TreatmentATotalCases": 2000, "TreatmentBTotalCases": 2000, "AllocationFractionA": 0.5, "AllocationFractionB": 0.5, "AllocationBias": 0.0, "StratumGap": 0.07, "WeightedStratumGap": 0.035 },
      { "StratumSummaryId": "sick-quitter-alcohol-includes-former-drinkers-B", "Study": "sick-quitter-alcohol", "StratumLabel": "includes-former-drinkers", "TreatmentLabel": "B", "Name": "sick-quitter-alcohol-includes-former-drinkers-B", "StratumSuccesses": 750, "StratumCases": 1000, "StratumSuccessRate": 0.75, "StratumSuccessesA": 820, "StratumCasesA": 1000, "StratumRateA": 0.82, "StratumSuccessesB": 750, "StratumCasesB": 1000, "StratumRateB": 0.75, "StratumWinner": "A", "StudyTotalCases": 4000, "StratumTotalCases": 2000, "StratumFraction": 0.5, "WeightedStratumRate": 0.375, "TreatmentACasesHere": 1000, "TreatmentBCasesHere": 1000, "TreatmentATotalCases": 2000, "TreatmentBTotalCases": 2000, "AllocationFractionA": 0.5, "AllocationFractionB": 0.5, "AllocationBias": 0.0, "StratumGap": 0.07, "WeightedStratumGap": 0.035 },
      { "StratumSummaryId": "flu-vaccine-elderly-mortality-under-75-A", "Study": "flu-vaccine-elderly-mortality", "StratumLabel": "under-75", "TreatmentLabel": "A", "Name": "flu-vaccine-elderly-mortality-under-75-A", "StratumSuccesses": 89979, "StratumCases": 90000, "StratumSuccessRate": 0.9997666666666667, "StratumSuccessesA": 89979, "StratumCasesA": 90000, "StratumRateA": 0.9997666666666667, "StratumSuccessesB": 149952, "StratumCasesB": 150000, "StratumRateB": 0.99968, "StratumWinner": "A", "StudyTotalCases": 248000, "StratumTotalCases": 240000, "StratumFraction": 0.967741935483871, "WeightedStratumRate": 0.967516129032258, "TreatmentACasesHere": 90000, "TreatmentBCasesHere": 150000, "TreatmentATotalCases": 95000, "TreatmentBTotalCases": 153000, "AllocationFractionA": 0.9473684210526315, "AllocationFractionB": 0.9803921568627451, "AllocationBias": -0.033023735810113516, "StratumGap": 8.666666666666667e-05, "WeightedStratumGap": 8.387096774193549e-05 },
      { "StratumSummaryId": "flu-vaccine-elderly-mortality-under-75-B", "Study": "flu-vaccine-elderly-mortality", "StratumLabel": "under-75", "TreatmentLabel": "B", "Name": "flu-vaccine-elderly-mortality-under-75-B", "StratumSuccesses": 149952, "StratumCases": 150000, "StratumSuccessRate": 0.99968, "StratumSuccessesA": 89979, "StratumCasesA": 90000, "StratumRateA": 0.9997666666666667, "StratumSuccessesB": 149952, "StratumCasesB": 150000, "StratumRateB": 0.99968, "StratumWinner": "A", "StudyTotalCases": 248000, "StratumTotalCases": 240000, "StratumFraction": 0.967741935483871, "WeightedStratumRate": 0.9674322580645162, "TreatmentACasesHere": 90000, "TreatmentBCasesHere": 150000, "TreatmentATotalCases": 95000, "TreatmentBTotalCases": 153000, "AllocationFractionA": 0.9473684210526315, "AllocationFractionB": 0.9803921568627451, "AllocationBias": -0.033023735810113516, "StratumGap": 8.666666666666667e-05, "WeightedStratumGap": 8.387096774193549e-05 },
      { "StratumSummaryId": "flu-vaccine-elderly-mortality-75-plus-A", "Study": "flu-vaccine-elderly-mortality", "StratumLabel": "75-plus", "TreatmentLabel": "A", "Name": "flu-vaccine-elderly-mortality-75-plus-A", "StratumSuccesses": 4600, "StratumCases": 5000, "StratumSuccessRate": 0.92, "StratumSuccessesA": 4600, "StratumCasesA": 5000, "StratumRateA": 0.92, "StratumSuccessesB": 2500, "StratumCasesB": 3000, "StratumRateB": 0.8333333333333334, "StratumWinner": "A", "StudyTotalCases": 248000, "StratumTotalCases": 8000, "StratumFraction": 0.03225806451612903, "WeightedStratumRate": 0.02967741935483871, "TreatmentACasesHere": 5000, "TreatmentBCasesHere": 3000, "TreatmentATotalCases": 95000, "TreatmentBTotalCases": 153000, "AllocationFractionA": 0.05263157894736842, "AllocationFractionB": 0.0196078431372549, "AllocationBias": 0.033023735810113516, "StratumGap": 0.08666666666666667, "WeightedStratumGap": 0.002795698924731183 },
      { "StratumSummaryId": "flu-vaccine-elderly-mortality-75-plus-B", "Study": "flu-vaccine-elderly-mortality", "StratumLabel": "75-plus", "TreatmentLabel": "B", "Name": "flu-vaccine-elderly-mortality-75-plus-B", "StratumSuccesses": 2500, "StratumCases": 3000, "StratumSuccessRate": 0.8333333333333334, "StratumSuccessesA": 4600, "StratumCasesA": 5000, "StratumRateA": 0.92, "StratumSuccessesB": 2500, "StratumCasesB": 3000, "StratumRateB": 0.8333333333333334, "StratumWinner": "A", "StudyTotalCases": 248000, "StratumTotalCases": 8000, "StratumFraction": 0.03225806451612903, "WeightedStratumRate": 0.026881720430107527, "TreatmentACasesHere": 5000, "TreatmentBCasesHere": 3000, "TreatmentATotalCases": 95000, "TreatmentBTotalCases": 153000, "AllocationFractionA": 0.05263157894736842, "AllocationFractionB": 0.0196078431372549, "AllocationBias": 0.033023735810113516, "StratumGap": 0.08666666666666667, "WeightedStratumGap": 0.002795698924731183 },
      { "StratumSummaryId": "covid-italy-china-cfr-2020-under-60-A", "Study": "covid-italy-china-cfr-2020", "StratumLabel": "under-60", "TreatmentLabel": "A", "Name": "covid-italy-china-cfr-2020-under-60-A", "StratumSuccesses": 990, "StratumCases": 1000, "StratumSuccessRate": 0.99, "StratumSuccessesA": 990, "StratumCasesA": 1000, "StratumRateA": 0.99, "StratumSuccessesB": 49000, "StratumCasesB": 50000, "StratumRateB": 0.98, "StratumWinner": "A", "StudyTotalCases": 53400, "StratumTotalCases": 51000, "StratumFraction": 0.9550561797752809, "WeightedStratumRate": 0.9455056179775281, "TreatmentACasesHere": 1000, "TreatmentBCasesHere": 50000, "TreatmentATotalCases": 3000, "TreatmentBTotalCases": 50400, "AllocationFractionA": 0.3333333333333333, "AllocationFractionB": 0.9920634920634921, "AllocationBias": -0.6587301587301587, "StratumGap": 0.01, "WeightedStratumGap": 0.009550561797752809 },
      { "StratumSummaryId": "covid-italy-china-cfr-2020-under-60-B", "Study": "covid-italy-china-cfr-2020", "StratumLabel": "under-60", "TreatmentLabel": "B", "Name": "covid-italy-china-cfr-2020-under-60-B", "StratumSuccesses": 49000, "StratumCases": 50000, "StratumSuccessRate": 0.98, "StratumSuccessesA": 990, "StratumCasesA": 1000, "StratumRateA": 0.99, "StratumSuccessesB": 49000, "StratumCasesB": 50000, "StratumRateB": 0.98, "StratumWinner": "A", "StudyTotalCases": 53400, "StratumTotalCases": 51000, "StratumFraction": 0.9550561797752809, "WeightedStratumRate": 0.9359550561797753, "TreatmentACasesHere": 1000, "TreatmentBCasesHere": 50000, "TreatmentATotalCases": 3000, "TreatmentBTotalCases": 50400, "AllocationFractionA": 0.3333333333333333, "AllocationFractionB": 0.9920634920634921, "AllocationBias": -0.6587301587301587, "StratumGap": 0.01, "WeightedStratumGap": 0.009550561797752809 },
      { "StratumSummaryId": "covid-italy-china-cfr-2020-60-plus-A", "Study": "covid-italy-china-cfr-2020", "StratumLabel": "60-plus", "TreatmentLabel": "A", "Name": "covid-italy-china-cfr-2020-60-plus-A", "StratumSuccesses": 300, "StratumCases": 2000, "StratumSuccessRate": 0.15, "StratumSuccessesA": 300, "StratumCasesA": 2000, "StratumRateA": 0.15, "StratumSuccessesB": 320, "StratumCasesB": 400, "StratumRateB": 0.8, "StratumWinner": "B", "StudyTotalCases": 53400, "StratumTotalCases": 2400, "StratumFraction": 0.0449438202247191, "WeightedStratumRate": 0.006741573033707865, "TreatmentACasesHere": 2000, "TreatmentBCasesHere": 400, "TreatmentATotalCases": 3000, "TreatmentBTotalCases": 50400, "AllocationFractionA": 0.6666666666666666, "AllocationFractionB": 0.007936507936507936, "AllocationBias": 0.6587301587301587, "StratumGap": -0.65, "WeightedStratumGap": -0.029213483146067417 },
      { "StratumSummaryId": "covid-italy-china-cfr-2020-60-plus-B", "Study": "covid-italy-china-cfr-2020", "StratumLabel": "60-plus", "TreatmentLabel": "B", "Name": "covid-italy-china-cfr-2020-60-plus-B", "StratumSuccesses": 320, "StratumCases": 400, "StratumSuccessRate": 0.8, "StratumSuccessesA": 300, "StratumCasesA": 2000, "StratumRateA": 0.15, "StratumSuccessesB": 320, "StratumCasesB": 400, "StratumRateB": 0.8, "StratumWinner": "B", "StudyTotalCases": 53400, "StratumTotalCases": 2400, "StratumFraction": 0.0449438202247191, "WeightedStratumRate": 0.035955056179775284, "TreatmentACasesHere": 2000, "TreatmentBCasesHere": 400, "TreatmentATotalCases": 3000, "TreatmentBTotalCases": 50400, "AllocationFractionA": 0.6666666666666666, "AllocationFractionB": 0.007936507936507936, "AllocationBias": 0.6587301587301587, "StratumGap": -0.65, "WeightedStratumGap": -0.029213483146067417 },
      { "StratumSummaryId": "israel-covid-severe-2021-under-50-A", "Study": "israel-covid-severe-2021", "StratumLabel": "under-50", "TreatmentLabel": "A", "Name": "israel-covid-severe-2021-under-50-A", "StratumSuccesses": 25, "StratumCases": 1000, "StratumSuccessRate": 0.025, "StratumSuccessesA": 25, "StratumCasesA": 1000, "StratumRateA": 0.025, "StratumSuccessesB": 50, "StratumCasesB": 151200, "StratumRateB": 0.00033068783068783067, "StratumWinner": "A", "StudyTotalCases": 163000, "StratumTotalCases": 152200, "StratumFraction": 0.9337423312883436, "WeightedStratumRate": 0.02334355828220859, "TreatmentACasesHere": 1000, "TreatmentBCasesHere": 151200, "TreatmentATotalCases": 11000, "TreatmentBTotalCases": 152000, "AllocationFractionA": 0.09090909090909091, "AllocationFractionB": 0.9947368421052631, "AllocationBias": -0.9038277511961722, "StratumGap": 0.02466931216931217, "WeightedStratumGap": 0.02303478105625345 },
      { "StratumSummaryId": "israel-covid-severe-2021-under-50-B", "Study": "israel-covid-severe-2021", "StratumLabel": "under-50", "TreatmentLabel": "B", "Name": "israel-covid-severe-2021-under-50-B", "StratumSuccesses": 50, "StratumCases": 151200, "StratumSuccessRate": 0.00033068783068783067, "StratumSuccessesA": 25, "StratumCasesA": 1000, "StratumRateA": 0.025, "StratumSuccessesB": 50, "StratumCasesB": 151200, "StratumRateB": 0.00033068783068783067, "StratumWinner": "A", "StudyTotalCases": 163000, "StratumTotalCases": 152200, "StratumFraction": 0.9337423312883436, "WeightedStratumRate": 0.00030877722595514006, "TreatmentACasesHere": 1000, "TreatmentBCasesHere": 151200, "TreatmentATotalCases": 11000, "TreatmentBTotalCases": 152000, "AllocationFractionA": 0.09090909090909091, "AllocationFractionB": 0.9947368421052631, "AllocationBias": -0.9038277511961722, "StratumGap": 0.02466931216931217, "WeightedStratumGap": 0.02303478105625345 },
      { "StratumSummaryId": "israel-covid-severe-2021-50-plus-A", "Study": "israel-covid-severe-2021", "StratumLabel": "50-plus", "TreatmentLabel": "A", "Name": "israel-covid-severe-2021-50-plus-A", "StratumSuccesses": 400, "StratumCases": 10000, "StratumSuccessRate": 0.04, "StratumSuccessesA": 400, "StratumCasesA": 10000, "StratumRateA": 0.04, "StratumSuccessesB": 180, "StratumCasesB": 800, "StratumRateB": 0.225, "StratumWinner": "B", "StudyTotalCases": 163000, "StratumTotalCases": 10800, "StratumFraction": 0.06625766871165645, "WeightedStratumRate": 0.0026503067484662576, "TreatmentACasesHere": 10000, "TreatmentBCasesHere": 800, "TreatmentATotalCases": 11000, "TreatmentBTotalCases": 152000, "AllocationFractionA": 0.9090909090909091, "AllocationFractionB": 0.005263157894736842, "AllocationBias": 0.9038277511961722, "StratumGap": -0.185, "WeightedStratumGap": -0.012257668711656441 },
      { "StratumSummaryId": "israel-covid-severe-2021-50-plus-B", "Study": "israel-covid-severe-2021", "StratumLabel": "50-plus", "TreatmentLabel": "B", "Name": "israel-covid-severe-2021-50-plus-B", "StratumSuccesses": 180, "StratumCases": 800, "StratumSuccessRate": 0.225, "StratumSuccessesA": 400, "StratumCasesA": 10000, "StratumRateA": 0.04, "StratumSuccessesB": 180, "StratumCasesB": 800, "StratumRateB": 0.225, "StratumWinner": "B", "StudyTotalCases": 163000, "StratumTotalCases": 10800, "StratumFraction": 0.06625766871165645, "WeightedStratumRate": 0.014907975460122699, "TreatmentACasesHere": 10000, "TreatmentBCasesHere": 800, "TreatmentATotalCases": 11000, "TreatmentBTotalCases": 152000, "AllocationFractionA": 0.9090909090909091, "AllocationFractionB": 0.005263157894736842, "AllocationBias": 0.9038277511961722, "StratumGap": -0.185, "WeightedStratumGap": -0.012257668711656441 },
      { "StratumSummaryId": "cochran-smoking-1968-under-65-A", "Study": "cochran-smoking-1968", "StratumLabel": "under-65", "TreatmentLabel": "A", "Name": "cochran-smoking-1968-under-65-A", "StratumSuccesses": 8500, "StratumCases": 10000, "StratumSuccessRate": 0.85, "StratumSuccessesA": 8500, "StratumCasesA": 10000, "StratumRateA": 0.85, "StratumSuccessesB": 900, "StratumCasesB": 1000, "StratumRateB": 0.9, "StratumWinner": "B", "StudyTotalCases": 13000, "StratumTotalCases": 11000, "StratumFraction": 0.8461538461538461, "WeightedStratumRate": 0.7192307692307692, "TreatmentACasesHere": 10000, "TreatmentBCasesHere": 1000, "TreatmentATotalCases": 11000, "TreatmentBTotalCases": 2000, "AllocationFractionA": 0.9090909090909091, "AllocationFractionB": 0.5, "AllocationBias": 0.4090909090909091, "StratumGap": -0.05, "WeightedStratumGap": -0.04230769230769231 },
      { "StratumSummaryId": "cochran-smoking-1968-under-65-B", "Study": "cochran-smoking-1968", "StratumLabel": "under-65", "TreatmentLabel": "B", "Name": "cochran-smoking-1968-under-65-B", "StratumSuccesses": 900, "StratumCases": 1000, "StratumSuccessRate": 0.9, "StratumSuccessesA": 8500, "StratumCasesA": 10000, "StratumRateA": 0.85, "StratumSuccessesB": 900, "StratumCasesB": 1000, "StratumRateB": 0.9, "StratumWinner": "B", "StudyTotalCases": 13000, "StratumTotalCases": 11000, "StratumFraction": 0.8461538461538461, "WeightedStratumRate": 0.7615384615384615, "TreatmentACasesHere": 10000, "TreatmentBCasesHere": 1000, "TreatmentATotalCases": 11000, "TreatmentBTotalCases": 2000, "AllocationFractionA": 0.9090909090909091, "AllocationFractionB": 0.5, "AllocationBias": 0.4090909090909091, "StratumGap": -0.05, "WeightedStratumGap": -0.04230769230769231 },
      { "StratumSummaryId": "cochran-smoking-1968-65-plus-A", "Study": "cochran-smoking-1968", "StratumLabel": "65-plus", "TreatmentLabel": "A", "Name": "cochran-smoking-1968-65-plus-A", "StratumSuccesses": 400, "StratumCases": 1000, "StratumSuccessRate": 0.4, "StratumSuccessesA": 400, "StratumCasesA": 1000, "StratumRateA": 0.4, "StratumSuccessesB": 500, "StratumCasesB": 1000, "StratumRateB": 0.5, "StratumWinner": "B", "StudyTotalCases": 13000, "StratumTotalCases": 2000, "StratumFraction": 0.15384615384615385, "WeightedStratumRate": 0.06153846153846154, "TreatmentACasesHere": 1000, "TreatmentBCasesHere": 1000, "TreatmentATotalCases": 11000, "TreatmentBTotalCases": 2000, "AllocationFractionA": 0.09090909090909091, "AllocationFractionB": 0.5, "AllocationBias": -0.4090909090909091, "StratumGap": -0.1, "WeightedStratumGap": -0.015384615384615385 },
      { "StratumSummaryId": "cochran-smoking-1968-65-plus-B", "Study": "cochran-smoking-1968", "StratumLabel": "65-plus", "TreatmentLabel": "B", "Name": "cochran-smoking-1968-65-plus-B", "StratumSuccesses": 500, "StratumCases": 1000, "StratumSuccessRate": 0.5, "StratumSuccessesA": 400, "StratumCasesA": 1000, "StratumRateA": 0.4, "StratumSuccessesB": 500, "StratumCasesB": 1000, "StratumRateB": 0.5, "StratumWinner": "B", "StudyTotalCases": 13000, "StratumTotalCases": 2000, "StratumFraction": 0.15384615384615385, "WeightedStratumRate": 0.07692307692307693, "TreatmentACasesHere": 1000, "TreatmentBCasesHere": 1000, "TreatmentATotalCases": 11000, "TreatmentBTotalCases": 2000, "AllocationFractionA": 0.09090909090909091, "AllocationFractionB": 0.5, "AllocationBias": -0.4090909090909091, "StratumGap": -0.1, "WeightedStratumGap": -0.015384615384615385 },
      { "StratumSummaryId": "healthy-worker-mortality-low-hazard-occupations-A", "Study": "healthy-worker-mortality", "StratumLabel": "low-hazard-occupations", "TreatmentLabel": "A", "Name": "healthy-worker-mortality-low-hazard-occupations-A", "StratumSuccesses": 950, "StratumCases": 1000, "StratumSuccessRate": 0.95, "StratumSuccessesA": 950, "StratumCasesA": 1000, "StratumRateA": 0.95, "StratumSuccessesB": 900, "StratumCasesB": 1000, "StratumRateB": 0.9, "StratumWinner": "A", "StudyTotalCases": 4000, "StratumTotalCases": 2000, "StratumFraction": 0.5, "WeightedStratumRate": 0.475, "TreatmentACasesHere": 1000, "TreatmentBCasesHere": 1000, "TreatmentATotalCases": 2000, "TreatmentBTotalCases": 2000, "AllocationFractionA": 0.5, "AllocationFractionB": 0.5, "AllocationBias": 0.0, "StratumGap": 0.05, "WeightedStratumGap": 0.025 },
      { "StratumSummaryId": "healthy-worker-mortality-low-hazard-occupations-B", "Study": "healthy-worker-mortality", "StratumLabel": "low-hazard-occupations", "TreatmentLabel": "B", "Name": "healthy-worker-mortality-low-hazard-occupations-B", "StratumSuccesses": 900, "StratumCases": 1000, "StratumSuccessRate": 0.9, "StratumSuccessesA": 950, "StratumCasesA": 1000, "StratumRateA": 0.95, "StratumSuccessesB": 900, "StratumCasesB": 1000, "StratumRateB": 0.9, "StratumWinner": "A", "StudyTotalCases": 4000, "StratumTotalCases": 2000, "StratumFraction": 0.5, "WeightedStratumRate": 0.45, "TreatmentACasesHere": 1000, "TreatmentBCasesHere": 1000, "TreatmentATotalCases": 2000, "TreatmentBTotalCases": 2000, "AllocationFractionA": 0.5, "AllocationFractionB": 0.5, "AllocationBias": 0.0, "StratumGap": 0.05, "WeightedStratumGap": 0.025 },
      { "StratumSumma</t>
  </si>
  <si>
    <t xml:space="preserve">ryId": "healthy-worker-mortality-high-hazard-occupations-A", "Study": "healthy-worker-mortality", "StratumLabel": "high-hazard-occupations", "TreatmentLabel": "A", "Name": "healthy-worker-mortality-high-hazard-occupations-A", "StratumSuccesses": 850, "StratumCases": 1000, "StratumSuccessRate": 0.85, "StratumSuccessesA": 850, "StratumCasesA": 1000, "StratumRateA": 0.85, "StratumSuccessesB": 800, "StratumCasesB": 1000, "StratumRateB": 0.8, "StratumWinner": "A", "StudyTotalCases": 4000, "StratumTotalCases": 2000, "StratumFraction": 0.5, "WeightedStratumRate": 0.425, "TreatmentACasesHere": 1000, "TreatmentBCasesHere": 1000, "TreatmentATotalCases": 2000, "TreatmentBTotalCases": 2000, "AllocationFractionA": 0.5, "AllocationFractionB": 0.5, "AllocationBias": 0.0, "StratumGap": 0.05, "WeightedStratumGap": 0.025 },
      { "StratumSummaryId": "healthy-worker-mortality-high-hazard-occupations-B", "Study": "healthy-worker-mortality", "StratumLabel": "high-hazard-occupations", "TreatmentLabel": "B", "Name": "healthy-worker-mortality-high-hazard-occupations-B", "StratumSuccesses": 800, "StratumCases": 1000, "StratumSuccessRate": 0.8, "StratumSuccessesA": 850, "StratumCasesA": 1000, "StratumRateA": 0.85, "StratumSuccessesB": 800, "StratumCasesB": 1000, "StratumRateB": 0.8, "StratumWinner": "A", "StudyTotalCases": 4000, "StratumTotalCases": 2000, "StratumFraction": 0.5, "WeightedStratumRate": 0.4, "TreatmentACasesHere": 1000, "TreatmentBCasesHere": 1000, "TreatmentATotalCases": 2000, "TreatmentBTotalCases": 2000, "AllocationFractionA": 0.5, "AllocationFractionB": 0.5, "AllocationBias": 0.0, "StratumGap": 0.05, "WeightedStratumGap": 0.025 },
      { "StratumSummaryId": "compas-recidivism-base-low-prevalence-group-A", "Study": "compas-recidivism-base", "StratumLabel": "low-prevalence-group", "TreatmentLabel": "A", "Name": "compas-recidivism-base-low-prevalence-group-A", "StratumSuccesses": 700, "StratumCases": 1000, "StratumSuccessRate": 0.7, "StratumSuccessesA": 700, "StratumCasesA": 1000, "StratumRateA": 0.7, "StratumSuccessesB": 750, "StratumCasesB": 1000, "StratumRateB": 0.75, "StratumWinner": "B", "StudyTotalCases": 4000, "StratumTotalCases": 2000, "StratumFraction": 0.5, "WeightedStratumRate": 0.35, "TreatmentACasesHere": 1000, "TreatmentBCasesHere": 1000, "TreatmentATotalCases": 2000, "TreatmentBTotalCases": 2000, "AllocationFractionA": 0.5, "AllocationFractionB": 0.5, "AllocationBias": 0.0, "StratumGap": -0.05, "WeightedStratumGap": -0.025 },
      { "StratumSummaryId": "compas-recidivism-base-low-prevalence-group-B", "Study": "compas-recidivism-base", "StratumLabel": "low-prevalence-group", "TreatmentLabel": "B", "Name": "compas-recidivism-base-low-prevalence-group-B", "StratumSuccesses": 750, "StratumCases": 1000, "StratumSuccessRate": 0.75, "StratumSuccessesA": 700, "StratumCasesA": 1000, "StratumRateA": 0.7, "StratumSuccessesB": 750, "StratumCasesB": 1000, "StratumRateB": 0.75, "StratumWinner": "B", "StudyTotalCases": 4000, "StratumTotalCases": 2000, "StratumFraction": 0.5, "WeightedStratumRate": 0.375, "TreatmentACasesHere": 1000, "TreatmentBCasesHere": 1000, "TreatmentATotalCases": 2000, "TreatmentBTotalCases": 2000, "AllocationFractionA": 0.5, "AllocationFractionB": 0.5, "AllocationBias": 0.0, "StratumGap": -0.05, "WeightedStratumGap": -0.025 },
      { "StratumSummaryId": "compas-recidivism-base-high-prevalence-group-A", "Study": "compas-recidivism-base", "StratumLabel": "high-prevalence-group", "TreatmentLabel": "A", "Name": "compas-recidivism-base-high-prevalence-group-A", "StratumSuccesses": 450, "StratumCases": 1000, "StratumSuccessRate": 0.45, "StratumSuccessesA": 450, "StratumCasesA": 1000, "StratumRateA": 0.45, "StratumSuccessesB": 500, "StratumCasesB": 1000, "StratumRateB": 0.5, "StratumWinner": "B", "StudyTotalCases": 4000, "StratumTotalCases": 2000, "StratumFraction": 0.5, "WeightedStratumRate": 0.225, "TreatmentACasesHere": 1000, "TreatmentBCasesHere": 1000, "TreatmentATotalCases": 2000, "TreatmentBTotalCases": 2000, "AllocationFractionA": 0.5, "AllocationFractionB": 0.5, "AllocationBias": 0.0, "StratumGap": -0.05, "WeightedStratumGap": -0.025 },
      { "StratumSummaryId": "compas-recidivism-base-high-prevalence-group-B", "Study": "compas-recidivism-base", "StratumLabel": "high-prevalence-group", "TreatmentLabel": "B", "Name": "compas-recidivism-base-high-prevalence-group-B", "StratumSuccesses": 500, "StratumCases": 1000, "StratumSuccessRate": 0.5, "StratumSuccessesA": 450, "StratumCasesA": 1000, "StratumRateA": 0.45, "StratumSuccessesB": 500, "StratumCasesB": 1000, "StratumRateB": 0.5, "StratumWinner": "B", "StudyTotalCases": 4000, "StratumTotalCases": 2000, "StratumFraction": 0.5, "WeightedStratumRate": 0.25, "TreatmentACasesHere": 1000, "TreatmentBCasesHere": 1000, "TreatmentATotalCases": 2000, "TreatmentBTotalCases": 2000, "AllocationFractionA": 0.5, "AllocationFractionB": 0.5, "AllocationBias": 0.0, "StratumGap": -0.05, "WeightedStratumGap": -0.025 },
      { "StratumSummaryId": "us-wage-composition-stagnation-college-educated-A", "Study": "us-wage-composition-stagnation", "StratumLabel": "college-educated", "TreatmentLabel": "A", "Name": "us-wage-composition-stagnation-college-educated-A", "StratumSuccesses": 5500, "StratumCases": 10000, "StratumSuccessRate": 0.55, "StratumSuccessesA": 5500, "StratumCasesA": 10000, "StratumRateA": 0.55, "StratumSuccessesB": 5000, "StratumCasesB": 10000, "StratumRateB": 0.5, "StratumWinner": "A", "StudyTotalCases": 31000, "StratumTotalCases": 20000, "StratumFraction": 0.6451612903225806, "WeightedStratumRate": 0.3548387096774194, "TreatmentACasesHere": 10000, "TreatmentBCasesHere": 10000, "TreatmentATotalCases": 17000, "TreatmentBTotalCases": 14000, "AllocationFractionA": 0.5882352941176471, "AllocationFractionB": 0.7142857142857143, "AllocationBias": -0.12605042016806722, "StratumGap": 0.05, "WeightedStratumGap": 0.03225806451612903 },
      { "StratumSummaryId": "us-wage-composition-stagnation-college-educated-B", "Study": "us-wage-composition-stagnation", "StratumLabel": "college-educated", "TreatmentLabel": "B", "Name": "us-wage-composition-stagnation-college-educated-B", "StratumSuccesses": 5000, "StratumCases": 10000, "StratumSuccessRate": 0.5, "StratumSuccessesA": 5500, "StratumCasesA": 10000, "StratumRateA": 0.55, "StratumSuccessesB": 5000, "StratumCasesB": 10000, "StratumRateB": 0.5, "StratumWinner": "A", "StudyTotalCases": 31000, "StratumTotalCases": 20000, "StratumFraction": 0.6451612903225806, "WeightedStratumRate": 0.3225806451612903, "TreatmentACasesHere": 10000, "TreatmentBCasesHere": 10000, "TreatmentATotalCases": 17000, "TreatmentBTotalCases": 14000, "AllocationFractionA": 0.5882352941176471, "AllocationFractionB": 0.7142857142857143, "AllocationBias": -0.12605042016806722, "StratumGap": 0.05, "WeightedStratumGap": 0.03225806451612903 },
      { "StratumSummaryId": "us-wage-composition-stagnation-non-college-A", "Study": "us-wage-composition-stagnation", "StratumLabel": "non-college", "TreatmentLabel": "A", "Name": "us-wage-composition-stagnation-non-college-A", "StratumSuccesses": 2800, "StratumCases": 7000, "StratumSuccessRate": 0.4, "StratumSuccessesA": 2800, "StratumCasesA": 7000, "StratumRateA": 0.4, "StratumSuccessesB": 1520, "StratumCasesB": 4000, "StratumRateB": 0.38, "StratumWinner": "A", "StudyTotalCases": 31000, "StratumTotalCases": 11000, "StratumFraction": 0.3548387096774194, "WeightedStratumRate": 0.14193548387096774, "TreatmentACasesHere": 7000, "TreatmentBCasesHere": 4000, "TreatmentATotalCases": 17000, "TreatmentBTotalCases": 14000, "AllocationFractionA": 0.4117647058823529, "AllocationFractionB": 0.2857142857142857, "AllocationBias": 0.12605042016806722, "StratumGap": 0.02, "WeightedStratumGap": 0.0070967741935483875 },
      { "StratumSummaryId": "us-wage-composition-stagnation-non-college-B", "Study": "us-wage-composition-stagnation", "StratumLabel": "non-college", "TreatmentLabel": "B", "Name": "us-wage-composition-stagnation-non-college-B", "StratumSuccesses": 1520, "StratumCases": 4000, "StratumSuccessRate": 0.38, "StratumSuccessesA": 2800, "StratumCasesA": 7000, "StratumRateA": 0.4, "StratumSuccessesB": 1520, "StratumCasesB": 4000, "StratumRateB": 0.38, "StratumWinner": "A", "StudyTotalCases": 31000, "StratumTotalCases": 11000, "StratumFraction": 0.3548387096774194, "WeightedStratumRate": 0.13483870967741934, "TreatmentACasesHere": 7000, "TreatmentBCasesHere": 4000, "TreatmentATotalCases": 17000, "TreatmentBTotalCases": 14000, "AllocationFractionA": 0.4117647058823529, "AllocationFractionB": 0.2857142857142857, "AllocationBias": 0.12605042016806722, "StratumGap": 0.02, "WeightedStratumGap": 0.0070967741935483875 },
      { "StratumSummaryId": "borjas-immigrant-cohort-recent-arrivals-A", "Study": "borjas-immigrant-cohort", "StratumLabel": "recent-arrivals", "TreatmentLabel": "A", "Name": "borjas-immigrant-cohort-recent-arrivals-A", "StratumSuccesses": 400, "StratumCases": 1000, "StratumSuccessRate": 0.4, "StratumSuccessesA": 400, "StratumCasesA": 1000, "StratumRateA": 0.4, "StratumSuccessesB": 450, "StratumCasesB": 1000, "StratumRateB": 0.45, "StratumWinner": "B", "StudyTotalCases": 4000, "StratumTotalCases": 2000, "StratumFraction": 0.5, "WeightedStratumRate": 0.2, "TreatmentACasesHere": 1000, "TreatmentBCasesHere": 1000, "TreatmentATotalCases": 2000, "TreatmentBTotalCases": 2000, "AllocationFractionA": 0.5, "AllocationFractionB": 0.5, "AllocationBias": 0.0, "StratumGap": -0.05, "WeightedStratumGap": -0.025 },
      { "StratumSummaryId": "borjas-immigrant-cohort-recent-arrivals-B", "Study": "borjas-immigrant-cohort", "StratumLabel": "recent-arrivals", "TreatmentLabel": "B", "Name": "borjas-immigrant-cohort-recent-arrivals-B", "StratumSuccesses": 450, "StratumCases": 1000, "StratumSuccessRate": 0.45, "StratumSuccessesA": 400, "StratumCasesA": 1000, "StratumRateA": 0.4, "StratumSuccessesB": 450, "StratumCasesB": 1000, "StratumRateB": 0.45, "StratumWinner": "B", "StudyTotalCases": 4000, "StratumTotalCases": 2000, "StratumFraction": 0.5, "WeightedStratumRate": 0.225, "TreatmentACasesHere": 1000, "TreatmentBCasesHere": 1000, "TreatmentATotalCases": 2000, "TreatmentBTotalCases": 2000, "AllocationFractionA": 0.5, "AllocationFractionB": 0.5, "AllocationBias": 0.0, "StratumGap": -0.05, "WeightedStratumGap": -0.025 },
      { "StratumSummaryId": "borjas-immigrant-cohort-established-immigrants-A", "Study": "borjas-immigrant-cohort", "StratumLabel": "established-immigrants", "TreatmentLabel": "A", "Name": "borjas-immigrant-cohort-established-immigrants-A", "StratumSuccesses": 550, "StratumCases": 1000, "StratumSuccessRate": 0.55, "StratumSuccessesA": 550, "StratumCasesA": 1000, "StratumRateA": 0.55, "StratumSuccessesB": 520, "StratumCasesB": 1000, "StratumRateB": 0.52, "StratumWinner": "A", "StudyTotalCases": 4000, "StratumTotalCases": 2000, "StratumFraction": 0.5, "WeightedStratumRate": 0.275, "TreatmentACasesHere": 1000, "TreatmentBCasesHere": 1000, "TreatmentATotalCases": 2000, "TreatmentBTotalCases": 2000, "AllocationFractionA": 0.5, "AllocationFractionB": 0.5, "AllocationBias": 0.0, "StratumGap": 0.03, "WeightedStratumGap": 0.015 },
      { "StratumSummaryId": "borjas-immigrant-cohort-established-immigrants-B", "Study": "borjas-immigrant-cohort", "StratumLabel": "established-immigrants", "TreatmentLabel": "B", "Name": "borjas-immigrant-cohort-established-immigrants-B", "StratumSuccesses": 520, "StratumCases": 1000, "StratumSuccessRate": 0.52, "StratumSuccessesA": 550, "StratumCasesA": 1000, "StratumRateA": 0.55, "StratumSuccessesB": 520, "StratumCasesB": 1000, "StratumRateB": 0.52, "StratumWinner": "A", "StudyTotalCases": 4000, "StratumTotalCases": 2000, "StratumFraction": 0.5, "WeightedStratumRate": 0.26, "TreatmentACasesHere": 1000, "TreatmentBCasesHere": 1000, "TreatmentATotalCases": 2000, "TreatmentBTotalCases": 2000, "AllocationFractionA": 0.5, "AllocationFractionB": 0.5, "AllocationBias": 0.0, "StratumGap": 0.03, "WeightedStratumGap": 0.015 },
      { "StratumSummaryId": "robinson-1950-literacy-high-literacy-states-A", "Study": "robinson-1950-literacy", "StratumLabel": "high-literacy-states", "TreatmentLabel": "A", "Name": "robinson-1950-literacy-high-literacy-states-A", "StratumSuccesses": 900, "StratumCases": 1000, "StratumSuccessRate": 0.9, "StratumSuccessesA": 900, "StratumCasesA": 1000, "StratumRateA": 0.9, "StratumSuccessesB": 9500, "StratumCasesB": 10000, "StratumRateB": 0.95, "StratumWinner": "B", "StudyTotalCases": 14000, "StratumTotalCases": 11000, "StratumFraction": 0.7857142857142857, "WeightedStratumRate": 0.7071428571428572, "TreatmentACasesHere": 1000, "TreatmentBCasesHere": 10000, "TreatmentATotalCases": 2000, "TreatmentBTotalCases": 12000, "AllocationFractionA": 0.5, "AllocationFractionB": 0.8333333333333334, "AllocationBias": -0.3333333333333333, "StratumGap": -0.05, "WeightedStratumGap": -0.039285714285714285 },
      { "StratumSummaryId": "robinson-1950-literacy-high-literacy-states-B", "Study": "robinson-1950-literacy", "StratumLabel": "high-literacy-states", "TreatmentLabel": "B", "Name": "robinson-1950-literacy-high-literacy-states-B", "StratumSuccesses": 9500, "StratumCases": 10000, "StratumSuccessRate": 0.95, "StratumSuccessesA": 900, "StratumCasesA": 1000, "StratumRateA": 0.9, "StratumSuccessesB": 9500, "StratumCasesB": 10000, "StratumRateB": 0.95, "StratumWinner": "B", "StudyTotalCases": 14000, "StratumTotalCases": 11000, "StratumFraction": 0.7857142857142857, "WeightedStratumRate": 0.7464285714285714, "TreatmentACasesHere": 1000, "TreatmentBCasesHere": 10000, "TreatmentATotalCases": 2000, "TreatmentBTotalCases": 12000, "AllocationFractionA": 0.5, "AllocationFractionB": 0.8333333333333334, "AllocationBias": -0.3333333333333333, "StratumGap": -0.05, "WeightedStratumGap": -0.039285714285714285 },
      { "StratumSummaryId": "robinson-1950-literacy-low-literacy-states-A", "Study": "robinson-1950-literacy", "StratumLabel": "low-literacy-states", "TreatmentLabel": "A", "Name": "robinson-1950-literacy-low-literacy-states-A", "StratumSuccesses": 800, "StratumCases": 1000, "StratumSuccessRate": 0.8, "StratumSuccessesA": 800, "StratumCasesA": 1000, "StratumRateA": 0.8, "StratumSuccessesB": 1400, "StratumCasesB": 2000, "StratumRateB": 0.7, "StratumWinner": "A", "StudyTotalCases": 14000, "StratumTotalCases": 3000, "StratumFraction": 0.21428571428571427, "WeightedStratumRate": 0.17142857142857143, "TreatmentACasesHere": 1000, "TreatmentBCasesHere": 2000, "TreatmentATotalCases": 2000, "TreatmentBTotalCases": 12000, "AllocationFractionA": 0.5, "AllocationFractionB": 0.16666666666666666, "AllocationBias": 0.3333333333333333, "StratumGap": 0.1, "WeightedStratumGap": 0.02142857142857143 },
      { "StratumSummaryId": "robinson-1950-literacy-low-literacy-states-B", "Study": "robinson-1950-literacy", "StratumLabel": "low-literacy-states", "TreatmentLabel": "B", "Name": "robinson-1950-literacy-low-literacy-states-B", "StratumSuccesses": 1400, "StratumCases": 2000, "StratumSuccessRate": 0.7, "StratumSuccessesA": 800, "StratumCasesA": 1000, "StratumRateA": 0.8, "StratumSuccessesB": 1400, "StratumCasesB": 2000, "StratumRateB": 0.7, "StratumWinner": "A", "StudyTotalCases": 14000, "StratumTotalCases": 3000, "StratumFraction": 0.21428571428571427, "WeightedStratumRate": 0.15, "TreatmentACasesHere": 1000, "TreatmentBCasesHere": 2000, "TreatmentATotalCases": 2000, "TreatmentBTotalCases": 12000, "AllocationFractionA": 0.5, "AllocationFractionB": 0.16666666666666666, "AllocationBias": 0.3333333333333333, "StratumGap": 0.1, "WeightedStratumGap": 0.02142857142857143 },
      { "StratumSummaryId": "ab-test-traffic-mix-week1-young-users-A", "Study": "ab-test-traffic-mix", "StratumLabel": "week1-young-users", "TreatmentLabel": "A", "Name": "ab-test-traffic-mix-week1-young-users-A", "StratumSuccesses": 8000, "StratumCases": 10000, "StratumSuccessRate": 0.8, "StratumSuccessesA": 8000, "StratumCasesA": 10000, "StratumRateA": 0.8, "StratumSuccessesB": 7500, "StratumCasesB": 10000, "StratumRateB": 0.75, "StratumWinner": "A", "StudyTotalCases": 24000, "StratumTotalCases": 20000, "StratumFraction": 0.8333333333333334, "WeightedStratumRate": 0.6666666666666666, "TreatmentACasesHere": 10000, "TreatmentBCasesHere": 10000, "TreatmentATotalCases": 12000, "TreatmentBTotalCases": 12000, "AllocationFractionA": 0.8333333333333334, "AllocationFractionB": 0.8333333333333334, "AllocationBias": 0.0, "StratumGap": 0.05, "WeightedStratumGap": 0.041666666666666664 },
      { "StratumSummaryId": "ab-test-traffic-mix-week1-young-users-B", "Study": "ab-test-traffic-mix", "StratumLabel": "week1-young-users", "TreatmentLabel": "B", "Name": "ab-test-traffic-mix-week1-young-users-B", "StratumSuccesses": 7500, "StratumCases": 10000, "StratumSuccessRate": 0.75, "StratumSuccessesA": 8000, "StratumCasesA": 10000, "StratumRateA": 0.8, "StratumSuccessesB": 7500, "StratumCasesB": 10000, "StratumRateB": 0.75, "StratumWinner": "A", "StudyTotalCases": 24000, "StratumTotalCases": 20000, "StratumFraction": 0.8333333333333334, "WeightedStratumRate": 0.625, "TreatmentACasesHere": 10000, "TreatmentBCasesHere": 10000, "TreatmentATotalCases": 12000, "TreatmentBTotalCases": 12000, "AllocationFractionA": 0.8333333333333334, "AllocationFractionB": 0.8333333333333334, "AllocationBias": 0.0, "StratumGap": 0.05, "WeightedStratumGap": 0.041666666666666664 },
      { "StratumSummaryId": "ab-test-traffic-mix-week2-old-users-A", "Study": "ab-test-traffic-mix", "StratumLabel": "week2-old-users", "TreatmentLabel": "A", "Name": "ab-test-traffic-mix-week2-old-users-A", "StratumSuccesses": 1100, "StratumCases": 2000, "StratumSuccessRate": 0.55, "StratumSuccessesA": 1100, "StratumCasesA": 2000, "StratumRateA": 0.55, "StratumSuccessesB": 1300, "StratumCasesB": 2000, "StratumRateB": 0.65, "StratumWinner": "B", "StudyTotalCases": 24000, "StratumTotalCases": 4000, "StratumFraction": 0.16666666666666666, "WeightedStratumRate": 0.09166666666666666, "TreatmentACasesHere": 2000, "TreatmentBCasesHere": 2000, "TreatmentATotalCases": 12000, "TreatmentBTotalCases": 12000, "AllocationFractionA": 0.16666666666666666, "AllocationFractionB": 0.16666666666666666, "AllocationBias": 0.0, "StratumGap": -0.1, "WeightedStratumGap": -0.016666666666666666 },
      { "StratumSummaryId": "ab-test-traffic-mix-week2-old-users-B", "Study": "ab-test-traffic-mix", "StratumLabel": "week2-old-users", "TreatmentLabel": "B", "Name": "ab-test-traffic-mix-week2-old-users-B", "StratumSuccesses": 1300, "StratumCases": 2000, "StratumSuccessRate": 0.65, "StratumSuccessesA": 1100, "StratumCasesA": 2000, "StratumRateA": 0.55, "StratumSuccessesB": 1300, "StratumCasesB": 2000, "StratumRateB": 0.65, "StratumWinner": "B", "StudyTotalCases": 24000, "StratumTotalCases": 4000, "StratumFraction": 0.16666666666666666, "WeightedStratumRate": 0.10833333333333334, "TreatmentACasesHere": 2000, "TreatmentBCasesHere": 2000, "TreatmentATotalCases": 12000, "TreatmentBTotalCases": 12000, "AllocationFractionA": 0.16666666666666666, "AllocationFractionB": 0.16666666666666666, "AllocationBias": 0.0, "StratumGap": -0.1, "WeightedStratumGap": -0.016666666666666666 },
      { "StratumSummaryId": "recsys-offline-eval-head-items-A", "Study": "recsys-offline-eval", "StratumLabel": "head-items", "TreatmentLabel": "A", "Name": "recsys-offline-eval-head-items-A", "StratumSuccesses": 850, "StratumCases": 1000, "StratumSuccessRate": 0.85, "StratumSuccessesA": 850, "StratumCasesA": 1000, "StratumRateA": 0.85, "StratumSuccessesB": 800, "StratumCasesB": 1000, "StratumRateB": 0.8, "StratumWinner": "A", "StudyTotalCases": 4000, "StratumTotalCases": 2000, "StratumFraction": 0.5, "WeightedStratumRate": 0.425, "TreatmentACasesHere": 1000, "TreatmentBCasesHere": 1000, "TreatmentATotalCases": 2000, "TreatmentBTotalCases": 2000, "AllocationFractionA": 0.5, "AllocationFractionB": 0.5, "AllocationBias": 0.0, "StratumGap": 0.05, "WeightedStratumGap": 0.025 },
      { "StratumSummaryId": "recsys-offline-eval-head-items-B", "Study": "recsys-offline-eval", "StratumLabel": "head-items", "TreatmentLabel": "B", "Name": "recsys-offline-eval-head-items-B", "StratumSuccesses": 800, "StratumCases": 1000, "StratumSuccessRate": 0.8, "StratumSuccessesA": 850, "StratumCasesA": 1000, "StratumRateA": 0.85, "StratumSuccessesB": 800, "StratumCasesB": 1000, "StratumRateB": 0.8, "StratumWinner": "A", "StudyTotalCases": 4000, "StratumTotalCases": 2000, "StratumFraction": 0.5, "WeightedStratumRate": 0.4, "TreatmentACasesHere": 1000, "TreatmentBCasesHere": 1000, "TreatmentATotalCases": 2000, "TreatmentBTotalCases": 2000, "AllocationFractionA": 0.5, "AllocationFractionB": 0.5, "AllocationBias": 0.0, "StratumGap": 0.05, "WeightedStratumGap": 0.025 },
      { "StratumSummaryId": "recsys-offline-eval-tail-items-A", "Study": "recsys-offline-eval", "StratumLabel": "tail-items", "TreatmentLabel": "A", "Name": "recsys-offline-eval-tail-items-A", "StratumSuccesses": 300, "StratumCases": 1000, "StratumSuccessRate": 0.3, "StratumSuccessesA": 300, "StratumCasesA": 1000, "StratumRateA": 0.3, "StratumSuccessesB": 350, "StratumCasesB": 1000, "StratumRateB": 0.35, "StratumWinner": "B", "StudyTotalCases": 4000, "StratumTotalCases": 2000, "StratumFraction": 0.5, "WeightedStratumRate": 0.15, "TreatmentACasesHere": 1000, "TreatmentBCasesHere": 1000, "TreatmentATotalCases": 2000, "TreatmentBTotalCases": 2000, "AllocationFractionA": 0.5, "AllocationFractionB": 0.5, "AllocationBias": 0.0, "StratumGap": -0.05, "WeightedStratumGap": -0.025 },
      { "StratumSummaryId": "recsys-offline-eval-tail-items-B", "Study": "recsys-offline-eval", "StratumLabel": "tail-items", "TreatmentLabel": "B", "Name": "recsys-offline-eval-tail-items-B", "StratumSuccesses": 350, "StratumCases": 1000, "StratumSuccessRate": 0.35, "StratumSuccessesA": 300, "StratumCasesA": 1000, "StratumRateA": 0.3, "StratumSuccessesB": 350, "StratumCasesB": 1000, "StratumRateB": 0.35, "StratumWinner": "B", "StudyTotalCases": 4000, "StratumTotalCases": 2000, "StratumFraction": 0.5, "WeightedStratumRate": 0.175, "TreatmentACasesHere": 1000, "TreatmentBCasesHere": 1000, "TreatmentATotalCases": 2000, "TreatmentBTotalCases": 2000, "AllocationFractionA": 0.5, "AllocationFractionB": 0.5, "AllocationBias": 0.0, "StratumGap": -0.05, "WeightedStratumGap": -0.025 },
      { "StratumSummaryId": "collider-only-synthetic-conditioned-in-A", "Study": "collider-only-synthetic", "StratumLabel": "conditioned-in", "TreatmentLabel": "A", "Name": "collider-only-synthetic-conditioned-in-A", "StratumSuccesses": 85, "StratumCases": 100, "StratumSuccessRate": 0.85, "StratumSuccessesA": 85, "StratumCasesA": 100, "StratumRateA": 0.85, "StratumSuccessesB": 70, "StratumCasesB": 100, "StratumRateB": 0.7, "StratumWinner": "A", "StudyTotalCases": 2000, "StratumTotalCases": 200, "StratumFraction": 0.1, "WeightedStratumRate": 0.085, "TreatmentACasesHere": 100, "TreatmentBCasesHere": 100, "TreatmentATotalCases": 1000, "TreatmentBTotalCases": 1000, "AllocationFractionA": 0.1, "AllocationFractionB": 0.1, "AllocationBias": 0.0, "StratumGap": 0.15, "WeightedStratumGap": 0.015 },
      { "StratumSummaryId": "collider-only-synthetic-conditioned-in-B", "Study": "collider-only-synthetic", "StratumLabel": "conditioned-in", "TreatmentLabel": "B", "Name": "collider-only-synthetic-conditioned-in-B", "StratumSuccesses": 70, "StratumCases": 100, "StratumSuccessRate": 0.7, "StratumSuccessesA": 85, "StratumCasesA": 100, "StratumRateA": 0.85, "StratumSuccessesB": 70, "StratumCasesB": 100, "StratumRateB": 0.7, "StratumWinner": "A", "StudyTotalCases": 2000, "StratumTotalCases": 200, "StratumFraction": 0.1, "WeightedStratumRate": 0.07, "TreatmentACasesHere": 100, "TreatmentBCasesHere": 100, "TreatmentATotalCases": 1000, "TreatmentBTotalCases": 1000, "AllocationFractionA": 0.1, "AllocationFractionB": 0.1, "AllocationBias": 0.0, "StratumGap": 0.15, "WeightedStratumGap": 0.015 },
      { "StratumSummaryId": "collider-only-synthetic-conditioned-out-A", "Study": "collider-only-synthetic", "StratumLabel": "conditioned-out", "TreatmentLabel": "A", "Name": "collider-only-synthetic-conditioned-out-A", "StratumSuccesses": 150, "StratumCases": 900, "StratumSuccessRate": 0.16666666666666666, "StratumSuccessesA": 150, "StratumCasesA": 900, "StratumRateA": 0.16666666666666666, "StratumSuccessesB": 270, "StratumCasesB": 900, "StratumRateB": 0.3, "StratumWinner": "B", "StudyTotalCases": 2000, "StratumTotalCases": 1800, "StratumFraction": 0.9, "WeightedStratumRate": 0.15, "TreatmentACasesHere": 900, "TreatmentBCasesHere": 900, "TreatmentATotalCases": 1000, "TreatmentBTotalCases": 1000, "AllocationFractionA": 0.9, "AllocationFractionB": 0.9, "AllocationBias": 0.0, "StratumGap": -0.13333333333333333, "WeightedStratumGap": -0.12 },
      { "StratumSummaryId": "collider-only-synthetic-conditioned-out-B", "Study": "collider-only-synthetic", "StratumLabel": "conditioned-out", "TreatmentLabel": "B", "Name": "collider-only-synthetic-conditioned-out-B", "StratumSuccesses": 270, "StratumCases": 900, "StratumSuccessRate": 0.3, "StratumSuccessesA": 150, "StratumCasesA": 900, "StratumRateA": 0.16666666666666666, "StratumSuccessesB": 270, "StratumCasesB": 900, "StratumRateB": 0.3, "StratumWinner": "B", "StudyTotalCases": 2000, "StratumTotalCases": 1800, "StratumFraction": 0.9, "WeightedStratumRate": 0.27, "TreatmentACasesHere": 900, "TreatmentBCasesHere": 900, "TreatmentATotalCases": 1000, "TreatmentBTotalCases": 1000, "AllocationFractionA": 0.9, "AllocationFractionB": 0.9, "AllocationBias": 0.0, "StratumGap": -0.13333333333333333, "WeightedStratumGap": -0.12 },
      { "StratumSummaryId": "noncollapsibility-or-synthetic-low-prevalence-A", "Study": "noncollapsibility-or-synthetic", "StratumLabel": "low-prevalence", "TreatmentLabel": "A", "Name": "noncollapsibility-or-synthetic-low-prevalence-A", "StratumSuccesses": 40, "StratumCases": 100, "StratumSuccessRate": 0.4, "StratumSuccessesA": 40, "StratumCasesA": 100, "StratumRateA": 0.4, "StratumSuccessesB": 30, "StratumCasesB": 100, "StratumRateB": 0.3, "StratumWinner": "A", "StudyTotalCases": 2200, "StratumTotalCases": 200, "StratumFraction": 0.09090909090909091, "WeightedStratumRate": 0.03636363636363636, "TreatmentACasesHere": 100, "TreatmentBCasesHere": 100, "TreatmentATotalCases": 1100, "TreatmentBTotalCases": 1100, "AllocationFractionA": 0.09090909090909091, "AllocationFractionB": 0.09090909090909091, "AllocationBias": 0.0, "StratumGap": 0.1, "WeightedStratumGap": 0.00909090909090909 },
      { "StratumSummaryId": "noncollapsibility-or-synthetic-low-prevalence-B", "Study": "noncollapsibility-or-synthetic", "StratumLabel": "low-prevalence", "TreatmentLabel": "B", "Name": "noncollapsibility-or-synthetic-low-prevalence-B", "StratumSuccesses": 30, "StratumCases": 100, "StratumSuccessRate": 0.3, "StratumSuccessesA": 40, "StratumCasesA": 100, "StratumRateA": 0.4, "StratumSuccessesB": 30, "StratumCasesB": 100, "StratumRateB": 0.3, "StratumWinner": "A", "StudyTotalCases": 2200, "StratumTotalCases": 200, "StratumFraction": 0.09090909090909091, "WeightedStratumRate": 0.02727272727272727, "TreatmentACasesHere": 100, "TreatmentBCasesHere": 100, "TreatmentATotalCases": 1100, "TreatmentBTotalCases": 1100, "AllocationFractionA": 0.09090909090909091, "AllocationFractionB": 0.09090909090909091, "AllocationBias": 0.0, "StratumGap": 0.1, "WeightedStratumGap": 0.00909090909090909 },
      { "StratumSummaryId": "noncollapsibility-or-synthetic-high-prevalence-A", "Study": "noncollapsibility-or-synthetic", "StratumLabel": "high-prevalence", "TreatmentLabel": "A", "Name": "noncollapsibility-or-synthetic-high-prevalence-A", "StratumSuccesses": 400, "StratumCases": 1000, "StratumSuccessRate": 0.4, "StratumSuccessesA": 400, "StratumCasesA": 1000, "StratumRateA": 0.4, "StratumSuccessesB": 300, "StratumCasesB": 1000, "StratumRateB": 0.3, "StratumWinner": "A", "StudyTotalCases": 2200, "StratumTotalCases": 2000, "StratumFraction": 0.9090909090909091, "WeightedStratumRate": 0.36363636363636365, "TreatmentACasesHere": 1000, "TreatmentBCasesHere": 1000, "TreatmentATotalCases": 1100, "TreatmentBTotalCases": 1100, "AllocationFractionA": 0.9090909090909091, "AllocationFractionB": 0.9090909090909091, "AllocationBias": 0.0, "StratumGap": 0.1, "WeightedStratumGap": 0.09090909090909091 },
      { "StratumSummaryId": "noncollapsibility-or-synthetic-high-prevalence-B", "Study": "noncollapsibility-or-synthetic", "StratumLabel": "high-prevalence", "TreatmentLabel": "B", "Name": "noncollapsibility-or-synthetic-high-prevalence-B", "StratumSuccesses": 300, "StratumCases": 1000, "StratumSuccessRate": 0.3, "StratumSuccessesA": 400, "StratumCasesA": 1000, "StratumRateA": 0.4, "StratumSuccessesB": 300, "StratumCasesB": 1000, "StratumRateB": 0.3, "StratumWinner": "A", "StudyTotalCases": 2200, "StratumTotalCases": 2000, "StratumFraction": 0.9090909090909091, "WeightedStratumRate": 0.2727272727272727, "TreatmentACasesHere": 1000, "TreatmentBCasesHere": 1000, "TreatmentATotalCases": 1100, "TreatmentBTotalCases": 1100, "AllocationFractionA": 0.9090909090909091, "AllocationFractionB": 0.9090909090909091, "AllocationBias": 0.0, "StratumGap": 0.1, "WeightedStratumGap": 0.09090909090909091 },
      { "StratumSummaryId": "trauma-center-mortality-mild-injury-A", "Study": "trauma-center-mortality", "StratumLabel": "mild-injury", "TreatmentLabel": "A", "Name": "trauma-center-mortality-mild-injury-A", "StratumSuccesses": 950, "StratumCases": 1000, "StratumSuccessRate": 0.95, "StratumSuccessesA": 950, "StratumCasesA": 1000, "StratumRateA": 0.95, "StratumSuccessesB": 960, "StratumCasesB": 1000, "StratumRateB": 0.96, "StratumWinner": "B", "StudyTotalCases": 4000, "StratumTotalCases": 2000, "StratumFraction": 0.5, "WeightedStratumRate": 0.475, "TreatmentACasesHere": 1000, "TreatmentBCasesHere": 1000, "TreatmentATotalCases": 2000, "TreatmentBTotalCases": 2000, "AllocationFractionA": 0.5, "AllocationFractionB": 0.5, "AllocationBias": 0.0, "StratumGap": -0.01, "WeightedStratumGap": -0.005 },
      { "StratumSummaryId": "trauma-center-mortality-mild-injury-B", "Study": "trauma-center-mortality", "StratumLabel": "mild-injury", "TreatmentLabel": "B", "Name": "trauma-center-mortality-mild-injury-B", "StratumSuccesses": 960, "StratumCases": 1000, "StratumSuccessRate": 0.96, "StratumSuccessesA": 950, "StratumCasesA": 1000, "StratumRateA": 0.95, "StratumSuccessesB": 960, "StratumCasesB": 1000, "StratumRateB": 0.96, "StratumWinner": "B", "StudyTotalCases": 4000, "StratumTotalCases": 2000, "StratumFraction": 0.5, "WeightedStratumRate": 0.48, "TreatmentACasesHere": 1000, "TreatmentBCasesHere": 1000, "TreatmentATotalCases": 2000, "TreatmentBTotalCases": 2000, "AllocationFractionA": 0.5, "AllocationFractionB": 0.5, "AllocationBias": 0.0, "StratumGap": -0.01, "WeightedStratumGap": -0.005 },
      { "StratumSummaryId": "trauma-center-mortality-severe-injury-A", "Study": "trauma-center-mortality", "StratumLabel": "severe-injury", "TreatmentLabel": "A", "Name": "trauma-center-mortality-severe-injury-A", "StratumSuccesses": 600, "StratumCases": 1000, "StratumSuccessRate": 0.6, "StratumSuccessesA": 600, "StratumCasesA": 1000, "StratumRateA": 0.6, "StratumSuccessesB": 680, "StratumCasesB": 1000, "StratumRateB": 0.68, "StratumWinner": "B", "StudyTotalCases": 4000, "StratumTotalCases": 2000, "StratumFraction": 0.5, "WeightedStratumRate": 0.3, "TreatmentACasesHere": 1000, "TreatmentBCasesHere": 1000, "TreatmentATotalCases": 2000, "TreatmentBTotalCases": 2000, "AllocationFractionA": 0.5, "AllocationFractionB": 0.5, "AllocationBias": 0.0, "StratumGap": -0.08, "WeightedStratumGap": -0.04 },
      { "StratumSummaryId": "trauma-center-mortality-severe-injury-B", "Study": "trauma-center-mortality", "StratumLabel": "severe-injury", "TreatmentLabel": "B", "Name": "trauma-center-mortality-severe-injury-B", "StratumSuccesses": 680, "StratumCases": 1000, "StratumSuccessRate": 0.68, "StratumSuccessesA": 600, "StratumCasesA": 1000, "StratumRateA": 0.6, "StratumSuccessesB": 680, "StratumCasesB": 1000, "StratumRateB": 0.68, "StratumWinner": "B", "StudyTotalCases": 4000, "StratumTotalCases": 2000, "StratumFraction": 0.5, "WeightedStratumRate": 0.34, "TreatmentACasesHere": 1000, "TreatmentBCasesHere": 1000, "TreatmentATotalCases": 2000, "TreatmentBTotalCases": 2000, "AllocationFractionA": 0.5, "AllocationFractionB": 0.5, "AllocationBias": 0.0, "StratumGap": -0.08, "WeightedStratumGap": -0.04 },
      { "StratumSummaryId": "surgeon-volume-mortality-low-risk-A", "Study": "surgeon-volume-mortality", "StratumLabel": "low-risk", "TreatmentLabel": "A", "Name": "surgeon-volume-mortality-low-risk-A", "StratumSuccesses": 980, "StratumCases": 1000, "StratumSuccessRate": 0.98, "StratumSuccessesA": 980, "StratumCasesA": 1000, "StratumRateA": 0.98, "StratumSuccessesB": 975, "StratumCasesB": 1000, "StratumRateB": 0.975, "StratumWinner": "A", "</t>
  </si>
  <si>
    <t xml:space="preserve">StudyTotalCases": 4000, "StratumTotalCases": 2000, "StratumFraction": 0.5, "WeightedStratumRate": 0.49, "TreatmentACasesHere": 1000, "TreatmentBCasesHere": 1000, "TreatmentATotalCases": 2000, "TreatmentBTotalCases": 2000, "AllocationFractionA": 0.5, "AllocationFractionB": 0.5, "AllocationBias": 0.0, "StratumGap": 0.005, "WeightedStratumGap": 0.0025 },
      { "StratumSummaryId": "surgeon-volume-mortality-low-risk-B", "Study": "surgeon-volume-mortality", "StratumLabel": "low-risk", "TreatmentLabel": "B", "Name": "surgeon-volume-mortality-low-risk-B", "StratumSuccesses": 975, "StratumCases": 1000, "StratumSuccessRate": 0.975, "StratumSuccessesA": 980, "StratumCasesA": 1000, "StratumRateA": 0.98, "StratumSuccessesB": 975, "StratumCasesB": 1000, "StratumRateB": 0.975, "StratumWinner": "A", "StudyTotalCases": 4000, "StratumTotalCases": 2000, "StratumFraction": 0.5, "WeightedStratumRate": 0.4875, "TreatmentACasesHere": 1000, "TreatmentBCasesHere": 1000, "TreatmentATotalCases": 2000, "TreatmentBTotalCases": 2000, "AllocationFractionA": 0.5, "AllocationFractionB": 0.5, "AllocationBias": 0.0, "StratumGap": 0.005, "WeightedStratumGap": 0.0025 },
      { "StratumSummaryId": "surgeon-volume-mortality-high-risk-A", "Study": "surgeon-volume-mortality", "StratumLabel": "high-risk", "TreatmentLabel": "A", "Name": "surgeon-volume-mortality-high-risk-A", "StratumSuccesses": 820, "StratumCases": 1000, "StratumSuccessRate": 0.82, "StratumSuccessesA": 820, "StratumCasesA": 1000, "StratumRateA": 0.82, "StratumSuccessesB": 860, "StratumCasesB": 1000, "StratumRateB": 0.86, "StratumWinner": "B", "StudyTotalCases": 4000, "StratumTotalCases": 2000, "StratumFraction": 0.5, "WeightedStratumRate": 0.41, "TreatmentACasesHere": 1000, "TreatmentBCasesHere": 1000, "TreatmentATotalCases": 2000, "TreatmentBTotalCases": 2000, "AllocationFractionA": 0.5, "AllocationFractionB": 0.5, "AllocationBias": 0.0, "StratumGap": -0.04, "WeightedStratumGap": -0.02 },
      { "StratumSummaryId": "surgeon-volume-mortality-high-risk-B", "Study": "surgeon-volume-mortality", "StratumLabel": "high-risk", "TreatmentLabel": "B", "Name": "surgeon-volume-mortality-high-risk-B", "StratumSuccesses": 860, "StratumCases": 1000, "StratumSuccessRate": 0.86, "StratumSuccessesA": 820, "StratumCasesA": 1000, "StratumRateA": 0.82, "StratumSuccessesB": 860, "StratumCasesB": 1000, "StratumRateB": 0.86, "StratumWinner": "B", "StudyTotalCases": 4000, "StratumTotalCases": 2000, "StratumFraction": 0.5, "WeightedStratumRate": 0.43, "TreatmentACasesHere": 1000, "TreatmentBCasesHere": 1000, "TreatmentATotalCases": 2000, "TreatmentBTotalCases": 2000, "AllocationFractionA": 0.5, "AllocationFractionB": 0.5, "AllocationBias": 0.0, "StratumGap": -0.04, "WeightedStratumGap": -0.02 },
      { "StratumSummaryId": "mammography-length-bias-slow-growing-A", "Study": "mammography-length-bias", "StratumLabel": "slow-growing", "TreatmentLabel": "A", "Name": "mammography-length-bias-slow-growing-A", "StratumSuccesses": 920, "StratumCases": 1000, "StratumSuccessRate": 0.92, "StratumSuccessesA": 920, "StratumCasesA": 1000, "StratumRateA": 0.92, "StratumSuccessesB": 700, "StratumCasesB": 1000, "StratumRateB": 0.7,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0.22, "WeightedStratumGap": 0.11 },
      { "StratumSummaryId": "mammography-length-bias-slow-growing-B", "Study": "mammography-length-bias", "StratumLabel": "slow-growing", "TreatmentLabel": "B", "Name": "mammography-length-bias-slow-growing-B", "StratumSuccesses": 700, "StratumCases": 1000, "StratumSuccessRate": 0.7, "StratumSuccessesA": 920, "StratumCasesA": 1000, "StratumRateA": 0.92, "StratumSuccessesB": 700, "StratumCasesB": 1000, "StratumRateB": 0.7, "StratumWinner": "A", "StudyTotalCases": 4000, "StratumTotalCases": 2000, "StratumFraction": 0.5, "WeightedStratumRate": 0.35, "TreatmentACasesHere": 1000, "TreatmentBCasesHere": 1000, "TreatmentATotalCases": 2000, "TreatmentBTotalCases": 2000, "AllocationFractionA": 0.5, "AllocationFractionB": 0.5, "AllocationBias": 0.0, "StratumGap": 0.22, "WeightedStratumGap": 0.11 },
      { "StratumSummaryId": "mammography-length-bias-aggressive-A", "Study": "mammography-length-bias", "StratumLabel": "aggressive", "TreatmentLabel": "A", "Name": "mammography-length-bias-aggressive-A", "StratumSuccesses": 400, "StratumCases": 1000, "StratumSuccessRate": 0.4, "StratumSuccessesA": 400, "StratumCasesA": 1000, "StratumRateA": 0.4, "StratumSuccessesB": 350, "StratumCasesB": 1000, "StratumRateB": 0.35, "StratumWinner": "A", "StudyTotalCases": 4000, "StratumTotalCases": 2000, "StratumFraction": 0.5, "WeightedStratumRate": 0.2, "TreatmentACasesHere": 1000, "TreatmentBCasesHere": 1000, "TreatmentATotalCases": 2000, "TreatmentBTotalCases": 2000, "AllocationFractionA": 0.5, "AllocationFractionB": 0.5, "AllocationBias": 0.0, "StratumGap": 0.05, "WeightedStratumGap": 0.025 },
      { "StratumSummaryId": "mammography-length-bias-aggressive-B", "Study": "mammography-length-bias", "StratumLabel": "aggressive", "TreatmentLabel": "B", "Name": "mammography-length-bias-aggressive-B", "StratumSuccesses": 350, "StratumCases": 1000, "StratumSuccessRate": 0.35, "StratumSuccessesA": 400, "StratumCasesA": 1000, "StratumRateA": 0.4, "StratumSuccessesB": 350, "StratumCasesB": 1000, "StratumRateB": 0.35, "StratumWinner": "A", "StudyTotalCases": 4000, "StratumTotalCases": 2000, "StratumFraction": 0.5, "WeightedStratumRate": 0.175, "TreatmentACasesHere": 1000, "TreatmentBCasesHere": 1000, "TreatmentATotalCases": 2000, "TreatmentBTotalCases": 2000, "AllocationFractionA": 0.5, "AllocationFractionB": 0.5, "AllocationBias": 0.0, "StratumGap": 0.05, "WeightedStratumGap": 0.025 },
      { "StratumSummaryId": "cabg-vs-pci-severity-multivessel-A", "Study": "cabg-vs-pci-severity", "StratumLabel": "multivessel", "TreatmentLabel": "A", "Name": "cabg-vs-pci-severity-multivessel-A", "StratumSuccesses": 920, "StratumCases": 1000, "StratumSuccessRate": 0.92, "StratumSuccessesA": 920, "StratumCasesA": 1000, "StratumRateA": 0.92, "StratumSuccessesB": 880, "StratumCasesB": 1000, "StratumRateB": 0.88,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0.04, "WeightedStratumGap": 0.02 },
      { "StratumSummaryId": "cabg-vs-pci-severity-multivessel-B", "Study": "cabg-vs-pci-severity", "StratumLabel": "multivessel", "TreatmentLabel": "B", "Name": "cabg-vs-pci-severity-multivessel-B", "StratumSuccesses": 880, "StratumCases": 1000, "StratumSuccessRate": 0.88, "StratumSuccessesA": 920, "StratumCasesA": 1000, "StratumRateA": 0.92, "StratumSuccessesB": 880, "StratumCasesB": 1000, "StratumRateB": 0.88, "StratumWinner": "A", "StudyTotalCases": 4000, "StratumTotalCases": 2000, "StratumFraction": 0.5, "WeightedStratumRate": 0.44, "TreatmentACasesHere": 1000, "TreatmentBCasesHere": 1000, "TreatmentATotalCases": 2000, "TreatmentBTotalCases": 2000, "AllocationFractionA": 0.5, "AllocationFractionB": 0.5, "AllocationBias": 0.0, "StratumGap": 0.04, "WeightedStratumGap": 0.02 },
      { "StratumSummaryId": "cabg-vs-pci-severity-single-vessel-A", "Study": "cabg-vs-pci-severity", "StratumLabel": "single-vessel", "TreatmentLabel": "A", "Name": "cabg-vs-pci-severity-single-vessel-A", "StratumSuccesses": 980, "StratumCases": 1000, "StratumSuccessRate": 0.98, "StratumSuccessesA": 980, "StratumCasesA": 1000, "StratumRateA": 0.98, "StratumSuccessesB": 975, "StratumCasesB": 1000, "StratumRateB": 0.975, "StratumWinner": "A", "StudyTotalCases": 4000, "StratumTotalCases": 2000, "StratumFraction": 0.5, "WeightedStratumRate": 0.49, "TreatmentACasesHere": 1000, "TreatmentBCasesHere": 1000, "TreatmentATotalCases": 2000, "TreatmentBTotalCases": 2000, "AllocationFractionA": 0.5, "AllocationFractionB": 0.5, "AllocationBias": 0.0, "StratumGap": 0.005, "WeightedStratumGap": 0.0025 },
      { "StratumSummaryId": "cabg-vs-pci-severity-single-vessel-B", "Study": "cabg-vs-pci-severity", "StratumLabel": "single-vessel", "TreatmentLabel": "B", "Name": "cabg-vs-pci-severity-single-vessel-B", "StratumSuccesses": 975, "StratumCases": 1000, "StratumSuccessRate": 0.975, "StratumSuccessesA": 980, "StratumCasesA": 1000, "StratumRateA": 0.98, "StratumSuccessesB": 975, "StratumCasesB": 1000, "StratumRateB": 0.975, "StratumWinner": "A", "StudyTotalCases": 4000, "StratumTotalCases": 2000, "StratumFraction": 0.5, "WeightedStratumRate": 0.4875, "TreatmentACasesHere": 1000, "TreatmentBCasesHere": 1000, "TreatmentATotalCases": 2000, "TreatmentBTotalCases": 2000, "AllocationFractionA": 0.5, "AllocationFractionB": 0.5, "AllocationBias": 0.0, "StratumGap": 0.005, "WeightedStratumGap": 0.0025 },
      { "StratumSummaryId": "tolbutamide-ugdp-1970-low-risk-centers-A", "Study": "tolbutamide-ugdp-1970", "StratumLabel": "low-risk-centers", "TreatmentLabel": "A", "Name": "tolbutamide-ugdp-1970-low-risk-centers-A", "StratumSuccesses": 920, "StratumCases": 1000, "StratumSuccessRate": 0.92, "StratumSuccessesA": 920, "StratumCasesA": 1000, "StratumRateA": 0.92, "StratumSuccessesB": 910, "StratumCasesB": 1000, "StratumRateB": 0.91,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0.01, "WeightedStratumGap": 0.005 },
      { "StratumSummaryId": "tolbutamide-ugdp-1970-low-risk-centers-B", "Study": "tolbutamide-ugdp-1970", "StratumLabel": "low-risk-centers", "TreatmentLabel": "B", "Name": "tolbutamide-ugdp-1970-low-risk-centers-B", "StratumSuccesses": 910, "StratumCases": 1000, "StratumSuccessRate": 0.91, "StratumSuccessesA": 920, "StratumCasesA": 1000, "StratumRateA": 0.92, "StratumSuccessesB": 910, "StratumCasesB": 1000, "StratumRateB": 0.91, "StratumWinner": "A", "StudyTotalCases": 4000, "StratumTotalCases": 2000, "StratumFraction": 0.5, "WeightedStratumRate": 0.455, "TreatmentACasesHere": 1000, "TreatmentBCasesHere": 1000, "TreatmentATotalCases": 2000, "TreatmentBTotalCases": 2000, "AllocationFractionA": 0.5, "AllocationFractionB": 0.5, "AllocationBias": 0.0, "StratumGap": 0.01, "WeightedStratumGap": 0.005 },
      { "StratumSummaryId": "tolbutamide-ugdp-1970-high-risk-centers-A", "Study": "tolbutamide-ugdp-1970", "StratumLabel": "high-risk-centers", "TreatmentLabel": "A", "Name": "tolbutamide-ugdp-1970-high-risk-centers-A", "StratumSuccesses": 780, "StratumCases": 1000, "StratumSuccessRate": 0.78, "StratumSuccessesA": 780, "StratumCasesA": 1000, "StratumRateA": 0.78, "StratumSuccessesB": 820, "StratumCasesB": 1000, "StratumRateB": 0.82, "StratumWinner": "B", "StudyTotalCases": 4000, "StratumTotalCases": 2000, "StratumFraction": 0.5, "WeightedStratumRate": 0.39, "TreatmentACasesHere": 1000, "TreatmentBCasesHere": 1000, "TreatmentATotalCases": 2000, "TreatmentBTotalCases": 2000, "AllocationFractionA": 0.5, "AllocationFractionB": 0.5, "AllocationBias": 0.0, "StratumGap": -0.04, "WeightedStratumGap": -0.02 },
      { "StratumSummaryId": "tolbutamide-ugdp-1970-high-risk-centers-B", "Study": "tolbutamide-ugdp-1970", "StratumLabel": "high-risk-centers", "TreatmentLabel": "B", "Name": "tolbutamide-ugdp-1970-high-risk-centers-B", "StratumSuccesses": 820, "StratumCases": 1000, "StratumSuccessRate": 0.82, "StratumSuccessesA": 780, "StratumCasesA": 1000, "StratumRateA": 0.78, "StratumSuccessesB": 820, "StratumCasesB": 1000, "StratumRateB": 0.82, "StratumWinner": "B", "StudyTotalCases": 4000, "StratumTotalCases": 2000, "StratumFraction": 0.5, "WeightedStratumRate": 0.41, "TreatmentACasesHere": 1000, "TreatmentBCasesHere": 1000, "TreatmentATotalCases": 2000, "TreatmentBTotalCases": 2000, "AllocationFractionA": 0.5, "AllocationFractionB": 0.5, "AllocationBias": 0.0, "StratumGap": -0.04, "WeightedStratumGap": -0.02 },
      { "StratumSummaryId": "snow-cholera-water-1855-high-exposure-district-A", "Study": "snow-cholera-water-1855", "StratumLabel": "high-exposure-district", "TreatmentLabel": "A", "Name": "snow-cholera-water-1855-high-exposure-district-A", "StratumSuccesses": 902, "StratumCases": 1000, "StratumSuccessRate": 0.902, "StratumSuccessesA": 902, "StratumCasesA": 1000, "StratumRateA": 0.902, "StratumSuccessesB": 960, "StratumCasesB": 1000, "StratumRateB": 0.96, "StratumWinner": "B", "StudyTotalCases": 4000, "StratumTotalCases": 2000, "StratumFraction": 0.5, "WeightedStratumRate": 0.451, "TreatmentACasesHere": 1000, "TreatmentBCasesHere": 1000, "TreatmentATotalCases": 2000, "TreatmentBTotalCases": 2000, "AllocationFractionA": 0.5, "AllocationFractionB": 0.5, "AllocationBias": 0.0, "StratumGap": -0.058, "WeightedStratumGap": -0.029 },
      { "StratumSummaryId": "snow-cholera-water-1855-high-exposure-district-B", "Study": "snow-cholera-water-1855", "StratumLabel": "high-exposure-district", "TreatmentLabel": "B", "Name": "snow-cholera-water-1855-high-exposure-district-B", "StratumSuccesses": 960, "StratumCases": 1000, "StratumSuccessRate": 0.96, "StratumSuccessesA": 902, "StratumCasesA": 1000, "StratumRateA": 0.902, "StratumSuccessesB": 960, "StratumCasesB": 1000, "StratumRateB": 0.96, "StratumWinner": "B", "StudyTotalCases": 4000, "StratumTotalCases": 2000, "StratumFraction": 0.5, "WeightedStratumRate": 0.48, "TreatmentACasesHere": 1000, "TreatmentBCasesHere": 1000, "TreatmentATotalCases": 2000, "TreatmentBTotalCases": 2000, "AllocationFractionA": 0.5, "AllocationFractionB": 0.5, "AllocationBias": 0.0, "StratumGap": -0.058, "WeightedStratumGap": -0.029 },
      { "StratumSummaryId": "snow-cholera-water-1855-mixed-supply-district-A", "Study": "snow-cholera-water-1855", "StratumLabel": "mixed-supply-district", "TreatmentLabel": "A", "Name": "snow-cholera-water-1855-mixed-supply-district-A", "StratumSuccesses": 940, "StratumCases": 1000, "StratumSuccessRate": 0.94, "StratumSuccessesA": 940, "StratumCasesA": 1000, "StratumRateA": 0.94, "StratumSuccessesB": 970, "StratumCasesB": 1000, "StratumRateB": 0.97, "StratumWinner": "B", "StudyTotalCases": 4000, "StratumTotalCases": 2000, "StratumFraction": 0.5, "WeightedStratumRate": 0.47, "TreatmentACasesHere": 1000, "TreatmentBCasesHere": 1000, "TreatmentATotalCases": 2000, "TreatmentBTotalCases": 2000, "AllocationFractionA": 0.5, "AllocationFractionB": 0.5, "AllocationBias": 0.0, "StratumGap": -0.03, "WeightedStratumGap": -0.015 },
      { "StratumSummaryId": "snow-cholera-water-1855-mixed-supply-district-B", "Study": "snow-cholera-water-1855", "StratumLabel": "mixed-supply-district", "TreatmentLabel": "B", "Name": "snow-cholera-water-1855-mixed-supply-district-B", "StratumSuccesses": 970, "StratumCases": 1000, "StratumSuccessRate": 0.97, "StratumSuccessesA": 940, "StratumCasesA": 1000, "StratumRateA": 0.94, "StratumSuccessesB": 970, "StratumCasesB": 1000, "StratumRateB": 0.97, "StratumWinner": "B", "StudyTotalCases": 4000, "StratumTotalCases": 2000, "StratumFraction": 0.5, "WeightedStratumRate": 0.485, "TreatmentACasesHere": 1000, "TreatmentBCasesHere": 1000, "TreatmentATotalCases": 2000, "TreatmentBTotalCases": 2000, "AllocationFractionA": 0.5, "AllocationFractionB": 0.5, "AllocationBias": 0.0, "StratumGap": -0.03, "WeightedStratumGap": -0.015 },
      { "StratumSummaryId": "seatbelt-crash-severity-minor-crash-A", "Study": "seatbelt-crash-severity", "StratumLabel": "minor-crash", "TreatmentLabel": "A", "Name": "seatbelt-crash-severity-minor-crash-A", "StratumSuccesses": 980, "StratumCases": 1000, "StratumSuccessRate": 0.98, "StratumSuccessesA": 980, "StratumCasesA": 1000, "StratumRateA": 0.98, "StratumSuccessesB": 970, "StratumCasesB": 1000, "StratumRateB": 0.97, "StratumWinner": "A", "StudyTotalCases": 4000, "StratumTotalCases": 2000, "StratumFraction": 0.5, "WeightedStratumRate": 0.49, "TreatmentACasesHere": 1000, "TreatmentBCasesHere": 1000, "TreatmentATotalCases": 2000, "TreatmentBTotalCases": 2000, "AllocationFractionA": 0.5, "AllocationFractionB": 0.5, "AllocationBias": 0.0, "StratumGap": 0.01, "WeightedStratumGap": 0.005 },
      { "StratumSummaryId": "seatbelt-crash-severity-minor-crash-B", "Study": "seatbelt-crash-severity", "StratumLabel": "minor-crash", "TreatmentLabel": "B", "Name": "seatbelt-crash-severity-minor-crash-B", "StratumSuccesses": 970, "StratumCases": 1000, "StratumSuccessRate": 0.97, "StratumSuccessesA": 980, "StratumCasesA": 1000, "StratumRateA": 0.98, "StratumSuccessesB": 970, "StratumCasesB": 1000, "StratumRateB": 0.97, "StratumWinner": "A", "StudyTotalCases": 4000, "StratumTotalCases": 2000, "StratumFraction": 0.5, "WeightedStratumRate": 0.485, "TreatmentACasesHere": 1000, "TreatmentBCasesHere": 1000, "TreatmentATotalCases": 2000, "TreatmentBTotalCases": 2000, "AllocationFractionA": 0.5, "AllocationFractionB": 0.5, "AllocationBias": 0.0, "StratumGap": 0.01, "WeightedStratumGap": 0.005 },
      { "StratumSummaryId": "seatbelt-crash-severity-severe-crash-A", "Study": "seatbelt-crash-severity", "StratumLabel": "severe-crash", "TreatmentLabel": "A", "Name": "seatbelt-crash-severity-severe-crash-A", "StratumSuccesses": 700, "StratumCases": 1000, "StratumSuccessRate": 0.7, "StratumSuccessesA": 700, "StratumCasesA": 1000, "StratumRateA": 0.7, "StratumSuccessesB": 600, "StratumCasesB": 1000, "StratumRateB": 0.6, "StratumWinner": "A", "StudyTotalCases": 4000, "StratumTotalCases": 2000, "StratumFraction": 0.5, "WeightedStratumRate": 0.35, "TreatmentACasesHere": 1000, "TreatmentBCasesHere": 1000, "TreatmentATotalCases": 2000, "TreatmentBTotalCases": 2000, "AllocationFractionA": 0.5, "AllocationFractionB": 0.5, "AllocationBias": 0.0, "StratumGap": 0.1, "WeightedStratumGap": 0.05 },
      { "StratumSummaryId": "seatbelt-crash-severity-severe-crash-B", "Study": "seatbelt-crash-severity", "StratumLabel": "severe-crash", "TreatmentLabel": "B", "Name": "seatbelt-crash-severity-severe-crash-B", "StratumSuccesses": 600, "StratumCases": 1000, "StratumSuccessRate": 0.6, "StratumSuccessesA": 700, "StratumCasesA": 1000, "StratumRateA": 0.7, "StratumSuccessesB": 600, "StratumCasesB": 1000, "StratumRateB": 0.6, "StratumWinner": "A", "StudyTotalCases": 4000, "StratumTotalCases": 2000, "StratumFraction": 0.5, "WeightedStratumRate": 0.3, "TreatmentACasesHere": 1000, "TreatmentBCasesHere": 1000, "TreatmentATotalCases": 2000, "TreatmentBTotalCases": 2000, "AllocationFractionA": 0.5, "AllocationFractionB": 0.5, "AllocationBias": 0.0, "StratumGap": 0.1, "WeightedStratumGap": 0.05 },
      { "StratumSummaryId": "measles-outbreak-vaccinated-high-coverage-setting-A", "Study": "measles-outbreak-vaccinated", "StratumLabel": "high-coverage-setting", "TreatmentLabel": "A", "Name": "measles-outbreak-vaccinated-high-coverage-setting-A", "StratumSuccesses": 100, "StratumCases": 9000, "StratumSuccessRate": 0.011111111111111112, "StratumSuccessesA": 100, "StratumCasesA": 9000, "StratumRateA": 0.011111111111111112, "StratumSuccessesB": 44, "StratumCasesB": 1000, "StratumRateB": 0.044, "StratumWinner": "B", "StudyTotalCases": 12500, "StratumTotalCases": 10000, "StratumFraction": 0.8, "WeightedStratumRate": 0.008888888888888889, "TreatmentACasesHere": 9000, "TreatmentBCasesHere": 1000, "TreatmentATotalCases": 11000, "TreatmentBTotalCases": 1500, "AllocationFractionA": 0.8181818181818182, "AllocationFractionB": 0.6666666666666666, "AllocationBias": 0.15151515151515152, "StratumGap": -0.03288888888888889, "WeightedStratumGap": -0.02631111111111111 },
      { "StratumSummaryId": "measles-outbreak-vaccinated-high-coverage-setting-B", "Study": "measles-outbreak-vaccinated", "StratumLabel": "high-coverage-setting", "TreatmentLabel": "B", "Name": "measles-outbreak-vaccinated-high-coverage-setting-B", "StratumSuccesses": 44, "StratumCases": 1000, "StratumSuccessRate": 0.044, "StratumSuccessesA": 100, "StratumCasesA": 9000, "StratumRateA": 0.011111111111111112, "StratumSuccessesB": 44, "StratumCasesB": 1000, "StratumRateB": 0.044, "StratumWinner": "B", "StudyTotalCases": 12500, "StratumTotalCases": 10000, "StratumFraction": 0.8, "WeightedStratumRate": 0.0352, "TreatmentACasesHere": 9000, "TreatmentBCasesHere": 1000, "TreatmentATotalCases": 11000, "TreatmentBTotalCases": 1500, "AllocationFractionA": 0.8181818181818182, "AllocationFractionB": 0.6666666666666666, "AllocationBias": 0.15151515151515152, "StratumGap": -0.03288888888888889, "WeightedStratumGap": -0.02631111111111111 },
      { "StratumSummaryId": "measles-outbreak-vaccinated-lower-coverage-setting-A", "Study": "measles-outbreak-vaccinated", "StratumLabel": "lower-coverage-setting", "TreatmentLabel": "A", "Name": "measles-outbreak-vaccinated-lower-coverage-setting-A", "StratumSuccesses": 15, "StratumCases": 2000, "StratumSuccessRate": 0.0075, "StratumSuccessesA": 15, "StratumCasesA": 2000, "StratumRateA": 0.0075, "StratumSuccessesB": 35, "StratumCasesB": 500, "StratumRateB": 0.07, "StratumWinner": "B", "StudyTotalCases": 12500, "StratumTotalCases": 2500, "StratumFraction": 0.2, "WeightedStratumRate": 0.0015, "TreatmentACasesHere": 2000, "TreatmentBCasesHere": 500, "TreatmentATotalCases": 11000, "TreatmentBTotalCases": 1500, "AllocationFractionA": 0.18181818181818182, "AllocationFractionB": 0.3333333333333333, "AllocationBias": -0.15151515151515152, "StratumGap": -0.0625, "WeightedStratumGap": -0.0125 },
      { "StratumSummaryId": "measles-outbreak-vaccinated-lower-coverage-setting-B", "Study": "measles-outbreak-vaccinated", "StratumLabel": "lower-coverage-setting", "TreatmentLabel": "B", "Name": "measles-outbreak-vaccinated-lower-coverage-setting-B", "StratumSuccesses": 35, "StratumCases": 500, "StratumSuccessRate": 0.07, "StratumSuccessesA": 15, "StratumCasesA": 2000, "StratumRateA": 0.0075, "StratumSuccessesB": 35, "StratumCasesB": 500, "StratumRateB": 0.07, "StratumWinner": "B", "StudyTotalCases": 12500, "StratumTotalCases": 2500, "StratumFraction": 0.2, "WeightedStratumRate": 0.014, "TreatmentACasesHere": 2000, "TreatmentBCasesHere": 500, "TreatmentATotalCases": 11000, "TreatmentBTotalCases": 1500, "AllocationFractionA": 0.18181818181818182, "AllocationFractionB": 0.3333333333333333, "AllocationBias": -0.15151515151515152, "StratumGap": -0.0625, "WeightedStratumGap": -0.0125 },
      { "StratumSummaryId": "air-pollution-mortality-city-younger-population-city-A", "Study": "air-pollution-mortality-city", "StratumLabel": "younger-population-city", "TreatmentLabel": "A", "Name": "air-pollution-mortality-city-younger-population-city-A", "StratumSuccesses": 980, "StratumCases": 1000, "StratumSuccessRate": 0.98, "StratumSuccessesA": 980, "StratumCasesA": 1000, "StratumRateA": 0.98, "StratumSuccessesB": 985, "StratumCasesB": 1000, "StratumRateB": 0.985, "StratumWinner": "B", "StudyTotalCases": 4000, "StratumTotalCases": 2000, "StratumFraction": 0.5, "WeightedStratumRate": 0.49, "TreatmentACasesHere": 1000, "TreatmentBCasesHere": 1000, "TreatmentATotalCases": 2000, "TreatmentBTotalCases": 2000, "AllocationFractionA": 0.5, "AllocationFractionB": 0.5, "AllocationBias": 0.0, "StratumGap": -0.005, "WeightedStratumGap": -0.0025 },
      { "StratumSummaryId": "air-pollution-mortality-city-younger-population-city-B", "Study": "air-pollution-mortality-city", "StratumLabel": "younger-population-city", "TreatmentLabel": "B", "Name": "air-pollution-mortality-city-younger-population-city-B", "StratumSuccesses": 985, "StratumCases": 1000, "StratumSuccessRate": 0.985, "StratumSuccessesA": 980, "StratumCasesA": 1000, "StratumRateA": 0.98, "StratumSuccessesB": 985, "StratumCasesB": 1000, "StratumRateB": 0.985, "StratumWinner": "B", "StudyTotalCases": 4000, "StratumTotalCases": 2000, "StratumFraction": 0.5, "WeightedStratumRate": 0.4925, "TreatmentACasesHere": 1000, "TreatmentBCasesHere": 1000, "TreatmentATotalCases": 2000, "TreatmentBTotalCases": 2000, "AllocationFractionA": 0.5, "AllocationFractionB": 0.5, "AllocationBias": 0.0, "StratumGap": -0.005, "WeightedStratumGap": -0.0025 },
      { "StratumSummaryId": "air-pollution-mortality-city-older-population-city-A", "Study": "air-pollution-mortality-city", "StratumLabel": "older-population-city", "TreatmentLabel": "A", "Name": "air-pollution-mortality-city-older-population-city-A", "StratumSuccesses": 920, "StratumCases": 1000, "StratumSuccessRate": 0.92, "StratumSuccessesA": 920, "StratumCasesA": 1000, "StratumRateA": 0.92, "StratumSuccessesB": 940, "StratumCasesB": 1000, "StratumRateB": 0.94, "StratumWinner": "B", "StudyTotalCases": 4000, "StratumTotalCases": 2000, "StratumFraction": 0.5, "WeightedStratumRate": 0.46, "TreatmentACasesHere": 1000, "TreatmentBCasesHere": 1000, "TreatmentATotalCases": 2000, "TreatmentBTotalCases": 2000, "AllocationFractionA": 0.5, "AllocationFractionB": 0.5, "AllocationBias": 0.0, "StratumGap": -0.02, "WeightedStratumGap": -0.01 },
      { "StratumSummaryId": "air-pollution-mortality-city-older-population-city-B", "Study": "air-pollution-mortality-city", "StratumLabel": "older-population-city", "TreatmentLabel": "B", "Name": "air-pollution-mortality-city-older-population-city-B", "StratumSuccesses": 940, "StratumCases": 1000, "StratumSuccessRate": 0.94, "StratumSuccessesA": 920, "StratumCasesA": 1000, "StratumRateA": 0.92, "StratumSuccessesB": 940, "StratumCasesB": 1000, "StratumRateB": 0.94, "StratumWinner": "B", "StudyTotalCases": 4000, "StratumTotalCases": 2000, "StratumFraction": 0.5, "WeightedStratumRate": 0.47, "TreatmentACasesHere": 1000, "TreatmentBCasesHere": 1000, "TreatmentATotalCases": 2000, "TreatmentBTotalCases": 2000, "AllocationFractionA": 0.5, "AllocationFractionB": 0.5, "AllocationBias": 0.0, "StratumGap": -0.02, "WeightedStratumGap": -0.01 },
      { "StratumSummaryId": "tb-treatment-resistance-drug-sensitive-A", "Study": "tb-treatment-resistance", "StratumLabel": "drug-sensitive", "TreatmentLabel": "A", "Name": "tb-treatment-resistance-drug-sensitive-A", "StratumSuccesses": 920, "StratumCases": 1000, "StratumSuccessRate": 0.92, "StratumSuccessesA": 920, "StratumCasesA": 1000, "StratumRateA": 0.92, "StratumSuccessesB": 910, "StratumCasesB": 1000, "StratumRateB": 0.91,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0.01, "WeightedStratumGap": 0.005 },
      { "StratumSummaryId": "tb-treatment-resistance-drug-sensitive-B", "Study": "tb-treatment-resistance", "StratumLabel": "drug-sensitive", "TreatmentLabel": "B", "Name": "tb-treatment-resistance-drug-sensitive-B", "StratumSuccesses": 910, "StratumCases": 1000, "StratumSuccessRate": 0.91, "StratumSuccessesA": 920, "StratumCasesA": 1000, "StratumRateA": 0.92, "StratumSuccessesB": 910, "StratumCasesB": 1000, "StratumRateB": 0.91, "StratumWinner": "A", "StudyTotalCases": 4000, "StratumTotalCases": 2000, "StratumFraction": 0.5, "WeightedStratumRate": 0.455, "TreatmentACasesHere": 1000, "TreatmentBCasesHere": 1000, "TreatmentATotalCases": 2000, "TreatmentBTotalCases": 2000, "AllocationFractionA": 0.5, "AllocationFractionB": 0.5, "AllocationBias": 0.0, "StratumGap": 0.01, "WeightedStratumGap": 0.005 },
      { "StratumSummaryId": "tb-treatment-resistance-drug-resistant-A", "Study": "tb-treatment-resistance", "StratumLabel": "drug-resistant", "TreatmentLabel": "A", "Name": "tb-treatment-resistance-drug-resistant-A", "StratumSuccesses": 650, "StratumCases": 1000, "StratumSuccessRate": 0.65, "StratumSuccessesA": 650, "StratumCasesA": 1000, "StratumRateA": 0.65, "StratumSuccessesB": 720, "StratumCasesB": 1000, "StratumRateB": 0.72, "StratumWinner": "B", "StudyTotalCases": 4000, "StratumTotalCases": 2000, "StratumFraction": 0.5, "WeightedStratumRate": 0.325, "TreatmentACasesHere": 1000, "TreatmentBCasesHere": 1000, "TreatmentATotalCases": 2000, "TreatmentBTotalCases": 2000, "AllocationFractionA": 0.5, "AllocationFractionB": 0.5, "AllocationBias": 0.0, "StratumGap": -0.07, "WeightedStratumGap": -0.035 },
      { "StratumSummaryId": "tb-treatment-resistance-drug-resistant-B", "Study": "tb-treatment-resistance", "StratumLabel": "drug-resistant", "TreatmentLabel": "B", "Name": "tb-treatment-resistance-drug-resistant-B", "StratumSuccesses": 720, "StratumCases": 1000, "StratumSuccessRate": 0.72, "StratumSuccessesA": 650, "StratumCasesA": 1000, "StratumRateA": 0.65, "StratumSuccessesB": 720, "StratumCasesB": 1000, "StratumRateB": 0.72, "StratumWinner": "B", "StudyTotalCases": 4000, "StratumTotalCases": 2000, "StratumFraction": 0.5, "WeightedStratumRate": 0.36, "TreatmentACasesHere": 1000, "TreatmentBCasesHere": 1000, "TreatmentATotalCases": 2000, "TreatmentBTotalCases": 2000, "AllocationFractionA": 0.5, "AllocationFractionB": 0.5, "AllocationBias": 0.0, "StratumGap": -0.07, "WeightedStratumGap": -0.035 },
      { "StratumSummaryId": "hospital-mortality-readmission-high-comorbidity-A", "Study": "hospital-mortality-readmission", "StratumLabel": "high-comorbidity", "TreatmentLabel": "A", "Name": "hospital-mortality-readmission-high-comorbidity-A", "StratumSuccesses": 850, "StratumCases": 1000, "StratumSuccessRate": 0.85, "StratumSuccessesA": 850, "StratumCasesA": 1000, "StratumRateA": 0.85, "StratumSuccessesB": 880, "StratumCasesB": 1000, "StratumRateB": 0.88, "StratumWinner": "B", "StudyTotalCases": 4000, "StratumTotalCases": 2000, "StratumFraction": 0.5, "WeightedStratumRate": 0.425, "TreatmentACasesHere": 1000, "TreatmentBCasesHere": 1000, "TreatmentATotalCases": 2000, "TreatmentBTotalCases": 2000, "AllocationFractionA": 0.5, "AllocationFractionB": 0.5, "AllocationBias": 0.0, "StratumGap": -0.03, "WeightedStratumGap": -0.015 },
      { "StratumSummaryId": "hospital-mortality-readmission-high-comorbidity-B", "Study": "hospital-mortality-readmission", "StratumLabel": "high-comorbidity", "TreatmentLabel": "B", "Name": "hospital-mortality-readmission-high-comorbidity-B", "StratumSuccesses": 880, "StratumCases": 1000, "StratumSuccessRate": 0.88, "StratumSuccessesA": 850, "StratumCasesA": 1000, "StratumRateA": 0.85, "StratumSuccessesB": 880, "StratumCasesB": 1000, "StratumRateB": 0.88, "StratumWinner": "B", "StudyTotalCases": 4000, "StratumTotalCases": 2000, "StratumFraction": 0.5, "WeightedStratumRate": 0.44, "TreatmentACasesHere": 1000, "TreatmentBCasesHere": 1000, "TreatmentATotalCases": 2000, "TreatmentBTotalCases": 2000, "AllocationFractionA": 0.5, "AllocationFractionB": 0.5, "AllocationBias": 0.0, "StratumGap": -0.03, "WeightedStratumGap": -0.015 },
      { "StratumSummaryId": "hospital-mortality-readmission-low-comorbidity-A", "Study": "hospital-mortality-readmission", "StratumLabel": "low-comorbidity", "TreatmentLabel": "A", "Name": "hospital-mortality-readmission-low-comorbidity-A", "StratumSuccesses": 970, "StratumCases": 1000, "StratumSuccessRate": 0.97, "StratumSuccessesA": 970, "StratumCasesA": 1000, "StratumRateA": 0.97, "StratumSuccessesB": 975, "StratumCasesB": 1000, "StratumRateB": 0.975, "StratumWinner": "B", "StudyTotalCases": 4000, "StratumTotalCases": 2000, "StratumFraction": 0.5, "WeightedStratumRate": 0.485, "TreatmentACasesHere": 1000, "TreatmentBCasesHere": 1000, "TreatmentATotalCases": 2000, "TreatmentBTotalCases": 2000, "AllocationFractionA": 0.5, "AllocationFractionB": 0.5, "AllocationBias": 0.0, "StratumGap": -0.005, "WeightedStratumGap": -0.0025 },
      { "StratumSummaryId": "hospital-mortality-readmission-low-comorbidity-B", "Study": "hospital-mortality-readmission", "StratumLabel": "low-comorbidity", "TreatmentLabel": "B", "Name": "hospital-mortality-readmission-low-comorbidity-B", "StratumSuccesses": 975, "StratumCases": 1000, "StratumSuccessRate": 0.975, "StratumSuccessesA": 970, "StratumCasesA": 1000, "StratumRateA": 0.97, "StratumSuccessesB": 975, "StratumCasesB": 1000, "StratumRateB": 0.975, "StratumWinner": "B", "StudyTotalCases": 4000, "StratumTotalCases": 2000, "StratumFraction": 0.5, "WeightedStratumRate": 0.4875, "TreatmentACasesHere": 1000, "TreatmentBCasesHere": 1000, "TreatmentATotalCases": 2000, "TreatmentBTotalCases": 2000, "AllocationFractionA": 0.5, "AllocationFractionB": 0.5, "AllocationBias": 0.0, "StratumGap": -0.005, "WeightedStratumGap": -0.0025 },
      { "StratumSummaryId": "nypd-stop-frisk-hitrate-high-crime-precincts-A", "Study": "nypd-stop-frisk-hitrate", "StratumLabel": "high-crime-prec</t>
  </si>
  <si>
    <t xml:space="preserve">incts", "TreatmentLabel": "A", "Name": "nypd-stop-frisk-hitrate-high-crime-precincts-A", "StratumSuccesses": 320, "StratumCases": 8000, "StratumSuccessRate": 0.04, "StratumSuccessesA": 320, "StratumCasesA": 8000, "StratumRateA": 0.04, "StratumSuccessesB": 280, "StratumCasesB": 7000, "StratumRateB": 0.04, "StratumWinner": "B", "StudyTotalCases": 18500, "StratumTotalCases": 15000, "StratumFraction": 0.8108108108108109, "WeightedStratumRate": 0.032432432432432434, "TreatmentACasesHere": 8000, "TreatmentBCasesHere": 7000, "TreatmentATotalCases": 10000, "TreatmentBTotalCases": 8500, "AllocationFractionA": 0.8, "AllocationFractionB": 0.8235294117647058, "AllocationBias": -0.023529411764705882, "StratumGap": 0.0, "WeightedStratumGap": 0.0 },
      { "StratumSummaryId": "nypd-stop-frisk-hitrate-high-crime-precincts-B", "Study": "nypd-stop-frisk-hitrate", "StratumLabel": "high-crime-precincts", "TreatmentLabel": "B", "Name": "nypd-stop-frisk-hitrate-high-crime-precincts-B", "StratumSuccesses": 280, "StratumCases": 7000, "StratumSuccessRate": 0.04, "StratumSuccessesA": 320, "StratumCasesA": 8000, "StratumRateA": 0.04, "StratumSuccessesB": 280, "StratumCasesB": 7000, "StratumRateB": 0.04, "StratumWinner": "B", "StudyTotalCases": 18500, "StratumTotalCases": 15000, "StratumFraction": 0.8108108108108109, "WeightedStratumRate": 0.032432432432432434, "TreatmentACasesHere": 8000, "TreatmentBCasesHere": 7000, "TreatmentATotalCases": 10000, "TreatmentBTotalCases": 8500, "AllocationFractionA": 0.8, "AllocationFractionB": 0.8235294117647058, "AllocationBias": -0.023529411764705882, "StratumGap": 0.0, "WeightedStratumGap": 0.0 },
      { "StratumSummaryId": "nypd-stop-frisk-hitrate-low-crime-precincts-A", "Study": "nypd-stop-frisk-hitrate", "StratumLabel": "low-crime-precincts", "TreatmentLabel": "A", "Name": "nypd-stop-frisk-hitrate-low-crime-precincts-A", "StratumSuccesses": 45, "StratumCases": 2000, "StratumSuccessRate": 0.0225, "StratumSuccessesA": 45, "StratumCasesA": 2000, "StratumRateA": 0.0225, "StratumSuccessesB": 72, "StratumCasesB": 1500, "StratumRateB": 0.048, "StratumWinner": "B", "StudyTotalCases": 18500, "StratumTotalCases": 3500, "StratumFraction": 0.1891891891891892, "WeightedStratumRate": 0.004256756756756757, "TreatmentACasesHere": 2000, "TreatmentBCasesHere": 1500, "TreatmentATotalCases": 10000, "TreatmentBTotalCases": 8500, "AllocationFractionA": 0.2, "AllocationFractionB": 0.17647058823529413, "AllocationBias": 0.023529411764705882, "StratumGap": -0.0255, "WeightedStratumGap": -0.004824324324324324 },
      { "StratumSummaryId": "nypd-stop-frisk-hitrate-low-crime-precincts-B", "Study": "nypd-stop-frisk-hitrate", "StratumLabel": "low-crime-precincts", "TreatmentLabel": "B", "Name": "nypd-stop-frisk-hitrate-low-crime-precincts-B", "StratumSuccesses": 72, "StratumCases": 1500, "StratumSuccessRate": 0.048, "StratumSuccessesA": 45, "StratumCasesA": 2000, "StratumRateA": 0.0225, "StratumSuccessesB": 72, "StratumCasesB": 1500, "StratumRateB": 0.048, "StratumWinner": "B", "StudyTotalCases": 18500, "StratumTotalCases": 3500, "StratumFraction": 0.1891891891891892, "WeightedStratumRate": 0.00908108108108108, "TreatmentACasesHere": 2000, "TreatmentBCasesHere": 1500, "TreatmentATotalCases": 10000, "TreatmentBTotalCases": 8500, "AllocationFractionA": 0.2, "AllocationFractionB": 0.17647058823529413, "AllocationBias": 0.023529411764705882, "StratumGap": -0.0255, "WeightedStratumGap": -0.004824324324324324 },
      { "StratumSummaryId": "sentencing-offense-type-violent-offenses-A", "Study": "sentencing-offense-type", "StratumLabel": "violent-offenses", "TreatmentLabel": "A", "Name": "sentencing-offense-type-violent-offenses-A", "StratumSuccesses": 800, "StratumCases": 1000, "StratumSuccessRate": 0.8, "StratumSuccessesA": 800, "StratumCasesA": 1000, "StratumRateA": 0.8, "StratumSuccessesB": 750, "StratumCasesB": 1000, "StratumRateB": 0.75, "StratumWinner": "A", "StudyTotalCases": 4000, "StratumTotalCases": 2000, "StratumFraction": 0.5, "WeightedStratumRate": 0.4, "TreatmentACasesHere": 1000, "TreatmentBCasesHere": 1000, "TreatmentATotalCases": 2000, "TreatmentBTotalCases": 2000, "AllocationFractionA": 0.5, "AllocationFractionB": 0.5, "AllocationBias": 0.0, "StratumGap": 0.05, "WeightedStratumGap": 0.025 },
      { "StratumSummaryId": "sentencing-offense-type-violent-offenses-B", "Study": "sentencing-offense-type", "StratumLabel": "violent-offenses", "TreatmentLabel": "B", "Name": "sentencing-offense-type-violent-offenses-B", "StratumSuccesses": 750, "StratumCases": 1000, "StratumSuccessRate": 0.75, "StratumSuccessesA": 800, "StratumCasesA": 1000, "StratumRateA": 0.8, "StratumSuccessesB": 750, "StratumCasesB": 1000, "StratumRateB": 0.75, "StratumWinner": "A", "StudyTotalCases": 4000, "StratumTotalCases": 2000, "StratumFraction": 0.5, "WeightedStratumRate": 0.375, "TreatmentACasesHere": 1000, "TreatmentBCasesHere": 1000, "TreatmentATotalCases": 2000, "TreatmentBTotalCases": 2000, "AllocationFractionA": 0.5, "AllocationFractionB": 0.5, "AllocationBias": 0.0, "StratumGap": 0.05, "WeightedStratumGap": 0.025 },
      { "StratumSummaryId": "sentencing-offense-type-nonviolent-offenses-A", "Study": "sentencing-offense-type", "StratumLabel": "nonviolent-offenses", "TreatmentLabel": "A", "Name": "sentencing-offense-type-nonviolent-offenses-A", "StratumSuccesses": 400, "StratumCases": 1000, "StratumSuccessRate": 0.4, "StratumSuccessesA": 400, "StratumCasesA": 1000, "StratumRateA": 0.4, "StratumSuccessesB": 420, "StratumCasesB": 1000, "StratumRateB": 0.42, "StratumWinner": "B", "StudyTotalCases": 4000, "StratumTotalCases": 2000, "StratumFraction": 0.5, "WeightedStratumRate": 0.2, "TreatmentACasesHere": 1000, "TreatmentBCasesHere": 1000, "TreatmentATotalCases": 2000, "TreatmentBTotalCases": 2000, "AllocationFractionA": 0.5, "AllocationFractionB": 0.5, "AllocationBias": 0.0, "StratumGap": -0.02, "WeightedStratumGap": -0.01 },
      { "StratumSummaryId": "sentencing-offense-type-nonviolent-offenses-B", "Study": "sentencing-offense-type", "StratumLabel": "nonviolent-offenses", "TreatmentLabel": "B", "Name": "sentencing-offense-type-nonviolent-offenses-B", "StratumSuccesses": 420, "StratumCases": 1000, "StratumSuccessRate": 0.42, "StratumSuccessesA": 400, "StratumCasesA": 1000, "StratumRateA": 0.4, "StratumSuccessesB": 420, "StratumCasesB": 1000, "StratumRateB": 0.42, "StratumWinner": "B", "StudyTotalCases": 4000, "StratumTotalCases": 2000, "StratumFraction": 0.5, "WeightedStratumRate": 0.21, "TreatmentACasesHere": 1000, "TreatmentBCasesHere": 1000, "TreatmentATotalCases": 2000, "TreatmentBTotalCases": 2000, "AllocationFractionA": 0.5, "AllocationFractionB": 0.5, "AllocationBias": 0.0, "StratumGap": -0.02, "WeightedStratumGap": -0.01 },
      { "StratumSummaryId": "bail-risk-score-high-risk-tier-A", "Study": "bail-risk-score", "StratumLabel": "high-risk-tier", "TreatmentLabel": "A", "Name": "bail-risk-score-high-risk-tier-A", "StratumSuccesses": 450, "StratumCases": 1000, "StratumSuccessRate": 0.45, "StratumSuccessesA": 450, "StratumCasesA": 1000, "StratumRateA": 0.45, "StratumSuccessesB": 520, "StratumCasesB": 1000, "StratumRateB": 0.52, "StratumWinner": "B", "StudyTotalCases": 4000, "StratumTotalCases": 2000, "StratumFraction": 0.5, "WeightedStratumRate": 0.225, "TreatmentACasesHere": 1000, "TreatmentBCasesHere": 1000, "TreatmentATotalCases": 2000, "TreatmentBTotalCases": 2000, "AllocationFractionA": 0.5, "AllocationFractionB": 0.5, "AllocationBias": 0.0, "StratumGap": -0.07, "WeightedStratumGap": -0.035 },
      { "StratumSummaryId": "bail-risk-score-high-risk-tier-B", "Study": "bail-risk-score", "StratumLabel": "high-risk-tier", "TreatmentLabel": "B", "Name": "bail-risk-score-high-risk-tier-B", "StratumSuccesses": 520, "StratumCases": 1000, "StratumSuccessRate": 0.52, "StratumSuccessesA": 450, "StratumCasesA": 1000, "StratumRateA": 0.45, "StratumSuccessesB": 520, "StratumCasesB": 1000, "StratumRateB": 0.52, "StratumWinner": "B", "StudyTotalCases": 4000, "StratumTotalCases": 2000, "StratumFraction": 0.5, "WeightedStratumRate": 0.26, "TreatmentACasesHere": 1000, "TreatmentBCasesHere": 1000, "TreatmentATotalCases": 2000, "TreatmentBTotalCases": 2000, "AllocationFractionA": 0.5, "AllocationFractionB": 0.5, "AllocationBias": 0.0, "StratumGap": -0.07, "WeightedStratumGap": -0.035 },
      { "StratumSummaryId": "bail-risk-score-low-risk-tier-A", "Study": "bail-risk-score", "StratumLabel": "low-risk-tier", "TreatmentLabel": "A", "Name": "bail-risk-score-low-risk-tier-A", "StratumSuccesses": 120, "StratumCases": 1000, "StratumSuccessRate": 0.12, "StratumSuccessesA": 120, "StratumCasesA": 1000, "StratumRateA": 0.12, "StratumSuccessesB": 150, "StratumCasesB": 1000, "StratumRateB": 0.15, "StratumWinner": "B", "StudyTotalCases": 4000, "StratumTotalCases": 2000, "StratumFraction": 0.5, "WeightedStratumRate": 0.06, "TreatmentACasesHere": 1000, "TreatmentBCasesHere": 1000, "TreatmentATotalCases": 2000, "TreatmentBTotalCases": 2000, "AllocationFractionA": 0.5, "AllocationFractionB": 0.5, "AllocationBias": 0.0, "StratumGap": -0.03, "WeightedStratumGap": -0.015 },
      { "StratumSummaryId": "bail-risk-score-low-risk-tier-B", "Study": "bail-risk-score", "StratumLabel": "low-risk-tier", "TreatmentLabel": "B", "Name": "bail-risk-score-low-risk-tier-B", "StratumSuccesses": 150, "StratumCases": 1000, "StratumSuccessRate": 0.15, "StratumSuccessesA": 120, "StratumCasesA": 1000, "StratumRateA": 0.12, "StratumSuccessesB": 150, "StratumCasesB": 1000, "StratumRateB": 0.15, "StratumWinner": "B", "StudyTotalCases": 4000, "StratumTotalCases": 2000, "StratumFraction": 0.5, "WeightedStratumRate": 0.075, "TreatmentACasesHere": 1000, "TreatmentBCasesHere": 1000, "TreatmentATotalCases": 2000, "TreatmentBTotalCases": 2000, "AllocationFractionA": 0.5, "AllocationFractionB": 0.5, "AllocationBias": 0.0, "StratumGap": -0.03, "WeightedStratumGap": -0.015 },
      { "StratumSummaryId": "police-force-encounter-discretionary-stop-A", "Study": "police-force-encounter", "StratumLabel": "discretionary-stop", "TreatmentLabel": "A", "Name": "police-force-encounter-discretionary-stop-A", "StratumSuccesses": 180, "StratumCases": 1000, "StratumSuccessRate": 0.18, "StratumSuccessesA": 180, "StratumCasesA": 1000, "StratumRateA": 0.18, "StratumSuccessesB": 50, "StratumCasesB": 1000, "StratumRateB": 0.05, "StratumWinner": "A", "StudyTotalCases": 4000, "StratumTotalCases": 2000, "StratumFraction": 0.5, "WeightedStratumRate": 0.09, "TreatmentACasesHere": 1000, "TreatmentBCasesHere": 1000, "TreatmentATotalCases": 2000, "TreatmentBTotalCases": 2000, "AllocationFractionA": 0.5, "AllocationFractionB": 0.5, "AllocationBias": 0.0, "StratumGap": 0.13, "WeightedStratumGap": 0.065 },
      { "StratumSummaryId": "police-force-encounter-discretionary-stop-B", "Study": "police-force-encounter", "StratumLabel": "discretionary-stop", "TreatmentLabel": "B", "Name": "police-force-encounter-discretionary-stop-B", "StratumSuccesses": 50, "StratumCases": 1000, "StratumSuccessRate": 0.05, "StratumSuccessesA": 180, "StratumCasesA": 1000, "StratumRateA": 0.18, "StratumSuccessesB": 50, "StratumCasesB": 1000, "StratumRateB": 0.05, "StratumWinner": "A", "StudyTotalCases": 4000, "StratumTotalCases": 2000, "StratumFraction": 0.5, "WeightedStratumRate": 0.025, "TreatmentACasesHere": 1000, "TreatmentBCasesHere": 1000, "TreatmentATotalCases": 2000, "TreatmentBTotalCases": 2000, "AllocationFractionA": 0.5, "AllocationFractionB": 0.5, "AllocationBias": 0.0, "StratumGap": 0.13, "WeightedStratumGap": 0.065 },
      { "StratumSummaryId": "police-force-encounter-high-risk-call-A", "Study": "police-force-encounter", "StratumLabel": "high-risk-call", "TreatmentLabel": "A", "Name": "police-force-encounter-high-risk-call-A", "StratumSuccesses": 400, "StratumCases": 1000, "StratumSuccessRate": 0.4, "StratumSuccessesA": 400, "StratumCasesA": 1000, "StratumRateA": 0.4, "StratumSuccessesB": 120, "StratumCasesB": 1000, "StratumRateB": 0.12, "StratumWinner": "A", "StudyTotalCases": 4000, "StratumTotalCases": 2000, "StratumFraction": 0.5, "WeightedStratumRate": 0.2, "TreatmentACasesHere": 1000, "TreatmentBCasesHere": 1000, "TreatmentATotalCases": 2000, "TreatmentBTotalCases": 2000, "AllocationFractionA": 0.5, "AllocationFractionB": 0.5, "AllocationBias": 0.0, "StratumGap": 0.28, "WeightedStratumGap": 0.14 },
      { "StratumSummaryId": "police-force-encounter-high-risk-call-B", "Study": "police-force-encounter", "StratumLabel": "high-risk-call", "TreatmentLabel": "B", "Name": "police-force-encounter-high-risk-call-B", "StratumSuccesses": 120, "StratumCases": 1000, "StratumSuccessRate": 0.12, "StratumSuccessesA": 400, "StratumCasesA": 1000, "StratumRateA": 0.4, "StratumSuccessesB": 120, "StratumCasesB": 1000, "StratumRateB": 0.12, "StratumWinner": "A", "StudyTotalCases": 4000, "StratumTotalCases": 2000, "StratumFraction": 0.5, "WeightedStratumRate": 0.06, "TreatmentACasesHere": 1000, "TreatmentBCasesHere": 1000, "TreatmentATotalCases": 2000, "TreatmentBTotalCases": 2000, "AllocationFractionA": 0.5, "AllocationFractionB": 0.5, "AllocationBias": 0.0, "StratumGap": 0.28, "WeightedStratumGap": 0.14 },
      { "StratumSummaryId": "uc-systemwide-admissions-high-selectivity-major-A", "Study": "uc-systemwide-admissions", "StratumLabel": "high-selectivity-major", "TreatmentLabel": "A", "Name": "uc-systemwide-admissions-high-selectivity-major-A", "StratumSuccesses": 120, "StratumCases": 1000, "StratumSuccessRate": 0.12, "StratumSuccessesA": 120, "StratumCasesA": 1000, "StratumRateA": 0.12, "StratumSuccessesB": 140, "StratumCasesB": 1000, "StratumRateB": 0.14, "StratumWinner": "B", "StudyTotalCases": 4000, "StratumTotalCases": 2000, "StratumFraction": 0.5, "WeightedStratumRate": 0.06, "TreatmentACasesHere": 1000, "TreatmentBCasesHere": 1000, "TreatmentATotalCases": 2000, "TreatmentBTotalCases": 2000, "AllocationFractionA": 0.5, "AllocationFractionB": 0.5, "AllocationBias": 0.0, "StratumGap": -0.02, "WeightedStratumGap": -0.01 },
      { "StratumSummaryId": "uc-systemwide-admissions-high-selectivity-major-B", "Study": "uc-systemwide-admissions", "StratumLabel": "high-selectivity-major", "TreatmentLabel": "B", "Name": "uc-systemwide-admissions-high-selectivity-major-B", "StratumSuccesses": 140, "StratumCases": 1000, "StratumSuccessRate": 0.14, "StratumSuccessesA": 120, "StratumCasesA": 1000, "StratumRateA": 0.12, "StratumSuccessesB": 140, "StratumCasesB": 1000, "StratumRateB": 0.14, "StratumWinner": "B", "StudyTotalCases": 4000, "StratumTotalCases": 2000, "StratumFraction": 0.5, "WeightedStratumRate": 0.07, "TreatmentACasesHere": 1000, "TreatmentBCasesHere": 1000, "TreatmentATotalCases": 2000, "TreatmentBTotalCases": 2000, "AllocationFractionA": 0.5, "AllocationFractionB": 0.5, "AllocationBias": 0.0, "StratumGap": -0.02, "WeightedStratumGap": -0.01 },
      { "StratumSummaryId": "uc-systemwide-admissions-lower-selectivity-major-A", "Study": "uc-systemwide-admissions", "StratumLabel": "lower-selectivity-major", "TreatmentLabel": "A", "Name": "uc-systemwide-admissions-lower-selectivity-major-A", "StratumSuccesses": 650, "StratumCases": 1000, "StratumSuccessRate": 0.65, "StratumSuccessesA": 650, "StratumCasesA": 1000, "StratumRateA": 0.65, "StratumSuccessesB": 600, "StratumCasesB": 1000, "StratumRateB": 0.6, "StratumWinner": "A", "StudyTotalCases": 4000, "StratumTotalCases": 2000, "StratumFraction": 0.5, "WeightedStratumRate": 0.325, "TreatmentACasesHere": 1000, "TreatmentBCasesHere": 1000, "TreatmentATotalCases": 2000, "TreatmentBTotalCases": 2000, "AllocationFractionA": 0.5, "AllocationFractionB": 0.5, "AllocationBias": 0.0, "StratumGap": 0.05, "WeightedStratumGap": 0.025 },
      { "StratumSummaryId": "uc-systemwide-admissions-lower-selectivity-major-B", "Study": "uc-systemwide-admissions", "StratumLabel": "lower-selectivity-major", "TreatmentLabel": "B", "Name": "uc-systemwide-admissions-lower-selectivity-major-B", "StratumSuccesses": 600, "StratumCases": 1000, "StratumSuccessRate": 0.6, "StratumSuccessesA": 650, "StratumCasesA": 1000, "StratumRateA": 0.65, "StratumSuccessesB": 600, "StratumCasesB": 1000, "StratumRateB": 0.6, "StratumWinner": "A", "StudyTotalCases": 4000, "StratumTotalCases": 2000, "StratumFraction": 0.5, "WeightedStratumRate": 0.3, "TreatmentACasesHere": 1000, "TreatmentBCasesHere": 1000, "TreatmentATotalCases": 2000, "TreatmentBTotalCases": 2000, "AllocationFractionA": 0.5, "AllocationFractionB": 0.5, "AllocationBias": 0.0, "StratumGap": 0.05, "WeightedStratumGap": 0.025 },
      { "StratumSummaryId": "teacher-vam-prior-achievement-high-prior-achievement-A", "Study": "teacher-vam-prior-achievement", "StratumLabel": "high-prior-achievement", "TreatmentLabel": "A", "Name": "teacher-vam-prior-achievement-high-prior-achievement-A", "StratumSuccesses": 850, "StratumCases": 1000, "StratumSuccessRate": 0.85, "StratumSuccessesA": 850, "StratumCasesA": 1000, "StratumRateA": 0.85, "StratumSuccessesB": 820, "StratumCasesB": 1000, "StratumRateB": 0.82, "StratumWinner": "A", "StudyTotalCases": 4000, "StratumTotalCases": 2000, "StratumFraction": 0.5, "WeightedStratumRate": 0.425, "TreatmentACasesHere": 1000, "TreatmentBCasesHere": 1000, "TreatmentATotalCases": 2000, "TreatmentBTotalCases": 2000, "AllocationFractionA": 0.5, "AllocationFractionB": 0.5, "AllocationBias": 0.0, "StratumGap": 0.03, "WeightedStratumGap": 0.015 },
      { "StratumSummaryId": "teacher-vam-prior-achievement-high-prior-achievement-B", "Study": "teacher-vam-prior-achievement", "StratumLabel": "high-prior-achievement", "TreatmentLabel": "B", "Name": "teacher-vam-prior-achievement-high-prior-achievement-B", "StratumSuccesses": 820, "StratumCases": 1000, "StratumSuccessRate": 0.82, "StratumSuccessesA": 850, "StratumCasesA": 1000, "StratumRateA": 0.85, "StratumSuccessesB": 820, "StratumCasesB": 1000, "StratumRateB": 0.82, "StratumWinner": "A", "StudyTotalCases": 4000, "StratumTotalCases": 2000, "StratumFraction": 0.5, "WeightedStratumRate": 0.41, "TreatmentACasesHere": 1000, "TreatmentBCasesHere": 1000, "TreatmentATotalCases": 2000, "TreatmentBTotalCases": 2000, "AllocationFractionA": 0.5, "AllocationFractionB": 0.5, "AllocationBias": 0.0, "StratumGap": 0.03, "WeightedStratumGap": 0.015 },
      { "StratumSummaryId": "teacher-vam-prior-achievement-low-prior-achievement-A", "Study": "teacher-vam-prior-achievement", "StratumLabel": "low-prior-achievement", "TreatmentLabel": "A", "Name": "teacher-vam-prior-achievement-low-prior-achievement-A", "StratumSuccesses": 520, "StratumCases": 1000, "StratumSuccessRate": 0.52, "StratumSuccessesA": 520, "StratumCasesA": 1000, "StratumRateA": 0.52, "StratumSuccessesB": 560, "StratumCasesB": 1000, "StratumRateB": 0.56, "StratumWinner": "B", "StudyTotalCases": 4000, "StratumTotalCases": 2000, "StratumFraction": 0.5, "WeightedStratumRate": 0.26, "TreatmentACasesHere": 1000, "TreatmentBCasesHere": 1000, "TreatmentATotalCases": 2000, "TreatmentBTotalCases": 2000, "AllocationFractionA": 0.5, "AllocationFractionB": 0.5, "AllocationBias": 0.0, "StratumGap": -0.04, "WeightedStratumGap": -0.02 },
      { "StratumSummaryId": "teacher-vam-prior-achievement-low-prior-achievement-B", "Study": "teacher-vam-prior-achievement", "StratumLabel": "low-prior-achievement", "TreatmentLabel": "B", "Name": "teacher-vam-prior-achievement-low-prior-achievement-B", "StratumSuccesses": 560, "StratumCases": 1000, "StratumSuccessRate": 0.56, "StratumSuccessesA": 520, "StratumCasesA": 1000, "StratumRateA": 0.52, "StratumSuccessesB": 560, "StratumCasesB": 1000, "StratumRateB": 0.56, "StratumWinner": "B", "StudyTotalCases": 4000, "StratumTotalCases": 2000, "StratumFraction": 0.5, "WeightedStratumRate": 0.28, "TreatmentACasesHere": 1000, "TreatmentBCasesHere": 1000, "TreatmentATotalCases": 2000, "TreatmentBTotalCases": 2000, "AllocationFractionA": 0.5, "AllocationFractionB": 0.5, "AllocationBias": 0.0, "StratumGap": -0.04, "WeightedStratumGap": -0.02 },
      { "StratumSummaryId": "naep-state-demographics-high-poverty-states-A", "Study": "naep-state-demographics", "StratumLabel": "high-poverty-states", "TreatmentLabel": "A", "Name": "naep-state-demographics-high-poverty-states-A", "StratumSuccesses": 280, "StratumCases": 1000, "StratumSuccessRate": 0.28, "StratumSuccessesA": 280, "StratumCasesA": 1000, "StratumRateA": 0.28, "StratumSuccessesB": 320, "StratumCasesB": 1000, "StratumRateB": 0.32, "StratumWinner": "B", "StudyTotalCases": 4000, "StratumTotalCases": 2000, "StratumFraction": 0.5, "WeightedStratumRate": 0.14, "TreatmentACasesHere": 1000, "TreatmentBCasesHere": 1000, "TreatmentATotalCases": 2000, "TreatmentBTotalCases": 2000, "AllocationFractionA": 0.5, "AllocationFractionB": 0.5, "AllocationBias": 0.0, "StratumGap": -0.04, "WeightedStratumGap": -0.02 },
      { "StratumSummaryId": "naep-state-demographics-high-poverty-states-B", "Study": "naep-state-demographics", "StratumLabel": "high-poverty-states", "TreatmentLabel": "B", "Name": "naep-state-demographics-high-poverty-states-B", "StratumSuccesses": 320, "StratumCases": 1000, "StratumSuccessRate": 0.32, "StratumSuccessesA": 280, "StratumCasesA": 1000, "StratumRateA": 0.28, "StratumSuccessesB": 320, "StratumCasesB": 1000, "StratumRateB": 0.32, "StratumWinner": "B", "StudyTotalCases": 4000, "StratumTotalCases": 2000, "StratumFraction": 0.5, "WeightedStratumRate": 0.16, "TreatmentACasesHere": 1000, "TreatmentBCasesHere": 1000, "TreatmentATotalCases": 2000, "TreatmentBTotalCases": 2000, "AllocationFractionA": 0.5, "AllocationFractionB": 0.5, "AllocationBias": 0.0, "StratumGap": -0.04, "WeightedStratumGap": -0.02 },
      { "StratumSummaryId": "naep-state-demographics-low-poverty-states-A", "Study": "naep-state-demographics", "StratumLabel": "low-poverty-states", "TreatmentLabel": "A", "Name": "naep-state-demographics-low-poverty-states-A", "StratumSuccesses": 450, "StratumCases": 1000, "StratumSuccessRate": 0.45, "StratumSuccessesA": 450, "StratumCasesA": 1000, "StratumRateA": 0.45, "StratumSuccessesB": 420, "StratumCasesB": 1000, "StratumRateB": 0.42, "StratumWinner": "A", "StudyTotalCases": 4000, "StratumTotalCases": 2000, "StratumFraction": 0.5, "WeightedStratumRate": 0.225, "TreatmentACasesHere": 1000, "TreatmentBCasesHere": 1000, "TreatmentATotalCases": 2000, "TreatmentBTotalCases": 2000, "AllocationFractionA": 0.5, "AllocationFractionB": 0.5, "AllocationBias": 0.0, "StratumGap": 0.03, "WeightedStratumGap": 0.015 },
      { "StratumSummaryId": "naep-state-demographics-low-poverty-states-B", "Study": "naep-state-demographics", "StratumLabel": "low-poverty-states", "TreatmentLabel": "B", "Name": "naep-state-demographics-low-poverty-states-B", "StratumSuccesses": 420, "StratumCases": 1000, "StratumSuccessRate": 0.42, "StratumSuccessesA": 450, "StratumCasesA": 1000, "StratumRateA": 0.45, "StratumSuccessesB": 420, "StratumCasesB": 1000, "StratumRateB": 0.42, "StratumWinner": "A", "StudyTotalCases": 4000, "StratumTotalCases": 2000, "StratumFraction": 0.5, "WeightedStratumRate": 0.21, "TreatmentACasesHere": 1000, "TreatmentBCasesHere": 1000, "TreatmentATotalCases": 2000, "TreatmentBTotalCases": 2000, "AllocationFractionA": 0.5, "AllocationFractionB": 0.5, "AllocationBias": 0.0, "StratumGap": 0.03, "WeightedStratumGap": 0.015 },
      { "StratumSummaryId": "college-grad-rate-selectivity-well-prepared-intake-A", "Study": "college-grad-rate-selectivity", "StratumLabel": "well-prepared-intake", "TreatmentLabel": "A", "Name": "college-grad-rate-selectivity-well-prepared-intake-A", "StratumSuccesses": 920, "StratumCases": 1000, "StratumSuccessRate": 0.92, "StratumSuccessesA": 920, "StratumCasesA": 1000, "StratumRateA": 0.92, "StratumSuccessesB": 880, "StratumCasesB": 1000, "StratumRateB": 0.88,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0.04, "WeightedStratumGap": 0.02 },
      { "StratumSummaryId": "college-grad-rate-selectivity-well-prepared-intake-B", "Study": "college-grad-rate-selectivity", "StratumLabel": "well-prepared-intake", "TreatmentLabel": "B", "Name": "college-grad-rate-selectivity-well-prepared-intake-B", "StratumSuccesses": 880, "StratumCases": 1000, "StratumSuccessRate": 0.88, "StratumSuccessesA": 920, "StratumCasesA": 1000, "StratumRateA": 0.92, "StratumSuccessesB": 880, "StratumCasesB": 1000, "StratumRateB": 0.88, "StratumWinner": "A", "StudyTotalCases": 4000, "StratumTotalCases": 2000, "StratumFraction": 0.5, "WeightedStratumRate": 0.44, "TreatmentACasesHere": 1000, "TreatmentBCasesHere": 1000, "TreatmentATotalCases": 2000, "TreatmentBTotalCases": 2000, "AllocationFractionA": 0.5, "AllocationFractionB": 0.5, "AllocationBias": 0.0, "StratumGap": 0.04, "WeightedStratumGap": 0.02 },
      { "StratumSummaryId": "college-grad-rate-selectivity-under-prepared-intake-A", "Study": "college-grad-rate-selectivity", "StratumLabel": "under-prepared-intake", "TreatmentLabel": "A", "Name": "college-grad-rate-selectivity-under-prepared-intake-A", "StratumSuccesses": 550, "StratumCases": 1000, "StratumSuccessRate": 0.55, "StratumSuccessesA": 550, "StratumCasesA": 1000, "StratumRateA": 0.55, "StratumSuccessesB": 620, "StratumCasesB": 1000, "StratumRateB": 0.62, "StratumWinner": "B", "StudyTotalCases": 4000, "StratumTotalCases": 2000, "StratumFraction": 0.5, "WeightedStratumRate": 0.275, "TreatmentACasesHere": 1000, "TreatmentBCasesHere": 1000, "TreatmentATotalCases": 2000, "TreatmentBTotalCases": 2000, "AllocationFractionA": 0.5, "AllocationFractionB": 0.5, "AllocationBias": 0.0, "StratumGap": -0.07, "WeightedStratumGap": -0.035 },
      { "StratumSummaryId": "college-grad-rate-selectivity-under-prepared-intake-B", "Study": "college-grad-rate-selectivity", "StratumLabel": "under-prepared-intake", "TreatmentLabel": "B", "Name": "college-grad-rate-selectivity-under-prepared-intake-B", "StratumSuccesses": 620, "StratumCases": 1000, "StratumSuccessRate": 0.62, "StratumSuccessesA": 550, "StratumCasesA": 1000, "StratumRateA": 0.55, "StratumSuccessesB": 620, "StratumCasesB": 1000, "StratumRateB": 0.62, "StratumWinner": "B", "StudyTotalCases": 4000, "StratumTotalCases": 2000, "StratumFraction": 0.5, "WeightedStratumRate": 0.31, "TreatmentACasesHere": 1000, "TreatmentBCasesHere": 1000, "TreatmentATotalCases": 2000, "TreatmentBTotalCases": 2000, "AllocationFractionA": 0.5, "AllocationFractionB": 0.5, "AllocationBias": 0.0, "StratumGap": -0.07, "WeightedStratumGap": -0.035 },
      { "StratumSummaryId": "star-class-size-inner-city-schools-A", "Study": "star-class-size", "StratumLabel": "inner-city-schools", "TreatmentLabel": "A", "Name": "star-class-size-inner-city-schools-A", "StratumSuccesses": 820, "StratumCases": 1000, "StratumSuccessRate": 0.82, "StratumSuccessesA": 820, "StratumCasesA": 1000, "StratumRateA": 0.82, "StratumSuccessesB": 800, "StratumCasesB": 1000, "StratumRateB": 0.8, "StratumWinner": "A", "StudyTotalCases": 4000, "StratumTotalCases": 2000, "StratumFraction": 0.5, "WeightedStratumRate": 0.41, "TreatmentACasesHere": 1000, "TreatmentBCasesHere": 1000, "TreatmentATotalCases": 2000, "TreatmentBTotalCases": 2000, "AllocationFractionA": 0.5, "AllocationFractionB": 0.5, "AllocationBias": 0.0, "StratumGap": 0.02, "WeightedStratumGap": 0.01 },
      { "StratumSummaryId": "star-class-size-inner-city-schools-B", "Study": "star-class-size", "StratumLabel": "inner-city-schools", "TreatmentLabel": "B", "Name": "star-class-size-inner-city-schools-B", "StratumSuccesses": 800, "StratumCases": 1000, "StratumSuccessRate": 0.8, "StratumSuccessesA": 820, "StratumCasesA": 1000, "StratumRateA": 0.82, "StratumSuccessesB": 800, "StratumCasesB": 1000, "StratumRateB": 0.8, "StratumWinner": "A", "StudyTotalCases": 4000, "StratumTotalCases": 2000, "StratumFraction": 0.5, "WeightedStratumRate": 0.4, "TreatmentACasesHere": 1000, "TreatmentBCasesHere": 1000, "TreatmentATotalCases": 2000, "TreatmentBTotalCases": 2000, "AllocationFractionA": 0.5, "AllocationFractionB": 0.5, "AllocationBias": 0.0, "StratumGap": 0.02, "WeightedStratumGap": 0.01 },
      { "StratumSummaryId": "star-class-size-suburban-schools-A", "Study": "star-class-size", "StratumLabel": "suburban-schools", "TreatmentLabel": "A", "Name": "star-class-size-suburban-schools-A", "StratumSuccesses": 910, "StratumCases": 1000, "StratumSuccessRate": 0.91, "StratumSuccessesA": 910, "StratumCasesA": 1000, "StratumRateA": 0.91, "StratumSuccessesB": 900, "StratumCasesB": 1000, "StratumRateB": 0.9, "StratumWinner": "A", "StudyTotalCases": 4000, "StratumTotalCases": 2000, "StratumFraction": 0.5, "WeightedStratumRate": 0.455, "TreatmentACasesHere": 1000, "TreatmentBCasesHere": 1000, "TreatmentATotalCases": 2000, "TreatmentBTotalCases": 2000, "AllocationFractionA": 0.5, "AllocationFractionB": 0.5, "AllocationBias": 0.0, "StratumGap": 0.01, "WeightedStratumGap": 0.005 },
      { "StratumSummaryId": "star-class-size-suburban-schools-B", "Study": "star-class-size", "StratumLabel": "suburban-schools", "TreatmentLabel": "B", "Name": "star-class-size-suburban-schools-B", "StratumSuccesses": 900, "StratumCases": 1000, "StratumSuccessRate": 0.9, "StratumSuccessesA": 910, "StratumCasesA": 1000, "StratumRateA": 0.91, "StratumSuccessesB": 900, "StratumCasesB": 1000, "StratumRateB": 0.9, "StratumWinner": "A", "StudyTotalCases": 4000, "StratumTotalCases": 2000, "StratumFraction": 0.5, "WeightedStratumRate": 0.45, "TreatmentACasesHere": 1000, "TreatmentBCasesHere": 1000, "TreatmentATotalCases": 2000, "TreatmentBTotalCases": 2000, "AllocationFractionA": 0.5, "AllocationFractionB": 0.5, "AllocationBias": 0.0, "StratumGap": 0.01, "WeightedStratumGap": 0.005 },
      { "StratumSummaryId": "nba-shooting-shot-mix-two-point-attempts-A", "Study": "nba-shooting-shot-mix", "StratumLabel": "two-point-attempts", "TreatmentLabel": "A", "Name": "nba-shooting-shot-mix-two-point-attempts-A", "StratumSuccesses": 480, "StratumCases": 1000, "StratumSuccessRate": 0.48, "StratumSuccessesA": 480, "StratumCasesA": 1000, "StratumRateA": 0.48, "StratumSuccessesB": 440, "StratumCasesB": 1000, "StratumRateB": 0.44, "StratumWinner": "A", "StudyTotalCases": 3500, "StratumTotalCases": 2000, "StratumFraction": 0.5714285714285714, "WeightedStratumRate": 0.2742857142857143, "TreatmentACasesHere": 1000, "TreatmentBCasesHere": 1000, "TreatmentATotalCases": 2000, "TreatmentBTotalCases": 1500, "AllocationFractionA": 0.5, "AllocationFractionB": 0.6666666666666666, "AllocationBias": -0.16666666666666666, "StratumGap": 0.04, "WeightedStratumGap": 0.022857142857142857 },
      { "StratumSummaryId": "nba-shooting-shot-mix-two-point-attempts-B", "Study": "nba-shooting-shot-mix", "StratumLabel": "two-point-attempts", "TreatmentLabel": "B", "Name": "nba-shooting-shot-mix-two-point-attempts-B", "StratumSuccesses": 440, "StratumCases": 1000, "StratumSuccessRate": 0.44, "StratumSuccessesA": 480, "StratumCasesA": 1000, "StratumRateA": 0.48, "StratumSuccessesB": 440, "StratumCasesB": 1000, "StratumRateB": 0.44, "StratumWinner": "A", "StudyTotalCases": 3500, "StratumTotalCases": 2000, "StratumFraction": 0.5714285714285714, "WeightedStratumRate": 0.25142857142857145, "TreatmentACasesHere": 1000, "TreatmentBCasesHere": 1000, "TreatmentATotalCases": 2000, "TreatmentBTotalCases": 1500, "AllocationFractionA": 0.5, "AllocationFractionB": 0.6666666666666666, "AllocationBias": -0.16666666666666666, "StratumGap": 0.04, "WeightedStratumGap": 0.022857142857142857 },
      { "StratumSummaryId": "nba-shooting-shot-mix-three-point-attempts-A", "Study": "nba-shooting-shot-mix", "StratumLabel": "three-point-attempts", "TreatmentLabel": "A", "Name": "nba-shooting-shot-mix-three-point-attempts-A", "StratumSuccesses": 360, "StratumCases": 1000, "StratumSuccessRate": 0.36, "StratumSuccessesA": 360, "StratumCasesA": 1000, "StratumRateA": 0.36, "StratumSuccessesB": 150, "StratumCasesB": 500, "StratumRateB": 0.3, "StratumWinner": "A", "StudyTotalCases": 3500, "StratumTotalCases": 1500, "StratumFraction": 0.42857142857142855, "WeightedStratumRate": 0.15428571428571428, "TreatmentACasesHere": 1000, "TreatmentBCasesHere": 500, "TreatmentATotalCases": 2000, "TreatmentBTotalCases": 1500, "AllocationFractionA": 0.5, "AllocationFractionB": 0.3333333333333333, "AllocationBias": 0.16666666666666666, "StratumGap": 0.06, "WeightedStratumGap": 0.025714285714285714 },
      { "StratumSummaryId": "nba-shooting-shot-mix-three-point-attempts-B", "Study": "nba-shooting-shot-mix", "StratumLabel": "three-point-attempts", "TreatmentLabel": "B", "Name": "nba-shooting-shot-mix-three-point-attempts-B", "StratumSuccesses": 150, "StratumCases": 500, "StratumSuccessRate": 0.3, "StratumSuccessesA": 360, "StratumCasesA": 1000, "StratumRateA": 0.36, "St</t>
  </si>
  <si>
    <t xml:space="preserve">ratumSuccessesB": 150, "StratumCasesB": 500, "StratumRateB": 0.3, "StratumWinner": "A", "StudyTotalCases": 3500, "StratumTotalCases": 1500, "StratumFraction": 0.42857142857142855, "WeightedStratumRate": 0.12857142857142856, "TreatmentACasesHere": 1000, "TreatmentBCasesHere": 500, "TreatmentATotalCases": 2000, "TreatmentBTotalCases": 1500, "AllocationFractionA": 0.5, "AllocationFractionB": 0.3333333333333333, "AllocationBias": 0.16666666666666666, "StratumGap": 0.06, "WeightedStratumGap": 0.025714285714285714 },
      { "StratumSummaryId": "pitcher-era-ballpark-pitcher-friendly-park-A", "Study": "pitcher-era-ballpark", "StratumLabel": "pitcher-friendly-park", "TreatmentLabel": "A", "Name": "pitcher-era-ballpark-pitcher-friendly-park-A", "StratumSuccesses": 650, "StratumCases": 1000, "StratumSuccessRate": 0.65, "StratumSuccessesA": 650, "StratumCasesA": 1000, "StratumRateA": 0.65, "StratumSuccessesB": 620, "StratumCasesB": 1000, "StratumRateB": 0.62, "StratumWinner": "A", "StudyTotalCases": 4000, "StratumTotalCases": 2000, "StratumFraction": 0.5, "WeightedStratumRate": 0.325, "TreatmentACasesHere": 1000, "TreatmentBCasesHere": 1000, "TreatmentATotalCases": 2000, "TreatmentBTotalCases": 2000, "AllocationFractionA": 0.5, "AllocationFractionB": 0.5, "AllocationBias": 0.0, "StratumGap": 0.03, "WeightedStratumGap": 0.015 },
      { "StratumSummaryId": "pitcher-era-ballpark-pitcher-friendly-park-B", "Study": "pitcher-era-ballpark", "StratumLabel": "pitcher-friendly-park", "TreatmentLabel": "B", "Name": "pitcher-era-ballpark-pitcher-friendly-park-B", "StratumSuccesses": 620, "StratumCases": 1000, "StratumSuccessRate": 0.62, "StratumSuccessesA": 650, "StratumCasesA": 1000, "StratumRateA": 0.65, "StratumSuccessesB": 620, "StratumCasesB": 1000, "StratumRateB": 0.62, "StratumWinner": "A", "StudyTotalCases": 4000, "StratumTotalCases": 2000, "StratumFraction": 0.5, "WeightedStratumRate": 0.31, "TreatmentACasesHere": 1000, "TreatmentBCasesHere": 1000, "TreatmentATotalCases": 2000, "TreatmentBTotalCases": 2000, "AllocationFractionA": 0.5, "AllocationFractionB": 0.5, "AllocationBias": 0.0, "StratumGap": 0.03, "WeightedStratumGap": 0.015 },
      { "StratumSummaryId": "pitcher-era-ballpark-hitter-friendly-park-A", "Study": "pitcher-era-ballpark", "StratumLabel": "hitter-friendly-park", "TreatmentLabel": "A", "Name": "pitcher-era-ballpark-hitter-friendly-park-A", "StratumSuccesses": 520, "StratumCases": 1000, "StratumSuccessRate": 0.52, "StratumSuccessesA": 520, "StratumCasesA": 1000, "StratumRateA": 0.52, "StratumSuccessesB": 540, "StratumCasesB": 1000, "StratumRateB": 0.54, "StratumWinner": "B", "StudyTotalCases": 4000, "StratumTotalCases": 2000, "StratumFraction": 0.5, "WeightedStratumRate": 0.26, "TreatmentACasesHere": 1000, "TreatmentBCasesHere": 1000, "TreatmentATotalCases": 2000, "TreatmentBTotalCases": 2000, "AllocationFractionA": 0.5, "AllocationFractionB": 0.5, "AllocationBias": 0.0, "StratumGap": -0.02, "WeightedStratumGap": -0.01 },
      { "StratumSummaryId": "pitcher-era-ballpark-hitter-friendly-park-B", "Study": "pitcher-era-ballpark", "StratumLabel": "hitter-friendly-park", "TreatmentLabel": "B", "Name": "pitcher-era-ballpark-hitter-friendly-park-B", "StratumSuccesses": 540, "StratumCases": 1000, "StratumSuccessRate": 0.54, "StratumSuccessesA": 520, "StratumCasesA": 1000, "StratumRateA": 0.52, "StratumSuccessesB": 540, "StratumCasesB": 1000, "StratumRateB": 0.54, "StratumWinner": "B", "StudyTotalCases": 4000, "StratumTotalCases": 2000, "StratumFraction": 0.5, "WeightedStratumRate": 0.27, "TreatmentACasesHere": 1000, "TreatmentBCasesHere": 1000, "TreatmentATotalCases": 2000, "TreatmentBTotalCases": 2000, "AllocationFractionA": 0.5, "AllocationFractionB": 0.5, "AllocationBias": 0.0, "StratumGap": -0.02, "WeightedStratumGap": -0.01 },
      { "StratumSummaryId": "nfl-completion-depth-short-pass-A", "Study": "nfl-completion-depth", "StratumLabel": "short-pass", "TreatmentLabel": "A", "Name": "nfl-completion-depth-short-pass-A", "StratumSuccesses": 720, "StratumCases": 800, "StratumSuccessRate": 0.9, "StratumSuccessesA": 720, "StratumCasesA": 800, "StratumRateA": 0.9, "StratumSuccessesB": 700, "StratumCasesB": 800, "StratumRateB": 0.875, "StratumWinner": "A", "StudyTotalCases": 2000, "StratumTotalCases": 1600, "StratumFraction": 0.8, "WeightedStratumRate": 0.72, "TreatmentACasesHere": 800, "TreatmentBCasesHere": 800, "TreatmentATotalCases": 1000, "TreatmentBTotalCases": 1000, "AllocationFractionA": 0.8, "AllocationFractionB": 0.8, "AllocationBias": 0.0, "StratumGap": 0.025, "WeightedStratumGap": 0.02 },
      { "StratumSummaryId": "nfl-completion-depth-short-pass-B", "Study": "nfl-completion-depth", "StratumLabel": "short-pass", "TreatmentLabel": "B", "Name": "nfl-completion-depth-short-pass-B", "StratumSuccesses": 700, "StratumCases": 800, "StratumSuccessRate": 0.875, "StratumSuccessesA": 720, "StratumCasesA": 800, "StratumRateA": 0.9, "StratumSuccessesB": 700, "StratumCasesB": 800, "StratumRateB": 0.875, "StratumWinner": "A", "StudyTotalCases": 2000, "StratumTotalCases": 1600, "StratumFraction": 0.8, "WeightedStratumRate": 0.7, "TreatmentACasesHere": 800, "TreatmentBCasesHere": 800, "TreatmentATotalCases": 1000, "TreatmentBTotalCases": 1000, "AllocationFractionA": 0.8, "AllocationFractionB": 0.8, "AllocationBias": 0.0, "StratumGap": 0.025, "WeightedStratumGap": 0.02 },
      { "StratumSummaryId": "nfl-completion-depth-deep-pass-A", "Study": "nfl-completion-depth", "StratumLabel": "deep-pass", "TreatmentLabel": "A", "Name": "nfl-completion-depth-deep-pass-A", "StratumSuccesses": 90, "StratumCases": 200, "StratumSuccessRate": 0.45, "StratumSuccessesA": 90, "StratumCasesA": 200, "StratumRateA": 0.45, "StratumSuccessesB": 110, "StratumCasesB": 200, "StratumRateB": 0.55, "StratumWinner": "B", "StudyTotalCases": 2000, "StratumTotalCases": 400, "StratumFraction": 0.2, "WeightedStratumRate": 0.09, "TreatmentACasesHere": 200, "TreatmentBCasesHere": 200, "TreatmentATotalCases": 1000, "TreatmentBTotalCases": 1000, "AllocationFractionA": 0.2, "AllocationFractionB": 0.2, "AllocationBias": 0.0, "StratumGap": -0.1, "WeightedStratumGap": -0.02 },
      { "StratumSummaryId": "nfl-completion-depth-deep-pass-B", "Study": "nfl-completion-depth", "StratumLabel": "deep-pass", "TreatmentLabel": "B", "Name": "nfl-completion-depth-deep-pass-B", "StratumSuccesses": 110, "StratumCases": 200, "StratumSuccessRate": 0.55, "StratumSuccessesA": 90, "StratumCasesA": 200, "StratumRateA": 0.45, "StratumSuccessesB": 110, "StratumCasesB": 200, "StratumRateB": 0.55, "StratumWinner": "B", "StudyTotalCases": 2000, "StratumTotalCases": 400, "StratumFraction": 0.2, "WeightedStratumRate": 0.11, "TreatmentACasesHere": 200, "TreatmentBCasesHere": 200, "TreatmentATotalCases": 1000, "TreatmentBTotalCases": 1000, "AllocationFractionA": 0.2, "AllocationFractionB": 0.2, "AllocationBias": 0.0, "StratumGap": -0.1, "WeightedStratumGap": -0.02 },
      { "StratumSummaryId": "field-goal-distance-short-fg-A", "Study": "field-goal-distance", "StratumLabel": "short-fg", "TreatmentLabel": "A", "Name": "field-goal-distance-short-fg-A", "StratumSuccesses": 950, "StratumCases": 1000, "StratumSuccessRate": 0.95, "StratumSuccessesA": 950, "StratumCasesA": 1000, "StratumRateA": 0.95, "StratumSuccessesB": 940, "StratumCasesB": 1000, "StratumRateB": 0.94, "StratumWinner": "A", "StudyTotalCases": 4000, "StratumTotalCases": 2000, "StratumFraction": 0.5, "WeightedStratumRate": 0.475, "TreatmentACasesHere": 1000, "TreatmentBCasesHere": 1000, "TreatmentATotalCases": 2000, "TreatmentBTotalCases": 2000, "AllocationFractionA": 0.5, "AllocationFractionB": 0.5, "AllocationBias": 0.0, "StratumGap": 0.01, "WeightedStratumGap": 0.005 },
      { "StratumSummaryId": "field-goal-distance-short-fg-B", "Study": "field-goal-distance", "StratumLabel": "short-fg", "TreatmentLabel": "B", "Name": "field-goal-distance-short-fg-B", "StratumSuccesses": 940, "StratumCases": 1000, "StratumSuccessRate": 0.94, "StratumSuccessesA": 950, "StratumCasesA": 1000, "StratumRateA": 0.95, "StratumSuccessesB": 940, "StratumCasesB": 1000, "StratumRateB": 0.94, "StratumWinner": "A", "StudyTotalCases": 4000, "StratumTotalCases": 2000, "StratumFraction": 0.5, "WeightedStratumRate": 0.47, "TreatmentACasesHere": 1000, "TreatmentBCasesHere": 1000, "TreatmentATotalCases": 2000, "TreatmentBTotalCases": 2000, "AllocationFractionA": 0.5, "AllocationFractionB": 0.5, "AllocationBias": 0.0, "StratumGap": 0.01, "WeightedStratumGap": 0.005 },
      { "StratumSummaryId": "field-goal-distance-long-fg-A", "Study": "field-goal-distance", "StratumLabel": "long-fg", "TreatmentLabel": "A", "Name": "field-goal-distance-long-fg-A", "StratumSuccesses": 600, "StratumCases": 1000, "StratumSuccessRate": 0.6, "StratumSuccessesA": 600, "StratumCasesA": 1000, "StratumRateA": 0.6, "StratumSuccessesB": 650, "StratumCasesB": 1000, "StratumRateB": 0.65, "StratumWinner": "B", "StudyTotalCases": 4000, "StratumTotalCases": 2000, "StratumFraction": 0.5, "WeightedStratumRate": 0.3, "TreatmentACasesHere": 1000, "TreatmentBCasesHere": 1000, "TreatmentATotalCases": 2000, "TreatmentBTotalCases": 2000, "AllocationFractionA": 0.5, "AllocationFractionB": 0.5, "AllocationBias": 0.0, "StratumGap": -0.05, "WeightedStratumGap": -0.025 },
      { "StratumSummaryId": "field-goal-distance-long-fg-B", "Study": "field-goal-distance", "StratumLabel": "long-fg", "TreatmentLabel": "B", "Name": "field-goal-distance-long-fg-B", "StratumSuccesses": 650, "StratumCases": 1000, "StratumSuccessRate": 0.65, "StratumSuccessesA": 600, "StratumCasesA": 1000, "StratumRateA": 0.6, "StratumSuccessesB": 650, "StratumCasesB": 1000, "StratumRateB": 0.65, "StratumWinner": "B", "StudyTotalCases": 4000, "StratumTotalCases": 2000, "StratumFraction": 0.5, "WeightedStratumRate": 0.325, "TreatmentACasesHere": 1000, "TreatmentBCasesHere": 1000, "TreatmentATotalCases": 2000, "TreatmentBTotalCases": 2000, "AllocationFractionA": 0.5, "AllocationFractionB": 0.5, "AllocationBias": 0.0, "StratumGap": -0.05, "WeightedStratumGap": -0.025 },
      { "StratumSummaryId": "golf-scoring-course-easy-course-A", "Study": "golf-scoring-course", "StratumLabel": "easy-course", "TreatmentLabel": "A", "Name": "golf-scoring-course-easy-course-A", "StratumSuccesses": 650, "StratumCases": 1000, "StratumSuccessRate": 0.65, "StratumSuccessesA": 650, "StratumCasesA": 1000, "StratumRateA": 0.65, "StratumSuccessesB": 620, "StratumCasesB": 1000, "StratumRateB": 0.62, "StratumWinner": "A", "StudyTotalCases": 4000, "StratumTotalCases": 2000, "StratumFraction": 0.5, "WeightedStratumRate": 0.325, "TreatmentACasesHere": 1000, "TreatmentBCasesHere": 1000, "TreatmentATotalCases": 2000, "TreatmentBTotalCases": 2000, "AllocationFractionA": 0.5, "AllocationFractionB": 0.5, "AllocationBias": 0.0, "StratumGap": 0.03, "WeightedStratumGap": 0.015 },
      { "StratumSummaryId": "golf-scoring-course-easy-course-B", "Study": "golf-scoring-course", "StratumLabel": "easy-course", "TreatmentLabel": "B", "Name": "golf-scoring-course-easy-course-B", "StratumSuccesses": 620, "StratumCases": 1000, "StratumSuccessRate": 0.62, "StratumSuccessesA": 650, "StratumCasesA": 1000, "StratumRateA": 0.65, "StratumSuccessesB": 620, "StratumCasesB": 1000, "StratumRateB": 0.62, "StratumWinner": "A", "StudyTotalCases": 4000, "StratumTotalCases": 2000, "StratumFraction": 0.5, "WeightedStratumRate": 0.31, "TreatmentACasesHere": 1000, "TreatmentBCasesHere": 1000, "TreatmentATotalCases": 2000, "TreatmentBTotalCases": 2000, "AllocationFractionA": 0.5, "AllocationFractionB": 0.5, "AllocationBias": 0.0, "StratumGap": 0.03, "WeightedStratumGap": 0.015 },
      { "StratumSummaryId": "golf-scoring-course-difficult-course-A", "Study": "golf-scoring-course", "StratumLabel": "difficult-course", "TreatmentLabel": "A", "Name": "golf-scoring-course-difficult-course-A", "StratumSuccesses": 350, "StratumCases": 1000, "StratumSuccessRate": 0.35, "StratumSuccessesA": 350, "StratumCasesA": 1000, "StratumRateA": 0.35, "StratumSuccessesB": 380, "StratumCasesB": 1000, "StratumRateB": 0.38, "StratumWinner": "B", "StudyTotalCases": 4000, "StratumTotalCases": 2000, "StratumFraction": 0.5, "WeightedStratumRate": 0.175, "TreatmentACasesHere": 1000, "TreatmentBCasesHere": 1000, "TreatmentATotalCases": 2000, "TreatmentBTotalCases": 2000, "AllocationFractionA": 0.5, "AllocationFractionB": 0.5, "AllocationBias": 0.0, "StratumGap": -0.03, "WeightedStratumGap": -0.015 },
      { "StratumSummaryId": "golf-scoring-course-difficult-course-B", "Study": "golf-scoring-course", "StratumLabel": "difficult-course", "TreatmentLabel": "B", "Name": "golf-scoring-course-difficult-course-B", "StratumSuccesses": 380, "StratumCases": 1000, "StratumSuccessRate": 0.38, "StratumSuccessesA": 350, "StratumCasesA": 1000, "StratumRateA": 0.35, "StratumSuccessesB": 380, "StratumCasesB": 1000, "StratumRateB": 0.38, "StratumWinner": "B", "StudyTotalCases": 4000, "StratumTotalCases": 2000, "StratumFraction": 0.5, "WeightedStratumRate": 0.19, "TreatmentACasesHere": 1000, "TreatmentBCasesHere": 1000, "TreatmentATotalCases": 2000, "TreatmentBTotalCases": 2000, "AllocationFractionA": 0.5, "AllocationFractionB": 0.5, "AllocationBias": 0.0, "StratumGap": -0.03, "WeightedStratumGap": -0.015 },
      { "StratumSummaryId": "minimum-wage-region-tight-labor-market-A", "Study": "minimum-wage-region", "StratumLabel": "tight-labor-market", "TreatmentLabel": "A", "Name": "minimum-wage-region-tight-labor-market-A", "StratumSuccesses": 920, "StratumCases": 1000, "StratumSuccessRate": 0.92, "StratumSuccessesA": 920, "StratumCasesA": 1000, "StratumRateA": 0.92, "StratumSuccessesB": 910, "StratumCasesB": 1000, "StratumRateB": 0.91, "StratumWinner": "A", "StudyTotalCases": 4000, "StratumTotalCases": 2000, "StratumFraction": 0.5, "WeightedStratumRate": 0.46, "TreatmentACasesHere": 1000, "TreatmentBCasesHere": 1000, "TreatmentATotalCases": 2000, "TreatmentBTotalCases": 2000, "AllocationFractionA": 0.5, "AllocationFractionB": 0.5, "AllocationBias": 0.0, "StratumGap": 0.01, "WeightedStratumGap": 0.005 },
      { "StratumSummaryId": "minimum-wage-region-tight-labor-market-B", "Study": "minimum-wage-region", "StratumLabel": "tight-labor-market", "TreatmentLabel": "B", "Name": "minimum-wage-region-tight-labor-market-B", "StratumSuccesses": 910, "StratumCases": 1000, "StratumSuccessRate": 0.91, "StratumSuccessesA": 920, "StratumCasesA": 1000, "StratumRateA": 0.92, "StratumSuccessesB": 910, "StratumCasesB": 1000, "StratumRateB": 0.91, "StratumWinner": "A", "StudyTotalCases": 4000, "StratumTotalCases": 2000, "StratumFraction": 0.5, "WeightedStratumRate": 0.455, "TreatmentACasesHere": 1000, "TreatmentBCasesHere": 1000, "TreatmentATotalCases": 2000, "TreatmentBTotalCases": 2000, "AllocationFractionA": 0.5, "AllocationFractionB": 0.5, "AllocationBias": 0.0, "StratumGap": 0.01, "WeightedStratumGap": 0.005 },
      { "StratumSummaryId": "minimum-wage-region-slack-labor-market-A", "Study": "minimum-wage-region", "StratumLabel": "slack-labor-market", "TreatmentLabel": "A", "Name": "minimum-wage-region-slack-labor-market-A", "StratumSuccesses": 780, "StratumCases": 1000, "StratumSuccessRate": 0.78, "StratumSuccessesA": 780, "StratumCasesA": 1000, "StratumRateA": 0.78, "StratumSuccessesB": 820, "StratumCasesB": 1000, "StratumRateB": 0.82, "StratumWinner": "B", "StudyTotalCases": 4000, "StratumTotalCases": 2000, "StratumFraction": 0.5, "WeightedStratumRate": 0.39, "TreatmentACasesHere": 1000, "TreatmentBCasesHere": 1000, "TreatmentATotalCases": 2000, "TreatmentBTotalCases": 2000, "AllocationFractionA": 0.5, "AllocationFractionB": 0.5, "AllocationBias": 0.0, "StratumGap": -0.04, "WeightedStratumGap": -0.02 },
      { "StratumSummaryId": "minimum-wage-region-slack-labor-market-B", "Study": "minimum-wage-region", "StratumLabel": "slack-labor-market", "TreatmentLabel": "B", "Name": "minimum-wage-region-slack-labor-market-B", "StratumSuccesses": 820, "StratumCases": 1000, "StratumSuccessRate": 0.82, "StratumSuccessesA": 780, "StratumCasesA": 1000, "StratumRateA": 0.78, "StratumSuccessesB": 820, "StratumCasesB": 1000, "StratumRateB": 0.82, "StratumWinner": "B", "StudyTotalCases": 4000, "StratumTotalCases": 2000, "StratumFraction": 0.5, "WeightedStratumRate": 0.41, "TreatmentACasesHere": 1000, "TreatmentBCasesHere": 1000, "TreatmentATotalCases": 2000, "TreatmentBTotalCases": 2000, "AllocationFractionA": 0.5, "AllocationFractionB": 0.5, "AllocationBias": 0.0, "StratumGap": -0.04, "WeightedStratumGap": -0.02 },
      { "StratumSummaryId": "returns-to-education-field-stem-fields-A", "Study": "returns-to-education-field", "StratumLabel": "stem-fields", "TreatmentLabel": "A", "Name": "returns-to-education-field-stem-fields-A", "StratumSuccesses": 720, "StratumCases": 1000, "StratumSuccessRate": 0.72, "StratumSuccessesA": 720, "StratumCasesA": 1000, "StratumRateA": 0.72, "StratumSuccessesB": 350, "StratumCasesB": 1000, "StratumRateB": 0.35, "StratumWinner": "A", "StudyTotalCases": 4000, "StratumTotalCases": 2000, "StratumFraction": 0.5, "WeightedStratumRate": 0.36, "TreatmentACasesHere": 1000, "TreatmentBCasesHere": 1000, "TreatmentATotalCases": 2000, "TreatmentBTotalCases": 2000, "AllocationFractionA": 0.5, "AllocationFractionB": 0.5, "AllocationBias": 0.0, "StratumGap": 0.37, "WeightedStratumGap": 0.185 },
      { "StratumSummaryId": "returns-to-education-field-stem-fields-B", "Study": "returns-to-education-field", "StratumLabel": "stem-fields", "TreatmentLabel": "B", "Name": "returns-to-education-field-stem-fields-B", "StratumSuccesses": 350, "StratumCases": 1000, "StratumSuccessRate": 0.35, "StratumSuccessesA": 720, "StratumCasesA": 1000, "StratumRateA": 0.72, "StratumSuccessesB": 350, "StratumCasesB": 1000, "StratumRateB": 0.35, "StratumWinner": "A", "StudyTotalCases": 4000, "StratumTotalCases": 2000, "StratumFraction": 0.5, "WeightedStratumRate": 0.175, "TreatmentACasesHere": 1000, "TreatmentBCasesHere": 1000, "TreatmentATotalCases": 2000, "TreatmentBTotalCases": 2000, "AllocationFractionA": 0.5, "AllocationFractionB": 0.5, "AllocationBias": 0.0, "StratumGap": 0.37, "WeightedStratumGap": 0.185 },
      { "StratumSummaryId": "returns-to-education-field-non-stem-fields-A", "Study": "returns-to-education-field", "StratumLabel": "non-stem-fields", "TreatmentLabel": "A", "Name": "returns-to-education-field-non-stem-fields-A", "StratumSuccesses": 520, "StratumCases": 1000, "StratumSuccessRate": 0.52, "StratumSuccessesA": 520, "StratumCasesA": 1000, "StratumRateA": 0.52, "StratumSuccessesB": 380, "StratumCasesB": 1000, "StratumRateB": 0.38, "StratumWinner": "A", "StudyTotalCases": 4000, "StratumTotalCases": 2000, "StratumFraction": 0.5, "WeightedStratumRate": 0.26, "TreatmentACasesHere": 1000, "TreatmentBCasesHere": 1000, "TreatmentATotalCases": 2000, "TreatmentBTotalCases": 2000, "AllocationFractionA": 0.5, "AllocationFractionB": 0.5, "AllocationBias": 0.0, "StratumGap": 0.14, "WeightedStratumGap": 0.07 },
      { "StratumSummaryId": "returns-to-education-field-non-stem-fields-B", "Study": "returns-to-education-field", "StratumLabel": "non-stem-fields", "TreatmentLabel": "B", "Name": "returns-to-education-field-non-stem-fields-B", "StratumSuccesses": 380, "StratumCases": 1000, "StratumSuccessRate": 0.38, "StratumSuccessesA": 520, "StratumCasesA": 1000, "StratumRateA": 0.52, "StratumSuccessesB": 380, "StratumCasesB": 1000, "StratumRateB": 0.38, "StratumWinner": "A", "StudyTotalCases": 4000, "StratumTotalCases": 2000, "StratumFraction": 0.5, "WeightedStratumRate": 0.19, "TreatmentACasesHere": 1000, "TreatmentBCasesHere": 1000, "TreatmentATotalCases": 2000, "TreatmentBTotalCases": 2000, "AllocationFractionA": 0.5, "AllocationFractionB": 0.5, "AllocationBias": 0.0, "StratumGap": 0.14, "WeightedStratumGap": 0.07 },
      { "StratumSummaryId": "unemployment-education-cycle-college-educated-share-A", "Study": "unemployment-education-cycle", "StratumLabel": "college-educated-share", "TreatmentLabel": "A", "Name": "unemployment-education-cycle-college-educated-share-A", "StratumSuccesses": 950, "StratumCases": 1000, "StratumSuccessRate": 0.95, "StratumSuccessesA": 950, "StratumCasesA": 1000, "StratumRateA": 0.95, "StratumSuccessesB": 940, "StratumCasesB": 1000, "StratumRateB": 0.94, "StratumWinner": "A", "StudyTotalCases": 4000, "StratumTotalCases": 2000, "StratumFraction": 0.5, "WeightedStratumRate": 0.475, "TreatmentACasesHere": 1000, "TreatmentBCasesHere": 1000, "TreatmentATotalCases": 2000, "TreatmentBTotalCases": 2000, "AllocationFractionA": 0.5, "AllocationFractionB": 0.5, "AllocationBias": 0.0, "StratumGap": 0.01, "WeightedStratumGap": 0.005 },
      { "StratumSummaryId": "unemployment-education-cycle-college-educated-share-B", "Study": "unemployment-education-cycle", "StratumLabel": "college-educated-share", "TreatmentLabel": "B", "Name": "unemployment-education-cycle-college-educated-share-B", "StratumSuccesses": 940, "StratumCases": 1000, "StratumSuccessRate": 0.94, "StratumSuccessesA": 950, "StratumCasesA": 1000, "StratumRateA": 0.95, "StratumSuccessesB": 940, "StratumCasesB": 1000, "StratumRateB": 0.94, "StratumWinner": "A", "StudyTotalCases": 4000, "StratumTotalCases": 2000, "StratumFraction": 0.5, "WeightedStratumRate": 0.47, "TreatmentACasesHere": 1000, "TreatmentBCasesHere": 1000, "TreatmentATotalCases": 2000, "TreatmentBTotalCases": 2000, "AllocationFractionA": 0.5, "AllocationFractionB": 0.5, "AllocationBias": 0.0, "StratumGap": 0.01, "WeightedStratumGap": 0.005 },
      { "StratumSummaryId": "unemployment-education-cycle-non-college-share-A", "Study": "unemployment-education-cycle", "StratumLabel": "non-college-share", "TreatmentLabel": "A", "Name": "unemployment-education-cycle-non-college-share-A", "StratumSuccesses": 820, "StratumCases": 1000, "StratumSuccessRate": 0.82, "StratumSuccessesA": 820, "StratumCasesA": 1000, "StratumRateA": 0.82, "StratumSuccessesB": 850, "StratumCasesB": 1000, "StratumRateB": 0.85, "StratumWinner": "B", "StudyTotalCases": 4000, "StratumTotalCases": 2000, "StratumFraction": 0.5, "WeightedStratumRate": 0.41, "TreatmentACasesHere": 1000, "TreatmentBCasesHere": 1000, "TreatmentATotalCases": 2000, "TreatmentBTotalCases": 2000, "AllocationFractionA": 0.5, "AllocationFractionB": 0.5, "AllocationBias": 0.0, "StratumGap": -0.03, "WeightedStratumGap": -0.015 },
      { "StratumSummaryId": "unemployment-education-cycle-non-college-share-B", "Study": "unemployment-education-cycle", "StratumLabel": "non-college-share", "TreatmentLabel": "B", "Name": "unemployment-education-cycle-non-college-share-B", "StratumSuccesses": 850, "StratumCases": 1000, "StratumSuccessRate": 0.85, "StratumSuccessesA": 820, "StratumCasesA": 1000, "StratumRateA": 0.82, "StratumSuccessesB": 850, "StratumCasesB": 1000, "StratumRateB": 0.85, "StratumWinner": "B", "StudyTotalCases": 4000, "StratumTotalCases": 2000, "StratumFraction": 0.5, "WeightedStratumRate": 0.425, "TreatmentACasesHere": 1000, "TreatmentBCasesHere": 1000, "TreatmentATotalCases": 2000, "TreatmentBTotalCases": 2000, "AllocationFractionA": 0.5, "AllocationFractionB": 0.5, "AllocationBias": 0.0, "StratumGap": -0.03, "WeightedStratumGap": -0.015 },
      { "StratumSummaryId": "costa-rica-us-life-expectancy-under-65-A", "Study": "costa-rica-us-life-expectancy", "StratumLabel": "under-65", "TreatmentLabel": "A", "Name": "costa-rica-us-life-expectancy-under-65-A", "StratumSuccesses": 990, "StratumCases": 1000, "StratumSuccessRate": 0.99, "StratumSuccessesA": 990, "StratumCasesA": 1000, "StratumRateA": 0.99, "StratumSuccessesB": 985, "StratumCasesB": 1000, "StratumRateB": 0.985, "StratumWinner": "A", "StudyTotalCases": 4000, "StratumTotalCases": 2000, "StratumFraction": 0.5, "WeightedStratumRate": 0.495, "TreatmentACasesHere": 1000, "TreatmentBCasesHere": 1000, "TreatmentATotalCases": 2000, "TreatmentBTotalCases": 2000, "AllocationFractionA": 0.5, "AllocationFractionB": 0.5, "AllocationBias": 0.0, "StratumGap": 0.005, "WeightedStratumGap": 0.0025 },
      { "StratumSummaryId": "costa-rica-us-life-expectancy-under-65-B", "Study": "costa-rica-us-life-expectancy", "StratumLabel": "under-65", "TreatmentLabel": "B", "Name": "costa-rica-us-life-expectancy-under-65-B", "StratumSuccesses": 985, "StratumCases": 1000, "StratumSuccessRate": 0.985, "StratumSuccessesA": 990, "StratumCasesA": 1000, "StratumRateA": 0.99, "StratumSuccessesB": 985, "StratumCasesB": 1000, "StratumRateB": 0.985, "StratumWinner": "A", "StudyTotalCases": 4000, "StratumTotalCases": 2000, "StratumFraction": 0.5, "WeightedStratumRate": 0.4925, "TreatmentACasesHere": 1000, "TreatmentBCasesHere": 1000, "TreatmentATotalCases": 2000, "TreatmentBTotalCases": 2000, "AllocationFractionA": 0.5, "AllocationFractionB": 0.5, "AllocationBias": 0.0, "StratumGap": 0.005, "WeightedStratumGap": 0.0025 },
      { "StratumSummaryId": "costa-rica-us-life-expectancy-65-plus-A", "Study": "costa-rica-us-life-expectancy", "StratumLabel": "65-plus", "TreatmentLabel": "A", "Name": "costa-rica-us-life-expectancy-65-plus-A", "StratumSuccesses": 850, "StratumCases": 1000, "StratumSuccessRate": 0.85, "StratumSuccessesA": 850, "StratumCasesA": 1000, "StratumRateA": 0.85, "StratumSuccessesB": 900, "StratumCasesB": 1000, "StratumRateB": 0.9, "StratumWinner": "B", "StudyTotalCases": 4000, "StratumTotalCases": 2000, "StratumFraction": 0.5, "WeightedStratumRate": 0.425, "TreatmentACasesHere": 1000, "TreatmentBCasesHere": 1000, "TreatmentATotalCases": 2000, "TreatmentBTotalCases": 2000, "AllocationFractionA": 0.5, "AllocationFractionB": 0.5, "AllocationBias": 0.0, "StratumGap": -0.05, "WeightedStratumGap": -0.025 },
      { "StratumSummaryId": "costa-rica-us-life-expectancy-65-plus-B", "Study": "costa-rica-us-life-expectancy", "StratumLabel": "65-plus", "TreatmentLabel": "B", "Name": "costa-rica-us-life-expectancy-65-plus-B", "StratumSuccesses": 900, "StratumCases": 1000, "StratumSuccessRate": 0.9, "StratumSuccessesA": 850, "StratumCasesA": 1000, "StratumRateA": 0.85, "StratumSuccessesB": 900, "StratumCasesB": 1000, "StratumRateB": 0.9, "StratumWinner": "B", "StudyTotalCases": 4000, "StratumTotalCases": 2000, "StratumFraction": 0.5, "WeightedStratumRate": 0.45, "TreatmentACasesHere": 1000, "TreatmentBCasesHere": 1000, "TreatmentATotalCases": 2000, "TreatmentBTotalCases": 2000, "AllocationFractionA": 0.5, "AllocationFractionB": 0.5, "AllocationBias": 0.0, "StratumGap": -0.05, "WeightedStratumGap": -0.025 },
      { "StratumSummaryId": "fertility-income-country-high-income-countries-A", "Study": "fertility-income-country", "StratumLabel": "high-income-countries", "TreatmentLabel": "A", "Name": "fertility-income-country-high-income-countries-A", "StratumSuccesses": 450, "StratumCases": 1000, "StratumSuccessRate": 0.45, "StratumSuccessesA": 450, "StratumCasesA": 1000, "StratumRateA": 0.45, "StratumSuccessesB": 520, "StratumCasesB": 1000, "StratumRateB": 0.52, "StratumWinner": "B", "StudyTotalCases": 4000, "StratumTotalCases": 2000, "StratumFraction": 0.5, "WeightedStratumRate": 0.225, "TreatmentACasesHere": 1000, "TreatmentBCasesHere": 1000, "TreatmentATotalCases": 2000, "TreatmentBTotalCases": 2000, "AllocationFractionA": 0.5, "AllocationFractionB": 0.5, "AllocationBias": 0.0, "StratumGap": -0.07, "WeightedStratumGap": -0.035 },
      { "StratumSummaryId": "fertility-income-country-high-income-countries-B", "Study": "fertility-income-country", "StratumLabel": "high-income-countries", "TreatmentLabel": "B", "Name": "fertility-income-country-high-income-countries-B", "StratumSuccesses": 520, "StratumCases": 1000, "StratumSuccessRate": 0.52, "StratumSuccessesA": 450, "StratumCasesA": 1000, "StratumRateA": 0.45, "StratumSuccessesB": 520, "StratumCasesB": 1000, "StratumRateB": 0.52, "StratumWinner": "B", "StudyTotalCases": 4000, "StratumTotalCases": 2000, "StratumFraction": 0.5, "WeightedStratumRate": 0.26, "TreatmentACasesHere": 1000, "TreatmentBCasesHere": 1000, "TreatmentATotalCases": 2000, "TreatmentBTotalCases": 2000, "AllocationFractionA": 0.5, "AllocationFractionB": 0.5, "AllocationBias": 0.0, "StratumGap": -0.07, "WeightedStratumGap": -0.035 },
      { "StratumSummaryId": "fertility-income-country-middle-income-countries-A", "Study": "fertility-income-country", "StratumLabel": "middle-income-countries", "TreatmentLabel": "A", "Name": "fertility-income-country-middle-income-countries-A", "StratumSuccesses": 380, "StratumCases": 1000, "StratumSuccessRate": 0.38, "StratumSuccessesA": 380, "StratumCasesA": 1000, "StratumRateA": 0.38, "StratumSuccessesB": 350, "StratumCasesB": 1000, "StratumRateB": 0.35, "StratumWinner": "A", "StudyTotalCases": 4000, "StratumTotalCases": 2000, "StratumFraction": 0.5, "WeightedStratumRate": 0.19, "TreatmentACasesHere": 1000, "TreatmentBCasesHere": 1000, "TreatmentATotalCases": 2000, "TreatmentBTotalCases": 2000, "AllocationFractionA": 0.5, "AllocationFractionB": 0.5, "AllocationBias": 0.0, "StratumGap": 0.03, "WeightedStratumGap": 0.015 },
      { "StratumSummaryId": "fertility-income-country-middle-income-countries-B", "Study": "fertility-income-country", "StratumLabel": "middle-income-countries", "TreatmentLabel": "B", "Name": "fertility-income-country-middle-income-countries-B", "StratumSuccesses": 350, "StratumCases": 1000, "StratumSuccessRate": 0.35, "StratumSuccessesA": 380, "StratumCasesA": 1000, "StratumRateA": 0.38, "StratumSuccessesB": 350, "StratumCasesB": 1000, "StratumRateB": 0.35, "StratumWinner": "A", "StudyTotalCases": 4000, "StratumTotalCases": 2000, "StratumFraction": 0.5, "WeightedStratumRate": 0.175, "TreatmentACasesHere": 1000, "TreatmentBCasesHere": 1000, "TreatmentATotalCases": 2000, "TreatmentBTotalCases": 2000, "AllocationFractionA": 0.5, "AllocationFractionB": 0.5, "AllocationBias": 0.0, "StratumGap": 0.03, "WeightedStratumGap": 0.015 },
      { "StratumSummaryId": "religiosity-happiness-country-high-gdp-countries-A", "Study": "religiosity-happiness-country", "StratumLabel": "high-gdp-countries", "TreatmentLabel": "A", "Name": "religiosity-happiness-country-high-gdp-countries-A", "StratumSuccesses": 750, "StratumCases": 1000, "StratumSuccessRate": 0.75, "StratumSuccessesA": 750, "StratumCasesA": 1000, "StratumRateA": 0.75, "StratumSuccessesB": 780, "StratumCasesB": 1000, "StratumRateB": 0.78, "StratumWinner": "B", "StudyTotalCases": 4000, "StratumTotalCases": 2000, "StratumFraction": 0.5, "WeightedStratumRate": 0.375, "TreatmentACasesHere": 1000, "TreatmentBCasesHere": 1000, "TreatmentATotalCases": 2000, "TreatmentBTotalCases": 2000, "AllocationFractionA": 0.5, "AllocationFractionB": 0.5, "AllocationBias": 0.0, "StratumGap": -0.03, "WeightedStratumGap": -0.015 },
      { "StratumSummaryId": "religiosity-happiness-country-high-gdp-countries-B", "Study": "religiosity-happiness-country", "StratumLabel": "high-gdp-countries", "TreatmentLabel": "B", "Name": "religiosity-happiness-country-high-gdp-countries-B", "StratumSuccesses": 780, "StratumCases": 1000, "StratumSuccessRate": 0.78, "StratumSuccessesA": 750, "StratumCasesA": 1000, "StratumRateA": 0.75, "StratumSuccessesB": 780, "StratumCasesB": 1000, "StratumRateB": 0.78, "StratumWinner": "B", "StudyTotalCases": 4000, "StratumTotalCases": 2000, "StratumFraction": 0.5, "WeightedStratumRate": 0.39, "TreatmentACasesHere": 1000, "TreatmentBCasesHere": 1000, "TreatmentATotalCases": 2000, "TreatmentBTotalCases": 2000, "AllocationFractionA": 0.5, "AllocationFractionB": 0.5, "AllocationBias": 0.0, "StratumGap": -0.03, "WeightedStratumGap": -0.015 },
      { "StratumSummaryId": "religiosity-happiness-country-lower-gdp-countries-A", "Study": "religiosity-happiness-country", "StratumLabel": "lower-gdp-countries", "TreatmentLabel": "A", "Name": "religiosity-happiness-country-lower-gdp-countries-A", "StratumSuccesses": 620, "StratumCases": 1000, "StratumSuccessRate": 0.62, "StratumSuccessesA": 620, "StratumCasesA": 1000, "StratumRateA": 0.62, "StratumSuccessesB": 580, "StratumCasesB": 1000, "StratumRateB": 0.58, "StratumWinner": "A", "StudyTotalCases": 4000, "StratumTotalCases": 2000, "StratumFraction": 0.5, "WeightedStratumRate": 0.31, "TreatmentACasesHere": 1000, "TreatmentBCasesHere": 1000, "TreatmentATotalCases": 2000, "TreatmentBTotalCases": 2000, "AllocationFractionA": 0.5, "AllocationFractionB": 0.5, "AllocationBias": 0.0, "StratumGap": 0.04, "WeightedStratumGap": 0.02 },
      { "StratumSummaryId": "religiosity-happiness-country-lower-gdp-countries-B", "Study": "religiosity-happiness-country", "StratumLabel": "lower-gdp-countries", "TreatmentLabel": "B", "Name": "religiosity-happiness-country-lower-gdp-countries-B", "StratumSuccesses": 580, "StratumCases": 1000, "StratumSuccessRate": 0.58, "StratumSuccessesA": 620, "StratumCasesA": 1000, "StratumRateA": 0.62, "StratumSuccessesB": 580, "StratumCasesB": 1000, "StratumRateB": 0.58, "StratumWinner": "A", "StudyTotalCases": 4000, "StratumTotalCases": 2000, "StratumFraction": 0.5, "W</t>
  </si>
  <si>
    <t xml:space="preserve">eightedStratumRate": 0.29, "TreatmentACasesHere": 1000, "TreatmentBCasesHere": 1000, "TreatmentATotalCases": 2000, "TreatmentBTotalCases": 2000, "AllocationFractionA": 0.5, "AllocationFractionB": 0.5, "AllocationBias": 0.0, "StratumGap": 0.04, "WeightedStratumGap": 0.02 },
      { "StratumSummaryId": "voter-turnout-education-state-high-education-states-A", "Study": "voter-turnout-education-state", "StratumLabel": "high-education-states", "TreatmentLabel": "A", "Name": "voter-turnout-education-state-high-education-states-A", "StratumSuccesses": 780, "StratumCases": 1000, "StratumSuccessRate": 0.78, "StratumSuccessesA": 780, "StratumCasesA": 1000, "StratumRateA": 0.78, "StratumSuccessesB": 520, "StratumCasesB": 1000, "StratumRateB": 0.52, "StratumWinner": "A", "StudyTotalCases": 4000, "StratumTotalCases": 2000, "StratumFraction": 0.5, "WeightedStratumRate": 0.39, "TreatmentACasesHere": 1000, "TreatmentBCasesHere": 1000, "TreatmentATotalCases": 2000, "TreatmentBTotalCases": 2000, "AllocationFractionA": 0.5, "AllocationFractionB": 0.5, "AllocationBias": 0.0, "StratumGap": 0.26, "WeightedStratumGap": 0.13 },
      { "StratumSummaryId": "voter-turnout-education-state-high-education-states-B", "Study": "voter-turnout-education-state", "StratumLabel": "high-education-states", "TreatmentLabel": "B", "Name": "voter-turnout-education-state-high-education-states-B", "StratumSuccesses": 520, "StratumCases": 1000, "StratumSuccessRate": 0.52, "StratumSuccessesA": 780, "StratumCasesA": 1000, "StratumRateA": 0.78, "StratumSuccessesB": 520, "StratumCasesB": 1000, "StratumRateB": 0.52, "StratumWinner": "A", "StudyTotalCases": 4000, "StratumTotalCases": 2000, "StratumFraction": 0.5, "WeightedStratumRate": 0.26, "TreatmentACasesHere": 1000, "TreatmentBCasesHere": 1000, "TreatmentATotalCases": 2000, "TreatmentBTotalCases": 2000, "AllocationFractionA": 0.5, "AllocationFractionB": 0.5, "AllocationBias": 0.0, "StratumGap": 0.26, "WeightedStratumGap": 0.13 },
      { "StratumSummaryId": "voter-turnout-education-state-lower-education-states-A", "Study": "voter-turnout-education-state", "StratumLabel": "lower-education-states", "TreatmentLabel": "A", "Name": "voter-turnout-education-state-lower-education-states-A", "StratumSuccesses": 650, "StratumCases": 1000, "StratumSuccessRate": 0.65, "StratumSuccessesA": 650, "StratumCasesA": 1000, "StratumRateA": 0.65, "StratumSuccessesB": 480, "StratumCasesB": 1000, "StratumRateB": 0.48, "StratumWinner": "A", "StudyTotalCases": 4000, "StratumTotalCases": 2000, "StratumFraction": 0.5, "WeightedStratumRate": 0.325, "TreatmentACasesHere": 1000, "TreatmentBCasesHere": 1000, "TreatmentATotalCases": 2000, "TreatmentBTotalCases": 2000, "AllocationFractionA": 0.5, "AllocationFractionB": 0.5, "AllocationBias": 0.0, "StratumGap": 0.17, "WeightedStratumGap": 0.085 },
      { "StratumSummaryId": "voter-turnout-education-state-lower-education-states-B", "Study": "voter-turnout-education-state", "StratumLabel": "lower-education-states", "TreatmentLabel": "B", "Name": "voter-turnout-education-state-lower-education-states-B", "StratumSuccesses": 480, "StratumCases": 1000, "StratumSuccessRate": 0.48, "StratumSuccessesA": 650, "StratumCasesA": 1000, "StratumRateA": 0.65, "StratumSuccessesB": 480, "StratumCasesB": 1000, "StratumRateB": 0.48, "StratumWinner": "A", "StudyTotalCases": 4000, "StratumTotalCases": 2000, "StratumFraction": 0.5, "WeightedStratumRate": 0.24, "TreatmentACasesHere": 1000, "TreatmentBCasesHere": 1000, "TreatmentATotalCases": 2000, "TreatmentBTotalCases": 2000, "AllocationFractionA": 0.5, "AllocationFractionB": 0.5, "AllocationBias": 0.0, "StratumGap": 0.17, "WeightedStratumGap": 0.085 },
      { "StratumSummaryId": "ad-ctr-platform-mix-mobile-traffic-A", "Study": "ad-ctr-platform-mix", "StratumLabel": "mobile-traffic", "TreatmentLabel": "A", "Name": "ad-ctr-platform-mix-mobile-traffic-A", "StratumSuccesses": 80, "StratumCases": 1000, "StratumSuccessRate": 0.08, "StratumSuccessesA": 80, "StratumCasesA": 1000, "StratumRateA": 0.08, "StratumSuccessesB": 75, "StratumCasesB": 1000, "StratumRateB": 0.075, "StratumWinner": "A", "StudyTotalCases": 4000, "StratumTotalCases": 2000, "StratumFraction": 0.5, "WeightedStratumRate": 0.04, "TreatmentACasesHere": 1000, "TreatmentBCasesHere": 1000, "TreatmentATotalCases": 2000, "TreatmentBTotalCases": 2000, "AllocationFractionA": 0.5, "AllocationFractionB": 0.5, "AllocationBias": 0.0, "StratumGap": 0.005, "WeightedStratumGap": 0.0025 },
      { "StratumSummaryId": "ad-ctr-platform-mix-mobile-traffic-B", "Study": "ad-ctr-platform-mix", "StratumLabel": "mobile-traffic", "TreatmentLabel": "B", "Name": "ad-ctr-platform-mix-mobile-traffic-B", "StratumSuccesses": 75, "StratumCases": 1000, "StratumSuccessRate": 0.075, "StratumSuccessesA": 80, "StratumCasesA": 1000, "StratumRateA": 0.08, "StratumSuccessesB": 75, "StratumCasesB": 1000, "StratumRateB": 0.075, "StratumWinner": "A", "StudyTotalCases": 4000, "StratumTotalCases": 2000, "StratumFraction": 0.5, "WeightedStratumRate": 0.0375, "TreatmentACasesHere": 1000, "TreatmentBCasesHere": 1000, "TreatmentATotalCases": 2000, "TreatmentBTotalCases": 2000, "AllocationFractionA": 0.5, "AllocationFractionB": 0.5, "AllocationBias": 0.0, "StratumGap": 0.005, "WeightedStratumGap": 0.0025 },
      { "StratumSummaryId": "ad-ctr-platform-mix-desktop-traffic-A", "Study": "ad-ctr-platform-mix", "StratumLabel": "desktop-traffic", "TreatmentLabel": "A", "Name": "ad-ctr-platform-mix-desktop-traffic-A", "StratumSuccesses": 45, "StratumCases": 1000, "StratumSuccessRate": 0.045, "StratumSuccessesA": 45, "StratumCasesA": 1000, "StratumRateA": 0.045, "StratumSuccessesB": 50, "StratumCasesB": 1000, "StratumRateB": 0.05, "StratumWinner": "B", "StudyTotalCases": 4000, "StratumTotalCases": 2000, "StratumFraction": 0.5, "WeightedStratumRate": 0.0225, "TreatmentACasesHere": 1000, "TreatmentBCasesHere": 1000, "TreatmentATotalCases": 2000, "TreatmentBTotalCases": 2000, "AllocationFractionA": 0.5, "AllocationFractionB": 0.5, "AllocationBias": 0.0, "StratumGap": -0.005, "WeightedStratumGap": -0.0025 },
      { "StratumSummaryId": "ad-ctr-platform-mix-desktop-traffic-B", "Study": "ad-ctr-platform-mix", "StratumLabel": "desktop-traffic", "TreatmentLabel": "B", "Name": "ad-ctr-platform-mix-desktop-traffic-B", "StratumSuccesses": 50, "StratumCases": 1000, "StratumSuccessRate": 0.05, "StratumSuccessesA": 45, "StratumCasesA": 1000, "StratumRateA": 0.045, "StratumSuccessesB": 50, "StratumCasesB": 1000, "StratumRateB": 0.05, "StratumWinner": "B", "StudyTotalCases": 4000, "StratumTotalCases": 2000, "StratumFraction": 0.5, "WeightedStratumRate": 0.025, "TreatmentACasesHere": 1000, "TreatmentBCasesHere": 1000, "TreatmentATotalCases": 2000, "TreatmentBTotalCases": 2000, "AllocationFractionA": 0.5, "AllocationFractionB": 0.5, "AllocationBias": 0.0, "StratumGap": -0.005, "WeightedStratumGap": -0.0025 }
    ]
  },
  "ModelSummary": {
    "Description": "Table: ModelSummary — one row describing the epistemic coverage of this entire model instance. Aggregates across all TreatmentRankings to witness how many studies were examined, how many showed a full reversal, how many were explained, and the average paradox strength. The model holds a mirror to itself.",
    "schema": [
      {
        "name": "ModelSummaryId",
        "datatype": "string",
        "type": "raw",
        "nullable": false,
        "Description": "Unique identifier for this model instance."
      },
      {
        "name": "Name",
        "datatype": "string",
        "type": "calculated",
        "nullable": false,
        "Description": "Display label.",
        "formula": "={{ModelSummaryId}}"
      },
      {
        "name": "ReversalCount",
        "datatype": "integer",
        "type": "aggregation",
        "nullable": true,
        "Description": "Number of studies with IsReversal=TRUE (sign-flip / allocation-driven reversal).",
        "formula": "=COUNTIFS(TreatmentRankings!{{IsReversal}}, TRUE())"
      },
      {
        "name": "NonReversalCount",
        "datatype": "integer",
        "type": "aggregation",
        "nullable": true,
        "Description": "Number of studies with IsReversal=FALSE.",
        "formula": "=COUNTIFS(TreatmentRankings!{{IsReversal}}, FALSE())"
      },
      {
        "name": "StudyCount",
        "datatype": "integer",
        "type": "calculated",
        "nullable": true,
        "Description": "Total number of TreatmentRankings in this model: ReversalCount + NonReversalCount.",
        "formula": "={{ReversalCount}} + {{NonReversalCount}}"
      },
      {
        "name": "ExplainedCount",
        "datatype": "integer",
        "type": "aggregation",
        "nullable": true,
        "Description": "Number of studies with IsParadoxExplained=TRUE (reversal AND confirmed confounder).",
        "formula": "=COUNTIFS(TreatmentRankings!{{IsParadoxExplained}}, TRUE())"
      },
      {
        "name": "TotalParadoxStrength",
        "datatype": "number",
        "type": "aggregation",
        "nullable": true,
        "Description": "Sum of ParadoxStrength across all studies. Used to compute average.",
        "formula": "=SUMIFS(TreatmentRankings!{{ParadoxStrength}}, TreatmentRankings!{{TreatmentA}}, \"A\")"
      },
      {
        "name": "AvgParadoxStrength",
        "datatype": "number",
        "type": "calculated",
        "nullable": true,
        "Description": "Average ParadoxStrength across all studies: TotalParadoxStrength / StudyCount. A scalar summary of how paradox-rich this dataset is.",
        "formula": "=IF({{StudyCount}} = 0, \"\", {{TotalParadoxStrength}} / {{StudyCount}})"
      },
      {
        "name": "TypeACount",
        "datatype": "integer",
        "type": "aggregation",
        "nullable": true,
        "Description": "Studies classified as Type-A: sign flip AND full reversal (ReversalIntensity=1). The canonical Simpson's Paradox — allocation distortion reverses the pooled winner.",
        "formula": "=COUNTIFS(TreatmentRankings!{{DistortionType}}, \"A\")"
      },
      {
        "name": "TypeBCount",
        "datatype": "integer",
        "type": "aggregation",
        "nullable": true,
        "Description": "Studies classified as Type-B: sign flip but partial reversal (ReversalIntensity&lt;1). Allocation distortion creates a sign flip but the pooled signal partially reflects per-stratum reality.",
        "formula": "=COUNTIFS(TreatmentRankings!{{DistortionType}}, \"B\")"
      },
      {
        "name": "TypeDCount",
        "datatype": "integer",
        "type": "aggregation",
        "nullable": true,
        "Description": "Studies classified as Type-D: no sign flip, negligible distortion. Pooled analysis is trustworthy — allocation is sufficiently balanced.",
        "formula": "=COUNTIFS(TreatmentRankings!{{DistortionType}}, \"D\")"
      },
      {
        "name": "TypeAFraction",
        "datatype": "number",
        "type": "calculated",
        "nullable": true,
        "Description": "Fraction of studies that are Type-A (full canonical reversals). TypeACount / StudyCount.",
        "formula": "=IF({{StudyCount}} = 0, \"\", {{TypeACount}} / {{StudyCount}})"
      },
      {
        "name": "DistortionTaxonomyCoverage",
        "datatype": "string",
        "type": "calculated",
        "nullable": true,
        "Description": "Human-readable summary of the four-type distribution: e.g. 'A:2 B:1 C:1 D:0'. The model's self-portrait of its own distortion geometry.",
        "formula": "=CONCAT(\"A:\", {{TypeACount}}, \" B:\", {{TypeBCount}}, \" C+:\", {{CAmplificationCount}}, \" C-:\", {{CCompressionCount}}, \" D:\", {{TypeDCount}})"
      },
      {
        "name": "DistortionOnlyCount",
        "datatype": "integer",
        "type": "calculated",
        "nullable": true,
        "Description": "Number of studies with real allocation distortion but no sign flip: TypeCCount. The pooled winner is correct but the effect size is biased. Distinct from ZeroStrengthCount, which conflates Type-C (real distortion) with Type-D (neutral).",
        "formula": "={{CAmplificationCount}} + {{CCompressionCount}}"
      },
      {
        "name": "CAmplificationCount",
        "datatype": "integer",
        "type": "aggregation",
        "nullable": true,
        "Description": "Number of studies classified as type C+ (allocation-amplified): pooled winner is correct but pooled gap overstates true advantage. Causes researcher overconfidence — may accept higher cost/risk than true effect warrants.",
        "formula": "=COUNTIFS(TreatmentRankings!{{DistortionType}}, \"C+\")"
      },
      {
        "name": "CCompressionCount",
        "datatype": "integer",
        "type": "aggregation",
        "nullable": true,
        "Description": "Number of studies classified as type C- (allocation-compressed): pooled winner is correct but pooled gap understates true advantage. Causes researcher underconfidence — effective treatment may be prematurely abandoned.",
        "formula": "=COUNTIFS(TreatmentRankings!{{DistortionType}}, \"C-\")"
      },
      {
        "name": "AvgSignalPurity",
        "datatype": "number",
        "type": "aggregation",
        "nullable": true,
        "Description": "Average SignalPurity across all TreatmentRankings. Below 0.5 means allocation noise exceeds true signal on average — the corpus is predominantly misleading at the pooled level. Above 0.5 means the corpus is predominantly trustworthy.",
        "formula": "=SUMIFS(TreatmentRankings!{{SignalPurity}}, TreatmentRankings!{{Study}}, \"&lt;&gt;\") / COUNTIFS(TreatmentRankings!{{Study}}, \"&lt;&gt;\")"
      },
      {
        "name": "SweepCorrectedGapMax",
        "datatype": "number",
        "type": "aggregation",
        "nullable": true,
        "Description": "Maximum SweepCorrectedGap across all AllocationSweep rows. Should equal SweepCorrectedGapMin — the invariant.",
        "formula": "=MAXIFS(AllocationSweep!{{SweepCorrectedGap}}, AllocationSweep!{{StudyId}}, \"kidney-1986\")"
      },
      {
        "name": "SweepCorrectedGapMin",
        "datatype": "number",
        "type": "aggregation",
        "nullable": true,
        "Description": "Minimum SweepCorrectedGap across all AllocationSweep rows. Should equal SweepCorrectedGapMax — the invariant.",
        "formula": "=MINIFS(AllocationSweep!{{SweepCorrectedGap}}, AllocationSweep!{{StudyId}}, \"kidney-1986\")"
      },
      {
        "name": "SweepCorrectedGapRange",
        "datatype": "number",
        "type": "calculated",
        "nullable": true,
        "Description": "SweepCorrectedGapMax − SweepCorrectedGapMin. The allocation-invariance witness: this should be zero (up to floating-point rounding). If nonzero, the corrected gap is not allocation-free.",
        "formula": "=IF({{SweepCorrectedGapMax}} = \"\", \"\", {{SweepCorrectedGapMax}} - {{SweepCorrectedGapMin}})"
      },
      {
        "name": "SweepPooledGapRange",
        "datatype": "number",
        "type": "aggregation",
        "nullable": true,
        "Description": "MAX(SweepPooledGap) − MIN(SweepPooledGap) across all AllocationSweep rows. Expected to be large (≈0.21) — the pooled gap wanders as allocation shifts.",
        "formula": "=MAXIFS(AllocationSweep!{{SweepPooledGap}}, AllocationSweep!{{StudyId}}, \"kidney-1986\") - MINIFS(AllocationSweep!{{SweepPooledGap}}, AllocationSweep!{{StudyId}}, \"kidney-1986\")"
      },
      {
        "name": "RealStudyCount",
        "formula": "=COUNTIFS(Studies!{{IsSynthetic}}, FALSE())",
        "type": "raw",
        "Description": "Number of real (non-synthetic) published studies in the corpus.",
        "nullable": true
      },
      {
        "name": "AvgSignalPurityReversal",
        "formula": "=SUMIFS(TreatmentRankings!{{SignalPurity}}, TreatmentRankings!{{AllocationDirection}}, \"reversal\") / COUNTIFS(TreatmentRankings!{{AllocationDirection}}, \"reversal\")",
        "type": "raw",
        "Description": "Average SignalPurity across reversal studies (type A and B). Theorem predicts this must be &lt; 0.5.",
        "nullable": true
      },
      {
        "name": "AvgSignalPurityNonReversal",
        "formula": "=SUMIFS(TreatmentRankings!{{SignalPurity}}, TreatmentRankings!{{AllocationDirection}}, \"&lt;&gt;reversal\") / COUNTIFS(TreatmentRankings!{{AllocationDirection}}, \"&lt;&gt;reversal\")",
        "type": "raw",
        "Description": "Average SignalPurity across non-reversal studies (type C+, C-, D). Theorem predicts this must be &gt;= 0.5 except edge cases.",
        "nullable": true
      },
      {
        "name": "SignalPurityGap",
        "formula": "={{AvgSignalPurityNonReversal}} - {{AvgSignalPurityReversal}}",
        "type": "raw",
        "Description": "Separation between reversal and non-reversal average SignalPurity. The larger this gap, the more discriminating the threshold at 0.5.",
        "nullable": true
      },
      {
        "name": "MedicineStudyCount",
        "formula": "=COUNTIFS(Studies!{{Domain}}, \"medicine\", Studies!{{IsSynthetic}}, FALSE())",
        "type": "raw",
        "Description": "Real published studies in the medicine domain.",
        "nullable": true
      },
      {
        "name": "EpidemiologyStudyCount",
        "formula": "=COUNTIFS(Studies!{{Domain}}, \"epidemiology\", Studies!{{IsSynthetic}}, FALSE())",
        "type": "raw",
        "Description": "Real published studies in the epidemiology domain.",
        "nullable": true
      },
      {
        "name": "OtherDomainStudyCount",
        "formula": "={{RealStudyCount}} - {{MedicineStudyCount}} - {{EpidemiologyStudyCount}}",
        "type": "raw",
        "Description": "Real published studies outside medicine and epidemiology (sports, legal, education, social-science).",
        "nullable": true
      },
      {
        "name": "DomainDiversityNote",
        "formula": "=CONCAT(\"medicine:\", {{MedicineStudyCount}}, \" epidemiology:\", {{EpidemiologyStudyCount}}, \" other:\", {{OtherDomainStudyCount}})",
        "type": "raw",
        "Description": "Human-readable domain breakdown. Witnesses corpus diversity — a prerequisite for cross-domain SignalPurity claims.",
        "nullable": true
      },
      {
        "name": "SyntheticPhaseCount",
        "datatype": "integer",
        "type": "raw",
        "nullable": true,
        "Description": "Number of parameter grid points in SyntheticPhase. Refreshed from vw_phase_diagram_summary by 05b-customize-data.sql."
      },
      {
        "name": "PhaseDiagramComplete",
        "datatype": "boolean",
        "type": "raw",
        "nullable": true,
        "Description": "TRUE when all five DistortionType cells are populated in the synthetic phase grid. Refreshed from vw_phase_diagram_summary by 05b."
      },
      {
        "name": "PhaseTaxonomyCoverage",
        "datatype": "string",
        "type": "raw",
        "nullable": true,
        "Description": "Type counts across the synthetic phase grid. Refreshed from vw_phase_diagram_summary by 05b."
      },
      {
        "name": "IngestionProtocolItemCount",
        "datatype": "integer",
        "type": "aggregation",
        "nullable": true,
        "Description": "Number of rows in IngestionProtocol — the documented contract items.",
        "formula": "=COUNTIFS(IngestionProtocol!{{ProtocolId}}, \"&lt;&gt;\")"
      },
      {
        "name": "CorpusPassesIngestionContract",
        "datatype": "boolean",
        "type": "lookup",
        "nullable": true,
        "Description": "Lookup: IngestionSummary.IngestionContractPasses.",
        "formula": "=LOOKUP(\"ingestion-v1\", IngestionSummary[IngestionSummaryId], IngestionSummary[IngestionContractPasses])"
      },
      {
        "name": "IngestionWitnessNote",
        "datatype": "string",
        "type": "lookup",
        "nullable": true,
        "Description": "Human-readable ingestion contract witness from IngestionSummary.",
        "formula": "=LOOKUP(\"ingestion-v1\", IngestionSummary[IngestionSummaryId], IngestionSummary[IngestionWitnessNote])"
      },
      {
        "name": "CatalogEntryCount",
        "datatype": "integer",
        "type": "lookup",
        "nullable": true,
        "Description": "Total catalog rows.",
        "formula": "=LOOKUP(\"catalog-v1\", CorpusCatalogSummary[CatalogSummaryId], CorpusCatalogSummary[TotalCatalogEntries])"
      },
      {
        "name": "PendingImportCount",
        "datatype": "integer",
        "type": "lookup",
        "nullable": true,
        "Description": "Candidate studies queued.",
        "formula": "=LOOKUP(\"catalog-v1\", CorpusCatalogSummary[CatalogSummaryId], CorpusCatalogSummary[CandidateCount])"
      },
      {
        "name": "ReadyToEncodeCount",
        "datatype": "integer",
        "type": "lookup",
        "nullable": true,
        "Description": "Encode-ready candidates.",
        "formula": "=LOOKUP(\"catalog-v1\", CorpusCatalogSummary[CatalogSummaryId], CorpusCatalogSummary[ReadyToEncodeCount])"
      },
      {
        "name": "ImportSessionReady",
        "datatype": "boolean",
        "type": "lookup",
        "nullable": true,
        "Description": "Bulk import session readiness flag.",
        "formula": "=LOOKUP(\"catalog-v1\", CorpusCatalogSummary[CatalogSummaryId], CorpusCatalogSummary[ImportSessionReady])"
      },
      {
        "name": "CatalogWitnessNote",
        "datatype": "string",
        "type": "lookup",
        "nullable": true,
        "Description": "Import backlog witness string.",
        "formula": "=LOOKUP(\"catalog-v1\", CorpusCatalogSummary[CatalogSummaryId], CorpusCatalogSummary[CatalogWitnessNote])"
      },
      {
        "name": "LatentTypeDCount",
        "datatype": "number",
        "type": "calculated",
        "nullable": true,
        "Description": "Type-D studies with LatentFlipPotential=TRUE.",
        "formula": "=COUNTIFS(TreatmentRankings!{{LatentFlipPotential}}, TRUE())"
      },
      {
        "name": "StableTypeDCount",
        "datatype": "number",
        "type": "calculated",
        "nullable": true,
        "Description": "Type-D studies without latent flip potential (allocation-stable at observed and counterfactual sweep).",
        "formula": "=COUNTIFS(TreatmentRankings!{{DistortionType}}, \"D\", TreatmentRankings!{{LatentFlipPotential}}, FALSE())"
      },
      {
        "name": "LatentTypeDFraction",
        "datatype": "number",
        "type": "calculated",
        "nullable": true,
        "Description": "Fraction of Type-D studies with latent flip potential.",
        "formula": "=IF({{TypeDCount}} = 0, \"\", {{LatentTypeDCount}} / {{TypeDCount}})"
      },
      {
        "name": "CrossZeroCount",
        "datatype": "number",
        "type": "calculated",
        "nullable": true,
        "Description": "Studies whose pooled gap crosses zero under allocation sweep.",
        "formula": "=COUNTIFS(TreatmentRankings!{{PooledGapCrossesZero}}, TRUE())"
      },
      {
        "name": "SignFlipSignalPurityMax",
        "datatype": "number",
        "type": "calculated",
        "nullable": true,
        "Description": "Maximum SignalPurity among sign-flip studies. Must stay below 0.5 for the signal-purity theorem.",
        "formula": "=MAXIFS(TreatmentRankings!{{SignalPurity}}, TreatmentRankings!{{IsSignFlip}}, TRUE())"
      },
      {
        "name": "EconomicsSignFlipCount",
        "datatype": "number",
        "type": "calculated",
        "nullable": true,
        "Description": "Sign-flip count in economics domain.",
        "formula": "=COUNTIFS(TreatmentRankings!{{StudyDomain}}, \"economics\", TreatmentRankings!{{IsSignFlip}}, TRUE())"
      },
      {
        "name": "AvgPooledGapLatentD",
        "datatype": "number",
        "type": "calculated",
        "nullable": true,
        "Description": "Average PooledGap among Type-D studies with latent flip potential.",
        "formula": "=IF({{LatentTypeDCount}} = 0, \"\", AVERAGEIFS(TreatmentRankings!{{PooledGap}}, TreatmentRankings!{{LatentFlipPotential}}, TRUE()))"
      },
      {
        "name": "AvgPooledGapStableD",
        "datatype": "number",
        "type": "calculated",
        "nullable": true,
        "Description": "Average PooledGap among allocation-stable Type-D studies.",
        "formula": "=IF({{StableTypeDCount}} = 0, \"\", AVERAGEIFS(TreatmentRankings!{{PooledGap}}, TreatmentRankings!{{DistortionType}}, \"D\", TreatmentRankings!{{LatentFlipPotential}}, FALSE()))"
      },
      {
        "name": "EpidemiologyAvgDistortion",
        "datatype": "number",
        "type": "calculated",
        "nullable": true,
        "Description": "Mean AllocationDistortion in epidemiology studies.",
        "formula": "=AVERAGEIFS(TreatmentRankings!{{AllocationDistortion}}, TreatmentRankings!{{StudyDomain}}, \"epidemiology\")"
      },
      {
        "name": "EducationAvgDistortion",
        "datatype": "number",
        "type": "calculated",
        "nullable": true,
        "Description": "Mean AllocationDistortion in education studies.",
        "formula": "=AVERAGEIFS(TreatmentRankings!{{AllocationDistortion}}, TreatmentRankings!{{StudyDomain}}, \"education\")"
      },
      {
        "name": "DiscoveryWitnessNote",
        "datatype": "string",
        "type": "calculated",
        "nullable": true,
        "Description": "One-line summary of loop-61 empirical discovery findings.",
        "formula": "=CONCAT(\"LatentTypeD=\", {{LatentTypeDCount}}, \"/\", {{TypeDCount}}, \"; SignFlipMaxPurity=\", {{SignFlipSignalPurityMax}}, \"; stableD=\", {{AvgPooledGapStableD}}, \" latentD=\", {{AvgPooledGapLatentD}})"
      }
    ],
    "data": [
      { "ModelSummaryId": "simpsons-paradox-v1", "Name": "simpsons-paradox-v1", "ReversalCount": 18, "NonReversalCount": 78, "StudyCount": 96, "ExplainedCount": 15, "TotalParadoxStrength": 1.5032474460116838, "AvgParadoxStrength": 0.015658827562621706, "TypeACount": 7, "TypeBCount": 11, "TypeDCount": 64, "TypeAFraction": 0.07291666666666667, "DistortionTaxonomyCoverage": "A:7 B:11 C+:8 C-:6 D:64", "DistortionOnlyCount": 14 }
    ]
  },
  "StratumVariables": {
    "Description": "Table: StratumVariables — one row per study, naming the variable that defines the strata and describing its causal role. A confounder affects both treatment assignment AND outcome; a mediator is downstream of treatment; a contested variable is one where the causal role is disputed. IsConfounder is derived from these two boolean flags.",
    "schema": [
      {
        "name": "StratumVariableId",
        "datatype": "string",
        "type": "raw",
        "nullable": false,
        "Description": "Unique slug (e.g. kidney-1986-stone-size)."
      },
      {
        "name": "Name",
        "datatype": "string",
        "type": "calculated",
        "nullable": false,
        "Description": "Display label.",
        "formula": "={{StratumVariableId}}"
      },
      {
        "name": "Study",
        "datatype": "string",
        "type": "relationship",
        "nullable": false,
        "Description": "FK to the parent Study.",
        "RelatedTo": "Studies"
      },
      {
        "name": "VariableName",
        "datatype": "string",
        "type": "raw",
        "nullable": false,
        "Description": "The name of the stratifying variable (e.g. stone_size, department, age_group)."
      },
      {
        "name": "CausalRole",
        "datatype": "string",
        "type": "raw",
        "nullable": false,
        "Description": "The variable's causal role: 'confounder' (affects both assignment and outcome), 'mediator' (downstream of treatment), 'contested' (causal role disputed), 'unknown'."
      },
      {
        "name": "AffectsTreatmentAssignment",
        "datatype": "boolean",
        "type": "raw",
        "nullable": false,
        "Description": "TRUE if this variable causally influences which treatment a patient receives. Required for confounding."
      },
      {
        "name": "AffectsOutcome",
        "datatype": "boolean",
        "type": "raw",
        "nullable": false,
        "Description": "TRUE if this variable causally influences the outcome independently of treatment. Required for confounding."
      },
      {
        "name": "IsConfounder",
        "datatype": "boolean",
        "type": "calculated",
        "nullable": false,
        "Description": "TRUE when AffectsTreatmentAssignment AND AffectsOutcome AND CausalRole = 'confounder'. A confounder is the classic driver of Simpson's Paradox.",
        "formula": "=AND({{AffectsTreatmentAssignment}}, {{AffectsOutcome}}, {{CausalRole}} = \"confounder\")"
      },
      {
        "name": "MechanismNote",
        "datatype": "string",
        "type": "raw",
        "nullable": true,
        "Description": "Plain-language description of how this variable creates the confounding: why it affects both assignment and outcome."
      },
      {
        "name": "ConditioningRisk",
        "datatype": "string",
        "type": "raw",
        "nullable": true,
        "Description": "The causal hazard posed by conditioning on this variable. Values: confounder (safe to condition — removes bias), mediator (conditioning blocks the causal path of interest — harmful), collider (conditioning opens a spurious backdoor — harmful), proxy (conditioning on a noisy proxy of the true confounder — risky), none (no conditioning risk identified). NULL means unclassified."
      }
    ],
    "data": [
      { "StratumVariableId": "kidney-1986-stone-size", "Study": "kidney-1986", "VariableName": "stone_size", "CausalRole": "confounder", "AffectsTreatmentAssignment": true, "AffectsOutcome": true, "MechanismNote": "Large kidney stones were preferentially assigned to Treatment A (the more aggressive procedure), while small stones more often received Treatment B. Independently, large stones have lower baseline cure rates regardless of treatment. This dual influence — on both assignment and on outcome — is what drives the pooled reversal.", "Name": "kidney-1986-stone-size", "IsConfounder": true, "ConditioningRisk": "confounder" },
      { "StratumVariableId": "berkeley-1973-department", "Study": "berkeley-1973", "VariableName": "department", "CausalRole": "contested", "AffectsTreatmentAssignment": true, "AffectsOutcome": true, "MechanismNote": "Department choice correlates with both gender (women applied disproportionately to competitive departments) and admission rate (competitive departments admit fewer applicants regardless of gender). However, department choice may itself be downstream of gender — if women systematically self-select into harder departments due to societal factors, then department is a mediator, not a confounder. The causal role is genuinely contested in the literature. IsConfounder=FALSE because CausalRole='contested', not because the flags are false.", "Name": "berkeley-1973-department", "IsConfounder": false, "ConditioningRisk": "confounder" },
      { "StratumVariableId": "kidney-balanced-stone-size", "Study": "kidney-balanced", "VariableName": "stone_size", "CausalRole": "confounder", "AffectsTreatmentAssignment": false, "AffectsOutcome": true, "MechanismNote": "In this counterfactual, stone size still affects outcome (hard cases have lower success rates) but does NOT affect treatment assignment — both treatments receive exactly 50% of their cases in each stratum. Because treatment assignment is now independent of stone size, no confounding occurs and AllocationBias=0 everywhere. IsConfounder=FALSE (AffectsTreatmentAssignment=false). The reversal is impossible by construction.", "Name": "kidney-balanced-stone-size", "IsConfounder": false, "ConditioningRisk": "confounder" },
      { "StratumVariableId": "balanced-synthetic-stratum", "Study": "balanced-synthetic", "VariableName": "stratum", "CausalRole": "unknown", "AffectsTreatmentAssignment": false, "AffectsOutcome": true, "MechanismNote": "The stratum variable affects outcome (easy vs hard conditions) but does NOT affect treatment assignment — each treatment receives exactly 50% of its cases in each stratum. Because treatment assignment is independent of stratum, no confounding can occur and the pooled rate must agree with every per-stratum comparison.", "Name": "balanced-synthetic-stratum", "IsConfounder": false, "ConditioningRisk": "none" },
      { "StratumVariableId": "compressed-synthetic-stratum", "Study": "compressed-synthetic", "VariableName": "difficulty", "CausalRole": "confounder", "AffectsTreatmentAssignment": true, "AffectsOutcome": true, "MechanismNote": "Case difficulty affects both which treatment patients receive (A is over-allocated to hard cases: 60% vs 40%) and the outcome (hard cases have lower success rates for both treatments). This IS confounding — but the confounding is not strong enough to fli</t>
  </si>
  <si>
    <t xml:space="preserve">p the pooled winner. A wins in every stratum and also wins pooled. The allocation compresses A's pooled advantage (from equal-weight 10pp down to actual 6pp) but does not erase it. This is type-C distortion: real confounding, partial distortion, no reversal.", "Name": "compressed-synthetic-stratum", "IsConfounder": true, "ConditioningRisk": "confounder" },
      { "StratumVariableId": "reintjes-2000-hospital-incidence", "Study": "reintjes-2000", "VariableName": "hospital_incidence_level", "CausalRole": "confounder", "AffectsTreatmentAssignment": true, "AffectsOutcome": true, "MechanismNote": "Hospital baseline UTI incidence affects both whether a patient received prophylaxis (high-incidence hospitals were more likely to forgo it, concentrating controls there) and the outcome (high-incidence hospitals have higher UTI rates regardless of treatment). Most prophylaxis patients are in low-incidence hospitals (1113/1279=87%), which depresses the aggregate prophylaxis UTI rate below the aggregate control rate — inverting the within-stratum finding.", "Name": "reintjes-2000-hospital-incidence", "IsConfounder": true, "ConditioningRisk": "confounder" },
      { "StratumVariableId": "radelet-1981-victim-race", "Study": "radelet-1981", "VariableName": "victim_race", "CausalRole": "confounder", "AffectsTreatmentAssignment": true, "AffectsOutcome": true, "MechanismNote": "Victim race affects both defendant race (cross-race homicides are rare — most black defendants killed black victims, most white defendants killed white victims) and sentencing outcome (white-victim cases receive the death penalty ~5× more often: ~17.7% vs ~3.3%). This is classic confounding. Black defendants are disproportionately concentrated in the black-victim stratum (low sentence rate), pulling their aggregate death penalty rate below white defendants' rate — even though black defendants are MORE likely to be sentenced to death within each victim-race stratum.", "Name": "radelet-1981-victim-race", "IsConfounder": true, "ConditioningRisk": "confounder" },
      { "StratumVariableId": "jeter-justice-1997-season", "Study": "jeter-justice-1997", "VariableName": "season_year", "CausalRole": "confounder", "AffectsTreatmentAssignment": true, "AffectsOutcome": true, "MechanismNote": "The season year affects both the player's at-bat count (treatment assignment proxy — Justice's heaviest season was 1995 when his average was lowest; Jeter's heaviest were 1996-97 when his average was higher) and the outcome (players hit differently in different years). Justice front-loaded his ABs into his worst year (411 of 1046 = 39% in 1995 at .253); Jeter back-loaded into his stronger years (1236 of 1284 = 96% in 1996-97 at .300-.314). This differential allocation of AB-weight across years flips the combined average despite Justice winning every year individually.", "Name": "jeter-justice-1997-season", "IsConfounder": true, "ConditioningRisk": "confounder" },
      { "StratumVariableId": "appleton-1996-age", "Study": "appleton-1996", "VariableName": "age_group_at_baseline", "CausalRole": "confounder", "AffectsTreatmentAssignment": true, "AffectsOutcome": true, "MechanismNote": "Age at baseline confounds both smoking status and 20-year mortality. Smoking affects age distribution in the cohort (survivorship bias: people who smoked heavily and were older had already died before the 1972-74 baseline survey, so the surviving smokers skew younger). Age strongly determines 20-year mortality regardless of smoking. The result: smokers are over-represented in low-mortality age strata (18-44), pulling the pooled smoker mortality rate below the true within-stratum risk. This is the textbook epidemiological confounding by age pattern, often called the \"healthy smoker\" fallacy in this particular dataset.", "Name": "appleton-1996-age", "IsConfounder": true, "ConditioningRisk": "confounder" },
      { "StratumVariableId": "phe-covid-2021-age", "Study": "phe-covid-2021", "VariableName": "age_group", "CausalRole": "confounder", "AffectsTreatmentAssignment": true, "AffectsOutcome": true, "MechanismNote": "Age group is a powerful confounder. It affects vaccine uptake (older people were prioritised and had much higher vaccination rates in the UK's 2021 rollout — 23% of vaccinated are 50+ vs only 2.3% of unvaccinated) and strongly determines COVID-19 mortality (50+ CFR is ~40× higher than under-50 CFR in this dataset regardless of vaccination). The vaccinated cohort is therefore loaded with high-risk patients, inflating the pooled vaccinated death rate to 0.41% vs 0.17% for unvaccinated — reversing the within-stratum relationship where vaccines reduce death rates by 3× to 4× in every age group.", "Name": "phe-covid-2021-age", "IsConfounder": true, "ConditioningRisk": "confounder" },
      { "StratumVariableId": "hannan-1994-patient-risk", "Study": "hannan-1994", "VariableName": "patient_risk_class", "CausalRole": "confounder", "AffectsTreatmentAssignment": true, "AffectsOutcome": true, "MechanismNote": "Patient risk class affects both hospital assignment (high-volume centers receive referrals of sicker patients — 70% of A caseload is high-risk vs only 20% at B) and surgical outcome (high-risk patients have dramatically higher operative mortality regardless of hospital volume). High-volume hospitals win in every risk stratum (15pp advantage in high-risk, 2pp in low-risk) and also win pooled — but their pooled survival advantage is compressed from 7.9pp (equal-weight stratum average) down to 2.8pp (actual pooled) because they carry so many harder cases. IsSignFlip=FALSE, AllocationDistortion≈0.05 — the geometry of type-C distortion: real confounding, partial distortion, no reversal.", "Name": "hannan-1994-patient-risk", "IsConfounder": true, "ConditioningRisk": "confounder" },
      { "StratumVariableId": "titanic-1912-sex", "Study": "titanic-1912", "VariableName": "passenger_sex", "CausalRole": "confounder", "AffectsTreatmentAssignment": true, "AffectsOutcome": true, "MechanismNote": "Passenger sex affects both cabin class (1st class had a higher fraction of women — 45% vs 26% in 3rd class, reflecting social travel patterns of the era) and survival outcome ('women and children first' evacuation protocol gave women dramatically higher survival rates regardless of class). The over-representation of women in 1st class inflates the pooled 1st-class survival advantage beyond the per-stratum (per-sex) average — the pooled gap (37.4pp) exceeds the equal-weight average (33.4pp). AllocationDistortion&gt;0, IsSignFlip=FALSE → type-C.", "Name": "titanic-1912-sex", "IsConfounder": true, "ConditioningRisk": "confounder" },
      { "StratumVariableId": "bwp-weight-class", "Study": "birth-weight-paradox", "VariableName": "birth_weight_category", "CausalRole": "mediator", "AffectsTreatmentAssignment": true, "AffectsOutcome": true, "MechanismNote": "Birth weight category is a mediator, not a classical confounder — it lies on the causal pathway from maternal smoking to infant mortality (smoking causes low birth weight, which causes elevated mortality). Conditioning on birth weight (stratifying) opens a collider path: among LBW infants, smoker babies are 'selected in' via a milder mechanism (growth restriction) while non-smoker LBW babies are more likely to have serious congenital causes. This creates the paradox: smokers appear to have better LBW survival not because smoking is protective, but because the comparison groups differ in unobserved severity. IsSignFlip=TRUE, RI=0.5 → type-B (partial reversal: smokers win LBW stratum, non-smokers win NBW, non-smokers win pooled).", "Name": "bwp-weight-class", "IsConfounder": false, "ConditioningRisk": "mediator" },
      { "StratumVariableId": "melanoma-sex", "Study": "melanoma-altman-1991", "VariableName": "patient_sex", "CausalRole": "confounder", "AffectsTreatmentAssignment": true, "AffectsOutcome": true, "MechanismNote": "Patient sex affects both tumor thickness at presentation (women self-examine and seek medical attention earlier — 70% of female melanomas are thin vs 40% of male melanomas) and survival outcome (beyond the thickness effect, female sex is an independent prognostic factor for melanoma). Women's concentration in the high-survival thin-tumor stratum inflates their pooled survival advantage from 7.9pp (equal-weight per-stratum average) to 18pp (actual pooled). IsSignFlip=FALSE, AllocationDistortion=0.094 → type-C inflation.", "Name": "melanoma-sex", "IsConfounder": true, "ConditioningRisk": "confounder" },
      { "StratumVariableId": "coffee-smoking", "Study": "coffee-tverdal-2020", "VariableName": "smoking_status", "CausalRole": "confounder", "AffectsTreatmentAssignment": false, "AffectsOutcome": true, "MechanismNote": "Smoking status affects CHD outcome (smokers have higher baseline CHD risk) but does NOT materially affect coffee consumption (equal allocation across strata in this study design). Because treatment assignment is effectively independent of the confounder, no allocation imbalance occurs and the pooled estimate agrees with the per-stratum estimates. AllocationDistortion≈0 → type-D: no Simpson distortion. This study is the clean null case — confounders that do not create allocation imbalance do not distort the pooled result.", "Name": "coffee-smoking", "IsConfounder": false, "ConditioningRisk": "confounder" },
      { "StratumVariableId": "sat-school-spending", "Study": "sat-wainer-1986", "VariableName": "state_school_spending", "CausalRole": "confounder", "AffectsTreatmentAssignment": true, "AffectsOutcome": true, "MechanismNote": "State school spending confounds the participation-rate / SAT-score comparison. High-spending states tend to have high participation (more students take the SAT, including weaker students), and high spending is independently associated with better educational outcomes. Within each spending stratum, high-participation states do better (or tie), because controlling for spending removes the quality signal. But in high-spending states, the small self-selected pool of test-takers from low-participation states outscores the broad pool from high-participation states — reversing the low-spending stratum winner. IsSignFlip=TRUE, RI=0.5 → type-B partial reversal.", "Name": "sat-school-spending", "IsConfounder": true, "ConditioningRisk": "proxy" },
      { "StratumVariableId": "rogers-nicewander-1988-position_group", "Study": "rogers-nicewander-1988", "VariableName": "position_group", "CausalRole": "confounder", "AffectsTreatmentAssignment": true, "AffectsOutcome": true, "MechanismNote": "Series stratum affects both at-bat allocation (Fairly had 36 AB combined vs Lefebvre 22) and batting average. Fairly wins each series individually but loses combined — classic type-A reversal via differential AB weighting.", "Name": "rogers-nicewander-1988-position_group", "IsConfounder": true, "ConditioningRisk": "confounder" },
      { "StratumVariableId": "lucente-baseball-1995-month_half", "Study": "lucente-baseball-1995", "VariableName": "month_half", "CausalRole": "confounder", "AffectsTreatmentAssignment": true, "AffectsOutcome": true, "MechanismNote": "First-half vs second-half season affects both at-bat volume and batting average. Player A front-loads ABs into weaker half, flipping combined ranking.", "Name": "lucente-baseball-1995-month_half", "IsConfounder": true, "ConditioningRisk": "confounder" },
      { "StratumVariableId": "wilson-batting-2000-inning_half", "Study": "wilson-batting-2000", "VariableName": "inning_half", "CausalRole": "confounder", "AffectsTreatmentAssignment": true, "AffectsOutcome": true, "MechanismNote": "Inning half confounds at-bat allocation and success rate; differential weighting across early vs late innings produces reversal.", "Name": "wilson-batting-2000-inning_half", "IsConfounder": true, "ConditioningRisk": "confounder" },
      { "StratumVariableId": "clemens-bly-1998-home_away", "Study": "clemens-bly-1998", "VariableName": "home_away", "CausalRole": "confounder", "AffectsTreatmentAssignment": true, "AffectsOutcome": true, "MechanismNote": "Home/away stratum affects both at-bat counts and batting success; Clemens-type allocation imbalance flips combined ranking.", "Name": "clemens-bly-1998-home_away", "IsConfounder": true, "ConditioningRisk": "confounder" },
      { "StratumVariableId": "open-university-1975-age_band", "Study": "open-university-1975", "VariableName": "age_band", "CausalRole": "confounder", "AffectsTreatmentAssignment": true, "AffectsOutcome": true, "MechanismNote": "Age band affects both gender composition (more females in younger high-pass cohorts) and pass rate. Males win in two strata; females win pooled — partial reversal pattern (type-B geometry).", "Name": "open-university-1975-age_band", "IsConfounder": true, "ConditioningRisk": "confounder" },
      { "StratumVariableId": "pisa-immigration-2015-country", "Study": "pisa-immigration-2015", "VariableName": "country", "CausalRole": "confounder", "AffectsTreatmentAssignment": true, "AffectsOutcome": true, "MechanismNote": "Country stratum confounds immigrant status and reading proficiency; self-selection into high-performing countries drives pooled reversal.", "Name": "pisa-immigration-2015-country", "IsConfounder": true, "ConditioningRisk": "confounder" },
      { "StratumVariableId": "wainer-sat-states-1992-region", "Study": "wainer-sat-states-1992", "VariableName": "region", "CausalRole": "confounder", "AffectsTreatmentAssignment": true, "AffectsOutcome": true, "MechanismNote": "Region confounds participation rate (treatment A=high participation, B=low) and SAT success; mirrors Wainer 1986 geometry with geographic strata.", "Name": "wainer-sat-states-1992-region", "IsConfounder": true, "ConditioningRisk": "confounder" },
      { "StratumVariableId": "folic-acid-neural-tube-1991-maternal_age", "Study": "folic-acid-neural-tube-1991", "VariableName": "maternal_age", "CausalRole": "confounder", "AffectsTreatmentAssignment": true, "AffectsOutcome": true, "MechanismNote": "Maternal age affects both folic acid uptake (younger mothers less supplement use) and NTD baseline risk; stratification reveals treatment benefit masked in aggregate.", "Name": "folic-acid-neural-tube-1991-maternal_age", "IsConfounder": true, "ConditioningRisk": "confounder" },
      { "StratumVariableId": "steroid-asthma-severity-disease_severity", "Study": "steroid-asthma-severity", "VariableName": "disease_severity", "CausalRole": "confounder", "AffectsTreatmentAssignment": true, "AffectsOutcome": true, "MechanismNote": "Disease severity confounds treatment assignment and asthma control outcome; pooled comparison inverts within-stratum steroid benefit.", "Name": "steroid-asthma-severity-disease_severity", "IsConfounder": true, "ConditioningRisk": "confounder" },
      { "StratumVariableId": "kidney-dialysis-facility-1990-case_mix", "Study": "kidney-dialysis-facility-1990", "VariableName": "case_mix", "CausalRole": "confounder", "AffectsTreatmentAssignment": true, "AffectsOutcome": true, "MechanismNote": "Case-mix severity affects facility referral and mortality; high-volume centers win in each stratum but pooled margin compressed (type-C-).", "Name": "kidney-dialysis-facility-1990-case_mix", "IsConfounder": true, "ConditioningRisk": "confounder" },
      { "StratumVariableId": "warfarin-bleeding-age-age_group", "Study": "warfarin-bleeding-age", "VariableName": "age_group", "CausalRole": "confounder", "AffectsTreatmentAssignment": true, "AffectsOutcome": true, "MechanismNote": "Age affects both warfarin initiation (older patients more likely treated) and bleeding risk; pooled comparison partially reverses within-stratum pattern.", "Name": "warfarin-bleeding-age-age_group", "IsConfounder": true, "ConditioningRisk": "confounder" },
      { "StratumVariableId": "diabetes-metformin-bmi-bmi_category", "Study": "diabetes-metformin-bmi", "VariableName": "bmi_category", "CausalRole": "confounder", "AffectsTreatmentAssignment": true, "AffectsOutcome": true, "MechanismNote": "BMI category drives both metformin prescribing and glycemic control; aggregate comparison reverses within-stratum metformin advantage.", "Name": "diabetes-metformin-bmi-bmi_category", "IsConfounder": true, "ConditioningRisk": "confounder" },
      { "StratumVariableId": "oncology-trial-stage-cancer_stage", "Study": "oncology-trial-stage", "VariableName": "cancer_stage", "CausalRole": "confounder", "AffectsTreatmentAssignment": true, "AffectsOutcome": true, "MechanismNote": "Cancer stage affects both chemotherapy regimen selection and response probability; pooled comparison inverts within-stratum regimen ranking.", "Name": "oncology-trial-stage-cancer_stage", "IsConfounder": true, "ConditioningRisk": "confounder" },
      { "StratumVariableId": "exercise-cholesterol-age-age_group", "Study": "exercise-cholesterol-age", "VariableName": "age_group", "CausalRole": "confounder", "AffectsTreatmentAssignment": true, "AffectsOutcome": true, "MechanismNote": "Age affects exercise participation and baseline cholesterol; younger exercisers dominate high-success stratum, flipping pooled comparison.", "Name": "exercise-cholesterol-age-age_group", "IsConfounder": true, "ConditioningRisk": "confounder" },
      { "StratumVariableId": "red-meat-colorectal-bmi-bmi_category", "Study": "red-meat-colorectal-bmi", "VariableName": "bmi_category", "CausalRole": "confounder", "AffectsTreatmentAssignment": true, "AffectsOutcome": true, "MechanismNote": "BMI affects red-meat consumption patterns and colorectal cancer risk; allocation distortion inflates pooled association without full sign flip (type-C+).", "Name": "red-meat-colorectal-bmi-bmi_category", "IsConfounder": true, "ConditioningRisk": "confounder" },
      { "StratumVariableId": "folic-fortification-2000-region", "Study": "folic-fortification-2000", "VariableName": "region", "CausalRole": "confounder", "AffectsTreatmentAssignment": true, "AffectsOutcome": true, "MechanismNote": "Regional fortification timing affects both folate exposure and baseline NTD surveillance intensity; regional strata reveal fortification benefit masked in aggregate.", "Name": "folic-fortification-2000-region", "IsConfounder": true, "ConditioningRisk": "confounder" },
      { "StratumVariableId": "north-carolina-death-penalty-1990-victim_race", "Study": "north-carolina-death-penalty-1990", "VariableName": "victim_race", "CausalRole": "confounder", "AffectsTreatmentAssignment": true, "AffectsOutcome": true, "MechanismNote": "Victim race affects defendant race distribution and death sentence probability; same confounding geometry as Radelet Florida — type-A reversal.", "Name": "north-carolina-death-penalty-1990-victim_race", "IsConfounder": true, "ConditioningRisk": "confounder" },
      { "StratumVariableId": "housing-discrimination-audit-neighborhood_income", "Study": "housing-discrimination-audit", "VariableName": "neighborhood_income", "CausalRole": "confounder", "AffectsTreatmentAssignment": true, "AffectsOutcome": true, "MechanismNote": "Neighborhood income affects both tester pairing location and callback rate; minority testers concentrated in low-income strata with lower callbacks, producing partial reversal.", "Name": "housing-discrimination-audit-neighborhood_income", "IsConfounder": true, "ConditioningRisk": "confounder" },
      { "StratumVariableId": "gender-pay-gap-industry-industry_sector", "Study": "gender-pay-gap-industry", "VariableName": "industry_sector", "CausalRole": "confounder", "AffectsTreatmentAssignment": true, "AffectsOutcome": true, "MechanismNote": "Industry sector confounds gender composition and wage level; women over-represented in lower-wage sectors, producing aggregate pay gap reversal within sectors.", "Name": "gender-pay-gap-industry-industry_sector", "IsConfounder": true, "ConditioningRisk": "confounder" },
      { "StratumVariableId": "income-education-state-state", "Study": "income-education-state", "VariableName": "state", "CausalRole": "confounder", "AffectsTreatmentAssignment": true, "AffectsOutcome": true, "MechanismNote": "State education level confounds college attainment and income; allocation distortion amplifies pooled gap (type-C+).", "Name": "income-education-state-state", "IsConfounder": true, "ConditioningRisk": "confounder" },
      { "StratumVariableId": "florida-reef-fish-1994-gear_type", "Study": "florida-reef-fish-1994", "VariableName": "gear_type", "CausalRole": "confounder", "AffectsTreatmentAssignment": true, "AffectsOutcome": true, "MechanismNote": "Gear type affects both fishing location/species target and catch success rate; pooled ranking reverses within-gear comparison.", "Name": "florida-reef-fish-1994-gear_type", "IsConfounder": true, "ConditioningRisk": "confounder" },
      { "StratumVariableId": "uc-irvine-admissions-1985-department", "Study": "uc-irvine-admissions-1985", "VariableName": "department", "CausalRole": "contested", "AffectsTreatmentAssignment": true, "AffectsOutcome": true, "MechanismNote": "Department choice correlates with gender and admission rate; same contested-confounder geometry as Berkeley 1973 — partial reversal expected.", "Name": "uc-irvine-admissions-1985-department", "IsConfounder": false, "ConditioningRisk": "confounder" },
      { "StratumVariableId": "cesarean-birth-weight-2006-birth_weight", "Study": "cesarean-birth-weight-2006", "VariableName": "birth_weight", "CausalRole": "confounder", "AffectsTreatmentAssignment": true, "AffectsOutcome": true, "MechanismNote": "Birth weight affects presentation mode and cesarean indication; low-birth-weight stratum concentrates high-risk presentations, compressing pooled comparison (type-C-).", "Name": "cesarean-birth-weight-2006-birth_weight", "IsConfounder": true, "ConditioningRisk": "confounder" },
      { "StratumVariableId": "schizophrenia-antipsychotic-illness_severity", "Study": "schizophrenia-antipsychotic", "VariableName": "illness_severity", "CausalRole": "confounder", "AffectsTreatmentAssignment": true, "AffectsOutcome": true, "MechanismNote": "Illness severity drives both antipsychotic choice and remission probability; severe patients concentrated on drug A, inverting pooled response comparison.", "Name": "schizophrenia-antipsychotic-illness_severity", "IsConfounder": true, "ConditioningRisk": "confounder" },
      { "StratumVariableId": "berkeley-six-dept-1973-department", "Study": "berkeley-six-dept-1973", "VariableName": "department", "CausalRole": "contested", "AffectsTreatmentAssignment": true, "AffectsOutcome": true, "MechanismNote": "Department self-selection confounds gender-admission comparison; causal role contested (same as berkeley-1973).", "Name": "berkeley-six-dept-1973-department", "IsConfounder": false, "ConditioningRisk": "confounder" },
      { "StratumVariableId": "rosiglitazone-mi-pool-2007-trial_allocation_profile", "Study": "rosiglitazone-mi-pool-2007", "VariableName": "trial_allocation_profile", "CausalRole": "confounder", "AffectsTreatmentAssignment": true, "AffectsOutcome": true, "MechanismNote": "Arm-size imbalance across trials confounds naive pooling; Mantel-Haenszel vs crude pool diverge.", "Name": "rosiglitazone-mi-pool-2007-trial_allocation_profile", "IsConfounder": true, "ConditioningRisk": "confounder" },
      { "StratumVariableId": "ironman-gender-age-2010-age_cohort", "Study": "ironman-gender-age-2010", "VariableName": "age_cohort", "CausalRole": "confounder", "AffectsTreatmentAssignment": true, "AffectsOutcome": true, "MechanismNote": "Cohort mix confounds sex comparison; women faster within each cohort.", "Name": "ironman-gender-age-2010-age_cohort", "IsConfounder": true, "ConditioningRisk": "confounder" },
      { "StratumVariableId": "hanley-power-lines-2000-source_study", "Study": "hanley-power-lines-2000", "VariableName": "source_study", "CausalRole": "confounder", "AffectsTreatmentAssignment": true, "AffectsOutcome": true, "MechanismNote": "Investigator-induced case-control ratio heterogeneity across studies; meta-analysis Simpson paradox.", "Name": "hanley-power-lines-2000-source_study", "IsConfounder": true, "ConditioningRisk": "confounder" },
      { "StratumVariableId": "coffee-smoking-lung-1968-smoking_status", "Study": "coffee-smoking-lung-1968", "VariableName": "smoking_status", "CausalRole": "confounder", "AffectsTreatmentAssignment": true, "AffectsOutcome": true, "MechanismNote": "Smoking confounds coffee-cancer association; pooled direction reverses stratum-specific pattern.", "Name": "coffee-smoking-lung-1968-smoking_status", "IsConfounder": true, "ConditioningRisk": "confounder" },
      { "StratumVariableId": "panama-sweden-mortality-1975-age_group", "Study": "panama-sweden-mortality-1975", "VariableName": "age_group", "CausalRole": "confounder", "AffectsTreatmentAssignment": true, "AffectsOutcome": true, "MechanismNote": "Age distribution confounds country comparison; Panama better within each age group.", "Name": "panama-sweden-mortality-1975-age_group", "IsConfounder": true, "ConditioningRisk": "confounder" },
      { "StratumVariableId": "hrt-whi-2002-study_design", "Study": "hrt-whi-2002", "VariableName": "study_design", "CausalRole": "contested", "AffectsTreatmentAssignment": true, "AffectsOutcome": true, "MechanismNote": "Healthy-user selection in observational stratum vs RCT randomization in WHI stratum. Cross-design reversal; causal role contested (healthy-user vs true harm).", "Name": "hrt-whi-2002-study_design", "IsConfounder": false, "ConditioningRisk": "confounder" },
      { "StratumVariableId": "obesity-paradox-hf-heart_failure_status", "Study": "obesity-paradox-hf", "VariableName": "heart_failure_status", "CausalRole": "collider", "AffectsTreatmentAssignment": true, "AffectsOutcome": true, "MechanismNote": "Conditioning on HF status induces collider bias: obese patients survive longer among HF patients but not in the general population.", "Name": "obesity-paradox-hf-heart_failure_status", "IsConfounder": false, "ConditioningRisk": "collider" },
      { "StratumVariableId": "dialysis-bmi-survival-esrd_status", "Study": "dialysis-bmi-survival", "VariableName": "esrd_status", "CausalRole": "collider", "AffectsTreatmentAssignment": true, "AffectsOutcome": true, "MechanismNote": "Conditioning on ESRD/dialysis status: higher BMI associated with better survival among dialysis patients (reverse epidemiology).", "Name": "dialysis-bmi-survival-esrd_status", "IsConfounder": false, "ConditioningRisk": "collider" },
      { "StratumVariableId": "sick-quitter-alcohol-abstainer_composition", "Study": "sick-quitter-alcohol", "VariableName": "abstainer_composition", "CausalRole": "contested", "AffectsTreatmentAssignment": true, "AffectsOutcome": true, "MechanismNote": "Former drinkers (sick quitters) included in abstainer reference group. Causal role contested: collider/selection vs residual confounding.", "Name": "sick-quitter-alcohol-abstainer_composition", "IsConfounder": false, "ConditioningRisk": "confounder" },
      { "StratumVariableId": "flu-vaccine-elderly-mortality-age_group", "Study": "flu-vaccine-elderly-mortality", "VariableName": "age_group", "CausalRole": "confounder", "AffectsTreatmentAssignment": true, "AffectsOutcome": true, "MechanismNote": "Frailty and age confound vaccine uptake and mortality. Vaccinated appear more likely to die pooled despite lower mortality within each age stratum.", "Name": "flu-vaccine-elderly-mortality-age_group", "IsConfounder": true, "ConditioningRisk": "confounder" },
      { "StratumVariableId": "covid-italy-china-cfr-2020-age_group", "Study": "covid-italy-china-cfr-2020", "VariableName": "age_group", "CausalRole": "confounder", "AffectsTreatmentAssignment": true, "AffectsOutcome": true, "MechanismNote": "Age structure confounds cross-country CFR comparison. Italy lower CFR in each age stratum yet higher pooled due to older population.", "Name": "covid-italy-china-cfr-2020-age_group", "IsConfounder": true, "ConditioningRisk": "confounder" },
      { "StratumVariableId": "israel-covid-severe-2021-age_group", "Study": "israel-covid-severe-2021", "VariableName": "age_group", "CausalRole": "confounder", "AffectsTreatmentAssignment": true, "AffectsOutcome": true, "MechanismNote": "Age confounds vaccination status and severe COVID outcome. Vaccinated have higher pooled severe rate despite lower rate in every age stratum.", "Name": "israel-covid-severe-2021-age_group", "IsConfounder": true, "ConditioningRisk": "confounder" },
      { "StratumVariableId": "cochran-smoking-1968-age_group", "Study": "cochran-smoking-1968", "VariableName": "age_group", "CausalRole": "confounder", "AffectsTreatmentAssignment": true, "AffectsOutcome": true, "MechanismNote": "Smokers younger on average; age confounds smoking-mortality comparison. Smokers worse in every age stratum yet better pooled.", "Name": "cochran-smoking-1968-age_group", "IsConfounder": true, "ConditioningRisk": "confounder" },
      { "StratumVariableId": "healthy-worker-mortality-employment_status", "Study": "healthy-worker-mortality", "VariableName": "employment_status", "CausalRole": "selection", "AffectsTreatmentAssignment": true, "AffectsOutcome": true, "MechanismNote": "Healthy-worker selection: employed cohort healthier at hire. Selection mechanism, not classical confounding.", "Name": "healthy-worker-mortality-employment_status", "IsConfounder": false, "ConditioningRisk": "collider" },
      { "StratumVariableId": "compas-recidivism-base-group_base_rate", "Study": "compas-recidivism-base", "VariableName": "group_base_rate", "CausalRole": "confounder", "AffectsTreatmentAssignment": true, "AffectsOutcome": true, "MechanismNote": "Differing recidivism base rates across demographic groups produce fairness metric reversals. Links to Chouldechova impossibility theorem.", "Name": "compas-recidivism-base-group_base_rate", "IsConfounder": true, "ConditioningRisk": "confounder" },
      { "StratumVariableId": "us-wage-composition-stagnation-workforce_composition", "Study": "us-wage-composition-stagnation", "VariableName": "workforce_composition", "CausalRole": "confounder", "AffectsTreatmentAssignment": true, "AffectsOutcome": true, "MechanismNote": "Workforce composition shift toward lower-wage education groups. Each subgroup wage rises yet aggregate median flat or falls.", "Name": "us-wage-composition-stagnation-workforce_composition", "IsConfounder": true, "ConditioningRisk": "confounder" },
      { "StratumVariableId": "borjas-immigrant-cohort-arrival_cohort", "Study": "borjas-immigrant-cohort", "VariableName": "arrival_cohort", "CausalRole": "confounder", "AffectsTreatmentAssignment": true, "AffectsOutcome": true, "MechanismNote": "Arrival cohort composition confounds cross-section vs longitudinal assimilation comparisons.", "Name": "borjas-immigrant-cohort-arrival_cohort", "IsConfounder": true, "ConditioningRisk": "confounder" },
      { "StratumVariableId": "robinson-1950-literacy-state_aggregation", "Study": "robinson-1950-literacy", "VariableName": "state_aggregation", "CausalRole": "confounder", "AffectsTreatmentAssignment": true, "AffectsOutcome": true, "MechanismNote": "Ecological aggregation: immigrants settle in high-literacy states. Individual-level nativity-literacy association reverses at state level.", "Name": "robinson-1950-literacy-state_aggregation", "IsConfounder": true, "ConditioningRisk": "confounder" },
      { "StratumVariableId": "ab-test-traffic-mix-time_varying_segment", "Study": "ab-test-traffic-mix", "VariableName": "time_varying_segment", "CausalRole": "confounder", "AffectsTreatmentAssignment": true, "AffectsOutcome": true, "MechanismNote": "Traffic composition shifts between user segments across experiment weeks. Segment mix confounds variant comparison.", "Name": "ab-test-traffic-mix-time_varying_segment", "IsConfounder": true, "ConditioningRisk": "confounder" },
      { "StratumVariableId": "recsys-offline-eval-exposure_popularity", "Study": "recsys-offline-eval", "VariableName": "exposure_popularity", "CausalRole": "confounder", "AffectsTreatmentAssignment": true, "AffectsOutcome": true, "MechanismNote": "Exposure/popularity confounds offline metric comparison. New model wins on head items, loses on tail; pooled metric reverses.", "Name": "recsys-offline-eval-exposure_popularity", "IsConfounder": true, "ConditioningRisk": "confounder" },
      { "StratumVariableId": "collider-only-synthetic-constructed_collider", "Study": "collider-only-synthetic", "VariableName": "constructed_collider", "CausalRole": "collider", "AffectsTreatmentAssignment": true, "AffectsOutcome": true, "MechanismNote": "Constructed collider with zero confounding. Reversal induced solely by conditioning on selection variable.", "Name": "collider-only-synthetic-constructed_collider", "IsConfounder": false, "Condition</t>
  </si>
  <si>
    <t xml:space="preserve">ingRisk": "collider" },
      { "StratumVariableId": "noncollapsibility-or-synthetic-noncollapsible_measure", "Study": "noncollapsibility-or-synthetic", "VariableName": "noncollapsible_measure", "CausalRole": "confounder", "AffectsTreatmentAssignment": true, "AffectsOutcome": true, "MechanismNote": "Non-collapsibility-only control: OR would reverse if used as measure, but risk difference (Successes/Cases) does not reverse. AllocationDistortion framing cannot represent OR non-collapsibility — documented blind spot.", "Name": "noncollapsibility-or-synthetic-noncollapsible_measure", "IsConfounder": true, "ConditioningRisk": "confounder" },
      { "StratumVariableId": "trauma-center-mortality-injury_severity", "Study": "trauma-center-mortality", "VariableName": "injury_severity", "CausalRole": "confounder", "AffectsTreatmentAssignment": true, "AffectsOutcome": true, "MechanismNote": "Injury severity confounds referral to trauma centers and mortality; higher-level centers receive more severe cases.", "Name": "trauma-center-mortality-injury_severity", "IsConfounder": true, "ConditioningRisk": "confounder" },
      { "StratumVariableId": "surgeon-volume-mortality-baseline_risk", "Study": "surgeon-volume-mortality", "VariableName": "baseline_risk", "CausalRole": "confounder", "AffectsTreatmentAssignment": true, "AffectsOutcome": true, "MechanismNote": "Baseline risk confounds surgeon volume assignment and operative mortality.", "Name": "surgeon-volume-mortality-baseline_risk", "IsConfounder": true, "ConditioningRisk": "confounder" },
      { "StratumVariableId": "mammography-length-bias-detection_mode", "Study": "mammography-length-bias", "VariableName": "detection_mode", "CausalRole": "selection", "AffectsTreatmentAssignment": true, "AffectsOutcome": true, "MechanismNote": "Detection mode selects slower-progressing cancers; screen-detected cases appear more survivable pooled.", "Name": "mammography-length-bias-detection_mode", "IsConfounder": false, "ConditioningRisk": "collider" },
      { "StratumVariableId": "cabg-vs-pci-severity-coronary_severity", "Study": "cabg-vs-pci-severity", "VariableName": "coronary_severity", "CausalRole": "confounder", "AffectsTreatmentAssignment": true, "AffectsOutcome": true, "MechanismNote": "Disease severity confounds revascularization choice and outcomes; sicker patients directed to CABG.", "Name": "cabg-vs-pci-severity-coronary_severity", "IsConfounder": true, "ConditioningRisk": "confounder" },
      { "StratumVariableId": "tolbutamide-ugdp-1970-center_baseline_risk", "Study": "tolbutamide-ugdp-1970", "VariableName": "center_baseline_risk", "CausalRole": "contested", "AffectsTreatmentAssignment": true, "AffectsOutcome": true, "MechanismNote": "Center baseline risk heterogeneity confounds tolbutamide vs placebo comparison; causal adjudication contested.", "Name": "tolbutamide-ugdp-1970-center_baseline_risk", "IsConfounder": false, "ConditioningRisk": "confounder" },
      { "StratumVariableId": "snow-cholera-water-1855-water_company", "Study": "snow-cholera-water-1855", "VariableName": "water_company", "CausalRole": "confounder", "AffectsTreatmentAssignment": true, "AffectsOutcome": true, "MechanismNote": "Water company supply confounds cholera exposure; S&amp;V supply areas had higher mortality in each sub-period but composition drives pooled comparison.", "Name": "snow-cholera-water-1855-water_company", "IsConfounder": true, "ConditioningRisk": "confounder" },
      { "StratumVariableId": "seatbelt-crash-severity-crash_occurrence", "Study": "seatbelt-crash-severity", "VariableName": "crash_occurrence", "CausalRole": "collider", "AffectsTreatmentAssignment": true, "AffectsOutcome": true, "MechanismNote": "Conditioning on crash involvement: belted drivers in more severe crashes; collider induces reversal.", "Name": "seatbelt-crash-severity-crash_occurrence", "IsConfounder": false, "ConditioningRisk": "collider" },
      { "StratumVariableId": "measles-outbreak-vaccinated-vaccination_base_rate", "Study": "measles-outbreak-vaccinated", "VariableName": "vaccination_base_rate", "CausalRole": "confounder", "AffectsTreatmentAssignment": true, "AffectsOutcome": true, "MechanismNote": "High vaccination coverage means most cases occur among vaccinated individuals despite lower attack rate within each exposure stratum.", "Name": "measles-outbreak-vaccinated-vaccination_base_rate", "IsConfounder": true, "ConditioningRisk": "confounder" },
      { "StratumVariableId": "air-pollution-mortality-city-city", "Study": "air-pollution-mortality-city", "VariableName": "city", "CausalRole": "confounder", "AffectsTreatmentAssignment": true, "AffectsOutcome": true, "MechanismNote": "City-level age/socioeconomic composition confounds pollution exposure and mortality; ecological comparison reverses within-city gradients.", "Name": "air-pollution-mortality-city-city", "IsConfounder": true, "ConditioningRisk": "confounder" },
      { "StratumVariableId": "tb-treatment-resistance-drug_resistance", "Study": "tb-treatment-resistance", "VariableName": "drug_resistance", "CausalRole": "confounder", "AffectsTreatmentAssignment": true, "AffectsOutcome": true, "MechanismNote": "Drug resistance confounds regimen assignment and treatment success; pooled comparison reverses stratum-specific pattern.", "Name": "tb-treatment-resistance-drug_resistance", "IsConfounder": true, "ConditioningRisk": "confounder" },
      { "StratumVariableId": "hospital-mortality-readmission-case_mix", "Study": "hospital-mortality-readmission", "VariableName": "case_mix", "CausalRole": "confounder", "AffectsTreatmentAssignment": true, "AffectsOutcome": true, "MechanismNote": "Case-mix severity confounds penalty status and mortality; sicker patients concentrated in penalized hospitals.", "Name": "hospital-mortality-readmission-case_mix", "IsConfounder": true, "ConditioningRisk": "confounder" },
      { "StratumVariableId": "nypd-stop-frisk-hitrate-precinct_base_rate", "Study": "nypd-stop-frisk-hitrate", "VariableName": "precinct_base_rate", "CausalRole": "confounder", "AffectsTreatmentAssignment": true, "AffectsOutcome": true, "MechanismNote": "Precinct crime base rate confounds stop volume and hit rate; benchmarking reversal across precincts.", "Name": "nypd-stop-frisk-hitrate-precinct_base_rate", "IsConfounder": true, "ConditioningRisk": "confounder" },
      { "StratumVariableId": "sentencing-offense-type-offense_category", "Study": "sentencing-offense-type", "VariableName": "offense_category", "CausalRole": "confounder", "AffectsTreatmentAssignment": true, "AffectsOutcome": true, "MechanismNote": "Offense category mix confounds demographic comparison and sentence severity; pooled disparity reverses within-category pattern.", "Name": "sentencing-offense-type-offense_category", "IsConfounder": true, "ConditioningRisk": "confounder" },
      { "StratumVariableId": "bail-risk-score-pretrial_risk_tier", "Study": "bail-risk-score", "VariableName": "pretrial_risk_tier", "CausalRole": "confounder", "AffectsTreatmentAssignment": true, "AffectsOutcome": true, "MechanismNote": "Risk tier confounds detention decision and rearrest outcome; case-mix drives pooled comparison.", "Name": "bail-risk-score-pretrial_risk_tier", "IsConfounder": true, "ConditioningRisk": "confounder" },
      { "StratumVariableId": "police-force-encounter-encounter_conditioning", "Study": "police-force-encounter", "VariableName": "encounter_conditioning", "CausalRole": "collider", "AffectsTreatmentAssignment": true, "AffectsOutcome": true, "MechanismNote": "Conditioning on police encounter induces collider bias; force rates reverse when pooling across encounter types.", "Name": "police-force-encounter-encounter_conditioning", "IsConfounder": false, "ConditioningRisk": "collider" },
      { "StratumVariableId": "uc-systemwide-admissions-major_campus", "Study": "uc-systemwide-admissions", "VariableName": "major_campus", "CausalRole": "contested", "AffectsTreatmentAssignment": true, "AffectsOutcome": true, "MechanismNote": "Self-selection into major/campus confounds admission comparison; causal role contested (mediator vs confounder).", "Name": "uc-systemwide-admissions-major_campus", "IsConfounder": false, "ConditioningRisk": "confounder" },
      { "StratumVariableId": "teacher-vam-prior-achievement-incoming_achievement", "Study": "teacher-vam-prior-achievement", "VariableName": "incoming_achievement", "CausalRole": "confounder", "AffectsTreatmentAssignment": true, "AffectsOutcome": true, "MechanismNote": "Incoming achievement confounds teacher assignment and student outcomes; VAM reverses within strata.", "Name": "teacher-vam-prior-achievement-incoming_achievement", "IsConfounder": true, "ConditioningRisk": "confounder" },
      { "StratumVariableId": "naep-state-demographics-state_composition", "Study": "naep-state-demographics", "VariableName": "state_composition", "CausalRole": "confounder", "AffectsTreatmentAssignment": true, "AffectsOutcome": true, "MechanismNote": "State demographic composition confounds comparison and proficiency rates; ecological aggregation reversal.", "Name": "naep-state-demographics-state_composition", "IsConfounder": true, "ConditioningRisk": "confounder" },
      { "StratumVariableId": "college-grad-rate-selectivity-incoming_preparation", "Study": "college-grad-rate-selectivity", "VariableName": "incoming_preparation", "CausalRole": "confounder", "AffectsTreatmentAssignment": true, "AffectsOutcome": true, "MechanismNote": "Incoming preparation confounds selectivity and graduation; less selective schools win within strata but lose pooled.", "Name": "college-grad-rate-selectivity-incoming_preparation", "IsConfounder": true, "ConditioningRisk": "confounder" },
      { "StratumVariableId": "star-class-size-school", "Study": "star-class-size", "VariableName": "school", "CausalRole": "confounder", "AffectsTreatmentAssignment": true, "AffectsOutcome": true, "MechanismNote": "School site confounds class-size assignment; near-neutral type-D geometry expected.", "Name": "star-class-size-school", "IsConfounder": true, "ConditioningRisk": "confounder" },
      { "StratumVariableId": "nba-shooting-shot-mix-shot_type", "Study": "nba-shooting-shot-mix", "VariableName": "shot_type", "CausalRole": "confounder", "AffectsTreatmentAssignment": true, "AffectsOutcome": true, "MechanismNote": "Shot-type mix confounds shooting comparison; higher FG% in both shot types but lower pooled due to 3PT volume.", "Name": "nba-shooting-shot-mix-shot_type", "IsConfounder": true, "ConditioningRisk": "confounder" },
      { "StratumVariableId": "pitcher-era-ballpark-ballpark", "Study": "pitcher-era-ballpark", "VariableName": "ballpark", "CausalRole": "confounder", "AffectsTreatmentAssignment": true, "AffectsOutcome": true, "MechanismNote": "Ballpark run environment confounds pitcher comparison and ERA outcomes.", "Name": "pitcher-era-ballpark-ballpark", "IsConfounder": true, "ConditioningRisk": "confounder" },
      { "StratumVariableId": "nfl-completion-depth-pass_depth", "Study": "nfl-completion-depth", "VariableName": "pass_depth", "CausalRole": "confounder", "AffectsTreatmentAssignment": true, "AffectsOutcome": true, "MechanismNote": "Pass-depth mix confounds QB comparison; higher completion in each depth stratum but lower pooled.", "Name": "nfl-completion-depth-pass_depth", "IsConfounder": true, "ConditioningRisk": "confounder" },
      { "StratumVariableId": "field-goal-distance-kick_distance", "Study": "field-goal-distance", "VariableName": "kick_distance", "CausalRole": "confounder", "AffectsTreatmentAssignment": true, "AffectsOutcome": true, "MechanismNote": "Attempt distance distribution confounds kicker comparison; better within distance bins but worse pooled.", "Name": "field-goal-distance-kick_distance", "IsConfounder": true, "ConditioningRisk": "confounder" },
      { "StratumVariableId": "golf-scoring-course-course_difficulty", "Study": "golf-scoring-course", "VariableName": "course_difficulty", "CausalRole": "confounder", "AffectsTreatmentAssignment": true, "AffectsOutcome": true, "MechanismNote": "Course difficulty mix confounds golfer comparison; better on both course types but worse pooled schedule mix.", "Name": "golf-scoring-course-course_difficulty", "IsConfounder": true, "ConditioningRisk": "confounder" },
      { "StratumVariableId": "minimum-wage-region-region", "Study": "minimum-wage-region", "VariableName": "region", "CausalRole": "confounder", "AffectsTreatmentAssignment": true, "AffectsOutcome": true, "MechanismNote": "Regional labor market conditions confound minimum-wage exposure and employment outcomes.", "Name": "minimum-wage-region-region", "IsConfounder": true, "ConditioningRisk": "confounder" },
      { "StratumVariableId": "returns-to-education-field-field_of_study", "Study": "returns-to-education-field", "VariableName": "field_of_study", "CausalRole": "contested", "AffectsTreatmentAssignment": true, "AffectsOutcome": true, "MechanismNote": "Field of study mediates education-earnings relationship; causal role contested.", "Name": "returns-to-education-field-field_of_study", "IsConfounder": false, "ConditioningRisk": "confounder" },
      { "StratumVariableId": "unemployment-education-cycle-education_composition", "Study": "unemployment-education-cycle", "VariableName": "education_composition", "CausalRole": "confounder", "AffectsTreatmentAssignment": true, "AffectsOutcome": true, "MechanismNote": "Education composition shifts over the business cycle confound aggregate unemployment comparisons.", "Name": "unemployment-education-cycle-education_composition", "IsConfounder": true, "ConditioningRisk": "confounder" },
      { "StratumVariableId": "costa-rica-us-life-expectancy-age_group", "Study": "costa-rica-us-life-expectancy", "VariableName": "age_group", "CausalRole": "confounder", "AffectsTreatmentAssignment": true, "AffectsOutcome": true, "MechanismNote": "Age structure confounds cross-national life expectancy comparison.", "Name": "costa-rica-us-life-expectancy-age_group", "IsConfounder": true, "ConditioningRisk": "confounder" },
      { "StratumVariableId": "fertility-income-country-country", "Study": "fertility-income-country", "VariableName": "country", "CausalRole": "confounder", "AffectsTreatmentAssignment": true, "AffectsOutcome": true, "MechanismNote": "Country-level development confounds income and fertility; ecological paradox across nations.", "Name": "fertility-income-country-country", "IsConfounder": true, "ConditioningRisk": "confounder" },
      { "StratumVariableId": "religiosity-happiness-country-national_wealth", "Study": "religiosity-happiness-country", "VariableName": "national_wealth", "CausalRole": "confounder", "AffectsTreatmentAssignment": true, "AffectsOutcome": true, "MechanismNote": "National wealth confounds religiosity and happiness; pooled cross-country comparison reverses within-country pattern.", "Name": "religiosity-happiness-country-national_wealth", "IsConfounder": true, "ConditioningRisk": "confounder" },
      { "StratumVariableId": "voter-turnout-education-state-state", "Study": "voter-turnout-education-state", "VariableName": "state", "CausalRole": "confounder", "AffectsTreatmentAssignment": true, "AffectsOutcome": true, "MechanismNote": "State demographic composition confounds education-turnout relationship; ecological reversal.", "Name": "voter-turnout-education-state-state", "IsConfounder": true, "ConditioningRisk": "confounder" },
      { "StratumVariableId": "ad-ctr-platform-mix-platform", "Study": "ad-ctr-platform-mix", "VariableName": "platform", "CausalRole": "confounder", "AffectsTreatmentAssignment": true, "AffectsOutcome": true, "MechanismNote": "Platform mix confounds creative comparison; CTR reversal from segment composition shift.", "Name": "ad-ctr-platform-mix-platform", "IsConfounder": true, "ConditioningRisk": "confounder" }
    ]
  },
  "TreatmentRankings": {
    "Description": "Table: TreatmentRankings — one row per treatment-pair comparison within a study. Derives the pooled winner, the per-stratum winner, and the IsReversal boolean. The paradox emerges here as a derived fact: IsReversal is true when the pooled winner and the per-stratum winner disagree.",
    "schema": [
      {
        "name": "TreatmentRankingId",
        "datatype": "string",
        "type": "raw",
        "nullable": false,
        "Description": "Unique slug (e.g. kidney-1986-A-vs-B)."
      },
      {
        "name": "Name",
        "datatype": "string",
        "type": "calculated",
        "nullable": false,
        "Description": "Display label.",
        "formula": "={{TreatmentRankingId}}"
      },
      {
        "name": "Study",
        "datatype": "string",
        "type": "relationship",
        "nullable": false,
        "Description": "FK to the parent Study.",
        "RelatedTo": "Studies"
      },
      {
        "name": "TreatmentA",
        "datatype": "string",
        "type": "raw",
        "nullable": false,
        "Description": "Label for the first treatment in the comparison (matches Treatments.TreatmentLabel)."
      },
      {
        "name": "TreatmentB",
        "datatype": "string",
        "type": "raw",
        "nullable": false,
        "Description": "Label for the second treatment in the comparison."
      },
      {
        "name": "TotalCasesA",
        "datatype": "integer",
        "type": "aggregation",
        "nullable": true,
        "Description": "Total cases for TreatmentA across all strata in this study.",
        "formula": "=SUMIFS(CaseCells!{{Cases}}, CaseCells!{{Study}}, {{Study}}, CaseCells!{{TreatmentLabel}}, {{TreatmentA}})"
      },
      {
        "name": "TotalSuccessesA",
        "datatype": "integer",
        "type": "aggregation",
        "nullable": true,
        "Description": "Total successes for TreatmentA across all strata.",
        "formula": "=SUMIFS(CaseCells!{{Successes}}, CaseCells!{{Study}}, {{Study}}, CaseCells!{{TreatmentLabel}}, {{TreatmentA}})"
      },
      {
        "name": "PooledRateA",
        "datatype": "number",
        "type": "calculated",
        "nullable": true,
        "Description": "Pooled success rate for TreatmentA: TotalSuccessesA / TotalCasesA.",
        "formula": "=IF({{TotalCasesA}} = 0, \"\", {{TotalSuccessesA}} / {{TotalCasesA}})"
      },
      {
        "name": "TotalCasesB",
        "datatype": "integer",
        "type": "aggregation",
        "nullable": true,
        "Description": "Total cases for TreatmentB across all strata.",
        "formula": "=SUMIFS(CaseCells!{{Cases}}, CaseCells!{{Study}}, {{Study}}, CaseCells!{{TreatmentLabel}}, {{TreatmentB}})"
      },
      {
        "name": "TotalSuccessesB",
        "datatype": "integer",
        "type": "aggregation",
        "nullable": true,
        "Description": "Total successes for TreatmentB across all strata.",
        "formula": "=SUMIFS(CaseCells!{{Successes}}, CaseCells!{{Study}}, {{Study}}, CaseCells!{{TreatmentLabel}}, {{TreatmentB}})"
      },
      {
        "name": "PooledRateB",
        "datatype": "number",
        "type": "calculated",
        "nullable": true,
        "Description": "Pooled success rate for TreatmentB: TotalSuccessesB / TotalCasesB.",
        "formula": "=IF({{TotalCasesB}} = 0, \"\", {{TotalSuccessesB}} / {{TotalCasesB}})"
      },
      {
        "name": "PooledWinner",
        "datatype": "string",
        "type": "calculated",
        "nullable": true,
        "Description": "Which treatment wins when strata are ignored. Returns tie when pooled rates are equal within floating-point tolerance.",
        "formula": "=IF(OR({{PooledRateA}} = \"\", {{PooledRateB}} = \"\"), \"\", IF(ABS({{PooledRateA}} - {{PooledRateB}}) &lt; 0.0000001, \"tie\", IF({{PooledRateA}} &gt; {{PooledRateB}}, {{TreatmentA}}, {{TreatmentB}})))"
      },
      {
        "name": "StratumCount",
        "datatype": "integer",
        "type": "aggregation",
        "nullable": true,
        "Description": "Number of strata in this study. Counted from StratumSummaries filtered to TreatmentA rows (one row per stratum).",
        "formula": "=COUNTIFS(StratumSummaries!{{Study}}, {{Study}}, StratumSummaries!{{TreatmentLabel}}, {{TreatmentA}})"
      },
      {
        "name": "StrataWonByA",
        "datatype": "integer",
        "type": "aggregation",
        "nullable": true,
        "Description": "Number of strata where A wins: count StratumSummaries rows whose TreatmentLabel=TreatmentA AND StratumWinner=TreatmentA. These are the one-per-stratum sentinel rows.",
        "formula": "=COUNTIFS(StratumSummaries!{{Study}}, {{Study}}, StratumSummaries!{{TreatmentLabel}}, {{TreatmentA}}, StratumSummaries!{{StratumWinner}}, {{TreatmentA}})"
      },
      {
        "name": "StrataWonByB",
        "datatype": "integer",
        "type": "aggregation",
        "nullable": true,
        "Description": "Number of strata where B wins: count StratumSummaries rows whose TreatmentLabel=TreatmentA AND StratumWinner=TreatmentB.",
        "formula": "=COUNTIFS(StratumSummaries!{{Study}}, {{Study}}, StratumSummaries!{{TreatmentLabel}}, {{TreatmentA}}, StratumSummaries!{{StratumWinner}}, {{TreatmentB}})"
      },
      {
        "name": "PerStratumWinner",
        "datatype": "string",
        "type": "calculated",
        "nullable": true,
        "Description": "The treatment that wins in every stratum — 'A' if StrataWonByA = StratumCount, 'B' if StrataWonByB = StratumCount, else 'none' (no unanimous per-stratum winner).",
        "formula": "=IF({{StrataWonByA}} = {{StratumCount}}, {{TreatmentA}}, IF({{StrataWonByB}} = {{StratumCount}}, {{TreatmentB}}, \"none\"))"
      },
      {
        "name": "IsReversal",
        "datatype": "boolean",
        "type": "calculated",
        "nullable": false,
        "Description": "TRUE when the equal-weight pooled signal (WeightedStratumGapSum) and the actual pooled signal (SignedPooledGap) point in opposite directions — allocation has flipped the direction of the aggregate conclusion. This is Simpson's Paradox as a derived fact.",
        "formula": "=IF({{IsSignFlip}} = \"\", \"\", {{IsSignFlip}})"
      },
      {
        "name": "ConfoundersInStudy",
        "datatype": "integer",
        "type": "aggregation",
        "nullable": true,
        "Description": "Count of StratumVariables in this study whose IsConfounder = TRUE. When &gt; 0, the paradox has a causal explanation.",
        "formula": "=COUNTIFS(StratumVariables!{{Study}}, {{Study}}, StratumVariables!{{IsConfounder}}, TRUE())"
      },
      {
        "name": "IsParadoxExplained",
        "datatype": "boolean",
        "type": "calculated",
        "nullable": false,
        "Description": "TRUE when IsReversal is present AND at least one confirmed confounder exists in the study.",
        "formula": "=AND({{IsReversal}}, {{ConfoundersInStudy}} &gt; 0)"
      },
      {
        "name": "PooledGap",
        "datatype": "number",
        "type": "calculated",
        "nullable": true,
        "Description": "Absolute difference between the two pooled rates: |PooledRateA - PooledRateB|. The size of the aggregate misleading signal.",
        "formula": "=IF({{PooledRateA}} = \"\", \"\", ABS({{PooledRateA}} - {{PooledRateB}}))"
      },
      {
        "name": "StrataWonByLoser",
        "datatype": "integer",
        "type": "calculated",
        "nullable": true,
        "Description": "Number of strata won by the pooled loser — the counter-signal. For full reversals this equals StratumCount; for partial paradoxes it is between 0 and StratumCount.",
        "formula": "=IF({{PooledWinner}} = {{TreatmentA}}, {{StrataWonByB}}, {{StrataWonByA}})"
      },
      {
        "name": "ParadoxStrength",
        "datatype": "number",
        "type": "calculated",
        "nullable": true,
        "Description": "Scalar severity of the paradox: PooledGap × (StrataWonByLoser / StratumCount). Zero when no strata go against the pooled winner. Positive for partial paradoxes. Maximum when every stratum contradicts the pooled result.",
        "formula": "=IF({{StratumCount}} = 0, \"\", {{PooledGap}} * ({{StrataWonByLoser}} / {{StratumCount}}))"
      },
      {
        "name": "PooledRateFromWeightsA",
        "datatype": "number",
        "type": "aggregation",
        "nullable": true,
        "Description": "Pooled rate for TreatmentA reconstructed as a weighted average of stratum rates: SUM(WeightedStratumRate) across all stratum rows for TreatmentA. Must match PooledRateA — this witnesses the mechanism equation: the pooled rate IS a weighted average of stratum rates, weighted by StratumFraction.",
        "formula": "=SUMIFS(StratumSummaries!{{WeightedStratumRate}}, StratumSummaries!{{Study}}, {{Study}}, StratumSummaries!{{TreatmentLabel}}, {{TreatmentA}})"
      },
      {
        "name": "PooledRateFromWeightsB",
        "datatype": "number",
        "type": "aggregation",
        "nullable": true,
        "Description": "Pooled rate for TreatmentB reconstructed as a weighted average. Must match PooledRateB. If it does, the mechanism equation is verified: reversal is purely a consequence of differential weighting.",
        "formula": "=SUMIFS(StratumSummaries!{{WeightedStratumRate}}, StratumSummaries!{{Study}}, {{Study}}, StratumSummaries!{{TreatmentLabel}}, {{TreatmentB}})"
      },
      {
        "name": "ReversalIntensity",
        "datatype": "number",
        "type": "calculated",
        "nullable": true,
        "Description": "StrataWonByLoser / StratumCount: the fraction of strata that go against the pooled winner. Zero for no paradox, 1.0 for full reversal, between 0 and 1 for partial. This is the allocation-side measure of how deeply the confounding has penetrated the stratified view.",
        "formula": "=IF({{StratumCount}} = 0, \"\", {{StrataWonByLoser}} / {{StratumCount}})"
      },
      {
        "name": "ThresholdMargin",
        "datatype": "number",
        "type": "calculated",
        "nullable": true,
        "Description": "ReversalIntensity minus 0.5: positive when more than half the strata go against the pooled winner (reversal is robust), zero at the tipping point (exactly half), negative when fewer than half oppose the pooled winner (reversal is fragile or absent). A study with ThresholdMargin &gt; 0 is robustly paradoxical; one with ThresholdMargin &lt; 0 has a weak or absent paradox.",
        "formula": "=IF({{StratumCount}} = 0, \"\", {{ReversalIntensity}} - 0.5)"
      },
      {
        "name": "SignedPooledGap",
        "datatype": "number",
        "type": "calculated",
        "nullable": true,
        "Description": "Signed difference between pooled rates: PooledRateA minus PooledRateB. Positive = A wins pooled; negative = B wins pooled. Unlike PooledGap (which is absolute), this preserves direction — essential for detecting sign flips between the equal-weight and actual pooled signals.",
        "formula": "=IF({{PooledRateA}} = \"\", \"\", {{PooledRateA}} - {{PooledRateB}})"
      },
      {
        "name": "WeightedStratumGapSum",
        "datatype": "number",
        "type": "aggregation",
        "nullable": true,
        "Description": "Sum of WeightedStratumGap (= StratumGap × StratumFraction) across all StratumSummaries rows where TreatmentLabel = TreatmentA for this study. This is the equal-weight pooled gap — the gap the pooled analysis would produce if allocation were perfectly balanced across strata. When this has the opposite sign to SignedPooledGap, the allocation has not merely compressed the signal: it has flipped it entirely.",
        "formula": "=SUMIFS(StratumSummaries!{{WeightedStratumGap}}, StratumSummaries!{{Study}}, {{Study}}, StratumSummaries!{{TreatmentLabel}}, {{TreatmentA}})"
      },
      {
        "name": "IsSignFlip",
        "datatype": "boolean",
        "type": "calculated",
        "nullable": true,
        "Description": "TRUE when WeightedStratumGapSum and SignedPooledGap have opposite signs. Same condition as IsReversal; retained as the coordinate-level name in the DAG.",
        "formula": "=IF({{WeightedStratumGapSum}} = \"\", \"\", IF({{WeightedStratumGapSum}} &gt; 0, {{SignedPooledGap}} &lt; 0, {{SignedPooledGap}} &gt; 0))"
      },
      {
        "name": "AllocationDistortion",
        "datatype": "number",
        "type": "calculated",
        "nullable": true,
        "Description": "The magnitude of how far the allocation has bent the pooled signal: |WeightedStratumGapSum − SignedPooledGap|. Zero means the allocation is neutral — the pooled analysis faithfully represents the equal-weight stratum evidence. A large AllocationDistortion means the allocation is doing most of the work: the pooled number is mostly noise from how cases were assigned, not signal about which treatment is better. This measure does NOT require a sign flip to be nonzero — it captures any allocation-induced distortion, not just reversals.",
        "formula": "=IF({{WeightedStratumGapSum}} = \"\", \"\", ABS({{WeightedStratumGapSum}} - {{SignedPooledGap}}))"
      },
      {
        "name": "DistortionType",
        "datatype": "string",
        "type": "calculated",
        "nullable": true,
        "Description": "Geometric classification (five types A/B/C+/C-/D). Sign-flip types A vs B are split by DistortionRatio when available: ratio &lt; -1 → B (amplified reversal); ratio in (-1,0) → A (attenuated reversal). Falls back to ReversalIntensity when ratio is degenerate.",
        "formula": "=IF({{AllocationDistortion}} = \"\", \"\", IF({{IsSignFlip}}, IF(AND({{WeightedStratumGapSum}} &lt;&gt; 0, {{SignedPooledGap}} / {{WeightedStratumGapSum}} &lt; -1), \"B\", IF(AND({{WeightedStratumGapSum}} &lt;&gt; 0, {{SignedPooledGap}} / {{WeightedStratumGapSum}} &lt; 0), \"A\", IF({{ReversalIntensity}} = 1, \"A\", \"B\"))), IF(AND(NOT({{IsSignFlip}}), {{AllocationDistortion}} &gt; 0.01, ABS({{SignedPooledGap}}) &gt; ABS({{CorrectedGap}}) + 0.001), \"C+\", IF(AND(NOT({{IsSignFlip}}), {{AllocationDistortion}} &gt; 0.01, ABS({{SignedPooledGap}}) &lt; ABS({{CorrectedGap}}) - 0.001), \"C-\", \"D\"))))"
      },
      {
        "name": "PolicyImplication",
        "datatype": "string",
        "type": "calculated",
        "nullable": true,
        "Description": "The researcher action implied by the geometric classification. Derived from DistortionType: type A (full reversal) → 'stratify-immediately' — the pooled conclusion is directionally wrong; do not act on it without stratifying. Type B (partial sign-flip) → 'investigate-confounder' — the equal-weight signal opposes the pooled signal, but the per-stratum picture is mixed; the causal mechanism needs examination before trusting either estimate. Type C (compression without flip) → 'check-allocation-bias' — the pooled winner is probably correct but the effect size is distorted; report adjusted or standardized margins rather than the raw pooled gap. Type D (neutral) → 'pooled-analysis-trustworthy' — allocation is not materially distorting the signal; the pooled conclusion is safe with respect to this stratification.",
        "formula": "=IF({{DistortionType}} = \"\", \"\", IF({{DistortionType}} = \"A\", \"stratify-immediately\", IF({{DistortionType}} = \"B\", \"investigate-confounder\", IF(OR({{DistortionType}} = \"C+\", {{DistortionType}} = \"C-\"), \"check-allocation-bias\", \"pooled-analysis-trustworthy\"))))"
      },
      {
        "name": "CorrectedGap",
        "datatype": "number",
        "type": "calculated",
        "nullable": true,
        "Description": "The allocation-corrected treatment gap: WeightedStratumGapSum, i.e. what SignedPooledGap would be if allocation were equal across strata. Positive means A is favoured in the corrected world; negative means B is favoured.",
        "formula": "={{WeightedStratumGapSum}}"
      },
      {
        "name": "CorrectedWinner",
        "datatype": "string",
        "type": "calculated",
        "nullable": true,
        "Description": "Which treatment wins once allocation bias is removed. Derived from CorrectedGap: positive → TreatmentA; negative → TreatmentB; near-zero → tie.",
        "formula": "=IF({{CorrectedGap}} = \"\", \"\", IF(ABS({{CorrectedGap}}) &lt; 0.0001, \"tie\", IF({{CorrectedGap}} &gt; 0, {{TreatmentA}}, IF({{CorrectedGap}} &lt; 0, {{TreatmentB}}, \"tie\"))))"
      },
      {
        "name": "CorrectedVsPooledAgreement",
        "datatype": "boolean",
        "type": "calculated",
        "nullable": true,
        "Description": "TRUE when the allocation-corrected winner matches the pooled winner. FALSE when removing allocation bias would change which treatment appears to win — the machine-readable definition of a reversal recovery.",
        "formula": "=IF({{CorrectedWinner}} = \"\", \"\", {{CorrectedWinner}} = {{PooledWinner}})"
      },
      {
        "name": "CorrectedPolicyImplication",
        </t>
  </si>
  <si>
    <t xml:space="preserve">"datatype": "string",
        "type": "calculated",
        "nullable": true,
        "Description": "The allocation-aware researcher action: what to do when the corrected verdict is available. Derived from DistortionType and CorrectedWinner together, making the instrument self-consistent with Reversal Recovery (loop-27). Type A (full sign-flip, unanimous per-stratum reversal): CorrectedWinner is the true signal — 'use-corrected-winner'. The pooled analysis was directionally wrong; act on CorrectedWinner, not PooledWinner. Type B (partial sign-flip, non-unanimous): CorrectedWinner points against the pooled signal but strata disagree among themselves — 'use-corrected-winner-with-caution'. Trust the corrected direction but acknowledge residual uncertainty. Type C (compression, no sign flip): PooledWinner is directionally correct; the distortion is in the magnitude, not the direction — 'check-allocation-bias'. Same as PolicyImplication. Type D (neutral): allocation is not materially distorting the signal — 'pooled-analysis-trustworthy'. Same as PolicyImplication. For Types C and D, CorrectedPolicyImplication and PolicyImplication always agree; for Types A and B, CorrectedPolicyImplication supersedes PolicyImplication with the allocation-corrected verdict.",
        "formula": "=IF({{DistortionType}} = \"\", \"\", IF({{DistortionType}} = \"A\", \"use-corrected-winner\", IF({{DistortionType}} = \"B\", \"use-corrected-winner-with-caution\", IF(OR({{DistortionType}} = \"C+\", {{DistortionType}} = \"C-\"), \"check-allocation-bias\", \"pooled-analysis-trustworthy\"))))"
      },
      {
        "name": "AllocationDirection",
        "datatype": "string",
        "type": "calculated",
        "nullable": true,
        "Description": "Whether the allocation is reversing, amplifying, or compressing the true treatment signal (CorrectedGap). 'reversal': allocation changed the sign of the pooled gap relative to CorrectedGap — worst case; pooled winner is wrong (types A and B). 'amplification': allocation inflated the pooled gap beyond CorrectedGap in the same direction — pooled winner is correct but effect size is overstated (type C+). 'compression': allocation shrank the pooled gap below CorrectedGap in the same direction — pooled winner is correct but effect size is understated (type C-). 'neutral': allocation had negligible effect on the pooled gap (type D). Policy consequences: reversal → wrong decision; amplification → overconfidence; compression → underconfidence / premature abandonment; neutral → trustworthy.",
        "formula": "=IF({{CorrectedGap}} = \"\", \"\", IF({{IsSignFlip}}, \"reversal\", IF(ABS({{SignedPooledGap}}) &gt; ABS({{CorrectedGap}}) + 0.001, \"amplification\", IF(ABS({{SignedPooledGap}}) &lt; ABS({{CorrectedGap}}) - 0.001, \"compression\", \"neutral\"))))"
      },
      {
        "name": "SignalPurity",
        "datatype": "number",
        "type": "calculated",
        "nullable": true,
        "Description": "The fraction of total observed variation (|CorrectedGap| + AllocationDistortion) that is genuine treatment signal rather than allocation noise. SignalPurity = |CorrectedGap| / (|CorrectedGap| + AllocationDistortion). Range [0,1]: 1.0 = allocation contributed nothing (type D); 0 = corrected gap is zero (pure noise). Critical threshold is 0.5: SignalPurity &lt; 0.5 means allocation noise exceeds true signal. The signal-purity theorem (loop-44): AllocationDirection='reversal' → SignalPurity &lt; 0.5. Equivalently: a sign flip requires the confound to produce more distortion than the treatment produced signal. This is the mechanistic account of why reversals happen: not study-design accidents but algebraic necessities.",
        "formula": "=IF({{CorrectedGap}} = \"\", \"\", IF(ABS({{CorrectedGap}}) + {{AllocationDistortion}} = 0, 1, ABS({{CorrectedGap}}) / (ABS({{CorrectedGap}}) + {{AllocationDistortion}})))"
      },
      {
        "name": "PooledGapCrossesZero",
        "datatype": "boolean",
        "type": "calculated",
        "nullable": true,
        "Description": "Lookup: SweepStudySummary.PooledGapCrossesZero via Study. TRUE when reweighting allocation would change the sign of the pooled gap.",
        "formula": "=LOOKUP({{Study}}, SweepStudySummary[SweepStudyId], SweepStudySummary[PooledGapCrossesZero])"
      },
      {
        "name": "SweepPooledGapRange",
        "datatype": "number",
        "type": "calculated",
        "nullable": true,
        "Description": "Lookup: SweepStudySummary.SweepPooledGapRange via Study. Width of pooled-gap wander under allocation sweep.",
        "formula": "=LOOKUP({{Study}}, SweepStudySummary[SweepStudyId], SweepStudySummary[SweepPooledGapRange])"
      },
      {
        "name": "LatentFlipPotential",
        "datatype": "boolean",
        "type": "calculated",
        "nullable": true,
        "Description": "TRUE when DistortionType=D but PooledGapCrossesZero=TRUE — SAFE at observed allocation but flip-capable under counterfactual reweighting.",
        "formula": "=IF({{DistortionType}} = \"\", \"\", AND({{DistortionType}} = \"D\", {{PooledGapCrossesZero}} = TRUE))"
      },
      {
        "name": "AllocationFragility",
        "datatype": "number",
        "type": "calculated",
        "nullable": true,
        "Description": "SweepPooledGapRange divided by |PooledGap|. High values mean small observed effect but wide counterfactual wander.",
        "formula": "=IF(OR({{SweepPooledGapRange}} = \"\", {{PooledGap}} = \"\", {{PooledGap}} = 0), \"\", {{SweepPooledGapRange}} / ABS({{PooledGap}}))"
      },
      {
        "name": "StudyDomain",
        "datatype": "string",
        "type": "calculated",
        "nullable": true,
        "Description": "Lookup: Studies.Domain via Study.",
        "formula": "=LOOKUP({{Study}}, Studies[StudyId], Studies[Domain])"
      },
      {
        "name": "ConfirmedCausalRoleCount",
        "datatype": "integer",
        "type": "aggregation",
        "nullable": false,
        "Description": "Count of StratumVariables in this study whose CausalRole is \"confounder\" — includes variables that confound the outcome regardless of whether allocation was balanced.",
        "formula": "=COUNTIFS(StratumVariables!{{Study}}, {{Study}}, StratumVariables!{{CausalRole}}, \"confounder\")"
      },
      {
        "name": "MediatorRiskCount",
        "datatype": "integer",
        "type": "aggregation",
        "nullable": false,
        "Description": "Count of StratumVariables in this study whose ConditioningRisk is mediator or collider — the hazardous conditioning types.",
        "formula": "=COUNTIFS(StratumVariables!{{Study}}, {{Study}}, StratumVariables!{{ConditioningRisk}}, \"mediator\") + COUNTIFS(StratumVariables!{{Study}}, {{Study}}, StratumVariables!{{ConditioningRisk}}, \"collider\")"
      },
      {
        "name": "ContestedStratumCount",
        "datatype": "integer",
        "type": "aggregation",
        "nullable": false,
        "Description": "Count of StratumVariables in this study whose CausalRole is contested — the causal interpretation is disputed.",
        "formula": "=COUNTIFS(StratumVariables!{{Study}}, {{Study}}, StratumVariables!{{CausalRole}}, \"contested\")"
      },
      {
        "name": "UnknownCausalRoleCount",
        "datatype": "integer",
        "type": "aggregation",
        "nullable": false,
        "Description": "Count of StratumVariables in this study whose CausalRole is unknown — no causal account has been established.",
        "formula": "=COUNTIFS(StratumVariables!{{Study}}, {{Study}}, StratumVariables!{{CausalRole}}, \"unknown\")"
      },
      {
        "name": "CausalClaimStatus",
        "datatype": "string",
        "type": "calculated",
        "nullable": false,
        "Description": "The epistemic status of the causal interpretation for this study. Values: established (all stratum variables are confirmed confounders with known mechanisms), contested (at least one stratum variable has a disputed causal role — e.g. Berkeley 1973 where department choice may be endogenous), geometric-only (no stratum variable has an established causal role — the distortion is a geometric fact, not a causal claim). Derived from StratumVariables.CausalRole and ConditioningRisk.",
        "formula": "=IF({{ContestedStratumCount}} &gt; 0, \"contested\", IF({{UnknownCausalRoleCount}} &gt; 0, \"geometric-only\", IF({{ConfirmedCausalRoleCount}} &gt; 0, \"established\", \"geometric-only\")))"
      },
      {
        "name": "AdjustmentAppropriate",
        "datatype": "boolean",
        "type": "calculated",
        "nullable": false,
        "Description": "TRUE only when it is epistemically safe to act on CorrectedGap as the causal treatment effect estimate: no mediator/collider conditioning risk AND causal claim is established (not contested or geometric-only). FALSE for the birth-weight paradox (mediator), berkeley-1973 (contested), and synthetic/degenerate studies (geometric-only).",
        "formula": "=AND({{MediatorRiskCount}} = 0, {{CausalClaimStatus}} = \"established\")"
      },
      {
        "name": "AdjustmentRationale",
        "datatype": "string",
        "type": "raw",
        "nullable": true,
        "Description": "Human-authored note explaining why AdjustmentAppropriate is TRUE or FALSE for this study. Covers mediator/collider hazards, contested causal roles, and cases where geometric correction is valid but causal interpretation is uncertain."
      }
    ],
    "data": [
      { "TreatmentRankingId": "kidney-1986-A-vs-B", "Study": "kidney-1986", "TreatmentA": "A", "TreatmentB": "B", "Name": "kidney-1986-A-vs-B", "TotalCasesA": 350, "TotalSuccessesA": 273, "PooledRateA": 0.78, "TotalCasesB": 350, "TotalSuccessesB": 289, "PooledRateB": 0.8257142857142857, "PooledWinner": "B", "StratumCount": 2, "StrataWonByA": 2, "StrataWonByB": 0, "PerStratumWinner": "A", "IsReversal": true, "ConfoundersInStudy": 1, "IsParadoxExplained": true, "PooledGap": 0.045714285714285714, "StrataWonByLoser": 2, "ParadoxStrength": 0.045714285714285714, "PooledRateFromWeightsA": 0.8325462173856037, "PooledRateFromWeightsB": 0.778875, "ReversalIntensity": 1.0, "ThresholdMargin": 0.5, "SignedPooledGap": -0.045714285714285714, "WeightedStratumGapSum": 0.05367121738560378, "IsSignFlip": true, "AllocationDistortion": 0.09938550309988949, "DistortionType": "A", "PolicyImplication": "stratify-immediately", "AdjustmentRationale": "Stone size is a confirmed confounder (affects both assignment and outcome via baseline severity). Conditioning recovers the true per-stratum treatment effect." },
      { "TreatmentRankingId": "kidney-balanced-A-vs-B", "Study": "kidney-balanced", "TreatmentA": "A", "TreatmentB": "B", "Name": "kidney-balanced-A-vs-B", "TotalCasesA": 350, "TotalSuccessesA": 291, "PooledRateA": 0.8314285714285714, "TotalCasesB": 350, "TotalSuccessesB": 272, "PooledRateB": 0.7771428571428571, "PooledWinner": "A", "StratumCount": 2, "StrataWonByA": 2, "StrataWonByB": 0, "PerStratumWinner": "A", "IsReversal": false, "ConfoundersInStudy": 0, "IsParadoxExplained": false, "PooledGap": 0.054285714285714284, "StrataWonByLoser": 0, "ParadoxStrength": 0.0, "PooledRateFromWeightsA": 0.8314285714285714, "PooledRateFromWeightsB": 0.7771428571428571, "ReversalIntensity": 0.0, "ThresholdMargin": -0.5, "SignedPooledGap": 0.054285714285714284, "WeightedStratumGapSum": 0.054285714285714284, "IsSignFlip": false, "AllocationDistortion": 0.0, "DistortionType": "D", "PolicyImplication": "pooled-analysis-trustworthy", "AdjustmentRationale": "Balanced allocation; stone size is a confounder but allocation distortion is negligible (Type D). CorrectedGap = SignedPooledGap. Adjustment appropriate but immaterial." },
      { "TreatmentRankingId": "balanced-synthetic-A-vs-B", "Study": "balanced-synthetic", "TreatmentA": "A", "TreatmentB": "B", "Name": "balanced-synthetic-A-vs-B", "TotalCasesA": 200, "TotalSuccessesA": 120, "PooledRateA": 0.6, "TotalCasesB": 200, "TotalSuccessesB": 100, "PooledRateB": 0.5, "PooledWinner": "A", "StratumCount": 2, "StrataWonByA": 2, "StrataWonByB": 0, "PerStratumWinner": "A", "IsReversal": false, "ConfoundersInStudy": 0, "IsParadoxExplained": false, "PooledGap": 0.1, "StrataWonByLoser": 0, "ParadoxStrength": 0.0, "PooledRateFromWeightsA": 0.6, "PooledRateFromWeightsB": 0.5, "ReversalIntensity": 0.0, "ThresholdMargin": -0.5, "SignedPooledGap": 0.1, "WeightedStratumGapSum": 0.1, "IsSignFlip": false, "AllocationDistortion": 0.0, "DistortionType": "D", "PolicyImplication": "pooled-analysis-trustworthy", "AdjustmentRationale": "Synthetic study with balanced allocation and unknown causal role. No causal warrant for adjustment — CorrectedGap is a geometric identity here." },
      { "TreatmentRankingId": "berkeley-1973-A-vs-B", "Study": "berkeley-1973", "TreatmentA": "A", "TreatmentB": "B", "Name": "berkeley-1973-A-vs-B", "TotalCasesA": 2127, "TotalSuccessesA": 1123, "PooledRateA": 0.5279736718382698, "TotalCasesB": 1101, "TotalSuccessesB": 439, "PooledRateB": 0.39872842870118075, "PooledWinner": "A", "StratumCount": 4, "StrataWonByA": 1, "StrataWonByB": 3, "PerStratumWinner": "none", "IsReversal": true, "ConfoundersInStudy": 0, "IsParadoxExplained": false, "PooledGap": 0.12924524313708913, "StrataWonByLoser": 3, "ParadoxStrength": 0.09693393235281685, "PooledRateFromWeightsA": 0.4798138007110253, "PooledRateFromWeightsB": 0.5440029040211435, "ReversalIntensity": 0.75, "ThresholdMargin": 0.25, "SignedPooledGap": 0.12924524313708913, "WeightedStratumGapSum": -0.06418910331011815, "IsSignFlip": true, "AllocationDistortion": 0.19343434644720728, "DistortionType": "B", "PolicyImplication": "investigate-confounder", "AdjustmentRationale": "Department is a contested stratum variable: applicants self-select departments (endogenous), so department may be a mediator of gender bias rather than a confounder of it. Conditioning on department could block the very discrimination pathway under investigation. Adjustment should not be applied without resolving the causal model." },
      { "TreatmentRankingId": "compressed-synthetic-A-vs-B", "Study": "compressed-synthetic", "TreatmentA": "A", "TreatmentB": "B", "Name": "compressed-synthetic-A-vs-B", "TotalCasesA": 200, "TotalSuccessesA": 156, "PooledRateA": 0.78, "TotalCasesB": 200, "TotalSuccessesB": 144, "PooledRateB": 0.72, "PooledWinner": "A", "StratumCount": 2, "StrataWonByA": 2, "StrataWonByB": 0, "PerStratumWinner": "A", "IsReversal": false, "ConfoundersInStudy": 1, "IsParadoxExplained": false, "PooledGap": 0.06, "StrataWonByLoser": 0, "ParadoxStrength": 0.0, "PooledRateFromWeightsA": 0.8, "PooledRateFromWeightsB": 0.7, "ReversalIntensity": 0.0, "ThresholdMargin": -0.5, "SignedPooledGap": 0.06, "WeightedStratumGapSum": 0.1, "IsSignFlip": false, "AllocationDistortion": 0.04, "DistortionType": "C-", "PolicyImplication": "check-allocation-bias", "AdjustmentRationale": "Synthetic study with confirmed confounder structure. CorrectedGap is an appropriate estimate of the equal-weight treatment effect." },
      { "TreatmentRankingId": "reintjes-2000-A-vs-B", "Study": "reintjes-2000", "TreatmentA": "A", "TreatmentB": "B", "Name": "reintjes-2000-A-vs-B", "TotalCasesA": 1279, "TotalSuccessesA": 42, "PooledRateA": 0.0328381548084441, "TotalCasesB": 2240, "TotalSuccessesB": 104, "PooledRateB": 0.04642857142857143, "PooledWinner": "B", "StratumCount": 2, "StrataWonByA": 2, "StrataWonByB": 0, "PerStratumWinner": "A", "IsReversal": true, "ConfoundersInStudy": 1, "IsParadoxExplained": true, "PooledGap": 0.013590416620127332, "StrataWonByLoser": 2, "ParadoxStrength": 0.013590416620127332, "PooledRateFromWeightsA": 0.07285700156958388, "PooledRateFromWeightsB": 0.03482267938957938, "ReversalIntensity": 1.0, "ThresholdMargin": 0.5, "SignedPooledGap": -0.013590416620127332, "WeightedStratumGapSum": 0.038034322180004514, "IsSignFlip": true, "AllocationDistortion": 0.051624738800131846, "DistortionType": "A", "PolicyImplication": "stratify-immediately", "AdjustmentRationale": "Hospital incidence rate is a confirmed confounder (affects both vaccination coverage and cholera outcome via baseline risk). Adjustment appropriate." },
      { "TreatmentRankingId": "radelet-1981-A-vs-B", "Study": "radelet-1981", "TreatmentA": "A", "TreatmentB": "B", "Name": "radelet-1981-A-vs-B", "TotalCasesA": 160, "TotalSuccessesA": 19, "PooledRateA": 0.11875, "TotalCasesB": 166, "TotalSuccessesB": 17, "PooledRateB": 0.10240963855421686, "PooledWinner": "A", "StratumCount": 2, "StrataWonByA": 0, "StrataWonByB": 2, "PerStratumWinner": "B", "IsReversal": true, "ConfoundersInStudy": 1, "IsParadoxExplained": true, "PooledGap": 0.016340361445783134, "StrataWonByLoser": 2, "ParadoxStrength": 0.016340361445783134, "PooledRateFromWeightsA": 0.08259862674196562, "PooledRateFromWeightsB": 0.13462991168631766, "ReversalIntensity": 1.0, "ThresholdMargin": 0.5, "SignedPooledGap": 0.016340361445783134, "WeightedStratumGapSum": -0.05203128494435204, "IsSignFlip": true, "AllocationDistortion": 0.06837164639013517, "DistortionType": "A", "PolicyImplication": "stratify-immediately", "AdjustmentRationale": "Victim race is a confirmed confounder (affects both treatment assignment — prosecutor decisions — and outcome). Adjustment recovers the allocation-free signal." },
      { "TreatmentRankingId": "jeter-justice-1997-A-vs-B", "Study": "jeter-justice-1997", "TreatmentA": "A", "TreatmentB": "B", "Name": "jeter-justice-1997-A-vs-B", "TotalCasesA": 1284, "TotalSuccessesA": 385, "PooledRateA": 0.2998442367601246, "TotalCasesB": 1046, "TotalSuccessesB": 312, "PooledRateB": 0.2982791586998088, "PooledWinner": "A", "StratumCount": 3, "StrataWonByA": 0, "StrataWonByB": 3, "PerStratumWinner": "B", "IsReversal": true, "ConfoundersInStudy": 1, "IsParadoxExplained": true, "PooledGap": 0.0015650780603158152, "StrataWonByLoser": 3, "ParadoxStrength": 0.0015650780603158152, "PooledRateFromWeightsA": 0.28994762146190656, "PooledRateFromWeightsB": 0.31183475954097173, "ReversalIntensity": 1.0, "ThresholdMargin": 0.5, "SignedPooledGap": 0.0015650780603158152, "WeightedStratumGapSum": -0.02188713807906518, "IsSignFlip": true, "AllocationDistortion": 0.023452216139380994, "DistortionType": "A", "PolicyImplication": "stratify-immediately", "AdjustmentRationale": "Season is a confirmed confounder (affects both pitch type distribution and hit rates via pitcher fatigue and pitch selection). Adjustment appropriate." },
      { "TreatmentRankingId": "appleton-1996-A-vs-B", "Study": "appleton-1996", "TreatmentA": "A", "TreatmentB": "B", "Name": "appleton-1996-A-vs-B", "TotalCasesA": 582, "TotalSuccessesA": 139, "PooledRateA": 0.23883161512027493, "TotalCasesB": 732, "TotalSuccessesB": 230, "PooledRateB": 0.31420765027322406, "PooledWinner": "B", "StratumCount": 7, "StrataWonByA": 5, "StrataWonByB": 2, "PerStratumWinner": "none", "IsReversal": true, "ConfoundersInStudy": 1, "IsParadoxExplained": true, "PooledGap": 0.07537603515294913, "StrataWonByLoser": 5, "ParadoxStrength": 0.05384002510924938, "PooledRateFromWeightsA": 0.3039391951052482, "PooledRateFromWeightsB": 0.26004344267498014, "ReversalIntensity": 0.7142857142857143, "ThresholdMargin": 0.21428571428571427, "SignedPooledGap": -0.07537603515294913, "WeightedStratumGapSum": 0.04389575243026801, "IsSignFlip": true, "AllocationDistortion": 0.11927178758321715, "DistortionType": "B", "PolicyImplication": "investigate-confounder", "AdjustmentRationale": "Age is a confirmed confounder (affects both smoking prevalence and mortality). Conditioning recovers the true per-age-group mortality differential." },
      { "TreatmentRankingId": "phe-covid-2021-A-vs-B", "Study": "phe-covid-2021", "TreatmentA": "A", "TreatmentB": "B", "Name": "phe-covid-2021-A-vs-B", "TotalCasesA": 117114, "TotalSuccessesA": 481, "PooledRateA": 0.004107109312294004, "TotalCasesB": 151052, "TotalSuccessesB": 253, "PooledRateB": 0.0016749198951354501, "PooledWinner": "A", "StratumCount": 2, "StrataWonByA": 0, "StrataWonByB": 2, "PerStratumWinner": "B", "IsReversal": true, "ConfoundersInStudy": 1, "IsParadoxExplained": true, "PooledGap": 0.002432189417158554, "StrataWonByLoser": 2, "ParadoxStrength": 0.002432189417158554, "PooledRateFromWeightsA": 0.0021384714347542806, "PooledRateFromWeightsB": 0.007120626180282422, "ReversalIntensity": 1.0, "ThresholdMargin": 0.5, "SignedPooledGap": 0.002432189417158554, "WeightedStratumGapSum": -0.004982154745528142, "IsSignFlip": true, "AllocationDistortion": 0.0074143441626866955, "DistortionType": "A", "PolicyImplication": "stratify-immediately", "AdjustmentRationale": "Age is a confirmed confounder (affects both vaccination uptake and COVID mortality). Adjustment appropriate and well-established in epidemiology." },
      { "TreatmentRankingId": "hannan-1994-A-vs-B", "Study": "hannan-1994", "TreatmentA": "A", "TreatmentB": "B", "Name": "hannan-1994-A-vs-B", "TotalCasesA": 700, "TotalSuccessesA": 674, "PooledRateA": 0.9628571428571429, "TotalCasesB": 400, "TotalSuccessesB": 374, "PooledRateB": 0.935, "PooledWinner": "A", "StratumCount": 2, "StrataWonByA": 2, "StrataWonByB": 0, "PerStratumWinner": "A", "IsReversal": false, "ConfoundersInStudy": 1, "IsParadoxExplained": false, "PooledGap": 0.027857142857142858, "StrataWonByLoser": 0, "ParadoxStrength": 0.0, "PooledRateFromWeightsA": 0.9700309214594929, "PooledRateFromWeightsB": 0.8813068181818182, "ReversalIntensity": 0.0, "ThresholdMargin": -0.5, "SignedPooledGap": 0.027857142857142858, "WeightedStratumGapSum": 0.0887241032776747, "IsSignFlip": false, "AllocationDistortion": 0.06086696042053185, "DistortionType": "C-", "PolicyImplication": "check-allocation-bias", "AdjustmentRationale": "Patient risk is a confirmed confounder (sicker patients are assigned to specialist centres and have worse outcomes). Adjustment appropriate for comparing surgical outcomes fairly." },
      { "TreatmentRankingId": "titanic-1912-A-vs-B", "Study": "titanic-1912", "TreatmentA": "A", "TreatmentB": "B", "Name": "titanic-1912-A-vs-B", "TotalCasesA": 319, "TotalSuccessesA": 196, "PooledRateA": 0.6144200626959248, "TotalCasesB": 627, "TotalSuccessesB": 151, "PooledRateB": 0.24082934609250398, "PooledWinner": "A", "StratumCount": 2, "StrataWonByA": 2, "StrataWonByB": 0, "PerStratumWinner": "A", "IsReversal": false, "ConfoundersInStudy": 1, "IsParadoxExplained": false, "PooledGap": 0.3735907166034208, "StrataWonByLoser": 0, "ParadoxStrength": 0.0, "PooledRateFromWeightsA": 0.5346203312191684, "PooledRateFromWeightsB": 0.25976359792427445, "ReversalIntensity": 0.0, "ThresholdMargin": -0.5, "SignedPooledGap": 0.3735907166034208, "WeightedStratumGapSum": 0.27485673329489396, "IsSignFlip": false, "AllocationDistortion": 0.09873398330852681, "DistortionType": "C+", "PolicyImplication": "check-allocation-bias", "AdjustmentRationale": "Sex is a confirmed confounder (affected both lifeboat boarding priority and survival). Adjustment appropriate." },
      { "TreatmentRankingId": "birth-weight-paradox-A-vs-B", "Study": "birth-weight-paradox", "TreatmentA": "A", "TreatmentB": "B", "Name": "birth-weight-paradox-A-vs-B", "TotalCasesA": 2000, "TotalSuccessesA": 1955, "PooledRateA": 0.9775, "TotalCasesB": 5500, "TotalSuccessesB": 5450, "PooledRateB": 0.990909090909091, "PooledWinner": "B", "StratumCount": 2, "StrataWonByA": 1, "StrataWonByB": 1, "PerStratumWinner": "none", "IsReversal": true, "ConfoundersInStudy": 0, "IsParadoxExplained": false, "PooledGap": 0.013409090909090909, "StrataWonByLoser": 1, "ParadoxStrength": 0.006704545454545454, "PooledRateFromWeightsA": 0.988, "PooledRateFromWeightsB": 0.9848, "ReversalIntensity": 0.5, "ThresholdMargin": 0.0, "SignedPooledGap": -0.013409090909090909, "WeightedStratumGapSum": 0.0032, "IsSignFlip": true, "AllocationDistortion": 0.01660909090909091, "DistortionType": "B", "PolicyImplication": "investigate-confounder", "AdjustmentRationale": "Birth weight class is a MEDIATOR of the effect of maternal smoking on infant mortality (smoking causes low birth weight, which then causes mortality). Conditioning on a mediator blocks the causal path and introduces collider bias among low-birth-weight infants. AdjustmentAppropriate=FALSE: CorrectedGap does not recover the true causal effect here." },
      { "TreatmentRankingId": "melanoma-altman-1991-A-vs-B", "Study": "melanoma-altman-1991", "TreatmentA": "A", "TreatmentB": "B", "Name": "melanoma-altman-1991-A-vs-B", "TotalCasesA": 200, "TotalSuccessesA": 172, "PooledRateA": 0.86, "TotalCasesB": 200, "TotalSuccessesB": 136, "PooledRateB": 0.68, "PooledWinner": "A", "StratumCount": 2, "StrataWonByA": 2, "StrataWonByB": 0, "PerStratumWinner": "A", "IsReversal": false, "ConfoundersInStudy": 1, "IsParadoxExplained": false, "PooledGap": 0.18, "StrataWonByLoser": 0, "ParadoxStrength": 0.0, "PooledRateFromWeightsA": 0.815, "PooledRateFromWeightsB": 0.72875, "ReversalIntensity": 0.0, "ThresholdMargin": -0.5, "SignedPooledGap": 0.18, "WeightedStratumGapSum": 0.08625, "IsSignFlip": false, "AllocationDistortion": 0.09375, "DistortionType": "C+", "PolicyImplication": "check-allocation-bias", "AdjustmentRationale": "Sex is a confirmed confounder (affects both tumour location and survival). Adjustment appropriate." },
      { "TreatmentRankingId": "coffee-tverdal-2020-A-vs-B", "Study": "coffee-tverdal-2020", "TreatmentA": "A", "TreatmentB": "B", "Name": "coffee-tverdal-2020-A-vs-B", "TotalCasesA": 2000, "TotalSuccessesA": 1740, "PooledRateA": 0.87, "TotalCasesB": 2000, "TotalSuccessesB": 1690, "PooledRateB": 0.845, "PooledWinner": "A", "StratumCount": 2, "StrataWonByA": 2, "StrataWonByB": 0, "PerStratumWinner": "A", "IsReversal": false, "ConfoundersInStudy": 0, "IsParadoxExplained": false, "PooledGap": 0.025, "StrataWonByLoser": 0, "ParadoxStrength": 0.0, "PooledRateFromWeightsA": 0.87, "PooledRateFromWeightsB": 0.845, "ReversalIntensity": 0.0, "ThresholdMargin": -0.5, "SignedPooledGap": 0.025, "WeightedStratumGapSum": 0.025, "IsSignFlip": false, "AllocationDistortion": 0.0, "DistortionType": "D", "PolicyImplication": "pooled-analysis-trustworthy", "AdjustmentRationale": "Smoking is a confirmed confounder (affects both coffee consumption patterns and cardiovascular outcomes). Adjustment appropriate." },
      { "TreatmentRankingId": "sat-wainer-1986-A-vs-B", "Study": "sat-wainer-1986", "TreatmentA": "A", "TreatmentB": "B", "Name": "sat-wainer-1986-A-vs-B", "TotalCasesA": 1000, "TotalSuccessesA": 520, "PooledRateA": 0.52, "TotalCasesB": 150, "TotalSuccessesB": 75, "PooledRateB": 0.5, "PooledWinner": "A", "StratumCount": 2, "StrataWonByA": 1, "StrataWonByB": 1, "PerStratumWinner": "none", "IsReversal": true, "ConfoundersInStudy": 1, "IsParadoxExplained": true, "PooledGap": 0.02, "StrataWonByLoser": 1, "ParadoxStrength": 0.01, "PooledRateFromWeightsA": 0.5173913043478261, "PooledRateFromWeightsB": 0.5260869565217391, "ReversalIntensity": 0.5, "ThresholdMargin": 0.0, "SignedPooledGap": 0.02, "WeightedStratumGapSum": -0.008695652173913044, "IsSignFlip": true, "AllocationDistortion": 0.028695652173913042, "DistortionType": "B", "PolicyImplication": "investigate-confounder", "AdjustmentRationale": "School spending is a proxy for underlying socioeconomic status (SES), which is the true confounder. Conditioning on a noisy proxy only partially removes confounding. Adjustment is directionally appropriate but should be interpreted cautiously — residual confounding by unmeasured SES components is likely." },
      { "TreatmentRankingId": "rogers-nicewander-1988-A-vs-B", "Study": "rogers-nicewander-1988", "TreatmentA": "A", "TreatmentB": "B", "Name": "rogers-nicewander-1988-A-vs-B", "AdjustmentRationale": "Confirmed confounder pre-registered in StratumVariables; stratification-adjusted estimate is epistemically appropriate for imported real study.", "TotalCasesA": 36, "TotalSuccessesA": 12, "PooledRateA": 0.3333333333333333, "TotalCasesB": 22, "TotalSuccessesB": 6, "PooledRateB": 0.2727272727272727, "PooledWinner": "A", "StratumCount": 2, "StrataWonByA": 0, "StrataWonByB": 2, "PerStratumWinner": "B", "IsReversal": true, "ConfoundersInStudy": 1, "IsParadoxExplained": true, "PooledGap": 0.06060606060606061, "StrataWonByLoser": 2, "ParadoxStrength": 0.06060606060606061, "PooledRateFromWeightsA": 0.3018515372855444, "PooledRateFromWeightsB": 0.3235632183908046, "ReversalIntensity": 1.0, "ThresholdMargin": 0.5, "SignedPooledGap": 0.06060606060606061, "WeightedStratumGapSum": -0.02171168110526018, "IsSignFlip": true, "AllocationDistortion": 0.08231774171132078, "DistortionType": "B", "PolicyImplication": "investigate-confounder" },
      { "TreatmentRankingId": "lucente-baseball-1995-A-vs-B", "Study": "lucente-baseball-1995", "TreatmentA": "A", "TreatmentB": "B", "Name": "lucente-baseball-1995-A-vs-B", "AdjustmentRationale": "Confirmed confounder pre-registered in StratumVariables; stratification-adjusted estimate is epistemically appropriate for imported real study.", "TotalCasesA": 330, "TotalSuccessesA": 97, "PooledRateA": 0.29393939393939394, "TotalCasesB": 360, "TotalSuccessesB": 103, "PooledRateB": 0.2861111111111111, "PooledWinner": "A", "StratumCount": 2, "StrataWonByA": 1, "StrataWonByB": 1, "PerStratumWinner": "none", "IsReversal": false, "ConfoundersInStudy": 1, "IsParadoxExplained": false, "PooledGap": 0.007828282828282828, "StrataWonByLoser": 1, "ParadoxStrength": 0.003914141414141414, "PooledRateFromWeightsA": 0.29452495974235104, "PooledRateFromWeightsB": 0.28731884057971013, "ReversalIntensity": 0.5, "ThresholdMargin": 0.0, "SignedPooledGap": 0.007828282828282828, "WeightedStratumGapSum": 0.007206119162640902, "IsSignFlip": false, "AllocationDistortion": 0.0006221636656419265, "DistortionType": "D", "PolicyImplication": "pooled-analysis-trustworthy" },
      { "TreatmentRankingId": "wilson-batting-2000-A-vs-B", "Study": "wilson-batting-2000", "TreatmentA": "A", "TreatmentB": "B", "Name": "wilson-batting-2000-A-vs-B", "AdjustmentRationale": "Confirmed confounder pre-registered in StratumVariables; stratification-adjusted estimate is epistemically appropriate for imported real study.", "TotalCasesA": 180, "TotalSuccessesA": 53, "PooledRateA": 0.29444444444444445, "TotalCasesB": 200, "TotalSuccessesB": 60, "PooledRateB": 0.3, "PooledWinner": "B", "StratumCount": 2, "StrataWonByA": 0, "StrataWonByB": 2, "PerStratumWinner": "B", "IsReversal": false, "ConfoundersInStudy": 1, "IsParadoxExplained": false, "PooledGap": 0.005555555555555556, "StrataWonByLoser": 0, "ParadoxStrength": 0.0, "PooledRateFromWeightsA": 0.29385964912280704, "PooledRateFromWeightsB": 0.3005205320994795, "ReversalIntensity": 0.0, "ThresholdMargin": -0.5, "SignedPooledGap": -0.005555555555555556, "WeightedStratumGapSum": -0.00666088297667245, "IsSignFlip": false, "AllocationDistortion": 0.0011053274211168947, "DistortionType": "D", "PolicyImplication": "pooled-analysis-trustworthy" },
      { "TreatmentRankingId": "clemens-bly-1998-A-vs-B", "Study": "clemens-bly-1998", "TreatmentA": "A", "TreatmentB": "B", "Name": "clemens-bly-1998-A-vs-B", "AdjustmentRationale": "Confirmed confounder pre-registered in StratumVariables; stratification-adjusted estimate is epistemically appropriate for imported real study.", "TotalCasesA": 140, "TotalSuccessesA": 40, "PooledRateA": 0.2857142857142857, "TotalCasesB": 155, "TotalSuccessesB": 46, "PooledRateB": 0.2967741935483871, "PooledWinner": "B", "StratumCount": 2, "StrataWonByA": 0, "StrataWonByB": 2, "PerStratumWinner": "B", "IsReversal": false, "ConfoundersInStudy": 1, "IsParadoxExplained": false, "PooledGap": 0.011059907834101382, "StrataWonByLoser": 0, "ParadoxStrength": 0.0, "PooledRateFromWeightsA": 0.28580037664783425, "PooledRateFromWeightsB": 0.29670261941448384, "ReversalIntensity": 0.0, "ThresholdMargin": -0.5, "SignedPooledGap": -0.011059907834101382, "WeightedStratumGapSum": -0.010902242766649547, "IsSignFlip": false, "AllocationDistortion": 0.00015766506745183617, "DistortionType": "D", "PolicyImplication": "pooled-analysis-trustworthy" },
      { "TreatmentRankingId": "open-university-1975-A-vs-B", "Study": "open-university-1975", "TreatmentA": "A", "TreatmentB": "B", "Name": "open-university-1975-A-vs-B", "AdjustmentRationale": "Confirmed confounder pre-registered in StratumVariables; stratification-adjusted estimate is epistemically appropriate for imported real study.", "TotalCasesA": 1484, "TotalSuccessesA": 1063, "PooledRateA": 0.7163072776280324, "TotalCasesB": 1039, "TotalSuccessesB": 737, "PooledRateB": 0.7093358999037536, "PooledWinner": "A", "StratumCount": 3, "StrataWonByA": 1, "StrataWonByB": 2, "PerStratumWinner": "none", "IsReversal": false, "ConfoundersInStudy": 1, "IsParadoxExplained": false, "PooledGap": 0.006971377724278736, "StrataWonByLoser": 2, "ParadoxStrength": 0.0046475851495191576, "PooledRateFromWeightsA": 0.711</t>
  </si>
  <si>
    <t xml:space="preserve">6849422058826, "PooledRateFromWeightsB": 0.7083622274429049, "ReversalIntensity": 0.6666666666666666, "ThresholdMargin": 0.16666666666666666, "SignedPooledGap": 0.006971377724278736, "WeightedStratumGapSum": 0.0033227147629777366, "IsSignFlip": false, "AllocationDistortion": 0.0036486629613009993, "DistortionType": "D", "PolicyImplication": "pooled-analysis-trustworthy" },
      { "TreatmentRankingId": "pisa-immigration-2015-A-vs-B", "Study": "pisa-immigration-2015", "TreatmentA": "A", "TreatmentB": "B", "Name": "pisa-immigration-2015-A-vs-B", "AdjustmentRationale": "Confirmed confounder pre-registered in StratumVariables; stratification-adjusted estimate is epistemically appropriate for imported real study.", "TotalCasesA": 900, "TotalSuccessesA": 700, "PooledRateA": 0.7777777777777778, "TotalCasesB": 320, "TotalSuccessesB": 230, "PooledRateB": 0.71875, "PooledWinner": "A", "StratumCount": 2, "StrataWonByA": 1, "StrataWonByB": 1, "PerStratumWinner": "none", "IsReversal": false, "ConfoundersInStudy": 1, "IsParadoxExplained": false, "PooledGap": 0.059027777777777776, "StrataWonByLoser": 1, "ParadoxStrength": 0.029513888888888888, "PooledRateFromWeightsA": 0.7711475409836066, "PooledRateFromWeightsB": 0.7076502732240437, "ReversalIntensity": 0.5, "ThresholdMargin": 0.0, "SignedPooledGap": 0.059027777777777776, "WeightedStratumGapSum": 0.06349726775956284, "IsSignFlip": false, "AllocationDistortion": 0.004469489981785064, "DistortionType": "D", "PolicyImplication": "pooled-analysis-trustworthy" },
      { "TreatmentRankingId": "wainer-sat-states-1992-A-vs-B", "Study": "wainer-sat-states-1992", "TreatmentA": "A", "TreatmentB": "B", "Name": "wainer-sat-states-1992-A-vs-B", "AdjustmentRationale": "Confirmed confounder pre-registered in StratumVariables; stratification-adjusted estimate is epistemically appropriate for imported real study.", "TotalCasesA": 900, "TotalSuccessesA": 520, "PooledRateA": 0.5777777777777777, "TotalCasesB": 450, "TotalSuccessesB": 330, "PooledRateB": 0.7333333333333333, "PooledWinner": "B", "StratumCount": 2, "StrataWonByA": 0, "StrataWonByB": 2, "PerStratumWinner": "B", "IsReversal": false, "ConfoundersInStudy": 1, "IsParadoxExplained": false, "PooledGap": 0.15555555555555556, "StrataWonByLoser": 0, "ParadoxStrength": 0.0, "PooledRateFromWeightsA": 0.5777777777777777, "PooledRateFromWeightsB": 0.7333333333333333, "ReversalIntensity": 0.0, "ThresholdMargin": -0.5, "SignedPooledGap": -0.15555555555555556, "WeightedStratumGapSum": -0.15555555555555556, "IsSignFlip": false, "AllocationDistortion": 4.8e-21, "DistortionType": "D", "PolicyImplication": "pooled-analysis-trustworthy" },
      { "TreatmentRankingId": "folic-acid-neural-tube-1991-A-vs-B", "Study": "folic-acid-neural-tube-1991", "TreatmentA": "A", "TreatmentB": "B", "Name": "folic-acid-neural-tube-1991-A-vs-B", "AdjustmentRationale": "Confirmed confounder pre-registered in StratumVariables; stratification-adjusted estimate is epistemically appropriate for imported real study.", "TotalCasesA": 2104, "TotalSuccessesA": 0, "PooledRateA": 0.0, "TotalCasesB": 2052, "TotalSuccessesB": 6, "PooledRateB": 0.0029239766081871343, "PooledWinner": "B", "StratumCount": 2, "StrataWonByA": 0, "StrataWonByB": 2, "PerStratumWinner": "B", "IsReversal": false, "ConfoundersInStudy": 1, "IsParadoxExplained": false, "PooledGap": 0.0029239766081871343, "StrataWonByLoser": 0, "ParadoxStrength": 0.0, "PooledRateFromWeightsA": 0.0, "PooledRateFromWeightsB": 0.0028629756989677537, "ReversalIntensity": 0.0, "ThresholdMargin": -0.5, "SignedPooledGap": -0.0029239766081871343, "WeightedStratumGapSum": -0.0028629756989677537, "IsSignFlip": false, "AllocationDistortion": 6.1000909219380976e-05, "DistortionType": "D", "PolicyImplication": "pooled-analysis-trustworthy" },
      { "TreatmentRankingId": "steroid-asthma-severity-A-vs-B", "Study": "steroid-asthma-severity", "TreatmentA": "A", "TreatmentB": "B", "Name": "steroid-asthma-severity-A-vs-B", "AdjustmentRationale": "Confirmed confounder pre-registered in StratumVariables; stratification-adjusted estimate is epistemically appropriate for imported real study.", "TotalCasesA": 320, "TotalSuccessesA": 240, "PooledRateA": 0.75, "TotalCasesB": 330, "TotalSuccessesB": 240, "PooledRateB": 0.7272727272727273, "PooledWinner": "A", "StratumCount": 2, "StrataWonByA": 1, "StrataWonByB": 1, "PerStratumWinner": "none", "IsReversal": true, "ConfoundersInStudy": 1, "IsParadoxExplained": true, "PooledGap": 0.022727272727272728, "StrataWonByLoser": 1, "ParadoxStrength": 0.011363636363636364, "PooledRateFromWeightsA": 0.7338461538461538, "PooledRateFromWeightsB": 0.7364102564102564, "ReversalIntensity": 0.5, "ThresholdMargin": 0.0, "SignedPooledGap": 0.022727272727272728, "WeightedStratumGapSum": -0.002564102564102564, "IsSignFlip": true, "AllocationDistortion": 0.02529137529137529, "DistortionType": "B", "PolicyImplication": "investigate-confounder" },
      { "TreatmentRankingId": "kidney-dialysis-facility-1990-A-vs-B", "Study": "kidney-dialysis-facility-1990", "TreatmentA": "A", "TreatmentB": "B", "Name": "kidney-dialysis-facility-1990-A-vs-B", "AdjustmentRationale": "Confirmed confounder pre-registered in StratumVariables; stratification-adjusted estimate is epistemically appropriate for imported real study.", "TotalCasesA": 200, "TotalSuccessesA": 177, "PooledRateA": 0.885, "TotalCasesB": 200, "TotalSuccessesB": 158, "PooledRateB": 0.79, "PooledWinner": "A", "StratumCount": 2, "StrataWonByA": 2, "StrataWonByB": 0, "PerStratumWinner": "A", "IsReversal": false, "ConfoundersInStudy": 1, "IsParadoxExplained": false, "PooledGap": 0.095, "StrataWonByLoser": 0, "ParadoxStrength": 0.0, "PooledRateFromWeightsA": 0.885, "PooledRateFromWeightsB": 0.79, "ReversalIntensity": 0.0, "ThresholdMargin": -0.5, "SignedPooledGap": 0.095, "WeightedStratumGapSum": 0.095, "IsSignFlip": false, "AllocationDistortion": 0.0, "DistortionType": "D", "PolicyImplication": "pooled-analysis-trustworthy" },
      { "TreatmentRankingId": "warfarin-bleeding-age-A-vs-B", "Study": "warfarin-bleeding-age", "TreatmentA": "A", "TreatmentB": "B", "Name": "warfarin-bleeding-age-A-vs-B", "AdjustmentRationale": "Confirmed confounder pre-registered in StratumVariables; stratification-adjusted estimate is epistemically appropriate for imported real study.", "TotalCasesA": 800, "TotalSuccessesA": 70, "PooledRateA": 0.0875, "TotalCasesB": 600, "TotalSuccessesB": 35, "PooledRateB": 0.058333333333333334, "PooledWinner": "A", "StratumCount": 2, "StrataWonByA": 2, "StrataWonByB": 0, "PerStratumWinner": "A", "IsReversal": false, "ConfoundersInStudy": 1, "IsParadoxExplained": false, "PooledGap": 0.029166666666666667, "StrataWonByLoser": 0, "ParadoxStrength": 0.0, "PooledRateFromWeightsA": 0.08571428571428572, "PooledRateFromWeightsB": 0.059821428571428574, "ReversalIntensity": 0.0, "ThresholdMargin": -0.5, "SignedPooledGap": 0.029166666666666667, "WeightedStratumGapSum": 0.025892857142857145, "IsSignFlip": false, "AllocationDistortion": 0.003273809523809524, "DistortionType": "D", "PolicyImplication": "pooled-analysis-trustworthy" },
      { "TreatmentRankingId": "diabetes-metformin-bmi-A-vs-B", "Study": "diabetes-metformin-bmi", "TreatmentA": "A", "TreatmentB": "B", "Name": "diabetes-metformin-bmi-A-vs-B", "AdjustmentRationale": "Confirmed confounder pre-registered in StratumVariables; stratification-adjusted estimate is epistemically appropriate for imported real study.", "TotalCasesA": 450, "TotalSuccessesA": 300, "PooledRateA": 0.6666666666666666, "TotalCasesB": 450, "TotalSuccessesB": 270, "PooledRateB": 0.6, "PooledWinner": "A", "StratumCount": 2, "StrataWonByA": 1, "StrataWonByB": 1, "PerStratumWinner": "none", "IsReversal": false, "ConfoundersInStudy": 1, "IsParadoxExplained": false, "PooledGap": 0.06666666666666667, "StrataWonByLoser": 1, "ParadoxStrength": 0.03333333333333333, "PooledRateFromWeightsA": 0.6666666666666666, "PooledRateFromWeightsB": 0.6, "ReversalIntensity": 0.5, "ThresholdMargin": 0.0, "SignedPooledGap": 0.06666666666666667, "WeightedStratumGapSum": 0.06666666666666667, "IsSignFlip": false, "AllocationDistortion": 2.4e-21, "DistortionType": "D", "PolicyImplication": "pooled-analysis-trustworthy" },
      { "TreatmentRankingId": "oncology-trial-stage-A-vs-B", "Study": "oncology-trial-stage", "TreatmentA": "A", "TreatmentB": "B", "Name": "oncology-trial-stage-A-vs-B", "AdjustmentRationale": "Confirmed confounder pre-registered in StratumVariables; stratification-adjusted estimate is epistemically appropriate for imported real study.", "TotalCasesA": 300, "TotalSuccessesA": 190, "PooledRateA": 0.6333333333333333, "TotalCasesB": 300, "TotalSuccessesB": 190, "PooledRateB": 0.6333333333333333, "PooledWinner": "tie", "StratumCount": 2, "StrataWonByA": 1, "StrataWonByB": 1, "PerStratumWinner": "none", "IsReversal": false, "ConfoundersInStudy": 1, "IsParadoxExplained": false, "PooledGap": 0.0, "StrataWonByLoser": 1, "ParadoxStrength": 0.0, "PooledRateFromWeightsA": 0.6333333333333333, "PooledRateFromWeightsB": 0.6333333333333333, "ReversalIntensity": 0.5, "ThresholdMargin": 0.0, "SignedPooledGap": 0.0, "WeightedStratumGapSum": 2e-21, "IsSignFlip": false, "AllocationDistortion": 2e-21, "DistortionType": "D", "PolicyImplication": "pooled-analysis-trustworthy" },
      { "TreatmentRankingId": "exercise-cholesterol-age-A-vs-B", "Study": "exercise-cholesterol-age", "TreatmentA": "A", "TreatmentB": "B", "Name": "exercise-cholesterol-age-A-vs-B", "AdjustmentRationale": "Confirmed confounder pre-registered in StratumVariables; stratification-adjusted estimate is epistemically appropriate for imported real study.", "TotalCasesA": 500, "TotalSuccessesA": 280, "PooledRateA": 0.56, "TotalCasesB": 550, "TotalSuccessesB": 220, "PooledRateB": 0.4, "PooledWinner": "A", "StratumCount": 2, "StrataWonByA": 1, "StrataWonByB": 1, "PerStratumWinner": "none", "IsReversal": false, "ConfoundersInStudy": 1, "IsParadoxExplained": false, "PooledGap": 0.16, "StrataWonByLoser": 1, "ParadoxStrength": 0.08, "PooledRateFromWeightsA": 0.5523809523809524, "PooledRateFromWeightsB": 0.4, "ReversalIntensity": 0.5, "ThresholdMargin": 0.0, "SignedPooledGap": 0.16, "WeightedStratumGapSum": 0.1523809523809524, "IsSignFlip": false, "AllocationDistortion": 0.007619047619047619, "DistortionType": "D", "PolicyImplication": "pooled-analysis-trustworthy" },
      { "TreatmentRankingId": "red-meat-colorectal-bmi-A-vs-B", "Study": "red-meat-colorectal-bmi", "TreatmentA": "A", "TreatmentB": "B", "Name": "red-meat-colorectal-bmi-A-vs-B", "AdjustmentRationale": "Confirmed confounder pre-registered in StratumVariables; stratification-adjusted estimate is epistemically appropriate for imported real study.", "TotalCasesA": 900, "TotalSuccessesA": 75, "PooledRateA": 0.08333333333333333, "TotalCasesB": 950, "TotalSuccessesB": 60, "PooledRateB": 0.06315789473684211, "PooledWinner": "A", "StratumCount": 2, "StrataWonByA": 2, "StrataWonByB": 0, "PerStratumWinner": "A", "IsReversal": false, "ConfoundersInStudy": 1, "IsParadoxExplained": false, "PooledGap": 0.02017543859649123, "StrataWonByLoser": 0, "ParadoxStrength": 0.0, "PooledRateFromWeightsA": 0.08412162162162162, "PooledRateFromWeightsB": 0.06276276276276277, "ReversalIntensity": 0.0, "ThresholdMargin": -0.5, "SignedPooledGap": 0.02017543859649123, "WeightedStratumGapSum": 0.02135885885885886, "IsSignFlip": false, "AllocationDistortion": 0.0011834202623676308, "DistortionType": "D", "PolicyImplication": "pooled-analysis-trustworthy" },
      { "TreatmentRankingId": "folic-fortification-2000-A-vs-B", "Study": "folic-fortification-2000", "TreatmentA": "A", "TreatmentB": "B", "Name": "folic-fortification-2000-A-vs-B", "AdjustmentRationale": "Confirmed confounder pre-registered in StratumVariables; stratification-adjusted estimate is epistemically appropriate for imported real study.", "TotalCasesA": 3000, "TotalSuccessesA": 2915, "PooledRateA": 0.9716666666666667, "TotalCasesB": 3000, "TotalSuccessesB": 2850, "PooledRateB": 0.95, "PooledWinner": "A", "StratumCount": 3, "StrataWonByA": 3, "StrataWonByB": 0, "PerStratumWinner": "A", "IsReversal": false, "ConfoundersInStudy": 1, "IsParadoxExplained": false, "PooledGap": 0.021666666666666667, "StrataWonByLoser": 0, "ParadoxStrength": 0.0, "PooledRateFromWeightsA": 0.9716666666666667, "PooledRateFromWeightsB": 0.95, "ReversalIntensity": 0.0, "ThresholdMargin": -0.5, "SignedPooledGap": 0.021666666666666667, "WeightedStratumGapSum": 0.021666666666666667, "IsSignFlip": false, "AllocationDistortion": 3.55e-21, "DistortionType": "D", "PolicyImplication": "pooled-analysis-trustworthy" },
      { "TreatmentRankingId": "north-carolina-death-penalty-1990-A-vs-B", "Study": "north-carolina-death-penalty-1990", "TreatmentA": "A", "TreatmentB": "B", "Name": "north-carolina-death-penalty-1990-A-vs-B", "AdjustmentRationale": "Confirmed confounder pre-registered in StratumVariables; stratification-adjusted estimate is epistemically appropriate for imported real study.", "TotalCasesA": 135, "TotalSuccessesA": 15, "PooledRateA": 0.1111111111111111, "TotalCasesB": 145, "TotalSuccessesB": 13, "PooledRateB": 0.0896551724137931, "PooledWinner": "A", "StratumCount": 2, "StrataWonByA": 1, "StrataWonByB": 1, "PerStratumWinner": "none", "IsReversal": true, "ConfoundersInStudy": 1, "IsParadoxExplained": true, "PooledGap": 0.021455938697318006, "StrataWonByLoser": 1, "ParadoxStrength": 0.010727969348659003, "PooledRateFromWeightsA": 0.09791666666666667, "PooledRateFromWeightsB": 0.11174242424242424, "ReversalIntensity": 0.5, "ThresholdMargin": 0.0, "SignedPooledGap": 0.021455938697318006, "WeightedStratumGapSum": -0.013825757575757576, "IsSignFlip": true, "AllocationDistortion": 0.035281696273075584, "DistortionType": "B", "PolicyImplication": "investigate-confounder" },
      { "TreatmentRankingId": "housing-discrimination-audit-A-vs-B", "Study": "housing-discrimination-audit", "TreatmentA": "A", "TreatmentB": "B", "Name": "housing-discrimination-audit-A-vs-B", "AdjustmentRationale": "Confirmed confounder pre-registered in StratumVariables; stratification-adjusted estimate is epistemically appropriate for imported real study.", "TotalCasesA": 500, "TotalSuccessesA": 300, "PooledRateA": 0.6, "TotalCasesB": 500, "TotalSuccessesB": 360, "PooledRateB": 0.72, "PooledWinner": "B", "StratumCount": 2, "StrataWonByA": 0, "StrataWonByB": 2, "PerStratumWinner": "B", "IsReversal": false, "ConfoundersInStudy": 1, "IsParadoxExplained": false, "PooledGap": 0.12, "StrataWonByLoser": 0, "ParadoxStrength": 0.0, "PooledRateFromWeightsA": 0.6, "PooledRateFromWeightsB": 0.72, "ReversalIntensity": 0.0, "ThresholdMargin": -0.5, "SignedPooledGap": -0.12, "WeightedStratumGapSum": -0.12, "IsSignFlip": false, "AllocationDistortion": 0.0, "DistortionType": "D", "PolicyImplication": "pooled-analysis-trustworthy" },
      { "TreatmentRankingId": "gender-pay-gap-industry-A-vs-B", "Study": "gender-pay-gap-industry", "TreatmentA": "A", "TreatmentB": "B", "Name": "gender-pay-gap-industry-A-vs-B", "AdjustmentRationale": "Confirmed confounder pre-registered in StratumVariables; stratification-adjusted estimate is epistemically appropriate for imported real study.", "TotalCasesA": 1400, "TotalSuccessesA": 770, "PooledRateA": 0.55, "TotalCasesB": 1400, "TotalSuccessesB": 910, "PooledRateB": 0.65, "PooledWinner": "B", "StratumCount": 3, "StrataWonByA": 0, "StrataWonByB": 3, "PerStratumWinner": "B", "IsReversal": false, "ConfoundersInStudy": 1, "IsParadoxExplained": false, "PooledGap": 0.1, "StrataWonByLoser": 0, "ParadoxStrength": 0.0, "PooledRateFromWeightsA": 0.53125, "PooledRateFromWeightsB": 0.655, "ReversalIntensity": 0.0, "ThresholdMargin": -0.5, "SignedPooledGap": -0.1, "WeightedStratumGapSum": -0.12375, "IsSignFlip": false, "AllocationDistortion": 0.02375, "DistortionType": "C-", "PolicyImplication": "check-allocation-bias" },
      { "TreatmentRankingId": "income-education-state-A-vs-B", "Study": "income-education-state", "TreatmentA": "A", "TreatmentB": "B", "Name": "income-education-state-A-vs-B", "AdjustmentRationale": "Confirmed confounder pre-registered in StratumVariables; stratification-adjusted estimate is epistemically appropriate for imported real study.", "TotalCasesA": 1900, "TotalSuccessesA": 1300, "PooledRateA": 0.6842105263157895, "TotalCasesB": 1700, "TotalSuccessesB": 850, "PooledRateB": 0.5, "PooledWinner": "A", "StratumCount": 2, "StrataWonByA": 2, "StrataWonByB": 0, "PerStratumWinner": "A", "IsReversal": false, "ConfoundersInStudy": 1, "IsParadoxExplained": false, "PooledGap": 0.18421052631578946, "StrataWonByLoser": 0, "ParadoxStrength": 0.0, "PooledRateFromWeightsA": 0.6777777777777778, "PooledRateFromWeightsB": 0.5, "ReversalIntensity": 0.0, "ThresholdMargin": -0.5, "SignedPooledGap": 0.18421052631578946, "WeightedStratumGapSum": 0.17777777777777778, "IsSignFlip": false, "AllocationDistortion": 0.006432748538011696, "DistortionType": "D", "PolicyImplication": "pooled-analysis-trustworthy" },
      { "TreatmentRankingId": "florida-reef-fish-1994-A-vs-B", "Study": "florida-reef-fish-1994", "TreatmentA": "A", "TreatmentB": "B", "Name": "florida-reef-fish-1994-A-vs-B", "AdjustmentRationale": "Confirmed confounder pre-registered in StratumVariables; stratification-adjusted estimate is epistemically appropriate for imported real study.", "TotalCasesA": 800, "TotalSuccessesA": 570, "PooledRateA": 0.7125, "TotalCasesB": 800, "TotalSuccessesB": 530, "PooledRateB": 0.6625, "PooledWinner": "A", "StratumCount": 2, "StrataWonByA": 1, "StrataWonByB": 1, "PerStratumWinner": "none", "IsReversal": false, "ConfoundersInStudy": 1, "IsParadoxExplained": false, "PooledGap": 0.05, "StrataWonByLoser": 1, "ParadoxStrength": 0.025, "PooledRateFromWeightsA": 0.7125, "PooledRateFromWeightsB": 0.6625, "ReversalIntensity": 0.5, "ThresholdMargin": 0.0, "SignedPooledGap": 0.05, "WeightedStratumGapSum": 0.05, "IsSignFlip": false, "AllocationDistortion": 2.5e-21, "DistortionType": "D", "PolicyImplication": "pooled-analysis-trustworthy" },
      { "TreatmentRankingId": "uc-irvine-admissions-1985-A-vs-B", "Study": "uc-irvine-admissions-1985", "TreatmentA": "A", "TreatmentB": "B", "Name": "uc-irvine-admissions-1985-A-vs-B", "AdjustmentRationale": "Causal role contested — geometric correction is available but adjustment requires caution about endogenous stratum choice.", "TotalCasesA": 1150, "TotalSuccessesA": 390, "PooledRateA": 0.3391304347826087, "TotalCasesB": 1030, "TotalSuccessesB": 440, "PooledRateB": 0.42718446601941745, "PooledWinner": "B", "StratumCount": 4, "StrataWonByA": 1, "StrataWonByB": 3, "PerStratumWinner": "none", "IsReversal": false, "ConfoundersInStudy": 0, "IsParadoxExplained": false, "PooledGap": 0.08805403123680879, "StrataWonByLoser": 1, "ParadoxStrength": 0.022013507809202196, "PooledRateFromWeightsA": 0.34464831804281343, "PooledRateFromWeightsB": 0.40224989078200085, "ReversalIntensity": 0.25, "ThresholdMargin": -0.25, "SignedPooledGap": -0.08805403123680879, "WeightedStratumGapSum": -0.057601572739187416, "IsSignFlip": false, "AllocationDistortion": 0.030452458497621362, "DistortionType": "C+", "PolicyImplication": "check-allocation-bias" },
      { "TreatmentRankingId": "cesarean-birth-weight-2006-A-vs-B", "Study": "cesarean-birth-weight-2006", "TreatmentA": "A", "TreatmentB": "B", "Name": "cesarean-birth-weight-2006-A-vs-B", "AdjustmentRationale": "Confirmed confounder pre-registered in StratumVariables; stratification-adjusted estimate is epistemically appropriate for imported real study.", "TotalCasesA": 5800, "TotalSuccessesA": 1600, "PooledRateA": 0.27586206896551724, "TotalCasesB": 2600, "TotalSuccessesB": 1150, "PooledRateB": 0.4423076923076923, "PooledWinner": "B", "StratumCount": 2, "StrataWonByA": 0, "StrataWonByB": 2, "PerStratumWinner": "B", "IsReversal": false, "ConfoundersInStudy": 1, "IsParadoxExplained": false, "PooledGap": 0.16644562334217505, "StrataWonByLoser": 0, "ParadoxStrength": 0.0, "PooledRateFromWeightsA": 0.2833333333333333, "PooledRateFromWeightsB": 0.4305555555555556, "ReversalIntensity": 0.0, "ThresholdMargin": -0.5, "SignedPooledGap": -0.16644562334217505, "WeightedStratumGapSum": -0.14722222222222223, "IsSignFlip": false, "AllocationDistortion": 0.019223401119952844, "DistortionType": "C+", "PolicyImplication": "check-allocation-bias" },
      { "TreatmentRankingId": "schizophrenia-antipsychotic-A-vs-B", "Study": "schizophrenia-antipsychotic", "TreatmentA": "A", "TreatmentB": "B", "Name": "schizophrenia-antipsychotic-A-vs-B", "AdjustmentRationale": "Confirmed confounder pre-registered in StratumVariables; stratification-adjusted estimate is epistemically appropriate for imported real study.", "TotalCasesA": 270, "TotalSuccessesA": 130, "PooledRateA": 0.48148148148148145, "TotalCasesB": 270, "TotalSuccessesB": 135, "PooledRateB": 0.5, "PooledWinner": "B", "StratumCount": 2, "StrataWonByA": 1, "StrataWonByB": 1, "PerStratumWinner": "none", "IsReversal": false, "ConfoundersInStudy": 1, "IsParadoxExplained": false, "PooledGap": 0.018518518518518517, "StrataWonByLoser": 1, "ParadoxStrength": 0.009259259259259259, "PooledRateFromWeightsA": 0.48148148148148145, "PooledRateFromWeightsB": 0.5, "ReversalIntensity": 0.5, "ThresholdMargin": 0.0, "SignedPooledGap": -0.018518518518518517, "WeightedStratumGapSum": -0.018518518518518517, "IsSignFlip": false, "AllocationDistortion": 4.1851851851851854e-21, "DistortionType": "D", "PolicyImplication": "pooled-analysis-trustworthy" },
      { "TreatmentRankingId": "berkeley-six-dept-1973-A-vs-B", "Study": "berkeley-six-dept-1973", "TreatmentA": "A", "TreatmentB": "B", "Name": "berkeley-six-dept-1973-A-vs-B", "AdjustmentRationale": "Causal role contested — geometric correction is available but adjustment requires caution about endogenous stratum choice.", "TotalCasesA": 2691, "TotalSuccessesA": 1198, "PooledRateA": 0.4451876625789669, "TotalCasesB": 1835, "TotalSuccessesB": 557, "PooledRateB": 0.30354223433242505, "PooledWinner": "A", "StratumCount": 6, "StrataWonByA": 2, "StrataWonByB": 4, "PerStratumWinner": "none", "IsReversal": true, "ConfoundersInStudy": 0, "IsParadoxExplained": false, "PooledGap": 0.14164542824654186, "StrataWonByLoser": 4, "ParadoxStrength": 0.09443028549769457, "PooledRateFromWeightsA": 0.38731858268942226, "PooledRateFromWeightsB": 0.4299553804607252, "ReversalIntensity": 0.6666666666666666, "ThresholdMargin": 0.16666666666666666, "SignedPooledGap": 0.14164542824654186, "WeightedStratumGapSum": -0.04263679777130291, "IsSignFlip": true, "AllocationDistortion": 0.18428222601784477, "DistortionType": "B", "PolicyImplication": "investigate-confounder" },
      { "TreatmentRankingId": "rosiglitazone-mi-pool-2007-A-vs-B", "Study": "rosiglitazone-mi-pool-2007", "TreatmentA": "A", "TreatmentB": "B", "Name": "rosiglitazone-mi-pool-2007-A-vs-B", "AdjustmentRationale": "Confirmed confounder pre-registered in StratumVariables; stratification-adjusted estimate is epistemically appropriate for imported real study.", "TotalCasesA": 15565, "TotalSuccessesA": 86, "PooledRateA": 0.0055252168326373275, "TotalCasesB": 12282, "TotalSuccessesB": 72, "PooledRateB": 0.005862237420615535, "PooledWinner": "B", "StratumCount": 2, "StrataWonByA": 1, "StrataWonByB": 1, "PerStratumWinner": "none", "IsReversal": true, "ConfoundersInStudy": 1, "IsParadoxExplained": true, "PooledGap": 0.00033702058797820757, "StrataWonByLoser": 1, "ParadoxStrength": 0.00016851029398910378, "PooledRateFromWeightsA": 0.008593536379991832, "PooledRateFromWeightsB": 0.006175601996463468, "ReversalIntensity": 0.5, "ThresholdMargin": 0.0, "SignedPooledGap": -0.00033702058797820757, "WeightedStratumGapSum": 0.002417934383528363, "IsSignFlip": true, "AllocationDistortion": 0.002754954971506571, "DistortionType": "A", "PolicyImplication": "stratify-immediately" },
      { "TreatmentRankingId": "ironman-gender-age-2010-A-vs-B", "Study": "ironman-gender-age-2010", "TreatmentA": "A", "TreatmentB": "B", "Name": "ironman-gender-age-2010-A-vs-B", "AdjustmentRationale": "Confirmed confounder pre-registered in StratumVariables; stratification-adjusted estimate is epistemically appropriate for imported real study.", "TotalCasesA": 110, "TotalSuccessesA": 85, "PooledRateA": 0.7727272727272727, "TotalCasesB": 110, "TotalSuccessesB": 69, "PooledRateB": 0.6272727272727273, "PooledWinner": "A", "StratumCount": 2, "StrataWonByA": 0, "StrataWonByB": 2, "PerStratumWinner": "B", "IsReversal": true, "ConfoundersInStudy": 1, "IsParadoxExplained": true, "PooledGap": 0.14545454545454545, "StrataWonByLoser": 2, "ParadoxStrength": 0.14545454545454545, "PooledRateFromWeightsA": 0.65, "PooledRateFromWeightsB": 0.75, "ReversalIntensity": 1.0, "ThresholdMargin": 0.5, "SignedPooledGap": 0.14545454545454545, "WeightedStratumGapSum": -0.1, "IsSignFlip": true, "AllocationDistortion": 0.24545454545454545, "DistortionType": "B", "PolicyImplication": "investigate-confounder" },
      { "TreatmentRankingId": "panama-sweden-mortality-1975-A-vs-B", "Study": "panama-sweden-mortality-1975", "TreatmentA": "A", "TreatmentB": "B", "Name": "panama-sweden-mortality-1975-A-vs-B", "AdjustmentRationale": "Confirmed confounder pre-registered in StratumVariables; stratification-adjusted estimate is epistemically appropriate for imported real study.", "TotalCasesA": 1000, "TotalSuccessesA": 914, "PooledRateA": 0.914, "TotalCasesB": 1000, "TotalSuccessesB": 964, "PooledRateB": 0.964, "PooledWinner": "B", "StratumCount": 3, "StrataWonByA": 3, "StrataWonByB": 0, "PerStratumWinner": "A", "IsReversal": true, "ConfoundersInStudy": 1, "IsParadoxExplained": true, "PooledGap": 0.05, "StrataWonByLoser": 3, "ParadoxStrength": 0.05, "PooledRateFromWeightsA": 0.9434166666666667, "PooledRateFromWeightsB": 0.9264428571428571, "ReversalIntensity": 1.0, "ThresholdMargin": 0.5, "SignedPooledGap": -0.05, "WeightedStratumGapSum": 0.016973809523809523, "IsSignFlip": true, "AllocationDistortion": 0.06697380952380952, "DistortionType": "B", "PolicyImplication": "investigate-confounder" },
      { "TreatmentRankingId": "hanley-power-lines-2000-A-vs-B", "Study": "hanley-power-lines-2000", "TreatmentA": "A", "TreatmentB": "B", "Name": "hanley-power-lines-2000-A-vs-B", "AdjustmentRationale": "Confirmed confounder pre-registered in StratumVariables; stratification-adjusted estimate is epistemically appropriate for imported real study.", "TotalCasesA": 255, "TotalSuccessesA": 42, "PooledRateA": 0.16470588235294117, "TotalCasesB": 1260, "TotalSuccessesB": 126, "PooledRateB": 0.1, "PooledWinner": "A", "StratumCount": 5, "StrataWonByA": 5, "StrataWonByB": 0, "PerStratumWinner": "A", "IsReversal": false, "ConfoundersInStudy": 1, "IsParadoxExplained": false, "PooledGap": 0.06470588235294118, "StrataWonByLoser": 0, "ParadoxStrength": 0.0, "PooledRateFromWeightsA": 0.18476912481742233, "PooledRateFromWeightsB": 0.09983054875956504, "ReversalIntensity": 0.0, "ThresholdMargin": -0.5, "SignedPooledGap": 0.06470588235294118, "WeightedStratumGapSum": 0.08493857605785729, "IsSignFlip": false, "AllocationDistortion": 0.020232693704916108, "DistortionType": "C-", "PolicyImplication": "check-allocation-bias" },
      { "TreatmentRankingId": "coffee-smoking-lung-1968-A-vs-B", "Study": "coffee-smoking-lung-1968", "TreatmentA": "A", "TreatmentB": "B", "Name": "coffee-smoking-lung-1968-A-vs-B", "AdjustmentRationale": "Confirmed confounder pre-registered in StratumVariables; stratification-adjusted estimate is epistemically appropriate for imported real study.", "TotalCasesA": 898, "TotalSuccessesA": 147, "PooledRateA": 0.16369710467706014, "TotalCasesB": 218, "TotalSuccessesB": 23, "PooledRateB": 0.10550458715596331, "PooledWinner": "A", "StratumCount": 2, "StrataWonByA": 1, "StrataWonByB": 1, "PerStratumWinner": "none", "IsReversal": false, "ConfoundersInStudy": 1, "IsParadoxExplained": false, "PooledGap": 0.05819251752109683, "StrataWonByLoser": 1, "ParadoxStrength": 0.029096258760548416, "PooledRateFromWeightsA": 0.15183565064359492, "PooledRateFromWeightsB": 0.1460557811364263, "ReversalIntensity": 0.5, "ThresholdMargin": 0.0, "SignedPooledGap": 0.05819251752109683, "WeightedStratumGapSum": 0.00577986950716862, "IsSignFlip": false, "AllocationDistortion": 0.05241264801392821, "DistortionType": "C+", "PolicyImplication": "check-allocation-bias" },
      { "TreatmentRankingId": "hrt-whi-2002-A-vs-B", "Study": "hrt-whi-2002", "TreatmentA": "A", "TreatmentB": "B", "Name": "hrt-whi-2002-A-vs-B", "AdjustmentRationale": "Causal role contested — geometric correction is available but adjustment requires caution about endogenous stratum choice.", "TotalCasesA": 105000, "TotalSuccessesA": 9450, "PooledRateA": 0.09, "TotalCasesB": 105000, "TotalSuccessesB": 9900, "PooledRateB": 0.09428571428571429, "PooledWinner": "B", "StratumCount": 2, "StrataWonByA": 1, "StrataWonByB": 1, "PerStratumWinner": "none", "IsReversal": false, "ConfoundersInStudy": 0, "IsParadoxExplained": false, "PooledGap": 0.004285714285714286, "StrataWonByLoser": 1, "ParadoxStrength": 0.002142857142857143, "PooledRateFromWeightsA": 0.09, "PooledRateFromWeightsB": 0.09428571428571429, "ReversalIntensity": 0.5, "ThresholdMargin": 0.0, "SignedPooledGap": -0.004285714285714286, "WeightedStratumGapSum": -0.004285714285714286, "IsSignFlip": false, "AllocationDistortion": 5.25062656641604e-22, "DistortionType": "D", "PolicyImplication": "pooled-analysis-trustworthy" },
      { "TreatmentRankingId": "obesity-paradox-hf-A-vs-B", "Study": "obesity-paradox-hf", "TreatmentA": "A", "TreatmentB": "B", "Name": "obesity-paradox-hf-A-vs-B", "AdjustmentRationale": "Stratum variable is a collider/selection mechanism; conditioning induces spurious association — AdjustmentAppropriate=FALSE.", "TotalCasesA": 2000, "TotalSuccessesA": 1450, "PooledRateA": 0.725, "TotalCasesB": 2000, "TotalSuccessesB": 1400, "PooledRateB": 0.7, "PooledWinner": "A", "StratumCount": 2, "StrataWonByA": 1, "StrataWonByB": 1, "PerStratumWinner": "none", "IsReversal": false, "ConfoundersInStudy": 0, "IsParadoxExplained": false, "PooledGap": 0.025, "StrataWonByLoser": 1, "ParadoxStrength": 0.0125, "PooledRateFromWeightsA": 0.725, "PooledRateFromWeightsB": 0.7, "ReversalIntensity": 0.5, "ThresholdMargin": 0.0, "SignedPooledGap": 0.025, "WeightedStratumGapSum": 0.025, "IsSignFlip": false, "AllocationDistortion": 0.0, "DistortionType": "D", "PolicyImplication": "pooled-analysis-trustworthy" },
      { "TreatmentRankingId": "dialysis-bmi-survival-A-vs-B", "Study": "dialysis-bmi-survival", "TreatmentA": "A", "TreatmentB": "B", "Name": "dialysis-bmi-survival-A-vs-B", "AdjustmentRationale": "Stratum variable is a collider/selection mechanism; conditioning induces spurious association — AdjustmentAppropriate=FALSE.", "TotalCasesA": 2000, "TotalSuccessesA": 1600, "PooledRateA": 0.8, "TotalCasesB": 2000, "TotalSuccessesB": 1550, "PooledRateB": 0.775, "PooledWinner": "A", "StratumCount": 2, "StrataWonByA": 1, "StrataWonByB": 1, "PerStratumWinner": "none", "IsReversal": false, "ConfoundersInStudy": 0, "IsParadoxExplained": false, "PooledGap": 0.025, "StrataWonByLoser": 1, "ParadoxStrength": 0.0125, "PooledRateFromWeightsA": 0.8, "PooledRateFromWeightsB": 0.775, "ReversalIntensity": 0.5, "ThresholdMargin": 0.0, "SignedPooledGap": 0.025, "WeightedStratumGapSum": 0.025, "IsSignFlip": false, "AllocationDistortion": 0.0, "DistortionType": "D", "PolicyImplication": "pooled-analysis-trustworthy" },
      { "TreatmentRankingId": "sick-quitter-alcohol-A-vs-B", "Study": "sick-quitter-alcohol", "TreatmentA": "A", "TreatmentB": "B", "Name": "sick-quitter-alcohol-A-vs-B", "AdjustmentRationale": "Causal role contested — geometric correction is available but adjustment requires caution about endogenous stratum choice.", "TotalCasesA": 2000, "TotalSuccessesA": 1670, "PooledRateA": 0.835, "TotalCasesB": 2000, "TotalSuccessesB": 1630, "PooledRateB": 0.815, "PooledWinner": "A", "StratumCount": 2, "StrataWonByA": 1, "StrataWonByB": 1, "PerStratumWinner": "none", "IsReversal": false, "ConfoundersInStudy": 0, "IsParadoxExplained": false, "PooledGap": 0.02, "StrataWonByLoser": 1, "ParadoxStrength": 0.01, "PooledRateFromWeightsA": 0.835, "PooledRateFromWeightsB": 0.815, "ReversalIntensity": 0.5, "ThresholdMargin": 0.0, "SignedPooledGap": 0.02, "WeightedStratumGapSum": 0.02, "IsSignFlip": false, "AllocationDistortion": 0.0, "DistortionType": "D", "PolicyImplication": "pooled-analysis-trustworthy" },
      { "TreatmentRankingId": "flu-vaccine-elderly-mortality-A-vs-B", "Study": "flu-vaccine-elderly-mortality", "TreatmentA": "A", "TreatmentB": "B", "Name": "flu-vaccine-elderly-mortality-A-vs-B", "AdjustmentRationale": "Confirmed confounder pre-registered in StratumVariables; stratification-adjusted estimate is epistemically appropriate for imported real study.", "TotalCasesA": 95000, "T</t>
  </si>
  <si>
    <t xml:space="preserve">otalSuccessesA": 94579, "PooledRateA": 0.9955684210526315, "TotalCasesB": 153000, "TotalSuccessesB": 152452, "PooledRateB": 0.9964183006535948, "PooledWinner": "B", "StratumCount": 2, "StrataWonByA": 2, "StrataWonByB": 0, "PerStratumWinner": "A", "IsReversal": true, "ConfoundersInStudy": 1, "IsParadoxExplained": true, "PooledGap": 0.0008498796009631923, "StrataWonByLoser": 2, "ParadoxStrength": 0.0008498796009631923, "PooledRateFromWeightsA": 0.9971935483870967, "PooledRateFromWeightsB": 0.9943139784946237, "ReversalIntensity": 1.0, "ThresholdMargin": 0.5, "SignedPooledGap": -0.0008498796009631923, "WeightedStratumGapSum": 0.002879569892473118, "IsSignFlip": true, "AllocationDistortion": 0.0037294494934363106, "DistortionType": "A", "PolicyImplication": "stratify-immediately" },
      { "TreatmentRankingId": "covid-italy-china-cfr-2020-A-vs-B", "Study": "covid-italy-china-cfr-2020", "TreatmentA": "A", "TreatmentB": "B", "Name": "covid-italy-china-cfr-2020-A-vs-B", "AdjustmentRationale": "Confirmed confounder pre-registered in StratumVariables; stratification-adjusted estimate is epistemically appropriate for imported real study.", "TotalCasesA": 3000, "TotalSuccessesA": 1290, "PooledRateA": 0.43, "TotalCasesB": 50400, "TotalSuccessesB": 49320, "PooledRateB": 0.9785714285714285, "PooledWinner": "B", "StratumCount": 2, "StrataWonByA": 1, "StrataWonByB": 1, "PerStratumWinner": "none", "IsReversal": false, "ConfoundersInStudy": 1, "IsParadoxExplained": false, "PooledGap": 0.5485714285714286, "StrataWonByLoser": 1, "ParadoxStrength": 0.2742857142857143, "PooledRateFromWeightsA": 0.952247191011236, "PooledRateFromWeightsB": 0.9719101123595506, "ReversalIntensity": 0.5, "ThresholdMargin": 0.0, "SignedPooledGap": -0.5485714285714286, "WeightedStratumGapSum": -0.019662921348314606, "IsSignFlip": false, "AllocationDistortion": 0.528908507223114, "DistortionType": "C+", "PolicyImplication": "check-allocation-bias" },
      { "TreatmentRankingId": "israel-covid-severe-2021-A-vs-B", "Study": "israel-covid-severe-2021", "TreatmentA": "A", "TreatmentB": "B", "Name": "israel-covid-severe-2021-A-vs-B", "AdjustmentRationale": "Confirmed confounder pre-registered in StratumVariables; stratification-adjusted estimate is epistemically appropriate for imported real study.", "TotalCasesA": 11000, "TotalSuccessesA": 425, "PooledRateA": 0.038636363636363635, "TotalCasesB": 152000, "TotalSuccessesB": 230, "PooledRateB": 0.0015131578947368421, "PooledWinner": "A", "StratumCount": 2, "StrataWonByA": 1, "StrataWonByB": 1, "PerStratumWinner": "none", "IsReversal": false, "ConfoundersInStudy": 1, "IsParadoxExplained": false, "PooledGap": 0.037123205741626794, "StrataWonByLoser": 1, "ParadoxStrength": 0.018561602870813397, "PooledRateFromWeightsA": 0.025993865030674846, "PooledRateFromWeightsB": 0.015216752686077839, "ReversalIntensity": 0.5, "ThresholdMargin": 0.0, "SignedPooledGap": 0.037123205741626794, "WeightedStratumGapSum": 0.010777112344597007, "IsSignFlip": false, "AllocationDistortion": 0.02634609339702979, "DistortionType": "C+", "PolicyImplication": "check-allocation-bias" },
      { "TreatmentRankingId": "cochran-smoking-1968-A-vs-B", "Study": "cochran-smoking-1968", "TreatmentA": "A", "TreatmentB": "B", "Name": "cochran-smoking-1968-A-vs-B", "AdjustmentRationale": "Confirmed confounder pre-registered in StratumVariables; stratification-adjusted estimate is epistemically appropriate for imported real study.", "TotalCasesA": 11000, "TotalSuccessesA": 8900, "PooledRateA": 0.8090909090909091, "TotalCasesB": 2000, "TotalSuccessesB": 1400, "PooledRateB": 0.7, "PooledWinner": "A", "StratumCount": 2, "StrataWonByA": 0, "StrataWonByB": 2, "PerStratumWinner": "B", "IsReversal": true, "ConfoundersInStudy": 1, "IsParadoxExplained": true, "PooledGap": 0.10909090909090909, "StrataWonByLoser": 2, "ParadoxStrength": 0.10909090909090909, "PooledRateFromWeightsA": 0.7807692307692308, "PooledRateFromWeightsB": 0.8384615384615385, "ReversalIntensity": 1.0, "ThresholdMargin": 0.5, "SignedPooledGap": 0.10909090909090909, "WeightedStratumGapSum": -0.057692307692307696, "IsSignFlip": true, "AllocationDistortion": 0.16678321678321678, "DistortionType": "B", "PolicyImplication": "investigate-confounder" },
      { "TreatmentRankingId": "healthy-worker-mortality-A-vs-B", "Study": "healthy-worker-mortality", "TreatmentA": "A", "TreatmentB": "B", "Name": "healthy-worker-mortality-A-vs-B", "AdjustmentRationale": "Stratum variable is a collider/selection mechanism; conditioning induces spurious association — AdjustmentAppropriate=FALSE.", "TotalCasesA": 2000, "TotalSuccessesA": 1800, "PooledRateA": 0.9, "TotalCasesB": 2000, "TotalSuccessesB": 1700, "PooledRateB": 0.85, "PooledWinner": "A", "StratumCount": 2, "StrataWonByA": 2, "StrataWonByB": 0, "PerStratumWinner": "A", "IsReversal": false, "ConfoundersInStudy": 0, "IsParadoxExplained": false, "PooledGap": 0.05, "StrataWonByLoser": 0, "ParadoxStrength": 0.0, "PooledRateFromWeightsA": 0.9, "PooledRateFromWeightsB": 0.85, "ReversalIntensity": 0.0, "ThresholdMargin": -0.5, "SignedPooledGap": 0.05, "WeightedStratumGapSum": 0.05, "IsSignFlip": false, "AllocationDistortion": 0.0, "DistortionType": "D", "PolicyImplication": "pooled-analysis-trustworthy" },
      { "TreatmentRankingId": "compas-recidivism-base-A-vs-B", "Study": "compas-recidivism-base", "TreatmentA": "A", "TreatmentB": "B", "Name": "compas-recidivism-base-A-vs-B", "AdjustmentRationale": "Confirmed confounder pre-registered in StratumVariables; stratification-adjusted estimate is epistemically appropriate for imported real study.", "TotalCasesA": 2000, "TotalSuccessesA": 1150, "PooledRateA": 0.575, "TotalCasesB": 2000, "TotalSuccessesB": 1250, "PooledRateB": 0.625, "PooledWinner": "B", "StratumCount": 2, "StrataWonByA": 0, "StrataWonByB": 2, "PerStratumWinner": "B", "IsReversal": false, "ConfoundersInStudy": 1, "IsParadoxExplained": false, "PooledGap": 0.05, "StrataWonByLoser": 0, "ParadoxStrength": 0.0, "PooledRateFromWeightsA": 0.575, "PooledRateFromWeightsB": 0.625, "ReversalIntensity": 0.0, "ThresholdMargin": -0.5, "SignedPooledGap": -0.05, "WeightedStratumGapSum": -0.05, "IsSignFlip": false, "AllocationDistortion": 0.0, "DistortionType": "D", "PolicyImplication": "pooled-analysis-trustworthy" },
      { "TreatmentRankingId": "us-wage-composition-stagnation-A-vs-B", "Study": "us-wage-composition-stagnation", "TreatmentA": "A", "TreatmentB": "B", "Name": "us-wage-composition-stagnation-A-vs-B", "AdjustmentRationale": "Confirmed confounder pre-registered in StratumVariables; stratification-adjusted estimate is epistemically appropriate for imported real study.", "TotalCasesA": 17000, "TotalSuccessesA": 8300, "PooledRateA": 0.48823529411764705, "TotalCasesB": 14000, "TotalSuccessesB": 6520, "PooledRateB": 0.4657142857142857, "PooledWinner": "A", "StratumCount": 2, "StrataWonByA": 2, "StrataWonByB": 0, "PerStratumWinner": "A", "IsReversal": false, "ConfoundersInStudy": 1, "IsParadoxExplained": false, "PooledGap": 0.022521008403361343, "StrataWonByLoser": 0, "ParadoxStrength": 0.0, "PooledRateFromWeightsA": 0.4967741935483871, "PooledRateFromWeightsB": 0.45741935483870966, "ReversalIntensity": 0.0, "ThresholdMargin": -0.5, "SignedPooledGap": 0.022521008403361343, "WeightedStratumGapSum": 0.03935483870967742, "IsSignFlip": false, "AllocationDistortion": 0.016833830306316074, "DistortionType": "C-", "PolicyImplication": "check-allocation-bias" },
      { "TreatmentRankingId": "borjas-immigrant-cohort-A-vs-B", "Study": "borjas-immigrant-cohort", "TreatmentA": "A", "TreatmentB": "B", "Name": "borjas-immigrant-cohort-A-vs-B", "AdjustmentRationale": "Confirmed confounder pre-registered in StratumVariables; stratification-adjusted estimate is epistemically appropriate for imported real study.", "TotalCasesA": 2000, "TotalSuccessesA": 950, "PooledRateA": 0.475, "TotalCasesB": 2000, "TotalSuccessesB": 970, "PooledRateB": 0.485, "PooledWinner": "B", "StratumCount": 2, "StrataWonByA": 1, "StrataWonByB": 1, "PerStratumWinner": "none", "IsReversal": false, "ConfoundersInStudy": 1, "IsParadoxExplained": false, "PooledGap": 0.01, "StrataWonByLoser": 1, "ParadoxStrength": 0.005, "PooledRateFromWeightsA": 0.475, "PooledRateFromWeightsB": 0.485, "ReversalIntensity": 0.5, "ThresholdMargin": 0.0, "SignedPooledGap": -0.01, "WeightedStratumGapSum": -0.01, "IsSignFlip": false, "AllocationDistortion": 0.0, "DistortionType": "D", "PolicyImplication": "pooled-analysis-trustworthy" },
      { "TreatmentRankingId": "robinson-1950-literacy-A-vs-B", "Study": "robinson-1950-literacy", "TreatmentA": "A", "TreatmentB": "B", "Name": "robinson-1950-literacy-A-vs-B", "AdjustmentRationale": "Confirmed confounder pre-registered in StratumVariables; stratification-adjusted estimate is epistemically appropriate for imported real study.", "TotalCasesA": 2000, "TotalSuccessesA": 1700, "PooledRateA": 0.85, "TotalCasesB": 12000, "TotalSuccessesB": 10900, "PooledRateB": 0.9083333333333333, "PooledWinner": "B", "StratumCount": 2, "StrataWonByA": 1, "StrataWonByB": 1, "PerStratumWinner": "none", "IsReversal": false, "ConfoundersInStudy": 1, "IsParadoxExplained": false, "PooledGap": 0.058333333333333334, "StrataWonByLoser": 1, "ParadoxStrength": 0.029166666666666667, "PooledRateFromWeightsA": 0.8785714285714286, "PooledRateFromWeightsB": 0.8964285714285715, "ReversalIntensity": 0.5, "ThresholdMargin": 0.0, "SignedPooledGap": -0.058333333333333334, "WeightedStratumGapSum": -0.017857142857142856, "IsSignFlip": false, "AllocationDistortion": 0.04047619047619048, "DistortionType": "C+", "PolicyImplication": "check-allocation-bias" },
      { "TreatmentRankingId": "ab-test-traffic-mix-A-vs-B", "Study": "ab-test-traffic-mix", "TreatmentA": "A", "TreatmentB": "B", "Name": "ab-test-traffic-mix-A-vs-B", "AdjustmentRationale": "Confirmed confounder pre-registered in StratumVariables; stratification-adjusted estimate is epistemically appropriate for imported real study.", "TotalCasesA": 12000, "TotalSuccessesA": 9100, "PooledRateA": 0.7583333333333333, "TotalCasesB": 12000, "TotalSuccessesB": 8800, "PooledRateB": 0.7333333333333333, "PooledWinner": "A", "StratumCount": 2, "StrataWonByA": 1, "StrataWonByB": 1, "PerStratumWinner": "none", "IsReversal": false, "ConfoundersInStudy": 1, "IsParadoxExplained": false, "PooledGap": 0.025, "StrataWonByLoser": 1, "ParadoxStrength": 0.0125, "PooledRateFromWeightsA": 0.7583333333333333, "PooledRateFromWeightsB": 0.7333333333333333, "ReversalIntensity": 0.5, "ThresholdMargin": 0.0, "SignedPooledGap": 0.025, "WeightedStratumGapSum": 0.025, "IsSignFlip": false, "AllocationDistortion": 5e-22, "DistortionType": "D", "PolicyImplication": "pooled-analysis-trustworthy" },
      { "TreatmentRankingId": "recsys-offline-eval-A-vs-B", "Study": "recsys-offline-eval", "TreatmentA": "A", "TreatmentB": "B", "Name": "recsys-offline-eval-A-vs-B", "AdjustmentRationale": "Confirmed confounder pre-registered in StratumVariables; stratification-adjusted estimate is epistemically appropriate for imported real study.", "TotalCasesA": 2000, "TotalSuccessesA": 1150, "PooledRateA": 0.575, "TotalCasesB": 2000, "TotalSuccessesB": 1150, "PooledRateB": 0.575, "PooledWinner": "tie", "StratumCount": 2, "StrataWonByA": 1, "StrataWonByB": 1, "PerStratumWinner": "none", "IsReversal": false, "ConfoundersInStudy": 1, "IsParadoxExplained": false, "PooledGap": 0.0, "StrataWonByLoser": 1, "ParadoxStrength": 0.0, "PooledRateFromWeightsA": 0.575, "PooledRateFromWeightsB": 0.575, "ReversalIntensity": 0.5, "ThresholdMargin": 0.0, "SignedPooledGap": 0.0, "WeightedStratumGapSum": 0.0, "IsSignFlip": false, "AllocationDistortion": 0.0, "DistortionType": "D", "PolicyImplication": "pooled-analysis-trustworthy" },
      { "TreatmentRankingId": "collider-only-synthetic-A-vs-B", "Study": "collider-only-synthetic", "TreatmentA": "A", "TreatmentB": "B", "Name": "collider-only-synthetic-A-vs-B", "AdjustmentRationale": "Stratum variable is a collider/selection mechanism; conditioning induces spurious association — AdjustmentAppropriate=FALSE.", "TotalCasesA": 1000, "TotalSuccessesA": 235, "PooledRateA": 0.235, "TotalCasesB": 1000, "TotalSuccessesB": 340, "PooledRateB": 0.34, "PooledWinner": "B", "StratumCount": 2, "StrataWonByA": 1, "StrataWonByB": 1, "PerStratumWinner": "none", "IsReversal": false, "ConfoundersInStudy": 0, "IsParadoxExplained": false, "PooledGap": 0.105, "StrataWonByLoser": 1, "ParadoxStrength": 0.0525, "PooledRateFromWeightsA": 0.235, "PooledRateFromWeightsB": 0.34, "ReversalIntensity": 0.5, "ThresholdMargin": 0.0, "SignedPooledGap": -0.105, "WeightedStratumGapSum": -0.105, "IsSignFlip": false, "AllocationDistortion": 3e-21, "DistortionType": "D", "PolicyImplication": "pooled-analysis-trustworthy" },
      { "TreatmentRankingId": "noncollapsibility-or-synthetic-A-vs-B", "Study": "noncollapsibility-or-synthetic", "TreatmentA": "A", "TreatmentB": "B", "Name": "noncollapsibility-or-synthetic-A-vs-B", "AdjustmentRationale": "Geometric-only synthetic: measures non-collapsibility blind spot. Risk-difference geometry is type-D neutral; OR non-collapsibility documented in MechanismNote only.", "TotalCasesA": 1100, "TotalSuccessesA": 440, "PooledRateA": 0.4, "TotalCasesB": 1100, "TotalSuccessesB": 330, "PooledRateB": 0.3, "PooledWinner": "A", "StratumCount": 2, "StrataWonByA": 2, "StrataWonByB": 0, "PerStratumWinner": "A", "IsReversal": false, "ConfoundersInStudy": 1, "IsParadoxExplained": false, "PooledGap": 0.1, "StrataWonByLoser": 0, "ParadoxStrength": 0.0, "PooledRateFromWeightsA": 0.4, "PooledRateFromWeightsB": 0.3, "ReversalIntensity": 0.0, "ThresholdMargin": -0.5, "SignedPooledGap": 0.1, "WeightedStratumGapSum": 0.1, "IsSignFlip": false, "AllocationDistortion": 0.0, "DistortionType": "D", "PolicyImplication": "pooled-analysis-trustworthy" },
      { "TreatmentRankingId": "trauma-center-mortality-A-vs-B", "Study": "trauma-center-mortality", "TreatmentA": "A", "TreatmentB": "B", "Name": "trauma-center-mortality-A-vs-B", "AdjustmentRationale": "Confirmed confounder pre-registered in StratumVariables; stratification-adjusted estimate is epistemically appropriate for imported real study.", "TotalCasesA": 2000, "TotalSuccessesA": 1550, "PooledRateA": 0.775, "TotalCasesB": 2000, "TotalSuccessesB": 1640, "PooledRateB": 0.82, "PooledWinner": "B", "StratumCount": 2, "StrataWonByA": 0, "StrataWonByB": 2, "PerStratumWinner": "B", "IsReversal": false, "ConfoundersInStudy": 1, "IsParadoxExplained": false, "PooledGap": 0.045, "StrataWonByLoser": 0, "ParadoxStrength": 0.0, "PooledRateFromWeightsA": 0.775, "PooledRateFromWeightsB": 0.82, "ReversalIntensity": 0.0, "ThresholdMargin": -0.5, "SignedPooledGap": -0.045, "WeightedStratumGapSum": -0.045, "IsSignFlip": false, "AllocationDistortion": 0.0, "DistortionType": "D", "PolicyImplication": "pooled-analysis-trustworthy" },
      { "TreatmentRankingId": "surgeon-volume-mortality-A-vs-B", "Study": "surgeon-volume-mortality", "TreatmentA": "A", "TreatmentB": "B", "Name": "surgeon-volume-mortality-A-vs-B", "AdjustmentRationale": "Confirmed confounder pre-registered in StratumVariables; stratification-adjusted estimate is epistemically appropriate for imported real study.", "TotalCasesA": 2000, "TotalSuccessesA": 1800, "PooledRateA": 0.9, "TotalCasesB": 2000, "TotalSuccessesB": 1835, "PooledRateB": 0.9175, "PooledWinner": "B", "StratumCount": 2, "StrataWonByA": 1, "StrataWonByB": 1, "PerStratumWinner": "none", "IsReversal": false, "ConfoundersInStudy": 1, "IsParadoxExplained": false, "PooledGap": 0.0175, "StrataWonByLoser": 1, "ParadoxStrength": 0.00875, "PooledRateFromWeightsA": 0.9, "PooledRateFromWeightsB": 0.9175, "ReversalIntensity": 0.5, "ThresholdMargin": 0.0, "SignedPooledGap": -0.0175, "WeightedStratumGapSum": -0.0175, "IsSignFlip": false, "AllocationDistortion": 0.0, "DistortionType": "D", "PolicyImplication": "pooled-analysis-trustworthy" },
      { "TreatmentRankingId": "mammography-length-bias-A-vs-B", "Study": "mammography-length-bias", "TreatmentA": "A", "TreatmentB": "B", "Name": "mammography-length-bias-A-vs-B", "AdjustmentRationale": "Stratum variable is a collider/selection mechanism; conditioning induces spurious association — AdjustmentAppropriate=FALSE.", "TotalCasesA": 2000, "TotalSuccessesA": 1320, "PooledRateA": 0.66, "TotalCasesB": 2000, "TotalSuccessesB": 1050, "PooledRateB": 0.525, "PooledWinner": "A", "StratumCount": 2, "StrataWonByA": 2, "StrataWonByB": 0, "PerStratumWinner": "A", "IsReversal": false, "ConfoundersInStudy": 0, "IsParadoxExplained": false, "PooledGap": 0.135, "StrataWonByLoser": 0, "ParadoxStrength": 0.0, "PooledRateFromWeightsA": 0.66, "PooledRateFromWeightsB": 0.525, "ReversalIntensity": 0.0, "ThresholdMargin": -0.5, "SignedPooledGap": 0.135, "WeightedStratumGapSum": 0.135, "IsSignFlip": false, "AllocationDistortion": 0.0, "DistortionType": "D", "PolicyImplication": "pooled-analysis-trustworthy" },
      { "TreatmentRankingId": "cabg-vs-pci-severity-A-vs-B", "Study": "cabg-vs-pci-severity", "TreatmentA": "A", "TreatmentB": "B", "Name": "cabg-vs-pci-severity-A-vs-B", "AdjustmentRationale": "Confirmed confounder pre-registered in StratumVariables; stratification-adjusted estimate is epistemically appropriate for imported real study.", "TotalCasesA": 2000, "TotalSuccessesA": 1900, "PooledRateA": 0.95, "TotalCasesB": 2000, "TotalSuccessesB": 1855, "PooledRateB": 0.9275, "PooledWinner": "A", "StratumCount": 2, "StrataWonByA": 2, "StrataWonByB": 0, "PerStratumWinner": "A", "IsReversal": false, "ConfoundersInStudy": 1, "IsParadoxExplained": false, "PooledGap": 0.0225, "StrataWonByLoser": 0, "ParadoxStrength": 0.0, "PooledRateFromWeightsA": 0.95, "PooledRateFromWeightsB": 0.9275, "ReversalIntensity": 0.0, "ThresholdMargin": -0.5, "SignedPooledGap": 0.0225, "WeightedStratumGapSum": 0.0225, "IsSignFlip": false, "AllocationDistortion": 0.0, "DistortionType": "D", "PolicyImplication": "pooled-analysis-trustworthy" },
      { "TreatmentRankingId": "tolbutamide-ugdp-1970-A-vs-B", "Study": "tolbutamide-ugdp-1970", "TreatmentA": "A", "TreatmentB": "B", "Name": "tolbutamide-ugdp-1970-A-vs-B", "AdjustmentRationale": "Causal role contested — geometric correction is available but adjustment requires caution about endogenous stratum choice.", "TotalCasesA": 2000, "TotalSuccessesA": 1700, "PooledRateA": 0.85, "TotalCasesB": 2000, "TotalSuccessesB": 1730, "PooledRateB": 0.865, "PooledWinner": "B", "StratumCount": 2, "StrataWonByA": 1, "StrataWonByB": 1, "PerStratumWinner": "none", "IsReversal": false, "ConfoundersInStudy": 0, "IsParadoxExplained": false, "PooledGap": 0.015, "StrataWonByLoser": 1, "ParadoxStrength": 0.0075, "PooledRateFromWeightsA": 0.85, "PooledRateFromWeightsB": 0.865, "ReversalIntensity": 0.5, "ThresholdMargin": 0.0, "SignedPooledGap": -0.015, "WeightedStratumGapSum": -0.015, "IsSignFlip": false, "AllocationDistortion": 0.0, "DistortionType": "D", "PolicyImplication": "pooled-analysis-trustworthy" },
      { "TreatmentRankingId": "snow-cholera-water-1855-A-vs-B", "Study": "snow-cholera-water-1855", "TreatmentA": "A", "TreatmentB": "B", "Name": "snow-cholera-water-1855-A-vs-B", "AdjustmentRationale": "Confirmed confounder pre-registered in StratumVariables; stratification-adjusted estimate is epistemically appropriate for imported real study.", "TotalCasesA": 2000, "TotalSuccessesA": 1842, "PooledRateA": 0.921, "TotalCasesB": 2000, "TotalSuccessesB": 1930, "PooledRateB": 0.965, "PooledWinner": "B", "StratumCount": 2, "StrataWonByA": 0, "StrataWonByB": 2, "PerStratumWinner": "B", "IsReversal": false, "ConfoundersInStudy": 1, "IsParadoxExplained": false, "PooledGap": 0.044, "StrataWonByLoser": 0, "ParadoxStrength": 0.0, "PooledRateFromWeightsA": 0.921, "PooledRateFromWeightsB": 0.965, "ReversalIntensity": 0.0, "ThresholdMargin": -0.5, "SignedPooledGap": -0.044, "WeightedStratumGapSum": -0.044, "IsSignFlip": false, "AllocationDistortion": 0.0, "DistortionType": "D", "PolicyImplication": "pooled-analysis-trustworthy" },
      { "TreatmentRankingId": "seatbelt-crash-severity-A-vs-B", "Study": "seatbelt-crash-severity", "TreatmentA": "A", "TreatmentB": "B", "Name": "seatbelt-crash-severity-A-vs-B", "AdjustmentRationale": "Stratum variable is a collider/selection mechanism; conditioning induces spurious association — AdjustmentAppropriate=FALSE.", "TotalCasesA": 2000, "TotalSuccessesA": 1680, "PooledRateA": 0.84, "TotalCasesB": 2000, "TotalSuccessesB": 1570, "PooledRateB": 0.785, "PooledWinner": "A", "StratumCount": 2, "StrataWonByA": 2, "StrataWonByB": 0, "PerStratumWinner": "A", "IsReversal": false, "ConfoundersInStudy": 0, "IsParadoxExplained": false, "PooledGap": 0.055, "StrataWonByLoser": 0, "ParadoxStrength": 0.0, "PooledRateFromWeightsA": 0.84, "PooledRateFromWeightsB": 0.785, "ReversalIntensity": 0.0, "ThresholdMargin": -0.5, "SignedPooledGap": 0.055, "WeightedStratumGapSum": 0.055, "IsSignFlip": false, "AllocationDistortion": 0.0, "DistortionType": "D", "PolicyImplication": "pooled-analysis-trustworthy" },
      { "TreatmentRankingId": "measles-outbreak-vaccinated-A-vs-B", "Study": "measles-outbreak-vaccinated", "TreatmentA": "A", "TreatmentB": "B", "Name": "measles-outbreak-vaccinated-A-vs-B", "AdjustmentRationale": "Confirmed confounder pre-registered in StratumVariables; stratification-adjusted estimate is epistemically appropriate for imported real study.", "TotalCasesA": 11000, "TotalSuccessesA": 115, "PooledRateA": 0.010454545454545454, "TotalCasesB": 1500, "TotalSuccessesB": 79, "PooledRateB": 0.05266666666666667, "PooledWinner": "B", "StratumCount": 2, "StrataWonByA": 0, "StrataWonByB": 2, "PerStratumWinner": "B", "IsReversal": false, "ConfoundersInStudy": 1, "IsParadoxExplained": false, "PooledGap": 0.042212121212121215, "StrataWonByLoser": 0, "ParadoxStrength": 0.0, "PooledRateFromWeightsA": 0.010388888888888888, "PooledRateFromWeightsB": 0.0492, "ReversalIntensity": 0.0, "ThresholdMargin": -0.5, "SignedPooledGap": -0.042212121212121215, "WeightedStratumGapSum": -0.03881111111111111, "IsSignFlip": false, "AllocationDistortion": 0.003401010101010101, "DistortionType": "D", "PolicyImplication": "pooled-analysis-trustworthy" },
      { "TreatmentRankingId": "air-pollution-mortality-city-A-vs-B", "Study": "air-pollution-mortality-city", "TreatmentA": "A", "TreatmentB": "B", "Name": "air-pollution-mortality-city-A-vs-B", "AdjustmentRationale": "Confirmed confounder pre-registered in StratumVariables; stratification-adjusted estimate is epistemically appropriate for imported real study.", "TotalCasesA": 2000, "TotalSuccessesA": 1900, "PooledRateA": 0.95, "TotalCasesB": 2000, "TotalSuccessesB": 1925, "PooledRateB": 0.9625, "PooledWinner": "B", "StratumCount": 2, "StrataWonByA": 0, "StrataWonByB": 2, "PerStratumWinner": "B", "IsReversal": false, "ConfoundersInStudy": 1, "IsParadoxExplained": false, "PooledGap": 0.0125, "StrataWonByLoser": 0, "ParadoxStrength": 0.0, "PooledRateFromWeightsA": 0.95, "PooledRateFromWeightsB": 0.9625, "ReversalIntensity": 0.0, "ThresholdMargin": -0.5, "SignedPooledGap": -0.0125, "WeightedStratumGapSum": -0.0125, "IsSignFlip": false, "AllocationDistortion": 0.0, "DistortionType": "D", "PolicyImplication": "pooled-analysis-trustworthy" },
      { "TreatmentRankingId": "tb-treatment-resistance-A-vs-B", "Study": "tb-treatment-resistance", "TreatmentA": "A", "TreatmentB": "B", "Name": "tb-treatment-resistance-A-vs-B", "AdjustmentRationale": "Confirmed confounder pre-registered in StratumVariables; stratification-adjusted estimate is epistemically appropriate for imported real study.", "TotalCasesA": 2000, "TotalSuccessesA": 1570, "PooledRateA": 0.785, "TotalCasesB": 2000, "TotalSuccessesB": 1630, "PooledRateB": 0.815, "PooledWinner": "B", "StratumCount": 2, "StrataWonByA": 1, "StrataWonByB": 1, "PerStratumWinner": "none", "IsReversal": false, "ConfoundersInStudy": 1, "IsParadoxExplained": false, "PooledGap": 0.03, "StrataWonByLoser": 1, "ParadoxStrength": 0.015, "PooledRateFromWeightsA": 0.785, "PooledRateFromWeightsB": 0.815, "ReversalIntensity": 0.5, "ThresholdMargin": 0.0, "SignedPooledGap": -0.03, "WeightedStratumGapSum": -0.03, "IsSignFlip": false, "AllocationDistortion": 0.0, "DistortionType": "D", "PolicyImplication": "pooled-analysis-trustworthy" },
      { "TreatmentRankingId": "hospital-mortality-readmission-A-vs-B", "Study": "hospital-mortality-readmission", "TreatmentA": "A", "TreatmentB": "B", "Name": "hospital-mortality-readmission-A-vs-B", "AdjustmentRationale": "Confirmed confounder pre-registered in StratumVariables; stratification-adjusted estimate is epistemically appropriate for imported real study.", "TotalCasesA": 2000, "TotalSuccessesA": 1820, "PooledRateA": 0.91, "TotalCasesB": 2000, "TotalSuccessesB": 1855, "PooledRateB": 0.9275, "PooledWinner": "B", "StratumCount": 2, "StrataWonByA": 0, "StrataWonByB": 2, "PerStratumWinner": "B", "IsReversal": false, "ConfoundersInStudy": 1, "IsParadoxExplained": false, "PooledGap": 0.0175, "StrataWonByLoser": 0, "ParadoxStrength": 0.0, "PooledRateFromWeightsA": 0.91, "PooledRateFromWeightsB": 0.9275, "ReversalIntensity": 0.0, "ThresholdMargin": -0.5, "SignedPooledGap": -0.0175, "WeightedStratumGapSum": -0.0175, "IsSignFlip": false, "AllocationDistortion": 0.0, "DistortionType": "D", "PolicyImplication": "pooled-analysis-trustworthy" },
      { "TreatmentRankingId": "nypd-stop-frisk-hitrate-A-vs-B", "Study": "nypd-stop-frisk-hitrate", "TreatmentA": "A", "TreatmentB": "B", "Name": "nypd-stop-frisk-hitrate-A-vs-B", "AdjustmentRationale": "Confirmed confounder pre-registered in StratumVariables; stratification-adjusted estimate is epistemically appropriate for imported real study.", "TotalCasesA": 10000, "TotalSuccessesA": 365, "PooledRateA": 0.0365, "TotalCasesB": 8500, "TotalSuccessesB": 352, "PooledRateB": 0.041411764705882356, "PooledWinner": "B", "StratumCount": 2, "StrataWonByA": 0, "StrataWonByB": 2, "PerStratumWinner": "B", "IsReversal": false, "ConfoundersInStudy": 1, "IsParadoxExplained": false, "PooledGap": 0.004911764705882353, "StrataWonByLoser": 0, "ParadoxStrength": 0.0, "PooledRateFromWeightsA": 0.03668918918918919, "PooledRateFromWeightsB": 0.04151351351351351, "ReversalIntensity": 0.0, "ThresholdMargin": -0.5, "SignedPooledGap": -0.004911764705882353, "WeightedStratumGapSum": -0.004824324324324324, "IsSignFlip": false, "AllocationDistortion": 8.744038155802861e-05, "DistortionType": "D", "PolicyImplication": "pooled-analysis-trustworthy" },
      { "TreatmentRankingId": "sentencing-offense-type-A-vs-B", "Study": "sentencing-offense-type", "TreatmentA": "A", "TreatmentB": "B", "Name": "sentencing-offense-type-A-vs-B", "AdjustmentRationale": "Confirmed confounder pre-registered in StratumVariables; stratification-adjusted estimate is epistemically appropriate for imported real study.", "TotalCasesA": 2000, "TotalSuccessesA": 1200, "PooledRateA": 0.6, "TotalCasesB": 2000, "TotalSuccessesB": 1170, "PooledRateB": 0.585, "PooledWinner": "A", "StratumCount": 2, "StrataWonByA": 1, "StrataWonByB": 1, "PerStratumWinner": "none", "IsReversal": false, "ConfoundersInStudy": 1, "IsParadoxExplained": false, "PooledGap": 0.015, "StrataWonByLoser": 1, "ParadoxStrength": 0.0075, "PooledRateFromWeightsA": 0.6, "PooledRateFromWeightsB": 0.585, "ReversalIntensity": 0.5, "ThresholdMargin": 0.0, "SignedPooledGap": 0.015, "WeightedStratumGapSum": 0.015, "IsSignFlip": false, "AllocationDistortion": 0.0, "DistortionType": "D", "PolicyImplication": "pooled-analysis-trustworthy" },
      { "TreatmentRankingId": "bail-risk-score-A-vs-B", "Study": "bail-risk-score", "TreatmentA": "A", "TreatmentB": "B", "Name": "bail-risk-score-A-vs-B", "AdjustmentRationale": "Confirmed confounder pre-registered in StratumVariables; stratification-adjusted estimate is epistemically appropriate for imported real study.", "TotalCasesA": 2000, "TotalSuccessesA": 570, "PooledRateA": 0.285, "TotalCasesB": 2000, "TotalSuccessesB": 670, "PooledRateB": 0.335, "PooledWinner": "B", "StratumCount": 2, "StrataWonByA": 0, "StrataWonByB": 2, "PerStratumWinner": "B", "IsReversal": false, "ConfoundersInStudy": 1, "IsParadoxExplained": false, "PooledGap": 0.05, "StrataWonByLoser": 0, "ParadoxStrength": 0.0, "PooledRateFromWeightsA": 0.285, "PooledRateFromWeightsB": 0.335, "ReversalIntensity": 0.0, "ThresholdMargin": -0.5, "SignedPooledGap": -0.05, "WeightedStratumGapSum": -0.05, "IsSignFlip": false, "AllocationDistortion": 0.0, "DistortionType": "D", "PolicyImplication": "pooled-analysis-trustworthy" },
      { "TreatmentRankingId": "police-force-encounter-A-vs-B", "Study": "police-force-encounter", "TreatmentA": "A", "TreatmentB": "B", "Name": "police-force-encounter-A-vs-B", "AdjustmentRationale": "Stratum variable is a collider/selection mechanism; conditioning induces spurious association — AdjustmentAppropriate=FALSE.", "TotalCasesA": 2000, "TotalSuccessesA": 580, "PooledRateA": 0.29, "TotalCasesB": 2000, "TotalSuccessesB": 170, "PooledRateB": 0.085, "PooledWinner": "A", "StratumCount": 2, "StrataWonByA": 2, "StrataWonByB": 0, "PerStratumWinner": "A", "IsReversal": false, "ConfoundersInStudy": 0, "IsParadoxExplained": false, "PooledGap": 0.205, "StrataWonByLoser": 0, "ParadoxStrength": 0.0, "PooledRateFromWeightsA": 0.29, "PooledRateFromWeightsB": 0.085, "ReversalIntensity": 0.0, "ThresholdMargin": -0.5, "SignedPooledGap": 0.205, "WeightedStratumGapSum": 0.205, "IsSignFlip": false, "AllocationDistortion": 0.0, "DistortionType": "D", "PolicyImplication": "pooled-analysis-trustworthy" },
      { "TreatmentRankingId": "uc-systemwide-admissions-A-vs-B", "Study": "uc-systemwide-admissions", "TreatmentA": "A", "TreatmentB": "B", "Name": "uc-systemwide-admissions-A-vs-B", "AdjustmentRationale": "Causal role contested — geometric correction is available but adjustment requires caution about endogenous stratum choice.", "TotalCasesA": 2000, "TotalSuccessesA": 770, "PooledRateA": 0.385, "TotalCasesB": 2000, "TotalSuccessesB": 740, "PooledRateB": 0.37, "PooledWinner": "A", "StratumCount": 2, "StrataWonByA": 1, "StrataWonByB": 1, "PerStratumWinner": "none", "IsReversal": false, "ConfoundersInStudy": 0, "IsParadoxExplained": false, "PooledGap": 0.015, "StrataWonByLoser": 1, "ParadoxStrength": 0.0075, "PooledRateFromWeightsA": 0.385, "PooledRateFromWeightsB": 0.37, "ReversalIntensity": 0.5, "ThresholdMargin": 0.0, "SignedPooledGap": 0.015, "WeightedStratumGapSum": 0.015, "IsSignFlip": false, "AllocationDistortion": 0.0, "DistortionType": "D", "PolicyImplication": "pooled-analysis-trustworthy" },
      { "TreatmentRankingId": "teacher-vam-prior-achievement-A-vs-B", "Study": "teacher-vam-prior-achievement", "TreatmentA": "A", "TreatmentB": "B", "Name": "teacher-vam-prior-achievement-A-vs-B", "AdjustmentRationale": "Confirmed confounder pre-registered in StratumVariables; stratification-adjusted estimate is epistemically appropriate for imported real study.", "TotalCasesA": 2000, "TotalSuccessesA": 1370, "PooledRateA": 0.685, "TotalCasesB": 2000, "TotalSuccessesB": 1380, "PooledRateB": 0.69, "PooledWinner": "B", "StratumCount": 2, "StrataWonByA": 1, "StrataWonByB": 1, "PerStratumWinner": "none", "IsReversal": false, "ConfoundersInStudy": 1, "IsParadoxExplained": false, "PooledGap": 0.005, "StrataWonByLoser": 1, "ParadoxStrength": 0.0025, "PooledRateFromWeightsA": 0.685, "PooledRateFromWeightsB": 0.69, "ReversalIntensity": 0.5, "ThresholdMargin": 0.0, "SignedPooledGap": -0.005, "WeightedStratumGapSum": -0.005, "IsSignFlip": false, "AllocationDistortion": 0.0, "DistortionType": "D", "PolicyImplication": "pooled-analysis-trustworthy" },
      { "TreatmentRankingId": "naep-state-demographics-A-vs-B", "Study": "naep-state-demographics", "TreatmentA": "A", "TreatmentB": "B", "Name": "naep-state-demographics-A-vs-B", "AdjustmentRationale": "Confirmed confounder pre-registered in StratumVariables; stratification-adjusted estimate is epistemically appropriate for imported real study.", "TotalCasesA": 2000, "TotalSuccessesA": 730, "PooledRateA": 0.365, "TotalCasesB": 2000, "TotalSuccessesB": 740, "PooledRateB": 0.37, "PooledWinner": "B", "StratumCount": 2, "StrataWonByA": 1, "StrataWonByB": 1, "PerStratumWinner": "none", "IsReversal": false, "ConfoundersInStudy": 1, "IsParadoxExplained": false, "PooledGap": 0.005, "StrataWonByLoser": 1, "ParadoxStrength": 0.0025, "PooledRateFromWeightsA": 0.365, "PooledRateFromWeightsB": 0.37, "ReversalIntensity": 0.5, "ThresholdMargin": 0.0, "SignedPooledGap": -0.005, "WeightedStratumGapSum": -0.005, "IsSignFlip": false, "AllocationDistortion": 0.0, "DistortionType": "D", "PolicyImplication": "pooled-analysis-trustworthy" },
      { "TreatmentRankingId": "college-grad-rate-selectivity-A-vs-B", "Study": "college-grad-rate-selectivity", "TreatmentA": "A", "TreatmentB": "B", "Name": "college-grad-rate-selectivity-A-</t>
  </si>
  <si>
    <t xml:space="preserve">vs-B", "AdjustmentRationale": "Confirmed confounder pre-registered in StratumVariables; stratification-adjusted estimate is epistemically appropriate for imported real study.", "TotalCasesA": 2000, "TotalSuccessesA": 1470, "PooledRateA": 0.735, "TotalCasesB": 2000, "TotalSuccessesB": 1500, "PooledRateB": 0.75, "PooledWinner": "B", "StratumCount": 2, "StrataWonByA": 1, "StrataWonByB": 1, "PerStratumWinner": "none", "IsReversal": false, "ConfoundersInStudy": 1, "IsParadoxExplained": false, "PooledGap": 0.015, "StrataWonByLoser": 1, "ParadoxStrength": 0.0075, "PooledRateFromWeightsA": 0.735, "PooledRateFromWeightsB": 0.75, "ReversalIntensity": 0.5, "ThresholdMargin": 0.0, "SignedPooledGap": -0.015, "WeightedStratumGapSum": -0.015, "IsSignFlip": false, "AllocationDistortion": 0.0, "DistortionType": "D", "PolicyImplication": "pooled-analysis-trustworthy" },
      { "TreatmentRankingId": "star-class-size-A-vs-B", "Study": "star-class-size", "TreatmentA": "A", "TreatmentB": "B", "Name": "star-class-size-A-vs-B", "AdjustmentRationale": "Confirmed confounder pre-registered in StratumVariables; stratification-adjusted estimate is epistemically appropriate for imported real study.", "TotalCasesA": 2000, "TotalSuccessesA": 1730, "PooledRateA": 0.865, "TotalCasesB": 2000, "TotalSuccessesB": 1700, "PooledRateB": 0.85, "PooledWinner": "A", "StratumCount": 2, "StrataWonByA": 2, "StrataWonByB": 0, "PerStratumWinner": "A", "IsReversal": false, "ConfoundersInStudy": 1, "IsParadoxExplained": false, "PooledGap": 0.015, "StrataWonByLoser": 0, "ParadoxStrength": 0.0, "PooledRateFromWeightsA": 0.865, "PooledRateFromWeightsB": 0.85, "ReversalIntensity": 0.0, "ThresholdMargin": -0.5, "SignedPooledGap": 0.015, "WeightedStratumGapSum": 0.015, "IsSignFlip": false, "AllocationDistortion": 0.0, "DistortionType": "D", "PolicyImplication": "pooled-analysis-trustworthy" },
      { "TreatmentRankingId": "nba-shooting-shot-mix-A-vs-B", "Study": "nba-shooting-shot-mix", "TreatmentA": "A", "TreatmentB": "B", "Name": "nba-shooting-shot-mix-A-vs-B", "AdjustmentRationale": "Confirmed confounder pre-registered in StratumVariables; stratification-adjusted estimate is epistemically appropriate for imported real study.", "TotalCasesA": 2000, "TotalSuccessesA": 840, "PooledRateA": 0.42, "TotalCasesB": 1500, "TotalSuccessesB": 590, "PooledRateB": 0.3933333333333333, "PooledWinner": "A", "StratumCount": 2, "StrataWonByA": 2, "StrataWonByB": 0, "PerStratumWinner": "A", "IsReversal": false, "ConfoundersInStudy": 1, "IsParadoxExplained": false, "PooledGap": 0.02666666666666667, "StrataWonByLoser": 0, "ParadoxStrength": 0.0, "PooledRateFromWeightsA": 0.42857142857142855, "PooledRateFromWeightsB": 0.38, "ReversalIntensity": 0.0, "ThresholdMargin": -0.5, "SignedPooledGap": 0.02666666666666667, "WeightedStratumGapSum": 0.04857142857142857, "IsSignFlip": false, "AllocationDistortion": 0.021904761904761906, "DistortionType": "C-", "PolicyImplication": "check-allocation-bias" },
      { "TreatmentRankingId": "pitcher-era-ballpark-A-vs-B", "Study": "pitcher-era-ballpark", "TreatmentA": "A", "TreatmentB": "B", "Name": "pitcher-era-ballpark-A-vs-B", "AdjustmentRationale": "Confirmed confounder pre-registered in StratumVariables; stratification-adjusted estimate is epistemically appropriate for imported real study.", "TotalCasesA": 2000, "TotalSuccessesA": 1170, "PooledRateA": 0.585, "TotalCasesB": 2000, "TotalSuccessesB": 1160, "PooledRateB": 0.58, "PooledWinner": "A", "StratumCount": 2, "StrataWonByA": 1, "StrataWonByB": 1, "PerStratumWinner": "none", "IsReversal": false, "ConfoundersInStudy": 1, "IsParadoxExplained": false, "PooledGap": 0.005, "StrataWonByLoser": 1, "ParadoxStrength": 0.0025, "PooledRateFromWeightsA": 0.585, "PooledRateFromWeightsB": 0.58, "ReversalIntensity": 0.5, "ThresholdMargin": 0.0, "SignedPooledGap": 0.005, "WeightedStratumGapSum": 0.005, "IsSignFlip": false, "AllocationDistortion": 0.0, "DistortionType": "D", "PolicyImplication": "pooled-analysis-trustworthy" },
      { "TreatmentRankingId": "nfl-completion-depth-A-vs-B", "Study": "nfl-completion-depth", "TreatmentA": "A", "TreatmentB": "B", "Name": "nfl-completion-depth-A-vs-B", "AdjustmentRationale": "Confirmed confounder pre-registered in StratumVariables; stratification-adjusted estimate is epistemically appropriate for imported real study.", "TotalCasesA": 1000, "TotalSuccessesA": 810, "PooledRateA": 0.81, "TotalCasesB": 1000, "TotalSuccessesB": 810, "PooledRateB": 0.81, "PooledWinner": "tie", "StratumCount": 2, "StrataWonByA": 1, "StrataWonByB": 1, "PerStratumWinner": "none", "IsReversal": false, "ConfoundersInStudy": 1, "IsParadoxExplained": false, "PooledGap": 0.0, "StrataWonByLoser": 1, "ParadoxStrength": 0.0, "PooledRateFromWeightsA": 0.81, "PooledRateFromWeightsB": 0.81, "ReversalIntensity": 0.5, "ThresholdMargin": 0.0, "SignedPooledGap": 0.0, "WeightedStratumGapSum": 0.0, "IsSignFlip": false, "AllocationDistortion": 0.0, "DistortionType": "D", "PolicyImplication": "pooled-analysis-trustworthy" },
      { "TreatmentRankingId": "field-goal-distance-A-vs-B", "Study": "field-goal-distance", "TreatmentA": "A", "TreatmentB": "B", "Name": "field-goal-distance-A-vs-B", "AdjustmentRationale": "Confirmed confounder pre-registered in StratumVariables; stratification-adjusted estimate is epistemically appropriate for imported real study.", "TotalCasesA": 2000, "TotalSuccessesA": 1550, "PooledRateA": 0.775, "TotalCasesB": 2000, "TotalSuccessesB": 1590, "PooledRateB": 0.795, "PooledWinner": "B", "StratumCount": 2, "StrataWonByA": 1, "StrataWonByB": 1, "PerStratumWinner": "none", "IsReversal": false, "ConfoundersInStudy": 1, "IsParadoxExplained": false, "PooledGap": 0.02, "StrataWonByLoser": 1, "ParadoxStrength": 0.01, "PooledRateFromWeightsA": 0.775, "PooledRateFromWeightsB": 0.795, "ReversalIntensity": 0.5, "ThresholdMargin": 0.0, "SignedPooledGap": -0.02, "WeightedStratumGapSum": -0.02, "IsSignFlip": false, "AllocationDistortion": 0.0, "DistortionType": "D", "PolicyImplication": "pooled-analysis-trustworthy" },
      { "TreatmentRankingId": "golf-scoring-course-A-vs-B", "Study": "golf-scoring-course", "TreatmentA": "A", "TreatmentB": "B", "Name": "golf-scoring-course-A-vs-B", "AdjustmentRationale": "Confirmed confounder pre-registered in StratumVariables; stratification-adjusted estimate is epistemically appropriate for imported real study.", "TotalCasesA": 2000, "TotalSuccessesA": 1000, "PooledRateA": 0.5, "TotalCasesB": 2000, "TotalSuccessesB": 1000, "PooledRateB": 0.5, "PooledWinner": "tie", "StratumCount": 2, "StrataWonByA": 1, "StrataWonByB": 1, "PerStratumWinner": "none", "IsReversal": false, "ConfoundersInStudy": 1, "IsParadoxExplained": false, "PooledGap": 0.0, "StrataWonByLoser": 1, "ParadoxStrength": 0.0, "PooledRateFromWeightsA": 0.5, "PooledRateFromWeightsB": 0.5, "ReversalIntensity": 0.5, "ThresholdMargin": 0.0, "SignedPooledGap": 0.0, "WeightedStratumGapSum": 0.0, "IsSignFlip": false, "AllocationDistortion": 0.0, "DistortionType": "D", "PolicyImplication": "pooled-analysis-trustworthy" },
      { "TreatmentRankingId": "minimum-wage-region-A-vs-B", "Study": "minimum-wage-region", "TreatmentA": "A", "TreatmentB": "B", "Name": "minimum-wage-region-A-vs-B", "AdjustmentRationale": "Confirmed confounder pre-registered in StratumVariables; stratification-adjusted estimate is epistemically appropriate for imported real study.", "TotalCasesA": 2000, "TotalSuccessesA": 1700, "PooledRateA": 0.85, "TotalCasesB": 2000, "TotalSuccessesB": 1730, "PooledRateB": 0.865, "PooledWinner": "B", "StratumCount": 2, "StrataWonByA": 1, "StrataWonByB": 1, "PerStratumWinner": "none", "IsReversal": false, "ConfoundersInStudy": 1, "IsParadoxExplained": false, "PooledGap": 0.015, "StrataWonByLoser": 1, "ParadoxStrength": 0.0075, "PooledRateFromWeightsA": 0.85, "PooledRateFromWeightsB": 0.865, "ReversalIntensity": 0.5, "ThresholdMargin": 0.0, "SignedPooledGap": -0.015, "WeightedStratumGapSum": -0.015, "IsSignFlip": false, "AllocationDistortion": 0.0, "DistortionType": "D", "PolicyImplication": "pooled-analysis-trustworthy" },
      { "TreatmentRankingId": "returns-to-education-field-A-vs-B", "Study": "returns-to-education-field", "TreatmentA": "A", "TreatmentB": "B", "Name": "returns-to-education-field-A-vs-B", "AdjustmentRationale": "Causal role contested — geometric correction is available but adjustment requires caution about endogenous stratum choice.", "TotalCasesA": 2000, "TotalSuccessesA": 1240, "PooledRateA": 0.62, "TotalCasesB": 2000, "TotalSuccessesB": 730, "PooledRateB": 0.365, "PooledWinner": "A", "StratumCount": 2, "StrataWonByA": 2, "StrataWonByB": 0, "PerStratumWinner": "A", "IsReversal": false, "ConfoundersInStudy": 0, "IsParadoxExplained": false, "PooledGap": 0.255, "StrataWonByLoser": 0, "ParadoxStrength": 0.0, "PooledRateFromWeightsA": 0.62, "PooledRateFromWeightsB": 0.365, "ReversalIntensity": 0.0, "ThresholdMargin": -0.5, "SignedPooledGap": 0.255, "WeightedStratumGapSum": 0.255, "IsSignFlip": false, "AllocationDistortion": 0.0, "DistortionType": "D", "PolicyImplication": "pooled-analysis-trustworthy" },
      { "TreatmentRankingId": "unemployment-education-cycle-A-vs-B", "Study": "unemployment-education-cycle", "TreatmentA": "A", "TreatmentB": "B", "Name": "unemployment-education-cycle-A-vs-B", "AdjustmentRationale": "Confirmed confounder pre-registered in StratumVariables; stratification-adjusted estimate is epistemically appropriate for imported real study.", "TotalCasesA": 2000, "TotalSuccessesA": 1770, "PooledRateA": 0.885, "TotalCasesB": 2000, "TotalSuccessesB": 1790, "PooledRateB": 0.895, "PooledWinner": "B", "StratumCount": 2, "StrataWonByA": 1, "StrataWonByB": 1, "PerStratumWinner": "none", "IsReversal": false, "ConfoundersInStudy": 1, "IsParadoxExplained": false, "PooledGap": 0.01, "StrataWonByLoser": 1, "ParadoxStrength": 0.005, "PooledRateFromWeightsA": 0.885, "PooledRateFromWeightsB": 0.895, "ReversalIntensity": 0.5, "ThresholdMargin": 0.0, "SignedPooledGap": -0.01, "WeightedStratumGapSum": -0.01, "IsSignFlip": false, "AllocationDistortion": 0.0, "DistortionType": "D", "PolicyImplication": "pooled-analysis-trustworthy" },
      { "TreatmentRankingId": "costa-rica-us-life-expectancy-A-vs-B", "Study": "costa-rica-us-life-expectancy", "TreatmentA": "A", "TreatmentB": "B", "Name": "costa-rica-us-life-expectancy-A-vs-B", "AdjustmentRationale": "Confirmed confounder pre-registered in StratumVariables; stratification-adjusted estimate is epistemically appropriate for imported real study.", "TotalCasesA": 2000, "TotalSuccessesA": 1840, "PooledRateA": 0.92, "TotalCasesB": 2000, "TotalSuccessesB": 1885, "PooledRateB": 0.9425, "PooledWinner": "B", "StratumCount": 2, "StrataWonByA": 1, "StrataWonByB": 1, "PerStratumWinner": "none", "IsReversal": false, "ConfoundersInStudy": 1, "IsParadoxExplained": false, "PooledGap": 0.0225, "StrataWonByLoser": 1, "ParadoxStrength": 0.01125, "PooledRateFromWeightsA": 0.92, "PooledRateFromWeightsB": 0.9425, "ReversalIntensity": 0.5, "ThresholdMargin": 0.0, "SignedPooledGap": -0.0225, "WeightedStratumGapSum": -0.0225, "IsSignFlip": false, "AllocationDistortion": 0.0, "DistortionType": "D", "PolicyImplication": "pooled-analysis-trustworthy" },
      { "TreatmentRankingId": "fertility-income-country-A-vs-B", "Study": "fertility-income-country", "TreatmentA": "A", "TreatmentB": "B", "Name": "fertility-income-country-A-vs-B", "AdjustmentRationale": "Confirmed confounder pre-registered in StratumVariables; stratification-adjusted estimate is epistemically appropriate for imported real study.", "TotalCasesA": 2000, "TotalSuccessesA": 830, "PooledRateA": 0.415, "TotalCasesB": 2000, "TotalSuccessesB": 870, "PooledRateB": 0.435, "PooledWinner": "B", "StratumCount": 2, "StrataWonByA": 1, "StrataWonByB": 1, "PerStratumWinner": "none", "IsReversal": false, "ConfoundersInStudy": 1, "IsParadoxExplained": false, "PooledGap": 0.02, "StrataWonByLoser": 1, "ParadoxStrength": 0.01, "PooledRateFromWeightsA": 0.415, "PooledRateFromWeightsB": 0.435, "ReversalIntensity": 0.5, "ThresholdMargin": 0.0, "SignedPooledGap": -0.02, "WeightedStratumGapSum": -0.02, "IsSignFlip": false, "AllocationDistortion": 0.0, "DistortionType": "D", "PolicyImplication": "pooled-analysis-trustworthy" },
      { "TreatmentRankingId": "religiosity-happiness-country-A-vs-B", "Study": "religiosity-happiness-country", "TreatmentA": "A", "TreatmentB": "B", "Name": "religiosity-happiness-country-A-vs-B", "AdjustmentRationale": "Confirmed confounder pre-registered in StratumVariables; stratification-adjusted estimate is epistemically appropriate for imported real study.", "TotalCasesA": 2000, "TotalSuccessesA": 1370, "PooledRateA": 0.685, "TotalCasesB": 2000, "TotalSuccessesB": 1360, "PooledRateB": 0.68, "PooledWinner": "A", "StratumCount": 2, "StrataWonByA": 1, "StrataWonByB": 1, "PerStratumWinner": "none", "IsReversal": false, "ConfoundersInStudy": 1, "IsParadoxExplained": false, "PooledGap": 0.005, "StrataWonByLoser": 1, "ParadoxStrength": 0.0025, "PooledRateFromWeightsA": 0.685, "PooledRateFromWeightsB": 0.68, "ReversalIntensity": 0.5, "ThresholdMargin": 0.0, "SignedPooledGap": 0.005, "WeightedStratumGapSum": 0.005, "IsSignFlip": false, "AllocationDistortion": 0.0, "DistortionType": "D", "PolicyImplication": "pooled-analysis-trustworthy" },
      { "TreatmentRankingId": "voter-turnout-education-state-A-vs-B", "Study": "voter-turnout-education-state", "TreatmentA": "A", "TreatmentB": "B", "Name": "voter-turnout-education-state-A-vs-B", "AdjustmentRationale": "Confirmed confounder pre-registered in StratumVariables; stratification-adjusted estimate is epistemically appropriate for imported real study.", "TotalCasesA": 2000, "TotalSuccessesA": 1430, "PooledRateA": 0.715, "TotalCasesB": 2000, "TotalSuccessesB": 1000, "PooledRateB": 0.5, "PooledWinner": "A", "StratumCount": 2, "StrataWonByA": 2, "StrataWonByB": 0, "PerStratumWinner": "A", "IsReversal": false, "ConfoundersInStudy": 1, "IsParadoxExplained": false, "PooledGap": 0.215, "StrataWonByLoser": 0, "ParadoxStrength": 0.0, "PooledRateFromWeightsA": 0.715, "PooledRateFromWeightsB": 0.5, "ReversalIntensity": 0.0, "ThresholdMargin": -0.5, "SignedPooledGap": 0.215, "WeightedStratumGapSum": 0.215, "IsSignFlip": false, "AllocationDistortion": 0.0, "DistortionType": "D", "PolicyImplication": "pooled-analysis-trustworthy" },
      { "TreatmentRankingId": "ad-ctr-platform-mix-A-vs-B", "Study": "ad-ctr-platform-mix", "TreatmentA": "A", "TreatmentB": "B", "Name": "ad-ctr-platform-mix-A-vs-B", "AdjustmentRationale": "Confirmed confounder pre-registered in StratumVariables; stratification-adjusted estimate is epistemically appropriate for imported real study.", "TotalCasesA": 2000, "TotalSuccessesA": 125, "PooledRateA": 0.0625, "TotalCasesB": 2000, "TotalSuccessesB": 125, "PooledRateB": 0.0625, "PooledWinner": "tie", "StratumCount": 2, "StrataWonByA": 1, "StrataWonByB": 1, "PerStratumWinner": "none", "IsReversal": false, "ConfoundersInStudy": 1, "IsParadoxExplained": false, "PooledGap": 0.0, "StrataWonByLoser": 1, "ParadoxStrength": 0.0, "PooledRateFromWeightsA": 0.0625, "PooledRateFromWeightsB": 0.0625, "ReversalIntensity": 0.5, "ThresholdMargin": 0.0, "SignedPooledGap": 0.0, "WeightedStratumGapSum": 0.0, "IsSignFlip": false, "AllocationDistortion": 0.0, "DistortionType": "D", "PolicyImplication": "pooled-analysis-trustworthy" }
    ]
  },
  "InvariantChecks": {
    "Description": "Table: InvariantChecks — one row per algebraic invariant across the 40-study validation corpus. PassCount and FailCount are populated by run_invariant_checks() in 05b-customize-data.sql. Any critical FailCount &gt; 0 breaks the build.",
    "schema": [
      {
        "name": "InvariantCheckId",
        "datatype": "string",
        "type": "raw",
        "nullable": false,
        "Description": "Unique slug for this invariant (e.g. inv-balanced-alloc)."
      },
      {
        "name": "Name",
        "datatype": "string",
        "type": "calculated",
        "nullable": false,
        "Description": "Display label.",
        "formula": "={{InvariantCheckId}}"
      },
      {
        "name": "AlgebraicStatement",
        "datatype": "string",
        "type": "raw",
        "nullable": false,
        "Description": "The mathematical assertion in compact symbolic form."
      },
      {
        "name": "NaturalLanguage",
        "datatype": "string",
        "type": "raw",
        "nullable": false,
        "Description": "Plain-English statement of what property must hold and why it is an invariant of the model."
      },
      {
        "name": "SourceTable",
        "datatype": "string",
        "type": "raw",
        "nullable": false,
        "Description": "The DAG table whose rows are checked (TreatmentRankings or StratumSummaries)."
      },
      {
        "name": "FilterExpression",
        "datatype": "string",
        "type": "raw",
        "nullable": true,
        "Description": "Condition selecting the universe of rows this invariant applies to. Empty means all rows."
      },
      {
        "name": "AssertionExpression",
        "datatype": "string",
        "type": "raw",
        "nullable": false,
        "Description": "The per-row condition that must be TRUE for every row in scope."
      },
      {
        "name": "SqlFilter",
        "datatype": "string",
        "type": "raw",
        "nullable": true,
        "Description": "Optional SQL WHERE clause that selects the universe of rows in scope for this invariant (e.g. distortion_type = 'D'). Empty string means all rows."
      },
      {
        "name": "SqlAssertion",
        "datatype": "string",
        "type": "raw",
        "nullable": false,
        "Description": "The SQL WHERE clause (without WHERE keyword) that counts PASSING rows from vw_treatment_rankings for this invariant. Used by run_invariant_checks() to evaluate each assertion dynamically from the rulebook table."
      },
      {
        "name": "PassCount",
        "datatype": "integer",
        "type": "raw",
        "nullable": false,
        "Description": "Rows where the invariant holds. Populated by 05b-customize-data.sql from a live query against vw_treatment_rankings."
      },
      {
        "name": "FailCount",
        "datatype": "integer",
        "type": "raw",
        "nullable": false,
        "Description": "Rows where the invariant is violated. Any FailCount &gt; 0 is a build-breaking bug."
      },
      {
        "name": "UniverseCount",
        "datatype": "integer",
        "type": "calculated",
        "nullable": false,
        "Description": "Total rows in scope (PassCount + FailCount).",
        "formula": "={{PassCount}} + {{FailCount}}"
      },
      {
        "name": "IsGreen",
        "datatype": "boolean",
        "type": "calculated",
        "nullable": false,
        "Description": "TRUE when FailCount = 0.",
        "formula": "={{FailCount}} = 0"
      },
      {
        "name": "StatusLabel",
        "datatype": "string",
        "type": "calculated",
        "nullable": false,
        "Description": "PASS or FAIL(n) summary for display.",
        "formula": "=IF({{IsGreen}}, \"PASS\", CONCAT(\"FAIL(\", {{FailCount}}, \")\"))"
      },
      {
        "name": "Severity",
        "datatype": "string",
        "type": "raw",
        "nullable": false,
        "Description": "critical | warning — critical means any FailCount &gt; 0 is a build-breaking bug."
      },
      {
        "name": "TraditionId",
        "datatype": "string",
        "type": "raw",
        "nullable": true,
        "Description": "FK → ResearchTraditions.TraditionId. The tradition whose theoretical commitments this algebraic invariant protects — a failed invariant would falsify that tradition's key claim."
      },
      {
        "name": "ProtectsConclusion",
        "datatype": "string",
        "type": "raw",
        "nullable": true,
        "Description": "FK → Conclusions.ConclusionId. The conclusion whose witness depends on this invariant holding. If this invariant fails, that conclusion is undermined."
      },
      {
        "name": "TraditionName",
        "datatype": "string",
        "type": "lookup",
        "nullable": true,
        "Description": "Lookup: ResearchTraditions.Name via TraditionId.",
        "formula": "=LOOKUP({{TraditionId}}, ResearchTraditions[TraditionId], ResearchTraditions[Name])"
      },
      {
        "name": "TraditionKeyClaimSummary",
        "datatype": "string",
        "type": "lookup",
        "nullable": true,
        "Description": "Lookup: ResearchTraditions.KeyClaim via TraditionId — a failed invariant would falsify this tradition's key claim.",
        "formula": "=LOOKUP({{TraditionId}}, ResearchTraditions[TraditionId], ResearchTraditions[KeyClaim])"
      },
      {
        "name": "ProtectsConclusionTitle",
        "datatype": "string",
        "type": "lookup",
        "nullable": true,
        "Description": "Lookup: Conclusions.Title via ProtectsConclusion.",
        "formula": "=LOOKUP({{ProtectsConclusion}}, Conclusions[ConclusionId], Conclusions[Title])"
      },
      {
        "name": "ProtectsConclusionCategory",
        "datatype": "string",
        "type": "lookup",
        "nullable": true,
        "Description": "Lookup: Conclusions.Category via ProtectsConclusion.",
        "formula": "=LOOKUP({{ProtectsConclusion}}, Conclusions[ConclusionId], Conclusions[Category])"
      }
    ],
    "data": [
      { "InvariantCheckId": "inv-taxonomy-complete", "AlgebraicStatement": "DistortionType ∈ {A,B,C+,C-,D} for all rows", "NaturalLanguage": "Every TreatmentRanking row in the 40-study corpus must have a non-null five-type DistortionType. A blank classification means the DAG has a gap.", "SourceTable": "TreatmentRankings", "FilterExpression": "", "AssertionExpression": "DistortionType IS NOT NULL AND DistortionType &lt;&gt; ''", "PassCount": 40, "FailCount": 0, "Severity": "critical", "SqlFilter": "", "SqlAssertion": "distortion_type IS NOT NULL AND distortion_type &lt;&gt; ''", "TraditionId": "tradition-historical", "ProtectsConclusion": "conc-01-paradox-is-derived" },
      { "InvariantCheckId": "inv-type-ab-sign-flip", "AlgebraicStatement": "DistortionType ∈ {A,B} → IsSignFlip=TRUE", "NaturalLanguage": "Types A and B are sign-flip reversals. A study classified A or B where IsSignFlip is FALSE violates the type definition.", "SourceTable": "TreatmentRankings", "FilterExpression": "DistortionType IN ('A','B')", "AssertionExpression": "IsSignFlip = TRUE", "PassCount": 12, "FailCount": 0, "Severity": "critical", "SqlFilter": "distortion_type IN ('A','B')", "SqlAssertion": "is_sign_flip = TRUE", "TraditionId": "tradition-historical", "ProtectsConclusion": "conc-03-binary-excludes-partial" },
      { "InvariantCheckId": "inv-type-cd-no-sign-flip", "AlgebraicStatement": "DistortionType ∈ {C+,C-,D} → IsSignFlip=FALSE", "NaturalLanguage": "Types C+, C-, and D are non-reversal types. Any such study where IsSignFlip is TRUE is a classification contradiction.", "SourceTable": "TreatmentRankings", "FilterExpression": "DistortionType IN ('C+','C-','D')", "AssertionExpression": "IsSignFlip = FALSE", "PassCount": 28, "FailCount": 0, "Severity": "critical", "SqlFilter": "distortion_type LIKE 'C%' OR distortion_type = 'D'", "SqlAssertion": "(is_sign_flip = FALSE OR is_sign_flip IS NULL)", "TraditionId": "tradition-historical", "ProtectsConclusion": "conc-04-type-c-exists" },
      { "InvariantCheckId": "inv-sign-flip-winner", "AlgebraicStatement": "IsSignFlip=TRUE → CorrectedVsPooledAgreement=FALSE", "NaturalLanguage": "When pooled and equal-weight signals point in opposite directions (IsSignFlip), the corrected winner must differ from the pooled winner.", "SourceTable": "TreatmentRankings", "FilterExpression": "IsSignFlip = TRUE", "AssertionExpression": "CorrectedVsPooledAgreement = FALSE", "PassCount": 12, "FailCount": 0, "Severity": "critical", "SqlFilter": "is_sign_flip = TRUE", "SqlAssertion": "corrected_vs_pooled_agreement = FALSE", "TraditionId": "tradition-dag", "ProtectsConclusion": "conc-11-reversal-recovery" },
      { "InvariantCheckId": "inv-type-d-agreement", "AlgebraicStatement": "DistortionType=D → CorrectedVsPooledAgreement=TRUE", "NaturalLanguage": "Type-D studies have negligible allocation distortion so corrected and pooled winners must agree (including tie).", "SourceTable": "TreatmentRankings", "FilterExpression": "DistortionType = 'D'", "AssertionExpression": "CorrectedVsPooledAgreement = TRUE", "PassCount": 21, "FailCount": 0, "Severity": "critical", "SqlFilter": "distortion_type = 'D'", "SqlAssertion": "corrected_vs_pooled_agreement = TRUE", "TraditionId": "tradition-historical", "ProtectsConclusion": "conc-02-reversal-from-allocation" },
      { "InvariantCheckId": "inv-type-d-low-distortion", "AlgebraicStatement": "DistortionType=D → AllocationDistortion &lt; 0.01", "NaturalLanguage": "Type D is defined as allocation-free (distortion below the 1pp threshold).", "SourceTable": "TreatmentRankings", "FilterExpression": "DistortionType = 'D'", "AssertionExpression": "AllocationDistortion &lt; 0.01", "PassCount": 21, "FailCount": 0, "Severity": "critical", "SqlFilter": "distortion_type = 'D'", "SqlAssertion": "allocation_distortion &lt; 0.01", "TraditionId": "tradition-historical", "ProtectsConclusion": "conc-02-reversal-from-allocation" },
      { "InvariantCheckId": "inv-corrected-gap-sign", "AlgebraicStatement": "SIGN(CorrectedGap) = SIGN(WeightedStratumGapSum)", "NaturalLanguage": "CorrectedGap is WeightedStratumGapSum; their signs must always agree.", "SourceTable": "TreatmentRankings", "FilterExpression": "WeightedStratumGapSum IS NOT NULL", "AssertionExpression": "SIGN(corrected_gap) = SIGN(weighted_stratum_gap_sum)", "PassCount": 40, "FailCount": 0, "Severity": "critical", "SqlFilter": "weighted_stratum_gap_sum IS NOT NULL", "SqlAssertion": "SIGN(corrected_gap) = SIGN(weighted_stratum_gap_sum)", "TraditionId": "tradition-dag", "ProtectsConclusion": "conc-11-reversal-recovery" },
      { "InvariantCheckId": "inv-corrected-gap-invariant", "AlgebraicStatement": "SweepCorrectedGapRange &lt; 0.0001 for every study", "NaturalLanguage": "CorrectedGap must be constant across all allocation fractions for EVERY study in the sweep (all 90+ studies). Each SweepStudySummary row must pass.", "SourceTable": "SweepStudySummary", "FilterExpression": "", "AssertionExpression": "sweep_corrected_gap_range &lt; 0.0001", "PassCount": 96, "FailCount": 0, "Severity": "critical", "SqlFilter": "", "SqlAssertion": "sweep_corrected_gap_range &lt; 0.0001", "TraditionId": "tradition-dag", "ProtectsConclusion": "conc-11-reversal-recovery" },
      { "InvariantCheckId": "inv-pooled-gap-wanders", "AlgebraicStatement": "Type A/B → SweepPooledGapRange &gt; 0.01", "NaturalLanguage": "Pooled gap should move under allocation reweighting for reversal studies. Warning-only: small-magnitude reversals may have narrow sweep range.", "SourceTable": "SweepStudySummary", "FilterExpression": "DistortionTypeLabel IN ('A','B')", "AssertionExpression": "sweep_pooled_gap_range &gt; 0.01", "PassCount": 12, "FailCount": 0, "Severity": "warning", "SqlFilter": "distortion_type_label IN ('A', 'B')", "SqlAssertion": "sweep_pooled_gap_range &gt; 0.01", "TraditionId": "tradition-historical", "ProtectsConclusion": "conc-03-binary-excludes-partial" },
      { "InvariantCheckId": "inv-pooled-gap-crosses-zero", "AlgebraicStatement": "Type A → PooledGapCrossesZero=TRUE", "NaturalLanguage": "Full Type-A reversals (attenuated sign flip) must cross zero somewhere in the allocation sweep. Type B partial reversals are excluded — their sweep may stay same-sign.", "SourceTable": "SweepStudySummary", "FilterExpression": "DistortionTypeLabel = 'A'", "AssertionExpression": "pooled_gap_crosses_zero = TRUE", "PassCount": 6, "FailCount": 0, "Severity": "critical", "SqlFilter": "distortion_type_label = 'A'", "SqlAssertion": "pooled_gap_crosses_zero = TRUE", "TraditionId": "tradition-historical", "ProtectsConclusion": "conc-03-binary-excludes-partial" },
      { "InvariantCheckId": "inv-cplus-ratio-gt-1", "Name": "inv-cplus-ratio-gt-1", "AlgebraicStatement": "DistortionType = C+ → DistortionRatio &gt; 1", "NaturalLanguage": "Every Type-C+ study has DistortionRatio &gt; 1 (amplification).", "SourceTable": "TreatmentRankings", "FilterExpression": "DistortionType = 'C+'", "AssertionExpression": "DistortionRatio &gt; 1", "SqlFilter": "distortion_type = 'C+'", "SqlAssertion": "distortion_ratio &gt; 1", "PassCount": 4, "FailCount": 0, "Severity": "critical", "TraditionId": "tradition-historical", "ProtectsConclusion": "conc-04-type-c-exists" },
      { "InvariantCheckId": "inv-cminus-ratio-in-01", "Name": "inv-cminus-ratio-in-01", "AlgebraicStatement": "DistortionType = C- → DistortionRatio ∈ (0, 1)", "NaturalLanguage": "Every Type-C- study has DistortionRatio in (0,1) (compression).", "SourceTable": "TreatmentRankings", "FilterExpression": "DistortionType = 'C-'", "AssertionExpression": "DistortionRatio &gt; 0 AND DistortionRatio &lt; 1", "SqlFilter": "distortion_type = 'C-'", "SqlAssertion": "distortion_ratio &gt; 0 AND distortion_ratio &lt; 1", "PassCount": 3, "FailCount": 0, "Severity": "critical", "TraditionId": "tradition-historical", "ProtectsConclusion": "conc-04-type-c-exists" },
      { "InvariantCheckId": "inv-signal-purity-sign-flip", "Name": "inv-signal-purity-sign-flip", "AlgebraicStatement": "AllocationDirection = 'reversal' → SignalPurity &lt; 0.5", "NaturalLanguage": "Signal-purity theorem: reversal studies have SignalPurity below 0.5.", "SourceTable": "TreatmentRankings", "FilterExpression": "AllocationDirection = 'reversal'", "AssertionExpression": "SignalPurity &lt; 0.5", "SqlFilter": "allocation_direction = 'reversal'", "SqlAssertion": "signal_purity &lt; 0.5", "PassCount": 12, "FailCount": 0, "Severity": "critical", "TraditionId": "tradition-dag", "ProtectsConclusion": "conc-09-causal-vs-geometric" },
      { "InvariantCheckId": "inv-phase-diagram-five-types", "AlgebraicStatement": "AllFiveTypesPresent = TRUE", "NaturalLanguage": "The five-cell distortion taxonomy is complete in the synthetic phase grid.", "SourceTable": "PhaseDiagramSummary", "FilterExpression": "", "AssertionExpression": "AllFiveTypesPresent = TRUE", "SqlFilter": "", "SqlAssertion": "all_five_types_present = TRUE", "PassCount": 1, "FailCount": 0, "Severity": "critical", "TraditionId": "tradition-dag" },
      { "InvariantCheckId": "inv-ingestion-contract", "Name": "inv-ingestion-contract", "AlgebraicStatement": "IngestionContractPasses = TRUE", "NaturalLanguage": "Every CaseCell satisfies the ingestion validity predicate; every real study has a pre-registered confounder.", "SourceTable": "IngestionSummary", "FilterExpression": "", "AssertionExpression": "IngestionContractPasses = TRUE", "SqlFilter": "", "SqlAssertion": "ingestion_contract_passes = TRUE", "PassCount": 1, "FailCount": 0, "Severity": "critical", "TraditionId": "tradition-epidemiology" },
      { "InvariantCheckId": "inv-import-session-ready", "Name": "inv-import-session-ready", "AlgebraicStatement": "CandidateCount = 0 (all encode-ready catalog rows imported)", "NaturalLanguage": "Post loop-59: REAL? backlog drained; zero catalog rows remain with IngestionStatus=candidate (blocked rows excluded).", "SourceTable": "CorpusCatalogSummary", "FilterExpression": "", "AssertionExpression": "CandidateCount = 0", "SqlFilter": "", "SqlAssertion": "candidate_count = 0", "PassCount": 1, "FailCount": 0, "Severity": "critical", "TraditionId": "tradition-epidemiology" },
      { "InvariantCheckId": "inv-catalog-imported-linked", "Name": "inv-catalog-imported-linked", "AlgebraicStatement": "IngestionStatus = imported → LinkedStudyId ∈ Studies", "NaturalLanguage": "Every imported catalog row links to an existing Studies.StudyId.", "SourceTable": "CandidateStudyCatalog", "FilterExpression": "IngestionStatus = imported", "AssertionExpression": "LinkedStudyId &lt;&gt; \"\"", "SqlFilter": "ingestion_status = 'imported'", "SqlAssertion": "linked_study_id IS NOT NULL AND linked_study_id &lt;&gt; ''", "PassCount": 93, "FailCount": 0, "Severity": "critical", "TraditionId": "tradition-dag" },
      { "InvariantCheckId": "inv-type-a-ratio-negative", "Name": "inv-type-a-ratio-negative", "AlgebraicStatement": "DistortionType = A → DistortionRatio ∈ (-1, 0)", "NaturalLanguage": "Type-A studies have negative DistortionRatio with magnitude below 1 (attenuated sign flip).", "SourceTable": "TreatmentRankings", "FilterExpression": "DistortionType = 'A'", "AssertionExpression": "DistortionRatio &lt; 0 AND ABS(DistortionRatio) &lt; 1", "SqlFilter": "distortion_type = 'A'", "SqlAssertion": "distortion_ratio &lt; 0 AND ABS(distortion_ratio) &lt; 1", "PassCount": 6, "FailCount": 0, "Severity": "critical", "TraditionId": "tradition-historical", "ProtectsConclus</t>
  </si>
  <si>
    <t xml:space="preserve">ion": "conc-01-paradox-is-derived" },
      { "InvariantCheckId": "inv-type-b-ratio-lt-neg1", "Name": "inv-type-b-ratio-lt-neg1", "AlgebraicStatement": "DistortionType = B → DistortionRatio &lt; -1", "NaturalLanguage": "Type-B studies have DistortionRatio &lt; -1 (amplified sign flip).", "SourceTable": "TreatmentRankings", "FilterExpression": "DistortionType = 'B'", "AssertionExpression": "DistortionRatio &lt; -1", "SqlFilter": "distortion_type = 'B'", "SqlAssertion": "distortion_ratio &lt; -1", "PassCount": 6, "FailCount": 0, "Severity": "critical", "TraditionId": "tradition-historical", "ProtectsConclusion": "conc-03-binary-excludes-partial" },
      { "InvariantCheckId": "inv-type-c-ratio-positive", "Name": "inv-type-c-ratio-positive", "AlgebraicStatement": "DistortionType ∈ {C+,C-} → DistortionRatio &gt; 0", "NaturalLanguage": "Type-C studies have positive DistortionRatio (same direction, no sign flip).", "SourceTable": "TreatmentRankings", "FilterExpression": "DistortionType IN ('C+','C-')", "AssertionExpression": "DistortionRatio &gt; 0", "SqlFilter": "distortion_type LIKE 'C%'", "SqlAssertion": "distortion_ratio &gt; 0", "PassCount": 7, "FailCount": 0, "Severity": "critical", "TraditionId": "tradition-historical", "ProtectsConclusion": "conc-04-type-c-exists" },
      { "InvariantCheckId": "inv-type-d-ratio-near-unity", "Name": "inv-type-d-ratio-near-unity", "AlgebraicStatement": "DistortionType = D → ABS(DistortionRatio - 1) &lt; 0.15 OR |CorrectedGap| &lt; 0.01", "NaturalLanguage": "Type-D studies have ratio near 1 when signal exists; degenerate near-zero gaps may yield ratio far from 1 or NULL.", "SourceTable": "TreatmentRankings", "FilterExpression": "DistortionType = 'D'", "AssertionExpression": "ABS(DistortionRatio - 1) &lt; 0.15 OR ABS(CorrectedGap) &lt; 0.01 OR DistortionRatio IS NULL", "SqlFilter": "distortion_type = 'D'", "SqlAssertion": "ABS(distortion_ratio - 1) &lt; 0.15 OR ABS(corrected_gap) &lt; 0.01 OR distortion_ratio IS NULL", "PassCount": 34, "FailCount": 0, "Severity": "critical", "TraditionId": "tradition-historical", "ProtectsConclusion": "conc-02-reversal-from-allocation" },
      { "InvariantCheckId": "inv-latent-d-majority", "Name": "inv-latent-d-majority", "AlgebraicStatement": "LatentTypeDFraction &gt; 0.5", "NaturalLanguage": "More than half of Type-D studies have latent flip potential under allocation sweep.", "SourceTable": "ModelSummary", "FilterExpression": "", "AssertionExpression": "LatentTypeDFraction &gt; 0.5", "SqlFilter": "", "SqlAssertion": "latent_type_d_fraction &gt; 0.5", "PassCount": 1, "FailCount": 0, "Severity": "critical", "TraditionId": "tradition-historical", "ProtectsConclusion": "conc-15-latent-flip-potential" },
      { "InvariantCheckId": "inv-discovery-all-confirmed", "Name": "inv-discovery-all-confirmed", "AlgebraicStatement": "COUNTIFS(DiscoveryFindings IsConfirmed FALSE WHERE EpistemicTier=corpus-hypothesis) = 0", "NaturalLanguage": "All loop-61 pre-registered corpus hypotheses (excluding definition-linked consistency checks) must confirm against the live corpus.", "SourceTable": "DiscoveryFindings", "FilterExpression": "HypothesisEpistemicTier = corpus-hypothesis", "AssertionExpression": "IsConfirmed = TRUE", "SqlFilter": "hypothesis_id IN ('H-latent-d', 'H-small-effect', 'H-econ-zero', 'H-domain-dist')", "SqlAssertion": "is_confirmed = TRUE", "PassCount": 4, "FailCount": 0, "Severity": "critical", "TraditionId": "tradition-epidemiology", "ProtectsConclusion": "conc-15-latent-flip-potential" }
    ]
  },
  "__meta__": {
    "Description": "Table: __meta__ — project-level metadata for the Simpson's Paradox domain. One row per key. Transparent to transpilers.",
    "schema": [
      {
        "name": "MetaKey",
        "datatype": "string",
        "type": "raw",
        "nullable": false,
        "Description": "Unique key identifying this metadata entry."
      },
      {
        "name": "Name",
        "datatype": "string",
        "type": "calculated",
        "nullable": false,
        "Description": "Display label, mirrors MetaKey.",
        "formula": "={{MetaKey}}"
      },
      {
        "name": "ValueType",
        "datatype": "string",
        "type": "raw",
        "nullable": false,
        "Description": "Type of value stored: string | object | array"
      },
      {
        "name": "StringValue",
        "datatype": "string",
        "type": "raw",
        "nullable": true,
        "Description": "Value when ValueType = string."
      },
      {
        "name": "JsonValue",
        "datatype": "string",
        "type": "raw",
        "nullable": true,
        "Description": "JSON-encoded value when ValueType = object or array."
      }
    ],
    "data": [
      { "MetaKey": "cmcc_summary", "ValueType": "string", "StringValue": "Domain mirror of Simpson's Paradox. Entities: Studies, Treatments, Strata, CaseCells. CellSuccessRate is the first derived fact. Pooled rates, per-stratum rates, and the reversal fall out as higher-order derived nodes in subsequent loops." },
      { "MetaKey": "source", "ValueType": "string", "StringValue": "hand-authored" },
      { "MetaKey": "tool_version", "ValueType": "string", "StringValue": "1.0.0" },
      { "MetaKey": "export_mode", "ValueType": "string", "StringValue": "schema_first_type_mapping" },
      { "MetaKey": "loop", "ValueType": "string", "StringValue": "loop-23b-unified-rulebook" },
      { "MetaKey": "tagline", "ValueType": "string", "StringValue": "A digital mirror of Simpson's Paradox — the paradox falls out of the DAG as a derived fact, never modeled directly." },
      { "MetaKey": "motif", "ValueType": "string", "StringValue": "reversal" },
      { "MetaKey": "use_cases", "ValueType": "array", "JsonValue": "[\"Teaching Simpson's Paradox with real data\", \"Classifying studies by distortion geometry\", \"Generating researcher action (PolicyImplication) from allocation bias\", \"Prospective literature screening for confounded pooled conclusions\"]" },
      { "MetaKey": "journal_seed", "ValueType": "string", "StringValue": "The instrument witnessed its first full type-A reversal from real published data (reintjes-2000 and radelet-1981) in loop-20b. Berkeley (loop-08) introduced the partial reversal and the sign-flip definition replaced the unanimity criterion in loop-17. The four-type taxonomy (A/B/C/D) was completed in loop-21." }
    ]
  },
  "Methodology": {
    "Description": "Table: Methodology — the first-principles process used to build this domain model. Each row documents one methodological axiom or step. Together these rows let a reader (or an LLM) reconstruct why the model is shaped the way it is, and re-apply the same process to a new domain.",
    "schema": [
      {
        "name": "MethodologyId",
        "datatype": "string",
        "type": "raw",
        "nullable": false,
        "Description": "Unique slug (e.g. method-01-cmcc, method-02-dag-first)."
      },
      {
        "name": "Name",
        "datatype": "string",
        "type": "calculated",
        "nullable": false,
        "Description": "Display label, mirrors MethodologyId.",
        "formula": "={{MethodologyId}}"
      },
      {
        "name": "Phase",
        "datatype": "string",
        "type": "raw",
        "nullable": false,
        "Description": "Broad phase: axiom | decomposition | derivation | hydration | validation | taxonomy | conclusion"
      },
      {
        "name": "Title",
        "datatype": "string",
        "type": "raw",
        "nullable": false,
        "Description": "Short title of the methodological principle or step."
      },
      {
        "name": "Statement",
        "datatype": "string",
        "type": "raw",
        "nullable": false,
        "Description": "One-to-three sentence statement of the principle, precise enough to be applied or falsified."
      },
      {
        "name": "WhyItMatters",
        "datatype": "string",
        "type": "raw",
        "nullable": true,
        "Description": "Why this step or principle is load-bearing for this model — what breaks if you skip it."
      },
      {
        "name": "IllustratedByLoop",
        "datatype": "string",
        "type": "raw",
        "nullable": true,
        "Description": "LoopId(s) where this principle was concretely demonstrated (comma-separated)."
      },
      {
        "name": "TraditionId",
        "datatype": "string",
        "type": "raw",
        "nullable": true,
        "Description": "FK → ResearchTraditions.TraditionId. The scholarly tradition that introduced or most relies on this methodological approach."
      },
      {
        "name": "PioneeringResearcher",
        "datatype": "string",
        "type": "raw",
        "nullable": true,
        "Description": "FK → Researchers.ResearcherId. The researcher most associated with developing or popularising this methodological principle in the Simpson's Paradox context."
      },
      {
        "name": "TraditionName",
        "datatype": "string",
        "type": "lookup",
        "nullable": true,
        "Description": "Lookup: ResearchTraditions.Name via TraditionId.",
        "formula": "=LOOKUP({{TraditionId}}, ResearchTraditions[TraditionId], ResearchTraditions[Name])"
      },
      {
        "name": "TraditionPrimaryVenue",
        "datatype": "string",
        "type": "lookup",
        "nullable": true,
        "Description": "Lookup: ResearchTraditions.PrimaryVenue via TraditionId.",
        "formula": "=LOOKUP({{TraditionId}}, ResearchTraditions[TraditionId], ResearchTraditions[PrimaryVenue])"
      },
      {
        "name": "PioneeringResearcherName",
        "datatype": "string",
        "type": "lookup",
        "nullable": true,
        "Description": "Lookup: Researchers.Name via PioneeringResearcher.",
        "formula": "=LOOKUP({{PioneeringResearcher}}, Researchers[ResearcherId], Researchers[Name])"
      },
      {
        "name": "PioneeringResearcherAffiliation",
        "datatype": "string",
        "type": "lookup",
        "nullable": true,
        "Description": "Lookup: Researchers.Affiliation via PioneeringResearcher.",
        "formula": "=LOOKUP({{PioneeringResearcher}}, Researchers[ResearcherId], Researchers[Affiliation])"
      },
      {
        "name": "LoopCount",
        "datatype": "integer",
        "type": "aggregation",
        "nullable": false,
        "Description": "Count of Loops whose TraditionId matches this methodology entry's TraditionId — how many build iterations this methodological tradition has driven.",
        "formula": "=COUNTIFS(Loops!{{TraditionId}}, {{TraditionId}})"
      }
    ],
    "data": [
      { "MethodologyId": "method-01-cmcc", "Phase": "axiom", "Title": "CMCC: any sufficiently crisp conceptual world decomposes into a DAG of S/D/L/A/F primitives", "Statement": "The Conceptual Model Conjecture (CMCC) holds that every domain can be decomposed into Schema, Data, Lookups, Aggregations, and Functions arranged as a directed acyclic graph. Each node is locally simple; complexity emerges from composition, not from any single node. This is the working assumption for the entire model, not a hypothesis to relitigate each turn.", "WhyItMatters": "If CMCC holds, the paradox can be derived rather than modeled. The model does not need a 'ReversalDetection' entity — it just needs the right leaf data and the right DAG edges. The paradox falls out as a consequence.", "IllustratedByLoop": "loop-01", "TraditionId": "tradition-historical", "PioneeringResearcher": null },
      { "MethodologyId": "method-02-dag-first", "Phase": "decomposition", "Title": "Model the domain entities first; derived facts emerge from the DAG", "Statement": "Start with the empirical leaf data: Cases and Successes in each (Study, Stratum, Treatment) cell. Never model the phenomenon of interest (the paradox) directly. The paradox is a derived fact — it emerges when you ask the right questions of a correctly-shaped DAG.", "WhyItMatters": "Modeling the paradox directly (e.g. a 'ReversalDetection' table) would conflate the phenomenon with the domain. The domain is Studies, Treatments, Strata, and CaseCells. The paradox is a read on that domain.", "IllustratedByLoop": "loop-01, loop-04", "TraditionId": "tradition-dag", "PioneeringResearcher": "researcher-spirtes-glymour-scheines" },
      { "MethodologyId": "method-03-leopold-loops", "Phase": "decomposition", "Title": "Build the model incrementally via Leopold Loops — one new concept per loop", "Statement": "Each loop introduces exactly one new first-class concept and asks the natural-language question that concept answers. The loop ends when the new derived fact is witnessed in the database. Loop N's NextSuggestion seeds Loop N+1.", "WhyItMatters": "Introducing multiple concepts per loop makes it hard to witness whether each concept earns its place. One concept per loop forces the question: 'what new thing can I now ask that I couldn't before?'", "IllustratedByLoop": "loop-01, loop-02, loop-03, loop-04, loop-05", "TraditionId": "tradition-historical", "PioneeringResearcher": null },
      { "MethodologyId": "method-04-witness-not-claim", "Phase": "derivation", "Title": "Every derived fact must be witnessed from the database, not claimed from the rulebook", "Statement": "A field is not 'done' when it is added to the rulebook. It is done when a Postgres query returns the expected value for the seeded data. MockDataNote in each Loop row states what value is expected and from which study. If the DB returns a different value, the formula or the seed data is wrong.", "WhyItMatters": "Without witnessing, silent fallbacks and mistranslations accumulate invisibly. The rulebook says CellSuccessRate = Successes/Cases; the DB must actually return 0.931 for kidney small-A.", "IllustratedByLoop": "loop-01, loop-06, loop-12, loop-17", "TraditionId": "tradition-dag", "PioneeringResearcher": "researcher-spirtes-glymour-scheines" },
      { "MethodologyId": "method-05-synthetic-controls", "Phase": "validation", "Title": "Introduce synthetic control studies to test structural impossibility", "Statement": "For every interesting derived boolean (IsReversal, IsSignFlip), add at least one synthetic study where the boolean MUST be false by construction. Witnessing the false case in the DB proves the derivation is not vacuously true.", "WhyItMatters": "Without a structural-impossibility witness, a bug in the formula that always returns TRUE would pass all the positive tests. The balanced-synthetic and kidney-balanced studies exist solely to witness IsReversal=FALSE and AllocationDistortion=0.", "IllustratedByLoop": "loop-07, loop-14", "TraditionId": "tradition-epidemiology", "PioneeringResearcher": "researcher-greenland" },
      { "MethodologyId": "method-06-real-data-hydration", "Phase": "hydration", "Title": "Real study data lives in the rulebook JSON — the SSoT is unified", "Statement": "The rulebook JSON is the single source of truth for both schema and instance data. Real published study counts (Successes, Cases per cell) live directly in each table's data array alongside the synthetic studies. Provenance for each real study is recorded in data/raw/&lt;study-id&gt;/provenance.md. The view chain computes every derived field from the rulebook without any separate hydration step.", "WhyItMatters": "Keeping schema and instance data together in one document makes the instrument self-contained and auditable. The rulebook JSON can be shared, forked, or loaded without a separate SQL hydration step. The schema still defines derivations; the data rows supply the raw inputs.", "IllustratedByLoop": "loop-01, loop-20, loop-20b", "TraditionId": "tradition-epidemiology", "PioneeringResearcher": "researcher-robins" },
      { "MethodologyId": "method-07-continuous-geometry", "Phase": "taxonomy", "Title": "Replace binary reversal criterion with continuous geometry: IsSignFlip + AllocationDistortion", "Statement": "The original IsReversal (unanimous per-stratum winner disagrees with pooled winner) is a binary that excludes partial reversals. The sign-flip definition (WeightedStratumGapSum and SignedPooledGap have opposite signs) captures the full continuum. AllocationDistortion = |WSGSUM − SignedPooledGap| is the scalar severity regardless of direction.", "WhyItMatters": "Berkeley 1973 fails the unanimity criterion (dept-C gives male a marginal win) but IS a Simpson-type paradox under the continuous definition. Excluding Berkeley from the analysis would be a category error.", "IllustratedByLoop": "loop-17, loop-18", "TraditionId": "tradition-historical", "PioneeringResearcher": "researcher-blyth" },
      { "MethodologyId": "method-08-four-type-taxonomy", "Phase": "taxonomy", "Title": "Classify studies into four types (A/B/C/D) by distortion geometry, independent of causal label", "Statement": "Type A = IsSignFlip AND ReversalIntensity=1.0 (full unanimous reversal). Type B = IsSignFlip AND ReversalIntensity&lt;1.0 (partial sign-flip). Type C = NOT IsSignFlip AND AllocationDistortion&gt;threshold (compression without flip). Type D = AllocationDistortion≈0 (neutral). The geometry is computed from allocation and rates alone — no causal story is required.", "WhyItMatters": "The taxonomy makes PolicyImplication derivable. A researcher reading DistortionType=A knows to stratify immediately without needing to know what caused the allocation imbalance.", "IllustratedByLoop": "loop-19, loop-21", "TraditionId": "tradition-historical", "PioneeringResearcher": "researcher-blyth" },
      { "MethodologyId": "method-09-model-self-portrait", "Phase": "conclusion", "Title": "The model witnesses its own epistemic coverage via ModelSummary", "Statement": "ModelSummary is a single-row table that aggregates ReversalCount, ExplainedCount, TypeACount, TypeBCount, TypeCCount, TypeDCount, and AvgAllocationDistortion across all studies. It is the model's self-portrait — a derived fact about the model's own completeness.", "WhyItMatters": "Without ModelSummary, you can query any individual study but cannot ask 'how many studies does this instrument explain?' The self-portrait is the epistemic coverage claim.", "IllustratedByLoop": "loop-10", "TraditionId": "tradition-dag", "PioneeringResearcher": "researcher-spirtes-glymour-scheines" },
      { "MethodologyId": "method-10-policy-from-geometry", "Phase": "conclusion", "Title": "Policy implication is derived from geometry, not asserted from domain knowledge", "Statement": "PolicyImplication is a calculated field derived from DistortionType. No domain-specific knowledge about medicine, law, or education is encoded. The instrument tells a researcher what to do next with the pooled conclusion (stratify, investigate, check bias, or trust) purely from the allocation geometry.", "WhyItMatters": "Domain-neutral policy derivation means the instrument generalizes across clinical, judicial, educational, and other settings without re-tuning. The same formula works for kidney stones, Berkeley admissions, and antibiotic prophylaxis.", "IllustratedByLoop": "loop-21, loop-26", "TraditionId": "tradition-ai-fairness", "PioneeringResearcher": "researcher-chouldechova" }
    ]
  },
  "Conclusions": {
    "Description": "Table: Conclusions — the substantive epistemic findings that this model has produced or is designed to produce. Each row is one conclusion: a claim about the domain, about the instrument, or about the methodology that is either already witnessed or is the target of a planned loop.",
    "schema": [
      {
        "name": "ConclusionId",
        "datatype": "string",
        "type": "raw",
        "nullable": false,
        "Description": "Unique slug (e.g. conc-01-paradox-is-derived)."
      },
      {
        "name": "Name",
        "datatype": "string",
        "type": "calculated",
        "nullable": false,
        "Description": "Display label, mirrors ConclusionId.",
        "formula": "={{ConclusionId}}"
      },
      {
        "name": "Category",
        "datatype": "string",
        "type": "raw",
        "nullable": false,
        "Description": "domain | instrument | methodology | open-question"
      },
      {
        "name": "Status",
        "datatype": "string",
        "type": "raw",
        "nullable": false,
        "Description": "witnessed | planned | open"
      },
      {
        "name": "Title",
        "datatype": "string",
        "type": "raw",
        "nullable": false,
        "Description": "One-line statement of the conclusion."
      },
      {
        "name": "Evidence",
        "datatype": "string",
        "type": "raw",
        "nullable": true,
        "Description": "The specific DB query result, loop outcome, or argument that establishes or will establish this conclusion."
      },
      {
        "name": "WitnessedInLoop",
        "datatype": "string",
        "type": "raw",
        "nullable": true,
        "Description": "LoopId where this conclusion was first witnessed (if status=witnessed)."
      },
      {
        "name": "TargetLoop",
        "datatype": "string",
        "type": "raw",
        "nullable": true,
        "Description": "LoopId that is designed to witness this conclusion (if status=planned)."
      },
      {
        "name": "TraditionId",
        "datatype": "string",
        "type": "raw",
        "nullable": true,
        "Description": "FK → ResearchTraditions.TraditionId. The tradition whose theoretical framework this conclusion primarily vindicates, refines, or challenges."
      },
      {
        "name": "ResearcherId",
        "datatype": "string",
        "type": "raw",
        "nullable": true,
        "Description": "FK → Researchers.ResearcherId. The researcher whose specific claim, definition, or framework this conclusion directly affirms."
      },
      {
        "name": "ChallengesResearcher",
        "datatype": "string",
        "type": "raw",
        "nullable": true,
        "Description": "FK → Researchers.ResearcherId. A researcher whose position this conclusion refutes or qualifies (e.g. conc-03 refutes Blyth's unanimity criterion as the primary definition)."
      },
      {
        "name": "TraditionName",
        "datatype": "string",
        "type": "lookup",
        "nullable": true,
        "Description": "Lookup: ResearchTraditions.Name via TraditionId.",
        "formula": "=LOOKUP({{TraditionId}}, ResearchTraditions[TraditionId], ResearchTraditions[Name])"
      },
      {
        "name": "TraditionKeyClaimSummary",
        "datatype": "string",
        "type": "lookup",
        "nullable": true,
        "Description": "Lookup: ResearchTraditions.KeyClaim via TraditionId — shows which tradition's central claim this conclusion validates or refines.",
        "formula": "=LOOKUP({{TraditionId}}, ResearchTraditions[TraditionId], ResearchTraditions[KeyClaim])"
      },
      {
        "name": "ResearcherName",
        "datatype": "string",
        "type": "lookup",
        "nullable": true,
        "Description": "Lookup: Researchers.Name via ResearcherId.",
        "formula": "=LOOKUP({{ResearcherId}}, Researchers[ResearcherId], Researchers[Name])"
      },
      {
        "name": "ResearcherAffiliation",
        "datatype": "string",
        "type": "lookup",
        "nullable": true,
        "Description": "Lookup: Researchers.Affiliation via ResearcherId.",
        "formula": "=LOOKUP({{ResearcherId}}, Researchers[ResearcherId], Researchers[Affiliation])"
      },
      {
        "name": "ChallengesResearcherName",
        "datatype": "string",
        "type": "lookup",
        "nullable": true,
        "Description": "Lookup: Researchers.Name via ChallengesResearcher.",
        "formula": "=LOOKUP({{ChallengesResearcher}}, Researchers[ResearcherId], Researchers[Name])"
      },
      {
        "name": "WitnessedInLoopTitle",
        "datatype": "string",
        "type": "lookup",
        "nullable": true,
        "Description": "Lookup: Loops.Title via WitnessedInLoop.",
        "formula": "=LOOKUP({{WitnessedInLoop}}, Loops[LoopId], Loops[Title])"
      },
      {
        "name": "WitnessedInLoopCommitHash",
        "datatype": "string",
        "type": "lookup",
        "nullable": true,
        "Description": "Lookup: Loops.CommitHash via WitnessedInLoop — git checkout this SHA to replay the instrument state when this conclusion was first witnessed.",
        "formula": "=LOOKUP({{WitnessedInLoop}}, Loops[LoopId], Loops[CommitHash])"
      },
      {
        "name": "WitnessedInLoopCommitShort",
        "datatype": "string",
        "type": "lookup",
        "nullable": true,
        "Description": "Lookup: Loops.CommitShort via WitnessedInLoop.",
        "formula": "=LOOKUP({{WitnessedInLoop}}, Loops[LoopId], Loops[CommitShort])"
      },
      {
        "name": "WitnessedInLoopCommitDate",
        "datatype": "string",
        "type": "lookup",
        "nullable": true,
        "Description": "Lookup: Loops.CommitDate via WitnessedInLoop.",
        "formula": "=LOOKUP({{WitnessedInLoop}}, Loops[LoopId], Loops[CommitDate])"
      },
      {
        "name": "WitnessedInLoopGitTag",
        "datatype": "string",
        "type": "lookup",
        "nullable": true,
        "Description": "Lookup: Loops.GitTag via WitnessedInLoop — preferred replay entry point when a milestone tag exists.",
        "formula": "=LOOKUP({{WitnessedInLoop}}, Loops[LoopId], Loops[GitTag])"
      },
      {
        "name": "InvariantProtectingCount",
        "datatype": "integer",
        "type": "aggregation",
        "nullable": false,
        "Description": "Count of InvariantChecks whose ProtectsConclusion FK points to this conclusion — how many algebraic invariants stand behind this finding.",
        "formula": "=COUNTIFS(InvariantChecks!{{ProtectsConclusion}}, {{ConclusionId}})"
      }
    ],
    "data": [
      { "ConclusionId": "conc-01-paradox-is-derived", "Category": "domain", "Status": "witnessed", "Title": "Simpson's Paradox is a derived fact from the DAG, not a modeled entity", "Evidence": "IsReversal (and later IsSignFlip) falls out as a calculated field on TreatmentRankings, derived from aggregated CaseCell counts. No 'ReversalDetection' entity was ever needed.", "WitnessedInLoop": "loop-04", "TraditionId": "tradition-historical", "ResearcherId": "researcher-blyth", "ChallengesResearcher": null },
      { "ConclusionId": "conc-02-reversal-from-allocation", "Category": "domain", "Status": "witnessed", "Title": "The reversal in kidney-1986 is entirely an allocation artifact — same rates with balanced allocation produce no reversal", "Evidence": "kidney-balanced uses identical stratum success rates to kidney-1986 but with equal allocation (175 cases per cell). IsReversal=FALSE, AllocationDistortion=0. The paradox is algebraically isolated as a property of allocation, not of treatment efficacy.", "WitnessedInLoop": "loop-14", "TraditionId": "tradition-historical", "ResearcherId": "researcher-pearson", "ChallengesResearcher": null },
      { "ConclusionId": "conc-03-binary-excludes-partial", "Category": "instrument", "Status": "witnessed", "Title": "The unanimity criterion (IsReversal) incorrectly excludes Berkeley 1973 despite its being a Simpson-type paradox", "Evidence": "Berkeley: WSGSUM=−0.0642, SignedPooledGap=+0.1292, IsSignFlip=TRUE, AllocationDistortion=0.1934 — greater distortion than kidney-1986. But IsReversal=FALSE because dept-C marginally favors male. The unanimity criterion is a strict subtype, not the primary definition.", "WitnessedInLoop": "loop-17", "TraditionId": "tradition-historical", "ResearcherId": "researcher-blyth", "ChallengesResearcher": "researcher-cohen-nagel" },
      { "ConclusionId": "conc-04-type-c-exists", "Category": "instrument", "Status": "witnessed", "Title": "Allocation can compress the pooled signal without flipping it (type-C): a class invisible to IsReversal and IsSignFlip but visible to AllocationDistortion", "Evidence": "compressed-synthetic: A wins every stratum and wins pooled, but the pooled margin is 6pp rather than the equal-weight 10pp. AllocationDistortion=0.0400, IsSignFlip=FALSE. The pooled winner is correct; the effect size is wrong by 4pp.", "WitnessedInLoop": "loop-19", "TraditionId": "tradition-historical", "ResearcherId": "researcher-blyth", "ChallengesResearcher": null },
      { "ConclusionId": "conc-05-real-data-generalizes", "Category": "instrument", "Status": "witnessed", "Title": "Two real published studies (reintjes-2000, radelet-1981) hydrate as type-A full reversals without schema changes", "Evidence": "Both studies entered via 05b-customize-data.sql. Witnessed: reintjes AllocationDistortion=0.0516, DistortionType=A; radelet AllocationDistortion=0.0684, DistortionType=A. No DAG or schema change was needed — the hydration contract generalizes.", "WitnessedInLoop": "loop-20b", "TraditionId": "tradition-epidemiology", "ResearcherId": "researcher-greenland", "ChallengesResearcher": null },
      { "ConclusionId": "conc-06-policy-derivable", "Category": "instrument", "Status": "witnessed", "Title": "PolicyImplication is domain-neutral: the same formula produces researcher actions across medicine, law, and education", "Evidence": "All five current studies (kidney-1986, berkeley-1973, compressed-synthetic, kidney-balanced, balanced-synthetic) plus two real studies produce unambiguous PolicyImplication values from DistortionType alone. No domain-specific knowledge is encoded in the formula.", "WitnessedInLoop": "loop-21", "TraditionId": "tradition-ai-fairness", "ResearcherId": "researcher-chouldechova", "ChallengesResearcher": null },
      { "ConclusionId": "conc-07-model-self-portrait", "Category": "instrument", "Status": "witnessed", "Title": "ModelSummary witnesses the instrument's own epistemic coverage as a first-class derived fact", "Evidence": "ModelSummary aggregates ReversalCount, ExplainedCount, TypeA/B/C/D counts, and AvgAllocationDistortion across all studies. The model describes its own completeness in a single row.", "WitnessedInLoop": "loop-10", "TraditionId": "tradition-dag", "ResearcherId": "researcher-spirtes-glymour-scheines", "ChallengesResearcher": null },
      { "ConclusionId": "conc-08-type-c-real", "Category": "open-question", "Status": "witnessed", "Title": "Does the published literature contain real type-C studies (compression without sign flip)?", "Evidence": "Witnessed in loop-24: hannan-1994 (CABG surgery), titanic-1912, melanoma-altman-1991, and coffee-tverdal-2020 all hydrate as DistortionType=C. AllocationDistortion&gt;0.01, IsSignFlip=FALSE — the correct pooled direction but compressed magnitude. The type-C cell is not a synthetic pathology.", "TargetLoop": "loop-25", "WitnessedInLoop": "loop-24", "TraditionId": "tradition-epidemiology", "ResearcherId": "researcher-greenland", "ChallengesResearcher": null },
      { "ConclusionId": "conc-09-causal-vs-geometric", "Category": "open-question", "Status": "witnessed", "Title": "AllocationDistortion is a geometric measure; causal interpretation requires external domain knowledge, gated by AdjustmentAppropriate", "Evidence": "Berkeley has the highest AllocationDistortion (0.1934) but CausalRole=contested (mediator vs confounder), proving that geometric severity and causal confounding are not the same thing. The instrument is deliberately geometric: it classifies distortion type and flags the corrected winner from allocation arithmetic alone. Whether it is safe to act on that correction as a causal claim is answered by AdjustmentAppropriate — which gates on ConditioningRisk and CausalClaimStatus. The two layers are complementary, not competing. The instrument computes the geometry; the researcher supplies the causal account. This is a scope boundary, not a limitation.", "TargetLoop": "loop-23", "WitnessedInLoop": "loop-30", "TraditionId": "tradition-dag", "ResearcherId": "researcher-dong-cai-zhao", "ChallengesResearcher": "researcher-spirtes-glymour-scheines" },
      { "ConclusionId": "conc-10-instrument-specifiable", "Category": "methodology", "Status": "witnessed", "Title": "The full instrument can be specified precisely enough for any researcher to apply it to a new study", "Evidence": "Witnessed in loop-26: InstrumentSpec table enumerates 5 input fields, 10 derived coordinates, 2 classification rules, and 3 adapter-requirement rows. Machine-verifiable against the full 90+ study corpus.", "TargetLoop": "loop-30", "WitnessedInLoop": "loop-26", "TraditionId": "tradition-historical", "ResearcherId": "researcher-blyth", "ChallengesResearcher": null },
      { "ConclusionId": "conc-11-reversal-recovery", "Category": "instrument", "Status": "witnessed", "Title": "The model can produce the allocation-corrected winner directly from existing DAG fields — no new data required", "Evidence": "CorrectedGap = WeightedStratumGapSum (already der</t>
  </si>
  <si>
    <t xml:space="preserve">ived in loop-12/17). CorrectedWinner is a sign-read on CorrectedGap. CorrectedVsPooledAgreement is TRUE for Type-D studies and FALSE for Type-A/B studies. For kidney-1986: CorrectedGap=+0.0537, CorrectedWinner=A, CorrectedVsPooledAgreement=FALSE (pooled said B; corrected says A). The reversal recovery is free — it costs zero new data.", "WitnessedInLoop": "loop-27", "TraditionId": "tradition-dag", "ResearcherId": "researcher-spirtes-glymour-scheines", "ChallengesResearcher": null },
      { "ConclusionId": "conc-12-signal-purity-theorem", "Name": "conc-12-signal-purity-theorem", "Category": "theorem", "Status": "witnessed", "Title": "SignalPurity &lt; 0.5 is a necessary condition for allocation-driven reversal", "Evidence": "Witnessed across all reversal studies (type A + B) in the 90+ study corpus: every study with AllocationDirection='reversal' has SignalPurity &lt; 0.5. The algebraic proof: reversal requires SignedPooledGap and CorrectedGap to have opposite signs, which requires AllocationDistortion &gt; |CorrectedGap|, which is exactly SignalPurity &lt; 0.5. inv-signal-purity-sign-flip enforces this as a DAG invariant. AvgSignalPurityReversal ≈ 0.35 vs AvgSignalPurityNonReversal ≈ 0.65 — gap of ~0.30.", "WitnessedInLoop": "loop-44", "TargetLoop": "loop-44", "TraditionId": "tradition-dag", "ResearcherId": null, "ChallengesResearcher": null },
      { "ConclusionId": "conc-13-cplus-cminus-opposite-errors", "Name": "conc-13-cplus-cminus-opposite-errors", "Category": "taxonomy", "Status": "witnessed", "Title": "C+ (amplification) and C- (compression) are epistemically opposite errors with opposite clinical implications", "Evidence": "titanic-1912 (C+, DistortionRatio=1.359): allocation inflates first-class survival advantage from 27.5pp corrected to 37.4pp pooled — overconfidence. melanoma-altman-1991 (C+, DistortionRatio=2.087): allocation doubles apparent female survival advantage — severe overconfidence. hannan-1994 (C-, DistortionRatio=0.314): allocation compresses CABG advantage from 8.9pp corrected to 2.8pp pooled — underconfidence, risk of premature treatment abandonment. The prior type-C category hid this distinction. Now separated by DistortionRatio &gt; 1 (C+) vs DistortionRatio ∈ (0,1) (C-).", "WitnessedInLoop": "loop-43", "TargetLoop": "loop-43", "TraditionId": "tradition-epidemiology", "ResearcherId": null, "ChallengesResearcher": null },
      { "ConclusionId": "conc-14-scale-is-discovery-path", "Name": "conc-14-scale-is-discovery-path", "Category": "methodology", "Status": "witnessed", "Title": "Cross-domain SignalPurity correlations require a pre-registered unbiased corpus of 50+ studies to distinguish pattern from selection artifact", "Evidence": "Partial domain patterns witnessed across 90+ studies (loop-61): epidemiology avg distortion 0.050 vs education 0.004; legal/sports/epidemiology flip rates ~27% vs economics 0%. Full causal domain→DistortionType mapping still requires pre-registered expansion beyond convenience sample, but the instrument now supports DiscoveryHypotheses/Findings for ongoing corpus-scale tests.", "WitnessedInLoop": "loop-61", "TargetLoop": "", "TraditionId": null, "ResearcherId": null, "ChallengesResearcher": null },
      { "ConclusionId": "conc-15-latent-flip-potential", "Category": "instrument", "Status": "witnessed", "Title": "Type-D at observed allocation does not imply allocation-stable — 70% of SAFE studies flip under counterfactual reweighting", "Evidence": "LatentTypeDCount=45, TypeDCount=64, LatentTypeDFraction=0.703. LatentFlipPotential=TRUE when DistortionType=D AND PooledGapCrossesZero=TRUE. Examples: uc-systemwide-admissions (Type D, sweep range 0.56), recsys-offline-eval (Type D, sweep range 0.56). The ScreeningTier SAFE label describes observed allocation only; sweep reveals latent flip potential.", "WitnessedInLoop": "loop-61", "TraditionId": "tradition-historical" },
      { "ConclusionId": "conc-16-small-effect-fragile", "Category": "instrument", "Status": "witnessed", "Title": "In this corpus, allocation-stable Type-D rows carry larger observed pooled gaps than latent Type-D rows", "Evidence": "AvgPooledGapStableD=0.102 across 19 stable Type-D studies; AvgPooledGapLatentD=0.022 across 45 latent Type-D studies. Stable studies also have lower sweep range (avg 0.072 vs 0.211). Corpus-descriptive pattern on loop-61 convenience sample — not a deductive law. Small observed effects tend to be allocation-fragile even when currently classified SAFE.", "WitnessedInLoop": "loop-61", "TraditionId": "tradition-dag" },
      { "ConclusionId": "conc-17-economics-flip-free", "Category": "domain", "Status": "witnessed", "Title": "Economics-domain 2×K encodings in this corpus produce zero sign-flips — composition studies read as Type D or C−", "Evidence": "EconomicsSignFlipCount=0 across 8 economics studies (6 Type D, 2 Type C−). Contrast epidemiology (6 sign-flips / 22 studies, 27.3%). Composition and wage-decomposition paradoxes compress or stabilize rather than flip in this instrument's 2×K encoding.", "WitnessedInLoop": "loop-61", "TraditionId": "tradition-epidemiology" }
    ]
  },
  "UIScreens": {
    "Description": "Table: UIScreens — the canonical screens that comprise the Simpson's Paradox Explorer UI. Each row defines one screen: its purpose, its primary data source (which rulebook view it reads), and the user action it supports. A developer can reconstruct the full UI from this table without any prior knowledge of the application.",
    "schema": [
      {
        "name": "ScreenId",
        "datatype": "string",
        "type": "raw",
        "nullable": false,
        "Description": "Unique slug (e.g. screen-01-study-list)."
      },
      {
        "name": "Name",
        "datatype": "string",
        "type": "calculated",
        "nullable": false,
        "Description": "Display label, mirrors ScreenId.",
        "formula": "={{ScreenId}}"
      },
      {
        "name": "Title",
        "datatype": "string",
        "type": "raw",
        "nullable": false,
        "Description": "Human-readable screen title shown in the UI."
      },
      {
        "name": "Route",
        "datatype": "string",
        "type": "raw",
        "nullable": false,
        "Description": "URL path pattern (e.g. /, /study/:studyId, /compare)."
      },
      {
        "name": "PrimaryEntity",
        "datatype": "string",
        "type": "raw",
        "nullable": false,
        "Description": "The main rulebook entity this screen reads from (the vw_* view name without prefix)."
      },
      {
        "name": "Purpose",
        "datatype": "string",
        "type": "raw",
        "nullable": false,
        "Description": "One sentence: what a user can learn or do on this screen."
      },
      {
        "name": "KeyFields",
        "datatype": "string",
        "type": "raw",
        "nullable": true,
        "Description": "Comma-separated list of the most important fields displayed on this screen."
      },
      {
        "name": "UserAction",
        "datatype": "string",
        "type": "raw",
        "nullable": true,
        "Description": "Primary user action available on this screen (e.g. select a study, drill into a stratum)."
      },
      {
        "name": "TraditionId",
        "datatype": "string",
        "type": "raw",
        "nullable": true,
        "Description": "FK → ResearchTraditions.TraditionId. The scholarly tradition whose lens this screen primarily serves — determines which framing language and which fields are most prominent."
      },
      {
        "name": "PrimaryConclusion",
        "datatype": "string",
        "type": "raw",
        "nullable": true,
        "Description": "FK → Conclusions.ConclusionId. The conclusion this screen most directly visualises or communicates to the user."
      },
      {
        "name": "TraditionName",
        "datatype": "string",
        "type": "lookup",
        "nullable": true,
        "Description": "Lookup: ResearchTraditions.Name via TraditionId.",
        "formula": "=LOOKUP({{TraditionId}}, ResearchTraditions[TraditionId], ResearchTraditions[Name])"
      },
      {
        "name": "TraditionCoreConern",
        "datatype": "string",
        "type": "lookup",
        "nullable": true,
        "Description": "Lookup: ResearchTraditions.CoreConcern via TraditionId — the lens this screen applies.",
        "formula": "=LOOKUP({{TraditionId}}, ResearchTraditions[TraditionId], ResearchTraditions[CoreConcern])"
      },
      {
        "name": "PrimaryConclusionTitle",
        "datatype": "string",
        "type": "lookup",
        "nullable": true,
        "Description": "Lookup: Conclusions.Title via PrimaryConclusion.",
        "formula": "=LOOKUP({{PrimaryConclusion}}, Conclusions[ConclusionId], Conclusions[Title])"
      },
      {
        "name": "PrimaryConclusionEvidence",
        "datatype": "string",
        "type": "lookup",
        "nullable": true,
        "Description": "Lookup: Conclusions.Evidence via PrimaryConclusion.",
        "formula": "=LOOKUP({{PrimaryConclusion}}, Conclusions[ConclusionId], Conclusions[Evidence])"
      }
    ],
    "data": [
      { "ScreenId": "screen-01-study-list", "Title": "Study List", "Route": "/", "PrimaryEntity": "Studies", "Purpose": "Show all studies with their DistortionType badge and AllocationDistortion magnitude so a user can immediately see which studies exhibit the paradox and how severely.", "KeyFields": "Title, DistortionType (from TreatmentRankings), AllocationDistortion, PolicyImplication, IsSignFlip, TotalCases", "UserAction": "Click a study row to navigate to the Study Detail screen.", "TraditionId": "tradition-historical", "PrimaryConclusion": "conc-05-real-data-generalizes" },
      { "ScreenId": "screen-02-study-detail", "Title": "Study Detail", "Route": "/study/:studyId", "PrimaryEntity": "TreatmentRankings", "Purpose": "Show one study's complete geometry: pooled rates, per-stratum rates, allocation fractions, AllocationDistortion, DistortionType, and PolicyImplication — the full causal picture for this study.", "KeyFields": "PooledRateA, PooledRateB, PooledWinner, PerStratumWinner, IsReversal, IsSignFlip, WeightedStratumGapSum, SignedPooledGap, AllocationDistortion, DistortionType, PolicyImplication, ConfoundersInStudy, IsParadoxExplained", "UserAction": "Expand strata panel to see per-stratum breakdown; navigate to Strata Detail.", "TraditionId": "tradition-historical", "PrimaryConclusion": "conc-01-paradox-is-derived" },
      { "ScreenId": "screen-03-strata-detail", "Title": "Strata Detail", "Route": "/study/:studyId/strata", "PrimaryEntity": "StratumSummaries", "Purpose": "Show every (stratum, treatment) cell for a study: StratumSuccessRate, AllocationBias, StratumGap, WeightedStratumGap — the leaf-level evidence for why the pooled conclusion is or isn't misleading.", "KeyFields": "StratumLabel, TreatmentLabel, StratumSuccessRate, StratumRateA, StratumRateB, StratumWinner, AllocationBias, AllocationFractionA, AllocationFractionB, StratumGap, WeightedStratumGap, StratumFraction", "UserAction": "Hover a cell for the raw Successes/Cases count from CaseCells.", "TraditionId": "tradition-epidemiology", "PrimaryConclusion": "conc-02-reversal-from-allocation" },
      { "ScreenId": "screen-04-confounder-panel", "Title": "Confounder Panel", "Route": "/study/:studyId/confounder", "PrimaryEntity": "StratumVariables", "Purpose": "Show the stratifying variable's causal role for a study: VariableName, CausalRole, AffectsTreatmentAssignment, AffectsOutcome, IsConfounder, MechanismNote.", "KeyFields": "VariableName, CausalRole, AffectsTreatmentAssignment, AffectsOutcome, IsConfounder, MechanismNote", "UserAction": "Read the mechanism note; understand why IsParadoxExplained is TRUE or FALSE for this study.", "TraditionId": "tradition-dag", "PrimaryConclusion": "conc-09-causal-vs-geometric" },
      { "ScreenId": "screen-05-distortion-plane", "Title": "Distortion Plane", "Route": "/plane", "PrimaryEntity": "TreatmentRankings", "Purpose": "Plot all studies on a 2D plane: AllocationDistortion (x-axis) × ReversalIntensity (y-axis), colored by DistortionType. Shows the geometric taxonomy at a glance and reveals how the four types partition the plane.", "KeyFields": "Title (from Studies), AllocationDistortion, ReversalIntensity, IsSignFlip, DistortionType, PolicyImplication, ParadoxStrength", "UserAction": "Click a data point to navigate to that study's Study Detail screen.", "TraditionId": "tradition-historical", "PrimaryConclusion": "conc-04-type-c-exists" },
      { "ScreenId": "screen-06-model-summary", "Title": "Model Summary", "Route": "/summary", "PrimaryEntity": "ModelSummary", "Purpose": "Show the instrument's self-portrait: how many studies, how many of each DistortionType, average AllocationDistortion, total paradox strength — the epistemic coverage of the full model instance.", "KeyFields": "StudyCount, ReversalCount, ExplainedCount, TypeACount, TypeBCount, TypeCCount, TypeDCount, AvgAllocationDistortion, TotalParadoxStrength", "UserAction": "Navigate to Study List or Distortion Plane from this summary.", "TraditionId": "tradition-historical", "PrimaryConclusion": "conc-07-model-self-portrait" },
      { "ScreenId": "screen-07-loop-history", "Title": "Loop History", "Route": "/loops", "PrimaryEntity": "Loops", "Purpose": "Show the full build history: all 31 loops with their status, new concept, domain question, and mock data note. Lets a developer understand why the model is shaped the way it is — the DAG is the story.", "KeyFields": "LoopId, Title, Status, NewConcept, DomainQuestion, MockDataNote, NextSuggestion", "UserAction": "Filter by Status (complete/planned); click a loop to expand its full detail.", "TraditionId": "tradition-historical", "PrimaryConclusion": "conc-10-instrument-specifiable" },
      { "ScreenId": "screen-08-methodology", "Title": "Methodology", "Route": "/methodology", "PrimaryEntity": "Methodology", "Purpose": "Show the ten first-principles methodological axioms that shaped this model — from CMCC as the floor, through DAG-first decomposition, to the four-type taxonomy. Enables a developer to apply the same process to a new domain.", "KeyFields": "Phase, Title, Statement, WhyItMatters, IllustratedByLoop", "UserAction": "Click IllustratedByLoop to jump to that loop in the Loop History screen.", "TraditionId": "tradition-dag", "PrimaryConclusion": "conc-10-instrument-specifiable" },
      { "ScreenId": "screen-09-conclusions", "Title": "Conclusions", "Route": "/conclusions", "PrimaryEntity": "Conclusions", "Purpose": "Show all witnessed and planned conclusions, grouped by category (domain / instrument / methodology / open-question). The read-out of what this model has actually established.", "KeyFields": "Category, Status, Title, Evidence, WitnessedInLoop, TargetLoop", "UserAction": "Filter by Status (witnessed/planned/open); click WitnessedInLoop to navigate to Loop History.", "TraditionId": "tradition-historical", "PrimaryConclusion": "conc-10-instrument-specifiable" }
    ]
  },
  "UIComponents": {
    "Description": "Table: UIComponents — the reusable visual building blocks used across UIScreens. Each row defines one component: what it renders, which entity it reads, and what props it requires. A developer can implement the full UI by composing these components onto the screens defined in UIScreens.",
    "schema": [
      {
        "name": "ComponentId",
        "datatype": "string",
        "type": "raw",
        "nullable": false,
        "Description": "Unique slug (e.g. comp-01-distortion-badge)."
      },
      {
        "name": "Name",
        "datatype": "string",
        "type": "calculated",
        "nullable": false,
        "Description": "Display label, mirrors ComponentId.",
        "formula": "={{ComponentId}}"
      },
      {
        "name": "ComponentName",
        "datatype": "string",
        "type": "raw",
        "nullable": false,
        "Description": "Code-level component name (PascalCase, e.g. DistortionBadge)."
      },
      {
        "name": "UsedOnScreens",
        "datatype": "string",
        "type": "raw",
        "nullable": true,
        "Description": "Comma-separated ScreenIds where this component appears."
      },
      {
        "name": "PrimaryEntity",
        "datatype": "string",
        "type": "raw",
        "nullable": false,
        "Description": "The rulebook entity this component reads (the vw_* view)."
      },
      {
        "name": "Description",
        "datatype": "string",
        "type": "raw",
        "nullable": false,
        "Description": "What this component renders and what decisions a developer must make to implement it."
      },
      {
        "name": "RequiredFields",
        "datatype": "string",
        "type": "raw",
        "nullable": true,
        "Description": "Comma-separated rulebook fields this component must receive as props."
      },
      {
        "name": "VisualSpec",
        "datatype": "string",
        "type": "raw",
        "nullable": true,
        "Description": "Plain-English description of the visual output: shape, color coding, interactivity."
      }
    ],
    "data": [
      { "ComponentId": "comp-01-distortion-badge", "ComponentName": "DistortionBadge", "UsedOnScreens": "screen-01-study-list, screen-02-study-detail, screen-05-distortion-plane", "PrimaryEntity": "TreatmentRankings", "Description": "A colored pill/chip that shows DistortionType (A/B/C/D) and PolicyImplication for one study. Color-coded: A=red (stratify-immediately), B=orange (investigate-confounder), C=yellow (check-allocation-bias), D=green (pooled-analysis-trustworthy).", "RequiredFields": "DistortionType, PolicyImplication", "VisualSpec": "Pill shape, 2–3 chars for the type letter, tooltip on hover showing PolicyImplication text. Consistent color across all screens." },
      { "ComponentId": "comp-02-rate-comparison-bar", "ComponentName": "RateComparisonBar", "UsedOnScreens": "screen-02-study-detail, screen-03-strata-detail", "PrimaryEntity": "TreatmentRankings", "Description": "A side-by-side horizontal bar chart comparing PooledRateA vs PooledRateB (or StratumRateA vs StratumRateB for strata). The bar for the loser under equal-weight allocation is visually distinguished from the bar for the pooled loser.", "RequiredFields": "PooledRateA, PooledRateB, PooledWinner, WeightedStratumGapSum, SignedPooledGap, IsSignFlip", "VisualSpec": "Two horizontal bars, labeled A and B. Arrow or bracket showing the gap. IsSignFlip=TRUE triggers a 'reversal' annotation. Width proportional to rate (0–1 scale)." },
      { "ComponentId": "comp-03-allocation-heatmap", "ComponentName": "AllocationHeatmap", "UsedOnScreens": "screen-03-strata-detail", "PrimaryEntity": "StratumSummaries", "Description": "A grid of (Stratum × Treatment) cells where cell color encodes AllocationBias magnitude and sign. Positive bias (A over-allocated here) in one color; negative (B over-allocated) in another. Cell text shows AllocationFractionA and AllocationFractionB.", "RequiredFields": "StratumLabel, TreatmentLabel, AllocationBias, AllocationFractionA, AllocationFractionB, StratumSuccessRate", "VisualSpec": "Matrix layout: rows=strata, cols=treatments. Diverging color scale centered at 0. Tooltip shows raw Cases and Successes from CaseCells." },
      { "ComponentId": "comp-04-distortion-plane-scatter", "ComponentName": "DistortionPlaneScatter", "UsedOnScreens": "screen-05-distortion-plane", "PrimaryEntity": "TreatmentRankings", "Description": "A 2D scatter plot with AllocationDistortion on the x-axis and ReversalIntensity on the y-axis. Each point is one study, colored by DistortionType. Quadrant lines at AllocationDistortion=0.01 (threshold) and ReversalIntensity=1.0 (unanimity) divide the plane into the four types.", "RequiredFields": "AllocationDistortion, ReversalIntensity, DistortionType, PolicyImplication, IsSignFlip", "VisualSpec": "SVG or canvas scatter. Labeled quadrant regions. Clickable points. Legend showing type → color → policy action." },
      { "ComponentId": "comp-05-stratum-gap-waterfall", "ComponentName": "StratumGapWaterfall", "UsedOnScreens": "screen-03-strata-detail", "PrimaryEntity": "StratumSummaries", "Description": "A waterfall chart showing how each stratum's WeightedStratumGap contributes to WeightedStratumGapSum, then how the allocation re-weights them to produce SignedPooledGap. The visual makes the mechanism equation explicit: pooled = Σ(weight × rate).", "RequiredFields": "StratumLabel, StratumGap, StratumFraction, WeightedStratumGap, WeightedStratumGapSum, SignedPooledGap", "VisualSpec": "Waterfall/stacked bar: each stratum's WeightedStratumGap as a segment; running sum shown; final total vs actual SignedPooledGap shown side-by-side. IsSignFlip highlights the sign difference." },
      { "ComponentId": "comp-06-model-summary-scorecard", "ComponentName": "ModelSummaryScorecard", "UsedOnScreens": "screen-06-model-summary", "PrimaryEntity": "ModelSummary", "Description": "A summary scorecard showing all ModelSummary fields as labeled metric tiles: StudyCount, ReversalCount, ExplainedCount, TypeA/B/C/D counts, AvgAllocationDistortion, TotalParadoxStrength.", "RequiredFields": "StudyCount, ReversalCount, ExplainedCount, TotalParadoxStrength, AvgParadoxStrength", "VisualSpec": "Grid of metric tiles. Each tile: large number, small label. Color: ReversalCount in orange/red; ExplainedCount in green; TypeD in grey. Single row layout on desktop, 2-column on mobile." },
      { "ComponentId": "comp-07-confounder-card", "ComponentName": "ConfounderCard", "UsedOnScreens": "screen-04-confounder-panel", "PrimaryEntity": "StratumVariables", "Description": "A card showing one StratumVariable row: VariableName, CausalRole badge, AffectsTreatmentAssignment checkbox, AffectsOutcome checkbox, IsConfounder result, and MechanismNote prose block.", "RequiredFields": "VariableName, CausalRole, AffectsTreatmentAssignment, AffectsOutcome, IsConfounder, MechanismNote", "VisualSpec": "Card with header=VariableName, CausalRole as a badge (confounder=red, mediator=orange, contested=yellow, unknown=grey), two boolean indicators, and MechanismNote as body text." },
      { "ComponentId": "comp-08-loop-timeline", "ComponentName": "LoopTimeline", "UsedOnScreens": "screen-07-loop-history", "PrimaryEntity": "Loops", "Description": "A vertical timeline of all Loops rows, grouped by Status. Each entry shows LoopId, Title, Status indicator, NewConcept chip, and an expandable section with DomainQuestion, MockDataNote, and NextSuggestion.", "RequiredFields": "LoopId, Title, Status, NewConcept, DomainQuestion, MockDataNote, NextSuggestion", "VisualSpec": "Vertical list. Status=complete: solid circle; in-progress: half-filled; planned: open circle. Expandable accordion per entry. Color: complete=green, in-progress=blue, planned=grey." },
      { "ComponentId": "comp-09-policy-action-banner", "ComponentName": "PolicyActionBanner", "UsedOnScreens": "screen-02-study-detail", "PrimaryEntity": "TreatmentRankings", "Description": "A prominent banner at the top of the Study Detail screen showing PolicyImplication as a clear action statement, color-coded by DistortionType. Includes a one-sentence explanation of why this action follows from the geometry.", "RequiredFields": "PolicyImplication, DistortionType, AllocationDistortion, IsSignFlip", "VisualSpec": "Full-width colored banner. Large icon (e.g. warning triangle for A, magnifying glass for B, scale for C, checkmark for D). Bold action text. Secondary line explaining the geometric basis." },
      { "ComponentId": "comp-10-conclusion-list", "ComponentName": "ConclusionList", "UsedOnScreens": "screen-09-conclusions", "PrimaryEntity": "Conclusions", "Description": "A filterable list of Conclusions rows grouped by Category and Status. Each entry shows the Title, Status badge, Evidence summary, and a link to the WitnessedInLoop or TargetLoop.", "RequiredFields": "Category, Status, Title, Evidence, WitnessedInLoop, TargetLoop", "VisualSpec": "Grouped list with category headers. Status badge: witnessed=green, planned=blue, open=orange. Evidence shown as collapsed text (expand on click). Loop links navigate to LoopTimeline." }
    ]
  },
  "InstrumentSpec": {
    "Description": "Table: InstrumentSpec — the complete specification of the Simpson's Paradox classification instrument. One row per component: required input fields, derived coordinates, classification outputs, and adapter requirements. Every row is machine-verifiable against the 90+ study corpus. This table is the distillation of loops 1–25 into a reusable tool.",
    "schema": [
      {
        "name": "SpecId",
        "datatype": "string",
        "type": "raw",
        "nullable": false,
        "Description": "Unique identifier for this instrument component."
      },
      {
        "name": "Name",
        "datatype": "string",
        "type": "calculated",
        "nullable": false,
        "Description": "Display label.",
        "formula": "={{SpecId}}"
      },
      {
        "name": "ComponentType",
        "datatype": "string",
        "type": "raw",
        "nullable": false,
        "Description": "input | derived | classification | adapter-requirement"
      },
      {
        "name": "FieldName",
        "datatype": "string",
        "type": "raw",
        "nullable": false,
        "Description": "The field or variable name in the DAG."
      },
      {
        "name": "DataType",
        "datatype": "string",
        "type": "raw",
        "nullable": true,
        "Description": "integer | decimal | boolean | string | categorical"
      },
      {
        "name": "SourceTable",
        "datatype": "string",
        "type": "raw",
        "nullable": true,
        "Description": "The DAG table where this field is computed or stored."
      },
      {
        "name": "Formula",
        "datatype": "string",
        "type": "raw",
        "nullable": true,
        "Description": "The ERB formula or derivation rule for this component."
      },
      {
        "name": "NaturalLanguage",
        "datatype": "string",
        "type": "raw",
        "nullable": false,
        "Description": "Plain-English statement of what this component represents or requires."
      },
      {
        "name": "AdapterNote",
        "datatype": "string",
        "type": "raw",
        "nullable": true,
        "Description": "What a researcher must supply or verify to satisfy this component when hydrating a new study."
      }
    ],
    "data": [
      { "SpecId": "input-study", "ComponentType": "input", "FieldName": "Study", "DataType": "string", "SourceTable": "CaseCells", "Formula": "", "NaturalLanguage": "A unique identifier for the study being classified (e.g. 'kidney-1986').", "AdapterNote": "Assign a slug that is stable and unique. All rows for a study share this value." },
      { "SpecId": "input-stratum", "ComponentType": "input", "FieldName": "StratumLabel", "DataType": "string", "SourceTable": "CaseCells", "Formula": "", "NaturalLanguage": "The label of the subgroup (stratum) for this cell — the variable being stratified on (e.g. 'large', 'high-risk', 'male').", "AdapterNote": "Must be consistent across the A and B cells within the same stratum. At least 2 strata required." },
      { "SpecId": "input-treatment", "ComponentType": "input", "FieldName": "TreatmentLabel", "DataType": "string", "SourceTable": "CaseCells", "Formula": "", "NaturalLanguage": "Which treatment (exposure, group, class) this cell belongs to — 'A' or 'B'.", "AdapterNote": "Exactly two treatment labels per study. Encode the group you want to investigate as 'A'; comparator as 'B'." },
      { "SpecId": "input-successes", "ComponentType": "input", "FieldName": "Successes", "DataType": "integer", "SourceTable": "CaseCells", "Formula": "", "NaturalLanguage": "Count of successful outcomes (survived, passed, admitted, etc.) in this cell.", "AdapterNote": "Must be a non-negative integer ≤ Cases. Define 'success' consistently across all cells in the study." },
      { "SpecId": "input-cases", "ComponentType": "input", "FieldName": "Cases", "DataType": "integer", "SourceTable": "CaseCells", "Formula": "", "NaturalLanguage": "Total number of observations (trials, patients, applicants, etc.) in this cell.", "AdapterNote": "Must be a positive integer. Every (Study, Stratum, Treatment) combination must have exactly one CaseCell row." },
      { "SpecId": "derived-stratum-rate", "ComponentType": "derived", "FieldName": "CellSuccessRate", "DataType": "decimal", "SourceTable": "CaseCells", "Formula": "=Successes/Cases", "NaturalLanguage": "The success rate for this specific treatment within this specific stratum.", "AdapterNote": "Computed automatically. Range [0,1]." },
      { "SpecId": "derived-pooled-rate-a", "ComponentType": "derived", "FieldName": "PooledRateA", "DataType": "decimal", "SourceTable": "TreatmentRankings", "Formula": "=TotalSuccessesA/TotalCasesA", "NaturalLanguage": "The overall (pooled, unstratified) success rate for treatment A across all strata.", "AdapterNote": "Computed from SUMIFS across CaseCells. This is the rate a naive observer would report." },
      { "SpecId": "derived-pooled-rate-b", "ComponentType": "derived", "FieldName": "PooledRateB", "DataType": "decimal", "SourceTable": "TreatmentRankings", "Formula": "=TotalSuccessesB/TotalCasesB", "NaturalLanguage": "The overall (pooled, unstratified) success rate for treatment B across all strata.", "AdapterNote": "Computed from SUMIFS across CaseCells." },
      { "SpecId": "derived-signed-pooled-gap", "ComponentType": "derived", "FieldName": "SignedPooledGap", "DataType": "decimal", "SourceTable": "TreatmentRankings", "Formula": "=PooledRateA - PooledRateB", "NaturalLanguage": "The signed difference in pooled rates (A minus B). Positive means A appears better pooled; negative means B appears better.", "AdapterNote": "The naive result — what the unadjusted analysis reports." },
      { "SpecId": "derived-alloc-fraction-a", "ComponentType": "derived", "FieldName": "AllocationFractionA", "DataType": "decimal", "SourceTable": "StratumSummaries", "Formula": "=TreatmentACasesHere/TreatmentATotalCases", "NaturalLanguage": "The fraction of all treatment-A cases that fall in this stratum — treatment A's allocation weight.", "AdapterNote": "Sums to 1.0 across strata within a study." },
      { "SpecId": "derived-stratum-gap", "ComponentType": "derived", "FieldName": "StratumGap", "DataType": "decimal", "SourceTable": "StratumSummaries", "Formula": "=StratumRateA - StratumRateB", "NaturalLanguage": "The signed per-stratum rate difference (A minus B). The true causal signal for this stratum, free of allocation effects.", "AdapterNote": "Computed from within-stratum aggregation of CaseCells." },
      { "SpecId": "derived-weighted-stratum-gap", "ComponentType": "derived", "FieldName": "WeightedStratumGap", "DataType": "decimal", "SourceTable": "StratumSummaries", "Formula": "=((AllocationFractionA + AllocationFractionB) / 2) * StratumGap", "NaturalLanguage": "The stratum gap weighted by the average of A's and B's allocation fractions — the equal-weight contribution of this stratum.", "AdapterNote": "Summing across strata yields WeightedStratumGapSum." },
      { "SpecId": "derived-wgs", "ComponentType": "derived", "FieldName": "WeightedStratumGapSum", "DataType": "decimal", "SourceTable": "TreatmentRankings", "Formula": "=SUMIFS(StratumSummaries!WeightedStratumGap, StratumSummaries!Study, Study, StratumSummaries!TreatmentLabel, TreatmentA)", "NaturalLanguage": "The equal-allocation benchmark: what SignedPooledGap would be if each treatment received the same case-mix. This is the allocation-free signal.", "AdapterNote": "Compare to SignedPooledGap to detect distortion." },
      { "SpecId": "derived-is-sign-flip", "ComponentType": "derived", "FieldName": "IsSignFlip", "DataType": "boolean", "SourceTable": "TreatmentRankings", "Formula": "=IF(WeightedStratumGapSum &gt; 0, SignedPooledGap &lt; 0, SignedPooledGap &gt; 0)", "NaturalLanguage": "TRUE when the pooled winner (SignedPooledGap) points in the opposite direction from the equal-weight per-stratum winner (WeightedStratumGapSum). This is the sign of a reversal.", "AdapterNote": "The primary reversal detector." },
      { "SpecId": "derived-allocation-distortion", "ComponentType": "derived", "FieldName": "AllocationDistortion", "DataType": "decimal", "SourceTable": "TreatmentRankings", "Formula": "=ABS(WeightedStratumGapSum - SignedPooledGap)", "NaturalLanguage": "The absolute magnitude of the allocation distortion — how much the observed pooled gap differs from the equal-weight benchmark.", "AdapterNote": "Zero means no allocation confounding. &gt; 0.01 is</t>
  </si>
  <si>
    <t xml:space="preserve"> the classification threshold for types C and D." },
      { "SpecId": "class-distortion-type", "ComponentType": "classification", "FieldName": "DistortionType", "DataType": "categorical", "SourceTable": "TreatmentRankings", "Formula": "=IF(AND(IsSignFlip, ReversalIntensity=1), 'A', IF(AND(IsSignFlip, ReversalIntensity&lt;1), 'B', IF(AND(NOT(IsSignFlip), AllocationDistortion&gt;0.01), 'C', 'D')))", "NaturalLanguage": "The four-type classification: A=full reversal (A wins all strata, B wins pooled); B=partial reversal (split strata, pooled contradicts weighted); C=distortion without reversal (same winner, but margin compressed or inflated by ≥1pp); D=trustworthy pooled (allocation-free or near-free).", "AdapterNote": "Output. Read-only for the researcher." },
      { "SpecId": "class-policy-implication", "ComponentType": "classification", "FieldName": "PolicyImplication", "DataType": "string", "SourceTable": "TreatmentRankings", "Formula": "=IF(DistortionType='A','stratify-immediately', IF(DistortionType='B','investigate-confounder', IF(DistortionType='C','check-allocation-bias','pooled-analysis-trustworthy')))", "NaturalLanguage": "The recommended analytic action given the distortion type: A→stratify immediately (pooled is misleading); B→investigate the confounder structure; C→report allocation bias alongside pooled result; D→pooled analysis is trustworthy.", "AdapterNote": "Output. This is the instrument's primary policy-facing deliverable." },
      { "SpecId": "adapter-stratum-seed", "ComponentType": "adapter-requirement", "FieldName": "Strata", "DataType": "string", "SourceTable": "Strata", "Formula": "", "NaturalLanguage": "One Strata row per (study, stratum) combination, with a plain-English Description of what this subgroup represents and why it matters.", "AdapterNote": "Required for interpretability. The DAG computes rates without it, but the explanation of the paradox requires this context." },
      { "SpecId": "adapter-stratum-variable", "ComponentType": "adapter-requirement", "FieldName": "StratumVariables", "DataType": "string", "SourceTable": "StratumVariables", "Formula": "", "NaturalLanguage": "One StratumVariables row per study naming the confounding variable, its CausalRole (confounder/mediator/contested), and a MechanismNote explaining how the allocation imbalance arises.", "AdapterNote": "CausalRole must be one of: confounder, mediator, contested, unknown. IsConfounder is derived (confounder AND both affect-flags true)." },
      { "SpecId": "adapter-stratum-summaries", "ComponentType": "adapter-requirement", "FieldName": "StratumSummaries", "DataType": "string", "SourceTable": "StratumSummaries", "Formula": "", "NaturalLanguage": "Four StratumSummaries seed rows per study (one per stratum × treatment combination) — only StratumSummaryId, Study, StratumLabel, TreatmentLabel required; all computed fields are populated by the DAG.", "AdapterNote": "Minimum hydration contract: provide the four raw-key fields. The re-hydrate step fills in all derived values from the views." }
    ]
  },
  "AllocationSweep": {
    "Description": "Table: AllocationSweep — parametric sweep of treatment-A allocation fraction within each study's most confounded stratum (see SweepStudyConfig). Ten fractions from 0.05 to 0.95 per study. SweepCorrectedGap is invariant; SweepPooledGap wanders.",
    "schema": [
      {
        "name": "SweepId",
        "datatype": "string",
        "type": "raw",
        "nullable": false,
        "Description": "Unique row identifier: &lt;study&gt;-f&lt;pct&gt; where pct is AllocFractionA*100."
      },
      {
        "name": "Name",
        "datatype": "string",
        "type": "calculated",
        "nullable": false,
        "Description": "Display label.",
        "formula": "={{SweepId}}"
      },
      {
        "name": "StudyId",
        "datatype": "string",
        "type": "raw",
        "nullable": false,
        "Description": "The study being swept — all 90+ studies in the corpus."
      },
      {
        "name": "AllocFractionA",
        "datatype": "number",
        "type": "raw",
        "nullable": false,
        "Description": "Fraction of the sweep-stratum cases assigned to treatment A. Ranges from 0.05 to 0.95. The sweep stratum is the one whose allocation was most confounded in the original study."
      },
      {
        "name": "IsOriginal",
        "datatype": "boolean",
        "type": "calculated",
        "nullable": false,
        "Description": "TRUE for the row closest to the actual original study allocation.",
        "formula": "=ABS({{AllocFractionA}} - LOOKUP({{StudyId}}, SweepStudyConfig[StudyId], SweepStudyConfig[OriginalAllocFractionA])) &lt; 0.03"
      },
      {
        "name": "NSweepStratumTotal",
        "datatype": "number",
        "type": "calculated",
        "nullable": false,
        "Description": "Total cases in the sweep stratum (the stratum whose allocation is being varied). Fixed per study.",
        "formula": "=LOOKUP({{StudyId}}, SweepStudyConfig[StudyId], SweepStudyConfig[NSweepStratumTotal])"
      },
      {
        "name": "NSweepA",
        "datatype": "number",
        "type": "calculated",
        "nullable": false,
        "Description": "Cases in the sweep stratum assigned to treatment A = ROUND(NSweepStratumTotal * AllocFractionA).",
        "formula": "=ROUND({{NSweepStratumTotal}} * {{AllocFractionA}})"
      },
      {
        "name": "NSweepB",
        "datatype": "number",
        "type": "calculated",
        "nullable": false,
        "Description": "Cases in the sweep stratum assigned to treatment B = NSweepStratumTotal - NSweepA.",
        "formula": "={{NSweepStratumTotal}} - {{NSweepA}}"
      },
      {
        "name": "NFixedA",
        "datatype": "number",
        "type": "calculated",
        "nullable": false,
        "Description": "Total A-treatment cases in all NON-swept strata (held fixed across sweep rows). For kidney-1986 = 87 (small-stratum A). For berkeley-1973 = 1302 (depts B+C+D male). For compressed-synthetic = 80 (easy-stratum A). For balanced-synthetic = 100 (hard-stratum A).",
        "formula": "=LOOKUP({{StudyId}}, SweepStudyConfig[StudyId], SweepStudyConfig[NFixedA])"
      },
      {
        "name": "NFixedB",
        "datatype": "number",
        "type": "calculated",
        "nullable": false,
        "Description": "Total B-treatment cases in all NON-swept strata (held fixed across sweep rows). For kidney-1986 = 270 (small-stratum B). For berkeley-1973 = 993 (depts B+C+D female). For compressed-synthetic = 120 (easy-stratum B). For balanced-synthetic = 100 (hard-stratum B).",
        "formula": "=LOOKUP({{StudyId}}, SweepStudyConfig[StudyId], SweepStudyConfig[NFixedB])"
      },
      {
        "name": "SweepRateA",
        "datatype": "number",
        "type": "calculated",
        "nullable": false,
        "Description": "Per-cell success rate for treatment A in the sweep stratum. Fixed per study.",
        "formula": "=LOOKUP({{StudyId}}, SweepStudyConfig[StudyId], SweepStudyConfig[SweepRateA])"
      },
      {
        "name": "SweepRateB",
        "datatype": "number",
        "type": "calculated",
        "nullable": false,
        "Description": "Per-cell success rate for treatment B in the sweep stratum. Fixed per study.",
        "formula": "=LOOKUP({{StudyId}}, SweepStudyConfig[StudyId], SweepStudyConfig[SweepRateB])"
      },
      {
        "name": "FixedRateA",
        "datatype": "number",
        "type": "calculated",
        "nullable": false,
        "Description": "Weighted success rate for treatment A across all fixed (non-swept) strata. Constant per study.",
        "formula": "=LOOKUP({{StudyId}}, SweepStudyConfig[StudyId], SweepStudyConfig[FixedRateA])"
      },
      {
        "name": "FixedRateB",
        "datatype": "number",
        "type": "calculated",
        "nullable": false,
        "Description": "Weighted success rate for treatment B across all fixed (non-swept) strata. Constant per study.",
        "formula": "=LOOKUP({{StudyId}}, SweepStudyConfig[StudyId], SweepStudyConfig[FixedRateB])"
      },
      {
        "name": "SweepPooledRateA",
        "datatype": "number",
        "type": "calculated",
        "nullable": false,
        "Description": "Pooled success rate for treatment A = (NSweepA * SweepRateA + NFixedA * FixedRateA) / (NSweepA + NFixedA). Changes as AllocFractionA varies.",
        "formula": "=IF({{NSweepA}} + {{NFixedA}} = 0, \"\", ({{NSweepA}} * {{SweepRateA}} + {{NFixedA}} * {{FixedRateA}}) / ({{NSweepA}} + {{NFixedA}}))"
      },
      {
        "name": "SweepPooledRateB",
        "datatype": "number",
        "type": "calculated",
        "nullable": false,
        "Description": "Pooled success rate for treatment B = (NSweepB * SweepRateB + NFixedB * FixedRateB) / (NSweepB + NFixedB). Changes as AllocFractionA varies.",
        "formula": "=IF({{NSweepB}} + {{NFixedB}} = 0, \"\", ({{NSweepB}} * {{SweepRateB}} + {{NFixedB}} * {{FixedRateB}}) / ({{NSweepB}} + {{NFixedB}}))"
      },
      {
        "name": "SweepPooledGap",
        "datatype": "number",
        "type": "calculated",
        "nullable": false,
        "Description": "SweepPooledRateA minus SweepPooledRateB. Wanders as AllocFractionA varies because pooled rates mix stratum sizes unequally. Crosses zero at some allocation (the paradox reversal point).",
        "formula": "=IF({{SweepPooledRateA}} = \"\", \"\", {{SweepPooledRateA}} - {{SweepPooledRateB}})"
      },
      {
        "name": "SweepCorrectedGap",
        "datatype": "number",
        "type": "calculated",
        "nullable": false,
        "Description": "Allocation-free signal: sum over strata of (n_s/N) * (rate_As - rate_Bs). Constant across the sweep by construction — the allocation variable does not appear. This is the conserved quantity under re-stratification.",
        "formula": "=LOOKUP({{StudyId}}, SweepStudyConfig[StudyId], SweepStudyConfig[SweepCorrectedGap])"
      },
      {
        "name": "AllocationDistortionWitness",
        "datatype": "number",
        "type": "calculated",
        "nullable": false,
        "Description": "SweepPooledGap minus SweepCorrectedGap. The allocation distortion: how much the pooled signal has been inflated or deflated by differential stratum allocation. Zero only when allocation is balanced.",
        "formula": "=IF({{SweepPooledGap}} = \"\", \"\", {{SweepPooledGap}} - {{SweepCorrectedGap}})"
      }
    ],
    "data": [
      { "SweepId": "kidney-1986-f005", "StudyId": "kidney-1986", "AllocFractionA": 0.05 },
      { "SweepId": "kidney-1986-f015", "StudyId": "kidney-1986", "AllocFractionA": 0.15 },
      { "SweepId": "kidney-1986-f025", "StudyId": "kidney-1986", "AllocFractionA": 0.25 },
      { "SweepId": "kidney-1986-f035", "StudyId": "kidney-1986", "AllocFractionA": 0.35 },
      { "SweepId": "kidney-1986-f045", "StudyId": "kidney-1986", "AllocFractionA": 0.45 },
      { "SweepId": "kidney-1986-f055", "StudyId": "kidney-1986", "AllocFractionA": 0.55 },
      { "SweepId": "kidney-1986-f065", "StudyId": "kidney-1986", "AllocFractionA": 0.65 },
      { "SweepId": "kidney-1986-f075", "StudyId": "kidney-1986", "AllocFractionA": 0.75 },
      { "SweepId": "kidney-1986-f085", "StudyId": "kidney-1986", "AllocFractionA": 0.85 },
      { "SweepId": "kidney-1986-f095", "StudyId": "kidney-1986", "AllocFractionA": 0.95 },
      { "SweepId": "balanced-synthetic-f005", "StudyId": "balanced-synthetic", "AllocFractionA": 0.05 },
      { "SweepId": "balanced-synthetic-f015", "StudyId": "balanced-synthetic", "AllocFractionA": 0.15 },
      { "SweepId": "balanced-synthetic-f025", "StudyId": "balanced-synthetic", "AllocFractionA": 0.25 },
      { "SweepId": "balanced-synthetic-f035", "StudyId": "balanced-synthetic", "AllocFractionA": 0.35 },
      { "SweepId": "balanced-synthetic-f045", "StudyId": "balanced-synthetic", "AllocFractionA": 0.45 },
      { "SweepId": "balanced-synthetic-f055", "StudyId": "balanced-synthetic", "AllocFractionA": 0.55 },
      { "SweepId": "balanced-synthetic-f065", "StudyId": "balanced-synthetic", "AllocFractionA": 0.65 },
      { "SweepId": "balanced-synthetic-f075", "StudyId": "balanced-synthetic", "AllocFractionA": 0.75 },
      { "SweepId": "balanced-synthetic-f085", "StudyId": "balanced-synthetic", "AllocFractionA": 0.85 },
      { "SweepId": "balanced-synthetic-f095", "StudyId": "balanced-synthetic", "AllocFractionA": 0.95 },
      { "SweepId": "kidney-balanced-f005", "StudyId": "kidney-balanced", "AllocFractionA": 0.05 },
      { "SweepId": "kidney-balanced-f015", "StudyId": "kidney-balanced", "AllocFractionA": 0.15 },
      { "SweepId": "kidney-balanced-f025", "StudyId": "kidney-balanced", "AllocFractionA": 0.25 },
      { "SweepId": "kidney-balanced-f035", "StudyId": "kidney-balanced", "AllocFractionA": 0.35 },
      { "SweepId": "kidney-balanced-f045", "StudyId": "kidney-balanced", "AllocFractionA": 0.45 },
      { "SweepId": "kidney-balanced-f055", "StudyId": "kidney-balanced", "AllocFractionA": 0.55 },
      { "SweepId": "kidney-balanced-f065", "StudyId": "kidney-balanced", "AllocFractionA": 0.65 },
      { "SweepId": "kidney-balanced-f075", "StudyId": "kidney-balanced", "AllocFractionA": 0.75 },
      { "SweepId": "kidney-balanced-f085", "StudyId": "kidney-balanced", "AllocFractionA": 0.85 },
      { "SweepId": "kidney-balanced-f095", "StudyId": "kidney-balanced", "AllocFractionA": 0.95 },
      { "SweepId": "berkeley-1973-f005", "StudyId": "berkeley-1973", "AllocFractionA": 0.05 },
      { "SweepId": "berkeley-1973-f015", "StudyId": "berkeley-1973", "AllocFractionA": 0.15 },
      { "SweepId": "berkeley-1973-f025", "StudyId": "berkeley-1973", "AllocFractionA": 0.25 },
      { "SweepId": "berkeley-1973-f035", "StudyId": "berkeley-1973", "AllocFractionA": 0.35 },
      { "SweepId": "berkeley-1973-f045", "StudyId": "berkeley-1973", "AllocFractionA": 0.45 },
      { "SweepId": "berkeley-1973-f055", "StudyId": "berkeley-1973", "AllocFractionA": 0.55 },
      { "SweepId": "berkeley-1973-f065", "StudyId": "berkeley-1973", "AllocFractionA": 0.65 },
      { "SweepId": "berkeley-1973-f075", "StudyId": "berkeley-1973", "AllocFractionA": 0.75 },
      { "SweepId": "berkeley-1973-f085", "StudyId": "berkeley-1973", "AllocFractionA": 0.85 },
      { "SweepId": "berkeley-1973-f095", "StudyId": "berkeley-1973", "AllocFractionA": 0.95 },
      { "SweepId": "compressed-synthetic-f005", "StudyId": "compressed-synthetic", "AllocFractionA": 0.05 },
      { "SweepId": "compressed-synthetic-f015", "StudyId": "compressed-synthetic", "AllocFractionA": 0.15 },
      { "SweepId": "compressed-synthetic-f025", "StudyId": "compressed-synthetic", "AllocFractionA": 0.25 },
      { "SweepId": "compressed-synthetic-f035", "StudyId": "compressed-synthetic", "AllocFractionA": 0.35 },
      { "SweepId": "compressed-synthetic-f045", "StudyId": "compressed-synthetic", "AllocFractionA": 0.45 },
      { "SweepId": "compressed-synthetic-f055", "StudyId": "compressed-synthetic", "AllocFractionA": 0.55 },
      { "SweepId": "compressed-synthetic-f065", "StudyId": "compressed-synthetic", "AllocFractionA": 0.65 },
      { "SweepId": "compressed-synthetic-f075", "StudyId": "compressed-synthetic", "AllocFractionA": 0.75 },
      { "SweepId": "compressed-synthetic-f085", "StudyId": "compressed-synthetic", "AllocFractionA": 0.85 },
      { "SweepId": "compressed-synthetic-f095", "StudyId": "compressed-synthetic", "AllocFractionA": 0.95 },
      { "SweepId": "reintjes-2000-f005", "StudyId": "reintjes-2000", "AllocFractionA": 0.05 },
      { "SweepId": "reintjes-2000-f015", "StudyId": "reintjes-2000", "AllocFractionA": 0.15 },
      { "SweepId": "reintjes-2000-f025", "StudyId": "reintjes-2000", "AllocFractionA": 0.25 },
      { "SweepId": "reintjes-2000-f035", "StudyId": "reintjes-2000", "AllocFractionA": 0.35 },
      { "SweepId": "reintjes-2000-f045", "StudyId": "reintjes-2000", "AllocFractionA": 0.45 },
      { "SweepId": "reintjes-2000-f055", "StudyId": "reintjes-2000", "AllocFractionA": 0.55 },
      { "SweepId": "reintjes-2000-f065", "StudyId": "reintjes-2000", "AllocFractionA": 0.65 },
      { "SweepId": "reintjes-2000-f075", "StudyId": "reintjes-2000", "AllocFractionA": 0.75 },
      { "SweepId": "reintjes-2000-f085", "StudyId": "reintjes-2000", "AllocFractionA": 0.85 },
      { "SweepId": "reintjes-2000-f095", "StudyId": "reintjes-2000", "AllocFractionA": 0.95 },
      { "SweepId": "radelet-1981-f005", "StudyId": "radelet-1981", "AllocFractionA": 0.05 },
      { "SweepId": "radelet-1981-f015", "StudyId": "radelet-1981", "AllocFractionA": 0.15 },
      { "SweepId": "radelet-1981-f025", "StudyId": "radelet-1981", "AllocFractionA": 0.25 },
      { "SweepId": "radelet-1981-f035", "StudyId": "radelet-1981", "AllocFractionA": 0.35 },
      { "SweepId": "radelet-1981-f045", "StudyId": "radelet-1981", "AllocFractionA": 0.45 },
      { "SweepId": "radelet-1981-f055", "StudyId": "radelet-1981", "AllocFractionA": 0.55 },
      { "SweepId": "radelet-1981-f065", "StudyId": "radelet-1981", "AllocFractionA": 0.65 },
      { "SweepId": "radelet-1981-f075", "StudyId": "radelet-1981", "AllocFractionA": 0.75 },
      { "SweepId": "radelet-1981-f085", "StudyId": "radelet-1981", "AllocFractionA": 0.85 },
      { "SweepId": "radelet-1981-f095", "StudyId": "radelet-1981", "AllocFractionA": 0.95 },
      { "SweepId": "jeter-justice-1997-f005", "StudyId": "jeter-justice-1997", "AllocFractionA": 0.05 },
      { "SweepId": "jeter-justice-1997-f015", "StudyId": "jeter-justice-1997", "AllocFractionA": 0.15 },
      { "SweepId": "jeter-justice-1997-f025", "StudyId": "jeter-justice-1997", "AllocFractionA": 0.25 },
      { "SweepId": "jeter-justice-1997-f035", "StudyId": "jeter-justice-1997", "AllocFractionA": 0.35 },
      { "SweepId": "jeter-justice-1997-f045", "StudyId": "jeter-justice-1997", "AllocFractionA": 0.45 },
      { "SweepId": "jeter-justice-1997-f055", "StudyId": "jeter-justice-1997", "AllocFractionA": 0.55 },
      { "SweepId": "jeter-justice-1997-f065", "StudyId": "jeter-justice-1997", "AllocFractionA": 0.65 },
      { "SweepId": "jeter-justice-1997-f075", "StudyId": "jeter-justice-1997", "AllocFractionA": 0.75 },
      { "SweepId": "jeter-justice-1997-f085", "StudyId": "jeter-justice-1997", "AllocFractionA": 0.85 },
      { "SweepId": "jeter-justice-1997-f095", "StudyId": "jeter-justice-1997", "AllocFractionA": 0.95 },
      { "SweepId": "appleton-1996-f005", "StudyId": "appleton-1996", "AllocFractionA": 0.05 },
      { "SweepId": "appleton-1996-f015", "StudyId": "appleton-1996", "AllocFractionA": 0.15 },
      { "SweepId": "appleton-1996-f025", "StudyId": "appleton-1996", "AllocFractionA": 0.25 },
      { "SweepId": "appleton-1996-f035", "StudyId": "appleton-1996", "AllocFractionA": 0.35 },
      { "SweepId": "appleton-1996-f045", "StudyId": "appleton-1996", "AllocFractionA": 0.45 },
      { "SweepId": "appleton-1996-f055", "StudyId": "appleton-1996", "AllocFractionA": 0.55 },
      { "SweepId": "appleton-1996-f065", "StudyId": "appleton-1996", "AllocFractionA": 0.65 },
      { "SweepId": "appleton-1996-f075", "StudyId": "appleton-1996", "AllocFractionA": 0.75 },
      { "SweepId": "appleton-1996-f085", "StudyId": "appleton-1996", "AllocFractionA": 0.85 },
      { "SweepId": "appleton-1996-f095", "StudyId": "appleton-1996", "AllocFractionA": 0.95 },
      { "SweepId": "phe-covid-2021-f005", "StudyId": "phe-covid-2021", "AllocFractionA": 0.05 },
      { "SweepId": "phe-covid-2021-f015", "StudyId": "phe-covid-2021", "AllocFractionA": 0.15 },
      { "SweepId": "phe-covid-2021-f025", "StudyId": "phe-covid-2021", "AllocFractionA": 0.25 },
      { "SweepId": "phe-covid-2021-f035", "StudyId": "phe-covid-2021", "AllocFractionA": 0.35 },
      { "SweepId": "phe-covid-2021-f045", "StudyId": "phe-covid-2021", "AllocFractionA": 0.45 },
      { "SweepId": "phe-covid-2021-f055", "StudyId": "phe-covid-2021", "AllocFractionA": 0.55 },
      { "SweepId": "phe-covid-2021-f065", "StudyId": "phe-covid-2021", "AllocFractionA": 0.65 },
      { "SweepId": "phe-covid-2021-f075", "StudyId": "phe-covid-2021", "AllocFractionA": 0.75 },
      { "SweepId": "phe-covid-2021-f085", "StudyId": "phe-covid-2021", "AllocFractionA": 0.85 },
      { "SweepId": "phe-covid-2021-f095", "StudyId": "phe-covid-2021", "AllocFractionA": 0.95 },
      { "SweepId": "hannan-1994-f005", "StudyId": "hannan-1994", "AllocFractionA": 0.05 },
      { "SweepId": "hannan-1994-f015", "StudyId": "hannan-1994", "AllocFractionA": 0.15 },
      { "SweepId": "hannan-1994-f025", "StudyId": "hannan-1994", "AllocFractionA": 0.25 },
      { "SweepId": "hannan-1994-f035", "StudyId": "hannan-1994", "AllocFractionA": 0.35 },
      { "SweepId": "hannan-1994-f045", "StudyId": "hannan-1994", "AllocFractionA": 0.45 },
      { "SweepId": "hannan-1994-f055", "StudyId": "hannan-1994", "AllocFractionA": 0.55 },
      { "SweepId": "hannan-1994-f065", "StudyId": "hannan-1994", "AllocFractionA": 0.65 },
      { "SweepId": "hannan-1994-f075", "StudyId": "hannan-1994", "AllocFractionA": 0.75 },
      { "SweepId": "hannan-1994-f085", "StudyId": "hannan-1994", "AllocFractionA": 0.85 },
      { "SweepId": "hannan-1994-f095", "StudyId": "hannan-1994", "AllocFractionA": 0.95 },
      { "SweepId": "titanic-1912-f005", "StudyId": "titanic-1912", "AllocFractionA": 0.05 },
      { "SweepId": "titanic-1912-f015", "StudyId": "titanic-1912", "AllocFractionA": 0.15 },
      { "SweepId": "titanic-1912-f025", "StudyId": "titanic-1912", "AllocFractionA": 0.25 },
      { "SweepId": "titanic-1912-f035", "StudyId": "titanic-1912", "AllocFractionA": 0.35 },
      { "SweepId": "titanic-1912-f045", "StudyId": "titanic-1912", "AllocFractionA": 0.45 },
      { "SweepId": "titanic-1912-f055", "StudyId": "titanic-1912", "AllocFractionA": 0.55 },
      { "SweepId": "titanic-1912-f065", "StudyId": "titanic-1912", "AllocFractionA": 0.65 },
      { "SweepId": "titanic-1912-f075", "StudyId": "titanic-1912", "AllocFractionA": 0.75 },
      { "SweepId": "titanic-1912-f085", "StudyId": "titanic-1912", "AllocFractionA": 0.85 },
      { "SweepId": "titanic-1912-f095", "StudyId": "titanic-1912", "AllocFractionA": 0.95 },
      { "SweepId": "birth-weight-paradox-f005", "StudyId": "birth-weight-paradox", "AllocFractionA": 0.05 },
      { "SweepId": "birth-weight-paradox-f015", "StudyId": "birth-weight-paradox", "AllocFractionA": 0.15 },
      { "SweepId": "birth-weight-paradox-f025", "StudyId": "birth-weight-paradox", "AllocFractionA": 0.25 },
      { "SweepId": "birth-weight-paradox-f035", "StudyId": "birth-weight-paradox", "AllocFractionA": 0.35 },
      { "SweepId": "birth-weight-paradox-f045", "StudyId": "birth-weight-paradox", "AllocFractionA": 0.45 },
      { "SweepId": "birth-weight-paradox-f055", "StudyId": "birth-weight-paradox", "AllocFractionA": 0.55 },
      { "SweepId": "birth-weight-paradox-f065", "StudyId": "birth-weight-paradox", "AllocFractionA": 0.65 },
      { "SweepId": "birth-weight-paradox-f075", "StudyId": "birth-weight-paradox", "AllocFractionA": 0.75 },
      { "SweepId": "birth-weight-paradox-f085", "StudyId": "birth-weight-paradox", "AllocFractionA": 0.85 },
      { "SweepId": "birth-weight-paradox-f095", "StudyId": "birth-weight-paradox", "AllocFractionA": 0.95 },
      { "SweepId": "melanoma-altman-1991-f005", "StudyId": "melanoma-altman-1991", "AllocFractionA": 0.05 },
      { "SweepId": "melanoma-altman-1991-f015", "StudyId": "melanoma-altman-1991", "AllocFractionA": 0.15 },
      { "SweepId": "melanoma-altman-1991-f025", "StudyId": "melanoma-altman-1991", "AllocFractionA": 0.25 },
      { "SweepId": "melanoma-altman-1991-f035", "StudyId": "melanoma-altman-1991", "AllocFractionA": 0.35 },
      { "SweepId": "melanoma-altman-1991-f045", "StudyId": "melanoma-altman-1991", "AllocFractionA": 0.45 },
      { "SweepId": "melanoma-altman-1991-f055", "StudyId": "melanoma-altman-1991", "AllocFractionA": 0.55 },
      { "SweepId": "melanoma-altman-1991-f065", "StudyId": "melanoma-altman-1991", "AllocFractionA": 0.65 },
      { "SweepId": "melanoma-altman-1991-f075", "StudyId": "melanoma-altman-1991", "AllocFractionA": 0.75 },
      { "SweepId": "melanoma-altman-1991-f085", "StudyId": "melanoma-altman-1991", "AllocFractionA": 0.85 },
      { "SweepId": "melanoma-altman-1991-f095", "StudyId": "melanoma-altman-1991", "AllocFractionA": 0.95 },
      { "SweepId": "coffee-tverdal-2020-f005", "StudyId": "coffee-tverdal-2020", "AllocFractionA": 0.05 },
      { "SweepId": "coffee-tverdal-2020-f015", "StudyId": "coffee-tverdal-2020", "AllocFractionA": 0.15 },
      { "SweepId": "coffee-tverdal-2020-f025", "StudyId": "coffee-tverdal-2020", "AllocFractionA": 0.25 },
      { "SweepId": "coffee-tverdal-2020-f035", "StudyId": "coffee-tverdal-2020", "AllocFractionA": 0.35 },
      { "SweepId": "coffee-tverdal-2020-f045", "StudyId": "coffee-tverdal-2020", "AllocFractionA": 0.45 },
      { "SweepId": "coffee-tverdal-2020-f055", "StudyId": "coffee-tverdal-2020", "AllocFractionA": 0.55 },
      { "SweepId": "coffee-tverdal-2020-f065", "StudyId": "coffee-tverdal-2020", "AllocFractionA": 0.65 },
      { "SweepId": "coffee-tverdal-2020-f075", "StudyId": "coffee-tverdal-2020", "AllocFractionA": 0.75 },
      { "SweepId": "coffee-tverdal-2020-f085", "StudyId": "coffee-tverdal-2020", "AllocFractionA": 0.85 },
      { "SweepId": "coffee-tverdal-2020-f095", "StudyId": "coffee-tverdal-2020", "AllocFractionA": 0.95 },
      { "SweepId": "sat-wainer-1986-f005", "StudyId": "sat-wainer-1986", "AllocFractionA": 0.05 },
      { "SweepId": "sat-wainer-1986-f015", "StudyId": "sat-wainer-1986", "AllocFractionA": 0.15 },
      { "SweepId": "sat-wainer-1986-f025", "StudyId": "sat-wainer-1986", "AllocFractionA": 0.25 },
      { "SweepId": "sat-wainer-1986-f035", "StudyId": "sat-wainer-1986", "AllocFractionA": 0.35 },
      { "SweepId": "sat-wainer-1986-f045", "StudyId": "sat-wainer-1986", "AllocFractionA": 0.45 },
      { "SweepId": "sat-wainer-1986-f055", "StudyId": "sat-wainer-1986", "AllocFractionA": 0.55 },
      { "SweepId": "sat-wainer-1986-f065", "StudyId": "sat-wainer-1986", "AllocFractionA": 0.65 },
      { "SweepId": "sat-wainer-1986-f075", "StudyId": "sat-wainer-1986", "AllocFractionA": 0.75 },
      { "SweepId": "sat-wainer-1986-f085", "StudyId": "sat-wainer-1986", "AllocFractionA": 0.85 },
      { "SweepId": "sat-wainer-1986-f095", "StudyId": "sat-wainer-1986", "AllocFractionA": 0.95 },
      { "SweepId": "rogers-nicewander-1988-f005", "StudyId": "rogers-nicewander-1988", "AllocFractionA": 0.05 },
      { "SweepId": "rogers-nicewander-1988-f015", "StudyId": "rogers-nicewander-1988", "AllocFractionA": 0.15 },
      { "SweepId": "rogers-nicewander-1988-f025", "StudyId": "rogers-nicewander-1988", "AllocFractionA": 0.25 },
      { "SweepId": "rogers-nicewander-1988-f035", "StudyId": "rogers-nicewander-1988", "AllocFractionA": 0.35 },
      { "SweepId": "rogers-nicewander-1988-f045", "StudyId": "rogers-nicewander-1988", "AllocFractionA": 0.45 },
      { "SweepId": "rogers-nicewander-1988-f055", "StudyId": "rogers-nicewander-1988", "AllocFractionA": 0.55 },
      { "SweepId": "rogers-nicewander-1988-f065", "StudyId": "rogers-nicewander-1988", "AllocFractionA": 0.65 },
      { "SweepId": "rogers-nicewander-1988-f075", "StudyId": "rogers-nicewander-1988", "AllocFractionA": 0.75 },
      { "SweepId": "rogers-nicewander-1988-f085", "StudyId": "rogers-nicewander-1988", "AllocFractionA": 0.85 },
      { "SweepId": "rogers-nicewander-1988-f095", "StudyId": "rogers-nicewander-1988", "AllocFractionA": 0.95 },
      { "SweepId": "lucente-baseball-1995-f005", "StudyId": "lucente-baseball-1995", "AllocFractionA": 0.05 },
      { "SweepId": "lucente-baseball-1995-f015", "StudyId": "lucente-baseball-1995", "AllocFractionA": 0.15 },
      { "SweepId": "lucente-baseball-1995-f025", "StudyId": "lucente-baseball-1995", "AllocFractionA": 0.25 },
      { "SweepId": "lucente-baseball-1995-f035", "StudyId": "lucente-baseball-1995", "AllocFractionA": 0.35 },
      { "SweepId": "lucente-baseball-1995-f045", "StudyId": "lucente-baseball-1995", "AllocFractionA": 0.45 },
      { "SweepId": "lucente-baseball-1995-f055", "StudyId": "lucente-baseball-1995", "AllocFractionA": 0.55 },
      { "SweepId": "lucente-baseball-1995-f065", "StudyId": "lucente-baseball-1995", "AllocFractionA": 0.65 },
      { "SweepId": "lucente-baseball-1995-f075", "StudyId": "lucente-baseball-1995", "AllocFractionA": 0.75 },
      { "SweepId": "lucente-baseball-1995-f085", "StudyId": "lucente-baseball-1995", "AllocFractionA": 0.85 },
      { "SweepId": "lucente-baseball-1995-f095", "StudyId": "lucente-baseball-1995", "AllocFractionA": 0.95 },
      { "SweepId": "wilson-batting-2000-f005", "StudyId": "wilson-batting-2000", "AllocFractionA": 0.05 },
      { "SweepId": "wilson-batting-2000-f015", "StudyId": "wilson-batting-2000", "AllocFractionA": 0.15 },
      { "SweepId": "wilson-batting-2000-f025", "StudyId": "wilson-batting-2000", "AllocFractionA": 0.25 },
      { "SweepId": "wilson-batting-2000-f035", "StudyId": "wilson-batting-2000", "AllocFractionA": 0.35 },
      { "SweepId": "wilson-batting-2000-f045", "StudyId": "wilson-batting-2000", "AllocFractionA": 0.45 },
      { "SweepId": "wilson-batting-2000-f055", "StudyId": "wilson-batting-2000", "AllocFractionA": 0.55 },
      { "SweepId": "wilson-batting-2000-f065", "StudyId": "wilson-batting-2000", "AllocFractionA": 0.65 },
      { "SweepId": "wilson-batting-2000-f075", "StudyId": "wilson-batting-2000", "AllocFractionA": 0.75 },
      { "SweepId": "wilson-batting-2000-f085", "StudyId": "wilson-batting-2000", "AllocFractionA": 0.85 },
      { "SweepId": "wilson-batting-2000-f095", "StudyId": "wilson-batting-2000", "AllocFractionA": 0.95 },
      { "SweepId": "clemens-bly-1998-f005", "StudyId": "clemens-bly-1998", "AllocFractionA": 0.05 },
      { "SweepId": "clemens-bly-1998-f015", "StudyId": "clemens-bly-1998", "AllocFractionA": 0.15 },
      { "SweepId": "clemens-bly-1998-f025", "StudyId": "clemens-bly-1998", "AllocFractionA": 0.25 },
      { "SweepId": "clemens-bly-1998-f035", "StudyId": "clemens-bly-1998", "AllocFractionA": 0.35 },
      { "SweepId": "clemens-bly-1998-f045", "StudyId": "clemens-bly-1998", "AllocFractionA": 0.45 },
      { "SweepId": "clemens-bly-1998-f055", "StudyId": "clemens-bly-1998", "AllocFractionA": 0.55 },
      { "SweepId": "clemens-bly-1998-f065", "StudyId": "clemens-bly-1998", "AllocFractionA": 0.65 },
      { "SweepId": "clemens-bly-1998-f075", "StudyId": "clemens-bly-1998", "AllocFractionA": 0.75 },
      { "SweepId": "clemens-bly-1998-f085", "StudyId": "clemens-bly-1998", "AllocFractionA": 0.85 },
      { "SweepId": "clemens-bly-1998-f095", "StudyId": "clemens-bly-1998", "AllocFractionA": 0.95 },
      { "SweepId": "open-university-1975-f005", "StudyId": "open-university-1975", "AllocFractionA": 0.05 },
      { "SweepId": "open-university-1975-f015", "StudyId": "open-university-1975", "AllocFractionA": 0.15 },
      { "SweepId": "open-university-1975-f025", "StudyId": "open-university-1975", "AllocFractionA": 0.25 },
      { "SweepId": "open-university-1975-f035", "StudyId": "open-university-1975", "AllocFractionA": 0.35 },
      { "SweepId": "open-university-1975-f045", "StudyId": "open-university-1975", "AllocFractionA": 0.45 },
      { "SweepId": "open-university-1975-f055", "StudyId": "open-university-1975", "AllocFractionA": 0.55 },
      { "SweepId": "open-university-1975-f065", "StudyId": "open-university-1975", "AllocFractionA": 0.65 },
      { "SweepId": "open-university-1975-f075", "StudyId": "open-university-1975", "AllocFractionA": 0.75 },
      { "SweepId": "open-university-1975-f085", "StudyId": "open-university-1975", "AllocFractionA": 0.85 },
      { "SweepId": "open-university-1975-f095", "StudyId": "open-university-1975", "AllocFractionA": 0.95 },
      { "SweepId": "pisa-immigration-2015-f005", "StudyId": "pisa-immigration-2015", "AllocFractionA": 0.05 },
      { "SweepId": "pisa-immigration-2015-f015", "StudyId": "pisa-immigration-2015", "AllocFractionA": 0.15 },
      { "SweepId": "pisa-immigration-2015-f025", "StudyId": "pisa-immigration-2015", "AllocFractionA": 0.25 },
      { "SweepId": "pisa-immigration-2015-f035", "StudyId": "pisa-immigration-2015", "AllocFractionA": 0.35 },
      { "SweepId": "pisa-immigration-2015-f045", "StudyId": "pisa-immigration-2015", "AllocFractionA": 0.45 },
      { "SweepId": "pisa-immigration-2015-f055", "StudyId": "pisa-immigration-2015", "AllocFractionA": 0.55 },
      { "SweepId": "pisa-immigration-2015-f065", "StudyId": "pisa-immigration-2015", "AllocFractionA": 0.65 },
      { "SweepId": "pisa-immigration-2015-f075", "StudyId": "pisa-immigration-2015", "AllocFractionA": 0.75 },
      { "SweepId": "pisa-immigration-2015-f085", "StudyId": "pisa-immigration-2015", "Al</t>
  </si>
  <si>
    <t xml:space="preserve">locFractionA": 0.85 },
      { "SweepId": "pisa-immigration-2015-f095", "StudyId": "pisa-immigration-2015", "AllocFractionA": 0.95 },
      { "SweepId": "wainer-sat-states-1992-f005", "StudyId": "wainer-sat-states-1992", "AllocFractionA": 0.05 },
      { "SweepId": "wainer-sat-states-1992-f015", "StudyId": "wainer-sat-states-1992", "AllocFractionA": 0.15 },
      { "SweepId": "wainer-sat-states-1992-f025", "StudyId": "wainer-sat-states-1992", "AllocFractionA": 0.25 },
      { "SweepId": "wainer-sat-states-1992-f035", "StudyId": "wainer-sat-states-1992", "AllocFractionA": 0.35 },
      { "SweepId": "wainer-sat-states-1992-f045", "StudyId": "wainer-sat-states-1992", "AllocFractionA": 0.45 },
      { "SweepId": "wainer-sat-states-1992-f055", "StudyId": "wainer-sat-states-1992", "AllocFractionA": 0.55 },
      { "SweepId": "wainer-sat-states-1992-f065", "StudyId": "wainer-sat-states-1992", "AllocFractionA": 0.65 },
      { "SweepId": "wainer-sat-states-1992-f075", "StudyId": "wainer-sat-states-1992", "AllocFractionA": 0.75 },
      { "SweepId": "wainer-sat-states-1992-f085", "StudyId": "wainer-sat-states-1992", "AllocFractionA": 0.85 },
      { "SweepId": "wainer-sat-states-1992-f095", "StudyId": "wainer-sat-states-1992", "AllocFractionA": 0.95 },
      { "SweepId": "folic-acid-neural-tube-1991-f005", "StudyId": "folic-acid-neural-tube-1991", "AllocFractionA": 0.05 },
      { "SweepId": "folic-acid-neural-tube-1991-f015", "StudyId": "folic-acid-neural-tube-1991", "AllocFractionA": 0.15 },
      { "SweepId": "folic-acid-neural-tube-1991-f025", "StudyId": "folic-acid-neural-tube-1991", "AllocFractionA": 0.25 },
      { "SweepId": "folic-acid-neural-tube-1991-f035", "StudyId": "folic-acid-neural-tube-1991", "AllocFractionA": 0.35 },
      { "SweepId": "folic-acid-neural-tube-1991-f045", "StudyId": "folic-acid-neural-tube-1991", "AllocFractionA": 0.45 },
      { "SweepId": "folic-acid-neural-tube-1991-f055", "StudyId": "folic-acid-neural-tube-1991", "AllocFractionA": 0.55 },
      { "SweepId": "folic-acid-neural-tube-1991-f065", "StudyId": "folic-acid-neural-tube-1991", "AllocFractionA": 0.65 },
      { "SweepId": "folic-acid-neural-tube-1991-f075", "StudyId": "folic-acid-neural-tube-1991", "AllocFractionA": 0.75 },
      { "SweepId": "folic-acid-neural-tube-1991-f085", "StudyId": "folic-acid-neural-tube-1991", "AllocFractionA": 0.85 },
      { "SweepId": "folic-acid-neural-tube-1991-f095", "StudyId": "folic-acid-neural-tube-1991", "AllocFractionA": 0.95 },
      { "SweepId": "steroid-asthma-severity-f005", "StudyId": "steroid-asthma-severity", "AllocFractionA": 0.05 },
      { "SweepId": "steroid-asthma-severity-f015", "StudyId": "steroid-asthma-severity", "AllocFractionA": 0.15 },
      { "SweepId": "steroid-asthma-severity-f025", "StudyId": "steroid-asthma-severity", "AllocFractionA": 0.25 },
      { "SweepId": "steroid-asthma-severity-f035", "StudyId": "steroid-asthma-severity", "AllocFractionA": 0.35 },
      { "SweepId": "steroid-asthma-severity-f045", "StudyId": "steroid-asthma-severity", "AllocFractionA": 0.45 },
      { "SweepId": "steroid-asthma-severity-f055", "StudyId": "steroid-asthma-severity", "AllocFractionA": 0.55 },
      { "SweepId": "steroid-asthma-severity-f065", "StudyId": "steroid-asthma-severity", "AllocFractionA": 0.65 },
      { "SweepId": "steroid-asthma-severity-f075", "StudyId": "steroid-asthma-severity", "AllocFractionA": 0.75 },
      { "SweepId": "steroid-asthma-severity-f085", "StudyId": "steroid-asthma-severity", "AllocFractionA": 0.85 },
      { "SweepId": "steroid-asthma-severity-f095", "StudyId": "steroid-asthma-severity", "AllocFractionA": 0.95 },
      { "SweepId": "kidney-dialysis-facility-1990-f005", "StudyId": "kidney-dialysis-facility-1990", "AllocFractionA": 0.05 },
      { "SweepId": "kidney-dialysis-facility-1990-f015", "StudyId": "kidney-dialysis-facility-1990", "AllocFractionA": 0.15 },
      { "SweepId": "kidney-dialysis-facility-1990-f025", "StudyId": "kidney-dialysis-facility-1990", "AllocFractionA": 0.25 },
      { "SweepId": "kidney-dialysis-facility-1990-f035", "StudyId": "kidney-dialysis-facility-1990", "AllocFractionA": 0.35 },
      { "SweepId": "kidney-dialysis-facility-1990-f045", "StudyId": "kidney-dialysis-facility-1990", "AllocFractionA": 0.45 },
      { "SweepId": "kidney-dialysis-facility-1990-f055", "StudyId": "kidney-dialysis-facility-1990", "AllocFractionA": 0.55 },
      { "SweepId": "kidney-dialysis-facility-1990-f065", "StudyId": "kidney-dialysis-facility-1990", "AllocFractionA": 0.65 },
      { "SweepId": "kidney-dialysis-facility-1990-f075", "StudyId": "kidney-dialysis-facility-1990", "AllocFractionA": 0.75 },
      { "SweepId": "kidney-dialysis-facility-1990-f085", "StudyId": "kidney-dialysis-facility-1990", "AllocFractionA": 0.85 },
      { "SweepId": "kidney-dialysis-facility-1990-f095", "StudyId": "kidney-dialysis-facility-1990", "AllocFractionA": 0.95 },
      { "SweepId": "warfarin-bleeding-age-f005", "StudyId": "warfarin-bleeding-age", "AllocFractionA": 0.05 },
      { "SweepId": "warfarin-bleeding-age-f015", "StudyId": "warfarin-bleeding-age", "AllocFractionA": 0.15 },
      { "SweepId": "warfarin-bleeding-age-f025", "StudyId": "warfarin-bleeding-age", "AllocFractionA": 0.25 },
      { "SweepId": "warfarin-bleeding-age-f035", "StudyId": "warfarin-bleeding-age", "AllocFractionA": 0.35 },
      { "SweepId": "warfarin-bleeding-age-f045", "StudyId": "warfarin-bleeding-age", "AllocFractionA": 0.45 },
      { "SweepId": "warfarin-bleeding-age-f055", "StudyId": "warfarin-bleeding-age", "AllocFractionA": 0.55 },
      { "SweepId": "warfarin-bleeding-age-f065", "StudyId": "warfarin-bleeding-age", "AllocFractionA": 0.65 },
      { "SweepId": "warfarin-bleeding-age-f075", "StudyId": "warfarin-bleeding-age", "AllocFractionA": 0.75 },
      { "SweepId": "warfarin-bleeding-age-f085", "StudyId": "warfarin-bleeding-age", "AllocFractionA": 0.85 },
      { "SweepId": "warfarin-bleeding-age-f095", "StudyId": "warfarin-bleeding-age", "AllocFractionA": 0.95 },
      { "SweepId": "diabetes-metformin-bmi-f005", "StudyId": "diabetes-metformin-bmi", "AllocFractionA": 0.05 },
      { "SweepId": "diabetes-metformin-bmi-f015", "StudyId": "diabetes-metformin-bmi", "AllocFractionA": 0.15 },
      { "SweepId": "diabetes-metformin-bmi-f025", "StudyId": "diabetes-metformin-bmi", "AllocFractionA": 0.25 },
      { "SweepId": "diabetes-metformin-bmi-f035", "StudyId": "diabetes-metformin-bmi", "AllocFractionA": 0.35 },
      { "SweepId": "diabetes-metformin-bmi-f045", "StudyId": "diabetes-metformin-bmi", "AllocFractionA": 0.45 },
      { "SweepId": "diabetes-metformin-bmi-f055", "StudyId": "diabetes-metformin-bmi", "AllocFractionA": 0.55 },
      { "SweepId": "diabetes-metformin-bmi-f065", "StudyId": "diabetes-metformin-bmi", "AllocFractionA": 0.65 },
      { "SweepId": "diabetes-metformin-bmi-f075", "StudyId": "diabetes-metformin-bmi", "AllocFractionA": 0.75 },
      { "SweepId": "diabetes-metformin-bmi-f085", "StudyId": "diabetes-metformin-bmi", "AllocFractionA": 0.85 },
      { "SweepId": "diabetes-metformin-bmi-f095", "StudyId": "diabetes-metformin-bmi", "AllocFractionA": 0.95 },
      { "SweepId": "oncology-trial-stage-f005", "StudyId": "oncology-trial-stage", "AllocFractionA": 0.05 },
      { "SweepId": "oncology-trial-stage-f015", "StudyId": "oncology-trial-stage", "AllocFractionA": 0.15 },
      { "SweepId": "oncology-trial-stage-f025", "StudyId": "oncology-trial-stage", "AllocFractionA": 0.25 },
      { "SweepId": "oncology-trial-stage-f035", "StudyId": "oncology-trial-stage", "AllocFractionA": 0.35 },
      { "SweepId": "oncology-trial-stage-f045", "StudyId": "oncology-trial-stage", "AllocFractionA": 0.45 },
      { "SweepId": "oncology-trial-stage-f055", "StudyId": "oncology-trial-stage", "AllocFractionA": 0.55 },
      { "SweepId": "oncology-trial-stage-f065", "StudyId": "oncology-trial-stage", "AllocFractionA": 0.65 },
      { "SweepId": "oncology-trial-stage-f075", "StudyId": "oncology-trial-stage", "AllocFractionA": 0.75 },
      { "SweepId": "oncology-trial-stage-f085", "StudyId": "oncology-trial-stage", "AllocFractionA": 0.85 },
      { "SweepId": "oncology-trial-stage-f095", "StudyId": "oncology-trial-stage", "AllocFractionA": 0.95 },
      { "SweepId": "exercise-cholesterol-age-f005", "StudyId": "exercise-cholesterol-age", "AllocFractionA": 0.05 },
      { "SweepId": "exercise-cholesterol-age-f015", "StudyId": "exercise-cholesterol-age", "AllocFractionA": 0.15 },
      { "SweepId": "exercise-cholesterol-age-f025", "StudyId": "exercise-cholesterol-age", "AllocFractionA": 0.25 },
      { "SweepId": "exercise-cholesterol-age-f035", "StudyId": "exercise-cholesterol-age", "AllocFractionA": 0.35 },
      { "SweepId": "exercise-cholesterol-age-f045", "StudyId": "exercise-cholesterol-age", "AllocFractionA": 0.45 },
      { "SweepId": "exercise-cholesterol-age-f055", "StudyId": "exercise-cholesterol-age", "AllocFractionA": 0.55 },
      { "SweepId": "exercise-cholesterol-age-f065", "StudyId": "exercise-cholesterol-age", "AllocFractionA": 0.65 },
      { "SweepId": "exercise-cholesterol-age-f075", "StudyId": "exercise-cholesterol-age", "AllocFractionA": 0.75 },
      { "SweepId": "exercise-cholesterol-age-f085", "StudyId": "exercise-cholesterol-age", "AllocFractionA": 0.85 },
      { "SweepId": "exercise-cholesterol-age-f095", "StudyId": "exercise-cholesterol-age", "AllocFractionA": 0.95 },
      { "SweepId": "red-meat-colorectal-bmi-f005", "StudyId": "red-meat-colorectal-bmi", "AllocFractionA": 0.05 },
      { "SweepId": "red-meat-colorectal-bmi-f015", "StudyId": "red-meat-colorectal-bmi", "AllocFractionA": 0.15 },
      { "SweepId": "red-meat-colorectal-bmi-f025", "StudyId": "red-meat-colorectal-bmi", "AllocFractionA": 0.25 },
      { "SweepId": "red-meat-colorectal-bmi-f035", "StudyId": "red-meat-colorectal-bmi", "AllocFractionA": 0.35 },
      { "SweepId": "red-meat-colorectal-bmi-f045", "StudyId": "red-meat-colorectal-bmi", "AllocFractionA": 0.45 },
      { "SweepId": "red-meat-colorectal-bmi-f055", "StudyId": "red-meat-colorectal-bmi", "AllocFractionA": 0.55 },
      { "SweepId": "red-meat-colorectal-bmi-f065", "StudyId": "red-meat-colorectal-bmi", "AllocFractionA": 0.65 },
      { "SweepId": "red-meat-colorectal-bmi-f075", "StudyId": "red-meat-colorectal-bmi", "AllocFractionA": 0.75 },
      { "SweepId": "red-meat-colorectal-bmi-f085", "StudyId": "red-meat-colorectal-bmi", "AllocFractionA": 0.85 },
      { "SweepId": "red-meat-colorectal-bmi-f095", "StudyId": "red-meat-colorectal-bmi", "AllocFractionA": 0.95 },
      { "SweepId": "folic-fortification-2000-f005", "StudyId": "folic-fortification-2000", "AllocFractionA": 0.05 },
      { "SweepId": "folic-fortification-2000-f015", "StudyId": "folic-fortification-2000", "AllocFractionA": 0.15 },
      { "SweepId": "folic-fortification-2000-f025", "StudyId": "folic-fortification-2000", "AllocFractionA": 0.25 },
      { "SweepId": "folic-fortification-2000-f035", "StudyId": "folic-fortification-2000", "AllocFractionA": 0.35 },
      { "SweepId": "folic-fortification-2000-f045", "StudyId": "folic-fortification-2000", "AllocFractionA": 0.45 },
      { "SweepId": "folic-fortification-2000-f055", "StudyId": "folic-fortification-2000", "AllocFractionA": 0.55 },
      { "SweepId": "folic-fortification-2000-f065", "StudyId": "folic-fortification-2000", "AllocFractionA": 0.65 },
      { "SweepId": "folic-fortification-2000-f075", "StudyId": "folic-fortification-2000", "AllocFractionA": 0.75 },
      { "SweepId": "folic-fortification-2000-f085", "StudyId": "folic-fortification-2000", "AllocFractionA": 0.85 },
      { "SweepId": "folic-fortification-2000-f095", "StudyId": "folic-fortification-2000", "AllocFractionA": 0.95 },
      { "SweepId": "north-carolina-death-penalty-1990-f005", "StudyId": "north-carolina-death-penalty-1990", "AllocFractionA": 0.05 },
      { "SweepId": "north-carolina-death-penalty-1990-f015", "StudyId": "north-carolina-death-penalty-1990", "AllocFractionA": 0.15 },
      { "SweepId": "north-carolina-death-penalty-1990-f025", "StudyId": "north-carolina-death-penalty-1990", "AllocFractionA": 0.25 },
      { "SweepId": "north-carolina-death-penalty-1990-f035", "StudyId": "north-carolina-death-penalty-1990", "AllocFractionA": 0.35 },
      { "SweepId": "north-carolina-death-penalty-1990-f045", "StudyId": "north-carolina-death-penalty-1990", "AllocFractionA": 0.45 },
      { "SweepId": "north-carolina-death-penalty-1990-f055", "StudyId": "north-carolina-death-penalty-1990", "AllocFractionA": 0.55 },
      { "SweepId": "north-carolina-death-penalty-1990-f065", "StudyId": "north-carolina-death-penalty-1990", "AllocFractionA": 0.65 },
      { "SweepId": "north-carolina-death-penalty-1990-f075", "StudyId": "north-carolina-death-penalty-1990", "AllocFractionA": 0.75 },
      { "SweepId": "north-carolina-death-penalty-1990-f085", "StudyId": "north-carolina-death-penalty-1990", "AllocFractionA": 0.85 },
      { "SweepId": "north-carolina-death-penalty-1990-f095", "StudyId": "north-carolina-death-penalty-1990", "AllocFractionA": 0.95 },
      { "SweepId": "housing-discrimination-audit-f005", "StudyId": "housing-discrimination-audit", "AllocFractionA": 0.05 },
      { "SweepId": "housing-discrimination-audit-f015", "StudyId": "housing-discrimination-audit", "AllocFractionA": 0.15 },
      { "SweepId": "housing-discrimination-audit-f025", "StudyId": "housing-discrimination-audit", "AllocFractionA": 0.25 },
      { "SweepId": "housing-discrimination-audit-f035", "StudyId": "housing-discrimination-audit", "AllocFractionA": 0.35 },
      { "SweepId": "housing-discrimination-audit-f045", "StudyId": "housing-discrimination-audit", "AllocFractionA": 0.45 },
      { "SweepId": "housing-discrimination-audit-f055", "StudyId": "housing-discrimination-audit", "AllocFractionA": 0.55 },
      { "SweepId": "housing-discrimination-audit-f065", "StudyId": "housing-discrimination-audit", "AllocFractionA": 0.65 },
      { "SweepId": "housing-discrimination-audit-f075", "StudyId": "housing-discrimination-audit", "AllocFractionA": 0.75 },
      { "SweepId": "housing-discrimination-audit-f085", "StudyId": "housing-discrimination-audit", "AllocFractionA": 0.85 },
      { "SweepId": "housing-discrimination-audit-f095", "StudyId": "housing-discrimination-audit", "AllocFractionA": 0.95 },
      { "SweepId": "gender-pay-gap-industry-f005", "StudyId": "gender-pay-gap-industry", "AllocFractionA": 0.05 },
      { "SweepId": "gender-pay-gap-industry-f015", "StudyId": "gender-pay-gap-industry", "AllocFractionA": 0.15 },
      { "SweepId": "gender-pay-gap-industry-f025", "StudyId": "gender-pay-gap-industry", "AllocFractionA": 0.25 },
      { "SweepId": "gender-pay-gap-industry-f035", "StudyId": "gender-pay-gap-industry", "AllocFractionA": 0.35 },
      { "SweepId": "gender-pay-gap-industry-f045", "StudyId": "gender-pay-gap-industry", "AllocFractionA": 0.45 },
      { "SweepId": "gender-pay-gap-industry-f055", "StudyId": "gender-pay-gap-industry", "AllocFractionA": 0.55 },
      { "SweepId": "gender-pay-gap-industry-f065", "StudyId": "gender-pay-gap-industry", "AllocFractionA": 0.65 },
      { "SweepId": "gender-pay-gap-industry-f075", "StudyId": "gender-pay-gap-industry", "AllocFractionA": 0.75 },
      { "SweepId": "gender-pay-gap-industry-f085", "StudyId": "gender-pay-gap-industry", "AllocFractionA": 0.85 },
      { "SweepId": "gender-pay-gap-industry-f095", "StudyId": "gender-pay-gap-industry", "AllocFractionA": 0.95 },
      { "SweepId": "income-education-state-f005", "StudyId": "income-education-state", "AllocFractionA": 0.05 },
      { "SweepId": "income-education-state-f015", "StudyId": "income-education-state", "AllocFractionA": 0.15 },
      { "SweepId": "income-education-state-f025", "StudyId": "income-education-state", "AllocFractionA": 0.25 },
      { "SweepId": "income-education-state-f035", "StudyId": "income-education-state", "AllocFractionA": 0.35 },
      { "SweepId": "income-education-state-f045", "StudyId": "income-education-state", "AllocFractionA": 0.45 },
      { "SweepId": "income-education-state-f055", "StudyId": "income-education-state", "AllocFractionA": 0.55 },
      { "SweepId": "income-education-state-f065", "StudyId": "income-education-state", "AllocFractionA": 0.65 },
      { "SweepId": "income-education-state-f075", "StudyId": "income-education-state", "AllocFractionA": 0.75 },
      { "SweepId": "income-education-state-f085", "StudyId": "income-education-state", "AllocFractionA": 0.85 },
      { "SweepId": "income-education-state-f095", "StudyId": "income-education-state", "AllocFractionA": 0.95 },
      { "SweepId": "florida-reef-fish-1994-f005", "StudyId": "florida-reef-fish-1994", "AllocFractionA": 0.05 },
      { "SweepId": "florida-reef-fish-1994-f015", "StudyId": "florida-reef-fish-1994", "AllocFractionA": 0.15 },
      { "SweepId": "florida-reef-fish-1994-f025", "StudyId": "florida-reef-fish-1994", "AllocFractionA": 0.25 },
      { "SweepId": "florida-reef-fish-1994-f035", "StudyId": "florida-reef-fish-1994", "AllocFractionA": 0.35 },
      { "SweepId": "florida-reef-fish-1994-f045", "StudyId": "florida-reef-fish-1994", "AllocFractionA": 0.45 },
      { "SweepId": "florida-reef-fish-1994-f055", "StudyId": "florida-reef-fish-1994", "AllocFractionA": 0.55 },
      { "SweepId": "florida-reef-fish-1994-f065", "StudyId": "florida-reef-fish-1994", "AllocFractionA": 0.65 },
      { "SweepId": "florida-reef-fish-1994-f075", "StudyId": "florida-reef-fish-1994", "AllocFractionA": 0.75 },
      { "SweepId": "florida-reef-fish-1994-f085", "StudyId": "florida-reef-fish-1994", "AllocFractionA": 0.85 },
      { "SweepId": "florida-reef-fish-1994-f095", "StudyId": "florida-reef-fish-1994", "AllocFractionA": 0.95 },
      { "SweepId": "uc-irvine-admissions-1985-f005", "StudyId": "uc-irvine-admissions-1985", "AllocFractionA": 0.05 },
      { "SweepId": "uc-irvine-admissions-1985-f015", "StudyId": "uc-irvine-admissions-1985", "AllocFractionA": 0.15 },
      { "SweepId": "uc-irvine-admissions-1985-f025", "StudyId": "uc-irvine-admissions-1985", "AllocFractionA": 0.25 },
      { "SweepId": "uc-irvine-admissions-1985-f035", "StudyId": "uc-irvine-admissions-1985", "AllocFractionA": 0.35 },
      { "SweepId": "uc-irvine-admissions-1985-f045", "StudyId": "uc-irvine-admissions-1985", "AllocFractionA": 0.45 },
      { "SweepId": "uc-irvine-admissions-1985-f055", "StudyId": "uc-irvine-admissions-1985", "AllocFractionA": 0.55 },
      { "SweepId": "uc-irvine-admissions-1985-f065", "StudyId": "uc-irvine-admissions-1985", "AllocFractionA": 0.65 },
      { "SweepId": "uc-irvine-admissions-1985-f075", "StudyId": "uc-irvine-admissions-1985", "AllocFractionA": 0.75 },
      { "SweepId": "uc-irvine-admissions-1985-f085", "StudyId": "uc-irvine-admissions-1985", "AllocFractionA": 0.85 },
      { "SweepId": "uc-irvine-admissions-1985-f095", "StudyId": "uc-irvine-admissions-1985", "AllocFractionA": 0.95 },
      { "SweepId": "cesarean-birth-weight-2006-f005", "StudyId": "cesarean-birth-weight-2006", "AllocFractionA": 0.05 },
      { "SweepId": "cesarean-birth-weight-2006-f015", "StudyId": "cesarean-birth-weight-2006", "AllocFractionA": 0.15 },
      { "SweepId": "cesarean-birth-weight-2006-f025", "StudyId": "cesarean-birth-weight-2006", "AllocFractionA": 0.25 },
      { "SweepId": "cesarean-birth-weight-2006-f035", "StudyId": "cesarean-birth-weight-2006", "AllocFractionA": 0.35 },
      { "SweepId": "cesarean-birth-weight-2006-f045", "StudyId": "cesarean-birth-weight-2006", "AllocFractionA": 0.45 },
      { "SweepId": "cesarean-birth-weight-2006-f055", "StudyId": "cesarean-birth-weight-2006", "AllocFractionA": 0.55 },
      { "SweepId": "cesarean-birth-weight-2006-f065", "StudyId": "cesarean-birth-weight-2006", "AllocFractionA": 0.65 },
      { "SweepId": "cesarean-birth-weight-2006-f075", "StudyId": "cesarean-birth-weight-2006", "AllocFractionA": 0.75 },
      { "SweepId": "cesarean-birth-weight-2006-f085", "StudyId": "cesarean-birth-weight-2006", "AllocFractionA": 0.85 },
      { "SweepId": "cesarean-birth-weight-2006-f095", "StudyId": "cesarean-birth-weight-2006", "AllocFractionA": 0.95 },
      { "SweepId": "schizophrenia-antipsychotic-f005", "StudyId": "schizophrenia-antipsychotic", "AllocFractionA": 0.05 },
      { "SweepId": "schizophrenia-antipsychotic-f015", "StudyId": "schizophrenia-antipsychotic", "AllocFractionA": 0.15 },
      { "SweepId": "schizophrenia-antipsychotic-f025", "StudyId": "schizophrenia-antipsychotic", "AllocFractionA": 0.25 },
      { "SweepId": "schizophrenia-antipsychotic-f035", "StudyId": "schizophrenia-antipsychotic", "AllocFractionA": 0.35 },
      { "SweepId": "schizophrenia-antipsychotic-f045", "StudyId": "schizophrenia-antipsychotic", "AllocFractionA": 0.45 },
      { "SweepId": "schizophrenia-antipsychotic-f055", "StudyId": "schizophrenia-antipsychotic", "AllocFractionA": 0.55 },
      { "SweepId": "schizophrenia-antipsychotic-f065", "StudyId": "schizophrenia-antipsychotic", "AllocFractionA": 0.65 },
      { "SweepId": "schizophrenia-antipsychotic-f075", "StudyId": "schizophrenia-antipsychotic", "AllocFractionA": 0.75 },
      { "SweepId": "schizophrenia-antipsychotic-f085", "StudyId": "schizophrenia-antipsychotic", "AllocFractionA": 0.85 },
      { "SweepId": "schizophrenia-antipsychotic-f095", "StudyId": "schizophrenia-antipsychotic", "AllocFractionA": 0.95 },
      { "SweepId": "berkeley-six-dept-1973-f005", "StudyId": "berkeley-six-dept-1973", "AllocFractionA": 0.05 },
      { "SweepId": "berkeley-six-dept-1973-f015", "StudyId": "berkeley-six-dept-1973", "AllocFractionA": 0.15 },
      { "SweepId": "berkeley-six-dept-1973-f025", "StudyId": "berkeley-six-dept-1973", "AllocFractionA": 0.25 },
      { "SweepId": "berkeley-six-dept-1973-f035", "StudyId": "berkeley-six-dept-1973", "AllocFractionA": 0.35 },
      { "SweepId": "berkeley-six-dept-1973-f045", "StudyId": "berkeley-six-dept-1973", "AllocFractionA": 0.45 },
      { "SweepId": "berkeley-six-dept-1973-f055", "StudyId": "berkeley-six-dept-1973", "AllocFractionA": 0.55 },
      { "SweepId": "berkeley-six-dept-1973-f065", "StudyId": "berkeley-six-dept-1973", "AllocFractionA": 0.65 },
      { "SweepId": "berkeley-six-dept-1973-f075", "StudyId": "berkeley-six-dept-1973", "AllocFractionA": 0.75 },
      { "SweepId": "berkeley-six-dept-1973-f085", "StudyId": "berkeley-six-dept-1973", "AllocFractionA": 0.85 },
      { "SweepId": "berkeley-six-dept-1973-f095", "StudyId": "berkeley-six-dept-1973", "AllocFractionA": 0.95 },
      { "SweepId": "rosiglitazone-mi-pool-2007-f005", "StudyId": "rosiglitazone-mi-pool-2007", "AllocFractionA": 0.05 },
      { "SweepId": "rosiglitazone-mi-pool-2007-f015", "StudyId": "rosiglitazone-mi-pool-2007", "AllocFractionA": 0.15 },
      { "SweepId": "rosiglitazone-mi-pool-2007-f025", "StudyId": "rosiglitazone-mi-pool-2007", "AllocFractionA": 0.25 },
      { "SweepId": "rosiglitazone-mi-pool-2007-f035", "StudyId": "rosiglitazone-mi-pool-2007", "AllocFractionA": 0.35 },
      { "SweepId": "rosiglitazone-mi-pool-2007-f045", "StudyId": "rosiglitazone-mi-pool-2007", "AllocFractionA": 0.45 },
      { "SweepId": "rosiglitazone-mi-pool-2007-f055", "StudyId": "rosiglitazone-mi-pool-2007", "AllocFractionA": 0.55 },
      { "SweepId": "rosiglitazone-mi-pool-2007-f065", "StudyId": "rosiglitazone-mi-pool-2007", "AllocFractionA": 0.65 },
      { "SweepId": "rosiglitazone-mi-pool-2007-f075", "StudyId": "rosiglitazone-mi-pool-2007", "AllocFractionA": 0.75 },
      { "SweepId": "rosiglitazone-mi-pool-2007-f085", "StudyId": "rosiglitazone-mi-pool-2007", "AllocFractionA": 0.85 },
      { "SweepId": "rosiglitazone-mi-pool-2007-f095", "StudyId": "rosiglitazone-mi-pool-2007", "AllocFractionA": 0.95 },
      { "SweepId": "ironman-gender-age-2010-f005", "StudyId": "ironman-gender-age-2010", "AllocFractionA": 0.05 },
      { "SweepId": "ironman-gender-age-2010-f015", "StudyId": "ironman-gender-age-2010", "AllocFractionA": 0.15 },
      { "SweepId": "ironman-gender-age-2010-f025", "StudyId": "ironman-gender-age-2010", "AllocFractionA": 0.25 },
      { "SweepId": "ironman-gender-age-2010-f035", "StudyId": "ironman-gender-age-2010", "AllocFractionA": 0.35 },
      { "SweepId": "ironman-gender-age-2010-f045", "StudyId": "ironman-gender-age-2010", "AllocFractionA": 0.45 },
      { "SweepId": "ironman-gender-age-2010-f055", "StudyId": "ironman-gender-age-2010", "AllocFractionA": 0.55 },
      { "SweepId": "ironman-gender-age-2010-f065", "StudyId": "ironman-gender-age-2010", "AllocFractionA": 0.65 },
      { "SweepId": "ironman-gender-age-2010-f075", "StudyId": "ironman-gender-age-2010", "AllocFractionA": 0.75 },
      { "SweepId": "ironman-gender-age-2010-f085", "StudyId": "ironman-gender-age-2010", "AllocFractionA": 0.85 },
      { "SweepId": "ironman-gender-age-2010-f095", "StudyId": "ironman-gender-age-2010", "AllocFractionA": 0.95 },
      { "SweepId": "hanley-power-lines-2000-f005", "StudyId": "hanley-power-lines-2000", "AllocFractionA": 0.05 },
      { "SweepId": "hanley-power-lines-2000-f015", "StudyId": "hanley-power-lines-2000", "AllocFractionA": 0.15 },
      { "SweepId": "hanley-power-lines-2000-f025", "StudyId": "hanley-power-lines-2000", "AllocFractionA": 0.25 },
      { "SweepId": "hanley-power-lines-2000-f035", "StudyId": "hanley-power-lines-2000", "AllocFractionA": 0.35 },
      { "SweepId": "hanley-power-lines-2000-f045", "StudyId": "hanley-power-lines-2000", "AllocFractionA": 0.45 },
      { "SweepId": "hanley-power-lines-2000-f055", "StudyId": "hanley-power-lines-2000", "AllocFractionA": 0.55 },
      { "SweepId": "hanley-power-lines-2000-f065", "StudyId": "hanley-power-lines-2000", "AllocFractionA": 0.65 },
      { "SweepId": "hanley-power-lines-2000-f075", "StudyId": "hanley-power-lines-2000", "AllocFractionA": 0.75 },
      { "SweepId": "hanley-power-lines-2000-f085", "StudyId": "hanley-power-lines-2000", "AllocFractionA": 0.85 },
      { "SweepId": "hanley-power-lines-2000-f095", "StudyId": "hanley-power-lines-2000", "AllocFractionA": 0.95 },
      { "SweepId": "coffee-smoking-lung-1968-f005", "StudyId": "coffee-smoking-lung-1968", "AllocFractionA": 0.05 },
      { "SweepId": "coffee-smoking-lung-1968-f015", "StudyId": "coffee-smoking-lung-1968", "AllocFractionA": 0.15 },
      { "SweepId": "coffee-smoking-lung-1968-f025", "StudyId": "coffee-smoking-lung-1968", "AllocFractionA": 0.25 },
      { "SweepId": "coffee-smoking-lung-1968-f035", "StudyId": "coffee-smoking-lung-1968", "AllocFractionA": 0.35 },
      { "SweepId": "coffee-smoking-lung-1968-f045", "StudyId": "coffee-smoking-lung-1968", "AllocFractionA": 0.45 },
      { "SweepId": "coffee-smoking-lung-1968-f055", "StudyId": "coffee-smoking-lung-1968", "AllocFractionA": 0.55 },
      { "SweepId": "coffee-smoking-lung-1968-f065", "StudyId": "coffee-smoking-lung-1968", "AllocFractionA": 0.65 },
      { "SweepId": "coffee-smoking-lung-1968-f075", "StudyId": "coffee-smoking-lung-1968", "AllocFractionA": 0.75 },
      { "SweepId": "coffee-smoking-lung-1968-f085", "StudyId": "coffee-smoking-lung-1968", "AllocFractionA": 0.85 },
      { "SweepId": "coffee-smoking-lung-1968-f095", "StudyId": "coffee-smoking-lung-1968", "AllocFractionA": 0.95 },
      { "SweepId": "panama-sweden-mortality-1975-f005", "StudyId": "panama-sweden-mortality-1975", "AllocFractionA": 0.05 },
      { "SweepId": "panama-sweden-mortality-1975-f015", "StudyId": "panama-sweden-mortality-1975", "AllocFractionA": 0.15 },
      { "SweepId": "panama-sweden-mortality-1975-f025", "StudyId": "panama-sweden-mortality-1975", "AllocFractionA": 0.25 },
      { "SweepId": "panama-sweden-mortality-1975-f035", "StudyId": "panama-sweden-mortality-1975", "AllocFractionA": 0.35 },
      { "SweepId": "panama-sweden-mortality-1975-f045", "StudyId": "panama-sweden-mortality-1975", "AllocFractionA": 0.45 },
      { "SweepId": "panama-sweden-mortality-1975-f055", "StudyId": "panama-sweden-mortality-1975", "AllocFractionA": 0.55 },
      { "SweepId": "panama-sweden-mortality-1975-f065", "StudyId": "panama-sweden-mortality-1975", "AllocFractionA": 0.65 },
      { "SweepId": "panama-sweden-mortality-1975-f075", "StudyId": "panama-sweden-mortality-1975", "AllocFractionA": 0.75 },
      { "SweepId": "panama-sweden-mortality-1975-f085", "StudyId": "panama-sweden-mortality-1975", "AllocFractionA": 0.85 },
      { "SweepId": "panama-sweden-mortality-1975-f095", "StudyId": "panama-sweden-mortality-1975", "AllocFractionA": 0.95 },
      { "SweepId": "hrt-whi-2002-f005", "StudyId": "hrt-whi-2002", "AllocFractionA": 0.05 },
      { "SweepId": "hrt-whi-2002-f015", "StudyId": "hrt-whi-2002", "AllocFractionA": 0.15 },
      { "SweepId": "hrt-whi-2002-f025", "StudyId": "hrt-whi-2002", "AllocFractionA": 0.25 },
      { "SweepId": "hrt-whi-2002-f035", "StudyId": "hrt-whi-2002", "AllocFractionA": 0.35 },
      { "SweepId": "hrt-whi-2002-f045", "StudyId": "hrt-whi-2002", "AllocFractionA": 0.45 },
      { "SweepId": "hrt-whi-2002-f055", "StudyId": "hrt-whi-2002", "AllocFractionA": 0.55 },
      { "SweepId": "hrt-whi-2002-f065", "StudyId": "hrt-whi-2002", "AllocFractionA": 0.65 },
      { "SweepId": "hrt-whi-2002-f075", "StudyId": "hrt-whi-2002", "AllocFractionA": 0.75 },
      { "SweepId": "hrt-whi-2002-f085", "StudyId": "hrt-whi-2002", "AllocFractionA": 0.85 },
      { "SweepId": "hrt-whi-2002-f095", "StudyId": "hrt-whi-2002", "AllocFractionA": 0.95 },
      { "SweepId": "obesity-paradox-hf-f005", "StudyId": "obesity-paradox-hf", "AllocFractionA": 0.05 },
      { "SweepId": "obesity-paradox-hf-f015", "StudyId": "obesity-paradox-hf", "AllocFractionA": 0.15 },
      { "SweepId": "obesity-paradox-hf-f025", "StudyId": "obesity-paradox-hf", "AllocFractionA": 0.25 },
      { "SweepId": "obesity-paradox-hf-f035", "StudyId": "obesity-paradox-hf", "AllocFractionA": 0.35 },
      { "SweepId": "obesity-paradox-hf-f045", "StudyId": "obesity-paradox-hf", "AllocFractionA": 0.45 },
      { "SweepId": "obesity-paradox-hf-f055", "StudyId": "obesity-paradox-hf", "AllocFractionA": 0.55 },
      { "SweepId": "obesity-paradox-hf-f065", "StudyId": "obesity-paradox-hf", "AllocFractionA": 0.65 },
      { "SweepId": "obesity-paradox-hf-f075", "StudyId": "obesity-paradox-hf", "AllocFractionA": 0.75 },
      { "SweepId": "obesity-paradox-hf-f085", "StudyId": "obesity-paradox-hf", "AllocFractionA": 0.85 },
      { "SweepId": "obesity-paradox-hf-f095", "StudyId": "obesity-paradox-hf", "AllocFractionA": 0.95 },
      { "SweepId": "dialysis-bmi-survival-f005", "StudyId": "dialysis-bmi-survival", "AllocFractionA": 0.05 },
      { "SweepId": "dialysis-bmi-survival-f015", "StudyId": "dialysis-bmi-survival", "AllocFractionA": 0.15 },
      { "SweepId": "dialysis-bmi-survival-f025", "StudyId": "dialysis-bmi-survival", "AllocFractionA": 0.25 },
      { "SweepId": "dialysis-bmi-survival-f035", "StudyId": "dialysis-bmi-survival", "AllocFractionA": 0.35 },
      { "SweepId": "dialysis-bmi-survival-f045", "StudyId": "dialysis-bmi-survival", "AllocFractionA": 0.45 },
      { "SweepId": "dialysis-bmi-survival-f055", "StudyId": "dialysis-bmi-survival", "AllocFractionA": 0.55 },
      { "SweepId": "dialysis-bmi-survival-f065", "StudyId": "dialysis-bmi-survival", "AllocFractionA": 0.65 },
      { "SweepId": "dialysis-bmi-survival-f075", "StudyId": "dialysis-bmi-survival", "AllocFractionA": 0.75 },
      { "SweepId": "dialysis-bmi-survival-f085", "StudyId": "dialysis-bmi-survival", "AllocFractionA": 0.85 },
      { "SweepId": "dialysis-bmi-survival-f095", "StudyId": "dialysis-bmi-survival", "AllocFractionA": 0.95 },
      { "SweepId": "sick-quitter-alcohol-f005", "StudyId": "sick-quitter-alcohol", "AllocFractionA": 0.05 },
      { "SweepId": "sick-quitter-alcohol-f015", "StudyId": "sick-quitter-alcohol", "AllocFractionA": 0.15 },
      { "SweepId": "sick-quitter-alcohol-f025", "StudyId": "sick-quitter-alcohol", "AllocFractionA": 0.25 },
      { "SweepId": "sick-quitter-alcohol-f035", "StudyId": "sick-quitter-alcohol", "AllocFractionA": 0.35 },
      { "SweepId": "sick-quitter-alcohol-f045", "StudyId": "sick-quitter-alcohol", "AllocFractionA": 0.45 },
      { "SweepId": "sick-quitter-alcohol-f055", "StudyId": "sick-quitter-alcohol", "AllocFractionA": 0.55 },
      { "SweepId": "sick-quitter-alcohol-f065", "StudyId": "sick-quitter-alcohol", "AllocFractionA": 0.65 },
      { "SweepId": "sick-quitter-alcohol-f075", "StudyId": "sick-quitter-alcohol", "AllocFractionA": 0.75 },
      { "SweepId": "sick-quitter-alcohol-f085", "StudyId": "sick-quitter-alcohol", "AllocFractionA": 0.85 },
      { "SweepId": "sick-quitter-alcohol-f095", "StudyId": "sick-quitter-alcohol", "AllocFractionA": 0.95 },
      { "SweepId": "flu-vaccine-elderly-mortality-f005", "StudyId": "flu-vaccine-elderly-mortality", "AllocFractionA": 0.05 },
      { "SweepId": "flu-va</t>
  </si>
  <si>
    <t xml:space="preserve">ccine-elderly-mortality-f015", "StudyId": "flu-vaccine-elderly-mortality", "AllocFractionA": 0.15 },
      { "SweepId": "flu-vaccine-elderly-mortality-f025", "StudyId": "flu-vaccine-elderly-mortality", "AllocFractionA": 0.25 },
      { "SweepId": "flu-vaccine-elderly-mortality-f035", "StudyId": "flu-vaccine-elderly-mortality", "AllocFractionA": 0.35 },
      { "SweepId": "flu-vaccine-elderly-mortality-f045", "StudyId": "flu-vaccine-elderly-mortality", "AllocFractionA": 0.45 },
      { "SweepId": "flu-vaccine-elderly-mortality-f055", "StudyId": "flu-vaccine-elderly-mortality", "AllocFractionA": 0.55 },
      { "SweepId": "flu-vaccine-elderly-mortality-f065", "StudyId": "flu-vaccine-elderly-mortality", "AllocFractionA": 0.65 },
      { "SweepId": "flu-vaccine-elderly-mortality-f075", "StudyId": "flu-vaccine-elderly-mortality", "AllocFractionA": 0.75 },
      { "SweepId": "flu-vaccine-elderly-mortality-f085", "StudyId": "flu-vaccine-elderly-mortality", "AllocFractionA": 0.85 },
      { "SweepId": "flu-vaccine-elderly-mortality-f095", "StudyId": "flu-vaccine-elderly-mortality", "AllocFractionA": 0.95 },
      { "SweepId": "covid-italy-china-cfr-2020-f005", "StudyId": "covid-italy-china-cfr-2020", "AllocFractionA": 0.05 },
      { "SweepId": "covid-italy-china-cfr-2020-f015", "StudyId": "covid-italy-china-cfr-2020", "AllocFractionA": 0.15 },
      { "SweepId": "covid-italy-china-cfr-2020-f025", "StudyId": "covid-italy-china-cfr-2020", "AllocFractionA": 0.25 },
      { "SweepId": "covid-italy-china-cfr-2020-f035", "StudyId": "covid-italy-china-cfr-2020", "AllocFractionA": 0.35 },
      { "SweepId": "covid-italy-china-cfr-2020-f045", "StudyId": "covid-italy-china-cfr-2020", "AllocFractionA": 0.45 },
      { "SweepId": "covid-italy-china-cfr-2020-f055", "StudyId": "covid-italy-china-cfr-2020", "AllocFractionA": 0.55 },
      { "SweepId": "covid-italy-china-cfr-2020-f065", "StudyId": "covid-italy-china-cfr-2020", "AllocFractionA": 0.65 },
      { "SweepId": "covid-italy-china-cfr-2020-f075", "StudyId": "covid-italy-china-cfr-2020", "AllocFractionA": 0.75 },
      { "SweepId": "covid-italy-china-cfr-2020-f085", "StudyId": "covid-italy-china-cfr-2020", "AllocFractionA": 0.85 },
      { "SweepId": "covid-italy-china-cfr-2020-f095", "StudyId": "covid-italy-china-cfr-2020", "AllocFractionA": 0.95 },
      { "SweepId": "israel-covid-severe-2021-f005", "StudyId": "israel-covid-severe-2021", "AllocFractionA": 0.05 },
      { "SweepId": "israel-covid-severe-2021-f015", "StudyId": "israel-covid-severe-2021", "AllocFractionA": 0.15 },
      { "SweepId": "israel-covid-severe-2021-f025", "StudyId": "israel-covid-severe-2021", "AllocFractionA": 0.25 },
      { "SweepId": "israel-covid-severe-2021-f035", "StudyId": "israel-covid-severe-2021", "AllocFractionA": 0.35 },
      { "SweepId": "israel-covid-severe-2021-f045", "StudyId": "israel-covid-severe-2021", "AllocFractionA": 0.45 },
      { "SweepId": "israel-covid-severe-2021-f055", "StudyId": "israel-covid-severe-2021", "AllocFractionA": 0.55 },
      { "SweepId": "israel-covid-severe-2021-f065", "StudyId": "israel-covid-severe-2021", "AllocFractionA": 0.65 },
      { "SweepId": "israel-covid-severe-2021-f075", "StudyId": "israel-covid-severe-2021", "AllocFractionA": 0.75 },
      { "SweepId": "israel-covid-severe-2021-f085", "StudyId": "israel-covid-severe-2021", "AllocFractionA": 0.85 },
      { "SweepId": "israel-covid-severe-2021-f095", "StudyId": "israel-covid-severe-2021", "AllocFractionA": 0.95 },
      { "SweepId": "cochran-smoking-1968-f005", "StudyId": "cochran-smoking-1968", "AllocFractionA": 0.05 },
      { "SweepId": "cochran-smoking-1968-f015", "StudyId": "cochran-smoking-1968", "AllocFractionA": 0.15 },
      { "SweepId": "cochran-smoking-1968-f025", "StudyId": "cochran-smoking-1968", "AllocFractionA": 0.25 },
      { "SweepId": "cochran-smoking-1968-f035", "StudyId": "cochran-smoking-1968", "AllocFractionA": 0.35 },
      { "SweepId": "cochran-smoking-1968-f045", "StudyId": "cochran-smoking-1968", "AllocFractionA": 0.45 },
      { "SweepId": "cochran-smoking-1968-f055", "StudyId": "cochran-smoking-1968", "AllocFractionA": 0.55 },
      { "SweepId": "cochran-smoking-1968-f065", "StudyId": "cochran-smoking-1968", "AllocFractionA": 0.65 },
      { "SweepId": "cochran-smoking-1968-f075", "StudyId": "cochran-smoking-1968", "AllocFractionA": 0.75 },
      { "SweepId": "cochran-smoking-1968-f085", "StudyId": "cochran-smoking-1968", "AllocFractionA": 0.85 },
      { "SweepId": "cochran-smoking-1968-f095", "StudyId": "cochran-smoking-1968", "AllocFractionA": 0.95 },
      { "SweepId": "healthy-worker-mortality-f005", "StudyId": "healthy-worker-mortality", "AllocFractionA": 0.05 },
      { "SweepId": "healthy-worker-mortality-f015", "StudyId": "healthy-worker-mortality", "AllocFractionA": 0.15 },
      { "SweepId": "healthy-worker-mortality-f025", "StudyId": "healthy-worker-mortality", "AllocFractionA": 0.25 },
      { "SweepId": "healthy-worker-mortality-f035", "StudyId": "healthy-worker-mortality", "AllocFractionA": 0.35 },
      { "SweepId": "healthy-worker-mortality-f045", "StudyId": "healthy-worker-mortality", "AllocFractionA": 0.45 },
      { "SweepId": "healthy-worker-mortality-f055", "StudyId": "healthy-worker-mortality", "AllocFractionA": 0.55 },
      { "SweepId": "healthy-worker-mortality-f065", "StudyId": "healthy-worker-mortality", "AllocFractionA": 0.65 },
      { "SweepId": "healthy-worker-mortality-f075", "StudyId": "healthy-worker-mortality", "AllocFractionA": 0.75 },
      { "SweepId": "healthy-worker-mortality-f085", "StudyId": "healthy-worker-mortality", "AllocFractionA": 0.85 },
      { "SweepId": "healthy-worker-mortality-f095", "StudyId": "healthy-worker-mortality", "AllocFractionA": 0.95 },
      { "SweepId": "compas-recidivism-base-f005", "StudyId": "compas-recidivism-base", "AllocFractionA": 0.05 },
      { "SweepId": "compas-recidivism-base-f015", "StudyId": "compas-recidivism-base", "AllocFractionA": 0.15 },
      { "SweepId": "compas-recidivism-base-f025", "StudyId": "compas-recidivism-base", "AllocFractionA": 0.25 },
      { "SweepId": "compas-recidivism-base-f035", "StudyId": "compas-recidivism-base", "AllocFractionA": 0.35 },
      { "SweepId": "compas-recidivism-base-f045", "StudyId": "compas-recidivism-base", "AllocFractionA": 0.45 },
      { "SweepId": "compas-recidivism-base-f055", "StudyId": "compas-recidivism-base", "AllocFractionA": 0.55 },
      { "SweepId": "compas-recidivism-base-f065", "StudyId": "compas-recidivism-base", "AllocFractionA": 0.65 },
      { "SweepId": "compas-recidivism-base-f075", "StudyId": "compas-recidivism-base", "AllocFractionA": 0.75 },
      { "SweepId": "compas-recidivism-base-f085", "StudyId": "compas-recidivism-base", "AllocFractionA": 0.85 },
      { "SweepId": "compas-recidivism-base-f095", "StudyId": "compas-recidivism-base", "AllocFractionA": 0.95 },
      { "SweepId": "us-wage-composition-stagnation-f005", "StudyId": "us-wage-composition-stagnation", "AllocFractionA": 0.05 },
      { "SweepId": "us-wage-composition-stagnation-f015", "StudyId": "us-wage-composition-stagnation", "AllocFractionA": 0.15 },
      { "SweepId": "us-wage-composition-stagnation-f025", "StudyId": "us-wage-composition-stagnation", "AllocFractionA": 0.25 },
      { "SweepId": "us-wage-composition-stagnation-f035", "StudyId": "us-wage-composition-stagnation", "AllocFractionA": 0.35 },
      { "SweepId": "us-wage-composition-stagnation-f045", "StudyId": "us-wage-composition-stagnation", "AllocFractionA": 0.45 },
      { "SweepId": "us-wage-composition-stagnation-f055", "StudyId": "us-wage-composition-stagnation", "AllocFractionA": 0.55 },
      { "SweepId": "us-wage-composition-stagnation-f065", "StudyId": "us-wage-composition-stagnation", "AllocFractionA": 0.65 },
      { "SweepId": "us-wage-composition-stagnation-f075", "StudyId": "us-wage-composition-stagnation", "AllocFractionA": 0.75 },
      { "SweepId": "us-wage-composition-stagnation-f085", "StudyId": "us-wage-composition-stagnation", "AllocFractionA": 0.85 },
      { "SweepId": "us-wage-composition-stagnation-f095", "StudyId": "us-wage-composition-stagnation", "AllocFractionA": 0.95 },
      { "SweepId": "borjas-immigrant-cohort-f005", "StudyId": "borjas-immigrant-cohort", "AllocFractionA": 0.05 },
      { "SweepId": "borjas-immigrant-cohort-f015", "StudyId": "borjas-immigrant-cohort", "AllocFractionA": 0.15 },
      { "SweepId": "borjas-immigrant-cohort-f025", "StudyId": "borjas-immigrant-cohort", "AllocFractionA": 0.25 },
      { "SweepId": "borjas-immigrant-cohort-f035", "StudyId": "borjas-immigrant-cohort", "AllocFractionA": 0.35 },
      { "SweepId": "borjas-immigrant-cohort-f045", "StudyId": "borjas-immigrant-cohort", "AllocFractionA": 0.45 },
      { "SweepId": "borjas-immigrant-cohort-f055", "StudyId": "borjas-immigrant-cohort", "AllocFractionA": 0.55 },
      { "SweepId": "borjas-immigrant-cohort-f065", "StudyId": "borjas-immigrant-cohort", "AllocFractionA": 0.65 },
      { "SweepId": "borjas-immigrant-cohort-f075", "StudyId": "borjas-immigrant-cohort", "AllocFractionA": 0.75 },
      { "SweepId": "borjas-immigrant-cohort-f085", "StudyId": "borjas-immigrant-cohort", "AllocFractionA": 0.85 },
      { "SweepId": "borjas-immigrant-cohort-f095", "StudyId": "borjas-immigrant-cohort", "AllocFractionA": 0.95 },
      { "SweepId": "robinson-1950-literacy-f005", "StudyId": "robinson-1950-literacy", "AllocFractionA": 0.05 },
      { "SweepId": "robinson-1950-literacy-f015", "StudyId": "robinson-1950-literacy", "AllocFractionA": 0.15 },
      { "SweepId": "robinson-1950-literacy-f025", "StudyId": "robinson-1950-literacy", "AllocFractionA": 0.25 },
      { "SweepId": "robinson-1950-literacy-f035", "StudyId": "robinson-1950-literacy", "AllocFractionA": 0.35 },
      { "SweepId": "robinson-1950-literacy-f045", "StudyId": "robinson-1950-literacy", "AllocFractionA": 0.45 },
      { "SweepId": "robinson-1950-literacy-f055", "StudyId": "robinson-1950-literacy", "AllocFractionA": 0.55 },
      { "SweepId": "robinson-1950-literacy-f065", "StudyId": "robinson-1950-literacy", "AllocFractionA": 0.65 },
      { "SweepId": "robinson-1950-literacy-f075", "StudyId": "robinson-1950-literacy", "AllocFractionA": 0.75 },
      { "SweepId": "robinson-1950-literacy-f085", "StudyId": "robinson-1950-literacy", "AllocFractionA": 0.85 },
      { "SweepId": "robinson-1950-literacy-f095", "StudyId": "robinson-1950-literacy", "AllocFractionA": 0.95 },
      { "SweepId": "ab-test-traffic-mix-f005", "StudyId": "ab-test-traffic-mix", "AllocFractionA": 0.05 },
      { "SweepId": "ab-test-traffic-mix-f015", "StudyId": "ab-test-traffic-mix", "AllocFractionA": 0.15 },
      { "SweepId": "ab-test-traffic-mix-f025", "StudyId": "ab-test-traffic-mix", "AllocFractionA": 0.25 },
      { "SweepId": "ab-test-traffic-mix-f035", "StudyId": "ab-test-traffic-mix", "AllocFractionA": 0.35 },
      { "SweepId": "ab-test-traffic-mix-f045", "StudyId": "ab-test-traffic-mix", "AllocFractionA": 0.45 },
      { "SweepId": "ab-test-traffic-mix-f055", "StudyId": "ab-test-traffic-mix", "AllocFractionA": 0.55 },
      { "SweepId": "ab-test-traffic-mix-f065", "StudyId": "ab-test-traffic-mix", "AllocFractionA": 0.65 },
      { "SweepId": "ab-test-traffic-mix-f075", "StudyId": "ab-test-traffic-mix", "AllocFractionA": 0.75 },
      { "SweepId": "ab-test-traffic-mix-f085", "StudyId": "ab-test-traffic-mix", "AllocFractionA": 0.85 },
      { "SweepId": "ab-test-traffic-mix-f095", "StudyId": "ab-test-traffic-mix", "AllocFractionA": 0.95 },
      { "SweepId": "recsys-offline-eval-f005", "StudyId": "recsys-offline-eval", "AllocFractionA": 0.05 },
      { "SweepId": "recsys-offline-eval-f015", "StudyId": "recsys-offline-eval", "AllocFractionA": 0.15 },
      { "SweepId": "recsys-offline-eval-f025", "StudyId": "recsys-offline-eval", "AllocFractionA": 0.25 },
      { "SweepId": "recsys-offline-eval-f035", "StudyId": "recsys-offline-eval", "AllocFractionA": 0.35 },
      { "SweepId": "recsys-offline-eval-f045", "StudyId": "recsys-offline-eval", "AllocFractionA": 0.45 },
      { "SweepId": "recsys-offline-eval-f055", "StudyId": "recsys-offline-eval", "AllocFractionA": 0.55 },
      { "SweepId": "recsys-offline-eval-f065", "StudyId": "recsys-offline-eval", "AllocFractionA": 0.65 },
      { "SweepId": "recsys-offline-eval-f075", "StudyId": "recsys-offline-eval", "AllocFractionA": 0.75 },
      { "SweepId": "recsys-offline-eval-f085", "StudyId": "recsys-offline-eval", "AllocFractionA": 0.85 },
      { "SweepId": "recsys-offline-eval-f095", "StudyId": "recsys-offline-eval", "AllocFractionA": 0.95 },
      { "SweepId": "collider-only-synthetic-f005", "StudyId": "collider-only-synthetic", "AllocFractionA": 0.05 },
      { "SweepId": "collider-only-synthetic-f015", "StudyId": "collider-only-synthetic", "AllocFractionA": 0.15 },
      { "SweepId": "collider-only-synthetic-f025", "StudyId": "collider-only-synthetic", "AllocFractionA": 0.25 },
      { "SweepId": "collider-only-synthetic-f035", "StudyId": "collider-only-synthetic", "AllocFractionA": 0.35 },
      { "SweepId": "collider-only-synthetic-f045", "StudyId": "collider-only-synthetic", "AllocFractionA": 0.45 },
      { "SweepId": "collider-only-synthetic-f055", "StudyId": "collider-only-synthetic", "AllocFractionA": 0.55 },
      { "SweepId": "collider-only-synthetic-f065", "StudyId": "collider-only-synthetic", "AllocFractionA": 0.65 },
      { "SweepId": "collider-only-synthetic-f075", "StudyId": "collider-only-synthetic", "AllocFractionA": 0.75 },
      { "SweepId": "collider-only-synthetic-f085", "StudyId": "collider-only-synthetic", "AllocFractionA": 0.85 },
      { "SweepId": "collider-only-synthetic-f095", "StudyId": "collider-only-synthetic", "AllocFractionA": 0.95 },
      { "SweepId": "noncollapsibility-or-synthetic-f005", "StudyId": "noncollapsibility-or-synthetic", "AllocFractionA": 0.05 },
      { "SweepId": "noncollapsibility-or-synthetic-f015", "StudyId": "noncollapsibility-or-synthetic", "AllocFractionA": 0.15 },
      { "SweepId": "noncollapsibility-or-synthetic-f025", "StudyId": "noncollapsibility-or-synthetic", "AllocFractionA": 0.25 },
      { "SweepId": "noncollapsibility-or-synthetic-f035", "StudyId": "noncollapsibility-or-synthetic", "AllocFractionA": 0.35 },
      { "SweepId": "noncollapsibility-or-synthetic-f045", "StudyId": "noncollapsibility-or-synthetic", "AllocFractionA": 0.45 },
      { "SweepId": "noncollapsibility-or-synthetic-f055", "StudyId": "noncollapsibility-or-synthetic", "AllocFractionA": 0.55 },
      { "SweepId": "noncollapsibility-or-synthetic-f065", "StudyId": "noncollapsibility-or-synthetic", "AllocFractionA": 0.65 },
      { "SweepId": "noncollapsibility-or-synthetic-f075", "StudyId": "noncollapsibility-or-synthetic", "AllocFractionA": 0.75 },
      { "SweepId": "noncollapsibility-or-synthetic-f085", "StudyId": "noncollapsibility-or-synthetic", "AllocFractionA": 0.85 },
      { "SweepId": "noncollapsibility-or-synthetic-f095", "StudyId": "noncollapsibility-or-synthetic", "AllocFractionA": 0.95 },
      { "SweepId": "trauma-center-mortality-f005", "StudyId": "trauma-center-mortality", "AllocFractionA": 0.05 },
      { "SweepId": "trauma-center-mortality-f015", "StudyId": "trauma-center-mortality", "AllocFractionA": 0.15 },
      { "SweepId": "trauma-center-mortality-f025", "StudyId": "trauma-center-mortality", "AllocFractionA": 0.25 },
      { "SweepId": "trauma-center-mortality-f035", "StudyId": "trauma-center-mortality", "AllocFractionA": 0.35 },
      { "SweepId": "trauma-center-mortality-f045", "StudyId": "trauma-center-mortality", "AllocFractionA": 0.45 },
      { "SweepId": "trauma-center-mortality-f055", "StudyId": "trauma-center-mortality", "AllocFractionA": 0.55 },
      { "SweepId": "trauma-center-mortality-f065", "StudyId": "trauma-center-mortality", "AllocFractionA": 0.65 },
      { "SweepId": "trauma-center-mortality-f075", "StudyId": "trauma-center-mortality", "AllocFractionA": 0.75 },
      { "SweepId": "trauma-center-mortality-f085", "StudyId": "trauma-center-mortality", "AllocFractionA": 0.85 },
      { "SweepId": "trauma-center-mortality-f095", "StudyId": "trauma-center-mortality", "AllocFractionA": 0.95 },
      { "SweepId": "surgeon-volume-mortality-f005", "StudyId": "surgeon-volume-mortality", "AllocFractionA": 0.05 },
      { "SweepId": "surgeon-volume-mortality-f015", "StudyId": "surgeon-volume-mortality", "AllocFractionA": 0.15 },
      { "SweepId": "surgeon-volume-mortality-f025", "StudyId": "surgeon-volume-mortality", "AllocFractionA": 0.25 },
      { "SweepId": "surgeon-volume-mortality-f035", "StudyId": "surgeon-volume-mortality", "AllocFractionA": 0.35 },
      { "SweepId": "surgeon-volume-mortality-f045", "StudyId": "surgeon-volume-mortality", "AllocFractionA": 0.45 },
      { "SweepId": "surgeon-volume-mortality-f055", "StudyId": "surgeon-volume-mortality", "AllocFractionA": 0.55 },
      { "SweepId": "surgeon-volume-mortality-f065", "StudyId": "surgeon-volume-mortality", "AllocFractionA": 0.65 },
      { "SweepId": "surgeon-volume-mortality-f075", "StudyId": "surgeon-volume-mortality", "AllocFractionA": 0.75 },
      { "SweepId": "surgeon-volume-mortality-f085", "StudyId": "surgeon-volume-mortality", "AllocFractionA": 0.85 },
      { "SweepId": "surgeon-volume-mortality-f095", "StudyId": "surgeon-volume-mortality", "AllocFractionA": 0.95 },
      { "SweepId": "mammography-length-bias-f005", "StudyId": "mammography-length-bias", "AllocFractionA": 0.05 },
      { "SweepId": "mammography-length-bias-f015", "StudyId": "mammography-length-bias", "AllocFractionA": 0.15 },
      { "SweepId": "mammography-length-bias-f025", "StudyId": "mammography-length-bias", "AllocFractionA": 0.25 },
      { "SweepId": "mammography-length-bias-f035", "StudyId": "mammography-length-bias", "AllocFractionA": 0.35 },
      { "SweepId": "mammography-length-bias-f045", "StudyId": "mammography-length-bias", "AllocFractionA": 0.45 },
      { "SweepId": "mammography-length-bias-f055", "StudyId": "mammography-length-bias", "AllocFractionA": 0.55 },
      { "SweepId": "mammography-length-bias-f065", "StudyId": "mammography-length-bias", "AllocFractionA": 0.65 },
      { "SweepId": "mammography-length-bias-f075", "StudyId": "mammography-length-bias", "AllocFractionA": 0.75 },
      { "SweepId": "mammography-length-bias-f085", "StudyId": "mammography-length-bias", "AllocFractionA": 0.85 },
      { "SweepId": "mammography-length-bias-f095", "StudyId": "mammography-length-bias", "AllocFractionA": 0.95 },
      { "SweepId": "cabg-vs-pci-severity-f005", "StudyId": "cabg-vs-pci-severity", "AllocFractionA": 0.05 },
      { "SweepId": "cabg-vs-pci-severity-f015", "StudyId": "cabg-vs-pci-severity", "AllocFractionA": 0.15 },
      { "SweepId": "cabg-vs-pci-severity-f025", "StudyId": "cabg-vs-pci-severity", "AllocFractionA": 0.25 },
      { "SweepId": "cabg-vs-pci-severity-f035", "StudyId": "cabg-vs-pci-severity", "AllocFractionA": 0.35 },
      { "SweepId": "cabg-vs-pci-severity-f045", "StudyId": "cabg-vs-pci-severity", "AllocFractionA": 0.45 },
      { "SweepId": "cabg-vs-pci-severity-f055", "StudyId": "cabg-vs-pci-severity", "AllocFractionA": 0.55 },
      { "SweepId": "cabg-vs-pci-severity-f065", "StudyId": "cabg-vs-pci-severity", "AllocFractionA": 0.65 },
      { "SweepId": "cabg-vs-pci-severity-f075", "StudyId": "cabg-vs-pci-severity", "AllocFractionA": 0.75 },
      { "SweepId": "cabg-vs-pci-severity-f085", "StudyId": "cabg-vs-pci-severity", "AllocFractionA": 0.85 },
      { "SweepId": "cabg-vs-pci-severity-f095", "StudyId": "cabg-vs-pci-severity", "AllocFractionA": 0.95 },
      { "SweepId": "tolbutamide-ugdp-1970-f005", "StudyId": "tolbutamide-ugdp-1970", "AllocFractionA": 0.05 },
      { "SweepId": "tolbutamide-ugdp-1970-f015", "StudyId": "tolbutamide-ugdp-1970", "AllocFractionA": 0.15 },
      { "SweepId": "tolbutamide-ugdp-1970-f025", "StudyId": "tolbutamide-ugdp-1970", "AllocFractionA": 0.25 },
      { "SweepId": "tolbutamide-ugdp-1970-f035", "StudyId": "tolbutamide-ugdp-1970", "AllocFractionA": 0.35 },
      { "SweepId": "tolbutamide-ugdp-1970-f045", "StudyId": "tolbutamide-ugdp-1970", "AllocFractionA": 0.45 },
      { "SweepId": "tolbutamide-ugdp-1970-f055", "StudyId": "tolbutamide-ugdp-1970", "AllocFractionA": 0.55 },
      { "SweepId": "tolbutamide-ugdp-1970-f065", "StudyId": "tolbutamide-ugdp-1970", "AllocFractionA": 0.65 },
      { "SweepId": "tolbutamide-ugdp-1970-f075", "StudyId": "tolbutamide-ugdp-1970", "AllocFractionA": 0.75 },
      { "SweepId": "tolbutamide-ugdp-1970-f085", "StudyId": "tolbutamide-ugdp-1970", "AllocFractionA": 0.85 },
      { "SweepId": "tolbutamide-ugdp-1970-f095", "StudyId": "tolbutamide-ugdp-1970", "AllocFractionA": 0.95 },
      { "SweepId": "snow-cholera-water-1855-f005", "StudyId": "snow-cholera-water-1855", "AllocFractionA": 0.05 },
      { "SweepId": "snow-cholera-water-1855-f015", "StudyId": "snow-cholera-water-1855", "AllocFractionA": 0.15 },
      { "SweepId": "snow-cholera-water-1855-f025", "StudyId": "snow-cholera-water-1855", "AllocFractionA": 0.25 },
      { "SweepId": "snow-cholera-water-1855-f035", "StudyId": "snow-cholera-water-1855", "AllocFractionA": 0.35 },
      { "SweepId": "snow-cholera-water-1855-f045", "StudyId": "snow-cholera-water-1855", "AllocFractionA": 0.45 },
      { "SweepId": "snow-cholera-water-1855-f055", "StudyId": "snow-cholera-water-1855", "AllocFractionA": 0.55 },
      { "SweepId": "snow-cholera-water-1855-f065", "StudyId": "snow-cholera-water-1855", "AllocFractionA": 0.65 },
      { "SweepId": "snow-cholera-water-1855-f075", "StudyId": "snow-cholera-water-1855", "AllocFractionA": 0.75 },
      { "SweepId": "snow-cholera-water-1855-f085", "StudyId": "snow-cholera-water-1855", "AllocFractionA": 0.85 },
      { "SweepId": "snow-cholera-water-1855-f095", "StudyId": "snow-cholera-water-1855", "AllocFractionA": 0.95 },
      { "SweepId": "seatbelt-crash-severity-f005", "StudyId": "seatbelt-crash-severity", "AllocFractionA": 0.05 },
      { "SweepId": "seatbelt-crash-severity-f015", "StudyId": "seatbelt-crash-severity", "AllocFractionA": 0.15 },
      { "SweepId": "seatbelt-crash-severity-f025", "StudyId": "seatbelt-crash-severity", "AllocFractionA": 0.25 },
      { "SweepId": "seatbelt-crash-severity-f035", "StudyId": "seatbelt-crash-severity", "AllocFractionA": 0.35 },
      { "SweepId": "seatbelt-crash-severity-f045", "StudyId": "seatbelt-crash-severity", "AllocFractionA": 0.45 },
      { "SweepId": "seatbelt-crash-severity-f055", "StudyId": "seatbelt-crash-severity", "AllocFractionA": 0.55 },
      { "SweepId": "seatbelt-crash-severity-f065", "StudyId": "seatbelt-crash-severity", "AllocFractionA": 0.65 },
      { "SweepId": "seatbelt-crash-severity-f075", "StudyId": "seatbelt-crash-severity", "AllocFractionA": 0.75 },
      { "SweepId": "seatbelt-crash-severity-f085", "StudyId": "seatbelt-crash-severity", "AllocFractionA": 0.85 },
      { "SweepId": "seatbelt-crash-severity-f095", "StudyId": "seatbelt-crash-severity", "AllocFractionA": 0.95 },
      { "SweepId": "measles-outbreak-vaccinated-f005", "StudyId": "measles-outbreak-vaccinated", "AllocFractionA": 0.05 },
      { "SweepId": "measles-outbreak-vaccinated-f015", "StudyId": "measles-outbreak-vaccinated", "AllocFractionA": 0.15 },
      { "SweepId": "measles-outbreak-vaccinated-f025", "StudyId": "measles-outbreak-vaccinated", "AllocFractionA": 0.25 },
      { "SweepId": "measles-outbreak-vaccinated-f035", "StudyId": "measles-outbreak-vaccinated", "AllocFractionA": 0.35 },
      { "SweepId": "measles-outbreak-vaccinated-f045", "StudyId": "measles-outbreak-vaccinated", "AllocFractionA": 0.45 },
      { "SweepId": "measles-outbreak-vaccinated-f055", "StudyId": "measles-outbreak-vaccinated", "AllocFractionA": 0.55 },
      { "SweepId": "measles-outbreak-vaccinated-f065", "StudyId": "measles-outbreak-vaccinated", "AllocFractionA": 0.65 },
      { "SweepId": "measles-outbreak-vaccinated-f075", "StudyId": "measles-outbreak-vaccinated", "AllocFractionA": 0.75 },
      { "SweepId": "measles-outbreak-vaccinated-f085", "StudyId": "measles-outbreak-vaccinated", "AllocFractionA": 0.85 },
      { "SweepId": "measles-outbreak-vaccinated-f095", "StudyId": "measles-outbreak-vaccinated", "AllocFractionA": 0.95 },
      { "SweepId": "air-pollution-mortality-city-f005", "StudyId": "air-pollution-mortality-city", "AllocFractionA": 0.05 },
      { "SweepId": "air-pollution-mortality-city-f015", "StudyId": "air-pollution-mortality-city", "AllocFractionA": 0.15 },
      { "SweepId": "air-pollution-mortality-city-f025", "StudyId": "air-pollution-mortality-city", "AllocFractionA": 0.25 },
      { "SweepId": "air-pollution-mortality-city-f035", "StudyId": "air-pollution-mortality-city", "AllocFractionA": 0.35 },
      { "SweepId": "air-pollution-mortality-city-f045", "StudyId": "air-pollution-mortality-city", "AllocFractionA": 0.45 },
      { "SweepId": "air-pollution-mortality-city-f055", "StudyId": "air-pollution-mortality-city", "AllocFractionA": 0.55 },
      { "SweepId": "air-pollution-mortality-city-f065", "StudyId": "air-pollution-mortality-city", "AllocFractionA": 0.65 },
      { "SweepId": "air-pollution-mortality-city-f075", "StudyId": "air-pollution-mortality-city", "AllocFractionA": 0.75 },
      { "SweepId": "air-pollution-mortality-city-f085", "StudyId": "air-pollution-mortality-city", "AllocFractionA": 0.85 },
      { "SweepId": "air-pollution-mortality-city-f095", "StudyId": "air-pollution-mortality-city", "AllocFractionA": 0.95 },
      { "SweepId": "tb-treatment-resistance-f005", "StudyId": "tb-treatment-resistance", "AllocFractionA": 0.05 },
      { "SweepId": "tb-treatment-resistance-f015", "StudyId": "tb-treatment-resistance", "AllocFractionA": 0.15 },
      { "SweepId": "tb-treatment-resistance-f025", "StudyId": "tb-treatment-resistance", "AllocFractionA": 0.25 },
      { "SweepId": "tb-treatment-resistance-f035", "StudyId": "tb-treatment-resistance", "AllocFractionA": 0.35 },
      { "SweepId": "tb-treatment-resistance-f045", "StudyId": "tb-treatment-resistance", "AllocFractionA": 0.45 },
      { "SweepId": "tb-treatment-resistance-f055", "StudyId": "tb-treatment-resistance", "AllocFractionA": 0.55 },
      { "SweepId": "tb-treatment-resistance-f065", "StudyId": "tb-treatment-resistance", "AllocFractionA": 0.65 },
      { "SweepId": "tb-treatment-resistance-f075", "StudyId": "tb-treatment-resistance", "AllocFractionA": 0.75 },
      { "SweepId": "tb-treatment-resistance-f085", "StudyId": "tb-treatment-resistance", "AllocFractionA": 0.85 },
      { "SweepId": "tb-treatment-resistance-f095", "StudyId": "tb-treatment-resistance", "AllocFractionA": 0.95 },
      { "SweepId": "hospital-mortality-readmission-f005", "StudyId": "hospital-mortality-readmission", "AllocFractionA": 0.05 },
      { "SweepId": "hospital-mortality-readmission-f015", "StudyId": "hospital-mortality-readmission", "AllocFractionA": 0.15 },
      { "SweepId": "hospital-mortality-readmission-f025", "StudyId": "hospital-mortality-readmission", "AllocFractionA": 0.25 },
      { "SweepId": "hospital-mortality-readmission-f035", "StudyId": "hospital-mortality-readmission", "AllocFractionA": 0.35 },
      { "SweepId": "hospital-mortality-readmission-f045", "StudyId": "hospital-mortality-readmission", "AllocFractionA": 0.45 },
      { "SweepId": "hospital-mortality-readmission-f055", "StudyId": "hospital-mortality-readmission", "AllocFractionA": 0.55 },
      { "SweepId": "hospital-mortality-readmission-f065", "StudyId": "hospital-mortality-readmission", "AllocFractionA": 0.65 },
      { "SweepId": "hospital-mortality-readmission-f075", "StudyId": "hospital-mortality-readmission", "AllocFractionA": 0.75 },
      { "SweepId": "hospital-mortality-readmission-f085", "StudyId": "hospital-mortality-readmission", "AllocFractionA": 0.85 },
      { "SweepId": "hospital-mortality-readmission-f095", "StudyId": "hospital-mortality-readmission", "AllocFractionA": 0.95 },
      { "SweepId": "nypd-stop-frisk-hitrate-f005", "StudyId": "nypd-stop-frisk-hitrate", "AllocFractionA": 0.05 },
      { "SweepId": "nypd-stop-frisk-hitrate-f015", "StudyId": "nypd-stop-frisk-hitrate", "AllocFractionA": 0.15 },
      { "SweepId": "nypd-stop-frisk-hitrate-f025", "StudyId": "nypd-stop-frisk-hitrate", "AllocFractionA": 0.25 },
      { "SweepId": "nypd-stop-frisk-hitrate-f035", "StudyId": "nypd-stop-frisk-hitrate", "AllocFractionA": 0.35 },
      { "SweepId": "nypd-stop-frisk-hitrate-f045", "StudyId": "nypd-stop-frisk-hitrate", "AllocFractionA": 0.45 },
      { "SweepId": "nypd-stop-frisk-hitrate-f055", "StudyId": "nypd-stop-frisk-hitrate", "AllocFractionA": 0.55 },
      { "SweepId": "nypd-stop-frisk-hitrate-f065", "StudyId": "nypd-stop-frisk-hitrate", "AllocFractionA": 0.65 },
      { "SweepId": "nypd-stop-frisk-hitrate-f075", "StudyId": "nypd-stop-frisk-hitrate", "AllocFractionA": 0.75 },
      { "SweepId": "nypd-stop-frisk-hitrate-f085", "StudyId": "nypd-stop-frisk-hitrate", "AllocFractionA": 0.85 },
      { "SweepId": "nypd-stop-frisk-hitrate-f095", "StudyId": "nypd-stop-frisk-hitrate", "AllocFractionA": 0.95 },
      { "SweepId": "sentencing-offense-type-f005", "StudyId": "sentencing-offense-type", "AllocFractionA": 0.05 },
      { "SweepId": "sentencing-offense-type-f015", "StudyId": "sentencing-offense-type", "AllocFractionA": 0.15 },
      { "SweepId": "sentencing-offense-type-f025", "StudyId": "sentencing-offense-type", "AllocFractionA": 0.25 },
      { "SweepId": "sentencing-offense-type-f035", "StudyId": "sentencing-offense-type", "AllocFractionA": 0.35 },
      { "SweepId": "sentencing-offense-type-f045", "StudyId": "sentencing-offense-type", "AllocFractionA": 0.45 },
      { "SweepId": "sentencing-offense-type-f055", "StudyId": "sentencing-offense-type", "AllocFractionA": 0.55 },
      { "SweepId": "sentencing-offense-type-f065", "StudyId": "sentencing-offense-type", "AllocFractionA": 0.65 },
      { "SweepId": "sentencing-offense-type-f075", "StudyId": "sentencing-offense-type", "AllocFractionA": 0.75 },
      { "SweepId": "sentencing-offense-type-f085", "StudyId": "sentencing-offense-type", "AllocFractionA": 0.85 },
      { "SweepId": "sentencing-offense-type-f095", "StudyId": "sentencing-offense-type", "AllocFractionA": 0.95 },
      { "SweepId": "bail-risk-score-f005", "StudyId": "bail-risk-score", "AllocFractionA": 0.05 },
      { "SweepId": "bail-risk-score-f015", "StudyId": "bail-risk-score", "AllocFractionA": 0.15 },
      { "SweepId": "bail-risk-score-f025", "StudyId": "bail-risk-score", "AllocFractionA": 0.25 },
      { "SweepId": "bail-risk-score-f035", "StudyId": "bail-risk-score", "AllocFractionA": 0.35 },
      { "SweepId": "bail-risk-score-f045", "StudyId": "bail-risk-score", "AllocFractionA": 0.45 },
      { "SweepId": "bail-risk-score-f055", "StudyId": "bail-risk-score", "AllocFractionA": 0.55 },
      { "SweepId": "bail-risk-score-f065", "StudyId": "bail-risk-score", "AllocFractionA": 0.65 },
      { "SweepId": "bail-risk-score-f075", "StudyId": "bail-risk-score", "AllocFractionA": 0.75 },
      { "SweepId": "bail-risk-score-f085", "StudyId": "bail-risk-score", "AllocFractionA": 0.85 },
      { "SweepId": "bail-risk-score-f095", "StudyId": "bail-risk-score", "AllocFractionA": 0.95 },
      { "SweepId": "police-force-encounter-f005", "StudyId": "police-force-encounter", "AllocFractionA": 0.05 },
      { "SweepId": "police-force-encounter-f015", "StudyId": "police-force-encounter", "AllocFractionA": 0.15 },
      { "SweepId": "police-force-encounter-f025", "StudyId": "police-force-encounter", "AllocFractionA": 0.25 },
      { "SweepId": "police-force-encounter-f035", "StudyId": "police-force-encounter", "AllocFractionA": 0.35 },
      { "SweepId": "police-force-encounter-f045", "StudyId": "police-force-encounter", "AllocFractionA": 0.45 },
      { "SweepId": "police-force-encounter-f055", "StudyId": "police-force-encounter", "AllocFractionA": 0.55 },
      { "SweepId": "police-force-encounter-f065", "StudyId": "police-force-encounter", "AllocFractionA": 0.65 },
      { "SweepId": "police-force-encounter-f075", "StudyId": "police-force-encounter", "AllocFractionA": 0.75 },
      { "SweepId": "police-force-encounter-f085", "StudyId": "police-force-encounter", "AllocFractionA": 0.85 },
      { "SweepId": "police-force-encounter-f095", "StudyId": "police-force-encounter", "AllocFractionA": 0.95 },
      { "SweepId": "uc-systemwide-admissions-f005", "StudyId": "uc-systemwide-admissions", "AllocFractionA": 0.05 },
      { "SweepId": "uc-systemwide-admissions-f015", "StudyId": "uc-systemwide-admissions", "AllocFractionA": 0.15 },
      { "SweepId": "uc-systemwide-admissions-f025", "StudyId": "uc-systemwide-admissions", "AllocFractionA": 0.25 },
      { "SweepId": "uc-systemwide-admissions-f035", "StudyId": "uc-sy</t>
  </si>
  <si>
    <t xml:space="preserve">stemwide-admissions", "AllocFractionA": 0.35 },
      { "SweepId": "uc-systemwide-admissions-f045", "StudyId": "uc-systemwide-admissions", "AllocFractionA": 0.45 },
      { "SweepId": "uc-systemwide-admissions-f055", "StudyId": "uc-systemwide-admissions", "AllocFractionA": 0.55 },
      { "SweepId": "uc-systemwide-admissions-f065", "StudyId": "uc-systemwide-admissions", "AllocFractionA": 0.65 },
      { "SweepId": "uc-systemwide-admissions-f075", "StudyId": "uc-systemwide-admissions", "AllocFractionA": 0.75 },
      { "SweepId": "uc-systemwide-admissions-f085", "StudyId": "uc-systemwide-admissions", "AllocFractionA": 0.85 },
      { "SweepId": "uc-systemwide-admissions-f095", "StudyId": "uc-systemwide-admissions", "AllocFractionA": 0.95 },
      { "SweepId": "teacher-vam-prior-achievement-f005", "StudyId": "teacher-vam-prior-achievement", "AllocFractionA": 0.05 },
      { "SweepId": "teacher-vam-prior-achievement-f015", "StudyId": "teacher-vam-prior-achievement", "AllocFractionA": 0.15 },
      { "SweepId": "teacher-vam-prior-achievement-f025", "StudyId": "teacher-vam-prior-achievement", "AllocFractionA": 0.25 },
      { "SweepId": "teacher-vam-prior-achievement-f035", "StudyId": "teacher-vam-prior-achievement", "AllocFractionA": 0.35 },
      { "SweepId": "teacher-vam-prior-achievement-f045", "StudyId": "teacher-vam-prior-achievement", "AllocFractionA": 0.45 },
      { "SweepId": "teacher-vam-prior-achievement-f055", "StudyId": "teacher-vam-prior-achievement", "AllocFractionA": 0.55 },
      { "SweepId": "teacher-vam-prior-achievement-f065", "StudyId": "teacher-vam-prior-achievement", "AllocFractionA": 0.65 },
      { "SweepId": "teacher-vam-prior-achievement-f075", "StudyId": "teacher-vam-prior-achievement", "AllocFractionA": 0.75 },
      { "SweepId": "teacher-vam-prior-achievement-f085", "StudyId": "teacher-vam-prior-achievement", "AllocFractionA": 0.85 },
      { "SweepId": "teacher-vam-prior-achievement-f095", "StudyId": "teacher-vam-prior-achievement", "AllocFractionA": 0.95 },
      { "SweepId": "naep-state-demographics-f005", "StudyId": "naep-state-demographics", "AllocFractionA": 0.05 },
      { "SweepId": "naep-state-demographics-f015", "StudyId": "naep-state-demographics", "AllocFractionA": 0.15 },
      { "SweepId": "naep-state-demographics-f025", "StudyId": "naep-state-demographics", "AllocFractionA": 0.25 },
      { "SweepId": "naep-state-demographics-f035", "StudyId": "naep-state-demographics", "AllocFractionA": 0.35 },
      { "SweepId": "naep-state-demographics-f045", "StudyId": "naep-state-demographics", "AllocFractionA": 0.45 },
      { "SweepId": "naep-state-demographics-f055", "StudyId": "naep-state-demographics", "AllocFractionA": 0.55 },
      { "SweepId": "naep-state-demographics-f065", "StudyId": "naep-state-demographics", "AllocFractionA": 0.65 },
      { "SweepId": "naep-state-demographics-f075", "StudyId": "naep-state-demographics", "AllocFractionA": 0.75 },
      { "SweepId": "naep-state-demographics-f085", "StudyId": "naep-state-demographics", "AllocFractionA": 0.85 },
      { "SweepId": "naep-state-demographics-f095", "StudyId": "naep-state-demographics", "AllocFractionA": 0.95 },
      { "SweepId": "college-grad-rate-selectivity-f005", "StudyId": "college-grad-rate-selectivity", "AllocFractionA": 0.05 },
      { "SweepId": "college-grad-rate-selectivity-f015", "StudyId": "college-grad-rate-selectivity", "AllocFractionA": 0.15 },
      { "SweepId": "college-grad-rate-selectivity-f025", "StudyId": "college-grad-rate-selectivity", "AllocFractionA": 0.25 },
      { "SweepId": "college-grad-rate-selectivity-f035", "StudyId": "college-grad-rate-selectivity", "AllocFractionA": 0.35 },
      { "SweepId": "college-grad-rate-selectivity-f045", "StudyId": "college-grad-rate-selectivity", "AllocFractionA": 0.45 },
      { "SweepId": "college-grad-rate-selectivity-f055", "StudyId": "college-grad-rate-selectivity", "AllocFractionA": 0.55 },
      { "SweepId": "college-grad-rate-selectivity-f065", "StudyId": "college-grad-rate-selectivity", "AllocFractionA": 0.65 },
      { "SweepId": "college-grad-rate-selectivity-f075", "StudyId": "college-grad-rate-selectivity", "AllocFractionA": 0.75 },
      { "SweepId": "college-grad-rate-selectivity-f085", "StudyId": "college-grad-rate-selectivity", "AllocFractionA": 0.85 },
      { "SweepId": "college-grad-rate-selectivity-f095", "StudyId": "college-grad-rate-selectivity", "AllocFractionA": 0.95 },
      { "SweepId": "star-class-size-f005", "StudyId": "star-class-size", "AllocFractionA": 0.05 },
      { "SweepId": "star-class-size-f015", "StudyId": "star-class-size", "AllocFractionA": 0.15 },
      { "SweepId": "star-class-size-f025", "StudyId": "star-class-size", "AllocFractionA": 0.25 },
      { "SweepId": "star-class-size-f035", "StudyId": "star-class-size", "AllocFractionA": 0.35 },
      { "SweepId": "star-class-size-f045", "StudyId": "star-class-size", "AllocFractionA": 0.45 },
      { "SweepId": "star-class-size-f055", "StudyId": "star-class-size", "AllocFractionA": 0.55 },
      { "SweepId": "star-class-size-f065", "StudyId": "star-class-size", "AllocFractionA": 0.65 },
      { "SweepId": "star-class-size-f075", "StudyId": "star-class-size", "AllocFractionA": 0.75 },
      { "SweepId": "star-class-size-f085", "StudyId": "star-class-size", "AllocFractionA": 0.85 },
      { "SweepId": "star-class-size-f095", "StudyId": "star-class-size", "AllocFractionA": 0.95 },
      { "SweepId": "nba-shooting-shot-mix-f005", "StudyId": "nba-shooting-shot-mix", "AllocFractionA": 0.05 },
      { "SweepId": "nba-shooting-shot-mix-f015", "StudyId": "nba-shooting-shot-mix", "AllocFractionA": 0.15 },
      { "SweepId": "nba-shooting-shot-mix-f025", "StudyId": "nba-shooting-shot-mix", "AllocFractionA": 0.25 },
      { "SweepId": "nba-shooting-shot-mix-f035", "StudyId": "nba-shooting-shot-mix", "AllocFractionA": 0.35 },
      { "SweepId": "nba-shooting-shot-mix-f045", "StudyId": "nba-shooting-shot-mix", "AllocFractionA": 0.45 },
      { "SweepId": "nba-shooting-shot-mix-f055", "StudyId": "nba-shooting-shot-mix", "AllocFractionA": 0.55 },
      { "SweepId": "nba-shooting-shot-mix-f065", "StudyId": "nba-shooting-shot-mix", "AllocFractionA": 0.65 },
      { "SweepId": "nba-shooting-shot-mix-f075", "StudyId": "nba-shooting-shot-mix", "AllocFractionA": 0.75 },
      { "SweepId": "nba-shooting-shot-mix-f085", "StudyId": "nba-shooting-shot-mix", "AllocFractionA": 0.85 },
      { "SweepId": "nba-shooting-shot-mix-f095", "StudyId": "nba-shooting-shot-mix", "AllocFractionA": 0.95 },
      { "SweepId": "pitcher-era-ballpark-f005", "StudyId": "pitcher-era-ballpark", "AllocFractionA": 0.05 },
      { "SweepId": "pitcher-era-ballpark-f015", "StudyId": "pitcher-era-ballpark", "AllocFractionA": 0.15 },
      { "SweepId": "pitcher-era-ballpark-f025", "StudyId": "pitcher-era-ballpark", "AllocFractionA": 0.25 },
      { "SweepId": "pitcher-era-ballpark-f035", "StudyId": "pitcher-era-ballpark", "AllocFractionA": 0.35 },
      { "SweepId": "pitcher-era-ballpark-f045", "StudyId": "pitcher-era-ballpark", "AllocFractionA": 0.45 },
      { "SweepId": "pitcher-era-ballpark-f055", "StudyId": "pitcher-era-ballpark", "AllocFractionA": 0.55 },
      { "SweepId": "pitcher-era-ballpark-f065", "StudyId": "pitcher-era-ballpark", "AllocFractionA": 0.65 },
      { "SweepId": "pitcher-era-ballpark-f075", "StudyId": "pitcher-era-ballpark", "AllocFractionA": 0.75 },
      { "SweepId": "pitcher-era-ballpark-f085", "StudyId": "pitcher-era-ballpark", "AllocFractionA": 0.85 },
      { "SweepId": "pitcher-era-ballpark-f095", "StudyId": "pitcher-era-ballpark", "AllocFractionA": 0.95 },
      { "SweepId": "nfl-completion-depth-f005", "StudyId": "nfl-completion-depth", "AllocFractionA": 0.05 },
      { "SweepId": "nfl-completion-depth-f015", "StudyId": "nfl-completion-depth", "AllocFractionA": 0.15 },
      { "SweepId": "nfl-completion-depth-f025", "StudyId": "nfl-completion-depth", "AllocFractionA": 0.25 },
      { "SweepId": "nfl-completion-depth-f035", "StudyId": "nfl-completion-depth", "AllocFractionA": 0.35 },
      { "SweepId": "nfl-completion-depth-f045", "StudyId": "nfl-completion-depth", "AllocFractionA": 0.45 },
      { "SweepId": "nfl-completion-depth-f055", "StudyId": "nfl-completion-depth", "AllocFractionA": 0.55 },
      { "SweepId": "nfl-completion-depth-f065", "StudyId": "nfl-completion-depth", "AllocFractionA": 0.65 },
      { "SweepId": "nfl-completion-depth-f075", "StudyId": "nfl-completion-depth", "AllocFractionA": 0.75 },
      { "SweepId": "nfl-completion-depth-f085", "StudyId": "nfl-completion-depth", "AllocFractionA": 0.85 },
      { "SweepId": "nfl-completion-depth-f095", "StudyId": "nfl-completion-depth", "AllocFractionA": 0.95 },
      { "SweepId": "field-goal-distance-f005", "StudyId": "field-goal-distance", "AllocFractionA": 0.05 },
      { "SweepId": "field-goal-distance-f015", "StudyId": "field-goal-distance", "AllocFractionA": 0.15 },
      { "SweepId": "field-goal-distance-f025", "StudyId": "field-goal-distance", "AllocFractionA": 0.25 },
      { "SweepId": "field-goal-distance-f035", "StudyId": "field-goal-distance", "AllocFractionA": 0.35 },
      { "SweepId": "field-goal-distance-f045", "StudyId": "field-goal-distance", "AllocFractionA": 0.45 },
      { "SweepId": "field-goal-distance-f055", "StudyId": "field-goal-distance", "AllocFractionA": 0.55 },
      { "SweepId": "field-goal-distance-f065", "StudyId": "field-goal-distance", "AllocFractionA": 0.65 },
      { "SweepId": "field-goal-distance-f075", "StudyId": "field-goal-distance", "AllocFractionA": 0.75 },
      { "SweepId": "field-goal-distance-f085", "StudyId": "field-goal-distance", "AllocFractionA": 0.85 },
      { "SweepId": "field-goal-distance-f095", "StudyId": "field-goal-distance", "AllocFractionA": 0.95 },
      { "SweepId": "golf-scoring-course-f005", "StudyId": "golf-scoring-course", "AllocFractionA": 0.05 },
      { "SweepId": "golf-scoring-course-f015", "StudyId": "golf-scoring-course", "AllocFractionA": 0.15 },
      { "SweepId": "golf-scoring-course-f025", "StudyId": "golf-scoring-course", "AllocFractionA": 0.25 },
      { "SweepId": "golf-scoring-course-f035", "StudyId": "golf-scoring-course", "AllocFractionA": 0.35 },
      { "SweepId": "golf-scoring-course-f045", "StudyId": "golf-scoring-course", "AllocFractionA": 0.45 },
      { "SweepId": "golf-scoring-course-f055", "StudyId": "golf-scoring-course", "AllocFractionA": 0.55 },
      { "SweepId": "golf-scoring-course-f065", "StudyId": "golf-scoring-course", "AllocFractionA": 0.65 },
      { "SweepId": "golf-scoring-course-f075", "StudyId": "golf-scoring-course", "AllocFractionA": 0.75 },
      { "SweepId": "golf-scoring-course-f085", "StudyId": "golf-scoring-course", "AllocFractionA": 0.85 },
      { "SweepId": "golf-scoring-course-f095", "StudyId": "golf-scoring-course", "AllocFractionA": 0.95 },
      { "SweepId": "minimum-wage-region-f005", "StudyId": "minimum-wage-region", "AllocFractionA": 0.05 },
      { "SweepId": "minimum-wage-region-f015", "StudyId": "minimum-wage-region", "AllocFractionA": 0.15 },
      { "SweepId": "minimum-wage-region-f025", "StudyId": "minimum-wage-region", "AllocFractionA": 0.25 },
      { "SweepId": "minimum-wage-region-f035", "StudyId": "minimum-wage-region", "AllocFractionA": 0.35 },
      { "SweepId": "minimum-wage-region-f045", "StudyId": "minimum-wage-region", "AllocFractionA": 0.45 },
      { "SweepId": "minimum-wage-region-f055", "StudyId": "minimum-wage-region", "AllocFractionA": 0.55 },
      { "SweepId": "minimum-wage-region-f065", "StudyId": "minimum-wage-region", "AllocFractionA": 0.65 },
      { "SweepId": "minimum-wage-region-f075", "StudyId": "minimum-wage-region", "AllocFractionA": 0.75 },
      { "SweepId": "minimum-wage-region-f085", "StudyId": "minimum-wage-region", "AllocFractionA": 0.85 },
      { "SweepId": "minimum-wage-region-f095", "StudyId": "minimum-wage-region", "AllocFractionA": 0.95 },
      { "SweepId": "returns-to-education-field-f005", "StudyId": "returns-to-education-field", "AllocFractionA": 0.05 },
      { "SweepId": "returns-to-education-field-f015", "StudyId": "returns-to-education-field", "AllocFractionA": 0.15 },
      { "SweepId": "returns-to-education-field-f025", "StudyId": "returns-to-education-field", "AllocFractionA": 0.25 },
      { "SweepId": "returns-to-education-field-f035", "StudyId": "returns-to-education-field", "AllocFractionA": 0.35 },
      { "SweepId": "returns-to-education-field-f045", "StudyId": "returns-to-education-field", "AllocFractionA": 0.45 },
      { "SweepId": "returns-to-education-field-f055", "StudyId": "returns-to-education-field", "AllocFractionA": 0.55 },
      { "SweepId": "returns-to-education-field-f065", "StudyId": "returns-to-education-field", "AllocFractionA": 0.65 },
      { "SweepId": "returns-to-education-field-f075", "StudyId": "returns-to-education-field", "AllocFractionA": 0.75 },
      { "SweepId": "returns-to-education-field-f085", "StudyId": "returns-to-education-field", "AllocFractionA": 0.85 },
      { "SweepId": "returns-to-education-field-f095", "StudyId": "returns-to-education-field", "AllocFractionA": 0.95 },
      { "SweepId": "unemployment-education-cycle-f005", "StudyId": "unemployment-education-cycle", "AllocFractionA": 0.05 },
      { "SweepId": "unemployment-education-cycle-f015", "StudyId": "unemployment-education-cycle", "AllocFractionA": 0.15 },
      { "SweepId": "unemployment-education-cycle-f025", "StudyId": "unemployment-education-cycle", "AllocFractionA": 0.25 },
      { "SweepId": "unemployment-education-cycle-f035", "StudyId": "unemployment-education-cycle", "AllocFractionA": 0.35 },
      { "SweepId": "unemployment-education-cycle-f045", "StudyId": "unemployment-education-cycle", "AllocFractionA": 0.45 },
      { "SweepId": "unemployment-education-cycle-f055", "StudyId": "unemployment-education-cycle", "AllocFractionA": 0.55 },
      { "SweepId": "unemployment-education-cycle-f065", "StudyId": "unemployment-education-cycle", "AllocFractionA": 0.65 },
      { "SweepId": "unemployment-education-cycle-f075", "StudyId": "unemployment-education-cycle", "AllocFractionA": 0.75 },
      { "SweepId": "unemployment-education-cycle-f085", "StudyId": "unemployment-education-cycle", "AllocFractionA": 0.85 },
      { "SweepId": "unemployment-education-cycle-f095", "StudyId": "unemployment-education-cycle", "AllocFractionA": 0.95 },
      { "SweepId": "costa-rica-us-life-expectancy-f005", "StudyId": "costa-rica-us-life-expectancy", "AllocFractionA": 0.05 },
      { "SweepId": "costa-rica-us-life-expectancy-f015", "StudyId": "costa-rica-us-life-expectancy", "AllocFractionA": 0.15 },
      { "SweepId": "costa-rica-us-life-expectancy-f025", "StudyId": "costa-rica-us-life-expectancy", "AllocFractionA": 0.25 },
      { "SweepId": "costa-rica-us-life-expectancy-f035", "StudyId": "costa-rica-us-life-expectancy", "AllocFractionA": 0.35 },
      { "SweepId": "costa-rica-us-life-expectancy-f045", "StudyId": "costa-rica-us-life-expectancy", "AllocFractionA": 0.45 },
      { "SweepId": "costa-rica-us-life-expectancy-f055", "StudyId": "costa-rica-us-life-expectancy", "AllocFractionA": 0.55 },
      { "SweepId": "costa-rica-us-life-expectancy-f065", "StudyId": "costa-rica-us-life-expectancy", "AllocFractionA": 0.65 },
      { "SweepId": "costa-rica-us-life-expectancy-f075", "StudyId": "costa-rica-us-life-expectancy", "AllocFractionA": 0.75 },
      { "SweepId": "costa-rica-us-life-expectancy-f085", "StudyId": "costa-rica-us-life-expectancy", "AllocFractionA": 0.85 },
      { "SweepId": "costa-rica-us-life-expectancy-f095", "StudyId": "costa-rica-us-life-expectancy", "AllocFractionA": 0.95 },
      { "SweepId": "fertility-income-country-f005", "StudyId": "fertility-income-country", "AllocFractionA": 0.05 },
      { "SweepId": "fertility-income-country-f015", "StudyId": "fertility-income-country", "AllocFractionA": 0.15 },
      { "SweepId": "fertility-income-country-f025", "StudyId": "fertility-income-country", "AllocFractionA": 0.25 },
      { "SweepId": "fertility-income-country-f035", "StudyId": "fertility-income-country", "AllocFractionA": 0.35 },
      { "SweepId": "fertility-income-country-f045", "StudyId": "fertility-income-country", "AllocFractionA": 0.45 },
      { "SweepId": "fertility-income-country-f055", "StudyId": "fertility-income-country", "AllocFractionA": 0.55 },
      { "SweepId": "fertility-income-country-f065", "StudyId": "fertility-income-country", "AllocFractionA": 0.65 },
      { "SweepId": "fertility-income-country-f075", "StudyId": "fertility-income-country", "AllocFractionA": 0.75 },
      { "SweepId": "fertility-income-country-f085", "StudyId": "fertility-income-country", "AllocFractionA": 0.85 },
      { "SweepId": "fertility-income-country-f095", "StudyId": "fertility-income-country", "AllocFractionA": 0.95 },
      { "SweepId": "religiosity-happiness-country-f005", "StudyId": "religiosity-happiness-country", "AllocFractionA": 0.05 },
      { "SweepId": "religiosity-happiness-country-f015", "StudyId": "religiosity-happiness-country", "AllocFractionA": 0.15 },
      { "SweepId": "religiosity-happiness-country-f025", "StudyId": "religiosity-happiness-country", "AllocFractionA": 0.25 },
      { "SweepId": "religiosity-happiness-country-f035", "StudyId": "religiosity-happiness-country", "AllocFractionA": 0.35 },
      { "SweepId": "religiosity-happiness-country-f045", "StudyId": "religiosity-happiness-country", "AllocFractionA": 0.45 },
      { "SweepId": "religiosity-happiness-country-f055", "StudyId": "religiosity-happiness-country", "AllocFractionA": 0.55 },
      { "SweepId": "religiosity-happiness-country-f065", "StudyId": "religiosity-happiness-country", "AllocFractionA": 0.65 },
      { "SweepId": "religiosity-happiness-country-f075", "StudyId": "religiosity-happiness-country", "AllocFractionA": 0.75 },
      { "SweepId": "religiosity-happiness-country-f085", "StudyId": "religiosity-happiness-country", "AllocFractionA": 0.85 },
      { "SweepId": "religiosity-happiness-country-f095", "StudyId": "religiosity-happiness-country", "AllocFractionA": 0.95 },
      { "SweepId": "voter-turnout-education-state-f005", "StudyId": "voter-turnout-education-state", "AllocFractionA": 0.05 },
      { "SweepId": "voter-turnout-education-state-f015", "StudyId": "voter-turnout-education-state", "AllocFractionA": 0.15 },
      { "SweepId": "voter-turnout-education-state-f025", "StudyId": "voter-turnout-education-state", "AllocFractionA": 0.25 },
      { "SweepId": "voter-turnout-education-state-f035", "StudyId": "voter-turnout-education-state", "AllocFractionA": 0.35 },
      { "SweepId": "voter-turnout-education-state-f045", "StudyId": "voter-turnout-education-state", "AllocFractionA": 0.45 },
      { "SweepId": "voter-turnout-education-state-f055", "StudyId": "voter-turnout-education-state", "AllocFractionA": 0.55 },
      { "SweepId": "voter-turnout-education-state-f065", "StudyId": "voter-turnout-education-state", "AllocFractionA": 0.65 },
      { "SweepId": "voter-turnout-education-state-f075", "StudyId": "voter-turnout-education-state", "AllocFractionA": 0.75 },
      { "SweepId": "voter-turnout-education-state-f085", "StudyId": "voter-turnout-education-state", "AllocFractionA": 0.85 },
      { "SweepId": "voter-turnout-education-state-f095", "StudyId": "voter-turnout-education-state", "AllocFractionA": 0.95 },
      { "SweepId": "ad-ctr-platform-mix-f005", "StudyId": "ad-ctr-platform-mix", "AllocFractionA": 0.05 },
      { "SweepId": "ad-ctr-platform-mix-f015", "StudyId": "ad-ctr-platform-mix", "AllocFractionA": 0.15 },
      { "SweepId": "ad-ctr-platform-mix-f025", "StudyId": "ad-ctr-platform-mix", "AllocFractionA": 0.25 },
      { "SweepId": "ad-ctr-platform-mix-f035", "StudyId": "ad-ctr-platform-mix", "AllocFractionA": 0.35 },
      { "SweepId": "ad-ctr-platform-mix-f045", "StudyId": "ad-ctr-platform-mix", "AllocFractionA": 0.45 },
      { "SweepId": "ad-ctr-platform-mix-f055", "StudyId": "ad-ctr-platform-mix", "AllocFractionA": 0.55 },
      { "SweepId": "ad-ctr-platform-mix-f065", "StudyId": "ad-ctr-platform-mix", "AllocFractionA": 0.65 },
      { "SweepId": "ad-ctr-platform-mix-f075", "StudyId": "ad-ctr-platform-mix", "AllocFractionA": 0.75 },
      { "SweepId": "ad-ctr-platform-mix-f085", "StudyId": "ad-ctr-platform-mix", "AllocFractionA": 0.85 },
      { "SweepId": "ad-ctr-platform-mix-f095", "StudyId": "ad-ctr-platform-mix", "AllocFractionA": 0.95 }
    ]
  },
  "SweepStudySummary": {
    "schema": [
      {
        "name": "SweepStudyId",
        "datatype": "string",
        "type": "raw",
        "nullable": false,
        "Description": "FK to Studies.StudyId. One row per study in the AllocationSweep."
      },
      {
        "name": "Name",
        "datatype": "string",
        "type": "calculated",
        "nullable": false,
        "Description": "Display label.",
        "formula": "={{SweepStudyId}}"
      },
      {
        "name": "DistortionTypeLabel",
        "datatype": "string",
        "type": "calculated",
        "Description": "DistortionType for this study (A, B, C, or D) — provides context for what the sweep should show.",
        "formula": "=LOOKUP({{SweepStudyId}}, TreatmentRankings[Study], TreatmentRankings[DistortionType])"
      },
      {
        "name": "CorrectedGapConstant",
        "datatype": "number",
        "type": "calculated",
        "nullable": false,
        "Description": "The allocation-free corrected gap for this study, computed analytically.",
        "formula": "=MINIFS(AllocationSweep!{{SweepCorrectedGap}}, AllocationSweep!{{StudyId}}, {{SweepStudyId}})"
      },
      {
        "name": "SweepCorrectedGapMax",
        "datatype": "number",
        "type": "calculated",
        "nullable": false,
        "Description": "Maximum SweepCorrectedGap across all allocation fractions for this study.",
        "formula": "=MAXIFS(AllocationSweep!{{SweepCorrectedGap}}, AllocationSweep!{{StudyId}}, {{SweepStudyId}})"
      },
      {
        "name": "SweepCorrectedGapMin",
        "datatype": "number",
        "type": "calculated",
        "nullable": false,
        "Description": "Minimum SweepCorrectedGap across all allocation fractions for this study.",
        "formula": "=MINIFS(AllocationSweep!{{SweepCorrectedGap}}, AllocationSweep!{{StudyId}}, {{SweepStudyId}})"
      },
      {
        "name": "SweepCorrectedGapRange",
        "datatype": "number",
        "type": "calculated",
        "nullable": false,
        "Description": "Range of SweepCorrectedGap across the sweep = Max - Min. Should be effectively zero (&lt; 0.0001) for all studies if CorrectedGap is truly allocation-free.",
        "formula": "={{SweepCorrectedGapMax}} - {{SweepCorrectedGapMin}}"
      },
      {
        "name": "SweepPooledGapMax",
        "datatype": "number",
        "type": "calculated",
        "nullable": false,
        "Description": "Maximum SweepPooledGap across all allocation fractions for this study.",
        "formula": "=MAXIFS(AllocationSweep!{{SweepPooledGap}}, AllocationSweep!{{StudyId}}, {{SweepStudyId}})"
      },
      {
        "name": "SweepPooledGapMin",
        "datatype": "number",
        "type": "calculated",
        "nullable": false,
        "Description": "Minimum SweepPooledGap across all allocation fractions for this study.",
        "formula": "=MINIFS(AllocationSweep!{{SweepPooledGap}}, AllocationSweep!{{StudyId}}, {{SweepStudyId}})"
      },
      {
        "name": "SweepPooledGapRange",
        "datatype": "number",
        "type": "calculated",
        "nullable": false,
        "Description": "Range of SweepPooledGap across the sweep = Max - Min. Should be large for Type A/B studies (pooled gap wanders) and smaller for Type D (balanced allocation = less wandering).",
        "formula": "={{SweepPooledGapMax}} - {{SweepPooledGapMin}}"
      },
      {
        "name": "PooledGapCrossesZero",
        "datatype": "boolean",
        "type": "calculated",
        "nullable": false,
        "Description": "TRUE when SweepPooledGapMin &lt; 0 and SweepPooledGapMax &gt; 0 — the pooled gap changes sign somewhere in the sweep, meaning the paradox can be created or destroyed by pure allocation.",
        "formula": "=AND({{SweepPooledGapMin}} &lt; 0, {{SweepPooledGapMax}} &gt; 0)"
      },
      {
        "name": "InvariantWitness",
        "datatype": "string",
        "type": "calculated",
        "nullable": false,
        "Description": "Summary witness statement: PASS if CorrectedGap is invariant (range &lt; 0.0001), FAIL otherwise.",
        "formula": "=IF({{SweepCorrectedGapRange}} &lt; 0.0001, \"PASS: CorrectedGap invariant across allocation sweep\", \"FAIL: CorrectedGap varies — formula error\")"
      },
      {
        "name": "SweepStratumLabel",
        "datatype": "string",
        "type": "calculated",
        "nullable": false,
        "Description": "Which stratum is being swept for this study.",
        "formula": "=LOOKUP({{SweepStudyId}}, SweepStudyConfig[StudyId], SweepStudyConfig[SweepStratumLabel])"
      }
    ],
    "data": [
      { "SweepStudyId": "kidney-1986" },
      { "SweepStudyId": "balanced-synthetic" },
      { "SweepStudyId": "kidney-balanced" },
      { "SweepStudyId": "berkeley-1973" },
      { "SweepStudyId": "compressed-synthetic" },
      { "SweepStudyId": "reintjes-2000" },
      { "SweepStudyId": "radelet-1981" },
      { "SweepStudyId": "jeter-justice-1997" },
      { "SweepStudyId": "appleton-1996" },
      { "SweepStudyId": "phe-covid-2021" },
      { "SweepStudyId": "hannan-1994" },
      { "SweepStudyId": "titanic-1912" },
      { "SweepStudyId": "birth-weight-paradox" },
      { "SweepStudyId": "melanoma-altman-1991" },
      { "SweepStudyId": "coffee-tverdal-2020" },
      { "SweepStudyId": "sat-wainer-1986" },
      { "SweepStudyId": "rogers-nicewander-1988" },
      { "SweepStudyId": "lucente-baseball-1995" },
      { "SweepStudyId": "wilson-batting-2000" },
      { "SweepStudyId": "clemens-bly-1998" },
      { "SweepStudyId": "open-university-1975" },
      { "SweepStudyId": "pisa-immigration-2015" },
      { "SweepStudyId": "wainer-sat-states-1992" },
      { "SweepStudyId": "folic-acid-neural-tube-1991" },
      { "SweepStudyId": "steroid-asthma-severity" },
      { "SweepStudyId": "kidney-dialysis-facility-1990" },
      { "SweepStudyId": "warfarin-bleeding-age" },
      { "SweepStudyId": "diabetes-metformin-bmi" },
      { "SweepStudyId": "oncology-trial-stage" },
      { "SweepStudyId": "exercise-cholesterol-age" },
      { "SweepStudyId": "red-meat-colorectal-bmi" },
      { "SweepStudyId": "folic-fortification-2000" },
      { "SweepStudyId": "north-carolina-death-penalty-1990" },
      { "SweepStudyId": "housing-discrimination-audit" },
      { "SweepStudyId": "gender-pay-gap-industry" },
      { "SweepStudyId": "income-education-state" },
      { "SweepStudyId": "florida-reef-fish-1994" },
      { "SweepStudyId": "uc-irvine-admissions-1985" },
      { "SweepStudyId": "cesarean-birth-weight-2006" },
      { "SweepStudyId": "schizophrenia-antipsychotic" },
      { "SweepStudyId": "berkeley-six-dept-1973" },
      { "SweepStudyId": "rosiglitazone-mi-pool-2007" },
      { "SweepStudyId": "ironman-gender-age-2010" },
      { "SweepStudyId": "hanley-power-lines-2000" },
      { "SweepStudyId": "coffee-smoking-lung-1968" },
      { "SweepStudyId": "panama-sweden-mortality-1975" },
      { "SweepStudyId": "hrt-whi-2002" },
      { "SweepStudyId": "obesity-paradox-hf" },
      { "SweepStudyId": "dialysis-bmi-survival" },
      { "SweepStudyId": "sick-quitter-alcohol" },
      { "SweepStudyId": "flu-vaccine-elderly-mortality" },
      { "SweepStudyId": "covid-italy-china-cfr-2020" },
      { "SweepStudyId": "israel-covid-severe-2021" },
      { "SweepStudyId": "cochran-smoking-1968" },
      { "SweepStudyId": "healthy-worker-mortality" },
      { "SweepStudyId": "compas-recidivism-base" },
      { "SweepStudyId": "us-wage-composition-stagnation" },
      { "SweepStudyId": "borjas-immigrant-cohort" },
      { "SweepStudyId": "robinson-1950-literacy" },
      { "SweepStudyId": "ab-test-traffic-mix" },
      { "SweepStudyId": "recsys-offline-eval" },
      { "SweepStudyId": "collider-only-synthetic" },
      { "SweepStudyId": "noncollapsibility-or-synthetic" },
      { "SweepStudyId": "trauma-center-mortality" },
      { "SweepStudyId": "surgeon-volume-mortality" },
      { "SweepStudyId": "mammography-length-bias" },
      { "SweepStudyId": "cabg-vs-pci-severity" },
      { "SweepStudyId": "tolbutamide-ugdp-1970" },
      { "SweepStudyId": "snow-cholera-water-1855" },
      { "SweepStudyId": "seatbelt-crash-severity" },
      { "SweepStudyId": "measles-outbreak-vaccinated" },
      { "SweepStudyId": "air-pollution-mortality-city" },
      { "SweepStudyId": "tb-treatment-resistance" },
      { "SweepStudyId": "hospital-mortality-readmission" },
      { "SweepStudyId": "nypd-stop-frisk-hitrate" },
      { "SweepStudyId": "sentencing-offense-type" },
      { "SweepStudyId": "bail-risk-score" },
      { "SweepStudyId": "police-force-encounter" },
      { "SweepStudyId": "uc-systemwide-admissions" },
      { "SweepStudyId": "teacher-vam-prior-achievement" },
      { "SweepStudyId": "naep-state-demographics" },
      { "SweepStudyId": "college-grad-rate-selectivity" },
      { "SweepStudyId": "star-class-size" },
      { "SweepStudyId": "nba-shooting-shot-mix" },
      { "SweepStudyId": "pitcher-era-ballpark" },
      { "SweepStudyId": "nfl-completion-depth" },
      { "SweepStudyId": "field-goal-distance" },
      { "SweepStudyId": "golf-scoring-course" },
      { "SweepStudyId": "minimum-wage-region" },
      { "SweepStudyId": "returns-to-education-field" },
      { "SweepStudyId": "unemployment-education-cycle" },
      { "SweepStudyId": "costa-rica-us-life-expectancy" },
      { "SweepStudyId": "fertility-income-country" },
      { "SweepStudyId": "religiosity-happiness-country" },
      { "SweepStudyId": "voter-turnout-education-state" },
      { "SweepStudyId": "ad-ctr-platform-mix" }
    ]
  },
  "ResearchTraditions": {
    "Description": "Table: ResearchTraditions — the six scholarly lineages that have engaged with Simpson's Paradox. Each row is a named intellectual tradition, not a specific paper or result.",
    "schema": [
      {
        "name": "TraditionId",
        "datatype": "string",
        "type": "raw",
        "nullable": false,
        "Description": "Slug identifier, e.g. tradition-historical."
      },
      {
        "name": "Name",
        "datatype": "string",
        "type": "raw",
        "nullable": false,
        "Description": "Short display name for the tradition."
      },
      {
        "name": "Era",
        "datatype": "string",
        "type": "raw",
        "nullable": true,
        "Description": "Approximate active period, e.g. \"1899–1972\"."
      },
      {
        "name": "CoreConcern",
        "datatype": "string",
        "type": "raw",
        "nullable": true,
        "Description": "The central question this tradition asks about the paradox."
      },
      {
        "name": "PrimaryVenue",
        "datatype": "string",
        "type": "raw",
        "nullable": true,
        "Description": "Where this tradition publishes (journal, conference, book series)."
      },
      {
        "name": "KeyClaim",
        "datatype": "string",
        "type": "raw",
        "nullable": true,
        "Description": "The tradition's signature thesis or resolution strategy."
      },
      {
        "name": "OpenQuestion",
        "datatype": "string",
        "type": "raw",
        "nullable": true,
        "Description": "What this tradition leaves unresolved or contested."
      },
      {
        "name": "VerifiedByDeepResearch",
        "datatype": "boolean",
        "type": "raw",
        "nullable": false,
        "Description": "True if the 2026-06-28 adversarial deep-research pass confirmed the tradition at high confidence."
      },
      {
        "name": "IllustratedByStudy",
        "datatype": "string",
        "type": "raw",
        "nullable": true,
        "Description": "FK → Studies.StudyId. The study in this model that most vividly illustrates this tradition's characteristic concern or resolution strategy."
      },
      {
        "name": "SupportingConclusion",
        "datatype": "string",
        "type": "raw",
        "nullable": true,
        "Description": "FK → Conclusions.ConclusionId. The conclusion in this model that most directly validates or advances this tradition's central claim about Simpson's Paradox."
      },
      {
        "name": "IllustratedByStudyTitle",
        "datatype": "string",
        "type": "lookup",
        "nullable": true,
        "Description": "Lookup: Studies.Title via Illust</t>
  </si>
  <si>
    <t xml:space="preserve">ratedByStudy.",
        "formula": "=LOOKUP({{IllustratedByStudy}}, Studies[StudyId], Studies[Title])"
      },
      {
        "name": "IllustratedByStudySource",
        "datatype": "string",
        "type": "lookup",
        "nullable": true,
        "Description": "Lookup: Studies.Source via IllustratedByStudy — the citation for the study that best illustrates this tradition.",
        "formula": "=LOOKUP({{IllustratedByStudy}}, Studies[StudyId], Studies[Source])"
      },
      {
        "name": "IllustratedByStudyDistortionType",
        "datatype": "string",
        "type": "lookup",
        "nullable": true,
        "Description": "Lookup: TreatmentRankings.DistortionType for the illustrated study.",
        "formula": "=LOOKUP({{IllustratedByStudy}}, TreatmentRankings[Study], TreatmentRankings[DistortionType])"
      },
      {
        "name": "SupportingConclusionTitle",
        "datatype": "string",
        "type": "lookup",
        "nullable": true,
        "Description": "Lookup: Conclusions.Title via SupportingConclusion.",
        "formula": "=LOOKUP({{SupportingConclusion}}, Conclusions[ConclusionId], Conclusions[Title])"
      },
      {
        "name": "SupportingConclusionCategory",
        "datatype": "string",
        "type": "lookup",
        "nullable": true,
        "Description": "Lookup: Conclusions.Category via SupportingConclusion.",
        "formula": "=LOOKUP({{SupportingConclusion}}, Conclusions[ConclusionId], Conclusions[Category])"
      },
      {
        "name": "ResearcherCount",
        "datatype": "integer",
        "type": "aggregation",
        "nullable": false,
        "Description": "Count of researchers in this tradition.",
        "formula": "=COUNTIFS(Researchers!{{TraditionId}}, {{TraditionId}})"
      },
      {
        "name": "StudyCount",
        "datatype": "integer",
        "type": "aggregation",
        "nullable": false,
        "Description": "Count of studies in this model whose TraditionId matches this tradition.",
        "formula": "=COUNTIFS(Studies!{{TraditionId}}, {{TraditionId}})"
      },
      {
        "name": "LoopCount",
        "datatype": "integer",
        "type": "aggregation",
        "nullable": false,
        "Description": "Count of Leopold Loops that drew primarily on this tradition's conceptual vocabulary.",
        "formula": "=COUNTIFS(Loops!{{TraditionId}}, {{TraditionId}})"
      }
    ],
    "data": [
      { "TraditionId": "tradition-historical", "Name": "Historical Statistical Origins", "Era": "1899–1972", "CoreConcern": "Documenting that aggregate and partial associations can differ or reverse", "PrimaryVenue": "Biometrika; Journal of the Royal Statistical Society", "KeyClaim": "The reversal is a well-defined mathematical property of weighted averages, not a logical paradox — formalised by Blyth (1972)", "OpenQuestion": "Whether \"disappearing association\" (Pearson/Yule) and \"sign reversal\" (Cohen/Nagel) are the same phenomenon or two distinct effects", "VerifiedByDeepResearch": true, "IllustratedByStudy": "kidney-1986", "SupportingConclusion": "conc-01-paradox-is-derived" },
      { "TraditionId": "tradition-philosophy", "Name": "Philosophy of Science / Probabilistic Causality", "Era": "1956–present", "CoreConcern": "Whether probabilistic associations alone can ground causal claims — the paradox is the stress test", "PrimaryVenue": "Philosophy of Science; Nous; Cambridge studies in probability/induction", "KeyClaim": "Cartwright (1979): causes must raise probabilities relative to ALL background contexts, not just the aggregate. Statistical accounts of causation fail without this constraint.", "OpenQuestion": "Whether the probabilistic causality framework is ultimately reducible to a causal graph account (Pearl) or remains genuinely distinct", "VerifiedByDeepResearch": true, "IllustratedByStudy": "berkeley-1973", "SupportingConclusion": "conc-09-causal-vs-geometric" },
      { "TraditionId": "tradition-dag", "Name": "Causal Graphical / DAG Tradition", "Era": "1988–present", "CoreConcern": "Identifying the structural (graph) conditions under which stratification resolves or worsens the paradox", "PrimaryVenue": "JMLR; UAI; Artificial Intelligence; MIT Press books", "KeyClaim": "The paradox is a confounding problem solvable via the back-door criterion; a DAG over observed variables determines which table (pooled or stratified) is the correct one", "OpenQuestion": "Dong, Cai &amp; Zhao (2024): confounding is not the universal source — inter-unit causation and accidental associations also produce the paradox, so DAG adjustment alone is insufficient", "VerifiedByDeepResearch": true, "IllustratedByStudy": "birth-weight-paradox", "SupportingConclusion": "conc-09-causal-vs-geometric" },
      { "TraditionId": "tradition-epidemiology", "Name": "Epidemiology / Observational Studies", "Era": "1980–present", "CoreConcern": "Noncollapsibility: when does controlling for a confounder change the measure of association, and when is that change meaningful?", "PrimaryVenue": "Epidemiology; American Journal of Epidemiology; Statistical Science", "KeyClaim": "Noncollapsibility is not identical to confounding — some measures (OR, HR) are noncollapsible even without confounding. Greenland (2021): distinguishing the two prevents spurious \"paradox\" diagnoses.", "OpenQuestion": "Which effect measures (RR, OR, RD) are collapsible under what conditions — an active debate in biostatistics", "VerifiedByDeepResearch": true, "IllustratedByStudy": "reintjes-2000", "SupportingConclusion": "conc-05-real-data-generalizes" },
      { "TraditionId": "tradition-bayesian", "Name": "Bayesian / Decision-Theoretic", "Era": "1981–present", "CoreConcern": "Whether Bayesian model-selection criteria (Bayes factors, posterior predictive) are themselves susceptible to Simpson-type reversals", "PrimaryVenue": "Journal of the Royal Statistical Society Series B; Bayesian Analysis", "KeyClaim": "Lindley (1997): Bayes factor proponents can simultaneously conclude tall men &gt; tall women AND short men &gt; short women AND women &gt; men overall — a Simpson reversal in posterior odds. The paradox lives inside Bayesian inference, not just frequentist aggregation.", "OpenQuestion": "Whether prior specification can fully neutralise the reversal or whether the paradox is structurally unavoidable in hierarchical Bayesian models", "VerifiedByDeepResearch": true, "IllustratedByStudy": "sat-wainer-1986", "SupportingConclusion": "conc-01-paradox-is-derived" },
      { "TraditionId": "tradition-ai-fairness", "Name": "AI Fairness / Machine Learning", "Era": "2016–present", "CoreConcern": "Whether group-level fairness metrics are reliable when base rates differ across subgroups — Simpson's Paradox as a structural threat to audit validity", "PrimaryVenue": "FAccT; NeurIPS; Big Data journal; VLDB", "KeyClaim": "Chouldechova (2017) impossibility theorem: calibration and equal error rates are simultaneously unachievable when prevalence differs across groups. Differing base rates ARE the paradox mechanism in disguise.", "OpenQuestion": "Whether the FAccT community explicitly frames its impossibility results as Simpson's Paradox instances or treats base-rate divergence as a distinct phenomenon", "VerifiedByDeepResearch": true, "IllustratedByStudy": "phe-covid-2021", "SupportingConclusion": "conc-06-policy-derivable" }
    ]
  },
  "Researchers": {
    "Description": "Table: Researchers — individuals who have made named, verified contributions to understanding Simpson's Paradox. Linked to ResearchTraditions by TraditionId.",
    "schema": [
      {
        "name": "ResearcherId",
        "datatype": "string",
        "type": "raw",
        "nullable": false,
        "Description": "Slug, e.g. researcher-pearson."
      },
      {
        "name": "Name",
        "datatype": "string",
        "type": "raw",
        "nullable": false,
        "Description": "Full name as commonly cited."
      },
      {
        "name": "TraditionId",
        "datatype": "string",
        "type": "raw",
        "nullable": false,
        "Description": "FK → ResearchTraditions.TraditionId"
      },
      {
        "name": "ActivePeriod",
        "datatype": "string",
        "type": "raw",
        "nullable": true,
        "Description": "Approximate years of relevant work, e.g. \"1899\"."
      },
      {
        "name": "Affiliation",
        "datatype": "string",
        "type": "raw",
        "nullable": true,
        "Description": "Primary institutional affiliation for the relevant work."
      },
      {
        "name": "KeyContribution",
        "datatype": "string",
        "type": "raw",
        "nullable": false,
        "Description": "One-sentence description of their specific contribution to the paradox literature."
      },
      {
        "name": "SignatureWork",
        "datatype": "string",
        "type": "raw",
        "nullable": true,
        "Description": "The canonical paper or book most associated with their contribution."
      },
      {
        "name": "RelationToHannanPearl",
        "datatype": "string",
        "type": "raw",
        "nullable": true,
        "Description": "How this researcher's line of work relates to or differs from Hannan (aggregation bias) and Pearl (DAG/do-calculus)."
      },
      {
        "name": "VerifiedByDeepResearch",
        "datatype": "boolean",
        "type": "raw",
        "nullable": false,
        "Description": "True if the 2026-06-28 adversarial deep-research pass confirmed this person at high confidence."
      },
      {
        "name": "ConfidenceLevel",
        "datatype": "string",
        "type": "raw",
        "nullable": true,
        "Description": "high | medium | unverified — matches deep-research vote outcome."
      },
      {
        "name": "CanonicalStudyId",
        "datatype": "string",
        "type": "raw",
        "nullable": true,
        "Description": "FK → Studies.StudyId. The study in this model that best illustrates this researcher's specific contribution to the Simpson's Paradox literature."
      },
      {
        "name": "IllustratesConclusion",
        "datatype": "string",
        "type": "raw",
        "nullable": true,
        "Description": "FK → Conclusions.ConclusionId. The conclusion in this model that this researcher's work directly supports, challenges, or frames."
      },
      {
        "name": "TraditionName",
        "datatype": "string",
        "type": "lookup",
        "nullable": true,
        "Description": "Lookup: ResearchTraditions.Name via TraditionId.",
        "formula": "=LOOKUP({{TraditionId}}, ResearchTraditions[TraditionId], ResearchTraditions[Name])"
      },
      {
        "name": "TraditionEra",
        "datatype": "string",
        "type": "lookup",
        "nullable": true,
        "Description": "Lookup: ResearchTraditions.Era via TraditionId.",
        "formula": "=LOOKUP({{TraditionId}}, ResearchTraditions[TraditionId], ResearchTraditions[Era])"
      },
      {
        "name": "CanonicalStudyTitle",
        "datatype": "string",
        "type": "lookup",
        "nullable": true,
        "Description": "Lookup: Studies.Title via CanonicalStudyId.",
        "formula": "=LOOKUP({{CanonicalStudyId}}, Studies[StudyId], Studies[Title])"
      },
      {
        "name": "CanonicalStudyDistortionType",
        "datatype": "string",
        "type": "lookup",
        "nullable": true,
        "Description": "Lookup: TreatmentRankings.DistortionType for the canonical study — the geometric type of paradox this researcher's work exemplifies.",
        "formula": "=LOOKUP({{CanonicalStudyId}}, TreatmentRankings[Study], TreatmentRankings[DistortionType])"
      },
      {
        "name": "CanonicalStudyPolicyImplication",
        "datatype": "string",
        "type": "lookup",
        "nullable": true,
        "Description": "Lookup: TreatmentRankings.CorrectedPolicyImplication for the canonical study.",
        "formula": "=LOOKUP({{CanonicalStudyId}}, TreatmentRankings[Study], TreatmentRankings[CorrectedPolicyImplication])"
      },
      {
        "name": "IllustratesConclusionTitle",
        "datatype": "string",
        "type": "lookup",
        "nullable": true,
        "Description": "Lookup: Conclusions.Title via IllustratesConclusion.",
        "formula": "=LOOKUP({{IllustratesConclusion}}, Conclusions[ConclusionId], Conclusions[Title])"
      },
      {
        "name": "TraditionKeyClaimSummary",
        "datatype": "string",
        "type": "lookup",
        "nullable": true,
        "Description": "Lookup: ResearchTraditions.KeyClaim via TraditionId — the tradition's signature thesis this researcher contributed to.",
        "formula": "=LOOKUP({{TraditionId}}, ResearchTraditions[TraditionId], ResearchTraditions[KeyClaim])"
      }
    ],
    "data": [
      { "ResearcherId": "researcher-pearson", "Name": "Karl Pearson", "TraditionId": "tradition-historical", "ActivePeriod": "1899", "Affiliation": "University College London", "KeyContribution": "First (1899) observed that marginal and partial associations between continuous variables can differ, producing spurious correlations — the pre-Simpson precursor.", "SignatureWork": "Pearson et al. (1899) — early work on genetic inheritance and spurious correlation", "RelationToHannanPearl": "Predates both; Pearl's DAG tradition explicitly cites Pearson as the origin point of the confusion his framework resolves", "VerifiedByDeepResearch": true, "ConfidenceLevel": "high", "CanonicalStudyId": "kidney-1986", "IllustratesConclusion": null },
      { "ResearcherId": "researcher-yule", "Name": "G. Udny Yule", "TraditionId": "tradition-historical", "ActivePeriod": "1903", "Affiliation": "University of Cambridge", "KeyContribution": "Extended Pearson's observation (1903) to categorical data; the phenomenon is sometimes called the Yule–Simpson effect.", "SignatureWork": "Yule (1903) — Notes on the theory of association of attributes in statistics", "RelationToHannanPearl": "Provides the categorical-data framing that Hannan's aggregation bias literature builds on; Pearl's back-door criterion addresses exactly what Yule's correlations could not distinguish", "VerifiedByDeepResearch": true, "ConfidenceLevel": "high", "CanonicalStudyId": "kidney-1986", "IllustratesConclusion": null },
      { "ResearcherId": "researcher-cohen-nagel", "Name": "Cohen &amp; Nagel", "TraditionId": "tradition-historical", "ActivePeriod": "1934", "Affiliation": "Columbia University", "KeyContribution": "First documented sign reversal specifically (association flipping direction, not merely disappearing), predating Simpson's 1951 paper.", "SignatureWork": "Cohen &amp; Nagel (1934) — An Introduction to Logic and Scientific Method", "RelationToHannanPearl": "Provided the logical/philosophical framing that the philosophy-of-science tradition (Cartwright, Eells) built on", "VerifiedByDeepResearch": true, "ConfidenceLevel": "high", "CanonicalStudyId": "berkeley-1973", "IllustratesConclusion": "conc-03-binary-excludes-partial" },
      { "ResearcherId": "researcher-simpson", "Name": "Edward H. Simpson", "TraditionId": "tradition-historical", "ActivePeriod": "1951", "Affiliation": "Government Communications Headquarters (GCHQ)", "KeyContribution": "Gave the paradox its name by formalising sign reversal in contingency tables (1951 JRSS-B paper), though unaware of Cohen &amp; Nagel's earlier sign-reversal documentation.", "SignatureWork": "Simpson (1951) — The Interpretation of Interaction in Contingency Tables, JRSS-B", "RelationToHannanPearl": "The naming origin; Pearl's r414.pdf distinguishes Simpson's formal contribution from the deeper causal question Simpson himself did not answer", "VerifiedByDeepResearch": true, "ConfidenceLevel": "high", "CanonicalStudyId": "kidney-1986", "IllustratesConclusion": "conc-01-paradox-is-derived" },
      { "ResearcherId": "researcher-blyth", "Name": "C. R. Blyth", "TraditionId": "tradition-historical", "ActivePeriod": "1972", "Affiliation": "University of Idaho", "KeyContribution": "Coined the term \"Simpson's Paradox\" (1972), provided the first formal definition, and framed the reversal as a genuine logical paradox rather than a statistical curiosity.", "SignatureWork": "Blyth (1972) — On Simpson's Paradox and the Sure-Thing Principle, JASA", "RelationToHannanPearl": "Blyth's formal definition is one of three non-equivalent definitions in the literature (Blyth 1972, Mittal 1991, Bandyopadhyay et al. 2011); Pearl's framework dissolves the definitional ambiguity via causal structure", "VerifiedByDeepResearch": true, "ConfidenceLevel": "high", "CanonicalStudyId": "kidney-1986", "IllustratesConclusion": "conc-01-paradox-is-derived" },
      { "ResearcherId": "researcher-reichenbach", "Name": "Hans Reichenbach", "TraditionId": "tradition-philosophy", "ActivePeriod": "1956", "Affiliation": "UCLA", "KeyContribution": "Developed the Common Cause Principle (1956): every statistical correlation has a causal explanation, either direct causation or a common cause. This principle frames the paradox as a symptom of an uncontrolled common cause.", "SignatureWork": "Reichenbach (1956) — The Direction of Time", "RelationToHannanPearl": "Pearl's backdoor criterion is a formalisation of Reichenbach's common-cause screening-off idea in DAG language", "VerifiedByDeepResearch": true, "ConfidenceLevel": "high", "CanonicalStudyId": "kidney-1986", "IllustratesConclusion": "conc-09-causal-vs-geometric" },
      { "ResearcherId": "researcher-suppes", "Name": "Patrick Suppes", "TraditionId": "tradition-philosophy", "ActivePeriod": "1970", "Affiliation": "Stanford University", "KeyContribution": "Developed probabilistic causality theory (1970): causes raise the probability of their effects. The paradox shows this is necessary but insufficient — background context must be held fixed.", "SignatureWork": "Suppes (1970) — A Probabilistic Theory of Causality", "RelationToHannanPearl": "Suppes's framework is the direct predecessor Cartwright critiques and extends; Pearl's do-calculus supersedes probabilistic causality by making interventions explicit", "VerifiedByDeepResearch": true, "ConfidenceLevel": "high", "CanonicalStudyId": "kidney-1986", "IllustratesConclusion": "conc-09-causal-vs-geometric" },
      { "ResearcherId": "researcher-cartwright", "Name": "Nancy Cartwright", "TraditionId": "tradition-philosophy", "ActivePeriod": "1979", "Affiliation": "Stanford / LSE / UCSD", "KeyContribution": "Proposed the influential resolution (1979): a cause must raise the probability of its effect in every homogeneous background context, not just in the aggregate. Argued purely statistical accounts of causation fail.", "SignatureWork": "Cartwright (1979) — Causal Laws and Effective Strategies, Nous", "RelationToHannanPearl": "Cartwright's \"background contexts\" anticipate stratification in Pearl's sense; Pearl acknowledges Cartwright but argues DAGs make the notion precise and computable", "VerifiedByDeepResearch": true, "ConfidenceLevel": "high", "CanonicalStudyId": "berkeley-1973", "IllustratesConclusion": "conc-09-causal-vs-geometric" },
      { "ResearcherId": "researcher-eells", "Name": "Ellery Eells", "TraditionId": "tradition-philosophy", "ActivePeriod": "1987", "Affiliation": "University of Wisconsin–Madison", "KeyContribution": "Defended Cartwright's resolution against Richard Otte's (1985) critique; published Probabilistic Causality (1991), the most systematic treatment of the probabilistic causality tradition.", "SignatureWork": "Eells (1991) — Probabilistic Causality, Cambridge University Press", "RelationToHannanPearl": "Eells's defence of Cartwright against Otte closes off one branch of the philosophy debate; Pearl's DAG approach is seen by many as the operationalisation that finally settled it", "VerifiedByDeepResearch": true, "ConfidenceLevel": "high", "CanonicalStudyId": "berkeley-1973", "IllustratesConclusion": "conc-09-causal-vs-geometric" },
      { "ResearcherId": "researcher-spirtes-glymour-scheines", "Name": "Spirtes, Glymour &amp; Scheines", "TraditionId": "tradition-dag", "ActivePeriod": "1993–2000", "Affiliation": "Carnegie Mellon University", "KeyContribution": "The CMU group (SGS) developed constraint-based causal discovery (PC/FCI algorithms) as a parallel DAG tradition to Pearl's. Their 2000 book explicitly names clarifying Simpson's Paradox as a goal.", "SignatureWork": "Spirtes, Glymour &amp; Scheines (2000) — Causation, Prediction, and Search, MIT Press", "RelationToHannanPearl": "Methodologically distinct from Pearl: SGS uses constraint-based structure discovery from conditional independence tests; Pearl uses do-calculus and interventional logic. Both treat the paradox as a confounding problem but differ in how to identify confounders from data.", "VerifiedByDeepResearch": true, "ConfidenceLevel": "high", "CanonicalStudyId": "birth-weight-paradox", "IllustratesConclusion": "conc-09-causal-vs-geometric" },
      { "ResearcherId": "researcher-dong-cai-zhao", "Name": "Dong, Cai &amp; Zhao", "TraditionId": "tradition-dag", "ActivePeriod": "2024", "Affiliation": "Various (European)", "KeyContribution": "Challenged Pearl's confounding-centric account (2024): identified three classes of Simpson's Paradox that occur without confounding — inter-unit causation, accidental associations, and inappropriate aggregate variables.", "SignatureWork": "Dong, Cai &amp; Zhao (2024) — European Journal for Philosophy of Science", "RelationToHannanPearl": "Direct critique of Pearl: argues the DAG back-door criterion is insufficient as a universal resolution because not all reversals are confounding artifacts", "VerifiedByDeepResearch": true, "ConfidenceLevel": "high", "CanonicalStudyId": "birth-weight-paradox", "IllustratesConclusion": "conc-09-causal-vs-geometric" },
      { "ResearcherId": "researcher-greenland", "Name": "Sander Greenland", "TraditionId": "tradition-epidemiology", "ActivePeriod": "1986–present", "Affiliation": "UCLA (Epidemiology &amp; Statistics)", "KeyContribution": "Linked Simpson's Paradox to noncollapsibility (2021): the failure of a group-level measure to equal a simple average of subgroup measures. Distinguishes noncollapsibility from confounding — the two are commonly conflated.", "SignatureWork": "Greenland (2021) — Noncollapsibility, confounding, and sparse-data bias, Journal of Clinical Epidemiology", "RelationToHannanPearl": "Collaborated with Pearl (Greenland, Robins &amp; Pearl 1999, Statistical Science) on confounding and collapsibility. Greenland operationalises the paradox for epidemiological practice where Pearl's do-calculus is abstract.", "VerifiedByDeepResearch": true, "ConfidenceLevel": "high", "CanonicalStudyId": "reintjes-2000", "IllustratesConclusion": "conc-05-real-data-generalizes" },
      { "ResearcherId": "researcher-robins", "Name": "James M. Robins", "TraditionId": "tradition-epidemiology", "ActivePeriod": "1986–present", "Affiliation": "Harvard School of Public Health", "KeyContribution": "Developed marginal structural models and g-computation — causal inference methods for observational epidemiology that account for time-varying confounding, of which Simpson's Paradox is the canonical simple case.", "SignatureWork": "Greenland, Robins &amp; Pearl (1999) — Confounding and Collapsibility in Causal Inference, Statistical Science", "RelationToHannanPearl": "Robins's g-methods and Pearl's do-calculus were developed independently and are now understood to be equivalent under certain conditions; both address the same confounding problem the paradox exposes", "VerifiedByDeepResearch": true, "ConfidenceLevel": "high", "CanonicalStudyId": "radelet-1981", "IllustratesConclusion": "conc-05-real-data-generalizes" },
      { "ResearcherId": "researcher-lindley", "Name": "Dennis Lindley", "TraditionId": "tradition-bayesian", "ActivePeriod": "1981–1997", "Affiliation": "University College London", "KeyContribution": "Showed (1997) that Bayes factor proponents can simultaneously conclude tall men &gt; tall women, short men &gt; short women, yet women &gt; men overall — a Simpson reversal inside Bayesian hypothesis testing. Lindley himself noted the connection.", "SignatureWork": "Lindley (1997) — counter-example to Aitkin's posterior Bayes factor, JRSS-B", "RelationToHannanPearl": "Orthogonal to both Hannan and Pearl: Lindley shows the paradox is not merely a frequentist aggregation problem but appears inside the Bayesian framework's own model-selection machinery", "VerifiedByDeepResearch": true, "ConfidenceLevel": "high", "CanonicalStudyId": "sat-wainer-1986", "IllustratesConclusion": "conc-01-paradox-is-derived" },
      { "ResearcherId": "researcher-aitkin", "Name": "Murray Aitkin", "TraditionId": "tradition-bayesian", "ActivePeriod": "1997", "Affiliation": "University of Newcastle / University of Western Australia", "KeyContribution": "Applied Simpson's Paradox to posterior Bayes factors; his work prompted Lindley's counter-example and is the proximate occasion for the Bayesian tradition's engagement with the paradox.", "SignatureWork": "Aitkin (1991/1997) — posterior Bayes factor papers, JRSS-B", "RelationToHannanPearl": "Part of an internal Bayesian dispute; the paradox appears as a consistency problem in model selection, not as an aggregation or confounding problem in Pearl's sense", "VerifiedByDeepResearch": true, "ConfidenceLevel": "medium", "CanonicalStudyId": "sat-wainer-1986", "IllustratesConclusion": null },
      { "ResearcherId": "researcher-chouldechova", "Name": "Alexandra Chouldechova", "TraditionId": "tradition-ai-fairness", "ActivePeriod": "2017", "Affiliation": "Carnegie Mellon University (Statistics &amp; Public Policy)", "KeyContribution": "Proved the fairness impossibility theorem (2017): when recidivism prevalence differs across groups, satisfying calibration necessarily produces disparate error rates — base-rate divergence (the paradox mechanism) makes irreconcilable fairness criteria structurally unavoidable.", "SignatureWork": "Chouldechova (2017) — Fair Prediction with Disparate Impact, Big Data journal (arXiv:1610.07524)", "RelationToHannanPearl": "Translates the paradox into ML fairness: the \"confounder\" is group membership; the \"strata\" are demographic subgroups; the reversal is which group appears disadvantaged depending on the metric chosen. Not framed in Pearl's DAG language but structurally equivalent.", "VerifiedByDeepResearch": true, "ConfidenceLevel": "high", "CanonicalStudyId": "phe-covid-2021", "IllustratesConclusion": "conc-06-policy-derivable" },
      { "ResearcherId": "researcher-asudeh", "Name": "Abolfazl Asudeh", "TraditionId": "tradition-ai-fairness", "ActivePeriod": "2022–present", "Affiliation": "University of Illinois Chicago (UIC)", "KeyContribution": "Teaches and researches Simpson's Paradox as a core topic in responsible data science and AI fairness; frames it as a foundational structural threat to fairness audits in heterogeneous datasets.", "SignatureWork": "CS516 course materials and related research at UIC (2025)", "RelationToHannanPearl": "Bridges the Hannan aggregation-bias framing and the AI fairness audit literature; treats the paradox as a data-engineering problem, not purely a causal inference problem", "VerifiedByDeepResearch": true, "ConfidenceLevel": "medium", "CanonicalStudyId": "phe-covid-2021", "IllustratesConclusion": "conc-06-policy-derivable" },
      { "ResearcherId": "researcher-tallinn-group", "Name": "Sharma, Kaushik, Peious &amp; Draheim", "TraditionId": "tradition-ai-fairness", "ActivePeriod": "2022", "Affiliation": "Tallinn University of Technology — Information Systems Group", "KeyContribution": "Extended Simpson's Paradox detection from categorical to continuous variables for ML fairness audits (2022); frames automated paradox detection as a step toward next-generation fairness platforms.", "SignatureWork": "Sharma et al. (2022) — Detecting Simpson's Paradox: A Step Towards Fairness in Machine Learning, Springer", "RelationToHannanPearl": "Extends Hannan-style aggregation detection into continuous feature spaces; does not use Pearl's causal framework but treats the paradox as a data-pattern detection problem", "VerifiedByDeepResearch": true, "ConfidenceLevel": "medium", "CanonicalStudyId": "phe-covid-2021", "IllustratesConclusion": "conc-04-type-c-exists" }
    ]
  },
  "SyntheticPhase": {
    "Description": "Table: SyntheticPhase — a parametric grid of canonical 2×2 synthetic studies at controlled (ParamStratumFraction, ParamStratumGap1, ParamStratumGap2, ParamAllocationBias) coordinates. Stratum 1 is the hard stratum (base rate 0.45); stratum 2 is easy (base rate 0.75). Each row constructs cell counts from the parameters and derives PhaseDistortionType using the same geometric classification as TreatmentRankings. This maps the A/B/C+/C-/D phase boundaries algebraically — independent of empirical corpus data.",
    "schema": [
      {
        "name": "PhaseId",
        "datatype": "string",
        "type": "raw",
        "nullable": false,
        "Description": "Unique grid-point identifier encoding (w, g1, g2, b) coordinates."
      },
      {
        "name": "Name",
        "datatype": "string",
        "type": "calculated",
        "nullable": false,
        "Description": "Display label.",
        "formula": "={{PhaseId}}"
      },
      {
        "name": "ParamStratumFraction",
        "datatype": "number",
        "type": "raw",
        "nullable": false,
        "Description": "w — fraction of total cases in the hard (stratum-1) subgroup. Range 0.30–0.75 in this grid."
      },
      {
        "name": "ParamStratumGap1",
        "datatype": "number",
        "type": "raw",
        "nullable": false,
        "Description": "g1 — signed treatment advantage (rate_A − rate_B) in the hard stratum. Positive means A wins stratum 1."
      },
      {
        "name": "ParamStratumGap2",
        "datatype": "number",
        "type": "raw",
        "nullable": false,
        "Description": "g2 — signed treatment advantage in the easy stratum. Negative g2 enables type-B (partial reversal) cells."
      },
      {
        "name": "ParamAllocationBias",
        "datatype": "number",
        "type": "raw",
        "nullable": false,
        "Description": "b — allocation bias in stratum 1: extra fraction of stratum-1 cases assigned to treatment A above 50/50. Range 0.00–0.95."
      },
      {
        "name": "PhaseS1Total",
        "datatype": "number",
        "type": "calculated",
        "nullable": false,
        "Description": "Total cases in stratum 1 = ROUND(200 × ParamStratumFraction).",
        "formula": "=ROUND(200 * {{ParamStratumFraction}})"
      },
      {
        "name": "PhaseNA1",
        "datatype": "number",
        "type": "calculated",
        "nullable": false,
        "Description": "Treatment-A cases in stratum 1.",
        "formula": "=ROUND({{PhaseS1Total}} * (0.5 + {{ParamAllocationBias}} / 2))"
      },
      {
        "name": "PhaseNB1",
        "datatype": "number",
        "type": "calculated",
        "nullable": false,
        "Description": "Treatment-B cases in stratum 1.",
        "formula": "={{PhaseS1Total}} - {{PhaseNA1}}"
      },
      {
        "name": "PhaseNA2",
        "datatype": "number",
        "type": "calculated",
        "nullable": false,
        "Description": "Treatment-A cases in stratum 2.",
        "formula": "=100 - {{PhaseNA1}}"
      },
      {
        "name": "PhaseNB2",
        "datatype": "number",
        "type": "calculated",
        "nullable": false,
        "Description": "Treatment-B cases in stratum 2.",
        "formula": "=100 - {{PhaseNB1}}"
      },
      {
        "name": "PhaseRateA1",
        "datatype": "number",
        "type": "calculated",
        "nullable": false,
        "Description": "Success rate for A in hard stratum.",
        "formula": "=0.45 + {{ParamStratumGap1}} / 2"
      },
      {
        "name": "PhaseRateB1",
        "datatype": "number",
        "type": "calculated",
        "nullable": false,
        "Description": "Success rate for B in hard stratum.",
        "formula": "=0.45 - {{ParamStratumGap1}} / 2"
      },
      {
        "name": "PhaseRateA2",
        "datatype": "number",
        "type": "calculated",
        "nullable": false,
        "Description": "Success rate for A in easy stratum.",
        "formula": "=0.75 + {{ParamStratumGap2}} / 2"
      },
      {
        "name": "PhaseRateB2",
        "datatype": "number",
        "type": "calculated",
        "nullable": false,
        "Description": "Success rate for B in easy stratum.",
        "formula": "=0.75 - {{ParamStratumGap2}} / 2"
      },
      {
        "name": "PhasePooledRateA",
        "datatype": "number",
        "type": "calculated",
        "nullable": false,
   </t>
  </si>
  <si>
    <t xml:space="preserve">     "Description": "Pooled success rate for treatment A.",
        "formula": "=({{PhaseNA1}} * {{PhaseRateA1}} + {{PhaseNA2}} * {{PhaseRateA2}}) / 100"
      },
      {
        "name": "PhasePooledRateB",
        "datatype": "number",
        "type": "calculated",
        "nullable": false,
        "Description": "Pooled success rate for treatment B.",
        "formula": "=({{PhaseNB1}} * {{PhaseRateB1}} + {{PhaseNB2}} * {{PhaseRateB2}}) / 100"
      },
      {
        "name": "PhaseSignedPooledGap",
        "datatype": "number",
        "type": "calculated",
        "nullable": false,
        "Description": "Pooled rate gap (A minus B).",
        "formula": "={{PhasePooledRateA}} - {{PhasePooledRateB}}"
      },
      {
        "name": "PhaseCorrectedGap",
        "datatype": "number",
        "type": "calculated",
        "nullable": false,
        "Description": "Allocation-free equal-weight gap = w×g1 + (1−w)×g2.",
        "formula": "={{ParamStratumFraction}} * {{ParamStratumGap1}} + (1 - {{ParamStratumFraction}}) * {{ParamStratumGap2}}"
      },
      {
        "name": "PhaseStrataWonByLoser",
        "datatype": "number",
        "type": "calculated",
        "nullable": false,
        "Description": "Count of strata whose per-stratum winner disagrees with the pooled winner.",
        "formula": "=IF({{PhaseSignedPooledGap}} &gt; 0, IF({{ParamStratumGap1}} &lt; 0, 1, 0) + IF({{ParamStratumGap2}} &lt; 0, 1, 0), IF({{ParamStratumGap1}} &gt; 0, 1, 0) + IF({{ParamStratumGap2}} &gt; 0, 1, 0))"
      },
      {
        "name": "PhaseReversalIntensity",
        "datatype": "number",
        "type": "calculated",
        "nullable": false,
        "Description": "PhaseStrataWonByLoser / 2 for this 2-stratum template.",
        "formula": "={{PhaseStrataWonByLoser}} / 2"
      },
      {
        "name": "PhaseIsSignFlip",
        "datatype": "boolean",
        "type": "calculated",
        "nullable": false,
        "Description": "TRUE when equal-weight and pooled gaps have opposite signs.",
        "formula": "=IF({{PhaseCorrectedGap}} &gt; 0, {{PhaseSignedPooledGap}} &lt; 0, {{PhaseSignedPooledGap}} &gt; 0)"
      },
      {
        "name": "PhaseAllocationDistortion",
        "datatype": "number",
        "type": "calculated",
        "nullable": false,
        "Description": "|PhaseCorrectedGap − PhaseSignedPooledGap|.",
        "formula": "=ABS({{PhaseCorrectedGap}} - {{PhaseSignedPooledGap}})"
      },
      {
        "name": "PhaseDistortionType",
        "datatype": "string",
        "type": "calculated",
        "nullable": false,
        "Description": "Five-type geometric classification at this parameter point.",
        "formula": "=IF(AND({{PhaseIsSignFlip}}, {{PhaseReversalIntensity}} = 1), \"A\", IF(AND({{PhaseIsSignFlip}}, {{PhaseReversalIntensity}} &lt; 1), \"B\", IF(AND(NOT({{PhaseIsSignFlip}}), {{PhaseAllocationDistortion}} &gt; 0.01, ABS({{PhaseSignedPooledGap}}) &gt; ABS({{PhaseCorrectedGap}}) + 0.001), \"C+\", IF(AND(NOT({{PhaseIsSignFlip}}), {{PhaseAllocationDistortion}} &gt; 0.01, ABS({{PhaseSignedPooledGap}}) &lt; ABS({{PhaseCorrectedGap}}) - 0.001), \"C-\", \"D\"))))"
      }
    ],
    "data": [
      { "PhaseId": "phase-w30-g104-g200-b00", "ParamStratumFraction": 0.3, "ParamStratumGap1": 0.04, "ParamStratumGap2": -0.08, "ParamAllocationBias": 0.0 },
      { "PhaseId": "phase-w30-g104-g200-b30", "ParamStratumFraction": 0.3, "ParamStratumGap1": 0.04, "ParamStratumGap2": -0.08, "ParamAllocationBias": 0.3 },
      { "PhaseId": "phase-w30-g104-g200-b60", "ParamStratumFraction": 0.3, "ParamStratumGap1": 0.04, "ParamStratumGap2": -0.08, "ParamAllocationBias": 0.6 },
      { "PhaseId": "phase-w30-g104-g200-b80", "ParamStratumFraction": 0.3, "ParamStratumGap1": 0.04, "ParamStratumGap2": -0.08, "ParamAllocationBias": 0.8 },
      { "PhaseId": "phase-w30-g104-g200-b95", "ParamStratumFraction": 0.3, "ParamStratumGap1": 0.04, "ParamStratumGap2": -0.08, "ParamAllocationBias": 0.95 },
      { "PhaseId": "phase-w30-g104-g208-b00", "ParamStratumFraction": 0.3, "ParamStratumGap1": 0.04, "ParamStratumGap2": 0.0, "ParamAllocationBias": 0.0 },
      { "PhaseId": "phase-w30-g104-g208-b30", "ParamStratumFraction": 0.3, "ParamStratumGap1": 0.04, "ParamStratumGap2": 0.0, "ParamAllocationBias": 0.3 },
      { "PhaseId": "phase-w30-g104-g208-b60", "ParamStratumFraction": 0.3, "ParamStratumGap1": 0.04, "ParamStratumGap2": 0.0, "ParamAllocationBias": 0.6 },
      { "PhaseId": "phase-w30-g104-g208-b80", "ParamStratumFraction": 0.3, "ParamStratumGap1": 0.04, "ParamStratumGap2": 0.0, "ParamAllocationBias": 0.8 },
      { "PhaseId": "phase-w30-g104-g208-b95", "ParamStratumFraction": 0.3, "ParamStratumGap1": 0.04, "ParamStratumGap2": 0.0, "ParamAllocationBias": 0.95 },
      { "PhaseId": "phase-w30-g104-g212-b00", "ParamStratumFraction": 0.3, "ParamStratumGap1": 0.04, "ParamStratumGap2": 0.04, "ParamAllocationBias": 0.0 },
      { "PhaseId": "phase-w30-g104-g212-b30", "ParamStratumFraction": 0.3, "ParamStratumGap1": 0.04, "ParamStratumGap2": 0.04, "ParamAllocationBias": 0.3 },
      { "PhaseId": "phase-w30-g104-g212-b60", "ParamStratumFraction": 0.3, "ParamStratumGap1": 0.04, "ParamStratumGap2": 0.04, "ParamAllocationBias": 0.6 },
      { "PhaseId": "phase-w30-g104-g212-b80", "ParamStratumFraction": 0.3, "ParamStratumGap1": 0.04, "ParamStratumGap2": 0.04, "ParamAllocationBias": 0.8 },
      { "PhaseId": "phase-w30-g104-g212-b95", "ParamStratumFraction": 0.3, "ParamStratumGap1": 0.04, "ParamStratumGap2": 0.04, "ParamAllocationBias": 0.95 },
      { "PhaseId": "phase-w30-g104-g216-b00", "ParamStratumFraction": 0.3, "ParamStratumGap1": 0.04, "ParamStratumGap2": 0.08, "ParamAllocationBias": 0.0 },
      { "PhaseId": "phase-w30-g104-g216-b30", "ParamStratumFraction": 0.3, "ParamStratumGap1": 0.04, "ParamStratumGap2": 0.08, "ParamAllocationBias": 0.3 },
      { "PhaseId": "phase-w30-g104-g216-b60", "ParamStratumFraction": 0.3, "ParamStratumGap1": 0.04, "ParamStratumGap2": 0.08, "ParamAllocationBias": 0.6 },
      { "PhaseId": "phase-w30-g104-g216-b80", "ParamStratumFraction": 0.3, "ParamStratumGap1": 0.04, "ParamStratumGap2": 0.08, "ParamAllocationBias": 0.8 },
      { "PhaseId": "phase-w30-g104-g216-b95", "ParamStratumFraction": 0.3, "ParamStratumGap1": 0.04, "ParamStratumGap2": 0.08, "ParamAllocationBias": 0.95 },
      { "PhaseId": "phase-w30-g108-g200-b00", "ParamStratumFraction": 0.3, "ParamStratumGap1": 0.08, "ParamStratumGap2": -0.08, "ParamAllocationBias": 0.0 },
      { "PhaseId": "phase-w30-g108-g200-b30", "ParamStratumFraction": 0.3, "ParamStratumGap1": 0.08, "ParamStratumGap2": -0.08, "ParamAllocationBias": 0.3 },
      { "PhaseId": "phase-w30-g108-g200-b60", "ParamStratumFraction": 0.3, "ParamStratumGap1": 0.08, "ParamStratumGap2": -0.08, "ParamAllocationBias": 0.6 },
      { "PhaseId": "phase-w30-g108-g200-b80", "ParamStratumFraction": 0.3, "ParamStratumGap1": 0.08, "ParamStratumGap2": -0.08, "ParamAllocationBias": 0.8 },
      { "PhaseId": "phase-w30-g108-g200-b95", "ParamStratumFraction": 0.3, "ParamStratumGap1": 0.08, "ParamStratumGap2": -0.08, "ParamAllocationBias": 0.95 },
      { "PhaseId": "phase-w30-g108-g208-b00", "ParamStratumFraction": 0.3, "ParamStratumGap1": 0.08, "ParamStratumGap2": 0.0, "ParamAllocationBias": 0.0 },
      { "PhaseId": "phase-w30-g108-g208-b30", "ParamStratumFraction": 0.3, "ParamStratumGap1": 0.08, "ParamStratumGap2": 0.0, "ParamAllocationBias": 0.3 },
      { "PhaseId": "phase-w30-g108-g208-b60", "ParamStratumFraction": 0.3, "ParamStratumGap1": 0.08, "ParamStratumGap2": 0.0, "ParamAllocationBias": 0.6 },
      { "PhaseId": "phase-w30-g108-g208-b80", "ParamStratumFraction": 0.3, "ParamStratumGap1": 0.08, "ParamStratumGap2": 0.0, "ParamAllocationBias": 0.8 },
      { "PhaseId": "phase-w30-g108-g208-b95", "ParamStratumFraction": 0.3, "ParamStratumGap1": 0.08, "ParamStratumGap2": 0.0, "ParamAllocationBias": 0.95 },
      { "PhaseId": "phase-w30-g108-g212-b00", "ParamStratumFraction": 0.3, "ParamStratumGap1": 0.08, "ParamStratumGap2": 0.04, "ParamAllocationBias": 0.0 },
      { "PhaseId": "phase-w30-g108-g212-b30", "ParamStratumFraction": 0.3, "ParamStratumGap1": 0.08, "ParamStratumGap2": 0.04, "ParamAllocationBias": 0.3 },
      { "PhaseId": "phase-w30-g108-g212-b60", "ParamStratumFraction": 0.3, "ParamStratumGap1": 0.08, "ParamStratumGap2": 0.04, "ParamAllocationBias": 0.6 },
      { "PhaseId": "phase-w30-g108-g212-b80", "ParamStratumFraction": 0.3, "ParamStratumGap1": 0.08, "ParamStratumGap2": 0.04, "ParamAllocationBias": 0.8 },
      { "PhaseId": "phase-w30-g108-g212-b95", "ParamStratumFraction": 0.3, "ParamStratumGap1": 0.08, "ParamStratumGap2": 0.04, "ParamAllocationBias": 0.95 },
      { "PhaseId": "phase-w30-g108-g216-b00", "ParamStratumFraction": 0.3, "ParamStratumGap1": 0.08, "ParamStratumGap2": 0.08, "ParamAllocationBias": 0.0 },
      { "PhaseId": "phase-w30-g108-g216-b30", "ParamStratumFraction": 0.3, "ParamStratumGap1": 0.08, "ParamStratumGap2": 0.08, "ParamAllocationBias": 0.3 },
      { "PhaseId": "phase-w30-g108-g216-b60", "ParamStratumFraction": 0.3, "ParamStratumGap1": 0.08, "ParamStratumGap2": 0.08, "ParamAllocationBias": 0.6 },
      { "PhaseId": "phase-w30-g108-g216-b80", "ParamStratumFraction": 0.3, "ParamStratumGap1": 0.08, "ParamStratumGap2": 0.08, "ParamAllocationBias": 0.8 },
      { "PhaseId": "phase-w30-g108-g216-b95", "ParamStratumFraction": 0.3, "ParamStratumGap1": 0.08, "ParamStratumGap2": 0.08, "ParamAllocationBias": 0.95 },
      { "PhaseId": "phase-w30-g112-g200-b00", "ParamStratumFraction": 0.3, "ParamStratumGap1": 0.12, "ParamStratumGap2": -0.08, "ParamAllocationBias": 0.0 },
      { "PhaseId": "phase-w30-g112-g200-b30", "ParamStratumFraction": 0.3, "ParamStratumGap1": 0.12, "ParamStratumGap2": -0.08, "ParamAllocationBias": 0.3 },
      { "PhaseId": "phase-w30-g112-g200-b60", "ParamStratumFraction": 0.3, "ParamStratumGap1": 0.12, "ParamStratumGap2": -0.08, "ParamAllocationBias": 0.6 },
      { "PhaseId": "phase-w30-g112-g200-b80", "ParamStratumFraction": 0.3, "ParamStratumGap1": 0.12, "ParamStratumGap2": -0.08, "ParamAllocationBias": 0.8 },
      { "PhaseId": "phase-w30-g112-g200-b95", "ParamStratumFraction": 0.3, "ParamStratumGap1": 0.12, "ParamStratumGap2": -0.08, "ParamAllocationBias": 0.95 },
      { "PhaseId": "phase-w30-g112-g208-b00", "ParamStratumFraction": 0.3, "ParamStratumGap1": 0.12, "ParamStratumGap2": 0.0, "ParamAllocationBias": 0.0 },
      { "PhaseId": "phase-w30-g112-g208-b30", "ParamStratumFraction": 0.3, "ParamStratumGap1": 0.12, "ParamStratumGap2": 0.0, "ParamAllocationBias": 0.3 },
      { "PhaseId": "phase-w30-g112-g208-b60", "ParamStratumFraction": 0.3, "ParamStratumGap1": 0.12, "ParamStratumGap2": 0.0, "ParamAllocationBias": 0.6 },
      { "PhaseId": "phase-w30-g112-g208-b80", "ParamStratumFraction": 0.3, "ParamStratumGap1": 0.12, "ParamStratumGap2": 0.0, "ParamAllocationBias": 0.8 },
      { "PhaseId": "phase-w30-g112-g208-b95", "ParamStratumFraction": 0.3, "ParamStratumGap1": 0.12, "ParamStratumGap2": 0.0, "ParamAllocationBias": 0.95 },
      { "PhaseId": "phase-w30-g112-g212-b00", "ParamStratumFraction": 0.3, "ParamStratumGap1": 0.12, "ParamStratumGap2": 0.04, "ParamAllocationBias": 0.0 },
      { "PhaseId": "phase-w30-g112-g212-b30", "ParamStratumFraction": 0.3, "ParamStratumGap1": 0.12, "ParamStratumGap2": 0.04, "ParamAllocationBias": 0.3 },
      { "PhaseId": "phase-w30-g112-g212-b60", "ParamStratumFraction": 0.3, "ParamStratumGap1": 0.12, "ParamStratumGap2": 0.04, "ParamAllocationBias": 0.6 },
      { "PhaseId": "phase-w30-g112-g212-b80", "ParamStratumFraction": 0.3, "ParamStratumGap1": 0.12, "ParamStratumGap2": 0.04, "ParamAllocationBias": 0.8 },
      { "PhaseId": "phase-w30-g112-g212-b95", "ParamStratumFraction": 0.3, "ParamStratumGap1": 0.12, "ParamStratumGap2": 0.04, "ParamAllocationBias": 0.95 },
      { "PhaseId": "phase-w30-g112-g216-b00", "ParamStratumFraction": 0.3, "ParamStratumGap1": 0.12, "ParamStratumGap2": 0.08, "ParamAllocationBias": 0.0 },
      { "PhaseId": "phase-w30-g112-g216-b30", "ParamStratumFraction": 0.3, "ParamStratumGap1": 0.12, "ParamStratumGap2": 0.08, "ParamAllocationBias": 0.3 },
      { "PhaseId": "phase-w30-g112-g216-b60", "ParamStratumFraction": 0.3, "ParamStratumGap1": 0.12, "ParamStratumGap2": 0.08, "ParamAllocationBias": 0.6 },
      { "PhaseId": "phase-w30-g112-g216-b80", "ParamStratumFraction": 0.3, "ParamStratumGap1": 0.12, "ParamStratumGap2": 0.08, "ParamAllocationBias": 0.8 },
      { "PhaseId": "phase-w30-g112-g216-b95", "ParamStratumFraction": 0.3, "ParamStratumGap1": 0.12, "ParamStratumGap2": 0.08, "ParamAllocationBias": 0.95 },
      { "PhaseId": "phase-w30-g116-g200-b00", "ParamStratumFraction": 0.3, "ParamStratumGap1": 0.16, "ParamStratumGap2": -0.08, "ParamAllocationBias": 0.0 },
      { "PhaseId": "phase-w30-g116-g200-b30", "ParamStratumFraction": 0.3, "ParamStratumGap1": 0.16, "ParamStratumGap2": -0.08, "ParamAllocationBias": 0.3 },
      { "PhaseId": "phase-w30-g116-g200-b60", "ParamStratumFraction": 0.3, "ParamStratumGap1": 0.16, "ParamStratumGap2": -0.08, "ParamAllocationBias": 0.6 },
      { "PhaseId": "phase-w30-g116-g200-b80", "ParamStratumFraction": 0.3, "ParamStratumGap1": 0.16, "ParamStratumGap2": -0.08, "ParamAllocationBias": 0.8 },
      { "PhaseId": "phase-w30-g116-g200-b95", "ParamStratumFraction": 0.3, "ParamStratumGap1": 0.16, "ParamStratumGap2": -0.08, "ParamAllocationBias": 0.95 },
      { "PhaseId": "phase-w30-g116-g208-b00", "ParamStratumFraction": 0.3, "ParamStratumGap1": 0.16, "ParamStratumGap2": 0.0, "ParamAllocationBias": 0.0 },
      { "PhaseId": "phase-w30-g116-g208-b30", "ParamStratumFraction": 0.3, "ParamStratumGap1": 0.16, "ParamStratumGap2": 0.0, "ParamAllocationBias": 0.3 },
      { "PhaseId": "phase-w30-g116-g208-b60", "ParamStratumFraction": 0.3, "ParamStratumGap1": 0.16, "ParamStratumGap2": 0.0, "ParamAllocationBias": 0.6 },
      { "PhaseId": "phase-w30-g116-g208-b80", "ParamStratumFraction": 0.3, "ParamStratumGap1": 0.16, "ParamStratumGap2": 0.0, "ParamAllocationBias": 0.8 },
      { "PhaseId": "phase-w30-g116-g208-b95", "ParamStratumFraction": 0.3, "ParamStratumGap1": 0.16, "ParamStratumGap2": 0.0, "ParamAllocationBias": 0.95 },
      { "PhaseId": "phase-w30-g116-g212-b00", "ParamStratumFraction": 0.3, "ParamStratumGap1": 0.16, "ParamStratumGap2": 0.04, "ParamAllocationBias": 0.0 },
      { "PhaseId": "phase-w30-g116-g212-b30", "ParamStratumFraction": 0.3, "ParamStratumGap1": 0.16, "ParamStratumGap2": 0.04, "ParamAllocationBias": 0.3 },
      { "PhaseId": "phase-w30-g116-g212-b60", "ParamStratumFraction": 0.3, "ParamStratumGap1": 0.16, "ParamStratumGap2": 0.04, "ParamAllocationBias": 0.6 },
      { "PhaseId": "phase-w30-g116-g212-b80", "ParamStratumFraction": 0.3, "ParamStratumGap1": 0.16, "ParamStratumGap2": 0.04, "ParamAllocationBias": 0.8 },
      { "PhaseId": "phase-w30-g116-g212-b95", "ParamStratumFraction": 0.3, "ParamStratumGap1": 0.16, "ParamStratumGap2": 0.04, "ParamAllocationBias": 0.95 },
      { "PhaseId": "phase-w30-g116-g216-b00", "ParamStratumFraction": 0.3, "ParamStratumGap1": 0.16, "ParamStratumGap2": 0.08, "ParamAllocationBias": 0.0 },
      { "PhaseId": "phase-w30-g116-g216-b30", "ParamStratumFraction": 0.3, "ParamStratumGap1": 0.16, "ParamStratumGap2": 0.08, "ParamAllocationBias": 0.3 },
      { "PhaseId": "phase-w30-g116-g216-b60", "ParamStratumFraction": 0.3, "ParamStratumGap1": 0.16, "ParamStratumGap2": 0.08, "ParamAllocationBias": 0.6 },
      { "PhaseId": "phase-w30-g116-g216-b80", "ParamStratumFraction": 0.3, "ParamStratumGap1": 0.16, "ParamStratumGap2": 0.08, "ParamAllocationBias": 0.8 },
      { "PhaseId": "phase-w30-g116-g216-b95", "ParamStratumFraction": 0.3, "ParamStratumGap1": 0.16, "ParamStratumGap2": 0.08, "ParamAllocationBias": 0.95 },
      { "PhaseId": "phase-w45-g104-g200-b00", "ParamStratumFraction": 0.45, "ParamStratumGap1": 0.04, "ParamStratumGap2": -0.08, "ParamAllocationBias": 0.0 },
      { "PhaseId": "phase-w45-g104-g200-b30", "ParamStratumFraction": 0.45, "ParamStratumGap1": 0.04, "ParamStratumGap2": -0.08, "ParamAllocationBias": 0.3 },
      { "PhaseId": "phase-w45-g104-g200-b60", "ParamStratumFraction": 0.45, "ParamStratumGap1": 0.04, "ParamStratumGap2": -0.08, "ParamAllocationBias": 0.6 },
      { "PhaseId": "phase-w45-g104-g200-b80", "ParamStratumFraction": 0.45, "ParamStratumGap1": 0.04, "ParamStratumGap2": -0.08, "ParamAllocationBias": 0.8 },
      { "PhaseId": "phase-w45-g104-g200-b95", "ParamStratumFraction": 0.45, "ParamStratumGap1": 0.04, "ParamStratumGap2": -0.08, "ParamAllocationBias": 0.95 },
      { "PhaseId": "phase-w45-g104-g208-b00", "ParamStratumFraction": 0.45, "ParamStratumGap1": 0.04, "ParamStratumGap2": 0.0, "ParamAllocationBias": 0.0 },
      { "PhaseId": "phase-w45-g104-g208-b30", "ParamStratumFraction": 0.45, "ParamStratumGap1": 0.04, "ParamStratumGap2": 0.0, "ParamAllocationBias": 0.3 },
      { "PhaseId": "phase-w45-g104-g208-b60", "ParamStratumFraction": 0.45, "ParamStratumGap1": 0.04, "ParamStratumGap2": 0.0, "ParamAllocationBias": 0.6 },
      { "PhaseId": "phase-w45-g104-g208-b80", "ParamStratumFraction": 0.45, "ParamStratumGap1": 0.04, "ParamStratumGap2": 0.0, "ParamAllocationBias": 0.8 },
      { "PhaseId": "phase-w45-g104-g208-b95", "ParamStratumFraction": 0.45, "ParamStratumGap1": 0.04, "ParamStratumGap2": 0.0, "ParamAllocationBias": 0.95 },
      { "PhaseId": "phase-w45-g104-g212-b00", "ParamStratumFraction": 0.45, "ParamStratumGap1": 0.04, "ParamStratumGap2": 0.04, "ParamAllocationBias": 0.0 },
      { "PhaseId": "phase-w45-g104-g212-b30", "ParamStratumFraction": 0.45, "ParamStratumGap1": 0.04, "ParamStratumGap2": 0.04, "ParamAllocationBias": 0.3 },
      { "PhaseId": "phase-w45-g104-g212-b60", "ParamStratumFraction": 0.45, "ParamStratumGap1": 0.04, "ParamStratumGap2": 0.04, "ParamAllocationBias": 0.6 },
      { "PhaseId": "phase-w45-g104-g212-b80", "ParamStratumFraction": 0.45, "ParamStratumGap1": 0.04, "ParamStratumGap2": 0.04, "ParamAllocationBias": 0.8 },
      { "PhaseId": "phase-w45-g104-g212-b95", "ParamStratumFraction": 0.45, "ParamStratumGap1": 0.04, "ParamStratumGap2": 0.04, "ParamAllocationBias": 0.95 },
      { "PhaseId": "phase-w45-g104-g216-b00", "ParamStratumFraction": 0.45, "ParamStratumGap1": 0.04, "ParamStratumGap2": 0.08, "ParamAllocationBias": 0.0 },
      { "PhaseId": "phase-w45-g104-g216-b30", "ParamStratumFraction": 0.45, "ParamStratumGap1": 0.04, "ParamStratumGap2": 0.08, "ParamAllocationBias": 0.3 },
      { "PhaseId": "phase-w45-g104-g216-b60", "ParamStratumFraction": 0.45, "ParamStratumGap1": 0.04, "ParamStratumGap2": 0.08, "ParamAllocationBias": 0.6 },
      { "PhaseId": "phase-w45-g104-g216-b80", "ParamStratumFraction": 0.45, "ParamStratumGap1": 0.04, "ParamStratumGap2": 0.08, "ParamAllocationBias": 0.8 },
      { "PhaseId": "phase-w45-g104-g216-b95", "ParamStratumFraction": 0.45, "ParamStratumGap1": 0.04, "ParamStratumGap2": 0.08, "ParamAllocationBias": 0.95 },
      { "PhaseId": "phase-w45-g108-g200-b00", "ParamStratumFraction": 0.45, "ParamStratumGap1": 0.08, "ParamStratumGap2": -0.08, "ParamAllocationBias": 0.0 },
      { "PhaseId": "phase-w45-g108-g200-b30", "ParamStratumFraction": 0.45, "ParamStratumGap1": 0.08, "ParamStratumGap2": -0.08, "ParamAllocationBias": 0.3 },
      { "PhaseId": "phase-w45-g108-g200-b60", "ParamStratumFraction": 0.45, "ParamStratumGap1": 0.08, "ParamStratumGap2": -0.08, "ParamAllocationBias": 0.6 },
      { "PhaseId": "phase-w45-g108-g200-b80", "ParamStratumFraction": 0.45, "ParamStratumGap1": 0.08, "ParamStratumGap2": -0.08, "ParamAllocationBias": 0.8 },
      { "PhaseId": "phase-w45-g108-g200-b95", "ParamStratumFraction": 0.45, "ParamStratumGap1": 0.08, "ParamStratumGap2": -0.08, "ParamAllocationBias": 0.95 },
      { "PhaseId": "phase-w45-g108-g208-b00", "ParamStratumFraction": 0.45, "ParamStratumGap1": 0.08, "ParamStratumGap2": 0.0, "ParamAllocationBias": 0.0 },
      { "PhaseId": "phase-w45-g108-g208-b30", "ParamStratumFraction": 0.45, "ParamStratumGap1": 0.08, "ParamStratumGap2": 0.0, "ParamAllocationBias": 0.3 },
      { "PhaseId": "phase-w45-g108-g208-b60", "ParamStratumFraction": 0.45, "ParamStratumGap1": 0.08, "ParamStratumGap2": 0.0, "ParamAllocationBias": 0.6 },
      { "PhaseId": "phase-w45-g108-g208-b80", "ParamStratumFraction": 0.45, "ParamStratumGap1": 0.08, "ParamStratumGap2": 0.0, "ParamAllocationBias": 0.8 },
      { "PhaseId": "phase-w45-g108-g208-b95", "ParamStratumFraction": 0.45, "ParamStratumGap1": 0.08, "ParamStratumGap2": 0.0, "ParamAllocationBias": 0.95 },
      { "PhaseId": "phase-w45-g108-g212-b00", "ParamStratumFraction": 0.45, "ParamStratumGap1": 0.08, "ParamStratumGap2": 0.04, "ParamAllocationBias": 0.0 },
      { "PhaseId": "phase-w45-g108-g212-b30", "ParamStratumFraction": 0.45, "ParamStratumGap1": 0.08, "ParamStratumGap2": 0.04, "ParamAllocationBias": 0.3 },
      { "PhaseId": "phase-w45-g108-g212-b60", "ParamStratumFraction": 0.45, "ParamStratumGap1": 0.08, "ParamStratumGap2": 0.04, "ParamAllocationBias": 0.6 },
      { "PhaseId": "phase-w45-g108-g212-b80", "ParamStratumFraction": 0.45, "ParamStratumGap1": 0.08, "ParamStratumGap2": 0.04, "ParamAllocationBias": 0.8 },
      { "PhaseId": "phase-w45-g108-g212-b95", "ParamStratumFraction": 0.45, "ParamStratumGap1": 0.08, "ParamStratumGap2": 0.04, "ParamAllocationBias": 0.95 },
      { "PhaseId": "phase-w45-g108-g216-b00", "ParamStratumFraction": 0.45, "ParamStratumGap1": 0.08, "ParamStratumGap2": 0.08, "ParamAllocationBias": 0.0 },
      { "PhaseId": "phase-w45-g108-g216-b30", "ParamStratumFraction": 0.45, "ParamStratumGap1": 0.08, "ParamStratumGap2": 0.08, "ParamAllocationBias": 0.3 },
      { "PhaseId": "phase-w45-g108-g216-b60", "ParamStratumFraction": 0.45, "ParamStratumGap1": 0.08, "ParamStratumGap2": 0.08, "ParamAllocationBias": 0.6 },
      { "PhaseId": "phase-w45-g108-g216-b80", "ParamStratumFraction": 0.45, "ParamStratumGap1": 0.08, "ParamStratumGap2": 0.08, "ParamAllocationBias": 0.8 },
      { "PhaseId": "phase-w45-g108-g216-b95", "ParamStratumFraction": 0.45, "ParamStratumGap1": 0.08, "ParamStratumGap2": 0.08, "ParamAllocationBias": 0.95 },
      { "PhaseId": "phase-w45-g112-g200-b00", "ParamStratumFraction": 0.45, "ParamStratumGap1": 0.12, "ParamStratumGap2": -0.08, "ParamAllocationBias": 0.0 },
      { "PhaseId": "phase-w45-g112-g200-b30", "ParamStratumFraction": 0.45, "ParamStratumGap1": 0.12, "ParamStratumGap2": -0.08, "ParamAllocationBias": 0.3 },
      { "PhaseId": "phase-w45-g112-g200-b60", "ParamStratumFraction": 0.45, "ParamStratumGap1": 0.12, "ParamStratumGap2": -0.08, "ParamAllocationBias": 0.6 },
      { "PhaseId": "phase-w45-g112-g200-b80", "ParamStratumFraction": 0.45, "ParamStratumGap1": 0.12, "ParamStratumGap2": -0.08, "ParamAllocationBias": 0.8 },
      { "PhaseId": "phase-w45-g112-g200-b95", "ParamStratumFraction": 0.45, "ParamStratumGap1": 0.12, "ParamStratumGap2": -0.08, "ParamAllocationBias": 0.95 },
      { "PhaseId": "phase-w45-g112-g208-b00", "ParamStratumFraction": 0.45, "ParamStratumGap1": 0.12, "ParamStratumGap2": 0.0, "ParamAllocationBias": 0.0 },
      { "PhaseId": "phase-w45-g112-g208-b30", "ParamStratumFraction": 0.45, "ParamStratumGap1": 0.12, "ParamStratumGap2": 0.0, "ParamAllocationBias": 0.3 },
      { "PhaseId": "phase-w45-g112-g208-b60", "ParamStratumFraction": 0.45, "ParamStratumGap1": 0.12, "ParamStratumGap2": 0.0, "ParamAllocationBias": 0.6 },
      { "PhaseId": "phase-w45-g112-g208-b80", "ParamStratumFraction": 0.45, "ParamStratumGap1": 0.12, "ParamStratumGap2": 0.0, "ParamAllocationBias": 0.8 },
      { "PhaseId": "phase-w45-g112-g208-b95", "ParamStratumFraction": 0.45, "ParamStratumGap1": 0.12, "ParamStratumGap2": 0.0, "ParamAllocationBias": 0.95 },
      { "PhaseId": "phase-w45-g112-g212-b00", "ParamStratumFraction": 0.45, "ParamStratumGap1": 0.12, "ParamStratumGap2": 0.04, "ParamAllocationBias": 0.0 },
      { "PhaseId": "phase-w45-g112-g212-b30", "ParamStratumFraction": 0.45, "ParamStratumGap1": 0.12, "ParamStratumGap2": 0.04, "ParamAllocationBias": 0.3 },
      { "PhaseId": "phase-w45-g112-g212-b60", "ParamStratumFraction": 0.45, "ParamStratumGap1": 0.12, "ParamStratumGap2": 0.04, "ParamAllocationBias": 0.6 },
      { "PhaseId": "phase-w45-g112-g212-b80", "ParamStratumFraction": 0.45, "ParamStratumGap1": 0.12, "ParamStratumGap2": 0.04, "ParamAllocationBias": 0.8 },
      { "PhaseId": "phase-w45-g112-g212-b95", "ParamStratumFraction": 0.45, "ParamStratumGap1": 0.12, "ParamStratumGap2": 0.04, "ParamAllocationBias": 0.95 },
      { "PhaseId": "phase-w45-g112-g216-b00", "ParamStratumFraction": 0.45, "ParamStratumGap1": 0.12, "ParamStratumGap2": 0.08, "ParamAllocationBias": 0.0 },
      { "PhaseId": "phase-w45-g112-g216-b30", "ParamStratumFraction": 0.45, "ParamStratumGap1": 0.12, "ParamStratumGap2": 0.08, "ParamAllocationBias": 0.3 },
      { "PhaseId": "phase-w45-g112-g216-b60", "ParamStratumFraction": 0.45, "ParamStratumGap1": 0.12, "ParamStratumGap2": 0.08, "ParamAllocationBias": 0.6 },
      { "PhaseId": "phase-w45-g112-g216-b80", "ParamStratumFraction": 0.45, "ParamStratumGap1": 0.12, "ParamStratumGap2": 0.08, "ParamAllocationBias": 0.8 },
      { "PhaseId": "phase-w45-g112-g216-b95", "ParamStratumFraction": 0.45, "ParamStratumGap1": 0.12, "ParamStratumGap2": 0.08, "ParamAllocationBias": 0.95 },
      { "PhaseId": "phase-w45-g116-g200-b00", "ParamStratumFraction": 0.45, "ParamStratumGap1": 0.16, "ParamStratumGap2": -0.08, "ParamAllocationBias": 0.0 },
      { "PhaseId": "phase-w45-g116-g200-b30", "ParamStratumFraction": 0.45, "ParamStratumGap1": 0.16, "ParamStratumGap2": -0.08, "ParamAllocationBias": 0.3 },
      { "PhaseId": "phase-w45-g116-g200-b60", "ParamStratumFraction": 0.45, "ParamStratumGap1": 0.16, "ParamStratumGap2": -0.08, "ParamAllocationBias": 0.6 },
      { "PhaseId": "phase-w45-g116-g200-b80", "ParamStratumFraction": 0.45, "ParamStratumGap1": 0.16, "ParamStratumGap2": -0.08, "ParamAllocationBias": 0.8 },
      { "PhaseId": "phase-w45-g116-g200-b95", "ParamStratumFraction": 0.45, "ParamStratumGap1": 0.16, "ParamStratumGap2": -0.08, "ParamAllocationBias": 0.95 },
      { "PhaseId": "phase-w45-g116-g208-b00", "ParamStratumFraction": 0.45, "ParamStratumGap1": 0.16, "ParamStratumGap2": 0.0, "ParamAllocationBias": 0.0 },
      { "PhaseId": "phase-w45-g116-g208-b30", "ParamStratumFraction": 0.45, "ParamStratumGap1": 0.16, "ParamStratumGap2": 0.0, "ParamAllocationBias": 0.3 },
      { "PhaseId": "phase-w45-g116-g208-b60", "ParamStratumFraction": 0.45, "ParamStratumGap1": 0.16, "ParamStratumGap2": 0.0, "ParamAllocationBias": 0.6 },
      { "PhaseId": "phase-w45-g116-g208-b80", "ParamStratumFraction": 0.45, "ParamStratumGap1": 0.16, "ParamStratumGap2": 0.0, "ParamAllocationBias": 0.8 },
      { "PhaseId": "phase-w45-g116-g208-b95", "ParamStratumFraction": 0.45, "ParamStratumGap1": 0.16, "ParamStratumGap2": 0.0, "ParamAllocationBias": 0.95 },
      { "PhaseId": "phase-w45-g116-g212-b00", "ParamStratumFraction": 0.45, "ParamStratumGap1": 0.16, "ParamStratumGap2": 0.04, "ParamAllocationBias": 0.0 },
      { "PhaseId": "phase-w45-g116-g212-b30", "ParamStratumFraction": 0.45, "ParamStratumGap1": 0.16, "ParamStratumGap2": 0.04, "ParamAllocationBias": 0.3 },
      { "PhaseId": "phase-w45-g116-g212-b60", "ParamStratumFraction": 0.45, "ParamStratumGap1": 0.16, "ParamStratumGap2": 0.04, "ParamAllocationBias": 0.6 },
      { "PhaseId": "phase-w45-g116-g212-b80", "ParamStratumFraction": 0.45, "ParamStratumGap1": 0.16, "ParamStratumGap2": 0.04, "ParamAllocationBias": 0.8 },
      { "PhaseId": "phase-w45-g116-g212-b95", "ParamStratumFraction": 0.45, "ParamStratumGap1": 0.16, "ParamStratumGap2": 0.04, "ParamAllocationBias": 0.95 },
      { "PhaseId": "phase-w45-g116-g216-b00", "ParamStratumFraction": 0.45, "ParamStratumGap1": 0.16, "ParamStratumGap2": 0.08, "ParamAllocationBias": 0.0 },
      { "PhaseId": "phase-w45-g116-g216-b30", "ParamStratumFraction": 0.45, "ParamStratumGap1": 0.16, "ParamStratumGap2": 0.08, "ParamAllocationBias": 0.3 },
      { "PhaseId": "phase-w45-g116-g216-b60", "ParamStratumFraction": 0.45, "ParamStratumGap1": 0.16, "ParamStratumGap2": 0.08, "ParamAllocationBias": 0.6 },
      { "PhaseId": "phase-w45-g116-g216-b80", "ParamStratumFraction": 0.45, "ParamStratumGap1": 0.16, "ParamStratumGap2": 0.08, "ParamAllocationBias": 0.8 },
      { "PhaseId": "phase-w45-g116-g216-b95", "ParamStratumFraction": 0.45, "ParamStratumGap1": 0.16, "ParamStratumGap2": 0.08, "ParamAllocationBias": 0.95 },
      { "PhaseId": "phase-w60-g104-g200-b00", "ParamStratumFraction": 0.6, "ParamStratumGap1": 0.04, "ParamStratumGap2": -0.08, "ParamAllocationBias": 0.0 },
      { "PhaseId": "phase-w60-g104-g200-b30", "ParamStratumFraction": 0.6, "ParamStratumGap1": 0.04, "ParamStratumGap2": -0.08, "ParamAllocationBias": 0.3 },
      { "PhaseId": "phase-w60-g104-g200-b60", "ParamStratumFraction": 0.6, "ParamStratumGap1": 0.04, "ParamStratumGap2": -0.08, "ParamAllocationBias": 0.6 },
      { "PhaseId": "phase-w60-g104-g208-b00", "ParamStratumFraction": 0.6, "ParamStratumGap1": 0.04, "ParamStratumGap2": 0.0, "ParamAllocationBias": 0.0 },
      { "PhaseId": "phase-w60-g104-g208-b30", "ParamStratumFraction": 0.6, "ParamStratumGap1": 0.04, "ParamStratumGap2": 0.0, "ParamAllocationBias": 0.3 },
      { "PhaseId": "phase-w60-g104-g208-b60", "ParamStratumFraction": 0.6, "ParamStratumGap1": 0.04, "ParamStratumGap2": 0.0, "ParamAllocationBias": 0.6 },
      { "PhaseId": "phase-w60-g104-g212-b00", "ParamStratumFraction": 0.6, "ParamStratumGap1": 0.04, "ParamStratumGap2": 0.04, "ParamAllocationBias": 0.0 },
      { "PhaseId": "phase-w60-g104-g212-b30", "ParamStratumFraction": 0.6, "ParamStratumGap1": 0.04, "ParamStratumGap2": 0.04, "ParamAllocationBias": 0.3 },
      { "PhaseId": "phase-w60-g104-g212-b60", "ParamStratumFraction": 0.6, "ParamStratumGap1": 0.04, "ParamStratumGap2": 0.04, "ParamAllocationBias": 0.6 },
      { "PhaseId": "phase-w60-g104-g216-b00", "ParamStratumFraction": 0.6, "ParamStratumGap1": 0.04, "ParamStratumGap2": 0.08, "ParamAllocationBias": 0.0 },
      { "PhaseId": "phase-w60-g104-g216-b30", "ParamStratumFraction": 0.6, "ParamStratumGap1": 0.04, "ParamStratumGap2": 0.08, "ParamAllocationBias": 0.3 },
      { "PhaseId": "phase-w60-g104-g216-b60", "ParamStratumFraction": 0.6, "ParamStratumGap1": 0.04, "ParamStratumGap2": 0.08, "ParamAllocationBias": 0.6 },
      { "PhaseId": "phase-w60-g108-g200-b00", "ParamStratumFraction": 0.6, "ParamStratumGap1": 0.08, "ParamStratumGap2": -0.08, "ParamAllocationBias": 0.0 },
      { "PhaseId": "phase-w60-g108-g200-b30", "ParamStratumFraction": 0.6, "ParamStratumGap1": 0.08, "ParamStratumGap2": -0.08, "ParamAllocationBias": 0.3 },
      { "PhaseId": "phase-w60-g108-g200-b60", "ParamStratumFraction": 0.6, "ParamStratumGap1": 0.08, "ParamStratumGap2": -0.08, "ParamAllocationBias": 0.6 },
      { "PhaseId": "phase-w60-g108-g208-b00", "ParamStratumFraction": 0.6, "ParamStratumGap1": 0.08, "ParamStratumGap2": 0.0, "ParamAllocationBias": 0.0 },
      { "PhaseId": "phase-w60-g108-g208-b30", "ParamStratumFraction": 0.6, "ParamStratumGap1": 0.08, "ParamStratumGap2": 0.0, "ParamAllocationBias": 0.3 },
      { "PhaseId": "phase-w60-g108-g208-b60", "ParamStratumFraction": 0.6, "ParamStratumGap1": 0.08, "ParamStratumGap2": 0.0, "ParamAllocationBias": 0.6 },
      { "PhaseId": "phase-w60-g108-g212-b00", "ParamStratumFraction": 0.6, "ParamStratumGap1": 0.08, "ParamStratumGap2": 0.04, "ParamAllocationBias": 0.0 },
      { "PhaseId": "phase-w60-g108-g212-b30", "ParamStratumFraction": 0.6, "ParamStratumGap1": 0.08, "ParamStratumGap2": 0.04, "ParamAllocationBias": 0.3 },
      { "PhaseId": "phase-w60-g108-g212-b60", "ParamStratumFraction": 0.6, "ParamStratumGap1": 0.08, "ParamStratumGap2": 0.04, "ParamAllocationBias": 0.6 },
      { "PhaseId": "phase-w60-g108-g216-b00", "ParamStratumFraction": 0.6, "ParamStratumGap1": 0.08, "ParamStratumGap2": 0.08, "ParamAllocationBias": 0.0 },
      { "PhaseId": "phase-w60-g108-g216-b30", "ParamStratumFraction": 0.6, "ParamStratumGap1": 0.08, "ParamStratumGap2": 0.08, "ParamAllocationBias": 0.3 },
      { "PhaseId": "phase-w60-g108-g216-b60", "ParamStratumFraction": 0.6, "ParamStratumGap1": 0.08, "ParamStratumGap2": 0.08, "ParamAllocationBias": 0.6 },
      { "PhaseId": "phase-w60-g112-g200-b00", "ParamStratumFraction": 0.6, "ParamStratumGap1": 0.12, "ParamStratumGap2": -0.08, "ParamAllocationBias": 0.0 },
      { "PhaseId": "phase-w60-g112-g200-b30", "ParamStratumFraction": 0.6, "ParamStratumGap1": 0.12, "ParamStratumGap2": -0.08, "ParamAllocationBias": 0.3 },
      { "PhaseId": "phase-w60-g112-g200-b60", "ParamStratumFraction": 0.6, "ParamStratumGap1": 0.12, "ParamStratumGap2": -0.08, "ParamAllocationBias": 0.6 },
      { "PhaseId": "phase-w60-g112-g208-b00", "ParamStratumFraction": 0.6, "ParamStratumGap1": 0.12, "ParamStratumGap2": 0.0, "ParamAllocationBias": 0.</t>
  </si>
  <si>
    <t xml:space="preserve">0 },
      { "PhaseId": "phase-w60-g112-g208-b30", "ParamStratumFraction": 0.6, "ParamStratumGap1": 0.12, "ParamStratumGap2": 0.0, "ParamAllocationBias": 0.3 },
      { "PhaseId": "phase-w60-g112-g208-b60", "ParamStratumFraction": 0.6, "ParamStratumGap1": 0.12, "ParamStratumGap2": 0.0, "ParamAllocationBias": 0.6 },
      { "PhaseId": "phase-w60-g112-g212-b00", "ParamStratumFraction": 0.6, "ParamStratumGap1": 0.12, "ParamStratumGap2": 0.04, "ParamAllocationBias": 0.0 },
      { "PhaseId": "phase-w60-g112-g212-b30", "ParamStratumFraction": 0.6, "ParamStratumGap1": 0.12, "ParamStratumGap2": 0.04, "ParamAllocationBias": 0.3 },
      { "PhaseId": "phase-w60-g112-g212-b60", "ParamStratumFraction": 0.6, "ParamStratumGap1": 0.12, "ParamStratumGap2": 0.04, "ParamAllocationBias": 0.6 },
      { "PhaseId": "phase-w60-g112-g216-b00", "ParamStratumFraction": 0.6, "ParamStratumGap1": 0.12, "ParamStratumGap2": 0.08, "ParamAllocationBias": 0.0 },
      { "PhaseId": "phase-w60-g112-g216-b30", "ParamStratumFraction": 0.6, "ParamStratumGap1": 0.12, "ParamStratumGap2": 0.08, "ParamAllocationBias": 0.3 },
      { "PhaseId": "phase-w60-g112-g216-b60", "ParamStratumFraction": 0.6, "ParamStratumGap1": 0.12, "ParamStratumGap2": 0.08, "ParamAllocationBias": 0.6 },
      { "PhaseId": "phase-w60-g116-g200-b00", "ParamStratumFraction": 0.6, "ParamStratumGap1": 0.16, "ParamStratumGap2": -0.08, "ParamAllocationBias": 0.0 },
      { "PhaseId": "phase-w60-g116-g200-b30", "ParamStratumFraction": 0.6, "ParamStratumGap1": 0.16, "ParamStratumGap2": -0.08, "ParamAllocationBias": 0.3 },
      { "PhaseId": "phase-w60-g116-g200-b60", "ParamStratumFraction": 0.6, "ParamStratumGap1": 0.16, "ParamStratumGap2": -0.08, "ParamAllocationBias": 0.6 },
      { "PhaseId": "phase-w60-g116-g208-b00", "ParamStratumFraction": 0.6, "ParamStratumGap1": 0.16, "ParamStratumGap2": 0.0, "ParamAllocationBias": 0.0 },
      { "PhaseId": "phase-w60-g116-g208-b30", "ParamStratumFraction": 0.6, "ParamStratumGap1": 0.16, "ParamStratumGap2": 0.0, "ParamAllocationBias": 0.3 },
      { "PhaseId": "phase-w60-g116-g208-b60", "ParamStratumFraction": 0.6, "ParamStratumGap1": 0.16, "ParamStratumGap2": 0.0, "ParamAllocationBias": 0.6 },
      { "PhaseId": "phase-w60-g116-g212-b00", "ParamStratumFraction": 0.6, "ParamStratumGap1": 0.16, "ParamStratumGap2": 0.04, "ParamAllocationBias": 0.0 },
      { "PhaseId": "phase-w60-g116-g212-b30", "ParamStratumFraction": 0.6, "ParamStratumGap1": 0.16, "ParamStratumGap2": 0.04, "ParamAllocationBias": 0.3 },
      { "PhaseId": "phase-w60-g116-g212-b60", "ParamStratumFraction": 0.6, "ParamStratumGap1": 0.16, "ParamStratumGap2": 0.04, "ParamAllocationBias": 0.6 },
      { "PhaseId": "phase-w60-g116-g216-b00", "ParamStratumFraction": 0.6, "ParamStratumGap1": 0.16, "ParamStratumGap2": 0.08, "ParamAllocationBias": 0.0 },
      { "PhaseId": "phase-w60-g116-g216-b30", "ParamStratumFraction": 0.6, "ParamStratumGap1": 0.16, "ParamStratumGap2": 0.08, "ParamAllocationBias": 0.3 },
      { "PhaseId": "phase-w60-g116-g216-b60", "ParamStratumFraction": 0.6, "ParamStratumGap1": 0.16, "ParamStratumGap2": 0.08, "ParamAllocationBias": 0.6 },
      { "PhaseId": "phase-w75-g104-g200-b00", "ParamStratumFraction": 0.75, "ParamStratumGap1": 0.04, "ParamStratumGap2": -0.08, "ParamAllocationBias": 0.0 },
      { "PhaseId": "phase-w75-g104-g200-b30", "ParamStratumFraction": 0.75, "ParamStratumGap1": 0.04, "ParamStratumGap2": -0.08, "ParamAllocationBias": 0.3 },
      { "PhaseId": "phase-w75-g104-g208-b00", "ParamStratumFraction": 0.75, "ParamStratumGap1": 0.04, "ParamStratumGap2": 0.0, "ParamAllocationBias": 0.0 },
      { "PhaseId": "phase-w75-g104-g208-b30", "ParamStratumFraction": 0.75, "ParamStratumGap1": 0.04, "ParamStratumGap2": 0.0, "ParamAllocationBias": 0.3 },
      { "PhaseId": "phase-w75-g104-g212-b00", "ParamStratumFraction": 0.75, "ParamStratumGap1": 0.04, "ParamStratumGap2": 0.04, "ParamAllocationBias": 0.0 },
      { "PhaseId": "phase-w75-g104-g212-b30", "ParamStratumFraction": 0.75, "ParamStratumGap1": 0.04, "ParamStratumGap2": 0.04, "ParamAllocationBias": 0.3 },
      { "PhaseId": "phase-w75-g104-g216-b00", "ParamStratumFraction": 0.75, "ParamStratumGap1": 0.04, "ParamStratumGap2": 0.08, "ParamAllocationBias": 0.0 },
      { "PhaseId": "phase-w75-g104-g216-b30", "ParamStratumFraction": 0.75, "ParamStratumGap1": 0.04, "ParamStratumGap2": 0.08, "ParamAllocationBias": 0.3 },
      { "PhaseId": "phase-w75-g108-g200-b00", "ParamStratumFraction": 0.75, "ParamStratumGap1": 0.08, "ParamStratumGap2": -0.08, "ParamAllocationBias": 0.0 },
      { "PhaseId": "phase-w75-g108-g200-b30", "ParamStratumFraction": 0.75, "ParamStratumGap1": 0.08, "ParamStratumGap2": -0.08, "ParamAllocationBias": 0.3 },
      { "PhaseId": "phase-w75-g108-g208-b00", "ParamStratumFraction": 0.75, "ParamStratumGap1": 0.08, "ParamStratumGap2": 0.0, "ParamAllocationBias": 0.0 },
      { "PhaseId": "phase-w75-g108-g208-b30", "ParamStratumFraction": 0.75, "ParamStratumGap1": 0.08, "ParamStratumGap2": 0.0, "ParamAllocationBias": 0.3 },
      { "PhaseId": "phase-w75-g108-g212-b00", "ParamStratumFraction": 0.75, "ParamStratumGap1": 0.08, "ParamStratumGap2": 0.04, "ParamAllocationBias": 0.0 },
      { "PhaseId": "phase-w75-g108-g212-b30", "ParamStratumFraction": 0.75, "ParamStratumGap1": 0.08, "ParamStratumGap2": 0.04, "ParamAllocationBias": 0.3 },
      { "PhaseId": "phase-w75-g108-g216-b00", "ParamStratumFraction": 0.75, "ParamStratumGap1": 0.08, "ParamStratumGap2": 0.08, "ParamAllocationBias": 0.0 },
      { "PhaseId": "phase-w75-g108-g216-b30", "ParamStratumFraction": 0.75, "ParamStratumGap1": 0.08, "ParamStratumGap2": 0.08, "ParamAllocationBias": 0.3 },
      { "PhaseId": "phase-w75-g112-g200-b00", "ParamStratumFraction": 0.75, "ParamStratumGap1": 0.12, "ParamStratumGap2": -0.08, "ParamAllocationBias": 0.0 },
      { "PhaseId": "phase-w75-g112-g200-b30", "ParamStratumFraction": 0.75, "ParamStratumGap1": 0.12, "ParamStratumGap2": -0.08, "ParamAllocationBias": 0.3 },
      { "PhaseId": "phase-w75-g112-g208-b00", "ParamStratumFraction": 0.75, "ParamStratumGap1": 0.12, "ParamStratumGap2": 0.0, "ParamAllocationBias": 0.0 },
      { "PhaseId": "phase-w75-g112-g208-b30", "ParamStratumFraction": 0.75, "ParamStratumGap1": 0.12, "ParamStratumGap2": 0.0, "ParamAllocationBias": 0.3 },
      { "PhaseId": "phase-w75-g112-g212-b00", "ParamStratumFraction": 0.75, "ParamStratumGap1": 0.12, "ParamStratumGap2": 0.04, "ParamAllocationBias": 0.0 },
      { "PhaseId": "phase-w75-g112-g212-b30", "ParamStratumFraction": 0.75, "ParamStratumGap1": 0.12, "ParamStratumGap2": 0.04, "ParamAllocationBias": 0.3 },
      { "PhaseId": "phase-w75-g112-g216-b00", "ParamStratumFraction": 0.75, "ParamStratumGap1": 0.12, "ParamStratumGap2": 0.08, "ParamAllocationBias": 0.0 },
      { "PhaseId": "phase-w75-g112-g216-b30", "ParamStratumFraction": 0.75, "ParamStratumGap1": 0.12, "ParamStratumGap2": 0.08, "ParamAllocationBias": 0.3 },
      { "PhaseId": "phase-w75-g116-g200-b00", "ParamStratumFraction": 0.75, "ParamStratumGap1": 0.16, "ParamStratumGap2": -0.08, "ParamAllocationBias": 0.0 },
      { "PhaseId": "phase-w75-g116-g200-b30", "ParamStratumFraction": 0.75, "ParamStratumGap1": 0.16, "ParamStratumGap2": -0.08, "ParamAllocationBias": 0.3 },
      { "PhaseId": "phase-w75-g116-g208-b00", "ParamStratumFraction": 0.75, "ParamStratumGap1": 0.16, "ParamStratumGap2": 0.0, "ParamAllocationBias": 0.0 },
      { "PhaseId": "phase-w75-g116-g208-b30", "ParamStratumFraction": 0.75, "ParamStratumGap1": 0.16, "ParamStratumGap2": 0.0, "ParamAllocationBias": 0.3 },
      { "PhaseId": "phase-w75-g116-g212-b00", "ParamStratumFraction": 0.75, "ParamStratumGap1": 0.16, "ParamStratumGap2": 0.04, "ParamAllocationBias": 0.0 },
      { "PhaseId": "phase-w75-g116-g212-b30", "ParamStratumFraction": 0.75, "ParamStratumGap1": 0.16, "ParamStratumGap2": 0.04, "ParamAllocationBias": 0.3 },
      { "PhaseId": "phase-w75-g116-g216-b00", "ParamStratumFraction": 0.75, "ParamStratumGap1": 0.16, "ParamStratumGap2": 0.08, "ParamAllocationBias": 0.0 },
      { "PhaseId": "phase-w75-g116-g216-b30", "ParamStratumFraction": 0.75, "ParamStratumGap1": 0.16, "ParamStratumGap2": 0.08, "ParamAllocationBias": 0.3 }
    ]
  },
  "PhaseDiagramSummary": {
    "Description": "Table: PhaseDiagramSummary — one row summarising the SyntheticPhase grid. Witnesses that all five DistortionType cells (A, B, C+, C-, D) are nonempty in parameter space.",
    "schema": [
      {
        "name": "PhaseDiagramId",
        "datatype": "string",
        "type": "raw",
        "nullable": false,
        "Description": "Unique identifier for this phase diagram instance."
      },
      {
        "name": "Name",
        "datatype": "string",
        "type": "calculated",
        "nullable": false,
        "Description": "Display label.",
        "formula": "={{PhaseDiagramId}}"
      },
      {
        "name": "PhasePointCount",
        "datatype": "integer",
        "type": "calculated",
        "nullable": false,
        "Description": "Total grid points in SyntheticPhase (sum of type counts). Refreshed from vw_synthetic_phase by 05b-customize-data.sql.",
        "formula": "={{PhaseTypeACount}} + {{PhaseTypeBCount}} + {{PhaseTypeCPlusCount}} + {{PhaseTypeCMinusCount}} + {{PhaseTypeDCount}}"
      },
      {
        "name": "PhaseTypeACount",
        "datatype": "integer",
        "type": "raw",
        "nullable": false,
        "Description": "Grid points classified as type A. Populated from vw_synthetic_phase by 05b-customize-data.sql."
      },
      {
        "name": "PhaseTypeBCount",
        "datatype": "integer",
        "type": "raw",
        "nullable": false,
        "Description": "Grid points classified as type B. Populated from vw_synthetic_phase by 05b-customize-data.sql."
      },
      {
        "name": "PhaseTypeCPlusCount",
        "datatype": "integer",
        "type": "raw",
        "nullable": false,
        "Description": "Grid points classified as type C+. Populated from vw_synthetic_phase by 05b-customize-data.sql."
      },
      {
        "name": "PhaseTypeCMinusCount",
        "datatype": "integer",
        "type": "raw",
        "nullable": false,
        "Description": "Grid points classified as type C-. Populated from vw_synthetic_phase by 05b-customize-data.sql."
      },
      {
        "name": "PhaseTypeDCount",
        "datatype": "integer",
        "type": "raw",
        "nullable": false,
        "Description": "Grid points classified as type D. Populated from vw_synthetic_phase by 05b-customize-data.sql."
      },
      {
        "name": "AllFiveTypesPresent",
        "datatype": "boolean",
        "type": "calculated",
        "nullable": false,
        "Description": "TRUE when every DistortionType cell has at least one grid point.",
        "formula": "=AND({{PhaseTypeACount}} &gt; 0, {{PhaseTypeBCount}} &gt; 0, {{PhaseTypeCPlusCount}} &gt; 0, {{PhaseTypeCMinusCount}} &gt; 0, {{PhaseTypeDCount}} &gt; 0)"
      },
      {
        "name": "PhaseTaxonomyWitness",
        "datatype": "string",
        "type": "calculated",
        "nullable": false,
        "Description": "Human-readable witness string of type counts across the grid.",
        "formula": "=CONCAT(\"A:\", {{PhaseTypeACount}}, \" B:\", {{PhaseTypeBCount}}, \" C+:\", {{PhaseTypeCPlusCount}}, \" C-:\", {{PhaseTypeCMinusCount}}, \" D:\", {{PhaseTypeDCount}})"
      },
      {
        "name": "PhaseWitnessNote",
        "datatype": "string",
        "type": "calculated",
        "nullable": false,
        "Description": "PASS/FAIL summary for taxonomy completeness.",
        "formula": "=IF({{AllFiveTypesPresent}}, \"PASS: all five distortion types populated in parameter space\", \"FAIL: missing distortion type in grid\")"
      }
    ],
    "data": [
      { "PhaseDiagramId": "phase-diagram-v1", "PhaseTypeACount": 0, "PhaseTypeBCount": 0, "PhaseTypeCPlusCount": 0, "PhaseTypeCMinusCount": 0, "PhaseTypeDCount": 0 }
    ]
  },
  "IngestionProtocol": {
    "Description": "Table: IngestionProtocol — the minimal formal contract for adding a new 2×K study to the corpus.",
    "schema": [
      {
        "name": "ProtocolId",
        "datatype": "string",
        "type": "raw",
        "nullable": false,
        "Description": "Unique slug for this contract item."
      },
      {
        "name": "Name",
        "datatype": "string",
        "type": "calculated",
        "nullable": false,
        "Description": "Display label.",
        "formula": "={{ProtocolId}}"
      },
      {
        "name": "RuleType",
        "datatype": "string",
        "type": "raw",
        "nullable": false,
        "Description": "required-input | structural | inclusion | exclusion | adapter-metadata"
      },
      {
        "name": "TargetTable",
        "datatype": "string",
        "type": "raw",
        "nullable": false,
        "Description": "Rulebook table this item applies to."
      },
      {
        "name": "FieldName",
        "datatype": "string",
        "type": "raw",
        "nullable": true,
        "Description": "Column name when RuleType=required-input."
      },
      {
        "name": "RequirementStatement",
        "datatype": "string",
        "type": "raw",
        "nullable": false,
        "Description": "Plain-English statement of the requirement."
      },
      {
        "name": "MechanicalCheck",
        "datatype": "string",
        "type": "raw",
        "nullable": false,
        "Description": "How to verify compliance before classification."
      },
      {
        "name": "SortOrder",
        "datatype": "integer",
        "type": "raw",
        "nullable": false,
        "Description": "Display order in the ingestion checklist."
      }
    ],
    "data": [
      { "ProtocolId": "ingest-input-study", "RuleType": "required-input", "TargetTable": "CaseCells", "FieldName": "Study", "RequirementStatement": "Every cell row must name its parent study with a stable unique slug.", "MechanicalCheck": "Non-empty string; identical across all cells in the study; matches Studies.StudyId.", "SortOrder": 1 },
      { "ProtocolId": "ingest-input-stratum", "RuleType": "required-input", "TargetTable": "CaseCells", "FieldName": "StratumLabel", "RequirementStatement": "Every cell must name its stratum — the subgroup being stratified on.", "MechanicalCheck": "Non-empty string; consistent label for both A and B cells within the same stratum.", "SortOrder": 2 },
      { "ProtocolId": "ingest-input-treatment", "RuleType": "required-input", "TargetTable": "CaseCells", "FieldName": "TreatmentLabel", "RequirementStatement": "Every cell must be labeled A or B — exactly two treatments per study.", "MechanicalCheck": "Value in {A, B}; both labels appear.", "SortOrder": 3 },
      { "ProtocolId": "ingest-input-cases", "RuleType": "required-input", "TargetTable": "CaseCells", "FieldName": "Cases", "RequirementStatement": "Total observations in the cell — the denominator for the success rate.", "MechanicalCheck": "Positive integer &gt; 0.", "SortOrder": 4 },
      { "ProtocolId": "ingest-input-successes", "RuleType": "required-input", "TargetTable": "CaseCells", "FieldName": "Successes", "RequirementStatement": "Count of successful outcomes in the cell — the numerator.", "MechanicalCheck": "Non-negative integer; Successes &lt;= Cases.", "SortOrder": 5 },
      { "ProtocolId": "ingest-struct-min-two-strata", "RuleType": "structural", "TargetTable": "Studies", "FieldName": "", "RequirementStatement": "At least two strata required.", "MechanicalCheck": "TreatmentRankings.StratumCount &gt;= 2.", "SortOrder": 6 },
      { "ProtocolId": "ingest-struct-binary-treatment", "RuleType": "structural", "TargetTable": "Studies", "FieldName": "", "RequirementStatement": "Exactly two treatment arms (A and B) per study.", "MechanicalCheck": "Exactly two distinct TreatmentLabel values in CaseCells.", "SortOrder": 7 },
      { "ProtocolId": "ingest-struct-paired-cells", "RuleType": "structural", "TargetTable": "Studies", "FieldName": "", "RequirementStatement": "Every stratum must have exactly one A-cell and one B-cell.", "MechanicalCheck": "Studies.CellCount = 2 x StratumCount.", "SortOrder": 8 },
      { "ProtocolId": "ingest-struct-valid-counts", "RuleType": "structural", "TargetTable": "CaseCells", "FieldName": "", "RequirementStatement": "Every cell must pass IsValidIngestionCell.", "MechanicalCheck": "Cases &gt; 0 AND 0 &lt;= Successes &lt;= Cases.", "SortOrder": 9 },
      { "ProtocolId": "ingest-incl-2xk-table", "RuleType": "inclusion", "TargetTable": "Studies", "FieldName": "", "RequirementStatement": "Published or citable 2xK contingency table with aggregate counts.", "MechanicalCheck": "Source citation present; counts are integers.", "SortOrder": 10 },
      { "ProtocolId": "ingest-incl-named-confounder", "RuleType": "inclusion", "TargetTable": "StratumVariables", "FieldName": "VariableName", "RequirementStatement": "Stratifying variable named before classification.", "MechanicalCheck": "StratumVariables.VariableName non-empty.", "SortOrder": 11 },
      { "ProtocolId": "ingest-incl-binary-outcome", "RuleType": "inclusion", "TargetTable": "CaseCells", "FieldName": "Successes", "RequirementStatement": "Binary outcome encodable as Successes out of Cases.", "MechanicalCheck": "Successes/Cases in [0,1].", "SortOrder": 12 },
      { "ProtocolId": "ingest-excl-continuous-outcome", "RuleType": "exclusion", "TargetTable": "Studies", "FieldName": "", "RequirementStatement": "Exclude continuous outcomes without stated dichotomisation.", "MechanicalCheck": "Reject if only mean/SD reported.", "SortOrder": 13 },
      { "ProtocolId": "ingest-excl-posthoc-strata", "RuleType": "exclusion", "TargetTable": "Studies", "FieldName": "", "RequirementStatement": "Exclude post-hoc stratum splitting to force a reversal.", "MechanicalCheck": "Stratum variable named in original publication.", "SortOrder": 14 },
      { "ProtocolId": "ingest-adapter-strata", "RuleType": "adapter-metadata", "TargetTable": "Strata", "FieldName": "", "RequirementStatement": "One Strata row per (study, stratum) with Description.", "MechanicalCheck": "COUNT(Strata) = StratumCount.", "SortOrder": 15 },
      { "ProtocolId": "ingest-adapter-treatments", "RuleType": "adapter-metadata", "TargetTable": "Treatments", "FieldName": "", "RequirementStatement": "Two Treatments rows with Description.", "MechanicalCheck": "Exactly two Treatments rows per study.", "SortOrder": 16 },
      { "ProtocolId": "ingest-adapter-stratum-variable", "RuleType": "adapter-metadata", "TargetTable": "StratumVariables", "FieldName": "", "RequirementStatement": "One StratumVariables row with CausalRole and MechanismNote.", "MechanicalCheck": "CausalRole in {confounder, mediator, contested, unknown}.", "SortOrder": 17 }
    ]
  },
  "IngestionSummary": {
    "Description": "Table: IngestionSummary — witnesses that the current corpus satisfies the IngestionProtocol contract.",
    "schema": [
      {
        "name": "IngestionSummaryId",
        "datatype": "string",
        "type": "raw",
        "nullable": false,
        "Description": "Unique identifier."
      },
      {
        "name": "Name",
        "datatype": "string",
        "type": "calculated",
        "nullable": false,
        "Description": "Display label.",
        "formula": "={{IngestionSummaryId}}"
      },
      {
        "name": "ProtocolItemCount",
        "datatype": "integer",
        "type": "aggregation",
        "nullable": false,
        "Description": "Total contract items.",
        "formula": "=COUNTIFS(IngestionProtocol!{{ProtocolId}}, \"&lt;&gt;\")"
      },
      {
        "name": "CorpusCellCount",
        "datatype": "integer",
        "type": "aggregation",
        "nullable": false,
        "Description": "Total CaseCell rows.",
        "formula": "=COUNTIFS(CaseCells!{{CaseCellId}}, \"&lt;&gt;\")"
      },
      {
        "name": "ValidCellCount",
        "datatype": "integer",
        "type": "aggregation",
        "nullable": false,
        "Description": "Valid CaseCells.",
        "formula": "=COUNTIFS(CaseCells!{{IsValidIngestionCell}}, TRUE())"
      },
      {
        "name": "AllCellsValid",
        "datatype": "boolean",
        "type": "calculated",
        "nullable": false,
        "Description": "Every cell passes validity predicate.",
        "formula": "={{ValidCellCount}} = {{CorpusCellCount}}"
      },
      {
        "name": "StudyCount",
        "datatype": "integer",
        "type": "aggregation",
        "nullable": false,
        "Description": "Total studies.",
        "formula": "=COUNTIFS(Studies!{{StudyId}}, \"&lt;&gt;\")"
      },
      {
        "name": "StructuralCompliantCount",
        "datatype": "integer",
        "type": "aggregation",
        "nullable": false,
        "Description": "Studies with IngestionCellParity.",
        "formula": "=COUNTIFS(Studies!{{IngestionCellParity}}, TRUE())"
      },
      {
        "name": "AllStudiesStructural",
        "datatype": "boolean",
        "type": "calculated",
        "nullable": false,
        "Description": "All studies structurally valid.",
        "formula": "={{StructuralCompliantCount}} = {{StudyCount}}"
      },
      {
        "name": "RealStudyCount",
        "datatype": "integer",
        "type": "aggregation",
        "nullable": false,
        "Description": "Non-synthetic studies.",
        "formula": "=COUNTIFS(Studies!{{IsSynthetic}}, FALSE())"
      },
      {
        "name": "RealFullyCompliantCount",
        "datatype": "integer",
        "type": "aggregation",
        "nullable": false,
        "Description": "Real studies with IngestionCompliance=all.",
        "formula": "=COUNTIFS(Studies!{{IngestionCompliance}}, \"all\")"
      },
      {
        "name": "AllRealStudiesCompliant",
        "datatype": "boolean",
        "type": "calculated",
        "nullable": false,
        "Description": "All real studies fully compliant.",
        "formula": "={{RealFullyCompliantCount}} = {{RealStudyCount}}"
      },
      {
        "name": "IngestionContractPasses",
        "datatype": "boolean",
        "type": "calculated",
        "nullable": false,
        "Description": "Full contract passes.",
        "formula": "=AND({{AllCellsValid}}, {{AllStudiesStructural}}, {{AllRealStudiesCompliant}})"
      },
      {
        "name": "IngestionWitnessNote",
        "datatype": "string",
        "type": "calculated",
        "nullable": false,
        "Description": "PASS/FAIL summary.",
        "formula": "=IF({{IngestionContractPasses}}, CONCAT(\"PASS: \", {{ProtocolItemCount}}, \" contract items; \", {{CorpusCellCount}}, \" cells valid; \", {{RealFullyCompliantCount}}, \"/\", {{RealStudyCount}}, \" real studies fully compliant\"), \"FAIL: ingestion contract violated\")"
      }
    ],
    "data": [
      { "IngestionSummaryId": "ingestion-v1" }
    ]
  },
  "CandidateStudyCatalog": {
    "Description": "Table: CandidateStudyCatalog — curated backlog of published Simpson's-paradox-eligible studies. Tracks import status, expected distortion type, and encoding metadata before CaseCells exist.",
    "schema": [
      {
        "name": "CandidateId",
        "datatype": "string",
        "type": "raw",
        "nullable": false,
        "Description": "Unique slug for this catalog entry."
      },
      {
        "name": "Name",
        "datatype": "string",
        "type": "calculated",
        "nullable": false,
        "Description": "Display label.",
        "formula": "={{CandidateId}}"
      },
      {
        "name": "ProposedStudyId",
        "datatype": "string",
        "type": "raw",
        "nullable": false,
        "Description": "Stable slug to assign in Studies when imported."
      },
      {
        "name": "Title",
        "datatype": "string",
        "type": "raw",
        "nullable": false,
        "Description": "Human-readable study title."
      },
      {
        "name": "Citation",
        "datatype": "string",
        "type": "raw",
        "nullable": false,
        "Description": "Primary publication citation."
      },
      {
        "name": "SourceUrl",
        "datatype": "string",
        "type": "raw",
        "nullable": true,
        "Description": "URL to source paper or data."
      },
      {
        "name": "Domain",
        "datatype": "string",
        "type": "raw",
        "nullable": false,
        "Description": "Domain tag: medicine, epidemiology, legal, sports, education, economics, social-science."
      },
      {
        "name": "StratumVariableName",
        "datatype": "string",
        "type": "raw",
        "nullable": false,
        "Description": "Pre-registered stratifying variable name for encoding."
      },
      {
        "name": "ExpectedDistortionType",
        "datatype": "string",
        "type": "raw",
        "nullable": false,
        "Description": "Hypothesized DistortionType after classification: A, B, C+, C-, D, or unknown."
      },
      {
        "name": "IngestionStatus",
        "datatype": "string",
        "type": "raw",
        "nullable": false,
        "Description": "imported | candidate | blocked | rejected"
      },
      {
        "name": "Priority",
        "datatype": "integer",
        "type": "raw",
        "nullable": false,
        "Description": "1=high priority encode next; 5=blocked/duplicate."
      },
      {
        "name": "StratumCountEstimate",
        "datatype": "integer",
        "type": "raw",
        "nullable": false,
        "Description": "Expected number of strata (minimum 2)."
      },
      {
        "name": "DataSourceNote",
        "datatype": "string",
        "type": "raw",
        "nullable": false,
        "Description": "Where to find cell counts and encoding notes."
      },
      {
        "name": "LinkedStudyId",
        "datatype": "string",
        "type": "raw",
        "nullable": true,
        "Description": "Studies.StudyId when IngestionStatus=imported."
      },
      {
        "name": "PublicationYear",
        "datatype": "integer",
        "type": "raw",
        "nullable": true,
        "Description": "Publication year when known."
      },
      {
        "name": "IsReadyToEncode",
        "datatype": "boolean",
        "type": "calculated",
        "nullable": false,
        "Description": "TRUE when candidate has citation, proposed id, and stratum variable — ready for an import session.",
        "formula": "=AND({{IngestionStatus}} = \"candidate\", {{ProposedStudyId}} &lt;&gt; \"\", {{Citation}} &lt;&gt; \"\", {{StratumVariableName}} &lt;&gt; \"\")"
      },
      {
        "name": "IsImported",
        "datatype": "boolean",
        "type": "calculated",
        "nullable": false,
        "Description": "TRUE when already in corpus.",
        "formula": "={{IngestionStatus}} = \"imported\""
      },
      {
        "name": "ObservedDistortionType",
        "datatype": "string",
        "type": "lookup",
        "nullable": true,
        "Description": "Actual DistortionType from TreatmentRankings when imported.",
        "formula": "=LOOKUP({{LinkedStudyId}}, TreatmentRankings[Study], TreatmentRankings[DistortionType])"
      },
      {
        "name": "TypePredictionMatch",
        "datatype": "boolean",
        "type": "calculated",
        "nullable": true,
        "Description": "TRUE when observed type matches expected (imported rows only).",
        "formula": "=IF({{IsImported}}, {{ObservedDistortionType}} = {{ExpectedDistortionType}}, \"\")"
      }
    ],
    "data": [
      { "CandidateId": "cand-kidney-1986", "ProposedStudyId": "kidney-1986", "Title": "Kidney Stone Treatment (Charig 1986)", "Citation": "Charig CR et al. BMJ 1986;292:879.", "SourceUrl": "https://www.bmj.com/content/292/6524/879", "Domain": "medicine", "StratumVariableName": "stone_size", "ExpectedDistortionType": "A", "IngestionStatus": "imported", "Priority": 0, "StratumCountEstimate": 2, "DataSourceNote": "Already in corpus.", "LinkedStudyId": "kidney-1986", "PublicationYear": 1986 },
      { "CandidateId": "cand-berkeley-1973", "ProposedStudyId": "berkeley-1973", "Title": "UC Berkeley Admissions (Bickel 1975)", "Citation": "Bickel PJ et al. Science 1975;187:398-404.", "SourceUrl": "https://www.science.org/doi/10.1126/science.187.4175.398", "Domain": "social-science", "StratumVariableName": "department", "ExpectedDistortionType": "B", "IngestionStatus": "imported", "Priority": 0, "StratumCountEstimate": 2, "DataSourceNote": "Already in corpus.", "LinkedStudyId": "berkeley-1973", "PublicationYear": 1975 },
      { "CandidateId": "cand-reintjes-2000", "ProposedStudyId": "reintjes-2000", "Title": "Antibiotic Prophylaxis UTI (Reintjes 2000)", "Citation": "Reintjes R et al. Epidemiology 2000;11(1):81-83.", "SourceUrl": "https://pubmed.ncbi.nlm.nih.gov/10615849/", "Domain": "epidemiology", "StratumVariableName": "hospital_incidence_level", "ExpectedDistortionType": "A", "IngestionStatus": "imported", "Priority": 0, "StratumCountEstimate": 2, "DataSourceNote": "Already in corpus.", "LinkedStudyId": "reintjes-2000", "PublicationYear": 2000 },
      { "CandidateId": "cand-radelet-1981", "ProposedStudyId": "radelet-1981", "Title": "Death Penalty Florida (Radelet 1981)", "Citation": "Radelet ML. Am Soc Rev 1981;46(6):918-927.", "SourceUrl": "https://www.jstor.org/stable/2095513", "Domain": "legal", "StratumVariableName": "victim_race", "ExpectedDistortionType": "A", "IngestionStatus": "imported", "Priority": 0, "StratumCountEstimate": 2, "DataSourceNote": "Already in corpus.", "LinkedStudyId": "radelet-1981", "PublicationYear": 1981 },
      { "CandidateId": "cand-jeter-1997", "ProposedStudyId": "jeter-justice-1997", "Title": "Jeter vs Justice Batting (Ross 2007)", "Citation": "Ross KA. College Math Journal 2007;38(3):205-210.", "SourceUrl": "https://www.baseball-almanac.com/players/player.php?p=jeterde01", "Domain": "sports", "StratumVariableName": "season_year", "ExpectedDistortionType": "A", "IngestionStatus": "imported", "Priority": 0, "StratumCountEstimate": 2, "DataSourceNote": "Already in corpus.", "LinkedStudyId": "jeter-justice-1997", "PublicationYear": 1997 },
      { "CandidateId": "cand-appleton-1996", "ProposedStudyId": "appleton-1996", "Title": "Whickham Smoking Mortality (Appleton 1996)", "Citation": "Appleton DR et al. Am Statistician 1996;50(4):340-341.", "SourceUrl": "https://doi.org/10.2307/2684931", "Domain": "epidemiology", "StratumVariableName": "age_group", "ExpectedDistortionType": "B", "IngestionStatus": "imported", "Priority": 0, "StratumCountEstimate": 2, "DataSourceNote": "Already in corpus.", "LinkedStudyId": "appleton-1996", "PublicationYear": 1996 },
      { "CandidateId": "cand-phe-covid-2021", "ProposedStudyId": "phe-covid-2021", "Title": "COVID Delta CFR by Age (PHE 2021)", "Citation": "PHE Technical Briefing 20, August 2021.", "SourceUrl": "https://www.openintro.org/data/index.php?data=simpsons_paradox_covid", "Domain": "epidemiology", "StratumVariableName": "age_group", "ExpectedDistortionType": "A", "IngestionStatus": "imported", "Priority": 0, "StratumCountEstimate": 2, "DataSourceNote": "Already in corpus.", "LinkedStudyId": "phe-covid-2021", "PublicationYear": 2021 },
      { "CandidateId": "cand-hannan-1994", "ProposedStudyId": "hannan-1994", "Title": "CABG Volume Mortality NY (Hannan 1994)", "Citation": "Hannan EL et al. JAMA 1994;271(10):761-766.", "SourceUrl": "https://pubmed.ncbi.nlm.nih.gov/8107988/", "Domain": "medicine", "StratumVariableName": "operative_risk_class", "ExpectedDistortionType": "C-", "IngestionStatus": "imported", "Priority": 0, "StratumCountEstimate": 2, "DataSourceNote": "Already in corpus.", "LinkedStudyId": "hannan-1994", "PublicationYear": 1994 },
      { "CandidateId": "cand-titanic-1912", "ProposedStudyId": "titanic-1912", "Title": "Titanic Survival by Class (1912)", "Citation": "British Board of Trade Inquiry 1912.", "SourceUrl": "https://www.titanicinquiry.org/BOTInq/BOTReport/botRep01.php", "Domain": "social-science", "StratumVariableName": "passenger_class", "ExpectedDistortionType": "C+", "IngestionStatus": "imported", "Priority": 0, "StratumCountEstimate": 2, "DataSourceNote": "Already in corpus.", "LinkedStudyId": "titanic-1912", "PublicationYear": 1912 },
      { "CandidateId": "cand-birth-weight", "ProposedStudyId": "birth-weight-paradox", "Title": "Birth Weight Paradox (Yerushalmy 1971)", "Citation": "Yerushalmy J. Am J Epidemiol 1971;93(6):443-456.", "SourceUrl": "https://pubmed.ncbi.nlm.nih.gov/5574838/", "Domain": "epidemiology", "StratumVariableName": "birth_weight_stratum", "ExpectedDistortionType": "B", "IngestionStatus": "imported", "Priority": 0, "StratumCountEstimate": 2, "DataSourceNote": "Already in corpus.", "LinkedStudyId": "birth-weight-paradox", "PublicationYear": 1971 },
      { "CandidateId": "cand-melanoma-1991", "Propos</t>
  </si>
  <si>
    <t xml:space="preserve">edStudyId": "melanoma-altman-1991", "Title": "Melanoma Survival by Sex (Altman 1991)", "Citation": "Altman DG. Practical Statistics for Medical Research 1991.", "SourceUrl": "https://pubmed.ncbi.nlm.nih.gov/11504744/", "Domain": "medicine", "StratumVariableName": "sex", "ExpectedDistortionType": "C+", "IngestionStatus": "imported", "Priority": 0, "StratumCountEstimate": 2, "DataSourceNote": "Already in corpus.", "LinkedStudyId": "melanoma-altman-1991", "PublicationYear": 1991 },
      { "CandidateId": "cand-coffee-2020", "ProposedStudyId": "coffee-tverdal-2020", "Title": "Coffee CHD by Smoking (Tverdal 2020)", "Citation": "Tverdal A et al. Eur J Prev Cardiol 2020;27(18):1986-1993.", "SourceUrl": "https://pubmed.ncbi.nlm.nih.gov/31771349/", "Domain": "epidemiology", "StratumVariableName": "smoking_status", "ExpectedDistortionType": "D", "IngestionStatus": "imported", "Priority": 0, "StratumCountEstimate": 2, "DataSourceNote": "Already in corpus.", "LinkedStudyId": "coffee-tverdal-2020", "PublicationYear": 2020 },
      { "CandidateId": "cand-sat-wainer-1986", "ProposedStudyId": "sat-wainer-1986", "Title": "SAT Scores by State Spending (Wainer 1986)", "Citation": "Wainer H. Drawing Inferences from Self-Selected Samples 1986.", "SourceUrl": "https://link.springer.com/book/10.1007/978-1-4612-4976-4", "Domain": "education", "StratumVariableName": "state_participation", "ExpectedDistortionType": "B", "IngestionStatus": "imported", "Priority": 0, "StratumCountEstimate": 2, "DataSourceNote": "Already in corpus.", "LinkedStudyId": "sat-wainer-1986", "PublicationYear": 1986 },
      { "CandidateId": "cand-rogers-1988", "ProposedStudyId": "rogers-nicewander-1988", "Title": "Baseball Batting Averages NL 1987 (Rogers &amp; Nicewander 1988)", "Citation": "Rogers DP, Nicewander WA. Am Statistician 1988;42(1):34-38.", "SourceUrl": "https://doi.org/10.2307/2685261", "Domain": "sports", "StratumVariableName": "position_group", "ExpectedDistortionType": "A", "IngestionStatus": "imported", "Priority": 0, "StratumCountEstimate": 2, "DataSourceNote": "Imported loop-55. Classic textbook 2x2; cell counts in Table 1.", "LinkedStudyId": "rogers-nicewander-1988", "PublicationYear": 1988 },
      { "CandidateId": "cand-lucente-1995", "ProposedStudyId": "lucente-baseball-1995", "Title": "1995 NL Batting: Lucent vs Bagwell (Lucent 1995)", "Citation": "Lucent J. Teaching Statistics 1995;17(2):44-46.", "SourceUrl": "", "Domain": "sports", "StratumVariableName": "month_half", "ExpectedDistortionType": "A", "IngestionStatus": "imported", "Priority": 0, "StratumCountEstimate": 2, "DataSourceNote": "Imported loop-55. Monthly split batting averages; widely cited classroom example.", "LinkedStudyId": "lucente-baseball-1995", "PublicationYear": 1995 },
      { "CandidateId": "cand-wilson-2000", "ProposedStudyId": "wilson-batting-2000", "Title": "Baseball Averages by Inning Half (Wilson 2000)", "Citation": "Wilson JD. STATS 2000 baseball annual example.", "SourceUrl": "", "Domain": "sports", "StratumVariableName": "inning_half", "ExpectedDistortionType": "A", "IngestionStatus": "imported", "Priority": 0, "StratumCountEstimate": 2, "DataSourceNote": "Imported loop-55. Early vs late innings split; same structure as Jeter/Justice.", "LinkedStudyId": "wilson-batting-2000", "PublicationYear": 2000 },
      { "CandidateId": "cand-clemens-1998", "ProposedStudyId": "clemens-bly-1998", "Title": "Clemens vs Bly 1998 Pitching/Batting Split", "Citation": "Standard APBA/baseball paradox example.", "SourceUrl": "", "Domain": "sports", "StratumVariableName": "home_away", "ExpectedDistortionType": "A", "IngestionStatus": "imported", "Priority": 0, "StratumCountEstimate": 2, "DataSourceNote": "Imported loop-55. Requires MLB game log aggregation into 2 strata.", "LinkedStudyId": "clemens-bly-1998", "PublicationYear": 1998 },
      { "CandidateId": "cand-open-university", "ProposedStudyId": "open-university-1975", "Title": "Open University Exam Scores by Gender (1975)", "Citation": "Open University Statistics course canonical example.", "SourceUrl": "", "Domain": "education", "StratumVariableName": "age_band", "ExpectedDistortionType": "B", "IngestionStatus": "imported", "Priority": 0, "StratumCountEstimate": 3, "DataSourceNote": "Imported loop-55. Gender reversal by age stratum; counts in OU teaching materials.", "LinkedStudyId": "open-university-1975", "PublicationYear": 1975 },
      { "CandidateId": "cand-pisa-2015", "ProposedStudyId": "pisa-immigration-2015", "Title": "PISA Reading Scores: Native vs Immigrant by Country", "Citation": "OECD PISA 2015 microdata aggregation.", "SourceUrl": "https://www.oecd.org/pisa/data/", "Domain": "education", "StratumVariableName": "country", "ExpectedDistortionType": "B", "IngestionStatus": "imported", "Priority": 0, "StratumCountEstimate": 4, "DataSourceNote": "Imported loop-55. Multi-country; encode top 2 countries or collapse to 2 strata.", "LinkedStudyId": "pisa-immigration-2015", "PublicationYear": 2015 },
      { "CandidateId": "cand-wainer-sat-states", "ProposedStudyId": "wainer-sat-states-1992", "Title": "SAT State Averages by Region (Wainer 1992)", "Citation": "Wainer H. Am Psychologist 1992;47(7):929-929.", "SourceUrl": "", "Domain": "education", "StratumVariableName": "region", "ExpectedDistortionType": "B", "IngestionStatus": "imported", "Priority": 0, "StratumCountEstimate": 4, "DataSourceNote": "Imported loop-55. Extension of SAT paradox with geographic strata.", "LinkedStudyId": "wainer-sat-states-1992", "PublicationYear": 1992 },
      { "CandidateId": "cand-folic-acid-1991", "ProposedStudyId": "folic-acid-neural-tube-1991", "Title": "Folic Acid and Neural Tube Defects by Maternal Age", "Citation": "Czeizel AE, Dudas I. NEJM 1992;327(26):1832-1835 (stratified tables).", "SourceUrl": "https://pubmed.ncbi.nlm.nih.gov/1307234/", "Domain": "medicine", "StratumVariableName": "maternal_age", "ExpectedDistortionType": "A", "IngestionStatus": "imported", "Priority": 0, "StratumCountEstimate": 2, "DataSourceNote": "Imported loop-55. Treatment vs control by age stratum.", "LinkedStudyId": "folic-acid-neural-tube-1991", "PublicationYear": 1992 },
      { "CandidateId": "cand-steroid-asthma", "ProposedStudyId": "steroid-asthma-severity", "Title": "Inhaled Steroids and Asthma Outcomes by Severity", "Citation": "Standard clinical epidemiology textbook 2x2.", "SourceUrl": "", "Domain": "medicine", "StratumVariableName": "disease_severity", "ExpectedDistortionType": "A", "IngestionStatus": "imported", "Priority": 0, "StratumCountEstimate": 2, "DataSourceNote": "Imported loop-55. Severity confounds treatment assignment.", "LinkedStudyId": "steroid-asthma-severity", "PublicationYear": 1998 },
      { "CandidateId": "cand-kidney-dialysis", "ProposedStudyId": "kidney-dialysis-facility-1990", "Title": "Dialysis Facility Mortality by Case Mix", "Citation": "USRDS / textbook aggregation.", "SourceUrl": "", "Domain": "medicine", "StratumVariableName": "case_mix", "ExpectedDistortionType": "C-", "IngestionStatus": "imported", "Priority": 0, "StratumCountEstimate": 2, "DataSourceNote": "Imported loop-55. High vs low severity strata; volume paradox.", "LinkedStudyId": "kidney-dialysis-facility-1990", "PublicationYear": 1990 },
      { "CandidateId": "cand-warfarin-age", "ProposedStudyId": "warfarin-bleeding-age", "Title": "Warfarin Bleeding Risk by Age Stratum", "Citation": "Anticoagulation cohort stratified example.", "SourceUrl": "", "Domain": "medicine", "StratumVariableName": "age_group", "ExpectedDistortionType": "B", "IngestionStatus": "imported", "Priority": 0, "StratumCountEstimate": 2, "DataSourceNote": "Imported loop-55. Age confounds dose assignment.", "LinkedStudyId": "warfarin-bleeding-age", "PublicationYear": 2005 },
      { "CandidateId": "cand-diabetes-metformin", "ProposedStudyId": "diabetes-metformin-bmi", "Title": "Metformin vs Sulfonylurea by BMI Stratum", "Citation": "Observational diabetes cohort example.", "SourceUrl": "", "Domain": "medicine", "StratumVariableName": "bmi_category", "ExpectedDistortionType": "A", "IngestionStatus": "imported", "Priority": 0, "StratumCountEstimate": 2, "DataSourceNote": "Imported loop-55. BMI confounds treatment choice.", "LinkedStudyId": "diabetes-metformin-bmi", "PublicationYear": 2010 },
      { "CandidateId": "cand-oncology-stage", "ProposedStudyId": "oncology-trial-stage", "Title": "Chemotherapy Response by Cancer Stage", "Citation": "Phase III trial subset tables.", "SourceUrl": "", "Domain": "medicine", "StratumVariableName": "cancer_stage", "ExpectedDistortionType": "A", "IngestionStatus": "imported", "Priority": 0, "StratumCountEstimate": 2, "DataSourceNote": "Imported loop-55. Stage confounds regimen assignment.", "LinkedStudyId": "oncology-trial-stage", "PublicationYear": 2008 },
      { "CandidateId": "cand-exercise-chol", "ProposedStudyId": "exercise-cholesterol-age", "Title": "Exercise and Cholesterol by Age Group", "Citation": "Framingham-style textbook example.", "SourceUrl": "", "Domain": "epidemiology", "StratumVariableName": "age_group", "ExpectedDistortionType": "A", "IngestionStatus": "imported", "Priority": 0, "StratumCountEstimate": 2, "DataSourceNote": "Imported loop-55. Age drives both exercise and baseline cholesterol.", "LinkedStudyId": "exercise-cholesterol-age", "PublicationYear": 1995 },
      { "CandidateId": "cand-red-meat-bmi", "ProposedStudyId": "red-meat-colorectal-bmi", "Title": "Red Meat and Colorectal Cancer by BMI", "Citation": "Nutritional epidemiology stratified cohort.", "SourceUrl": "", "Domain": "epidemiology", "StratumVariableName": "bmi_category", "ExpectedDistortionType": "C+", "IngestionStatus": "imported", "Priority": 0, "StratumCountEstimate": 2, "DataSourceNote": "Imported loop-55. BMI confounds diet exposure.", "LinkedStudyId": "red-meat-colorectal-bmi", "PublicationYear": 2003 },
      { "CandidateId": "cand-folic-fortification", "ProposedStudyId": "folic-fortification-2000", "Title": "Folate Fortification and NTD by Region", "Citation": "Post-fortification surveillance tables.", "SourceUrl": "", "Domain": "epidemiology", "StratumVariableName": "region", "ExpectedDistortionType": "A", "IngestionStatus": "imported", "Priority": 0, "StratumCountEstimate": 3, "DataSourceNote": "Imported loop-55. Regional fortification timing as stratum.", "LinkedStudyId": "folic-fortification-2000", "PublicationYear": 2000 },
      { "CandidateId": "cand-nc-death-penalty", "ProposedStudyId": "north-carolina-death-penalty-1990", "Title": "NC Death Penalty by Victim Race (1990)", "Citation": "Gross SR, Mauro R. Death and Discrimination 1989.", "SourceUrl": "", "Domain": "legal", "StratumVariableName": "victim_race", "ExpectedDistortionType": "A", "IngestionStatus": "imported", "Priority": 0, "StratumCountEstimate": 2, "DataSourceNote": "Imported loop-55. Companion to Radelet Florida example.", "LinkedStudyId": "north-carolina-death-penalty-1990", "PublicationYear": 1990 },
      { "CandidateId": "cand-housing-audit", "ProposedStudyId": "housing-discrimination-audit", "Title": "Housing Audit Callback Rates by Neighborhood", "Citation": "HUD paired-testing audit aggregation.", "SourceUrl": "https://www.huduser.gov/portal/publications/fairhousing/hds.html", "Domain": "economics", "StratumVariableName": "neighborhood_income", "ExpectedDistortionType": "B", "IngestionStatus": "imported", "Priority": 0, "StratumCountEstimate": 2, "DataSourceNote": "Imported loop-55. Neighborhood confounds race/treatment callback rates.", "LinkedStudyId": "housing-discrimination-audit", "PublicationYear": 2012 },
      { "CandidateId": "cand-gender-pay", "ProposedStudyId": "gender-pay-gap-industry", "Title": "Gender Pay Gap by Industry Sector", "Citation": "Bureau of Labor Statistics sector tables.", "SourceUrl": "https://www.bls.gov/cps/", "Domain": "economics", "StratumVariableName": "industry_sector", "ExpectedDistortionType": "B", "IngestionStatus": "imported", "Priority": 0, "StratumCountEstimate": 3, "DataSourceNote": "Imported loop-55. Industry confounds gender comparison.", "LinkedStudyId": "gender-pay-gap-industry", "PublicationYear": 2018 },
      { "CandidateId": "cand-income-education", "ProposedStudyId": "income-education-state", "Title": "Income vs Education by US State", "Citation": "Census ACS state-level aggregation.", "SourceUrl": "https://data.census.gov/", "Domain": "economics", "StratumVariableName": "state", "ExpectedDistortionType": "C+", "IngestionStatus": "imported", "Priority": 0, "StratumCountEstimate": 4, "DataSourceNote": "Imported loop-55. State-level confounding; many strata — collapse to 2.", "LinkedStudyId": "income-education-state", "PublicationYear": 2019 },
      { "CandidateId": "cand-reef-fish", "ProposedStudyId": "florida-reef-fish-1994", "Title": "Florida Reef Fish Catch by Gear Type", "Citation": "Pauly D, Watson R. Nature 2003 meta-example.", "SourceUrl": "", "Domain": "social-science", "StratumVariableName": "gear_type", "ExpectedDistortionType": "A", "IngestionStatus": "imported", "Priority": 0, "StratumCountEstimate": 2, "DataSourceNote": "Imported loop-55. Gear type confounds species/location catch rates.", "LinkedStudyId": "florida-reef-fish-1994", "PublicationYear": 1994 },
      { "CandidateId": "cand-uc-irvine", "ProposedStudyId": "uc-irvine-admissions-1985", "Title": "UC Irvine Admissions by Department", "Citation": "Extension of Berkeley pattern.", "SourceUrl": "", "Domain": "social-science", "StratumVariableName": "department", "ExpectedDistortionType": "B", "IngestionStatus": "imported", "Priority": 0, "StratumCountEstimate": 4, "DataSourceNote": "Imported loop-55. Department self-selection confounds gender.", "LinkedStudyId": "uc-irvine-admissions-1985", "PublicationYear": 1985 },
      { "CandidateId": "cand-cesarean-bw", "ProposedStudyId": "cesarean-birth-weight-2006", "Title": "Cesarean Rates by Birth Weight Stratum", "Citation": "MacDorman MF et al. Birth 2006.", "SourceUrl": "https://pubmed.ncbi.nlm.nih.gov/16827879/", "Domain": "epidemiology", "StratumVariableName": "birth_weight", "ExpectedDistortionType": "C-", "IngestionStatus": "imported", "Priority": 0, "StratumCountEstimate": 2, "DataSourceNote": "Imported loop-55. Related to birth-weight paradox family.", "LinkedStudyId": "cesarean-birth-weight-2006", "PublicationYear": 2006 },
      { "CandidateId": "cand-schizophrenia", "ProposedStudyId": "schizophrenia-antipsychotic", "Title": "Antipsychotic Efficacy by Illness Severity", "Citation": "Clinical trial severity-stratified tables.", "SourceUrl": "", "Domain": "medicine", "StratumVariableName": "illness_severity", "ExpectedDistortionType": "A", "IngestionStatus": "imported", "Priority": 0, "StratumCountEstimate": 2, "DataSourceNote": "Imported loop-55. Severity confounds drug assignment.", "LinkedStudyId": "schizophrenia-antipsychotic", "PublicationYear": 2004 },
      { "CandidateId": "cand-penn-kidney-dup", "ProposedStudyId": "pennsylvania-kidney-duplicate", "Title": "Pennsylvania Kidney Stone (duplicate of Charig 1986)", "Citation": "Same data as kidney-1986.", "SourceUrl": "", "Domain": "medicine", "StratumVariableName": "stone_size", "ExpectedDistortionType": "A", "IngestionStatus": "blocked", "Priority": 5, "StratumCountEstimate": 2, "DataSourceNote": "Duplicate source — do not import.", "LinkedStudyId": "", "PublicationYear": null },
      { "CandidateId": "cand-yerushalmy-dup", "ProposedStudyId": "yerushalmy-smoking-dup", "Title": "Yerushalmy Smoking (duplicate birth-weight)", "Citation": "Same paradox family as birth-weight-paradox.", "SourceUrl": "", "Domain": "epidemiology", "StratumVariableName": "birth_weight", "ExpectedDistortionType": "B", "IngestionStatus": "blocked", "Priority": 5, "StratumCountEstimate": 2, "DataSourceNote": "Already represented — do not import.", "LinkedStudyId": "", "PublicationYear": null },
      { "CandidateId": "cand-berkeley-six-dept", "ProposedStudyId": "berkeley-six-dept-1973", "Title": "UC Berkeley Admissions: Six Largest Departments (Bickel 1975)", "Citation": "Bickel PJ et al. Science 1975;187:398-404. Table of six largest departments.", "SourceUrl": "https://www.science.org/doi/10.1126/science.187.4175.398", "Domain": "social-science", "StratumVariableName": "department", "ExpectedDistortionType": "B", "IngestionStatus": "imported", "Priority": 0, "StratumCountEstimate": 6, "DataSourceNote": "Imported loop-57. Six-dept slice of Berkeley 1973; gender admission counts from Science table.", "LinkedStudyId": "berkeley-six-dept-1973", "PublicationYear": 1975 },
      { "CandidateId": "cand-rosiglitazone-pool", "ProposedStudyId": "rosiglitazone-mi-pool-2007", "Title": "Rosiglitazone MI Meta-Analysis: Naive Pool vs Trial-Stratified (Nissen 2007 / Shao 2008)", "Citation": "Nissen SE, Wolski K. NEJM 2007;356:2457-2471. Pooled paradox per Shao &amp; Zhong BMC Med Res Methodol 2008.", "SourceUrl": "https://doi.org/10.1056/NEJMoa072761", "Domain": "medicine", "StratumVariableName": "trial_allocation_profile", "ExpectedDistortionType": "A", "IngestionStatus": "imported", "Priority": 0, "StratumCountEstimate": 2, "DataSourceNote": "Imported loop-57. Two trial-size strata; totals match 86/15565 rosi vs 72/12282 control MI events.", "LinkedStudyId": "rosiglitazone-mi-pool-2007", "PublicationYear": 2007 },
      { "CandidateId": "cand-ironman-gender", "ProposedStudyId": "ironman-gender-age-2010", "Title": "Triathlon Finish Rates by Age Cohort and Sex (classroom Simpson structure)", "Citation": "Classic allocation-weighting paradox; structure from Moore &amp; McCabe teaching examples.", "SourceUrl": "", "Domain": "sports", "StratumVariableName": "age_cohort", "ExpectedDistortionType": "A", "IngestionStatus": "imported", "Priority": 0, "StratumCountEstimate": 2, "DataSourceNote": "Imported loop-57. Women faster in each cohort; men faster pooled via cohort allocation.", "LinkedStudyId": "ironman-gender-age-2010", "PublicationYear": 2010 },
      { "CandidateId": "cand-panama-sweden", "ProposedStudyId": "panama-sweden-mortality-1975", "Title": "Panama vs Sweden Infant Survival by Age (Rothman 2002)", "Citation": "Rothman KJ. Epidemiology 2nd ed. 2002 p.1 — age-composition paradox.", "SourceUrl": "", "Domain": "epidemiology", "StratumVariableName": "age_group", "ExpectedDistortionType": "A", "IngestionStatus": "imported", "Priority": 0, "StratumCountEstimate": 3, "DataSourceNote": "Imported loop-57. Panama higher survival in each age stratum; Sweden higher pooled.", "LinkedStudyId": "panama-sweden-mortality-1975", "PublicationYear": 1975 },
      { "CandidateId": "cand-hanley-power", "ProposedStudyId": "hanley-power-lines-2000", "Title": "Childhood Leukemia and Power Lines: Five-Study Meta-Analysis (Hanley &amp; Theriault 2000)", "Citation": "Hanley JA, Theriault G. Epidemiology 2000;11(5):613. Five case-control studies, ≤100m exposure.", "SourceUrl": "https://doi.org/10.1097/00001648-200009000-00022", "Domain": "epidemiology", "StratumVariableName": "source_study", "ExpectedDistortionType": "B", "IngestionStatus": "imported", "Priority": 0, "StratumCountEstimate": 5, "DataSourceNote": "Imported loop-57. Five published studies as strata; within-study OR&gt;1; crude pooled OR inverts (0.7).", "LinkedStudyId": "hanley-power-lines-2000", "PublicationYear": 2000 },
      { "CandidateId": "cand-coffee-smoking", "ProposedStudyId": "coffee-smoking-lung-1968", "Title": "Coffee and Lung Cancer by Smoking Status (confounding classic)", "Citation": "Cornfield et al. / Appleton-style 2×2 tables; smoker stratum confounds coffee-cancer association.", "SourceUrl": "", "Domain": "epidemiology", "StratumVariableName": "smoking_status", "ExpectedDistortionType": "A", "IngestionStatus": "imported", "Priority": 0, "StratumCountEstimate": 2, "DataSourceNote": "Imported loop-57. Coffee appears protective pooled but harmful within smokers / null within nonsmokers.", "LinkedStudyId": "coffee-smoking-lung-1968", "PublicationYear": 1968 },
      { "CandidateId": "cand-hrt-whi-2002", "ProposedStudyId": "hrt-whi-2002", "Title": "HRT and CHD: Observational vs WHI RCT (2002)", "Citation": "Writing Group for the WHI Investigators. JAMA 2002;288:321-333. Observational vs RCT design as strata.", "SourceUrl": "", "Domain": "medicine", "StratumVariableName": "study_design", "ExpectedDistortionType": "A", "IngestionStatus": "imported", "Priority": 0, "StratumCountEstimate": 2, "DataSourceNote": "Imported loop-58. Prov: DOC. Cross-design reversal: HRT protective observationally, harmful in WHI RCT.", "LinkedStudyId": "hrt-whi-2002", "PublicationYear": 2002 },
      { "CandidateId": "cand-obesity-paradox-hf", "ProposedStudyId": "obesity-paradox-hf", "Title": "Obesity Paradox in Heart Failure", "Citation": "Gruberg L et al. Am Heart J 2003. Obesity and mortality in HF vs general population.", "SourceUrl": "", "Domain": "medicine", "StratumVariableName": "heart_failure_status", "ExpectedDistortionType": "B", "IngestionStatus": "imported", "Priority": 0, "StratumCountEstimate": 2, "DataSourceNote": "Imported loop-58. Prov: DOC. Collider/selection: conditioning on HF status reverses obesity-mortality association.", "LinkedStudyId": "obesity-paradox-hf", "PublicationYear": 2003 },
      { "CandidateId": "cand-dialysis-bmi-survival", "ProposedStudyId": "dialysis-bmi-survival", "Title": "Dialysis BMI Survival Paradox (Reverse Epidemiology)", "Citation": "Kalantar-Zadeh K et al. Kidney Int 2003. Reverse epidemiology in ESRD.", "SourceUrl": "", "Domain": "medicine", "StratumVariableName": "esrd_status", "ExpectedDistortionType": "B", "IngestionStatus": "imported", "Priority": 0, "StratumCountEstimate": 2, "DataSourceNote": "Imported loop-58. Prov: DOC. Second collider case: higher BMI protective among dialysis patients only.", "LinkedStudyId": "dialysis-bmi-survival", "PublicationYear": 2001 },
      { "CandidateId": "cand-sick-quitter-alcohol", "ProposedStudyId": "sick-quitter-alcohol", "Title": "Sick-Quitter Alcohol J-Curve (Abstainer Bias)", "Citation": "Shaper AG et al. BMJ 1988;297:911-916. Former drinkers in abstainer reference group.", "SourceUrl": "", "Domain": "medicine", "StratumVariableName": "abstainer_composition", "ExpectedDistortionType": "B", "IngestionStatus": "imported", "Priority": 0, "StratumCountEstimate": 2, "DataSourceNote": "Imported loop-58. Prov: DOC. Abstainer composition bias; causal role contested (sick-quitter vs confounding).", "LinkedStudyId": "sick-quitter-alcohol", "PublicationYear": 1988 },
      { "CandidateId": "cand-flu-vaccine-elderly-mortality", "ProposedStudyId": "flu-vaccine-elderly-mortality", "Title": "Flu Vaccine and Elderly All-Cause Mortality (Frailty Selection)", "Citation": "Jackson LA et al. Int J Epidemiol 2006;35(2):347-352. Frailty confounding in elderly vaccine studies.", "SourceUrl": "", "Domain": "medicine", "StratumVariableName": "age_group", "ExpectedDistortionType": "A", "IngestionStatus": "imported", "Priority": 0, "StratumCountEstimate": 2, "DataSourceNote": "Imported loop-58. Prov: DOC. Vaccinated elderly appear more likely to die before age adjustment.", "LinkedStudyId": "flu-vaccine-elderly-mortality", "PublicationYear": 2005 },
      { "CandidateId": "cand-trauma-center-mortality", "ProposedStudyId": "trauma-center-mortality", "Title": "Trauma Center Mortality and Injury Severity", "Citation": "Nathens AB et al. NEJM 2006. Case-mix confounding in trauma center comparisons.", "SourceUrl": "", "Domain": "medicine", "StratumVariableName": "injury_severity", "ExpectedDistortionType": "A", "IngestionStatus": "imported", "Priority": 0, "StratumCountEstimate": 2, "DataSourceNote": "Imported loop-59. Prov: REAL?. Higher-level centers receive sicker patients; approximate 2xK from cited source.", "LinkedStudyId": "trauma-center-mortality", "PublicationYear": 2006 },
      { "CandidateId": "cand-surgeon-volume-mortality", "ProposedStudyId": "surgeon-volume-mortality", "Title": "Surgeon Volume and Operative Mortality", "Citation": "Birkmeyer JD et al. NEJM 2003. Referral confounding in volume-outcome studies.", "SourceUrl": "", "Domain": "medicine", "StratumVariableName": "baseline_risk", "ExpectedDistortionType": "A", "IngestionStatus": "imported", "Priority": 0, "StratumCountEstimate": 2, "DataSourceNote": "Imported loop-59. Prov: REAL?. Sicker patients routed to high-volume surgeons; approximate 2xK from cited source.", "LinkedStudyId": "surgeon-volume-mortality", "PublicationYear": 2003 },
      { "CandidateId": "cand-mammography-length-bias", "ProposedStudyId": "mammography-length-bias", "Title": "Mammography Screening Length/Lead-Time Bias", "Citation": "Duffy SW et al. Lancet Oncol 2002. Screen-detected vs symptomatic survival paradox.", "SourceUrl": "", "Domain": "medicine", "StratumVariableName": "detection_mode", "ExpectedDistortionType": "C+", "IngestionStatus": "imported", "Priority": 0, "StratumCountEstimate": 2, "DataSourceNote": "Imported loop-59. Prov: REAL?. Selection via detection mode; approximate 2xK from cited source.", "LinkedStudyId": "mammography-length-bias", "PublicationYear": 2000 },
      { "CandidateId": "cand-cabg-vs-pci-severity", "ProposedStudyId": "cabg-vs-pci-severity", "Title": "CABG vs PCI Revascularization by Disease Severity", "Citation": "Hannan EL et al. JACC 2009. Confounding by indication in revascularization choice.", "SourceUrl": "", "Domain": "medicine", "StratumVariableName": "coronary_severity", "ExpectedDistortionType": "A", "IngestionStatus": "imported", "Priority": 0, "StratumCountEstimate": 2, "DataSourceNote": "Imported loop-59. Prov: REAL?. Complements hannan-1994; approximate 2xK from cited source.", "LinkedStudyId": "cabg-vs-pci-severity", "PublicationYear": 2009 },
      { "CandidateId": "cand-tolbutamide-ugdp-1970", "ProposedStudyId": "tolbutamide-ugdp-1970", "Title": "Tolbutamide UGDP Diabetes Trial (1970)", "Citation": "UGDP Investigators. Diabetes 1970. Contested multi-center diabetes drug trial.", "SourceUrl": "", "Domain": "medicine", "StratumVariableName": "center_baseline_risk", "ExpectedDistortionType": "B", "IngestionStatus": "imported", "Priority": 0, "StratumCountEstimate": 2, "DataSourceNote": "Imported loop-59. Prov: REAL?. Historical contested adjudication; approximate 2xK from cited source.", "LinkedStudyId": "tolbutamide-ugdp-1970", "PublicationYear": 1970 },
      { "CandidateId": "cand-covid-italy-china-cfr-2020", "ProposedStudyId": "covid-italy-china-cfr-2020", "Title": "COVID-19 CFR: Italy vs China by Age (2020)", "Citation": "von Kügelgen J et al. Nature 2021;594:E11-E13. Age-composition confounding in cross-country CFR.", "SourceUrl": "", "Domain": "epidemiology", "StratumVariableName": "age_group", "ExpectedDistortionType": "A", "IngestionStatus": "imported", "Priority": 0, "StratumCountEstimate": 2, "DataSourceNote": "Imported loop-58. Prov: DOC. Italy lower CFR in each age stratum yet higher pooled.", "LinkedStudyId": "covid-italy-china-cfr-2020", "PublicationYear": 2020 },
      { "CandidateId": "cand-israel-covid-severe-2021", "ProposedStudyId": "israel-covid-severe-2021", "Title": "Israel COVID-19 Severe Disease by Vaccination Status and Age (2021)", "Citation": "Goldberg Y et al. NEJM 2021. Israeli Ministry of Health severe-disease surveillance.", "SourceUrl": "", "Domain": "epidemiology", "StratumVariableName": "age_group", "ExpectedDistortionType": "A", "IngestionStatus": "imported", "Priority": 0, "StratumCountEstimate": 2, "DataSourceNote": "Imported loop-58. Prov: DOC. Independent vaccine-status dataset distinct from phe-covid-2021.", "LinkedStudyId": "israel-covid-severe-2021", "PublicationYear": 2021 },
      { "CandidateId": "cand-cochran-smoking-1968", "ProposedStudyId": "cochran-smoking-1968", "Title": "Smoking and Mortality by Age (Cochran / Surgeon General 1964)", "Citation": "Cochran WG. Chapter 8, US Surgeon General Report on Smoking 1964. Age composition confounds smoking-mortality.", "SourceUrl": "", "Domain": "epidemiology", "StratumVariableName": "age_group", "ExpectedDistortionType": "A", "IngestionStatus": "imported", "Priority": 0, "StratumCountEstimate": 2, "DataSourceNote": "Imported loop-58. Prov: DOC. Foundational age-confounded smoking-mortality case.", "LinkedStudyId": "cochran-smoking-1968", "PublicationYear": 1968 },
      { "CandidateId": "cand-healthy-worker-mortality", "ProposedStudyId": "healthy-worker-mortality", "Title": "Healthy Worker Effect in Occupational Mortality", "Citation": "Monson RR. Occup Epidemiology 2nd ed. 1990. Healthy-worker selection effect.", "SourceUrl": "", "Domain": "epidemiology", "StratumVariableName": "employment_status", "ExpectedDistortionType": "B", "IngestionStatus": "imported", "Priority": 0, "StratumCountEstimate": 2, "DataSourceNote": "Imported loop-58. Prov: DOC. Selection not confounding: employed cohort healthier at hire.", "LinkedStudyId": "healthy-worker-mortality", "PublicationYear": 1987 },
      { "CandidateId": "cand-snow-cholera-water-1855", "ProposedStudyId": "snow-cholera-water-1855", "Title": "Snow Cholera Outbreak by Water Company (1855)", "Citation": "Snow J. On the Mode of Communication of Cholera 1855.", "SourceUrl": "", "Domain": "epidemiology", "StratumVariableName": "water_company", "ExpectedDistortionType": "A", "IngestionStatus": "imported", "Priority": 0, "StratumCountEstimate": 2, "DataSourceNote": "Imported loop-59. Prov: REAL?. Foundational historical case; 2×K approximate 2xK from cited source.", "LinkedStudyId": "snow-cholera-water-1855", "PublicationYear": 1855 },
      { "CandidateId": "cand-seatbelt-crash-severity", "ProposedStudyId": "seatbelt-crash-severity", "Title": "Seatbelt Use and Crash Severity (Selection on Crash)", "Citation": "Hertz E et al. Accid Anal Prev 1995. Selection on crash involvement.", "SourceUrl": "", "Domain": "epidemiology", "StratumVariableName": "crash_occurrence", "ExpectedDistortionType": "B", "IngestionStatus": "imported", "Priority": 0, "StratumCountEstimate": 2, "DataSourceNote": "Imported loop-59. Prov: REAL?. Collider mechanism; approximate 2xK from cited source.", "LinkedStudyId": "seatbelt-crash-severity", "PublicationYear": 1995 },
      { "CandidateId": "cand-measles-outbreak-vaccinated", "ProposedStudyId": "measles-outbreak-vaccinated", "Title": "Measles Outbreak: Vaccinated Case Share (Base Rate)", "Citation": "CDC MMWR measles outbreak reports. High-coverage base-rate illusion.", "SourceUrl": "", "Domain": "epidemiology", "StratumVariableName": "vaccination_base_rate", "ExpectedDistortionType": "C+", "IngestionStatus": "imported", "Priority": 0, "StratumCountEstimate": 2, "DataSourceNote": "Imported loop-59. Prov: REAL?. Most cases vaccinated because most people are; approximate 2xK from cited source.", "LinkedStudyId": "measles-outbreak-vaccinated", "PublicationYear": 2015 },
      { "CandidateId": "cand-air-pollution-mortality-city", "ProposedStudyId": "air-pollution-mortality-city", "Title": "Air Pollution Mortality: Within-City vs Across-City", "Citation": "Dominici F et al. JAMA 2006. Ecological vs individual-level pollution effects.", "SourceUrl": "", "Domain": "epidemiology", "StratumVariableName": "city", "ExpectedDistortionType": "B", "IngestionStatus": "imported", "Priority": 0, "StratumCountEstimate": 2, "DataSourceNote": "Imported loop-59. Prov: REAL?. Bridges ecological aggregation cluster; approximate 2xK from cited source.", "LinkedStudyId": "air-pollution-mortality-city", "PublicationYear": 2002 },
      { "CandidateId": "cand-tb-treatment-resistance", "ProposedStudyId": "tb-treatment-resistance", "Title": "TB Treatment Success by Drug-Resistance Stratum", "Citation": "WHO Global TB Report. Resistance-stratified treatment outcomes.", "SourceUrl": "", "Domain": "epidemiology", "StratumVariableName": "drug_resistance", "ExpectedDistortionType": "A", "IngestionStatus": "imported", "Priority": 0, "StratumCountEstimate": 2, "DataSourceNote": "Imported loop-59. Prov: REAL?. Infectious-disease structure; approximate 2xK from cited source.", "LinkedStudyId": "tb-treatment-resistance", "PublicationYear": 2010 },
      { "CandidateId": "cand-hospital-mortality-readmission", "ProposedStudyId": "hospital-mortality-readmission", "Title": "Hospital Mortality Under Readmission Penalty (Case Mix)", "Citation": "CMS Hospital Readmissions Reduction Program evaluations.", "SourceUrl": "", "Domain": "epidemiology", "StratumVariableName": "case_mix", "ExpectedDistortionType": "C+", "IngestionStatus": "imported", "Priority": 0, "StratumCountEstimate": 2, "DataSourceNote": "Imported loop-59. Prov: REAL?. Policy-relevant case-mix distortion; approximate 2xK from cited source.", "LinkedStudyId": "hospital-mortality-readmission", "PublicationYear": 2014 },
      { "CandidateId": "cand-nypd-stop-frisk-hitrate", "ProposedStudyId": "nypd-stop-frisk-hitrate", "Title": "NYPD Stop-and-Frisk Hit Rate by Precinct (R</t>
  </si>
  <si>
    <t xml:space="preserve">idgeway)", "Citation": "Ridgeway G. RAND 2007. Benchmarking paradox in stop-and-frisk.", "SourceUrl": "", "Domain": "legal", "StratumVariableName": "precinct_base_rate", "ExpectedDistortionType": "B", "IngestionStatus": "imported", "Priority": 0, "StratumCountEstimate": 2, "DataSourceNote": "Imported loop-59. Prov: REAL?. Hit-rate reversal by precinct; approximate 2xK from cited source.", "LinkedStudyId": "nypd-stop-frisk-hitrate", "PublicationYear": 2007 },
      { "CandidateId": "cand-compas-recidivism-base", "ProposedStudyId": "compas-recidivism-base", "Title": "COMPAS Recidivism Prediction Base-Rate Paradox", "Citation": "Chouldechova A. Big Data 2017; arXiv:1610.07524. ProPublica COMPAS analysis.", "SourceUrl": "", "Domain": "legal", "StratumVariableName": "group_base_rate", "ExpectedDistortionType": "B", "IngestionStatus": "imported", "Priority": 0, "StratumCountEstimate": 2, "DataSourceNote": "Imported loop-58. Prov: DOC. ML-fairness reversal; links to algorithmic-fairness literature.", "LinkedStudyId": "compas-recidivism-base", "PublicationYear": 2016 },
      { "CandidateId": "cand-sentencing-offense-type", "ProposedStudyId": "sentencing-offense-type", "Title": "Sentencing Disparity by Offense Type Mix", "Citation": "USSC sentencing disparity reports.", "SourceUrl": "", "Domain": "legal", "StratumVariableName": "offense_category", "ExpectedDistortionType": "A", "IngestionStatus": "imported", "Priority": 0, "StratumCountEstimate": 2, "DataSourceNote": "Imported loop-59. Prov: REAL?. Complements death-penalty cases; approximate 2xK from cited source.", "LinkedStudyId": "sentencing-offense-type", "PublicationYear": 2000 },
      { "CandidateId": "cand-bail-risk-score", "ProposedStudyId": "bail-risk-score", "Title": "Pretrial Detention by Risk Tier and Demographics", "Citation": "Arnold Ventures pretrial risk assessment validations.", "SourceUrl": "", "Domain": "legal", "StratumVariableName": "pretrial_risk_tier", "ExpectedDistortionType": "C+", "IngestionStatus": "imported", "Priority": 0, "StratumCountEstimate": 2, "DataSourceNote": "Imported loop-59. Prov: REAL?. Detention-decision distortion; approximate 2xK from cited source.", "LinkedStudyId": "bail-risk-score", "PublicationYear": 2018 },
      { "CandidateId": "cand-police-force-encounter", "ProposedStudyId": "police-force-encounter", "Title": "Police Use-of-Force by Stop/Encounter Conditioning", "Citation": "Fryer RG. J Polit Econ 2019. Selection on police encounter.", "SourceUrl": "", "Domain": "legal", "StratumVariableName": "encounter_conditioning", "ExpectedDistortionType": "B", "IngestionStatus": "imported", "Priority": 0, "StratumCountEstimate": 2, "DataSourceNote": "Imported loop-59. Prov: REAL?. Collider not confounder; approximate 2xK from cited source.", "LinkedStudyId": "police-force-encounter", "PublicationYear": 2016 },
      { "CandidateId": "cand-uc-systemwide-admissions", "ProposedStudyId": "uc-systemwide-admissions", "Title": "UC Systemwide Admissions by Major/Campus", "Citation": "UC Office of the President admissions statistics.", "SourceUrl": "", "Domain": "education", "StratumVariableName": "major_campus", "ExpectedDistortionType": "B", "IngestionStatus": "imported", "Priority": 0, "StratumCountEstimate": 2, "DataSourceNote": "Imported loop-59. Prov: REAL?. Extends Berkeley; self-selection into major contested.", "LinkedStudyId": "uc-systemwide-admissions", "PublicationYear": 2004 },
      { "CandidateId": "cand-teacher-vam-prior-achievement", "ProposedStudyId": "teacher-vam-prior-achievement", "Title": "Teacher VAM Reversal by Incoming Achievement", "Citation": "Ehlert M et al. Educ Eval Policy Anal 2013.", "SourceUrl": "", "Domain": "education", "StratumVariableName": "incoming_achievement", "ExpectedDistortionType": "C+", "IngestionStatus": "imported", "Priority": 0, "StratumCountEstimate": 2, "DataSourceNote": "Imported loop-59. Prov: REAL?. Non-random teacher assignment; approximate 2xK from cited source.", "LinkedStudyId": "teacher-vam-prior-achievement", "PublicationYear": 2011 },
      { "CandidateId": "cand-naep-state-demographics", "ProposedStudyId": "naep-state-demographics", "Title": "NAEP State Scores by Demographic Composition", "Citation": "NAEP Nation's Report Card state-level data.", "SourceUrl": "", "Domain": "education", "StratumVariableName": "state_composition", "ExpectedDistortionType": "A", "IngestionStatus": "imported", "Priority": 0, "StratumCountEstimate": 2, "DataSourceNote": "Imported loop-59. Prov: REAL?. Ecological extension of sat-wainer-1986; approximate 2xK from cited source.", "LinkedStudyId": "naep-state-demographics", "PublicationYear": 2019 },
      { "CandidateId": "cand-college-grad-rate-selectivity", "ProposedStudyId": "college-grad-rate-selectivity", "Title": "College Graduation Rate vs Selectivity Paradox", "Citation": "NCES IPEDS graduation rate data.", "SourceUrl": "", "Domain": "education", "StratumVariableName": "incoming_preparation", "ExpectedDistortionType": "C+", "IngestionStatus": "imported", "Priority": 0, "StratumCountEstimate": 2, "DataSourceNote": "Imported loop-59. Prov: REAL?. Intake composition drives reversal; approximate 2xK from cited source.", "LinkedStudyId": "college-grad-rate-selectivity", "PublicationYear": 2015 },
      { "CandidateId": "cand-star-class-size", "ProposedStudyId": "star-class-size", "Title": "Tennessee STAR Class Size Effect", "Citation": "Mosteller F. Am Scholar 1995. STAR experiment.", "SourceUrl": "", "Domain": "education", "StratumVariableName": "school", "ExpectedDistortionType": "D", "IngestionStatus": "imported", "Priority": 0, "StratumCountEstimate": 2, "DataSourceNote": "Imported loop-59. Prov: REAL?. Near-neutral control; approximate 2xK from cited source.", "LinkedStudyId": "star-class-size", "PublicationYear": 1999 },
      { "CandidateId": "cand-nba-shooting-shot-mix", "ProposedStudyId": "nba-shooting-shot-mix", "Title": "NBA Shooting Percentage by Shot-Mix Composition", "Citation": "Goldsberry K / NBA tracking data. Two-point vs three-point mix.", "SourceUrl": "", "Domain": "sports", "StratumVariableName": "shot_type", "ExpectedDistortionType": "B", "IngestionStatus": "imported", "Priority": 0, "StratumCountEstimate": 2, "DataSourceNote": "Imported loop-59. Prov: REAL?. Composition mechanism not confounding; approximate 2xK from cited source.", "LinkedStudyId": "nba-shooting-shot-mix", "PublicationYear": 2015 },
      { "CandidateId": "cand-pitcher-era-ballpark", "ProposedStudyId": "pitcher-era-ballpark", "Title": "Pitcher ERA by Ballpark Factor", "Citation": "FanGraphs park factors.", "SourceUrl": "", "Domain": "sports", "StratumVariableName": "ballpark", "ExpectedDistortionType": "C+", "IngestionStatus": "imported", "Priority": 0, "StratumCountEstimate": 2, "DataSourceNote": "Imported loop-59. Prov: REAL?. Park-factor distortion; approximate 2xK from cited source.", "LinkedStudyId": "pitcher-era-ballpark", "PublicationYear": 2010 },
      { "CandidateId": "cand-nfl-completion-depth", "ProposedStudyId": "nfl-completion-depth", "Title": "NFL Completion Rate by Pass Depth Mix", "Citation": "NFL Next Gen Stats.", "SourceUrl": "", "Domain": "sports", "StratumVariableName": "pass_depth", "ExpectedDistortionType": "C+", "IngestionStatus": "imported", "Priority": 0, "StratumCountEstimate": 2, "DataSourceNote": "Imported loop-59. Prov: REAL?. Completion-% reversal by throw-depth mix; approximate 2xK from cited source.", "LinkedStudyId": "nfl-completion-depth", "PublicationYear": 2018 },
      { "CandidateId": "cand-field-goal-distance", "ProposedStudyId": "field-goal-distance", "Title": "Field Goal Accuracy by Attempt Distance", "Citation": "Pro-Football-Reference kicker data.", "SourceUrl": "", "Domain": "sports", "StratumVariableName": "kick_distance", "ExpectedDistortionType": "C+", "IngestionStatus": "imported", "Priority": 0, "StratumCountEstimate": 2, "DataSourceNote": "Imported loop-59. Prov: REAL?. FG accuracy reversal by distance distribution; approximate 2xK from cited source.", "LinkedStudyId": "field-goal-distance", "PublicationYear": 2012 },
      { "CandidateId": "cand-golf-scoring-course", "ProposedStudyId": "golf-scoring-course", "Title": "Golf Scoring Average by Course Difficulty", "Citation": "PGA Tour scoring statistics.", "SourceUrl": "", "Domain": "sports", "StratumVariableName": "course_difficulty", "ExpectedDistortionType": "C+", "IngestionStatus": "imported", "Priority": 0, "StratumCountEstimate": 2, "DataSourceNote": "Imported loop-59. Prov: REAL?. Course-mix distortion; approximate 2xK from cited source.", "LinkedStudyId": "golf-scoring-course", "PublicationYear": 2015 },
      { "CandidateId": "cand-us-wage-composition-stagnation", "ProposedStudyId": "us-wage-composition-stagnation", "Title": "US Wage Stagnation and Workforce Composition", "Citation": "Autor DH. NBER 2019. Composition-over-time wage paradox.", "SourceUrl": "", "Domain": "economics", "StratumVariableName": "workforce_composition", "ExpectedDistortionType": "A", "IngestionStatus": "imported", "Priority": 0, "StratumCountEstimate": 2, "DataSourceNote": "Imported loop-58. Prov: DOC. Every subgroup wage rises yet aggregate flat — composition over time.", "LinkedStudyId": "us-wage-composition-stagnation", "PublicationYear": 2018 },
      { "CandidateId": "cand-borjas-immigrant-cohort", "ProposedStudyId": "borjas-immigrant-cohort", "Title": "Borjas Immigrant Assimilation: Cohort vs Cross-Section", "Citation": "Borjas GJ. J Labor Econ 1985;3(4):463-489.", "SourceUrl": "", "Domain": "economics", "StratumVariableName": "arrival_cohort", "ExpectedDistortionType": "A", "IngestionStatus": "imported", "Priority": 0, "StratumCountEstimate": 2, "DataSourceNote": "Imported loop-58. Prov: DOC. Cross-section vs cohort assimilation reversal.", "LinkedStudyId": "borjas-immigrant-cohort", "PublicationYear": 1987 },
      { "CandidateId": "cand-returns-to-education-field", "ProposedStudyId": "returns-to-education-field", "Title": "Returns to Education by Field of Study", "Citation": "Carnevale AP et al. Georgetown CEW reports.", "SourceUrl": "", "Domain": "economics", "StratumVariableName": "field_of_study", "ExpectedDistortionType": "B", "IngestionStatus": "imported", "Priority": 0, "StratumCountEstimate": 2, "DataSourceNote": "Imported loop-59. Prov: REAL?. Field choice mediates education-earnings; approximate 2xK from cited source.", "LinkedStudyId": "returns-to-education-field", "PublicationYear": 2008 },
      { "CandidateId": "cand-minimum-wage-region", "ProposedStudyId": "minimum-wage-region", "Title": "Minimum Wage Employment Effects by Region", "Citation": "Dube A et al. Rev Econ Stat 2010.", "SourceUrl": "", "Domain": "economics", "StratumVariableName": "region", "ExpectedDistortionType": "C+", "IngestionStatus": "imported", "Priority": 0, "StratumCountEstimate": 2, "DataSourceNote": "Imported loop-59. Prov: REAL?. Regional labor market confounding; approximate 2xK from cited source.", "LinkedStudyId": "minimum-wage-region", "PublicationYear": 2014 },
      { "CandidateId": "cand-unemployment-education-cycle", "ProposedStudyId": "unemployment-education-cycle", "Title": "Aggregate Unemployment and Education Composition", "Citation": "BLS Current Population Survey.", "SourceUrl": "", "Domain": "economics", "StratumVariableName": "education_composition", "ExpectedDistortionType": "A", "IngestionStatus": "imported", "Priority": 0, "StratumCountEstimate": 2, "DataSourceNote": "Imported loop-59. Prov: REAL?. Recession education-mix shift; approximate 2xK from cited source.", "LinkedStudyId": "unemployment-education-cycle", "PublicationYear": 2010 },
      { "CandidateId": "cand-robinson-1950-literacy", "ProposedStudyId": "robinson-1950-literacy", "Title": "Robinson 1950: Literacy vs Nativity Ecological Fallacy", "Citation": "Robinson WS. Am Sociol Rev 1950;15(3):351-357. 1930 US Census.", "SourceUrl": "", "Domain": "social-science", "StratumVariableName": "state_aggregation", "ExpectedDistortionType": "A", "IngestionStatus": "imported", "Priority": 0, "StratumCountEstimate": 2, "DataSourceNote": "Imported loop-58. Prov: DOC. Foundational ecological-fallacy reversal.", "LinkedStudyId": "robinson-1950-literacy", "PublicationYear": 1950 },
      { "CandidateId": "cand-costa-rica-us-life-expectancy", "ProposedStudyId": "costa-rica-us-life-expectancy", "Title": "Costa Rica vs US Life Expectancy by Age", "Citation": "Rosero-Bixby L. Popul Dev Rev 2004.", "SourceUrl": "", "Domain": "social-science", "StratumVariableName": "age_group", "ExpectedDistortionType": "A", "IngestionStatus": "imported", "Priority": 0, "StratumCountEstimate": 2, "DataSourceNote": "Imported loop-59. Prov: REAL?. Second standardization case; approximate 2xK from cited source.", "LinkedStudyId": "costa-rica-us-life-expectancy", "PublicationYear": 2010 },
      { "CandidateId": "cand-voter-turnout-education-state", "ProposedStudyId": "voter-turnout-education-state", "Title": "Voter Turnout by Education Across States", "Citation": "CPS Voting and Registration Supplement.", "SourceUrl": "", "Domain": "social-science", "StratumVariableName": "state", "ExpectedDistortionType": "B", "IngestionStatus": "imported", "Priority": 0, "StratumCountEstimate": 2, "DataSourceNote": "Imported loop-59. Prov: REAL?. Ecological confounding; approximate 2xK from cited source.", "LinkedStudyId": "voter-turnout-education-state", "PublicationYear": 2012 },
      { "CandidateId": "cand-fertility-income-country", "ProposedStudyId": "fertility-income-country", "Title": "Fertility-Income Paradox Across Countries", "Citation": "World Bank World Development Indicators.", "SourceUrl": "", "Domain": "social-science", "StratumVariableName": "country", "ExpectedDistortionType": "A", "IngestionStatus": "imported", "Priority": 0, "StratumCountEstimate": 2, "DataSourceNote": "Imported loop-59. Prov: REAL?. Within- vs across-country reversal; approximate 2xK from cited source.", "LinkedStudyId": "fertility-income-country", "PublicationYear": 2015 },
      { "CandidateId": "cand-religiosity-happiness-country", "ProposedStudyId": "religiosity-happiness-country", "Title": "Religiosity and Happiness by National Wealth", "Citation": "World Values Survey / Gallup World Poll.", "SourceUrl": "", "Domain": "social-science", "StratumVariableName": "national_wealth", "ExpectedDistortionType": "B", "IngestionStatus": "imported", "Priority": 0, "StratumCountEstimate": 2, "DataSourceNote": "Imported loop-59. Prov: REAL?. Country wealth confounds religiosity-happiness; approximate 2xK from cited source.", "LinkedStudyId": "religiosity-happiness-country", "PublicationYear": 2018 },
      { "CandidateId": "cand-ab-test-traffic-mix", "ProposedStudyId": "ab-test-traffic-mix", "Title": "A/B Test Reversal from Traffic Composition Shift (Kohavi)", "Citation": "Kohavi R et al. Trustworthy Online Controlled Experiments 2020.", "SourceUrl": "", "Domain": "social-science", "StratumVariableName": "time_varying_segment", "ExpectedDistortionType": "A", "IngestionStatus": "imported", "Priority": 0, "StratumCountEstimate": 2, "DataSourceNote": "Imported loop-58. Prov: DOC. Experimentation Simpson case: segment mix shifts between variants.", "LinkedStudyId": "ab-test-traffic-mix", "PublicationYear": 2020 },
      { "CandidateId": "cand-recsys-offline-eval", "ProposedStudyId": "recsys-offline-eval", "Title": "Recommender Offline Metric Reversal (Exposure Bias)", "Citation": "Ding Y et al. arXiv:2104.08912. Offline evaluation under exposure bias.", "SourceUrl": "", "Domain": "social-science", "StratumVariableName": "exposure_popularity", "ExpectedDistortionType": "B", "IngestionStatus": "imported", "Priority": 0, "StratumCountEstimate": 2, "DataSourceNote": "Imported loop-58. Prov: DOC. Links to evaluation methodology literature.", "LinkedStudyId": "recsys-offline-eval", "PublicationYear": 2021 },
      { "CandidateId": "cand-ad-ctr-platform-mix", "ProposedStudyId": "ad-ctr-platform-mix", "Title": "Ad Click-Through Rate by Platform Mix", "Citation": "Industry A/B testing case studies.", "SourceUrl": "", "Domain": "social-science", "StratumVariableName": "platform", "ExpectedDistortionType": "C+", "IngestionStatus": "imported", "Priority": 0, "StratumCountEstimate": 2, "DataSourceNote": "Imported loop-59. Prov: REAL?. Platform composition reversal; approximate 2xK from cited source.", "LinkedStudyId": "ad-ctr-platform-mix", "PublicationYear": 2019 },
      { "CandidateId": "cand-collider-only-synthetic", "ProposedStudyId": "collider-only-synthetic", "Title": "Collider-Only Synthetic (Zero Confounding)", "Citation": "Structural control constructed for loop-58.", "SourceUrl": "", "Domain": "synthetic", "StratumVariableName": "constructed_collider", "ExpectedDistortionType": "B", "IngestionStatus": "imported", "Priority": 0, "StratumCountEstimate": 2, "DataSourceNote": "Imported loop-58. Prov: SYNTH. Isolates collider-induced reversal with no confounder present.", "LinkedStudyId": "collider-only-synthetic", "PublicationYear": 2026 },
      { "CandidateId": "cand-noncollapsibility-or-synthetic", "ProposedStudyId": "noncollapsibility-or-synthetic", "Title": "Non-Collapsibility OR Synthetic (Zero Confounding)", "Citation": "Structural control constructed for loop-58.", "SourceUrl": "", "Domain": "synthetic", "StratumVariableName": "noncollapsible_measure", "ExpectedDistortionType": "D", "IngestionStatus": "imported", "Priority": 0, "StratumCountEstimate": 2, "DataSourceNote": "Imported loop-58. Prov: SYNTH. OR reverses from non-collapsibility alone; RD does not reverse. Tests instrument blind spot.", "LinkedStudyId": "noncollapsibility-or-synthetic", "PublicationYear": 2026 }
    ]
  },
  "CorpusCatalogSummary": {
    "Description": "Table: CorpusCatalogSummary — one row witnessing import-backlog readiness for bulk encoding sessions.",
    "schema": [
      {
        "name": "CatalogSummaryId",
        "datatype": "string",
        "type": "raw",
        "nullable": false,
        "Description": "Unique identifier."
      },
      {
        "name": "Name",
        "datatype": "string",
        "type": "calculated",
        "nullable": false,
        "Description": "Display label.",
        "formula": "={{CatalogSummaryId}}"
      },
      {
        "name": "TotalCatalogEntries",
        "datatype": "integer",
        "type": "aggregation",
        "nullable": false,
        "Description": "All catalog rows.",
        "formula": "=COUNTIFS(CandidateStudyCatalog!{{CandidateId}}, \"&lt;&gt;\")"
      },
      {
        "name": "ImportedCount",
        "datatype": "integer",
        "type": "aggregation",
        "nullable": false,
        "Description": "Rows already imported.",
        "formula": "=COUNTIFS(CandidateStudyCatalog!{{IngestionStatus}}, \"imported\")"
      },
      {
        "name": "CandidateCount",
        "datatype": "integer",
        "type": "aggregation",
        "nullable": false,
        "Description": "Rows queued for import.",
        "formula": "=COUNTIFS(CandidateStudyCatalog!{{IngestionStatus}}, \"candidate\")"
      },
      {
        "name": "BlockedCount",
        "datatype": "integer",
        "type": "aggregation",
        "nullable": false,
        "Description": "Duplicate or blocked rows.",
        "formula": "=COUNTIFS(CandidateStudyCatalog!{{IngestionStatus}}, \"blocked\")"
      },
      {
        "name": "ReadyToEncodeCount",
        "datatype": "integer",
        "type": "aggregation",
        "nullable": false,
        "Description": "Candidates passing IsReadyToEncode.",
        "formula": "=COUNTIFS(CandidateStudyCatalog!{{IsReadyToEncode}}, TRUE())"
      },
      {
        "name": "HighPriorityCount",
        "datatype": "integer",
        "type": "aggregation",
        "nullable": false,
        "Description": "Candidates with Priority &lt;= 2.",
        "formula": "=COUNTIFS(CandidateStudyCatalog!{{IngestionStatus}}, \"candidate\", CandidateStudyCatalog!{{Priority}}, \"&lt;=2\")"
      },
      {
        "name": "ImportSessionReady",
        "datatype": "boolean",
        "type": "calculated",
        "nullable": false,
        "Description": "TRUE when backlog is large enough for a bulk import session.",
        "formula": "=AND({{CandidateCount}} &gt;= 20, {{ReadyToEncodeCount}} &gt;= 15)"
      },
      {
        "name": "CatalogWitnessNote",
        "datatype": "string",
        "type": "calculated",
        "nullable": false,
        "Description": "Human-readable readiness summary.",
        "formula": "=IF({{ImportSessionReady}}, CONCAT(\"READY: \", {{ReadyToEncodeCount}}, \" studies queued (\", {{CandidateCount}}, \" candidates)\"), CONCAT(\"NOT READY: only \", {{ReadyToEncodeCount}}, \" encode-ready of \", {{CandidateCount}}, \" candidates\"))"
      }
    ],
    "data": [
      { "CatalogSummaryId": "catalog-v1" }
    ]
  },
  "DomainExpansionTargets": {
    "Description": "Table: DomainExpansionTargets — per-domain corpus growth targets for bulk import prioritisation.",
    "schema": [
      {
        "name": "DomainTargetId",
        "datatype": "string",
        "type": "raw",
        "nullable": false,
        "Description": "Unique slug."
      },
      {
        "name": "Name",
        "datatype": "string",
        "type": "calculated",
        "nullable": false,
        "Description": "Display label.",
        "formula": "={{DomainTargetId}}"
      },
      {
        "name": "Domain",
        "datatype": "string",
        "type": "raw",
        "nullable": false,
        "Description": "Domain tag matching Studies.Domain."
      },
      {
        "name": "TargetMinCount",
        "datatype": "integer",
        "type": "raw",
        "nullable": false,
        "Description": "Minimum real studies desired in this domain."
      },
      {
        "name": "CurrentImportedCount",
        "datatype": "integer",
        "type": "aggregation",
        "nullable": false,
        "Description": "Real studies already in corpus.",
        "formula": "=COUNTIFS(Studies!{{Domain}}, {{Domain}}, Studies!{{IsSynthetic}}, FALSE())"
      },
      {
        "name": "CandidateQueuedCount",
        "datatype": "integer",
        "type": "aggregation",
        "nullable": false,
        "Description": "Catalog candidates in this domain.",
        "formula": "=COUNTIFS(CandidateStudyCatalog!{{Domain}}, {{Domain}}, CandidateStudyCatalog!{{IngestionStatus}}, \"candidate\")"
      },
      {
        "name": "ProjectedCount",
        "datatype": "integer",
        "type": "calculated",
        "nullable": false,
        "Description": "Current + queued candidates.",
        "formula": "={{CurrentImportedCount}} + {{CandidateQueuedCount}}"
      },
      {
        "name": "GapCount",
        "datatype": "integer",
        "type": "calculated",
        "nullable": false,
        "Description": "Studies still needed to hit target after queued imports.",
        "formula": "=MAX(0, {{TargetMinCount}} - {{ProjectedCount}})"
      },
      {
        "name": "IsUnderRepresented",
        "datatype": "boolean",
        "type": "calculated",
        "nullable": false,
        "Description": "TRUE when projected count still below target.",
        "formula": "={{ProjectedCount}} &lt; {{TargetMinCount}}"
      }
    ],
    "data": [
      { "DomainTargetId": "domain-target-medicine", "Domain": "medicine", "TargetMinCount": 8 },
      { "DomainTargetId": "domain-target-epidemiology", "Domain": "epidemiology", "TargetMinCount": 10 },
      { "DomainTargetId": "domain-target-legal", "Domain": "legal", "TargetMinCount": 3 },
      { "DomainTargetId": "domain-target-sports", "Domain": "sports", "TargetMinCount": 4 },
      { "DomainTargetId": "domain-target-education", "Domain": "education", "TargetMinCount": 4 },
      { "DomainTargetId": "domain-target-economics", "Domain": "economics", "TargetMinCount": 5 },
      { "DomainTargetId": "domain-target-social-science", "Domain": "social-science", "TargetMinCount": 5 }
    ]
  },
  "StudyImportTemplate": {
    "Description": "Table: StudyImportTemplate — mechanical checklist of rulebook rows to create when importing one catalog candidate.",
    "schema": [
      {
        "name": "TemplateStepId",
        "datatype": "string",
        "type": "raw",
        "nullable": false,
        "Description": "Unique slug."
      },
      {
        "name": "Name",
        "datatype": "string",
        "type": "calculated",
        "nullable": false,
        "Description": "Display label.",
        "formula": "={{TemplateStepId}}"
      },
      {
        "name": "SortOrder",
        "datatype": "integer",
        "type": "raw",
        "nullable": false,
        "Description": "Order to execute during import."
      },
      {
        "name": "TargetTable",
        "datatype": "string",
        "type": "raw",
        "nullable": false,
        "Description": "Rulebook table to write."
      },
      {
        "name": "RowDescription",
        "datatype": "string",
        "type": "raw",
        "nullable": false,
        "Description": "What rows to create."
      },
      {
        "name": "RequiredFields",
        "datatype": "string",
        "type": "raw",
        "nullable": false,
        "Description": "Key columns that must be populated."
      },
      {
        "name": "MechanicalCheck",
        "datatype": "string",
        "type": "raw",
        "nullable": false,
        "Description": "How to verify step complete."
      }
    ],
    "data": [
      { "TemplateStepId": "import-step-studies", "SortOrder": 1, "TargetTable": "Studies", "RowDescription": "One Studies row with StudyId, Title, Source, SourceUrl, Domain, PublicationYear, IsSynthetic=FALSE.", "RequiredFields": "StudyId, Title, Source, SourceUrl", "MechanicalCheck": "StudyId unique; Source is citation string." },
      { "TemplateStepId": "import-step-stratum-var", "SortOrder": 2, "TargetTable": "StratumVariables", "RowDescription": "One StratumVariables row naming the confounder before classification.", "RequiredFields": "VariableName, CausalRole, MechanismNote", "MechanicalCheck": "CausalRole in {confounder, mediator, contested, unknown}." },
      { "TemplateStepId": "import-step-treatments", "SortOrder": 3, "TargetTable": "Treatments", "RowDescription": "Two Treatments rows (A and B) with human-readable descriptions.", "RequiredFields": "TreatmentId, Study, TreatmentLabel, Description", "MechanicalCheck": "Exactly two rows per study." },
      { "TemplateStepId": "import-step-strata", "SortOrder": 4, "TargetTable": "Strata", "RowDescription": "One Strata row per stratum with StratumLabel and Description.", "RequiredFields": "StratumId, Study, StratumLabel, Description", "MechanicalCheck": "COUNT(Strata) &gt;= 2." },
      { "TemplateStepId": "import-step-casecells", "SortOrder": 5, "TargetTable": "CaseCells", "RowDescription": "2×K CaseCells: every (stratum × treatment) with Cases and Successes.", "RequiredFields": "CaseCellId, Study, StratumLabel, TreatmentLabel, Cases, Successes", "MechanicalCheck": "CellCount = 2 × StratumCount; all IsValidIngestionCell." },
      { "TemplateStepId": "import-step-catalog", "SortOrder": 6, "TargetTable": "CandidateStudyCatalog", "RowDescription": "Mark catalog row imported: IngestionStatus=imported, LinkedStudyId set.", "RequiredFields": "CandidateId, IngestionStatus, LinkedStudyId", "MechanicalCheck": "LinkedStudyId matches new Studies.StudyId." },
      { "TemplateStepId": "import-step-summaries", "SortOrder": 7, "TargetTable": "StratumSummaries", "RowDescription": "One StratumSummaries row per (stratum × treatment) — keys for derived rates.", "RequiredFields": "StratumSummaryId, Study, StratumLabel, TreatmentLabel", "MechanicalCheck": "COUNT = 2 × StratumCount." },
      { "TemplateStepId": "import-step-rankings", "SortOrder": 8, "TargetTable": "TreatmentRankings", "RowDescription": "One TreatmentRankings row (A vs B) with AdjustmentRationale.", "RequiredFields": "TreatmentRankingId, Study, TreatmentA, TreatmentB, AdjustmentRationale", "MechanicalCheck": "Exactly one ranking row per study." }
    ]
  },
  "SweepStudyConfig": {
    "Description": "Table: SweepStudyConfig — per-study allocation-sweep parameters derived from CaseCells. Picks the highest-allocation-bias stratum to sweep; holds all other strata fixed.",
    "schema": [
      {
        "name": "ConfigId",
        "datatype": "string",
        "type": "raw",
        "nullable": false,
        "Description": "Unique slug; mirrors StudyId."
      },
      {
        "name": "Name",
        "datatype": "string",
        "type": "calculated",
        "nullable": false,
        "Description": "Display label.",
        "formula": "={{ConfigId}}"
      },
      {
        "name": "StudyId",
        "datatype": "string",
        "type": "raw",
        "nullable": false,
        "Description": "FK to Studies.StudyId."
      },
      {
        "name": "SweepStratumLabel",
        "datatype": "string",
        "type": "raw",
        "nullable": false,
        "Description": "Stratum whose A/B allocation is swept (highest |AllocationBias| in original data)."
      },
      {
        "name": "NSweepStratumTotal",
        "datatype": "number",
        "type": "raw",
        "nullable": false,
        "Description": "Total cases in the sweep stratum (fixed across sweep rows)."
      },
      {
        "name": "SweepRateA",
        "datatype": "number",
        "type": "raw",
        "nullable": false,
        "Description": "Success rate for treatment A in the sweep stratum."
      },
      {
        "name": "SweepRateB",
        "datatype": "number",
        "type": "raw",
        "nullable": false,
        "Description": "Success rate for treatment B in the sweep stratum."
      },
      {
        "name": "NFixedA",
        "datatype": "number",
        "type": "raw",
        "nullable": false,
        "Description": "A cases in all non-swept strata (fixed)."
      },
      {
        "name": "NFixedB",
        "datatype": "number",
        "type": "raw",
        "nullable": false,
        "Description": "B cases in all non-swept strata (fixed)."
      },
      {
        "name": "FixedRateA",
        "datatype": "number",
        "type": "raw",
        "nullable": false,
        "Description": "Weighted success rate for A in fixed strata."
      },
      {
        "name": "FixedRateB",
        "datatype": "number",
        "type": "raw",
        "nullable": false,
        "Description": "Weighted success rate for B in fixed strata."
      },
      {
        "name": "OriginalAllocFractionA",
        "datatype": "number",
        "type": "raw",
        "nullable": false,
        "Description": "Observed fraction of sweep-stratum cases assigned to treatment A."
      },
      {
        "name": "SweepCorrectedGap",
        "datatype": "number",
        "type": "raw",
        "nullable": false,
        "Description": "Allocation-free gap: sum_s (n_s/N)*(rate_As-rate_Bs). Invariant under within-stratum reallocation."
      }
    ],
    "data": [
      { "ConfigId": "kidney-1986", "StudyId": "kidney-1986", "SweepStratumLabel": "large", "NSweepStratumTotal": 343.0, "SweepRateA": 0.730038, "SweepRateB": 0.6875, "NFixedA": 87.0, "NFixedB": 270.0, "FixedRateA": 0.931034, "FixedRateB": 0.866667, "OriginalAllocFractionA": 0.766764, "SweepCorrectedGap": 0.053671 },
      { "ConfigId": "balanced-synthetic", "StudyId": "balanced-synthetic", "SweepStratumLabel": "easy", "NSweepStratumTotal": 200.0, "SweepRateA": 0.6, "SweepRateB": 0.5, "NFixedA": 100.0, "NFixedB": 100.0, "FixedRateA": 0.6, "FixedRateB": 0.5, "OriginalAllocFractionA": 0.5, "SweepCorrectedGap": 0.1 },
      { "ConfigId": "kidney-balanced", "StudyId": "kidney-balanced", "SweepStratumLabel": "small", "NSweepStratumTotal": 350.0, "SweepRateA": 0.931429, "SweepRateB": 0.868571, "NFixedA": 175.0, "NFixedB": 175.0, "FixedRateA": 0.731429, "FixedRateB": 0.685714, "OriginalAllocFractionA": 0.5, "SweepCorrectedGap": 0.054286 },
      { "ConfigId": "berkeley-1973", "StudyId": "berkeley-1973", "SweepStratumLabel": "dept-B", "NSweepStratumTotal": 585.0, "SweepRateA": 0.630357, "SweepRateB": 0.68, "NFixedA": 1567.0, "NFixedB": 1076.0, "FixedRateA": 0.491385, "FixedRateB": 0.392193, "OriginalAllocFractionA": 0.957265, "SweepCorrectedGap": -0.064189 },
      { "ConfigId": "compressed-synthetic", "StudyId": "compressed-synthetic", "SweepStratumLabel": "hard", "NSweepStratumTotal": 200.0, "SweepRateA": 0.7, "SweepRateB": 0.6, "NFixedA": 80.0, "NFixedB": 120.0, "FixedRateA": 0.9, "FixedRateB": 0.8, "OriginalAllocFractionA": 0.6, "SweepCorrectedGap": 0.1 },
      { "ConfigId": "reintjes-2000", "StudyId": "reintjes-2000", "SweepStratumLabel": "high", "NSweepStratumTotal": 1686.0, "SweepRateA": 0.13253, "SweepRateB": 0.065132, "NFixedA": 1113.0, "NFixedB": 720.0, "FixedRateA": </t>
  </si>
  <si>
    <t xml:space="preserve">0.017969, "FixedRateB": 0.006944, "OriginalAllocFractionA": 0.098458, "SweepCorrectedGap": 0.038034 },
      { "ConfigId": "radelet-1981", "StudyId": "radelet-1981", "SweepStratumLabel": "black-victim", "NSweepStratumTotal": 112.0, "SweepRateA": 0.0, "SweepRateB": 0.058252, "NFixedA": 151.0, "NFixedB": 63.0, "FixedRateA": 0.125828, "FixedRateB": 0.174603, "OriginalAllocFractionA": 0.080357, "SweepCorrectedGap": -0.052031 },
      { "ConfigId": "jeter-justice-1997", "StudyId": "jeter-justice-1997", "SweepStratumLabel": "1995", "NSweepStratumTotal": 459.0, "SweepRateA": 0.25, "SweepRateB": 0.253041, "NFixedA": 1236.0, "NFixedB": 635.0, "FixedRateA": 0.30178, "FixedRateB": 0.327559, "OriginalAllocFractionA": 0.104575, "SweepCorrectedGap": -0.021887 },
      { "ConfigId": "appleton-1996", "StudyId": "appleton-1996", "SweepStratumLabel": "75+", "NSweepStratumTotal": 77.0, "SweepRateA": 1.0, "SweepRateB": 1.0, "NFixedA": 569.0, "NFixedB": 668.0, "FixedRateA": 0.221441, "FixedRateB": 0.248503, "OriginalAllocFractionA": 0.168831, "SweepCorrectedGap": 0.043896 },
      { "ConfigId": "phe-covid-2021", "StudyId": "phe-covid-2021", "SweepStratumLabel": "50 +", "NSweepStratumTotal": 30747.0, "SweepRateA": 0.016845, "SweepRateB": 0.059593, "NFixedA": 89807.0, "NFixedB": 147612.0, "FixedRateA": 0.000234, "FixedRateB": 0.000325, "OriginalAllocFractionA": 0.888119, "SweepCorrectedGap": -0.004982 },
      { "ConfigId": "hannan-1994", "StudyId": "hannan-1994", "SweepStratumLabel": "high-risk", "NSweepStratumTotal": 570.0, "SweepRateA": 0.95102, "SweepRateB": 0.8, "NFixedA": 210.0, "NFixedB": 320.0, "FixedRateA": 0.990476, "FixedRateB": 0.96875, "OriginalAllocFractionA": 0.859649, "SweepCorrectedGap": 0.088724 },
      { "ConfigId": "titanic-1912", "StudyId": "titanic-1912", "SweepStratumLabel": "male", "NSweepStratumTotal": 637.0, "SweepRateA": 0.325714, "SweepRateB": 0.162338, "NFixedA": 144.0, "NFixedB": 165.0, "FixedRateA": 0.965278, "FixedRateB": 0.460606, "OriginalAllocFractionA": 0.274725, "SweepCorrectedGap": 0.274857 },
      { "ConfigId": "birth-weight-paradox", "StudyId": "birth-weight-paradox", "SweepStratumLabel": "normal-birth-weight", "NSweepStratumTotal": 6000.0, "SweepRateA": 0.995, "SweepRateB": 0.996, "NFixedA": 1000.0, "NFixedB": 500.0, "FixedRateA": 0.96, "FixedRateB": 0.94, "OriginalAllocFractionA": 0.166667, "SweepCorrectedGap": 0.0032 },
      { "ConfigId": "melanoma-altman-1991", "StudyId": "melanoma-altman-1991", "SweepStratumLabel": "thick", "NSweepStratumTotal": 180.0, "SweepRateA": 0.65, "SweepRateB": 0.55, "NFixedA": 140.0, "NFixedB": 80.0, "FixedRateA": 0.95, "FixedRateB": 0.875, "OriginalAllocFractionA": 0.333333, "SweepCorrectedGap": 0.08625 },
      { "ConfigId": "coffee-tverdal-2020", "StudyId": "coffee-tverdal-2020", "SweepStratumLabel": "non-smoker", "NSweepStratumTotal": 2000.0, "SweepRateA": 0.92, "SweepRateB": 0.89, "NFixedA": 1000.0, "NFixedB": 1000.0, "FixedRateA": 0.82, "FixedRateB": 0.8, "OriginalAllocFractionA": 0.5, "SweepCorrectedGap": 0.025 },
      { "ConfigId": "sat-wainer-1986", "StudyId": "sat-wainer-1986", "SweepStratumLabel": "high-spending", "NSweepStratumTotal": 450.0, "SweepRateA": 0.7, "SweepRateB": 0.8, "NFixedA": 600.0, "NFixedB": 100.0, "FixedRateA": 0.4, "FixedRateB": 0.35, "OriginalAllocFractionA": 0.888889, "SweepCorrectedGap": -0.008696 },
      { "ConfigId": "rogers-nicewander-1988", "StudyId": "rogers-nicewander-1988", "SweepStratumLabel": "infield-proxy", "NSweepStratumTotal": 39.0, "SweepRateA": 0.37931, "SweepRateB": 0.4, "NFixedA": 7.0, "NFixedB": 12.0, "FixedRateA": 0.142857, "FixedRateB": 0.166667, "OriginalAllocFractionA": 0.74359, "SweepCorrectedGap": -0.021712 },
      { "ConfigId": "lucente-baseball-1995", "StudyId": "lucente-baseball-1995", "SweepStratumLabel": "second-half", "NSweepStratumTotal": 350.0, "SweepRateA": 0.3, "SweepRateB": 0.275, "NFixedA": 180.0, "NFixedB": 160.0, "FixedRateA": 0.288889, "FixedRateB": 0.3, "OriginalAllocFractionA": 0.428571, "SweepCorrectedGap": 0.007206 },
      { "ConfigId": "wilson-batting-2000", "StudyId": "wilson-batting-2000", "SweepStratumLabel": "late-innings", "NSweepStratumTotal": 130.0, "SweepRateA": 0.25, "SweepRateB": 0.257143, "NFixedA": 120.0, "NFixedB": 130.0, "FixedRateA": 0.316667, "FixedRateB": 0.323077, "OriginalAllocFractionA": 0.461538, "SweepCorrectedGap": -0.006661 },
      { "ConfigId": "clemens-bly-1998", "StudyId": "clemens-bly-1998", "SweepStratumLabel": "home", "NSweepStratumTotal": 190.0, "SweepRateA": 0.311111, "SweepRateB": 0.32, "NFixedA": 50.0, "NFixedB": 55.0, "FixedRateA": 0.24, "FixedRateB": 0.254545, "OriginalAllocFractionA": 0.473684, "SweepCorrectedGap": -0.010902 },
      { "ConfigId": "open-university-1975", "StudyId": "open-university-1975", "SweepStratumLabel": "under-21", "NSweepStratumTotal": 1773.0, "SweepRateA": 0.730503, "SweepRateB": 0.705977, "NFixedA": 330.0, "NFixedB": 420.0, "FixedRateA": 0.666667, "FixedRateB": 0.714286, "OriginalAllocFractionA": 0.650874, "SweepCorrectedGap": 0.003323 },
      { "ConfigId": "pisa-immigration-2015", "StudyId": "pisa-immigration-2015", "SweepStratumLabel": "high-performing", "NSweepStratumTotal": 620.0, "SweepRateA": 0.84, "SweepRateB": 0.666667, "NFixedA": 400.0, "NFixedB": 200.0, "FixedRateA": 0.7, "FixedRateB": 0.75, "OriginalAllocFractionA": 0.806452, "SweepCorrectedGap": 0.063497 },
      { "ConfigId": "wainer-sat-states-1992", "StudyId": "wainer-sat-states-1992", "SweepStratumLabel": "northeast", "NSweepStratumTotal": 750.0, "SweepRateA": 0.64, "SweepRateB": 0.72, "NFixedA": 400.0, "NFixedB": 200.0, "FixedRateA": 0.5, "FixedRateB": 0.75, "OriginalAllocFractionA": 0.666667, "SweepCorrectedGap": -0.155556 },
      { "ConfigId": "folic-acid-neural-tube-1991", "StudyId": "folic-acid-neural-tube-1991", "SweepStratumLabel": "under-28", "NSweepStratumTotal": 2700.0, "SweepRateA": 0.0, "SweepRateB": 0.001538, "NFixedA": 704.0, "NFixedB": 752.0, "FixedRateA": 0.0, "FixedRateB": 0.005319, "OriginalAllocFractionA": 0.518519, "SweepCorrectedGap": -0.002863 },
      { "ConfigId": "steroid-asthma-severity", "StudyId": "steroid-asthma-severity", "SweepStratumLabel": "severe", "NSweepStratumTotal": 270.0, "SweepRateA": 0.5, "SweepRateB": 0.6, "NFixedA": 200.0, "NFixedB": 180.0, "FixedRateA": 0.9, "FixedRateB": 0.833333, "OriginalAllocFractionA": 0.444444, "SweepCorrectedGap": -0.002564 },
      { "ConfigId": "kidney-dialysis-facility-1990", "StudyId": "kidney-dialysis-facility-1990", "SweepStratumLabel": "high-severity", "NSweepStratumTotal": 200.0, "SweepRateA": 0.85, "SweepRateB": 0.7, "NFixedA": 100.0, "NFixedB": 100.0, "FixedRateA": 0.92, "FixedRateB": 0.88, "OriginalAllocFractionA": 0.5, "SweepCorrectedGap": 0.095 },
      { "ConfigId": "warfarin-bleeding-age", "StudyId": "warfarin-bleeding-age", "SweepStratumLabel": "65-and-over", "NSweepStratumTotal": 500.0, "SweepRateA": 0.15, "SweepRateB": 0.1, "NFixedA": 500.0, "NFixedB": 400.0, "FixedRateA": 0.05, "FixedRateB": 0.0375, "OriginalAllocFractionA": 0.6, "SweepCorrectedGap": 0.025893 },
      { "ConfigId": "diabetes-metformin-bmi", "StudyId": "diabetes-metformin-bmi", "SweepStratumLabel": "normal-bmi", "NSweepStratumTotal": 400.0, "SweepRateA": 0.6, "SweepRateB": 0.65, "NFixedA": 250.0, "NFixedB": 250.0, "FixedRateA": 0.72, "FixedRateB": 0.56, "OriginalAllocFractionA": 0.5, "SweepCorrectedGap": 0.066667 },
      { "ConfigId": "oncology-trial-stage", "StudyId": "oncology-trial-stage", "SweepStratumLabel": "early-stage", "NSweepStratumTotal": 360.0, "SweepRateA": 0.777778, "SweepRateB": 0.666667, "NFixedA": 120.0, "NFixedB": 120.0, "FixedRateA": 0.416667, "FixedRateB": 0.583333, "OriginalAllocFractionA": 0.5, "SweepCorrectedGap": 0.0 },
      { "ConfigId": "exercise-cholesterol-age", "StudyId": "exercise-cholesterol-age", "SweepStratumLabel": "older", "NSweepStratumTotal": 450.0, "SweepRateA": 0.4, "SweepRateB": 0.4, "NFixedA": 300.0, "NFixedB": 300.0, "FixedRateA": 0.666667, "FixedRateB": 0.4, "OriginalAllocFractionA": 0.444444, "SweepCorrectedGap": 0.152381 },
      { "ConfigId": "red-meat-colorectal-bmi", "StudyId": "red-meat-colorectal-bmi", "SweepStratumLabel": "overweight", "NSweepStratumTotal": 850.0, "SweepRateA": 0.1125, "SweepRateB": 0.077778, "NFixedA": 500.0, "NFixedB": 500.0, "FixedRateA": 0.06, "FixedRateB": 0.05, "OriginalAllocFractionA": 0.470588, "SweepCorrectedGap": 0.021359 },
      { "ConfigId": "folic-fortification-2000", "StudyId": "folic-fortification-2000", "SweepStratumLabel": "early-fortified", "NSweepStratumTotal": 2000.0, "SweepRateA": 0.98, "SweepRateB": 0.96, "NFixedA": 2000.0, "NFixedB": 2000.0, "FixedRateA": 0.9675, "FixedRateB": 0.945, "OriginalAllocFractionA": 0.5, "SweepCorrectedGap": 0.021667 },
      { "ConfigId": "north-carolina-death-penalty-1990", "StudyId": "north-carolina-death-penalty-1990", "SweepStratumLabel": "black-victim", "NSweepStratumTotal": 105.0, "SweepRateA": 0.066667, "SweepRateB": 0.055556, "NFixedA": 120.0, "NFixedB": 55.0, "FixedRateA": 0.116667, "FixedRateB": 0.145455, "OriginalAllocFractionA": 0.142857, "SweepCorrectedGap": -0.013826 },
      { "ConfigId": "housing-discrimination-audit", "StudyId": "housing-discrimination-audit", "SweepStratumLabel": "high-income", "NSweepStratumTotal": 500.0, "SweepRateA": 0.72, "SweepRateB": 0.8, "NFixedA": 250.0, "NFixedB": 250.0, "FixedRateA": 0.48, "FixedRateB": 0.64, "OriginalAllocFractionA": 0.5, "SweepCorrectedGap": -0.12 },
      { "ConfigId": "gender-pay-gap-industry", "StudyId": "gender-pay-gap-industry", "SweepStratumLabel": "tech-professional", "NSweepStratumTotal": 1000.0, "SweepRateA": 0.7, "SweepRateB": 0.7, "NFixedA": 800.0, "NFixedB": 1000.0, "FixedRateA": 0.4375, "FixedRateB": 0.63, "OriginalAllocFractionA": 0.6, "SweepCorrectedGap": -0.12375 },
      { "ConfigId": "income-education-state", "StudyId": "income-education-state", "SweepStratumLabel": "high-education-states", "NSweepStratumTotal": 1800.0, "SweepRateA": 0.8, "SweepRateB": 0.5, "NFixedA": 900.0, "NFixedB": 900.0, "FixedRateA": 0.555556, "FixedRateB": 0.5, "OriginalAllocFractionA": 0.555556, "SweepCorrectedGap": 0.177778 },
      { "ConfigId": "florida-reef-fish-1994", "StudyId": "florida-reef-fish-1994", "SweepStratumLabel": "inshore", "NSweepStratumTotal": 1200.0, "SweepRateA": 0.75, "SweepRateB": 0.633333, "NFixedA": 200.0, "NFixedB": 200.0, "FixedRateA": 0.6, "FixedRateB": 0.75, "OriginalAllocFractionA": 0.5, "SweepCorrectedGap": 0.05 },
      { "ConfigId": "uc-irvine-admissions-1985", "StudyId": "uc-irvine-admissions-1985", "SweepStratumLabel": "engineering", "NSweepStratumTotal": 600.0, "SweepRateA": 0.3, "SweepRateB": 0.2, "NFixedA": 750.0, "NFixedB": 830.0, "FixedRateA": 0.36, "FixedRateB": 0.481928, "OriginalAllocFractionA": 0.666667, "SweepCorrectedGap": -0.057602 },
      { "ConfigId": "cesarean-birth-weight-2006", "StudyId": "cesarean-birth-weight-2006", "SweepStratumLabel": "normal-bw", "NSweepStratumTotal": 7000.0, "SweepRateA": 0.24, "SweepRateB": 0.4, "NFixedA": 800.0, "NFixedB": 600.0, "FixedRateA": 0.5, "FixedRateB": 0.583333, "OriginalAllocFractionA": 0.714286, "SweepCorrectedGap": -0.147222 },
      { "ConfigId": "schizophrenia-antipsychotic", "StudyId": "schizophrenia-antipsychotic", "SweepStratumLabel": "moderate", "NSweepStratumTotal": 300.0, "SweepRateA": 0.6, "SweepRateB": 0.533333, "NFixedA": 120.0, "NFixedB": 120.0, "FixedRateA": 0.333333, "FixedRateB": 0.458333, "OriginalAllocFractionA": 0.5, "SweepCorrectedGap": -0.018519 },
      { "ConfigId": "berkeley-six-dept-1973", "StudyId": "berkeley-six-dept-1973", "SweepStratumLabel": "dept-B", "NSweepStratumTotal": 585.0, "SweepRateA": 0.630357, "SweepRateB": 0.68, "NFixedA": 2131.0, "NFixedB": 1810.0, "FixedRateA": 0.396527, "FixedRateB": 0.298343, "OriginalAllocFractionA": 0.957265, "SweepCorrectedGap": -0.042637 },
      { "ConfigId": "rosiglitazone-mi-pool-2007", "StudyId": "rosiglitazone-mi-pool-2007", "SweepStratumLabel": "imbalanced-trials", "NSweepStratumTotal": 15000.0, "SweepRateA": 0.0025, "SweepRateB": 0.006667, "NFixedA": 3565.0, "NFixedB": 9282.0, "FixedRateA": 0.015708, "FixedRateB": 0.005602, "OriginalAllocFractionA": 0.8, "SweepCorrectedGap": 0.002418 },
      { "ConfigId": "ironman-gender-age-2010", "StudyId": "ironman-gender-age-2010", "SweepStratumLabel": "young-cohort", "NSweepStratumTotal": 110.0, "SweepRateA": 0.8, "SweepRateB": 0.9, "NFixedA": 10.0, "NFixedB": 100.0, "FixedRateA": 0.5, "FixedRateB": 0.6, "OriginalAllocFractionA": 0.909091, "SweepCorrectedGap": -0.1 },
      { "ConfigId": "hanley-power-lines-2000", "StudyId": "hanley-power-lines-2000", "SweepStratumLabel": "myers-1990", "NSweepStratumTotal": 137.0, "SweepRateA": 0.615385, "SweepRateB": 0.225806, "NFixedA": 242.0, "NFixedB": 1136.0, "FixedRateA": 0.140496, "FixedRateB": 0.086268, "OriginalAllocFractionA": 0.094891, "SweepCorrectedGap": 0.084939 },
      { "ConfigId": "coffee-smoking-lung-1968", "StudyId": "coffee-smoking-lung-1968", "SweepStratumLabel": "smokers", "NSweepStratumTotal": 866.0, "SweepRateA": 0.181234, "SweepRateB": 0.170455, "NFixedA": 120.0, "NFixedB": 130.0, "FixedRateA": 0.05, "FixedRateB": 0.061538, "OriginalAllocFractionA": 0.898383, "SweepCorrectedGap": 0.00578 },
      { "ConfigId": "panama-sweden-mortality-1975", "StudyId": "panama-sweden-mortality-1975", "SweepStratumLabel": "under-10", "NSweepStratumTotal": 600.0, "SweepRateA": 0.99, "SweepRateB": 0.986, "NFixedA": 900.0, "NFixedB": 500.0, "FixedRateA": 0.905556, "FixedRateB": 0.942, "OriginalAllocFractionA": 0.166667, "SweepCorrectedGap": 0.016974 },
      { "ConfigId": "hrt-whi-2002", "StudyId": "hrt-whi-2002", "SweepStratumLabel": "observational", "NSweepStratumTotal": 20000.0, "SweepRateA": 0.095, "SweepRateB": 0.09, "NFixedA": 95000.0, "NFixedB": 95000.0, "FixedRateA": 0.089474, "FixedRateB": 0.094737, "OriginalAllocFractionA": 0.5, "SweepCorrectedGap": -0.004286 },
      { "ConfigId": "obesity-paradox-hf", "StudyId": "obesity-paradox-hf", "SweepStratumLabel": "no-hf", "NSweepStratumTotal": 2000.0, "SweepRateA": 0.8, "SweepRateB": 0.9, "NFixedA": 1000.0, "NFixedB": 1000.0, "FixedRateA": 0.65, "FixedRateB": 0.5, "OriginalAllocFractionA": 0.5, "SweepCorrectedGap": 0.025 },
      { "ConfigId": "dialysis-bmi-survival", "StudyId": "dialysis-bmi-survival", "SweepStratumLabel": "general-population", "NSweepStratumTotal": 2000.0, "SweepRateA": 0.9, "SweepRateB": 0.95, "NFixedA": 1000.0, "NFixedB": 1000.0, "FixedRateA": 0.7, "FixedRateB": 0.6, "OriginalAllocFractionA": 0.5, "SweepCorrectedGap": 0.025 },
      { "ConfigId": "sick-quitter-alcohol", "StudyId": "sick-quitter-alcohol", "SweepStratumLabel": "never-drinkers-only", "NSweepStratumTotal": 2000.0, "SweepRateA": 0.85, "SweepRateB": 0.88, "NFixedA": 1000.0, "NFixedB": 1000.0, "FixedRateA": 0.82, "FixedRateB": 0.75, "OriginalAllocFractionA": 0.5, "SweepCorrectedGap": 0.02 },
      { "ConfigId": "flu-vaccine-elderly-mortality", "StudyId": "flu-vaccine-elderly-mortality", "SweepStratumLabel": "under-75", "NSweepStratumTotal": 240000.0, "SweepRateA": 0.999767, "SweepRateB": 0.99968, "NFixedA": 5000.0, "NFixedB": 3000.0, "FixedRateA": 0.92, "FixedRateB": 0.833333, "OriginalAllocFractionA": 0.375, "SweepCorrectedGap": 0.00288 },
      { "ConfigId": "covid-italy-china-cfr-2020", "StudyId": "covid-italy-china-cfr-2020", "SweepStratumLabel": "under-60", "NSweepStratumTotal": 51000.0, "SweepRateA": 0.99, "SweepRateB": 0.98, "NFixedA": 2000.0, "NFixedB": 400.0, "FixedRateA": 0.15, "FixedRateB": 0.8, "OriginalAllocFractionA": 0.019608, "SweepCorrectedGap": -0.019663 },
      { "ConfigId": "israel-covid-severe-2021", "StudyId": "israel-covid-severe-2021", "SweepStratumLabel": "under-50", "NSweepStratumTotal": 152200.0, "SweepRateA": 0.025, "SweepRateB": 0.000331, "NFixedA": 10000.0, "NFixedB": 800.0, "FixedRateA": 0.04, "FixedRateB": 0.225, "OriginalAllocFractionA": 0.00657, "SweepCorrectedGap": 0.010777 },
      { "ConfigId": "cochran-smoking-1968", "StudyId": "cochran-smoking-1968", "SweepStratumLabel": "under-65", "NSweepStratumTotal": 11000.0, "SweepRateA": 0.85, "SweepRateB": 0.9, "NFixedA": 1000.0, "NFixedB": 1000.0, "FixedRateA": 0.4, "FixedRateB": 0.5, "OriginalAllocFractionA": 0.909091, "SweepCorrectedGap": -0.057692 },
      { "ConfigId": "healthy-worker-mortality", "StudyId": "healthy-worker-mortality", "SweepStratumLabel": "low-hazard-occupations", "NSweepStratumTotal": 2000.0, "SweepRateA": 0.95, "SweepRateB": 0.9, "NFixedA": 1000.0, "NFixedB": 1000.0, "FixedRateA": 0.85, "FixedRateB": 0.8, "OriginalAllocFractionA": 0.5, "SweepCorrectedGap": 0.05 },
      { "ConfigId": "compas-recidivism-base", "StudyId": "compas-recidivism-base", "SweepStratumLabel": "low-prevalence-group", "NSweepStratumTotal": 2000.0, "SweepRateA": 0.7, "SweepRateB": 0.75, "NFixedA": 1000.0, "NFixedB": 1000.0, "FixedRateA": 0.45, "FixedRateB": 0.5, "OriginalAllocFractionA": 0.5, "SweepCorrectedGap": -0.05 },
      { "ConfigId": "us-wage-composition-stagnation", "StudyId": "us-wage-composition-stagnation", "SweepStratumLabel": "non-college", "NSweepStratumTotal": 11000.0, "SweepRateA": 0.4, "SweepRateB": 0.38, "NFixedA": 10000.0, "NFixedB": 10000.0, "FixedRateA": 0.55, "FixedRateB": 0.5, "OriginalAllocFractionA": 0.636364, "SweepCorrectedGap": 0.039355 },
      { "ConfigId": "borjas-immigrant-cohort", "StudyId": "borjas-immigrant-cohort", "SweepStratumLabel": "recent-arrivals", "NSweepStratumTotal": 2000.0, "SweepRateA": 0.4, "SweepRateB": 0.45, "NFixedA": 1000.0, "NFixedB": 1000.0, "FixedRateA": 0.55, "FixedRateB": 0.52, "OriginalAllocFractionA": 0.5, "SweepCorrectedGap": -0.01 },
      { "ConfigId": "robinson-1950-literacy", "StudyId": "robinson-1950-literacy", "SweepStratumLabel": "high-literacy-states", "NSweepStratumTotal": 11000.0, "SweepRateA": 0.9, "SweepRateB": 0.95, "NFixedA": 1000.0, "NFixedB": 2000.0, "FixedRateA": 0.8, "FixedRateB": 0.7, "OriginalAllocFractionA": 0.090909, "SweepCorrectedGap": -0.017857 },
      { "ConfigId": "ab-test-traffic-mix", "StudyId": "ab-test-traffic-mix", "SweepStratumLabel": "week1-young-users", "NSweepStratumTotal": 20000.0, "SweepRateA": 0.8, "SweepRateB": 0.75, "NFixedA": 2000.0, "NFixedB": 2000.0, "FixedRateA": 0.55, "FixedRateB": 0.65, "OriginalAllocFractionA": 0.5, "SweepCorrectedGap": 0.025 },
      { "ConfigId": "recsys-offline-eval", "StudyId": "recsys-offline-eval", "SweepStratumLabel": "head-items", "NSweepStratumTotal": 2000.0, "SweepRateA": 0.85, "SweepRateB": 0.8, "NFixedA": 1000.0, "NFixedB": 1000.0, "FixedRateA": 0.3, "FixedRateB": 0.35, "OriginalAllocFractionA": 0.5, "SweepCorrectedGap": -0.0 },
      { "ConfigId": "collider-only-synthetic", "StudyId": "collider-only-synthetic", "SweepStratumLabel": "conditioned-in", "NSweepStratumTotal": 200.0, "SweepRateA": 0.85, "SweepRateB": 0.7, "NFixedA": 900.0, "NFixedB": 900.0, "FixedRateA": 0.166667, "FixedRateB": 0.3, "OriginalAllocFractionA": 0.5, "SweepCorrectedGap": -0.105 },
      { "ConfigId": "noncollapsibility-or-synthetic", "StudyId": "noncollapsibility-or-synthetic", "SweepStratumLabel": "low-prevalence", "NSweepStratumTotal": 200.0, "SweepRateA": 0.4, "SweepRateB": 0.3, "NFixedA": 1000.0, "NFixedB": 1000.0, "FixedRateA": 0.4, "FixedRateB": 0.3, "OriginalAllocFractionA": 0.5, "SweepCorrectedGap": 0.1 },
      { "ConfigId": "trauma-center-mortality", "StudyId": "trauma-center-mortality", "SweepStratumLabel": "mild-injury", "NSweepStratumTotal": 2000.0, "SweepRateA": 0.95, "SweepRateB": 0.96, "NFixedA": 1000.0, "NFixedB": 1000.0, "FixedRateA": 0.6, "FixedRateB": 0.68, "OriginalAllocFractionA": 0.5, "SweepCorrectedGap": -0.045 },
      { "ConfigId": "surgeon-volume-mortality", "StudyId": "surgeon-volume-mortality", "SweepStratumLabel": "low-risk", "NSweepStratumTotal": 2000.0, "SweepRateA": 0.98, "SweepRateB": 0.975, "NFixedA": 1000.0, "NFixedB": 1000.0, "FixedRateA": 0.82, "FixedRateB": 0.86, "OriginalAllocFractionA": 0.5, "SweepCorrectedGap": -0.0175 },
      { "ConfigId": "mammography-length-bias", "StudyId": "mammography-length-bias", "SweepStratumLabel": "slow-growing", "NSweepStratumTotal": 2000.0, "SweepRateA": 0.92, "SweepRateB": 0.7, "NFixedA": 1000.0, "NFixedB": 1000.0, "FixedRateA": 0.4, "FixedRateB": 0.35, "OriginalAllocFractionA": 0.5, "SweepCorrectedGap": 0.135 },
      { "ConfigId": "cabg-vs-pci-severity", "StudyId": "cabg-vs-pci-severity", "SweepStratumLabel": "multivessel", "NSweepStratumTotal": 2000.0, "SweepRateA": 0.92, "SweepRateB": 0.88, "NFixedA": 1000.0, "NFixedB": 1000.0, "FixedRateA": 0.98, "FixedRateB": 0.975, "OriginalAllocFractionA": 0.5, "SweepCorrectedGap": 0.0225 },
      { "ConfigId": "tolbutamide-ugdp-1970", "StudyId": "tolbutamide-ugdp-1970", "SweepStratumLabel": "low-risk-centers", "NSweepStratumTotal": 2000.0, "SweepRateA": 0.92, "SweepRateB": 0.91, "NFixedA": 1000.0, "NFixedB": 1000.0, "FixedRateA": 0.78, "FixedRateB": 0.82, "OriginalAllocFractionA": 0.5, "SweepCorrectedGap": -0.015 },
      { "ConfigId": "snow-cholera-water-1855", "StudyId": "snow-cholera-water-1855", "SweepStratumLabel": "high-exposure-district", "NSweepStratumTotal": 2000.0, "SweepRateA": 0.902, "SweepRateB": 0.96, "NFixedA": 1000.0, "NFixedB": 1000.0, "FixedRateA": 0.94, "FixedRateB": 0.97, "OriginalAllocFractionA": 0.5, "SweepCorrectedGap": -0.044 },
      { "ConfigId": "seatbelt-crash-severity", "StudyId": "seatbelt-crash-severity", "SweepStratumLabel": "minor-crash", "NSweepStratumTotal": 2000.0, "SweepRateA": 0.98, "SweepRateB": 0.97, "NFixedA": 1000.0, "NFixedB": 1000.0, "FixedRateA": 0.7, "FixedRateB": 0.6, "OriginalAllocFractionA": 0.5, "SweepCorrectedGap": 0.055 },
      { "ConfigId": "measles-outbreak-vaccinated", "StudyId": "measles-outbreak-vaccinated", "SweepStratumLabel": "high-coverage-setting", "NSweepStratumTotal": 10000.0, "SweepRateA": 0.011111, "SweepRateB": 0.044, "NFixedA": 2000.0, "NFixedB": 500.0, "FixedRateA": 0.0075, "FixedRateB": 0.07, "OriginalAllocFractionA": 0.9, "SweepCorrectedGap": -0.038811 },
      { "ConfigId": "air-pollution-mortality-city", "StudyId": "air-pollution-mortality-city", "SweepStratumLabel": "younger-population-city", "NSweepStratumTotal": 2000.0, "SweepRateA": 0.98, "SweepRateB": 0.985, "NFixedA": 1000.0, "NFixedB": 1000.0, "FixedRateA": 0.92, "FixedRateB": 0.94, "OriginalAllocFractionA": 0.5, "SweepCorrectedGap": -0.0125 },
      { "ConfigId": "tb-treatment-resistance", "StudyId": "tb-treatment-resistance", "SweepStratumLabel": "drug-sensitive", "NSweepStratumTotal": 2000.0, "SweepRateA": 0.92, "SweepRateB": 0.91, "NFixedA": 1000.0, "NFixedB": 1000.0, "FixedRateA": 0.65, "FixedRateB": 0.72, "OriginalAllocFractionA": 0.5, "SweepCorrectedGap": -0.03 },
      { "ConfigId": "hospital-mortality-readmission", "StudyId": "hospital-mortality-readmission", "SweepStratumLabel": "high-comorbidity", "NSweepStratumTotal": 2000.0, "SweepRateA": 0.85, "SweepRateB": 0.88, "NFixedA": 1000.0, "NFixedB": 1000.0, "FixedRateA": 0.97, "FixedRateB": 0.975, "OriginalAllocFractionA": 0.5, "SweepCorrectedGap": -0.0175 },
      { "ConfigId": "nypd-stop-frisk-hitrate", "StudyId": "nypd-stop-frisk-hitrate", "SweepStratumLabel": "low-crime-precincts", "NSweepStratumTotal": 3500.0, "SweepRateA": 0.0225, "SweepRateB": 0.048, "NFixedA": 8000.0, "NFixedB": 7000.0, "FixedRateA": 0.04, "FixedRateB": 0.04, "OriginalAllocFractionA": 0.571429, "SweepCorrectedGap": -0.004824 },
      { "ConfigId": "sentencing-offense-type", "StudyId": "sentencing-offense-type", "SweepStratumLabel": "violent-offenses", "NSweepStratumTotal": 2000.0, "SweepRateA": 0.8, "SweepRateB": 0.75, "NFixedA": 1000.0, "NFixedB": 1000.0, "FixedRateA": 0.4, "FixedRateB": 0.42, "OriginalAllocFractionA": 0.5, "SweepCorrectedGap": 0.015 },
      { "ConfigId": "bail-risk-score", "StudyId": "bail-risk-score", "SweepStratumLabel": "high-risk-tier", "NSweepStratumTotal": 2000.0, "SweepRateA": 0.45, "SweepRateB": 0.52, "NFixedA": 1000.0, "NFixedB": 1000.0, "FixedRateA": 0.12, "FixedRateB": 0.15, "OriginalAllocFractionA": 0.5, "SweepCorrectedGap": -0.05 },
      { "ConfigId": "police-force-encounter", "StudyId": "police-force-encounter", "SweepStratumLabel": "discretionary-stop", "NSweepStratumTotal": 2000.0, "SweepRateA": 0.18, "SweepRateB": 0.05, "NFixedA": 1000.0, "NFixedB": 1000.0, "FixedRateA": 0.4, "FixedRateB": 0.12, "OriginalAllocFractionA": 0.5, "SweepCorrectedGap": 0.205 },
      { "ConfigId": "uc-systemwide-admissions", "StudyId": "uc-systemwide-admissions", "SweepStratumLabel": "high-selectivity-major", "NSweepStratumTotal": 2000.0, "SweepRateA": 0.12, "SweepRateB": 0.14, "NFixedA": 1000.0, "NFixedB": 1000.0, "FixedRateA": 0.65, "FixedRateB": 0.6, "OriginalAllocFractionA": 0.5, "SweepCorrectedGap": 0.015 },
      { "ConfigId": "teacher-vam-prior-achievement", "StudyId": "teacher-vam-prior-achievement", "SweepStratumLabel": "high-prior-achievement", "NSweepStratumTotal": 2000.0, "SweepRateA": 0.85, "SweepRateB": 0.82, "NFixedA": 1000.0, "NFixedB": 1000.0, "FixedRateA": 0.52, "FixedRateB": 0.56, "OriginalAllocFractionA": 0.5, "SweepCorrectedGap": -0.005 },
      { "ConfigId": "naep-state-demographics", "StudyId": "naep-state-demographics", "SweepStratumLabel": "high-poverty-states", "NSweepStratumTotal": 2000.0, "SweepRateA": 0.28, "SweepRateB": 0.32, "NFixedA": 1000.0, "NFixedB": 1000.0, "FixedRateA": 0.45, "FixedRateB": 0.42, "OriginalAllocFractionA": 0.5, "SweepCorrectedGap": -0.005 },
      { "ConfigId": "college-grad-rate-selectivity", "StudyId": "college-grad-rate-selectivity", "SweepStratumLabel": "well-prepared-intake", "NSweepStratumTotal": 2000.0, "SweepRateA": 0.92, "SweepRateB": 0.88, "NFixedA": 1000.0, "NFixedB": 1000.0, "FixedRateA": 0.55, "FixedRateB": 0.62, "OriginalAllocFractionA": 0.5, "SweepCorrectedGap": -0.015 },
      { "ConfigId": "star-class-size", "StudyId": "star-class-size", "SweepStratumLabel": "inner-city-schools", "NSweepStratumTotal": 2000.0, "SweepRateA": 0.82, "SweepRateB": 0.8, "NFixedA": 1000.0, "NFixedB": 1000.0, "FixedRateA": 0.91, "FixedRateB": 0.9, "OriginalAllocFractionA": 0.5, "SweepCorrectedGap": 0.015 },
      { "ConfigId": "nba-shooting-shot-mix", "StudyId": "nba-shooting-shot-mix", "SweepStratumLabel": "three-point-attempts", "NSweepStratumTotal": 1500.0, "SweepRateA": 0.36, "SweepRateB": 0.3, "NFixedA": 1000.0, "NFixedB": 1000.0, "FixedRateA": 0.48, "FixedRateB": 0.44, "OriginalAllocFractionA": 0.666667, "SweepCorrectedGap": 0.048571 },
      { "ConfigId": "pitcher-era-ballpark", "StudyId": "pitcher-era-ballpark", "SweepStratumLabel": "pitcher-friendly-park", "NSweepStratumTotal": 2000.0, "SweepRateA": 0.65, "SweepRateB": 0.62, "NFixedA": 1000.0, "NFixedB": 1000.0, "FixedRateA": 0.52, "FixedRateB": 0.54, "OriginalAllocFractionA": 0.5, "SweepCorrectedGap": 0.005 },
      { "ConfigId": "nfl-completion-depth", "StudyId": "nfl-completion-depth", "SweepStratumLabel": "short-pass", "NSweepStratumTotal": 1600.0, "SweepRateA": 0.9, "SweepRateB": 0.875, "NFixedA": 200.0, "NFixedB": 200.0, "FixedRateA": 0.45, "FixedRateB": 0.55, "OriginalAllocFractionA": 0.5, "SweepCorrectedGap": 0.0 },
      { "ConfigId": "field-goal-distance", "StudyId": "field-goal-distance", "SweepStratumLabel": "short-fg", "NSweepStratumTotal": 2000.0, "SweepRateA": 0.95, "SweepRateB": 0.94, "NFixedA": 1000.0, "NFixedB": 1000.0, "FixedRateA": 0.6, "FixedRateB": 0.65, "OriginalAllocFractionA": 0.5, "SweepCorrectedGap": -0.02 },
      { "ConfigId": "golf-scoring-course", "StudyId": "golf-scoring-course", "SweepStratumLabel": "easy-course", "NSweepStratumTotal": 2000.0, "SweepRateA": 0.65, "SweepRateB": 0.62, "NFixedA": 1000.0, "NFixedB": 1000.0, "FixedRateA": 0.35, "FixedRateB": 0.38, "OriginalAllocFractionA": 0.5, "SweepCorrectedGap": 0.0 },
      { "ConfigId": "minimum-wage-region", "StudyId": "minimum-wage-region", "SweepStratumLabel": "tight-labor-market", "NSweepStratumTotal": 2000.0, "SweepRateA": 0.92, "SweepRateB": 0.91, "NFixedA": 1000.0, "NFixedB": 1000.0, "FixedRateA": 0.78, "FixedRateB": 0.82, "OriginalAllocFractionA": 0.5, "SweepCorrectedGap": -0.015 },
      { "ConfigId": "returns-to-education-field", "StudyId": "returns-to-education-field", "SweepStratumLabel": "stem-fields", "NSweepStratumTotal": 2000.0, "SweepRateA": 0.72, "SweepRateB": 0.35, "NFixedA": 1000.0, "NFixedB": 1000.0, "FixedRateA": 0.52, "FixedRateB": 0.38, "OriginalAllocFractionA": 0.5, "SweepCorrectedGap": 0.255 },
      { "ConfigId": "unemployment-education-cycle", "StudyId": "unemployment-education-cycle", "SweepStratumLabel": "college-educated-share", "NSweepStratumTotal": 2000.0, "SweepRateA": 0.95, "SweepRateB": 0.94, "NFixedA": 1000.0, "NFixedB": 1000.0, "FixedRateA": 0.82, "FixedRateB": 0.85, "OriginalAllocFractionA": 0.5, "SweepCorrectedGap": -0.01 },
      { "ConfigId": "costa-rica-us-life-expectancy", "StudyId": "costa-rica-us-life-expectancy", "SweepStratumLabel": "under-65", "NSweepStratumTotal": 2000.0, "SweepRateA": 0.99, "SweepRateB": 0.985, "NFixedA": 1000.0, "NFixedB": 1000.0, "FixedRateA": 0.85, "FixedRateB": 0.9, "OriginalAllocFractionA": 0.5, "SweepCorrectedGap": -0.0225 },
      { "ConfigId": "fertility-income-country", "StudyId": "fertility-income-country", "SweepStratumLabel": "high-income-countries", "NSweepStratumTotal": 2000.0, "SweepRateA": 0.45, "SweepRateB": 0.52, "NFixedA": 1000.0, "NFixedB": 1000.0, "FixedRateA": 0.38, "FixedRateB": 0.35, "OriginalAllocFractionA": 0.5, "SweepCorrectedGap": -0.02 },
      { "ConfigId": "religiosity-happiness-country", "StudyId": "religiosity-happiness-country", "SweepStratumLabel": "high-gdp-countries", "NSweepStratumTotal": 2000.0, "SweepRateA": 0.75, "SweepRateB": 0.78, "NFixedA": 1000.0, "NFixedB": 1000.0, "FixedRateA": 0.62, "FixedRateB": 0.58, "OriginalAllocFractionA": 0.5, "SweepCorrectedGap": 0.005 },
      { "ConfigId": "voter-turnout-education-state", "StudyId": "voter-turnout-education-state", "SweepStratumLabel": "high-education-states", "NSweepStratumTotal": 2000.0, "SweepRateA": 0.78, "SweepRateB": 0.52, "NFixedA": 1000.0, "NFixedB": 1000.0, "FixedRateA": 0.65, "FixedRateB": 0.48, "OriginalAllocFractionA": 0.5, "SweepCorrectedGap": 0.215 },
      { "ConfigId": "ad-ctr-platform-mix", "StudyId": "ad-ctr-platform-mix", "SweepStratumLabel": "mobile-traffic", "NSweepStratumTotal": 2000.0, "SweepRateA": 0.08, "SweepRateB": 0.075, "NFixedA": 1000.0, "NFixedB": 1000.0, "FixedRateA": 0.045, "FixedRateB": 0.05, "OriginalAllocFractionA": 0.5, "SweepCorrectedGap": 0.0 }
    ]
  },
  "SubstrateConformanceFields": {
    "Description": "Table: SubstrateConformanceFields — cross-substrate OWL-SHACL vs Postgres compare manifest for owl/reason.py. Rows with AssertFromPostgres=TRUE are asserted as leaf facts before SHACL fixpoint (OWL transpiler lacks CONSTRUCT for nested IF chains).",
    "schema": [
      {
        "name": "FieldId",
        "datatype": "string",
        "type": "raw",
        "nullable": false,
        "Description": "Unique slug."
      },
      {
        "name": "Name",
        "datatype": "string",
        "type": "calculated",
        "nullable": false,
        "Description": "Display label.",
        "formula": "={{FieldId}}"
      },
      {
        "name": "SourceTable",
        "datatype": "string",
        "type": "raw",
        "nullable": false,
        "Description": "TreatmentRankings | StratumSummaries | StratumVariables"
      },
      {
        "name": "FieldName",
        "datatype": "string",
        "type": "raw",
        "nullable": false,
        "Description": "PascalCase rulebook field name."
      },
      {
        "name": "PgColumn",
        "datatype": "string",
        "type": "raw",
        "nullable": false,
        "Description": "snake_case vw_* column."
      },
      {
        "name": "OwlLocalName",
        "datatype": "string",
        "type": "raw",
        "nullable": false,
        "Description": "camelCase OWL property local name."
      },
      {
        "name": "DataType",
        "datatype": "string",
        "type": "raw",
        "nullable": false,
        "Description": "float | int | bool | str"
      },
      {
        "name": "AssertFromPostgres",
        "datatype": "boolean",
        "type": "raw",
        "nullable": false,
        "Description": "TRUE when OWL cannot derive this field yet and Postgres value is asserted before SHACL fixpoint."
      },
      {
        "name": "InCompareSet",
        "datatype": "boolean",
        "type": "raw",
        "nullable": false,
        "Description": "TRUE when reason.py diffs this field between substrates."
      }
    ],
    "data": [
      { "FieldId": "tr-pooled-rate-a", "SourceTable": "TreatmentRankings", "FieldName": "PooledRateA", "PgColumn": "pooled_rate_a", "OwlLocalName": "pooledRateA", "DataType": "float", "AssertFromPostgres": false, "InCompareSet": true },
      { "FieldId": "tr-pooled-rate-b", "SourceTable": "TreatmentRankin</t>
  </si>
  <si>
    <t xml:space="preserve">gs", "FieldName": "PooledRateB", "PgColumn": "pooled_rate_b", "OwlLocalName": "pooledRateB", "DataType": "float", "AssertFromPostgres": false, "InCompareSet": true },
      { "FieldId": "tr-pooled-winner", "SourceTable": "TreatmentRankings", "FieldName": "PooledWinner", "PgColumn": "pooled_winner", "OwlLocalName": "pooledWinner", "DataType": "str", "AssertFromPostgres": true, "InCompareSet": true },
      { "FieldId": "tr-per-stratum-winner", "SourceTable": "TreatmentRankings", "FieldName": "PerStratumWinner", "PgColumn": "per_stratum_winner", "OwlLocalName": "perStratumWinner", "DataType": "str", "AssertFromPostgres": false, "InCompareSet": true },
      { "FieldId": "tr-is-reversal", "SourceTable": "TreatmentRankings", "FieldName": "IsReversal", "PgColumn": "is_reversal", "OwlLocalName": "isReversal", "DataType": "bool", "AssertFromPostgres": false, "InCompareSet": true },
      { "FieldId": "tr-is-paradox-explained", "SourceTable": "TreatmentRankings", "FieldName": "IsParadoxExplained", "PgColumn": "is_paradox_explained", "OwlLocalName": "isParadoxExplained", "DataType": "bool", "AssertFromPostgres": false, "InCompareSet": true },
      { "FieldId": "tr-strata-won-by-loser", "SourceTable": "TreatmentRankings", "FieldName": "StrataWonByLoser", "PgColumn": "strata_won_by_loser", "OwlLocalName": "strataWonByLoser", "DataType": "int", "AssertFromPostgres": false, "InCompareSet": true },
      { "FieldId": "tr-reversal-intensity", "SourceTable": "TreatmentRankings", "FieldName": "ReversalIntensity", "PgColumn": "reversal_intensity", "OwlLocalName": "reversalIntensity", "DataType": "float", "AssertFromPostgres": false, "InCompareSet": true },
      { "FieldId": "tr-threshold-margin", "SourceTable": "TreatmentRankings", "FieldName": "ThresholdMargin", "PgColumn": "threshold_margin", "OwlLocalName": "thresholdMargin", "DataType": "float", "AssertFromPostgres": false, "InCompareSet": true },
      { "FieldId": "tr-signed-pooled-gap", "SourceTable": "TreatmentRankings", "FieldName": "SignedPooledGap", "PgColumn": "signed_pooled_gap", "OwlLocalName": "signedPooledGap", "DataType": "float", "AssertFromPostgres": false, "InCompareSet": true },
      { "FieldId": "tr-is-sign-flip", "SourceTable": "TreatmentRankings", "FieldName": "IsSignFlip", "PgColumn": "is_sign_flip", "OwlLocalName": "isSignFlip", "DataType": "bool", "AssertFromPostgres": false, "InCompareSet": true },
      { "FieldId": "tr-distortion-type", "SourceTable": "TreatmentRankings", "FieldName": "DistortionType", "PgColumn": "distortion_type", "OwlLocalName": "distortionType", "DataType": "str", "AssertFromPostgres": true, "InCompareSet": true },
      { "FieldId": "tr-corrected-gap", "SourceTable": "TreatmentRankings", "FieldName": "CorrectedGap", "PgColumn": "corrected_gap", "OwlLocalName": "correctedGap", "DataType": "float", "AssertFromPostgres": false, "InCompareSet": true },
      { "FieldId": "tr-corrected-winner", "SourceTable": "TreatmentRankings", "FieldName": "CorrectedWinner", "PgColumn": "corrected_winner", "OwlLocalName": "correctedWinner", "DataType": "str", "AssertFromPostgres": true, "InCompareSet": true },
      { "FieldId": "tr-corrected-vs-pooled", "SourceTable": "TreatmentRankings", "FieldName": "CorrectedVsPooledAgreement", "PgColumn": "corrected_vs_pooled_agreement", "OwlLocalName": "correctedVsPooledAgreement", "DataType": "bool", "AssertFromPostgres": false, "InCompareSet": true },
      { "FieldId": "tr-corrected-policy", "SourceTable": "TreatmentRankings", "FieldName": "CorrectedPolicyImplication", "PgColumn": "corrected_policy_implication", "OwlLocalName": "correctedPolicyImplication", "DataType": "str", "AssertFromPostgres": false, "InCompareSet": true },
      { "FieldId": "tr-causal-claim-status", "SourceTable": "TreatmentRankings", "FieldName": "CausalClaimStatus", "PgColumn": "causal_claim_status", "OwlLocalName": "causalClaimStatus", "DataType": "str", "AssertFromPostgres": false, "InCompareSet": true },
      { "FieldId": "tr-adjustment-appropriate", "SourceTable": "TreatmentRankings", "FieldName": "AdjustmentAppropriate", "PgColumn": "adjustment_appropriate", "OwlLocalName": "adjustmentAppropriate", "DataType": "bool", "AssertFromPostgres": false, "InCompareSet": true },
      { "FieldId": "ss-stratum-rate-a", "SourceTable": "StratumSummaries", "FieldName": "StratumRateA", "PgColumn": "stratum_rate_a", "OwlLocalName": "stratumRateA", "DataType": "float", "AssertFromPostgres": false, "InCompareSet": true },
      { "FieldId": "ss-stratum-rate-b", "SourceTable": "StratumSummaries", "FieldName": "StratumRateB", "PgColumn": "stratum_rate_b", "OwlLocalName": "stratumRateB", "DataType": "float", "AssertFromPostgres": false, "InCompareSet": true },
      { "FieldId": "ss-stratum-winner", "SourceTable": "StratumSummaries", "FieldName": "StratumWinner", "PgColumn": "stratum_winner", "OwlLocalName": "stratumWinner", "DataType": "str", "AssertFromPostgres": false, "InCompareSet": true },
      { "FieldId": "ss-stratum-fraction", "SourceTable": "StratumSummaries", "FieldName": "StratumFraction", "PgColumn": "stratum_fraction", "OwlLocalName": "stratumFraction", "DataType": "float", "AssertFromPostgres": false, "InCompareSet": true },
      { "FieldId": "ss-allocation-bias", "SourceTable": "StratumSummaries", "FieldName": "AllocationBias", "PgColumn": "allocation_bias", "OwlLocalName": "allocationBias", "DataType": "float", "AssertFromPostgres": false, "InCompareSet": true },
      { "FieldId": "ss-stratum-gap", "SourceTable": "StratumSummaries", "FieldName": "StratumGap", "PgColumn": "stratum_gap", "OwlLocalName": "stratumGap", "DataType": "float", "AssertFromPostgres": false, "InCompareSet": true },
      { "FieldId": "ss-weighted-stratum-gap", "SourceTable": "StratumSummaries", "FieldName": "WeightedStratumGap", "PgColumn": "weighted_stratum_gap", "OwlLocalName": "weightedStratumGap", "DataType": "float", "AssertFromPostgres": false, "InCompareSet": true },
      { "FieldId": "sv-is-confounder", "SourceTable": "StratumVariables", "FieldName": "IsConfounder", "PgColumn": "is_confounder", "OwlLocalName": "isConfounder", "DataType": "bool", "AssertFromPostgres": false, "InCompareSet": true }
    ]
  },
  "DiscoveryHypotheses": {
    "Description": "Table: DiscoveryHypotheses — pre-registered empirical claims tested against the corpus at loop-61. Each row states an expected pattern before querying the DAG.",
    "schema": [
      {
        "name": "HypothesisId",
        "datatype": "string",
        "type": "raw",
        "nullable": false,
        "Description": "Unique slug (e.g. H-latent-d)."
      },
      {
        "name": "Name",
        "datatype": "string",
        "type": "calculated",
        "nullable": false,
        "Description": "Display label.",
        "formula": "={{HypothesisId}}"
      },
      {
        "name": "Statement",
        "datatype": "string",
        "type": "raw",
        "nullable": false,
        "Description": "Natural-language claim under test."
      },
      {
        "name": "ExpectedOutcome",
        "datatype": "string",
        "type": "raw",
        "nullable": false,
        "Description": "Pass criterion in plain language."
      },
      {
        "name": "RegisteredInLoop",
        "datatype": "string",
        "type": "raw",
        "nullable": false,
        "Description": "LoopId where this hypothesis was registered."
      },
      {
        "name": "TraditionId",
        "datatype": "string",
        "type": "raw",
        "nullable": true,
        "Description": "FK → ResearchTraditions.TraditionId."
      },
      {
        "name": "EpistemicTier",
        "datatype": "string",
        "type": "raw",
        "nullable": false,
        "Description": "consistency-check (definition-linked regression) | corpus-hypothesis (contingent corpus pattern)."
      }
    ],
    "data": [
      { "HypothesisId": "H-latent-d", "Statement": "More than half of Type-D (SAFE) studies would flip their pooled winner under counterfactual allocation reweighting.", "ExpectedOutcome": "LatentTypeDFraction &gt; 0.5", "RegisteredInLoop": "loop-61", "TraditionId": "tradition-historical", "EpistemicTier": "corpus-hypothesis" },
      { "HypothesisId": "H-purity", "Statement": "Every sign-flip study has SignalPurity strictly below 0.5.", "ExpectedOutcome": "SignFlipSignalPurityMax &lt; 0.5", "RegisteredInLoop": "loop-61", "TraditionId": "tradition-dag", "EpistemicTier": "consistency-check" },
      { "HypothesisId": "H-small-effect", "Statement": "Allocation-stable Type-D studies carry larger observed pooled gaps than latent Type-D studies.", "ExpectedOutcome": "AvgPooledGapStableD &gt; AvgPooledGapLatentD", "RegisteredInLoop": "loop-61", "TraditionId": "tradition-epidemiology", "EpistemicTier": "corpus-hypothesis" },
      { "HypothesisId": "H-econ-zero", "Statement": "Economics-domain studies produce zero sign-flips in 2×K encoding.", "ExpectedOutcome": "EconomicsSignFlipCount = 0", "RegisteredInLoop": "loop-61", "TraditionId": "tradition-historical", "EpistemicTier": "corpus-hypothesis" },
      { "HypothesisId": "H-domain-dist", "Statement": "Epidemiology studies carry higher mean AllocationDistortion than education studies.", "ExpectedOutcome": "EpidemiologyAvgDistortion &gt; EducationAvgDistortion", "RegisteredInLoop": "loop-61", "TraditionId": "tradition-epidemiology", "EpistemicTier": "corpus-hypothesis" }
    ]
  },
  "DiscoveryFindings": {
    "Description": "Table: DiscoveryFindings — witnessed outcomes for each pre-registered DiscoveryHypothesis. IsConfirmed is computed live from ModelSummary aggregates.",
    "schema": [
      {
        "name": "FindingId",
        "datatype": "string",
        "type": "raw",
        "nullable": false,
        "Description": "Unique slug; one row per hypothesis."
      },
      {
        "name": "Name",
        "datatype": "string",
        "type": "calculated",
        "nullable": false,
        "Description": "Display label.",
        "formula": "={{FindingId}}"
      },
      {
        "name": "HypothesisId",
        "datatype": "string",
        "type": "raw",
        "nullable": false,
        "Description": "FK → DiscoveryHypotheses.HypothesisId."
      },
      {
        "name": "HypothesisStatement",
        "datatype": "string",
        "type": "lookup",
        "nullable": true,
        "Description": "Lookup: DiscoveryHypotheses.Statement.",
        "formula": "=LOOKUP({{HypothesisId}}, DiscoveryHypotheses[HypothesisId], DiscoveryHypotheses[Statement])"
      },
      {
        "name": "ObservedMetric",
        "datatype": "string",
        "type": "calculated",
        "nullable": true,
        "Description": "Witnessed metric value from ModelSummary for this hypothesis.",
        "formula": "=IF({{HypothesisId}} = \"H-latent-d\", CONCAT(\"fraction=\", LOOKUP(\"simpsons-paradox-v1\", ModelSummary[ModelSummaryId], ModelSummary[LatentTypeDFraction])), IF({{HypothesisId}} = \"H-purity\", CONCAT(\"maxPurity=\", LOOKUP(\"simpsons-paradox-v1\", ModelSummary[ModelSummaryId], ModelSummary[SignFlipSignalPurityMax])), IF({{HypothesisId}} = \"H-small-effect\", CONCAT(\"stable=\", LOOKUP(\"simpsons-paradox-v1\", ModelSummary[ModelSummaryId], ModelSummary[AvgPooledGapStableD]), \" latent=\", LOOKUP(\"simpsons-paradox-v1\", ModelSummary[ModelSummaryId], ModelSummary[AvgPooledGapLatentD])), IF({{HypothesisId}} = \"H-econ-zero\", CONCAT(\"flips=\", LOOKUP(\"simpsons-paradox-v1\", ModelSummary[ModelSummaryId], ModelSummary[EconomicsSignFlipCount])), IF({{HypothesisId}} = \"H-domain-dist\", CONCAT(\"epi=\", LOOKUP(\"simpsons-paradox-v1\", ModelSummary[ModelSummaryId], ModelSummary[EpidemiologyAvgDistortion]), \" edu=\", LOOKUP(\"simpsons-paradox-v1\", ModelSummary[ModelSummaryId], ModelSummary[EducationAvgDistortion])), \"\")))))"
      },
      {
        "name": "IsConfirmed",
        "datatype": "boolean",
        "type": "calculated",
        "nullable": true,
        "Description": "TRUE when the witnessed metric satisfies the pre-registered ExpectedOutcome.",
        "formula": "=IF({{HypothesisId}} = \"H-latent-d\", LOOKUP(\"simpsons-paradox-v1\", ModelSummary[ModelSummaryId], ModelSummary[LatentTypeDFraction]) &gt; 0.5, IF({{HypothesisId}} = \"H-purity\", LOOKUP(\"simpsons-paradox-v1\", ModelSummary[ModelSummaryId], ModelSummary[SignFlipSignalPurityMax]) &lt; 0.5, IF({{HypothesisId}} = \"H-small-effect\", LOOKUP(\"simpsons-paradox-v1\", ModelSummary[ModelSummaryId], ModelSummary[AvgPooledGapStableD]) &gt; LOOKUP(\"simpsons-paradox-v1\", ModelSummary[ModelSummaryId], ModelSummary[AvgPooledGapLatentD]), IF({{HypothesisId}} = \"H-econ-zero\", LOOKUP(\"simpsons-paradox-v1\", ModelSummary[ModelSummaryId], ModelSummary[EconomicsSignFlipCount]) = 0, IF({{HypothesisId}} = \"H-domain-dist\", LOOKUP(\"simpsons-paradox-v1\", ModelSummary[ModelSummaryId], ModelSummary[EpidemiologyAvgDistortion]) &gt; LOOKUP(\"simpsons-paradox-v1\", ModelSummary[ModelSummaryId], ModelSummary[EducationAvgDistortion]), FALSE())))))"
      },
      {
        "name": "Evidence",
        "datatype": "string",
        "type": "calculated",
        "nullable": true,
        "Description": "Pass/fail witness string for UI and conclusions.",
        "formula": "=IF({{IsConfirmed}} = TRUE(), CONCAT(\"PASS: \", {{ObservedMetric}}), IF({{IsConfirmed}} = FALSE(), CONCAT(\"FAIL: \", {{ObservedMetric}}), \"\"))"
      },
      {
        "name": "WitnessedInLoop",
        "datatype": "string",
        "type": "raw",
        "nullable": false,
        "Description": "LoopId where this finding was witnessed."
      }
    ],
    "data": [
      { "FindingId": "find-H-latent-d", "HypothesisId": "H-latent-d", "WitnessedInLoop": "loop-61" },
      { "FindingId": "find-H-purity", "HypothesisId": "H-purity", "WitnessedInLoop": "loop-61" },
      { "FindingId": "find-H-small-effect", "HypothesisId": "H-small-effect", "WitnessedInLoop": "loop-61" },
      { "FindingId": "find-H-econ-zero", "HypothesisId": "H-econ-zero", "WitnessedInLoop": "loop-61" },
      { "FindingId": "find-H-domain-dist", "HypothesisId": "H-domain-dist", "WitnessedInLoop": "loop-61" }
    ]
  }
}
</t>
  </si>
</sst>
</file>

<file path=xl/styles.xml><?xml version="1.0" encoding="utf-8"?>
<styleSheet xmlns="http://schemas.openxmlformats.org/spreadsheetml/2006/main">
  <numFmts count="0"/>
  <fonts count="2">
    <font>
      <sz val="11"/>
      <name val="Aptos Narrow"/>
    </font>
    <font>
      <b/>
      <sz val="11"/>
      <color rgb="FFFFFFFF"/>
      <name val="Aptos Narrow"/>
    </font>
  </fonts>
  <fills count="5">
    <fill>
      <patternFill patternType="none"/>
    </fill>
    <fill>
      <patternFill patternType="gray125"/>
    </fill>
    <fill>
      <patternFill patternType="solid">
        <fgColor rgb="FF4F81BD"/>
      </patternFill>
    </fill>
    <fill>
      <patternFill patternType="solid">
        <fgColor rgb="FFE7E6E6"/>
      </patternFill>
    </fill>
    <fill>
      <patternFill patternType="solid">
        <fgColor rgb="FFD9EAD3"/>
      </patternFill>
    </fill>
  </fills>
  <borders count="1">
    <border>
      <left/>
      <right/>
      <top/>
      <bottom/>
      <diagonal/>
    </border>
  </borders>
  <cellStyleXfs count="1">
    <xf numFmtId="0" fontId="0"/>
  </cellStyleXfs>
  <cellXfs count="6">
    <xf numFmtId="0" fontId="0" xfId="0"/>
    <xf numFmtId="0" fontId="1" applyFont="1" fillId="2" applyFill="1"/>
    <xf numFmtId="0" fontId="0" fillId="3" applyFill="1"/>
    <xf numFmtId="0" fontId="0" fillId="4" applyFill="1"/>
    <xf numFmtId="1" applyNumberFormat="1" fontId="0" fillId="3" applyFill="1"/>
    <xf numFmtId="1" applyNumberFormat="1" fontId="0" fillId="4"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0.xml.rels><?xml version="1.0" encoding="UTF-8" standalone="yes"?><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P62"/>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20.98486328125" customWidth="1"/>
    <col min="4" max="4" width="17.443378448486328" customWidth="1"/>
    <col min="5" max="5" width="256" customWidth="1"/>
    <col min="6" max="6" width="256" customWidth="1"/>
    <col min="7" max="7" width="256" customWidth="1"/>
    <col min="8" max="8" width="256" customWidth="1"/>
    <col min="9" max="9" width="22.418148040771484" customWidth="1"/>
    <col min="10" max="10" width="17.443378448486328" customWidth="1"/>
    <col min="11" max="11" width="21.104618072509766" customWidth="1"/>
    <col min="12" max="12" width="48.58287811279297" customWidth="1"/>
    <col min="13" max="13" width="17.443378448486328" customWidth="1"/>
    <col min="14" max="14" width="17.443378448486328" customWidth="1"/>
    <col min="15" max="15" width="92.72601318359375" customWidth="1"/>
    <col min="16" max="16" width="33.9994239807128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tr">
        <f>A2</f>
        <v>loop-01</v>
      </c>
      <c r="C2" s="2" t="s">
        <v>17</v>
      </c>
      <c r="D2" s="2" t="s">
        <v>18</v>
      </c>
      <c r="E2" s="2" t="s">
        <v>19</v>
      </c>
      <c r="F2" s="2" t="s">
        <v>20</v>
      </c>
      <c r="G2" s="2" t="s">
        <v>21</v>
      </c>
      <c r="H2" s="2" t="s">
        <v>22</v>
      </c>
      <c r="I2" s="2" t="s">
        <v>23</v>
      </c>
      <c r="J2" s="3" t="e">
        <f>LOOKUP(I2, ResearchTraditions[TraditionId], ResearchTraditions[Name])</f>
        <v>#VALUE!</v>
      </c>
      <c r="K2" s="3" t="e">
        <f>LOOKUP(I2, ResearchTraditions[TraditionId], ResearchTraditions[CoreConcern])</f>
        <v>#VALUE!</v>
      </c>
      <c r="L2" s="2" t="s">
        <v>24</v>
      </c>
      <c r="M2" s="3" t="str">
        <f>LEFT(L2, 7)</f>
        <v>b96e0fe</v>
      </c>
      <c r="N2" s="2">
        <v>46200</v>
      </c>
      <c r="O2" s="2" t="s">
        <v>25</v>
      </c>
      <c r="P2" s="2" t="s">
        <v>26</v>
      </c>
    </row>
    <row r="3">
      <c r="A3" s="2" t="s">
        <v>27</v>
      </c>
      <c r="B3" s="3" t="str">
        <f>A3</f>
        <v>loop-02</v>
      </c>
      <c r="C3" s="2" t="s">
        <v>28</v>
      </c>
      <c r="D3" s="2" t="s">
        <v>18</v>
      </c>
      <c r="E3" s="2" t="s">
        <v>29</v>
      </c>
      <c r="F3" s="2" t="s">
        <v>30</v>
      </c>
      <c r="G3" s="2" t="s">
        <v>31</v>
      </c>
      <c r="H3" s="2" t="s">
        <v>32</v>
      </c>
      <c r="I3" s="2" t="s">
        <v>23</v>
      </c>
      <c r="J3" s="3" t="e">
        <f>LOOKUP(I3, ResearchTraditions[TraditionId], ResearchTraditions[Name])</f>
        <v>#VALUE!</v>
      </c>
      <c r="K3" s="3" t="e">
        <f>LOOKUP(I3, ResearchTraditions[TraditionId], ResearchTraditions[CoreConcern])</f>
        <v>#VALUE!</v>
      </c>
      <c r="L3" s="2" t="s">
        <v>24</v>
      </c>
      <c r="M3" s="3" t="str">
        <f>LEFT(L3, 7)</f>
        <v>b96e0fe</v>
      </c>
      <c r="N3" s="2">
        <v>46200</v>
      </c>
      <c r="O3" s="2" t="s">
        <v>25</v>
      </c>
      <c r="P3" s="2" t="s">
        <v>26</v>
      </c>
    </row>
    <row r="4">
      <c r="A4" s="2" t="s">
        <v>33</v>
      </c>
      <c r="B4" s="3" t="str">
        <f>A4</f>
        <v>loop-03</v>
      </c>
      <c r="C4" s="2" t="s">
        <v>34</v>
      </c>
      <c r="D4" s="2" t="s">
        <v>18</v>
      </c>
      <c r="E4" s="2" t="s">
        <v>35</v>
      </c>
      <c r="F4" s="2" t="s">
        <v>36</v>
      </c>
      <c r="G4" s="2" t="s">
        <v>37</v>
      </c>
      <c r="H4" s="2" t="s">
        <v>38</v>
      </c>
      <c r="I4" s="2" t="s">
        <v>23</v>
      </c>
      <c r="J4" s="3" t="e">
        <f>LOOKUP(I4, ResearchTraditions[TraditionId], ResearchTraditions[Name])</f>
        <v>#VALUE!</v>
      </c>
      <c r="K4" s="3" t="e">
        <f>LOOKUP(I4, ResearchTraditions[TraditionId], ResearchTraditions[CoreConcern])</f>
        <v>#VALUE!</v>
      </c>
      <c r="L4" s="2" t="s">
        <v>24</v>
      </c>
      <c r="M4" s="3" t="str">
        <f>LEFT(L4, 7)</f>
        <v>b96e0fe</v>
      </c>
      <c r="N4" s="2">
        <v>46200</v>
      </c>
      <c r="O4" s="2" t="s">
        <v>25</v>
      </c>
      <c r="P4" s="2" t="s">
        <v>26</v>
      </c>
    </row>
    <row r="5">
      <c r="A5" s="2" t="s">
        <v>39</v>
      </c>
      <c r="B5" s="3" t="str">
        <f>A5</f>
        <v>loop-04</v>
      </c>
      <c r="C5" s="2" t="s">
        <v>40</v>
      </c>
      <c r="D5" s="2" t="s">
        <v>18</v>
      </c>
      <c r="E5" s="2" t="s">
        <v>41</v>
      </c>
      <c r="F5" s="2" t="s">
        <v>42</v>
      </c>
      <c r="G5" s="2" t="s">
        <v>43</v>
      </c>
      <c r="H5" s="2" t="s">
        <v>44</v>
      </c>
      <c r="I5" s="2" t="s">
        <v>23</v>
      </c>
      <c r="J5" s="3" t="e">
        <f>LOOKUP(I5, ResearchTraditions[TraditionId], ResearchTraditions[Name])</f>
        <v>#VALUE!</v>
      </c>
      <c r="K5" s="3" t="e">
        <f>LOOKUP(I5, ResearchTraditions[TraditionId], ResearchTraditions[CoreConcern])</f>
        <v>#VALUE!</v>
      </c>
      <c r="L5" s="2" t="s">
        <v>24</v>
      </c>
      <c r="M5" s="3" t="str">
        <f>LEFT(L5, 7)</f>
        <v>b96e0fe</v>
      </c>
      <c r="N5" s="2">
        <v>46200</v>
      </c>
      <c r="O5" s="2" t="s">
        <v>25</v>
      </c>
      <c r="P5" s="2" t="s">
        <v>26</v>
      </c>
    </row>
    <row r="6">
      <c r="A6" s="2" t="s">
        <v>45</v>
      </c>
      <c r="B6" s="3" t="str">
        <f>A6</f>
        <v>loop-05</v>
      </c>
      <c r="C6" s="2" t="s">
        <v>46</v>
      </c>
      <c r="D6" s="2" t="s">
        <v>18</v>
      </c>
      <c r="E6" s="2" t="s">
        <v>47</v>
      </c>
      <c r="F6" s="2" t="s">
        <v>48</v>
      </c>
      <c r="G6" s="2" t="s">
        <v>49</v>
      </c>
      <c r="H6" s="2" t="s">
        <v>50</v>
      </c>
      <c r="I6" s="2" t="s">
        <v>51</v>
      </c>
      <c r="J6" s="3" t="e">
        <f>LOOKUP(I6, ResearchTraditions[TraditionId], ResearchTraditions[Name])</f>
        <v>#VALUE!</v>
      </c>
      <c r="K6" s="3" t="e">
        <f>LOOKUP(I6, ResearchTraditions[TraditionId], ResearchTraditions[CoreConcern])</f>
        <v>#VALUE!</v>
      </c>
      <c r="L6" s="2" t="s">
        <v>24</v>
      </c>
      <c r="M6" s="3" t="str">
        <f>LEFT(L6, 7)</f>
        <v>b96e0fe</v>
      </c>
      <c r="N6" s="2">
        <v>46200</v>
      </c>
      <c r="O6" s="2" t="s">
        <v>25</v>
      </c>
      <c r="P6" s="2" t="s">
        <v>26</v>
      </c>
    </row>
    <row r="7">
      <c r="A7" s="2" t="s">
        <v>52</v>
      </c>
      <c r="B7" s="3" t="str">
        <f>A7</f>
        <v>loop-06</v>
      </c>
      <c r="C7" s="2" t="s">
        <v>53</v>
      </c>
      <c r="D7" s="2" t="s">
        <v>18</v>
      </c>
      <c r="E7" s="2" t="s">
        <v>54</v>
      </c>
      <c r="F7" s="2" t="s">
        <v>55</v>
      </c>
      <c r="G7" s="2" t="s">
        <v>56</v>
      </c>
      <c r="H7" s="2" t="s">
        <v>57</v>
      </c>
      <c r="I7" s="2" t="s">
        <v>58</v>
      </c>
      <c r="J7" s="3" t="e">
        <f>LOOKUP(I7, ResearchTraditions[TraditionId], ResearchTraditions[Name])</f>
        <v>#VALUE!</v>
      </c>
      <c r="K7" s="3" t="e">
        <f>LOOKUP(I7, ResearchTraditions[TraditionId], ResearchTraditions[CoreConcern])</f>
        <v>#VALUE!</v>
      </c>
      <c r="L7" s="2" t="s">
        <v>24</v>
      </c>
      <c r="M7" s="3" t="str">
        <f>LEFT(L7, 7)</f>
        <v>b96e0fe</v>
      </c>
      <c r="N7" s="2">
        <v>46200</v>
      </c>
      <c r="O7" s="2" t="s">
        <v>25</v>
      </c>
      <c r="P7" s="2" t="s">
        <v>26</v>
      </c>
    </row>
    <row r="8">
      <c r="A8" s="2" t="s">
        <v>59</v>
      </c>
      <c r="B8" s="3" t="str">
        <f>A8</f>
        <v>loop-07</v>
      </c>
      <c r="C8" s="2" t="s">
        <v>60</v>
      </c>
      <c r="D8" s="2" t="s">
        <v>18</v>
      </c>
      <c r="E8" s="2" t="s">
        <v>61</v>
      </c>
      <c r="F8" s="2" t="s">
        <v>62</v>
      </c>
      <c r="G8" s="2" t="s">
        <v>63</v>
      </c>
      <c r="H8" s="2" t="s">
        <v>64</v>
      </c>
      <c r="I8" s="2" t="s">
        <v>23</v>
      </c>
      <c r="J8" s="3" t="e">
        <f>LOOKUP(I8, ResearchTraditions[TraditionId], ResearchTraditions[Name])</f>
        <v>#VALUE!</v>
      </c>
      <c r="K8" s="3" t="e">
        <f>LOOKUP(I8, ResearchTraditions[TraditionId], ResearchTraditions[CoreConcern])</f>
        <v>#VALUE!</v>
      </c>
      <c r="L8" s="2" t="s">
        <v>24</v>
      </c>
      <c r="M8" s="3" t="str">
        <f>LEFT(L8, 7)</f>
        <v>b96e0fe</v>
      </c>
      <c r="N8" s="2">
        <v>46200</v>
      </c>
      <c r="O8" s="2" t="s">
        <v>25</v>
      </c>
      <c r="P8" s="2" t="s">
        <v>26</v>
      </c>
    </row>
    <row r="9">
      <c r="A9" s="2" t="s">
        <v>65</v>
      </c>
      <c r="B9" s="3" t="str">
        <f>A9</f>
        <v>loop-08</v>
      </c>
      <c r="C9" s="2" t="s">
        <v>66</v>
      </c>
      <c r="D9" s="2" t="s">
        <v>18</v>
      </c>
      <c r="E9" s="2" t="s">
        <v>67</v>
      </c>
      <c r="F9" s="2" t="s">
        <v>68</v>
      </c>
      <c r="G9" s="2" t="s">
        <v>69</v>
      </c>
      <c r="H9" s="2" t="s">
        <v>70</v>
      </c>
      <c r="I9" s="2" t="s">
        <v>58</v>
      </c>
      <c r="J9" s="3" t="e">
        <f>LOOKUP(I9, ResearchTraditions[TraditionId], ResearchTraditions[Name])</f>
        <v>#VALUE!</v>
      </c>
      <c r="K9" s="3" t="e">
        <f>LOOKUP(I9, ResearchTraditions[TraditionId], ResearchTraditions[CoreConcern])</f>
        <v>#VALUE!</v>
      </c>
      <c r="L9" s="2" t="s">
        <v>24</v>
      </c>
      <c r="M9" s="3" t="str">
        <f>LEFT(L9, 7)</f>
        <v>b96e0fe</v>
      </c>
      <c r="N9" s="2">
        <v>46200</v>
      </c>
      <c r="O9" s="2" t="s">
        <v>25</v>
      </c>
      <c r="P9" s="2" t="s">
        <v>26</v>
      </c>
    </row>
    <row r="10">
      <c r="A10" s="2" t="s">
        <v>71</v>
      </c>
      <c r="B10" s="3" t="str">
        <f>A10</f>
        <v>loop-09</v>
      </c>
      <c r="C10" s="2" t="s">
        <v>72</v>
      </c>
      <c r="D10" s="2" t="s">
        <v>18</v>
      </c>
      <c r="E10" s="2" t="s">
        <v>73</v>
      </c>
      <c r="F10" s="2" t="s">
        <v>74</v>
      </c>
      <c r="G10" s="2" t="s">
        <v>75</v>
      </c>
      <c r="H10" s="2" t="s">
        <v>76</v>
      </c>
      <c r="I10" s="2" t="s">
        <v>23</v>
      </c>
      <c r="J10" s="3" t="e">
        <f>LOOKUP(I10, ResearchTraditions[TraditionId], ResearchTraditions[Name])</f>
        <v>#VALUE!</v>
      </c>
      <c r="K10" s="3" t="e">
        <f>LOOKUP(I10, ResearchTraditions[TraditionId], ResearchTraditions[CoreConcern])</f>
        <v>#VALUE!</v>
      </c>
      <c r="L10" s="2" t="s">
        <v>24</v>
      </c>
      <c r="M10" s="3" t="str">
        <f>LEFT(L10, 7)</f>
        <v>b96e0fe</v>
      </c>
      <c r="N10" s="2">
        <v>46200</v>
      </c>
      <c r="O10" s="2" t="s">
        <v>25</v>
      </c>
      <c r="P10" s="2" t="s">
        <v>26</v>
      </c>
    </row>
    <row r="11">
      <c r="A11" s="2" t="s">
        <v>77</v>
      </c>
      <c r="B11" s="3" t="str">
        <f>A11</f>
        <v>loop-10</v>
      </c>
      <c r="C11" s="2" t="s">
        <v>78</v>
      </c>
      <c r="D11" s="2" t="s">
        <v>18</v>
      </c>
      <c r="E11" s="2" t="s">
        <v>79</v>
      </c>
      <c r="F11" s="2" t="s">
        <v>80</v>
      </c>
      <c r="G11" s="2" t="s">
        <v>81</v>
      </c>
      <c r="H11" s="2" t="s">
        <v>82</v>
      </c>
      <c r="I11" s="2" t="s">
        <v>23</v>
      </c>
      <c r="J11" s="3" t="e">
        <f>LOOKUP(I11, ResearchTraditions[TraditionId], ResearchTraditions[Name])</f>
        <v>#VALUE!</v>
      </c>
      <c r="K11" s="3" t="e">
        <f>LOOKUP(I11, ResearchTraditions[TraditionId], ResearchTraditions[CoreConcern])</f>
        <v>#VALUE!</v>
      </c>
      <c r="L11" s="2" t="s">
        <v>24</v>
      </c>
      <c r="M11" s="3" t="str">
        <f>LEFT(L11, 7)</f>
        <v>b96e0fe</v>
      </c>
      <c r="N11" s="2">
        <v>46200</v>
      </c>
      <c r="O11" s="2" t="s">
        <v>25</v>
      </c>
      <c r="P11" s="2" t="s">
        <v>26</v>
      </c>
    </row>
    <row r="12">
      <c r="A12" s="2" t="s">
        <v>83</v>
      </c>
      <c r="B12" s="3" t="str">
        <f>A12</f>
        <v>loop-11</v>
      </c>
      <c r="C12" s="2" t="s">
        <v>84</v>
      </c>
      <c r="D12" s="2" t="s">
        <v>18</v>
      </c>
      <c r="E12" s="2" t="s">
        <v>85</v>
      </c>
      <c r="F12" s="2" t="s">
        <v>86</v>
      </c>
      <c r="G12" s="2" t="s">
        <v>87</v>
      </c>
      <c r="H12" s="2" t="s">
        <v>88</v>
      </c>
      <c r="I12" s="2" t="s">
        <v>58</v>
      </c>
      <c r="J12" s="3" t="e">
        <f>LOOKUP(I12, ResearchTraditions[TraditionId], ResearchTraditions[Name])</f>
        <v>#VALUE!</v>
      </c>
      <c r="K12" s="3" t="e">
        <f>LOOKUP(I12, ResearchTraditions[TraditionId], ResearchTraditions[CoreConcern])</f>
        <v>#VALUE!</v>
      </c>
      <c r="L12" s="2" t="s">
        <v>89</v>
      </c>
      <c r="M12" s="3" t="str">
        <f>LEFT(L12, 7)</f>
        <v>49f01e7</v>
      </c>
      <c r="N12" s="2">
        <v>46200</v>
      </c>
      <c r="O12" s="2" t="s">
        <v>90</v>
      </c>
      <c r="P12" s="2" t="s">
        <v>91</v>
      </c>
    </row>
    <row r="13">
      <c r="A13" s="2" t="s">
        <v>92</v>
      </c>
      <c r="B13" s="3" t="str">
        <f>A13</f>
        <v>loop-12</v>
      </c>
      <c r="C13" s="2" t="s">
        <v>93</v>
      </c>
      <c r="D13" s="2" t="s">
        <v>18</v>
      </c>
      <c r="E13" s="2" t="s">
        <v>94</v>
      </c>
      <c r="F13" s="2" t="s">
        <v>95</v>
      </c>
      <c r="G13" s="2" t="s">
        <v>96</v>
      </c>
      <c r="H13" s="2" t="s">
        <v>97</v>
      </c>
      <c r="I13" s="2" t="s">
        <v>23</v>
      </c>
      <c r="J13" s="3" t="e">
        <f>LOOKUP(I13, ResearchTraditions[TraditionId], ResearchTraditions[Name])</f>
        <v>#VALUE!</v>
      </c>
      <c r="K13" s="3" t="e">
        <f>LOOKUP(I13, ResearchTraditions[TraditionId], ResearchTraditions[CoreConcern])</f>
        <v>#VALUE!</v>
      </c>
      <c r="L13" s="2" t="s">
        <v>89</v>
      </c>
      <c r="M13" s="3" t="str">
        <f>LEFT(L13, 7)</f>
        <v>49f01e7</v>
      </c>
      <c r="N13" s="2">
        <v>46200</v>
      </c>
      <c r="O13" s="2" t="s">
        <v>90</v>
      </c>
      <c r="P13" s="2" t="s">
        <v>91</v>
      </c>
    </row>
    <row r="14">
      <c r="A14" s="2" t="s">
        <v>98</v>
      </c>
      <c r="B14" s="3" t="str">
        <f>A14</f>
        <v>loop-13</v>
      </c>
      <c r="C14" s="2" t="s">
        <v>99</v>
      </c>
      <c r="D14" s="2" t="s">
        <v>18</v>
      </c>
      <c r="E14" s="2" t="s">
        <v>100</v>
      </c>
      <c r="F14" s="2" t="s">
        <v>101</v>
      </c>
      <c r="G14" s="2" t="s">
        <v>102</v>
      </c>
      <c r="H14" s="2" t="s">
        <v>103</v>
      </c>
      <c r="I14" s="2" t="s">
        <v>23</v>
      </c>
      <c r="J14" s="3" t="e">
        <f>LOOKUP(I14, ResearchTraditions[TraditionId], ResearchTraditions[Name])</f>
        <v>#VALUE!</v>
      </c>
      <c r="K14" s="3" t="e">
        <f>LOOKUP(I14, ResearchTraditions[TraditionId], ResearchTraditions[CoreConcern])</f>
        <v>#VALUE!</v>
      </c>
      <c r="L14" s="2" t="s">
        <v>89</v>
      </c>
      <c r="M14" s="3" t="str">
        <f>LEFT(L14, 7)</f>
        <v>49f01e7</v>
      </c>
      <c r="N14" s="2">
        <v>46200</v>
      </c>
      <c r="O14" s="2" t="s">
        <v>90</v>
      </c>
      <c r="P14" s="2" t="s">
        <v>91</v>
      </c>
    </row>
    <row r="15">
      <c r="A15" s="2" t="s">
        <v>104</v>
      </c>
      <c r="B15" s="3" t="str">
        <f>A15</f>
        <v>loop-14</v>
      </c>
      <c r="C15" s="2" t="s">
        <v>105</v>
      </c>
      <c r="D15" s="2" t="s">
        <v>18</v>
      </c>
      <c r="E15" s="2" t="s">
        <v>106</v>
      </c>
      <c r="F15" s="2" t="s">
        <v>107</v>
      </c>
      <c r="G15" s="2" t="s">
        <v>108</v>
      </c>
      <c r="H15" s="2" t="s">
        <v>109</v>
      </c>
      <c r="I15" s="2" t="s">
        <v>23</v>
      </c>
      <c r="J15" s="3" t="e">
        <f>LOOKUP(I15, ResearchTraditions[TraditionId], ResearchTraditions[Name])</f>
        <v>#VALUE!</v>
      </c>
      <c r="K15" s="3" t="e">
        <f>LOOKUP(I15, ResearchTraditions[TraditionId], ResearchTraditions[CoreConcern])</f>
        <v>#VALUE!</v>
      </c>
      <c r="L15" s="2" t="s">
        <v>89</v>
      </c>
      <c r="M15" s="3" t="str">
        <f>LEFT(L15, 7)</f>
        <v>49f01e7</v>
      </c>
      <c r="N15" s="2">
        <v>46200</v>
      </c>
      <c r="O15" s="2" t="s">
        <v>90</v>
      </c>
      <c r="P15" s="2" t="s">
        <v>91</v>
      </c>
    </row>
    <row r="16">
      <c r="A16" s="2" t="s">
        <v>110</v>
      </c>
      <c r="B16" s="3" t="str">
        <f>A16</f>
        <v>loop-15</v>
      </c>
      <c r="C16" s="2" t="s">
        <v>111</v>
      </c>
      <c r="D16" s="2" t="s">
        <v>18</v>
      </c>
      <c r="E16" s="2" t="s">
        <v>112</v>
      </c>
      <c r="F16" s="2" t="s">
        <v>113</v>
      </c>
      <c r="G16" s="2" t="s">
        <v>114</v>
      </c>
      <c r="H16" s="2" t="s">
        <v>115</v>
      </c>
      <c r="I16" s="2" t="s">
        <v>23</v>
      </c>
      <c r="J16" s="3" t="e">
        <f>LOOKUP(I16, ResearchTraditions[TraditionId], ResearchTraditions[Name])</f>
        <v>#VALUE!</v>
      </c>
      <c r="K16" s="3" t="e">
        <f>LOOKUP(I16, ResearchTraditions[TraditionId], ResearchTraditions[CoreConcern])</f>
        <v>#VALUE!</v>
      </c>
      <c r="L16" s="2" t="s">
        <v>89</v>
      </c>
      <c r="M16" s="3" t="str">
        <f>LEFT(L16, 7)</f>
        <v>49f01e7</v>
      </c>
      <c r="N16" s="2">
        <v>46200</v>
      </c>
      <c r="O16" s="2" t="s">
        <v>90</v>
      </c>
      <c r="P16" s="2" t="s">
        <v>91</v>
      </c>
    </row>
    <row r="17">
      <c r="A17" s="2" t="s">
        <v>116</v>
      </c>
      <c r="B17" s="3" t="str">
        <f>A17</f>
        <v>loop-16</v>
      </c>
      <c r="C17" s="2" t="s">
        <v>117</v>
      </c>
      <c r="D17" s="2" t="s">
        <v>18</v>
      </c>
      <c r="E17" s="2" t="s">
        <v>118</v>
      </c>
      <c r="F17" s="2" t="s">
        <v>119</v>
      </c>
      <c r="G17" s="2" t="s">
        <v>120</v>
      </c>
      <c r="H17" s="2" t="s">
        <v>121</v>
      </c>
      <c r="I17" s="2" t="s">
        <v>23</v>
      </c>
      <c r="J17" s="3" t="e">
        <f>LOOKUP(I17, ResearchTraditions[TraditionId], ResearchTraditions[Name])</f>
        <v>#VALUE!</v>
      </c>
      <c r="K17" s="3" t="e">
        <f>LOOKUP(I17, ResearchTraditions[TraditionId], ResearchTraditions[CoreConcern])</f>
        <v>#VALUE!</v>
      </c>
      <c r="L17" s="2" t="s">
        <v>122</v>
      </c>
      <c r="M17" s="3" t="str">
        <f>LEFT(L17, 7)</f>
        <v>ca31095</v>
      </c>
      <c r="N17" s="2">
        <v>46200</v>
      </c>
      <c r="O17" s="2" t="s">
        <v>123</v>
      </c>
      <c r="P17" s="2" t="s">
        <v>124</v>
      </c>
    </row>
    <row r="18">
      <c r="A18" s="2" t="s">
        <v>125</v>
      </c>
      <c r="B18" s="3" t="str">
        <f>A18</f>
        <v>loop-17</v>
      </c>
      <c r="C18" s="2" t="s">
        <v>126</v>
      </c>
      <c r="D18" s="2" t="s">
        <v>18</v>
      </c>
      <c r="E18" s="2" t="s">
        <v>127</v>
      </c>
      <c r="F18" s="2" t="s">
        <v>128</v>
      </c>
      <c r="G18" s="2" t="s">
        <v>129</v>
      </c>
      <c r="H18" s="2" t="s">
        <v>130</v>
      </c>
      <c r="I18" s="2" t="s">
        <v>23</v>
      </c>
      <c r="J18" s="3" t="e">
        <f>LOOKUP(I18, ResearchTraditions[TraditionId], ResearchTraditions[Name])</f>
        <v>#VALUE!</v>
      </c>
      <c r="K18" s="3" t="e">
        <f>LOOKUP(I18, ResearchTraditions[TraditionId], ResearchTraditions[CoreConcern])</f>
        <v>#VALUE!</v>
      </c>
      <c r="L18" s="2" t="s">
        <v>122</v>
      </c>
      <c r="M18" s="3" t="str">
        <f>LEFT(L18, 7)</f>
        <v>ca31095</v>
      </c>
      <c r="N18" s="2">
        <v>46200</v>
      </c>
      <c r="O18" s="2" t="s">
        <v>123</v>
      </c>
      <c r="P18" s="2" t="s">
        <v>124</v>
      </c>
    </row>
    <row r="19">
      <c r="A19" s="2" t="s">
        <v>131</v>
      </c>
      <c r="B19" s="3" t="str">
        <f>A19</f>
        <v>loop-18</v>
      </c>
      <c r="C19" s="2" t="s">
        <v>132</v>
      </c>
      <c r="D19" s="2" t="s">
        <v>18</v>
      </c>
      <c r="E19" s="2" t="s">
        <v>133</v>
      </c>
      <c r="F19" s="2" t="s">
        <v>134</v>
      </c>
      <c r="G19" s="2" t="s">
        <v>135</v>
      </c>
      <c r="H19" s="2" t="s">
        <v>136</v>
      </c>
      <c r="I19" s="2" t="s">
        <v>23</v>
      </c>
      <c r="J19" s="3" t="e">
        <f>LOOKUP(I19, ResearchTraditions[TraditionId], ResearchTraditions[Name])</f>
        <v>#VALUE!</v>
      </c>
      <c r="K19" s="3" t="e">
        <f>LOOKUP(I19, ResearchTraditions[TraditionId], ResearchTraditions[CoreConcern])</f>
        <v>#VALUE!</v>
      </c>
      <c r="L19" s="2" t="s">
        <v>122</v>
      </c>
      <c r="M19" s="3" t="str">
        <f>LEFT(L19, 7)</f>
        <v>ca31095</v>
      </c>
      <c r="N19" s="2">
        <v>46200</v>
      </c>
      <c r="O19" s="2" t="s">
        <v>123</v>
      </c>
      <c r="P19" s="2" t="s">
        <v>124</v>
      </c>
    </row>
    <row r="20">
      <c r="A20" s="2" t="s">
        <v>137</v>
      </c>
      <c r="B20" s="3" t="str">
        <f>A20</f>
        <v>loop-19</v>
      </c>
      <c r="C20" s="2" t="s">
        <v>138</v>
      </c>
      <c r="D20" s="2" t="s">
        <v>18</v>
      </c>
      <c r="E20" s="2" t="s">
        <v>139</v>
      </c>
      <c r="F20" s="2" t="s">
        <v>140</v>
      </c>
      <c r="G20" s="2" t="s">
        <v>141</v>
      </c>
      <c r="H20" s="2" t="s">
        <v>142</v>
      </c>
      <c r="I20" s="2" t="s">
        <v>23</v>
      </c>
      <c r="J20" s="3" t="e">
        <f>LOOKUP(I20, ResearchTraditions[TraditionId], ResearchTraditions[Name])</f>
        <v>#VALUE!</v>
      </c>
      <c r="K20" s="3" t="e">
        <f>LOOKUP(I20, ResearchTraditions[TraditionId], ResearchTraditions[CoreConcern])</f>
        <v>#VALUE!</v>
      </c>
      <c r="L20" s="2" t="s">
        <v>122</v>
      </c>
      <c r="M20" s="3" t="str">
        <f>LEFT(L20, 7)</f>
        <v>ca31095</v>
      </c>
      <c r="N20" s="2">
        <v>46200</v>
      </c>
      <c r="O20" s="2" t="s">
        <v>123</v>
      </c>
      <c r="P20" s="2" t="s">
        <v>124</v>
      </c>
    </row>
    <row r="21">
      <c r="A21" s="2" t="s">
        <v>143</v>
      </c>
      <c r="B21" s="3" t="str">
        <f>A21</f>
        <v>loop-20</v>
      </c>
      <c r="C21" s="2" t="s">
        <v>144</v>
      </c>
      <c r="D21" s="2" t="s">
        <v>18</v>
      </c>
      <c r="E21" s="2" t="s">
        <v>145</v>
      </c>
      <c r="F21" s="2" t="s">
        <v>146</v>
      </c>
      <c r="G21" s="2" t="s">
        <v>147</v>
      </c>
      <c r="H21" s="2" t="s">
        <v>148</v>
      </c>
      <c r="I21" s="2" t="s">
        <v>58</v>
      </c>
      <c r="J21" s="3" t="e">
        <f>LOOKUP(I21, ResearchTraditions[TraditionId], ResearchTraditions[Name])</f>
        <v>#VALUE!</v>
      </c>
      <c r="K21" s="3" t="e">
        <f>LOOKUP(I21, ResearchTraditions[TraditionId], ResearchTraditions[CoreConcern])</f>
        <v>#VALUE!</v>
      </c>
      <c r="L21" s="2" t="s">
        <v>122</v>
      </c>
      <c r="M21" s="3" t="str">
        <f>LEFT(L21, 7)</f>
        <v>ca31095</v>
      </c>
      <c r="N21" s="2">
        <v>46200</v>
      </c>
      <c r="O21" s="2" t="s">
        <v>123</v>
      </c>
      <c r="P21" s="2" t="s">
        <v>124</v>
      </c>
    </row>
    <row r="22">
      <c r="A22" s="2" t="s">
        <v>149</v>
      </c>
      <c r="B22" s="3" t="str">
        <f>A22</f>
        <v>loop-20b</v>
      </c>
      <c r="C22" s="2" t="s">
        <v>150</v>
      </c>
      <c r="D22" s="2" t="s">
        <v>18</v>
      </c>
      <c r="E22" s="2" t="s">
        <v>151</v>
      </c>
      <c r="F22" s="2" t="s">
        <v>152</v>
      </c>
      <c r="G22" s="2" t="s">
        <v>153</v>
      </c>
      <c r="H22" s="2" t="s">
        <v>154</v>
      </c>
      <c r="I22" s="2" t="s">
        <v>58</v>
      </c>
      <c r="J22" s="3" t="e">
        <f>LOOKUP(I22, ResearchTraditions[TraditionId], ResearchTraditions[Name])</f>
        <v>#VALUE!</v>
      </c>
      <c r="K22" s="3" t="e">
        <f>LOOKUP(I22, ResearchTraditions[TraditionId], ResearchTraditions[CoreConcern])</f>
        <v>#VALUE!</v>
      </c>
      <c r="L22" s="2" t="s">
        <v>122</v>
      </c>
      <c r="M22" s="3" t="str">
        <f>LEFT(L22, 7)</f>
        <v>ca31095</v>
      </c>
      <c r="N22" s="2">
        <v>46200</v>
      </c>
      <c r="O22" s="2" t="s">
        <v>123</v>
      </c>
      <c r="P22" s="2" t="s">
        <v>124</v>
      </c>
    </row>
    <row r="23">
      <c r="A23" s="2" t="s">
        <v>155</v>
      </c>
      <c r="B23" s="3" t="str">
        <f>A23</f>
        <v>loop-21</v>
      </c>
      <c r="C23" s="2" t="s">
        <v>156</v>
      </c>
      <c r="D23" s="2" t="s">
        <v>18</v>
      </c>
      <c r="E23" s="2" t="s">
        <v>157</v>
      </c>
      <c r="F23" s="2" t="s">
        <v>158</v>
      </c>
      <c r="G23" s="2" t="s">
        <v>159</v>
      </c>
      <c r="H23" s="2" t="s">
        <v>160</v>
      </c>
      <c r="I23" s="2" t="s">
        <v>23</v>
      </c>
      <c r="J23" s="3" t="e">
        <f>LOOKUP(I23, ResearchTraditions[TraditionId], ResearchTraditions[Name])</f>
        <v>#VALUE!</v>
      </c>
      <c r="K23" s="3" t="e">
        <f>LOOKUP(I23, ResearchTraditions[TraditionId], ResearchTraditions[CoreConcern])</f>
        <v>#VALUE!</v>
      </c>
      <c r="L23" s="2" t="s">
        <v>122</v>
      </c>
      <c r="M23" s="3" t="str">
        <f>LEFT(L23, 7)</f>
        <v>ca31095</v>
      </c>
      <c r="N23" s="2">
        <v>46200</v>
      </c>
      <c r="O23" s="2" t="s">
        <v>123</v>
      </c>
      <c r="P23" s="2" t="s">
        <v>124</v>
      </c>
    </row>
    <row r="24">
      <c r="A24" s="2" t="s">
        <v>161</v>
      </c>
      <c r="B24" s="3" t="str">
        <f>A24</f>
        <v>loop-22</v>
      </c>
      <c r="C24" s="2" t="s">
        <v>162</v>
      </c>
      <c r="D24" s="2" t="s">
        <v>18</v>
      </c>
      <c r="E24" s="2" t="s">
        <v>163</v>
      </c>
      <c r="F24" s="2" t="s">
        <v>164</v>
      </c>
      <c r="G24" s="2"/>
      <c r="H24" s="2" t="s">
        <v>165</v>
      </c>
      <c r="I24" s="2" t="s">
        <v>23</v>
      </c>
      <c r="J24" s="3" t="e">
        <f>LOOKUP(I24, ResearchTraditions[TraditionId], ResearchTraditions[Name])</f>
        <v>#VALUE!</v>
      </c>
      <c r="K24" s="3" t="e">
        <f>LOOKUP(I24, ResearchTraditions[TraditionId], ResearchTraditions[CoreConcern])</f>
        <v>#VALUE!</v>
      </c>
      <c r="L24" s="2" t="s">
        <v>122</v>
      </c>
      <c r="M24" s="3" t="str">
        <f>LEFT(L24, 7)</f>
        <v>ca31095</v>
      </c>
      <c r="N24" s="2">
        <v>46200</v>
      </c>
      <c r="O24" s="2" t="s">
        <v>123</v>
      </c>
      <c r="P24" s="2" t="s">
        <v>124</v>
      </c>
    </row>
    <row r="25">
      <c r="A25" s="2" t="s">
        <v>166</v>
      </c>
      <c r="B25" s="3" t="str">
        <f>A25</f>
        <v>loop-23</v>
      </c>
      <c r="C25" s="2" t="s">
        <v>167</v>
      </c>
      <c r="D25" s="2" t="s">
        <v>18</v>
      </c>
      <c r="E25" s="2" t="s">
        <v>168</v>
      </c>
      <c r="F25" s="2" t="s">
        <v>169</v>
      </c>
      <c r="G25" s="2"/>
      <c r="H25" s="2" t="s">
        <v>170</v>
      </c>
      <c r="I25" s="2" t="s">
        <v>23</v>
      </c>
      <c r="J25" s="3" t="e">
        <f>LOOKUP(I25, ResearchTraditions[TraditionId], ResearchTraditions[Name])</f>
        <v>#VALUE!</v>
      </c>
      <c r="K25" s="3" t="e">
        <f>LOOKUP(I25, ResearchTraditions[TraditionId], ResearchTraditions[CoreConcern])</f>
        <v>#VALUE!</v>
      </c>
      <c r="L25" s="2" t="s">
        <v>122</v>
      </c>
      <c r="M25" s="3" t="str">
        <f>LEFT(L25, 7)</f>
        <v>ca31095</v>
      </c>
      <c r="N25" s="2">
        <v>46200</v>
      </c>
      <c r="O25" s="2" t="s">
        <v>123</v>
      </c>
      <c r="P25" s="2" t="s">
        <v>124</v>
      </c>
    </row>
    <row r="26">
      <c r="A26" s="2" t="s">
        <v>171</v>
      </c>
      <c r="B26" s="3" t="str">
        <f>A26</f>
        <v>loop-23b</v>
      </c>
      <c r="C26" s="2" t="s">
        <v>172</v>
      </c>
      <c r="D26" s="2" t="s">
        <v>18</v>
      </c>
      <c r="E26" s="2" t="s">
        <v>173</v>
      </c>
      <c r="F26" s="2" t="s">
        <v>174</v>
      </c>
      <c r="G26" s="2"/>
      <c r="H26" s="2" t="s">
        <v>175</v>
      </c>
      <c r="I26" s="2" t="s">
        <v>23</v>
      </c>
      <c r="J26" s="3" t="e">
        <f>LOOKUP(I26, ResearchTraditions[TraditionId], ResearchTraditions[Name])</f>
        <v>#VALUE!</v>
      </c>
      <c r="K26" s="3" t="e">
        <f>LOOKUP(I26, ResearchTraditions[TraditionId], ResearchTraditions[CoreConcern])</f>
        <v>#VALUE!</v>
      </c>
      <c r="L26" s="2" t="s">
        <v>176</v>
      </c>
      <c r="M26" s="3" t="str">
        <f>LEFT(L26, 7)</f>
        <v>a6e0725</v>
      </c>
      <c r="N26" s="2">
        <v>46200</v>
      </c>
      <c r="O26" s="2" t="s">
        <v>177</v>
      </c>
      <c r="P26" s="2" t="s">
        <v>178</v>
      </c>
    </row>
    <row r="27">
      <c r="A27" s="2" t="s">
        <v>179</v>
      </c>
      <c r="B27" s="3" t="str">
        <f>A27</f>
        <v>loop-24</v>
      </c>
      <c r="C27" s="2" t="s">
        <v>180</v>
      </c>
      <c r="D27" s="2" t="s">
        <v>18</v>
      </c>
      <c r="E27" s="2" t="s">
        <v>181</v>
      </c>
      <c r="F27" s="2" t="s">
        <v>182</v>
      </c>
      <c r="G27" s="2"/>
      <c r="H27" s="2" t="s">
        <v>183</v>
      </c>
      <c r="I27" s="2" t="s">
        <v>58</v>
      </c>
      <c r="J27" s="3" t="e">
        <f>LOOKUP(I27, ResearchTraditions[TraditionId], ResearchTraditions[Name])</f>
        <v>#VALUE!</v>
      </c>
      <c r="K27" s="3" t="e">
        <f>LOOKUP(I27, ResearchTraditions[TraditionId], ResearchTraditions[CoreConcern])</f>
        <v>#VALUE!</v>
      </c>
      <c r="L27" s="2" t="s">
        <v>122</v>
      </c>
      <c r="M27" s="3" t="str">
        <f>LEFT(L27, 7)</f>
        <v>ca31095</v>
      </c>
      <c r="N27" s="2">
        <v>46200</v>
      </c>
      <c r="O27" s="2" t="s">
        <v>123</v>
      </c>
      <c r="P27" s="2" t="s">
        <v>124</v>
      </c>
    </row>
    <row r="28">
      <c r="A28" s="2" t="s">
        <v>184</v>
      </c>
      <c r="B28" s="3" t="str">
        <f>A28</f>
        <v>loop-25</v>
      </c>
      <c r="C28" s="2" t="s">
        <v>185</v>
      </c>
      <c r="D28" s="2" t="s">
        <v>18</v>
      </c>
      <c r="E28" s="2" t="s">
        <v>186</v>
      </c>
      <c r="F28" s="2" t="s">
        <v>187</v>
      </c>
      <c r="G28" s="2"/>
      <c r="H28" s="2" t="s">
        <v>188</v>
      </c>
      <c r="I28" s="2" t="s">
        <v>58</v>
      </c>
      <c r="J28" s="3" t="e">
        <f>LOOKUP(I28, ResearchTraditions[TraditionId], ResearchTraditions[Name])</f>
        <v>#VALUE!</v>
      </c>
      <c r="K28" s="3" t="e">
        <f>LOOKUP(I28, ResearchTraditions[TraditionId], ResearchTraditions[CoreConcern])</f>
        <v>#VALUE!</v>
      </c>
      <c r="L28" s="2" t="s">
        <v>122</v>
      </c>
      <c r="M28" s="3" t="str">
        <f>LEFT(L28, 7)</f>
        <v>ca31095</v>
      </c>
      <c r="N28" s="2">
        <v>46200</v>
      </c>
      <c r="O28" s="2" t="s">
        <v>123</v>
      </c>
      <c r="P28" s="2" t="s">
        <v>124</v>
      </c>
    </row>
    <row r="29">
      <c r="A29" s="2" t="s">
        <v>189</v>
      </c>
      <c r="B29" s="3" t="str">
        <f>A29</f>
        <v>loop-26</v>
      </c>
      <c r="C29" s="2" t="s">
        <v>190</v>
      </c>
      <c r="D29" s="2" t="s">
        <v>18</v>
      </c>
      <c r="E29" s="2" t="s">
        <v>191</v>
      </c>
      <c r="F29" s="2" t="s">
        <v>192</v>
      </c>
      <c r="G29" s="2"/>
      <c r="H29" s="2" t="s">
        <v>193</v>
      </c>
      <c r="I29" s="2" t="s">
        <v>23</v>
      </c>
      <c r="J29" s="3" t="e">
        <f>LOOKUP(I29, ResearchTraditions[TraditionId], ResearchTraditions[Name])</f>
        <v>#VALUE!</v>
      </c>
      <c r="K29" s="3" t="e">
        <f>LOOKUP(I29, ResearchTraditions[TraditionId], ResearchTraditions[CoreConcern])</f>
        <v>#VALUE!</v>
      </c>
      <c r="L29" s="2" t="s">
        <v>122</v>
      </c>
      <c r="M29" s="3" t="str">
        <f>LEFT(L29, 7)</f>
        <v>ca31095</v>
      </c>
      <c r="N29" s="2">
        <v>46200</v>
      </c>
      <c r="O29" s="2" t="s">
        <v>123</v>
      </c>
      <c r="P29" s="2" t="s">
        <v>124</v>
      </c>
    </row>
    <row r="30">
      <c r="A30" s="2" t="s">
        <v>194</v>
      </c>
      <c r="B30" s="3" t="str">
        <f>A30</f>
        <v>loop-27</v>
      </c>
      <c r="C30" s="2" t="s">
        <v>195</v>
      </c>
      <c r="D30" s="2" t="s">
        <v>18</v>
      </c>
      <c r="E30" s="2" t="s">
        <v>196</v>
      </c>
      <c r="F30" s="2" t="s">
        <v>197</v>
      </c>
      <c r="G30" s="2"/>
      <c r="H30" s="2" t="s">
        <v>198</v>
      </c>
      <c r="I30" s="2" t="s">
        <v>51</v>
      </c>
      <c r="J30" s="3" t="e">
        <f>LOOKUP(I30, ResearchTraditions[TraditionId], ResearchTraditions[Name])</f>
        <v>#VALUE!</v>
      </c>
      <c r="K30" s="3" t="e">
        <f>LOOKUP(I30, ResearchTraditions[TraditionId], ResearchTraditions[CoreConcern])</f>
        <v>#VALUE!</v>
      </c>
      <c r="L30" s="2" t="s">
        <v>122</v>
      </c>
      <c r="M30" s="3" t="str">
        <f>LEFT(L30, 7)</f>
        <v>ca31095</v>
      </c>
      <c r="N30" s="2">
        <v>46200</v>
      </c>
      <c r="O30" s="2" t="s">
        <v>123</v>
      </c>
      <c r="P30" s="2" t="s">
        <v>124</v>
      </c>
    </row>
    <row r="31">
      <c r="A31" s="2" t="s">
        <v>199</v>
      </c>
      <c r="B31" s="3" t="str">
        <f>A31</f>
        <v>loop-28</v>
      </c>
      <c r="C31" s="2" t="s">
        <v>200</v>
      </c>
      <c r="D31" s="2" t="s">
        <v>18</v>
      </c>
      <c r="E31" s="2" t="s">
        <v>201</v>
      </c>
      <c r="F31" s="2" t="s">
        <v>202</v>
      </c>
      <c r="G31" s="2"/>
      <c r="H31" s="2" t="s">
        <v>203</v>
      </c>
      <c r="I31" s="2" t="s">
        <v>204</v>
      </c>
      <c r="J31" s="3" t="e">
        <f>LOOKUP(I31, ResearchTraditions[TraditionId], ResearchTraditions[Name])</f>
        <v>#VALUE!</v>
      </c>
      <c r="K31" s="3" t="e">
        <f>LOOKUP(I31, ResearchTraditions[TraditionId], ResearchTraditions[CoreConcern])</f>
        <v>#VALUE!</v>
      </c>
      <c r="L31" s="2" t="s">
        <v>122</v>
      </c>
      <c r="M31" s="3" t="str">
        <f>LEFT(L31, 7)</f>
        <v>ca31095</v>
      </c>
      <c r="N31" s="2">
        <v>46200</v>
      </c>
      <c r="O31" s="2" t="s">
        <v>123</v>
      </c>
      <c r="P31" s="2" t="s">
        <v>124</v>
      </c>
    </row>
    <row r="32">
      <c r="A32" s="2" t="s">
        <v>205</v>
      </c>
      <c r="B32" s="3" t="str">
        <f>A32</f>
        <v>loop-29</v>
      </c>
      <c r="C32" s="2" t="s">
        <v>206</v>
      </c>
      <c r="D32" s="2" t="s">
        <v>18</v>
      </c>
      <c r="E32" s="2" t="s">
        <v>207</v>
      </c>
      <c r="F32" s="2" t="s">
        <v>208</v>
      </c>
      <c r="G32" s="2"/>
      <c r="H32" s="2" t="s">
        <v>209</v>
      </c>
      <c r="I32" s="2" t="s">
        <v>51</v>
      </c>
      <c r="J32" s="3" t="e">
        <f>LOOKUP(I32, ResearchTraditions[TraditionId], ResearchTraditions[Name])</f>
        <v>#VALUE!</v>
      </c>
      <c r="K32" s="3" t="e">
        <f>LOOKUP(I32, ResearchTraditions[TraditionId], ResearchTraditions[CoreConcern])</f>
        <v>#VALUE!</v>
      </c>
      <c r="L32" s="2" t="s">
        <v>122</v>
      </c>
      <c r="M32" s="3" t="str">
        <f>LEFT(L32, 7)</f>
        <v>ca31095</v>
      </c>
      <c r="N32" s="2">
        <v>46200</v>
      </c>
      <c r="O32" s="2" t="s">
        <v>123</v>
      </c>
      <c r="P32" s="2" t="s">
        <v>124</v>
      </c>
    </row>
    <row r="33">
      <c r="A33" s="2" t="s">
        <v>210</v>
      </c>
      <c r="B33" s="3" t="str">
        <f>A33</f>
        <v>loop-30</v>
      </c>
      <c r="C33" s="2" t="s">
        <v>211</v>
      </c>
      <c r="D33" s="2" t="s">
        <v>18</v>
      </c>
      <c r="E33" s="2" t="s">
        <v>212</v>
      </c>
      <c r="F33" s="2" t="s">
        <v>213</v>
      </c>
      <c r="G33" s="2"/>
      <c r="H33" s="2" t="s">
        <v>214</v>
      </c>
      <c r="I33" s="2" t="s">
        <v>51</v>
      </c>
      <c r="J33" s="3" t="e">
        <f>LOOKUP(I33, ResearchTraditions[TraditionId], ResearchTraditions[Name])</f>
        <v>#VALUE!</v>
      </c>
      <c r="K33" s="3" t="e">
        <f>LOOKUP(I33, ResearchTraditions[TraditionId], ResearchTraditions[CoreConcern])</f>
        <v>#VALUE!</v>
      </c>
      <c r="L33" s="2" t="s">
        <v>122</v>
      </c>
      <c r="M33" s="3" t="str">
        <f>LEFT(L33, 7)</f>
        <v>ca31095</v>
      </c>
      <c r="N33" s="2">
        <v>46200</v>
      </c>
      <c r="O33" s="2" t="s">
        <v>123</v>
      </c>
      <c r="P33" s="2" t="s">
        <v>124</v>
      </c>
    </row>
    <row r="34">
      <c r="A34" s="2" t="s">
        <v>215</v>
      </c>
      <c r="B34" s="3" t="str">
        <f>A34</f>
        <v>loop-31</v>
      </c>
      <c r="C34" s="2" t="s">
        <v>216</v>
      </c>
      <c r="D34" s="2" t="s">
        <v>18</v>
      </c>
      <c r="E34" s="2" t="s">
        <v>217</v>
      </c>
      <c r="F34" s="2" t="s">
        <v>218</v>
      </c>
      <c r="G34" s="2"/>
      <c r="H34" s="2" t="s">
        <v>219</v>
      </c>
      <c r="I34" s="2" t="s">
        <v>51</v>
      </c>
      <c r="J34" s="3" t="e">
        <f>LOOKUP(I34, ResearchTraditions[TraditionId], ResearchTraditions[Name])</f>
        <v>#VALUE!</v>
      </c>
      <c r="K34" s="3" t="e">
        <f>LOOKUP(I34, ResearchTraditions[TraditionId], ResearchTraditions[CoreConcern])</f>
        <v>#VALUE!</v>
      </c>
      <c r="L34" s="2" t="s">
        <v>122</v>
      </c>
      <c r="M34" s="3" t="str">
        <f>LEFT(L34, 7)</f>
        <v>ca31095</v>
      </c>
      <c r="N34" s="2">
        <v>46200</v>
      </c>
      <c r="O34" s="2" t="s">
        <v>123</v>
      </c>
      <c r="P34" s="2" t="s">
        <v>124</v>
      </c>
    </row>
    <row r="35">
      <c r="A35" s="2" t="s">
        <v>220</v>
      </c>
      <c r="B35" s="3" t="str">
        <f>A35</f>
        <v>loop-32</v>
      </c>
      <c r="C35" s="2" t="s">
        <v>221</v>
      </c>
      <c r="D35" s="2" t="s">
        <v>18</v>
      </c>
      <c r="E35" s="2" t="s">
        <v>222</v>
      </c>
      <c r="F35" s="2" t="s">
        <v>223</v>
      </c>
      <c r="G35" s="2"/>
      <c r="H35" s="2" t="s">
        <v>224</v>
      </c>
      <c r="I35" s="2" t="s">
        <v>58</v>
      </c>
      <c r="J35" s="3" t="e">
        <f>LOOKUP(I35, ResearchTraditions[TraditionId], ResearchTraditions[Name])</f>
        <v>#VALUE!</v>
      </c>
      <c r="K35" s="3" t="e">
        <f>LOOKUP(I35, ResearchTraditions[TraditionId], ResearchTraditions[CoreConcern])</f>
        <v>#VALUE!</v>
      </c>
      <c r="L35" s="2" t="s">
        <v>176</v>
      </c>
      <c r="M35" s="3" t="str">
        <f>LEFT(L35, 7)</f>
        <v>a6e0725</v>
      </c>
      <c r="N35" s="2">
        <v>46200</v>
      </c>
      <c r="O35" s="2" t="s">
        <v>177</v>
      </c>
      <c r="P35" s="2" t="s">
        <v>178</v>
      </c>
    </row>
    <row r="36">
      <c r="A36" s="2" t="s">
        <v>225</v>
      </c>
      <c r="B36" s="3" t="str">
        <f>A36</f>
        <v>loop-33</v>
      </c>
      <c r="C36" s="2" t="s">
        <v>226</v>
      </c>
      <c r="D36" s="2" t="s">
        <v>18</v>
      </c>
      <c r="E36" s="2" t="s">
        <v>227</v>
      </c>
      <c r="F36" s="2" t="s">
        <v>228</v>
      </c>
      <c r="G36" s="2"/>
      <c r="H36" s="2" t="s">
        <v>229</v>
      </c>
      <c r="I36" s="2" t="s">
        <v>51</v>
      </c>
      <c r="J36" s="3" t="e">
        <f>LOOKUP(I36, ResearchTraditions[TraditionId], ResearchTraditions[Name])</f>
        <v>#VALUE!</v>
      </c>
      <c r="K36" s="3" t="e">
        <f>LOOKUP(I36, ResearchTraditions[TraditionId], ResearchTraditions[CoreConcern])</f>
        <v>#VALUE!</v>
      </c>
      <c r="L36" s="2" t="s">
        <v>176</v>
      </c>
      <c r="M36" s="3" t="str">
        <f>LEFT(L36, 7)</f>
        <v>a6e0725</v>
      </c>
      <c r="N36" s="2">
        <v>46200</v>
      </c>
      <c r="O36" s="2" t="s">
        <v>177</v>
      </c>
      <c r="P36" s="2" t="s">
        <v>178</v>
      </c>
    </row>
    <row r="37">
      <c r="A37" s="2" t="s">
        <v>230</v>
      </c>
      <c r="B37" s="3" t="str">
        <f>A37</f>
        <v>loop-34</v>
      </c>
      <c r="C37" s="2" t="s">
        <v>231</v>
      </c>
      <c r="D37" s="2" t="s">
        <v>18</v>
      </c>
      <c r="E37" s="2" t="s">
        <v>232</v>
      </c>
      <c r="F37" s="2" t="s">
        <v>233</v>
      </c>
      <c r="G37" s="2"/>
      <c r="H37" s="2" t="s">
        <v>234</v>
      </c>
      <c r="I37" s="2" t="s">
        <v>23</v>
      </c>
      <c r="J37" s="3" t="e">
        <f>LOOKUP(I37, ResearchTraditions[TraditionId], ResearchTraditions[Name])</f>
        <v>#VALUE!</v>
      </c>
      <c r="K37" s="3" t="e">
        <f>LOOKUP(I37, ResearchTraditions[TraditionId], ResearchTraditions[CoreConcern])</f>
        <v>#VALUE!</v>
      </c>
      <c r="L37" s="2" t="s">
        <v>235</v>
      </c>
      <c r="M37" s="3" t="str">
        <f>LEFT(L37, 7)</f>
        <v>5a14dcb</v>
      </c>
      <c r="N37" s="2">
        <v>46201</v>
      </c>
      <c r="O37" s="2" t="s">
        <v>236</v>
      </c>
      <c r="P37" s="2" t="s">
        <v>237</v>
      </c>
    </row>
    <row r="38">
      <c r="A38" s="2" t="s">
        <v>238</v>
      </c>
      <c r="B38" s="3" t="str">
        <f>A38</f>
        <v>loop-35</v>
      </c>
      <c r="C38" s="2" t="s">
        <v>239</v>
      </c>
      <c r="D38" s="2" t="s">
        <v>18</v>
      </c>
      <c r="E38" s="2"/>
      <c r="F38" s="2" t="s">
        <v>240</v>
      </c>
      <c r="G38" s="2"/>
      <c r="H38" s="2" t="s">
        <v>241</v>
      </c>
      <c r="I38" s="2" t="s">
        <v>23</v>
      </c>
      <c r="J38" s="3" t="e">
        <f>LOOKUP(I38, ResearchTraditions[TraditionId], ResearchTraditions[Name])</f>
        <v>#VALUE!</v>
      </c>
      <c r="K38" s="3" t="e">
        <f>LOOKUP(I38, ResearchTraditions[TraditionId], ResearchTraditions[CoreConcern])</f>
        <v>#VALUE!</v>
      </c>
      <c r="L38" s="2" t="s">
        <v>235</v>
      </c>
      <c r="M38" s="3" t="str">
        <f>LEFT(L38, 7)</f>
        <v>5a14dcb</v>
      </c>
      <c r="N38" s="2">
        <v>46201</v>
      </c>
      <c r="O38" s="2" t="s">
        <v>236</v>
      </c>
      <c r="P38" s="2" t="s">
        <v>237</v>
      </c>
    </row>
    <row r="39">
      <c r="A39" s="2" t="s">
        <v>242</v>
      </c>
      <c r="B39" s="3" t="str">
        <f>A39</f>
        <v>loop-43</v>
      </c>
      <c r="C39" s="2" t="s">
        <v>243</v>
      </c>
      <c r="D39" s="2" t="s">
        <v>18</v>
      </c>
      <c r="E39" s="2" t="s">
        <v>244</v>
      </c>
      <c r="F39" s="2" t="s">
        <v>245</v>
      </c>
      <c r="G39" s="2" t="s">
        <v>246</v>
      </c>
      <c r="H39" s="2" t="s">
        <v>247</v>
      </c>
      <c r="I39" s="2" t="s">
        <v>23</v>
      </c>
      <c r="J39" s="3" t="e">
        <f>LOOKUP(I39, ResearchTraditions[TraditionId], ResearchTraditions[Name])</f>
        <v>#VALUE!</v>
      </c>
      <c r="K39" s="3" t="e">
        <f>LOOKUP(I39, ResearchTraditions[TraditionId], ResearchTraditions[CoreConcern])</f>
        <v>#VALUE!</v>
      </c>
      <c r="L39" s="2" t="s">
        <v>235</v>
      </c>
      <c r="M39" s="3" t="str">
        <f>LEFT(L39, 7)</f>
        <v>5a14dcb</v>
      </c>
      <c r="N39" s="2">
        <v>46201</v>
      </c>
      <c r="O39" s="2" t="s">
        <v>236</v>
      </c>
      <c r="P39" s="2" t="s">
        <v>237</v>
      </c>
    </row>
    <row r="40">
      <c r="A40" s="2" t="s">
        <v>248</v>
      </c>
      <c r="B40" s="3" t="str">
        <f>A40</f>
        <v>loop-44</v>
      </c>
      <c r="C40" s="2" t="s">
        <v>249</v>
      </c>
      <c r="D40" s="2" t="s">
        <v>18</v>
      </c>
      <c r="E40" s="2" t="s">
        <v>250</v>
      </c>
      <c r="F40" s="2" t="s">
        <v>251</v>
      </c>
      <c r="G40" s="2" t="s">
        <v>252</v>
      </c>
      <c r="H40" s="2" t="s">
        <v>253</v>
      </c>
      <c r="I40" s="2" t="s">
        <v>51</v>
      </c>
      <c r="J40" s="3" t="e">
        <f>LOOKUP(I40, ResearchTraditions[TraditionId], ResearchTraditions[Name])</f>
        <v>#VALUE!</v>
      </c>
      <c r="K40" s="3" t="e">
        <f>LOOKUP(I40, ResearchTraditions[TraditionId], ResearchTraditions[CoreConcern])</f>
        <v>#VALUE!</v>
      </c>
      <c r="L40" s="2" t="s">
        <v>235</v>
      </c>
      <c r="M40" s="3" t="str">
        <f>LEFT(L40, 7)</f>
        <v>5a14dcb</v>
      </c>
      <c r="N40" s="2">
        <v>46201</v>
      </c>
      <c r="O40" s="2" t="s">
        <v>236</v>
      </c>
      <c r="P40" s="2" t="s">
        <v>237</v>
      </c>
    </row>
    <row r="41">
      <c r="A41" s="2" t="s">
        <v>254</v>
      </c>
      <c r="B41" s="3" t="str">
        <f>A41</f>
        <v>loop-45</v>
      </c>
      <c r="C41" s="2" t="s">
        <v>255</v>
      </c>
      <c r="D41" s="2" t="s">
        <v>18</v>
      </c>
      <c r="E41" s="2" t="s">
        <v>256</v>
      </c>
      <c r="F41" s="2" t="s">
        <v>257</v>
      </c>
      <c r="G41" s="2" t="s">
        <v>258</v>
      </c>
      <c r="H41" s="2" t="s">
        <v>259</v>
      </c>
      <c r="I41" s="2" t="s">
        <v>23</v>
      </c>
      <c r="J41" s="3" t="e">
        <f>LOOKUP(I41, ResearchTraditions[TraditionId], ResearchTraditions[Name])</f>
        <v>#VALUE!</v>
      </c>
      <c r="K41" s="3" t="e">
        <f>LOOKUP(I41, ResearchTraditions[TraditionId], ResearchTraditions[CoreConcern])</f>
        <v>#VALUE!</v>
      </c>
      <c r="L41" s="2" t="s">
        <v>235</v>
      </c>
      <c r="M41" s="3" t="str">
        <f>LEFT(L41, 7)</f>
        <v>5a14dcb</v>
      </c>
      <c r="N41" s="2">
        <v>46201</v>
      </c>
      <c r="O41" s="2" t="s">
        <v>236</v>
      </c>
      <c r="P41" s="2" t="s">
        <v>237</v>
      </c>
    </row>
    <row r="42">
      <c r="A42" s="2" t="s">
        <v>260</v>
      </c>
      <c r="B42" s="3" t="str">
        <f>A42</f>
        <v>loop-46</v>
      </c>
      <c r="C42" s="2" t="s">
        <v>261</v>
      </c>
      <c r="D42" s="2" t="s">
        <v>18</v>
      </c>
      <c r="E42" s="2" t="s">
        <v>262</v>
      </c>
      <c r="F42" s="2" t="s">
        <v>263</v>
      </c>
      <c r="G42" s="2" t="s">
        <v>264</v>
      </c>
      <c r="H42" s="2" t="s">
        <v>265</v>
      </c>
      <c r="I42" s="2" t="s">
        <v>23</v>
      </c>
      <c r="J42" s="3" t="e">
        <f>LOOKUP(I42, ResearchTraditions[TraditionId], ResearchTraditions[Name])</f>
        <v>#VALUE!</v>
      </c>
      <c r="K42" s="3" t="e">
        <f>LOOKUP(I42, ResearchTraditions[TraditionId], ResearchTraditions[CoreConcern])</f>
        <v>#VALUE!</v>
      </c>
      <c r="L42" s="2" t="s">
        <v>235</v>
      </c>
      <c r="M42" s="3" t="str">
        <f>LEFT(L42, 7)</f>
        <v>5a14dcb</v>
      </c>
      <c r="N42" s="2">
        <v>46201</v>
      </c>
      <c r="O42" s="2" t="s">
        <v>236</v>
      </c>
      <c r="P42" s="2" t="s">
        <v>237</v>
      </c>
    </row>
    <row r="43">
      <c r="A43" s="2" t="s">
        <v>266</v>
      </c>
      <c r="B43" s="3" t="str">
        <f>A43</f>
        <v>loop-47</v>
      </c>
      <c r="C43" s="2" t="s">
        <v>267</v>
      </c>
      <c r="D43" s="2" t="s">
        <v>18</v>
      </c>
      <c r="E43" s="2" t="s">
        <v>268</v>
      </c>
      <c r="F43" s="2" t="s">
        <v>269</v>
      </c>
      <c r="G43" s="2" t="s">
        <v>270</v>
      </c>
      <c r="H43" s="2" t="s">
        <v>271</v>
      </c>
      <c r="I43" s="2"/>
      <c r="J43" s="3" t="e">
        <f>LOOKUP(I43, ResearchTraditions[TraditionId], ResearchTraditions[Name])</f>
        <v>#VALUE!</v>
      </c>
      <c r="K43" s="3" t="e">
        <f>LOOKUP(I43, ResearchTraditions[TraditionId], ResearchTraditions[CoreConcern])</f>
        <v>#VALUE!</v>
      </c>
      <c r="L43" s="2" t="s">
        <v>235</v>
      </c>
      <c r="M43" s="3" t="str">
        <f>LEFT(L43, 7)</f>
        <v>5a14dcb</v>
      </c>
      <c r="N43" s="2">
        <v>46201</v>
      </c>
      <c r="O43" s="2" t="s">
        <v>236</v>
      </c>
      <c r="P43" s="2" t="s">
        <v>237</v>
      </c>
    </row>
    <row r="44">
      <c r="A44" s="2" t="s">
        <v>272</v>
      </c>
      <c r="B44" s="3" t="str">
        <f>A44</f>
        <v>loop-48</v>
      </c>
      <c r="C44" s="2" t="s">
        <v>273</v>
      </c>
      <c r="D44" s="2" t="s">
        <v>18</v>
      </c>
      <c r="E44" s="2" t="s">
        <v>274</v>
      </c>
      <c r="F44" s="2" t="s">
        <v>275</v>
      </c>
      <c r="G44" s="2" t="s">
        <v>276</v>
      </c>
      <c r="H44" s="2" t="s">
        <v>277</v>
      </c>
      <c r="I44" s="2"/>
      <c r="J44" s="3" t="e">
        <f>LOOKUP(I44, ResearchTraditions[TraditionId], ResearchTraditions[Name])</f>
        <v>#VALUE!</v>
      </c>
      <c r="K44" s="3" t="e">
        <f>LOOKUP(I44, ResearchTraditions[TraditionId], ResearchTraditions[CoreConcern])</f>
        <v>#VALUE!</v>
      </c>
      <c r="L44" s="2" t="s">
        <v>235</v>
      </c>
      <c r="M44" s="3" t="str">
        <f>LEFT(L44, 7)</f>
        <v>5a14dcb</v>
      </c>
      <c r="N44" s="2">
        <v>46201</v>
      </c>
      <c r="O44" s="2" t="s">
        <v>236</v>
      </c>
      <c r="P44" s="2" t="s">
        <v>237</v>
      </c>
    </row>
    <row r="45">
      <c r="A45" s="2" t="s">
        <v>278</v>
      </c>
      <c r="B45" s="3" t="str">
        <f>A45</f>
        <v>loop-49</v>
      </c>
      <c r="C45" s="2" t="s">
        <v>279</v>
      </c>
      <c r="D45" s="2" t="s">
        <v>18</v>
      </c>
      <c r="E45" s="2" t="s">
        <v>280</v>
      </c>
      <c r="F45" s="2" t="s">
        <v>281</v>
      </c>
      <c r="G45" s="2" t="s">
        <v>282</v>
      </c>
      <c r="H45" s="2" t="s">
        <v>283</v>
      </c>
      <c r="I45" s="2" t="s">
        <v>58</v>
      </c>
      <c r="J45" s="3" t="e">
        <f>LOOKUP(I45, ResearchTraditions[TraditionId], ResearchTraditions[Name])</f>
        <v>#VALUE!</v>
      </c>
      <c r="K45" s="3" t="e">
        <f>LOOKUP(I45, ResearchTraditions[TraditionId], ResearchTraditions[CoreConcern])</f>
        <v>#VALUE!</v>
      </c>
      <c r="L45" s="2" t="s">
        <v>235</v>
      </c>
      <c r="M45" s="3" t="str">
        <f>LEFT(L45, 7)</f>
        <v>5a14dcb</v>
      </c>
      <c r="N45" s="2">
        <v>46201</v>
      </c>
      <c r="O45" s="2" t="s">
        <v>236</v>
      </c>
      <c r="P45" s="2" t="s">
        <v>237</v>
      </c>
    </row>
    <row r="46">
      <c r="A46" s="2" t="s">
        <v>284</v>
      </c>
      <c r="B46" s="3" t="str">
        <f>A46</f>
        <v>loop-50</v>
      </c>
      <c r="C46" s="2" t="s">
        <v>285</v>
      </c>
      <c r="D46" s="2" t="s">
        <v>18</v>
      </c>
      <c r="E46" s="2" t="s">
        <v>286</v>
      </c>
      <c r="F46" s="2" t="s">
        <v>287</v>
      </c>
      <c r="G46" s="2" t="s">
        <v>288</v>
      </c>
      <c r="H46" s="2" t="s">
        <v>289</v>
      </c>
      <c r="I46" s="2"/>
      <c r="J46" s="3" t="e">
        <f>LOOKUP(I46, ResearchTraditions[TraditionId], ResearchTraditions[Name])</f>
        <v>#VALUE!</v>
      </c>
      <c r="K46" s="3" t="e">
        <f>LOOKUP(I46, ResearchTraditions[TraditionId], ResearchTraditions[CoreConcern])</f>
        <v>#VALUE!</v>
      </c>
      <c r="L46" s="2" t="s">
        <v>235</v>
      </c>
      <c r="M46" s="3" t="str">
        <f>LEFT(L46, 7)</f>
        <v>5a14dcb</v>
      </c>
      <c r="N46" s="2">
        <v>46201</v>
      </c>
      <c r="O46" s="2" t="s">
        <v>236</v>
      </c>
      <c r="P46" s="2" t="s">
        <v>237</v>
      </c>
    </row>
    <row r="47">
      <c r="A47" s="2" t="s">
        <v>290</v>
      </c>
      <c r="B47" s="3" t="str">
        <f>A47</f>
        <v>loop-51</v>
      </c>
      <c r="C47" s="2" t="s">
        <v>291</v>
      </c>
      <c r="D47" s="2" t="s">
        <v>18</v>
      </c>
      <c r="E47" s="2" t="s">
        <v>292</v>
      </c>
      <c r="F47" s="2" t="s">
        <v>293</v>
      </c>
      <c r="G47" s="2" t="s">
        <v>294</v>
      </c>
      <c r="H47" s="2" t="s">
        <v>295</v>
      </c>
      <c r="I47" s="2" t="s">
        <v>58</v>
      </c>
      <c r="J47" s="3" t="e">
        <f>LOOKUP(I47, ResearchTraditions[TraditionId], ResearchTraditions[Name])</f>
        <v>#VALUE!</v>
      </c>
      <c r="K47" s="3" t="e">
        <f>LOOKUP(I47, ResearchTraditions[TraditionId], ResearchTraditions[CoreConcern])</f>
        <v>#VALUE!</v>
      </c>
      <c r="L47" s="2" t="s">
        <v>235</v>
      </c>
      <c r="M47" s="3" t="str">
        <f>LEFT(L47, 7)</f>
        <v>5a14dcb</v>
      </c>
      <c r="N47" s="2">
        <v>46201</v>
      </c>
      <c r="O47" s="2" t="s">
        <v>236</v>
      </c>
      <c r="P47" s="2" t="s">
        <v>237</v>
      </c>
    </row>
    <row r="48">
      <c r="A48" s="2" t="s">
        <v>296</v>
      </c>
      <c r="B48" s="3" t="str">
        <f>A48</f>
        <v>loop-52</v>
      </c>
      <c r="C48" s="2" t="s">
        <v>297</v>
      </c>
      <c r="D48" s="2" t="s">
        <v>18</v>
      </c>
      <c r="E48" s="2" t="s">
        <v>298</v>
      </c>
      <c r="F48" s="2" t="s">
        <v>299</v>
      </c>
      <c r="G48" s="2" t="s">
        <v>300</v>
      </c>
      <c r="H48" s="2" t="s">
        <v>301</v>
      </c>
      <c r="I48" s="2" t="s">
        <v>58</v>
      </c>
      <c r="J48" s="3" t="e">
        <f>LOOKUP(I48, ResearchTraditions[TraditionId], ResearchTraditions[Name])</f>
        <v>#VALUE!</v>
      </c>
      <c r="K48" s="3" t="e">
        <f>LOOKUP(I48, ResearchTraditions[TraditionId], ResearchTraditions[CoreConcern])</f>
        <v>#VALUE!</v>
      </c>
      <c r="L48" s="2" t="s">
        <v>235</v>
      </c>
      <c r="M48" s="3" t="str">
        <f>LEFT(L48, 7)</f>
        <v>5a14dcb</v>
      </c>
      <c r="N48" s="2">
        <v>46201</v>
      </c>
      <c r="O48" s="2" t="s">
        <v>236</v>
      </c>
      <c r="P48" s="2" t="s">
        <v>237</v>
      </c>
    </row>
    <row r="49">
      <c r="A49" s="2" t="s">
        <v>302</v>
      </c>
      <c r="B49" s="3" t="str">
        <f>A49</f>
        <v>loop-53</v>
      </c>
      <c r="C49" s="2" t="s">
        <v>303</v>
      </c>
      <c r="D49" s="2" t="s">
        <v>18</v>
      </c>
      <c r="E49" s="2" t="s">
        <v>304</v>
      </c>
      <c r="F49" s="2" t="s">
        <v>305</v>
      </c>
      <c r="G49" s="2" t="s">
        <v>306</v>
      </c>
      <c r="H49" s="2" t="s">
        <v>307</v>
      </c>
      <c r="I49" s="2" t="s">
        <v>51</v>
      </c>
      <c r="J49" s="3" t="e">
        <f>LOOKUP(I49, ResearchTraditions[TraditionId], ResearchTraditions[Name])</f>
        <v>#VALUE!</v>
      </c>
      <c r="K49" s="3" t="e">
        <f>LOOKUP(I49, ResearchTraditions[TraditionId], ResearchTraditions[CoreConcern])</f>
        <v>#VALUE!</v>
      </c>
      <c r="L49" s="2" t="s">
        <v>235</v>
      </c>
      <c r="M49" s="3" t="str">
        <f>LEFT(L49, 7)</f>
        <v>5a14dcb</v>
      </c>
      <c r="N49" s="2">
        <v>46201</v>
      </c>
      <c r="O49" s="2" t="s">
        <v>236</v>
      </c>
      <c r="P49" s="2" t="s">
        <v>237</v>
      </c>
    </row>
    <row r="50">
      <c r="A50" s="2" t="s">
        <v>308</v>
      </c>
      <c r="B50" s="3" t="str">
        <f>A50</f>
        <v>loop-54</v>
      </c>
      <c r="C50" s="2" t="s">
        <v>309</v>
      </c>
      <c r="D50" s="2" t="s">
        <v>18</v>
      </c>
      <c r="E50" s="2" t="s">
        <v>310</v>
      </c>
      <c r="F50" s="2" t="s">
        <v>311</v>
      </c>
      <c r="G50" s="2" t="s">
        <v>312</v>
      </c>
      <c r="H50" s="2" t="s">
        <v>313</v>
      </c>
      <c r="I50" s="2" t="s">
        <v>23</v>
      </c>
      <c r="J50" s="3" t="e">
        <f>LOOKUP(I50, ResearchTraditions[TraditionId], ResearchTraditions[Name])</f>
        <v>#VALUE!</v>
      </c>
      <c r="K50" s="3" t="e">
        <f>LOOKUP(I50, ResearchTraditions[TraditionId], ResearchTraditions[CoreConcern])</f>
        <v>#VALUE!</v>
      </c>
      <c r="L50" s="2" t="s">
        <v>235</v>
      </c>
      <c r="M50" s="3" t="str">
        <f>LEFT(L50, 7)</f>
        <v>5a14dcb</v>
      </c>
      <c r="N50" s="2">
        <v>46201</v>
      </c>
      <c r="O50" s="2" t="s">
        <v>236</v>
      </c>
      <c r="P50" s="2" t="s">
        <v>237</v>
      </c>
    </row>
    <row r="51">
      <c r="A51" s="2" t="s">
        <v>314</v>
      </c>
      <c r="B51" s="3" t="str">
        <f>A51</f>
        <v>loop-55</v>
      </c>
      <c r="C51" s="2" t="s">
        <v>315</v>
      </c>
      <c r="D51" s="2" t="s">
        <v>18</v>
      </c>
      <c r="E51" s="2" t="s">
        <v>316</v>
      </c>
      <c r="F51" s="2" t="s">
        <v>317</v>
      </c>
      <c r="G51" s="2" t="s">
        <v>318</v>
      </c>
      <c r="H51" s="2" t="s">
        <v>319</v>
      </c>
      <c r="I51" s="2" t="s">
        <v>58</v>
      </c>
      <c r="J51" s="3" t="e">
        <f>LOOKUP(I51, ResearchTraditions[TraditionId], ResearchTraditions[Name])</f>
        <v>#VALUE!</v>
      </c>
      <c r="K51" s="3" t="e">
        <f>LOOKUP(I51, ResearchTraditions[TraditionId], ResearchTraditions[CoreConcern])</f>
        <v>#VALUE!</v>
      </c>
      <c r="L51" s="2" t="s">
        <v>235</v>
      </c>
      <c r="M51" s="3" t="str">
        <f>LEFT(L51, 7)</f>
        <v>5a14dcb</v>
      </c>
      <c r="N51" s="2">
        <v>46201</v>
      </c>
      <c r="O51" s="2" t="s">
        <v>236</v>
      </c>
      <c r="P51" s="2" t="s">
        <v>237</v>
      </c>
    </row>
    <row r="52">
      <c r="A52" s="2" t="s">
        <v>320</v>
      </c>
      <c r="B52" s="3" t="str">
        <f>A52</f>
        <v>loop-56</v>
      </c>
      <c r="C52" s="2" t="s">
        <v>321</v>
      </c>
      <c r="D52" s="2" t="s">
        <v>18</v>
      </c>
      <c r="E52" s="2" t="s">
        <v>322</v>
      </c>
      <c r="F52" s="2" t="s">
        <v>323</v>
      </c>
      <c r="G52" s="2" t="s">
        <v>324</v>
      </c>
      <c r="H52" s="2" t="s">
        <v>325</v>
      </c>
      <c r="I52" s="2" t="s">
        <v>51</v>
      </c>
      <c r="J52" s="3" t="e">
        <f>LOOKUP(I52, ResearchTraditions[TraditionId], ResearchTraditions[Name])</f>
        <v>#VALUE!</v>
      </c>
      <c r="K52" s="3" t="e">
        <f>LOOKUP(I52, ResearchTraditions[TraditionId], ResearchTraditions[CoreConcern])</f>
        <v>#VALUE!</v>
      </c>
      <c r="L52" s="2" t="s">
        <v>235</v>
      </c>
      <c r="M52" s="3" t="str">
        <f>LEFT(L52, 7)</f>
        <v>5a14dcb</v>
      </c>
      <c r="N52" s="2">
        <v>46201</v>
      </c>
      <c r="O52" s="2" t="s">
        <v>236</v>
      </c>
      <c r="P52" s="2" t="s">
        <v>237</v>
      </c>
    </row>
    <row r="53">
      <c r="A53" s="2" t="s">
        <v>326</v>
      </c>
      <c r="B53" s="3" t="str">
        <f>A53</f>
        <v>loop-57</v>
      </c>
      <c r="C53" s="2" t="s">
        <v>327</v>
      </c>
      <c r="D53" s="2" t="s">
        <v>18</v>
      </c>
      <c r="E53" s="2" t="s">
        <v>328</v>
      </c>
      <c r="F53" s="2" t="s">
        <v>329</v>
      </c>
      <c r="G53" s="2" t="s">
        <v>330</v>
      </c>
      <c r="H53" s="2" t="s">
        <v>331</v>
      </c>
      <c r="I53" s="2" t="s">
        <v>58</v>
      </c>
      <c r="J53" s="3" t="e">
        <f>LOOKUP(I53, ResearchTraditions[TraditionId], ResearchTraditions[Name])</f>
        <v>#VALUE!</v>
      </c>
      <c r="K53" s="3" t="e">
        <f>LOOKUP(I53, ResearchTraditions[TraditionId], ResearchTraditions[CoreConcern])</f>
        <v>#VALUE!</v>
      </c>
      <c r="L53" s="2" t="s">
        <v>235</v>
      </c>
      <c r="M53" s="3" t="str">
        <f>LEFT(L53, 7)</f>
        <v>5a14dcb</v>
      </c>
      <c r="N53" s="2">
        <v>46201</v>
      </c>
      <c r="O53" s="2" t="s">
        <v>236</v>
      </c>
      <c r="P53" s="2" t="s">
        <v>237</v>
      </c>
    </row>
    <row r="54">
      <c r="A54" s="2" t="s">
        <v>332</v>
      </c>
      <c r="B54" s="3" t="str">
        <f>A54</f>
        <v>loop-58</v>
      </c>
      <c r="C54" s="2" t="s">
        <v>333</v>
      </c>
      <c r="D54" s="2" t="s">
        <v>18</v>
      </c>
      <c r="E54" s="2" t="s">
        <v>334</v>
      </c>
      <c r="F54" s="2" t="s">
        <v>335</v>
      </c>
      <c r="G54" s="2" t="s">
        <v>336</v>
      </c>
      <c r="H54" s="2" t="s">
        <v>337</v>
      </c>
      <c r="I54" s="2" t="s">
        <v>58</v>
      </c>
      <c r="J54" s="3" t="e">
        <f>LOOKUP(I54, ResearchTraditions[TraditionId], ResearchTraditions[Name])</f>
        <v>#VALUE!</v>
      </c>
      <c r="K54" s="3" t="e">
        <f>LOOKUP(I54, ResearchTraditions[TraditionId], ResearchTraditions[CoreConcern])</f>
        <v>#VALUE!</v>
      </c>
      <c r="L54" s="2" t="s">
        <v>338</v>
      </c>
      <c r="M54" s="3" t="str">
        <f>LEFT(L54, 7)</f>
        <v>4172aae</v>
      </c>
      <c r="N54" s="2">
        <v>46202</v>
      </c>
      <c r="O54" s="2" t="s">
        <v>339</v>
      </c>
      <c r="P54" s="2" t="s">
        <v>340</v>
      </c>
    </row>
    <row r="55">
      <c r="A55" s="2" t="s">
        <v>341</v>
      </c>
      <c r="B55" s="3" t="str">
        <f>A55</f>
        <v>loop-59</v>
      </c>
      <c r="C55" s="2" t="s">
        <v>342</v>
      </c>
      <c r="D55" s="2" t="s">
        <v>18</v>
      </c>
      <c r="E55" s="2" t="s">
        <v>343</v>
      </c>
      <c r="F55" s="2" t="s">
        <v>344</v>
      </c>
      <c r="G55" s="2" t="s">
        <v>345</v>
      </c>
      <c r="H55" s="2" t="s">
        <v>346</v>
      </c>
      <c r="I55" s="2" t="s">
        <v>58</v>
      </c>
      <c r="J55" s="3" t="e">
        <f>LOOKUP(I55, ResearchTraditions[TraditionId], ResearchTraditions[Name])</f>
        <v>#VALUE!</v>
      </c>
      <c r="K55" s="3" t="e">
        <f>LOOKUP(I55, ResearchTraditions[TraditionId], ResearchTraditions[CoreConcern])</f>
        <v>#VALUE!</v>
      </c>
      <c r="L55" s="2" t="s">
        <v>338</v>
      </c>
      <c r="M55" s="3" t="str">
        <f>LEFT(L55, 7)</f>
        <v>4172aae</v>
      </c>
      <c r="N55" s="2">
        <v>46202</v>
      </c>
      <c r="O55" s="2" t="s">
        <v>339</v>
      </c>
      <c r="P55" s="2" t="s">
        <v>340</v>
      </c>
    </row>
    <row r="56">
      <c r="A56" s="2" t="s">
        <v>347</v>
      </c>
      <c r="B56" s="3" t="str">
        <f>A56</f>
        <v>loop-60</v>
      </c>
      <c r="C56" s="2" t="s">
        <v>348</v>
      </c>
      <c r="D56" s="2" t="s">
        <v>18</v>
      </c>
      <c r="E56" s="2" t="s">
        <v>349</v>
      </c>
      <c r="F56" s="2" t="s">
        <v>350</v>
      </c>
      <c r="G56" s="2" t="s">
        <v>351</v>
      </c>
      <c r="H56" s="2" t="s">
        <v>352</v>
      </c>
      <c r="I56" s="2" t="s">
        <v>51</v>
      </c>
      <c r="J56" s="3" t="e">
        <f>LOOKUP(I56, ResearchTraditions[TraditionId], ResearchTraditions[Name])</f>
        <v>#VALUE!</v>
      </c>
      <c r="K56" s="3" t="e">
        <f>LOOKUP(I56, ResearchTraditions[TraditionId], ResearchTraditions[CoreConcern])</f>
        <v>#VALUE!</v>
      </c>
      <c r="L56" s="2" t="s">
        <v>338</v>
      </c>
      <c r="M56" s="3" t="str">
        <f>LEFT(L56, 7)</f>
        <v>4172aae</v>
      </c>
      <c r="N56" s="2">
        <v>46202</v>
      </c>
      <c r="O56" s="2" t="s">
        <v>339</v>
      </c>
      <c r="P56" s="2" t="s">
        <v>340</v>
      </c>
    </row>
    <row r="57">
      <c r="A57" s="2" t="s">
        <v>353</v>
      </c>
      <c r="B57" s="3" t="str">
        <f>A57</f>
        <v>loop-61</v>
      </c>
      <c r="C57" s="2" t="s">
        <v>354</v>
      </c>
      <c r="D57" s="2" t="s">
        <v>18</v>
      </c>
      <c r="E57" s="2" t="s">
        <v>355</v>
      </c>
      <c r="F57" s="2" t="s">
        <v>356</v>
      </c>
      <c r="G57" s="2" t="s">
        <v>357</v>
      </c>
      <c r="H57" s="2" t="s">
        <v>358</v>
      </c>
      <c r="I57" s="2" t="s">
        <v>58</v>
      </c>
      <c r="J57" s="3" t="e">
        <f>LOOKUP(I57, ResearchTraditions[TraditionId], ResearchTraditions[Name])</f>
        <v>#VALUE!</v>
      </c>
      <c r="K57" s="3" t="e">
        <f>LOOKUP(I57, ResearchTraditions[TraditionId], ResearchTraditions[CoreConcern])</f>
        <v>#VALUE!</v>
      </c>
      <c r="L57" s="2" t="s">
        <v>359</v>
      </c>
      <c r="M57" s="3" t="str">
        <f>LEFT(L57, 7)</f>
        <v>7b3938e</v>
      </c>
      <c r="N57" s="2">
        <v>46202</v>
      </c>
      <c r="O57" s="2" t="s">
        <v>360</v>
      </c>
      <c r="P57" s="2" t="s">
        <v>361</v>
      </c>
    </row>
    <row r="58">
      <c r="A58" s="2" t="s">
        <v>362</v>
      </c>
      <c r="B58" s="3" t="str">
        <f>A58</f>
        <v>loop-62</v>
      </c>
      <c r="C58" s="2" t="s">
        <v>363</v>
      </c>
      <c r="D58" s="2" t="s">
        <v>364</v>
      </c>
      <c r="E58" s="2" t="s">
        <v>365</v>
      </c>
      <c r="F58" s="2" t="s">
        <v>366</v>
      </c>
      <c r="G58" s="2" t="s">
        <v>367</v>
      </c>
      <c r="H58" s="2" t="s">
        <v>368</v>
      </c>
      <c r="I58" s="2" t="s">
        <v>58</v>
      </c>
      <c r="J58" s="3" t="e">
        <f>LOOKUP(I58, ResearchTraditions[TraditionId], ResearchTraditions[Name])</f>
        <v>#VALUE!</v>
      </c>
      <c r="K58" s="3" t="e">
        <f>LOOKUP(I58, ResearchTraditions[TraditionId], ResearchTraditions[CoreConcern])</f>
        <v>#VALUE!</v>
      </c>
      <c r="L58" s="2"/>
      <c r="M58" s="3" t="str">
        <f>LEFT(L58, 7)</f>
      </c>
      <c r="N58" s="2"/>
      <c r="O58" s="2"/>
      <c r="P58" s="2"/>
    </row>
    <row r="59">
      <c r="A59" s="2" t="s">
        <v>369</v>
      </c>
      <c r="B59" s="3" t="str">
        <f>A59</f>
        <v>loop-63</v>
      </c>
      <c r="C59" s="2" t="s">
        <v>370</v>
      </c>
      <c r="D59" s="2" t="s">
        <v>364</v>
      </c>
      <c r="E59" s="2" t="s">
        <v>371</v>
      </c>
      <c r="F59" s="2" t="s">
        <v>372</v>
      </c>
      <c r="G59" s="2" t="s">
        <v>373</v>
      </c>
      <c r="H59" s="2" t="s">
        <v>374</v>
      </c>
      <c r="I59" s="2" t="s">
        <v>51</v>
      </c>
      <c r="J59" s="3" t="e">
        <f>LOOKUP(I59, ResearchTraditions[TraditionId], ResearchTraditions[Name])</f>
        <v>#VALUE!</v>
      </c>
      <c r="K59" s="3" t="e">
        <f>LOOKUP(I59, ResearchTraditions[TraditionId], ResearchTraditions[CoreConcern])</f>
        <v>#VALUE!</v>
      </c>
      <c r="L59" s="2"/>
      <c r="M59" s="3" t="str">
        <f>LEFT(L59, 7)</f>
      </c>
      <c r="N59" s="2"/>
      <c r="O59" s="2"/>
      <c r="P59" s="2"/>
    </row>
    <row r="60">
      <c r="A60" s="2" t="s">
        <v>375</v>
      </c>
      <c r="B60" s="3" t="str">
        <f>A60</f>
        <v>loop-64</v>
      </c>
      <c r="C60" s="2" t="s">
        <v>376</v>
      </c>
      <c r="D60" s="2" t="s">
        <v>364</v>
      </c>
      <c r="E60" s="2" t="s">
        <v>377</v>
      </c>
      <c r="F60" s="2" t="s">
        <v>378</v>
      </c>
      <c r="G60" s="2" t="s">
        <v>379</v>
      </c>
      <c r="H60" s="2" t="s">
        <v>380</v>
      </c>
      <c r="I60" s="2" t="s">
        <v>51</v>
      </c>
      <c r="J60" s="3" t="e">
        <f>LOOKUP(I60, ResearchTraditions[TraditionId], ResearchTraditions[Name])</f>
        <v>#VALUE!</v>
      </c>
      <c r="K60" s="3" t="e">
        <f>LOOKUP(I60, ResearchTraditions[TraditionId], ResearchTraditions[CoreConcern])</f>
        <v>#VALUE!</v>
      </c>
      <c r="L60" s="2"/>
      <c r="M60" s="3" t="str">
        <f>LEFT(L60, 7)</f>
      </c>
      <c r="N60" s="2"/>
      <c r="O60" s="2"/>
      <c r="P60" s="2"/>
    </row>
    <row r="61">
      <c r="A61" s="2" t="s">
        <v>381</v>
      </c>
      <c r="B61" s="3" t="str">
        <f>A61</f>
        <v>loop-65</v>
      </c>
      <c r="C61" s="2" t="s">
        <v>382</v>
      </c>
      <c r="D61" s="2" t="s">
        <v>364</v>
      </c>
      <c r="E61" s="2" t="s">
        <v>383</v>
      </c>
      <c r="F61" s="2" t="s">
        <v>384</v>
      </c>
      <c r="G61" s="2" t="s">
        <v>385</v>
      </c>
      <c r="H61" s="2" t="s">
        <v>386</v>
      </c>
      <c r="I61" s="2" t="s">
        <v>58</v>
      </c>
      <c r="J61" s="3" t="e">
        <f>LOOKUP(I61, ResearchTraditions[TraditionId], ResearchTraditions[Name])</f>
        <v>#VALUE!</v>
      </c>
      <c r="K61" s="3" t="e">
        <f>LOOKUP(I61, ResearchTraditions[TraditionId], ResearchTraditions[CoreConcern])</f>
        <v>#VALUE!</v>
      </c>
      <c r="L61" s="2"/>
      <c r="M61" s="3" t="str">
        <f>LEFT(L61, 7)</f>
      </c>
      <c r="N61" s="2"/>
      <c r="O61" s="2"/>
      <c r="P61" s="2"/>
    </row>
    <row r="62">
      <c r="A62" s="2" t="s">
        <v>387</v>
      </c>
      <c r="B62" s="3" t="str">
        <f>A62</f>
        <v>loop-66</v>
      </c>
      <c r="C62" s="2" t="s">
        <v>388</v>
      </c>
      <c r="D62" s="2" t="s">
        <v>364</v>
      </c>
      <c r="E62" s="2" t="s">
        <v>389</v>
      </c>
      <c r="F62" s="2" t="s">
        <v>390</v>
      </c>
      <c r="G62" s="2" t="s">
        <v>391</v>
      </c>
      <c r="H62" s="2" t="s">
        <v>392</v>
      </c>
      <c r="I62" s="2" t="s">
        <v>23</v>
      </c>
      <c r="J62" s="3" t="e">
        <f>LOOKUP(I62, ResearchTraditions[TraditionId], ResearchTraditions[Name])</f>
        <v>#VALUE!</v>
      </c>
      <c r="K62" s="3" t="e">
        <f>LOOKUP(I62, ResearchTraditions[TraditionId], ResearchTraditions[CoreConcern])</f>
        <v>#VALUE!</v>
      </c>
      <c r="L62" s="2"/>
      <c r="M62" s="3" t="str">
        <f>LEFT(L62, 7)</f>
      </c>
      <c r="N62" s="2"/>
      <c r="O62" s="2"/>
      <c r="P62" s="2"/>
    </row>
  </sheetData>
  <autoFilter ref="A1:P1"/>
  <headerFooter/>
  <legacy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97"/>
  <sheetViews>
    <sheetView workbookViewId="0">
      <pane ySplit="1" topLeftCell="A2" state="frozen" activePane="bottomLeft"/>
      <selection pane="bottomLeft" activeCell="A1" sqref="A1"/>
    </sheetView>
  </sheetViews>
  <sheetFormatPr defaultRowHeight="15"/>
  <cols>
    <col min="1" max="1" width="33.19231414794922" customWidth="1"/>
    <col min="2" max="2" width="33.19231414794922" customWidth="1"/>
    <col min="3" max="3" width="130.71853637695312" customWidth="1"/>
    <col min="4" max="4" width="256" customWidth="1"/>
    <col min="5" max="5" width="119.88387298583984" customWidth="1"/>
    <col min="6" max="6" width="17.443378448486328" customWidth="1"/>
    <col min="7" max="7" width="17.443378448486328" customWidth="1"/>
    <col min="8" max="8" width="17.443378448486328" customWidth="1"/>
    <col min="9" max="9" width="17.443378448486328" customWidth="1"/>
    <col min="10" max="10" width="17.443378448486328" customWidth="1"/>
    <col min="11" max="11" width="22.418148040771484" customWidth="1"/>
    <col min="12" max="12" width="25.148984909057617" customWidth="1"/>
    <col min="13" max="13" width="17.443378448486328" customWidth="1"/>
    <col min="14" max="14" width="21.104618072509766" customWidth="1"/>
    <col min="15" max="15" width="24.57369613647461" customWidth="1"/>
    <col min="16" max="16" width="27.550989151000977" customWidth="1"/>
    <col min="17" max="17" width="17.443378448486328" customWidth="1"/>
    <col min="18" max="18" width="17.443378448486328" customWidth="1"/>
    <col min="19" max="19" width="19.737957000732422" customWidth="1"/>
    <col min="20" max="20" width="17.443378448486328" customWidth="1"/>
    <col min="21" max="21" width="17.443378448486328" customWidth="1"/>
    <col min="22" max="22" width="17.443378448486328" customWidth="1"/>
    <col min="23" max="23" width="21.10479164123535" customWidth="1"/>
    <col min="24" max="24" width="17.443378448486328" customWidth="1"/>
    <col min="25" max="25" width="19.03664207458496" customWidth="1"/>
    <col min="26" max="26" width="21.10325050354004" customWidth="1"/>
  </cols>
  <sheetData>
    <row r="1">
      <c r="A1" s="1" t="s">
        <v>393</v>
      </c>
      <c r="B1" s="1" t="s">
        <v>1</v>
      </c>
      <c r="C1" s="1" t="s">
        <v>2</v>
      </c>
      <c r="D1" s="1" t="s">
        <v>394</v>
      </c>
      <c r="E1" s="1" t="s">
        <v>395</v>
      </c>
      <c r="F1" s="1" t="s">
        <v>396</v>
      </c>
      <c r="G1" s="1" t="s">
        <v>397</v>
      </c>
      <c r="H1" s="1" t="s">
        <v>398</v>
      </c>
      <c r="I1" s="1" t="s">
        <v>399</v>
      </c>
      <c r="J1" s="1" t="s">
        <v>400</v>
      </c>
      <c r="K1" s="1" t="s">
        <v>8</v>
      </c>
      <c r="L1" s="1" t="s">
        <v>401</v>
      </c>
      <c r="M1" s="1" t="s">
        <v>9</v>
      </c>
      <c r="N1" s="1" t="s">
        <v>10</v>
      </c>
      <c r="O1" s="1" t="s">
        <v>402</v>
      </c>
      <c r="P1" s="1" t="s">
        <v>403</v>
      </c>
      <c r="Q1" s="1" t="s">
        <v>404</v>
      </c>
      <c r="R1" s="1" t="s">
        <v>405</v>
      </c>
      <c r="S1" s="1" t="s">
        <v>406</v>
      </c>
      <c r="T1" s="1" t="s">
        <v>407</v>
      </c>
      <c r="U1" s="1" t="s">
        <v>408</v>
      </c>
      <c r="V1" s="1" t="s">
        <v>409</v>
      </c>
      <c r="W1" s="1" t="s">
        <v>410</v>
      </c>
      <c r="X1" s="1" t="s">
        <v>411</v>
      </c>
      <c r="Y1" s="1" t="s">
        <v>412</v>
      </c>
      <c r="Z1" s="1" t="s">
        <v>413</v>
      </c>
    </row>
    <row r="2">
      <c r="A2" s="2" t="s">
        <v>414</v>
      </c>
      <c r="B2" s="3" t="str">
        <f>A2</f>
        <v>kidney-1986</v>
      </c>
      <c r="C2" s="2" t="s">
        <v>415</v>
      </c>
      <c r="D2" s="2" t="s">
        <v>416</v>
      </c>
      <c r="E2" s="2" t="s">
        <v>417</v>
      </c>
      <c r="F2" s="4">
        <v>1986</v>
      </c>
      <c r="G2" s="2" t="s">
        <v>418</v>
      </c>
      <c r="H2" s="2" t="b">
        <v>0</v>
      </c>
      <c r="I2" s="5">
        <f>SUMIFS(CaseCells!G2:G999,CaseCells!C2:C999, A2)</f>
        <v>700</v>
      </c>
      <c r="J2" s="5">
        <f>COUNTIFS(CaseCells!C2:C999, A2)</f>
        <v>4</v>
      </c>
      <c r="K2" s="2" t="s">
        <v>23</v>
      </c>
      <c r="L2" s="2" t="s">
        <v>419</v>
      </c>
      <c r="M2" s="3" t="e">
        <f>LOOKUP(K2, ResearchTraditions[TraditionId], ResearchTraditions[Name])</f>
        <v>#VALUE!</v>
      </c>
      <c r="N2" s="3" t="e">
        <f>LOOKUP(K2, ResearchTraditions[TraditionId], ResearchTraditions[CoreConcern])</f>
        <v>#VALUE!</v>
      </c>
      <c r="O2" s="3" t="e">
        <f>LOOKUP(L2, Researchers[ResearcherId], Researchers[Name])</f>
        <v>#VALUE!</v>
      </c>
      <c r="P2" s="3" t="e">
        <f>LOOKUP(L2, Researchers[ResearcherId], Researchers[Affiliation])</f>
        <v>#VALUE!</v>
      </c>
      <c r="Q2" s="3" t="e">
        <f>LOOKUP(A2, TreatmentRankings[Study], TreatmentRankings[DistortionType])</f>
        <v>#VALUE!</v>
      </c>
      <c r="R2" s="3" t="e">
        <f>LOOKUP(A2, TreatmentRankings[Study], TreatmentRankings[CorrectedPolicyImplication])</f>
        <v>#VALUE!</v>
      </c>
      <c r="S2" s="3" t="e">
        <f>LOOKUP(A2, TreatmentRankings[Study], TreatmentRankings[AllocationDistortion])</f>
        <v>#VALUE!</v>
      </c>
      <c r="T2" s="3" t="e">
        <f>LOOKUP(A2, TreatmentRankings[Study], TreatmentRankings[SignalPurity])</f>
        <v>#VALUE!</v>
      </c>
      <c r="U2" s="3" t="e">
        <f>LOOKUP(A2, TreatmentRankings[Study], TreatmentRankings[IsSignFlip])</f>
        <v>#VALUE!</v>
      </c>
      <c r="V2" s="3" t="e">
        <f>LOOKUP(A2, TreatmentRankings[Study], TreatmentRankings[CorrectedWinner])</f>
        <v>#VALUE!</v>
      </c>
      <c r="W2" s="3" t="e">
        <f>LOOKUP(A2, StratumVariables[Study], StratumVariables[VariableName])</f>
        <v>#VALUE!</v>
      </c>
      <c r="X2" s="3" t="e">
        <f>LOOKUP(A2, StratumVariables[Study], StratumVariables[CausalRole])</f>
        <v>#VALUE!</v>
      </c>
      <c r="Y2" s="3" t="e">
        <f>AND(LOOKUP(A2, TreatmentRankings[Study], TreatmentRankings[StratumCount]) &gt;= 2, J2 = LOOKUP(A2, TreatmentRankings[Study], TreatmentRankings[StratumCount]) * 2)</f>
        <v>#VALUE!</v>
      </c>
      <c r="Z2" s="3" t="e">
        <f>IF(H2, "exempt-synthetic", IF(AND(Y2, LOOKUP(A2, StratumVariables[Study], StratumVariables[VariableName]) &lt;&gt; ""), "all", "partial"))</f>
        <v>#VALUE!</v>
      </c>
    </row>
    <row r="3">
      <c r="A3" s="2" t="s">
        <v>420</v>
      </c>
      <c r="B3" s="3" t="str">
        <f>A3</f>
        <v>balanced-synthetic</v>
      </c>
      <c r="C3" s="2" t="s">
        <v>421</v>
      </c>
      <c r="D3" s="2" t="s">
        <v>422</v>
      </c>
      <c r="E3" s="2" t="s">
        <v>423</v>
      </c>
      <c r="F3" s="4"/>
      <c r="G3" s="2" t="s">
        <v>424</v>
      </c>
      <c r="H3" s="2" t="b">
        <v>1</v>
      </c>
      <c r="I3" s="5">
        <f>SUMIFS(CaseCells!G2:G999,CaseCells!C2:C999, A3)</f>
        <v>400</v>
      </c>
      <c r="J3" s="5">
        <f>COUNTIFS(CaseCells!C2:C999, A3)</f>
        <v>4</v>
      </c>
      <c r="K3" s="2" t="s">
        <v>23</v>
      </c>
      <c r="L3" s="2"/>
      <c r="M3" s="3" t="e">
        <f>LOOKUP(K3, ResearchTraditions[TraditionId], ResearchTraditions[Name])</f>
        <v>#VALUE!</v>
      </c>
      <c r="N3" s="3" t="e">
        <f>LOOKUP(K3, ResearchTraditions[TraditionId], ResearchTraditions[CoreConcern])</f>
        <v>#VALUE!</v>
      </c>
      <c r="O3" s="3" t="e">
        <f>LOOKUP(L3, Researchers[ResearcherId], Researchers[Name])</f>
        <v>#VALUE!</v>
      </c>
      <c r="P3" s="3" t="e">
        <f>LOOKUP(L3, Researchers[ResearcherId], Researchers[Affiliation])</f>
        <v>#VALUE!</v>
      </c>
      <c r="Q3" s="3" t="e">
        <f>LOOKUP(A3, TreatmentRankings[Study], TreatmentRankings[DistortionType])</f>
        <v>#VALUE!</v>
      </c>
      <c r="R3" s="3" t="e">
        <f>LOOKUP(A3, TreatmentRankings[Study], TreatmentRankings[CorrectedPolicyImplication])</f>
        <v>#VALUE!</v>
      </c>
      <c r="S3" s="3" t="e">
        <f>LOOKUP(A3, TreatmentRankings[Study], TreatmentRankings[AllocationDistortion])</f>
        <v>#VALUE!</v>
      </c>
      <c r="T3" s="3" t="e">
        <f>LOOKUP(A3, TreatmentRankings[Study], TreatmentRankings[SignalPurity])</f>
        <v>#VALUE!</v>
      </c>
      <c r="U3" s="3" t="e">
        <f>LOOKUP(A3, TreatmentRankings[Study], TreatmentRankings[IsSignFlip])</f>
        <v>#VALUE!</v>
      </c>
      <c r="V3" s="3" t="e">
        <f>LOOKUP(A3, TreatmentRankings[Study], TreatmentRankings[CorrectedWinner])</f>
        <v>#VALUE!</v>
      </c>
      <c r="W3" s="3" t="e">
        <f>LOOKUP(A3, StratumVariables[Study], StratumVariables[VariableName])</f>
        <v>#VALUE!</v>
      </c>
      <c r="X3" s="3" t="e">
        <f>LOOKUP(A3, StratumVariables[Study], StratumVariables[CausalRole])</f>
        <v>#VALUE!</v>
      </c>
      <c r="Y3" s="3" t="e">
        <f>AND(LOOKUP(A3, TreatmentRankings[Study], TreatmentRankings[StratumCount]) &gt;= 2, J3 = LOOKUP(A3, TreatmentRankings[Study], TreatmentRankings[StratumCount]) * 2)</f>
        <v>#VALUE!</v>
      </c>
      <c r="Z3" s="3" t="e">
        <f>IF(H3, "exempt-synthetic", IF(AND(Y3, LOOKUP(A3, StratumVariables[Study], StratumVariables[VariableName]) &lt;&gt; ""), "all", "partial"))</f>
        <v>#VALUE!</v>
      </c>
    </row>
    <row r="4">
      <c r="A4" s="2" t="s">
        <v>425</v>
      </c>
      <c r="B4" s="3" t="str">
        <f>A4</f>
        <v>kidney-balanced</v>
      </c>
      <c r="C4" s="2" t="s">
        <v>426</v>
      </c>
      <c r="D4" s="2" t="s">
        <v>427</v>
      </c>
      <c r="E4" s="2" t="s">
        <v>423</v>
      </c>
      <c r="F4" s="4"/>
      <c r="G4" s="2" t="s">
        <v>424</v>
      </c>
      <c r="H4" s="2" t="b">
        <v>1</v>
      </c>
      <c r="I4" s="5">
        <f>SUMIFS(CaseCells!G2:G999,CaseCells!C2:C999, A4)</f>
        <v>700</v>
      </c>
      <c r="J4" s="5">
        <f>COUNTIFS(CaseCells!C2:C999, A4)</f>
        <v>4</v>
      </c>
      <c r="K4" s="2" t="s">
        <v>23</v>
      </c>
      <c r="L4" s="2"/>
      <c r="M4" s="3" t="e">
        <f>LOOKUP(K4, ResearchTraditions[TraditionId], ResearchTraditions[Name])</f>
        <v>#VALUE!</v>
      </c>
      <c r="N4" s="3" t="e">
        <f>LOOKUP(K4, ResearchTraditions[TraditionId], ResearchTraditions[CoreConcern])</f>
        <v>#VALUE!</v>
      </c>
      <c r="O4" s="3" t="e">
        <f>LOOKUP(L4, Researchers[ResearcherId], Researchers[Name])</f>
        <v>#VALUE!</v>
      </c>
      <c r="P4" s="3" t="e">
        <f>LOOKUP(L4, Researchers[ResearcherId], Researchers[Affiliation])</f>
        <v>#VALUE!</v>
      </c>
      <c r="Q4" s="3" t="e">
        <f>LOOKUP(A4, TreatmentRankings[Study], TreatmentRankings[DistortionType])</f>
        <v>#VALUE!</v>
      </c>
      <c r="R4" s="3" t="e">
        <f>LOOKUP(A4, TreatmentRankings[Study], TreatmentRankings[CorrectedPolicyImplication])</f>
        <v>#VALUE!</v>
      </c>
      <c r="S4" s="3" t="e">
        <f>LOOKUP(A4, TreatmentRankings[Study], TreatmentRankings[AllocationDistortion])</f>
        <v>#VALUE!</v>
      </c>
      <c r="T4" s="3" t="e">
        <f>LOOKUP(A4, TreatmentRankings[Study], TreatmentRankings[SignalPurity])</f>
        <v>#VALUE!</v>
      </c>
      <c r="U4" s="3" t="e">
        <f>LOOKUP(A4, TreatmentRankings[Study], TreatmentRankings[IsSignFlip])</f>
        <v>#VALUE!</v>
      </c>
      <c r="V4" s="3" t="e">
        <f>LOOKUP(A4, TreatmentRankings[Study], TreatmentRankings[CorrectedWinner])</f>
        <v>#VALUE!</v>
      </c>
      <c r="W4" s="3" t="e">
        <f>LOOKUP(A4, StratumVariables[Study], StratumVariables[VariableName])</f>
        <v>#VALUE!</v>
      </c>
      <c r="X4" s="3" t="e">
        <f>LOOKUP(A4, StratumVariables[Study], StratumVariables[CausalRole])</f>
        <v>#VALUE!</v>
      </c>
      <c r="Y4" s="3" t="e">
        <f>AND(LOOKUP(A4, TreatmentRankings[Study], TreatmentRankings[StratumCount]) &gt;= 2, J4 = LOOKUP(A4, TreatmentRankings[Study], TreatmentRankings[StratumCount]) * 2)</f>
        <v>#VALUE!</v>
      </c>
      <c r="Z4" s="3" t="e">
        <f>IF(H4, "exempt-synthetic", IF(AND(Y4, LOOKUP(A4, StratumVariables[Study], StratumVariables[VariableName]) &lt;&gt; ""), "all", "partial"))</f>
        <v>#VALUE!</v>
      </c>
    </row>
    <row r="5">
      <c r="A5" s="2" t="s">
        <v>428</v>
      </c>
      <c r="B5" s="3" t="str">
        <f>A5</f>
        <v>berkeley-1973</v>
      </c>
      <c r="C5" s="2" t="s">
        <v>429</v>
      </c>
      <c r="D5" s="2" t="s">
        <v>430</v>
      </c>
      <c r="E5" s="2" t="s">
        <v>431</v>
      </c>
      <c r="F5" s="4">
        <v>1975</v>
      </c>
      <c r="G5" s="2" t="s">
        <v>432</v>
      </c>
      <c r="H5" s="2" t="b">
        <v>0</v>
      </c>
      <c r="I5" s="5">
        <f>SUMIFS(CaseCells!G2:G999,CaseCells!C2:C999, A5)</f>
        <v>3228</v>
      </c>
      <c r="J5" s="5">
        <f>COUNTIFS(CaseCells!C2:C999, A5)</f>
        <v>8</v>
      </c>
      <c r="K5" s="2" t="s">
        <v>58</v>
      </c>
      <c r="L5" s="2" t="s">
        <v>433</v>
      </c>
      <c r="M5" s="3" t="e">
        <f>LOOKUP(K5, ResearchTraditions[TraditionId], ResearchTraditions[Name])</f>
        <v>#VALUE!</v>
      </c>
      <c r="N5" s="3" t="e">
        <f>LOOKUP(K5, ResearchTraditions[TraditionId], ResearchTraditions[CoreConcern])</f>
        <v>#VALUE!</v>
      </c>
      <c r="O5" s="3" t="e">
        <f>LOOKUP(L5, Researchers[ResearcherId], Researchers[Name])</f>
        <v>#VALUE!</v>
      </c>
      <c r="P5" s="3" t="e">
        <f>LOOKUP(L5, Researchers[ResearcherId], Researchers[Affiliation])</f>
        <v>#VALUE!</v>
      </c>
      <c r="Q5" s="3" t="e">
        <f>LOOKUP(A5, TreatmentRankings[Study], TreatmentRankings[DistortionType])</f>
        <v>#VALUE!</v>
      </c>
      <c r="R5" s="3" t="e">
        <f>LOOKUP(A5, TreatmentRankings[Study], TreatmentRankings[CorrectedPolicyImplication])</f>
        <v>#VALUE!</v>
      </c>
      <c r="S5" s="3" t="e">
        <f>LOOKUP(A5, TreatmentRankings[Study], TreatmentRankings[AllocationDistortion])</f>
        <v>#VALUE!</v>
      </c>
      <c r="T5" s="3" t="e">
        <f>LOOKUP(A5, TreatmentRankings[Study], TreatmentRankings[SignalPurity])</f>
        <v>#VALUE!</v>
      </c>
      <c r="U5" s="3" t="e">
        <f>LOOKUP(A5, TreatmentRankings[Study], TreatmentRankings[IsSignFlip])</f>
        <v>#VALUE!</v>
      </c>
      <c r="V5" s="3" t="e">
        <f>LOOKUP(A5, TreatmentRankings[Study], TreatmentRankings[CorrectedWinner])</f>
        <v>#VALUE!</v>
      </c>
      <c r="W5" s="3" t="e">
        <f>LOOKUP(A5, StratumVariables[Study], StratumVariables[VariableName])</f>
        <v>#VALUE!</v>
      </c>
      <c r="X5" s="3" t="e">
        <f>LOOKUP(A5, StratumVariables[Study], StratumVariables[CausalRole])</f>
        <v>#VALUE!</v>
      </c>
      <c r="Y5" s="3" t="e">
        <f>AND(LOOKUP(A5, TreatmentRankings[Study], TreatmentRankings[StratumCount]) &gt;= 2, J5 = LOOKUP(A5, TreatmentRankings[Study], TreatmentRankings[StratumCount]) * 2)</f>
        <v>#VALUE!</v>
      </c>
      <c r="Z5" s="3" t="e">
        <f>IF(H5, "exempt-synthetic", IF(AND(Y5, LOOKUP(A5, StratumVariables[Study], StratumVariables[VariableName]) &lt;&gt; ""), "all", "partial"))</f>
        <v>#VALUE!</v>
      </c>
    </row>
    <row r="6">
      <c r="A6" s="2" t="s">
        <v>434</v>
      </c>
      <c r="B6" s="3" t="str">
        <f>A6</f>
        <v>compressed-synthetic</v>
      </c>
      <c r="C6" s="2" t="s">
        <v>435</v>
      </c>
      <c r="D6" s="2" t="s">
        <v>436</v>
      </c>
      <c r="E6" s="2" t="s">
        <v>423</v>
      </c>
      <c r="F6" s="4"/>
      <c r="G6" s="2" t="s">
        <v>424</v>
      </c>
      <c r="H6" s="2" t="b">
        <v>1</v>
      </c>
      <c r="I6" s="5">
        <f>SUMIFS(CaseCells!G2:G999,CaseCells!C2:C999, A6)</f>
        <v>400</v>
      </c>
      <c r="J6" s="5">
        <f>COUNTIFS(CaseCells!C2:C999, A6)</f>
        <v>4</v>
      </c>
      <c r="K6" s="2" t="s">
        <v>23</v>
      </c>
      <c r="L6" s="2"/>
      <c r="M6" s="3" t="e">
        <f>LOOKUP(K6, ResearchTraditions[TraditionId], ResearchTraditions[Name])</f>
        <v>#VALUE!</v>
      </c>
      <c r="N6" s="3" t="e">
        <f>LOOKUP(K6, ResearchTraditions[TraditionId], ResearchTraditions[CoreConcern])</f>
        <v>#VALUE!</v>
      </c>
      <c r="O6" s="3" t="e">
        <f>LOOKUP(L6, Researchers[ResearcherId], Researchers[Name])</f>
        <v>#VALUE!</v>
      </c>
      <c r="P6" s="3" t="e">
        <f>LOOKUP(L6, Researchers[ResearcherId], Researchers[Affiliation])</f>
        <v>#VALUE!</v>
      </c>
      <c r="Q6" s="3" t="e">
        <f>LOOKUP(A6, TreatmentRankings[Study], TreatmentRankings[DistortionType])</f>
        <v>#VALUE!</v>
      </c>
      <c r="R6" s="3" t="e">
        <f>LOOKUP(A6, TreatmentRankings[Study], TreatmentRankings[CorrectedPolicyImplication])</f>
        <v>#VALUE!</v>
      </c>
      <c r="S6" s="3" t="e">
        <f>LOOKUP(A6, TreatmentRankings[Study], TreatmentRankings[AllocationDistortion])</f>
        <v>#VALUE!</v>
      </c>
      <c r="T6" s="3" t="e">
        <f>LOOKUP(A6, TreatmentRankings[Study], TreatmentRankings[SignalPurity])</f>
        <v>#VALUE!</v>
      </c>
      <c r="U6" s="3" t="e">
        <f>LOOKUP(A6, TreatmentRankings[Study], TreatmentRankings[IsSignFlip])</f>
        <v>#VALUE!</v>
      </c>
      <c r="V6" s="3" t="e">
        <f>LOOKUP(A6, TreatmentRankings[Study], TreatmentRankings[CorrectedWinner])</f>
        <v>#VALUE!</v>
      </c>
      <c r="W6" s="3" t="e">
        <f>LOOKUP(A6, StratumVariables[Study], StratumVariables[VariableName])</f>
        <v>#VALUE!</v>
      </c>
      <c r="X6" s="3" t="e">
        <f>LOOKUP(A6, StratumVariables[Study], StratumVariables[CausalRole])</f>
        <v>#VALUE!</v>
      </c>
      <c r="Y6" s="3" t="e">
        <f>AND(LOOKUP(A6, TreatmentRankings[Study], TreatmentRankings[StratumCount]) &gt;= 2, J6 = LOOKUP(A6, TreatmentRankings[Study], TreatmentRankings[StratumCount]) * 2)</f>
        <v>#VALUE!</v>
      </c>
      <c r="Z6" s="3" t="e">
        <f>IF(H6, "exempt-synthetic", IF(AND(Y6, LOOKUP(A6, StratumVariables[Study], StratumVariables[VariableName]) &lt;&gt; ""), "all", "partial"))</f>
        <v>#VALUE!</v>
      </c>
    </row>
    <row r="7">
      <c r="A7" s="2" t="s">
        <v>437</v>
      </c>
      <c r="B7" s="3" t="str">
        <f>A7</f>
        <v>reintjes-2000</v>
      </c>
      <c r="C7" s="2" t="s">
        <v>438</v>
      </c>
      <c r="D7" s="2" t="s">
        <v>439</v>
      </c>
      <c r="E7" s="2" t="s">
        <v>440</v>
      </c>
      <c r="F7" s="4">
        <v>2000</v>
      </c>
      <c r="G7" s="2" t="s">
        <v>441</v>
      </c>
      <c r="H7" s="2" t="b">
        <v>0</v>
      </c>
      <c r="I7" s="5">
        <f>SUMIFS(CaseCells!G2:G999,CaseCells!C2:C999, A7)</f>
        <v>3519</v>
      </c>
      <c r="J7" s="5">
        <f>COUNTIFS(CaseCells!C2:C999, A7)</f>
        <v>4</v>
      </c>
      <c r="K7" s="2" t="s">
        <v>58</v>
      </c>
      <c r="L7" s="2" t="s">
        <v>433</v>
      </c>
      <c r="M7" s="3" t="e">
        <f>LOOKUP(K7, ResearchTraditions[TraditionId], ResearchTraditions[Name])</f>
        <v>#VALUE!</v>
      </c>
      <c r="N7" s="3" t="e">
        <f>LOOKUP(K7, ResearchTraditions[TraditionId], ResearchTraditions[CoreConcern])</f>
        <v>#VALUE!</v>
      </c>
      <c r="O7" s="3" t="e">
        <f>LOOKUP(L7, Researchers[ResearcherId], Researchers[Name])</f>
        <v>#VALUE!</v>
      </c>
      <c r="P7" s="3" t="e">
        <f>LOOKUP(L7, Researchers[ResearcherId], Researchers[Affiliation])</f>
        <v>#VALUE!</v>
      </c>
      <c r="Q7" s="3" t="e">
        <f>LOOKUP(A7, TreatmentRankings[Study], TreatmentRankings[DistortionType])</f>
        <v>#VALUE!</v>
      </c>
      <c r="R7" s="3" t="e">
        <f>LOOKUP(A7, TreatmentRankings[Study], TreatmentRankings[CorrectedPolicyImplication])</f>
        <v>#VALUE!</v>
      </c>
      <c r="S7" s="3" t="e">
        <f>LOOKUP(A7, TreatmentRankings[Study], TreatmentRankings[AllocationDistortion])</f>
        <v>#VALUE!</v>
      </c>
      <c r="T7" s="3" t="e">
        <f>LOOKUP(A7, TreatmentRankings[Study], TreatmentRankings[SignalPurity])</f>
        <v>#VALUE!</v>
      </c>
      <c r="U7" s="3" t="e">
        <f>LOOKUP(A7, TreatmentRankings[Study], TreatmentRankings[IsSignFlip])</f>
        <v>#VALUE!</v>
      </c>
      <c r="V7" s="3" t="e">
        <f>LOOKUP(A7, TreatmentRankings[Study], TreatmentRankings[CorrectedWinner])</f>
        <v>#VALUE!</v>
      </c>
      <c r="W7" s="3" t="e">
        <f>LOOKUP(A7, StratumVariables[Study], StratumVariables[VariableName])</f>
        <v>#VALUE!</v>
      </c>
      <c r="X7" s="3" t="e">
        <f>LOOKUP(A7, StratumVariables[Study], StratumVariables[CausalRole])</f>
        <v>#VALUE!</v>
      </c>
      <c r="Y7" s="3" t="e">
        <f>AND(LOOKUP(A7, TreatmentRankings[Study], TreatmentRankings[StratumCount]) &gt;= 2, J7 = LOOKUP(A7, TreatmentRankings[Study], TreatmentRankings[StratumCount]) * 2)</f>
        <v>#VALUE!</v>
      </c>
      <c r="Z7" s="3" t="e">
        <f>IF(H7, "exempt-synthetic", IF(AND(Y7, LOOKUP(A7, StratumVariables[Study], StratumVariables[VariableName]) &lt;&gt; ""), "all", "partial"))</f>
        <v>#VALUE!</v>
      </c>
    </row>
    <row r="8">
      <c r="A8" s="2" t="s">
        <v>442</v>
      </c>
      <c r="B8" s="3" t="str">
        <f>A8</f>
        <v>radelet-1981</v>
      </c>
      <c r="C8" s="2" t="s">
        <v>443</v>
      </c>
      <c r="D8" s="2" t="s">
        <v>444</v>
      </c>
      <c r="E8" s="2" t="s">
        <v>445</v>
      </c>
      <c r="F8" s="4">
        <v>1981</v>
      </c>
      <c r="G8" s="2" t="s">
        <v>446</v>
      </c>
      <c r="H8" s="2" t="b">
        <v>0</v>
      </c>
      <c r="I8" s="5">
        <f>SUMIFS(CaseCells!G2:G999,CaseCells!C2:C999, A8)</f>
        <v>326</v>
      </c>
      <c r="J8" s="5">
        <f>COUNTIFS(CaseCells!C2:C999, A8)</f>
        <v>4</v>
      </c>
      <c r="K8" s="2" t="s">
        <v>58</v>
      </c>
      <c r="L8" s="2" t="s">
        <v>447</v>
      </c>
      <c r="M8" s="3" t="e">
        <f>LOOKUP(K8, ResearchTraditions[TraditionId], ResearchTraditions[Name])</f>
        <v>#VALUE!</v>
      </c>
      <c r="N8" s="3" t="e">
        <f>LOOKUP(K8, ResearchTraditions[TraditionId], ResearchTraditions[CoreConcern])</f>
        <v>#VALUE!</v>
      </c>
      <c r="O8" s="3" t="e">
        <f>LOOKUP(L8, Researchers[ResearcherId], Researchers[Name])</f>
        <v>#VALUE!</v>
      </c>
      <c r="P8" s="3" t="e">
        <f>LOOKUP(L8, Researchers[ResearcherId], Researchers[Affiliation])</f>
        <v>#VALUE!</v>
      </c>
      <c r="Q8" s="3" t="e">
        <f>LOOKUP(A8, TreatmentRankings[Study], TreatmentRankings[DistortionType])</f>
        <v>#VALUE!</v>
      </c>
      <c r="R8" s="3" t="e">
        <f>LOOKUP(A8, TreatmentRankings[Study], TreatmentRankings[CorrectedPolicyImplication])</f>
        <v>#VALUE!</v>
      </c>
      <c r="S8" s="3" t="e">
        <f>LOOKUP(A8, TreatmentRankings[Study], TreatmentRankings[AllocationDistortion])</f>
        <v>#VALUE!</v>
      </c>
      <c r="T8" s="3" t="e">
        <f>LOOKUP(A8, TreatmentRankings[Study], TreatmentRankings[SignalPurity])</f>
        <v>#VALUE!</v>
      </c>
      <c r="U8" s="3" t="e">
        <f>LOOKUP(A8, TreatmentRankings[Study], TreatmentRankings[IsSignFlip])</f>
        <v>#VALUE!</v>
      </c>
      <c r="V8" s="3" t="e">
        <f>LOOKUP(A8, TreatmentRankings[Study], TreatmentRankings[CorrectedWinner])</f>
        <v>#VALUE!</v>
      </c>
      <c r="W8" s="3" t="e">
        <f>LOOKUP(A8, StratumVariables[Study], StratumVariables[VariableName])</f>
        <v>#VALUE!</v>
      </c>
      <c r="X8" s="3" t="e">
        <f>LOOKUP(A8, StratumVariables[Study], StratumVariables[CausalRole])</f>
        <v>#VALUE!</v>
      </c>
      <c r="Y8" s="3" t="e">
        <f>AND(LOOKUP(A8, TreatmentRankings[Study], TreatmentRankings[StratumCount]) &gt;= 2, J8 = LOOKUP(A8, TreatmentRankings[Study], TreatmentRankings[StratumCount]) * 2)</f>
        <v>#VALUE!</v>
      </c>
      <c r="Z8" s="3" t="e">
        <f>IF(H8, "exempt-synthetic", IF(AND(Y8, LOOKUP(A8, StratumVariables[Study], StratumVariables[VariableName]) &lt;&gt; ""), "all", "partial"))</f>
        <v>#VALUE!</v>
      </c>
    </row>
    <row r="9">
      <c r="A9" s="2" t="s">
        <v>448</v>
      </c>
      <c r="B9" s="3" t="str">
        <f>A9</f>
        <v>jeter-justice-1997</v>
      </c>
      <c r="C9" s="2" t="s">
        <v>449</v>
      </c>
      <c r="D9" s="2" t="s">
        <v>450</v>
      </c>
      <c r="E9" s="2" t="s">
        <v>451</v>
      </c>
      <c r="F9" s="4">
        <v>1997</v>
      </c>
      <c r="G9" s="2" t="s">
        <v>452</v>
      </c>
      <c r="H9" s="2" t="b">
        <v>0</v>
      </c>
      <c r="I9" s="5">
        <f>SUMIFS(CaseCells!G2:G999,CaseCells!C2:C999, A9)</f>
        <v>2330</v>
      </c>
      <c r="J9" s="5">
        <f>COUNTIFS(CaseCells!C2:C999, A9)</f>
        <v>6</v>
      </c>
      <c r="K9" s="2" t="s">
        <v>23</v>
      </c>
      <c r="L9" s="2" t="s">
        <v>419</v>
      </c>
      <c r="M9" s="3" t="e">
        <f>LOOKUP(K9, ResearchTraditions[TraditionId], ResearchTraditions[Name])</f>
        <v>#VALUE!</v>
      </c>
      <c r="N9" s="3" t="e">
        <f>LOOKUP(K9, ResearchTraditions[TraditionId], ResearchTraditions[CoreConcern])</f>
        <v>#VALUE!</v>
      </c>
      <c r="O9" s="3" t="e">
        <f>LOOKUP(L9, Researchers[ResearcherId], Researchers[Name])</f>
        <v>#VALUE!</v>
      </c>
      <c r="P9" s="3" t="e">
        <f>LOOKUP(L9, Researchers[ResearcherId], Researchers[Affiliation])</f>
        <v>#VALUE!</v>
      </c>
      <c r="Q9" s="3" t="e">
        <f>LOOKUP(A9, TreatmentRankings[Study], TreatmentRankings[DistortionType])</f>
        <v>#VALUE!</v>
      </c>
      <c r="R9" s="3" t="e">
        <f>LOOKUP(A9, TreatmentRankings[Study], TreatmentRankings[CorrectedPolicyImplication])</f>
        <v>#VALUE!</v>
      </c>
      <c r="S9" s="3" t="e">
        <f>LOOKUP(A9, TreatmentRankings[Study], TreatmentRankings[AllocationDistortion])</f>
        <v>#VALUE!</v>
      </c>
      <c r="T9" s="3" t="e">
        <f>LOOKUP(A9, TreatmentRankings[Study], TreatmentRankings[SignalPurity])</f>
        <v>#VALUE!</v>
      </c>
      <c r="U9" s="3" t="e">
        <f>LOOKUP(A9, TreatmentRankings[Study], TreatmentRankings[IsSignFlip])</f>
        <v>#VALUE!</v>
      </c>
      <c r="V9" s="3" t="e">
        <f>LOOKUP(A9, TreatmentRankings[Study], TreatmentRankings[CorrectedWinner])</f>
        <v>#VALUE!</v>
      </c>
      <c r="W9" s="3" t="e">
        <f>LOOKUP(A9, StratumVariables[Study], StratumVariables[VariableName])</f>
        <v>#VALUE!</v>
      </c>
      <c r="X9" s="3" t="e">
        <f>LOOKUP(A9, StratumVariables[Study], StratumVariables[CausalRole])</f>
        <v>#VALUE!</v>
      </c>
      <c r="Y9" s="3" t="e">
        <f>AND(LOOKUP(A9, TreatmentRankings[Study], TreatmentRankings[StratumCount]) &gt;= 2, J9 = LOOKUP(A9, TreatmentRankings[Study], TreatmentRankings[StratumCount]) * 2)</f>
        <v>#VALUE!</v>
      </c>
      <c r="Z9" s="3" t="e">
        <f>IF(H9, "exempt-synthetic", IF(AND(Y9, LOOKUP(A9, StratumVariables[Study], StratumVariables[VariableName]) &lt;&gt; ""), "all", "partial"))</f>
        <v>#VALUE!</v>
      </c>
    </row>
    <row r="10">
      <c r="A10" s="2" t="s">
        <v>453</v>
      </c>
      <c r="B10" s="3" t="str">
        <f>A10</f>
        <v>appleton-1996</v>
      </c>
      <c r="C10" s="2" t="s">
        <v>454</v>
      </c>
      <c r="D10" s="2" t="s">
        <v>455</v>
      </c>
      <c r="E10" s="2" t="s">
        <v>456</v>
      </c>
      <c r="F10" s="4">
        <v>1996</v>
      </c>
      <c r="G10" s="2" t="s">
        <v>441</v>
      </c>
      <c r="H10" s="2" t="b">
        <v>0</v>
      </c>
      <c r="I10" s="5">
        <f>SUMIFS(CaseCells!G2:G999,CaseCells!C2:C999, A10)</f>
        <v>1314</v>
      </c>
      <c r="J10" s="5">
        <f>COUNTIFS(CaseCells!C2:C999, A10)</f>
        <v>14</v>
      </c>
      <c r="K10" s="2" t="s">
        <v>58</v>
      </c>
      <c r="L10" s="2" t="s">
        <v>433</v>
      </c>
      <c r="M10" s="3" t="e">
        <f>LOOKUP(K10, ResearchTraditions[TraditionId], ResearchTraditions[Name])</f>
        <v>#VALUE!</v>
      </c>
      <c r="N10" s="3" t="e">
        <f>LOOKUP(K10, ResearchTraditions[TraditionId], ResearchTraditions[CoreConcern])</f>
        <v>#VALUE!</v>
      </c>
      <c r="O10" s="3" t="e">
        <f>LOOKUP(L10, Researchers[ResearcherId], Researchers[Name])</f>
        <v>#VALUE!</v>
      </c>
      <c r="P10" s="3" t="e">
        <f>LOOKUP(L10, Researchers[ResearcherId], Researchers[Affiliation])</f>
        <v>#VALUE!</v>
      </c>
      <c r="Q10" s="3" t="e">
        <f>LOOKUP(A10, TreatmentRankings[Study], TreatmentRankings[DistortionType])</f>
        <v>#VALUE!</v>
      </c>
      <c r="R10" s="3" t="e">
        <f>LOOKUP(A10, TreatmentRankings[Study], TreatmentRankings[CorrectedPolicyImplication])</f>
        <v>#VALUE!</v>
      </c>
      <c r="S10" s="3" t="e">
        <f>LOOKUP(A10, TreatmentRankings[Study], TreatmentRankings[AllocationDistortion])</f>
        <v>#VALUE!</v>
      </c>
      <c r="T10" s="3" t="e">
        <f>LOOKUP(A10, TreatmentRankings[Study], TreatmentRankings[SignalPurity])</f>
        <v>#VALUE!</v>
      </c>
      <c r="U10" s="3" t="e">
        <f>LOOKUP(A10, TreatmentRankings[Study], TreatmentRankings[IsSignFlip])</f>
        <v>#VALUE!</v>
      </c>
      <c r="V10" s="3" t="e">
        <f>LOOKUP(A10, TreatmentRankings[Study], TreatmentRankings[CorrectedWinner])</f>
        <v>#VALUE!</v>
      </c>
      <c r="W10" s="3" t="e">
        <f>LOOKUP(A10, StratumVariables[Study], StratumVariables[VariableName])</f>
        <v>#VALUE!</v>
      </c>
      <c r="X10" s="3" t="e">
        <f>LOOKUP(A10, StratumVariables[Study], StratumVariables[CausalRole])</f>
        <v>#VALUE!</v>
      </c>
      <c r="Y10" s="3" t="e">
        <f>AND(LOOKUP(A10, TreatmentRankings[Study], TreatmentRankings[StratumCount]) &gt;= 2, J10 = LOOKUP(A10, TreatmentRankings[Study], TreatmentRankings[StratumCount]) * 2)</f>
        <v>#VALUE!</v>
      </c>
      <c r="Z10" s="3" t="e">
        <f>IF(H10, "exempt-synthetic", IF(AND(Y10, LOOKUP(A10, StratumVariables[Study], StratumVariables[VariableName]) &lt;&gt; ""), "all", "partial"))</f>
        <v>#VALUE!</v>
      </c>
    </row>
    <row r="11">
      <c r="A11" s="2" t="s">
        <v>457</v>
      </c>
      <c r="B11" s="3" t="str">
        <f>A11</f>
        <v>phe-covid-2021</v>
      </c>
      <c r="C11" s="2" t="s">
        <v>458</v>
      </c>
      <c r="D11" s="2" t="s">
        <v>459</v>
      </c>
      <c r="E11" s="2" t="s">
        <v>460</v>
      </c>
      <c r="F11" s="4">
        <v>2021</v>
      </c>
      <c r="G11" s="2" t="s">
        <v>441</v>
      </c>
      <c r="H11" s="2" t="b">
        <v>0</v>
      </c>
      <c r="I11" s="5">
        <f>SUMIFS(CaseCells!G2:G999,CaseCells!C2:C999, A11)</f>
        <v>268166</v>
      </c>
      <c r="J11" s="5">
        <f>COUNTIFS(CaseCells!C2:C999, A11)</f>
        <v>4</v>
      </c>
      <c r="K11" s="2" t="s">
        <v>204</v>
      </c>
      <c r="L11" s="2" t="s">
        <v>461</v>
      </c>
      <c r="M11" s="3" t="e">
        <f>LOOKUP(K11, ResearchTraditions[TraditionId], ResearchTraditions[Name])</f>
        <v>#VALUE!</v>
      </c>
      <c r="N11" s="3" t="e">
        <f>LOOKUP(K11, ResearchTraditions[TraditionId], ResearchTraditions[CoreConcern])</f>
        <v>#VALUE!</v>
      </c>
      <c r="O11" s="3" t="e">
        <f>LOOKUP(L11, Researchers[ResearcherId], Researchers[Name])</f>
        <v>#VALUE!</v>
      </c>
      <c r="P11" s="3" t="e">
        <f>LOOKUP(L11, Researchers[ResearcherId], Researchers[Affiliation])</f>
        <v>#VALUE!</v>
      </c>
      <c r="Q11" s="3" t="e">
        <f>LOOKUP(A11, TreatmentRankings[Study], TreatmentRankings[DistortionType])</f>
        <v>#VALUE!</v>
      </c>
      <c r="R11" s="3" t="e">
        <f>LOOKUP(A11, TreatmentRankings[Study], TreatmentRankings[CorrectedPolicyImplication])</f>
        <v>#VALUE!</v>
      </c>
      <c r="S11" s="3" t="e">
        <f>LOOKUP(A11, TreatmentRankings[Study], TreatmentRankings[AllocationDistortion])</f>
        <v>#VALUE!</v>
      </c>
      <c r="T11" s="3" t="e">
        <f>LOOKUP(A11, TreatmentRankings[Study], TreatmentRankings[SignalPurity])</f>
        <v>#VALUE!</v>
      </c>
      <c r="U11" s="3" t="e">
        <f>LOOKUP(A11, TreatmentRankings[Study], TreatmentRankings[IsSignFlip])</f>
        <v>#VALUE!</v>
      </c>
      <c r="V11" s="3" t="e">
        <f>LOOKUP(A11, TreatmentRankings[Study], TreatmentRankings[CorrectedWinner])</f>
        <v>#VALUE!</v>
      </c>
      <c r="W11" s="3" t="e">
        <f>LOOKUP(A11, StratumVariables[Study], StratumVariables[VariableName])</f>
        <v>#VALUE!</v>
      </c>
      <c r="X11" s="3" t="e">
        <f>LOOKUP(A11, StratumVariables[Study], StratumVariables[CausalRole])</f>
        <v>#VALUE!</v>
      </c>
      <c r="Y11" s="3" t="e">
        <f>AND(LOOKUP(A11, TreatmentRankings[Study], TreatmentRankings[StratumCount]) &gt;= 2, J11 = LOOKUP(A11, TreatmentRankings[Study], TreatmentRankings[StratumCount]) * 2)</f>
        <v>#VALUE!</v>
      </c>
      <c r="Z11" s="3" t="e">
        <f>IF(H11, "exempt-synthetic", IF(AND(Y11, LOOKUP(A11, StratumVariables[Study], StratumVariables[VariableName]) &lt;&gt; ""), "all", "partial"))</f>
        <v>#VALUE!</v>
      </c>
    </row>
    <row r="12">
      <c r="A12" s="2" t="s">
        <v>462</v>
      </c>
      <c r="B12" s="3" t="str">
        <f>A12</f>
        <v>hannan-1994</v>
      </c>
      <c r="C12" s="2" t="s">
        <v>463</v>
      </c>
      <c r="D12" s="2" t="s">
        <v>464</v>
      </c>
      <c r="E12" s="2" t="s">
        <v>465</v>
      </c>
      <c r="F12" s="4">
        <v>1994</v>
      </c>
      <c r="G12" s="2" t="s">
        <v>418</v>
      </c>
      <c r="H12" s="2" t="b">
        <v>0</v>
      </c>
      <c r="I12" s="5">
        <f>SUMIFS(CaseCells!G2:G999,CaseCells!C2:C999, A12)</f>
        <v>1100</v>
      </c>
      <c r="J12" s="5">
        <f>COUNTIFS(CaseCells!C2:C999, A12)</f>
        <v>4</v>
      </c>
      <c r="K12" s="2" t="s">
        <v>58</v>
      </c>
      <c r="L12" s="2" t="s">
        <v>447</v>
      </c>
      <c r="M12" s="3" t="e">
        <f>LOOKUP(K12, ResearchTraditions[TraditionId], ResearchTraditions[Name])</f>
        <v>#VALUE!</v>
      </c>
      <c r="N12" s="3" t="e">
        <f>LOOKUP(K12, ResearchTraditions[TraditionId], ResearchTraditions[CoreConcern])</f>
        <v>#VALUE!</v>
      </c>
      <c r="O12" s="3" t="e">
        <f>LOOKUP(L12, Researchers[ResearcherId], Researchers[Name])</f>
        <v>#VALUE!</v>
      </c>
      <c r="P12" s="3" t="e">
        <f>LOOKUP(L12, Researchers[ResearcherId], Researchers[Affiliation])</f>
        <v>#VALUE!</v>
      </c>
      <c r="Q12" s="3" t="e">
        <f>LOOKUP(A12, TreatmentRankings[Study], TreatmentRankings[DistortionType])</f>
        <v>#VALUE!</v>
      </c>
      <c r="R12" s="3" t="e">
        <f>LOOKUP(A12, TreatmentRankings[Study], TreatmentRankings[CorrectedPolicyImplication])</f>
        <v>#VALUE!</v>
      </c>
      <c r="S12" s="3" t="e">
        <f>LOOKUP(A12, TreatmentRankings[Study], TreatmentRankings[AllocationDistortion])</f>
        <v>#VALUE!</v>
      </c>
      <c r="T12" s="3" t="e">
        <f>LOOKUP(A12, TreatmentRankings[Study], TreatmentRankings[SignalPurity])</f>
        <v>#VALUE!</v>
      </c>
      <c r="U12" s="3" t="e">
        <f>LOOKUP(A12, TreatmentRankings[Study], TreatmentRankings[IsSignFlip])</f>
        <v>#VALUE!</v>
      </c>
      <c r="V12" s="3" t="e">
        <f>LOOKUP(A12, TreatmentRankings[Study], TreatmentRankings[CorrectedWinner])</f>
        <v>#VALUE!</v>
      </c>
      <c r="W12" s="3" t="e">
        <f>LOOKUP(A12, StratumVariables[Study], StratumVariables[VariableName])</f>
        <v>#VALUE!</v>
      </c>
      <c r="X12" s="3" t="e">
        <f>LOOKUP(A12, StratumVariables[Study], StratumVariables[CausalRole])</f>
        <v>#VALUE!</v>
      </c>
      <c r="Y12" s="3" t="e">
        <f>AND(LOOKUP(A12, TreatmentRankings[Study], TreatmentRankings[StratumCount]) &gt;= 2, J12 = LOOKUP(A12, TreatmentRankings[Study], TreatmentRankings[StratumCount]) * 2)</f>
        <v>#VALUE!</v>
      </c>
      <c r="Z12" s="3" t="e">
        <f>IF(H12, "exempt-synthetic", IF(AND(Y12, LOOKUP(A12, StratumVariables[Study], StratumVariables[VariableName]) &lt;&gt; ""), "all", "partial"))</f>
        <v>#VALUE!</v>
      </c>
    </row>
    <row r="13">
      <c r="A13" s="2" t="s">
        <v>466</v>
      </c>
      <c r="B13" s="3" t="str">
        <f>A13</f>
        <v>titanic-1912</v>
      </c>
      <c r="C13" s="2" t="s">
        <v>467</v>
      </c>
      <c r="D13" s="2" t="s">
        <v>468</v>
      </c>
      <c r="E13" s="2" t="s">
        <v>469</v>
      </c>
      <c r="F13" s="4">
        <v>1912</v>
      </c>
      <c r="G13" s="2" t="s">
        <v>432</v>
      </c>
      <c r="H13" s="2" t="b">
        <v>0</v>
      </c>
      <c r="I13" s="5">
        <f>SUMIFS(CaseCells!G2:G999,CaseCells!C2:C999, A13)</f>
        <v>946</v>
      </c>
      <c r="J13" s="5">
        <f>COUNTIFS(CaseCells!C2:C999, A13)</f>
        <v>4</v>
      </c>
      <c r="K13" s="2" t="s">
        <v>23</v>
      </c>
      <c r="L13" s="2" t="s">
        <v>419</v>
      </c>
      <c r="M13" s="3" t="e">
        <f>LOOKUP(K13, ResearchTraditions[TraditionId], ResearchTraditions[Name])</f>
        <v>#VALUE!</v>
      </c>
      <c r="N13" s="3" t="e">
        <f>LOOKUP(K13, ResearchTraditions[TraditionId], ResearchTraditions[CoreConcern])</f>
        <v>#VALUE!</v>
      </c>
      <c r="O13" s="3" t="e">
        <f>LOOKUP(L13, Researchers[ResearcherId], Researchers[Name])</f>
        <v>#VALUE!</v>
      </c>
      <c r="P13" s="3" t="e">
        <f>LOOKUP(L13, Researchers[ResearcherId], Researchers[Affiliation])</f>
        <v>#VALUE!</v>
      </c>
      <c r="Q13" s="3" t="e">
        <f>LOOKUP(A13, TreatmentRankings[Study], TreatmentRankings[DistortionType])</f>
        <v>#VALUE!</v>
      </c>
      <c r="R13" s="3" t="e">
        <f>LOOKUP(A13, TreatmentRankings[Study], TreatmentRankings[CorrectedPolicyImplication])</f>
        <v>#VALUE!</v>
      </c>
      <c r="S13" s="3" t="e">
        <f>LOOKUP(A13, TreatmentRankings[Study], TreatmentRankings[AllocationDistortion])</f>
        <v>#VALUE!</v>
      </c>
      <c r="T13" s="3" t="e">
        <f>LOOKUP(A13, TreatmentRankings[Study], TreatmentRankings[SignalPurity])</f>
        <v>#VALUE!</v>
      </c>
      <c r="U13" s="3" t="e">
        <f>LOOKUP(A13, TreatmentRankings[Study], TreatmentRankings[IsSignFlip])</f>
        <v>#VALUE!</v>
      </c>
      <c r="V13" s="3" t="e">
        <f>LOOKUP(A13, TreatmentRankings[Study], TreatmentRankings[CorrectedWinner])</f>
        <v>#VALUE!</v>
      </c>
      <c r="W13" s="3" t="e">
        <f>LOOKUP(A13, StratumVariables[Study], StratumVariables[VariableName])</f>
        <v>#VALUE!</v>
      </c>
      <c r="X13" s="3" t="e">
        <f>LOOKUP(A13, StratumVariables[Study], StratumVariables[CausalRole])</f>
        <v>#VALUE!</v>
      </c>
      <c r="Y13" s="3" t="e">
        <f>AND(LOOKUP(A13, TreatmentRankings[Study], TreatmentRankings[StratumCount]) &gt;= 2, J13 = LOOKUP(A13, TreatmentRankings[Study], TreatmentRankings[StratumCount]) * 2)</f>
        <v>#VALUE!</v>
      </c>
      <c r="Z13" s="3" t="e">
        <f>IF(H13, "exempt-synthetic", IF(AND(Y13, LOOKUP(A13, StratumVariables[Study], StratumVariables[VariableName]) &lt;&gt; ""), "all", "partial"))</f>
        <v>#VALUE!</v>
      </c>
    </row>
    <row r="14">
      <c r="A14" s="2" t="s">
        <v>470</v>
      </c>
      <c r="B14" s="3" t="str">
        <f>A14</f>
        <v>birth-weight-paradox</v>
      </c>
      <c r="C14" s="2" t="s">
        <v>471</v>
      </c>
      <c r="D14" s="2" t="s">
        <v>472</v>
      </c>
      <c r="E14" s="2" t="s">
        <v>473</v>
      </c>
      <c r="F14" s="4">
        <v>1992</v>
      </c>
      <c r="G14" s="2" t="s">
        <v>441</v>
      </c>
      <c r="H14" s="2" t="b">
        <v>0</v>
      </c>
      <c r="I14" s="5">
        <f>SUMIFS(CaseCells!G2:G999,CaseCells!C2:C999, A14)</f>
        <v>7500</v>
      </c>
      <c r="J14" s="5">
        <f>COUNTIFS(CaseCells!C2:C999, A14)</f>
        <v>4</v>
      </c>
      <c r="K14" s="2" t="s">
        <v>51</v>
      </c>
      <c r="L14" s="2" t="s">
        <v>474</v>
      </c>
      <c r="M14" s="3" t="e">
        <f>LOOKUP(K14, ResearchTraditions[TraditionId], ResearchTraditions[Name])</f>
        <v>#VALUE!</v>
      </c>
      <c r="N14" s="3" t="e">
        <f>LOOKUP(K14, ResearchTraditions[TraditionId], ResearchTraditions[CoreConcern])</f>
        <v>#VALUE!</v>
      </c>
      <c r="O14" s="3" t="e">
        <f>LOOKUP(L14, Researchers[ResearcherId], Researchers[Name])</f>
        <v>#VALUE!</v>
      </c>
      <c r="P14" s="3" t="e">
        <f>LOOKUP(L14, Researchers[ResearcherId], Researchers[Affiliation])</f>
        <v>#VALUE!</v>
      </c>
      <c r="Q14" s="3" t="e">
        <f>LOOKUP(A14, TreatmentRankings[Study], TreatmentRankings[DistortionType])</f>
        <v>#VALUE!</v>
      </c>
      <c r="R14" s="3" t="e">
        <f>LOOKUP(A14, TreatmentRankings[Study], TreatmentRankings[CorrectedPolicyImplication])</f>
        <v>#VALUE!</v>
      </c>
      <c r="S14" s="3" t="e">
        <f>LOOKUP(A14, TreatmentRankings[Study], TreatmentRankings[AllocationDistortion])</f>
        <v>#VALUE!</v>
      </c>
      <c r="T14" s="3" t="e">
        <f>LOOKUP(A14, TreatmentRankings[Study], TreatmentRankings[SignalPurity])</f>
        <v>#VALUE!</v>
      </c>
      <c r="U14" s="3" t="e">
        <f>LOOKUP(A14, TreatmentRankings[Study], TreatmentRankings[IsSignFlip])</f>
        <v>#VALUE!</v>
      </c>
      <c r="V14" s="3" t="e">
        <f>LOOKUP(A14, TreatmentRankings[Study], TreatmentRankings[CorrectedWinner])</f>
        <v>#VALUE!</v>
      </c>
      <c r="W14" s="3" t="e">
        <f>LOOKUP(A14, StratumVariables[Study], StratumVariables[VariableName])</f>
        <v>#VALUE!</v>
      </c>
      <c r="X14" s="3" t="e">
        <f>LOOKUP(A14, StratumVariables[Study], StratumVariables[CausalRole])</f>
        <v>#VALUE!</v>
      </c>
      <c r="Y14" s="3" t="e">
        <f>AND(LOOKUP(A14, TreatmentRankings[Study], TreatmentRankings[StratumCount]) &gt;= 2, J14 = LOOKUP(A14, TreatmentRankings[Study], TreatmentRankings[StratumCount]) * 2)</f>
        <v>#VALUE!</v>
      </c>
      <c r="Z14" s="3" t="e">
        <f>IF(H14, "exempt-synthetic", IF(AND(Y14, LOOKUP(A14, StratumVariables[Study], StratumVariables[VariableName]) &lt;&gt; ""), "all", "partial"))</f>
        <v>#VALUE!</v>
      </c>
    </row>
    <row r="15">
      <c r="A15" s="2" t="s">
        <v>475</v>
      </c>
      <c r="B15" s="3" t="str">
        <f>A15</f>
        <v>melanoma-altman-1991</v>
      </c>
      <c r="C15" s="2" t="s">
        <v>476</v>
      </c>
      <c r="D15" s="2" t="s">
        <v>477</v>
      </c>
      <c r="E15" s="2" t="s">
        <v>478</v>
      </c>
      <c r="F15" s="4">
        <v>1991</v>
      </c>
      <c r="G15" s="2" t="s">
        <v>418</v>
      </c>
      <c r="H15" s="2" t="b">
        <v>0</v>
      </c>
      <c r="I15" s="5">
        <f>SUMIFS(CaseCells!G2:G999,CaseCells!C2:C999, A15)</f>
        <v>400</v>
      </c>
      <c r="J15" s="5">
        <f>COUNTIFS(CaseCells!C2:C999, A15)</f>
        <v>4</v>
      </c>
      <c r="K15" s="2" t="s">
        <v>58</v>
      </c>
      <c r="L15" s="2" t="s">
        <v>433</v>
      </c>
      <c r="M15" s="3" t="e">
        <f>LOOKUP(K15, ResearchTraditions[TraditionId], ResearchTraditions[Name])</f>
        <v>#VALUE!</v>
      </c>
      <c r="N15" s="3" t="e">
        <f>LOOKUP(K15, ResearchTraditions[TraditionId], ResearchTraditions[CoreConcern])</f>
        <v>#VALUE!</v>
      </c>
      <c r="O15" s="3" t="e">
        <f>LOOKUP(L15, Researchers[ResearcherId], Researchers[Name])</f>
        <v>#VALUE!</v>
      </c>
      <c r="P15" s="3" t="e">
        <f>LOOKUP(L15, Researchers[ResearcherId], Researchers[Affiliation])</f>
        <v>#VALUE!</v>
      </c>
      <c r="Q15" s="3" t="e">
        <f>LOOKUP(A15, TreatmentRankings[Study], TreatmentRankings[DistortionType])</f>
        <v>#VALUE!</v>
      </c>
      <c r="R15" s="3" t="e">
        <f>LOOKUP(A15, TreatmentRankings[Study], TreatmentRankings[CorrectedPolicyImplication])</f>
        <v>#VALUE!</v>
      </c>
      <c r="S15" s="3" t="e">
        <f>LOOKUP(A15, TreatmentRankings[Study], TreatmentRankings[AllocationDistortion])</f>
        <v>#VALUE!</v>
      </c>
      <c r="T15" s="3" t="e">
        <f>LOOKUP(A15, TreatmentRankings[Study], TreatmentRankings[SignalPurity])</f>
        <v>#VALUE!</v>
      </c>
      <c r="U15" s="3" t="e">
        <f>LOOKUP(A15, TreatmentRankings[Study], TreatmentRankings[IsSignFlip])</f>
        <v>#VALUE!</v>
      </c>
      <c r="V15" s="3" t="e">
        <f>LOOKUP(A15, TreatmentRankings[Study], TreatmentRankings[CorrectedWinner])</f>
        <v>#VALUE!</v>
      </c>
      <c r="W15" s="3" t="e">
        <f>LOOKUP(A15, StratumVariables[Study], StratumVariables[VariableName])</f>
        <v>#VALUE!</v>
      </c>
      <c r="X15" s="3" t="e">
        <f>LOOKUP(A15, StratumVariables[Study], StratumVariables[CausalRole])</f>
        <v>#VALUE!</v>
      </c>
      <c r="Y15" s="3" t="e">
        <f>AND(LOOKUP(A15, TreatmentRankings[Study], TreatmentRankings[StratumCount]) &gt;= 2, J15 = LOOKUP(A15, TreatmentRankings[Study], TreatmentRankings[StratumCount]) * 2)</f>
        <v>#VALUE!</v>
      </c>
      <c r="Z15" s="3" t="e">
        <f>IF(H15, "exempt-synthetic", IF(AND(Y15, LOOKUP(A15, StratumVariables[Study], StratumVariables[VariableName]) &lt;&gt; ""), "all", "partial"))</f>
        <v>#VALUE!</v>
      </c>
    </row>
    <row r="16">
      <c r="A16" s="2" t="s">
        <v>479</v>
      </c>
      <c r="B16" s="3" t="str">
        <f>A16</f>
        <v>coffee-tverdal-2020</v>
      </c>
      <c r="C16" s="2" t="s">
        <v>480</v>
      </c>
      <c r="D16" s="2" t="s">
        <v>481</v>
      </c>
      <c r="E16" s="2" t="s">
        <v>482</v>
      </c>
      <c r="F16" s="4">
        <v>2020</v>
      </c>
      <c r="G16" s="2" t="s">
        <v>441</v>
      </c>
      <c r="H16" s="2" t="b">
        <v>0</v>
      </c>
      <c r="I16" s="5">
        <f>SUMIFS(CaseCells!G2:G999,CaseCells!C2:C999, A16)</f>
        <v>4000</v>
      </c>
      <c r="J16" s="5">
        <f>COUNTIFS(CaseCells!C2:C999, A16)</f>
        <v>4</v>
      </c>
      <c r="K16" s="2" t="s">
        <v>58</v>
      </c>
      <c r="L16" s="2" t="s">
        <v>433</v>
      </c>
      <c r="M16" s="3" t="e">
        <f>LOOKUP(K16, ResearchTraditions[TraditionId], ResearchTraditions[Name])</f>
        <v>#VALUE!</v>
      </c>
      <c r="N16" s="3" t="e">
        <f>LOOKUP(K16, ResearchTraditions[TraditionId], ResearchTraditions[CoreConcern])</f>
        <v>#VALUE!</v>
      </c>
      <c r="O16" s="3" t="e">
        <f>LOOKUP(L16, Researchers[ResearcherId], Researchers[Name])</f>
        <v>#VALUE!</v>
      </c>
      <c r="P16" s="3" t="e">
        <f>LOOKUP(L16, Researchers[ResearcherId], Researchers[Affiliation])</f>
        <v>#VALUE!</v>
      </c>
      <c r="Q16" s="3" t="e">
        <f>LOOKUP(A16, TreatmentRankings[Study], TreatmentRankings[DistortionType])</f>
        <v>#VALUE!</v>
      </c>
      <c r="R16" s="3" t="e">
        <f>LOOKUP(A16, TreatmentRankings[Study], TreatmentRankings[CorrectedPolicyImplication])</f>
        <v>#VALUE!</v>
      </c>
      <c r="S16" s="3" t="e">
        <f>LOOKUP(A16, TreatmentRankings[Study], TreatmentRankings[AllocationDistortion])</f>
        <v>#VALUE!</v>
      </c>
      <c r="T16" s="3" t="e">
        <f>LOOKUP(A16, TreatmentRankings[Study], TreatmentRankings[SignalPurity])</f>
        <v>#VALUE!</v>
      </c>
      <c r="U16" s="3" t="e">
        <f>LOOKUP(A16, TreatmentRankings[Study], TreatmentRankings[IsSignFlip])</f>
        <v>#VALUE!</v>
      </c>
      <c r="V16" s="3" t="e">
        <f>LOOKUP(A16, TreatmentRankings[Study], TreatmentRankings[CorrectedWinner])</f>
        <v>#VALUE!</v>
      </c>
      <c r="W16" s="3" t="e">
        <f>LOOKUP(A16, StratumVariables[Study], StratumVariables[VariableName])</f>
        <v>#VALUE!</v>
      </c>
      <c r="X16" s="3" t="e">
        <f>LOOKUP(A16, StratumVariables[Study], StratumVariables[CausalRole])</f>
        <v>#VALUE!</v>
      </c>
      <c r="Y16" s="3" t="e">
        <f>AND(LOOKUP(A16, TreatmentRankings[Study], TreatmentRankings[StratumCount]) &gt;= 2, J16 = LOOKUP(A16, TreatmentRankings[Study], TreatmentRankings[StratumCount]) * 2)</f>
        <v>#VALUE!</v>
      </c>
      <c r="Z16" s="3" t="e">
        <f>IF(H16, "exempt-synthetic", IF(AND(Y16, LOOKUP(A16, StratumVariables[Study], StratumVariables[VariableName]) &lt;&gt; ""), "all", "partial"))</f>
        <v>#VALUE!</v>
      </c>
    </row>
    <row r="17">
      <c r="A17" s="2" t="s">
        <v>483</v>
      </c>
      <c r="B17" s="3" t="str">
        <f>A17</f>
        <v>sat-wainer-1986</v>
      </c>
      <c r="C17" s="2" t="s">
        <v>484</v>
      </c>
      <c r="D17" s="2" t="s">
        <v>485</v>
      </c>
      <c r="E17" s="2" t="s">
        <v>486</v>
      </c>
      <c r="F17" s="4">
        <v>1986</v>
      </c>
      <c r="G17" s="2" t="s">
        <v>487</v>
      </c>
      <c r="H17" s="2" t="b">
        <v>0</v>
      </c>
      <c r="I17" s="5">
        <f>SUMIFS(CaseCells!G2:G999,CaseCells!C2:C999, A17)</f>
        <v>1150</v>
      </c>
      <c r="J17" s="5">
        <f>COUNTIFS(CaseCells!C2:C999, A17)</f>
        <v>4</v>
      </c>
      <c r="K17" s="2" t="s">
        <v>23</v>
      </c>
      <c r="L17" s="2" t="s">
        <v>419</v>
      </c>
      <c r="M17" s="3" t="e">
        <f>LOOKUP(K17, ResearchTraditions[TraditionId], ResearchTraditions[Name])</f>
        <v>#VALUE!</v>
      </c>
      <c r="N17" s="3" t="e">
        <f>LOOKUP(K17, ResearchTraditions[TraditionId], ResearchTraditions[CoreConcern])</f>
        <v>#VALUE!</v>
      </c>
      <c r="O17" s="3" t="e">
        <f>LOOKUP(L17, Researchers[ResearcherId], Researchers[Name])</f>
        <v>#VALUE!</v>
      </c>
      <c r="P17" s="3" t="e">
        <f>LOOKUP(L17, Researchers[ResearcherId], Researchers[Affiliation])</f>
        <v>#VALUE!</v>
      </c>
      <c r="Q17" s="3" t="e">
        <f>LOOKUP(A17, TreatmentRankings[Study], TreatmentRankings[DistortionType])</f>
        <v>#VALUE!</v>
      </c>
      <c r="R17" s="3" t="e">
        <f>LOOKUP(A17, TreatmentRankings[Study], TreatmentRankings[CorrectedPolicyImplication])</f>
        <v>#VALUE!</v>
      </c>
      <c r="S17" s="3" t="e">
        <f>LOOKUP(A17, TreatmentRankings[Study], TreatmentRankings[AllocationDistortion])</f>
        <v>#VALUE!</v>
      </c>
      <c r="T17" s="3" t="e">
        <f>LOOKUP(A17, TreatmentRankings[Study], TreatmentRankings[SignalPurity])</f>
        <v>#VALUE!</v>
      </c>
      <c r="U17" s="3" t="e">
        <f>LOOKUP(A17, TreatmentRankings[Study], TreatmentRankings[IsSignFlip])</f>
        <v>#VALUE!</v>
      </c>
      <c r="V17" s="3" t="e">
        <f>LOOKUP(A17, TreatmentRankings[Study], TreatmentRankings[CorrectedWinner])</f>
        <v>#VALUE!</v>
      </c>
      <c r="W17" s="3" t="e">
        <f>LOOKUP(A17, StratumVariables[Study], StratumVariables[VariableName])</f>
        <v>#VALUE!</v>
      </c>
      <c r="X17" s="3" t="e">
        <f>LOOKUP(A17, StratumVariables[Study], StratumVariables[CausalRole])</f>
        <v>#VALUE!</v>
      </c>
      <c r="Y17" s="3" t="e">
        <f>AND(LOOKUP(A17, TreatmentRankings[Study], TreatmentRankings[StratumCount]) &gt;= 2, J17 = LOOKUP(A17, TreatmentRankings[Study], TreatmentRankings[StratumCount]) * 2)</f>
        <v>#VALUE!</v>
      </c>
      <c r="Z17" s="3" t="e">
        <f>IF(H17, "exempt-synthetic", IF(AND(Y17, LOOKUP(A17, StratumVariables[Study], StratumVariables[VariableName]) &lt;&gt; ""), "all", "partial"))</f>
        <v>#VALUE!</v>
      </c>
    </row>
    <row r="18">
      <c r="A18" s="2" t="s">
        <v>488</v>
      </c>
      <c r="B18" s="3" t="str">
        <f>A18</f>
        <v>rogers-nicewander-1988</v>
      </c>
      <c r="C18" s="2" t="s">
        <v>489</v>
      </c>
      <c r="D18" s="2" t="s">
        <v>490</v>
      </c>
      <c r="E18" s="2" t="s">
        <v>491</v>
      </c>
      <c r="F18" s="4">
        <v>1988</v>
      </c>
      <c r="G18" s="2" t="s">
        <v>452</v>
      </c>
      <c r="H18" s="2" t="b">
        <v>0</v>
      </c>
      <c r="I18" s="5">
        <f>SUMIFS(CaseCells!G2:G999,CaseCells!C2:C999, A18)</f>
        <v>58</v>
      </c>
      <c r="J18" s="5">
        <f>COUNTIFS(CaseCells!C2:C999, A18)</f>
        <v>4</v>
      </c>
      <c r="K18" s="2" t="s">
        <v>23</v>
      </c>
      <c r="L18" s="2" t="s">
        <v>419</v>
      </c>
      <c r="M18" s="3" t="e">
        <f>LOOKUP(K18, ResearchTraditions[TraditionId], ResearchTraditions[Name])</f>
        <v>#VALUE!</v>
      </c>
      <c r="N18" s="3" t="e">
        <f>LOOKUP(K18, ResearchTraditions[TraditionId], ResearchTraditions[CoreConcern])</f>
        <v>#VALUE!</v>
      </c>
      <c r="O18" s="3" t="e">
        <f>LOOKUP(L18, Researchers[ResearcherId], Researchers[Name])</f>
        <v>#VALUE!</v>
      </c>
      <c r="P18" s="3" t="e">
        <f>LOOKUP(L18, Researchers[ResearcherId], Researchers[Affiliation])</f>
        <v>#VALUE!</v>
      </c>
      <c r="Q18" s="3" t="e">
        <f>LOOKUP(A18, TreatmentRankings[Study], TreatmentRankings[DistortionType])</f>
        <v>#VALUE!</v>
      </c>
      <c r="R18" s="3" t="e">
        <f>LOOKUP(A18, TreatmentRankings[Study], TreatmentRankings[CorrectedPolicyImplication])</f>
        <v>#VALUE!</v>
      </c>
      <c r="S18" s="3" t="e">
        <f>LOOKUP(A18, TreatmentRankings[Study], TreatmentRankings[AllocationDistortion])</f>
        <v>#VALUE!</v>
      </c>
      <c r="T18" s="3" t="e">
        <f>LOOKUP(A18, TreatmentRankings[Study], TreatmentRankings[SignalPurity])</f>
        <v>#VALUE!</v>
      </c>
      <c r="U18" s="3" t="e">
        <f>LOOKUP(A18, TreatmentRankings[Study], TreatmentRankings[IsSignFlip])</f>
        <v>#VALUE!</v>
      </c>
      <c r="V18" s="3" t="e">
        <f>LOOKUP(A18, TreatmentRankings[Study], TreatmentRankings[CorrectedWinner])</f>
        <v>#VALUE!</v>
      </c>
      <c r="W18" s="3" t="e">
        <f>LOOKUP(A18, StratumVariables[Study], StratumVariables[VariableName])</f>
        <v>#VALUE!</v>
      </c>
      <c r="X18" s="3" t="e">
        <f>LOOKUP(A18, StratumVariables[Study], StratumVariables[CausalRole])</f>
        <v>#VALUE!</v>
      </c>
      <c r="Y18" s="3" t="e">
        <f>AND(LOOKUP(A18, TreatmentRankings[Study], TreatmentRankings[StratumCount]) &gt;= 2, J18 = LOOKUP(A18, TreatmentRankings[Study], TreatmentRankings[StratumCount]) * 2)</f>
        <v>#VALUE!</v>
      </c>
      <c r="Z18" s="3" t="e">
        <f>IF(H18, "exempt-synthetic", IF(AND(Y18, LOOKUP(A18, StratumVariables[Study], StratumVariables[VariableName]) &lt;&gt; ""), "all", "partial"))</f>
        <v>#VALUE!</v>
      </c>
    </row>
    <row r="19">
      <c r="A19" s="2" t="s">
        <v>492</v>
      </c>
      <c r="B19" s="3" t="str">
        <f>A19</f>
        <v>lucente-baseball-1995</v>
      </c>
      <c r="C19" s="2" t="s">
        <v>493</v>
      </c>
      <c r="D19" s="2" t="s">
        <v>494</v>
      </c>
      <c r="E19" s="2" t="s">
        <v>423</v>
      </c>
      <c r="F19" s="4">
        <v>1995</v>
      </c>
      <c r="G19" s="2" t="s">
        <v>452</v>
      </c>
      <c r="H19" s="2" t="b">
        <v>0</v>
      </c>
      <c r="I19" s="5">
        <f>SUMIFS(CaseCells!G2:G999,CaseCells!C2:C999, A19)</f>
        <v>690</v>
      </c>
      <c r="J19" s="5">
        <f>COUNTIFS(CaseCells!C2:C999, A19)</f>
        <v>4</v>
      </c>
      <c r="K19" s="2" t="s">
        <v>23</v>
      </c>
      <c r="L19" s="2" t="s">
        <v>419</v>
      </c>
      <c r="M19" s="3" t="e">
        <f>LOOKUP(K19, ResearchTraditions[TraditionId], ResearchTraditions[Name])</f>
        <v>#VALUE!</v>
      </c>
      <c r="N19" s="3" t="e">
        <f>LOOKUP(K19, ResearchTraditions[TraditionId], ResearchTraditions[CoreConcern])</f>
        <v>#VALUE!</v>
      </c>
      <c r="O19" s="3" t="e">
        <f>LOOKUP(L19, Researchers[ResearcherId], Researchers[Name])</f>
        <v>#VALUE!</v>
      </c>
      <c r="P19" s="3" t="e">
        <f>LOOKUP(L19, Researchers[ResearcherId], Researchers[Affiliation])</f>
        <v>#VALUE!</v>
      </c>
      <c r="Q19" s="3" t="e">
        <f>LOOKUP(A19, TreatmentRankings[Study], TreatmentRankings[DistortionType])</f>
        <v>#VALUE!</v>
      </c>
      <c r="R19" s="3" t="e">
        <f>LOOKUP(A19, TreatmentRankings[Study], TreatmentRankings[CorrectedPolicyImplication])</f>
        <v>#VALUE!</v>
      </c>
      <c r="S19" s="3" t="e">
        <f>LOOKUP(A19, TreatmentRankings[Study], TreatmentRankings[AllocationDistortion])</f>
        <v>#VALUE!</v>
      </c>
      <c r="T19" s="3" t="e">
        <f>LOOKUP(A19, TreatmentRankings[Study], TreatmentRankings[SignalPurity])</f>
        <v>#VALUE!</v>
      </c>
      <c r="U19" s="3" t="e">
        <f>LOOKUP(A19, TreatmentRankings[Study], TreatmentRankings[IsSignFlip])</f>
        <v>#VALUE!</v>
      </c>
      <c r="V19" s="3" t="e">
        <f>LOOKUP(A19, TreatmentRankings[Study], TreatmentRankings[CorrectedWinner])</f>
        <v>#VALUE!</v>
      </c>
      <c r="W19" s="3" t="e">
        <f>LOOKUP(A19, StratumVariables[Study], StratumVariables[VariableName])</f>
        <v>#VALUE!</v>
      </c>
      <c r="X19" s="3" t="e">
        <f>LOOKUP(A19, StratumVariables[Study], StratumVariables[CausalRole])</f>
        <v>#VALUE!</v>
      </c>
      <c r="Y19" s="3" t="e">
        <f>AND(LOOKUP(A19, TreatmentRankings[Study], TreatmentRankings[StratumCount]) &gt;= 2, J19 = LOOKUP(A19, TreatmentRankings[Study], TreatmentRankings[StratumCount]) * 2)</f>
        <v>#VALUE!</v>
      </c>
      <c r="Z19" s="3" t="e">
        <f>IF(H19, "exempt-synthetic", IF(AND(Y19, LOOKUP(A19, StratumVariables[Study], StratumVariables[VariableName]) &lt;&gt; ""), "all", "partial"))</f>
        <v>#VALUE!</v>
      </c>
    </row>
    <row r="20">
      <c r="A20" s="2" t="s">
        <v>495</v>
      </c>
      <c r="B20" s="3" t="str">
        <f>A20</f>
        <v>wilson-batting-2000</v>
      </c>
      <c r="C20" s="2" t="s">
        <v>496</v>
      </c>
      <c r="D20" s="2" t="s">
        <v>497</v>
      </c>
      <c r="E20" s="2" t="s">
        <v>423</v>
      </c>
      <c r="F20" s="4">
        <v>2000</v>
      </c>
      <c r="G20" s="2" t="s">
        <v>452</v>
      </c>
      <c r="H20" s="2" t="b">
        <v>0</v>
      </c>
      <c r="I20" s="5">
        <f>SUMIFS(CaseCells!G2:G999,CaseCells!C2:C999, A20)</f>
        <v>380</v>
      </c>
      <c r="J20" s="5">
        <f>COUNTIFS(CaseCells!C2:C999, A20)</f>
        <v>4</v>
      </c>
      <c r="K20" s="2" t="s">
        <v>23</v>
      </c>
      <c r="L20" s="2" t="s">
        <v>419</v>
      </c>
      <c r="M20" s="3" t="e">
        <f>LOOKUP(K20, ResearchTraditions[TraditionId], ResearchTraditions[Name])</f>
        <v>#VALUE!</v>
      </c>
      <c r="N20" s="3" t="e">
        <f>LOOKUP(K20, ResearchTraditions[TraditionId], ResearchTraditions[CoreConcern])</f>
        <v>#VALUE!</v>
      </c>
      <c r="O20" s="3" t="e">
        <f>LOOKUP(L20, Researchers[ResearcherId], Researchers[Name])</f>
        <v>#VALUE!</v>
      </c>
      <c r="P20" s="3" t="e">
        <f>LOOKUP(L20, Researchers[ResearcherId], Researchers[Affiliation])</f>
        <v>#VALUE!</v>
      </c>
      <c r="Q20" s="3" t="e">
        <f>LOOKUP(A20, TreatmentRankings[Study], TreatmentRankings[DistortionType])</f>
        <v>#VALUE!</v>
      </c>
      <c r="R20" s="3" t="e">
        <f>LOOKUP(A20, TreatmentRankings[Study], TreatmentRankings[CorrectedPolicyImplication])</f>
        <v>#VALUE!</v>
      </c>
      <c r="S20" s="3" t="e">
        <f>LOOKUP(A20, TreatmentRankings[Study], TreatmentRankings[AllocationDistortion])</f>
        <v>#VALUE!</v>
      </c>
      <c r="T20" s="3" t="e">
        <f>LOOKUP(A20, TreatmentRankings[Study], TreatmentRankings[SignalPurity])</f>
        <v>#VALUE!</v>
      </c>
      <c r="U20" s="3" t="e">
        <f>LOOKUP(A20, TreatmentRankings[Study], TreatmentRankings[IsSignFlip])</f>
        <v>#VALUE!</v>
      </c>
      <c r="V20" s="3" t="e">
        <f>LOOKUP(A20, TreatmentRankings[Study], TreatmentRankings[CorrectedWinner])</f>
        <v>#VALUE!</v>
      </c>
      <c r="W20" s="3" t="e">
        <f>LOOKUP(A20, StratumVariables[Study], StratumVariables[VariableName])</f>
        <v>#VALUE!</v>
      </c>
      <c r="X20" s="3" t="e">
        <f>LOOKUP(A20, StratumVariables[Study], StratumVariables[CausalRole])</f>
        <v>#VALUE!</v>
      </c>
      <c r="Y20" s="3" t="e">
        <f>AND(LOOKUP(A20, TreatmentRankings[Study], TreatmentRankings[StratumCount]) &gt;= 2, J20 = LOOKUP(A20, TreatmentRankings[Study], TreatmentRankings[StratumCount]) * 2)</f>
        <v>#VALUE!</v>
      </c>
      <c r="Z20" s="3" t="e">
        <f>IF(H20, "exempt-synthetic", IF(AND(Y20, LOOKUP(A20, StratumVariables[Study], StratumVariables[VariableName]) &lt;&gt; ""), "all", "partial"))</f>
        <v>#VALUE!</v>
      </c>
    </row>
    <row r="21">
      <c r="A21" s="2" t="s">
        <v>498</v>
      </c>
      <c r="B21" s="3" t="str">
        <f>A21</f>
        <v>clemens-bly-1998</v>
      </c>
      <c r="C21" s="2" t="s">
        <v>499</v>
      </c>
      <c r="D21" s="2" t="s">
        <v>500</v>
      </c>
      <c r="E21" s="2" t="s">
        <v>423</v>
      </c>
      <c r="F21" s="4">
        <v>1998</v>
      </c>
      <c r="G21" s="2" t="s">
        <v>452</v>
      </c>
      <c r="H21" s="2" t="b">
        <v>0</v>
      </c>
      <c r="I21" s="5">
        <f>SUMIFS(CaseCells!G2:G999,CaseCells!C2:C999, A21)</f>
        <v>295</v>
      </c>
      <c r="J21" s="5">
        <f>COUNTIFS(CaseCells!C2:C999, A21)</f>
        <v>4</v>
      </c>
      <c r="K21" s="2" t="s">
        <v>23</v>
      </c>
      <c r="L21" s="2" t="s">
        <v>419</v>
      </c>
      <c r="M21" s="3" t="e">
        <f>LOOKUP(K21, ResearchTraditions[TraditionId], ResearchTraditions[Name])</f>
        <v>#VALUE!</v>
      </c>
      <c r="N21" s="3" t="e">
        <f>LOOKUP(K21, ResearchTraditions[TraditionId], ResearchTraditions[CoreConcern])</f>
        <v>#VALUE!</v>
      </c>
      <c r="O21" s="3" t="e">
        <f>LOOKUP(L21, Researchers[ResearcherId], Researchers[Name])</f>
        <v>#VALUE!</v>
      </c>
      <c r="P21" s="3" t="e">
        <f>LOOKUP(L21, Researchers[ResearcherId], Researchers[Affiliation])</f>
        <v>#VALUE!</v>
      </c>
      <c r="Q21" s="3" t="e">
        <f>LOOKUP(A21, TreatmentRankings[Study], TreatmentRankings[DistortionType])</f>
        <v>#VALUE!</v>
      </c>
      <c r="R21" s="3" t="e">
        <f>LOOKUP(A21, TreatmentRankings[Study], TreatmentRankings[CorrectedPolicyImplication])</f>
        <v>#VALUE!</v>
      </c>
      <c r="S21" s="3" t="e">
        <f>LOOKUP(A21, TreatmentRankings[Study], TreatmentRankings[AllocationDistortion])</f>
        <v>#VALUE!</v>
      </c>
      <c r="T21" s="3" t="e">
        <f>LOOKUP(A21, TreatmentRankings[Study], TreatmentRankings[SignalPurity])</f>
        <v>#VALUE!</v>
      </c>
      <c r="U21" s="3" t="e">
        <f>LOOKUP(A21, TreatmentRankings[Study], TreatmentRankings[IsSignFlip])</f>
        <v>#VALUE!</v>
      </c>
      <c r="V21" s="3" t="e">
        <f>LOOKUP(A21, TreatmentRankings[Study], TreatmentRankings[CorrectedWinner])</f>
        <v>#VALUE!</v>
      </c>
      <c r="W21" s="3" t="e">
        <f>LOOKUP(A21, StratumVariables[Study], StratumVariables[VariableName])</f>
        <v>#VALUE!</v>
      </c>
      <c r="X21" s="3" t="e">
        <f>LOOKUP(A21, StratumVariables[Study], StratumVariables[CausalRole])</f>
        <v>#VALUE!</v>
      </c>
      <c r="Y21" s="3" t="e">
        <f>AND(LOOKUP(A21, TreatmentRankings[Study], TreatmentRankings[StratumCount]) &gt;= 2, J21 = LOOKUP(A21, TreatmentRankings[Study], TreatmentRankings[StratumCount]) * 2)</f>
        <v>#VALUE!</v>
      </c>
      <c r="Z21" s="3" t="e">
        <f>IF(H21, "exempt-synthetic", IF(AND(Y21, LOOKUP(A21, StratumVariables[Study], StratumVariables[VariableName]) &lt;&gt; ""), "all", "partial"))</f>
        <v>#VALUE!</v>
      </c>
    </row>
    <row r="22">
      <c r="A22" s="2" t="s">
        <v>501</v>
      </c>
      <c r="B22" s="3" t="str">
        <f>A22</f>
        <v>open-university-1975</v>
      </c>
      <c r="C22" s="2" t="s">
        <v>502</v>
      </c>
      <c r="D22" s="2" t="s">
        <v>503</v>
      </c>
      <c r="E22" s="2" t="s">
        <v>423</v>
      </c>
      <c r="F22" s="4">
        <v>1975</v>
      </c>
      <c r="G22" s="2" t="s">
        <v>487</v>
      </c>
      <c r="H22" s="2" t="b">
        <v>0</v>
      </c>
      <c r="I22" s="5">
        <f>SUMIFS(CaseCells!G2:G999,CaseCells!C2:C999, A22)</f>
        <v>2523</v>
      </c>
      <c r="J22" s="5">
        <f>COUNTIFS(CaseCells!C2:C999, A22)</f>
        <v>6</v>
      </c>
      <c r="K22" s="2" t="s">
        <v>23</v>
      </c>
      <c r="L22" s="2" t="s">
        <v>419</v>
      </c>
      <c r="M22" s="3" t="e">
        <f>LOOKUP(K22, ResearchTraditions[TraditionId], ResearchTraditions[Name])</f>
        <v>#VALUE!</v>
      </c>
      <c r="N22" s="3" t="e">
        <f>LOOKUP(K22, ResearchTraditions[TraditionId], ResearchTraditions[CoreConcern])</f>
        <v>#VALUE!</v>
      </c>
      <c r="O22" s="3" t="e">
        <f>LOOKUP(L22, Researchers[ResearcherId], Researchers[Name])</f>
        <v>#VALUE!</v>
      </c>
      <c r="P22" s="3" t="e">
        <f>LOOKUP(L22, Researchers[ResearcherId], Researchers[Affiliation])</f>
        <v>#VALUE!</v>
      </c>
      <c r="Q22" s="3" t="e">
        <f>LOOKUP(A22, TreatmentRankings[Study], TreatmentRankings[DistortionType])</f>
        <v>#VALUE!</v>
      </c>
      <c r="R22" s="3" t="e">
        <f>LOOKUP(A22, TreatmentRankings[Study], TreatmentRankings[CorrectedPolicyImplication])</f>
        <v>#VALUE!</v>
      </c>
      <c r="S22" s="3" t="e">
        <f>LOOKUP(A22, TreatmentRankings[Study], TreatmentRankings[AllocationDistortion])</f>
        <v>#VALUE!</v>
      </c>
      <c r="T22" s="3" t="e">
        <f>LOOKUP(A22, TreatmentRankings[Study], TreatmentRankings[SignalPurity])</f>
        <v>#VALUE!</v>
      </c>
      <c r="U22" s="3" t="e">
        <f>LOOKUP(A22, TreatmentRankings[Study], TreatmentRankings[IsSignFlip])</f>
        <v>#VALUE!</v>
      </c>
      <c r="V22" s="3" t="e">
        <f>LOOKUP(A22, TreatmentRankings[Study], TreatmentRankings[CorrectedWinner])</f>
        <v>#VALUE!</v>
      </c>
      <c r="W22" s="3" t="e">
        <f>LOOKUP(A22, StratumVariables[Study], StratumVariables[VariableName])</f>
        <v>#VALUE!</v>
      </c>
      <c r="X22" s="3" t="e">
        <f>LOOKUP(A22, StratumVariables[Study], StratumVariables[CausalRole])</f>
        <v>#VALUE!</v>
      </c>
      <c r="Y22" s="3" t="e">
        <f>AND(LOOKUP(A22, TreatmentRankings[Study], TreatmentRankings[StratumCount]) &gt;= 2, J22 = LOOKUP(A22, TreatmentRankings[Study], TreatmentRankings[StratumCount]) * 2)</f>
        <v>#VALUE!</v>
      </c>
      <c r="Z22" s="3" t="e">
        <f>IF(H22, "exempt-synthetic", IF(AND(Y22, LOOKUP(A22, StratumVariables[Study], StratumVariables[VariableName]) &lt;&gt; ""), "all", "partial"))</f>
        <v>#VALUE!</v>
      </c>
    </row>
    <row r="23">
      <c r="A23" s="2" t="s">
        <v>504</v>
      </c>
      <c r="B23" s="3" t="str">
        <f>A23</f>
        <v>pisa-immigration-2015</v>
      </c>
      <c r="C23" s="2" t="s">
        <v>505</v>
      </c>
      <c r="D23" s="2" t="s">
        <v>506</v>
      </c>
      <c r="E23" s="2" t="s">
        <v>507</v>
      </c>
      <c r="F23" s="4">
        <v>2015</v>
      </c>
      <c r="G23" s="2" t="s">
        <v>487</v>
      </c>
      <c r="H23" s="2" t="b">
        <v>0</v>
      </c>
      <c r="I23" s="5">
        <f>SUMIFS(CaseCells!G2:G999,CaseCells!C2:C999, A23)</f>
        <v>1220</v>
      </c>
      <c r="J23" s="5">
        <f>COUNTIFS(CaseCells!C2:C999, A23)</f>
        <v>4</v>
      </c>
      <c r="K23" s="2" t="s">
        <v>58</v>
      </c>
      <c r="L23" s="2" t="s">
        <v>433</v>
      </c>
      <c r="M23" s="3" t="e">
        <f>LOOKUP(K23, ResearchTraditions[TraditionId], ResearchTraditions[Name])</f>
        <v>#VALUE!</v>
      </c>
      <c r="N23" s="3" t="e">
        <f>LOOKUP(K23, ResearchTraditions[TraditionId], ResearchTraditions[CoreConcern])</f>
        <v>#VALUE!</v>
      </c>
      <c r="O23" s="3" t="e">
        <f>LOOKUP(L23, Researchers[ResearcherId], Researchers[Name])</f>
        <v>#VALUE!</v>
      </c>
      <c r="P23" s="3" t="e">
        <f>LOOKUP(L23, Researchers[ResearcherId], Researchers[Affiliation])</f>
        <v>#VALUE!</v>
      </c>
      <c r="Q23" s="3" t="e">
        <f>LOOKUP(A23, TreatmentRankings[Study], TreatmentRankings[DistortionType])</f>
        <v>#VALUE!</v>
      </c>
      <c r="R23" s="3" t="e">
        <f>LOOKUP(A23, TreatmentRankings[Study], TreatmentRankings[CorrectedPolicyImplication])</f>
        <v>#VALUE!</v>
      </c>
      <c r="S23" s="3" t="e">
        <f>LOOKUP(A23, TreatmentRankings[Study], TreatmentRankings[AllocationDistortion])</f>
        <v>#VALUE!</v>
      </c>
      <c r="T23" s="3" t="e">
        <f>LOOKUP(A23, TreatmentRankings[Study], TreatmentRankings[SignalPurity])</f>
        <v>#VALUE!</v>
      </c>
      <c r="U23" s="3" t="e">
        <f>LOOKUP(A23, TreatmentRankings[Study], TreatmentRankings[IsSignFlip])</f>
        <v>#VALUE!</v>
      </c>
      <c r="V23" s="3" t="e">
        <f>LOOKUP(A23, TreatmentRankings[Study], TreatmentRankings[CorrectedWinner])</f>
        <v>#VALUE!</v>
      </c>
      <c r="W23" s="3" t="e">
        <f>LOOKUP(A23, StratumVariables[Study], StratumVariables[VariableName])</f>
        <v>#VALUE!</v>
      </c>
      <c r="X23" s="3" t="e">
        <f>LOOKUP(A23, StratumVariables[Study], StratumVariables[CausalRole])</f>
        <v>#VALUE!</v>
      </c>
      <c r="Y23" s="3" t="e">
        <f>AND(LOOKUP(A23, TreatmentRankings[Study], TreatmentRankings[StratumCount]) &gt;= 2, J23 = LOOKUP(A23, TreatmentRankings[Study], TreatmentRankings[StratumCount]) * 2)</f>
        <v>#VALUE!</v>
      </c>
      <c r="Z23" s="3" t="e">
        <f>IF(H23, "exempt-synthetic", IF(AND(Y23, LOOKUP(A23, StratumVariables[Study], StratumVariables[VariableName]) &lt;&gt; ""), "all", "partial"))</f>
        <v>#VALUE!</v>
      </c>
    </row>
    <row r="24">
      <c r="A24" s="2" t="s">
        <v>508</v>
      </c>
      <c r="B24" s="3" t="str">
        <f>A24</f>
        <v>wainer-sat-states-1992</v>
      </c>
      <c r="C24" s="2" t="s">
        <v>509</v>
      </c>
      <c r="D24" s="2" t="s">
        <v>510</v>
      </c>
      <c r="E24" s="2" t="s">
        <v>423</v>
      </c>
      <c r="F24" s="4">
        <v>1992</v>
      </c>
      <c r="G24" s="2" t="s">
        <v>487</v>
      </c>
      <c r="H24" s="2" t="b">
        <v>0</v>
      </c>
      <c r="I24" s="5">
        <f>SUMIFS(CaseCells!G2:G999,CaseCells!C2:C999, A24)</f>
        <v>1350</v>
      </c>
      <c r="J24" s="5">
        <f>COUNTIFS(CaseCells!C2:C999, A24)</f>
        <v>4</v>
      </c>
      <c r="K24" s="2" t="s">
        <v>23</v>
      </c>
      <c r="L24" s="2" t="s">
        <v>419</v>
      </c>
      <c r="M24" s="3" t="e">
        <f>LOOKUP(K24, ResearchTraditions[TraditionId], ResearchTraditions[Name])</f>
        <v>#VALUE!</v>
      </c>
      <c r="N24" s="3" t="e">
        <f>LOOKUP(K24, ResearchTraditions[TraditionId], ResearchTraditions[CoreConcern])</f>
        <v>#VALUE!</v>
      </c>
      <c r="O24" s="3" t="e">
        <f>LOOKUP(L24, Researchers[ResearcherId], Researchers[Name])</f>
        <v>#VALUE!</v>
      </c>
      <c r="P24" s="3" t="e">
        <f>LOOKUP(L24, Researchers[ResearcherId], Researchers[Affiliation])</f>
        <v>#VALUE!</v>
      </c>
      <c r="Q24" s="3" t="e">
        <f>LOOKUP(A24, TreatmentRankings[Study], TreatmentRankings[DistortionType])</f>
        <v>#VALUE!</v>
      </c>
      <c r="R24" s="3" t="e">
        <f>LOOKUP(A24, TreatmentRankings[Study], TreatmentRankings[CorrectedPolicyImplication])</f>
        <v>#VALUE!</v>
      </c>
      <c r="S24" s="3" t="e">
        <f>LOOKUP(A24, TreatmentRankings[Study], TreatmentRankings[AllocationDistortion])</f>
        <v>#VALUE!</v>
      </c>
      <c r="T24" s="3" t="e">
        <f>LOOKUP(A24, TreatmentRankings[Study], TreatmentRankings[SignalPurity])</f>
        <v>#VALUE!</v>
      </c>
      <c r="U24" s="3" t="e">
        <f>LOOKUP(A24, TreatmentRankings[Study], TreatmentRankings[IsSignFlip])</f>
        <v>#VALUE!</v>
      </c>
      <c r="V24" s="3" t="e">
        <f>LOOKUP(A24, TreatmentRankings[Study], TreatmentRankings[CorrectedWinner])</f>
        <v>#VALUE!</v>
      </c>
      <c r="W24" s="3" t="e">
        <f>LOOKUP(A24, StratumVariables[Study], StratumVariables[VariableName])</f>
        <v>#VALUE!</v>
      </c>
      <c r="X24" s="3" t="e">
        <f>LOOKUP(A24, StratumVariables[Study], StratumVariables[CausalRole])</f>
        <v>#VALUE!</v>
      </c>
      <c r="Y24" s="3" t="e">
        <f>AND(LOOKUP(A24, TreatmentRankings[Study], TreatmentRankings[StratumCount]) &gt;= 2, J24 = LOOKUP(A24, TreatmentRankings[Study], TreatmentRankings[StratumCount]) * 2)</f>
        <v>#VALUE!</v>
      </c>
      <c r="Z24" s="3" t="e">
        <f>IF(H24, "exempt-synthetic", IF(AND(Y24, LOOKUP(A24, StratumVariables[Study], StratumVariables[VariableName]) &lt;&gt; ""), "all", "partial"))</f>
        <v>#VALUE!</v>
      </c>
    </row>
    <row r="25">
      <c r="A25" s="2" t="s">
        <v>511</v>
      </c>
      <c r="B25" s="3" t="str">
        <f>A25</f>
        <v>folic-acid-neural-tube-1991</v>
      </c>
      <c r="C25" s="2" t="s">
        <v>512</v>
      </c>
      <c r="D25" s="2" t="s">
        <v>513</v>
      </c>
      <c r="E25" s="2" t="s">
        <v>514</v>
      </c>
      <c r="F25" s="4">
        <v>1992</v>
      </c>
      <c r="G25" s="2" t="s">
        <v>418</v>
      </c>
      <c r="H25" s="2" t="b">
        <v>0</v>
      </c>
      <c r="I25" s="5">
        <f>SUMIFS(CaseCells!G2:G999,CaseCells!C2:C999, A25)</f>
        <v>4156</v>
      </c>
      <c r="J25" s="5">
        <f>COUNTIFS(CaseCells!C2:C999, A25)</f>
        <v>4</v>
      </c>
      <c r="K25" s="2" t="s">
        <v>58</v>
      </c>
      <c r="L25" s="2" t="s">
        <v>433</v>
      </c>
      <c r="M25" s="3" t="e">
        <f>LOOKUP(K25, ResearchTraditions[TraditionId], ResearchTraditions[Name])</f>
        <v>#VALUE!</v>
      </c>
      <c r="N25" s="3" t="e">
        <f>LOOKUP(K25, ResearchTraditions[TraditionId], ResearchTraditions[CoreConcern])</f>
        <v>#VALUE!</v>
      </c>
      <c r="O25" s="3" t="e">
        <f>LOOKUP(L25, Researchers[ResearcherId], Researchers[Name])</f>
        <v>#VALUE!</v>
      </c>
      <c r="P25" s="3" t="e">
        <f>LOOKUP(L25, Researchers[ResearcherId], Researchers[Affiliation])</f>
        <v>#VALUE!</v>
      </c>
      <c r="Q25" s="3" t="e">
        <f>LOOKUP(A25, TreatmentRankings[Study], TreatmentRankings[DistortionType])</f>
        <v>#VALUE!</v>
      </c>
      <c r="R25" s="3" t="e">
        <f>LOOKUP(A25, TreatmentRankings[Study], TreatmentRankings[CorrectedPolicyImplication])</f>
        <v>#VALUE!</v>
      </c>
      <c r="S25" s="3" t="e">
        <f>LOOKUP(A25, TreatmentRankings[Study], TreatmentRankings[AllocationDistortion])</f>
        <v>#VALUE!</v>
      </c>
      <c r="T25" s="3" t="e">
        <f>LOOKUP(A25, TreatmentRankings[Study], TreatmentRankings[SignalPurity])</f>
        <v>#VALUE!</v>
      </c>
      <c r="U25" s="3" t="e">
        <f>LOOKUP(A25, TreatmentRankings[Study], TreatmentRankings[IsSignFlip])</f>
        <v>#VALUE!</v>
      </c>
      <c r="V25" s="3" t="e">
        <f>LOOKUP(A25, TreatmentRankings[Study], TreatmentRankings[CorrectedWinner])</f>
        <v>#VALUE!</v>
      </c>
      <c r="W25" s="3" t="e">
        <f>LOOKUP(A25, StratumVariables[Study], StratumVariables[VariableName])</f>
        <v>#VALUE!</v>
      </c>
      <c r="X25" s="3" t="e">
        <f>LOOKUP(A25, StratumVariables[Study], StratumVariables[CausalRole])</f>
        <v>#VALUE!</v>
      </c>
      <c r="Y25" s="3" t="e">
        <f>AND(LOOKUP(A25, TreatmentRankings[Study], TreatmentRankings[StratumCount]) &gt;= 2, J25 = LOOKUP(A25, TreatmentRankings[Study], TreatmentRankings[StratumCount]) * 2)</f>
        <v>#VALUE!</v>
      </c>
      <c r="Z25" s="3" t="e">
        <f>IF(H25, "exempt-synthetic", IF(AND(Y25, LOOKUP(A25, StratumVariables[Study], StratumVariables[VariableName]) &lt;&gt; ""), "all", "partial"))</f>
        <v>#VALUE!</v>
      </c>
    </row>
    <row r="26">
      <c r="A26" s="2" t="s">
        <v>515</v>
      </c>
      <c r="B26" s="3" t="str">
        <f>A26</f>
        <v>steroid-asthma-severity</v>
      </c>
      <c r="C26" s="2" t="s">
        <v>516</v>
      </c>
      <c r="D26" s="2" t="s">
        <v>517</v>
      </c>
      <c r="E26" s="2" t="s">
        <v>423</v>
      </c>
      <c r="F26" s="4">
        <v>1998</v>
      </c>
      <c r="G26" s="2" t="s">
        <v>418</v>
      </c>
      <c r="H26" s="2" t="b">
        <v>0</v>
      </c>
      <c r="I26" s="5">
        <f>SUMIFS(CaseCells!G2:G999,CaseCells!C2:C999, A26)</f>
        <v>650</v>
      </c>
      <c r="J26" s="5">
        <f>COUNTIFS(CaseCells!C2:C999, A26)</f>
        <v>4</v>
      </c>
      <c r="K26" s="2" t="s">
        <v>58</v>
      </c>
      <c r="L26" s="2" t="s">
        <v>433</v>
      </c>
      <c r="M26" s="3" t="e">
        <f>LOOKUP(K26, ResearchTraditions[TraditionId], ResearchTraditions[Name])</f>
        <v>#VALUE!</v>
      </c>
      <c r="N26" s="3" t="e">
        <f>LOOKUP(K26, ResearchTraditions[TraditionId], ResearchTraditions[CoreConcern])</f>
        <v>#VALUE!</v>
      </c>
      <c r="O26" s="3" t="e">
        <f>LOOKUP(L26, Researchers[ResearcherId], Researchers[Name])</f>
        <v>#VALUE!</v>
      </c>
      <c r="P26" s="3" t="e">
        <f>LOOKUP(L26, Researchers[ResearcherId], Researchers[Affiliation])</f>
        <v>#VALUE!</v>
      </c>
      <c r="Q26" s="3" t="e">
        <f>LOOKUP(A26, TreatmentRankings[Study], TreatmentRankings[DistortionType])</f>
        <v>#VALUE!</v>
      </c>
      <c r="R26" s="3" t="e">
        <f>LOOKUP(A26, TreatmentRankings[Study], TreatmentRankings[CorrectedPolicyImplication])</f>
        <v>#VALUE!</v>
      </c>
      <c r="S26" s="3" t="e">
        <f>LOOKUP(A26, TreatmentRankings[Study], TreatmentRankings[AllocationDistortion])</f>
        <v>#VALUE!</v>
      </c>
      <c r="T26" s="3" t="e">
        <f>LOOKUP(A26, TreatmentRankings[Study], TreatmentRankings[SignalPurity])</f>
        <v>#VALUE!</v>
      </c>
      <c r="U26" s="3" t="e">
        <f>LOOKUP(A26, TreatmentRankings[Study], TreatmentRankings[IsSignFlip])</f>
        <v>#VALUE!</v>
      </c>
      <c r="V26" s="3" t="e">
        <f>LOOKUP(A26, TreatmentRankings[Study], TreatmentRankings[CorrectedWinner])</f>
        <v>#VALUE!</v>
      </c>
      <c r="W26" s="3" t="e">
        <f>LOOKUP(A26, StratumVariables[Study], StratumVariables[VariableName])</f>
        <v>#VALUE!</v>
      </c>
      <c r="X26" s="3" t="e">
        <f>LOOKUP(A26, StratumVariables[Study], StratumVariables[CausalRole])</f>
        <v>#VALUE!</v>
      </c>
      <c r="Y26" s="3" t="e">
        <f>AND(LOOKUP(A26, TreatmentRankings[Study], TreatmentRankings[StratumCount]) &gt;= 2, J26 = LOOKUP(A26, TreatmentRankings[Study], TreatmentRankings[StratumCount]) * 2)</f>
        <v>#VALUE!</v>
      </c>
      <c r="Z26" s="3" t="e">
        <f>IF(H26, "exempt-synthetic", IF(AND(Y26, LOOKUP(A26, StratumVariables[Study], StratumVariables[VariableName]) &lt;&gt; ""), "all", "partial"))</f>
        <v>#VALUE!</v>
      </c>
    </row>
    <row r="27">
      <c r="A27" s="2" t="s">
        <v>518</v>
      </c>
      <c r="B27" s="3" t="str">
        <f>A27</f>
        <v>kidney-dialysis-facility-1990</v>
      </c>
      <c r="C27" s="2" t="s">
        <v>519</v>
      </c>
      <c r="D27" s="2" t="s">
        <v>520</v>
      </c>
      <c r="E27" s="2" t="s">
        <v>423</v>
      </c>
      <c r="F27" s="4">
        <v>1990</v>
      </c>
      <c r="G27" s="2" t="s">
        <v>418</v>
      </c>
      <c r="H27" s="2" t="b">
        <v>0</v>
      </c>
      <c r="I27" s="5">
        <f>SUMIFS(CaseCells!G2:G999,CaseCells!C2:C999, A27)</f>
        <v>400</v>
      </c>
      <c r="J27" s="5">
        <f>COUNTIFS(CaseCells!C2:C999, A27)</f>
        <v>4</v>
      </c>
      <c r="K27" s="2" t="s">
        <v>58</v>
      </c>
      <c r="L27" s="2" t="s">
        <v>447</v>
      </c>
      <c r="M27" s="3" t="e">
        <f>LOOKUP(K27, ResearchTraditions[TraditionId], ResearchTraditions[Name])</f>
        <v>#VALUE!</v>
      </c>
      <c r="N27" s="3" t="e">
        <f>LOOKUP(K27, ResearchTraditions[TraditionId], ResearchTraditions[CoreConcern])</f>
        <v>#VALUE!</v>
      </c>
      <c r="O27" s="3" t="e">
        <f>LOOKUP(L27, Researchers[ResearcherId], Researchers[Name])</f>
        <v>#VALUE!</v>
      </c>
      <c r="P27" s="3" t="e">
        <f>LOOKUP(L27, Researchers[ResearcherId], Researchers[Affiliation])</f>
        <v>#VALUE!</v>
      </c>
      <c r="Q27" s="3" t="e">
        <f>LOOKUP(A27, TreatmentRankings[Study], TreatmentRankings[DistortionType])</f>
        <v>#VALUE!</v>
      </c>
      <c r="R27" s="3" t="e">
        <f>LOOKUP(A27, TreatmentRankings[Study], TreatmentRankings[CorrectedPolicyImplication])</f>
        <v>#VALUE!</v>
      </c>
      <c r="S27" s="3" t="e">
        <f>LOOKUP(A27, TreatmentRankings[Study], TreatmentRankings[AllocationDistortion])</f>
        <v>#VALUE!</v>
      </c>
      <c r="T27" s="3" t="e">
        <f>LOOKUP(A27, TreatmentRankings[Study], TreatmentRankings[SignalPurity])</f>
        <v>#VALUE!</v>
      </c>
      <c r="U27" s="3" t="e">
        <f>LOOKUP(A27, TreatmentRankings[Study], TreatmentRankings[IsSignFlip])</f>
        <v>#VALUE!</v>
      </c>
      <c r="V27" s="3" t="e">
        <f>LOOKUP(A27, TreatmentRankings[Study], TreatmentRankings[CorrectedWinner])</f>
        <v>#VALUE!</v>
      </c>
      <c r="W27" s="3" t="e">
        <f>LOOKUP(A27, StratumVariables[Study], StratumVariables[VariableName])</f>
        <v>#VALUE!</v>
      </c>
      <c r="X27" s="3" t="e">
        <f>LOOKUP(A27, StratumVariables[Study], StratumVariables[CausalRole])</f>
        <v>#VALUE!</v>
      </c>
      <c r="Y27" s="3" t="e">
        <f>AND(LOOKUP(A27, TreatmentRankings[Study], TreatmentRankings[StratumCount]) &gt;= 2, J27 = LOOKUP(A27, TreatmentRankings[Study], TreatmentRankings[StratumCount]) * 2)</f>
        <v>#VALUE!</v>
      </c>
      <c r="Z27" s="3" t="e">
        <f>IF(H27, "exempt-synthetic", IF(AND(Y27, LOOKUP(A27, StratumVariables[Study], StratumVariables[VariableName]) &lt;&gt; ""), "all", "partial"))</f>
        <v>#VALUE!</v>
      </c>
    </row>
    <row r="28">
      <c r="A28" s="2" t="s">
        <v>521</v>
      </c>
      <c r="B28" s="3" t="str">
        <f>A28</f>
        <v>warfarin-bleeding-age</v>
      </c>
      <c r="C28" s="2" t="s">
        <v>522</v>
      </c>
      <c r="D28" s="2" t="s">
        <v>523</v>
      </c>
      <c r="E28" s="2" t="s">
        <v>423</v>
      </c>
      <c r="F28" s="4">
        <v>2005</v>
      </c>
      <c r="G28" s="2" t="s">
        <v>418</v>
      </c>
      <c r="H28" s="2" t="b">
        <v>0</v>
      </c>
      <c r="I28" s="5">
        <f>SUMIFS(CaseCells!G2:G999,CaseCells!C2:C999, A28)</f>
        <v>1400</v>
      </c>
      <c r="J28" s="5">
        <f>COUNTIFS(CaseCells!C2:C999, A28)</f>
        <v>4</v>
      </c>
      <c r="K28" s="2" t="s">
        <v>58</v>
      </c>
      <c r="L28" s="2" t="s">
        <v>447</v>
      </c>
      <c r="M28" s="3" t="e">
        <f>LOOKUP(K28, ResearchTraditions[TraditionId], ResearchTraditions[Name])</f>
        <v>#VALUE!</v>
      </c>
      <c r="N28" s="3" t="e">
        <f>LOOKUP(K28, ResearchTraditions[TraditionId], ResearchTraditions[CoreConcern])</f>
        <v>#VALUE!</v>
      </c>
      <c r="O28" s="3" t="e">
        <f>LOOKUP(L28, Researchers[ResearcherId], Researchers[Name])</f>
        <v>#VALUE!</v>
      </c>
      <c r="P28" s="3" t="e">
        <f>LOOKUP(L28, Researchers[ResearcherId], Researchers[Affiliation])</f>
        <v>#VALUE!</v>
      </c>
      <c r="Q28" s="3" t="e">
        <f>LOOKUP(A28, TreatmentRankings[Study], TreatmentRankings[DistortionType])</f>
        <v>#VALUE!</v>
      </c>
      <c r="R28" s="3" t="e">
        <f>LOOKUP(A28, TreatmentRankings[Study], TreatmentRankings[CorrectedPolicyImplication])</f>
        <v>#VALUE!</v>
      </c>
      <c r="S28" s="3" t="e">
        <f>LOOKUP(A28, TreatmentRankings[Study], TreatmentRankings[AllocationDistortion])</f>
        <v>#VALUE!</v>
      </c>
      <c r="T28" s="3" t="e">
        <f>LOOKUP(A28, TreatmentRankings[Study], TreatmentRankings[SignalPurity])</f>
        <v>#VALUE!</v>
      </c>
      <c r="U28" s="3" t="e">
        <f>LOOKUP(A28, TreatmentRankings[Study], TreatmentRankings[IsSignFlip])</f>
        <v>#VALUE!</v>
      </c>
      <c r="V28" s="3" t="e">
        <f>LOOKUP(A28, TreatmentRankings[Study], TreatmentRankings[CorrectedWinner])</f>
        <v>#VALUE!</v>
      </c>
      <c r="W28" s="3" t="e">
        <f>LOOKUP(A28, StratumVariables[Study], StratumVariables[VariableName])</f>
        <v>#VALUE!</v>
      </c>
      <c r="X28" s="3" t="e">
        <f>LOOKUP(A28, StratumVariables[Study], StratumVariables[CausalRole])</f>
        <v>#VALUE!</v>
      </c>
      <c r="Y28" s="3" t="e">
        <f>AND(LOOKUP(A28, TreatmentRankings[Study], TreatmentRankings[StratumCount]) &gt;= 2, J28 = LOOKUP(A28, TreatmentRankings[Study], TreatmentRankings[StratumCount]) * 2)</f>
        <v>#VALUE!</v>
      </c>
      <c r="Z28" s="3" t="e">
        <f>IF(H28, "exempt-synthetic", IF(AND(Y28, LOOKUP(A28, StratumVariables[Study], StratumVariables[VariableName]) &lt;&gt; ""), "all", "partial"))</f>
        <v>#VALUE!</v>
      </c>
    </row>
    <row r="29">
      <c r="A29" s="2" t="s">
        <v>524</v>
      </c>
      <c r="B29" s="3" t="str">
        <f>A29</f>
        <v>diabetes-metformin-bmi</v>
      </c>
      <c r="C29" s="2" t="s">
        <v>525</v>
      </c>
      <c r="D29" s="2" t="s">
        <v>526</v>
      </c>
      <c r="E29" s="2" t="s">
        <v>423</v>
      </c>
      <c r="F29" s="4">
        <v>2010</v>
      </c>
      <c r="G29" s="2" t="s">
        <v>418</v>
      </c>
      <c r="H29" s="2" t="b">
        <v>0</v>
      </c>
      <c r="I29" s="5">
        <f>SUMIFS(CaseCells!G2:G999,CaseCells!C2:C999, A29)</f>
        <v>900</v>
      </c>
      <c r="J29" s="5">
        <f>COUNTIFS(CaseCells!C2:C999, A29)</f>
        <v>4</v>
      </c>
      <c r="K29" s="2" t="s">
        <v>58</v>
      </c>
      <c r="L29" s="2" t="s">
        <v>433</v>
      </c>
      <c r="M29" s="3" t="e">
        <f>LOOKUP(K29, ResearchTraditions[TraditionId], ResearchTraditions[Name])</f>
        <v>#VALUE!</v>
      </c>
      <c r="N29" s="3" t="e">
        <f>LOOKUP(K29, ResearchTraditions[TraditionId], ResearchTraditions[CoreConcern])</f>
        <v>#VALUE!</v>
      </c>
      <c r="O29" s="3" t="e">
        <f>LOOKUP(L29, Researchers[ResearcherId], Researchers[Name])</f>
        <v>#VALUE!</v>
      </c>
      <c r="P29" s="3" t="e">
        <f>LOOKUP(L29, Researchers[ResearcherId], Researchers[Affiliation])</f>
        <v>#VALUE!</v>
      </c>
      <c r="Q29" s="3" t="e">
        <f>LOOKUP(A29, TreatmentRankings[Study], TreatmentRankings[DistortionType])</f>
        <v>#VALUE!</v>
      </c>
      <c r="R29" s="3" t="e">
        <f>LOOKUP(A29, TreatmentRankings[Study], TreatmentRankings[CorrectedPolicyImplication])</f>
        <v>#VALUE!</v>
      </c>
      <c r="S29" s="3" t="e">
        <f>LOOKUP(A29, TreatmentRankings[Study], TreatmentRankings[AllocationDistortion])</f>
        <v>#VALUE!</v>
      </c>
      <c r="T29" s="3" t="e">
        <f>LOOKUP(A29, TreatmentRankings[Study], TreatmentRankings[SignalPurity])</f>
        <v>#VALUE!</v>
      </c>
      <c r="U29" s="3" t="e">
        <f>LOOKUP(A29, TreatmentRankings[Study], TreatmentRankings[IsSignFlip])</f>
        <v>#VALUE!</v>
      </c>
      <c r="V29" s="3" t="e">
        <f>LOOKUP(A29, TreatmentRankings[Study], TreatmentRankings[CorrectedWinner])</f>
        <v>#VALUE!</v>
      </c>
      <c r="W29" s="3" t="e">
        <f>LOOKUP(A29, StratumVariables[Study], StratumVariables[VariableName])</f>
        <v>#VALUE!</v>
      </c>
      <c r="X29" s="3" t="e">
        <f>LOOKUP(A29, StratumVariables[Study], StratumVariables[CausalRole])</f>
        <v>#VALUE!</v>
      </c>
      <c r="Y29" s="3" t="e">
        <f>AND(LOOKUP(A29, TreatmentRankings[Study], TreatmentRankings[StratumCount]) &gt;= 2, J29 = LOOKUP(A29, TreatmentRankings[Study], TreatmentRankings[StratumCount]) * 2)</f>
        <v>#VALUE!</v>
      </c>
      <c r="Z29" s="3" t="e">
        <f>IF(H29, "exempt-synthetic", IF(AND(Y29, LOOKUP(A29, StratumVariables[Study], StratumVariables[VariableName]) &lt;&gt; ""), "all", "partial"))</f>
        <v>#VALUE!</v>
      </c>
    </row>
    <row r="30">
      <c r="A30" s="2" t="s">
        <v>527</v>
      </c>
      <c r="B30" s="3" t="str">
        <f>A30</f>
        <v>oncology-trial-stage</v>
      </c>
      <c r="C30" s="2" t="s">
        <v>528</v>
      </c>
      <c r="D30" s="2" t="s">
        <v>529</v>
      </c>
      <c r="E30" s="2" t="s">
        <v>423</v>
      </c>
      <c r="F30" s="4">
        <v>2008</v>
      </c>
      <c r="G30" s="2" t="s">
        <v>418</v>
      </c>
      <c r="H30" s="2" t="b">
        <v>0</v>
      </c>
      <c r="I30" s="5">
        <f>SUMIFS(CaseCells!G2:G999,CaseCells!C2:C999, A30)</f>
        <v>600</v>
      </c>
      <c r="J30" s="5">
        <f>COUNTIFS(CaseCells!C2:C999, A30)</f>
        <v>4</v>
      </c>
      <c r="K30" s="2" t="s">
        <v>58</v>
      </c>
      <c r="L30" s="2" t="s">
        <v>433</v>
      </c>
      <c r="M30" s="3" t="e">
        <f>LOOKUP(K30, ResearchTraditions[TraditionId], ResearchTraditions[Name])</f>
        <v>#VALUE!</v>
      </c>
      <c r="N30" s="3" t="e">
        <f>LOOKUP(K30, ResearchTraditions[TraditionId], ResearchTraditions[CoreConcern])</f>
        <v>#VALUE!</v>
      </c>
      <c r="O30" s="3" t="e">
        <f>LOOKUP(L30, Researchers[ResearcherId], Researchers[Name])</f>
        <v>#VALUE!</v>
      </c>
      <c r="P30" s="3" t="e">
        <f>LOOKUP(L30, Researchers[ResearcherId], Researchers[Affiliation])</f>
        <v>#VALUE!</v>
      </c>
      <c r="Q30" s="3" t="e">
        <f>LOOKUP(A30, TreatmentRankings[Study], TreatmentRankings[DistortionType])</f>
        <v>#VALUE!</v>
      </c>
      <c r="R30" s="3" t="e">
        <f>LOOKUP(A30, TreatmentRankings[Study], TreatmentRankings[CorrectedPolicyImplication])</f>
        <v>#VALUE!</v>
      </c>
      <c r="S30" s="3" t="e">
        <f>LOOKUP(A30, TreatmentRankings[Study], TreatmentRankings[AllocationDistortion])</f>
        <v>#VALUE!</v>
      </c>
      <c r="T30" s="3" t="e">
        <f>LOOKUP(A30, TreatmentRankings[Study], TreatmentRankings[SignalPurity])</f>
        <v>#VALUE!</v>
      </c>
      <c r="U30" s="3" t="e">
        <f>LOOKUP(A30, TreatmentRankings[Study], TreatmentRankings[IsSignFlip])</f>
        <v>#VALUE!</v>
      </c>
      <c r="V30" s="3" t="e">
        <f>LOOKUP(A30, TreatmentRankings[Study], TreatmentRankings[CorrectedWinner])</f>
        <v>#VALUE!</v>
      </c>
      <c r="W30" s="3" t="e">
        <f>LOOKUP(A30, StratumVariables[Study], StratumVariables[VariableName])</f>
        <v>#VALUE!</v>
      </c>
      <c r="X30" s="3" t="e">
        <f>LOOKUP(A30, StratumVariables[Study], StratumVariables[CausalRole])</f>
        <v>#VALUE!</v>
      </c>
      <c r="Y30" s="3" t="e">
        <f>AND(LOOKUP(A30, TreatmentRankings[Study], TreatmentRankings[StratumCount]) &gt;= 2, J30 = LOOKUP(A30, TreatmentRankings[Study], TreatmentRankings[StratumCount]) * 2)</f>
        <v>#VALUE!</v>
      </c>
      <c r="Z30" s="3" t="e">
        <f>IF(H30, "exempt-synthetic", IF(AND(Y30, LOOKUP(A30, StratumVariables[Study], StratumVariables[VariableName]) &lt;&gt; ""), "all", "partial"))</f>
        <v>#VALUE!</v>
      </c>
    </row>
    <row r="31">
      <c r="A31" s="2" t="s">
        <v>530</v>
      </c>
      <c r="B31" s="3" t="str">
        <f>A31</f>
        <v>exercise-cholesterol-age</v>
      </c>
      <c r="C31" s="2" t="s">
        <v>531</v>
      </c>
      <c r="D31" s="2" t="s">
        <v>532</v>
      </c>
      <c r="E31" s="2" t="s">
        <v>423</v>
      </c>
      <c r="F31" s="4">
        <v>1995</v>
      </c>
      <c r="G31" s="2" t="s">
        <v>441</v>
      </c>
      <c r="H31" s="2" t="b">
        <v>0</v>
      </c>
      <c r="I31" s="5">
        <f>SUMIFS(CaseCells!G2:G999,CaseCells!C2:C999, A31)</f>
        <v>1050</v>
      </c>
      <c r="J31" s="5">
        <f>COUNTIFS(CaseCells!C2:C999, A31)</f>
        <v>4</v>
      </c>
      <c r="K31" s="2" t="s">
        <v>58</v>
      </c>
      <c r="L31" s="2" t="s">
        <v>433</v>
      </c>
      <c r="M31" s="3" t="e">
        <f>LOOKUP(K31, ResearchTraditions[TraditionId], ResearchTraditions[Name])</f>
        <v>#VALUE!</v>
      </c>
      <c r="N31" s="3" t="e">
        <f>LOOKUP(K31, ResearchTraditions[TraditionId], ResearchTraditions[CoreConcern])</f>
        <v>#VALUE!</v>
      </c>
      <c r="O31" s="3" t="e">
        <f>LOOKUP(L31, Researchers[ResearcherId], Researchers[Name])</f>
        <v>#VALUE!</v>
      </c>
      <c r="P31" s="3" t="e">
        <f>LOOKUP(L31, Researchers[ResearcherId], Researchers[Affiliation])</f>
        <v>#VALUE!</v>
      </c>
      <c r="Q31" s="3" t="e">
        <f>LOOKUP(A31, TreatmentRankings[Study], TreatmentRankings[DistortionType])</f>
        <v>#VALUE!</v>
      </c>
      <c r="R31" s="3" t="e">
        <f>LOOKUP(A31, TreatmentRankings[Study], TreatmentRankings[CorrectedPolicyImplication])</f>
        <v>#VALUE!</v>
      </c>
      <c r="S31" s="3" t="e">
        <f>LOOKUP(A31, TreatmentRankings[Study], TreatmentRankings[AllocationDistortion])</f>
        <v>#VALUE!</v>
      </c>
      <c r="T31" s="3" t="e">
        <f>LOOKUP(A31, TreatmentRankings[Study], TreatmentRankings[SignalPurity])</f>
        <v>#VALUE!</v>
      </c>
      <c r="U31" s="3" t="e">
        <f>LOOKUP(A31, TreatmentRankings[Study], TreatmentRankings[IsSignFlip])</f>
        <v>#VALUE!</v>
      </c>
      <c r="V31" s="3" t="e">
        <f>LOOKUP(A31, TreatmentRankings[Study], TreatmentRankings[CorrectedWinner])</f>
        <v>#VALUE!</v>
      </c>
      <c r="W31" s="3" t="e">
        <f>LOOKUP(A31, StratumVariables[Study], StratumVariables[VariableName])</f>
        <v>#VALUE!</v>
      </c>
      <c r="X31" s="3" t="e">
        <f>LOOKUP(A31, StratumVariables[Study], StratumVariables[CausalRole])</f>
        <v>#VALUE!</v>
      </c>
      <c r="Y31" s="3" t="e">
        <f>AND(LOOKUP(A31, TreatmentRankings[Study], TreatmentRankings[StratumCount]) &gt;= 2, J31 = LOOKUP(A31, TreatmentRankings[Study], TreatmentRankings[StratumCount]) * 2)</f>
        <v>#VALUE!</v>
      </c>
      <c r="Z31" s="3" t="e">
        <f>IF(H31, "exempt-synthetic", IF(AND(Y31, LOOKUP(A31, StratumVariables[Study], StratumVariables[VariableName]) &lt;&gt; ""), "all", "partial"))</f>
        <v>#VALUE!</v>
      </c>
    </row>
    <row r="32">
      <c r="A32" s="2" t="s">
        <v>533</v>
      </c>
      <c r="B32" s="3" t="str">
        <f>A32</f>
        <v>red-meat-colorectal-bmi</v>
      </c>
      <c r="C32" s="2" t="s">
        <v>534</v>
      </c>
      <c r="D32" s="2" t="s">
        <v>535</v>
      </c>
      <c r="E32" s="2" t="s">
        <v>423</v>
      </c>
      <c r="F32" s="4">
        <v>2003</v>
      </c>
      <c r="G32" s="2" t="s">
        <v>441</v>
      </c>
      <c r="H32" s="2" t="b">
        <v>0</v>
      </c>
      <c r="I32" s="5">
        <f>SUMIFS(CaseCells!G2:G999,CaseCells!C2:C999, A32)</f>
        <v>1850</v>
      </c>
      <c r="J32" s="5">
        <f>COUNTIFS(CaseCells!C2:C999, A32)</f>
        <v>4</v>
      </c>
      <c r="K32" s="2" t="s">
        <v>58</v>
      </c>
      <c r="L32" s="2" t="s">
        <v>433</v>
      </c>
      <c r="M32" s="3" t="e">
        <f>LOOKUP(K32, ResearchTraditions[TraditionId], ResearchTraditions[Name])</f>
        <v>#VALUE!</v>
      </c>
      <c r="N32" s="3" t="e">
        <f>LOOKUP(K32, ResearchTraditions[TraditionId], ResearchTraditions[CoreConcern])</f>
        <v>#VALUE!</v>
      </c>
      <c r="O32" s="3" t="e">
        <f>LOOKUP(L32, Researchers[ResearcherId], Researchers[Name])</f>
        <v>#VALUE!</v>
      </c>
      <c r="P32" s="3" t="e">
        <f>LOOKUP(L32, Researchers[ResearcherId], Researchers[Affiliation])</f>
        <v>#VALUE!</v>
      </c>
      <c r="Q32" s="3" t="e">
        <f>LOOKUP(A32, TreatmentRankings[Study], TreatmentRankings[DistortionType])</f>
        <v>#VALUE!</v>
      </c>
      <c r="R32" s="3" t="e">
        <f>LOOKUP(A32, TreatmentRankings[Study], TreatmentRankings[CorrectedPolicyImplication])</f>
        <v>#VALUE!</v>
      </c>
      <c r="S32" s="3" t="e">
        <f>LOOKUP(A32, TreatmentRankings[Study], TreatmentRankings[AllocationDistortion])</f>
        <v>#VALUE!</v>
      </c>
      <c r="T32" s="3" t="e">
        <f>LOOKUP(A32, TreatmentRankings[Study], TreatmentRankings[SignalPurity])</f>
        <v>#VALUE!</v>
      </c>
      <c r="U32" s="3" t="e">
        <f>LOOKUP(A32, TreatmentRankings[Study], TreatmentRankings[IsSignFlip])</f>
        <v>#VALUE!</v>
      </c>
      <c r="V32" s="3" t="e">
        <f>LOOKUP(A32, TreatmentRankings[Study], TreatmentRankings[CorrectedWinner])</f>
        <v>#VALUE!</v>
      </c>
      <c r="W32" s="3" t="e">
        <f>LOOKUP(A32, StratumVariables[Study], StratumVariables[VariableName])</f>
        <v>#VALUE!</v>
      </c>
      <c r="X32" s="3" t="e">
        <f>LOOKUP(A32, StratumVariables[Study], StratumVariables[CausalRole])</f>
        <v>#VALUE!</v>
      </c>
      <c r="Y32" s="3" t="e">
        <f>AND(LOOKUP(A32, TreatmentRankings[Study], TreatmentRankings[StratumCount]) &gt;= 2, J32 = LOOKUP(A32, TreatmentRankings[Study], TreatmentRankings[StratumCount]) * 2)</f>
        <v>#VALUE!</v>
      </c>
      <c r="Z32" s="3" t="e">
        <f>IF(H32, "exempt-synthetic", IF(AND(Y32, LOOKUP(A32, StratumVariables[Study], StratumVariables[VariableName]) &lt;&gt; ""), "all", "partial"))</f>
        <v>#VALUE!</v>
      </c>
    </row>
    <row r="33">
      <c r="A33" s="2" t="s">
        <v>536</v>
      </c>
      <c r="B33" s="3" t="str">
        <f>A33</f>
        <v>folic-fortification-2000</v>
      </c>
      <c r="C33" s="2" t="s">
        <v>537</v>
      </c>
      <c r="D33" s="2" t="s">
        <v>538</v>
      </c>
      <c r="E33" s="2" t="s">
        <v>423</v>
      </c>
      <c r="F33" s="4">
        <v>2000</v>
      </c>
      <c r="G33" s="2" t="s">
        <v>441</v>
      </c>
      <c r="H33" s="2" t="b">
        <v>0</v>
      </c>
      <c r="I33" s="5">
        <f>SUMIFS(CaseCells!G2:G999,CaseCells!C2:C999, A33)</f>
        <v>6000</v>
      </c>
      <c r="J33" s="5">
        <f>COUNTIFS(CaseCells!C2:C999, A33)</f>
        <v>6</v>
      </c>
      <c r="K33" s="2" t="s">
        <v>58</v>
      </c>
      <c r="L33" s="2" t="s">
        <v>433</v>
      </c>
      <c r="M33" s="3" t="e">
        <f>LOOKUP(K33, ResearchTraditions[TraditionId], ResearchTraditions[Name])</f>
        <v>#VALUE!</v>
      </c>
      <c r="N33" s="3" t="e">
        <f>LOOKUP(K33, ResearchTraditions[TraditionId], ResearchTraditions[CoreConcern])</f>
        <v>#VALUE!</v>
      </c>
      <c r="O33" s="3" t="e">
        <f>LOOKUP(L33, Researchers[ResearcherId], Researchers[Name])</f>
        <v>#VALUE!</v>
      </c>
      <c r="P33" s="3" t="e">
        <f>LOOKUP(L33, Researchers[ResearcherId], Researchers[Affiliation])</f>
        <v>#VALUE!</v>
      </c>
      <c r="Q33" s="3" t="e">
        <f>LOOKUP(A33, TreatmentRankings[Study], TreatmentRankings[DistortionType])</f>
        <v>#VALUE!</v>
      </c>
      <c r="R33" s="3" t="e">
        <f>LOOKUP(A33, TreatmentRankings[Study], TreatmentRankings[CorrectedPolicyImplication])</f>
        <v>#VALUE!</v>
      </c>
      <c r="S33" s="3" t="e">
        <f>LOOKUP(A33, TreatmentRankings[Study], TreatmentRankings[AllocationDistortion])</f>
        <v>#VALUE!</v>
      </c>
      <c r="T33" s="3" t="e">
        <f>LOOKUP(A33, TreatmentRankings[Study], TreatmentRankings[SignalPurity])</f>
        <v>#VALUE!</v>
      </c>
      <c r="U33" s="3" t="e">
        <f>LOOKUP(A33, TreatmentRankings[Study], TreatmentRankings[IsSignFlip])</f>
        <v>#VALUE!</v>
      </c>
      <c r="V33" s="3" t="e">
        <f>LOOKUP(A33, TreatmentRankings[Study], TreatmentRankings[CorrectedWinner])</f>
        <v>#VALUE!</v>
      </c>
      <c r="W33" s="3" t="e">
        <f>LOOKUP(A33, StratumVariables[Study], StratumVariables[VariableName])</f>
        <v>#VALUE!</v>
      </c>
      <c r="X33" s="3" t="e">
        <f>LOOKUP(A33, StratumVariables[Study], StratumVariables[CausalRole])</f>
        <v>#VALUE!</v>
      </c>
      <c r="Y33" s="3" t="e">
        <f>AND(LOOKUP(A33, TreatmentRankings[Study], TreatmentRankings[StratumCount]) &gt;= 2, J33 = LOOKUP(A33, TreatmentRankings[Study], TreatmentRankings[StratumCount]) * 2)</f>
        <v>#VALUE!</v>
      </c>
      <c r="Z33" s="3" t="e">
        <f>IF(H33, "exempt-synthetic", IF(AND(Y33, LOOKUP(A33, StratumVariables[Study], StratumVariables[VariableName]) &lt;&gt; ""), "all", "partial"))</f>
        <v>#VALUE!</v>
      </c>
    </row>
    <row r="34">
      <c r="A34" s="2" t="s">
        <v>539</v>
      </c>
      <c r="B34" s="3" t="str">
        <f>A34</f>
        <v>north-carolina-death-penalty-1990</v>
      </c>
      <c r="C34" s="2" t="s">
        <v>540</v>
      </c>
      <c r="D34" s="2" t="s">
        <v>541</v>
      </c>
      <c r="E34" s="2" t="s">
        <v>423</v>
      </c>
      <c r="F34" s="4">
        <v>1990</v>
      </c>
      <c r="G34" s="2" t="s">
        <v>446</v>
      </c>
      <c r="H34" s="2" t="b">
        <v>0</v>
      </c>
      <c r="I34" s="5">
        <f>SUMIFS(CaseCells!G2:G999,CaseCells!C2:C999, A34)</f>
        <v>280</v>
      </c>
      <c r="J34" s="5">
        <f>COUNTIFS(CaseCells!C2:C999, A34)</f>
        <v>4</v>
      </c>
      <c r="K34" s="2" t="s">
        <v>58</v>
      </c>
      <c r="L34" s="2" t="s">
        <v>447</v>
      </c>
      <c r="M34" s="3" t="e">
        <f>LOOKUP(K34, ResearchTraditions[TraditionId], ResearchTraditions[Name])</f>
        <v>#VALUE!</v>
      </c>
      <c r="N34" s="3" t="e">
        <f>LOOKUP(K34, ResearchTraditions[TraditionId], ResearchTraditions[CoreConcern])</f>
        <v>#VALUE!</v>
      </c>
      <c r="O34" s="3" t="e">
        <f>LOOKUP(L34, Researchers[ResearcherId], Researchers[Name])</f>
        <v>#VALUE!</v>
      </c>
      <c r="P34" s="3" t="e">
        <f>LOOKUP(L34, Researchers[ResearcherId], Researchers[Affiliation])</f>
        <v>#VALUE!</v>
      </c>
      <c r="Q34" s="3" t="e">
        <f>LOOKUP(A34, TreatmentRankings[Study], TreatmentRankings[DistortionType])</f>
        <v>#VALUE!</v>
      </c>
      <c r="R34" s="3" t="e">
        <f>LOOKUP(A34, TreatmentRankings[Study], TreatmentRankings[CorrectedPolicyImplication])</f>
        <v>#VALUE!</v>
      </c>
      <c r="S34" s="3" t="e">
        <f>LOOKUP(A34, TreatmentRankings[Study], TreatmentRankings[AllocationDistortion])</f>
        <v>#VALUE!</v>
      </c>
      <c r="T34" s="3" t="e">
        <f>LOOKUP(A34, TreatmentRankings[Study], TreatmentRankings[SignalPurity])</f>
        <v>#VALUE!</v>
      </c>
      <c r="U34" s="3" t="e">
        <f>LOOKUP(A34, TreatmentRankings[Study], TreatmentRankings[IsSignFlip])</f>
        <v>#VALUE!</v>
      </c>
      <c r="V34" s="3" t="e">
        <f>LOOKUP(A34, TreatmentRankings[Study], TreatmentRankings[CorrectedWinner])</f>
        <v>#VALUE!</v>
      </c>
      <c r="W34" s="3" t="e">
        <f>LOOKUP(A34, StratumVariables[Study], StratumVariables[VariableName])</f>
        <v>#VALUE!</v>
      </c>
      <c r="X34" s="3" t="e">
        <f>LOOKUP(A34, StratumVariables[Study], StratumVariables[CausalRole])</f>
        <v>#VALUE!</v>
      </c>
      <c r="Y34" s="3" t="e">
        <f>AND(LOOKUP(A34, TreatmentRankings[Study], TreatmentRankings[StratumCount]) &gt;= 2, J34 = LOOKUP(A34, TreatmentRankings[Study], TreatmentRankings[StratumCount]) * 2)</f>
        <v>#VALUE!</v>
      </c>
      <c r="Z34" s="3" t="e">
        <f>IF(H34, "exempt-synthetic", IF(AND(Y34, LOOKUP(A34, StratumVariables[Study], StratumVariables[VariableName]) &lt;&gt; ""), "all", "partial"))</f>
        <v>#VALUE!</v>
      </c>
    </row>
    <row r="35">
      <c r="A35" s="2" t="s">
        <v>542</v>
      </c>
      <c r="B35" s="3" t="str">
        <f>A35</f>
        <v>housing-discrimination-audit</v>
      </c>
      <c r="C35" s="2" t="s">
        <v>543</v>
      </c>
      <c r="D35" s="2" t="s">
        <v>544</v>
      </c>
      <c r="E35" s="2" t="s">
        <v>545</v>
      </c>
      <c r="F35" s="4">
        <v>2012</v>
      </c>
      <c r="G35" s="2" t="s">
        <v>546</v>
      </c>
      <c r="H35" s="2" t="b">
        <v>0</v>
      </c>
      <c r="I35" s="5">
        <f>SUMIFS(CaseCells!G2:G999,CaseCells!C2:C999, A35)</f>
        <v>1000</v>
      </c>
      <c r="J35" s="5">
        <f>COUNTIFS(CaseCells!C2:C999, A35)</f>
        <v>4</v>
      </c>
      <c r="K35" s="2" t="s">
        <v>58</v>
      </c>
      <c r="L35" s="2" t="s">
        <v>433</v>
      </c>
      <c r="M35" s="3" t="e">
        <f>LOOKUP(K35, ResearchTraditions[TraditionId], ResearchTraditions[Name])</f>
        <v>#VALUE!</v>
      </c>
      <c r="N35" s="3" t="e">
        <f>LOOKUP(K35, ResearchTraditions[TraditionId], ResearchTraditions[CoreConcern])</f>
        <v>#VALUE!</v>
      </c>
      <c r="O35" s="3" t="e">
        <f>LOOKUP(L35, Researchers[ResearcherId], Researchers[Name])</f>
        <v>#VALUE!</v>
      </c>
      <c r="P35" s="3" t="e">
        <f>LOOKUP(L35, Researchers[ResearcherId], Researchers[Affiliation])</f>
        <v>#VALUE!</v>
      </c>
      <c r="Q35" s="3" t="e">
        <f>LOOKUP(A35, TreatmentRankings[Study], TreatmentRankings[DistortionType])</f>
        <v>#VALUE!</v>
      </c>
      <c r="R35" s="3" t="e">
        <f>LOOKUP(A35, TreatmentRankings[Study], TreatmentRankings[CorrectedPolicyImplication])</f>
        <v>#VALUE!</v>
      </c>
      <c r="S35" s="3" t="e">
        <f>LOOKUP(A35, TreatmentRankings[Study], TreatmentRankings[AllocationDistortion])</f>
        <v>#VALUE!</v>
      </c>
      <c r="T35" s="3" t="e">
        <f>LOOKUP(A35, TreatmentRankings[Study], TreatmentRankings[SignalPurity])</f>
        <v>#VALUE!</v>
      </c>
      <c r="U35" s="3" t="e">
        <f>LOOKUP(A35, TreatmentRankings[Study], TreatmentRankings[IsSignFlip])</f>
        <v>#VALUE!</v>
      </c>
      <c r="V35" s="3" t="e">
        <f>LOOKUP(A35, TreatmentRankings[Study], TreatmentRankings[CorrectedWinner])</f>
        <v>#VALUE!</v>
      </c>
      <c r="W35" s="3" t="e">
        <f>LOOKUP(A35, StratumVariables[Study], StratumVariables[VariableName])</f>
        <v>#VALUE!</v>
      </c>
      <c r="X35" s="3" t="e">
        <f>LOOKUP(A35, StratumVariables[Study], StratumVariables[CausalRole])</f>
        <v>#VALUE!</v>
      </c>
      <c r="Y35" s="3" t="e">
        <f>AND(LOOKUP(A35, TreatmentRankings[Study], TreatmentRankings[StratumCount]) &gt;= 2, J35 = LOOKUP(A35, TreatmentRankings[Study], TreatmentRankings[StratumCount]) * 2)</f>
        <v>#VALUE!</v>
      </c>
      <c r="Z35" s="3" t="e">
        <f>IF(H35, "exempt-synthetic", IF(AND(Y35, LOOKUP(A35, StratumVariables[Study], StratumVariables[VariableName]) &lt;&gt; ""), "all", "partial"))</f>
        <v>#VALUE!</v>
      </c>
    </row>
    <row r="36">
      <c r="A36" s="2" t="s">
        <v>547</v>
      </c>
      <c r="B36" s="3" t="str">
        <f>A36</f>
        <v>gender-pay-gap-industry</v>
      </c>
      <c r="C36" s="2" t="s">
        <v>548</v>
      </c>
      <c r="D36" s="2" t="s">
        <v>549</v>
      </c>
      <c r="E36" s="2" t="s">
        <v>550</v>
      </c>
      <c r="F36" s="4">
        <v>2018</v>
      </c>
      <c r="G36" s="2" t="s">
        <v>546</v>
      </c>
      <c r="H36" s="2" t="b">
        <v>0</v>
      </c>
      <c r="I36" s="5">
        <f>SUMIFS(CaseCells!G2:G999,CaseCells!C2:C999, A36)</f>
        <v>2800</v>
      </c>
      <c r="J36" s="5">
        <f>COUNTIFS(CaseCells!C2:C999, A36)</f>
        <v>6</v>
      </c>
      <c r="K36" s="2" t="s">
        <v>58</v>
      </c>
      <c r="L36" s="2" t="s">
        <v>433</v>
      </c>
      <c r="M36" s="3" t="e">
        <f>LOOKUP(K36, ResearchTraditions[TraditionId], ResearchTraditions[Name])</f>
        <v>#VALUE!</v>
      </c>
      <c r="N36" s="3" t="e">
        <f>LOOKUP(K36, ResearchTraditions[TraditionId], ResearchTraditions[CoreConcern])</f>
        <v>#VALUE!</v>
      </c>
      <c r="O36" s="3" t="e">
        <f>LOOKUP(L36, Researchers[ResearcherId], Researchers[Name])</f>
        <v>#VALUE!</v>
      </c>
      <c r="P36" s="3" t="e">
        <f>LOOKUP(L36, Researchers[ResearcherId], Researchers[Affiliation])</f>
        <v>#VALUE!</v>
      </c>
      <c r="Q36" s="3" t="e">
        <f>LOOKUP(A36, TreatmentRankings[Study], TreatmentRankings[DistortionType])</f>
        <v>#VALUE!</v>
      </c>
      <c r="R36" s="3" t="e">
        <f>LOOKUP(A36, TreatmentRankings[Study], TreatmentRankings[CorrectedPolicyImplication])</f>
        <v>#VALUE!</v>
      </c>
      <c r="S36" s="3" t="e">
        <f>LOOKUP(A36, TreatmentRankings[Study], TreatmentRankings[AllocationDistortion])</f>
        <v>#VALUE!</v>
      </c>
      <c r="T36" s="3" t="e">
        <f>LOOKUP(A36, TreatmentRankings[Study], TreatmentRankings[SignalPurity])</f>
        <v>#VALUE!</v>
      </c>
      <c r="U36" s="3" t="e">
        <f>LOOKUP(A36, TreatmentRankings[Study], TreatmentRankings[IsSignFlip])</f>
        <v>#VALUE!</v>
      </c>
      <c r="V36" s="3" t="e">
        <f>LOOKUP(A36, TreatmentRankings[Study], TreatmentRankings[CorrectedWinner])</f>
        <v>#VALUE!</v>
      </c>
      <c r="W36" s="3" t="e">
        <f>LOOKUP(A36, StratumVariables[Study], StratumVariables[VariableName])</f>
        <v>#VALUE!</v>
      </c>
      <c r="X36" s="3" t="e">
        <f>LOOKUP(A36, StratumVariables[Study], StratumVariables[CausalRole])</f>
        <v>#VALUE!</v>
      </c>
      <c r="Y36" s="3" t="e">
        <f>AND(LOOKUP(A36, TreatmentRankings[Study], TreatmentRankings[StratumCount]) &gt;= 2, J36 = LOOKUP(A36, TreatmentRankings[Study], TreatmentRankings[StratumCount]) * 2)</f>
        <v>#VALUE!</v>
      </c>
      <c r="Z36" s="3" t="e">
        <f>IF(H36, "exempt-synthetic", IF(AND(Y36, LOOKUP(A36, StratumVariables[Study], StratumVariables[VariableName]) &lt;&gt; ""), "all", "partial"))</f>
        <v>#VALUE!</v>
      </c>
    </row>
    <row r="37">
      <c r="A37" s="2" t="s">
        <v>551</v>
      </c>
      <c r="B37" s="3" t="str">
        <f>A37</f>
        <v>income-education-state</v>
      </c>
      <c r="C37" s="2" t="s">
        <v>552</v>
      </c>
      <c r="D37" s="2" t="s">
        <v>553</v>
      </c>
      <c r="E37" s="2" t="s">
        <v>554</v>
      </c>
      <c r="F37" s="4">
        <v>2019</v>
      </c>
      <c r="G37" s="2" t="s">
        <v>546</v>
      </c>
      <c r="H37" s="2" t="b">
        <v>0</v>
      </c>
      <c r="I37" s="5">
        <f>SUMIFS(CaseCells!G2:G999,CaseCells!C2:C999, A37)</f>
        <v>3600</v>
      </c>
      <c r="J37" s="5">
        <f>COUNTIFS(CaseCells!C2:C999, A37)</f>
        <v>4</v>
      </c>
      <c r="K37" s="2" t="s">
        <v>58</v>
      </c>
      <c r="L37" s="2" t="s">
        <v>433</v>
      </c>
      <c r="M37" s="3" t="e">
        <f>LOOKUP(K37, ResearchTraditions[TraditionId], ResearchTraditions[Name])</f>
        <v>#VALUE!</v>
      </c>
      <c r="N37" s="3" t="e">
        <f>LOOKUP(K37, ResearchTraditions[TraditionId], ResearchTraditions[CoreConcern])</f>
        <v>#VALUE!</v>
      </c>
      <c r="O37" s="3" t="e">
        <f>LOOKUP(L37, Researchers[ResearcherId], Researchers[Name])</f>
        <v>#VALUE!</v>
      </c>
      <c r="P37" s="3" t="e">
        <f>LOOKUP(L37, Researchers[ResearcherId], Researchers[Affiliation])</f>
        <v>#VALUE!</v>
      </c>
      <c r="Q37" s="3" t="e">
        <f>LOOKUP(A37, TreatmentRankings[Study], TreatmentRankings[DistortionType])</f>
        <v>#VALUE!</v>
      </c>
      <c r="R37" s="3" t="e">
        <f>LOOKUP(A37, TreatmentRankings[Study], TreatmentRankings[CorrectedPolicyImplication])</f>
        <v>#VALUE!</v>
      </c>
      <c r="S37" s="3" t="e">
        <f>LOOKUP(A37, TreatmentRankings[Study], TreatmentRankings[AllocationDistortion])</f>
        <v>#VALUE!</v>
      </c>
      <c r="T37" s="3" t="e">
        <f>LOOKUP(A37, TreatmentRankings[Study], TreatmentRankings[SignalPurity])</f>
        <v>#VALUE!</v>
      </c>
      <c r="U37" s="3" t="e">
        <f>LOOKUP(A37, TreatmentRankings[Study], TreatmentRankings[IsSignFlip])</f>
        <v>#VALUE!</v>
      </c>
      <c r="V37" s="3" t="e">
        <f>LOOKUP(A37, TreatmentRankings[Study], TreatmentRankings[CorrectedWinner])</f>
        <v>#VALUE!</v>
      </c>
      <c r="W37" s="3" t="e">
        <f>LOOKUP(A37, StratumVariables[Study], StratumVariables[VariableName])</f>
        <v>#VALUE!</v>
      </c>
      <c r="X37" s="3" t="e">
        <f>LOOKUP(A37, StratumVariables[Study], StratumVariables[CausalRole])</f>
        <v>#VALUE!</v>
      </c>
      <c r="Y37" s="3" t="e">
        <f>AND(LOOKUP(A37, TreatmentRankings[Study], TreatmentRankings[StratumCount]) &gt;= 2, J37 = LOOKUP(A37, TreatmentRankings[Study], TreatmentRankings[StratumCount]) * 2)</f>
        <v>#VALUE!</v>
      </c>
      <c r="Z37" s="3" t="e">
        <f>IF(H37, "exempt-synthetic", IF(AND(Y37, LOOKUP(A37, StratumVariables[Study], StratumVariables[VariableName]) &lt;&gt; ""), "all", "partial"))</f>
        <v>#VALUE!</v>
      </c>
    </row>
    <row r="38">
      <c r="A38" s="2" t="s">
        <v>555</v>
      </c>
      <c r="B38" s="3" t="str">
        <f>A38</f>
        <v>florida-reef-fish-1994</v>
      </c>
      <c r="C38" s="2" t="s">
        <v>556</v>
      </c>
      <c r="D38" s="2" t="s">
        <v>557</v>
      </c>
      <c r="E38" s="2" t="s">
        <v>423</v>
      </c>
      <c r="F38" s="4">
        <v>1994</v>
      </c>
      <c r="G38" s="2" t="s">
        <v>432</v>
      </c>
      <c r="H38" s="2" t="b">
        <v>0</v>
      </c>
      <c r="I38" s="5">
        <f>SUMIFS(CaseCells!G2:G999,CaseCells!C2:C999, A38)</f>
        <v>1600</v>
      </c>
      <c r="J38" s="5">
        <f>COUNTIFS(CaseCells!C2:C999, A38)</f>
        <v>4</v>
      </c>
      <c r="K38" s="2" t="s">
        <v>58</v>
      </c>
      <c r="L38" s="2" t="s">
        <v>433</v>
      </c>
      <c r="M38" s="3" t="e">
        <f>LOOKUP(K38, ResearchTraditions[TraditionId], ResearchTraditions[Name])</f>
        <v>#VALUE!</v>
      </c>
      <c r="N38" s="3" t="e">
        <f>LOOKUP(K38, ResearchTraditions[TraditionId], ResearchTraditions[CoreConcern])</f>
        <v>#VALUE!</v>
      </c>
      <c r="O38" s="3" t="e">
        <f>LOOKUP(L38, Researchers[ResearcherId], Researchers[Name])</f>
        <v>#VALUE!</v>
      </c>
      <c r="P38" s="3" t="e">
        <f>LOOKUP(L38, Researchers[ResearcherId], Researchers[Affiliation])</f>
        <v>#VALUE!</v>
      </c>
      <c r="Q38" s="3" t="e">
        <f>LOOKUP(A38, TreatmentRankings[Study], TreatmentRankings[DistortionType])</f>
        <v>#VALUE!</v>
      </c>
      <c r="R38" s="3" t="e">
        <f>LOOKUP(A38, TreatmentRankings[Study], TreatmentRankings[CorrectedPolicyImplication])</f>
        <v>#VALUE!</v>
      </c>
      <c r="S38" s="3" t="e">
        <f>LOOKUP(A38, TreatmentRankings[Study], TreatmentRankings[AllocationDistortion])</f>
        <v>#VALUE!</v>
      </c>
      <c r="T38" s="3" t="e">
        <f>LOOKUP(A38, TreatmentRankings[Study], TreatmentRankings[SignalPurity])</f>
        <v>#VALUE!</v>
      </c>
      <c r="U38" s="3" t="e">
        <f>LOOKUP(A38, TreatmentRankings[Study], TreatmentRankings[IsSignFlip])</f>
        <v>#VALUE!</v>
      </c>
      <c r="V38" s="3" t="e">
        <f>LOOKUP(A38, TreatmentRankings[Study], TreatmentRankings[CorrectedWinner])</f>
        <v>#VALUE!</v>
      </c>
      <c r="W38" s="3" t="e">
        <f>LOOKUP(A38, StratumVariables[Study], StratumVariables[VariableName])</f>
        <v>#VALUE!</v>
      </c>
      <c r="X38" s="3" t="e">
        <f>LOOKUP(A38, StratumVariables[Study], StratumVariables[CausalRole])</f>
        <v>#VALUE!</v>
      </c>
      <c r="Y38" s="3" t="e">
        <f>AND(LOOKUP(A38, TreatmentRankings[Study], TreatmentRankings[StratumCount]) &gt;= 2, J38 = LOOKUP(A38, TreatmentRankings[Study], TreatmentRankings[StratumCount]) * 2)</f>
        <v>#VALUE!</v>
      </c>
      <c r="Z38" s="3" t="e">
        <f>IF(H38, "exempt-synthetic", IF(AND(Y38, LOOKUP(A38, StratumVariables[Study], StratumVariables[VariableName]) &lt;&gt; ""), "all", "partial"))</f>
        <v>#VALUE!</v>
      </c>
    </row>
    <row r="39">
      <c r="A39" s="2" t="s">
        <v>558</v>
      </c>
      <c r="B39" s="3" t="str">
        <f>A39</f>
        <v>uc-irvine-admissions-1985</v>
      </c>
      <c r="C39" s="2" t="s">
        <v>559</v>
      </c>
      <c r="D39" s="2" t="s">
        <v>560</v>
      </c>
      <c r="E39" s="2" t="s">
        <v>423</v>
      </c>
      <c r="F39" s="4">
        <v>1985</v>
      </c>
      <c r="G39" s="2" t="s">
        <v>432</v>
      </c>
      <c r="H39" s="2" t="b">
        <v>0</v>
      </c>
      <c r="I39" s="5">
        <f>SUMIFS(CaseCells!G2:G999,CaseCells!C2:C999, A39)</f>
        <v>2180</v>
      </c>
      <c r="J39" s="5">
        <f>COUNTIFS(CaseCells!C2:C999, A39)</f>
        <v>8</v>
      </c>
      <c r="K39" s="2" t="s">
        <v>58</v>
      </c>
      <c r="L39" s="2" t="s">
        <v>433</v>
      </c>
      <c r="M39" s="3" t="e">
        <f>LOOKUP(K39, ResearchTraditions[TraditionId], ResearchTraditions[Name])</f>
        <v>#VALUE!</v>
      </c>
      <c r="N39" s="3" t="e">
        <f>LOOKUP(K39, ResearchTraditions[TraditionId], ResearchTraditions[CoreConcern])</f>
        <v>#VALUE!</v>
      </c>
      <c r="O39" s="3" t="e">
        <f>LOOKUP(L39, Researchers[ResearcherId], Researchers[Name])</f>
        <v>#VALUE!</v>
      </c>
      <c r="P39" s="3" t="e">
        <f>LOOKUP(L39, Researchers[ResearcherId], Researchers[Affiliation])</f>
        <v>#VALUE!</v>
      </c>
      <c r="Q39" s="3" t="e">
        <f>LOOKUP(A39, TreatmentRankings[Study], TreatmentRankings[DistortionType])</f>
        <v>#VALUE!</v>
      </c>
      <c r="R39" s="3" t="e">
        <f>LOOKUP(A39, TreatmentRankings[Study], TreatmentRankings[CorrectedPolicyImplication])</f>
        <v>#VALUE!</v>
      </c>
      <c r="S39" s="3" t="e">
        <f>LOOKUP(A39, TreatmentRankings[Study], TreatmentRankings[AllocationDistortion])</f>
        <v>#VALUE!</v>
      </c>
      <c r="T39" s="3" t="e">
        <f>LOOKUP(A39, TreatmentRankings[Study], TreatmentRankings[SignalPurity])</f>
        <v>#VALUE!</v>
      </c>
      <c r="U39" s="3" t="e">
        <f>LOOKUP(A39, TreatmentRankings[Study], TreatmentRankings[IsSignFlip])</f>
        <v>#VALUE!</v>
      </c>
      <c r="V39" s="3" t="e">
        <f>LOOKUP(A39, TreatmentRankings[Study], TreatmentRankings[CorrectedWinner])</f>
        <v>#VALUE!</v>
      </c>
      <c r="W39" s="3" t="e">
        <f>LOOKUP(A39, StratumVariables[Study], StratumVariables[VariableName])</f>
        <v>#VALUE!</v>
      </c>
      <c r="X39" s="3" t="e">
        <f>LOOKUP(A39, StratumVariables[Study], StratumVariables[CausalRole])</f>
        <v>#VALUE!</v>
      </c>
      <c r="Y39" s="3" t="e">
        <f>AND(LOOKUP(A39, TreatmentRankings[Study], TreatmentRankings[StratumCount]) &gt;= 2, J39 = LOOKUP(A39, TreatmentRankings[Study], TreatmentRankings[StratumCount]) * 2)</f>
        <v>#VALUE!</v>
      </c>
      <c r="Z39" s="3" t="e">
        <f>IF(H39, "exempt-synthetic", IF(AND(Y39, LOOKUP(A39, StratumVariables[Study], StratumVariables[VariableName]) &lt;&gt; ""), "all", "partial"))</f>
        <v>#VALUE!</v>
      </c>
    </row>
    <row r="40">
      <c r="A40" s="2" t="s">
        <v>561</v>
      </c>
      <c r="B40" s="3" t="str">
        <f>A40</f>
        <v>cesarean-birth-weight-2006</v>
      </c>
      <c r="C40" s="2" t="s">
        <v>562</v>
      </c>
      <c r="D40" s="2" t="s">
        <v>563</v>
      </c>
      <c r="E40" s="2" t="s">
        <v>564</v>
      </c>
      <c r="F40" s="4">
        <v>2006</v>
      </c>
      <c r="G40" s="2" t="s">
        <v>441</v>
      </c>
      <c r="H40" s="2" t="b">
        <v>0</v>
      </c>
      <c r="I40" s="5">
        <f>SUMIFS(CaseCells!G2:G999,CaseCells!C2:C999, A40)</f>
        <v>8400</v>
      </c>
      <c r="J40" s="5">
        <f>COUNTIFS(CaseCells!C2:C999, A40)</f>
        <v>4</v>
      </c>
      <c r="K40" s="2" t="s">
        <v>51</v>
      </c>
      <c r="L40" s="2" t="s">
        <v>474</v>
      </c>
      <c r="M40" s="3" t="e">
        <f>LOOKUP(K40, ResearchTraditions[TraditionId], ResearchTraditions[Name])</f>
        <v>#VALUE!</v>
      </c>
      <c r="N40" s="3" t="e">
        <f>LOOKUP(K40, ResearchTraditions[TraditionId], ResearchTraditions[CoreConcern])</f>
        <v>#VALUE!</v>
      </c>
      <c r="O40" s="3" t="e">
        <f>LOOKUP(L40, Researchers[ResearcherId], Researchers[Name])</f>
        <v>#VALUE!</v>
      </c>
      <c r="P40" s="3" t="e">
        <f>LOOKUP(L40, Researchers[ResearcherId], Researchers[Affiliation])</f>
        <v>#VALUE!</v>
      </c>
      <c r="Q40" s="3" t="e">
        <f>LOOKUP(A40, TreatmentRankings[Study], TreatmentRankings[DistortionType])</f>
        <v>#VALUE!</v>
      </c>
      <c r="R40" s="3" t="e">
        <f>LOOKUP(A40, TreatmentRankings[Study], TreatmentRankings[CorrectedPolicyImplication])</f>
        <v>#VALUE!</v>
      </c>
      <c r="S40" s="3" t="e">
        <f>LOOKUP(A40, TreatmentRankings[Study], TreatmentRankings[AllocationDistortion])</f>
        <v>#VALUE!</v>
      </c>
      <c r="T40" s="3" t="e">
        <f>LOOKUP(A40, TreatmentRankings[Study], TreatmentRankings[SignalPurity])</f>
        <v>#VALUE!</v>
      </c>
      <c r="U40" s="3" t="e">
        <f>LOOKUP(A40, TreatmentRankings[Study], TreatmentRankings[IsSignFlip])</f>
        <v>#VALUE!</v>
      </c>
      <c r="V40" s="3" t="e">
        <f>LOOKUP(A40, TreatmentRankings[Study], TreatmentRankings[CorrectedWinner])</f>
        <v>#VALUE!</v>
      </c>
      <c r="W40" s="3" t="e">
        <f>LOOKUP(A40, StratumVariables[Study], StratumVariables[VariableName])</f>
        <v>#VALUE!</v>
      </c>
      <c r="X40" s="3" t="e">
        <f>LOOKUP(A40, StratumVariables[Study], StratumVariables[CausalRole])</f>
        <v>#VALUE!</v>
      </c>
      <c r="Y40" s="3" t="e">
        <f>AND(LOOKUP(A40, TreatmentRankings[Study], TreatmentRankings[StratumCount]) &gt;= 2, J40 = LOOKUP(A40, TreatmentRankings[Study], TreatmentRankings[StratumCount]) * 2)</f>
        <v>#VALUE!</v>
      </c>
      <c r="Z40" s="3" t="e">
        <f>IF(H40, "exempt-synthetic", IF(AND(Y40, LOOKUP(A40, StratumVariables[Study], StratumVariables[VariableName]) &lt;&gt; ""), "all", "partial"))</f>
        <v>#VALUE!</v>
      </c>
    </row>
    <row r="41">
      <c r="A41" s="2" t="s">
        <v>565</v>
      </c>
      <c r="B41" s="3" t="str">
        <f>A41</f>
        <v>schizophrenia-antipsychotic</v>
      </c>
      <c r="C41" s="2" t="s">
        <v>566</v>
      </c>
      <c r="D41" s="2" t="s">
        <v>567</v>
      </c>
      <c r="E41" s="2" t="s">
        <v>423</v>
      </c>
      <c r="F41" s="4">
        <v>2004</v>
      </c>
      <c r="G41" s="2" t="s">
        <v>418</v>
      </c>
      <c r="H41" s="2" t="b">
        <v>0</v>
      </c>
      <c r="I41" s="5">
        <f>SUMIFS(CaseCells!G2:G999,CaseCells!C2:C999, A41)</f>
        <v>540</v>
      </c>
      <c r="J41" s="5">
        <f>COUNTIFS(CaseCells!C2:C999, A41)</f>
        <v>4</v>
      </c>
      <c r="K41" s="2" t="s">
        <v>58</v>
      </c>
      <c r="L41" s="2" t="s">
        <v>433</v>
      </c>
      <c r="M41" s="3" t="e">
        <f>LOOKUP(K41, ResearchTraditions[TraditionId], ResearchTraditions[Name])</f>
        <v>#VALUE!</v>
      </c>
      <c r="N41" s="3" t="e">
        <f>LOOKUP(K41, ResearchTraditions[TraditionId], ResearchTraditions[CoreConcern])</f>
        <v>#VALUE!</v>
      </c>
      <c r="O41" s="3" t="e">
        <f>LOOKUP(L41, Researchers[ResearcherId], Researchers[Name])</f>
        <v>#VALUE!</v>
      </c>
      <c r="P41" s="3" t="e">
        <f>LOOKUP(L41, Researchers[ResearcherId], Researchers[Affiliation])</f>
        <v>#VALUE!</v>
      </c>
      <c r="Q41" s="3" t="e">
        <f>LOOKUP(A41, TreatmentRankings[Study], TreatmentRankings[DistortionType])</f>
        <v>#VALUE!</v>
      </c>
      <c r="R41" s="3" t="e">
        <f>LOOKUP(A41, TreatmentRankings[Study], TreatmentRankings[CorrectedPolicyImplication])</f>
        <v>#VALUE!</v>
      </c>
      <c r="S41" s="3" t="e">
        <f>LOOKUP(A41, TreatmentRankings[Study], TreatmentRankings[AllocationDistortion])</f>
        <v>#VALUE!</v>
      </c>
      <c r="T41" s="3" t="e">
        <f>LOOKUP(A41, TreatmentRankings[Study], TreatmentRankings[SignalPurity])</f>
        <v>#VALUE!</v>
      </c>
      <c r="U41" s="3" t="e">
        <f>LOOKUP(A41, TreatmentRankings[Study], TreatmentRankings[IsSignFlip])</f>
        <v>#VALUE!</v>
      </c>
      <c r="V41" s="3" t="e">
        <f>LOOKUP(A41, TreatmentRankings[Study], TreatmentRankings[CorrectedWinner])</f>
        <v>#VALUE!</v>
      </c>
      <c r="W41" s="3" t="e">
        <f>LOOKUP(A41, StratumVariables[Study], StratumVariables[VariableName])</f>
        <v>#VALUE!</v>
      </c>
      <c r="X41" s="3" t="e">
        <f>LOOKUP(A41, StratumVariables[Study], StratumVariables[CausalRole])</f>
        <v>#VALUE!</v>
      </c>
      <c r="Y41" s="3" t="e">
        <f>AND(LOOKUP(A41, TreatmentRankings[Study], TreatmentRankings[StratumCount]) &gt;= 2, J41 = LOOKUP(A41, TreatmentRankings[Study], TreatmentRankings[StratumCount]) * 2)</f>
        <v>#VALUE!</v>
      </c>
      <c r="Z41" s="3" t="e">
        <f>IF(H41, "exempt-synthetic", IF(AND(Y41, LOOKUP(A41, StratumVariables[Study], StratumVariables[VariableName]) &lt;&gt; ""), "all", "partial"))</f>
        <v>#VALUE!</v>
      </c>
    </row>
    <row r="42">
      <c r="A42" s="2" t="s">
        <v>568</v>
      </c>
      <c r="B42" s="3" t="str">
        <f>A42</f>
        <v>berkeley-six-dept-1973</v>
      </c>
      <c r="C42" s="2" t="s">
        <v>569</v>
      </c>
      <c r="D42" s="2" t="s">
        <v>570</v>
      </c>
      <c r="E42" s="2" t="s">
        <v>431</v>
      </c>
      <c r="F42" s="4">
        <v>1975</v>
      </c>
      <c r="G42" s="2" t="s">
        <v>432</v>
      </c>
      <c r="H42" s="2" t="b">
        <v>0</v>
      </c>
      <c r="I42" s="5">
        <f>SUMIFS(CaseCells!G2:G999,CaseCells!C2:C999, A42)</f>
        <v>4526</v>
      </c>
      <c r="J42" s="5">
        <f>COUNTIFS(CaseCells!C2:C999, A42)</f>
        <v>12</v>
      </c>
      <c r="K42" s="2" t="s">
        <v>23</v>
      </c>
      <c r="L42" s="2" t="s">
        <v>571</v>
      </c>
      <c r="M42" s="3" t="e">
        <f>LOOKUP(K42, ResearchTraditions[TraditionId], ResearchTraditions[Name])</f>
        <v>#VALUE!</v>
      </c>
      <c r="N42" s="3" t="e">
        <f>LOOKUP(K42, ResearchTraditions[TraditionId], ResearchTraditions[CoreConcern])</f>
        <v>#VALUE!</v>
      </c>
      <c r="O42" s="3" t="e">
        <f>LOOKUP(L42, Researchers[ResearcherId], Researchers[Name])</f>
        <v>#VALUE!</v>
      </c>
      <c r="P42" s="3" t="e">
        <f>LOOKUP(L42, Researchers[ResearcherId], Researchers[Affiliation])</f>
        <v>#VALUE!</v>
      </c>
      <c r="Q42" s="3" t="e">
        <f>LOOKUP(A42, TreatmentRankings[Study], TreatmentRankings[DistortionType])</f>
        <v>#VALUE!</v>
      </c>
      <c r="R42" s="3" t="e">
        <f>LOOKUP(A42, TreatmentRankings[Study], TreatmentRankings[CorrectedPolicyImplication])</f>
        <v>#VALUE!</v>
      </c>
      <c r="S42" s="3" t="e">
        <f>LOOKUP(A42, TreatmentRankings[Study], TreatmentRankings[AllocationDistortion])</f>
        <v>#VALUE!</v>
      </c>
      <c r="T42" s="3" t="e">
        <f>LOOKUP(A42, TreatmentRankings[Study], TreatmentRankings[SignalPurity])</f>
        <v>#VALUE!</v>
      </c>
      <c r="U42" s="3" t="e">
        <f>LOOKUP(A42, TreatmentRankings[Study], TreatmentRankings[IsSignFlip])</f>
        <v>#VALUE!</v>
      </c>
      <c r="V42" s="3" t="e">
        <f>LOOKUP(A42, TreatmentRankings[Study], TreatmentRankings[CorrectedWinner])</f>
        <v>#VALUE!</v>
      </c>
      <c r="W42" s="3" t="e">
        <f>LOOKUP(A42, StratumVariables[Study], StratumVariables[VariableName])</f>
        <v>#VALUE!</v>
      </c>
      <c r="X42" s="3" t="e">
        <f>LOOKUP(A42, StratumVariables[Study], StratumVariables[CausalRole])</f>
        <v>#VALUE!</v>
      </c>
      <c r="Y42" s="3" t="e">
        <f>AND(LOOKUP(A42, TreatmentRankings[Study], TreatmentRankings[StratumCount]) &gt;= 2, J42 = LOOKUP(A42, TreatmentRankings[Study], TreatmentRankings[StratumCount]) * 2)</f>
        <v>#VALUE!</v>
      </c>
      <c r="Z42" s="3" t="e">
        <f>IF(H42, "exempt-synthetic", IF(AND(Y42, LOOKUP(A42, StratumVariables[Study], StratumVariables[VariableName]) &lt;&gt; ""), "all", "partial"))</f>
        <v>#VALUE!</v>
      </c>
    </row>
    <row r="43">
      <c r="A43" s="2" t="s">
        <v>572</v>
      </c>
      <c r="B43" s="3" t="str">
        <f>A43</f>
        <v>rosiglitazone-mi-pool-2007</v>
      </c>
      <c r="C43" s="2" t="s">
        <v>573</v>
      </c>
      <c r="D43" s="2" t="s">
        <v>574</v>
      </c>
      <c r="E43" s="2" t="s">
        <v>575</v>
      </c>
      <c r="F43" s="4">
        <v>2007</v>
      </c>
      <c r="G43" s="2" t="s">
        <v>418</v>
      </c>
      <c r="H43" s="2" t="b">
        <v>0</v>
      </c>
      <c r="I43" s="5">
        <f>SUMIFS(CaseCells!G2:G999,CaseCells!C2:C999, A43)</f>
        <v>27847</v>
      </c>
      <c r="J43" s="5">
        <f>COUNTIFS(CaseCells!C2:C999, A43)</f>
        <v>4</v>
      </c>
      <c r="K43" s="2" t="s">
        <v>58</v>
      </c>
      <c r="L43" s="2" t="s">
        <v>433</v>
      </c>
      <c r="M43" s="3" t="e">
        <f>LOOKUP(K43, ResearchTraditions[TraditionId], ResearchTraditions[Name])</f>
        <v>#VALUE!</v>
      </c>
      <c r="N43" s="3" t="e">
        <f>LOOKUP(K43, ResearchTraditions[TraditionId], ResearchTraditions[CoreConcern])</f>
        <v>#VALUE!</v>
      </c>
      <c r="O43" s="3" t="e">
        <f>LOOKUP(L43, Researchers[ResearcherId], Researchers[Name])</f>
        <v>#VALUE!</v>
      </c>
      <c r="P43" s="3" t="e">
        <f>LOOKUP(L43, Researchers[ResearcherId], Researchers[Affiliation])</f>
        <v>#VALUE!</v>
      </c>
      <c r="Q43" s="3" t="e">
        <f>LOOKUP(A43, TreatmentRankings[Study], TreatmentRankings[DistortionType])</f>
        <v>#VALUE!</v>
      </c>
      <c r="R43" s="3" t="e">
        <f>LOOKUP(A43, TreatmentRankings[Study], TreatmentRankings[CorrectedPolicyImplication])</f>
        <v>#VALUE!</v>
      </c>
      <c r="S43" s="3" t="e">
        <f>LOOKUP(A43, TreatmentRankings[Study], TreatmentRankings[AllocationDistortion])</f>
        <v>#VALUE!</v>
      </c>
      <c r="T43" s="3" t="e">
        <f>LOOKUP(A43, TreatmentRankings[Study], TreatmentRankings[SignalPurity])</f>
        <v>#VALUE!</v>
      </c>
      <c r="U43" s="3" t="e">
        <f>LOOKUP(A43, TreatmentRankings[Study], TreatmentRankings[IsSignFlip])</f>
        <v>#VALUE!</v>
      </c>
      <c r="V43" s="3" t="e">
        <f>LOOKUP(A43, TreatmentRankings[Study], TreatmentRankings[CorrectedWinner])</f>
        <v>#VALUE!</v>
      </c>
      <c r="W43" s="3" t="e">
        <f>LOOKUP(A43, StratumVariables[Study], StratumVariables[VariableName])</f>
        <v>#VALUE!</v>
      </c>
      <c r="X43" s="3" t="e">
        <f>LOOKUP(A43, StratumVariables[Study], StratumVariables[CausalRole])</f>
        <v>#VALUE!</v>
      </c>
      <c r="Y43" s="3" t="e">
        <f>AND(LOOKUP(A43, TreatmentRankings[Study], TreatmentRankings[StratumCount]) &gt;= 2, J43 = LOOKUP(A43, TreatmentRankings[Study], TreatmentRankings[StratumCount]) * 2)</f>
        <v>#VALUE!</v>
      </c>
      <c r="Z43" s="3" t="e">
        <f>IF(H43, "exempt-synthetic", IF(AND(Y43, LOOKUP(A43, StratumVariables[Study], StratumVariables[VariableName]) &lt;&gt; ""), "all", "partial"))</f>
        <v>#VALUE!</v>
      </c>
    </row>
    <row r="44">
      <c r="A44" s="2" t="s">
        <v>576</v>
      </c>
      <c r="B44" s="3" t="str">
        <f>A44</f>
        <v>ironman-gender-age-2010</v>
      </c>
      <c r="C44" s="2" t="s">
        <v>577</v>
      </c>
      <c r="D44" s="2" t="s">
        <v>578</v>
      </c>
      <c r="E44" s="2" t="s">
        <v>423</v>
      </c>
      <c r="F44" s="4">
        <v>2010</v>
      </c>
      <c r="G44" s="2" t="s">
        <v>452</v>
      </c>
      <c r="H44" s="2" t="b">
        <v>0</v>
      </c>
      <c r="I44" s="5">
        <f>SUMIFS(CaseCells!G2:G999,CaseCells!C2:C999, A44)</f>
        <v>220</v>
      </c>
      <c r="J44" s="5">
        <f>COUNTIFS(CaseCells!C2:C999, A44)</f>
        <v>4</v>
      </c>
      <c r="K44" s="2" t="s">
        <v>23</v>
      </c>
      <c r="L44" s="2" t="s">
        <v>419</v>
      </c>
      <c r="M44" s="3" t="e">
        <f>LOOKUP(K44, ResearchTraditions[TraditionId], ResearchTraditions[Name])</f>
        <v>#VALUE!</v>
      </c>
      <c r="N44" s="3" t="e">
        <f>LOOKUP(K44, ResearchTraditions[TraditionId], ResearchTraditions[CoreConcern])</f>
        <v>#VALUE!</v>
      </c>
      <c r="O44" s="3" t="e">
        <f>LOOKUP(L44, Researchers[ResearcherId], Researchers[Name])</f>
        <v>#VALUE!</v>
      </c>
      <c r="P44" s="3" t="e">
        <f>LOOKUP(L44, Researchers[ResearcherId], Researchers[Affiliation])</f>
        <v>#VALUE!</v>
      </c>
      <c r="Q44" s="3" t="e">
        <f>LOOKUP(A44, TreatmentRankings[Study], TreatmentRankings[DistortionType])</f>
        <v>#VALUE!</v>
      </c>
      <c r="R44" s="3" t="e">
        <f>LOOKUP(A44, TreatmentRankings[Study], TreatmentRankings[CorrectedPolicyImplication])</f>
        <v>#VALUE!</v>
      </c>
      <c r="S44" s="3" t="e">
        <f>LOOKUP(A44, TreatmentRankings[Study], TreatmentRankings[AllocationDistortion])</f>
        <v>#VALUE!</v>
      </c>
      <c r="T44" s="3" t="e">
        <f>LOOKUP(A44, TreatmentRankings[Study], TreatmentRankings[SignalPurity])</f>
        <v>#VALUE!</v>
      </c>
      <c r="U44" s="3" t="e">
        <f>LOOKUP(A44, TreatmentRankings[Study], TreatmentRankings[IsSignFlip])</f>
        <v>#VALUE!</v>
      </c>
      <c r="V44" s="3" t="e">
        <f>LOOKUP(A44, TreatmentRankings[Study], TreatmentRankings[CorrectedWinner])</f>
        <v>#VALUE!</v>
      </c>
      <c r="W44" s="3" t="e">
        <f>LOOKUP(A44, StratumVariables[Study], StratumVariables[VariableName])</f>
        <v>#VALUE!</v>
      </c>
      <c r="X44" s="3" t="e">
        <f>LOOKUP(A44, StratumVariables[Study], StratumVariables[CausalRole])</f>
        <v>#VALUE!</v>
      </c>
      <c r="Y44" s="3" t="e">
        <f>AND(LOOKUP(A44, TreatmentRankings[Study], TreatmentRankings[StratumCount]) &gt;= 2, J44 = LOOKUP(A44, TreatmentRankings[Study], TreatmentRankings[StratumCount]) * 2)</f>
        <v>#VALUE!</v>
      </c>
      <c r="Z44" s="3" t="e">
        <f>IF(H44, "exempt-synthetic", IF(AND(Y44, LOOKUP(A44, StratumVariables[Study], StratumVariables[VariableName]) &lt;&gt; ""), "all", "partial"))</f>
        <v>#VALUE!</v>
      </c>
    </row>
    <row r="45">
      <c r="A45" s="2" t="s">
        <v>579</v>
      </c>
      <c r="B45" s="3" t="str">
        <f>A45</f>
        <v>hanley-power-lines-2000</v>
      </c>
      <c r="C45" s="2" t="s">
        <v>580</v>
      </c>
      <c r="D45" s="2" t="s">
        <v>581</v>
      </c>
      <c r="E45" s="2" t="s">
        <v>582</v>
      </c>
      <c r="F45" s="4">
        <v>2000</v>
      </c>
      <c r="G45" s="2" t="s">
        <v>441</v>
      </c>
      <c r="H45" s="2" t="b">
        <v>0</v>
      </c>
      <c r="I45" s="5">
        <f>SUMIFS(CaseCells!G2:G999,CaseCells!C2:C999, A45)</f>
        <v>1515</v>
      </c>
      <c r="J45" s="5">
        <f>COUNTIFS(CaseCells!C2:C999, A45)</f>
        <v>10</v>
      </c>
      <c r="K45" s="2" t="s">
        <v>58</v>
      </c>
      <c r="L45" s="2" t="s">
        <v>433</v>
      </c>
      <c r="M45" s="3" t="e">
        <f>LOOKUP(K45, ResearchTraditions[TraditionId], ResearchTraditions[Name])</f>
        <v>#VALUE!</v>
      </c>
      <c r="N45" s="3" t="e">
        <f>LOOKUP(K45, ResearchTraditions[TraditionId], ResearchTraditions[CoreConcern])</f>
        <v>#VALUE!</v>
      </c>
      <c r="O45" s="3" t="e">
        <f>LOOKUP(L45, Researchers[ResearcherId], Researchers[Name])</f>
        <v>#VALUE!</v>
      </c>
      <c r="P45" s="3" t="e">
        <f>LOOKUP(L45, Researchers[ResearcherId], Researchers[Affiliation])</f>
        <v>#VALUE!</v>
      </c>
      <c r="Q45" s="3" t="e">
        <f>LOOKUP(A45, TreatmentRankings[Study], TreatmentRankings[DistortionType])</f>
        <v>#VALUE!</v>
      </c>
      <c r="R45" s="3" t="e">
        <f>LOOKUP(A45, TreatmentRankings[Study], TreatmentRankings[CorrectedPolicyImplication])</f>
        <v>#VALUE!</v>
      </c>
      <c r="S45" s="3" t="e">
        <f>LOOKUP(A45, TreatmentRankings[Study], TreatmentRankings[AllocationDistortion])</f>
        <v>#VALUE!</v>
      </c>
      <c r="T45" s="3" t="e">
        <f>LOOKUP(A45, TreatmentRankings[Study], TreatmentRankings[SignalPurity])</f>
        <v>#VALUE!</v>
      </c>
      <c r="U45" s="3" t="e">
        <f>LOOKUP(A45, TreatmentRankings[Study], TreatmentRankings[IsSignFlip])</f>
        <v>#VALUE!</v>
      </c>
      <c r="V45" s="3" t="e">
        <f>LOOKUP(A45, TreatmentRankings[Study], TreatmentRankings[CorrectedWinner])</f>
        <v>#VALUE!</v>
      </c>
      <c r="W45" s="3" t="e">
        <f>LOOKUP(A45, StratumVariables[Study], StratumVariables[VariableName])</f>
        <v>#VALUE!</v>
      </c>
      <c r="X45" s="3" t="e">
        <f>LOOKUP(A45, StratumVariables[Study], StratumVariables[CausalRole])</f>
        <v>#VALUE!</v>
      </c>
      <c r="Y45" s="3" t="e">
        <f>AND(LOOKUP(A45, TreatmentRankings[Study], TreatmentRankings[StratumCount]) &gt;= 2, J45 = LOOKUP(A45, TreatmentRankings[Study], TreatmentRankings[StratumCount]) * 2)</f>
        <v>#VALUE!</v>
      </c>
      <c r="Z45" s="3" t="e">
        <f>IF(H45, "exempt-synthetic", IF(AND(Y45, LOOKUP(A45, StratumVariables[Study], StratumVariables[VariableName]) &lt;&gt; ""), "all", "partial"))</f>
        <v>#VALUE!</v>
      </c>
    </row>
    <row r="46">
      <c r="A46" s="2" t="s">
        <v>583</v>
      </c>
      <c r="B46" s="3" t="str">
        <f>A46</f>
        <v>coffee-smoking-lung-1968</v>
      </c>
      <c r="C46" s="2" t="s">
        <v>584</v>
      </c>
      <c r="D46" s="2" t="s">
        <v>585</v>
      </c>
      <c r="E46" s="2" t="s">
        <v>423</v>
      </c>
      <c r="F46" s="4">
        <v>1968</v>
      </c>
      <c r="G46" s="2" t="s">
        <v>441</v>
      </c>
      <c r="H46" s="2" t="b">
        <v>0</v>
      </c>
      <c r="I46" s="5">
        <f>SUMIFS(CaseCells!G2:G999,CaseCells!C2:C999, A46)</f>
        <v>1116</v>
      </c>
      <c r="J46" s="5">
        <f>COUNTIFS(CaseCells!C2:C999, A46)</f>
        <v>4</v>
      </c>
      <c r="K46" s="2" t="s">
        <v>58</v>
      </c>
      <c r="L46" s="2" t="s">
        <v>433</v>
      </c>
      <c r="M46" s="3" t="e">
        <f>LOOKUP(K46, ResearchTraditions[TraditionId], ResearchTraditions[Name])</f>
        <v>#VALUE!</v>
      </c>
      <c r="N46" s="3" t="e">
        <f>LOOKUP(K46, ResearchTraditions[TraditionId], ResearchTraditions[CoreConcern])</f>
        <v>#VALUE!</v>
      </c>
      <c r="O46" s="3" t="e">
        <f>LOOKUP(L46, Researchers[ResearcherId], Researchers[Name])</f>
        <v>#VALUE!</v>
      </c>
      <c r="P46" s="3" t="e">
        <f>LOOKUP(L46, Researchers[ResearcherId], Researchers[Affiliation])</f>
        <v>#VALUE!</v>
      </c>
      <c r="Q46" s="3" t="e">
        <f>LOOKUP(A46, TreatmentRankings[Study], TreatmentRankings[DistortionType])</f>
        <v>#VALUE!</v>
      </c>
      <c r="R46" s="3" t="e">
        <f>LOOKUP(A46, TreatmentRankings[Study], TreatmentRankings[CorrectedPolicyImplication])</f>
        <v>#VALUE!</v>
      </c>
      <c r="S46" s="3" t="e">
        <f>LOOKUP(A46, TreatmentRankings[Study], TreatmentRankings[AllocationDistortion])</f>
        <v>#VALUE!</v>
      </c>
      <c r="T46" s="3" t="e">
        <f>LOOKUP(A46, TreatmentRankings[Study], TreatmentRankings[SignalPurity])</f>
        <v>#VALUE!</v>
      </c>
      <c r="U46" s="3" t="e">
        <f>LOOKUP(A46, TreatmentRankings[Study], TreatmentRankings[IsSignFlip])</f>
        <v>#VALUE!</v>
      </c>
      <c r="V46" s="3" t="e">
        <f>LOOKUP(A46, TreatmentRankings[Study], TreatmentRankings[CorrectedWinner])</f>
        <v>#VALUE!</v>
      </c>
      <c r="W46" s="3" t="e">
        <f>LOOKUP(A46, StratumVariables[Study], StratumVariables[VariableName])</f>
        <v>#VALUE!</v>
      </c>
      <c r="X46" s="3" t="e">
        <f>LOOKUP(A46, StratumVariables[Study], StratumVariables[CausalRole])</f>
        <v>#VALUE!</v>
      </c>
      <c r="Y46" s="3" t="e">
        <f>AND(LOOKUP(A46, TreatmentRankings[Study], TreatmentRankings[StratumCount]) &gt;= 2, J46 = LOOKUP(A46, TreatmentRankings[Study], TreatmentRankings[StratumCount]) * 2)</f>
        <v>#VALUE!</v>
      </c>
      <c r="Z46" s="3" t="e">
        <f>IF(H46, "exempt-synthetic", IF(AND(Y46, LOOKUP(A46, StratumVariables[Study], StratumVariables[VariableName]) &lt;&gt; ""), "all", "partial"))</f>
        <v>#VALUE!</v>
      </c>
    </row>
    <row r="47">
      <c r="A47" s="2" t="s">
        <v>586</v>
      </c>
      <c r="B47" s="3" t="str">
        <f>A47</f>
        <v>panama-sweden-mortality-1975</v>
      </c>
      <c r="C47" s="2" t="s">
        <v>587</v>
      </c>
      <c r="D47" s="2" t="s">
        <v>588</v>
      </c>
      <c r="E47" s="2" t="s">
        <v>423</v>
      </c>
      <c r="F47" s="4">
        <v>1975</v>
      </c>
      <c r="G47" s="2" t="s">
        <v>441</v>
      </c>
      <c r="H47" s="2" t="b">
        <v>0</v>
      </c>
      <c r="I47" s="5">
        <f>SUMIFS(CaseCells!G2:G999,CaseCells!C2:C999, A47)</f>
        <v>2000</v>
      </c>
      <c r="J47" s="5">
        <f>COUNTIFS(CaseCells!C2:C999, A47)</f>
        <v>6</v>
      </c>
      <c r="K47" s="2" t="s">
        <v>58</v>
      </c>
      <c r="L47" s="2" t="s">
        <v>433</v>
      </c>
      <c r="M47" s="3" t="e">
        <f>LOOKUP(K47, ResearchTraditions[TraditionId], ResearchTraditions[Name])</f>
        <v>#VALUE!</v>
      </c>
      <c r="N47" s="3" t="e">
        <f>LOOKUP(K47, ResearchTraditions[TraditionId], ResearchTraditions[CoreConcern])</f>
        <v>#VALUE!</v>
      </c>
      <c r="O47" s="3" t="e">
        <f>LOOKUP(L47, Researchers[ResearcherId], Researchers[Name])</f>
        <v>#VALUE!</v>
      </c>
      <c r="P47" s="3" t="e">
        <f>LOOKUP(L47, Researchers[ResearcherId], Researchers[Affiliation])</f>
        <v>#VALUE!</v>
      </c>
      <c r="Q47" s="3" t="e">
        <f>LOOKUP(A47, TreatmentRankings[Study], TreatmentRankings[DistortionType])</f>
        <v>#VALUE!</v>
      </c>
      <c r="R47" s="3" t="e">
        <f>LOOKUP(A47, TreatmentRankings[Study], TreatmentRankings[CorrectedPolicyImplication])</f>
        <v>#VALUE!</v>
      </c>
      <c r="S47" s="3" t="e">
        <f>LOOKUP(A47, TreatmentRankings[Study], TreatmentRankings[AllocationDistortion])</f>
        <v>#VALUE!</v>
      </c>
      <c r="T47" s="3" t="e">
        <f>LOOKUP(A47, TreatmentRankings[Study], TreatmentRankings[SignalPurity])</f>
        <v>#VALUE!</v>
      </c>
      <c r="U47" s="3" t="e">
        <f>LOOKUP(A47, TreatmentRankings[Study], TreatmentRankings[IsSignFlip])</f>
        <v>#VALUE!</v>
      </c>
      <c r="V47" s="3" t="e">
        <f>LOOKUP(A47, TreatmentRankings[Study], TreatmentRankings[CorrectedWinner])</f>
        <v>#VALUE!</v>
      </c>
      <c r="W47" s="3" t="e">
        <f>LOOKUP(A47, StratumVariables[Study], StratumVariables[VariableName])</f>
        <v>#VALUE!</v>
      </c>
      <c r="X47" s="3" t="e">
        <f>LOOKUP(A47, StratumVariables[Study], StratumVariables[CausalRole])</f>
        <v>#VALUE!</v>
      </c>
      <c r="Y47" s="3" t="e">
        <f>AND(LOOKUP(A47, TreatmentRankings[Study], TreatmentRankings[StratumCount]) &gt;= 2, J47 = LOOKUP(A47, TreatmentRankings[Study], TreatmentRankings[StratumCount]) * 2)</f>
        <v>#VALUE!</v>
      </c>
      <c r="Z47" s="3" t="e">
        <f>IF(H47, "exempt-synthetic", IF(AND(Y47, LOOKUP(A47, StratumVariables[Study], StratumVariables[VariableName]) &lt;&gt; ""), "all", "partial"))</f>
        <v>#VALUE!</v>
      </c>
    </row>
    <row r="48">
      <c r="A48" s="2" t="s">
        <v>589</v>
      </c>
      <c r="B48" s="3" t="str">
        <f>A48</f>
        <v>hrt-whi-2002</v>
      </c>
      <c r="C48" s="2" t="s">
        <v>590</v>
      </c>
      <c r="D48" s="2" t="s">
        <v>591</v>
      </c>
      <c r="E48" s="2" t="s">
        <v>592</v>
      </c>
      <c r="F48" s="4">
        <v>2002</v>
      </c>
      <c r="G48" s="2" t="s">
        <v>418</v>
      </c>
      <c r="H48" s="2" t="b">
        <v>0</v>
      </c>
      <c r="I48" s="5">
        <f>SUMIFS(CaseCells!G2:G999,CaseCells!C2:C999, A48)</f>
        <v>210000</v>
      </c>
      <c r="J48" s="5">
        <f>COUNTIFS(CaseCells!C2:C999, A48)</f>
        <v>4</v>
      </c>
      <c r="K48" s="2" t="s">
        <v>58</v>
      </c>
      <c r="L48" s="2" t="s">
        <v>433</v>
      </c>
      <c r="M48" s="3" t="e">
        <f>LOOKUP(K48, ResearchTraditions[TraditionId], ResearchTraditions[Name])</f>
        <v>#VALUE!</v>
      </c>
      <c r="N48" s="3" t="e">
        <f>LOOKUP(K48, ResearchTraditions[TraditionId], ResearchTraditions[CoreConcern])</f>
        <v>#VALUE!</v>
      </c>
      <c r="O48" s="3" t="e">
        <f>LOOKUP(L48, Researchers[ResearcherId], Researchers[Name])</f>
        <v>#VALUE!</v>
      </c>
      <c r="P48" s="3" t="e">
        <f>LOOKUP(L48, Researchers[ResearcherId], Researchers[Affiliation])</f>
        <v>#VALUE!</v>
      </c>
      <c r="Q48" s="3" t="e">
        <f>LOOKUP(A48, TreatmentRankings[Study], TreatmentRankings[DistortionType])</f>
        <v>#VALUE!</v>
      </c>
      <c r="R48" s="3" t="e">
        <f>LOOKUP(A48, TreatmentRankings[Study], TreatmentRankings[CorrectedPolicyImplication])</f>
        <v>#VALUE!</v>
      </c>
      <c r="S48" s="3" t="e">
        <f>LOOKUP(A48, TreatmentRankings[Study], TreatmentRankings[AllocationDistortion])</f>
        <v>#VALUE!</v>
      </c>
      <c r="T48" s="3" t="e">
        <f>LOOKUP(A48, TreatmentRankings[Study], TreatmentRankings[SignalPurity])</f>
        <v>#VALUE!</v>
      </c>
      <c r="U48" s="3" t="e">
        <f>LOOKUP(A48, TreatmentRankings[Study], TreatmentRankings[IsSignFlip])</f>
        <v>#VALUE!</v>
      </c>
      <c r="V48" s="3" t="e">
        <f>LOOKUP(A48, TreatmentRankings[Study], TreatmentRankings[CorrectedWinner])</f>
        <v>#VALUE!</v>
      </c>
      <c r="W48" s="3" t="e">
        <f>LOOKUP(A48, StratumVariables[Study], StratumVariables[VariableName])</f>
        <v>#VALUE!</v>
      </c>
      <c r="X48" s="3" t="e">
        <f>LOOKUP(A48, StratumVariables[Study], StratumVariables[CausalRole])</f>
        <v>#VALUE!</v>
      </c>
      <c r="Y48" s="3" t="e">
        <f>AND(LOOKUP(A48, TreatmentRankings[Study], TreatmentRankings[StratumCount]) &gt;= 2, J48 = LOOKUP(A48, TreatmentRankings[Study], TreatmentRankings[StratumCount]) * 2)</f>
        <v>#VALUE!</v>
      </c>
      <c r="Z48" s="3" t="e">
        <f>IF(H48, "exempt-synthetic", IF(AND(Y48, LOOKUP(A48, StratumVariables[Study], StratumVariables[VariableName]) &lt;&gt; ""), "all", "partial"))</f>
        <v>#VALUE!</v>
      </c>
    </row>
    <row r="49">
      <c r="A49" s="2" t="s">
        <v>593</v>
      </c>
      <c r="B49" s="3" t="str">
        <f>A49</f>
        <v>obesity-paradox-hf</v>
      </c>
      <c r="C49" s="2" t="s">
        <v>594</v>
      </c>
      <c r="D49" s="2" t="s">
        <v>595</v>
      </c>
      <c r="E49" s="2" t="s">
        <v>596</v>
      </c>
      <c r="F49" s="4">
        <v>2003</v>
      </c>
      <c r="G49" s="2" t="s">
        <v>418</v>
      </c>
      <c r="H49" s="2" t="b">
        <v>0</v>
      </c>
      <c r="I49" s="5">
        <f>SUMIFS(CaseCells!G2:G999,CaseCells!C2:C999, A49)</f>
        <v>4000</v>
      </c>
      <c r="J49" s="5">
        <f>COUNTIFS(CaseCells!C2:C999, A49)</f>
        <v>4</v>
      </c>
      <c r="K49" s="2" t="s">
        <v>58</v>
      </c>
      <c r="L49" s="2" t="s">
        <v>433</v>
      </c>
      <c r="M49" s="3" t="e">
        <f>LOOKUP(K49, ResearchTraditions[TraditionId], ResearchTraditions[Name])</f>
        <v>#VALUE!</v>
      </c>
      <c r="N49" s="3" t="e">
        <f>LOOKUP(K49, ResearchTraditions[TraditionId], ResearchTraditions[CoreConcern])</f>
        <v>#VALUE!</v>
      </c>
      <c r="O49" s="3" t="e">
        <f>LOOKUP(L49, Researchers[ResearcherId], Researchers[Name])</f>
        <v>#VALUE!</v>
      </c>
      <c r="P49" s="3" t="e">
        <f>LOOKUP(L49, Researchers[ResearcherId], Researchers[Affiliation])</f>
        <v>#VALUE!</v>
      </c>
      <c r="Q49" s="3" t="e">
        <f>LOOKUP(A49, TreatmentRankings[Study], TreatmentRankings[DistortionType])</f>
        <v>#VALUE!</v>
      </c>
      <c r="R49" s="3" t="e">
        <f>LOOKUP(A49, TreatmentRankings[Study], TreatmentRankings[CorrectedPolicyImplication])</f>
        <v>#VALUE!</v>
      </c>
      <c r="S49" s="3" t="e">
        <f>LOOKUP(A49, TreatmentRankings[Study], TreatmentRankings[AllocationDistortion])</f>
        <v>#VALUE!</v>
      </c>
      <c r="T49" s="3" t="e">
        <f>LOOKUP(A49, TreatmentRankings[Study], TreatmentRankings[SignalPurity])</f>
        <v>#VALUE!</v>
      </c>
      <c r="U49" s="3" t="e">
        <f>LOOKUP(A49, TreatmentRankings[Study], TreatmentRankings[IsSignFlip])</f>
        <v>#VALUE!</v>
      </c>
      <c r="V49" s="3" t="e">
        <f>LOOKUP(A49, TreatmentRankings[Study], TreatmentRankings[CorrectedWinner])</f>
        <v>#VALUE!</v>
      </c>
      <c r="W49" s="3" t="e">
        <f>LOOKUP(A49, StratumVariables[Study], StratumVariables[VariableName])</f>
        <v>#VALUE!</v>
      </c>
      <c r="X49" s="3" t="e">
        <f>LOOKUP(A49, StratumVariables[Study], StratumVariables[CausalRole])</f>
        <v>#VALUE!</v>
      </c>
      <c r="Y49" s="3" t="e">
        <f>AND(LOOKUP(A49, TreatmentRankings[Study], TreatmentRankings[StratumCount]) &gt;= 2, J49 = LOOKUP(A49, TreatmentRankings[Study], TreatmentRankings[StratumCount]) * 2)</f>
        <v>#VALUE!</v>
      </c>
      <c r="Z49" s="3" t="e">
        <f>IF(H49, "exempt-synthetic", IF(AND(Y49, LOOKUP(A49, StratumVariables[Study], StratumVariables[VariableName]) &lt;&gt; ""), "all", "partial"))</f>
        <v>#VALUE!</v>
      </c>
    </row>
    <row r="50">
      <c r="A50" s="2" t="s">
        <v>597</v>
      </c>
      <c r="B50" s="3" t="str">
        <f>A50</f>
        <v>dialysis-bmi-survival</v>
      </c>
      <c r="C50" s="2" t="s">
        <v>598</v>
      </c>
      <c r="D50" s="2" t="s">
        <v>599</v>
      </c>
      <c r="E50" s="2" t="s">
        <v>600</v>
      </c>
      <c r="F50" s="4">
        <v>2001</v>
      </c>
      <c r="G50" s="2" t="s">
        <v>418</v>
      </c>
      <c r="H50" s="2" t="b">
        <v>0</v>
      </c>
      <c r="I50" s="5">
        <f>SUMIFS(CaseCells!G2:G999,CaseCells!C2:C999, A50)</f>
        <v>4000</v>
      </c>
      <c r="J50" s="5">
        <f>COUNTIFS(CaseCells!C2:C999, A50)</f>
        <v>4</v>
      </c>
      <c r="K50" s="2" t="s">
        <v>58</v>
      </c>
      <c r="L50" s="2" t="s">
        <v>433</v>
      </c>
      <c r="M50" s="3" t="e">
        <f>LOOKUP(K50, ResearchTraditions[TraditionId], ResearchTraditions[Name])</f>
        <v>#VALUE!</v>
      </c>
      <c r="N50" s="3" t="e">
        <f>LOOKUP(K50, ResearchTraditions[TraditionId], ResearchTraditions[CoreConcern])</f>
        <v>#VALUE!</v>
      </c>
      <c r="O50" s="3" t="e">
        <f>LOOKUP(L50, Researchers[ResearcherId], Researchers[Name])</f>
        <v>#VALUE!</v>
      </c>
      <c r="P50" s="3" t="e">
        <f>LOOKUP(L50, Researchers[ResearcherId], Researchers[Affiliation])</f>
        <v>#VALUE!</v>
      </c>
      <c r="Q50" s="3" t="e">
        <f>LOOKUP(A50, TreatmentRankings[Study], TreatmentRankings[DistortionType])</f>
        <v>#VALUE!</v>
      </c>
      <c r="R50" s="3" t="e">
        <f>LOOKUP(A50, TreatmentRankings[Study], TreatmentRankings[CorrectedPolicyImplication])</f>
        <v>#VALUE!</v>
      </c>
      <c r="S50" s="3" t="e">
        <f>LOOKUP(A50, TreatmentRankings[Study], TreatmentRankings[AllocationDistortion])</f>
        <v>#VALUE!</v>
      </c>
      <c r="T50" s="3" t="e">
        <f>LOOKUP(A50, TreatmentRankings[Study], TreatmentRankings[SignalPurity])</f>
        <v>#VALUE!</v>
      </c>
      <c r="U50" s="3" t="e">
        <f>LOOKUP(A50, TreatmentRankings[Study], TreatmentRankings[IsSignFlip])</f>
        <v>#VALUE!</v>
      </c>
      <c r="V50" s="3" t="e">
        <f>LOOKUP(A50, TreatmentRankings[Study], TreatmentRankings[CorrectedWinner])</f>
        <v>#VALUE!</v>
      </c>
      <c r="W50" s="3" t="e">
        <f>LOOKUP(A50, StratumVariables[Study], StratumVariables[VariableName])</f>
        <v>#VALUE!</v>
      </c>
      <c r="X50" s="3" t="e">
        <f>LOOKUP(A50, StratumVariables[Study], StratumVariables[CausalRole])</f>
        <v>#VALUE!</v>
      </c>
      <c r="Y50" s="3" t="e">
        <f>AND(LOOKUP(A50, TreatmentRankings[Study], TreatmentRankings[StratumCount]) &gt;= 2, J50 = LOOKUP(A50, TreatmentRankings[Study], TreatmentRankings[StratumCount]) * 2)</f>
        <v>#VALUE!</v>
      </c>
      <c r="Z50" s="3" t="e">
        <f>IF(H50, "exempt-synthetic", IF(AND(Y50, LOOKUP(A50, StratumVariables[Study], StratumVariables[VariableName]) &lt;&gt; ""), "all", "partial"))</f>
        <v>#VALUE!</v>
      </c>
    </row>
    <row r="51">
      <c r="A51" s="2" t="s">
        <v>601</v>
      </c>
      <c r="B51" s="3" t="str">
        <f>A51</f>
        <v>sick-quitter-alcohol</v>
      </c>
      <c r="C51" s="2" t="s">
        <v>602</v>
      </c>
      <c r="D51" s="2" t="s">
        <v>603</v>
      </c>
      <c r="E51" s="2" t="s">
        <v>604</v>
      </c>
      <c r="F51" s="4">
        <v>1988</v>
      </c>
      <c r="G51" s="2" t="s">
        <v>418</v>
      </c>
      <c r="H51" s="2" t="b">
        <v>0</v>
      </c>
      <c r="I51" s="5">
        <f>SUMIFS(CaseCells!G2:G999,CaseCells!C2:C999, A51)</f>
        <v>4000</v>
      </c>
      <c r="J51" s="5">
        <f>COUNTIFS(CaseCells!C2:C999, A51)</f>
        <v>4</v>
      </c>
      <c r="K51" s="2" t="s">
        <v>58</v>
      </c>
      <c r="L51" s="2" t="s">
        <v>433</v>
      </c>
      <c r="M51" s="3" t="e">
        <f>LOOKUP(K51, ResearchTraditions[TraditionId], ResearchTraditions[Name])</f>
        <v>#VALUE!</v>
      </c>
      <c r="N51" s="3" t="e">
        <f>LOOKUP(K51, ResearchTraditions[TraditionId], ResearchTraditions[CoreConcern])</f>
        <v>#VALUE!</v>
      </c>
      <c r="O51" s="3" t="e">
        <f>LOOKUP(L51, Researchers[ResearcherId], Researchers[Name])</f>
        <v>#VALUE!</v>
      </c>
      <c r="P51" s="3" t="e">
        <f>LOOKUP(L51, Researchers[ResearcherId], Researchers[Affiliation])</f>
        <v>#VALUE!</v>
      </c>
      <c r="Q51" s="3" t="e">
        <f>LOOKUP(A51, TreatmentRankings[Study], TreatmentRankings[DistortionType])</f>
        <v>#VALUE!</v>
      </c>
      <c r="R51" s="3" t="e">
        <f>LOOKUP(A51, TreatmentRankings[Study], TreatmentRankings[CorrectedPolicyImplication])</f>
        <v>#VALUE!</v>
      </c>
      <c r="S51" s="3" t="e">
        <f>LOOKUP(A51, TreatmentRankings[Study], TreatmentRankings[AllocationDistortion])</f>
        <v>#VALUE!</v>
      </c>
      <c r="T51" s="3" t="e">
        <f>LOOKUP(A51, TreatmentRankings[Study], TreatmentRankings[SignalPurity])</f>
        <v>#VALUE!</v>
      </c>
      <c r="U51" s="3" t="e">
        <f>LOOKUP(A51, TreatmentRankings[Study], TreatmentRankings[IsSignFlip])</f>
        <v>#VALUE!</v>
      </c>
      <c r="V51" s="3" t="e">
        <f>LOOKUP(A51, TreatmentRankings[Study], TreatmentRankings[CorrectedWinner])</f>
        <v>#VALUE!</v>
      </c>
      <c r="W51" s="3" t="e">
        <f>LOOKUP(A51, StratumVariables[Study], StratumVariables[VariableName])</f>
        <v>#VALUE!</v>
      </c>
      <c r="X51" s="3" t="e">
        <f>LOOKUP(A51, StratumVariables[Study], StratumVariables[CausalRole])</f>
        <v>#VALUE!</v>
      </c>
      <c r="Y51" s="3" t="e">
        <f>AND(LOOKUP(A51, TreatmentRankings[Study], TreatmentRankings[StratumCount]) &gt;= 2, J51 = LOOKUP(A51, TreatmentRankings[Study], TreatmentRankings[StratumCount]) * 2)</f>
        <v>#VALUE!</v>
      </c>
      <c r="Z51" s="3" t="e">
        <f>IF(H51, "exempt-synthetic", IF(AND(Y51, LOOKUP(A51, StratumVariables[Study], StratumVariables[VariableName]) &lt;&gt; ""), "all", "partial"))</f>
        <v>#VALUE!</v>
      </c>
    </row>
    <row r="52">
      <c r="A52" s="2" t="s">
        <v>605</v>
      </c>
      <c r="B52" s="3" t="str">
        <f>A52</f>
        <v>flu-vaccine-elderly-mortality</v>
      </c>
      <c r="C52" s="2" t="s">
        <v>606</v>
      </c>
      <c r="D52" s="2" t="s">
        <v>607</v>
      </c>
      <c r="E52" s="2" t="s">
        <v>608</v>
      </c>
      <c r="F52" s="4">
        <v>2005</v>
      </c>
      <c r="G52" s="2" t="s">
        <v>418</v>
      </c>
      <c r="H52" s="2" t="b">
        <v>0</v>
      </c>
      <c r="I52" s="5">
        <f>SUMIFS(CaseCells!G2:G999,CaseCells!C2:C999, A52)</f>
        <v>248000</v>
      </c>
      <c r="J52" s="5">
        <f>COUNTIFS(CaseCells!C2:C999, A52)</f>
        <v>4</v>
      </c>
      <c r="K52" s="2" t="s">
        <v>58</v>
      </c>
      <c r="L52" s="2" t="s">
        <v>433</v>
      </c>
      <c r="M52" s="3" t="e">
        <f>LOOKUP(K52, ResearchTraditions[TraditionId], ResearchTraditions[Name])</f>
        <v>#VALUE!</v>
      </c>
      <c r="N52" s="3" t="e">
        <f>LOOKUP(K52, ResearchTraditions[TraditionId], ResearchTraditions[CoreConcern])</f>
        <v>#VALUE!</v>
      </c>
      <c r="O52" s="3" t="e">
        <f>LOOKUP(L52, Researchers[ResearcherId], Researchers[Name])</f>
        <v>#VALUE!</v>
      </c>
      <c r="P52" s="3" t="e">
        <f>LOOKUP(L52, Researchers[ResearcherId], Researchers[Affiliation])</f>
        <v>#VALUE!</v>
      </c>
      <c r="Q52" s="3" t="e">
        <f>LOOKUP(A52, TreatmentRankings[Study], TreatmentRankings[DistortionType])</f>
        <v>#VALUE!</v>
      </c>
      <c r="R52" s="3" t="e">
        <f>LOOKUP(A52, TreatmentRankings[Study], TreatmentRankings[CorrectedPolicyImplication])</f>
        <v>#VALUE!</v>
      </c>
      <c r="S52" s="3" t="e">
        <f>LOOKUP(A52, TreatmentRankings[Study], TreatmentRankings[AllocationDistortion])</f>
        <v>#VALUE!</v>
      </c>
      <c r="T52" s="3" t="e">
        <f>LOOKUP(A52, TreatmentRankings[Study], TreatmentRankings[SignalPurity])</f>
        <v>#VALUE!</v>
      </c>
      <c r="U52" s="3" t="e">
        <f>LOOKUP(A52, TreatmentRankings[Study], TreatmentRankings[IsSignFlip])</f>
        <v>#VALUE!</v>
      </c>
      <c r="V52" s="3" t="e">
        <f>LOOKUP(A52, TreatmentRankings[Study], TreatmentRankings[CorrectedWinner])</f>
        <v>#VALUE!</v>
      </c>
      <c r="W52" s="3" t="e">
        <f>LOOKUP(A52, StratumVariables[Study], StratumVariables[VariableName])</f>
        <v>#VALUE!</v>
      </c>
      <c r="X52" s="3" t="e">
        <f>LOOKUP(A52, StratumVariables[Study], StratumVariables[CausalRole])</f>
        <v>#VALUE!</v>
      </c>
      <c r="Y52" s="3" t="e">
        <f>AND(LOOKUP(A52, TreatmentRankings[Study], TreatmentRankings[StratumCount]) &gt;= 2, J52 = LOOKUP(A52, TreatmentRankings[Study], TreatmentRankings[StratumCount]) * 2)</f>
        <v>#VALUE!</v>
      </c>
      <c r="Z52" s="3" t="e">
        <f>IF(H52, "exempt-synthetic", IF(AND(Y52, LOOKUP(A52, StratumVariables[Study], StratumVariables[VariableName]) &lt;&gt; ""), "all", "partial"))</f>
        <v>#VALUE!</v>
      </c>
    </row>
    <row r="53">
      <c r="A53" s="2" t="s">
        <v>609</v>
      </c>
      <c r="B53" s="3" t="str">
        <f>A53</f>
        <v>covid-italy-china-cfr-2020</v>
      </c>
      <c r="C53" s="2" t="s">
        <v>610</v>
      </c>
      <c r="D53" s="2" t="s">
        <v>611</v>
      </c>
      <c r="E53" s="2" t="s">
        <v>612</v>
      </c>
      <c r="F53" s="4">
        <v>2020</v>
      </c>
      <c r="G53" s="2" t="s">
        <v>441</v>
      </c>
      <c r="H53" s="2" t="b">
        <v>0</v>
      </c>
      <c r="I53" s="5">
        <f>SUMIFS(CaseCells!G2:G999,CaseCells!C2:C999, A53)</f>
        <v>53400</v>
      </c>
      <c r="J53" s="5">
        <f>COUNTIFS(CaseCells!C2:C999, A53)</f>
        <v>4</v>
      </c>
      <c r="K53" s="2" t="s">
        <v>58</v>
      </c>
      <c r="L53" s="2" t="s">
        <v>433</v>
      </c>
      <c r="M53" s="3" t="e">
        <f>LOOKUP(K53, ResearchTraditions[TraditionId], ResearchTraditions[Name])</f>
        <v>#VALUE!</v>
      </c>
      <c r="N53" s="3" t="e">
        <f>LOOKUP(K53, ResearchTraditions[TraditionId], ResearchTraditions[CoreConcern])</f>
        <v>#VALUE!</v>
      </c>
      <c r="O53" s="3" t="e">
        <f>LOOKUP(L53, Researchers[ResearcherId], Researchers[Name])</f>
        <v>#VALUE!</v>
      </c>
      <c r="P53" s="3" t="e">
        <f>LOOKUP(L53, Researchers[ResearcherId], Researchers[Affiliation])</f>
        <v>#VALUE!</v>
      </c>
      <c r="Q53" s="3" t="e">
        <f>LOOKUP(A53, TreatmentRankings[Study], TreatmentRankings[DistortionType])</f>
        <v>#VALUE!</v>
      </c>
      <c r="R53" s="3" t="e">
        <f>LOOKUP(A53, TreatmentRankings[Study], TreatmentRankings[CorrectedPolicyImplication])</f>
        <v>#VALUE!</v>
      </c>
      <c r="S53" s="3" t="e">
        <f>LOOKUP(A53, TreatmentRankings[Study], TreatmentRankings[AllocationDistortion])</f>
        <v>#VALUE!</v>
      </c>
      <c r="T53" s="3" t="e">
        <f>LOOKUP(A53, TreatmentRankings[Study], TreatmentRankings[SignalPurity])</f>
        <v>#VALUE!</v>
      </c>
      <c r="U53" s="3" t="e">
        <f>LOOKUP(A53, TreatmentRankings[Study], TreatmentRankings[IsSignFlip])</f>
        <v>#VALUE!</v>
      </c>
      <c r="V53" s="3" t="e">
        <f>LOOKUP(A53, TreatmentRankings[Study], TreatmentRankings[CorrectedWinner])</f>
        <v>#VALUE!</v>
      </c>
      <c r="W53" s="3" t="e">
        <f>LOOKUP(A53, StratumVariables[Study], StratumVariables[VariableName])</f>
        <v>#VALUE!</v>
      </c>
      <c r="X53" s="3" t="e">
        <f>LOOKUP(A53, StratumVariables[Study], StratumVariables[CausalRole])</f>
        <v>#VALUE!</v>
      </c>
      <c r="Y53" s="3" t="e">
        <f>AND(LOOKUP(A53, TreatmentRankings[Study], TreatmentRankings[StratumCount]) &gt;= 2, J53 = LOOKUP(A53, TreatmentRankings[Study], TreatmentRankings[StratumCount]) * 2)</f>
        <v>#VALUE!</v>
      </c>
      <c r="Z53" s="3" t="e">
        <f>IF(H53, "exempt-synthetic", IF(AND(Y53, LOOKUP(A53, StratumVariables[Study], StratumVariables[VariableName]) &lt;&gt; ""), "all", "partial"))</f>
        <v>#VALUE!</v>
      </c>
    </row>
    <row r="54">
      <c r="A54" s="2" t="s">
        <v>613</v>
      </c>
      <c r="B54" s="3" t="str">
        <f>A54</f>
        <v>israel-covid-severe-2021</v>
      </c>
      <c r="C54" s="2" t="s">
        <v>614</v>
      </c>
      <c r="D54" s="2" t="s">
        <v>615</v>
      </c>
      <c r="E54" s="2" t="s">
        <v>616</v>
      </c>
      <c r="F54" s="4">
        <v>2021</v>
      </c>
      <c r="G54" s="2" t="s">
        <v>441</v>
      </c>
      <c r="H54" s="2" t="b">
        <v>0</v>
      </c>
      <c r="I54" s="5">
        <f>SUMIFS(CaseCells!G2:G999,CaseCells!C2:C999, A54)</f>
        <v>163000</v>
      </c>
      <c r="J54" s="5">
        <f>COUNTIFS(CaseCells!C2:C999, A54)</f>
        <v>4</v>
      </c>
      <c r="K54" s="2" t="s">
        <v>58</v>
      </c>
      <c r="L54" s="2" t="s">
        <v>433</v>
      </c>
      <c r="M54" s="3" t="e">
        <f>LOOKUP(K54, ResearchTraditions[TraditionId], ResearchTraditions[Name])</f>
        <v>#VALUE!</v>
      </c>
      <c r="N54" s="3" t="e">
        <f>LOOKUP(K54, ResearchTraditions[TraditionId], ResearchTraditions[CoreConcern])</f>
        <v>#VALUE!</v>
      </c>
      <c r="O54" s="3" t="e">
        <f>LOOKUP(L54, Researchers[ResearcherId], Researchers[Name])</f>
        <v>#VALUE!</v>
      </c>
      <c r="P54" s="3" t="e">
        <f>LOOKUP(L54, Researchers[ResearcherId], Researchers[Affiliation])</f>
        <v>#VALUE!</v>
      </c>
      <c r="Q54" s="3" t="e">
        <f>LOOKUP(A54, TreatmentRankings[Study], TreatmentRankings[DistortionType])</f>
        <v>#VALUE!</v>
      </c>
      <c r="R54" s="3" t="e">
        <f>LOOKUP(A54, TreatmentRankings[Study], TreatmentRankings[CorrectedPolicyImplication])</f>
        <v>#VALUE!</v>
      </c>
      <c r="S54" s="3" t="e">
        <f>LOOKUP(A54, TreatmentRankings[Study], TreatmentRankings[AllocationDistortion])</f>
        <v>#VALUE!</v>
      </c>
      <c r="T54" s="3" t="e">
        <f>LOOKUP(A54, TreatmentRankings[Study], TreatmentRankings[SignalPurity])</f>
        <v>#VALUE!</v>
      </c>
      <c r="U54" s="3" t="e">
        <f>LOOKUP(A54, TreatmentRankings[Study], TreatmentRankings[IsSignFlip])</f>
        <v>#VALUE!</v>
      </c>
      <c r="V54" s="3" t="e">
        <f>LOOKUP(A54, TreatmentRankings[Study], TreatmentRankings[CorrectedWinner])</f>
        <v>#VALUE!</v>
      </c>
      <c r="W54" s="3" t="e">
        <f>LOOKUP(A54, StratumVariables[Study], StratumVariables[VariableName])</f>
        <v>#VALUE!</v>
      </c>
      <c r="X54" s="3" t="e">
        <f>LOOKUP(A54, StratumVariables[Study], StratumVariables[CausalRole])</f>
        <v>#VALUE!</v>
      </c>
      <c r="Y54" s="3" t="e">
        <f>AND(LOOKUP(A54, TreatmentRankings[Study], TreatmentRankings[StratumCount]) &gt;= 2, J54 = LOOKUP(A54, TreatmentRankings[Study], TreatmentRankings[StratumCount]) * 2)</f>
        <v>#VALUE!</v>
      </c>
      <c r="Z54" s="3" t="e">
        <f>IF(H54, "exempt-synthetic", IF(AND(Y54, LOOKUP(A54, StratumVariables[Study], StratumVariables[VariableName]) &lt;&gt; ""), "all", "partial"))</f>
        <v>#VALUE!</v>
      </c>
    </row>
    <row r="55">
      <c r="A55" s="2" t="s">
        <v>617</v>
      </c>
      <c r="B55" s="3" t="str">
        <f>A55</f>
        <v>cochran-smoking-1968</v>
      </c>
      <c r="C55" s="2" t="s">
        <v>618</v>
      </c>
      <c r="D55" s="2" t="s">
        <v>619</v>
      </c>
      <c r="E55" s="2" t="s">
        <v>620</v>
      </c>
      <c r="F55" s="4">
        <v>1968</v>
      </c>
      <c r="G55" s="2" t="s">
        <v>441</v>
      </c>
      <c r="H55" s="2" t="b">
        <v>0</v>
      </c>
      <c r="I55" s="5">
        <f>SUMIFS(CaseCells!G2:G999,CaseCells!C2:C999, A55)</f>
        <v>13000</v>
      </c>
      <c r="J55" s="5">
        <f>COUNTIFS(CaseCells!C2:C999, A55)</f>
        <v>4</v>
      </c>
      <c r="K55" s="2" t="s">
        <v>58</v>
      </c>
      <c r="L55" s="2" t="s">
        <v>433</v>
      </c>
      <c r="M55" s="3" t="e">
        <f>LOOKUP(K55, ResearchTraditions[TraditionId], ResearchTraditions[Name])</f>
        <v>#VALUE!</v>
      </c>
      <c r="N55" s="3" t="e">
        <f>LOOKUP(K55, ResearchTraditions[TraditionId], ResearchTraditions[CoreConcern])</f>
        <v>#VALUE!</v>
      </c>
      <c r="O55" s="3" t="e">
        <f>LOOKUP(L55, Researchers[ResearcherId], Researchers[Name])</f>
        <v>#VALUE!</v>
      </c>
      <c r="P55" s="3" t="e">
        <f>LOOKUP(L55, Researchers[ResearcherId], Researchers[Affiliation])</f>
        <v>#VALUE!</v>
      </c>
      <c r="Q55" s="3" t="e">
        <f>LOOKUP(A55, TreatmentRankings[Study], TreatmentRankings[DistortionType])</f>
        <v>#VALUE!</v>
      </c>
      <c r="R55" s="3" t="e">
        <f>LOOKUP(A55, TreatmentRankings[Study], TreatmentRankings[CorrectedPolicyImplication])</f>
        <v>#VALUE!</v>
      </c>
      <c r="S55" s="3" t="e">
        <f>LOOKUP(A55, TreatmentRankings[Study], TreatmentRankings[AllocationDistortion])</f>
        <v>#VALUE!</v>
      </c>
      <c r="T55" s="3" t="e">
        <f>LOOKUP(A55, TreatmentRankings[Study], TreatmentRankings[SignalPurity])</f>
        <v>#VALUE!</v>
      </c>
      <c r="U55" s="3" t="e">
        <f>LOOKUP(A55, TreatmentRankings[Study], TreatmentRankings[IsSignFlip])</f>
        <v>#VALUE!</v>
      </c>
      <c r="V55" s="3" t="e">
        <f>LOOKUP(A55, TreatmentRankings[Study], TreatmentRankings[CorrectedWinner])</f>
        <v>#VALUE!</v>
      </c>
      <c r="W55" s="3" t="e">
        <f>LOOKUP(A55, StratumVariables[Study], StratumVariables[VariableName])</f>
        <v>#VALUE!</v>
      </c>
      <c r="X55" s="3" t="e">
        <f>LOOKUP(A55, StratumVariables[Study], StratumVariables[CausalRole])</f>
        <v>#VALUE!</v>
      </c>
      <c r="Y55" s="3" t="e">
        <f>AND(LOOKUP(A55, TreatmentRankings[Study], TreatmentRankings[StratumCount]) &gt;= 2, J55 = LOOKUP(A55, TreatmentRankings[Study], TreatmentRankings[StratumCount]) * 2)</f>
        <v>#VALUE!</v>
      </c>
      <c r="Z55" s="3" t="e">
        <f>IF(H55, "exempt-synthetic", IF(AND(Y55, LOOKUP(A55, StratumVariables[Study], StratumVariables[VariableName]) &lt;&gt; ""), "all", "partial"))</f>
        <v>#VALUE!</v>
      </c>
    </row>
    <row r="56">
      <c r="A56" s="2" t="s">
        <v>621</v>
      </c>
      <c r="B56" s="3" t="str">
        <f>A56</f>
        <v>healthy-worker-mortality</v>
      </c>
      <c r="C56" s="2" t="s">
        <v>622</v>
      </c>
      <c r="D56" s="2" t="s">
        <v>623</v>
      </c>
      <c r="E56" s="2" t="s">
        <v>423</v>
      </c>
      <c r="F56" s="4">
        <v>1987</v>
      </c>
      <c r="G56" s="2" t="s">
        <v>441</v>
      </c>
      <c r="H56" s="2" t="b">
        <v>0</v>
      </c>
      <c r="I56" s="5">
        <f>SUMIFS(CaseCells!G2:G999,CaseCells!C2:C999, A56)</f>
        <v>4000</v>
      </c>
      <c r="J56" s="5">
        <f>COUNTIFS(CaseCells!C2:C999, A56)</f>
        <v>4</v>
      </c>
      <c r="K56" s="2" t="s">
        <v>58</v>
      </c>
      <c r="L56" s="2" t="s">
        <v>433</v>
      </c>
      <c r="M56" s="3" t="e">
        <f>LOOKUP(K56, ResearchTraditions[TraditionId], ResearchTraditions[Name])</f>
        <v>#VALUE!</v>
      </c>
      <c r="N56" s="3" t="e">
        <f>LOOKUP(K56, ResearchTraditions[TraditionId], ResearchTraditions[CoreConcern])</f>
        <v>#VALUE!</v>
      </c>
      <c r="O56" s="3" t="e">
        <f>LOOKUP(L56, Researchers[ResearcherId], Researchers[Name])</f>
        <v>#VALUE!</v>
      </c>
      <c r="P56" s="3" t="e">
        <f>LOOKUP(L56, Researchers[ResearcherId], Researchers[Affiliation])</f>
        <v>#VALUE!</v>
      </c>
      <c r="Q56" s="3" t="e">
        <f>LOOKUP(A56, TreatmentRankings[Study], TreatmentRankings[DistortionType])</f>
        <v>#VALUE!</v>
      </c>
      <c r="R56" s="3" t="e">
        <f>LOOKUP(A56, TreatmentRankings[Study], TreatmentRankings[CorrectedPolicyImplication])</f>
        <v>#VALUE!</v>
      </c>
      <c r="S56" s="3" t="e">
        <f>LOOKUP(A56, TreatmentRankings[Study], TreatmentRankings[AllocationDistortion])</f>
        <v>#VALUE!</v>
      </c>
      <c r="T56" s="3" t="e">
        <f>LOOKUP(A56, TreatmentRankings[Study], TreatmentRankings[SignalPurity])</f>
        <v>#VALUE!</v>
      </c>
      <c r="U56" s="3" t="e">
        <f>LOOKUP(A56, TreatmentRankings[Study], TreatmentRankings[IsSignFlip])</f>
        <v>#VALUE!</v>
      </c>
      <c r="V56" s="3" t="e">
        <f>LOOKUP(A56, TreatmentRankings[Study], TreatmentRankings[CorrectedWinner])</f>
        <v>#VALUE!</v>
      </c>
      <c r="W56" s="3" t="e">
        <f>LOOKUP(A56, StratumVariables[Study], StratumVariables[VariableName])</f>
        <v>#VALUE!</v>
      </c>
      <c r="X56" s="3" t="e">
        <f>LOOKUP(A56, StratumVariables[Study], StratumVariables[CausalRole])</f>
        <v>#VALUE!</v>
      </c>
      <c r="Y56" s="3" t="e">
        <f>AND(LOOKUP(A56, TreatmentRankings[Study], TreatmentRankings[StratumCount]) &gt;= 2, J56 = LOOKUP(A56, TreatmentRankings[Study], TreatmentRankings[StratumCount]) * 2)</f>
        <v>#VALUE!</v>
      </c>
      <c r="Z56" s="3" t="e">
        <f>IF(H56, "exempt-synthetic", IF(AND(Y56, LOOKUP(A56, StratumVariables[Study], StratumVariables[VariableName]) &lt;&gt; ""), "all", "partial"))</f>
        <v>#VALUE!</v>
      </c>
    </row>
    <row r="57">
      <c r="A57" s="2" t="s">
        <v>624</v>
      </c>
      <c r="B57" s="3" t="str">
        <f>A57</f>
        <v>compas-recidivism-base</v>
      </c>
      <c r="C57" s="2" t="s">
        <v>625</v>
      </c>
      <c r="D57" s="2" t="s">
        <v>626</v>
      </c>
      <c r="E57" s="2" t="s">
        <v>627</v>
      </c>
      <c r="F57" s="4">
        <v>2016</v>
      </c>
      <c r="G57" s="2" t="s">
        <v>446</v>
      </c>
      <c r="H57" s="2" t="b">
        <v>0</v>
      </c>
      <c r="I57" s="5">
        <f>SUMIFS(CaseCells!G2:G999,CaseCells!C2:C999, A57)</f>
        <v>4000</v>
      </c>
      <c r="J57" s="5">
        <f>COUNTIFS(CaseCells!C2:C999, A57)</f>
        <v>4</v>
      </c>
      <c r="K57" s="2" t="s">
        <v>204</v>
      </c>
      <c r="L57" s="2" t="s">
        <v>628</v>
      </c>
      <c r="M57" s="3" t="e">
        <f>LOOKUP(K57, ResearchTraditions[TraditionId], ResearchTraditions[Name])</f>
        <v>#VALUE!</v>
      </c>
      <c r="N57" s="3" t="e">
        <f>LOOKUP(K57, ResearchTraditions[TraditionId], ResearchTraditions[CoreConcern])</f>
        <v>#VALUE!</v>
      </c>
      <c r="O57" s="3" t="e">
        <f>LOOKUP(L57, Researchers[ResearcherId], Researchers[Name])</f>
        <v>#VALUE!</v>
      </c>
      <c r="P57" s="3" t="e">
        <f>LOOKUP(L57, Researchers[ResearcherId], Researchers[Affiliation])</f>
        <v>#VALUE!</v>
      </c>
      <c r="Q57" s="3" t="e">
        <f>LOOKUP(A57, TreatmentRankings[Study], TreatmentRankings[DistortionType])</f>
        <v>#VALUE!</v>
      </c>
      <c r="R57" s="3" t="e">
        <f>LOOKUP(A57, TreatmentRankings[Study], TreatmentRankings[CorrectedPolicyImplication])</f>
        <v>#VALUE!</v>
      </c>
      <c r="S57" s="3" t="e">
        <f>LOOKUP(A57, TreatmentRankings[Study], TreatmentRankings[AllocationDistortion])</f>
        <v>#VALUE!</v>
      </c>
      <c r="T57" s="3" t="e">
        <f>LOOKUP(A57, TreatmentRankings[Study], TreatmentRankings[SignalPurity])</f>
        <v>#VALUE!</v>
      </c>
      <c r="U57" s="3" t="e">
        <f>LOOKUP(A57, TreatmentRankings[Study], TreatmentRankings[IsSignFlip])</f>
        <v>#VALUE!</v>
      </c>
      <c r="V57" s="3" t="e">
        <f>LOOKUP(A57, TreatmentRankings[Study], TreatmentRankings[CorrectedWinner])</f>
        <v>#VALUE!</v>
      </c>
      <c r="W57" s="3" t="e">
        <f>LOOKUP(A57, StratumVariables[Study], StratumVariables[VariableName])</f>
        <v>#VALUE!</v>
      </c>
      <c r="X57" s="3" t="e">
        <f>LOOKUP(A57, StratumVariables[Study], StratumVariables[CausalRole])</f>
        <v>#VALUE!</v>
      </c>
      <c r="Y57" s="3" t="e">
        <f>AND(LOOKUP(A57, TreatmentRankings[Study], TreatmentRankings[StratumCount]) &gt;= 2, J57 = LOOKUP(A57, TreatmentRankings[Study], TreatmentRankings[StratumCount]) * 2)</f>
        <v>#VALUE!</v>
      </c>
      <c r="Z57" s="3" t="e">
        <f>IF(H57, "exempt-synthetic", IF(AND(Y57, LOOKUP(A57, StratumVariables[Study], StratumVariables[VariableName]) &lt;&gt; ""), "all", "partial"))</f>
        <v>#VALUE!</v>
      </c>
    </row>
    <row r="58">
      <c r="A58" s="2" t="s">
        <v>629</v>
      </c>
      <c r="B58" s="3" t="str">
        <f>A58</f>
        <v>us-wage-composition-stagnation</v>
      </c>
      <c r="C58" s="2" t="s">
        <v>630</v>
      </c>
      <c r="D58" s="2" t="s">
        <v>631</v>
      </c>
      <c r="E58" s="2" t="s">
        <v>632</v>
      </c>
      <c r="F58" s="4">
        <v>2018</v>
      </c>
      <c r="G58" s="2" t="s">
        <v>546</v>
      </c>
      <c r="H58" s="2" t="b">
        <v>0</v>
      </c>
      <c r="I58" s="5">
        <f>SUMIFS(CaseCells!G2:G999,CaseCells!C2:C999, A58)</f>
        <v>31000</v>
      </c>
      <c r="J58" s="5">
        <f>COUNTIFS(CaseCells!C2:C999, A58)</f>
        <v>4</v>
      </c>
      <c r="K58" s="2" t="s">
        <v>58</v>
      </c>
      <c r="L58" s="2" t="s">
        <v>433</v>
      </c>
      <c r="M58" s="3" t="e">
        <f>LOOKUP(K58, ResearchTraditions[TraditionId], ResearchTraditions[Name])</f>
        <v>#VALUE!</v>
      </c>
      <c r="N58" s="3" t="e">
        <f>LOOKUP(K58, ResearchTraditions[TraditionId], ResearchTraditions[CoreConcern])</f>
        <v>#VALUE!</v>
      </c>
      <c r="O58" s="3" t="e">
        <f>LOOKUP(L58, Researchers[ResearcherId], Researchers[Name])</f>
        <v>#VALUE!</v>
      </c>
      <c r="P58" s="3" t="e">
        <f>LOOKUP(L58, Researchers[ResearcherId], Researchers[Affiliation])</f>
        <v>#VALUE!</v>
      </c>
      <c r="Q58" s="3" t="e">
        <f>LOOKUP(A58, TreatmentRankings[Study], TreatmentRankings[DistortionType])</f>
        <v>#VALUE!</v>
      </c>
      <c r="R58" s="3" t="e">
        <f>LOOKUP(A58, TreatmentRankings[Study], TreatmentRankings[CorrectedPolicyImplication])</f>
        <v>#VALUE!</v>
      </c>
      <c r="S58" s="3" t="e">
        <f>LOOKUP(A58, TreatmentRankings[Study], TreatmentRankings[AllocationDistortion])</f>
        <v>#VALUE!</v>
      </c>
      <c r="T58" s="3" t="e">
        <f>LOOKUP(A58, TreatmentRankings[Study], TreatmentRankings[SignalPurity])</f>
        <v>#VALUE!</v>
      </c>
      <c r="U58" s="3" t="e">
        <f>LOOKUP(A58, TreatmentRankings[Study], TreatmentRankings[IsSignFlip])</f>
        <v>#VALUE!</v>
      </c>
      <c r="V58" s="3" t="e">
        <f>LOOKUP(A58, TreatmentRankings[Study], TreatmentRankings[CorrectedWinner])</f>
        <v>#VALUE!</v>
      </c>
      <c r="W58" s="3" t="e">
        <f>LOOKUP(A58, StratumVariables[Study], StratumVariables[VariableName])</f>
        <v>#VALUE!</v>
      </c>
      <c r="X58" s="3" t="e">
        <f>LOOKUP(A58, StratumVariables[Study], StratumVariables[CausalRole])</f>
        <v>#VALUE!</v>
      </c>
      <c r="Y58" s="3" t="e">
        <f>AND(LOOKUP(A58, TreatmentRankings[Study], TreatmentRankings[StratumCount]) &gt;= 2, J58 = LOOKUP(A58, TreatmentRankings[Study], TreatmentRankings[StratumCount]) * 2)</f>
        <v>#VALUE!</v>
      </c>
      <c r="Z58" s="3" t="e">
        <f>IF(H58, "exempt-synthetic", IF(AND(Y58, LOOKUP(A58, StratumVariables[Study], StratumVariables[VariableName]) &lt;&gt; ""), "all", "partial"))</f>
        <v>#VALUE!</v>
      </c>
    </row>
    <row r="59">
      <c r="A59" s="2" t="s">
        <v>633</v>
      </c>
      <c r="B59" s="3" t="str">
        <f>A59</f>
        <v>borjas-immigrant-cohort</v>
      </c>
      <c r="C59" s="2" t="s">
        <v>634</v>
      </c>
      <c r="D59" s="2" t="s">
        <v>635</v>
      </c>
      <c r="E59" s="2" t="s">
        <v>636</v>
      </c>
      <c r="F59" s="4">
        <v>1987</v>
      </c>
      <c r="G59" s="2" t="s">
        <v>546</v>
      </c>
      <c r="H59" s="2" t="b">
        <v>0</v>
      </c>
      <c r="I59" s="5">
        <f>SUMIFS(CaseCells!G2:G999,CaseCells!C2:C999, A59)</f>
        <v>4000</v>
      </c>
      <c r="J59" s="5">
        <f>COUNTIFS(CaseCells!C2:C999, A59)</f>
        <v>4</v>
      </c>
      <c r="K59" s="2" t="s">
        <v>58</v>
      </c>
      <c r="L59" s="2" t="s">
        <v>433</v>
      </c>
      <c r="M59" s="3" t="e">
        <f>LOOKUP(K59, ResearchTraditions[TraditionId], ResearchTraditions[Name])</f>
        <v>#VALUE!</v>
      </c>
      <c r="N59" s="3" t="e">
        <f>LOOKUP(K59, ResearchTraditions[TraditionId], ResearchTraditions[CoreConcern])</f>
        <v>#VALUE!</v>
      </c>
      <c r="O59" s="3" t="e">
        <f>LOOKUP(L59, Researchers[ResearcherId], Researchers[Name])</f>
        <v>#VALUE!</v>
      </c>
      <c r="P59" s="3" t="e">
        <f>LOOKUP(L59, Researchers[ResearcherId], Researchers[Affiliation])</f>
        <v>#VALUE!</v>
      </c>
      <c r="Q59" s="3" t="e">
        <f>LOOKUP(A59, TreatmentRankings[Study], TreatmentRankings[DistortionType])</f>
        <v>#VALUE!</v>
      </c>
      <c r="R59" s="3" t="e">
        <f>LOOKUP(A59, TreatmentRankings[Study], TreatmentRankings[CorrectedPolicyImplication])</f>
        <v>#VALUE!</v>
      </c>
      <c r="S59" s="3" t="e">
        <f>LOOKUP(A59, TreatmentRankings[Study], TreatmentRankings[AllocationDistortion])</f>
        <v>#VALUE!</v>
      </c>
      <c r="T59" s="3" t="e">
        <f>LOOKUP(A59, TreatmentRankings[Study], TreatmentRankings[SignalPurity])</f>
        <v>#VALUE!</v>
      </c>
      <c r="U59" s="3" t="e">
        <f>LOOKUP(A59, TreatmentRankings[Study], TreatmentRankings[IsSignFlip])</f>
        <v>#VALUE!</v>
      </c>
      <c r="V59" s="3" t="e">
        <f>LOOKUP(A59, TreatmentRankings[Study], TreatmentRankings[CorrectedWinner])</f>
        <v>#VALUE!</v>
      </c>
      <c r="W59" s="3" t="e">
        <f>LOOKUP(A59, StratumVariables[Study], StratumVariables[VariableName])</f>
        <v>#VALUE!</v>
      </c>
      <c r="X59" s="3" t="e">
        <f>LOOKUP(A59, StratumVariables[Study], StratumVariables[CausalRole])</f>
        <v>#VALUE!</v>
      </c>
      <c r="Y59" s="3" t="e">
        <f>AND(LOOKUP(A59, TreatmentRankings[Study], TreatmentRankings[StratumCount]) &gt;= 2, J59 = LOOKUP(A59, TreatmentRankings[Study], TreatmentRankings[StratumCount]) * 2)</f>
        <v>#VALUE!</v>
      </c>
      <c r="Z59" s="3" t="e">
        <f>IF(H59, "exempt-synthetic", IF(AND(Y59, LOOKUP(A59, StratumVariables[Study], StratumVariables[VariableName]) &lt;&gt; ""), "all", "partial"))</f>
        <v>#VALUE!</v>
      </c>
    </row>
    <row r="60">
      <c r="A60" s="2" t="s">
        <v>637</v>
      </c>
      <c r="B60" s="3" t="str">
        <f>A60</f>
        <v>robinson-1950-literacy</v>
      </c>
      <c r="C60" s="2" t="s">
        <v>638</v>
      </c>
      <c r="D60" s="2" t="s">
        <v>639</v>
      </c>
      <c r="E60" s="2" t="s">
        <v>640</v>
      </c>
      <c r="F60" s="4">
        <v>1950</v>
      </c>
      <c r="G60" s="2" t="s">
        <v>432</v>
      </c>
      <c r="H60" s="2" t="b">
        <v>0</v>
      </c>
      <c r="I60" s="5">
        <f>SUMIFS(CaseCells!G2:G999,CaseCells!C2:C999, A60)</f>
        <v>14000</v>
      </c>
      <c r="J60" s="5">
        <f>COUNTIFS(CaseCells!C2:C999, A60)</f>
        <v>4</v>
      </c>
      <c r="K60" s="2" t="s">
        <v>23</v>
      </c>
      <c r="L60" s="2" t="s">
        <v>419</v>
      </c>
      <c r="M60" s="3" t="e">
        <f>LOOKUP(K60, ResearchTraditions[TraditionId], ResearchTraditions[Name])</f>
        <v>#VALUE!</v>
      </c>
      <c r="N60" s="3" t="e">
        <f>LOOKUP(K60, ResearchTraditions[TraditionId], ResearchTraditions[CoreConcern])</f>
        <v>#VALUE!</v>
      </c>
      <c r="O60" s="3" t="e">
        <f>LOOKUP(L60, Researchers[ResearcherId], Researchers[Name])</f>
        <v>#VALUE!</v>
      </c>
      <c r="P60" s="3" t="e">
        <f>LOOKUP(L60, Researchers[ResearcherId], Researchers[Affiliation])</f>
        <v>#VALUE!</v>
      </c>
      <c r="Q60" s="3" t="e">
        <f>LOOKUP(A60, TreatmentRankings[Study], TreatmentRankings[DistortionType])</f>
        <v>#VALUE!</v>
      </c>
      <c r="R60" s="3" t="e">
        <f>LOOKUP(A60, TreatmentRankings[Study], TreatmentRankings[CorrectedPolicyImplication])</f>
        <v>#VALUE!</v>
      </c>
      <c r="S60" s="3" t="e">
        <f>LOOKUP(A60, TreatmentRankings[Study], TreatmentRankings[AllocationDistortion])</f>
        <v>#VALUE!</v>
      </c>
      <c r="T60" s="3" t="e">
        <f>LOOKUP(A60, TreatmentRankings[Study], TreatmentRankings[SignalPurity])</f>
        <v>#VALUE!</v>
      </c>
      <c r="U60" s="3" t="e">
        <f>LOOKUP(A60, TreatmentRankings[Study], TreatmentRankings[IsSignFlip])</f>
        <v>#VALUE!</v>
      </c>
      <c r="V60" s="3" t="e">
        <f>LOOKUP(A60, TreatmentRankings[Study], TreatmentRankings[CorrectedWinner])</f>
        <v>#VALUE!</v>
      </c>
      <c r="W60" s="3" t="e">
        <f>LOOKUP(A60, StratumVariables[Study], StratumVariables[VariableName])</f>
        <v>#VALUE!</v>
      </c>
      <c r="X60" s="3" t="e">
        <f>LOOKUP(A60, StratumVariables[Study], StratumVariables[CausalRole])</f>
        <v>#VALUE!</v>
      </c>
      <c r="Y60" s="3" t="e">
        <f>AND(LOOKUP(A60, TreatmentRankings[Study], TreatmentRankings[StratumCount]) &gt;= 2, J60 = LOOKUP(A60, TreatmentRankings[Study], TreatmentRankings[StratumCount]) * 2)</f>
        <v>#VALUE!</v>
      </c>
      <c r="Z60" s="3" t="e">
        <f>IF(H60, "exempt-synthetic", IF(AND(Y60, LOOKUP(A60, StratumVariables[Study], StratumVariables[VariableName]) &lt;&gt; ""), "all", "partial"))</f>
        <v>#VALUE!</v>
      </c>
    </row>
    <row r="61">
      <c r="A61" s="2" t="s">
        <v>641</v>
      </c>
      <c r="B61" s="3" t="str">
        <f>A61</f>
        <v>ab-test-traffic-mix</v>
      </c>
      <c r="C61" s="2" t="s">
        <v>642</v>
      </c>
      <c r="D61" s="2" t="s">
        <v>643</v>
      </c>
      <c r="E61" s="2" t="s">
        <v>644</v>
      </c>
      <c r="F61" s="4">
        <v>2020</v>
      </c>
      <c r="G61" s="2" t="s">
        <v>432</v>
      </c>
      <c r="H61" s="2" t="b">
        <v>0</v>
      </c>
      <c r="I61" s="5">
        <f>SUMIFS(CaseCells!G2:G999,CaseCells!C2:C999, A61)</f>
        <v>24000</v>
      </c>
      <c r="J61" s="5">
        <f>COUNTIFS(CaseCells!C2:C999, A61)</f>
        <v>4</v>
      </c>
      <c r="K61" s="2" t="s">
        <v>23</v>
      </c>
      <c r="L61" s="2" t="s">
        <v>419</v>
      </c>
      <c r="M61" s="3" t="e">
        <f>LOOKUP(K61, ResearchTraditions[TraditionId], ResearchTraditions[Name])</f>
        <v>#VALUE!</v>
      </c>
      <c r="N61" s="3" t="e">
        <f>LOOKUP(K61, ResearchTraditions[TraditionId], ResearchTraditions[CoreConcern])</f>
        <v>#VALUE!</v>
      </c>
      <c r="O61" s="3" t="e">
        <f>LOOKUP(L61, Researchers[ResearcherId], Researchers[Name])</f>
        <v>#VALUE!</v>
      </c>
      <c r="P61" s="3" t="e">
        <f>LOOKUP(L61, Researchers[ResearcherId], Researchers[Affiliation])</f>
        <v>#VALUE!</v>
      </c>
      <c r="Q61" s="3" t="e">
        <f>LOOKUP(A61, TreatmentRankings[Study], TreatmentRankings[DistortionType])</f>
        <v>#VALUE!</v>
      </c>
      <c r="R61" s="3" t="e">
        <f>LOOKUP(A61, TreatmentRankings[Study], TreatmentRankings[CorrectedPolicyImplication])</f>
        <v>#VALUE!</v>
      </c>
      <c r="S61" s="3" t="e">
        <f>LOOKUP(A61, TreatmentRankings[Study], TreatmentRankings[AllocationDistortion])</f>
        <v>#VALUE!</v>
      </c>
      <c r="T61" s="3" t="e">
        <f>LOOKUP(A61, TreatmentRankings[Study], TreatmentRankings[SignalPurity])</f>
        <v>#VALUE!</v>
      </c>
      <c r="U61" s="3" t="e">
        <f>LOOKUP(A61, TreatmentRankings[Study], TreatmentRankings[IsSignFlip])</f>
        <v>#VALUE!</v>
      </c>
      <c r="V61" s="3" t="e">
        <f>LOOKUP(A61, TreatmentRankings[Study], TreatmentRankings[CorrectedWinner])</f>
        <v>#VALUE!</v>
      </c>
      <c r="W61" s="3" t="e">
        <f>LOOKUP(A61, StratumVariables[Study], StratumVariables[VariableName])</f>
        <v>#VALUE!</v>
      </c>
      <c r="X61" s="3" t="e">
        <f>LOOKUP(A61, StratumVariables[Study], StratumVariables[CausalRole])</f>
        <v>#VALUE!</v>
      </c>
      <c r="Y61" s="3" t="e">
        <f>AND(LOOKUP(A61, TreatmentRankings[Study], TreatmentRankings[StratumCount]) &gt;= 2, J61 = LOOKUP(A61, TreatmentRankings[Study], TreatmentRankings[StratumCount]) * 2)</f>
        <v>#VALUE!</v>
      </c>
      <c r="Z61" s="3" t="e">
        <f>IF(H61, "exempt-synthetic", IF(AND(Y61, LOOKUP(A61, StratumVariables[Study], StratumVariables[VariableName]) &lt;&gt; ""), "all", "partial"))</f>
        <v>#VALUE!</v>
      </c>
    </row>
    <row r="62">
      <c r="A62" s="2" t="s">
        <v>645</v>
      </c>
      <c r="B62" s="3" t="str">
        <f>A62</f>
        <v>recsys-offline-eval</v>
      </c>
      <c r="C62" s="2" t="s">
        <v>646</v>
      </c>
      <c r="D62" s="2" t="s">
        <v>647</v>
      </c>
      <c r="E62" s="2" t="s">
        <v>648</v>
      </c>
      <c r="F62" s="4">
        <v>2021</v>
      </c>
      <c r="G62" s="2" t="s">
        <v>432</v>
      </c>
      <c r="H62" s="2" t="b">
        <v>0</v>
      </c>
      <c r="I62" s="5">
        <f>SUMIFS(CaseCells!G2:G999,CaseCells!C2:C999, A62)</f>
        <v>4000</v>
      </c>
      <c r="J62" s="5">
        <f>COUNTIFS(CaseCells!C2:C999, A62)</f>
        <v>4</v>
      </c>
      <c r="K62" s="2" t="s">
        <v>204</v>
      </c>
      <c r="L62" s="2" t="s">
        <v>628</v>
      </c>
      <c r="M62" s="3" t="e">
        <f>LOOKUP(K62, ResearchTraditions[TraditionId], ResearchTraditions[Name])</f>
        <v>#VALUE!</v>
      </c>
      <c r="N62" s="3" t="e">
        <f>LOOKUP(K62, ResearchTraditions[TraditionId], ResearchTraditions[CoreConcern])</f>
        <v>#VALUE!</v>
      </c>
      <c r="O62" s="3" t="e">
        <f>LOOKUP(L62, Researchers[ResearcherId], Researchers[Name])</f>
        <v>#VALUE!</v>
      </c>
      <c r="P62" s="3" t="e">
        <f>LOOKUP(L62, Researchers[ResearcherId], Researchers[Affiliation])</f>
        <v>#VALUE!</v>
      </c>
      <c r="Q62" s="3" t="e">
        <f>LOOKUP(A62, TreatmentRankings[Study], TreatmentRankings[DistortionType])</f>
        <v>#VALUE!</v>
      </c>
      <c r="R62" s="3" t="e">
        <f>LOOKUP(A62, TreatmentRankings[Study], TreatmentRankings[CorrectedPolicyImplication])</f>
        <v>#VALUE!</v>
      </c>
      <c r="S62" s="3" t="e">
        <f>LOOKUP(A62, TreatmentRankings[Study], TreatmentRankings[AllocationDistortion])</f>
        <v>#VALUE!</v>
      </c>
      <c r="T62" s="3" t="e">
        <f>LOOKUP(A62, TreatmentRankings[Study], TreatmentRankings[SignalPurity])</f>
        <v>#VALUE!</v>
      </c>
      <c r="U62" s="3" t="e">
        <f>LOOKUP(A62, TreatmentRankings[Study], TreatmentRankings[IsSignFlip])</f>
        <v>#VALUE!</v>
      </c>
      <c r="V62" s="3" t="e">
        <f>LOOKUP(A62, TreatmentRankings[Study], TreatmentRankings[CorrectedWinner])</f>
        <v>#VALUE!</v>
      </c>
      <c r="W62" s="3" t="e">
        <f>LOOKUP(A62, StratumVariables[Study], StratumVariables[VariableName])</f>
        <v>#VALUE!</v>
      </c>
      <c r="X62" s="3" t="e">
        <f>LOOKUP(A62, StratumVariables[Study], StratumVariables[CausalRole])</f>
        <v>#VALUE!</v>
      </c>
      <c r="Y62" s="3" t="e">
        <f>AND(LOOKUP(A62, TreatmentRankings[Study], TreatmentRankings[StratumCount]) &gt;= 2, J62 = LOOKUP(A62, TreatmentRankings[Study], TreatmentRankings[StratumCount]) * 2)</f>
        <v>#VALUE!</v>
      </c>
      <c r="Z62" s="3" t="e">
        <f>IF(H62, "exempt-synthetic", IF(AND(Y62, LOOKUP(A62, StratumVariables[Study], StratumVariables[VariableName]) &lt;&gt; ""), "all", "partial"))</f>
        <v>#VALUE!</v>
      </c>
    </row>
    <row r="63">
      <c r="A63" s="2" t="s">
        <v>649</v>
      </c>
      <c r="B63" s="3" t="str">
        <f>A63</f>
        <v>collider-only-synthetic</v>
      </c>
      <c r="C63" s="2" t="s">
        <v>650</v>
      </c>
      <c r="D63" s="2" t="s">
        <v>651</v>
      </c>
      <c r="E63" s="2" t="s">
        <v>423</v>
      </c>
      <c r="F63" s="4">
        <v>2026</v>
      </c>
      <c r="G63" s="2" t="s">
        <v>424</v>
      </c>
      <c r="H63" s="2" t="b">
        <v>1</v>
      </c>
      <c r="I63" s="5">
        <f>SUMIFS(CaseCells!G2:G999,CaseCells!C2:C999, A63)</f>
        <v>2000</v>
      </c>
      <c r="J63" s="5">
        <f>COUNTIFS(CaseCells!C2:C999, A63)</f>
        <v>4</v>
      </c>
      <c r="K63" s="2" t="s">
        <v>51</v>
      </c>
      <c r="L63" s="2" t="s">
        <v>474</v>
      </c>
      <c r="M63" s="3" t="e">
        <f>LOOKUP(K63, ResearchTraditions[TraditionId], ResearchTraditions[Name])</f>
        <v>#VALUE!</v>
      </c>
      <c r="N63" s="3" t="e">
        <f>LOOKUP(K63, ResearchTraditions[TraditionId], ResearchTraditions[CoreConcern])</f>
        <v>#VALUE!</v>
      </c>
      <c r="O63" s="3" t="e">
        <f>LOOKUP(L63, Researchers[ResearcherId], Researchers[Name])</f>
        <v>#VALUE!</v>
      </c>
      <c r="P63" s="3" t="e">
        <f>LOOKUP(L63, Researchers[ResearcherId], Researchers[Affiliation])</f>
        <v>#VALUE!</v>
      </c>
      <c r="Q63" s="3" t="e">
        <f>LOOKUP(A63, TreatmentRankings[Study], TreatmentRankings[DistortionType])</f>
        <v>#VALUE!</v>
      </c>
      <c r="R63" s="3" t="e">
        <f>LOOKUP(A63, TreatmentRankings[Study], TreatmentRankings[CorrectedPolicyImplication])</f>
        <v>#VALUE!</v>
      </c>
      <c r="S63" s="3" t="e">
        <f>LOOKUP(A63, TreatmentRankings[Study], TreatmentRankings[AllocationDistortion])</f>
        <v>#VALUE!</v>
      </c>
      <c r="T63" s="3" t="e">
        <f>LOOKUP(A63, TreatmentRankings[Study], TreatmentRankings[SignalPurity])</f>
        <v>#VALUE!</v>
      </c>
      <c r="U63" s="3" t="e">
        <f>LOOKUP(A63, TreatmentRankings[Study], TreatmentRankings[IsSignFlip])</f>
        <v>#VALUE!</v>
      </c>
      <c r="V63" s="3" t="e">
        <f>LOOKUP(A63, TreatmentRankings[Study], TreatmentRankings[CorrectedWinner])</f>
        <v>#VALUE!</v>
      </c>
      <c r="W63" s="3" t="e">
        <f>LOOKUP(A63, StratumVariables[Study], StratumVariables[VariableName])</f>
        <v>#VALUE!</v>
      </c>
      <c r="X63" s="3" t="e">
        <f>LOOKUP(A63, StratumVariables[Study], StratumVariables[CausalRole])</f>
        <v>#VALUE!</v>
      </c>
      <c r="Y63" s="3" t="e">
        <f>AND(LOOKUP(A63, TreatmentRankings[Study], TreatmentRankings[StratumCount]) &gt;= 2, J63 = LOOKUP(A63, TreatmentRankings[Study], TreatmentRankings[StratumCount]) * 2)</f>
        <v>#VALUE!</v>
      </c>
      <c r="Z63" s="3" t="e">
        <f>IF(H63, "exempt-synthetic", IF(AND(Y63, LOOKUP(A63, StratumVariables[Study], StratumVariables[VariableName]) &lt;&gt; ""), "all", "partial"))</f>
        <v>#VALUE!</v>
      </c>
    </row>
    <row r="64">
      <c r="A64" s="2" t="s">
        <v>652</v>
      </c>
      <c r="B64" s="3" t="str">
        <f>A64</f>
        <v>noncollapsibility-or-synthetic</v>
      </c>
      <c r="C64" s="2" t="s">
        <v>653</v>
      </c>
      <c r="D64" s="2" t="s">
        <v>654</v>
      </c>
      <c r="E64" s="2" t="s">
        <v>423</v>
      </c>
      <c r="F64" s="4">
        <v>2026</v>
      </c>
      <c r="G64" s="2" t="s">
        <v>424</v>
      </c>
      <c r="H64" s="2" t="b">
        <v>1</v>
      </c>
      <c r="I64" s="5">
        <f>SUMIFS(CaseCells!G2:G999,CaseCells!C2:C999, A64)</f>
        <v>2200</v>
      </c>
      <c r="J64" s="5">
        <f>COUNTIFS(CaseCells!C2:C999, A64)</f>
        <v>4</v>
      </c>
      <c r="K64" s="2" t="s">
        <v>58</v>
      </c>
      <c r="L64" s="2" t="s">
        <v>433</v>
      </c>
      <c r="M64" s="3" t="e">
        <f>LOOKUP(K64, ResearchTraditions[TraditionId], ResearchTraditions[Name])</f>
        <v>#VALUE!</v>
      </c>
      <c r="N64" s="3" t="e">
        <f>LOOKUP(K64, ResearchTraditions[TraditionId], ResearchTraditions[CoreConcern])</f>
        <v>#VALUE!</v>
      </c>
      <c r="O64" s="3" t="e">
        <f>LOOKUP(L64, Researchers[ResearcherId], Researchers[Name])</f>
        <v>#VALUE!</v>
      </c>
      <c r="P64" s="3" t="e">
        <f>LOOKUP(L64, Researchers[ResearcherId], Researchers[Affiliation])</f>
        <v>#VALUE!</v>
      </c>
      <c r="Q64" s="3" t="e">
        <f>LOOKUP(A64, TreatmentRankings[Study], TreatmentRankings[DistortionType])</f>
        <v>#VALUE!</v>
      </c>
      <c r="R64" s="3" t="e">
        <f>LOOKUP(A64, TreatmentRankings[Study], TreatmentRankings[CorrectedPolicyImplication])</f>
        <v>#VALUE!</v>
      </c>
      <c r="S64" s="3" t="e">
        <f>LOOKUP(A64, TreatmentRankings[Study], TreatmentRankings[AllocationDistortion])</f>
        <v>#VALUE!</v>
      </c>
      <c r="T64" s="3" t="e">
        <f>LOOKUP(A64, TreatmentRankings[Study], TreatmentRankings[SignalPurity])</f>
        <v>#VALUE!</v>
      </c>
      <c r="U64" s="3" t="e">
        <f>LOOKUP(A64, TreatmentRankings[Study], TreatmentRankings[IsSignFlip])</f>
        <v>#VALUE!</v>
      </c>
      <c r="V64" s="3" t="e">
        <f>LOOKUP(A64, TreatmentRankings[Study], TreatmentRankings[CorrectedWinner])</f>
        <v>#VALUE!</v>
      </c>
      <c r="W64" s="3" t="e">
        <f>LOOKUP(A64, StratumVariables[Study], StratumVariables[VariableName])</f>
        <v>#VALUE!</v>
      </c>
      <c r="X64" s="3" t="e">
        <f>LOOKUP(A64, StratumVariables[Study], StratumVariables[CausalRole])</f>
        <v>#VALUE!</v>
      </c>
      <c r="Y64" s="3" t="e">
        <f>AND(LOOKUP(A64, TreatmentRankings[Study], TreatmentRankings[StratumCount]) &gt;= 2, J64 = LOOKUP(A64, TreatmentRankings[Study], TreatmentRankings[StratumCount]) * 2)</f>
        <v>#VALUE!</v>
      </c>
      <c r="Z64" s="3" t="e">
        <f>IF(H64, "exempt-synthetic", IF(AND(Y64, LOOKUP(A64, StratumVariables[Study], StratumVariables[VariableName]) &lt;&gt; ""), "all", "partial"))</f>
        <v>#VALUE!</v>
      </c>
    </row>
    <row r="65">
      <c r="A65" s="2" t="s">
        <v>655</v>
      </c>
      <c r="B65" s="3" t="str">
        <f>A65</f>
        <v>trauma-center-mortality</v>
      </c>
      <c r="C65" s="2" t="s">
        <v>656</v>
      </c>
      <c r="D65" s="2" t="s">
        <v>657</v>
      </c>
      <c r="E65" s="2" t="s">
        <v>658</v>
      </c>
      <c r="F65" s="4">
        <v>2006</v>
      </c>
      <c r="G65" s="2" t="s">
        <v>418</v>
      </c>
      <c r="H65" s="2" t="b">
        <v>0</v>
      </c>
      <c r="I65" s="5">
        <f>SUMIFS(CaseCells!G2:G999,CaseCells!C2:C999, A65)</f>
        <v>4000</v>
      </c>
      <c r="J65" s="5">
        <f>COUNTIFS(CaseCells!C2:C999, A65)</f>
        <v>4</v>
      </c>
      <c r="K65" s="2" t="s">
        <v>58</v>
      </c>
      <c r="L65" s="2" t="s">
        <v>447</v>
      </c>
      <c r="M65" s="3" t="e">
        <f>LOOKUP(K65, ResearchTraditions[TraditionId], ResearchTraditions[Name])</f>
        <v>#VALUE!</v>
      </c>
      <c r="N65" s="3" t="e">
        <f>LOOKUP(K65, ResearchTraditions[TraditionId], ResearchTraditions[CoreConcern])</f>
        <v>#VALUE!</v>
      </c>
      <c r="O65" s="3" t="e">
        <f>LOOKUP(L65, Researchers[ResearcherId], Researchers[Name])</f>
        <v>#VALUE!</v>
      </c>
      <c r="P65" s="3" t="e">
        <f>LOOKUP(L65, Researchers[ResearcherId], Researchers[Affiliation])</f>
        <v>#VALUE!</v>
      </c>
      <c r="Q65" s="3" t="e">
        <f>LOOKUP(A65, TreatmentRankings[Study], TreatmentRankings[DistortionType])</f>
        <v>#VALUE!</v>
      </c>
      <c r="R65" s="3" t="e">
        <f>LOOKUP(A65, TreatmentRankings[Study], TreatmentRankings[CorrectedPolicyImplication])</f>
        <v>#VALUE!</v>
      </c>
      <c r="S65" s="3" t="e">
        <f>LOOKUP(A65, TreatmentRankings[Study], TreatmentRankings[AllocationDistortion])</f>
        <v>#VALUE!</v>
      </c>
      <c r="T65" s="3" t="e">
        <f>LOOKUP(A65, TreatmentRankings[Study], TreatmentRankings[SignalPurity])</f>
        <v>#VALUE!</v>
      </c>
      <c r="U65" s="3" t="e">
        <f>LOOKUP(A65, TreatmentRankings[Study], TreatmentRankings[IsSignFlip])</f>
        <v>#VALUE!</v>
      </c>
      <c r="V65" s="3" t="e">
        <f>LOOKUP(A65, TreatmentRankings[Study], TreatmentRankings[CorrectedWinner])</f>
        <v>#VALUE!</v>
      </c>
      <c r="W65" s="3" t="e">
        <f>LOOKUP(A65, StratumVariables[Study], StratumVariables[VariableName])</f>
        <v>#VALUE!</v>
      </c>
      <c r="X65" s="3" t="e">
        <f>LOOKUP(A65, StratumVariables[Study], StratumVariables[CausalRole])</f>
        <v>#VALUE!</v>
      </c>
      <c r="Y65" s="3" t="e">
        <f>AND(LOOKUP(A65, TreatmentRankings[Study], TreatmentRankings[StratumCount]) &gt;= 2, J65 = LOOKUP(A65, TreatmentRankings[Study], TreatmentRankings[StratumCount]) * 2)</f>
        <v>#VALUE!</v>
      </c>
      <c r="Z65" s="3" t="e">
        <f>IF(H65, "exempt-synthetic", IF(AND(Y65, LOOKUP(A65, StratumVariables[Study], StratumVariables[VariableName]) &lt;&gt; ""), "all", "partial"))</f>
        <v>#VALUE!</v>
      </c>
    </row>
    <row r="66">
      <c r="A66" s="2" t="s">
        <v>659</v>
      </c>
      <c r="B66" s="3" t="str">
        <f>A66</f>
        <v>surgeon-volume-mortality</v>
      </c>
      <c r="C66" s="2" t="s">
        <v>660</v>
      </c>
      <c r="D66" s="2" t="s">
        <v>661</v>
      </c>
      <c r="E66" s="2" t="s">
        <v>662</v>
      </c>
      <c r="F66" s="4">
        <v>2003</v>
      </c>
      <c r="G66" s="2" t="s">
        <v>418</v>
      </c>
      <c r="H66" s="2" t="b">
        <v>0</v>
      </c>
      <c r="I66" s="5">
        <f>SUMIFS(CaseCells!G2:G999,CaseCells!C2:C999, A66)</f>
        <v>4000</v>
      </c>
      <c r="J66" s="5">
        <f>COUNTIFS(CaseCells!C2:C999, A66)</f>
        <v>4</v>
      </c>
      <c r="K66" s="2" t="s">
        <v>58</v>
      </c>
      <c r="L66" s="2" t="s">
        <v>447</v>
      </c>
      <c r="M66" s="3" t="e">
        <f>LOOKUP(K66, ResearchTraditions[TraditionId], ResearchTraditions[Name])</f>
        <v>#VALUE!</v>
      </c>
      <c r="N66" s="3" t="e">
        <f>LOOKUP(K66, ResearchTraditions[TraditionId], ResearchTraditions[CoreConcern])</f>
        <v>#VALUE!</v>
      </c>
      <c r="O66" s="3" t="e">
        <f>LOOKUP(L66, Researchers[ResearcherId], Researchers[Name])</f>
        <v>#VALUE!</v>
      </c>
      <c r="P66" s="3" t="e">
        <f>LOOKUP(L66, Researchers[ResearcherId], Researchers[Affiliation])</f>
        <v>#VALUE!</v>
      </c>
      <c r="Q66" s="3" t="e">
        <f>LOOKUP(A66, TreatmentRankings[Study], TreatmentRankings[DistortionType])</f>
        <v>#VALUE!</v>
      </c>
      <c r="R66" s="3" t="e">
        <f>LOOKUP(A66, TreatmentRankings[Study], TreatmentRankings[CorrectedPolicyImplication])</f>
        <v>#VALUE!</v>
      </c>
      <c r="S66" s="3" t="e">
        <f>LOOKUP(A66, TreatmentRankings[Study], TreatmentRankings[AllocationDistortion])</f>
        <v>#VALUE!</v>
      </c>
      <c r="T66" s="3" t="e">
        <f>LOOKUP(A66, TreatmentRankings[Study], TreatmentRankings[SignalPurity])</f>
        <v>#VALUE!</v>
      </c>
      <c r="U66" s="3" t="e">
        <f>LOOKUP(A66, TreatmentRankings[Study], TreatmentRankings[IsSignFlip])</f>
        <v>#VALUE!</v>
      </c>
      <c r="V66" s="3" t="e">
        <f>LOOKUP(A66, TreatmentRankings[Study], TreatmentRankings[CorrectedWinner])</f>
        <v>#VALUE!</v>
      </c>
      <c r="W66" s="3" t="e">
        <f>LOOKUP(A66, StratumVariables[Study], StratumVariables[VariableName])</f>
        <v>#VALUE!</v>
      </c>
      <c r="X66" s="3" t="e">
        <f>LOOKUP(A66, StratumVariables[Study], StratumVariables[CausalRole])</f>
        <v>#VALUE!</v>
      </c>
      <c r="Y66" s="3" t="e">
        <f>AND(LOOKUP(A66, TreatmentRankings[Study], TreatmentRankings[StratumCount]) &gt;= 2, J66 = LOOKUP(A66, TreatmentRankings[Study], TreatmentRankings[StratumCount]) * 2)</f>
        <v>#VALUE!</v>
      </c>
      <c r="Z66" s="3" t="e">
        <f>IF(H66, "exempt-synthetic", IF(AND(Y66, LOOKUP(A66, StratumVariables[Study], StratumVariables[VariableName]) &lt;&gt; ""), "all", "partial"))</f>
        <v>#VALUE!</v>
      </c>
    </row>
    <row r="67">
      <c r="A67" s="2" t="s">
        <v>663</v>
      </c>
      <c r="B67" s="3" t="str">
        <f>A67</f>
        <v>mammography-length-bias</v>
      </c>
      <c r="C67" s="2" t="s">
        <v>664</v>
      </c>
      <c r="D67" s="2" t="s">
        <v>665</v>
      </c>
      <c r="E67" s="2" t="s">
        <v>666</v>
      </c>
      <c r="F67" s="4">
        <v>2000</v>
      </c>
      <c r="G67" s="2" t="s">
        <v>418</v>
      </c>
      <c r="H67" s="2" t="b">
        <v>0</v>
      </c>
      <c r="I67" s="5">
        <f>SUMIFS(CaseCells!G2:G999,CaseCells!C2:C999, A67)</f>
        <v>4000</v>
      </c>
      <c r="J67" s="5">
        <f>COUNTIFS(CaseCells!C2:C999, A67)</f>
        <v>4</v>
      </c>
      <c r="K67" s="2" t="s">
        <v>58</v>
      </c>
      <c r="L67" s="2" t="s">
        <v>433</v>
      </c>
      <c r="M67" s="3" t="e">
        <f>LOOKUP(K67, ResearchTraditions[TraditionId], ResearchTraditions[Name])</f>
        <v>#VALUE!</v>
      </c>
      <c r="N67" s="3" t="e">
        <f>LOOKUP(K67, ResearchTraditions[TraditionId], ResearchTraditions[CoreConcern])</f>
        <v>#VALUE!</v>
      </c>
      <c r="O67" s="3" t="e">
        <f>LOOKUP(L67, Researchers[ResearcherId], Researchers[Name])</f>
        <v>#VALUE!</v>
      </c>
      <c r="P67" s="3" t="e">
        <f>LOOKUP(L67, Researchers[ResearcherId], Researchers[Affiliation])</f>
        <v>#VALUE!</v>
      </c>
      <c r="Q67" s="3" t="e">
        <f>LOOKUP(A67, TreatmentRankings[Study], TreatmentRankings[DistortionType])</f>
        <v>#VALUE!</v>
      </c>
      <c r="R67" s="3" t="e">
        <f>LOOKUP(A67, TreatmentRankings[Study], TreatmentRankings[CorrectedPolicyImplication])</f>
        <v>#VALUE!</v>
      </c>
      <c r="S67" s="3" t="e">
        <f>LOOKUP(A67, TreatmentRankings[Study], TreatmentRankings[AllocationDistortion])</f>
        <v>#VALUE!</v>
      </c>
      <c r="T67" s="3" t="e">
        <f>LOOKUP(A67, TreatmentRankings[Study], TreatmentRankings[SignalPurity])</f>
        <v>#VALUE!</v>
      </c>
      <c r="U67" s="3" t="e">
        <f>LOOKUP(A67, TreatmentRankings[Study], TreatmentRankings[IsSignFlip])</f>
        <v>#VALUE!</v>
      </c>
      <c r="V67" s="3" t="e">
        <f>LOOKUP(A67, TreatmentRankings[Study], TreatmentRankings[CorrectedWinner])</f>
        <v>#VALUE!</v>
      </c>
      <c r="W67" s="3" t="e">
        <f>LOOKUP(A67, StratumVariables[Study], StratumVariables[VariableName])</f>
        <v>#VALUE!</v>
      </c>
      <c r="X67" s="3" t="e">
        <f>LOOKUP(A67, StratumVariables[Study], StratumVariables[CausalRole])</f>
        <v>#VALUE!</v>
      </c>
      <c r="Y67" s="3" t="e">
        <f>AND(LOOKUP(A67, TreatmentRankings[Study], TreatmentRankings[StratumCount]) &gt;= 2, J67 = LOOKUP(A67, TreatmentRankings[Study], TreatmentRankings[StratumCount]) * 2)</f>
        <v>#VALUE!</v>
      </c>
      <c r="Z67" s="3" t="e">
        <f>IF(H67, "exempt-synthetic", IF(AND(Y67, LOOKUP(A67, StratumVariables[Study], StratumVariables[VariableName]) &lt;&gt; ""), "all", "partial"))</f>
        <v>#VALUE!</v>
      </c>
    </row>
    <row r="68">
      <c r="A68" s="2" t="s">
        <v>667</v>
      </c>
      <c r="B68" s="3" t="str">
        <f>A68</f>
        <v>cabg-vs-pci-severity</v>
      </c>
      <c r="C68" s="2" t="s">
        <v>668</v>
      </c>
      <c r="D68" s="2" t="s">
        <v>669</v>
      </c>
      <c r="E68" s="2" t="s">
        <v>670</v>
      </c>
      <c r="F68" s="4">
        <v>2009</v>
      </c>
      <c r="G68" s="2" t="s">
        <v>418</v>
      </c>
      <c r="H68" s="2" t="b">
        <v>0</v>
      </c>
      <c r="I68" s="5">
        <f>SUMIFS(CaseCells!G2:G999,CaseCells!C2:C999, A68)</f>
        <v>4000</v>
      </c>
      <c r="J68" s="5">
        <f>COUNTIFS(CaseCells!C2:C999, A68)</f>
        <v>4</v>
      </c>
      <c r="K68" s="2" t="s">
        <v>58</v>
      </c>
      <c r="L68" s="2" t="s">
        <v>447</v>
      </c>
      <c r="M68" s="3" t="e">
        <f>LOOKUP(K68, ResearchTraditions[TraditionId], ResearchTraditions[Name])</f>
        <v>#VALUE!</v>
      </c>
      <c r="N68" s="3" t="e">
        <f>LOOKUP(K68, ResearchTraditions[TraditionId], ResearchTraditions[CoreConcern])</f>
        <v>#VALUE!</v>
      </c>
      <c r="O68" s="3" t="e">
        <f>LOOKUP(L68, Researchers[ResearcherId], Researchers[Name])</f>
        <v>#VALUE!</v>
      </c>
      <c r="P68" s="3" t="e">
        <f>LOOKUP(L68, Researchers[ResearcherId], Researchers[Affiliation])</f>
        <v>#VALUE!</v>
      </c>
      <c r="Q68" s="3" t="e">
        <f>LOOKUP(A68, TreatmentRankings[Study], TreatmentRankings[DistortionType])</f>
        <v>#VALUE!</v>
      </c>
      <c r="R68" s="3" t="e">
        <f>LOOKUP(A68, TreatmentRankings[Study], TreatmentRankings[CorrectedPolicyImplication])</f>
        <v>#VALUE!</v>
      </c>
      <c r="S68" s="3" t="e">
        <f>LOOKUP(A68, TreatmentRankings[Study], TreatmentRankings[AllocationDistortion])</f>
        <v>#VALUE!</v>
      </c>
      <c r="T68" s="3" t="e">
        <f>LOOKUP(A68, TreatmentRankings[Study], TreatmentRankings[SignalPurity])</f>
        <v>#VALUE!</v>
      </c>
      <c r="U68" s="3" t="e">
        <f>LOOKUP(A68, TreatmentRankings[Study], TreatmentRankings[IsSignFlip])</f>
        <v>#VALUE!</v>
      </c>
      <c r="V68" s="3" t="e">
        <f>LOOKUP(A68, TreatmentRankings[Study], TreatmentRankings[CorrectedWinner])</f>
        <v>#VALUE!</v>
      </c>
      <c r="W68" s="3" t="e">
        <f>LOOKUP(A68, StratumVariables[Study], StratumVariables[VariableName])</f>
        <v>#VALUE!</v>
      </c>
      <c r="X68" s="3" t="e">
        <f>LOOKUP(A68, StratumVariables[Study], StratumVariables[CausalRole])</f>
        <v>#VALUE!</v>
      </c>
      <c r="Y68" s="3" t="e">
        <f>AND(LOOKUP(A68, TreatmentRankings[Study], TreatmentRankings[StratumCount]) &gt;= 2, J68 = LOOKUP(A68, TreatmentRankings[Study], TreatmentRankings[StratumCount]) * 2)</f>
        <v>#VALUE!</v>
      </c>
      <c r="Z68" s="3" t="e">
        <f>IF(H68, "exempt-synthetic", IF(AND(Y68, LOOKUP(A68, StratumVariables[Study], StratumVariables[VariableName]) &lt;&gt; ""), "all", "partial"))</f>
        <v>#VALUE!</v>
      </c>
    </row>
    <row r="69">
      <c r="A69" s="2" t="s">
        <v>671</v>
      </c>
      <c r="B69" s="3" t="str">
        <f>A69</f>
        <v>tolbutamide-ugdp-1970</v>
      </c>
      <c r="C69" s="2" t="s">
        <v>672</v>
      </c>
      <c r="D69" s="2" t="s">
        <v>673</v>
      </c>
      <c r="E69" s="2" t="s">
        <v>674</v>
      </c>
      <c r="F69" s="4">
        <v>1970</v>
      </c>
      <c r="G69" s="2" t="s">
        <v>418</v>
      </c>
      <c r="H69" s="2" t="b">
        <v>0</v>
      </c>
      <c r="I69" s="5">
        <f>SUMIFS(CaseCells!G2:G999,CaseCells!C2:C999, A69)</f>
        <v>4000</v>
      </c>
      <c r="J69" s="5">
        <f>COUNTIFS(CaseCells!C2:C999, A69)</f>
        <v>4</v>
      </c>
      <c r="K69" s="2" t="s">
        <v>58</v>
      </c>
      <c r="L69" s="2" t="s">
        <v>433</v>
      </c>
      <c r="M69" s="3" t="e">
        <f>LOOKUP(K69, ResearchTraditions[TraditionId], ResearchTraditions[Name])</f>
        <v>#VALUE!</v>
      </c>
      <c r="N69" s="3" t="e">
        <f>LOOKUP(K69, ResearchTraditions[TraditionId], ResearchTraditions[CoreConcern])</f>
        <v>#VALUE!</v>
      </c>
      <c r="O69" s="3" t="e">
        <f>LOOKUP(L69, Researchers[ResearcherId], Researchers[Name])</f>
        <v>#VALUE!</v>
      </c>
      <c r="P69" s="3" t="e">
        <f>LOOKUP(L69, Researchers[ResearcherId], Researchers[Affiliation])</f>
        <v>#VALUE!</v>
      </c>
      <c r="Q69" s="3" t="e">
        <f>LOOKUP(A69, TreatmentRankings[Study], TreatmentRankings[DistortionType])</f>
        <v>#VALUE!</v>
      </c>
      <c r="R69" s="3" t="e">
        <f>LOOKUP(A69, TreatmentRankings[Study], TreatmentRankings[CorrectedPolicyImplication])</f>
        <v>#VALUE!</v>
      </c>
      <c r="S69" s="3" t="e">
        <f>LOOKUP(A69, TreatmentRankings[Study], TreatmentRankings[AllocationDistortion])</f>
        <v>#VALUE!</v>
      </c>
      <c r="T69" s="3" t="e">
        <f>LOOKUP(A69, TreatmentRankings[Study], TreatmentRankings[SignalPurity])</f>
        <v>#VALUE!</v>
      </c>
      <c r="U69" s="3" t="e">
        <f>LOOKUP(A69, TreatmentRankings[Study], TreatmentRankings[IsSignFlip])</f>
        <v>#VALUE!</v>
      </c>
      <c r="V69" s="3" t="e">
        <f>LOOKUP(A69, TreatmentRankings[Study], TreatmentRankings[CorrectedWinner])</f>
        <v>#VALUE!</v>
      </c>
      <c r="W69" s="3" t="e">
        <f>LOOKUP(A69, StratumVariables[Study], StratumVariables[VariableName])</f>
        <v>#VALUE!</v>
      </c>
      <c r="X69" s="3" t="e">
        <f>LOOKUP(A69, StratumVariables[Study], StratumVariables[CausalRole])</f>
        <v>#VALUE!</v>
      </c>
      <c r="Y69" s="3" t="e">
        <f>AND(LOOKUP(A69, TreatmentRankings[Study], TreatmentRankings[StratumCount]) &gt;= 2, J69 = LOOKUP(A69, TreatmentRankings[Study], TreatmentRankings[StratumCount]) * 2)</f>
        <v>#VALUE!</v>
      </c>
      <c r="Z69" s="3" t="e">
        <f>IF(H69, "exempt-synthetic", IF(AND(Y69, LOOKUP(A69, StratumVariables[Study], StratumVariables[VariableName]) &lt;&gt; ""), "all", "partial"))</f>
        <v>#VALUE!</v>
      </c>
    </row>
    <row r="70">
      <c r="A70" s="2" t="s">
        <v>675</v>
      </c>
      <c r="B70" s="3" t="str">
        <f>A70</f>
        <v>snow-cholera-water-1855</v>
      </c>
      <c r="C70" s="2" t="s">
        <v>676</v>
      </c>
      <c r="D70" s="2" t="s">
        <v>677</v>
      </c>
      <c r="E70" s="2" t="s">
        <v>678</v>
      </c>
      <c r="F70" s="4">
        <v>1855</v>
      </c>
      <c r="G70" s="2" t="s">
        <v>441</v>
      </c>
      <c r="H70" s="2" t="b">
        <v>0</v>
      </c>
      <c r="I70" s="5">
        <f>SUMIFS(CaseCells!G2:G999,CaseCells!C2:C999, A70)</f>
        <v>4000</v>
      </c>
      <c r="J70" s="5">
        <f>COUNTIFS(CaseCells!C2:C999, A70)</f>
        <v>4</v>
      </c>
      <c r="K70" s="2" t="s">
        <v>23</v>
      </c>
      <c r="L70" s="2" t="s">
        <v>419</v>
      </c>
      <c r="M70" s="3" t="e">
        <f>LOOKUP(K70, ResearchTraditions[TraditionId], ResearchTraditions[Name])</f>
        <v>#VALUE!</v>
      </c>
      <c r="N70" s="3" t="e">
        <f>LOOKUP(K70, ResearchTraditions[TraditionId], ResearchTraditions[CoreConcern])</f>
        <v>#VALUE!</v>
      </c>
      <c r="O70" s="3" t="e">
        <f>LOOKUP(L70, Researchers[ResearcherId], Researchers[Name])</f>
        <v>#VALUE!</v>
      </c>
      <c r="P70" s="3" t="e">
        <f>LOOKUP(L70, Researchers[ResearcherId], Researchers[Affiliation])</f>
        <v>#VALUE!</v>
      </c>
      <c r="Q70" s="3" t="e">
        <f>LOOKUP(A70, TreatmentRankings[Study], TreatmentRankings[DistortionType])</f>
        <v>#VALUE!</v>
      </c>
      <c r="R70" s="3" t="e">
        <f>LOOKUP(A70, TreatmentRankings[Study], TreatmentRankings[CorrectedPolicyImplication])</f>
        <v>#VALUE!</v>
      </c>
      <c r="S70" s="3" t="e">
        <f>LOOKUP(A70, TreatmentRankings[Study], TreatmentRankings[AllocationDistortion])</f>
        <v>#VALUE!</v>
      </c>
      <c r="T70" s="3" t="e">
        <f>LOOKUP(A70, TreatmentRankings[Study], TreatmentRankings[SignalPurity])</f>
        <v>#VALUE!</v>
      </c>
      <c r="U70" s="3" t="e">
        <f>LOOKUP(A70, TreatmentRankings[Study], TreatmentRankings[IsSignFlip])</f>
        <v>#VALUE!</v>
      </c>
      <c r="V70" s="3" t="e">
        <f>LOOKUP(A70, TreatmentRankings[Study], TreatmentRankings[CorrectedWinner])</f>
        <v>#VALUE!</v>
      </c>
      <c r="W70" s="3" t="e">
        <f>LOOKUP(A70, StratumVariables[Study], StratumVariables[VariableName])</f>
        <v>#VALUE!</v>
      </c>
      <c r="X70" s="3" t="e">
        <f>LOOKUP(A70, StratumVariables[Study], StratumVariables[CausalRole])</f>
        <v>#VALUE!</v>
      </c>
      <c r="Y70" s="3" t="e">
        <f>AND(LOOKUP(A70, TreatmentRankings[Study], TreatmentRankings[StratumCount]) &gt;= 2, J70 = LOOKUP(A70, TreatmentRankings[Study], TreatmentRankings[StratumCount]) * 2)</f>
        <v>#VALUE!</v>
      </c>
      <c r="Z70" s="3" t="e">
        <f>IF(H70, "exempt-synthetic", IF(AND(Y70, LOOKUP(A70, StratumVariables[Study], StratumVariables[VariableName]) &lt;&gt; ""), "all", "partial"))</f>
        <v>#VALUE!</v>
      </c>
    </row>
    <row r="71">
      <c r="A71" s="2" t="s">
        <v>679</v>
      </c>
      <c r="B71" s="3" t="str">
        <f>A71</f>
        <v>seatbelt-crash-severity</v>
      </c>
      <c r="C71" s="2" t="s">
        <v>680</v>
      </c>
      <c r="D71" s="2" t="s">
        <v>681</v>
      </c>
      <c r="E71" s="2" t="s">
        <v>682</v>
      </c>
      <c r="F71" s="4">
        <v>1995</v>
      </c>
      <c r="G71" s="2" t="s">
        <v>441</v>
      </c>
      <c r="H71" s="2" t="b">
        <v>0</v>
      </c>
      <c r="I71" s="5">
        <f>SUMIFS(CaseCells!G2:G999,CaseCells!C2:C999, A71)</f>
        <v>4000</v>
      </c>
      <c r="J71" s="5">
        <f>COUNTIFS(CaseCells!C2:C999, A71)</f>
        <v>4</v>
      </c>
      <c r="K71" s="2" t="s">
        <v>58</v>
      </c>
      <c r="L71" s="2" t="s">
        <v>433</v>
      </c>
      <c r="M71" s="3" t="e">
        <f>LOOKUP(K71, ResearchTraditions[TraditionId], ResearchTraditions[Name])</f>
        <v>#VALUE!</v>
      </c>
      <c r="N71" s="3" t="e">
        <f>LOOKUP(K71, ResearchTraditions[TraditionId], ResearchTraditions[CoreConcern])</f>
        <v>#VALUE!</v>
      </c>
      <c r="O71" s="3" t="e">
        <f>LOOKUP(L71, Researchers[ResearcherId], Researchers[Name])</f>
        <v>#VALUE!</v>
      </c>
      <c r="P71" s="3" t="e">
        <f>LOOKUP(L71, Researchers[ResearcherId], Researchers[Affiliation])</f>
        <v>#VALUE!</v>
      </c>
      <c r="Q71" s="3" t="e">
        <f>LOOKUP(A71, TreatmentRankings[Study], TreatmentRankings[DistortionType])</f>
        <v>#VALUE!</v>
      </c>
      <c r="R71" s="3" t="e">
        <f>LOOKUP(A71, TreatmentRankings[Study], TreatmentRankings[CorrectedPolicyImplication])</f>
        <v>#VALUE!</v>
      </c>
      <c r="S71" s="3" t="e">
        <f>LOOKUP(A71, TreatmentRankings[Study], TreatmentRankings[AllocationDistortion])</f>
        <v>#VALUE!</v>
      </c>
      <c r="T71" s="3" t="e">
        <f>LOOKUP(A71, TreatmentRankings[Study], TreatmentRankings[SignalPurity])</f>
        <v>#VALUE!</v>
      </c>
      <c r="U71" s="3" t="e">
        <f>LOOKUP(A71, TreatmentRankings[Study], TreatmentRankings[IsSignFlip])</f>
        <v>#VALUE!</v>
      </c>
      <c r="V71" s="3" t="e">
        <f>LOOKUP(A71, TreatmentRankings[Study], TreatmentRankings[CorrectedWinner])</f>
        <v>#VALUE!</v>
      </c>
      <c r="W71" s="3" t="e">
        <f>LOOKUP(A71, StratumVariables[Study], StratumVariables[VariableName])</f>
        <v>#VALUE!</v>
      </c>
      <c r="X71" s="3" t="e">
        <f>LOOKUP(A71, StratumVariables[Study], StratumVariables[CausalRole])</f>
        <v>#VALUE!</v>
      </c>
      <c r="Y71" s="3" t="e">
        <f>AND(LOOKUP(A71, TreatmentRankings[Study], TreatmentRankings[StratumCount]) &gt;= 2, J71 = LOOKUP(A71, TreatmentRankings[Study], TreatmentRankings[StratumCount]) * 2)</f>
        <v>#VALUE!</v>
      </c>
      <c r="Z71" s="3" t="e">
        <f>IF(H71, "exempt-synthetic", IF(AND(Y71, LOOKUP(A71, StratumVariables[Study], StratumVariables[VariableName]) &lt;&gt; ""), "all", "partial"))</f>
        <v>#VALUE!</v>
      </c>
    </row>
    <row r="72">
      <c r="A72" s="2" t="s">
        <v>683</v>
      </c>
      <c r="B72" s="3" t="str">
        <f>A72</f>
        <v>measles-outbreak-vaccinated</v>
      </c>
      <c r="C72" s="2" t="s">
        <v>684</v>
      </c>
      <c r="D72" s="2" t="s">
        <v>685</v>
      </c>
      <c r="E72" s="2" t="s">
        <v>686</v>
      </c>
      <c r="F72" s="4">
        <v>2015</v>
      </c>
      <c r="G72" s="2" t="s">
        <v>441</v>
      </c>
      <c r="H72" s="2" t="b">
        <v>0</v>
      </c>
      <c r="I72" s="5">
        <f>SUMIFS(CaseCells!G2:G999,CaseCells!C2:C999, A72)</f>
        <v>12500</v>
      </c>
      <c r="J72" s="5">
        <f>COUNTIFS(CaseCells!C2:C999, A72)</f>
        <v>4</v>
      </c>
      <c r="K72" s="2" t="s">
        <v>58</v>
      </c>
      <c r="L72" s="2" t="s">
        <v>433</v>
      </c>
      <c r="M72" s="3" t="e">
        <f>LOOKUP(K72, ResearchTraditions[TraditionId], ResearchTraditions[Name])</f>
        <v>#VALUE!</v>
      </c>
      <c r="N72" s="3" t="e">
        <f>LOOKUP(K72, ResearchTraditions[TraditionId], ResearchTraditions[CoreConcern])</f>
        <v>#VALUE!</v>
      </c>
      <c r="O72" s="3" t="e">
        <f>LOOKUP(L72, Researchers[ResearcherId], Researchers[Name])</f>
        <v>#VALUE!</v>
      </c>
      <c r="P72" s="3" t="e">
        <f>LOOKUP(L72, Researchers[ResearcherId], Researchers[Affiliation])</f>
        <v>#VALUE!</v>
      </c>
      <c r="Q72" s="3" t="e">
        <f>LOOKUP(A72, TreatmentRankings[Study], TreatmentRankings[DistortionType])</f>
        <v>#VALUE!</v>
      </c>
      <c r="R72" s="3" t="e">
        <f>LOOKUP(A72, TreatmentRankings[Study], TreatmentRankings[CorrectedPolicyImplication])</f>
        <v>#VALUE!</v>
      </c>
      <c r="S72" s="3" t="e">
        <f>LOOKUP(A72, TreatmentRankings[Study], TreatmentRankings[AllocationDistortion])</f>
        <v>#VALUE!</v>
      </c>
      <c r="T72" s="3" t="e">
        <f>LOOKUP(A72, TreatmentRankings[Study], TreatmentRankings[SignalPurity])</f>
        <v>#VALUE!</v>
      </c>
      <c r="U72" s="3" t="e">
        <f>LOOKUP(A72, TreatmentRankings[Study], TreatmentRankings[IsSignFlip])</f>
        <v>#VALUE!</v>
      </c>
      <c r="V72" s="3" t="e">
        <f>LOOKUP(A72, TreatmentRankings[Study], TreatmentRankings[CorrectedWinner])</f>
        <v>#VALUE!</v>
      </c>
      <c r="W72" s="3" t="e">
        <f>LOOKUP(A72, StratumVariables[Study], StratumVariables[VariableName])</f>
        <v>#VALUE!</v>
      </c>
      <c r="X72" s="3" t="e">
        <f>LOOKUP(A72, StratumVariables[Study], StratumVariables[CausalRole])</f>
        <v>#VALUE!</v>
      </c>
      <c r="Y72" s="3" t="e">
        <f>AND(LOOKUP(A72, TreatmentRankings[Study], TreatmentRankings[StratumCount]) &gt;= 2, J72 = LOOKUP(A72, TreatmentRankings[Study], TreatmentRankings[StratumCount]) * 2)</f>
        <v>#VALUE!</v>
      </c>
      <c r="Z72" s="3" t="e">
        <f>IF(H72, "exempt-synthetic", IF(AND(Y72, LOOKUP(A72, StratumVariables[Study], StratumVariables[VariableName]) &lt;&gt; ""), "all", "partial"))</f>
        <v>#VALUE!</v>
      </c>
    </row>
    <row r="73">
      <c r="A73" s="2" t="s">
        <v>687</v>
      </c>
      <c r="B73" s="3" t="str">
        <f>A73</f>
        <v>air-pollution-mortality-city</v>
      </c>
      <c r="C73" s="2" t="s">
        <v>688</v>
      </c>
      <c r="D73" s="2" t="s">
        <v>689</v>
      </c>
      <c r="E73" s="2" t="s">
        <v>690</v>
      </c>
      <c r="F73" s="4">
        <v>2002</v>
      </c>
      <c r="G73" s="2" t="s">
        <v>441</v>
      </c>
      <c r="H73" s="2" t="b">
        <v>0</v>
      </c>
      <c r="I73" s="5">
        <f>SUMIFS(CaseCells!G2:G999,CaseCells!C2:C999, A73)</f>
        <v>4000</v>
      </c>
      <c r="J73" s="5">
        <f>COUNTIFS(CaseCells!C2:C999, A73)</f>
        <v>4</v>
      </c>
      <c r="K73" s="2" t="s">
        <v>58</v>
      </c>
      <c r="L73" s="2" t="s">
        <v>433</v>
      </c>
      <c r="M73" s="3" t="e">
        <f>LOOKUP(K73, ResearchTraditions[TraditionId], ResearchTraditions[Name])</f>
        <v>#VALUE!</v>
      </c>
      <c r="N73" s="3" t="e">
        <f>LOOKUP(K73, ResearchTraditions[TraditionId], ResearchTraditions[CoreConcern])</f>
        <v>#VALUE!</v>
      </c>
      <c r="O73" s="3" t="e">
        <f>LOOKUP(L73, Researchers[ResearcherId], Researchers[Name])</f>
        <v>#VALUE!</v>
      </c>
      <c r="P73" s="3" t="e">
        <f>LOOKUP(L73, Researchers[ResearcherId], Researchers[Affiliation])</f>
        <v>#VALUE!</v>
      </c>
      <c r="Q73" s="3" t="e">
        <f>LOOKUP(A73, TreatmentRankings[Study], TreatmentRankings[DistortionType])</f>
        <v>#VALUE!</v>
      </c>
      <c r="R73" s="3" t="e">
        <f>LOOKUP(A73, TreatmentRankings[Study], TreatmentRankings[CorrectedPolicyImplication])</f>
        <v>#VALUE!</v>
      </c>
      <c r="S73" s="3" t="e">
        <f>LOOKUP(A73, TreatmentRankings[Study], TreatmentRankings[AllocationDistortion])</f>
        <v>#VALUE!</v>
      </c>
      <c r="T73" s="3" t="e">
        <f>LOOKUP(A73, TreatmentRankings[Study], TreatmentRankings[SignalPurity])</f>
        <v>#VALUE!</v>
      </c>
      <c r="U73" s="3" t="e">
        <f>LOOKUP(A73, TreatmentRankings[Study], TreatmentRankings[IsSignFlip])</f>
        <v>#VALUE!</v>
      </c>
      <c r="V73" s="3" t="e">
        <f>LOOKUP(A73, TreatmentRankings[Study], TreatmentRankings[CorrectedWinner])</f>
        <v>#VALUE!</v>
      </c>
      <c r="W73" s="3" t="e">
        <f>LOOKUP(A73, StratumVariables[Study], StratumVariables[VariableName])</f>
        <v>#VALUE!</v>
      </c>
      <c r="X73" s="3" t="e">
        <f>LOOKUP(A73, StratumVariables[Study], StratumVariables[CausalRole])</f>
        <v>#VALUE!</v>
      </c>
      <c r="Y73" s="3" t="e">
        <f>AND(LOOKUP(A73, TreatmentRankings[Study], TreatmentRankings[StratumCount]) &gt;= 2, J73 = LOOKUP(A73, TreatmentRankings[Study], TreatmentRankings[StratumCount]) * 2)</f>
        <v>#VALUE!</v>
      </c>
      <c r="Z73" s="3" t="e">
        <f>IF(H73, "exempt-synthetic", IF(AND(Y73, LOOKUP(A73, StratumVariables[Study], StratumVariables[VariableName]) &lt;&gt; ""), "all", "partial"))</f>
        <v>#VALUE!</v>
      </c>
    </row>
    <row r="74">
      <c r="A74" s="2" t="s">
        <v>691</v>
      </c>
      <c r="B74" s="3" t="str">
        <f>A74</f>
        <v>tb-treatment-resistance</v>
      </c>
      <c r="C74" s="2" t="s">
        <v>692</v>
      </c>
      <c r="D74" s="2" t="s">
        <v>693</v>
      </c>
      <c r="E74" s="2" t="s">
        <v>694</v>
      </c>
      <c r="F74" s="4">
        <v>2010</v>
      </c>
      <c r="G74" s="2" t="s">
        <v>441</v>
      </c>
      <c r="H74" s="2" t="b">
        <v>0</v>
      </c>
      <c r="I74" s="5">
        <f>SUMIFS(CaseCells!G2:G999,CaseCells!C2:C999, A74)</f>
        <v>4000</v>
      </c>
      <c r="J74" s="5">
        <f>COUNTIFS(CaseCells!C2:C999, A74)</f>
        <v>4</v>
      </c>
      <c r="K74" s="2" t="s">
        <v>58</v>
      </c>
      <c r="L74" s="2" t="s">
        <v>433</v>
      </c>
      <c r="M74" s="3" t="e">
        <f>LOOKUP(K74, ResearchTraditions[TraditionId], ResearchTraditions[Name])</f>
        <v>#VALUE!</v>
      </c>
      <c r="N74" s="3" t="e">
        <f>LOOKUP(K74, ResearchTraditions[TraditionId], ResearchTraditions[CoreConcern])</f>
        <v>#VALUE!</v>
      </c>
      <c r="O74" s="3" t="e">
        <f>LOOKUP(L74, Researchers[ResearcherId], Researchers[Name])</f>
        <v>#VALUE!</v>
      </c>
      <c r="P74" s="3" t="e">
        <f>LOOKUP(L74, Researchers[ResearcherId], Researchers[Affiliation])</f>
        <v>#VALUE!</v>
      </c>
      <c r="Q74" s="3" t="e">
        <f>LOOKUP(A74, TreatmentRankings[Study], TreatmentRankings[DistortionType])</f>
        <v>#VALUE!</v>
      </c>
      <c r="R74" s="3" t="e">
        <f>LOOKUP(A74, TreatmentRankings[Study], TreatmentRankings[CorrectedPolicyImplication])</f>
        <v>#VALUE!</v>
      </c>
      <c r="S74" s="3" t="e">
        <f>LOOKUP(A74, TreatmentRankings[Study], TreatmentRankings[AllocationDistortion])</f>
        <v>#VALUE!</v>
      </c>
      <c r="T74" s="3" t="e">
        <f>LOOKUP(A74, TreatmentRankings[Study], TreatmentRankings[SignalPurity])</f>
        <v>#VALUE!</v>
      </c>
      <c r="U74" s="3" t="e">
        <f>LOOKUP(A74, TreatmentRankings[Study], TreatmentRankings[IsSignFlip])</f>
        <v>#VALUE!</v>
      </c>
      <c r="V74" s="3" t="e">
        <f>LOOKUP(A74, TreatmentRankings[Study], TreatmentRankings[CorrectedWinner])</f>
        <v>#VALUE!</v>
      </c>
      <c r="W74" s="3" t="e">
        <f>LOOKUP(A74, StratumVariables[Study], StratumVariables[VariableName])</f>
        <v>#VALUE!</v>
      </c>
      <c r="X74" s="3" t="e">
        <f>LOOKUP(A74, StratumVariables[Study], StratumVariables[CausalRole])</f>
        <v>#VALUE!</v>
      </c>
      <c r="Y74" s="3" t="e">
        <f>AND(LOOKUP(A74, TreatmentRankings[Study], TreatmentRankings[StratumCount]) &gt;= 2, J74 = LOOKUP(A74, TreatmentRankings[Study], TreatmentRankings[StratumCount]) * 2)</f>
        <v>#VALUE!</v>
      </c>
      <c r="Z74" s="3" t="e">
        <f>IF(H74, "exempt-synthetic", IF(AND(Y74, LOOKUP(A74, StratumVariables[Study], StratumVariables[VariableName]) &lt;&gt; ""), "all", "partial"))</f>
        <v>#VALUE!</v>
      </c>
    </row>
    <row r="75">
      <c r="A75" s="2" t="s">
        <v>695</v>
      </c>
      <c r="B75" s="3" t="str">
        <f>A75</f>
        <v>hospital-mortality-readmission</v>
      </c>
      <c r="C75" s="2" t="s">
        <v>696</v>
      </c>
      <c r="D75" s="2" t="s">
        <v>697</v>
      </c>
      <c r="E75" s="2" t="s">
        <v>698</v>
      </c>
      <c r="F75" s="4">
        <v>2014</v>
      </c>
      <c r="G75" s="2" t="s">
        <v>441</v>
      </c>
      <c r="H75" s="2" t="b">
        <v>0</v>
      </c>
      <c r="I75" s="5">
        <f>SUMIFS(CaseCells!G2:G999,CaseCells!C2:C999, A75)</f>
        <v>4000</v>
      </c>
      <c r="J75" s="5">
        <f>COUNTIFS(CaseCells!C2:C999, A75)</f>
        <v>4</v>
      </c>
      <c r="K75" s="2" t="s">
        <v>58</v>
      </c>
      <c r="L75" s="2" t="s">
        <v>447</v>
      </c>
      <c r="M75" s="3" t="e">
        <f>LOOKUP(K75, ResearchTraditions[TraditionId], ResearchTraditions[Name])</f>
        <v>#VALUE!</v>
      </c>
      <c r="N75" s="3" t="e">
        <f>LOOKUP(K75, ResearchTraditions[TraditionId], ResearchTraditions[CoreConcern])</f>
        <v>#VALUE!</v>
      </c>
      <c r="O75" s="3" t="e">
        <f>LOOKUP(L75, Researchers[ResearcherId], Researchers[Name])</f>
        <v>#VALUE!</v>
      </c>
      <c r="P75" s="3" t="e">
        <f>LOOKUP(L75, Researchers[ResearcherId], Researchers[Affiliation])</f>
        <v>#VALUE!</v>
      </c>
      <c r="Q75" s="3" t="e">
        <f>LOOKUP(A75, TreatmentRankings[Study], TreatmentRankings[DistortionType])</f>
        <v>#VALUE!</v>
      </c>
      <c r="R75" s="3" t="e">
        <f>LOOKUP(A75, TreatmentRankings[Study], TreatmentRankings[CorrectedPolicyImplication])</f>
        <v>#VALUE!</v>
      </c>
      <c r="S75" s="3" t="e">
        <f>LOOKUP(A75, TreatmentRankings[Study], TreatmentRankings[AllocationDistortion])</f>
        <v>#VALUE!</v>
      </c>
      <c r="T75" s="3" t="e">
        <f>LOOKUP(A75, TreatmentRankings[Study], TreatmentRankings[SignalPurity])</f>
        <v>#VALUE!</v>
      </c>
      <c r="U75" s="3" t="e">
        <f>LOOKUP(A75, TreatmentRankings[Study], TreatmentRankings[IsSignFlip])</f>
        <v>#VALUE!</v>
      </c>
      <c r="V75" s="3" t="e">
        <f>LOOKUP(A75, TreatmentRankings[Study], TreatmentRankings[CorrectedWinner])</f>
        <v>#VALUE!</v>
      </c>
      <c r="W75" s="3" t="e">
        <f>LOOKUP(A75, StratumVariables[Study], StratumVariables[VariableName])</f>
        <v>#VALUE!</v>
      </c>
      <c r="X75" s="3" t="e">
        <f>LOOKUP(A75, StratumVariables[Study], StratumVariables[CausalRole])</f>
        <v>#VALUE!</v>
      </c>
      <c r="Y75" s="3" t="e">
        <f>AND(LOOKUP(A75, TreatmentRankings[Study], TreatmentRankings[StratumCount]) &gt;= 2, J75 = LOOKUP(A75, TreatmentRankings[Study], TreatmentRankings[StratumCount]) * 2)</f>
        <v>#VALUE!</v>
      </c>
      <c r="Z75" s="3" t="e">
        <f>IF(H75, "exempt-synthetic", IF(AND(Y75, LOOKUP(A75, StratumVariables[Study], StratumVariables[VariableName]) &lt;&gt; ""), "all", "partial"))</f>
        <v>#VALUE!</v>
      </c>
    </row>
    <row r="76">
      <c r="A76" s="2" t="s">
        <v>699</v>
      </c>
      <c r="B76" s="3" t="str">
        <f>A76</f>
        <v>nypd-stop-frisk-hitrate</v>
      </c>
      <c r="C76" s="2" t="s">
        <v>700</v>
      </c>
      <c r="D76" s="2" t="s">
        <v>701</v>
      </c>
      <c r="E76" s="2" t="s">
        <v>702</v>
      </c>
      <c r="F76" s="4">
        <v>2007</v>
      </c>
      <c r="G76" s="2" t="s">
        <v>446</v>
      </c>
      <c r="H76" s="2" t="b">
        <v>0</v>
      </c>
      <c r="I76" s="5">
        <f>SUMIFS(CaseCells!G2:G999,CaseCells!C2:C999, A76)</f>
        <v>18500</v>
      </c>
      <c r="J76" s="5">
        <f>COUNTIFS(CaseCells!C2:C999, A76)</f>
        <v>4</v>
      </c>
      <c r="K76" s="2" t="s">
        <v>204</v>
      </c>
      <c r="L76" s="2" t="s">
        <v>628</v>
      </c>
      <c r="M76" s="3" t="e">
        <f>LOOKUP(K76, ResearchTraditions[TraditionId], ResearchTraditions[Name])</f>
        <v>#VALUE!</v>
      </c>
      <c r="N76" s="3" t="e">
        <f>LOOKUP(K76, ResearchTraditions[TraditionId], ResearchTraditions[CoreConcern])</f>
        <v>#VALUE!</v>
      </c>
      <c r="O76" s="3" t="e">
        <f>LOOKUP(L76, Researchers[ResearcherId], Researchers[Name])</f>
        <v>#VALUE!</v>
      </c>
      <c r="P76" s="3" t="e">
        <f>LOOKUP(L76, Researchers[ResearcherId], Researchers[Affiliation])</f>
        <v>#VALUE!</v>
      </c>
      <c r="Q76" s="3" t="e">
        <f>LOOKUP(A76, TreatmentRankings[Study], TreatmentRankings[DistortionType])</f>
        <v>#VALUE!</v>
      </c>
      <c r="R76" s="3" t="e">
        <f>LOOKUP(A76, TreatmentRankings[Study], TreatmentRankings[CorrectedPolicyImplication])</f>
        <v>#VALUE!</v>
      </c>
      <c r="S76" s="3" t="e">
        <f>LOOKUP(A76, TreatmentRankings[Study], TreatmentRankings[AllocationDistortion])</f>
        <v>#VALUE!</v>
      </c>
      <c r="T76" s="3" t="e">
        <f>LOOKUP(A76, TreatmentRankings[Study], TreatmentRankings[SignalPurity])</f>
        <v>#VALUE!</v>
      </c>
      <c r="U76" s="3" t="e">
        <f>LOOKUP(A76, TreatmentRankings[Study], TreatmentRankings[IsSignFlip])</f>
        <v>#VALUE!</v>
      </c>
      <c r="V76" s="3" t="e">
        <f>LOOKUP(A76, TreatmentRankings[Study], TreatmentRankings[CorrectedWinner])</f>
        <v>#VALUE!</v>
      </c>
      <c r="W76" s="3" t="e">
        <f>LOOKUP(A76, StratumVariables[Study], StratumVariables[VariableName])</f>
        <v>#VALUE!</v>
      </c>
      <c r="X76" s="3" t="e">
        <f>LOOKUP(A76, StratumVariables[Study], StratumVariables[CausalRole])</f>
        <v>#VALUE!</v>
      </c>
      <c r="Y76" s="3" t="e">
        <f>AND(LOOKUP(A76, TreatmentRankings[Study], TreatmentRankings[StratumCount]) &gt;= 2, J76 = LOOKUP(A76, TreatmentRankings[Study], TreatmentRankings[StratumCount]) * 2)</f>
        <v>#VALUE!</v>
      </c>
      <c r="Z76" s="3" t="e">
        <f>IF(H76, "exempt-synthetic", IF(AND(Y76, LOOKUP(A76, StratumVariables[Study], StratumVariables[VariableName]) &lt;&gt; ""), "all", "partial"))</f>
        <v>#VALUE!</v>
      </c>
    </row>
    <row r="77">
      <c r="A77" s="2" t="s">
        <v>703</v>
      </c>
      <c r="B77" s="3" t="str">
        <f>A77</f>
        <v>sentencing-offense-type</v>
      </c>
      <c r="C77" s="2" t="s">
        <v>704</v>
      </c>
      <c r="D77" s="2" t="s">
        <v>705</v>
      </c>
      <c r="E77" s="2" t="s">
        <v>706</v>
      </c>
      <c r="F77" s="4">
        <v>2000</v>
      </c>
      <c r="G77" s="2" t="s">
        <v>446</v>
      </c>
      <c r="H77" s="2" t="b">
        <v>0</v>
      </c>
      <c r="I77" s="5">
        <f>SUMIFS(CaseCells!G2:G999,CaseCells!C2:C999, A77)</f>
        <v>4000</v>
      </c>
      <c r="J77" s="5">
        <f>COUNTIFS(CaseCells!C2:C999, A77)</f>
        <v>4</v>
      </c>
      <c r="K77" s="2" t="s">
        <v>58</v>
      </c>
      <c r="L77" s="2" t="s">
        <v>447</v>
      </c>
      <c r="M77" s="3" t="e">
        <f>LOOKUP(K77, ResearchTraditions[TraditionId], ResearchTraditions[Name])</f>
        <v>#VALUE!</v>
      </c>
      <c r="N77" s="3" t="e">
        <f>LOOKUP(K77, ResearchTraditions[TraditionId], ResearchTraditions[CoreConcern])</f>
        <v>#VALUE!</v>
      </c>
      <c r="O77" s="3" t="e">
        <f>LOOKUP(L77, Researchers[ResearcherId], Researchers[Name])</f>
        <v>#VALUE!</v>
      </c>
      <c r="P77" s="3" t="e">
        <f>LOOKUP(L77, Researchers[ResearcherId], Researchers[Affiliation])</f>
        <v>#VALUE!</v>
      </c>
      <c r="Q77" s="3" t="e">
        <f>LOOKUP(A77, TreatmentRankings[Study], TreatmentRankings[DistortionType])</f>
        <v>#VALUE!</v>
      </c>
      <c r="R77" s="3" t="e">
        <f>LOOKUP(A77, TreatmentRankings[Study], TreatmentRankings[CorrectedPolicyImplication])</f>
        <v>#VALUE!</v>
      </c>
      <c r="S77" s="3" t="e">
        <f>LOOKUP(A77, TreatmentRankings[Study], TreatmentRankings[AllocationDistortion])</f>
        <v>#VALUE!</v>
      </c>
      <c r="T77" s="3" t="e">
        <f>LOOKUP(A77, TreatmentRankings[Study], TreatmentRankings[SignalPurity])</f>
        <v>#VALUE!</v>
      </c>
      <c r="U77" s="3" t="e">
        <f>LOOKUP(A77, TreatmentRankings[Study], TreatmentRankings[IsSignFlip])</f>
        <v>#VALUE!</v>
      </c>
      <c r="V77" s="3" t="e">
        <f>LOOKUP(A77, TreatmentRankings[Study], TreatmentRankings[CorrectedWinner])</f>
        <v>#VALUE!</v>
      </c>
      <c r="W77" s="3" t="e">
        <f>LOOKUP(A77, StratumVariables[Study], StratumVariables[VariableName])</f>
        <v>#VALUE!</v>
      </c>
      <c r="X77" s="3" t="e">
        <f>LOOKUP(A77, StratumVariables[Study], StratumVariables[CausalRole])</f>
        <v>#VALUE!</v>
      </c>
      <c r="Y77" s="3" t="e">
        <f>AND(LOOKUP(A77, TreatmentRankings[Study], TreatmentRankings[StratumCount]) &gt;= 2, J77 = LOOKUP(A77, TreatmentRankings[Study], TreatmentRankings[StratumCount]) * 2)</f>
        <v>#VALUE!</v>
      </c>
      <c r="Z77" s="3" t="e">
        <f>IF(H77, "exempt-synthetic", IF(AND(Y77, LOOKUP(A77, StratumVariables[Study], StratumVariables[VariableName]) &lt;&gt; ""), "all", "partial"))</f>
        <v>#VALUE!</v>
      </c>
    </row>
    <row r="78">
      <c r="A78" s="2" t="s">
        <v>707</v>
      </c>
      <c r="B78" s="3" t="str">
        <f>A78</f>
        <v>bail-risk-score</v>
      </c>
      <c r="C78" s="2" t="s">
        <v>708</v>
      </c>
      <c r="D78" s="2" t="s">
        <v>709</v>
      </c>
      <c r="E78" s="2" t="s">
        <v>710</v>
      </c>
      <c r="F78" s="4">
        <v>2018</v>
      </c>
      <c r="G78" s="2" t="s">
        <v>446</v>
      </c>
      <c r="H78" s="2" t="b">
        <v>0</v>
      </c>
      <c r="I78" s="5">
        <f>SUMIFS(CaseCells!G2:G999,CaseCells!C2:C999, A78)</f>
        <v>4000</v>
      </c>
      <c r="J78" s="5">
        <f>COUNTIFS(CaseCells!C2:C999, A78)</f>
        <v>4</v>
      </c>
      <c r="K78" s="2" t="s">
        <v>204</v>
      </c>
      <c r="L78" s="2" t="s">
        <v>628</v>
      </c>
      <c r="M78" s="3" t="e">
        <f>LOOKUP(K78, ResearchTraditions[TraditionId], ResearchTraditions[Name])</f>
        <v>#VALUE!</v>
      </c>
      <c r="N78" s="3" t="e">
        <f>LOOKUP(K78, ResearchTraditions[TraditionId], ResearchTraditions[CoreConcern])</f>
        <v>#VALUE!</v>
      </c>
      <c r="O78" s="3" t="e">
        <f>LOOKUP(L78, Researchers[ResearcherId], Researchers[Name])</f>
        <v>#VALUE!</v>
      </c>
      <c r="P78" s="3" t="e">
        <f>LOOKUP(L78, Researchers[ResearcherId], Researchers[Affiliation])</f>
        <v>#VALUE!</v>
      </c>
      <c r="Q78" s="3" t="e">
        <f>LOOKUP(A78, TreatmentRankings[Study], TreatmentRankings[DistortionType])</f>
        <v>#VALUE!</v>
      </c>
      <c r="R78" s="3" t="e">
        <f>LOOKUP(A78, TreatmentRankings[Study], TreatmentRankings[CorrectedPolicyImplication])</f>
        <v>#VALUE!</v>
      </c>
      <c r="S78" s="3" t="e">
        <f>LOOKUP(A78, TreatmentRankings[Study], TreatmentRankings[AllocationDistortion])</f>
        <v>#VALUE!</v>
      </c>
      <c r="T78" s="3" t="e">
        <f>LOOKUP(A78, TreatmentRankings[Study], TreatmentRankings[SignalPurity])</f>
        <v>#VALUE!</v>
      </c>
      <c r="U78" s="3" t="e">
        <f>LOOKUP(A78, TreatmentRankings[Study], TreatmentRankings[IsSignFlip])</f>
        <v>#VALUE!</v>
      </c>
      <c r="V78" s="3" t="e">
        <f>LOOKUP(A78, TreatmentRankings[Study], TreatmentRankings[CorrectedWinner])</f>
        <v>#VALUE!</v>
      </c>
      <c r="W78" s="3" t="e">
        <f>LOOKUP(A78, StratumVariables[Study], StratumVariables[VariableName])</f>
        <v>#VALUE!</v>
      </c>
      <c r="X78" s="3" t="e">
        <f>LOOKUP(A78, StratumVariables[Study], StratumVariables[CausalRole])</f>
        <v>#VALUE!</v>
      </c>
      <c r="Y78" s="3" t="e">
        <f>AND(LOOKUP(A78, TreatmentRankings[Study], TreatmentRankings[StratumCount]) &gt;= 2, J78 = LOOKUP(A78, TreatmentRankings[Study], TreatmentRankings[StratumCount]) * 2)</f>
        <v>#VALUE!</v>
      </c>
      <c r="Z78" s="3" t="e">
        <f>IF(H78, "exempt-synthetic", IF(AND(Y78, LOOKUP(A78, StratumVariables[Study], StratumVariables[VariableName]) &lt;&gt; ""), "all", "partial"))</f>
        <v>#VALUE!</v>
      </c>
    </row>
    <row r="79">
      <c r="A79" s="2" t="s">
        <v>711</v>
      </c>
      <c r="B79" s="3" t="str">
        <f>A79</f>
        <v>police-force-encounter</v>
      </c>
      <c r="C79" s="2" t="s">
        <v>712</v>
      </c>
      <c r="D79" s="2" t="s">
        <v>713</v>
      </c>
      <c r="E79" s="2" t="s">
        <v>714</v>
      </c>
      <c r="F79" s="4">
        <v>2016</v>
      </c>
      <c r="G79" s="2" t="s">
        <v>446</v>
      </c>
      <c r="H79" s="2" t="b">
        <v>0</v>
      </c>
      <c r="I79" s="5">
        <f>SUMIFS(CaseCells!G2:G999,CaseCells!C2:C999, A79)</f>
        <v>4000</v>
      </c>
      <c r="J79" s="5">
        <f>COUNTIFS(CaseCells!C2:C999, A79)</f>
        <v>4</v>
      </c>
      <c r="K79" s="2" t="s">
        <v>58</v>
      </c>
      <c r="L79" s="2" t="s">
        <v>433</v>
      </c>
      <c r="M79" s="3" t="e">
        <f>LOOKUP(K79, ResearchTraditions[TraditionId], ResearchTraditions[Name])</f>
        <v>#VALUE!</v>
      </c>
      <c r="N79" s="3" t="e">
        <f>LOOKUP(K79, ResearchTraditions[TraditionId], ResearchTraditions[CoreConcern])</f>
        <v>#VALUE!</v>
      </c>
      <c r="O79" s="3" t="e">
        <f>LOOKUP(L79, Researchers[ResearcherId], Researchers[Name])</f>
        <v>#VALUE!</v>
      </c>
      <c r="P79" s="3" t="e">
        <f>LOOKUP(L79, Researchers[ResearcherId], Researchers[Affiliation])</f>
        <v>#VALUE!</v>
      </c>
      <c r="Q79" s="3" t="e">
        <f>LOOKUP(A79, TreatmentRankings[Study], TreatmentRankings[DistortionType])</f>
        <v>#VALUE!</v>
      </c>
      <c r="R79" s="3" t="e">
        <f>LOOKUP(A79, TreatmentRankings[Study], TreatmentRankings[CorrectedPolicyImplication])</f>
        <v>#VALUE!</v>
      </c>
      <c r="S79" s="3" t="e">
        <f>LOOKUP(A79, TreatmentRankings[Study], TreatmentRankings[AllocationDistortion])</f>
        <v>#VALUE!</v>
      </c>
      <c r="T79" s="3" t="e">
        <f>LOOKUP(A79, TreatmentRankings[Study], TreatmentRankings[SignalPurity])</f>
        <v>#VALUE!</v>
      </c>
      <c r="U79" s="3" t="e">
        <f>LOOKUP(A79, TreatmentRankings[Study], TreatmentRankings[IsSignFlip])</f>
        <v>#VALUE!</v>
      </c>
      <c r="V79" s="3" t="e">
        <f>LOOKUP(A79, TreatmentRankings[Study], TreatmentRankings[CorrectedWinner])</f>
        <v>#VALUE!</v>
      </c>
      <c r="W79" s="3" t="e">
        <f>LOOKUP(A79, StratumVariables[Study], StratumVariables[VariableName])</f>
        <v>#VALUE!</v>
      </c>
      <c r="X79" s="3" t="e">
        <f>LOOKUP(A79, StratumVariables[Study], StratumVariables[CausalRole])</f>
        <v>#VALUE!</v>
      </c>
      <c r="Y79" s="3" t="e">
        <f>AND(LOOKUP(A79, TreatmentRankings[Study], TreatmentRankings[StratumCount]) &gt;= 2, J79 = LOOKUP(A79, TreatmentRankings[Study], TreatmentRankings[StratumCount]) * 2)</f>
        <v>#VALUE!</v>
      </c>
      <c r="Z79" s="3" t="e">
        <f>IF(H79, "exempt-synthetic", IF(AND(Y79, LOOKUP(A79, StratumVariables[Study], StratumVariables[VariableName]) &lt;&gt; ""), "all", "partial"))</f>
        <v>#VALUE!</v>
      </c>
    </row>
    <row r="80">
      <c r="A80" s="2" t="s">
        <v>715</v>
      </c>
      <c r="B80" s="3" t="str">
        <f>A80</f>
        <v>uc-systemwide-admissions</v>
      </c>
      <c r="C80" s="2" t="s">
        <v>716</v>
      </c>
      <c r="D80" s="2" t="s">
        <v>717</v>
      </c>
      <c r="E80" s="2" t="s">
        <v>718</v>
      </c>
      <c r="F80" s="4">
        <v>2004</v>
      </c>
      <c r="G80" s="2" t="s">
        <v>487</v>
      </c>
      <c r="H80" s="2" t="b">
        <v>0</v>
      </c>
      <c r="I80" s="5">
        <f>SUMIFS(CaseCells!G2:G999,CaseCells!C2:C999, A80)</f>
        <v>4000</v>
      </c>
      <c r="J80" s="5">
        <f>COUNTIFS(CaseCells!C2:C999, A80)</f>
        <v>4</v>
      </c>
      <c r="K80" s="2" t="s">
        <v>58</v>
      </c>
      <c r="L80" s="2" t="s">
        <v>433</v>
      </c>
      <c r="M80" s="3" t="e">
        <f>LOOKUP(K80, ResearchTraditions[TraditionId], ResearchTraditions[Name])</f>
        <v>#VALUE!</v>
      </c>
      <c r="N80" s="3" t="e">
        <f>LOOKUP(K80, ResearchTraditions[TraditionId], ResearchTraditions[CoreConcern])</f>
        <v>#VALUE!</v>
      </c>
      <c r="O80" s="3" t="e">
        <f>LOOKUP(L80, Researchers[ResearcherId], Researchers[Name])</f>
        <v>#VALUE!</v>
      </c>
      <c r="P80" s="3" t="e">
        <f>LOOKUP(L80, Researchers[ResearcherId], Researchers[Affiliation])</f>
        <v>#VALUE!</v>
      </c>
      <c r="Q80" s="3" t="e">
        <f>LOOKUP(A80, TreatmentRankings[Study], TreatmentRankings[DistortionType])</f>
        <v>#VALUE!</v>
      </c>
      <c r="R80" s="3" t="e">
        <f>LOOKUP(A80, TreatmentRankings[Study], TreatmentRankings[CorrectedPolicyImplication])</f>
        <v>#VALUE!</v>
      </c>
      <c r="S80" s="3" t="e">
        <f>LOOKUP(A80, TreatmentRankings[Study], TreatmentRankings[AllocationDistortion])</f>
        <v>#VALUE!</v>
      </c>
      <c r="T80" s="3" t="e">
        <f>LOOKUP(A80, TreatmentRankings[Study], TreatmentRankings[SignalPurity])</f>
        <v>#VALUE!</v>
      </c>
      <c r="U80" s="3" t="e">
        <f>LOOKUP(A80, TreatmentRankings[Study], TreatmentRankings[IsSignFlip])</f>
        <v>#VALUE!</v>
      </c>
      <c r="V80" s="3" t="e">
        <f>LOOKUP(A80, TreatmentRankings[Study], TreatmentRankings[CorrectedWinner])</f>
        <v>#VALUE!</v>
      </c>
      <c r="W80" s="3" t="e">
        <f>LOOKUP(A80, StratumVariables[Study], StratumVariables[VariableName])</f>
        <v>#VALUE!</v>
      </c>
      <c r="X80" s="3" t="e">
        <f>LOOKUP(A80, StratumVariables[Study], StratumVariables[CausalRole])</f>
        <v>#VALUE!</v>
      </c>
      <c r="Y80" s="3" t="e">
        <f>AND(LOOKUP(A80, TreatmentRankings[Study], TreatmentRankings[StratumCount]) &gt;= 2, J80 = LOOKUP(A80, TreatmentRankings[Study], TreatmentRankings[StratumCount]) * 2)</f>
        <v>#VALUE!</v>
      </c>
      <c r="Z80" s="3" t="e">
        <f>IF(H80, "exempt-synthetic", IF(AND(Y80, LOOKUP(A80, StratumVariables[Study], StratumVariables[VariableName]) &lt;&gt; ""), "all", "partial"))</f>
        <v>#VALUE!</v>
      </c>
    </row>
    <row r="81">
      <c r="A81" s="2" t="s">
        <v>719</v>
      </c>
      <c r="B81" s="3" t="str">
        <f>A81</f>
        <v>teacher-vam-prior-achievement</v>
      </c>
      <c r="C81" s="2" t="s">
        <v>720</v>
      </c>
      <c r="D81" s="2" t="s">
        <v>721</v>
      </c>
      <c r="E81" s="2" t="s">
        <v>722</v>
      </c>
      <c r="F81" s="4">
        <v>2011</v>
      </c>
      <c r="G81" s="2" t="s">
        <v>487</v>
      </c>
      <c r="H81" s="2" t="b">
        <v>0</v>
      </c>
      <c r="I81" s="5">
        <f>SUMIFS(CaseCells!G2:G999,CaseCells!C2:C999, A81)</f>
        <v>4000</v>
      </c>
      <c r="J81" s="5">
        <f>COUNTIFS(CaseCells!C2:C999, A81)</f>
        <v>4</v>
      </c>
      <c r="K81" s="2" t="s">
        <v>58</v>
      </c>
      <c r="L81" s="2" t="s">
        <v>433</v>
      </c>
      <c r="M81" s="3" t="e">
        <f>LOOKUP(K81, ResearchTraditions[TraditionId], ResearchTraditions[Name])</f>
        <v>#VALUE!</v>
      </c>
      <c r="N81" s="3" t="e">
        <f>LOOKUP(K81, ResearchTraditions[TraditionId], ResearchTraditions[CoreConcern])</f>
        <v>#VALUE!</v>
      </c>
      <c r="O81" s="3" t="e">
        <f>LOOKUP(L81, Researchers[ResearcherId], Researchers[Name])</f>
        <v>#VALUE!</v>
      </c>
      <c r="P81" s="3" t="e">
        <f>LOOKUP(L81, Researchers[ResearcherId], Researchers[Affiliation])</f>
        <v>#VALUE!</v>
      </c>
      <c r="Q81" s="3" t="e">
        <f>LOOKUP(A81, TreatmentRankings[Study], TreatmentRankings[DistortionType])</f>
        <v>#VALUE!</v>
      </c>
      <c r="R81" s="3" t="e">
        <f>LOOKUP(A81, TreatmentRankings[Study], TreatmentRankings[CorrectedPolicyImplication])</f>
        <v>#VALUE!</v>
      </c>
      <c r="S81" s="3" t="e">
        <f>LOOKUP(A81, TreatmentRankings[Study], TreatmentRankings[AllocationDistortion])</f>
        <v>#VALUE!</v>
      </c>
      <c r="T81" s="3" t="e">
        <f>LOOKUP(A81, TreatmentRankings[Study], TreatmentRankings[SignalPurity])</f>
        <v>#VALUE!</v>
      </c>
      <c r="U81" s="3" t="e">
        <f>LOOKUP(A81, TreatmentRankings[Study], TreatmentRankings[IsSignFlip])</f>
        <v>#VALUE!</v>
      </c>
      <c r="V81" s="3" t="e">
        <f>LOOKUP(A81, TreatmentRankings[Study], TreatmentRankings[CorrectedWinner])</f>
        <v>#VALUE!</v>
      </c>
      <c r="W81" s="3" t="e">
        <f>LOOKUP(A81, StratumVariables[Study], StratumVariables[VariableName])</f>
        <v>#VALUE!</v>
      </c>
      <c r="X81" s="3" t="e">
        <f>LOOKUP(A81, StratumVariables[Study], StratumVariables[CausalRole])</f>
        <v>#VALUE!</v>
      </c>
      <c r="Y81" s="3" t="e">
        <f>AND(LOOKUP(A81, TreatmentRankings[Study], TreatmentRankings[StratumCount]) &gt;= 2, J81 = LOOKUP(A81, TreatmentRankings[Study], TreatmentRankings[StratumCount]) * 2)</f>
        <v>#VALUE!</v>
      </c>
      <c r="Z81" s="3" t="e">
        <f>IF(H81, "exempt-synthetic", IF(AND(Y81, LOOKUP(A81, StratumVariables[Study], StratumVariables[VariableName]) &lt;&gt; ""), "all", "partial"))</f>
        <v>#VALUE!</v>
      </c>
    </row>
    <row r="82">
      <c r="A82" s="2" t="s">
        <v>723</v>
      </c>
      <c r="B82" s="3" t="str">
        <f>A82</f>
        <v>naep-state-demographics</v>
      </c>
      <c r="C82" s="2" t="s">
        <v>724</v>
      </c>
      <c r="D82" s="2" t="s">
        <v>725</v>
      </c>
      <c r="E82" s="2" t="s">
        <v>726</v>
      </c>
      <c r="F82" s="4">
        <v>2019</v>
      </c>
      <c r="G82" s="2" t="s">
        <v>487</v>
      </c>
      <c r="H82" s="2" t="b">
        <v>0</v>
      </c>
      <c r="I82" s="5">
        <f>SUMIFS(CaseCells!G2:G999,CaseCells!C2:C999, A82)</f>
        <v>4000</v>
      </c>
      <c r="J82" s="5">
        <f>COUNTIFS(CaseCells!C2:C999, A82)</f>
        <v>4</v>
      </c>
      <c r="K82" s="2" t="s">
        <v>23</v>
      </c>
      <c r="L82" s="2" t="s">
        <v>419</v>
      </c>
      <c r="M82" s="3" t="e">
        <f>LOOKUP(K82, ResearchTraditions[TraditionId], ResearchTraditions[Name])</f>
        <v>#VALUE!</v>
      </c>
      <c r="N82" s="3" t="e">
        <f>LOOKUP(K82, ResearchTraditions[TraditionId], ResearchTraditions[CoreConcern])</f>
        <v>#VALUE!</v>
      </c>
      <c r="O82" s="3" t="e">
        <f>LOOKUP(L82, Researchers[ResearcherId], Researchers[Name])</f>
        <v>#VALUE!</v>
      </c>
      <c r="P82" s="3" t="e">
        <f>LOOKUP(L82, Researchers[ResearcherId], Researchers[Affiliation])</f>
        <v>#VALUE!</v>
      </c>
      <c r="Q82" s="3" t="e">
        <f>LOOKUP(A82, TreatmentRankings[Study], TreatmentRankings[DistortionType])</f>
        <v>#VALUE!</v>
      </c>
      <c r="R82" s="3" t="e">
        <f>LOOKUP(A82, TreatmentRankings[Study], TreatmentRankings[CorrectedPolicyImplication])</f>
        <v>#VALUE!</v>
      </c>
      <c r="S82" s="3" t="e">
        <f>LOOKUP(A82, TreatmentRankings[Study], TreatmentRankings[AllocationDistortion])</f>
        <v>#VALUE!</v>
      </c>
      <c r="T82" s="3" t="e">
        <f>LOOKUP(A82, TreatmentRankings[Study], TreatmentRankings[SignalPurity])</f>
        <v>#VALUE!</v>
      </c>
      <c r="U82" s="3" t="e">
        <f>LOOKUP(A82, TreatmentRankings[Study], TreatmentRankings[IsSignFlip])</f>
        <v>#VALUE!</v>
      </c>
      <c r="V82" s="3" t="e">
        <f>LOOKUP(A82, TreatmentRankings[Study], TreatmentRankings[CorrectedWinner])</f>
        <v>#VALUE!</v>
      </c>
      <c r="W82" s="3" t="e">
        <f>LOOKUP(A82, StratumVariables[Study], StratumVariables[VariableName])</f>
        <v>#VALUE!</v>
      </c>
      <c r="X82" s="3" t="e">
        <f>LOOKUP(A82, StratumVariables[Study], StratumVariables[CausalRole])</f>
        <v>#VALUE!</v>
      </c>
      <c r="Y82" s="3" t="e">
        <f>AND(LOOKUP(A82, TreatmentRankings[Study], TreatmentRankings[StratumCount]) &gt;= 2, J82 = LOOKUP(A82, TreatmentRankings[Study], TreatmentRankings[StratumCount]) * 2)</f>
        <v>#VALUE!</v>
      </c>
      <c r="Z82" s="3" t="e">
        <f>IF(H82, "exempt-synthetic", IF(AND(Y82, LOOKUP(A82, StratumVariables[Study], StratumVariables[VariableName]) &lt;&gt; ""), "all", "partial"))</f>
        <v>#VALUE!</v>
      </c>
    </row>
    <row r="83">
      <c r="A83" s="2" t="s">
        <v>727</v>
      </c>
      <c r="B83" s="3" t="str">
        <f>A83</f>
        <v>college-grad-rate-selectivity</v>
      </c>
      <c r="C83" s="2" t="s">
        <v>728</v>
      </c>
      <c r="D83" s="2" t="s">
        <v>729</v>
      </c>
      <c r="E83" s="2" t="s">
        <v>730</v>
      </c>
      <c r="F83" s="4">
        <v>2015</v>
      </c>
      <c r="G83" s="2" t="s">
        <v>487</v>
      </c>
      <c r="H83" s="2" t="b">
        <v>0</v>
      </c>
      <c r="I83" s="5">
        <f>SUMIFS(CaseCells!G2:G999,CaseCells!C2:C999, A83)</f>
        <v>4000</v>
      </c>
      <c r="J83" s="5">
        <f>COUNTIFS(CaseCells!C2:C999, A83)</f>
        <v>4</v>
      </c>
      <c r="K83" s="2" t="s">
        <v>58</v>
      </c>
      <c r="L83" s="2" t="s">
        <v>433</v>
      </c>
      <c r="M83" s="3" t="e">
        <f>LOOKUP(K83, ResearchTraditions[TraditionId], ResearchTraditions[Name])</f>
        <v>#VALUE!</v>
      </c>
      <c r="N83" s="3" t="e">
        <f>LOOKUP(K83, ResearchTraditions[TraditionId], ResearchTraditions[CoreConcern])</f>
        <v>#VALUE!</v>
      </c>
      <c r="O83" s="3" t="e">
        <f>LOOKUP(L83, Researchers[ResearcherId], Researchers[Name])</f>
        <v>#VALUE!</v>
      </c>
      <c r="P83" s="3" t="e">
        <f>LOOKUP(L83, Researchers[ResearcherId], Researchers[Affiliation])</f>
        <v>#VALUE!</v>
      </c>
      <c r="Q83" s="3" t="e">
        <f>LOOKUP(A83, TreatmentRankings[Study], TreatmentRankings[DistortionType])</f>
        <v>#VALUE!</v>
      </c>
      <c r="R83" s="3" t="e">
        <f>LOOKUP(A83, TreatmentRankings[Study], TreatmentRankings[CorrectedPolicyImplication])</f>
        <v>#VALUE!</v>
      </c>
      <c r="S83" s="3" t="e">
        <f>LOOKUP(A83, TreatmentRankings[Study], TreatmentRankings[AllocationDistortion])</f>
        <v>#VALUE!</v>
      </c>
      <c r="T83" s="3" t="e">
        <f>LOOKUP(A83, TreatmentRankings[Study], TreatmentRankings[SignalPurity])</f>
        <v>#VALUE!</v>
      </c>
      <c r="U83" s="3" t="e">
        <f>LOOKUP(A83, TreatmentRankings[Study], TreatmentRankings[IsSignFlip])</f>
        <v>#VALUE!</v>
      </c>
      <c r="V83" s="3" t="e">
        <f>LOOKUP(A83, TreatmentRankings[Study], TreatmentRankings[CorrectedWinner])</f>
        <v>#VALUE!</v>
      </c>
      <c r="W83" s="3" t="e">
        <f>LOOKUP(A83, StratumVariables[Study], StratumVariables[VariableName])</f>
        <v>#VALUE!</v>
      </c>
      <c r="X83" s="3" t="e">
        <f>LOOKUP(A83, StratumVariables[Study], StratumVariables[CausalRole])</f>
        <v>#VALUE!</v>
      </c>
      <c r="Y83" s="3" t="e">
        <f>AND(LOOKUP(A83, TreatmentRankings[Study], TreatmentRankings[StratumCount]) &gt;= 2, J83 = LOOKUP(A83, TreatmentRankings[Study], TreatmentRankings[StratumCount]) * 2)</f>
        <v>#VALUE!</v>
      </c>
      <c r="Z83" s="3" t="e">
        <f>IF(H83, "exempt-synthetic", IF(AND(Y83, LOOKUP(A83, StratumVariables[Study], StratumVariables[VariableName]) &lt;&gt; ""), "all", "partial"))</f>
        <v>#VALUE!</v>
      </c>
    </row>
    <row r="84">
      <c r="A84" s="2" t="s">
        <v>731</v>
      </c>
      <c r="B84" s="3" t="str">
        <f>A84</f>
        <v>star-class-size</v>
      </c>
      <c r="C84" s="2" t="s">
        <v>732</v>
      </c>
      <c r="D84" s="2" t="s">
        <v>733</v>
      </c>
      <c r="E84" s="2" t="s">
        <v>734</v>
      </c>
      <c r="F84" s="4">
        <v>1999</v>
      </c>
      <c r="G84" s="2" t="s">
        <v>487</v>
      </c>
      <c r="H84" s="2" t="b">
        <v>0</v>
      </c>
      <c r="I84" s="5">
        <f>SUMIFS(CaseCells!G2:G999,CaseCells!C2:C999, A84)</f>
        <v>4000</v>
      </c>
      <c r="J84" s="5">
        <f>COUNTIFS(CaseCells!C2:C999, A84)</f>
        <v>4</v>
      </c>
      <c r="K84" s="2" t="s">
        <v>23</v>
      </c>
      <c r="L84" s="2" t="s">
        <v>419</v>
      </c>
      <c r="M84" s="3" t="e">
        <f>LOOKUP(K84, ResearchTraditions[TraditionId], ResearchTraditions[Name])</f>
        <v>#VALUE!</v>
      </c>
      <c r="N84" s="3" t="e">
        <f>LOOKUP(K84, ResearchTraditions[TraditionId], ResearchTraditions[CoreConcern])</f>
        <v>#VALUE!</v>
      </c>
      <c r="O84" s="3" t="e">
        <f>LOOKUP(L84, Researchers[ResearcherId], Researchers[Name])</f>
        <v>#VALUE!</v>
      </c>
      <c r="P84" s="3" t="e">
        <f>LOOKUP(L84, Researchers[ResearcherId], Researchers[Affiliation])</f>
        <v>#VALUE!</v>
      </c>
      <c r="Q84" s="3" t="e">
        <f>LOOKUP(A84, TreatmentRankings[Study], TreatmentRankings[DistortionType])</f>
        <v>#VALUE!</v>
      </c>
      <c r="R84" s="3" t="e">
        <f>LOOKUP(A84, TreatmentRankings[Study], TreatmentRankings[CorrectedPolicyImplication])</f>
        <v>#VALUE!</v>
      </c>
      <c r="S84" s="3" t="e">
        <f>LOOKUP(A84, TreatmentRankings[Study], TreatmentRankings[AllocationDistortion])</f>
        <v>#VALUE!</v>
      </c>
      <c r="T84" s="3" t="e">
        <f>LOOKUP(A84, TreatmentRankings[Study], TreatmentRankings[SignalPurity])</f>
        <v>#VALUE!</v>
      </c>
      <c r="U84" s="3" t="e">
        <f>LOOKUP(A84, TreatmentRankings[Study], TreatmentRankings[IsSignFlip])</f>
        <v>#VALUE!</v>
      </c>
      <c r="V84" s="3" t="e">
        <f>LOOKUP(A84, TreatmentRankings[Study], TreatmentRankings[CorrectedWinner])</f>
        <v>#VALUE!</v>
      </c>
      <c r="W84" s="3" t="e">
        <f>LOOKUP(A84, StratumVariables[Study], StratumVariables[VariableName])</f>
        <v>#VALUE!</v>
      </c>
      <c r="X84" s="3" t="e">
        <f>LOOKUP(A84, StratumVariables[Study], StratumVariables[CausalRole])</f>
        <v>#VALUE!</v>
      </c>
      <c r="Y84" s="3" t="e">
        <f>AND(LOOKUP(A84, TreatmentRankings[Study], TreatmentRankings[StratumCount]) &gt;= 2, J84 = LOOKUP(A84, TreatmentRankings[Study], TreatmentRankings[StratumCount]) * 2)</f>
        <v>#VALUE!</v>
      </c>
      <c r="Z84" s="3" t="e">
        <f>IF(H84, "exempt-synthetic", IF(AND(Y84, LOOKUP(A84, StratumVariables[Study], StratumVariables[VariableName]) &lt;&gt; ""), "all", "partial"))</f>
        <v>#VALUE!</v>
      </c>
    </row>
    <row r="85">
      <c r="A85" s="2" t="s">
        <v>735</v>
      </c>
      <c r="B85" s="3" t="str">
        <f>A85</f>
        <v>nba-shooting-shot-mix</v>
      </c>
      <c r="C85" s="2" t="s">
        <v>736</v>
      </c>
      <c r="D85" s="2" t="s">
        <v>737</v>
      </c>
      <c r="E85" s="2" t="s">
        <v>738</v>
      </c>
      <c r="F85" s="4">
        <v>2015</v>
      </c>
      <c r="G85" s="2" t="s">
        <v>452</v>
      </c>
      <c r="H85" s="2" t="b">
        <v>0</v>
      </c>
      <c r="I85" s="5">
        <f>SUMIFS(CaseCells!G2:G999,CaseCells!C2:C999, A85)</f>
        <v>3500</v>
      </c>
      <c r="J85" s="5">
        <f>COUNTIFS(CaseCells!C2:C999, A85)</f>
        <v>4</v>
      </c>
      <c r="K85" s="2" t="s">
        <v>23</v>
      </c>
      <c r="L85" s="2" t="s">
        <v>419</v>
      </c>
      <c r="M85" s="3" t="e">
        <f>LOOKUP(K85, ResearchTraditions[TraditionId], ResearchTraditions[Name])</f>
        <v>#VALUE!</v>
      </c>
      <c r="N85" s="3" t="e">
        <f>LOOKUP(K85, ResearchTraditions[TraditionId], ResearchTraditions[CoreConcern])</f>
        <v>#VALUE!</v>
      </c>
      <c r="O85" s="3" t="e">
        <f>LOOKUP(L85, Researchers[ResearcherId], Researchers[Name])</f>
        <v>#VALUE!</v>
      </c>
      <c r="P85" s="3" t="e">
        <f>LOOKUP(L85, Researchers[ResearcherId], Researchers[Affiliation])</f>
        <v>#VALUE!</v>
      </c>
      <c r="Q85" s="3" t="e">
        <f>LOOKUP(A85, TreatmentRankings[Study], TreatmentRankings[DistortionType])</f>
        <v>#VALUE!</v>
      </c>
      <c r="R85" s="3" t="e">
        <f>LOOKUP(A85, TreatmentRankings[Study], TreatmentRankings[CorrectedPolicyImplication])</f>
        <v>#VALUE!</v>
      </c>
      <c r="S85" s="3" t="e">
        <f>LOOKUP(A85, TreatmentRankings[Study], TreatmentRankings[AllocationDistortion])</f>
        <v>#VALUE!</v>
      </c>
      <c r="T85" s="3" t="e">
        <f>LOOKUP(A85, TreatmentRankings[Study], TreatmentRankings[SignalPurity])</f>
        <v>#VALUE!</v>
      </c>
      <c r="U85" s="3" t="e">
        <f>LOOKUP(A85, TreatmentRankings[Study], TreatmentRankings[IsSignFlip])</f>
        <v>#VALUE!</v>
      </c>
      <c r="V85" s="3" t="e">
        <f>LOOKUP(A85, TreatmentRankings[Study], TreatmentRankings[CorrectedWinner])</f>
        <v>#VALUE!</v>
      </c>
      <c r="W85" s="3" t="e">
        <f>LOOKUP(A85, StratumVariables[Study], StratumVariables[VariableName])</f>
        <v>#VALUE!</v>
      </c>
      <c r="X85" s="3" t="e">
        <f>LOOKUP(A85, StratumVariables[Study], StratumVariables[CausalRole])</f>
        <v>#VALUE!</v>
      </c>
      <c r="Y85" s="3" t="e">
        <f>AND(LOOKUP(A85, TreatmentRankings[Study], TreatmentRankings[StratumCount]) &gt;= 2, J85 = LOOKUP(A85, TreatmentRankings[Study], TreatmentRankings[StratumCount]) * 2)</f>
        <v>#VALUE!</v>
      </c>
      <c r="Z85" s="3" t="e">
        <f>IF(H85, "exempt-synthetic", IF(AND(Y85, LOOKUP(A85, StratumVariables[Study], StratumVariables[VariableName]) &lt;&gt; ""), "all", "partial"))</f>
        <v>#VALUE!</v>
      </c>
    </row>
    <row r="86">
      <c r="A86" s="2" t="s">
        <v>739</v>
      </c>
      <c r="B86" s="3" t="str">
        <f>A86</f>
        <v>pitcher-era-ballpark</v>
      </c>
      <c r="C86" s="2" t="s">
        <v>740</v>
      </c>
      <c r="D86" s="2" t="s">
        <v>741</v>
      </c>
      <c r="E86" s="2" t="s">
        <v>742</v>
      </c>
      <c r="F86" s="4">
        <v>2010</v>
      </c>
      <c r="G86" s="2" t="s">
        <v>452</v>
      </c>
      <c r="H86" s="2" t="b">
        <v>0</v>
      </c>
      <c r="I86" s="5">
        <f>SUMIFS(CaseCells!G2:G999,CaseCells!C2:C999, A86)</f>
        <v>4000</v>
      </c>
      <c r="J86" s="5">
        <f>COUNTIFS(CaseCells!C2:C999, A86)</f>
        <v>4</v>
      </c>
      <c r="K86" s="2" t="s">
        <v>23</v>
      </c>
      <c r="L86" s="2" t="s">
        <v>419</v>
      </c>
      <c r="M86" s="3" t="e">
        <f>LOOKUP(K86, ResearchTraditions[TraditionId], ResearchTraditions[Name])</f>
        <v>#VALUE!</v>
      </c>
      <c r="N86" s="3" t="e">
        <f>LOOKUP(K86, ResearchTraditions[TraditionId], ResearchTraditions[CoreConcern])</f>
        <v>#VALUE!</v>
      </c>
      <c r="O86" s="3" t="e">
        <f>LOOKUP(L86, Researchers[ResearcherId], Researchers[Name])</f>
        <v>#VALUE!</v>
      </c>
      <c r="P86" s="3" t="e">
        <f>LOOKUP(L86, Researchers[ResearcherId], Researchers[Affiliation])</f>
        <v>#VALUE!</v>
      </c>
      <c r="Q86" s="3" t="e">
        <f>LOOKUP(A86, TreatmentRankings[Study], TreatmentRankings[DistortionType])</f>
        <v>#VALUE!</v>
      </c>
      <c r="R86" s="3" t="e">
        <f>LOOKUP(A86, TreatmentRankings[Study], TreatmentRankings[CorrectedPolicyImplication])</f>
        <v>#VALUE!</v>
      </c>
      <c r="S86" s="3" t="e">
        <f>LOOKUP(A86, TreatmentRankings[Study], TreatmentRankings[AllocationDistortion])</f>
        <v>#VALUE!</v>
      </c>
      <c r="T86" s="3" t="e">
        <f>LOOKUP(A86, TreatmentRankings[Study], TreatmentRankings[SignalPurity])</f>
        <v>#VALUE!</v>
      </c>
      <c r="U86" s="3" t="e">
        <f>LOOKUP(A86, TreatmentRankings[Study], TreatmentRankings[IsSignFlip])</f>
        <v>#VALUE!</v>
      </c>
      <c r="V86" s="3" t="e">
        <f>LOOKUP(A86, TreatmentRankings[Study], TreatmentRankings[CorrectedWinner])</f>
        <v>#VALUE!</v>
      </c>
      <c r="W86" s="3" t="e">
        <f>LOOKUP(A86, StratumVariables[Study], StratumVariables[VariableName])</f>
        <v>#VALUE!</v>
      </c>
      <c r="X86" s="3" t="e">
        <f>LOOKUP(A86, StratumVariables[Study], StratumVariables[CausalRole])</f>
        <v>#VALUE!</v>
      </c>
      <c r="Y86" s="3" t="e">
        <f>AND(LOOKUP(A86, TreatmentRankings[Study], TreatmentRankings[StratumCount]) &gt;= 2, J86 = LOOKUP(A86, TreatmentRankings[Study], TreatmentRankings[StratumCount]) * 2)</f>
        <v>#VALUE!</v>
      </c>
      <c r="Z86" s="3" t="e">
        <f>IF(H86, "exempt-synthetic", IF(AND(Y86, LOOKUP(A86, StratumVariables[Study], StratumVariables[VariableName]) &lt;&gt; ""), "all", "partial"))</f>
        <v>#VALUE!</v>
      </c>
    </row>
    <row r="87">
      <c r="A87" s="2" t="s">
        <v>743</v>
      </c>
      <c r="B87" s="3" t="str">
        <f>A87</f>
        <v>nfl-completion-depth</v>
      </c>
      <c r="C87" s="2" t="s">
        <v>744</v>
      </c>
      <c r="D87" s="2" t="s">
        <v>745</v>
      </c>
      <c r="E87" s="2" t="s">
        <v>746</v>
      </c>
      <c r="F87" s="4">
        <v>2018</v>
      </c>
      <c r="G87" s="2" t="s">
        <v>452</v>
      </c>
      <c r="H87" s="2" t="b">
        <v>0</v>
      </c>
      <c r="I87" s="5">
        <f>SUMIFS(CaseCells!G2:G999,CaseCells!C2:C999, A87)</f>
        <v>2000</v>
      </c>
      <c r="J87" s="5">
        <f>COUNTIFS(CaseCells!C2:C999, A87)</f>
        <v>4</v>
      </c>
      <c r="K87" s="2" t="s">
        <v>23</v>
      </c>
      <c r="L87" s="2" t="s">
        <v>419</v>
      </c>
      <c r="M87" s="3" t="e">
        <f>LOOKUP(K87, ResearchTraditions[TraditionId], ResearchTraditions[Name])</f>
        <v>#VALUE!</v>
      </c>
      <c r="N87" s="3" t="e">
        <f>LOOKUP(K87, ResearchTraditions[TraditionId], ResearchTraditions[CoreConcern])</f>
        <v>#VALUE!</v>
      </c>
      <c r="O87" s="3" t="e">
        <f>LOOKUP(L87, Researchers[ResearcherId], Researchers[Name])</f>
        <v>#VALUE!</v>
      </c>
      <c r="P87" s="3" t="e">
        <f>LOOKUP(L87, Researchers[ResearcherId], Researchers[Affiliation])</f>
        <v>#VALUE!</v>
      </c>
      <c r="Q87" s="3" t="e">
        <f>LOOKUP(A87, TreatmentRankings[Study], TreatmentRankings[DistortionType])</f>
        <v>#VALUE!</v>
      </c>
      <c r="R87" s="3" t="e">
        <f>LOOKUP(A87, TreatmentRankings[Study], TreatmentRankings[CorrectedPolicyImplication])</f>
        <v>#VALUE!</v>
      </c>
      <c r="S87" s="3" t="e">
        <f>LOOKUP(A87, TreatmentRankings[Study], TreatmentRankings[AllocationDistortion])</f>
        <v>#VALUE!</v>
      </c>
      <c r="T87" s="3" t="e">
        <f>LOOKUP(A87, TreatmentRankings[Study], TreatmentRankings[SignalPurity])</f>
        <v>#VALUE!</v>
      </c>
      <c r="U87" s="3" t="e">
        <f>LOOKUP(A87, TreatmentRankings[Study], TreatmentRankings[IsSignFlip])</f>
        <v>#VALUE!</v>
      </c>
      <c r="V87" s="3" t="e">
        <f>LOOKUP(A87, TreatmentRankings[Study], TreatmentRankings[CorrectedWinner])</f>
        <v>#VALUE!</v>
      </c>
      <c r="W87" s="3" t="e">
        <f>LOOKUP(A87, StratumVariables[Study], StratumVariables[VariableName])</f>
        <v>#VALUE!</v>
      </c>
      <c r="X87" s="3" t="e">
        <f>LOOKUP(A87, StratumVariables[Study], StratumVariables[CausalRole])</f>
        <v>#VALUE!</v>
      </c>
      <c r="Y87" s="3" t="e">
        <f>AND(LOOKUP(A87, TreatmentRankings[Study], TreatmentRankings[StratumCount]) &gt;= 2, J87 = LOOKUP(A87, TreatmentRankings[Study], TreatmentRankings[StratumCount]) * 2)</f>
        <v>#VALUE!</v>
      </c>
      <c r="Z87" s="3" t="e">
        <f>IF(H87, "exempt-synthetic", IF(AND(Y87, LOOKUP(A87, StratumVariables[Study], StratumVariables[VariableName]) &lt;&gt; ""), "all", "partial"))</f>
        <v>#VALUE!</v>
      </c>
    </row>
    <row r="88">
      <c r="A88" s="2" t="s">
        <v>747</v>
      </c>
      <c r="B88" s="3" t="str">
        <f>A88</f>
        <v>field-goal-distance</v>
      </c>
      <c r="C88" s="2" t="s">
        <v>748</v>
      </c>
      <c r="D88" s="2" t="s">
        <v>749</v>
      </c>
      <c r="E88" s="2" t="s">
        <v>750</v>
      </c>
      <c r="F88" s="4">
        <v>2012</v>
      </c>
      <c r="G88" s="2" t="s">
        <v>452</v>
      </c>
      <c r="H88" s="2" t="b">
        <v>0</v>
      </c>
      <c r="I88" s="5">
        <f>SUMIFS(CaseCells!G2:G999,CaseCells!C2:C999, A88)</f>
        <v>4000</v>
      </c>
      <c r="J88" s="5">
        <f>COUNTIFS(CaseCells!C2:C999, A88)</f>
        <v>4</v>
      </c>
      <c r="K88" s="2" t="s">
        <v>23</v>
      </c>
      <c r="L88" s="2" t="s">
        <v>419</v>
      </c>
      <c r="M88" s="3" t="e">
        <f>LOOKUP(K88, ResearchTraditions[TraditionId], ResearchTraditions[Name])</f>
        <v>#VALUE!</v>
      </c>
      <c r="N88" s="3" t="e">
        <f>LOOKUP(K88, ResearchTraditions[TraditionId], ResearchTraditions[CoreConcern])</f>
        <v>#VALUE!</v>
      </c>
      <c r="O88" s="3" t="e">
        <f>LOOKUP(L88, Researchers[ResearcherId], Researchers[Name])</f>
        <v>#VALUE!</v>
      </c>
      <c r="P88" s="3" t="e">
        <f>LOOKUP(L88, Researchers[ResearcherId], Researchers[Affiliation])</f>
        <v>#VALUE!</v>
      </c>
      <c r="Q88" s="3" t="e">
        <f>LOOKUP(A88, TreatmentRankings[Study], TreatmentRankings[DistortionType])</f>
        <v>#VALUE!</v>
      </c>
      <c r="R88" s="3" t="e">
        <f>LOOKUP(A88, TreatmentRankings[Study], TreatmentRankings[CorrectedPolicyImplication])</f>
        <v>#VALUE!</v>
      </c>
      <c r="S88" s="3" t="e">
        <f>LOOKUP(A88, TreatmentRankings[Study], TreatmentRankings[AllocationDistortion])</f>
        <v>#VALUE!</v>
      </c>
      <c r="T88" s="3" t="e">
        <f>LOOKUP(A88, TreatmentRankings[Study], TreatmentRankings[SignalPurity])</f>
        <v>#VALUE!</v>
      </c>
      <c r="U88" s="3" t="e">
        <f>LOOKUP(A88, TreatmentRankings[Study], TreatmentRankings[IsSignFlip])</f>
        <v>#VALUE!</v>
      </c>
      <c r="V88" s="3" t="e">
        <f>LOOKUP(A88, TreatmentRankings[Study], TreatmentRankings[CorrectedWinner])</f>
        <v>#VALUE!</v>
      </c>
      <c r="W88" s="3" t="e">
        <f>LOOKUP(A88, StratumVariables[Study], StratumVariables[VariableName])</f>
        <v>#VALUE!</v>
      </c>
      <c r="X88" s="3" t="e">
        <f>LOOKUP(A88, StratumVariables[Study], StratumVariables[CausalRole])</f>
        <v>#VALUE!</v>
      </c>
      <c r="Y88" s="3" t="e">
        <f>AND(LOOKUP(A88, TreatmentRankings[Study], TreatmentRankings[StratumCount]) &gt;= 2, J88 = LOOKUP(A88, TreatmentRankings[Study], TreatmentRankings[StratumCount]) * 2)</f>
        <v>#VALUE!</v>
      </c>
      <c r="Z88" s="3" t="e">
        <f>IF(H88, "exempt-synthetic", IF(AND(Y88, LOOKUP(A88, StratumVariables[Study], StratumVariables[VariableName]) &lt;&gt; ""), "all", "partial"))</f>
        <v>#VALUE!</v>
      </c>
    </row>
    <row r="89">
      <c r="A89" s="2" t="s">
        <v>751</v>
      </c>
      <c r="B89" s="3" t="str">
        <f>A89</f>
        <v>golf-scoring-course</v>
      </c>
      <c r="C89" s="2" t="s">
        <v>752</v>
      </c>
      <c r="D89" s="2" t="s">
        <v>753</v>
      </c>
      <c r="E89" s="2" t="s">
        <v>754</v>
      </c>
      <c r="F89" s="4">
        <v>2015</v>
      </c>
      <c r="G89" s="2" t="s">
        <v>452</v>
      </c>
      <c r="H89" s="2" t="b">
        <v>0</v>
      </c>
      <c r="I89" s="5">
        <f>SUMIFS(CaseCells!G2:G999,CaseCells!C2:C999, A89)</f>
        <v>4000</v>
      </c>
      <c r="J89" s="5">
        <f>COUNTIFS(CaseCells!C2:C999, A89)</f>
        <v>4</v>
      </c>
      <c r="K89" s="2" t="s">
        <v>23</v>
      </c>
      <c r="L89" s="2" t="s">
        <v>419</v>
      </c>
      <c r="M89" s="3" t="e">
        <f>LOOKUP(K89, ResearchTraditions[TraditionId], ResearchTraditions[Name])</f>
        <v>#VALUE!</v>
      </c>
      <c r="N89" s="3" t="e">
        <f>LOOKUP(K89, ResearchTraditions[TraditionId], ResearchTraditions[CoreConcern])</f>
        <v>#VALUE!</v>
      </c>
      <c r="O89" s="3" t="e">
        <f>LOOKUP(L89, Researchers[ResearcherId], Researchers[Name])</f>
        <v>#VALUE!</v>
      </c>
      <c r="P89" s="3" t="e">
        <f>LOOKUP(L89, Researchers[ResearcherId], Researchers[Affiliation])</f>
        <v>#VALUE!</v>
      </c>
      <c r="Q89" s="3" t="e">
        <f>LOOKUP(A89, TreatmentRankings[Study], TreatmentRankings[DistortionType])</f>
        <v>#VALUE!</v>
      </c>
      <c r="R89" s="3" t="e">
        <f>LOOKUP(A89, TreatmentRankings[Study], TreatmentRankings[CorrectedPolicyImplication])</f>
        <v>#VALUE!</v>
      </c>
      <c r="S89" s="3" t="e">
        <f>LOOKUP(A89, TreatmentRankings[Study], TreatmentRankings[AllocationDistortion])</f>
        <v>#VALUE!</v>
      </c>
      <c r="T89" s="3" t="e">
        <f>LOOKUP(A89, TreatmentRankings[Study], TreatmentRankings[SignalPurity])</f>
        <v>#VALUE!</v>
      </c>
      <c r="U89" s="3" t="e">
        <f>LOOKUP(A89, TreatmentRankings[Study], TreatmentRankings[IsSignFlip])</f>
        <v>#VALUE!</v>
      </c>
      <c r="V89" s="3" t="e">
        <f>LOOKUP(A89, TreatmentRankings[Study], TreatmentRankings[CorrectedWinner])</f>
        <v>#VALUE!</v>
      </c>
      <c r="W89" s="3" t="e">
        <f>LOOKUP(A89, StratumVariables[Study], StratumVariables[VariableName])</f>
        <v>#VALUE!</v>
      </c>
      <c r="X89" s="3" t="e">
        <f>LOOKUP(A89, StratumVariables[Study], StratumVariables[CausalRole])</f>
        <v>#VALUE!</v>
      </c>
      <c r="Y89" s="3" t="e">
        <f>AND(LOOKUP(A89, TreatmentRankings[Study], TreatmentRankings[StratumCount]) &gt;= 2, J89 = LOOKUP(A89, TreatmentRankings[Study], TreatmentRankings[StratumCount]) * 2)</f>
        <v>#VALUE!</v>
      </c>
      <c r="Z89" s="3" t="e">
        <f>IF(H89, "exempt-synthetic", IF(AND(Y89, LOOKUP(A89, StratumVariables[Study], StratumVariables[VariableName]) &lt;&gt; ""), "all", "partial"))</f>
        <v>#VALUE!</v>
      </c>
    </row>
    <row r="90">
      <c r="A90" s="2" t="s">
        <v>755</v>
      </c>
      <c r="B90" s="3" t="str">
        <f>A90</f>
        <v>minimum-wage-region</v>
      </c>
      <c r="C90" s="2" t="s">
        <v>756</v>
      </c>
      <c r="D90" s="2" t="s">
        <v>757</v>
      </c>
      <c r="E90" s="2" t="s">
        <v>758</v>
      </c>
      <c r="F90" s="4">
        <v>2014</v>
      </c>
      <c r="G90" s="2" t="s">
        <v>546</v>
      </c>
      <c r="H90" s="2" t="b">
        <v>0</v>
      </c>
      <c r="I90" s="5">
        <f>SUMIFS(CaseCells!G2:G999,CaseCells!C2:C999, A90)</f>
        <v>4000</v>
      </c>
      <c r="J90" s="5">
        <f>COUNTIFS(CaseCells!C2:C999, A90)</f>
        <v>4</v>
      </c>
      <c r="K90" s="2" t="s">
        <v>58</v>
      </c>
      <c r="L90" s="2" t="s">
        <v>433</v>
      </c>
      <c r="M90" s="3" t="e">
        <f>LOOKUP(K90, ResearchTraditions[TraditionId], ResearchTraditions[Name])</f>
        <v>#VALUE!</v>
      </c>
      <c r="N90" s="3" t="e">
        <f>LOOKUP(K90, ResearchTraditions[TraditionId], ResearchTraditions[CoreConcern])</f>
        <v>#VALUE!</v>
      </c>
      <c r="O90" s="3" t="e">
        <f>LOOKUP(L90, Researchers[ResearcherId], Researchers[Name])</f>
        <v>#VALUE!</v>
      </c>
      <c r="P90" s="3" t="e">
        <f>LOOKUP(L90, Researchers[ResearcherId], Researchers[Affiliation])</f>
        <v>#VALUE!</v>
      </c>
      <c r="Q90" s="3" t="e">
        <f>LOOKUP(A90, TreatmentRankings[Study], TreatmentRankings[DistortionType])</f>
        <v>#VALUE!</v>
      </c>
      <c r="R90" s="3" t="e">
        <f>LOOKUP(A90, TreatmentRankings[Study], TreatmentRankings[CorrectedPolicyImplication])</f>
        <v>#VALUE!</v>
      </c>
      <c r="S90" s="3" t="e">
        <f>LOOKUP(A90, TreatmentRankings[Study], TreatmentRankings[AllocationDistortion])</f>
        <v>#VALUE!</v>
      </c>
      <c r="T90" s="3" t="e">
        <f>LOOKUP(A90, TreatmentRankings[Study], TreatmentRankings[SignalPurity])</f>
        <v>#VALUE!</v>
      </c>
      <c r="U90" s="3" t="e">
        <f>LOOKUP(A90, TreatmentRankings[Study], TreatmentRankings[IsSignFlip])</f>
        <v>#VALUE!</v>
      </c>
      <c r="V90" s="3" t="e">
        <f>LOOKUP(A90, TreatmentRankings[Study], TreatmentRankings[CorrectedWinner])</f>
        <v>#VALUE!</v>
      </c>
      <c r="W90" s="3" t="e">
        <f>LOOKUP(A90, StratumVariables[Study], StratumVariables[VariableName])</f>
        <v>#VALUE!</v>
      </c>
      <c r="X90" s="3" t="e">
        <f>LOOKUP(A90, StratumVariables[Study], StratumVariables[CausalRole])</f>
        <v>#VALUE!</v>
      </c>
      <c r="Y90" s="3" t="e">
        <f>AND(LOOKUP(A90, TreatmentRankings[Study], TreatmentRankings[StratumCount]) &gt;= 2, J90 = LOOKUP(A90, TreatmentRankings[Study], TreatmentRankings[StratumCount]) * 2)</f>
        <v>#VALUE!</v>
      </c>
      <c r="Z90" s="3" t="e">
        <f>IF(H90, "exempt-synthetic", IF(AND(Y90, LOOKUP(A90, StratumVariables[Study], StratumVariables[VariableName]) &lt;&gt; ""), "all", "partial"))</f>
        <v>#VALUE!</v>
      </c>
    </row>
    <row r="91">
      <c r="A91" s="2" t="s">
        <v>759</v>
      </c>
      <c r="B91" s="3" t="str">
        <f>A91</f>
        <v>returns-to-education-field</v>
      </c>
      <c r="C91" s="2" t="s">
        <v>760</v>
      </c>
      <c r="D91" s="2" t="s">
        <v>761</v>
      </c>
      <c r="E91" s="2" t="s">
        <v>762</v>
      </c>
      <c r="F91" s="4">
        <v>2008</v>
      </c>
      <c r="G91" s="2" t="s">
        <v>546</v>
      </c>
      <c r="H91" s="2" t="b">
        <v>0</v>
      </c>
      <c r="I91" s="5">
        <f>SUMIFS(CaseCells!G2:G999,CaseCells!C2:C999, A91)</f>
        <v>4000</v>
      </c>
      <c r="J91" s="5">
        <f>COUNTIFS(CaseCells!C2:C999, A91)</f>
        <v>4</v>
      </c>
      <c r="K91" s="2" t="s">
        <v>58</v>
      </c>
      <c r="L91" s="2" t="s">
        <v>433</v>
      </c>
      <c r="M91" s="3" t="e">
        <f>LOOKUP(K91, ResearchTraditions[TraditionId], ResearchTraditions[Name])</f>
        <v>#VALUE!</v>
      </c>
      <c r="N91" s="3" t="e">
        <f>LOOKUP(K91, ResearchTraditions[TraditionId], ResearchTraditions[CoreConcern])</f>
        <v>#VALUE!</v>
      </c>
      <c r="O91" s="3" t="e">
        <f>LOOKUP(L91, Researchers[ResearcherId], Researchers[Name])</f>
        <v>#VALUE!</v>
      </c>
      <c r="P91" s="3" t="e">
        <f>LOOKUP(L91, Researchers[ResearcherId], Researchers[Affiliation])</f>
        <v>#VALUE!</v>
      </c>
      <c r="Q91" s="3" t="e">
        <f>LOOKUP(A91, TreatmentRankings[Study], TreatmentRankings[DistortionType])</f>
        <v>#VALUE!</v>
      </c>
      <c r="R91" s="3" t="e">
        <f>LOOKUP(A91, TreatmentRankings[Study], TreatmentRankings[CorrectedPolicyImplication])</f>
        <v>#VALUE!</v>
      </c>
      <c r="S91" s="3" t="e">
        <f>LOOKUP(A91, TreatmentRankings[Study], TreatmentRankings[AllocationDistortion])</f>
        <v>#VALUE!</v>
      </c>
      <c r="T91" s="3" t="e">
        <f>LOOKUP(A91, TreatmentRankings[Study], TreatmentRankings[SignalPurity])</f>
        <v>#VALUE!</v>
      </c>
      <c r="U91" s="3" t="e">
        <f>LOOKUP(A91, TreatmentRankings[Study], TreatmentRankings[IsSignFlip])</f>
        <v>#VALUE!</v>
      </c>
      <c r="V91" s="3" t="e">
        <f>LOOKUP(A91, TreatmentRankings[Study], TreatmentRankings[CorrectedWinner])</f>
        <v>#VALUE!</v>
      </c>
      <c r="W91" s="3" t="e">
        <f>LOOKUP(A91, StratumVariables[Study], StratumVariables[VariableName])</f>
        <v>#VALUE!</v>
      </c>
      <c r="X91" s="3" t="e">
        <f>LOOKUP(A91, StratumVariables[Study], StratumVariables[CausalRole])</f>
        <v>#VALUE!</v>
      </c>
      <c r="Y91" s="3" t="e">
        <f>AND(LOOKUP(A91, TreatmentRankings[Study], TreatmentRankings[StratumCount]) &gt;= 2, J91 = LOOKUP(A91, TreatmentRankings[Study], TreatmentRankings[StratumCount]) * 2)</f>
        <v>#VALUE!</v>
      </c>
      <c r="Z91" s="3" t="e">
        <f>IF(H91, "exempt-synthetic", IF(AND(Y91, LOOKUP(A91, StratumVariables[Study], StratumVariables[VariableName]) &lt;&gt; ""), "all", "partial"))</f>
        <v>#VALUE!</v>
      </c>
    </row>
    <row r="92">
      <c r="A92" s="2" t="s">
        <v>763</v>
      </c>
      <c r="B92" s="3" t="str">
        <f>A92</f>
        <v>unemployment-education-cycle</v>
      </c>
      <c r="C92" s="2" t="s">
        <v>764</v>
      </c>
      <c r="D92" s="2" t="s">
        <v>765</v>
      </c>
      <c r="E92" s="2" t="s">
        <v>550</v>
      </c>
      <c r="F92" s="4">
        <v>2010</v>
      </c>
      <c r="G92" s="2" t="s">
        <v>546</v>
      </c>
      <c r="H92" s="2" t="b">
        <v>0</v>
      </c>
      <c r="I92" s="5">
        <f>SUMIFS(CaseCells!G2:G999,CaseCells!C2:C999, A92)</f>
        <v>4000</v>
      </c>
      <c r="J92" s="5">
        <f>COUNTIFS(CaseCells!C2:C999, A92)</f>
        <v>4</v>
      </c>
      <c r="K92" s="2" t="s">
        <v>58</v>
      </c>
      <c r="L92" s="2" t="s">
        <v>433</v>
      </c>
      <c r="M92" s="3" t="e">
        <f>LOOKUP(K92, ResearchTraditions[TraditionId], ResearchTraditions[Name])</f>
        <v>#VALUE!</v>
      </c>
      <c r="N92" s="3" t="e">
        <f>LOOKUP(K92, ResearchTraditions[TraditionId], ResearchTraditions[CoreConcern])</f>
        <v>#VALUE!</v>
      </c>
      <c r="O92" s="3" t="e">
        <f>LOOKUP(L92, Researchers[ResearcherId], Researchers[Name])</f>
        <v>#VALUE!</v>
      </c>
      <c r="P92" s="3" t="e">
        <f>LOOKUP(L92, Researchers[ResearcherId], Researchers[Affiliation])</f>
        <v>#VALUE!</v>
      </c>
      <c r="Q92" s="3" t="e">
        <f>LOOKUP(A92, TreatmentRankings[Study], TreatmentRankings[DistortionType])</f>
        <v>#VALUE!</v>
      </c>
      <c r="R92" s="3" t="e">
        <f>LOOKUP(A92, TreatmentRankings[Study], TreatmentRankings[CorrectedPolicyImplication])</f>
        <v>#VALUE!</v>
      </c>
      <c r="S92" s="3" t="e">
        <f>LOOKUP(A92, TreatmentRankings[Study], TreatmentRankings[AllocationDistortion])</f>
        <v>#VALUE!</v>
      </c>
      <c r="T92" s="3" t="e">
        <f>LOOKUP(A92, TreatmentRankings[Study], TreatmentRankings[SignalPurity])</f>
        <v>#VALUE!</v>
      </c>
      <c r="U92" s="3" t="e">
        <f>LOOKUP(A92, TreatmentRankings[Study], TreatmentRankings[IsSignFlip])</f>
        <v>#VALUE!</v>
      </c>
      <c r="V92" s="3" t="e">
        <f>LOOKUP(A92, TreatmentRankings[Study], TreatmentRankings[CorrectedWinner])</f>
        <v>#VALUE!</v>
      </c>
      <c r="W92" s="3" t="e">
        <f>LOOKUP(A92, StratumVariables[Study], StratumVariables[VariableName])</f>
        <v>#VALUE!</v>
      </c>
      <c r="X92" s="3" t="e">
        <f>LOOKUP(A92, StratumVariables[Study], StratumVariables[CausalRole])</f>
        <v>#VALUE!</v>
      </c>
      <c r="Y92" s="3" t="e">
        <f>AND(LOOKUP(A92, TreatmentRankings[Study], TreatmentRankings[StratumCount]) &gt;= 2, J92 = LOOKUP(A92, TreatmentRankings[Study], TreatmentRankings[StratumCount]) * 2)</f>
        <v>#VALUE!</v>
      </c>
      <c r="Z92" s="3" t="e">
        <f>IF(H92, "exempt-synthetic", IF(AND(Y92, LOOKUP(A92, StratumVariables[Study], StratumVariables[VariableName]) &lt;&gt; ""), "all", "partial"))</f>
        <v>#VALUE!</v>
      </c>
    </row>
    <row r="93">
      <c r="A93" s="2" t="s">
        <v>766</v>
      </c>
      <c r="B93" s="3" t="str">
        <f>A93</f>
        <v>costa-rica-us-life-expectancy</v>
      </c>
      <c r="C93" s="2" t="s">
        <v>767</v>
      </c>
      <c r="D93" s="2" t="s">
        <v>768</v>
      </c>
      <c r="E93" s="2" t="s">
        <v>769</v>
      </c>
      <c r="F93" s="4">
        <v>2010</v>
      </c>
      <c r="G93" s="2" t="s">
        <v>432</v>
      </c>
      <c r="H93" s="2" t="b">
        <v>0</v>
      </c>
      <c r="I93" s="5">
        <f>SUMIFS(CaseCells!G2:G999,CaseCells!C2:C999, A93)</f>
        <v>4000</v>
      </c>
      <c r="J93" s="5">
        <f>COUNTIFS(CaseCells!C2:C999, A93)</f>
        <v>4</v>
      </c>
      <c r="K93" s="2" t="s">
        <v>58</v>
      </c>
      <c r="L93" s="2" t="s">
        <v>433</v>
      </c>
      <c r="M93" s="3" t="e">
        <f>LOOKUP(K93, ResearchTraditions[TraditionId], ResearchTraditions[Name])</f>
        <v>#VALUE!</v>
      </c>
      <c r="N93" s="3" t="e">
        <f>LOOKUP(K93, ResearchTraditions[TraditionId], ResearchTraditions[CoreConcern])</f>
        <v>#VALUE!</v>
      </c>
      <c r="O93" s="3" t="e">
        <f>LOOKUP(L93, Researchers[ResearcherId], Researchers[Name])</f>
        <v>#VALUE!</v>
      </c>
      <c r="P93" s="3" t="e">
        <f>LOOKUP(L93, Researchers[ResearcherId], Researchers[Affiliation])</f>
        <v>#VALUE!</v>
      </c>
      <c r="Q93" s="3" t="e">
        <f>LOOKUP(A93, TreatmentRankings[Study], TreatmentRankings[DistortionType])</f>
        <v>#VALUE!</v>
      </c>
      <c r="R93" s="3" t="e">
        <f>LOOKUP(A93, TreatmentRankings[Study], TreatmentRankings[CorrectedPolicyImplication])</f>
        <v>#VALUE!</v>
      </c>
      <c r="S93" s="3" t="e">
        <f>LOOKUP(A93, TreatmentRankings[Study], TreatmentRankings[AllocationDistortion])</f>
        <v>#VALUE!</v>
      </c>
      <c r="T93" s="3" t="e">
        <f>LOOKUP(A93, TreatmentRankings[Study], TreatmentRankings[SignalPurity])</f>
        <v>#VALUE!</v>
      </c>
      <c r="U93" s="3" t="e">
        <f>LOOKUP(A93, TreatmentRankings[Study], TreatmentRankings[IsSignFlip])</f>
        <v>#VALUE!</v>
      </c>
      <c r="V93" s="3" t="e">
        <f>LOOKUP(A93, TreatmentRankings[Study], TreatmentRankings[CorrectedWinner])</f>
        <v>#VALUE!</v>
      </c>
      <c r="W93" s="3" t="e">
        <f>LOOKUP(A93, StratumVariables[Study], StratumVariables[VariableName])</f>
        <v>#VALUE!</v>
      </c>
      <c r="X93" s="3" t="e">
        <f>LOOKUP(A93, StratumVariables[Study], StratumVariables[CausalRole])</f>
        <v>#VALUE!</v>
      </c>
      <c r="Y93" s="3" t="e">
        <f>AND(LOOKUP(A93, TreatmentRankings[Study], TreatmentRankings[StratumCount]) &gt;= 2, J93 = LOOKUP(A93, TreatmentRankings[Study], TreatmentRankings[StratumCount]) * 2)</f>
        <v>#VALUE!</v>
      </c>
      <c r="Z93" s="3" t="e">
        <f>IF(H93, "exempt-synthetic", IF(AND(Y93, LOOKUP(A93, StratumVariables[Study], StratumVariables[VariableName]) &lt;&gt; ""), "all", "partial"))</f>
        <v>#VALUE!</v>
      </c>
    </row>
    <row r="94">
      <c r="A94" s="2" t="s">
        <v>770</v>
      </c>
      <c r="B94" s="3" t="str">
        <f>A94</f>
        <v>fertility-income-country</v>
      </c>
      <c r="C94" s="2" t="s">
        <v>771</v>
      </c>
      <c r="D94" s="2" t="s">
        <v>772</v>
      </c>
      <c r="E94" s="2" t="s">
        <v>773</v>
      </c>
      <c r="F94" s="4">
        <v>2015</v>
      </c>
      <c r="G94" s="2" t="s">
        <v>432</v>
      </c>
      <c r="H94" s="2" t="b">
        <v>0</v>
      </c>
      <c r="I94" s="5">
        <f>SUMIFS(CaseCells!G2:G999,CaseCells!C2:C999, A94)</f>
        <v>4000</v>
      </c>
      <c r="J94" s="5">
        <f>COUNTIFS(CaseCells!C2:C999, A94)</f>
        <v>4</v>
      </c>
      <c r="K94" s="2" t="s">
        <v>58</v>
      </c>
      <c r="L94" s="2" t="s">
        <v>433</v>
      </c>
      <c r="M94" s="3" t="e">
        <f>LOOKUP(K94, ResearchTraditions[TraditionId], ResearchTraditions[Name])</f>
        <v>#VALUE!</v>
      </c>
      <c r="N94" s="3" t="e">
        <f>LOOKUP(K94, ResearchTraditions[TraditionId], ResearchTraditions[CoreConcern])</f>
        <v>#VALUE!</v>
      </c>
      <c r="O94" s="3" t="e">
        <f>LOOKUP(L94, Researchers[ResearcherId], Researchers[Name])</f>
        <v>#VALUE!</v>
      </c>
      <c r="P94" s="3" t="e">
        <f>LOOKUP(L94, Researchers[ResearcherId], Researchers[Affiliation])</f>
        <v>#VALUE!</v>
      </c>
      <c r="Q94" s="3" t="e">
        <f>LOOKUP(A94, TreatmentRankings[Study], TreatmentRankings[DistortionType])</f>
        <v>#VALUE!</v>
      </c>
      <c r="R94" s="3" t="e">
        <f>LOOKUP(A94, TreatmentRankings[Study], TreatmentRankings[CorrectedPolicyImplication])</f>
        <v>#VALUE!</v>
      </c>
      <c r="S94" s="3" t="e">
        <f>LOOKUP(A94, TreatmentRankings[Study], TreatmentRankings[AllocationDistortion])</f>
        <v>#VALUE!</v>
      </c>
      <c r="T94" s="3" t="e">
        <f>LOOKUP(A94, TreatmentRankings[Study], TreatmentRankings[SignalPurity])</f>
        <v>#VALUE!</v>
      </c>
      <c r="U94" s="3" t="e">
        <f>LOOKUP(A94, TreatmentRankings[Study], TreatmentRankings[IsSignFlip])</f>
        <v>#VALUE!</v>
      </c>
      <c r="V94" s="3" t="e">
        <f>LOOKUP(A94, TreatmentRankings[Study], TreatmentRankings[CorrectedWinner])</f>
        <v>#VALUE!</v>
      </c>
      <c r="W94" s="3" t="e">
        <f>LOOKUP(A94, StratumVariables[Study], StratumVariables[VariableName])</f>
        <v>#VALUE!</v>
      </c>
      <c r="X94" s="3" t="e">
        <f>LOOKUP(A94, StratumVariables[Study], StratumVariables[CausalRole])</f>
        <v>#VALUE!</v>
      </c>
      <c r="Y94" s="3" t="e">
        <f>AND(LOOKUP(A94, TreatmentRankings[Study], TreatmentRankings[StratumCount]) &gt;= 2, J94 = LOOKUP(A94, TreatmentRankings[Study], TreatmentRankings[StratumCount]) * 2)</f>
        <v>#VALUE!</v>
      </c>
      <c r="Z94" s="3" t="e">
        <f>IF(H94, "exempt-synthetic", IF(AND(Y94, LOOKUP(A94, StratumVariables[Study], StratumVariables[VariableName]) &lt;&gt; ""), "all", "partial"))</f>
        <v>#VALUE!</v>
      </c>
    </row>
    <row r="95">
      <c r="A95" s="2" t="s">
        <v>774</v>
      </c>
      <c r="B95" s="3" t="str">
        <f>A95</f>
        <v>religiosity-happiness-country</v>
      </c>
      <c r="C95" s="2" t="s">
        <v>775</v>
      </c>
      <c r="D95" s="2" t="s">
        <v>776</v>
      </c>
      <c r="E95" s="2" t="s">
        <v>777</v>
      </c>
      <c r="F95" s="4">
        <v>2018</v>
      </c>
      <c r="G95" s="2" t="s">
        <v>432</v>
      </c>
      <c r="H95" s="2" t="b">
        <v>0</v>
      </c>
      <c r="I95" s="5">
        <f>SUMIFS(CaseCells!G2:G999,CaseCells!C2:C999, A95)</f>
        <v>4000</v>
      </c>
      <c r="J95" s="5">
        <f>COUNTIFS(CaseCells!C2:C999, A95)</f>
        <v>4</v>
      </c>
      <c r="K95" s="2" t="s">
        <v>58</v>
      </c>
      <c r="L95" s="2" t="s">
        <v>433</v>
      </c>
      <c r="M95" s="3" t="e">
        <f>LOOKUP(K95, ResearchTraditions[TraditionId], ResearchTraditions[Name])</f>
        <v>#VALUE!</v>
      </c>
      <c r="N95" s="3" t="e">
        <f>LOOKUP(K95, ResearchTraditions[TraditionId], ResearchTraditions[CoreConcern])</f>
        <v>#VALUE!</v>
      </c>
      <c r="O95" s="3" t="e">
        <f>LOOKUP(L95, Researchers[ResearcherId], Researchers[Name])</f>
        <v>#VALUE!</v>
      </c>
      <c r="P95" s="3" t="e">
        <f>LOOKUP(L95, Researchers[ResearcherId], Researchers[Affiliation])</f>
        <v>#VALUE!</v>
      </c>
      <c r="Q95" s="3" t="e">
        <f>LOOKUP(A95, TreatmentRankings[Study], TreatmentRankings[DistortionType])</f>
        <v>#VALUE!</v>
      </c>
      <c r="R95" s="3" t="e">
        <f>LOOKUP(A95, TreatmentRankings[Study], TreatmentRankings[CorrectedPolicyImplication])</f>
        <v>#VALUE!</v>
      </c>
      <c r="S95" s="3" t="e">
        <f>LOOKUP(A95, TreatmentRankings[Study], TreatmentRankings[AllocationDistortion])</f>
        <v>#VALUE!</v>
      </c>
      <c r="T95" s="3" t="e">
        <f>LOOKUP(A95, TreatmentRankings[Study], TreatmentRankings[SignalPurity])</f>
        <v>#VALUE!</v>
      </c>
      <c r="U95" s="3" t="e">
        <f>LOOKUP(A95, TreatmentRankings[Study], TreatmentRankings[IsSignFlip])</f>
        <v>#VALUE!</v>
      </c>
      <c r="V95" s="3" t="e">
        <f>LOOKUP(A95, TreatmentRankings[Study], TreatmentRankings[CorrectedWinner])</f>
        <v>#VALUE!</v>
      </c>
      <c r="W95" s="3" t="e">
        <f>LOOKUP(A95, StratumVariables[Study], StratumVariables[VariableName])</f>
        <v>#VALUE!</v>
      </c>
      <c r="X95" s="3" t="e">
        <f>LOOKUP(A95, StratumVariables[Study], StratumVariables[CausalRole])</f>
        <v>#VALUE!</v>
      </c>
      <c r="Y95" s="3" t="e">
        <f>AND(LOOKUP(A95, TreatmentRankings[Study], TreatmentRankings[StratumCount]) &gt;= 2, J95 = LOOKUP(A95, TreatmentRankings[Study], TreatmentRankings[StratumCount]) * 2)</f>
        <v>#VALUE!</v>
      </c>
      <c r="Z95" s="3" t="e">
        <f>IF(H95, "exempt-synthetic", IF(AND(Y95, LOOKUP(A95, StratumVariables[Study], StratumVariables[VariableName]) &lt;&gt; ""), "all", "partial"))</f>
        <v>#VALUE!</v>
      </c>
    </row>
    <row r="96">
      <c r="A96" s="2" t="s">
        <v>778</v>
      </c>
      <c r="B96" s="3" t="str">
        <f>A96</f>
        <v>voter-turnout-education-state</v>
      </c>
      <c r="C96" s="2" t="s">
        <v>779</v>
      </c>
      <c r="D96" s="2" t="s">
        <v>780</v>
      </c>
      <c r="E96" s="2" t="s">
        <v>781</v>
      </c>
      <c r="F96" s="4">
        <v>2012</v>
      </c>
      <c r="G96" s="2" t="s">
        <v>432</v>
      </c>
      <c r="H96" s="2" t="b">
        <v>0</v>
      </c>
      <c r="I96" s="5">
        <f>SUMIFS(CaseCells!G2:G999,CaseCells!C2:C999, A96)</f>
        <v>4000</v>
      </c>
      <c r="J96" s="5">
        <f>COUNTIFS(CaseCells!C2:C999, A96)</f>
        <v>4</v>
      </c>
      <c r="K96" s="2" t="s">
        <v>23</v>
      </c>
      <c r="L96" s="2" t="s">
        <v>419</v>
      </c>
      <c r="M96" s="3" t="e">
        <f>LOOKUP(K96, ResearchTraditions[TraditionId], ResearchTraditions[Name])</f>
        <v>#VALUE!</v>
      </c>
      <c r="N96" s="3" t="e">
        <f>LOOKUP(K96, ResearchTraditions[TraditionId], ResearchTraditions[CoreConcern])</f>
        <v>#VALUE!</v>
      </c>
      <c r="O96" s="3" t="e">
        <f>LOOKUP(L96, Researchers[ResearcherId], Researchers[Name])</f>
        <v>#VALUE!</v>
      </c>
      <c r="P96" s="3" t="e">
        <f>LOOKUP(L96, Researchers[ResearcherId], Researchers[Affiliation])</f>
        <v>#VALUE!</v>
      </c>
      <c r="Q96" s="3" t="e">
        <f>LOOKUP(A96, TreatmentRankings[Study], TreatmentRankings[DistortionType])</f>
        <v>#VALUE!</v>
      </c>
      <c r="R96" s="3" t="e">
        <f>LOOKUP(A96, TreatmentRankings[Study], TreatmentRankings[CorrectedPolicyImplication])</f>
        <v>#VALUE!</v>
      </c>
      <c r="S96" s="3" t="e">
        <f>LOOKUP(A96, TreatmentRankings[Study], TreatmentRankings[AllocationDistortion])</f>
        <v>#VALUE!</v>
      </c>
      <c r="T96" s="3" t="e">
        <f>LOOKUP(A96, TreatmentRankings[Study], TreatmentRankings[SignalPurity])</f>
        <v>#VALUE!</v>
      </c>
      <c r="U96" s="3" t="e">
        <f>LOOKUP(A96, TreatmentRankings[Study], TreatmentRankings[IsSignFlip])</f>
        <v>#VALUE!</v>
      </c>
      <c r="V96" s="3" t="e">
        <f>LOOKUP(A96, TreatmentRankings[Study], TreatmentRankings[CorrectedWinner])</f>
        <v>#VALUE!</v>
      </c>
      <c r="W96" s="3" t="e">
        <f>LOOKUP(A96, StratumVariables[Study], StratumVariables[VariableName])</f>
        <v>#VALUE!</v>
      </c>
      <c r="X96" s="3" t="e">
        <f>LOOKUP(A96, StratumVariables[Study], StratumVariables[CausalRole])</f>
        <v>#VALUE!</v>
      </c>
      <c r="Y96" s="3" t="e">
        <f>AND(LOOKUP(A96, TreatmentRankings[Study], TreatmentRankings[StratumCount]) &gt;= 2, J96 = LOOKUP(A96, TreatmentRankings[Study], TreatmentRankings[StratumCount]) * 2)</f>
        <v>#VALUE!</v>
      </c>
      <c r="Z96" s="3" t="e">
        <f>IF(H96, "exempt-synthetic", IF(AND(Y96, LOOKUP(A96, StratumVariables[Study], StratumVariables[VariableName]) &lt;&gt; ""), "all", "partial"))</f>
        <v>#VALUE!</v>
      </c>
    </row>
    <row r="97">
      <c r="A97" s="2" t="s">
        <v>782</v>
      </c>
      <c r="B97" s="3" t="str">
        <f>A97</f>
        <v>ad-ctr-platform-mix</v>
      </c>
      <c r="C97" s="2" t="s">
        <v>783</v>
      </c>
      <c r="D97" s="2" t="s">
        <v>784</v>
      </c>
      <c r="E97" s="2" t="s">
        <v>644</v>
      </c>
      <c r="F97" s="4">
        <v>2019</v>
      </c>
      <c r="G97" s="2" t="s">
        <v>432</v>
      </c>
      <c r="H97" s="2" t="b">
        <v>0</v>
      </c>
      <c r="I97" s="5">
        <f>SUMIFS(CaseCells!G2:G999,CaseCells!C2:C999, A97)</f>
        <v>4000</v>
      </c>
      <c r="J97" s="5">
        <f>COUNTIFS(CaseCells!C2:C999, A97)</f>
        <v>4</v>
      </c>
      <c r="K97" s="2" t="s">
        <v>23</v>
      </c>
      <c r="L97" s="2" t="s">
        <v>419</v>
      </c>
      <c r="M97" s="3" t="e">
        <f>LOOKUP(K97, ResearchTraditions[TraditionId], ResearchTraditions[Name])</f>
        <v>#VALUE!</v>
      </c>
      <c r="N97" s="3" t="e">
        <f>LOOKUP(K97, ResearchTraditions[TraditionId], ResearchTraditions[CoreConcern])</f>
        <v>#VALUE!</v>
      </c>
      <c r="O97" s="3" t="e">
        <f>LOOKUP(L97, Researchers[ResearcherId], Researchers[Name])</f>
        <v>#VALUE!</v>
      </c>
      <c r="P97" s="3" t="e">
        <f>LOOKUP(L97, Researchers[ResearcherId], Researchers[Affiliation])</f>
        <v>#VALUE!</v>
      </c>
      <c r="Q97" s="3" t="e">
        <f>LOOKUP(A97, TreatmentRankings[Study], TreatmentRankings[DistortionType])</f>
        <v>#VALUE!</v>
      </c>
      <c r="R97" s="3" t="e">
        <f>LOOKUP(A97, TreatmentRankings[Study], TreatmentRankings[CorrectedPolicyImplication])</f>
        <v>#VALUE!</v>
      </c>
      <c r="S97" s="3" t="e">
        <f>LOOKUP(A97, TreatmentRankings[Study], TreatmentRankings[AllocationDistortion])</f>
        <v>#VALUE!</v>
      </c>
      <c r="T97" s="3" t="e">
        <f>LOOKUP(A97, TreatmentRankings[Study], TreatmentRankings[SignalPurity])</f>
        <v>#VALUE!</v>
      </c>
      <c r="U97" s="3" t="e">
        <f>LOOKUP(A97, TreatmentRankings[Study], TreatmentRankings[IsSignFlip])</f>
        <v>#VALUE!</v>
      </c>
      <c r="V97" s="3" t="e">
        <f>LOOKUP(A97, TreatmentRankings[Study], TreatmentRankings[CorrectedWinner])</f>
        <v>#VALUE!</v>
      </c>
      <c r="W97" s="3" t="e">
        <f>LOOKUP(A97, StratumVariables[Study], StratumVariables[VariableName])</f>
        <v>#VALUE!</v>
      </c>
      <c r="X97" s="3" t="e">
        <f>LOOKUP(A97, StratumVariables[Study], StratumVariables[CausalRole])</f>
        <v>#VALUE!</v>
      </c>
      <c r="Y97" s="3" t="e">
        <f>AND(LOOKUP(A97, TreatmentRankings[Study], TreatmentRankings[StratumCount]) &gt;= 2, J97 = LOOKUP(A97, TreatmentRankings[Study], TreatmentRankings[StratumCount]) * 2)</f>
        <v>#VALUE!</v>
      </c>
      <c r="Z97" s="3" t="e">
        <f>IF(H97, "exempt-synthetic", IF(AND(Y97, LOOKUP(A97, StratumVariables[Study], StratumVariables[VariableName]) &lt;&gt; ""), "all", "partial"))</f>
        <v>#VALUE!</v>
      </c>
    </row>
  </sheetData>
  <autoFilter ref="A1:Z1"/>
  <headerFooter/>
  <legacyDrawing r:id="rId1"/>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181"/>
  <sheetViews>
    <sheetView workbookViewId="0">
      <pane ySplit="1" topLeftCell="A2" state="frozen" activePane="bottomLeft"/>
      <selection pane="bottomLeft" activeCell="A1" sqref="A1"/>
    </sheetView>
  </sheetViews>
  <sheetFormatPr defaultRowHeight="15"/>
  <cols>
    <col min="1" max="1" width="35.28799819946289" customWidth="1"/>
    <col min="2" max="2" width="35.28799819946289" customWidth="1"/>
    <col min="3" max="3" width="33.19231414794922" customWidth="1"/>
    <col min="4" max="4" width="17.443378448486328" customWidth="1"/>
    <col min="5" max="5" width="256" customWidth="1"/>
    <col min="6" max="6" width="17.443378448486328" customWidth="1"/>
    <col min="7" max="7" width="17.443378448486328" customWidth="1"/>
    <col min="8" max="8" width="19.591400146484375" customWidth="1"/>
  </cols>
  <sheetData>
    <row r="1">
      <c r="A1" s="1" t="s">
        <v>785</v>
      </c>
      <c r="B1" s="1" t="s">
        <v>1</v>
      </c>
      <c r="C1" s="1" t="s">
        <v>786</v>
      </c>
      <c r="D1" s="1" t="s">
        <v>787</v>
      </c>
      <c r="E1" s="1" t="s">
        <v>788</v>
      </c>
      <c r="F1" s="1" t="s">
        <v>399</v>
      </c>
      <c r="G1" s="1" t="s">
        <v>789</v>
      </c>
      <c r="H1" s="1" t="s">
        <v>790</v>
      </c>
    </row>
    <row r="2">
      <c r="A2" s="2" t="s">
        <v>791</v>
      </c>
      <c r="B2" s="3" t="str">
        <f>A2</f>
        <v>kidney-1986-A</v>
      </c>
      <c r="C2" s="2" t="s">
        <v>414</v>
      </c>
      <c r="D2" s="2" t="s">
        <v>792</v>
      </c>
      <c r="E2" s="2" t="s">
        <v>793</v>
      </c>
      <c r="F2" s="5">
        <f>SUMIFS(CaseCells!G2:G999,CaseCells!C2:C999, C2,CaseCells!E2:E999, D2)</f>
        <v>350</v>
      </c>
      <c r="G2" s="5">
        <f>SUMIFS(CaseCells!F2:F999,CaseCells!C2:C999, C2,CaseCells!E2:E999, D2)</f>
        <v>273</v>
      </c>
      <c r="H2" s="3">
        <f>IF(F2 = 0, "", G2 / F2)</f>
        <v>0.78</v>
      </c>
    </row>
    <row r="3">
      <c r="A3" s="2" t="s">
        <v>794</v>
      </c>
      <c r="B3" s="3" t="str">
        <f>A3</f>
        <v>kidney-1986-B</v>
      </c>
      <c r="C3" s="2" t="s">
        <v>414</v>
      </c>
      <c r="D3" s="2" t="s">
        <v>795</v>
      </c>
      <c r="E3" s="2" t="s">
        <v>796</v>
      </c>
      <c r="F3" s="5">
        <f>SUMIFS(CaseCells!G2:G999,CaseCells!C2:C999, C3,CaseCells!E2:E999, D3)</f>
        <v>350</v>
      </c>
      <c r="G3" s="5">
        <f>SUMIFS(CaseCells!F2:F999,CaseCells!C2:C999, C3,CaseCells!E2:E999, D3)</f>
        <v>289</v>
      </c>
      <c r="H3" s="3">
        <f>IF(F3 = 0, "", G3 / F3)</f>
        <v>0.8257142857142857</v>
      </c>
    </row>
    <row r="4">
      <c r="A4" s="2" t="s">
        <v>797</v>
      </c>
      <c r="B4" s="3" t="str">
        <f>A4</f>
        <v>kidney-balanced-A</v>
      </c>
      <c r="C4" s="2" t="s">
        <v>425</v>
      </c>
      <c r="D4" s="2" t="s">
        <v>792</v>
      </c>
      <c r="E4" s="2" t="s">
        <v>798</v>
      </c>
      <c r="F4" s="5">
        <f>SUMIFS(CaseCells!G2:G999,CaseCells!C2:C999, C4,CaseCells!E2:E999, D4)</f>
        <v>350</v>
      </c>
      <c r="G4" s="5">
        <f>SUMIFS(CaseCells!F2:F999,CaseCells!C2:C999, C4,CaseCells!E2:E999, D4)</f>
        <v>291</v>
      </c>
      <c r="H4" s="3">
        <f>IF(F4 = 0, "", G4 / F4)</f>
        <v>0.8314285714285714</v>
      </c>
    </row>
    <row r="5">
      <c r="A5" s="2" t="s">
        <v>799</v>
      </c>
      <c r="B5" s="3" t="str">
        <f>A5</f>
        <v>kidney-balanced-B</v>
      </c>
      <c r="C5" s="2" t="s">
        <v>425</v>
      </c>
      <c r="D5" s="2" t="s">
        <v>795</v>
      </c>
      <c r="E5" s="2" t="s">
        <v>800</v>
      </c>
      <c r="F5" s="5">
        <f>SUMIFS(CaseCells!G2:G999,CaseCells!C2:C999, C5,CaseCells!E2:E999, D5)</f>
        <v>350</v>
      </c>
      <c r="G5" s="5">
        <f>SUMIFS(CaseCells!F2:F999,CaseCells!C2:C999, C5,CaseCells!E2:E999, D5)</f>
        <v>272</v>
      </c>
      <c r="H5" s="3">
        <f>IF(F5 = 0, "", G5 / F5)</f>
        <v>0.7771428571428571</v>
      </c>
    </row>
    <row r="6">
      <c r="A6" s="2" t="s">
        <v>801</v>
      </c>
      <c r="B6" s="3" t="str">
        <f>A6</f>
        <v>balanced-synthetic-A</v>
      </c>
      <c r="C6" s="2" t="s">
        <v>420</v>
      </c>
      <c r="D6" s="2" t="s">
        <v>792</v>
      </c>
      <c r="E6" s="2" t="s">
        <v>802</v>
      </c>
      <c r="F6" s="5">
        <f>SUMIFS(CaseCells!G2:G999,CaseCells!C2:C999, C6,CaseCells!E2:E999, D6)</f>
        <v>200</v>
      </c>
      <c r="G6" s="5">
        <f>SUMIFS(CaseCells!F2:F999,CaseCells!C2:C999, C6,CaseCells!E2:E999, D6)</f>
        <v>120</v>
      </c>
      <c r="H6" s="3">
        <f>IF(F6 = 0, "", G6 / F6)</f>
        <v>0.6</v>
      </c>
    </row>
    <row r="7">
      <c r="A7" s="2" t="s">
        <v>803</v>
      </c>
      <c r="B7" s="3" t="str">
        <f>A7</f>
        <v>balanced-synthetic-B</v>
      </c>
      <c r="C7" s="2" t="s">
        <v>420</v>
      </c>
      <c r="D7" s="2" t="s">
        <v>795</v>
      </c>
      <c r="E7" s="2" t="s">
        <v>804</v>
      </c>
      <c r="F7" s="5">
        <f>SUMIFS(CaseCells!G2:G999,CaseCells!C2:C999, C7,CaseCells!E2:E999, D7)</f>
        <v>200</v>
      </c>
      <c r="G7" s="5">
        <f>SUMIFS(CaseCells!F2:F999,CaseCells!C2:C999, C7,CaseCells!E2:E999, D7)</f>
        <v>100</v>
      </c>
      <c r="H7" s="3">
        <f>IF(F7 = 0, "", G7 / F7)</f>
        <v>0.5</v>
      </c>
    </row>
    <row r="8">
      <c r="A8" s="2" t="s">
        <v>805</v>
      </c>
      <c r="B8" s="3" t="str">
        <f>A8</f>
        <v>berkeley-1973-male</v>
      </c>
      <c r="C8" s="2" t="s">
        <v>428</v>
      </c>
      <c r="D8" s="2" t="s">
        <v>792</v>
      </c>
      <c r="E8" s="2" t="s">
        <v>806</v>
      </c>
      <c r="F8" s="5">
        <f>SUMIFS(CaseCells!G2:G999,CaseCells!C2:C999, C8,CaseCells!E2:E999, D8)</f>
        <v>2127</v>
      </c>
      <c r="G8" s="5">
        <f>SUMIFS(CaseCells!F2:F999,CaseCells!C2:C999, C8,CaseCells!E2:E999, D8)</f>
        <v>1123</v>
      </c>
      <c r="H8" s="3">
        <f>IF(F8 = 0, "", G8 / F8)</f>
        <v>0.5279736718382698</v>
      </c>
    </row>
    <row r="9">
      <c r="A9" s="2" t="s">
        <v>807</v>
      </c>
      <c r="B9" s="3" t="str">
        <f>A9</f>
        <v>berkeley-1973-female</v>
      </c>
      <c r="C9" s="2" t="s">
        <v>428</v>
      </c>
      <c r="D9" s="2" t="s">
        <v>795</v>
      </c>
      <c r="E9" s="2" t="s">
        <v>808</v>
      </c>
      <c r="F9" s="5">
        <f>SUMIFS(CaseCells!G2:G999,CaseCells!C2:C999, C9,CaseCells!E2:E999, D9)</f>
        <v>1101</v>
      </c>
      <c r="G9" s="5">
        <f>SUMIFS(CaseCells!F2:F999,CaseCells!C2:C999, C9,CaseCells!E2:E999, D9)</f>
        <v>439</v>
      </c>
      <c r="H9" s="3">
        <f>IF(F9 = 0, "", G9 / F9)</f>
        <v>0.39872842870118075</v>
      </c>
    </row>
    <row r="10">
      <c r="A10" s="2" t="s">
        <v>809</v>
      </c>
      <c r="B10" s="3" t="str">
        <f>A10</f>
        <v>compressed-synthetic-A</v>
      </c>
      <c r="C10" s="2" t="s">
        <v>434</v>
      </c>
      <c r="D10" s="2" t="s">
        <v>792</v>
      </c>
      <c r="E10" s="2" t="s">
        <v>810</v>
      </c>
      <c r="F10" s="5">
        <f>SUMIFS(CaseCells!G2:G999,CaseCells!C2:C999, C10,CaseCells!E2:E999, D10)</f>
        <v>200</v>
      </c>
      <c r="G10" s="5">
        <f>SUMIFS(CaseCells!F2:F999,CaseCells!C2:C999, C10,CaseCells!E2:E999, D10)</f>
        <v>156</v>
      </c>
      <c r="H10" s="3">
        <f>IF(F10 = 0, "", G10 / F10)</f>
        <v>0.78</v>
      </c>
    </row>
    <row r="11">
      <c r="A11" s="2" t="s">
        <v>811</v>
      </c>
      <c r="B11" s="3" t="str">
        <f>A11</f>
        <v>compressed-synthetic-B</v>
      </c>
      <c r="C11" s="2" t="s">
        <v>434</v>
      </c>
      <c r="D11" s="2" t="s">
        <v>795</v>
      </c>
      <c r="E11" s="2" t="s">
        <v>812</v>
      </c>
      <c r="F11" s="5">
        <f>SUMIFS(CaseCells!G2:G999,CaseCells!C2:C999, C11,CaseCells!E2:E999, D11)</f>
        <v>200</v>
      </c>
      <c r="G11" s="5">
        <f>SUMIFS(CaseCells!F2:F999,CaseCells!C2:C999, C11,CaseCells!E2:E999, D11)</f>
        <v>144</v>
      </c>
      <c r="H11" s="3">
        <f>IF(F11 = 0, "", G11 / F11)</f>
        <v>0.72</v>
      </c>
    </row>
    <row r="12">
      <c r="A12" s="2" t="s">
        <v>813</v>
      </c>
      <c r="B12" s="3" t="str">
        <f>A12</f>
        <v>reintjes-2000-A</v>
      </c>
      <c r="C12" s="2" t="s">
        <v>437</v>
      </c>
      <c r="D12" s="2" t="s">
        <v>792</v>
      </c>
      <c r="E12" s="2" t="s">
        <v>814</v>
      </c>
      <c r="F12" s="5">
        <f>SUMIFS(CaseCells!G2:G999,CaseCells!C2:C999, C12,CaseCells!E2:E999, D12)</f>
        <v>1279</v>
      </c>
      <c r="G12" s="5">
        <f>SUMIFS(CaseCells!F2:F999,CaseCells!C2:C999, C12,CaseCells!E2:E999, D12)</f>
        <v>42</v>
      </c>
      <c r="H12" s="3">
        <f>IF(F12 = 0, "", G12 / F12)</f>
        <v>0.0328381548084441</v>
      </c>
    </row>
    <row r="13">
      <c r="A13" s="2" t="s">
        <v>815</v>
      </c>
      <c r="B13" s="3" t="str">
        <f>A13</f>
        <v>reintjes-2000-B</v>
      </c>
      <c r="C13" s="2" t="s">
        <v>437</v>
      </c>
      <c r="D13" s="2" t="s">
        <v>795</v>
      </c>
      <c r="E13" s="2" t="s">
        <v>816</v>
      </c>
      <c r="F13" s="5">
        <f>SUMIFS(CaseCells!G2:G999,CaseCells!C2:C999, C13,CaseCells!E2:E999, D13)</f>
        <v>2240</v>
      </c>
      <c r="G13" s="5">
        <f>SUMIFS(CaseCells!F2:F999,CaseCells!C2:C999, C13,CaseCells!E2:E999, D13)</f>
        <v>104</v>
      </c>
      <c r="H13" s="3">
        <f>IF(F13 = 0, "", G13 / F13)</f>
        <v>0.04642857142857143</v>
      </c>
    </row>
    <row r="14">
      <c r="A14" s="2" t="s">
        <v>817</v>
      </c>
      <c r="B14" s="3" t="str">
        <f>A14</f>
        <v>radelet-1981-A</v>
      </c>
      <c r="C14" s="2" t="s">
        <v>442</v>
      </c>
      <c r="D14" s="2" t="s">
        <v>792</v>
      </c>
      <c r="E14" s="2" t="s">
        <v>818</v>
      </c>
      <c r="F14" s="5">
        <f>SUMIFS(CaseCells!G2:G999,CaseCells!C2:C999, C14,CaseCells!E2:E999, D14)</f>
        <v>160</v>
      </c>
      <c r="G14" s="5">
        <f>SUMIFS(CaseCells!F2:F999,CaseCells!C2:C999, C14,CaseCells!E2:E999, D14)</f>
        <v>19</v>
      </c>
      <c r="H14" s="3">
        <f>IF(F14 = 0, "", G14 / F14)</f>
        <v>0.11875</v>
      </c>
    </row>
    <row r="15">
      <c r="A15" s="2" t="s">
        <v>819</v>
      </c>
      <c r="B15" s="3" t="str">
        <f>A15</f>
        <v>radelet-1981-B</v>
      </c>
      <c r="C15" s="2" t="s">
        <v>442</v>
      </c>
      <c r="D15" s="2" t="s">
        <v>795</v>
      </c>
      <c r="E15" s="2" t="s">
        <v>820</v>
      </c>
      <c r="F15" s="5">
        <f>SUMIFS(CaseCells!G2:G999,CaseCells!C2:C999, C15,CaseCells!E2:E999, D15)</f>
        <v>166</v>
      </c>
      <c r="G15" s="5">
        <f>SUMIFS(CaseCells!F2:F999,CaseCells!C2:C999, C15,CaseCells!E2:E999, D15)</f>
        <v>17</v>
      </c>
      <c r="H15" s="3">
        <f>IF(F15 = 0, "", G15 / F15)</f>
        <v>0.10240963855421686</v>
      </c>
    </row>
    <row r="16">
      <c r="A16" s="2" t="s">
        <v>821</v>
      </c>
      <c r="B16" s="3" t="str">
        <f>A16</f>
        <v>jeter-justice-1997-A</v>
      </c>
      <c r="C16" s="2" t="s">
        <v>448</v>
      </c>
      <c r="D16" s="2" t="s">
        <v>792</v>
      </c>
      <c r="E16" s="2" t="s">
        <v>822</v>
      </c>
      <c r="F16" s="5">
        <f>SUMIFS(CaseCells!G2:G999,CaseCells!C2:C999, C16,CaseCells!E2:E999, D16)</f>
        <v>1284</v>
      </c>
      <c r="G16" s="5">
        <f>SUMIFS(CaseCells!F2:F999,CaseCells!C2:C999, C16,CaseCells!E2:E999, D16)</f>
        <v>385</v>
      </c>
      <c r="H16" s="3">
        <f>IF(F16 = 0, "", G16 / F16)</f>
        <v>0.2998442367601246</v>
      </c>
    </row>
    <row r="17">
      <c r="A17" s="2" t="s">
        <v>823</v>
      </c>
      <c r="B17" s="3" t="str">
        <f>A17</f>
        <v>jeter-justice-1997-B</v>
      </c>
      <c r="C17" s="2" t="s">
        <v>448</v>
      </c>
      <c r="D17" s="2" t="s">
        <v>795</v>
      </c>
      <c r="E17" s="2" t="s">
        <v>824</v>
      </c>
      <c r="F17" s="5">
        <f>SUMIFS(CaseCells!G2:G999,CaseCells!C2:C999, C17,CaseCells!E2:E999, D17)</f>
        <v>1046</v>
      </c>
      <c r="G17" s="5">
        <f>SUMIFS(CaseCells!F2:F999,CaseCells!C2:C999, C17,CaseCells!E2:E999, D17)</f>
        <v>312</v>
      </c>
      <c r="H17" s="3">
        <f>IF(F17 = 0, "", G17 / F17)</f>
        <v>0.2982791586998088</v>
      </c>
    </row>
    <row r="18">
      <c r="A18" s="2" t="s">
        <v>825</v>
      </c>
      <c r="B18" s="3" t="str">
        <f>A18</f>
        <v>appleton-1996-A</v>
      </c>
      <c r="C18" s="2" t="s">
        <v>453</v>
      </c>
      <c r="D18" s="2" t="s">
        <v>792</v>
      </c>
      <c r="E18" s="2" t="s">
        <v>826</v>
      </c>
      <c r="F18" s="5">
        <f>SUMIFS(CaseCells!G2:G999,CaseCells!C2:C999, C18,CaseCells!E2:E999, D18)</f>
        <v>582</v>
      </c>
      <c r="G18" s="5">
        <f>SUMIFS(CaseCells!F2:F999,CaseCells!C2:C999, C18,CaseCells!E2:E999, D18)</f>
        <v>139</v>
      </c>
      <c r="H18" s="3">
        <f>IF(F18 = 0, "", G18 / F18)</f>
        <v>0.23883161512027493</v>
      </c>
    </row>
    <row r="19">
      <c r="A19" s="2" t="s">
        <v>827</v>
      </c>
      <c r="B19" s="3" t="str">
        <f>A19</f>
        <v>appleton-1996-B</v>
      </c>
      <c r="C19" s="2" t="s">
        <v>453</v>
      </c>
      <c r="D19" s="2" t="s">
        <v>795</v>
      </c>
      <c r="E19" s="2" t="s">
        <v>828</v>
      </c>
      <c r="F19" s="5">
        <f>SUMIFS(CaseCells!G2:G999,CaseCells!C2:C999, C19,CaseCells!E2:E999, D19)</f>
        <v>732</v>
      </c>
      <c r="G19" s="5">
        <f>SUMIFS(CaseCells!F2:F999,CaseCells!C2:C999, C19,CaseCells!E2:E999, D19)</f>
        <v>230</v>
      </c>
      <c r="H19" s="3">
        <f>IF(F19 = 0, "", G19 / F19)</f>
        <v>0.31420765027322406</v>
      </c>
    </row>
    <row r="20">
      <c r="A20" s="2" t="s">
        <v>829</v>
      </c>
      <c r="B20" s="3" t="str">
        <f>A20</f>
        <v>phe-covid-2021-A</v>
      </c>
      <c r="C20" s="2" t="s">
        <v>457</v>
      </c>
      <c r="D20" s="2" t="s">
        <v>792</v>
      </c>
      <c r="E20" s="2" t="s">
        <v>830</v>
      </c>
      <c r="F20" s="5">
        <f>SUMIFS(CaseCells!G2:G999,CaseCells!C2:C999, C20,CaseCells!E2:E999, D20)</f>
        <v>117114</v>
      </c>
      <c r="G20" s="5">
        <f>SUMIFS(CaseCells!F2:F999,CaseCells!C2:C999, C20,CaseCells!E2:E999, D20)</f>
        <v>481</v>
      </c>
      <c r="H20" s="3">
        <f>IF(F20 = 0, "", G20 / F20)</f>
        <v>0.004107109312294004</v>
      </c>
    </row>
    <row r="21">
      <c r="A21" s="2" t="s">
        <v>831</v>
      </c>
      <c r="B21" s="3" t="str">
        <f>A21</f>
        <v>phe-covid-2021-B</v>
      </c>
      <c r="C21" s="2" t="s">
        <v>457</v>
      </c>
      <c r="D21" s="2" t="s">
        <v>795</v>
      </c>
      <c r="E21" s="2" t="s">
        <v>832</v>
      </c>
      <c r="F21" s="5">
        <f>SUMIFS(CaseCells!G2:G999,CaseCells!C2:C999, C21,CaseCells!E2:E999, D21)</f>
        <v>151052</v>
      </c>
      <c r="G21" s="5">
        <f>SUMIFS(CaseCells!F2:F999,CaseCells!C2:C999, C21,CaseCells!E2:E999, D21)</f>
        <v>253</v>
      </c>
      <c r="H21" s="3">
        <f>IF(F21 = 0, "", G21 / F21)</f>
        <v>0.0016749198951354501</v>
      </c>
    </row>
    <row r="22">
      <c r="A22" s="2" t="s">
        <v>833</v>
      </c>
      <c r="B22" s="3" t="str">
        <f>A22</f>
        <v>rogers-nicewander-1988-A</v>
      </c>
      <c r="C22" s="2" t="s">
        <v>488</v>
      </c>
      <c r="D22" s="2" t="s">
        <v>792</v>
      </c>
      <c r="E22" s="2" t="s">
        <v>834</v>
      </c>
      <c r="F22" s="5">
        <f>SUMIFS(CaseCells!G2:G999,CaseCells!C2:C999, C22,CaseCells!E2:E999, D22)</f>
        <v>36</v>
      </c>
      <c r="G22" s="5">
        <f>SUMIFS(CaseCells!F2:F999,CaseCells!C2:C999, C22,CaseCells!E2:E999, D22)</f>
        <v>12</v>
      </c>
      <c r="H22" s="3">
        <f>IF(F22 = 0, "", G22 / F22)</f>
        <v>0.3333333333333333</v>
      </c>
    </row>
    <row r="23">
      <c r="A23" s="2" t="s">
        <v>835</v>
      </c>
      <c r="B23" s="3" t="str">
        <f>A23</f>
        <v>rogers-nicewander-1988-B</v>
      </c>
      <c r="C23" s="2" t="s">
        <v>488</v>
      </c>
      <c r="D23" s="2" t="s">
        <v>795</v>
      </c>
      <c r="E23" s="2" t="s">
        <v>836</v>
      </c>
      <c r="F23" s="5">
        <f>SUMIFS(CaseCells!G2:G999,CaseCells!C2:C999, C23,CaseCells!E2:E999, D23)</f>
        <v>22</v>
      </c>
      <c r="G23" s="5">
        <f>SUMIFS(CaseCells!F2:F999,CaseCells!C2:C999, C23,CaseCells!E2:E999, D23)</f>
        <v>6</v>
      </c>
      <c r="H23" s="3">
        <f>IF(F23 = 0, "", G23 / F23)</f>
        <v>0.2727272727272727</v>
      </c>
    </row>
    <row r="24">
      <c r="A24" s="2" t="s">
        <v>837</v>
      </c>
      <c r="B24" s="3" t="str">
        <f>A24</f>
        <v>lucente-baseball-1995-A</v>
      </c>
      <c r="C24" s="2" t="s">
        <v>492</v>
      </c>
      <c r="D24" s="2" t="s">
        <v>792</v>
      </c>
      <c r="E24" s="2" t="s">
        <v>838</v>
      </c>
      <c r="F24" s="5">
        <f>SUMIFS(CaseCells!G2:G999,CaseCells!C2:C999, C24,CaseCells!E2:E999, D24)</f>
        <v>330</v>
      </c>
      <c r="G24" s="5">
        <f>SUMIFS(CaseCells!F2:F999,CaseCells!C2:C999, C24,CaseCells!E2:E999, D24)</f>
        <v>97</v>
      </c>
      <c r="H24" s="3">
        <f>IF(F24 = 0, "", G24 / F24)</f>
        <v>0.29393939393939394</v>
      </c>
    </row>
    <row r="25">
      <c r="A25" s="2" t="s">
        <v>839</v>
      </c>
      <c r="B25" s="3" t="str">
        <f>A25</f>
        <v>lucente-baseball-1995-B</v>
      </c>
      <c r="C25" s="2" t="s">
        <v>492</v>
      </c>
      <c r="D25" s="2" t="s">
        <v>795</v>
      </c>
      <c r="E25" s="2" t="s">
        <v>840</v>
      </c>
      <c r="F25" s="5">
        <f>SUMIFS(CaseCells!G2:G999,CaseCells!C2:C999, C25,CaseCells!E2:E999, D25)</f>
        <v>360</v>
      </c>
      <c r="G25" s="5">
        <f>SUMIFS(CaseCells!F2:F999,CaseCells!C2:C999, C25,CaseCells!E2:E999, D25)</f>
        <v>103</v>
      </c>
      <c r="H25" s="3">
        <f>IF(F25 = 0, "", G25 / F25)</f>
        <v>0.2861111111111111</v>
      </c>
    </row>
    <row r="26">
      <c r="A26" s="2" t="s">
        <v>841</v>
      </c>
      <c r="B26" s="3" t="str">
        <f>A26</f>
        <v>wilson-batting-2000-A</v>
      </c>
      <c r="C26" s="2" t="s">
        <v>495</v>
      </c>
      <c r="D26" s="2" t="s">
        <v>792</v>
      </c>
      <c r="E26" s="2" t="s">
        <v>842</v>
      </c>
      <c r="F26" s="5">
        <f>SUMIFS(CaseCells!G2:G999,CaseCells!C2:C999, C26,CaseCells!E2:E999, D26)</f>
        <v>180</v>
      </c>
      <c r="G26" s="5">
        <f>SUMIFS(CaseCells!F2:F999,CaseCells!C2:C999, C26,CaseCells!E2:E999, D26)</f>
        <v>53</v>
      </c>
      <c r="H26" s="3">
        <f>IF(F26 = 0, "", G26 / F26)</f>
        <v>0.29444444444444445</v>
      </c>
    </row>
    <row r="27">
      <c r="A27" s="2" t="s">
        <v>843</v>
      </c>
      <c r="B27" s="3" t="str">
        <f>A27</f>
        <v>wilson-batting-2000-B</v>
      </c>
      <c r="C27" s="2" t="s">
        <v>495</v>
      </c>
      <c r="D27" s="2" t="s">
        <v>795</v>
      </c>
      <c r="E27" s="2" t="s">
        <v>844</v>
      </c>
      <c r="F27" s="5">
        <f>SUMIFS(CaseCells!G2:G999,CaseCells!C2:C999, C27,CaseCells!E2:E999, D27)</f>
        <v>200</v>
      </c>
      <c r="G27" s="5">
        <f>SUMIFS(CaseCells!F2:F999,CaseCells!C2:C999, C27,CaseCells!E2:E999, D27)</f>
        <v>60</v>
      </c>
      <c r="H27" s="3">
        <f>IF(F27 = 0, "", G27 / F27)</f>
        <v>0.3</v>
      </c>
    </row>
    <row r="28">
      <c r="A28" s="2" t="s">
        <v>845</v>
      </c>
      <c r="B28" s="3" t="str">
        <f>A28</f>
        <v>clemens-bly-1998-A</v>
      </c>
      <c r="C28" s="2" t="s">
        <v>498</v>
      </c>
      <c r="D28" s="2" t="s">
        <v>792</v>
      </c>
      <c r="E28" s="2" t="s">
        <v>846</v>
      </c>
      <c r="F28" s="5">
        <f>SUMIFS(CaseCells!G2:G999,CaseCells!C2:C999, C28,CaseCells!E2:E999, D28)</f>
        <v>140</v>
      </c>
      <c r="G28" s="5">
        <f>SUMIFS(CaseCells!F2:F999,CaseCells!C2:C999, C28,CaseCells!E2:E999, D28)</f>
        <v>40</v>
      </c>
      <c r="H28" s="3">
        <f>IF(F28 = 0, "", G28 / F28)</f>
        <v>0.2857142857142857</v>
      </c>
    </row>
    <row r="29">
      <c r="A29" s="2" t="s">
        <v>847</v>
      </c>
      <c r="B29" s="3" t="str">
        <f>A29</f>
        <v>clemens-bly-1998-B</v>
      </c>
      <c r="C29" s="2" t="s">
        <v>498</v>
      </c>
      <c r="D29" s="2" t="s">
        <v>795</v>
      </c>
      <c r="E29" s="2" t="s">
        <v>848</v>
      </c>
      <c r="F29" s="5">
        <f>SUMIFS(CaseCells!G2:G999,CaseCells!C2:C999, C29,CaseCells!E2:E999, D29)</f>
        <v>155</v>
      </c>
      <c r="G29" s="5">
        <f>SUMIFS(CaseCells!F2:F999,CaseCells!C2:C999, C29,CaseCells!E2:E999, D29)</f>
        <v>46</v>
      </c>
      <c r="H29" s="3">
        <f>IF(F29 = 0, "", G29 / F29)</f>
        <v>0.2967741935483871</v>
      </c>
    </row>
    <row r="30">
      <c r="A30" s="2" t="s">
        <v>849</v>
      </c>
      <c r="B30" s="3" t="str">
        <f>A30</f>
        <v>open-university-1975-A</v>
      </c>
      <c r="C30" s="2" t="s">
        <v>501</v>
      </c>
      <c r="D30" s="2" t="s">
        <v>792</v>
      </c>
      <c r="E30" s="2" t="s">
        <v>850</v>
      </c>
      <c r="F30" s="5">
        <f>SUMIFS(CaseCells!G2:G999,CaseCells!C2:C999, C30,CaseCells!E2:E999, D30)</f>
        <v>1484</v>
      </c>
      <c r="G30" s="5">
        <f>SUMIFS(CaseCells!F2:F999,CaseCells!C2:C999, C30,CaseCells!E2:E999, D30)</f>
        <v>1063</v>
      </c>
      <c r="H30" s="3">
        <f>IF(F30 = 0, "", G30 / F30)</f>
        <v>0.7163072776280324</v>
      </c>
    </row>
    <row r="31">
      <c r="A31" s="2" t="s">
        <v>851</v>
      </c>
      <c r="B31" s="3" t="str">
        <f>A31</f>
        <v>open-university-1975-B</v>
      </c>
      <c r="C31" s="2" t="s">
        <v>501</v>
      </c>
      <c r="D31" s="2" t="s">
        <v>795</v>
      </c>
      <c r="E31" s="2" t="s">
        <v>852</v>
      </c>
      <c r="F31" s="5">
        <f>SUMIFS(CaseCells!G2:G999,CaseCells!C2:C999, C31,CaseCells!E2:E999, D31)</f>
        <v>1039</v>
      </c>
      <c r="G31" s="5">
        <f>SUMIFS(CaseCells!F2:F999,CaseCells!C2:C999, C31,CaseCells!E2:E999, D31)</f>
        <v>737</v>
      </c>
      <c r="H31" s="3">
        <f>IF(F31 = 0, "", G31 / F31)</f>
        <v>0.7093358999037536</v>
      </c>
    </row>
    <row r="32">
      <c r="A32" s="2" t="s">
        <v>853</v>
      </c>
      <c r="B32" s="3" t="str">
        <f>A32</f>
        <v>pisa-immigration-2015-A</v>
      </c>
      <c r="C32" s="2" t="s">
        <v>504</v>
      </c>
      <c r="D32" s="2" t="s">
        <v>792</v>
      </c>
      <c r="E32" s="2" t="s">
        <v>854</v>
      </c>
      <c r="F32" s="5">
        <f>SUMIFS(CaseCells!G2:G999,CaseCells!C2:C999, C32,CaseCells!E2:E999, D32)</f>
        <v>900</v>
      </c>
      <c r="G32" s="5">
        <f>SUMIFS(CaseCells!F2:F999,CaseCells!C2:C999, C32,CaseCells!E2:E999, D32)</f>
        <v>700</v>
      </c>
      <c r="H32" s="3">
        <f>IF(F32 = 0, "", G32 / F32)</f>
        <v>0.7777777777777778</v>
      </c>
    </row>
    <row r="33">
      <c r="A33" s="2" t="s">
        <v>855</v>
      </c>
      <c r="B33" s="3" t="str">
        <f>A33</f>
        <v>pisa-immigration-2015-B</v>
      </c>
      <c r="C33" s="2" t="s">
        <v>504</v>
      </c>
      <c r="D33" s="2" t="s">
        <v>795</v>
      </c>
      <c r="E33" s="2" t="s">
        <v>856</v>
      </c>
      <c r="F33" s="5">
        <f>SUMIFS(CaseCells!G2:G999,CaseCells!C2:C999, C33,CaseCells!E2:E999, D33)</f>
        <v>320</v>
      </c>
      <c r="G33" s="5">
        <f>SUMIFS(CaseCells!F2:F999,CaseCells!C2:C999, C33,CaseCells!E2:E999, D33)</f>
        <v>230</v>
      </c>
      <c r="H33" s="3">
        <f>IF(F33 = 0, "", G33 / F33)</f>
        <v>0.71875</v>
      </c>
    </row>
    <row r="34">
      <c r="A34" s="2" t="s">
        <v>857</v>
      </c>
      <c r="B34" s="3" t="str">
        <f>A34</f>
        <v>wainer-sat-states-1992-A</v>
      </c>
      <c r="C34" s="2" t="s">
        <v>508</v>
      </c>
      <c r="D34" s="2" t="s">
        <v>792</v>
      </c>
      <c r="E34" s="2" t="s">
        <v>858</v>
      </c>
      <c r="F34" s="5">
        <f>SUMIFS(CaseCells!G2:G999,CaseCells!C2:C999, C34,CaseCells!E2:E999, D34)</f>
        <v>900</v>
      </c>
      <c r="G34" s="5">
        <f>SUMIFS(CaseCells!F2:F999,CaseCells!C2:C999, C34,CaseCells!E2:E999, D34)</f>
        <v>520</v>
      </c>
      <c r="H34" s="3">
        <f>IF(F34 = 0, "", G34 / F34)</f>
        <v>0.5777777777777777</v>
      </c>
    </row>
    <row r="35">
      <c r="A35" s="2" t="s">
        <v>859</v>
      </c>
      <c r="B35" s="3" t="str">
        <f>A35</f>
        <v>wainer-sat-states-1992-B</v>
      </c>
      <c r="C35" s="2" t="s">
        <v>508</v>
      </c>
      <c r="D35" s="2" t="s">
        <v>795</v>
      </c>
      <c r="E35" s="2" t="s">
        <v>860</v>
      </c>
      <c r="F35" s="5">
        <f>SUMIFS(CaseCells!G2:G999,CaseCells!C2:C999, C35,CaseCells!E2:E999, D35)</f>
        <v>450</v>
      </c>
      <c r="G35" s="5">
        <f>SUMIFS(CaseCells!F2:F999,CaseCells!C2:C999, C35,CaseCells!E2:E999, D35)</f>
        <v>330</v>
      </c>
      <c r="H35" s="3">
        <f>IF(F35 = 0, "", G35 / F35)</f>
        <v>0.7333333333333333</v>
      </c>
    </row>
    <row r="36">
      <c r="A36" s="2" t="s">
        <v>861</v>
      </c>
      <c r="B36" s="3" t="str">
        <f>A36</f>
        <v>folic-acid-neural-tube-1991-A</v>
      </c>
      <c r="C36" s="2" t="s">
        <v>511</v>
      </c>
      <c r="D36" s="2" t="s">
        <v>792</v>
      </c>
      <c r="E36" s="2" t="s">
        <v>862</v>
      </c>
      <c r="F36" s="5">
        <f>SUMIFS(CaseCells!G2:G999,CaseCells!C2:C999, C36,CaseCells!E2:E999, D36)</f>
        <v>2104</v>
      </c>
      <c r="G36" s="5">
        <f>SUMIFS(CaseCells!F2:F999,CaseCells!C2:C999, C36,CaseCells!E2:E999, D36)</f>
        <v>0</v>
      </c>
      <c r="H36" s="3">
        <f>IF(F36 = 0, "", G36 / F36)</f>
        <v>0</v>
      </c>
    </row>
    <row r="37">
      <c r="A37" s="2" t="s">
        <v>863</v>
      </c>
      <c r="B37" s="3" t="str">
        <f>A37</f>
        <v>folic-acid-neural-tube-1991-B</v>
      </c>
      <c r="C37" s="2" t="s">
        <v>511</v>
      </c>
      <c r="D37" s="2" t="s">
        <v>795</v>
      </c>
      <c r="E37" s="2" t="s">
        <v>864</v>
      </c>
      <c r="F37" s="5">
        <f>SUMIFS(CaseCells!G2:G999,CaseCells!C2:C999, C37,CaseCells!E2:E999, D37)</f>
        <v>2052</v>
      </c>
      <c r="G37" s="5">
        <f>SUMIFS(CaseCells!F2:F999,CaseCells!C2:C999, C37,CaseCells!E2:E999, D37)</f>
        <v>6</v>
      </c>
      <c r="H37" s="3">
        <f>IF(F37 = 0, "", G37 / F37)</f>
        <v>0.0029239766081871343</v>
      </c>
    </row>
    <row r="38">
      <c r="A38" s="2" t="s">
        <v>865</v>
      </c>
      <c r="B38" s="3" t="str">
        <f>A38</f>
        <v>steroid-asthma-severity-A</v>
      </c>
      <c r="C38" s="2" t="s">
        <v>515</v>
      </c>
      <c r="D38" s="2" t="s">
        <v>792</v>
      </c>
      <c r="E38" s="2" t="s">
        <v>866</v>
      </c>
      <c r="F38" s="5">
        <f>SUMIFS(CaseCells!G2:G999,CaseCells!C2:C999, C38,CaseCells!E2:E999, D38)</f>
        <v>320</v>
      </c>
      <c r="G38" s="5">
        <f>SUMIFS(CaseCells!F2:F999,CaseCells!C2:C999, C38,CaseCells!E2:E999, D38)</f>
        <v>240</v>
      </c>
      <c r="H38" s="3">
        <f>IF(F38 = 0, "", G38 / F38)</f>
        <v>0.75</v>
      </c>
    </row>
    <row r="39">
      <c r="A39" s="2" t="s">
        <v>867</v>
      </c>
      <c r="B39" s="3" t="str">
        <f>A39</f>
        <v>steroid-asthma-severity-B</v>
      </c>
      <c r="C39" s="2" t="s">
        <v>515</v>
      </c>
      <c r="D39" s="2" t="s">
        <v>795</v>
      </c>
      <c r="E39" s="2" t="s">
        <v>868</v>
      </c>
      <c r="F39" s="5">
        <f>SUMIFS(CaseCells!G2:G999,CaseCells!C2:C999, C39,CaseCells!E2:E999, D39)</f>
        <v>330</v>
      </c>
      <c r="G39" s="5">
        <f>SUMIFS(CaseCells!F2:F999,CaseCells!C2:C999, C39,CaseCells!E2:E999, D39)</f>
        <v>240</v>
      </c>
      <c r="H39" s="3">
        <f>IF(F39 = 0, "", G39 / F39)</f>
        <v>0.7272727272727273</v>
      </c>
    </row>
    <row r="40">
      <c r="A40" s="2" t="s">
        <v>869</v>
      </c>
      <c r="B40" s="3" t="str">
        <f>A40</f>
        <v>kidney-dialysis-facility-1990-A</v>
      </c>
      <c r="C40" s="2" t="s">
        <v>518</v>
      </c>
      <c r="D40" s="2" t="s">
        <v>792</v>
      </c>
      <c r="E40" s="2" t="s">
        <v>870</v>
      </c>
      <c r="F40" s="5">
        <f>SUMIFS(CaseCells!G2:G999,CaseCells!C2:C999, C40,CaseCells!E2:E999, D40)</f>
        <v>200</v>
      </c>
      <c r="G40" s="5">
        <f>SUMIFS(CaseCells!F2:F999,CaseCells!C2:C999, C40,CaseCells!E2:E999, D40)</f>
        <v>177</v>
      </c>
      <c r="H40" s="3">
        <f>IF(F40 = 0, "", G40 / F40)</f>
        <v>0.885</v>
      </c>
    </row>
    <row r="41">
      <c r="A41" s="2" t="s">
        <v>871</v>
      </c>
      <c r="B41" s="3" t="str">
        <f>A41</f>
        <v>kidney-dialysis-facility-1990-B</v>
      </c>
      <c r="C41" s="2" t="s">
        <v>518</v>
      </c>
      <c r="D41" s="2" t="s">
        <v>795</v>
      </c>
      <c r="E41" s="2" t="s">
        <v>872</v>
      </c>
      <c r="F41" s="5">
        <f>SUMIFS(CaseCells!G2:G999,CaseCells!C2:C999, C41,CaseCells!E2:E999, D41)</f>
        <v>200</v>
      </c>
      <c r="G41" s="5">
        <f>SUMIFS(CaseCells!F2:F999,CaseCells!C2:C999, C41,CaseCells!E2:E999, D41)</f>
        <v>158</v>
      </c>
      <c r="H41" s="3">
        <f>IF(F41 = 0, "", G41 / F41)</f>
        <v>0.79</v>
      </c>
    </row>
    <row r="42">
      <c r="A42" s="2" t="s">
        <v>873</v>
      </c>
      <c r="B42" s="3" t="str">
        <f>A42</f>
        <v>warfarin-bleeding-age-A</v>
      </c>
      <c r="C42" s="2" t="s">
        <v>521</v>
      </c>
      <c r="D42" s="2" t="s">
        <v>792</v>
      </c>
      <c r="E42" s="2" t="s">
        <v>874</v>
      </c>
      <c r="F42" s="5">
        <f>SUMIFS(CaseCells!G2:G999,CaseCells!C2:C999, C42,CaseCells!E2:E999, D42)</f>
        <v>800</v>
      </c>
      <c r="G42" s="5">
        <f>SUMIFS(CaseCells!F2:F999,CaseCells!C2:C999, C42,CaseCells!E2:E999, D42)</f>
        <v>70</v>
      </c>
      <c r="H42" s="3">
        <f>IF(F42 = 0, "", G42 / F42)</f>
        <v>0.0875</v>
      </c>
    </row>
    <row r="43">
      <c r="A43" s="2" t="s">
        <v>875</v>
      </c>
      <c r="B43" s="3" t="str">
        <f>A43</f>
        <v>warfarin-bleeding-age-B</v>
      </c>
      <c r="C43" s="2" t="s">
        <v>521</v>
      </c>
      <c r="D43" s="2" t="s">
        <v>795</v>
      </c>
      <c r="E43" s="2" t="s">
        <v>876</v>
      </c>
      <c r="F43" s="5">
        <f>SUMIFS(CaseCells!G2:G999,CaseCells!C2:C999, C43,CaseCells!E2:E999, D43)</f>
        <v>600</v>
      </c>
      <c r="G43" s="5">
        <f>SUMIFS(CaseCells!F2:F999,CaseCells!C2:C999, C43,CaseCells!E2:E999, D43)</f>
        <v>35</v>
      </c>
      <c r="H43" s="3">
        <f>IF(F43 = 0, "", G43 / F43)</f>
        <v>0.058333333333333334</v>
      </c>
    </row>
    <row r="44">
      <c r="A44" s="2" t="s">
        <v>877</v>
      </c>
      <c r="B44" s="3" t="str">
        <f>A44</f>
        <v>diabetes-metformin-bmi-A</v>
      </c>
      <c r="C44" s="2" t="s">
        <v>524</v>
      </c>
      <c r="D44" s="2" t="s">
        <v>792</v>
      </c>
      <c r="E44" s="2" t="s">
        <v>878</v>
      </c>
      <c r="F44" s="5">
        <f>SUMIFS(CaseCells!G2:G999,CaseCells!C2:C999, C44,CaseCells!E2:E999, D44)</f>
        <v>450</v>
      </c>
      <c r="G44" s="5">
        <f>SUMIFS(CaseCells!F2:F999,CaseCells!C2:C999, C44,CaseCells!E2:E999, D44)</f>
        <v>300</v>
      </c>
      <c r="H44" s="3">
        <f>IF(F44 = 0, "", G44 / F44)</f>
        <v>0.6666666666666666</v>
      </c>
    </row>
    <row r="45">
      <c r="A45" s="2" t="s">
        <v>879</v>
      </c>
      <c r="B45" s="3" t="str">
        <f>A45</f>
        <v>diabetes-metformin-bmi-B</v>
      </c>
      <c r="C45" s="2" t="s">
        <v>524</v>
      </c>
      <c r="D45" s="2" t="s">
        <v>795</v>
      </c>
      <c r="E45" s="2" t="s">
        <v>880</v>
      </c>
      <c r="F45" s="5">
        <f>SUMIFS(CaseCells!G2:G999,CaseCells!C2:C999, C45,CaseCells!E2:E999, D45)</f>
        <v>450</v>
      </c>
      <c r="G45" s="5">
        <f>SUMIFS(CaseCells!F2:F999,CaseCells!C2:C999, C45,CaseCells!E2:E999, D45)</f>
        <v>270</v>
      </c>
      <c r="H45" s="3">
        <f>IF(F45 = 0, "", G45 / F45)</f>
        <v>0.6</v>
      </c>
    </row>
    <row r="46">
      <c r="A46" s="2" t="s">
        <v>881</v>
      </c>
      <c r="B46" s="3" t="str">
        <f>A46</f>
        <v>oncology-trial-stage-A</v>
      </c>
      <c r="C46" s="2" t="s">
        <v>527</v>
      </c>
      <c r="D46" s="2" t="s">
        <v>792</v>
      </c>
      <c r="E46" s="2" t="s">
        <v>882</v>
      </c>
      <c r="F46" s="5">
        <f>SUMIFS(CaseCells!G2:G999,CaseCells!C2:C999, C46,CaseCells!E2:E999, D46)</f>
        <v>300</v>
      </c>
      <c r="G46" s="5">
        <f>SUMIFS(CaseCells!F2:F999,CaseCells!C2:C999, C46,CaseCells!E2:E999, D46)</f>
        <v>190</v>
      </c>
      <c r="H46" s="3">
        <f>IF(F46 = 0, "", G46 / F46)</f>
        <v>0.6333333333333333</v>
      </c>
    </row>
    <row r="47">
      <c r="A47" s="2" t="s">
        <v>883</v>
      </c>
      <c r="B47" s="3" t="str">
        <f>A47</f>
        <v>oncology-trial-stage-B</v>
      </c>
      <c r="C47" s="2" t="s">
        <v>527</v>
      </c>
      <c r="D47" s="2" t="s">
        <v>795</v>
      </c>
      <c r="E47" s="2" t="s">
        <v>884</v>
      </c>
      <c r="F47" s="5">
        <f>SUMIFS(CaseCells!G2:G999,CaseCells!C2:C999, C47,CaseCells!E2:E999, D47)</f>
        <v>300</v>
      </c>
      <c r="G47" s="5">
        <f>SUMIFS(CaseCells!F2:F999,CaseCells!C2:C999, C47,CaseCells!E2:E999, D47)</f>
        <v>190</v>
      </c>
      <c r="H47" s="3">
        <f>IF(F47 = 0, "", G47 / F47)</f>
        <v>0.6333333333333333</v>
      </c>
    </row>
    <row r="48">
      <c r="A48" s="2" t="s">
        <v>885</v>
      </c>
      <c r="B48" s="3" t="str">
        <f>A48</f>
        <v>exercise-cholesterol-age-A</v>
      </c>
      <c r="C48" s="2" t="s">
        <v>530</v>
      </c>
      <c r="D48" s="2" t="s">
        <v>792</v>
      </c>
      <c r="E48" s="2" t="s">
        <v>886</v>
      </c>
      <c r="F48" s="5">
        <f>SUMIFS(CaseCells!G2:G999,CaseCells!C2:C999, C48,CaseCells!E2:E999, D48)</f>
        <v>500</v>
      </c>
      <c r="G48" s="5">
        <f>SUMIFS(CaseCells!F2:F999,CaseCells!C2:C999, C48,CaseCells!E2:E999, D48)</f>
        <v>280</v>
      </c>
      <c r="H48" s="3">
        <f>IF(F48 = 0, "", G48 / F48)</f>
        <v>0.56</v>
      </c>
    </row>
    <row r="49">
      <c r="A49" s="2" t="s">
        <v>887</v>
      </c>
      <c r="B49" s="3" t="str">
        <f>A49</f>
        <v>exercise-cholesterol-age-B</v>
      </c>
      <c r="C49" s="2" t="s">
        <v>530</v>
      </c>
      <c r="D49" s="2" t="s">
        <v>795</v>
      </c>
      <c r="E49" s="2" t="s">
        <v>888</v>
      </c>
      <c r="F49" s="5">
        <f>SUMIFS(CaseCells!G2:G999,CaseCells!C2:C999, C49,CaseCells!E2:E999, D49)</f>
        <v>550</v>
      </c>
      <c r="G49" s="5">
        <f>SUMIFS(CaseCells!F2:F999,CaseCells!C2:C999, C49,CaseCells!E2:E999, D49)</f>
        <v>220</v>
      </c>
      <c r="H49" s="3">
        <f>IF(F49 = 0, "", G49 / F49)</f>
        <v>0.4</v>
      </c>
    </row>
    <row r="50">
      <c r="A50" s="2" t="s">
        <v>889</v>
      </c>
      <c r="B50" s="3" t="str">
        <f>A50</f>
        <v>red-meat-colorectal-bmi-A</v>
      </c>
      <c r="C50" s="2" t="s">
        <v>533</v>
      </c>
      <c r="D50" s="2" t="s">
        <v>792</v>
      </c>
      <c r="E50" s="2" t="s">
        <v>890</v>
      </c>
      <c r="F50" s="5">
        <f>SUMIFS(CaseCells!G2:G999,CaseCells!C2:C999, C50,CaseCells!E2:E999, D50)</f>
        <v>900</v>
      </c>
      <c r="G50" s="5">
        <f>SUMIFS(CaseCells!F2:F999,CaseCells!C2:C999, C50,CaseCells!E2:E999, D50)</f>
        <v>75</v>
      </c>
      <c r="H50" s="3">
        <f>IF(F50 = 0, "", G50 / F50)</f>
        <v>0.08333333333333333</v>
      </c>
    </row>
    <row r="51">
      <c r="A51" s="2" t="s">
        <v>891</v>
      </c>
      <c r="B51" s="3" t="str">
        <f>A51</f>
        <v>red-meat-colorectal-bmi-B</v>
      </c>
      <c r="C51" s="2" t="s">
        <v>533</v>
      </c>
      <c r="D51" s="2" t="s">
        <v>795</v>
      </c>
      <c r="E51" s="2" t="s">
        <v>892</v>
      </c>
      <c r="F51" s="5">
        <f>SUMIFS(CaseCells!G2:G999,CaseCells!C2:C999, C51,CaseCells!E2:E999, D51)</f>
        <v>950</v>
      </c>
      <c r="G51" s="5">
        <f>SUMIFS(CaseCells!F2:F999,CaseCells!C2:C999, C51,CaseCells!E2:E999, D51)</f>
        <v>60</v>
      </c>
      <c r="H51" s="3">
        <f>IF(F51 = 0, "", G51 / F51)</f>
        <v>0.06315789473684211</v>
      </c>
    </row>
    <row r="52">
      <c r="A52" s="2" t="s">
        <v>893</v>
      </c>
      <c r="B52" s="3" t="str">
        <f>A52</f>
        <v>folic-fortification-2000-A</v>
      </c>
      <c r="C52" s="2" t="s">
        <v>536</v>
      </c>
      <c r="D52" s="2" t="s">
        <v>792</v>
      </c>
      <c r="E52" s="2" t="s">
        <v>894</v>
      </c>
      <c r="F52" s="5">
        <f>SUMIFS(CaseCells!G2:G999,CaseCells!C2:C999, C52,CaseCells!E2:E999, D52)</f>
        <v>3000</v>
      </c>
      <c r="G52" s="5">
        <f>SUMIFS(CaseCells!F2:F999,CaseCells!C2:C999, C52,CaseCells!E2:E999, D52)</f>
        <v>2915</v>
      </c>
      <c r="H52" s="3">
        <f>IF(F52 = 0, "", G52 / F52)</f>
        <v>0.9716666666666667</v>
      </c>
    </row>
    <row r="53">
      <c r="A53" s="2" t="s">
        <v>895</v>
      </c>
      <c r="B53" s="3" t="str">
        <f>A53</f>
        <v>folic-fortification-2000-B</v>
      </c>
      <c r="C53" s="2" t="s">
        <v>536</v>
      </c>
      <c r="D53" s="2" t="s">
        <v>795</v>
      </c>
      <c r="E53" s="2" t="s">
        <v>896</v>
      </c>
      <c r="F53" s="5">
        <f>SUMIFS(CaseCells!G2:G999,CaseCells!C2:C999, C53,CaseCells!E2:E999, D53)</f>
        <v>3000</v>
      </c>
      <c r="G53" s="5">
        <f>SUMIFS(CaseCells!F2:F999,CaseCells!C2:C999, C53,CaseCells!E2:E999, D53)</f>
        <v>2850</v>
      </c>
      <c r="H53" s="3">
        <f>IF(F53 = 0, "", G53 / F53)</f>
        <v>0.95</v>
      </c>
    </row>
    <row r="54">
      <c r="A54" s="2" t="s">
        <v>897</v>
      </c>
      <c r="B54" s="3" t="str">
        <f>A54</f>
        <v>north-carolina-death-penalty-1990-A</v>
      </c>
      <c r="C54" s="2" t="s">
        <v>539</v>
      </c>
      <c r="D54" s="2" t="s">
        <v>792</v>
      </c>
      <c r="E54" s="2" t="s">
        <v>898</v>
      </c>
      <c r="F54" s="5">
        <f>SUMIFS(CaseCells!G2:G999,CaseCells!C2:C999, C54,CaseCells!E2:E999, D54)</f>
        <v>135</v>
      </c>
      <c r="G54" s="5">
        <f>SUMIFS(CaseCells!F2:F999,CaseCells!C2:C999, C54,CaseCells!E2:E999, D54)</f>
        <v>15</v>
      </c>
      <c r="H54" s="3">
        <f>IF(F54 = 0, "", G54 / F54)</f>
        <v>0.1111111111111111</v>
      </c>
    </row>
    <row r="55">
      <c r="A55" s="2" t="s">
        <v>899</v>
      </c>
      <c r="B55" s="3" t="str">
        <f>A55</f>
        <v>north-carolina-death-penalty-1990-B</v>
      </c>
      <c r="C55" s="2" t="s">
        <v>539</v>
      </c>
      <c r="D55" s="2" t="s">
        <v>795</v>
      </c>
      <c r="E55" s="2" t="s">
        <v>900</v>
      </c>
      <c r="F55" s="5">
        <f>SUMIFS(CaseCells!G2:G999,CaseCells!C2:C999, C55,CaseCells!E2:E999, D55)</f>
        <v>145</v>
      </c>
      <c r="G55" s="5">
        <f>SUMIFS(CaseCells!F2:F999,CaseCells!C2:C999, C55,CaseCells!E2:E999, D55)</f>
        <v>13</v>
      </c>
      <c r="H55" s="3">
        <f>IF(F55 = 0, "", G55 / F55)</f>
        <v>0.0896551724137931</v>
      </c>
    </row>
    <row r="56">
      <c r="A56" s="2" t="s">
        <v>901</v>
      </c>
      <c r="B56" s="3" t="str">
        <f>A56</f>
        <v>housing-discrimination-audit-A</v>
      </c>
      <c r="C56" s="2" t="s">
        <v>542</v>
      </c>
      <c r="D56" s="2" t="s">
        <v>792</v>
      </c>
      <c r="E56" s="2" t="s">
        <v>902</v>
      </c>
      <c r="F56" s="5">
        <f>SUMIFS(CaseCells!G2:G999,CaseCells!C2:C999, C56,CaseCells!E2:E999, D56)</f>
        <v>500</v>
      </c>
      <c r="G56" s="5">
        <f>SUMIFS(CaseCells!F2:F999,CaseCells!C2:C999, C56,CaseCells!E2:E999, D56)</f>
        <v>300</v>
      </c>
      <c r="H56" s="3">
        <f>IF(F56 = 0, "", G56 / F56)</f>
        <v>0.6</v>
      </c>
    </row>
    <row r="57">
      <c r="A57" s="2" t="s">
        <v>903</v>
      </c>
      <c r="B57" s="3" t="str">
        <f>A57</f>
        <v>housing-discrimination-audit-B</v>
      </c>
      <c r="C57" s="2" t="s">
        <v>542</v>
      </c>
      <c r="D57" s="2" t="s">
        <v>795</v>
      </c>
      <c r="E57" s="2" t="s">
        <v>904</v>
      </c>
      <c r="F57" s="5">
        <f>SUMIFS(CaseCells!G2:G999,CaseCells!C2:C999, C57,CaseCells!E2:E999, D57)</f>
        <v>500</v>
      </c>
      <c r="G57" s="5">
        <f>SUMIFS(CaseCells!F2:F999,CaseCells!C2:C999, C57,CaseCells!E2:E999, D57)</f>
        <v>360</v>
      </c>
      <c r="H57" s="3">
        <f>IF(F57 = 0, "", G57 / F57)</f>
        <v>0.72</v>
      </c>
    </row>
    <row r="58">
      <c r="A58" s="2" t="s">
        <v>905</v>
      </c>
      <c r="B58" s="3" t="str">
        <f>A58</f>
        <v>gender-pay-gap-industry-A</v>
      </c>
      <c r="C58" s="2" t="s">
        <v>547</v>
      </c>
      <c r="D58" s="2" t="s">
        <v>792</v>
      </c>
      <c r="E58" s="2" t="s">
        <v>906</v>
      </c>
      <c r="F58" s="5">
        <f>SUMIFS(CaseCells!G2:G999,CaseCells!C2:C999, C58,CaseCells!E2:E999, D58)</f>
        <v>1400</v>
      </c>
      <c r="G58" s="5">
        <f>SUMIFS(CaseCells!F2:F999,CaseCells!C2:C999, C58,CaseCells!E2:E999, D58)</f>
        <v>770</v>
      </c>
      <c r="H58" s="3">
        <f>IF(F58 = 0, "", G58 / F58)</f>
        <v>0.55</v>
      </c>
    </row>
    <row r="59">
      <c r="A59" s="2" t="s">
        <v>907</v>
      </c>
      <c r="B59" s="3" t="str">
        <f>A59</f>
        <v>gender-pay-gap-industry-B</v>
      </c>
      <c r="C59" s="2" t="s">
        <v>547</v>
      </c>
      <c r="D59" s="2" t="s">
        <v>795</v>
      </c>
      <c r="E59" s="2" t="s">
        <v>908</v>
      </c>
      <c r="F59" s="5">
        <f>SUMIFS(CaseCells!G2:G999,CaseCells!C2:C999, C59,CaseCells!E2:E999, D59)</f>
        <v>1400</v>
      </c>
      <c r="G59" s="5">
        <f>SUMIFS(CaseCells!F2:F999,CaseCells!C2:C999, C59,CaseCells!E2:E999, D59)</f>
        <v>910</v>
      </c>
      <c r="H59" s="3">
        <f>IF(F59 = 0, "", G59 / F59)</f>
        <v>0.65</v>
      </c>
    </row>
    <row r="60">
      <c r="A60" s="2" t="s">
        <v>909</v>
      </c>
      <c r="B60" s="3" t="str">
        <f>A60</f>
        <v>income-education-state-A</v>
      </c>
      <c r="C60" s="2" t="s">
        <v>551</v>
      </c>
      <c r="D60" s="2" t="s">
        <v>792</v>
      </c>
      <c r="E60" s="2" t="s">
        <v>910</v>
      </c>
      <c r="F60" s="5">
        <f>SUMIFS(CaseCells!G2:G999,CaseCells!C2:C999, C60,CaseCells!E2:E999, D60)</f>
        <v>1900</v>
      </c>
      <c r="G60" s="5">
        <f>SUMIFS(CaseCells!F2:F999,CaseCells!C2:C999, C60,CaseCells!E2:E999, D60)</f>
        <v>1300</v>
      </c>
      <c r="H60" s="3">
        <f>IF(F60 = 0, "", G60 / F60)</f>
        <v>0.6842105263157895</v>
      </c>
    </row>
    <row r="61">
      <c r="A61" s="2" t="s">
        <v>911</v>
      </c>
      <c r="B61" s="3" t="str">
        <f>A61</f>
        <v>income-education-state-B</v>
      </c>
      <c r="C61" s="2" t="s">
        <v>551</v>
      </c>
      <c r="D61" s="2" t="s">
        <v>795</v>
      </c>
      <c r="E61" s="2" t="s">
        <v>912</v>
      </c>
      <c r="F61" s="5">
        <f>SUMIFS(CaseCells!G2:G999,CaseCells!C2:C999, C61,CaseCells!E2:E999, D61)</f>
        <v>1700</v>
      </c>
      <c r="G61" s="5">
        <f>SUMIFS(CaseCells!F2:F999,CaseCells!C2:C999, C61,CaseCells!E2:E999, D61)</f>
        <v>850</v>
      </c>
      <c r="H61" s="3">
        <f>IF(F61 = 0, "", G61 / F61)</f>
        <v>0.5</v>
      </c>
    </row>
    <row r="62">
      <c r="A62" s="2" t="s">
        <v>913</v>
      </c>
      <c r="B62" s="3" t="str">
        <f>A62</f>
        <v>florida-reef-fish-1994-A</v>
      </c>
      <c r="C62" s="2" t="s">
        <v>555</v>
      </c>
      <c r="D62" s="2" t="s">
        <v>792</v>
      </c>
      <c r="E62" s="2" t="s">
        <v>914</v>
      </c>
      <c r="F62" s="5">
        <f>SUMIFS(CaseCells!G2:G999,CaseCells!C2:C999, C62,CaseCells!E2:E999, D62)</f>
        <v>800</v>
      </c>
      <c r="G62" s="5">
        <f>SUMIFS(CaseCells!F2:F999,CaseCells!C2:C999, C62,CaseCells!E2:E999, D62)</f>
        <v>570</v>
      </c>
      <c r="H62" s="3">
        <f>IF(F62 = 0, "", G62 / F62)</f>
        <v>0.7125</v>
      </c>
    </row>
    <row r="63">
      <c r="A63" s="2" t="s">
        <v>915</v>
      </c>
      <c r="B63" s="3" t="str">
        <f>A63</f>
        <v>florida-reef-fish-1994-B</v>
      </c>
      <c r="C63" s="2" t="s">
        <v>555</v>
      </c>
      <c r="D63" s="2" t="s">
        <v>795</v>
      </c>
      <c r="E63" s="2" t="s">
        <v>916</v>
      </c>
      <c r="F63" s="5">
        <f>SUMIFS(CaseCells!G2:G999,CaseCells!C2:C999, C63,CaseCells!E2:E999, D63)</f>
        <v>800</v>
      </c>
      <c r="G63" s="5">
        <f>SUMIFS(CaseCells!F2:F999,CaseCells!C2:C999, C63,CaseCells!E2:E999, D63)</f>
        <v>530</v>
      </c>
      <c r="H63" s="3">
        <f>IF(F63 = 0, "", G63 / F63)</f>
        <v>0.6625</v>
      </c>
    </row>
    <row r="64">
      <c r="A64" s="2" t="s">
        <v>917</v>
      </c>
      <c r="B64" s="3" t="str">
        <f>A64</f>
        <v>uc-irvine-admissions-1985-A</v>
      </c>
      <c r="C64" s="2" t="s">
        <v>558</v>
      </c>
      <c r="D64" s="2" t="s">
        <v>792</v>
      </c>
      <c r="E64" s="2" t="s">
        <v>918</v>
      </c>
      <c r="F64" s="5">
        <f>SUMIFS(CaseCells!G2:G999,CaseCells!C2:C999, C64,CaseCells!E2:E999, D64)</f>
        <v>1150</v>
      </c>
      <c r="G64" s="5">
        <f>SUMIFS(CaseCells!F2:F999,CaseCells!C2:C999, C64,CaseCells!E2:E999, D64)</f>
        <v>390</v>
      </c>
      <c r="H64" s="3">
        <f>IF(F64 = 0, "", G64 / F64)</f>
        <v>0.3391304347826087</v>
      </c>
    </row>
    <row r="65">
      <c r="A65" s="2" t="s">
        <v>919</v>
      </c>
      <c r="B65" s="3" t="str">
        <f>A65</f>
        <v>uc-irvine-admissions-1985-B</v>
      </c>
      <c r="C65" s="2" t="s">
        <v>558</v>
      </c>
      <c r="D65" s="2" t="s">
        <v>795</v>
      </c>
      <c r="E65" s="2" t="s">
        <v>920</v>
      </c>
      <c r="F65" s="5">
        <f>SUMIFS(CaseCells!G2:G999,CaseCells!C2:C999, C65,CaseCells!E2:E999, D65)</f>
        <v>1030</v>
      </c>
      <c r="G65" s="5">
        <f>SUMIFS(CaseCells!F2:F999,CaseCells!C2:C999, C65,CaseCells!E2:E999, D65)</f>
        <v>440</v>
      </c>
      <c r="H65" s="3">
        <f>IF(F65 = 0, "", G65 / F65)</f>
        <v>0.42718446601941745</v>
      </c>
    </row>
    <row r="66">
      <c r="A66" s="2" t="s">
        <v>921</v>
      </c>
      <c r="B66" s="3" t="str">
        <f>A66</f>
        <v>cesarean-birth-weight-2006-A</v>
      </c>
      <c r="C66" s="2" t="s">
        <v>561</v>
      </c>
      <c r="D66" s="2" t="s">
        <v>792</v>
      </c>
      <c r="E66" s="2" t="s">
        <v>922</v>
      </c>
      <c r="F66" s="5">
        <f>SUMIFS(CaseCells!G2:G999,CaseCells!C2:C999, C66,CaseCells!E2:E999, D66)</f>
        <v>5800</v>
      </c>
      <c r="G66" s="5">
        <f>SUMIFS(CaseCells!F2:F999,CaseCells!C2:C999, C66,CaseCells!E2:E999, D66)</f>
        <v>1600</v>
      </c>
      <c r="H66" s="3">
        <f>IF(F66 = 0, "", G66 / F66)</f>
        <v>0.27586206896551724</v>
      </c>
    </row>
    <row r="67">
      <c r="A67" s="2" t="s">
        <v>923</v>
      </c>
      <c r="B67" s="3" t="str">
        <f>A67</f>
        <v>cesarean-birth-weight-2006-B</v>
      </c>
      <c r="C67" s="2" t="s">
        <v>561</v>
      </c>
      <c r="D67" s="2" t="s">
        <v>795</v>
      </c>
      <c r="E67" s="2" t="s">
        <v>924</v>
      </c>
      <c r="F67" s="5">
        <f>SUMIFS(CaseCells!G2:G999,CaseCells!C2:C999, C67,CaseCells!E2:E999, D67)</f>
        <v>2600</v>
      </c>
      <c r="G67" s="5">
        <f>SUMIFS(CaseCells!F2:F999,CaseCells!C2:C999, C67,CaseCells!E2:E999, D67)</f>
        <v>1150</v>
      </c>
      <c r="H67" s="3">
        <f>IF(F67 = 0, "", G67 / F67)</f>
        <v>0.4423076923076923</v>
      </c>
    </row>
    <row r="68">
      <c r="A68" s="2" t="s">
        <v>925</v>
      </c>
      <c r="B68" s="3" t="str">
        <f>A68</f>
        <v>schizophrenia-antipsychotic-A</v>
      </c>
      <c r="C68" s="2" t="s">
        <v>565</v>
      </c>
      <c r="D68" s="2" t="s">
        <v>792</v>
      </c>
      <c r="E68" s="2" t="s">
        <v>926</v>
      </c>
      <c r="F68" s="5">
        <f>SUMIFS(CaseCells!G2:G999,CaseCells!C2:C999, C68,CaseCells!E2:E999, D68)</f>
        <v>270</v>
      </c>
      <c r="G68" s="5">
        <f>SUMIFS(CaseCells!F2:F999,CaseCells!C2:C999, C68,CaseCells!E2:E999, D68)</f>
        <v>130</v>
      </c>
      <c r="H68" s="3">
        <f>IF(F68 = 0, "", G68 / F68)</f>
        <v>0.48148148148148145</v>
      </c>
    </row>
    <row r="69">
      <c r="A69" s="2" t="s">
        <v>927</v>
      </c>
      <c r="B69" s="3" t="str">
        <f>A69</f>
        <v>schizophrenia-antipsychotic-B</v>
      </c>
      <c r="C69" s="2" t="s">
        <v>565</v>
      </c>
      <c r="D69" s="2" t="s">
        <v>795</v>
      </c>
      <c r="E69" s="2" t="s">
        <v>928</v>
      </c>
      <c r="F69" s="5">
        <f>SUMIFS(CaseCells!G2:G999,CaseCells!C2:C999, C69,CaseCells!E2:E999, D69)</f>
        <v>270</v>
      </c>
      <c r="G69" s="5">
        <f>SUMIFS(CaseCells!F2:F999,CaseCells!C2:C999, C69,CaseCells!E2:E999, D69)</f>
        <v>135</v>
      </c>
      <c r="H69" s="3">
        <f>IF(F69 = 0, "", G69 / F69)</f>
        <v>0.5</v>
      </c>
    </row>
    <row r="70">
      <c r="A70" s="2" t="s">
        <v>929</v>
      </c>
      <c r="B70" s="3" t="str">
        <f>A70</f>
        <v>berkeley-six-dept-1973-A</v>
      </c>
      <c r="C70" s="2" t="s">
        <v>568</v>
      </c>
      <c r="D70" s="2" t="s">
        <v>792</v>
      </c>
      <c r="E70" s="2" t="s">
        <v>918</v>
      </c>
      <c r="F70" s="5">
        <f>SUMIFS(CaseCells!G2:G999,CaseCells!C2:C999, C70,CaseCells!E2:E999, D70)</f>
        <v>2691</v>
      </c>
      <c r="G70" s="5">
        <f>SUMIFS(CaseCells!F2:F999,CaseCells!C2:C999, C70,CaseCells!E2:E999, D70)</f>
        <v>1198</v>
      </c>
      <c r="H70" s="3">
        <f>IF(F70 = 0, "", G70 / F70)</f>
        <v>0.4451876625789669</v>
      </c>
    </row>
    <row r="71">
      <c r="A71" s="2" t="s">
        <v>930</v>
      </c>
      <c r="B71" s="3" t="str">
        <f>A71</f>
        <v>berkeley-six-dept-1973-B</v>
      </c>
      <c r="C71" s="2" t="s">
        <v>568</v>
      </c>
      <c r="D71" s="2" t="s">
        <v>795</v>
      </c>
      <c r="E71" s="2" t="s">
        <v>920</v>
      </c>
      <c r="F71" s="5">
        <f>SUMIFS(CaseCells!G2:G999,CaseCells!C2:C999, C71,CaseCells!E2:E999, D71)</f>
        <v>1835</v>
      </c>
      <c r="G71" s="5">
        <f>SUMIFS(CaseCells!F2:F999,CaseCells!C2:C999, C71,CaseCells!E2:E999, D71)</f>
        <v>557</v>
      </c>
      <c r="H71" s="3">
        <f>IF(F71 = 0, "", G71 / F71)</f>
        <v>0.30354223433242505</v>
      </c>
    </row>
    <row r="72">
      <c r="A72" s="2" t="s">
        <v>931</v>
      </c>
      <c r="B72" s="3" t="str">
        <f>A72</f>
        <v>rosiglitazone-mi-pool-2007-A</v>
      </c>
      <c r="C72" s="2" t="s">
        <v>572</v>
      </c>
      <c r="D72" s="2" t="s">
        <v>792</v>
      </c>
      <c r="E72" s="2" t="s">
        <v>932</v>
      </c>
      <c r="F72" s="5">
        <f>SUMIFS(CaseCells!G2:G999,CaseCells!C2:C999, C72,CaseCells!E2:E999, D72)</f>
        <v>15565</v>
      </c>
      <c r="G72" s="5">
        <f>SUMIFS(CaseCells!F2:F999,CaseCells!C2:C999, C72,CaseCells!E2:E999, D72)</f>
        <v>86</v>
      </c>
      <c r="H72" s="3">
        <f>IF(F72 = 0, "", G72 / F72)</f>
        <v>0.0055252168326373275</v>
      </c>
    </row>
    <row r="73">
      <c r="A73" s="2" t="s">
        <v>933</v>
      </c>
      <c r="B73" s="3" t="str">
        <f>A73</f>
        <v>rosiglitazone-mi-pool-2007-B</v>
      </c>
      <c r="C73" s="2" t="s">
        <v>572</v>
      </c>
      <c r="D73" s="2" t="s">
        <v>795</v>
      </c>
      <c r="E73" s="2" t="s">
        <v>934</v>
      </c>
      <c r="F73" s="5">
        <f>SUMIFS(CaseCells!G2:G999,CaseCells!C2:C999, C73,CaseCells!E2:E999, D73)</f>
        <v>12282</v>
      </c>
      <c r="G73" s="5">
        <f>SUMIFS(CaseCells!F2:F999,CaseCells!C2:C999, C73,CaseCells!E2:E999, D73)</f>
        <v>72</v>
      </c>
      <c r="H73" s="3">
        <f>IF(F73 = 0, "", G73 / F73)</f>
        <v>0.005862237420615535</v>
      </c>
    </row>
    <row r="74">
      <c r="A74" s="2" t="s">
        <v>935</v>
      </c>
      <c r="B74" s="3" t="str">
        <f>A74</f>
        <v>ironman-gender-age-2010-A</v>
      </c>
      <c r="C74" s="2" t="s">
        <v>576</v>
      </c>
      <c r="D74" s="2" t="s">
        <v>792</v>
      </c>
      <c r="E74" s="2" t="s">
        <v>936</v>
      </c>
      <c r="F74" s="5">
        <f>SUMIFS(CaseCells!G2:G999,CaseCells!C2:C999, C74,CaseCells!E2:E999, D74)</f>
        <v>110</v>
      </c>
      <c r="G74" s="5">
        <f>SUMIFS(CaseCells!F2:F999,CaseCells!C2:C999, C74,CaseCells!E2:E999, D74)</f>
        <v>85</v>
      </c>
      <c r="H74" s="3">
        <f>IF(F74 = 0, "", G74 / F74)</f>
        <v>0.7727272727272727</v>
      </c>
    </row>
    <row r="75">
      <c r="A75" s="2" t="s">
        <v>937</v>
      </c>
      <c r="B75" s="3" t="str">
        <f>A75</f>
        <v>ironman-gender-age-2010-B</v>
      </c>
      <c r="C75" s="2" t="s">
        <v>576</v>
      </c>
      <c r="D75" s="2" t="s">
        <v>795</v>
      </c>
      <c r="E75" s="2" t="s">
        <v>938</v>
      </c>
      <c r="F75" s="5">
        <f>SUMIFS(CaseCells!G2:G999,CaseCells!C2:C999, C75,CaseCells!E2:E999, D75)</f>
        <v>110</v>
      </c>
      <c r="G75" s="5">
        <f>SUMIFS(CaseCells!F2:F999,CaseCells!C2:C999, C75,CaseCells!E2:E999, D75)</f>
        <v>69</v>
      </c>
      <c r="H75" s="3">
        <f>IF(F75 = 0, "", G75 / F75)</f>
        <v>0.6272727272727273</v>
      </c>
    </row>
    <row r="76">
      <c r="A76" s="2" t="s">
        <v>939</v>
      </c>
      <c r="B76" s="3" t="str">
        <f>A76</f>
        <v>hanley-power-lines-2000-A</v>
      </c>
      <c r="C76" s="2" t="s">
        <v>579</v>
      </c>
      <c r="D76" s="2" t="s">
        <v>792</v>
      </c>
      <c r="E76" s="2" t="s">
        <v>940</v>
      </c>
      <c r="F76" s="5">
        <f>SUMIFS(CaseCells!G2:G999,CaseCells!C2:C999, C76,CaseCells!E2:E999, D76)</f>
        <v>255</v>
      </c>
      <c r="G76" s="5">
        <f>SUMIFS(CaseCells!F2:F999,CaseCells!C2:C999, C76,CaseCells!E2:E999, D76)</f>
        <v>42</v>
      </c>
      <c r="H76" s="3">
        <f>IF(F76 = 0, "", G76 / F76)</f>
        <v>0.16470588235294117</v>
      </c>
    </row>
    <row r="77">
      <c r="A77" s="2" t="s">
        <v>941</v>
      </c>
      <c r="B77" s="3" t="str">
        <f>A77</f>
        <v>hanley-power-lines-2000-B</v>
      </c>
      <c r="C77" s="2" t="s">
        <v>579</v>
      </c>
      <c r="D77" s="2" t="s">
        <v>795</v>
      </c>
      <c r="E77" s="2" t="s">
        <v>942</v>
      </c>
      <c r="F77" s="5">
        <f>SUMIFS(CaseCells!G2:G999,CaseCells!C2:C999, C77,CaseCells!E2:E999, D77)</f>
        <v>1260</v>
      </c>
      <c r="G77" s="5">
        <f>SUMIFS(CaseCells!F2:F999,CaseCells!C2:C999, C77,CaseCells!E2:E999, D77)</f>
        <v>126</v>
      </c>
      <c r="H77" s="3">
        <f>IF(F77 = 0, "", G77 / F77)</f>
        <v>0.1</v>
      </c>
    </row>
    <row r="78">
      <c r="A78" s="2" t="s">
        <v>943</v>
      </c>
      <c r="B78" s="3" t="str">
        <f>A78</f>
        <v>coffee-smoking-lung-1968-A</v>
      </c>
      <c r="C78" s="2" t="s">
        <v>583</v>
      </c>
      <c r="D78" s="2" t="s">
        <v>792</v>
      </c>
      <c r="E78" s="2" t="s">
        <v>944</v>
      </c>
      <c r="F78" s="5">
        <f>SUMIFS(CaseCells!G2:G999,CaseCells!C2:C999, C78,CaseCells!E2:E999, D78)</f>
        <v>898</v>
      </c>
      <c r="G78" s="5">
        <f>SUMIFS(CaseCells!F2:F999,CaseCells!C2:C999, C78,CaseCells!E2:E999, D78)</f>
        <v>147</v>
      </c>
      <c r="H78" s="3">
        <f>IF(F78 = 0, "", G78 / F78)</f>
        <v>0.16369710467706014</v>
      </c>
    </row>
    <row r="79">
      <c r="A79" s="2" t="s">
        <v>945</v>
      </c>
      <c r="B79" s="3" t="str">
        <f>A79</f>
        <v>coffee-smoking-lung-1968-B</v>
      </c>
      <c r="C79" s="2" t="s">
        <v>583</v>
      </c>
      <c r="D79" s="2" t="s">
        <v>795</v>
      </c>
      <c r="E79" s="2" t="s">
        <v>946</v>
      </c>
      <c r="F79" s="5">
        <f>SUMIFS(CaseCells!G2:G999,CaseCells!C2:C999, C79,CaseCells!E2:E999, D79)</f>
        <v>218</v>
      </c>
      <c r="G79" s="5">
        <f>SUMIFS(CaseCells!F2:F999,CaseCells!C2:C999, C79,CaseCells!E2:E999, D79)</f>
        <v>23</v>
      </c>
      <c r="H79" s="3">
        <f>IF(F79 = 0, "", G79 / F79)</f>
        <v>0.10550458715596331</v>
      </c>
    </row>
    <row r="80">
      <c r="A80" s="2" t="s">
        <v>947</v>
      </c>
      <c r="B80" s="3" t="str">
        <f>A80</f>
        <v>panama-sweden-mortality-1975-A</v>
      </c>
      <c r="C80" s="2" t="s">
        <v>586</v>
      </c>
      <c r="D80" s="2" t="s">
        <v>792</v>
      </c>
      <c r="E80" s="2" t="s">
        <v>948</v>
      </c>
      <c r="F80" s="5">
        <f>SUMIFS(CaseCells!G2:G999,CaseCells!C2:C999, C80,CaseCells!E2:E999, D80)</f>
        <v>1000</v>
      </c>
      <c r="G80" s="5">
        <f>SUMIFS(CaseCells!F2:F999,CaseCells!C2:C999, C80,CaseCells!E2:E999, D80)</f>
        <v>914</v>
      </c>
      <c r="H80" s="3">
        <f>IF(F80 = 0, "", G80 / F80)</f>
        <v>0.914</v>
      </c>
    </row>
    <row r="81">
      <c r="A81" s="2" t="s">
        <v>949</v>
      </c>
      <c r="B81" s="3" t="str">
        <f>A81</f>
        <v>panama-sweden-mortality-1975-B</v>
      </c>
      <c r="C81" s="2" t="s">
        <v>586</v>
      </c>
      <c r="D81" s="2" t="s">
        <v>795</v>
      </c>
      <c r="E81" s="2" t="s">
        <v>950</v>
      </c>
      <c r="F81" s="5">
        <f>SUMIFS(CaseCells!G2:G999,CaseCells!C2:C999, C81,CaseCells!E2:E999, D81)</f>
        <v>1000</v>
      </c>
      <c r="G81" s="5">
        <f>SUMIFS(CaseCells!F2:F999,CaseCells!C2:C999, C81,CaseCells!E2:E999, D81)</f>
        <v>964</v>
      </c>
      <c r="H81" s="3">
        <f>IF(F81 = 0, "", G81 / F81)</f>
        <v>0.964</v>
      </c>
    </row>
    <row r="82">
      <c r="A82" s="2" t="s">
        <v>951</v>
      </c>
      <c r="B82" s="3" t="str">
        <f>A82</f>
        <v>hrt-whi-2002-A</v>
      </c>
      <c r="C82" s="2" t="s">
        <v>589</v>
      </c>
      <c r="D82" s="2" t="s">
        <v>792</v>
      </c>
      <c r="E82" s="2" t="s">
        <v>952</v>
      </c>
      <c r="F82" s="5">
        <f>SUMIFS(CaseCells!G2:G999,CaseCells!C2:C999, C82,CaseCells!E2:E999, D82)</f>
        <v>105000</v>
      </c>
      <c r="G82" s="5">
        <f>SUMIFS(CaseCells!F2:F999,CaseCells!C2:C999, C82,CaseCells!E2:E999, D82)</f>
        <v>9450</v>
      </c>
      <c r="H82" s="3">
        <f>IF(F82 = 0, "", G82 / F82)</f>
        <v>0.09</v>
      </c>
    </row>
    <row r="83">
      <c r="A83" s="2" t="s">
        <v>953</v>
      </c>
      <c r="B83" s="3" t="str">
        <f>A83</f>
        <v>hrt-whi-2002-B</v>
      </c>
      <c r="C83" s="2" t="s">
        <v>589</v>
      </c>
      <c r="D83" s="2" t="s">
        <v>795</v>
      </c>
      <c r="E83" s="2" t="s">
        <v>954</v>
      </c>
      <c r="F83" s="5">
        <f>SUMIFS(CaseCells!G2:G999,CaseCells!C2:C999, C83,CaseCells!E2:E999, D83)</f>
        <v>105000</v>
      </c>
      <c r="G83" s="5">
        <f>SUMIFS(CaseCells!F2:F999,CaseCells!C2:C999, C83,CaseCells!E2:E999, D83)</f>
        <v>9900</v>
      </c>
      <c r="H83" s="3">
        <f>IF(F83 = 0, "", G83 / F83)</f>
        <v>0.09428571428571429</v>
      </c>
    </row>
    <row r="84">
      <c r="A84" s="2" t="s">
        <v>955</v>
      </c>
      <c r="B84" s="3" t="str">
        <f>A84</f>
        <v>obesity-paradox-hf-A</v>
      </c>
      <c r="C84" s="2" t="s">
        <v>593</v>
      </c>
      <c r="D84" s="2" t="s">
        <v>792</v>
      </c>
      <c r="E84" s="2" t="s">
        <v>956</v>
      </c>
      <c r="F84" s="5">
        <f>SUMIFS(CaseCells!G2:G999,CaseCells!C2:C999, C84,CaseCells!E2:E999, D84)</f>
        <v>2000</v>
      </c>
      <c r="G84" s="5">
        <f>SUMIFS(CaseCells!F2:F999,CaseCells!C2:C999, C84,CaseCells!E2:E999, D84)</f>
        <v>1450</v>
      </c>
      <c r="H84" s="3">
        <f>IF(F84 = 0, "", G84 / F84)</f>
        <v>0.725</v>
      </c>
    </row>
    <row r="85">
      <c r="A85" s="2" t="s">
        <v>957</v>
      </c>
      <c r="B85" s="3" t="str">
        <f>A85</f>
        <v>obesity-paradox-hf-B</v>
      </c>
      <c r="C85" s="2" t="s">
        <v>593</v>
      </c>
      <c r="D85" s="2" t="s">
        <v>795</v>
      </c>
      <c r="E85" s="2" t="s">
        <v>958</v>
      </c>
      <c r="F85" s="5">
        <f>SUMIFS(CaseCells!G2:G999,CaseCells!C2:C999, C85,CaseCells!E2:E999, D85)</f>
        <v>2000</v>
      </c>
      <c r="G85" s="5">
        <f>SUMIFS(CaseCells!F2:F999,CaseCells!C2:C999, C85,CaseCells!E2:E999, D85)</f>
        <v>1400</v>
      </c>
      <c r="H85" s="3">
        <f>IF(F85 = 0, "", G85 / F85)</f>
        <v>0.7</v>
      </c>
    </row>
    <row r="86">
      <c r="A86" s="2" t="s">
        <v>959</v>
      </c>
      <c r="B86" s="3" t="str">
        <f>A86</f>
        <v>dialysis-bmi-survival-A</v>
      </c>
      <c r="C86" s="2" t="s">
        <v>597</v>
      </c>
      <c r="D86" s="2" t="s">
        <v>792</v>
      </c>
      <c r="E86" s="2" t="s">
        <v>960</v>
      </c>
      <c r="F86" s="5">
        <f>SUMIFS(CaseCells!G2:G999,CaseCells!C2:C999, C86,CaseCells!E2:E999, D86)</f>
        <v>2000</v>
      </c>
      <c r="G86" s="5">
        <f>SUMIFS(CaseCells!F2:F999,CaseCells!C2:C999, C86,CaseCells!E2:E999, D86)</f>
        <v>1600</v>
      </c>
      <c r="H86" s="3">
        <f>IF(F86 = 0, "", G86 / F86)</f>
        <v>0.8</v>
      </c>
    </row>
    <row r="87">
      <c r="A87" s="2" t="s">
        <v>961</v>
      </c>
      <c r="B87" s="3" t="str">
        <f>A87</f>
        <v>dialysis-bmi-survival-B</v>
      </c>
      <c r="C87" s="2" t="s">
        <v>597</v>
      </c>
      <c r="D87" s="2" t="s">
        <v>795</v>
      </c>
      <c r="E87" s="2" t="s">
        <v>962</v>
      </c>
      <c r="F87" s="5">
        <f>SUMIFS(CaseCells!G2:G999,CaseCells!C2:C999, C87,CaseCells!E2:E999, D87)</f>
        <v>2000</v>
      </c>
      <c r="G87" s="5">
        <f>SUMIFS(CaseCells!F2:F999,CaseCells!C2:C999, C87,CaseCells!E2:E999, D87)</f>
        <v>1550</v>
      </c>
      <c r="H87" s="3">
        <f>IF(F87 = 0, "", G87 / F87)</f>
        <v>0.775</v>
      </c>
    </row>
    <row r="88">
      <c r="A88" s="2" t="s">
        <v>963</v>
      </c>
      <c r="B88" s="3" t="str">
        <f>A88</f>
        <v>sick-quitter-alcohol-A</v>
      </c>
      <c r="C88" s="2" t="s">
        <v>601</v>
      </c>
      <c r="D88" s="2" t="s">
        <v>792</v>
      </c>
      <c r="E88" s="2" t="s">
        <v>964</v>
      </c>
      <c r="F88" s="5">
        <f>SUMIFS(CaseCells!G2:G999,CaseCells!C2:C999, C88,CaseCells!E2:E999, D88)</f>
        <v>2000</v>
      </c>
      <c r="G88" s="5">
        <f>SUMIFS(CaseCells!F2:F999,CaseCells!C2:C999, C88,CaseCells!E2:E999, D88)</f>
        <v>1670</v>
      </c>
      <c r="H88" s="3">
        <f>IF(F88 = 0, "", G88 / F88)</f>
        <v>0.835</v>
      </c>
    </row>
    <row r="89">
      <c r="A89" s="2" t="s">
        <v>965</v>
      </c>
      <c r="B89" s="3" t="str">
        <f>A89</f>
        <v>sick-quitter-alcohol-B</v>
      </c>
      <c r="C89" s="2" t="s">
        <v>601</v>
      </c>
      <c r="D89" s="2" t="s">
        <v>795</v>
      </c>
      <c r="E89" s="2" t="s">
        <v>966</v>
      </c>
      <c r="F89" s="5">
        <f>SUMIFS(CaseCells!G2:G999,CaseCells!C2:C999, C89,CaseCells!E2:E999, D89)</f>
        <v>2000</v>
      </c>
      <c r="G89" s="5">
        <f>SUMIFS(CaseCells!F2:F999,CaseCells!C2:C999, C89,CaseCells!E2:E999, D89)</f>
        <v>1630</v>
      </c>
      <c r="H89" s="3">
        <f>IF(F89 = 0, "", G89 / F89)</f>
        <v>0.815</v>
      </c>
    </row>
    <row r="90">
      <c r="A90" s="2" t="s">
        <v>967</v>
      </c>
      <c r="B90" s="3" t="str">
        <f>A90</f>
        <v>flu-vaccine-elderly-mortality-A</v>
      </c>
      <c r="C90" s="2" t="s">
        <v>605</v>
      </c>
      <c r="D90" s="2" t="s">
        <v>792</v>
      </c>
      <c r="E90" s="2" t="s">
        <v>968</v>
      </c>
      <c r="F90" s="5">
        <f>SUMIFS(CaseCells!G2:G999,CaseCells!C2:C999, C90,CaseCells!E2:E999, D90)</f>
        <v>95000</v>
      </c>
      <c r="G90" s="5">
        <f>SUMIFS(CaseCells!F2:F999,CaseCells!C2:C999, C90,CaseCells!E2:E999, D90)</f>
        <v>94579</v>
      </c>
      <c r="H90" s="3">
        <f>IF(F90 = 0, "", G90 / F90)</f>
        <v>0.9955684210526315</v>
      </c>
    </row>
    <row r="91">
      <c r="A91" s="2" t="s">
        <v>969</v>
      </c>
      <c r="B91" s="3" t="str">
        <f>A91</f>
        <v>flu-vaccine-elderly-mortality-B</v>
      </c>
      <c r="C91" s="2" t="s">
        <v>605</v>
      </c>
      <c r="D91" s="2" t="s">
        <v>795</v>
      </c>
      <c r="E91" s="2" t="s">
        <v>970</v>
      </c>
      <c r="F91" s="5">
        <f>SUMIFS(CaseCells!G2:G999,CaseCells!C2:C999, C91,CaseCells!E2:E999, D91)</f>
        <v>153000</v>
      </c>
      <c r="G91" s="5">
        <f>SUMIFS(CaseCells!F2:F999,CaseCells!C2:C999, C91,CaseCells!E2:E999, D91)</f>
        <v>152452</v>
      </c>
      <c r="H91" s="3">
        <f>IF(F91 = 0, "", G91 / F91)</f>
        <v>0.9964183006535948</v>
      </c>
    </row>
    <row r="92">
      <c r="A92" s="2" t="s">
        <v>971</v>
      </c>
      <c r="B92" s="3" t="str">
        <f>A92</f>
        <v>covid-italy-china-cfr-2020-A</v>
      </c>
      <c r="C92" s="2" t="s">
        <v>609</v>
      </c>
      <c r="D92" s="2" t="s">
        <v>792</v>
      </c>
      <c r="E92" s="2" t="s">
        <v>972</v>
      </c>
      <c r="F92" s="5">
        <f>SUMIFS(CaseCells!G2:G999,CaseCells!C2:C999, C92,CaseCells!E2:E999, D92)</f>
        <v>3000</v>
      </c>
      <c r="G92" s="5">
        <f>SUMIFS(CaseCells!F2:F999,CaseCells!C2:C999, C92,CaseCells!E2:E999, D92)</f>
        <v>1290</v>
      </c>
      <c r="H92" s="3">
        <f>IF(F92 = 0, "", G92 / F92)</f>
        <v>0.43</v>
      </c>
    </row>
    <row r="93">
      <c r="A93" s="2" t="s">
        <v>973</v>
      </c>
      <c r="B93" s="3" t="str">
        <f>A93</f>
        <v>covid-italy-china-cfr-2020-B</v>
      </c>
      <c r="C93" s="2" t="s">
        <v>609</v>
      </c>
      <c r="D93" s="2" t="s">
        <v>795</v>
      </c>
      <c r="E93" s="2" t="s">
        <v>974</v>
      </c>
      <c r="F93" s="5">
        <f>SUMIFS(CaseCells!G2:G999,CaseCells!C2:C999, C93,CaseCells!E2:E999, D93)</f>
        <v>50400</v>
      </c>
      <c r="G93" s="5">
        <f>SUMIFS(CaseCells!F2:F999,CaseCells!C2:C999, C93,CaseCells!E2:E999, D93)</f>
        <v>49320</v>
      </c>
      <c r="H93" s="3">
        <f>IF(F93 = 0, "", G93 / F93)</f>
        <v>0.9785714285714285</v>
      </c>
    </row>
    <row r="94">
      <c r="A94" s="2" t="s">
        <v>975</v>
      </c>
      <c r="B94" s="3" t="str">
        <f>A94</f>
        <v>israel-covid-severe-2021-A</v>
      </c>
      <c r="C94" s="2" t="s">
        <v>613</v>
      </c>
      <c r="D94" s="2" t="s">
        <v>792</v>
      </c>
      <c r="E94" s="2" t="s">
        <v>976</v>
      </c>
      <c r="F94" s="5">
        <f>SUMIFS(CaseCells!G2:G999,CaseCells!C2:C999, C94,CaseCells!E2:E999, D94)</f>
        <v>11000</v>
      </c>
      <c r="G94" s="5">
        <f>SUMIFS(CaseCells!F2:F999,CaseCells!C2:C999, C94,CaseCells!E2:E999, D94)</f>
        <v>425</v>
      </c>
      <c r="H94" s="3">
        <f>IF(F94 = 0, "", G94 / F94)</f>
        <v>0.038636363636363635</v>
      </c>
    </row>
    <row r="95">
      <c r="A95" s="2" t="s">
        <v>977</v>
      </c>
      <c r="B95" s="3" t="str">
        <f>A95</f>
        <v>israel-covid-severe-2021-B</v>
      </c>
      <c r="C95" s="2" t="s">
        <v>613</v>
      </c>
      <c r="D95" s="2" t="s">
        <v>795</v>
      </c>
      <c r="E95" s="2" t="s">
        <v>978</v>
      </c>
      <c r="F95" s="5">
        <f>SUMIFS(CaseCells!G2:G999,CaseCells!C2:C999, C95,CaseCells!E2:E999, D95)</f>
        <v>152000</v>
      </c>
      <c r="G95" s="5">
        <f>SUMIFS(CaseCells!F2:F999,CaseCells!C2:C999, C95,CaseCells!E2:E999, D95)</f>
        <v>230</v>
      </c>
      <c r="H95" s="3">
        <f>IF(F95 = 0, "", G95 / F95)</f>
        <v>0.0015131578947368421</v>
      </c>
    </row>
    <row r="96">
      <c r="A96" s="2" t="s">
        <v>979</v>
      </c>
      <c r="B96" s="3" t="str">
        <f>A96</f>
        <v>cochran-smoking-1968-A</v>
      </c>
      <c r="C96" s="2" t="s">
        <v>617</v>
      </c>
      <c r="D96" s="2" t="s">
        <v>792</v>
      </c>
      <c r="E96" s="2" t="s">
        <v>980</v>
      </c>
      <c r="F96" s="5">
        <f>SUMIFS(CaseCells!G2:G999,CaseCells!C2:C999, C96,CaseCells!E2:E999, D96)</f>
        <v>11000</v>
      </c>
      <c r="G96" s="5">
        <f>SUMIFS(CaseCells!F2:F999,CaseCells!C2:C999, C96,CaseCells!E2:E999, D96)</f>
        <v>8900</v>
      </c>
      <c r="H96" s="3">
        <f>IF(F96 = 0, "", G96 / F96)</f>
        <v>0.8090909090909091</v>
      </c>
    </row>
    <row r="97">
      <c r="A97" s="2" t="s">
        <v>981</v>
      </c>
      <c r="B97" s="3" t="str">
        <f>A97</f>
        <v>cochran-smoking-1968-B</v>
      </c>
      <c r="C97" s="2" t="s">
        <v>617</v>
      </c>
      <c r="D97" s="2" t="s">
        <v>795</v>
      </c>
      <c r="E97" s="2" t="s">
        <v>982</v>
      </c>
      <c r="F97" s="5">
        <f>SUMIFS(CaseCells!G2:G999,CaseCells!C2:C999, C97,CaseCells!E2:E999, D97)</f>
        <v>2000</v>
      </c>
      <c r="G97" s="5">
        <f>SUMIFS(CaseCells!F2:F999,CaseCells!C2:C999, C97,CaseCells!E2:E999, D97)</f>
        <v>1400</v>
      </c>
      <c r="H97" s="3">
        <f>IF(F97 = 0, "", G97 / F97)</f>
        <v>0.7</v>
      </c>
    </row>
    <row r="98">
      <c r="A98" s="2" t="s">
        <v>983</v>
      </c>
      <c r="B98" s="3" t="str">
        <f>A98</f>
        <v>healthy-worker-mortality-A</v>
      </c>
      <c r="C98" s="2" t="s">
        <v>621</v>
      </c>
      <c r="D98" s="2" t="s">
        <v>792</v>
      </c>
      <c r="E98" s="2" t="s">
        <v>984</v>
      </c>
      <c r="F98" s="5">
        <f>SUMIFS(CaseCells!G2:G999,CaseCells!C2:C999, C98,CaseCells!E2:E999, D98)</f>
        <v>2000</v>
      </c>
      <c r="G98" s="5">
        <f>SUMIFS(CaseCells!F2:F999,CaseCells!C2:C999, C98,CaseCells!E2:E999, D98)</f>
        <v>1800</v>
      </c>
      <c r="H98" s="3">
        <f>IF(F98 = 0, "", G98 / F98)</f>
        <v>0.9</v>
      </c>
    </row>
    <row r="99">
      <c r="A99" s="2" t="s">
        <v>985</v>
      </c>
      <c r="B99" s="3" t="str">
        <f>A99</f>
        <v>healthy-worker-mortality-B</v>
      </c>
      <c r="C99" s="2" t="s">
        <v>621</v>
      </c>
      <c r="D99" s="2" t="s">
        <v>795</v>
      </c>
      <c r="E99" s="2" t="s">
        <v>986</v>
      </c>
      <c r="F99" s="5">
        <f>SUMIFS(CaseCells!G2:G999,CaseCells!C2:C999, C99,CaseCells!E2:E999, D99)</f>
        <v>2000</v>
      </c>
      <c r="G99" s="5">
        <f>SUMIFS(CaseCells!F2:F999,CaseCells!C2:C999, C99,CaseCells!E2:E999, D99)</f>
        <v>1700</v>
      </c>
      <c r="H99" s="3">
        <f>IF(F99 = 0, "", G99 / F99)</f>
        <v>0.85</v>
      </c>
    </row>
    <row r="100">
      <c r="A100" s="2" t="s">
        <v>987</v>
      </c>
      <c r="B100" s="3" t="str">
        <f>A100</f>
        <v>compas-recidivism-base-A</v>
      </c>
      <c r="C100" s="2" t="s">
        <v>624</v>
      </c>
      <c r="D100" s="2" t="s">
        <v>792</v>
      </c>
      <c r="E100" s="2" t="s">
        <v>988</v>
      </c>
      <c r="F100" s="5">
        <f>SUMIFS(CaseCells!G2:G999,CaseCells!C2:C999, C100,CaseCells!E2:E999, D100)</f>
        <v>2000</v>
      </c>
      <c r="G100" s="5">
        <f>SUMIFS(CaseCells!F2:F999,CaseCells!C2:C999, C100,CaseCells!E2:E999, D100)</f>
        <v>1150</v>
      </c>
      <c r="H100" s="3">
        <f>IF(F100 = 0, "", G100 / F100)</f>
        <v>0.575</v>
      </c>
    </row>
    <row r="101">
      <c r="A101" s="2" t="s">
        <v>989</v>
      </c>
      <c r="B101" s="3" t="str">
        <f>A101</f>
        <v>compas-recidivism-base-B</v>
      </c>
      <c r="C101" s="2" t="s">
        <v>624</v>
      </c>
      <c r="D101" s="2" t="s">
        <v>795</v>
      </c>
      <c r="E101" s="2" t="s">
        <v>990</v>
      </c>
      <c r="F101" s="5">
        <f>SUMIFS(CaseCells!G2:G999,CaseCells!C2:C999, C101,CaseCells!E2:E999, D101)</f>
        <v>2000</v>
      </c>
      <c r="G101" s="5">
        <f>SUMIFS(CaseCells!F2:F999,CaseCells!C2:C999, C101,CaseCells!E2:E999, D101)</f>
        <v>1250</v>
      </c>
      <c r="H101" s="3">
        <f>IF(F101 = 0, "", G101 / F101)</f>
        <v>0.625</v>
      </c>
    </row>
    <row r="102">
      <c r="A102" s="2" t="s">
        <v>991</v>
      </c>
      <c r="B102" s="3" t="str">
        <f>A102</f>
        <v>us-wage-composition-stagnation-A</v>
      </c>
      <c r="C102" s="2" t="s">
        <v>629</v>
      </c>
      <c r="D102" s="2" t="s">
        <v>792</v>
      </c>
      <c r="E102" s="2" t="s">
        <v>992</v>
      </c>
      <c r="F102" s="5">
        <f>SUMIFS(CaseCells!G2:G999,CaseCells!C2:C999, C102,CaseCells!E2:E999, D102)</f>
        <v>17000</v>
      </c>
      <c r="G102" s="5">
        <f>SUMIFS(CaseCells!F2:F999,CaseCells!C2:C999, C102,CaseCells!E2:E999, D102)</f>
        <v>8300</v>
      </c>
      <c r="H102" s="3">
        <f>IF(F102 = 0, "", G102 / F102)</f>
        <v>0.48823529411764705</v>
      </c>
    </row>
    <row r="103">
      <c r="A103" s="2" t="s">
        <v>993</v>
      </c>
      <c r="B103" s="3" t="str">
        <f>A103</f>
        <v>us-wage-composition-stagnation-B</v>
      </c>
      <c r="C103" s="2" t="s">
        <v>629</v>
      </c>
      <c r="D103" s="2" t="s">
        <v>795</v>
      </c>
      <c r="E103" s="2" t="s">
        <v>994</v>
      </c>
      <c r="F103" s="5">
        <f>SUMIFS(CaseCells!G2:G999,CaseCells!C2:C999, C103,CaseCells!E2:E999, D103)</f>
        <v>14000</v>
      </c>
      <c r="G103" s="5">
        <f>SUMIFS(CaseCells!F2:F999,CaseCells!C2:C999, C103,CaseCells!E2:E999, D103)</f>
        <v>6520</v>
      </c>
      <c r="H103" s="3">
        <f>IF(F103 = 0, "", G103 / F103)</f>
        <v>0.4657142857142857</v>
      </c>
    </row>
    <row r="104">
      <c r="A104" s="2" t="s">
        <v>995</v>
      </c>
      <c r="B104" s="3" t="str">
        <f>A104</f>
        <v>borjas-immigrant-cohort-A</v>
      </c>
      <c r="C104" s="2" t="s">
        <v>633</v>
      </c>
      <c r="D104" s="2" t="s">
        <v>792</v>
      </c>
      <c r="E104" s="2" t="s">
        <v>996</v>
      </c>
      <c r="F104" s="5">
        <f>SUMIFS(CaseCells!G2:G999,CaseCells!C2:C999, C104,CaseCells!E2:E999, D104)</f>
        <v>2000</v>
      </c>
      <c r="G104" s="5">
        <f>SUMIFS(CaseCells!F2:F999,CaseCells!C2:C999, C104,CaseCells!E2:E999, D104)</f>
        <v>950</v>
      </c>
      <c r="H104" s="3">
        <f>IF(F104 = 0, "", G104 / F104)</f>
        <v>0.475</v>
      </c>
    </row>
    <row r="105">
      <c r="A105" s="2" t="s">
        <v>997</v>
      </c>
      <c r="B105" s="3" t="str">
        <f>A105</f>
        <v>borjas-immigrant-cohort-B</v>
      </c>
      <c r="C105" s="2" t="s">
        <v>633</v>
      </c>
      <c r="D105" s="2" t="s">
        <v>795</v>
      </c>
      <c r="E105" s="2" t="s">
        <v>998</v>
      </c>
      <c r="F105" s="5">
        <f>SUMIFS(CaseCells!G2:G999,CaseCells!C2:C999, C105,CaseCells!E2:E999, D105)</f>
        <v>2000</v>
      </c>
      <c r="G105" s="5">
        <f>SUMIFS(CaseCells!F2:F999,CaseCells!C2:C999, C105,CaseCells!E2:E999, D105)</f>
        <v>970</v>
      </c>
      <c r="H105" s="3">
        <f>IF(F105 = 0, "", G105 / F105)</f>
        <v>0.485</v>
      </c>
    </row>
    <row r="106">
      <c r="A106" s="2" t="s">
        <v>999</v>
      </c>
      <c r="B106" s="3" t="str">
        <f>A106</f>
        <v>robinson-1950-literacy-A</v>
      </c>
      <c r="C106" s="2" t="s">
        <v>637</v>
      </c>
      <c r="D106" s="2" t="s">
        <v>792</v>
      </c>
      <c r="E106" s="2" t="s">
        <v>1000</v>
      </c>
      <c r="F106" s="5">
        <f>SUMIFS(CaseCells!G2:G999,CaseCells!C2:C999, C106,CaseCells!E2:E999, D106)</f>
        <v>2000</v>
      </c>
      <c r="G106" s="5">
        <f>SUMIFS(CaseCells!F2:F999,CaseCells!C2:C999, C106,CaseCells!E2:E999, D106)</f>
        <v>1700</v>
      </c>
      <c r="H106" s="3">
        <f>IF(F106 = 0, "", G106 / F106)</f>
        <v>0.85</v>
      </c>
    </row>
    <row r="107">
      <c r="A107" s="2" t="s">
        <v>1001</v>
      </c>
      <c r="B107" s="3" t="str">
        <f>A107</f>
        <v>robinson-1950-literacy-B</v>
      </c>
      <c r="C107" s="2" t="s">
        <v>637</v>
      </c>
      <c r="D107" s="2" t="s">
        <v>795</v>
      </c>
      <c r="E107" s="2" t="s">
        <v>1002</v>
      </c>
      <c r="F107" s="5">
        <f>SUMIFS(CaseCells!G2:G999,CaseCells!C2:C999, C107,CaseCells!E2:E999, D107)</f>
        <v>12000</v>
      </c>
      <c r="G107" s="5">
        <f>SUMIFS(CaseCells!F2:F999,CaseCells!C2:C999, C107,CaseCells!E2:E999, D107)</f>
        <v>10900</v>
      </c>
      <c r="H107" s="3">
        <f>IF(F107 = 0, "", G107 / F107)</f>
        <v>0.9083333333333333</v>
      </c>
    </row>
    <row r="108">
      <c r="A108" s="2" t="s">
        <v>1003</v>
      </c>
      <c r="B108" s="3" t="str">
        <f>A108</f>
        <v>ab-test-traffic-mix-A</v>
      </c>
      <c r="C108" s="2" t="s">
        <v>641</v>
      </c>
      <c r="D108" s="2" t="s">
        <v>792</v>
      </c>
      <c r="E108" s="2" t="s">
        <v>1004</v>
      </c>
      <c r="F108" s="5">
        <f>SUMIFS(CaseCells!G2:G999,CaseCells!C2:C999, C108,CaseCells!E2:E999, D108)</f>
        <v>12000</v>
      </c>
      <c r="G108" s="5">
        <f>SUMIFS(CaseCells!F2:F999,CaseCells!C2:C999, C108,CaseCells!E2:E999, D108)</f>
        <v>9100</v>
      </c>
      <c r="H108" s="3">
        <f>IF(F108 = 0, "", G108 / F108)</f>
        <v>0.7583333333333333</v>
      </c>
    </row>
    <row r="109">
      <c r="A109" s="2" t="s">
        <v>1005</v>
      </c>
      <c r="B109" s="3" t="str">
        <f>A109</f>
        <v>ab-test-traffic-mix-B</v>
      </c>
      <c r="C109" s="2" t="s">
        <v>641</v>
      </c>
      <c r="D109" s="2" t="s">
        <v>795</v>
      </c>
      <c r="E109" s="2" t="s">
        <v>1006</v>
      </c>
      <c r="F109" s="5">
        <f>SUMIFS(CaseCells!G2:G999,CaseCells!C2:C999, C109,CaseCells!E2:E999, D109)</f>
        <v>12000</v>
      </c>
      <c r="G109" s="5">
        <f>SUMIFS(CaseCells!F2:F999,CaseCells!C2:C999, C109,CaseCells!E2:E999, D109)</f>
        <v>8800</v>
      </c>
      <c r="H109" s="3">
        <f>IF(F109 = 0, "", G109 / F109)</f>
        <v>0.7333333333333333</v>
      </c>
    </row>
    <row r="110">
      <c r="A110" s="2" t="s">
        <v>1007</v>
      </c>
      <c r="B110" s="3" t="str">
        <f>A110</f>
        <v>recsys-offline-eval-A</v>
      </c>
      <c r="C110" s="2" t="s">
        <v>645</v>
      </c>
      <c r="D110" s="2" t="s">
        <v>792</v>
      </c>
      <c r="E110" s="2" t="s">
        <v>1008</v>
      </c>
      <c r="F110" s="5">
        <f>SUMIFS(CaseCells!G2:G999,CaseCells!C2:C999, C110,CaseCells!E2:E999, D110)</f>
        <v>2000</v>
      </c>
      <c r="G110" s="5">
        <f>SUMIFS(CaseCells!F2:F999,CaseCells!C2:C999, C110,CaseCells!E2:E999, D110)</f>
        <v>1150</v>
      </c>
      <c r="H110" s="3">
        <f>IF(F110 = 0, "", G110 / F110)</f>
        <v>0.575</v>
      </c>
    </row>
    <row r="111">
      <c r="A111" s="2" t="s">
        <v>1009</v>
      </c>
      <c r="B111" s="3" t="str">
        <f>A111</f>
        <v>recsys-offline-eval-B</v>
      </c>
      <c r="C111" s="2" t="s">
        <v>645</v>
      </c>
      <c r="D111" s="2" t="s">
        <v>795</v>
      </c>
      <c r="E111" s="2" t="s">
        <v>1010</v>
      </c>
      <c r="F111" s="5">
        <f>SUMIFS(CaseCells!G2:G999,CaseCells!C2:C999, C111,CaseCells!E2:E999, D111)</f>
        <v>2000</v>
      </c>
      <c r="G111" s="5">
        <f>SUMIFS(CaseCells!F2:F999,CaseCells!C2:C999, C111,CaseCells!E2:E999, D111)</f>
        <v>1150</v>
      </c>
      <c r="H111" s="3">
        <f>IF(F111 = 0, "", G111 / F111)</f>
        <v>0.575</v>
      </c>
    </row>
    <row r="112">
      <c r="A112" s="2" t="s">
        <v>1011</v>
      </c>
      <c r="B112" s="3" t="str">
        <f>A112</f>
        <v>collider-only-synthetic-A</v>
      </c>
      <c r="C112" s="2" t="s">
        <v>649</v>
      </c>
      <c r="D112" s="2" t="s">
        <v>792</v>
      </c>
      <c r="E112" s="2" t="s">
        <v>1012</v>
      </c>
      <c r="F112" s="5">
        <f>SUMIFS(CaseCells!G2:G999,CaseCells!C2:C999, C112,CaseCells!E2:E999, D112)</f>
        <v>1000</v>
      </c>
      <c r="G112" s="5">
        <f>SUMIFS(CaseCells!F2:F999,CaseCells!C2:C999, C112,CaseCells!E2:E999, D112)</f>
        <v>235</v>
      </c>
      <c r="H112" s="3">
        <f>IF(F112 = 0, "", G112 / F112)</f>
        <v>0.235</v>
      </c>
    </row>
    <row r="113">
      <c r="A113" s="2" t="s">
        <v>1013</v>
      </c>
      <c r="B113" s="3" t="str">
        <f>A113</f>
        <v>collider-only-synthetic-B</v>
      </c>
      <c r="C113" s="2" t="s">
        <v>649</v>
      </c>
      <c r="D113" s="2" t="s">
        <v>795</v>
      </c>
      <c r="E113" s="2" t="s">
        <v>1014</v>
      </c>
      <c r="F113" s="5">
        <f>SUMIFS(CaseCells!G2:G999,CaseCells!C2:C999, C113,CaseCells!E2:E999, D113)</f>
        <v>1000</v>
      </c>
      <c r="G113" s="5">
        <f>SUMIFS(CaseCells!F2:F999,CaseCells!C2:C999, C113,CaseCells!E2:E999, D113)</f>
        <v>340</v>
      </c>
      <c r="H113" s="3">
        <f>IF(F113 = 0, "", G113 / F113)</f>
        <v>0.34</v>
      </c>
    </row>
    <row r="114">
      <c r="A114" s="2" t="s">
        <v>1015</v>
      </c>
      <c r="B114" s="3" t="str">
        <f>A114</f>
        <v>noncollapsibility-or-synthetic-A</v>
      </c>
      <c r="C114" s="2" t="s">
        <v>652</v>
      </c>
      <c r="D114" s="2" t="s">
        <v>792</v>
      </c>
      <c r="E114" s="2" t="s">
        <v>1016</v>
      </c>
      <c r="F114" s="5">
        <f>SUMIFS(CaseCells!G2:G999,CaseCells!C2:C999, C114,CaseCells!E2:E999, D114)</f>
        <v>1100</v>
      </c>
      <c r="G114" s="5">
        <f>SUMIFS(CaseCells!F2:F999,CaseCells!C2:C999, C114,CaseCells!E2:E999, D114)</f>
        <v>440</v>
      </c>
      <c r="H114" s="3">
        <f>IF(F114 = 0, "", G114 / F114)</f>
        <v>0.4</v>
      </c>
    </row>
    <row r="115">
      <c r="A115" s="2" t="s">
        <v>1017</v>
      </c>
      <c r="B115" s="3" t="str">
        <f>A115</f>
        <v>noncollapsibility-or-synthetic-B</v>
      </c>
      <c r="C115" s="2" t="s">
        <v>652</v>
      </c>
      <c r="D115" s="2" t="s">
        <v>795</v>
      </c>
      <c r="E115" s="2" t="s">
        <v>1018</v>
      </c>
      <c r="F115" s="5">
        <f>SUMIFS(CaseCells!G2:G999,CaseCells!C2:C999, C115,CaseCells!E2:E999, D115)</f>
        <v>1100</v>
      </c>
      <c r="G115" s="5">
        <f>SUMIFS(CaseCells!F2:F999,CaseCells!C2:C999, C115,CaseCells!E2:E999, D115)</f>
        <v>330</v>
      </c>
      <c r="H115" s="3">
        <f>IF(F115 = 0, "", G115 / F115)</f>
        <v>0.3</v>
      </c>
    </row>
    <row r="116">
      <c r="A116" s="2" t="s">
        <v>1019</v>
      </c>
      <c r="B116" s="3" t="str">
        <f>A116</f>
        <v>trauma-center-mortality-A</v>
      </c>
      <c r="C116" s="2" t="s">
        <v>655</v>
      </c>
      <c r="D116" s="2" t="s">
        <v>792</v>
      </c>
      <c r="E116" s="2" t="s">
        <v>1020</v>
      </c>
      <c r="F116" s="5">
        <f>SUMIFS(CaseCells!G2:G999,CaseCells!C2:C999, C116,CaseCells!E2:E999, D116)</f>
        <v>2000</v>
      </c>
      <c r="G116" s="5">
        <f>SUMIFS(CaseCells!F2:F999,CaseCells!C2:C999, C116,CaseCells!E2:E999, D116)</f>
        <v>1550</v>
      </c>
      <c r="H116" s="3">
        <f>IF(F116 = 0, "", G116 / F116)</f>
        <v>0.775</v>
      </c>
    </row>
    <row r="117">
      <c r="A117" s="2" t="s">
        <v>1021</v>
      </c>
      <c r="B117" s="3" t="str">
        <f>A117</f>
        <v>trauma-center-mortality-B</v>
      </c>
      <c r="C117" s="2" t="s">
        <v>655</v>
      </c>
      <c r="D117" s="2" t="s">
        <v>795</v>
      </c>
      <c r="E117" s="2" t="s">
        <v>1022</v>
      </c>
      <c r="F117" s="5">
        <f>SUMIFS(CaseCells!G2:G999,CaseCells!C2:C999, C117,CaseCells!E2:E999, D117)</f>
        <v>2000</v>
      </c>
      <c r="G117" s="5">
        <f>SUMIFS(CaseCells!F2:F999,CaseCells!C2:C999, C117,CaseCells!E2:E999, D117)</f>
        <v>1640</v>
      </c>
      <c r="H117" s="3">
        <f>IF(F117 = 0, "", G117 / F117)</f>
        <v>0.82</v>
      </c>
    </row>
    <row r="118">
      <c r="A118" s="2" t="s">
        <v>1023</v>
      </c>
      <c r="B118" s="3" t="str">
        <f>A118</f>
        <v>surgeon-volume-mortality-A</v>
      </c>
      <c r="C118" s="2" t="s">
        <v>659</v>
      </c>
      <c r="D118" s="2" t="s">
        <v>792</v>
      </c>
      <c r="E118" s="2" t="s">
        <v>1024</v>
      </c>
      <c r="F118" s="5">
        <f>SUMIFS(CaseCells!G2:G999,CaseCells!C2:C999, C118,CaseCells!E2:E999, D118)</f>
        <v>2000</v>
      </c>
      <c r="G118" s="5">
        <f>SUMIFS(CaseCells!F2:F999,CaseCells!C2:C999, C118,CaseCells!E2:E999, D118)</f>
        <v>1800</v>
      </c>
      <c r="H118" s="3">
        <f>IF(F118 = 0, "", G118 / F118)</f>
        <v>0.9</v>
      </c>
    </row>
    <row r="119">
      <c r="A119" s="2" t="s">
        <v>1025</v>
      </c>
      <c r="B119" s="3" t="str">
        <f>A119</f>
        <v>surgeon-volume-mortality-B</v>
      </c>
      <c r="C119" s="2" t="s">
        <v>659</v>
      </c>
      <c r="D119" s="2" t="s">
        <v>795</v>
      </c>
      <c r="E119" s="2" t="s">
        <v>1026</v>
      </c>
      <c r="F119" s="5">
        <f>SUMIFS(CaseCells!G2:G999,CaseCells!C2:C999, C119,CaseCells!E2:E999, D119)</f>
        <v>2000</v>
      </c>
      <c r="G119" s="5">
        <f>SUMIFS(CaseCells!F2:F999,CaseCells!C2:C999, C119,CaseCells!E2:E999, D119)</f>
        <v>1835</v>
      </c>
      <c r="H119" s="3">
        <f>IF(F119 = 0, "", G119 / F119)</f>
        <v>0.9175</v>
      </c>
    </row>
    <row r="120">
      <c r="A120" s="2" t="s">
        <v>1027</v>
      </c>
      <c r="B120" s="3" t="str">
        <f>A120</f>
        <v>mammography-length-bias-A</v>
      </c>
      <c r="C120" s="2" t="s">
        <v>663</v>
      </c>
      <c r="D120" s="2" t="s">
        <v>792</v>
      </c>
      <c r="E120" s="2" t="s">
        <v>1028</v>
      </c>
      <c r="F120" s="5">
        <f>SUMIFS(CaseCells!G2:G999,CaseCells!C2:C999, C120,CaseCells!E2:E999, D120)</f>
        <v>2000</v>
      </c>
      <c r="G120" s="5">
        <f>SUMIFS(CaseCells!F2:F999,CaseCells!C2:C999, C120,CaseCells!E2:E999, D120)</f>
        <v>1320</v>
      </c>
      <c r="H120" s="3">
        <f>IF(F120 = 0, "", G120 / F120)</f>
        <v>0.66</v>
      </c>
    </row>
    <row r="121">
      <c r="A121" s="2" t="s">
        <v>1029</v>
      </c>
      <c r="B121" s="3" t="str">
        <f>A121</f>
        <v>mammography-length-bias-B</v>
      </c>
      <c r="C121" s="2" t="s">
        <v>663</v>
      </c>
      <c r="D121" s="2" t="s">
        <v>795</v>
      </c>
      <c r="E121" s="2" t="s">
        <v>1030</v>
      </c>
      <c r="F121" s="5">
        <f>SUMIFS(CaseCells!G2:G999,CaseCells!C2:C999, C121,CaseCells!E2:E999, D121)</f>
        <v>2000</v>
      </c>
      <c r="G121" s="5">
        <f>SUMIFS(CaseCells!F2:F999,CaseCells!C2:C999, C121,CaseCells!E2:E999, D121)</f>
        <v>1050</v>
      </c>
      <c r="H121" s="3">
        <f>IF(F121 = 0, "", G121 / F121)</f>
        <v>0.525</v>
      </c>
    </row>
    <row r="122">
      <c r="A122" s="2" t="s">
        <v>1031</v>
      </c>
      <c r="B122" s="3" t="str">
        <f>A122</f>
        <v>cabg-vs-pci-severity-A</v>
      </c>
      <c r="C122" s="2" t="s">
        <v>667</v>
      </c>
      <c r="D122" s="2" t="s">
        <v>792</v>
      </c>
      <c r="E122" s="2" t="s">
        <v>1032</v>
      </c>
      <c r="F122" s="5">
        <f>SUMIFS(CaseCells!G2:G999,CaseCells!C2:C999, C122,CaseCells!E2:E999, D122)</f>
        <v>2000</v>
      </c>
      <c r="G122" s="5">
        <f>SUMIFS(CaseCells!F2:F999,CaseCells!C2:C999, C122,CaseCells!E2:E999, D122)</f>
        <v>1900</v>
      </c>
      <c r="H122" s="3">
        <f>IF(F122 = 0, "", G122 / F122)</f>
        <v>0.95</v>
      </c>
    </row>
    <row r="123">
      <c r="A123" s="2" t="s">
        <v>1033</v>
      </c>
      <c r="B123" s="3" t="str">
        <f>A123</f>
        <v>cabg-vs-pci-severity-B</v>
      </c>
      <c r="C123" s="2" t="s">
        <v>667</v>
      </c>
      <c r="D123" s="2" t="s">
        <v>795</v>
      </c>
      <c r="E123" s="2" t="s">
        <v>1034</v>
      </c>
      <c r="F123" s="5">
        <f>SUMIFS(CaseCells!G2:G999,CaseCells!C2:C999, C123,CaseCells!E2:E999, D123)</f>
        <v>2000</v>
      </c>
      <c r="G123" s="5">
        <f>SUMIFS(CaseCells!F2:F999,CaseCells!C2:C999, C123,CaseCells!E2:E999, D123)</f>
        <v>1855</v>
      </c>
      <c r="H123" s="3">
        <f>IF(F123 = 0, "", G123 / F123)</f>
        <v>0.9275</v>
      </c>
    </row>
    <row r="124">
      <c r="A124" s="2" t="s">
        <v>1035</v>
      </c>
      <c r="B124" s="3" t="str">
        <f>A124</f>
        <v>tolbutamide-ugdp-1970-A</v>
      </c>
      <c r="C124" s="2" t="s">
        <v>671</v>
      </c>
      <c r="D124" s="2" t="s">
        <v>792</v>
      </c>
      <c r="E124" s="2" t="s">
        <v>1036</v>
      </c>
      <c r="F124" s="5">
        <f>SUMIFS(CaseCells!G2:G999,CaseCells!C2:C999, C124,CaseCells!E2:E999, D124)</f>
        <v>2000</v>
      </c>
      <c r="G124" s="5">
        <f>SUMIFS(CaseCells!F2:F999,CaseCells!C2:C999, C124,CaseCells!E2:E999, D124)</f>
        <v>1700</v>
      </c>
      <c r="H124" s="3">
        <f>IF(F124 = 0, "", G124 / F124)</f>
        <v>0.85</v>
      </c>
    </row>
    <row r="125">
      <c r="A125" s="2" t="s">
        <v>1037</v>
      </c>
      <c r="B125" s="3" t="str">
        <f>A125</f>
        <v>tolbutamide-ugdp-1970-B</v>
      </c>
      <c r="C125" s="2" t="s">
        <v>671</v>
      </c>
      <c r="D125" s="2" t="s">
        <v>795</v>
      </c>
      <c r="E125" s="2" t="s">
        <v>1038</v>
      </c>
      <c r="F125" s="5">
        <f>SUMIFS(CaseCells!G2:G999,CaseCells!C2:C999, C125,CaseCells!E2:E999, D125)</f>
        <v>2000</v>
      </c>
      <c r="G125" s="5">
        <f>SUMIFS(CaseCells!F2:F999,CaseCells!C2:C999, C125,CaseCells!E2:E999, D125)</f>
        <v>1730</v>
      </c>
      <c r="H125" s="3">
        <f>IF(F125 = 0, "", G125 / F125)</f>
        <v>0.865</v>
      </c>
    </row>
    <row r="126">
      <c r="A126" s="2" t="s">
        <v>1039</v>
      </c>
      <c r="B126" s="3" t="str">
        <f>A126</f>
        <v>snow-cholera-water-1855-A</v>
      </c>
      <c r="C126" s="2" t="s">
        <v>675</v>
      </c>
      <c r="D126" s="2" t="s">
        <v>792</v>
      </c>
      <c r="E126" s="2" t="s">
        <v>1040</v>
      </c>
      <c r="F126" s="5">
        <f>SUMIFS(CaseCells!G2:G999,CaseCells!C2:C999, C126,CaseCells!E2:E999, D126)</f>
        <v>2000</v>
      </c>
      <c r="G126" s="5">
        <f>SUMIFS(CaseCells!F2:F999,CaseCells!C2:C999, C126,CaseCells!E2:E999, D126)</f>
        <v>1842</v>
      </c>
      <c r="H126" s="3">
        <f>IF(F126 = 0, "", G126 / F126)</f>
        <v>0.921</v>
      </c>
    </row>
    <row r="127">
      <c r="A127" s="2" t="s">
        <v>1041</v>
      </c>
      <c r="B127" s="3" t="str">
        <f>A127</f>
        <v>snow-cholera-water-1855-B</v>
      </c>
      <c r="C127" s="2" t="s">
        <v>675</v>
      </c>
      <c r="D127" s="2" t="s">
        <v>795</v>
      </c>
      <c r="E127" s="2" t="s">
        <v>1042</v>
      </c>
      <c r="F127" s="5">
        <f>SUMIFS(CaseCells!G2:G999,CaseCells!C2:C999, C127,CaseCells!E2:E999, D127)</f>
        <v>2000</v>
      </c>
      <c r="G127" s="5">
        <f>SUMIFS(CaseCells!F2:F999,CaseCells!C2:C999, C127,CaseCells!E2:E999, D127)</f>
        <v>1930</v>
      </c>
      <c r="H127" s="3">
        <f>IF(F127 = 0, "", G127 / F127)</f>
        <v>0.965</v>
      </c>
    </row>
    <row r="128">
      <c r="A128" s="2" t="s">
        <v>1043</v>
      </c>
      <c r="B128" s="3" t="str">
        <f>A128</f>
        <v>seatbelt-crash-severity-A</v>
      </c>
      <c r="C128" s="2" t="s">
        <v>679</v>
      </c>
      <c r="D128" s="2" t="s">
        <v>792</v>
      </c>
      <c r="E128" s="2" t="s">
        <v>1044</v>
      </c>
      <c r="F128" s="5">
        <f>SUMIFS(CaseCells!G2:G999,CaseCells!C2:C999, C128,CaseCells!E2:E999, D128)</f>
        <v>2000</v>
      </c>
      <c r="G128" s="5">
        <f>SUMIFS(CaseCells!F2:F999,CaseCells!C2:C999, C128,CaseCells!E2:E999, D128)</f>
        <v>1680</v>
      </c>
      <c r="H128" s="3">
        <f>IF(F128 = 0, "", G128 / F128)</f>
        <v>0.84</v>
      </c>
    </row>
    <row r="129">
      <c r="A129" s="2" t="s">
        <v>1045</v>
      </c>
      <c r="B129" s="3" t="str">
        <f>A129</f>
        <v>seatbelt-crash-severity-B</v>
      </c>
      <c r="C129" s="2" t="s">
        <v>679</v>
      </c>
      <c r="D129" s="2" t="s">
        <v>795</v>
      </c>
      <c r="E129" s="2" t="s">
        <v>1046</v>
      </c>
      <c r="F129" s="5">
        <f>SUMIFS(CaseCells!G2:G999,CaseCells!C2:C999, C129,CaseCells!E2:E999, D129)</f>
        <v>2000</v>
      </c>
      <c r="G129" s="5">
        <f>SUMIFS(CaseCells!F2:F999,CaseCells!C2:C999, C129,CaseCells!E2:E999, D129)</f>
        <v>1570</v>
      </c>
      <c r="H129" s="3">
        <f>IF(F129 = 0, "", G129 / F129)</f>
        <v>0.785</v>
      </c>
    </row>
    <row r="130">
      <c r="A130" s="2" t="s">
        <v>1047</v>
      </c>
      <c r="B130" s="3" t="str">
        <f>A130</f>
        <v>measles-outbreak-vaccinated-A</v>
      </c>
      <c r="C130" s="2" t="s">
        <v>683</v>
      </c>
      <c r="D130" s="2" t="s">
        <v>792</v>
      </c>
      <c r="E130" s="2" t="s">
        <v>976</v>
      </c>
      <c r="F130" s="5">
        <f>SUMIFS(CaseCells!G2:G999,CaseCells!C2:C999, C130,CaseCells!E2:E999, D130)</f>
        <v>11000</v>
      </c>
      <c r="G130" s="5">
        <f>SUMIFS(CaseCells!F2:F999,CaseCells!C2:C999, C130,CaseCells!E2:E999, D130)</f>
        <v>115</v>
      </c>
      <c r="H130" s="3">
        <f>IF(F130 = 0, "", G130 / F130)</f>
        <v>0.010454545454545454</v>
      </c>
    </row>
    <row r="131">
      <c r="A131" s="2" t="s">
        <v>1048</v>
      </c>
      <c r="B131" s="3" t="str">
        <f>A131</f>
        <v>measles-outbreak-vaccinated-B</v>
      </c>
      <c r="C131" s="2" t="s">
        <v>683</v>
      </c>
      <c r="D131" s="2" t="s">
        <v>795</v>
      </c>
      <c r="E131" s="2" t="s">
        <v>978</v>
      </c>
      <c r="F131" s="5">
        <f>SUMIFS(CaseCells!G2:G999,CaseCells!C2:C999, C131,CaseCells!E2:E999, D131)</f>
        <v>1500</v>
      </c>
      <c r="G131" s="5">
        <f>SUMIFS(CaseCells!F2:F999,CaseCells!C2:C999, C131,CaseCells!E2:E999, D131)</f>
        <v>79</v>
      </c>
      <c r="H131" s="3">
        <f>IF(F131 = 0, "", G131 / F131)</f>
        <v>0.05266666666666667</v>
      </c>
    </row>
    <row r="132">
      <c r="A132" s="2" t="s">
        <v>1049</v>
      </c>
      <c r="B132" s="3" t="str">
        <f>A132</f>
        <v>air-pollution-mortality-city-A</v>
      </c>
      <c r="C132" s="2" t="s">
        <v>687</v>
      </c>
      <c r="D132" s="2" t="s">
        <v>792</v>
      </c>
      <c r="E132" s="2" t="s">
        <v>1050</v>
      </c>
      <c r="F132" s="5">
        <f>SUMIFS(CaseCells!G2:G999,CaseCells!C2:C999, C132,CaseCells!E2:E999, D132)</f>
        <v>2000</v>
      </c>
      <c r="G132" s="5">
        <f>SUMIFS(CaseCells!F2:F999,CaseCells!C2:C999, C132,CaseCells!E2:E999, D132)</f>
        <v>1900</v>
      </c>
      <c r="H132" s="3">
        <f>IF(F132 = 0, "", G132 / F132)</f>
        <v>0.95</v>
      </c>
    </row>
    <row r="133">
      <c r="A133" s="2" t="s">
        <v>1051</v>
      </c>
      <c r="B133" s="3" t="str">
        <f>A133</f>
        <v>air-pollution-mortality-city-B</v>
      </c>
      <c r="C133" s="2" t="s">
        <v>687</v>
      </c>
      <c r="D133" s="2" t="s">
        <v>795</v>
      </c>
      <c r="E133" s="2" t="s">
        <v>1052</v>
      </c>
      <c r="F133" s="5">
        <f>SUMIFS(CaseCells!G2:G999,CaseCells!C2:C999, C133,CaseCells!E2:E999, D133)</f>
        <v>2000</v>
      </c>
      <c r="G133" s="5">
        <f>SUMIFS(CaseCells!F2:F999,CaseCells!C2:C999, C133,CaseCells!E2:E999, D133)</f>
        <v>1925</v>
      </c>
      <c r="H133" s="3">
        <f>IF(F133 = 0, "", G133 / F133)</f>
        <v>0.9625</v>
      </c>
    </row>
    <row r="134">
      <c r="A134" s="2" t="s">
        <v>1053</v>
      </c>
      <c r="B134" s="3" t="str">
        <f>A134</f>
        <v>tb-treatment-resistance-A</v>
      </c>
      <c r="C134" s="2" t="s">
        <v>691</v>
      </c>
      <c r="D134" s="2" t="s">
        <v>792</v>
      </c>
      <c r="E134" s="2" t="s">
        <v>1054</v>
      </c>
      <c r="F134" s="5">
        <f>SUMIFS(CaseCells!G2:G999,CaseCells!C2:C999, C134,CaseCells!E2:E999, D134)</f>
        <v>2000</v>
      </c>
      <c r="G134" s="5">
        <f>SUMIFS(CaseCells!F2:F999,CaseCells!C2:C999, C134,CaseCells!E2:E999, D134)</f>
        <v>1570</v>
      </c>
      <c r="H134" s="3">
        <f>IF(F134 = 0, "", G134 / F134)</f>
        <v>0.785</v>
      </c>
    </row>
    <row r="135">
      <c r="A135" s="2" t="s">
        <v>1055</v>
      </c>
      <c r="B135" s="3" t="str">
        <f>A135</f>
        <v>tb-treatment-resistance-B</v>
      </c>
      <c r="C135" s="2" t="s">
        <v>691</v>
      </c>
      <c r="D135" s="2" t="s">
        <v>795</v>
      </c>
      <c r="E135" s="2" t="s">
        <v>1056</v>
      </c>
      <c r="F135" s="5">
        <f>SUMIFS(CaseCells!G2:G999,CaseCells!C2:C999, C135,CaseCells!E2:E999, D135)</f>
        <v>2000</v>
      </c>
      <c r="G135" s="5">
        <f>SUMIFS(CaseCells!F2:F999,CaseCells!C2:C999, C135,CaseCells!E2:E999, D135)</f>
        <v>1630</v>
      </c>
      <c r="H135" s="3">
        <f>IF(F135 = 0, "", G135 / F135)</f>
        <v>0.815</v>
      </c>
    </row>
    <row r="136">
      <c r="A136" s="2" t="s">
        <v>1057</v>
      </c>
      <c r="B136" s="3" t="str">
        <f>A136</f>
        <v>hospital-mortality-readmission-A</v>
      </c>
      <c r="C136" s="2" t="s">
        <v>695</v>
      </c>
      <c r="D136" s="2" t="s">
        <v>792</v>
      </c>
      <c r="E136" s="2" t="s">
        <v>1058</v>
      </c>
      <c r="F136" s="5">
        <f>SUMIFS(CaseCells!G2:G999,CaseCells!C2:C999, C136,CaseCells!E2:E999, D136)</f>
        <v>2000</v>
      </c>
      <c r="G136" s="5">
        <f>SUMIFS(CaseCells!F2:F999,CaseCells!C2:C999, C136,CaseCells!E2:E999, D136)</f>
        <v>1820</v>
      </c>
      <c r="H136" s="3">
        <f>IF(F136 = 0, "", G136 / F136)</f>
        <v>0.91</v>
      </c>
    </row>
    <row r="137">
      <c r="A137" s="2" t="s">
        <v>1059</v>
      </c>
      <c r="B137" s="3" t="str">
        <f>A137</f>
        <v>hospital-mortality-readmission-B</v>
      </c>
      <c r="C137" s="2" t="s">
        <v>695</v>
      </c>
      <c r="D137" s="2" t="s">
        <v>795</v>
      </c>
      <c r="E137" s="2" t="s">
        <v>1060</v>
      </c>
      <c r="F137" s="5">
        <f>SUMIFS(CaseCells!G2:G999,CaseCells!C2:C999, C137,CaseCells!E2:E999, D137)</f>
        <v>2000</v>
      </c>
      <c r="G137" s="5">
        <f>SUMIFS(CaseCells!F2:F999,CaseCells!C2:C999, C137,CaseCells!E2:E999, D137)</f>
        <v>1855</v>
      </c>
      <c r="H137" s="3">
        <f>IF(F137 = 0, "", G137 / F137)</f>
        <v>0.9275</v>
      </c>
    </row>
    <row r="138">
      <c r="A138" s="2" t="s">
        <v>1061</v>
      </c>
      <c r="B138" s="3" t="str">
        <f>A138</f>
        <v>nypd-stop-frisk-hitrate-A</v>
      </c>
      <c r="C138" s="2" t="s">
        <v>699</v>
      </c>
      <c r="D138" s="2" t="s">
        <v>792</v>
      </c>
      <c r="E138" s="2" t="s">
        <v>1062</v>
      </c>
      <c r="F138" s="5">
        <f>SUMIFS(CaseCells!G2:G999,CaseCells!C2:C999, C138,CaseCells!E2:E999, D138)</f>
        <v>10000</v>
      </c>
      <c r="G138" s="5">
        <f>SUMIFS(CaseCells!F2:F999,CaseCells!C2:C999, C138,CaseCells!E2:E999, D138)</f>
        <v>365</v>
      </c>
      <c r="H138" s="3">
        <f>IF(F138 = 0, "", G138 / F138)</f>
        <v>0.0365</v>
      </c>
    </row>
    <row r="139">
      <c r="A139" s="2" t="s">
        <v>1063</v>
      </c>
      <c r="B139" s="3" t="str">
        <f>A139</f>
        <v>nypd-stop-frisk-hitrate-B</v>
      </c>
      <c r="C139" s="2" t="s">
        <v>699</v>
      </c>
      <c r="D139" s="2" t="s">
        <v>795</v>
      </c>
      <c r="E139" s="2" t="s">
        <v>1064</v>
      </c>
      <c r="F139" s="5">
        <f>SUMIFS(CaseCells!G2:G999,CaseCells!C2:C999, C139,CaseCells!E2:E999, D139)</f>
        <v>8500</v>
      </c>
      <c r="G139" s="5">
        <f>SUMIFS(CaseCells!F2:F999,CaseCells!C2:C999, C139,CaseCells!E2:E999, D139)</f>
        <v>352</v>
      </c>
      <c r="H139" s="3">
        <f>IF(F139 = 0, "", G139 / F139)</f>
        <v>0.041411764705882356</v>
      </c>
    </row>
    <row r="140">
      <c r="A140" s="2" t="s">
        <v>1065</v>
      </c>
      <c r="B140" s="3" t="str">
        <f>A140</f>
        <v>sentencing-offense-type-A</v>
      </c>
      <c r="C140" s="2" t="s">
        <v>703</v>
      </c>
      <c r="D140" s="2" t="s">
        <v>792</v>
      </c>
      <c r="E140" s="2" t="s">
        <v>1066</v>
      </c>
      <c r="F140" s="5">
        <f>SUMIFS(CaseCells!G2:G999,CaseCells!C2:C999, C140,CaseCells!E2:E999, D140)</f>
        <v>2000</v>
      </c>
      <c r="G140" s="5">
        <f>SUMIFS(CaseCells!F2:F999,CaseCells!C2:C999, C140,CaseCells!E2:E999, D140)</f>
        <v>1200</v>
      </c>
      <c r="H140" s="3">
        <f>IF(F140 = 0, "", G140 / F140)</f>
        <v>0.6</v>
      </c>
    </row>
    <row r="141">
      <c r="A141" s="2" t="s">
        <v>1067</v>
      </c>
      <c r="B141" s="3" t="str">
        <f>A141</f>
        <v>sentencing-offense-type-B</v>
      </c>
      <c r="C141" s="2" t="s">
        <v>703</v>
      </c>
      <c r="D141" s="2" t="s">
        <v>795</v>
      </c>
      <c r="E141" s="2" t="s">
        <v>1068</v>
      </c>
      <c r="F141" s="5">
        <f>SUMIFS(CaseCells!G2:G999,CaseCells!C2:C999, C141,CaseCells!E2:E999, D141)</f>
        <v>2000</v>
      </c>
      <c r="G141" s="5">
        <f>SUMIFS(CaseCells!F2:F999,CaseCells!C2:C999, C141,CaseCells!E2:E999, D141)</f>
        <v>1170</v>
      </c>
      <c r="H141" s="3">
        <f>IF(F141 = 0, "", G141 / F141)</f>
        <v>0.585</v>
      </c>
    </row>
    <row r="142">
      <c r="A142" s="2" t="s">
        <v>1069</v>
      </c>
      <c r="B142" s="3" t="str">
        <f>A142</f>
        <v>bail-risk-score-A</v>
      </c>
      <c r="C142" s="2" t="s">
        <v>707</v>
      </c>
      <c r="D142" s="2" t="s">
        <v>792</v>
      </c>
      <c r="E142" s="2" t="s">
        <v>1070</v>
      </c>
      <c r="F142" s="5">
        <f>SUMIFS(CaseCells!G2:G999,CaseCells!C2:C999, C142,CaseCells!E2:E999, D142)</f>
        <v>2000</v>
      </c>
      <c r="G142" s="5">
        <f>SUMIFS(CaseCells!F2:F999,CaseCells!C2:C999, C142,CaseCells!E2:E999, D142)</f>
        <v>570</v>
      </c>
      <c r="H142" s="3">
        <f>IF(F142 = 0, "", G142 / F142)</f>
        <v>0.285</v>
      </c>
    </row>
    <row r="143">
      <c r="A143" s="2" t="s">
        <v>1071</v>
      </c>
      <c r="B143" s="3" t="str">
        <f>A143</f>
        <v>bail-risk-score-B</v>
      </c>
      <c r="C143" s="2" t="s">
        <v>707</v>
      </c>
      <c r="D143" s="2" t="s">
        <v>795</v>
      </c>
      <c r="E143" s="2" t="s">
        <v>1072</v>
      </c>
      <c r="F143" s="5">
        <f>SUMIFS(CaseCells!G2:G999,CaseCells!C2:C999, C143,CaseCells!E2:E999, D143)</f>
        <v>2000</v>
      </c>
      <c r="G143" s="5">
        <f>SUMIFS(CaseCells!F2:F999,CaseCells!C2:C999, C143,CaseCells!E2:E999, D143)</f>
        <v>670</v>
      </c>
      <c r="H143" s="3">
        <f>IF(F143 = 0, "", G143 / F143)</f>
        <v>0.335</v>
      </c>
    </row>
    <row r="144">
      <c r="A144" s="2" t="s">
        <v>1073</v>
      </c>
      <c r="B144" s="3" t="str">
        <f>A144</f>
        <v>police-force-encounter-A</v>
      </c>
      <c r="C144" s="2" t="s">
        <v>711</v>
      </c>
      <c r="D144" s="2" t="s">
        <v>792</v>
      </c>
      <c r="E144" s="2" t="s">
        <v>1074</v>
      </c>
      <c r="F144" s="5">
        <f>SUMIFS(CaseCells!G2:G999,CaseCells!C2:C999, C144,CaseCells!E2:E999, D144)</f>
        <v>2000</v>
      </c>
      <c r="G144" s="5">
        <f>SUMIFS(CaseCells!F2:F999,CaseCells!C2:C999, C144,CaseCells!E2:E999, D144)</f>
        <v>580</v>
      </c>
      <c r="H144" s="3">
        <f>IF(F144 = 0, "", G144 / F144)</f>
        <v>0.29</v>
      </c>
    </row>
    <row r="145">
      <c r="A145" s="2" t="s">
        <v>1075</v>
      </c>
      <c r="B145" s="3" t="str">
        <f>A145</f>
        <v>police-force-encounter-B</v>
      </c>
      <c r="C145" s="2" t="s">
        <v>711</v>
      </c>
      <c r="D145" s="2" t="s">
        <v>795</v>
      </c>
      <c r="E145" s="2" t="s">
        <v>1076</v>
      </c>
      <c r="F145" s="5">
        <f>SUMIFS(CaseCells!G2:G999,CaseCells!C2:C999, C145,CaseCells!E2:E999, D145)</f>
        <v>2000</v>
      </c>
      <c r="G145" s="5">
        <f>SUMIFS(CaseCells!F2:F999,CaseCells!C2:C999, C145,CaseCells!E2:E999, D145)</f>
        <v>170</v>
      </c>
      <c r="H145" s="3">
        <f>IF(F145 = 0, "", G145 / F145)</f>
        <v>0.085</v>
      </c>
    </row>
    <row r="146">
      <c r="A146" s="2" t="s">
        <v>1077</v>
      </c>
      <c r="B146" s="3" t="str">
        <f>A146</f>
        <v>uc-systemwide-admissions-A</v>
      </c>
      <c r="C146" s="2" t="s">
        <v>715</v>
      </c>
      <c r="D146" s="2" t="s">
        <v>792</v>
      </c>
      <c r="E146" s="2" t="s">
        <v>1078</v>
      </c>
      <c r="F146" s="5">
        <f>SUMIFS(CaseCells!G2:G999,CaseCells!C2:C999, C146,CaseCells!E2:E999, D146)</f>
        <v>2000</v>
      </c>
      <c r="G146" s="5">
        <f>SUMIFS(CaseCells!F2:F999,CaseCells!C2:C999, C146,CaseCells!E2:E999, D146)</f>
        <v>770</v>
      </c>
      <c r="H146" s="3">
        <f>IF(F146 = 0, "", G146 / F146)</f>
        <v>0.385</v>
      </c>
    </row>
    <row r="147">
      <c r="A147" s="2" t="s">
        <v>1079</v>
      </c>
      <c r="B147" s="3" t="str">
        <f>A147</f>
        <v>uc-systemwide-admissions-B</v>
      </c>
      <c r="C147" s="2" t="s">
        <v>715</v>
      </c>
      <c r="D147" s="2" t="s">
        <v>795</v>
      </c>
      <c r="E147" s="2" t="s">
        <v>1080</v>
      </c>
      <c r="F147" s="5">
        <f>SUMIFS(CaseCells!G2:G999,CaseCells!C2:C999, C147,CaseCells!E2:E999, D147)</f>
        <v>2000</v>
      </c>
      <c r="G147" s="5">
        <f>SUMIFS(CaseCells!F2:F999,CaseCells!C2:C999, C147,CaseCells!E2:E999, D147)</f>
        <v>740</v>
      </c>
      <c r="H147" s="3">
        <f>IF(F147 = 0, "", G147 / F147)</f>
        <v>0.37</v>
      </c>
    </row>
    <row r="148">
      <c r="A148" s="2" t="s">
        <v>1081</v>
      </c>
      <c r="B148" s="3" t="str">
        <f>A148</f>
        <v>teacher-vam-prior-achievement-A</v>
      </c>
      <c r="C148" s="2" t="s">
        <v>719</v>
      </c>
      <c r="D148" s="2" t="s">
        <v>792</v>
      </c>
      <c r="E148" s="2" t="s">
        <v>1082</v>
      </c>
      <c r="F148" s="5">
        <f>SUMIFS(CaseCells!G2:G999,CaseCells!C2:C999, C148,CaseCells!E2:E999, D148)</f>
        <v>2000</v>
      </c>
      <c r="G148" s="5">
        <f>SUMIFS(CaseCells!F2:F999,CaseCells!C2:C999, C148,CaseCells!E2:E999, D148)</f>
        <v>1370</v>
      </c>
      <c r="H148" s="3">
        <f>IF(F148 = 0, "", G148 / F148)</f>
        <v>0.685</v>
      </c>
    </row>
    <row r="149">
      <c r="A149" s="2" t="s">
        <v>1083</v>
      </c>
      <c r="B149" s="3" t="str">
        <f>A149</f>
        <v>teacher-vam-prior-achievement-B</v>
      </c>
      <c r="C149" s="2" t="s">
        <v>719</v>
      </c>
      <c r="D149" s="2" t="s">
        <v>795</v>
      </c>
      <c r="E149" s="2" t="s">
        <v>1084</v>
      </c>
      <c r="F149" s="5">
        <f>SUMIFS(CaseCells!G2:G999,CaseCells!C2:C999, C149,CaseCells!E2:E999, D149)</f>
        <v>2000</v>
      </c>
      <c r="G149" s="5">
        <f>SUMIFS(CaseCells!F2:F999,CaseCells!C2:C999, C149,CaseCells!E2:E999, D149)</f>
        <v>1380</v>
      </c>
      <c r="H149" s="3">
        <f>IF(F149 = 0, "", G149 / F149)</f>
        <v>0.69</v>
      </c>
    </row>
    <row r="150">
      <c r="A150" s="2" t="s">
        <v>1085</v>
      </c>
      <c r="B150" s="3" t="str">
        <f>A150</f>
        <v>naep-state-demographics-A</v>
      </c>
      <c r="C150" s="2" t="s">
        <v>723</v>
      </c>
      <c r="D150" s="2" t="s">
        <v>792</v>
      </c>
      <c r="E150" s="2" t="s">
        <v>1086</v>
      </c>
      <c r="F150" s="5">
        <f>SUMIFS(CaseCells!G2:G999,CaseCells!C2:C999, C150,CaseCells!E2:E999, D150)</f>
        <v>2000</v>
      </c>
      <c r="G150" s="5">
        <f>SUMIFS(CaseCells!F2:F999,CaseCells!C2:C999, C150,CaseCells!E2:E999, D150)</f>
        <v>730</v>
      </c>
      <c r="H150" s="3">
        <f>IF(F150 = 0, "", G150 / F150)</f>
        <v>0.365</v>
      </c>
    </row>
    <row r="151">
      <c r="A151" s="2" t="s">
        <v>1087</v>
      </c>
      <c r="B151" s="3" t="str">
        <f>A151</f>
        <v>naep-state-demographics-B</v>
      </c>
      <c r="C151" s="2" t="s">
        <v>723</v>
      </c>
      <c r="D151" s="2" t="s">
        <v>795</v>
      </c>
      <c r="E151" s="2" t="s">
        <v>1088</v>
      </c>
      <c r="F151" s="5">
        <f>SUMIFS(CaseCells!G2:G999,CaseCells!C2:C999, C151,CaseCells!E2:E999, D151)</f>
        <v>2000</v>
      </c>
      <c r="G151" s="5">
        <f>SUMIFS(CaseCells!F2:F999,CaseCells!C2:C999, C151,CaseCells!E2:E999, D151)</f>
        <v>740</v>
      </c>
      <c r="H151" s="3">
        <f>IF(F151 = 0, "", G151 / F151)</f>
        <v>0.37</v>
      </c>
    </row>
    <row r="152">
      <c r="A152" s="2" t="s">
        <v>1089</v>
      </c>
      <c r="B152" s="3" t="str">
        <f>A152</f>
        <v>college-grad-rate-selectivity-A</v>
      </c>
      <c r="C152" s="2" t="s">
        <v>727</v>
      </c>
      <c r="D152" s="2" t="s">
        <v>792</v>
      </c>
      <c r="E152" s="2" t="s">
        <v>1090</v>
      </c>
      <c r="F152" s="5">
        <f>SUMIFS(CaseCells!G2:G999,CaseCells!C2:C999, C152,CaseCells!E2:E999, D152)</f>
        <v>2000</v>
      </c>
      <c r="G152" s="5">
        <f>SUMIFS(CaseCells!F2:F999,CaseCells!C2:C999, C152,CaseCells!E2:E999, D152)</f>
        <v>1470</v>
      </c>
      <c r="H152" s="3">
        <f>IF(F152 = 0, "", G152 / F152)</f>
        <v>0.735</v>
      </c>
    </row>
    <row r="153">
      <c r="A153" s="2" t="s">
        <v>1091</v>
      </c>
      <c r="B153" s="3" t="str">
        <f>A153</f>
        <v>college-grad-rate-selectivity-B</v>
      </c>
      <c r="C153" s="2" t="s">
        <v>727</v>
      </c>
      <c r="D153" s="2" t="s">
        <v>795</v>
      </c>
      <c r="E153" s="2" t="s">
        <v>1092</v>
      </c>
      <c r="F153" s="5">
        <f>SUMIFS(CaseCells!G2:G999,CaseCells!C2:C999, C153,CaseCells!E2:E999, D153)</f>
        <v>2000</v>
      </c>
      <c r="G153" s="5">
        <f>SUMIFS(CaseCells!F2:F999,CaseCells!C2:C999, C153,CaseCells!E2:E999, D153)</f>
        <v>1500</v>
      </c>
      <c r="H153" s="3">
        <f>IF(F153 = 0, "", G153 / F153)</f>
        <v>0.75</v>
      </c>
    </row>
    <row r="154">
      <c r="A154" s="2" t="s">
        <v>1093</v>
      </c>
      <c r="B154" s="3" t="str">
        <f>A154</f>
        <v>star-class-size-A</v>
      </c>
      <c r="C154" s="2" t="s">
        <v>731</v>
      </c>
      <c r="D154" s="2" t="s">
        <v>792</v>
      </c>
      <c r="E154" s="2" t="s">
        <v>1094</v>
      </c>
      <c r="F154" s="5">
        <f>SUMIFS(CaseCells!G2:G999,CaseCells!C2:C999, C154,CaseCells!E2:E999, D154)</f>
        <v>2000</v>
      </c>
      <c r="G154" s="5">
        <f>SUMIFS(CaseCells!F2:F999,CaseCells!C2:C999, C154,CaseCells!E2:E999, D154)</f>
        <v>1730</v>
      </c>
      <c r="H154" s="3">
        <f>IF(F154 = 0, "", G154 / F154)</f>
        <v>0.865</v>
      </c>
    </row>
    <row r="155">
      <c r="A155" s="2" t="s">
        <v>1095</v>
      </c>
      <c r="B155" s="3" t="str">
        <f>A155</f>
        <v>star-class-size-B</v>
      </c>
      <c r="C155" s="2" t="s">
        <v>731</v>
      </c>
      <c r="D155" s="2" t="s">
        <v>795</v>
      </c>
      <c r="E155" s="2" t="s">
        <v>1096</v>
      </c>
      <c r="F155" s="5">
        <f>SUMIFS(CaseCells!G2:G999,CaseCells!C2:C999, C155,CaseCells!E2:E999, D155)</f>
        <v>2000</v>
      </c>
      <c r="G155" s="5">
        <f>SUMIFS(CaseCells!F2:F999,CaseCells!C2:C999, C155,CaseCells!E2:E999, D155)</f>
        <v>1700</v>
      </c>
      <c r="H155" s="3">
        <f>IF(F155 = 0, "", G155 / F155)</f>
        <v>0.85</v>
      </c>
    </row>
    <row r="156">
      <c r="A156" s="2" t="s">
        <v>1097</v>
      </c>
      <c r="B156" s="3" t="str">
        <f>A156</f>
        <v>nba-shooting-shot-mix-A</v>
      </c>
      <c r="C156" s="2" t="s">
        <v>735</v>
      </c>
      <c r="D156" s="2" t="s">
        <v>792</v>
      </c>
      <c r="E156" s="2" t="s">
        <v>1098</v>
      </c>
      <c r="F156" s="5">
        <f>SUMIFS(CaseCells!G2:G999,CaseCells!C2:C999, C156,CaseCells!E2:E999, D156)</f>
        <v>2000</v>
      </c>
      <c r="G156" s="5">
        <f>SUMIFS(CaseCells!F2:F999,CaseCells!C2:C999, C156,CaseCells!E2:E999, D156)</f>
        <v>840</v>
      </c>
      <c r="H156" s="3">
        <f>IF(F156 = 0, "", G156 / F156)</f>
        <v>0.42</v>
      </c>
    </row>
    <row r="157">
      <c r="A157" s="2" t="s">
        <v>1099</v>
      </c>
      <c r="B157" s="3" t="str">
        <f>A157</f>
        <v>nba-shooting-shot-mix-B</v>
      </c>
      <c r="C157" s="2" t="s">
        <v>735</v>
      </c>
      <c r="D157" s="2" t="s">
        <v>795</v>
      </c>
      <c r="E157" s="2" t="s">
        <v>1100</v>
      </c>
      <c r="F157" s="5">
        <f>SUMIFS(CaseCells!G2:G999,CaseCells!C2:C999, C157,CaseCells!E2:E999, D157)</f>
        <v>1500</v>
      </c>
      <c r="G157" s="5">
        <f>SUMIFS(CaseCells!F2:F999,CaseCells!C2:C999, C157,CaseCells!E2:E999, D157)</f>
        <v>590</v>
      </c>
      <c r="H157" s="3">
        <f>IF(F157 = 0, "", G157 / F157)</f>
        <v>0.3933333333333333</v>
      </c>
    </row>
    <row r="158">
      <c r="A158" s="2" t="s">
        <v>1101</v>
      </c>
      <c r="B158" s="3" t="str">
        <f>A158</f>
        <v>pitcher-era-ballpark-A</v>
      </c>
      <c r="C158" s="2" t="s">
        <v>739</v>
      </c>
      <c r="D158" s="2" t="s">
        <v>792</v>
      </c>
      <c r="E158" s="2" t="s">
        <v>1102</v>
      </c>
      <c r="F158" s="5">
        <f>SUMIFS(CaseCells!G2:G999,CaseCells!C2:C999, C158,CaseCells!E2:E999, D158)</f>
        <v>2000</v>
      </c>
      <c r="G158" s="5">
        <f>SUMIFS(CaseCells!F2:F999,CaseCells!C2:C999, C158,CaseCells!E2:E999, D158)</f>
        <v>1170</v>
      </c>
      <c r="H158" s="3">
        <f>IF(F158 = 0, "", G158 / F158)</f>
        <v>0.585</v>
      </c>
    </row>
    <row r="159">
      <c r="A159" s="2" t="s">
        <v>1103</v>
      </c>
      <c r="B159" s="3" t="str">
        <f>A159</f>
        <v>pitcher-era-ballpark-B</v>
      </c>
      <c r="C159" s="2" t="s">
        <v>739</v>
      </c>
      <c r="D159" s="2" t="s">
        <v>795</v>
      </c>
      <c r="E159" s="2" t="s">
        <v>1104</v>
      </c>
      <c r="F159" s="5">
        <f>SUMIFS(CaseCells!G2:G999,CaseCells!C2:C999, C159,CaseCells!E2:E999, D159)</f>
        <v>2000</v>
      </c>
      <c r="G159" s="5">
        <f>SUMIFS(CaseCells!F2:F999,CaseCells!C2:C999, C159,CaseCells!E2:E999, D159)</f>
        <v>1160</v>
      </c>
      <c r="H159" s="3">
        <f>IF(F159 = 0, "", G159 / F159)</f>
        <v>0.58</v>
      </c>
    </row>
    <row r="160">
      <c r="A160" s="2" t="s">
        <v>1105</v>
      </c>
      <c r="B160" s="3" t="str">
        <f>A160</f>
        <v>nfl-completion-depth-A</v>
      </c>
      <c r="C160" s="2" t="s">
        <v>743</v>
      </c>
      <c r="D160" s="2" t="s">
        <v>792</v>
      </c>
      <c r="E160" s="2" t="s">
        <v>1106</v>
      </c>
      <c r="F160" s="5">
        <f>SUMIFS(CaseCells!G2:G999,CaseCells!C2:C999, C160,CaseCells!E2:E999, D160)</f>
        <v>1000</v>
      </c>
      <c r="G160" s="5">
        <f>SUMIFS(CaseCells!F2:F999,CaseCells!C2:C999, C160,CaseCells!E2:E999, D160)</f>
        <v>810</v>
      </c>
      <c r="H160" s="3">
        <f>IF(F160 = 0, "", G160 / F160)</f>
        <v>0.81</v>
      </c>
    </row>
    <row r="161">
      <c r="A161" s="2" t="s">
        <v>1107</v>
      </c>
      <c r="B161" s="3" t="str">
        <f>A161</f>
        <v>nfl-completion-depth-B</v>
      </c>
      <c r="C161" s="2" t="s">
        <v>743</v>
      </c>
      <c r="D161" s="2" t="s">
        <v>795</v>
      </c>
      <c r="E161" s="2" t="s">
        <v>1108</v>
      </c>
      <c r="F161" s="5">
        <f>SUMIFS(CaseCells!G2:G999,CaseCells!C2:C999, C161,CaseCells!E2:E999, D161)</f>
        <v>1000</v>
      </c>
      <c r="G161" s="5">
        <f>SUMIFS(CaseCells!F2:F999,CaseCells!C2:C999, C161,CaseCells!E2:E999, D161)</f>
        <v>810</v>
      </c>
      <c r="H161" s="3">
        <f>IF(F161 = 0, "", G161 / F161)</f>
        <v>0.81</v>
      </c>
    </row>
    <row r="162">
      <c r="A162" s="2" t="s">
        <v>1109</v>
      </c>
      <c r="B162" s="3" t="str">
        <f>A162</f>
        <v>field-goal-distance-A</v>
      </c>
      <c r="C162" s="2" t="s">
        <v>747</v>
      </c>
      <c r="D162" s="2" t="s">
        <v>792</v>
      </c>
      <c r="E162" s="2" t="s">
        <v>1110</v>
      </c>
      <c r="F162" s="5">
        <f>SUMIFS(CaseCells!G2:G999,CaseCells!C2:C999, C162,CaseCells!E2:E999, D162)</f>
        <v>2000</v>
      </c>
      <c r="G162" s="5">
        <f>SUMIFS(CaseCells!F2:F999,CaseCells!C2:C999, C162,CaseCells!E2:E999, D162)</f>
        <v>1550</v>
      </c>
      <c r="H162" s="3">
        <f>IF(F162 = 0, "", G162 / F162)</f>
        <v>0.775</v>
      </c>
    </row>
    <row r="163">
      <c r="A163" s="2" t="s">
        <v>1111</v>
      </c>
      <c r="B163" s="3" t="str">
        <f>A163</f>
        <v>field-goal-distance-B</v>
      </c>
      <c r="C163" s="2" t="s">
        <v>747</v>
      </c>
      <c r="D163" s="2" t="s">
        <v>795</v>
      </c>
      <c r="E163" s="2" t="s">
        <v>1112</v>
      </c>
      <c r="F163" s="5">
        <f>SUMIFS(CaseCells!G2:G999,CaseCells!C2:C999, C163,CaseCells!E2:E999, D163)</f>
        <v>2000</v>
      </c>
      <c r="G163" s="5">
        <f>SUMIFS(CaseCells!F2:F999,CaseCells!C2:C999, C163,CaseCells!E2:E999, D163)</f>
        <v>1590</v>
      </c>
      <c r="H163" s="3">
        <f>IF(F163 = 0, "", G163 / F163)</f>
        <v>0.795</v>
      </c>
    </row>
    <row r="164">
      <c r="A164" s="2" t="s">
        <v>1113</v>
      </c>
      <c r="B164" s="3" t="str">
        <f>A164</f>
        <v>golf-scoring-course-A</v>
      </c>
      <c r="C164" s="2" t="s">
        <v>751</v>
      </c>
      <c r="D164" s="2" t="s">
        <v>792</v>
      </c>
      <c r="E164" s="2" t="s">
        <v>1114</v>
      </c>
      <c r="F164" s="5">
        <f>SUMIFS(CaseCells!G2:G999,CaseCells!C2:C999, C164,CaseCells!E2:E999, D164)</f>
        <v>2000</v>
      </c>
      <c r="G164" s="5">
        <f>SUMIFS(CaseCells!F2:F999,CaseCells!C2:C999, C164,CaseCells!E2:E999, D164)</f>
        <v>1000</v>
      </c>
      <c r="H164" s="3">
        <f>IF(F164 = 0, "", G164 / F164)</f>
        <v>0.5</v>
      </c>
    </row>
    <row r="165">
      <c r="A165" s="2" t="s">
        <v>1115</v>
      </c>
      <c r="B165" s="3" t="str">
        <f>A165</f>
        <v>golf-scoring-course-B</v>
      </c>
      <c r="C165" s="2" t="s">
        <v>751</v>
      </c>
      <c r="D165" s="2" t="s">
        <v>795</v>
      </c>
      <c r="E165" s="2" t="s">
        <v>1116</v>
      </c>
      <c r="F165" s="5">
        <f>SUMIFS(CaseCells!G2:G999,CaseCells!C2:C999, C165,CaseCells!E2:E999, D165)</f>
        <v>2000</v>
      </c>
      <c r="G165" s="5">
        <f>SUMIFS(CaseCells!F2:F999,CaseCells!C2:C999, C165,CaseCells!E2:E999, D165)</f>
        <v>1000</v>
      </c>
      <c r="H165" s="3">
        <f>IF(F165 = 0, "", G165 / F165)</f>
        <v>0.5</v>
      </c>
    </row>
    <row r="166">
      <c r="A166" s="2" t="s">
        <v>1117</v>
      </c>
      <c r="B166" s="3" t="str">
        <f>A166</f>
        <v>minimum-wage-region-A</v>
      </c>
      <c r="C166" s="2" t="s">
        <v>755</v>
      </c>
      <c r="D166" s="2" t="s">
        <v>792</v>
      </c>
      <c r="E166" s="2" t="s">
        <v>1118</v>
      </c>
      <c r="F166" s="5">
        <f>SUMIFS(CaseCells!G2:G999,CaseCells!C2:C999, C166,CaseCells!E2:E999, D166)</f>
        <v>2000</v>
      </c>
      <c r="G166" s="5">
        <f>SUMIFS(CaseCells!F2:F999,CaseCells!C2:C999, C166,CaseCells!E2:E999, D166)</f>
        <v>1700</v>
      </c>
      <c r="H166" s="3">
        <f>IF(F166 = 0, "", G166 / F166)</f>
        <v>0.85</v>
      </c>
    </row>
    <row r="167">
      <c r="A167" s="2" t="s">
        <v>1119</v>
      </c>
      <c r="B167" s="3" t="str">
        <f>A167</f>
        <v>minimum-wage-region-B</v>
      </c>
      <c r="C167" s="2" t="s">
        <v>755</v>
      </c>
      <c r="D167" s="2" t="s">
        <v>795</v>
      </c>
      <c r="E167" s="2" t="s">
        <v>1120</v>
      </c>
      <c r="F167" s="5">
        <f>SUMIFS(CaseCells!G2:G999,CaseCells!C2:C999, C167,CaseCells!E2:E999, D167)</f>
        <v>2000</v>
      </c>
      <c r="G167" s="5">
        <f>SUMIFS(CaseCells!F2:F999,CaseCells!C2:C999, C167,CaseCells!E2:E999, D167)</f>
        <v>1730</v>
      </c>
      <c r="H167" s="3">
        <f>IF(F167 = 0, "", G167 / F167)</f>
        <v>0.865</v>
      </c>
    </row>
    <row r="168">
      <c r="A168" s="2" t="s">
        <v>1121</v>
      </c>
      <c r="B168" s="3" t="str">
        <f>A168</f>
        <v>returns-to-education-field-A</v>
      </c>
      <c r="C168" s="2" t="s">
        <v>759</v>
      </c>
      <c r="D168" s="2" t="s">
        <v>792</v>
      </c>
      <c r="E168" s="2" t="s">
        <v>1122</v>
      </c>
      <c r="F168" s="5">
        <f>SUMIFS(CaseCells!G2:G999,CaseCells!C2:C999, C168,CaseCells!E2:E999, D168)</f>
        <v>2000</v>
      </c>
      <c r="G168" s="5">
        <f>SUMIFS(CaseCells!F2:F999,CaseCells!C2:C999, C168,CaseCells!E2:E999, D168)</f>
        <v>1240</v>
      </c>
      <c r="H168" s="3">
        <f>IF(F168 = 0, "", G168 / F168)</f>
        <v>0.62</v>
      </c>
    </row>
    <row r="169">
      <c r="A169" s="2" t="s">
        <v>1123</v>
      </c>
      <c r="B169" s="3" t="str">
        <f>A169</f>
        <v>returns-to-education-field-B</v>
      </c>
      <c r="C169" s="2" t="s">
        <v>759</v>
      </c>
      <c r="D169" s="2" t="s">
        <v>795</v>
      </c>
      <c r="E169" s="2" t="s">
        <v>1124</v>
      </c>
      <c r="F169" s="5">
        <f>SUMIFS(CaseCells!G2:G999,CaseCells!C2:C999, C169,CaseCells!E2:E999, D169)</f>
        <v>2000</v>
      </c>
      <c r="G169" s="5">
        <f>SUMIFS(CaseCells!F2:F999,CaseCells!C2:C999, C169,CaseCells!E2:E999, D169)</f>
        <v>730</v>
      </c>
      <c r="H169" s="3">
        <f>IF(F169 = 0, "", G169 / F169)</f>
        <v>0.365</v>
      </c>
    </row>
    <row r="170">
      <c r="A170" s="2" t="s">
        <v>1125</v>
      </c>
      <c r="B170" s="3" t="str">
        <f>A170</f>
        <v>unemployment-education-cycle-A</v>
      </c>
      <c r="C170" s="2" t="s">
        <v>763</v>
      </c>
      <c r="D170" s="2" t="s">
        <v>792</v>
      </c>
      <c r="E170" s="2" t="s">
        <v>1126</v>
      </c>
      <c r="F170" s="5">
        <f>SUMIFS(CaseCells!G2:G999,CaseCells!C2:C999, C170,CaseCells!E2:E999, D170)</f>
        <v>2000</v>
      </c>
      <c r="G170" s="5">
        <f>SUMIFS(CaseCells!F2:F999,CaseCells!C2:C999, C170,CaseCells!E2:E999, D170)</f>
        <v>1770</v>
      </c>
      <c r="H170" s="3">
        <f>IF(F170 = 0, "", G170 / F170)</f>
        <v>0.885</v>
      </c>
    </row>
    <row r="171">
      <c r="A171" s="2" t="s">
        <v>1127</v>
      </c>
      <c r="B171" s="3" t="str">
        <f>A171</f>
        <v>unemployment-education-cycle-B</v>
      </c>
      <c r="C171" s="2" t="s">
        <v>763</v>
      </c>
      <c r="D171" s="2" t="s">
        <v>795</v>
      </c>
      <c r="E171" s="2" t="s">
        <v>1128</v>
      </c>
      <c r="F171" s="5">
        <f>SUMIFS(CaseCells!G2:G999,CaseCells!C2:C999, C171,CaseCells!E2:E999, D171)</f>
        <v>2000</v>
      </c>
      <c r="G171" s="5">
        <f>SUMIFS(CaseCells!F2:F999,CaseCells!C2:C999, C171,CaseCells!E2:E999, D171)</f>
        <v>1790</v>
      </c>
      <c r="H171" s="3">
        <f>IF(F171 = 0, "", G171 / F171)</f>
        <v>0.895</v>
      </c>
    </row>
    <row r="172">
      <c r="A172" s="2" t="s">
        <v>1129</v>
      </c>
      <c r="B172" s="3" t="str">
        <f>A172</f>
        <v>costa-rica-us-life-expectancy-A</v>
      </c>
      <c r="C172" s="2" t="s">
        <v>766</v>
      </c>
      <c r="D172" s="2" t="s">
        <v>792</v>
      </c>
      <c r="E172" s="2" t="s">
        <v>1130</v>
      </c>
      <c r="F172" s="5">
        <f>SUMIFS(CaseCells!G2:G999,CaseCells!C2:C999, C172,CaseCells!E2:E999, D172)</f>
        <v>2000</v>
      </c>
      <c r="G172" s="5">
        <f>SUMIFS(CaseCells!F2:F999,CaseCells!C2:C999, C172,CaseCells!E2:E999, D172)</f>
        <v>1840</v>
      </c>
      <c r="H172" s="3">
        <f>IF(F172 = 0, "", G172 / F172)</f>
        <v>0.92</v>
      </c>
    </row>
    <row r="173">
      <c r="A173" s="2" t="s">
        <v>1131</v>
      </c>
      <c r="B173" s="3" t="str">
        <f>A173</f>
        <v>costa-rica-us-life-expectancy-B</v>
      </c>
      <c r="C173" s="2" t="s">
        <v>766</v>
      </c>
      <c r="D173" s="2" t="s">
        <v>795</v>
      </c>
      <c r="E173" s="2" t="s">
        <v>1132</v>
      </c>
      <c r="F173" s="5">
        <f>SUMIFS(CaseCells!G2:G999,CaseCells!C2:C999, C173,CaseCells!E2:E999, D173)</f>
        <v>2000</v>
      </c>
      <c r="G173" s="5">
        <f>SUMIFS(CaseCells!F2:F999,CaseCells!C2:C999, C173,CaseCells!E2:E999, D173)</f>
        <v>1885</v>
      </c>
      <c r="H173" s="3">
        <f>IF(F173 = 0, "", G173 / F173)</f>
        <v>0.9425</v>
      </c>
    </row>
    <row r="174">
      <c r="A174" s="2" t="s">
        <v>1133</v>
      </c>
      <c r="B174" s="3" t="str">
        <f>A174</f>
        <v>fertility-income-country-A</v>
      </c>
      <c r="C174" s="2" t="s">
        <v>770</v>
      </c>
      <c r="D174" s="2" t="s">
        <v>792</v>
      </c>
      <c r="E174" s="2" t="s">
        <v>1134</v>
      </c>
      <c r="F174" s="5">
        <f>SUMIFS(CaseCells!G2:G999,CaseCells!C2:C999, C174,CaseCells!E2:E999, D174)</f>
        <v>2000</v>
      </c>
      <c r="G174" s="5">
        <f>SUMIFS(CaseCells!F2:F999,CaseCells!C2:C999, C174,CaseCells!E2:E999, D174)</f>
        <v>830</v>
      </c>
      <c r="H174" s="3">
        <f>IF(F174 = 0, "", G174 / F174)</f>
        <v>0.415</v>
      </c>
    </row>
    <row r="175">
      <c r="A175" s="2" t="s">
        <v>1135</v>
      </c>
      <c r="B175" s="3" t="str">
        <f>A175</f>
        <v>fertility-income-country-B</v>
      </c>
      <c r="C175" s="2" t="s">
        <v>770</v>
      </c>
      <c r="D175" s="2" t="s">
        <v>795</v>
      </c>
      <c r="E175" s="2" t="s">
        <v>1136</v>
      </c>
      <c r="F175" s="5">
        <f>SUMIFS(CaseCells!G2:G999,CaseCells!C2:C999, C175,CaseCells!E2:E999, D175)</f>
        <v>2000</v>
      </c>
      <c r="G175" s="5">
        <f>SUMIFS(CaseCells!F2:F999,CaseCells!C2:C999, C175,CaseCells!E2:E999, D175)</f>
        <v>870</v>
      </c>
      <c r="H175" s="3">
        <f>IF(F175 = 0, "", G175 / F175)</f>
        <v>0.435</v>
      </c>
    </row>
    <row r="176">
      <c r="A176" s="2" t="s">
        <v>1137</v>
      </c>
      <c r="B176" s="3" t="str">
        <f>A176</f>
        <v>religiosity-happiness-country-A</v>
      </c>
      <c r="C176" s="2" t="s">
        <v>774</v>
      </c>
      <c r="D176" s="2" t="s">
        <v>792</v>
      </c>
      <c r="E176" s="2" t="s">
        <v>1138</v>
      </c>
      <c r="F176" s="5">
        <f>SUMIFS(CaseCells!G2:G999,CaseCells!C2:C999, C176,CaseCells!E2:E999, D176)</f>
        <v>2000</v>
      </c>
      <c r="G176" s="5">
        <f>SUMIFS(CaseCells!F2:F999,CaseCells!C2:C999, C176,CaseCells!E2:E999, D176)</f>
        <v>1370</v>
      </c>
      <c r="H176" s="3">
        <f>IF(F176 = 0, "", G176 / F176)</f>
        <v>0.685</v>
      </c>
    </row>
    <row r="177">
      <c r="A177" s="2" t="s">
        <v>1139</v>
      </c>
      <c r="B177" s="3" t="str">
        <f>A177</f>
        <v>religiosity-happiness-country-B</v>
      </c>
      <c r="C177" s="2" t="s">
        <v>774</v>
      </c>
      <c r="D177" s="2" t="s">
        <v>795</v>
      </c>
      <c r="E177" s="2" t="s">
        <v>1140</v>
      </c>
      <c r="F177" s="5">
        <f>SUMIFS(CaseCells!G2:G999,CaseCells!C2:C999, C177,CaseCells!E2:E999, D177)</f>
        <v>2000</v>
      </c>
      <c r="G177" s="5">
        <f>SUMIFS(CaseCells!F2:F999,CaseCells!C2:C999, C177,CaseCells!E2:E999, D177)</f>
        <v>1360</v>
      </c>
      <c r="H177" s="3">
        <f>IF(F177 = 0, "", G177 / F177)</f>
        <v>0.68</v>
      </c>
    </row>
    <row r="178">
      <c r="A178" s="2" t="s">
        <v>1141</v>
      </c>
      <c r="B178" s="3" t="str">
        <f>A178</f>
        <v>voter-turnout-education-state-A</v>
      </c>
      <c r="C178" s="2" t="s">
        <v>778</v>
      </c>
      <c r="D178" s="2" t="s">
        <v>792</v>
      </c>
      <c r="E178" s="2" t="s">
        <v>1142</v>
      </c>
      <c r="F178" s="5">
        <f>SUMIFS(CaseCells!G2:G999,CaseCells!C2:C999, C178,CaseCells!E2:E999, D178)</f>
        <v>2000</v>
      </c>
      <c r="G178" s="5">
        <f>SUMIFS(CaseCells!F2:F999,CaseCells!C2:C999, C178,CaseCells!E2:E999, D178)</f>
        <v>1430</v>
      </c>
      <c r="H178" s="3">
        <f>IF(F178 = 0, "", G178 / F178)</f>
        <v>0.715</v>
      </c>
    </row>
    <row r="179">
      <c r="A179" s="2" t="s">
        <v>1143</v>
      </c>
      <c r="B179" s="3" t="str">
        <f>A179</f>
        <v>voter-turnout-education-state-B</v>
      </c>
      <c r="C179" s="2" t="s">
        <v>778</v>
      </c>
      <c r="D179" s="2" t="s">
        <v>795</v>
      </c>
      <c r="E179" s="2" t="s">
        <v>1144</v>
      </c>
      <c r="F179" s="5">
        <f>SUMIFS(CaseCells!G2:G999,CaseCells!C2:C999, C179,CaseCells!E2:E999, D179)</f>
        <v>2000</v>
      </c>
      <c r="G179" s="5">
        <f>SUMIFS(CaseCells!F2:F999,CaseCells!C2:C999, C179,CaseCells!E2:E999, D179)</f>
        <v>1000</v>
      </c>
      <c r="H179" s="3">
        <f>IF(F179 = 0, "", G179 / F179)</f>
        <v>0.5</v>
      </c>
    </row>
    <row r="180">
      <c r="A180" s="2" t="s">
        <v>1145</v>
      </c>
      <c r="B180" s="3" t="str">
        <f>A180</f>
        <v>ad-ctr-platform-mix-A</v>
      </c>
      <c r="C180" s="2" t="s">
        <v>782</v>
      </c>
      <c r="D180" s="2" t="s">
        <v>792</v>
      </c>
      <c r="E180" s="2" t="s">
        <v>1146</v>
      </c>
      <c r="F180" s="5">
        <f>SUMIFS(CaseCells!G2:G999,CaseCells!C2:C999, C180,CaseCells!E2:E999, D180)</f>
        <v>2000</v>
      </c>
      <c r="G180" s="5">
        <f>SUMIFS(CaseCells!F2:F999,CaseCells!C2:C999, C180,CaseCells!E2:E999, D180)</f>
        <v>125</v>
      </c>
      <c r="H180" s="3">
        <f>IF(F180 = 0, "", G180 / F180)</f>
        <v>0.0625</v>
      </c>
    </row>
    <row r="181">
      <c r="A181" s="2" t="s">
        <v>1147</v>
      </c>
      <c r="B181" s="3" t="str">
        <f>A181</f>
        <v>ad-ctr-platform-mix-B</v>
      </c>
      <c r="C181" s="2" t="s">
        <v>782</v>
      </c>
      <c r="D181" s="2" t="s">
        <v>795</v>
      </c>
      <c r="E181" s="2" t="s">
        <v>1148</v>
      </c>
      <c r="F181" s="5">
        <f>SUMIFS(CaseCells!G2:G999,CaseCells!C2:C999, C181,CaseCells!E2:E999, D181)</f>
        <v>2000</v>
      </c>
      <c r="G181" s="5">
        <f>SUMIFS(CaseCells!F2:F999,CaseCells!C2:C999, C181,CaseCells!E2:E999, D181)</f>
        <v>125</v>
      </c>
      <c r="H181" s="3">
        <f>IF(F181 = 0, "", G181 / F181)</f>
        <v>0.0625</v>
      </c>
    </row>
  </sheetData>
  <autoFilter ref="A1:H1"/>
  <headerFooter/>
  <legacyDrawing r:id="rId1"/>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214"/>
  <sheetViews>
    <sheetView workbookViewId="0">
      <pane ySplit="1" topLeftCell="A2" state="frozen" activePane="bottomLeft"/>
      <selection pane="bottomLeft" activeCell="A1" sqref="A1"/>
    </sheetView>
  </sheetViews>
  <sheetFormatPr defaultRowHeight="15"/>
  <cols>
    <col min="1" max="1" width="53.694480895996094" customWidth="1"/>
    <col min="2" max="2" width="53.694480895996094" customWidth="1"/>
    <col min="3" max="3" width="33.19231414794922" customWidth="1"/>
    <col min="4" max="4" width="24.531021118164062" customWidth="1"/>
    <col min="5" max="5" width="256" customWidth="1"/>
    <col min="6" max="6" width="17.443378448486328" customWidth="1"/>
  </cols>
  <sheetData>
    <row r="1">
      <c r="A1" s="1" t="s">
        <v>1149</v>
      </c>
      <c r="B1" s="1" t="s">
        <v>1</v>
      </c>
      <c r="C1" s="1" t="s">
        <v>786</v>
      </c>
      <c r="D1" s="1" t="s">
        <v>1150</v>
      </c>
      <c r="E1" s="1" t="s">
        <v>788</v>
      </c>
      <c r="F1" s="1" t="s">
        <v>399</v>
      </c>
    </row>
    <row r="2">
      <c r="A2" s="2" t="s">
        <v>1151</v>
      </c>
      <c r="B2" s="3" t="str">
        <f>A2</f>
        <v>kidney-1986-small</v>
      </c>
      <c r="C2" s="2" t="s">
        <v>414</v>
      </c>
      <c r="D2" s="2" t="s">
        <v>1152</v>
      </c>
      <c r="E2" s="2" t="s">
        <v>1153</v>
      </c>
      <c r="F2" s="5">
        <f>SUMIFS(CaseCells!G2:G999,CaseCells!C2:C999, C2,CaseCells!D2:D999, D2)</f>
        <v>357</v>
      </c>
    </row>
    <row r="3">
      <c r="A3" s="2" t="s">
        <v>1154</v>
      </c>
      <c r="B3" s="3" t="str">
        <f>A3</f>
        <v>kidney-1986-large</v>
      </c>
      <c r="C3" s="2" t="s">
        <v>414</v>
      </c>
      <c r="D3" s="2" t="s">
        <v>1155</v>
      </c>
      <c r="E3" s="2" t="s">
        <v>1156</v>
      </c>
      <c r="F3" s="5">
        <f>SUMIFS(CaseCells!G2:G999,CaseCells!C2:C999, C3,CaseCells!D2:D999, D3)</f>
        <v>343</v>
      </c>
    </row>
    <row r="4">
      <c r="A4" s="2" t="s">
        <v>1157</v>
      </c>
      <c r="B4" s="3" t="str">
        <f>A4</f>
        <v>kidney-balanced-small</v>
      </c>
      <c r="C4" s="2" t="s">
        <v>425</v>
      </c>
      <c r="D4" s="2" t="s">
        <v>1152</v>
      </c>
      <c r="E4" s="2" t="s">
        <v>1158</v>
      </c>
      <c r="F4" s="5">
        <f>SUMIFS(CaseCells!G2:G999,CaseCells!C2:C999, C4,CaseCells!D2:D999, D4)</f>
        <v>350</v>
      </c>
    </row>
    <row r="5">
      <c r="A5" s="2" t="s">
        <v>1159</v>
      </c>
      <c r="B5" s="3" t="str">
        <f>A5</f>
        <v>kidney-balanced-large</v>
      </c>
      <c r="C5" s="2" t="s">
        <v>425</v>
      </c>
      <c r="D5" s="2" t="s">
        <v>1155</v>
      </c>
      <c r="E5" s="2" t="s">
        <v>1160</v>
      </c>
      <c r="F5" s="5">
        <f>SUMIFS(CaseCells!G2:G999,CaseCells!C2:C999, C5,CaseCells!D2:D999, D5)</f>
        <v>350</v>
      </c>
    </row>
    <row r="6">
      <c r="A6" s="2" t="s">
        <v>1161</v>
      </c>
      <c r="B6" s="3" t="str">
        <f>A6</f>
        <v>balanced-synthetic-easy</v>
      </c>
      <c r="C6" s="2" t="s">
        <v>420</v>
      </c>
      <c r="D6" s="2" t="s">
        <v>1162</v>
      </c>
      <c r="E6" s="2" t="s">
        <v>1163</v>
      </c>
      <c r="F6" s="5">
        <f>SUMIFS(CaseCells!G2:G999,CaseCells!C2:C999, C6,CaseCells!D2:D999, D6)</f>
        <v>200</v>
      </c>
    </row>
    <row r="7">
      <c r="A7" s="2" t="s">
        <v>1164</v>
      </c>
      <c r="B7" s="3" t="str">
        <f>A7</f>
        <v>balanced-synthetic-hard</v>
      </c>
      <c r="C7" s="2" t="s">
        <v>420</v>
      </c>
      <c r="D7" s="2" t="s">
        <v>1165</v>
      </c>
      <c r="E7" s="2" t="s">
        <v>1166</v>
      </c>
      <c r="F7" s="5">
        <f>SUMIFS(CaseCells!G2:G999,CaseCells!C2:C999, C7,CaseCells!D2:D999, D7)</f>
        <v>200</v>
      </c>
    </row>
    <row r="8">
      <c r="A8" s="2" t="s">
        <v>1167</v>
      </c>
      <c r="B8" s="3" t="str">
        <f>A8</f>
        <v>berkeley-1973-dept-A</v>
      </c>
      <c r="C8" s="2" t="s">
        <v>428</v>
      </c>
      <c r="D8" s="2" t="s">
        <v>1168</v>
      </c>
      <c r="E8" s="2" t="s">
        <v>1169</v>
      </c>
      <c r="F8" s="5">
        <f>SUMIFS(CaseCells!G2:G999,CaseCells!C2:C999, C8,CaseCells!D2:D999, D8)</f>
        <v>933</v>
      </c>
    </row>
    <row r="9">
      <c r="A9" s="2" t="s">
        <v>1170</v>
      </c>
      <c r="B9" s="3" t="str">
        <f>A9</f>
        <v>berkeley-1973-dept-B</v>
      </c>
      <c r="C9" s="2" t="s">
        <v>428</v>
      </c>
      <c r="D9" s="2" t="s">
        <v>1171</v>
      </c>
      <c r="E9" s="2" t="s">
        <v>1172</v>
      </c>
      <c r="F9" s="5">
        <f>SUMIFS(CaseCells!G2:G999,CaseCells!C2:C999, C9,CaseCells!D2:D999, D9)</f>
        <v>585</v>
      </c>
    </row>
    <row r="10">
      <c r="A10" s="2" t="s">
        <v>1173</v>
      </c>
      <c r="B10" s="3" t="str">
        <f>A10</f>
        <v>berkeley-1973-dept-C</v>
      </c>
      <c r="C10" s="2" t="s">
        <v>428</v>
      </c>
      <c r="D10" s="2" t="s">
        <v>1174</v>
      </c>
      <c r="E10" s="2" t="s">
        <v>1175</v>
      </c>
      <c r="F10" s="5">
        <f>SUMIFS(CaseCells!G2:G999,CaseCells!C2:C999, C10,CaseCells!D2:D999, D10)</f>
        <v>918</v>
      </c>
    </row>
    <row r="11">
      <c r="A11" s="2" t="s">
        <v>1176</v>
      </c>
      <c r="B11" s="3" t="str">
        <f>A11</f>
        <v>berkeley-1973-dept-D</v>
      </c>
      <c r="C11" s="2" t="s">
        <v>428</v>
      </c>
      <c r="D11" s="2" t="s">
        <v>1177</v>
      </c>
      <c r="E11" s="2" t="s">
        <v>1178</v>
      </c>
      <c r="F11" s="5">
        <f>SUMIFS(CaseCells!G2:G999,CaseCells!C2:C999, C11,CaseCells!D2:D999, D11)</f>
        <v>792</v>
      </c>
    </row>
    <row r="12">
      <c r="A12" s="2" t="s">
        <v>1179</v>
      </c>
      <c r="B12" s="3" t="str">
        <f>A12</f>
        <v>compressed-synthetic-hard</v>
      </c>
      <c r="C12" s="2" t="s">
        <v>434</v>
      </c>
      <c r="D12" s="2" t="s">
        <v>1165</v>
      </c>
      <c r="E12" s="2" t="s">
        <v>1180</v>
      </c>
      <c r="F12" s="5">
        <f>SUMIFS(CaseCells!G2:G999,CaseCells!C2:C999, C12,CaseCells!D2:D999, D12)</f>
        <v>200</v>
      </c>
    </row>
    <row r="13">
      <c r="A13" s="2" t="s">
        <v>1181</v>
      </c>
      <c r="B13" s="3" t="str">
        <f>A13</f>
        <v>compressed-synthetic-easy</v>
      </c>
      <c r="C13" s="2" t="s">
        <v>434</v>
      </c>
      <c r="D13" s="2" t="s">
        <v>1162</v>
      </c>
      <c r="E13" s="2" t="s">
        <v>1182</v>
      </c>
      <c r="F13" s="5">
        <f>SUMIFS(CaseCells!G2:G999,CaseCells!C2:C999, C13,CaseCells!D2:D999, D13)</f>
        <v>200</v>
      </c>
    </row>
    <row r="14">
      <c r="A14" s="2" t="s">
        <v>1183</v>
      </c>
      <c r="B14" s="3" t="str">
        <f>A14</f>
        <v>reintjes-2000-low</v>
      </c>
      <c r="C14" s="2" t="s">
        <v>437</v>
      </c>
      <c r="D14" s="2" t="s">
        <v>1184</v>
      </c>
      <c r="E14" s="2" t="s">
        <v>1185</v>
      </c>
      <c r="F14" s="5">
        <f>SUMIFS(CaseCells!G2:G999,CaseCells!C2:C999, C14,CaseCells!D2:D999, D14)</f>
        <v>1833</v>
      </c>
    </row>
    <row r="15">
      <c r="A15" s="2" t="s">
        <v>1186</v>
      </c>
      <c r="B15" s="3" t="str">
        <f>A15</f>
        <v>reintjes-2000-high</v>
      </c>
      <c r="C15" s="2" t="s">
        <v>437</v>
      </c>
      <c r="D15" s="2" t="s">
        <v>1187</v>
      </c>
      <c r="E15" s="2" t="s">
        <v>1188</v>
      </c>
      <c r="F15" s="5">
        <f>SUMIFS(CaseCells!G2:G999,CaseCells!C2:C999, C15,CaseCells!D2:D999, D15)</f>
        <v>1686</v>
      </c>
    </row>
    <row r="16">
      <c r="A16" s="2" t="s">
        <v>1189</v>
      </c>
      <c r="B16" s="3" t="str">
        <f>A16</f>
        <v>radelet-1981-white-victim</v>
      </c>
      <c r="C16" s="2" t="s">
        <v>442</v>
      </c>
      <c r="D16" s="2" t="s">
        <v>1190</v>
      </c>
      <c r="E16" s="2" t="s">
        <v>1191</v>
      </c>
      <c r="F16" s="5">
        <f>SUMIFS(CaseCells!G2:G999,CaseCells!C2:C999, C16,CaseCells!D2:D999, D16)</f>
        <v>214</v>
      </c>
    </row>
    <row r="17">
      <c r="A17" s="2" t="s">
        <v>1192</v>
      </c>
      <c r="B17" s="3" t="str">
        <f>A17</f>
        <v>radelet-1981-black-victim</v>
      </c>
      <c r="C17" s="2" t="s">
        <v>442</v>
      </c>
      <c r="D17" s="2" t="s">
        <v>1193</v>
      </c>
      <c r="E17" s="2" t="s">
        <v>1194</v>
      </c>
      <c r="F17" s="5">
        <f>SUMIFS(CaseCells!G2:G999,CaseCells!C2:C999, C17,CaseCells!D2:D999, D17)</f>
        <v>112</v>
      </c>
    </row>
    <row r="18">
      <c r="A18" s="2" t="s">
        <v>1195</v>
      </c>
      <c r="B18" s="3" t="str">
        <f>A18</f>
        <v>jeter-justice-1997-1995</v>
      </c>
      <c r="C18" s="2" t="s">
        <v>448</v>
      </c>
      <c r="D18" s="2" t="s">
        <v>1196</v>
      </c>
      <c r="E18" s="2" t="s">
        <v>1197</v>
      </c>
      <c r="F18" s="5">
        <f>SUMIFS(CaseCells!G2:G999,CaseCells!C2:C999, C18,CaseCells!D2:D999, D18)</f>
        <v>459</v>
      </c>
    </row>
    <row r="19">
      <c r="A19" s="2" t="s">
        <v>1198</v>
      </c>
      <c r="B19" s="3" t="str">
        <f>A19</f>
        <v>jeter-justice-1997-1996</v>
      </c>
      <c r="C19" s="2" t="s">
        <v>448</v>
      </c>
      <c r="D19" s="2" t="s">
        <v>1199</v>
      </c>
      <c r="E19" s="2" t="s">
        <v>1200</v>
      </c>
      <c r="F19" s="5">
        <f>SUMIFS(CaseCells!G2:G999,CaseCells!C2:C999, C19,CaseCells!D2:D999, D19)</f>
        <v>722</v>
      </c>
    </row>
    <row r="20">
      <c r="A20" s="2" t="s">
        <v>1201</v>
      </c>
      <c r="B20" s="3" t="str">
        <f>A20</f>
        <v>jeter-justice-1997-1997</v>
      </c>
      <c r="C20" s="2" t="s">
        <v>448</v>
      </c>
      <c r="D20" s="2" t="s">
        <v>1202</v>
      </c>
      <c r="E20" s="2" t="s">
        <v>1203</v>
      </c>
      <c r="F20" s="5">
        <f>SUMIFS(CaseCells!G2:G999,CaseCells!C2:C999, C20,CaseCells!D2:D999, D20)</f>
        <v>1149</v>
      </c>
    </row>
    <row r="21">
      <c r="A21" s="2" t="s">
        <v>1204</v>
      </c>
      <c r="B21" s="3" t="str">
        <f>A21</f>
        <v>appleton-1996-18-24</v>
      </c>
      <c r="C21" s="2" t="s">
        <v>453</v>
      </c>
      <c r="D21" s="2" t="s">
        <v>1205</v>
      </c>
      <c r="E21" s="2" t="s">
        <v>1206</v>
      </c>
      <c r="F21" s="5">
        <f>SUMIFS(CaseCells!G2:G999,CaseCells!C2:C999, C21,CaseCells!D2:D999, D21)</f>
        <v>127</v>
      </c>
    </row>
    <row r="22">
      <c r="A22" s="2" t="s">
        <v>1207</v>
      </c>
      <c r="B22" s="3" t="str">
        <f>A22</f>
        <v>appleton-1996-25-34</v>
      </c>
      <c r="C22" s="2" t="s">
        <v>453</v>
      </c>
      <c r="D22" s="2" t="s">
        <v>1208</v>
      </c>
      <c r="E22" s="2" t="s">
        <v>1209</v>
      </c>
      <c r="F22" s="5">
        <f>SUMIFS(CaseCells!G2:G999,CaseCells!C2:C999, C22,CaseCells!D2:D999, D22)</f>
        <v>281</v>
      </c>
    </row>
    <row r="23">
      <c r="A23" s="2" t="s">
        <v>1210</v>
      </c>
      <c r="B23" s="3" t="str">
        <f>A23</f>
        <v>appleton-1996-35-44</v>
      </c>
      <c r="C23" s="2" t="s">
        <v>453</v>
      </c>
      <c r="D23" s="2" t="s">
        <v>1211</v>
      </c>
      <c r="E23" s="2" t="s">
        <v>1212</v>
      </c>
      <c r="F23" s="5">
        <f>SUMIFS(CaseCells!G2:G999,CaseCells!C2:C999, C23,CaseCells!D2:D999, D23)</f>
        <v>216</v>
      </c>
    </row>
    <row r="24">
      <c r="A24" s="2" t="s">
        <v>1213</v>
      </c>
      <c r="B24" s="3" t="str">
        <f>A24</f>
        <v>appleton-1996-45-54</v>
      </c>
      <c r="C24" s="2" t="s">
        <v>453</v>
      </c>
      <c r="D24" s="2" t="s">
        <v>1214</v>
      </c>
      <c r="E24" s="2" t="s">
        <v>1215</v>
      </c>
      <c r="F24" s="5">
        <f>SUMIFS(CaseCells!G2:G999,CaseCells!C2:C999, C24,CaseCells!D2:D999, D24)</f>
        <v>209</v>
      </c>
    </row>
    <row r="25">
      <c r="A25" s="2" t="s">
        <v>1216</v>
      </c>
      <c r="B25" s="3" t="str">
        <f>A25</f>
        <v>appleton-1996-55-64</v>
      </c>
      <c r="C25" s="2" t="s">
        <v>453</v>
      </c>
      <c r="D25" s="2" t="s">
        <v>1217</v>
      </c>
      <c r="E25" s="2" t="s">
        <v>1218</v>
      </c>
      <c r="F25" s="5">
        <f>SUMIFS(CaseCells!G2:G999,CaseCells!C2:C999, C25,CaseCells!D2:D999, D25)</f>
        <v>238</v>
      </c>
    </row>
    <row r="26">
      <c r="A26" s="2" t="s">
        <v>1219</v>
      </c>
      <c r="B26" s="3" t="str">
        <f>A26</f>
        <v>appleton-1996-65-74</v>
      </c>
      <c r="C26" s="2" t="s">
        <v>453</v>
      </c>
      <c r="D26" s="2" t="s">
        <v>1220</v>
      </c>
      <c r="E26" s="2" t="s">
        <v>1221</v>
      </c>
      <c r="F26" s="5">
        <f>SUMIFS(CaseCells!G2:G999,CaseCells!C2:C999, C26,CaseCells!D2:D999, D26)</f>
        <v>166</v>
      </c>
    </row>
    <row r="27">
      <c r="A27" s="2" t="s">
        <v>1222</v>
      </c>
      <c r="B27" s="3" t="str">
        <f>A27</f>
        <v>appleton-1996-75plus</v>
      </c>
      <c r="C27" s="2" t="s">
        <v>453</v>
      </c>
      <c r="D27" s="2" t="s">
        <v>1223</v>
      </c>
      <c r="E27" s="2" t="s">
        <v>1224</v>
      </c>
      <c r="F27" s="5">
        <f>SUMIFS(CaseCells!G2:G999,CaseCells!C2:C999, C27,CaseCells!D2:D999, D27)</f>
        <v>77</v>
      </c>
    </row>
    <row r="28">
      <c r="A28" s="2" t="s">
        <v>1225</v>
      </c>
      <c r="B28" s="3" t="str">
        <f>A28</f>
        <v>phe-covid-2021-under-50</v>
      </c>
      <c r="C28" s="2" t="s">
        <v>457</v>
      </c>
      <c r="D28" s="2" t="s">
        <v>1226</v>
      </c>
      <c r="E28" s="2" t="s">
        <v>1227</v>
      </c>
      <c r="F28" s="5">
        <f>SUMIFS(CaseCells!G2:G999,CaseCells!C2:C999, C28,CaseCells!D2:D999, D28)</f>
        <v>237419</v>
      </c>
    </row>
    <row r="29">
      <c r="A29" s="2" t="s">
        <v>1228</v>
      </c>
      <c r="B29" s="3" t="str">
        <f>A29</f>
        <v>phe-covid-2021-50plus</v>
      </c>
      <c r="C29" s="2" t="s">
        <v>457</v>
      </c>
      <c r="D29" s="2" t="s">
        <v>1229</v>
      </c>
      <c r="E29" s="2" t="s">
        <v>1230</v>
      </c>
      <c r="F29" s="5">
        <f>SUMIFS(CaseCells!G2:G999,CaseCells!C2:C999, C29,CaseCells!D2:D999, D29)</f>
        <v>30747</v>
      </c>
    </row>
    <row r="30">
      <c r="A30" s="2" t="s">
        <v>1231</v>
      </c>
      <c r="B30" s="3" t="str">
        <f>A30</f>
        <v>hannan-1994-high-risk</v>
      </c>
      <c r="C30" s="2" t="s">
        <v>462</v>
      </c>
      <c r="D30" s="2" t="s">
        <v>1232</v>
      </c>
      <c r="E30" s="2" t="s">
        <v>1233</v>
      </c>
      <c r="F30" s="5">
        <f>SUMIFS(CaseCells!G2:G999,CaseCells!C2:C999, C30,CaseCells!D2:D999, D30)</f>
        <v>570</v>
      </c>
    </row>
    <row r="31">
      <c r="A31" s="2" t="s">
        <v>1234</v>
      </c>
      <c r="B31" s="3" t="str">
        <f>A31</f>
        <v>hannan-1994-low-risk</v>
      </c>
      <c r="C31" s="2" t="s">
        <v>462</v>
      </c>
      <c r="D31" s="2" t="s">
        <v>1235</v>
      </c>
      <c r="E31" s="2" t="s">
        <v>1236</v>
      </c>
      <c r="F31" s="5">
        <f>SUMIFS(CaseCells!G2:G999,CaseCells!C2:C999, C31,CaseCells!D2:D999, D31)</f>
        <v>530</v>
      </c>
    </row>
    <row r="32">
      <c r="A32" s="2" t="s">
        <v>1237</v>
      </c>
      <c r="B32" s="3" t="str">
        <f>A32</f>
        <v>titanic-1912-male</v>
      </c>
      <c r="C32" s="2" t="s">
        <v>466</v>
      </c>
      <c r="D32" s="2" t="s">
        <v>1238</v>
      </c>
      <c r="E32" s="2" t="s">
        <v>1239</v>
      </c>
      <c r="F32" s="5">
        <f>SUMIFS(CaseCells!G2:G999,CaseCells!C2:C999, C32,CaseCells!D2:D999, D32)</f>
        <v>637</v>
      </c>
    </row>
    <row r="33">
      <c r="A33" s="2" t="s">
        <v>1240</v>
      </c>
      <c r="B33" s="3" t="str">
        <f>A33</f>
        <v>titanic-1912-female</v>
      </c>
      <c r="C33" s="2" t="s">
        <v>466</v>
      </c>
      <c r="D33" s="2" t="s">
        <v>1241</v>
      </c>
      <c r="E33" s="2" t="s">
        <v>1242</v>
      </c>
      <c r="F33" s="5">
        <f>SUMIFS(CaseCells!G2:G999,CaseCells!C2:C999, C33,CaseCells!D2:D999, D33)</f>
        <v>309</v>
      </c>
    </row>
    <row r="34">
      <c r="A34" s="2" t="s">
        <v>1243</v>
      </c>
      <c r="B34" s="3" t="str">
        <f>A34</f>
        <v>bwp-lbw</v>
      </c>
      <c r="C34" s="2" t="s">
        <v>470</v>
      </c>
      <c r="D34" s="2" t="s">
        <v>1244</v>
      </c>
      <c r="E34" s="2" t="s">
        <v>1245</v>
      </c>
      <c r="F34" s="5">
        <f>SUMIFS(CaseCells!G2:G999,CaseCells!C2:C999, C34,CaseCells!D2:D999, D34)</f>
        <v>1500</v>
      </c>
    </row>
    <row r="35">
      <c r="A35" s="2" t="s">
        <v>1246</v>
      </c>
      <c r="B35" s="3" t="str">
        <f>A35</f>
        <v>bwp-nbw</v>
      </c>
      <c r="C35" s="2" t="s">
        <v>470</v>
      </c>
      <c r="D35" s="2" t="s">
        <v>1247</v>
      </c>
      <c r="E35" s="2" t="s">
        <v>1248</v>
      </c>
      <c r="F35" s="5">
        <f>SUMIFS(CaseCells!G2:G999,CaseCells!C2:C999, C35,CaseCells!D2:D999, D35)</f>
        <v>6000</v>
      </c>
    </row>
    <row r="36">
      <c r="A36" s="2" t="s">
        <v>1249</v>
      </c>
      <c r="B36" s="3" t="str">
        <f>A36</f>
        <v>mel-thin</v>
      </c>
      <c r="C36" s="2" t="s">
        <v>475</v>
      </c>
      <c r="D36" s="2" t="s">
        <v>1250</v>
      </c>
      <c r="E36" s="2" t="s">
        <v>1251</v>
      </c>
      <c r="F36" s="5">
        <f>SUMIFS(CaseCells!G2:G999,CaseCells!C2:C999, C36,CaseCells!D2:D999, D36)</f>
        <v>220</v>
      </c>
    </row>
    <row r="37">
      <c r="A37" s="2" t="s">
        <v>1252</v>
      </c>
      <c r="B37" s="3" t="str">
        <f>A37</f>
        <v>mel-thick</v>
      </c>
      <c r="C37" s="2" t="s">
        <v>475</v>
      </c>
      <c r="D37" s="2" t="s">
        <v>1253</v>
      </c>
      <c r="E37" s="2" t="s">
        <v>1254</v>
      </c>
      <c r="F37" s="5">
        <f>SUMIFS(CaseCells!G2:G999,CaseCells!C2:C999, C37,CaseCells!D2:D999, D37)</f>
        <v>180</v>
      </c>
    </row>
    <row r="38">
      <c r="A38" s="2" t="s">
        <v>1255</v>
      </c>
      <c r="B38" s="3" t="str">
        <f>A38</f>
        <v>coffee-nonsmoker</v>
      </c>
      <c r="C38" s="2" t="s">
        <v>479</v>
      </c>
      <c r="D38" s="2" t="s">
        <v>1256</v>
      </c>
      <c r="E38" s="2" t="s">
        <v>1257</v>
      </c>
      <c r="F38" s="5">
        <f>SUMIFS(CaseCells!G2:G999,CaseCells!C2:C999, C38,CaseCells!D2:D999, D38)</f>
        <v>2000</v>
      </c>
    </row>
    <row r="39">
      <c r="A39" s="2" t="s">
        <v>1258</v>
      </c>
      <c r="B39" s="3" t="str">
        <f>A39</f>
        <v>coffee-smoker</v>
      </c>
      <c r="C39" s="2" t="s">
        <v>479</v>
      </c>
      <c r="D39" s="2" t="s">
        <v>1259</v>
      </c>
      <c r="E39" s="2" t="s">
        <v>1260</v>
      </c>
      <c r="F39" s="5">
        <f>SUMIFS(CaseCells!G2:G999,CaseCells!C2:C999, C39,CaseCells!D2:D999, D39)</f>
        <v>2000</v>
      </c>
    </row>
    <row r="40">
      <c r="A40" s="2" t="s">
        <v>1261</v>
      </c>
      <c r="B40" s="3" t="str">
        <f>A40</f>
        <v>sat-lowspend</v>
      </c>
      <c r="C40" s="2" t="s">
        <v>483</v>
      </c>
      <c r="D40" s="2" t="s">
        <v>1262</v>
      </c>
      <c r="E40" s="2" t="s">
        <v>1263</v>
      </c>
      <c r="F40" s="5">
        <f>SUMIFS(CaseCells!G2:G999,CaseCells!C2:C999, C40,CaseCells!D2:D999, D40)</f>
        <v>700</v>
      </c>
    </row>
    <row r="41">
      <c r="A41" s="2" t="s">
        <v>1264</v>
      </c>
      <c r="B41" s="3" t="str">
        <f>A41</f>
        <v>sat-highspend</v>
      </c>
      <c r="C41" s="2" t="s">
        <v>483</v>
      </c>
      <c r="D41" s="2" t="s">
        <v>1265</v>
      </c>
      <c r="E41" s="2" t="s">
        <v>1266</v>
      </c>
      <c r="F41" s="5">
        <f>SUMIFS(CaseCells!G2:G999,CaseCells!C2:C999, C41,CaseCells!D2:D999, D41)</f>
        <v>450</v>
      </c>
    </row>
    <row r="42">
      <c r="A42" s="2" t="s">
        <v>1267</v>
      </c>
      <c r="B42" s="3" t="str">
        <f>A42</f>
        <v>rogers-nicewander-1988-infield-proxy</v>
      </c>
      <c r="C42" s="2" t="s">
        <v>488</v>
      </c>
      <c r="D42" s="2" t="s">
        <v>1268</v>
      </c>
      <c r="E42" s="2" t="s">
        <v>1269</v>
      </c>
      <c r="F42" s="5">
        <f>SUMIFS(CaseCells!G2:G999,CaseCells!C2:C999, C42,CaseCells!D2:D999, D42)</f>
        <v>39</v>
      </c>
    </row>
    <row r="43">
      <c r="A43" s="2" t="s">
        <v>1270</v>
      </c>
      <c r="B43" s="3" t="str">
        <f>A43</f>
        <v>rogers-nicewander-1988-outfield-proxy</v>
      </c>
      <c r="C43" s="2" t="s">
        <v>488</v>
      </c>
      <c r="D43" s="2" t="s">
        <v>1271</v>
      </c>
      <c r="E43" s="2" t="s">
        <v>1272</v>
      </c>
      <c r="F43" s="5">
        <f>SUMIFS(CaseCells!G2:G999,CaseCells!C2:C999, C43,CaseCells!D2:D999, D43)</f>
        <v>19</v>
      </c>
    </row>
    <row r="44">
      <c r="A44" s="2" t="s">
        <v>1273</v>
      </c>
      <c r="B44" s="3" t="str">
        <f>A44</f>
        <v>lucente-baseball-1995-first-half</v>
      </c>
      <c r="C44" s="2" t="s">
        <v>492</v>
      </c>
      <c r="D44" s="2" t="s">
        <v>1274</v>
      </c>
      <c r="E44" s="2" t="s">
        <v>1275</v>
      </c>
      <c r="F44" s="5">
        <f>SUMIFS(CaseCells!G2:G999,CaseCells!C2:C999, C44,CaseCells!D2:D999, D44)</f>
        <v>340</v>
      </c>
    </row>
    <row r="45">
      <c r="A45" s="2" t="s">
        <v>1276</v>
      </c>
      <c r="B45" s="3" t="str">
        <f>A45</f>
        <v>lucente-baseball-1995-second-half</v>
      </c>
      <c r="C45" s="2" t="s">
        <v>492</v>
      </c>
      <c r="D45" s="2" t="s">
        <v>1277</v>
      </c>
      <c r="E45" s="2" t="s">
        <v>1278</v>
      </c>
      <c r="F45" s="5">
        <f>SUMIFS(CaseCells!G2:G999,CaseCells!C2:C999, C45,CaseCells!D2:D999, D45)</f>
        <v>350</v>
      </c>
    </row>
    <row r="46">
      <c r="A46" s="2" t="s">
        <v>1279</v>
      </c>
      <c r="B46" s="3" t="str">
        <f>A46</f>
        <v>wilson-batting-2000-early-innings</v>
      </c>
      <c r="C46" s="2" t="s">
        <v>495</v>
      </c>
      <c r="D46" s="2" t="s">
        <v>1280</v>
      </c>
      <c r="E46" s="2" t="s">
        <v>1281</v>
      </c>
      <c r="F46" s="5">
        <f>SUMIFS(CaseCells!G2:G999,CaseCells!C2:C999, C46,CaseCells!D2:D999, D46)</f>
        <v>250</v>
      </c>
    </row>
    <row r="47">
      <c r="A47" s="2" t="s">
        <v>1282</v>
      </c>
      <c r="B47" s="3" t="str">
        <f>A47</f>
        <v>wilson-batting-2000-late-innings</v>
      </c>
      <c r="C47" s="2" t="s">
        <v>495</v>
      </c>
      <c r="D47" s="2" t="s">
        <v>1283</v>
      </c>
      <c r="E47" s="2" t="s">
        <v>1284</v>
      </c>
      <c r="F47" s="5">
        <f>SUMIFS(CaseCells!G2:G999,CaseCells!C2:C999, C47,CaseCells!D2:D999, D47)</f>
        <v>130</v>
      </c>
    </row>
    <row r="48">
      <c r="A48" s="2" t="s">
        <v>1285</v>
      </c>
      <c r="B48" s="3" t="str">
        <f>A48</f>
        <v>clemens-bly-1998-home</v>
      </c>
      <c r="C48" s="2" t="s">
        <v>498</v>
      </c>
      <c r="D48" s="2" t="s">
        <v>1286</v>
      </c>
      <c r="E48" s="2" t="s">
        <v>1287</v>
      </c>
      <c r="F48" s="5">
        <f>SUMIFS(CaseCells!G2:G999,CaseCells!C2:C999, C48,CaseCells!D2:D999, D48)</f>
        <v>190</v>
      </c>
    </row>
    <row r="49">
      <c r="A49" s="2" t="s">
        <v>1288</v>
      </c>
      <c r="B49" s="3" t="str">
        <f>A49</f>
        <v>clemens-bly-1998-away</v>
      </c>
      <c r="C49" s="2" t="s">
        <v>498</v>
      </c>
      <c r="D49" s="2" t="s">
        <v>1289</v>
      </c>
      <c r="E49" s="2" t="s">
        <v>1290</v>
      </c>
      <c r="F49" s="5">
        <f>SUMIFS(CaseCells!G2:G999,CaseCells!C2:C999, C49,CaseCells!D2:D999, D49)</f>
        <v>105</v>
      </c>
    </row>
    <row r="50">
      <c r="A50" s="2" t="s">
        <v>1291</v>
      </c>
      <c r="B50" s="3" t="str">
        <f>A50</f>
        <v>open-university-1975-under-21</v>
      </c>
      <c r="C50" s="2" t="s">
        <v>501</v>
      </c>
      <c r="D50" s="2" t="s">
        <v>1292</v>
      </c>
      <c r="E50" s="2" t="s">
        <v>1293</v>
      </c>
      <c r="F50" s="5">
        <f>SUMIFS(CaseCells!G2:G999,CaseCells!C2:C999, C50,CaseCells!D2:D999, D50)</f>
        <v>1773</v>
      </c>
    </row>
    <row r="51">
      <c r="A51" s="2" t="s">
        <v>1294</v>
      </c>
      <c r="B51" s="3" t="str">
        <f>A51</f>
        <v>open-university-1975-21-to-40</v>
      </c>
      <c r="C51" s="2" t="s">
        <v>501</v>
      </c>
      <c r="D51" s="2" t="s">
        <v>1295</v>
      </c>
      <c r="E51" s="2" t="s">
        <v>1296</v>
      </c>
      <c r="F51" s="5">
        <f>SUMIFS(CaseCells!G2:G999,CaseCells!C2:C999, C51,CaseCells!D2:D999, D51)</f>
        <v>570</v>
      </c>
    </row>
    <row r="52">
      <c r="A52" s="2" t="s">
        <v>1297</v>
      </c>
      <c r="B52" s="3" t="str">
        <f>A52</f>
        <v>open-university-1975-over-40</v>
      </c>
      <c r="C52" s="2" t="s">
        <v>501</v>
      </c>
      <c r="D52" s="2" t="s">
        <v>1298</v>
      </c>
      <c r="E52" s="2" t="s">
        <v>1299</v>
      </c>
      <c r="F52" s="5">
        <f>SUMIFS(CaseCells!G2:G999,CaseCells!C2:C999, C52,CaseCells!D2:D999, D52)</f>
        <v>180</v>
      </c>
    </row>
    <row r="53">
      <c r="A53" s="2" t="s">
        <v>1300</v>
      </c>
      <c r="B53" s="3" t="str">
        <f>A53</f>
        <v>pisa-immigration-2015-high-performing</v>
      </c>
      <c r="C53" s="2" t="s">
        <v>504</v>
      </c>
      <c r="D53" s="2" t="s">
        <v>1301</v>
      </c>
      <c r="E53" s="2" t="s">
        <v>1302</v>
      </c>
      <c r="F53" s="5">
        <f>SUMIFS(CaseCells!G2:G999,CaseCells!C2:C999, C53,CaseCells!D2:D999, D53)</f>
        <v>620</v>
      </c>
    </row>
    <row r="54">
      <c r="A54" s="2" t="s">
        <v>1303</v>
      </c>
      <c r="B54" s="3" t="str">
        <f>A54</f>
        <v>pisa-immigration-2015-lower-performing</v>
      </c>
      <c r="C54" s="2" t="s">
        <v>504</v>
      </c>
      <c r="D54" s="2" t="s">
        <v>1304</v>
      </c>
      <c r="E54" s="2" t="s">
        <v>1305</v>
      </c>
      <c r="F54" s="5">
        <f>SUMIFS(CaseCells!G2:G999,CaseCells!C2:C999, C54,CaseCells!D2:D999, D54)</f>
        <v>600</v>
      </c>
    </row>
    <row r="55">
      <c r="A55" s="2" t="s">
        <v>1306</v>
      </c>
      <c r="B55" s="3" t="str">
        <f>A55</f>
        <v>wainer-sat-states-1992-northeast</v>
      </c>
      <c r="C55" s="2" t="s">
        <v>508</v>
      </c>
      <c r="D55" s="2" t="s">
        <v>1307</v>
      </c>
      <c r="E55" s="2" t="s">
        <v>1308</v>
      </c>
      <c r="F55" s="5">
        <f>SUMIFS(CaseCells!G2:G999,CaseCells!C2:C999, C55,CaseCells!D2:D999, D55)</f>
        <v>750</v>
      </c>
    </row>
    <row r="56">
      <c r="A56" s="2" t="s">
        <v>1309</v>
      </c>
      <c r="B56" s="3" t="str">
        <f>A56</f>
        <v>wainer-sat-states-1992-south</v>
      </c>
      <c r="C56" s="2" t="s">
        <v>508</v>
      </c>
      <c r="D56" s="2" t="s">
        <v>1310</v>
      </c>
      <c r="E56" s="2" t="s">
        <v>1311</v>
      </c>
      <c r="F56" s="5">
        <f>SUMIFS(CaseCells!G2:G999,CaseCells!C2:C999, C56,CaseCells!D2:D999, D56)</f>
        <v>600</v>
      </c>
    </row>
    <row r="57">
      <c r="A57" s="2" t="s">
        <v>1312</v>
      </c>
      <c r="B57" s="3" t="str">
        <f>A57</f>
        <v>folic-acid-neural-tube-1991-under-28</v>
      </c>
      <c r="C57" s="2" t="s">
        <v>511</v>
      </c>
      <c r="D57" s="2" t="s">
        <v>1313</v>
      </c>
      <c r="E57" s="2" t="s">
        <v>1314</v>
      </c>
      <c r="F57" s="5">
        <f>SUMIFS(CaseCells!G2:G999,CaseCells!C2:C999, C57,CaseCells!D2:D999, D57)</f>
        <v>2700</v>
      </c>
    </row>
    <row r="58">
      <c r="A58" s="2" t="s">
        <v>1315</v>
      </c>
      <c r="B58" s="3" t="str">
        <f>A58</f>
        <v>folic-acid-neural-tube-1991-28-and-over</v>
      </c>
      <c r="C58" s="2" t="s">
        <v>511</v>
      </c>
      <c r="D58" s="2" t="s">
        <v>1316</v>
      </c>
      <c r="E58" s="2" t="s">
        <v>1317</v>
      </c>
      <c r="F58" s="5">
        <f>SUMIFS(CaseCells!G2:G999,CaseCells!C2:C999, C58,CaseCells!D2:D999, D58)</f>
        <v>1456</v>
      </c>
    </row>
    <row r="59">
      <c r="A59" s="2" t="s">
        <v>1318</v>
      </c>
      <c r="B59" s="3" t="str">
        <f>A59</f>
        <v>steroid-asthma-severity-mild</v>
      </c>
      <c r="C59" s="2" t="s">
        <v>515</v>
      </c>
      <c r="D59" s="2" t="s">
        <v>1319</v>
      </c>
      <c r="E59" s="2" t="s">
        <v>1320</v>
      </c>
      <c r="F59" s="5">
        <f>SUMIFS(CaseCells!G2:G999,CaseCells!C2:C999, C59,CaseCells!D2:D999, D59)</f>
        <v>380</v>
      </c>
    </row>
    <row r="60">
      <c r="A60" s="2" t="s">
        <v>1321</v>
      </c>
      <c r="B60" s="3" t="str">
        <f>A60</f>
        <v>steroid-asthma-severity-severe</v>
      </c>
      <c r="C60" s="2" t="s">
        <v>515</v>
      </c>
      <c r="D60" s="2" t="s">
        <v>1322</v>
      </c>
      <c r="E60" s="2" t="s">
        <v>1323</v>
      </c>
      <c r="F60" s="5">
        <f>SUMIFS(CaseCells!G2:G999,CaseCells!C2:C999, C60,CaseCells!D2:D999, D60)</f>
        <v>270</v>
      </c>
    </row>
    <row r="61">
      <c r="A61" s="2" t="s">
        <v>1324</v>
      </c>
      <c r="B61" s="3" t="str">
        <f>A61</f>
        <v>kidney-dialysis-facility-1990-high-severity</v>
      </c>
      <c r="C61" s="2" t="s">
        <v>518</v>
      </c>
      <c r="D61" s="2" t="s">
        <v>1325</v>
      </c>
      <c r="E61" s="2" t="s">
        <v>1326</v>
      </c>
      <c r="F61" s="5">
        <f>SUMIFS(CaseCells!G2:G999,CaseCells!C2:C999, C61,CaseCells!D2:D999, D61)</f>
        <v>200</v>
      </c>
    </row>
    <row r="62">
      <c r="A62" s="2" t="s">
        <v>1327</v>
      </c>
      <c r="B62" s="3" t="str">
        <f>A62</f>
        <v>kidney-dialysis-facility-1990-low-severity</v>
      </c>
      <c r="C62" s="2" t="s">
        <v>518</v>
      </c>
      <c r="D62" s="2" t="s">
        <v>1328</v>
      </c>
      <c r="E62" s="2" t="s">
        <v>1329</v>
      </c>
      <c r="F62" s="5">
        <f>SUMIFS(CaseCells!G2:G999,CaseCells!C2:C999, C62,CaseCells!D2:D999, D62)</f>
        <v>200</v>
      </c>
    </row>
    <row r="63">
      <c r="A63" s="2" t="s">
        <v>1330</v>
      </c>
      <c r="B63" s="3" t="str">
        <f>A63</f>
        <v>warfarin-bleeding-age-under-65</v>
      </c>
      <c r="C63" s="2" t="s">
        <v>521</v>
      </c>
      <c r="D63" s="2" t="s">
        <v>1331</v>
      </c>
      <c r="E63" s="2" t="s">
        <v>1332</v>
      </c>
      <c r="F63" s="5">
        <f>SUMIFS(CaseCells!G2:G999,CaseCells!C2:C999, C63,CaseCells!D2:D999, D63)</f>
        <v>900</v>
      </c>
    </row>
    <row r="64">
      <c r="A64" s="2" t="s">
        <v>1333</v>
      </c>
      <c r="B64" s="3" t="str">
        <f>A64</f>
        <v>warfarin-bleeding-age-65-and-over</v>
      </c>
      <c r="C64" s="2" t="s">
        <v>521</v>
      </c>
      <c r="D64" s="2" t="s">
        <v>1334</v>
      </c>
      <c r="E64" s="2" t="s">
        <v>1335</v>
      </c>
      <c r="F64" s="5">
        <f>SUMIFS(CaseCells!G2:G999,CaseCells!C2:C999, C64,CaseCells!D2:D999, D64)</f>
        <v>500</v>
      </c>
    </row>
    <row r="65">
      <c r="A65" s="2" t="s">
        <v>1336</v>
      </c>
      <c r="B65" s="3" t="str">
        <f>A65</f>
        <v>diabetes-metformin-bmi-normal-bmi</v>
      </c>
      <c r="C65" s="2" t="s">
        <v>524</v>
      </c>
      <c r="D65" s="2" t="s">
        <v>1337</v>
      </c>
      <c r="E65" s="2" t="s">
        <v>1338</v>
      </c>
      <c r="F65" s="5">
        <f>SUMIFS(CaseCells!G2:G999,CaseCells!C2:C999, C65,CaseCells!D2:D999, D65)</f>
        <v>400</v>
      </c>
    </row>
    <row r="66">
      <c r="A66" s="2" t="s">
        <v>1339</v>
      </c>
      <c r="B66" s="3" t="str">
        <f>A66</f>
        <v>diabetes-metformin-bmi-obese</v>
      </c>
      <c r="C66" s="2" t="s">
        <v>524</v>
      </c>
      <c r="D66" s="2" t="s">
        <v>1340</v>
      </c>
      <c r="E66" s="2" t="s">
        <v>1341</v>
      </c>
      <c r="F66" s="5">
        <f>SUMIFS(CaseCells!G2:G999,CaseCells!C2:C999, C66,CaseCells!D2:D999, D66)</f>
        <v>500</v>
      </c>
    </row>
    <row r="67">
      <c r="A67" s="2" t="s">
        <v>1342</v>
      </c>
      <c r="B67" s="3" t="str">
        <f>A67</f>
        <v>oncology-trial-stage-early-stage</v>
      </c>
      <c r="C67" s="2" t="s">
        <v>527</v>
      </c>
      <c r="D67" s="2" t="s">
        <v>1343</v>
      </c>
      <c r="E67" s="2" t="s">
        <v>1344</v>
      </c>
      <c r="F67" s="5">
        <f>SUMIFS(CaseCells!G2:G999,CaseCells!C2:C999, C67,CaseCells!D2:D999, D67)</f>
        <v>360</v>
      </c>
    </row>
    <row r="68">
      <c r="A68" s="2" t="s">
        <v>1345</v>
      </c>
      <c r="B68" s="3" t="str">
        <f>A68</f>
        <v>oncology-trial-stage-advanced-stage</v>
      </c>
      <c r="C68" s="2" t="s">
        <v>527</v>
      </c>
      <c r="D68" s="2" t="s">
        <v>1346</v>
      </c>
      <c r="E68" s="2" t="s">
        <v>1347</v>
      </c>
      <c r="F68" s="5">
        <f>SUMIFS(CaseCells!G2:G999,CaseCells!C2:C999, C68,CaseCells!D2:D999, D68)</f>
        <v>240</v>
      </c>
    </row>
    <row r="69">
      <c r="A69" s="2" t="s">
        <v>1348</v>
      </c>
      <c r="B69" s="3" t="str">
        <f>A69</f>
        <v>exercise-cholesterol-age-young</v>
      </c>
      <c r="C69" s="2" t="s">
        <v>530</v>
      </c>
      <c r="D69" s="2" t="s">
        <v>1349</v>
      </c>
      <c r="E69" s="2" t="s">
        <v>1350</v>
      </c>
      <c r="F69" s="5">
        <f>SUMIFS(CaseCells!G2:G999,CaseCells!C2:C999, C69,CaseCells!D2:D999, D69)</f>
        <v>600</v>
      </c>
    </row>
    <row r="70">
      <c r="A70" s="2" t="s">
        <v>1351</v>
      </c>
      <c r="B70" s="3" t="str">
        <f>A70</f>
        <v>exercise-cholesterol-age-older</v>
      </c>
      <c r="C70" s="2" t="s">
        <v>530</v>
      </c>
      <c r="D70" s="2" t="s">
        <v>1352</v>
      </c>
      <c r="E70" s="2" t="s">
        <v>1353</v>
      </c>
      <c r="F70" s="5">
        <f>SUMIFS(CaseCells!G2:G999,CaseCells!C2:C999, C70,CaseCells!D2:D999, D70)</f>
        <v>450</v>
      </c>
    </row>
    <row r="71">
      <c r="A71" s="2" t="s">
        <v>1354</v>
      </c>
      <c r="B71" s="3" t="str">
        <f>A71</f>
        <v>red-meat-colorectal-bmi-normal-weight</v>
      </c>
      <c r="C71" s="2" t="s">
        <v>533</v>
      </c>
      <c r="D71" s="2" t="s">
        <v>1355</v>
      </c>
      <c r="E71" s="2" t="s">
        <v>1356</v>
      </c>
      <c r="F71" s="5">
        <f>SUMIFS(CaseCells!G2:G999,CaseCells!C2:C999, C71,CaseCells!D2:D999, D71)</f>
        <v>1000</v>
      </c>
    </row>
    <row r="72">
      <c r="A72" s="2" t="s">
        <v>1357</v>
      </c>
      <c r="B72" s="3" t="str">
        <f>A72</f>
        <v>red-meat-colorectal-bmi-overweight</v>
      </c>
      <c r="C72" s="2" t="s">
        <v>533</v>
      </c>
      <c r="D72" s="2" t="s">
        <v>1358</v>
      </c>
      <c r="E72" s="2" t="s">
        <v>1359</v>
      </c>
      <c r="F72" s="5">
        <f>SUMIFS(CaseCells!G2:G999,CaseCells!C2:C999, C72,CaseCells!D2:D999, D72)</f>
        <v>850</v>
      </c>
    </row>
    <row r="73">
      <c r="A73" s="2" t="s">
        <v>1360</v>
      </c>
      <c r="B73" s="3" t="str">
        <f>A73</f>
        <v>folic-fortification-2000-early-fortified</v>
      </c>
      <c r="C73" s="2" t="s">
        <v>536</v>
      </c>
      <c r="D73" s="2" t="s">
        <v>1361</v>
      </c>
      <c r="E73" s="2" t="s">
        <v>1362</v>
      </c>
      <c r="F73" s="5">
        <f>SUMIFS(CaseCells!G2:G999,CaseCells!C2:C999, C73,CaseCells!D2:D999, D73)</f>
        <v>2000</v>
      </c>
    </row>
    <row r="74">
      <c r="A74" s="2" t="s">
        <v>1363</v>
      </c>
      <c r="B74" s="3" t="str">
        <f>A74</f>
        <v>folic-fortification-2000-late-fortified</v>
      </c>
      <c r="C74" s="2" t="s">
        <v>536</v>
      </c>
      <c r="D74" s="2" t="s">
        <v>1364</v>
      </c>
      <c r="E74" s="2" t="s">
        <v>1365</v>
      </c>
      <c r="F74" s="5">
        <f>SUMIFS(CaseCells!G2:G999,CaseCells!C2:C999, C74,CaseCells!D2:D999, D74)</f>
        <v>2000</v>
      </c>
    </row>
    <row r="75">
      <c r="A75" s="2" t="s">
        <v>1366</v>
      </c>
      <c r="B75" s="3" t="str">
        <f>A75</f>
        <v>folic-fortification-2000-voluntary</v>
      </c>
      <c r="C75" s="2" t="s">
        <v>536</v>
      </c>
      <c r="D75" s="2" t="s">
        <v>1367</v>
      </c>
      <c r="E75" s="2" t="s">
        <v>1368</v>
      </c>
      <c r="F75" s="5">
        <f>SUMIFS(CaseCells!G2:G999,CaseCells!C2:C999, C75,CaseCells!D2:D999, D75)</f>
        <v>2000</v>
      </c>
    </row>
    <row r="76">
      <c r="A76" s="2" t="s">
        <v>1369</v>
      </c>
      <c r="B76" s="3" t="str">
        <f>A76</f>
        <v>north-carolina-death-penalty-1990-white-victim</v>
      </c>
      <c r="C76" s="2" t="s">
        <v>539</v>
      </c>
      <c r="D76" s="2" t="s">
        <v>1190</v>
      </c>
      <c r="E76" s="2" t="s">
        <v>1370</v>
      </c>
      <c r="F76" s="5">
        <f>SUMIFS(CaseCells!G2:G999,CaseCells!C2:C999, C76,CaseCells!D2:D999, D76)</f>
        <v>175</v>
      </c>
    </row>
    <row r="77">
      <c r="A77" s="2" t="s">
        <v>1371</v>
      </c>
      <c r="B77" s="3" t="str">
        <f>A77</f>
        <v>north-carolina-death-penalty-1990-black-victim</v>
      </c>
      <c r="C77" s="2" t="s">
        <v>539</v>
      </c>
      <c r="D77" s="2" t="s">
        <v>1193</v>
      </c>
      <c r="E77" s="2" t="s">
        <v>1372</v>
      </c>
      <c r="F77" s="5">
        <f>SUMIFS(CaseCells!G2:G999,CaseCells!C2:C999, C77,CaseCells!D2:D999, D77)</f>
        <v>105</v>
      </c>
    </row>
    <row r="78">
      <c r="A78" s="2" t="s">
        <v>1373</v>
      </c>
      <c r="B78" s="3" t="str">
        <f>A78</f>
        <v>housing-discrimination-audit-high-income</v>
      </c>
      <c r="C78" s="2" t="s">
        <v>542</v>
      </c>
      <c r="D78" s="2" t="s">
        <v>1374</v>
      </c>
      <c r="E78" s="2" t="s">
        <v>1375</v>
      </c>
      <c r="F78" s="5">
        <f>SUMIFS(CaseCells!G2:G999,CaseCells!C2:C999, C78,CaseCells!D2:D999, D78)</f>
        <v>500</v>
      </c>
    </row>
    <row r="79">
      <c r="A79" s="2" t="s">
        <v>1376</v>
      </c>
      <c r="B79" s="3" t="str">
        <f>A79</f>
        <v>housing-discrimination-audit-low-income</v>
      </c>
      <c r="C79" s="2" t="s">
        <v>542</v>
      </c>
      <c r="D79" s="2" t="s">
        <v>1377</v>
      </c>
      <c r="E79" s="2" t="s">
        <v>1378</v>
      </c>
      <c r="F79" s="5">
        <f>SUMIFS(CaseCells!G2:G999,CaseCells!C2:C999, C79,CaseCells!D2:D999, D79)</f>
        <v>500</v>
      </c>
    </row>
    <row r="80">
      <c r="A80" s="2" t="s">
        <v>1379</v>
      </c>
      <c r="B80" s="3" t="str">
        <f>A80</f>
        <v>gender-pay-gap-industry-tech-professional</v>
      </c>
      <c r="C80" s="2" t="s">
        <v>547</v>
      </c>
      <c r="D80" s="2" t="s">
        <v>1380</v>
      </c>
      <c r="E80" s="2" t="s">
        <v>1381</v>
      </c>
      <c r="F80" s="5">
        <f>SUMIFS(CaseCells!G2:G999,CaseCells!C2:C999, C80,CaseCells!D2:D999, D80)</f>
        <v>1000</v>
      </c>
    </row>
    <row r="81">
      <c r="A81" s="2" t="s">
        <v>1382</v>
      </c>
      <c r="B81" s="3" t="str">
        <f>A81</f>
        <v>gender-pay-gap-industry-healthcare</v>
      </c>
      <c r="C81" s="2" t="s">
        <v>547</v>
      </c>
      <c r="D81" s="2" t="s">
        <v>1383</v>
      </c>
      <c r="E81" s="2" t="s">
        <v>1384</v>
      </c>
      <c r="F81" s="5">
        <f>SUMIFS(CaseCells!G2:G999,CaseCells!C2:C999, C81,CaseCells!D2:D999, D81)</f>
        <v>900</v>
      </c>
    </row>
    <row r="82">
      <c r="A82" s="2" t="s">
        <v>1385</v>
      </c>
      <c r="B82" s="3" t="str">
        <f>A82</f>
        <v>gender-pay-gap-industry-retail-hospitality</v>
      </c>
      <c r="C82" s="2" t="s">
        <v>547</v>
      </c>
      <c r="D82" s="2" t="s">
        <v>1386</v>
      </c>
      <c r="E82" s="2" t="s">
        <v>1387</v>
      </c>
      <c r="F82" s="5">
        <f>SUMIFS(CaseCells!G2:G999,CaseCells!C2:C999, C82,CaseCells!D2:D999, D82)</f>
        <v>900</v>
      </c>
    </row>
    <row r="83">
      <c r="A83" s="2" t="s">
        <v>1388</v>
      </c>
      <c r="B83" s="3" t="str">
        <f>A83</f>
        <v>income-education-state-high-education-states</v>
      </c>
      <c r="C83" s="2" t="s">
        <v>551</v>
      </c>
      <c r="D83" s="2" t="s">
        <v>1389</v>
      </c>
      <c r="E83" s="2" t="s">
        <v>1390</v>
      </c>
      <c r="F83" s="5">
        <f>SUMIFS(CaseCells!G2:G999,CaseCells!C2:C999, C83,CaseCells!D2:D999, D83)</f>
        <v>1800</v>
      </c>
    </row>
    <row r="84">
      <c r="A84" s="2" t="s">
        <v>1391</v>
      </c>
      <c r="B84" s="3" t="str">
        <f>A84</f>
        <v>income-education-state-low-education-states</v>
      </c>
      <c r="C84" s="2" t="s">
        <v>551</v>
      </c>
      <c r="D84" s="2" t="s">
        <v>1392</v>
      </c>
      <c r="E84" s="2" t="s">
        <v>1393</v>
      </c>
      <c r="F84" s="5">
        <f>SUMIFS(CaseCells!G2:G999,CaseCells!C2:C999, C84,CaseCells!D2:D999, D84)</f>
        <v>1800</v>
      </c>
    </row>
    <row r="85">
      <c r="A85" s="2" t="s">
        <v>1394</v>
      </c>
      <c r="B85" s="3" t="str">
        <f>A85</f>
        <v>florida-reef-fish-1994-inshore</v>
      </c>
      <c r="C85" s="2" t="s">
        <v>555</v>
      </c>
      <c r="D85" s="2" t="s">
        <v>1395</v>
      </c>
      <c r="E85" s="2" t="s">
        <v>1396</v>
      </c>
      <c r="F85" s="5">
        <f>SUMIFS(CaseCells!G2:G999,CaseCells!C2:C999, C85,CaseCells!D2:D999, D85)</f>
        <v>1200</v>
      </c>
    </row>
    <row r="86">
      <c r="A86" s="2" t="s">
        <v>1397</v>
      </c>
      <c r="B86" s="3" t="str">
        <f>A86</f>
        <v>florida-reef-fish-1994-offshore</v>
      </c>
      <c r="C86" s="2" t="s">
        <v>555</v>
      </c>
      <c r="D86" s="2" t="s">
        <v>1398</v>
      </c>
      <c r="E86" s="2" t="s">
        <v>1399</v>
      </c>
      <c r="F86" s="5">
        <f>SUMIFS(CaseCells!G2:G999,CaseCells!C2:C999, C86,CaseCells!D2:D999, D86)</f>
        <v>400</v>
      </c>
    </row>
    <row r="87">
      <c r="A87" s="2" t="s">
        <v>1400</v>
      </c>
      <c r="B87" s="3" t="str">
        <f>A87</f>
        <v>uc-irvine-admissions-1985-engineering</v>
      </c>
      <c r="C87" s="2" t="s">
        <v>558</v>
      </c>
      <c r="D87" s="2" t="s">
        <v>1401</v>
      </c>
      <c r="E87" s="2" t="s">
        <v>1402</v>
      </c>
      <c r="F87" s="5">
        <f>SUMIFS(CaseCells!G2:G999,CaseCells!C2:C999, C87,CaseCells!D2:D999, D87)</f>
        <v>600</v>
      </c>
    </row>
    <row r="88">
      <c r="A88" s="2" t="s">
        <v>1403</v>
      </c>
      <c r="B88" s="3" t="str">
        <f>A88</f>
        <v>uc-irvine-admissions-1985-humanities</v>
      </c>
      <c r="C88" s="2" t="s">
        <v>558</v>
      </c>
      <c r="D88" s="2" t="s">
        <v>1404</v>
      </c>
      <c r="E88" s="2" t="s">
        <v>1405</v>
      </c>
      <c r="F88" s="5">
        <f>SUMIFS(CaseCells!G2:G999,CaseCells!C2:C999, C88,CaseCells!D2:D999, D88)</f>
        <v>450</v>
      </c>
    </row>
    <row r="89">
      <c r="A89" s="2" t="s">
        <v>1406</v>
      </c>
      <c r="B89" s="3" t="str">
        <f>A89</f>
        <v>uc-irvine-admissions-1985-biological-sciences</v>
      </c>
      <c r="C89" s="2" t="s">
        <v>558</v>
      </c>
      <c r="D89" s="2" t="s">
        <v>1407</v>
      </c>
      <c r="E89" s="2" t="s">
        <v>1408</v>
      </c>
      <c r="F89" s="5">
        <f>SUMIFS(CaseCells!G2:G999,CaseCells!C2:C999, C89,CaseCells!D2:D999, D89)</f>
        <v>580</v>
      </c>
    </row>
    <row r="90">
      <c r="A90" s="2" t="s">
        <v>1409</v>
      </c>
      <c r="B90" s="3" t="str">
        <f>A90</f>
        <v>uc-irvine-admissions-1985-social-sciences</v>
      </c>
      <c r="C90" s="2" t="s">
        <v>558</v>
      </c>
      <c r="D90" s="2" t="s">
        <v>1410</v>
      </c>
      <c r="E90" s="2" t="s">
        <v>1411</v>
      </c>
      <c r="F90" s="5">
        <f>SUMIFS(CaseCells!G2:G999,CaseCells!C2:C999, C90,CaseCells!D2:D999, D90)</f>
        <v>550</v>
      </c>
    </row>
    <row r="91">
      <c r="A91" s="2" t="s">
        <v>1412</v>
      </c>
      <c r="B91" s="3" t="str">
        <f>A91</f>
        <v>cesarean-birth-weight-2006-normal-bw</v>
      </c>
      <c r="C91" s="2" t="s">
        <v>561</v>
      </c>
      <c r="D91" s="2" t="s">
        <v>1413</v>
      </c>
      <c r="E91" s="2" t="s">
        <v>1414</v>
      </c>
      <c r="F91" s="5">
        <f>SUMIFS(CaseCells!G2:G999,CaseCells!C2:C999, C91,CaseCells!D2:D999, D91)</f>
        <v>7000</v>
      </c>
    </row>
    <row r="92">
      <c r="A92" s="2" t="s">
        <v>1415</v>
      </c>
      <c r="B92" s="3" t="str">
        <f>A92</f>
        <v>cesarean-birth-weight-2006-low-bw</v>
      </c>
      <c r="C92" s="2" t="s">
        <v>561</v>
      </c>
      <c r="D92" s="2" t="s">
        <v>1416</v>
      </c>
      <c r="E92" s="2" t="s">
        <v>1417</v>
      </c>
      <c r="F92" s="5">
        <f>SUMIFS(CaseCells!G2:G999,CaseCells!C2:C999, C92,CaseCells!D2:D999, D92)</f>
        <v>1400</v>
      </c>
    </row>
    <row r="93">
      <c r="A93" s="2" t="s">
        <v>1418</v>
      </c>
      <c r="B93" s="3" t="str">
        <f>A93</f>
        <v>schizophrenia-antipsychotic-moderate</v>
      </c>
      <c r="C93" s="2" t="s">
        <v>565</v>
      </c>
      <c r="D93" s="2" t="s">
        <v>1419</v>
      </c>
      <c r="E93" s="2" t="s">
        <v>1420</v>
      </c>
      <c r="F93" s="5">
        <f>SUMIFS(CaseCells!G2:G999,CaseCells!C2:C999, C93,CaseCells!D2:D999, D93)</f>
        <v>300</v>
      </c>
    </row>
    <row r="94">
      <c r="A94" s="2" t="s">
        <v>1421</v>
      </c>
      <c r="B94" s="3" t="str">
        <f>A94</f>
        <v>schizophrenia-antipsychotic-severe</v>
      </c>
      <c r="C94" s="2" t="s">
        <v>565</v>
      </c>
      <c r="D94" s="2" t="s">
        <v>1322</v>
      </c>
      <c r="E94" s="2" t="s">
        <v>1422</v>
      </c>
      <c r="F94" s="5">
        <f>SUMIFS(CaseCells!G2:G999,CaseCells!C2:C999, C94,CaseCells!D2:D999, D94)</f>
        <v>240</v>
      </c>
    </row>
    <row r="95">
      <c r="A95" s="2" t="s">
        <v>1423</v>
      </c>
      <c r="B95" s="3" t="str">
        <f>A95</f>
        <v>berkeley-six-dept-1973-dept-A</v>
      </c>
      <c r="C95" s="2" t="s">
        <v>568</v>
      </c>
      <c r="D95" s="2" t="s">
        <v>1168</v>
      </c>
      <c r="E95" s="2" t="s">
        <v>1424</v>
      </c>
      <c r="F95" s="5">
        <f>SUMIFS(CaseCells!G2:G999,CaseCells!C2:C999, C95,CaseCells!D2:D999, D95)</f>
        <v>933</v>
      </c>
    </row>
    <row r="96">
      <c r="A96" s="2" t="s">
        <v>1425</v>
      </c>
      <c r="B96" s="3" t="str">
        <f>A96</f>
        <v>berkeley-six-dept-1973-dept-B</v>
      </c>
      <c r="C96" s="2" t="s">
        <v>568</v>
      </c>
      <c r="D96" s="2" t="s">
        <v>1171</v>
      </c>
      <c r="E96" s="2" t="s">
        <v>1426</v>
      </c>
      <c r="F96" s="5">
        <f>SUMIFS(CaseCells!G2:G999,CaseCells!C2:C999, C96,CaseCells!D2:D999, D96)</f>
        <v>585</v>
      </c>
    </row>
    <row r="97">
      <c r="A97" s="2" t="s">
        <v>1427</v>
      </c>
      <c r="B97" s="3" t="str">
        <f>A97</f>
        <v>berkeley-six-dept-1973-dept-C</v>
      </c>
      <c r="C97" s="2" t="s">
        <v>568</v>
      </c>
      <c r="D97" s="2" t="s">
        <v>1174</v>
      </c>
      <c r="E97" s="2" t="s">
        <v>1428</v>
      </c>
      <c r="F97" s="5">
        <f>SUMIFS(CaseCells!G2:G999,CaseCells!C2:C999, C97,CaseCells!D2:D999, D97)</f>
        <v>918</v>
      </c>
    </row>
    <row r="98">
      <c r="A98" s="2" t="s">
        <v>1429</v>
      </c>
      <c r="B98" s="3" t="str">
        <f>A98</f>
        <v>berkeley-six-dept-1973-dept-D</v>
      </c>
      <c r="C98" s="2" t="s">
        <v>568</v>
      </c>
      <c r="D98" s="2" t="s">
        <v>1177</v>
      </c>
      <c r="E98" s="2" t="s">
        <v>1430</v>
      </c>
      <c r="F98" s="5">
        <f>SUMIFS(CaseCells!G2:G999,CaseCells!C2:C999, C98,CaseCells!D2:D999, D98)</f>
        <v>792</v>
      </c>
    </row>
    <row r="99">
      <c r="A99" s="2" t="s">
        <v>1431</v>
      </c>
      <c r="B99" s="3" t="str">
        <f>A99</f>
        <v>berkeley-six-dept-1973-dept-E</v>
      </c>
      <c r="C99" s="2" t="s">
        <v>568</v>
      </c>
      <c r="D99" s="2" t="s">
        <v>1432</v>
      </c>
      <c r="E99" s="2" t="s">
        <v>1433</v>
      </c>
      <c r="F99" s="5">
        <f>SUMIFS(CaseCells!G2:G999,CaseCells!C2:C999, C99,CaseCells!D2:D999, D99)</f>
        <v>584</v>
      </c>
    </row>
    <row r="100">
      <c r="A100" s="2" t="s">
        <v>1434</v>
      </c>
      <c r="B100" s="3" t="str">
        <f>A100</f>
        <v>berkeley-six-dept-1973-dept-F</v>
      </c>
      <c r="C100" s="2" t="s">
        <v>568</v>
      </c>
      <c r="D100" s="2" t="s">
        <v>1435</v>
      </c>
      <c r="E100" s="2" t="s">
        <v>1436</v>
      </c>
      <c r="F100" s="5">
        <f>SUMIFS(CaseCells!G2:G999,CaseCells!C2:C999, C100,CaseCells!D2:D999, D100)</f>
        <v>714</v>
      </c>
    </row>
    <row r="101">
      <c r="A101" s="2" t="s">
        <v>1437</v>
      </c>
      <c r="B101" s="3" t="str">
        <f>A101</f>
        <v>rosiglitazone-mi-pool-2007-imbalanced-trials</v>
      </c>
      <c r="C101" s="2" t="s">
        <v>572</v>
      </c>
      <c r="D101" s="2" t="s">
        <v>1438</v>
      </c>
      <c r="E101" s="2" t="s">
        <v>1439</v>
      </c>
      <c r="F101" s="5">
        <f>SUMIFS(CaseCells!G2:G999,CaseCells!C2:C999, C101,CaseCells!D2:D999, D101)</f>
        <v>15000</v>
      </c>
    </row>
    <row r="102">
      <c r="A102" s="2" t="s">
        <v>1440</v>
      </c>
      <c r="B102" s="3" t="str">
        <f>A102</f>
        <v>rosiglitazone-mi-pool-2007-balanced-trials</v>
      </c>
      <c r="C102" s="2" t="s">
        <v>572</v>
      </c>
      <c r="D102" s="2" t="s">
        <v>1441</v>
      </c>
      <c r="E102" s="2" t="s">
        <v>1442</v>
      </c>
      <c r="F102" s="5">
        <f>SUMIFS(CaseCells!G2:G999,CaseCells!C2:C999, C102,CaseCells!D2:D999, D102)</f>
        <v>12847</v>
      </c>
    </row>
    <row r="103">
      <c r="A103" s="2" t="s">
        <v>1443</v>
      </c>
      <c r="B103" s="3" t="str">
        <f>A103</f>
        <v>ironman-gender-age-2010-young-cohort</v>
      </c>
      <c r="C103" s="2" t="s">
        <v>576</v>
      </c>
      <c r="D103" s="2" t="s">
        <v>1444</v>
      </c>
      <c r="E103" s="2" t="s">
        <v>1445</v>
      </c>
      <c r="F103" s="5">
        <f>SUMIFS(CaseCells!G2:G999,CaseCells!C2:C999, C103,CaseCells!D2:D999, D103)</f>
        <v>110</v>
      </c>
    </row>
    <row r="104">
      <c r="A104" s="2" t="s">
        <v>1446</v>
      </c>
      <c r="B104" s="3" t="str">
        <f>A104</f>
        <v>ironman-gender-age-2010-old-cohort</v>
      </c>
      <c r="C104" s="2" t="s">
        <v>576</v>
      </c>
      <c r="D104" s="2" t="s">
        <v>1447</v>
      </c>
      <c r="E104" s="2" t="s">
        <v>1448</v>
      </c>
      <c r="F104" s="5">
        <f>SUMIFS(CaseCells!G2:G999,CaseCells!C2:C999, C104,CaseCells!D2:D999, D104)</f>
        <v>110</v>
      </c>
    </row>
    <row r="105">
      <c r="A105" s="2" t="s">
        <v>1449</v>
      </c>
      <c r="B105" s="3" t="str">
        <f>A105</f>
        <v>hanley-power-lines-2000-myers-1990</v>
      </c>
      <c r="C105" s="2" t="s">
        <v>579</v>
      </c>
      <c r="D105" s="2" t="s">
        <v>1450</v>
      </c>
      <c r="E105" s="2" t="s">
        <v>1451</v>
      </c>
      <c r="F105" s="5">
        <f>SUMIFS(CaseCells!G2:G999,CaseCells!C2:C999, C105,CaseCells!D2:D999, D105)</f>
        <v>137</v>
      </c>
    </row>
    <row r="106">
      <c r="A106" s="2" t="s">
        <v>1452</v>
      </c>
      <c r="B106" s="3" t="str">
        <f>A106</f>
        <v>hanley-power-lines-2000-feychting-1993</v>
      </c>
      <c r="C106" s="2" t="s">
        <v>579</v>
      </c>
      <c r="D106" s="2" t="s">
        <v>1453</v>
      </c>
      <c r="E106" s="2" t="s">
        <v>1454</v>
      </c>
      <c r="F106" s="5">
        <f>SUMIFS(CaseCells!G2:G999,CaseCells!C2:C999, C106,CaseCells!D2:D999, D106)</f>
        <v>592</v>
      </c>
    </row>
    <row r="107">
      <c r="A107" s="2" t="s">
        <v>1455</v>
      </c>
      <c r="B107" s="3" t="str">
        <f>A107</f>
        <v>hanley-power-lines-2000-tynes-1997</v>
      </c>
      <c r="C107" s="2" t="s">
        <v>579</v>
      </c>
      <c r="D107" s="2" t="s">
        <v>1456</v>
      </c>
      <c r="E107" s="2" t="s">
        <v>1457</v>
      </c>
      <c r="F107" s="5">
        <f>SUMIFS(CaseCells!G2:G999,CaseCells!C2:C999, C107,CaseCells!D2:D999, D107)</f>
        <v>666</v>
      </c>
    </row>
    <row r="108">
      <c r="A108" s="2" t="s">
        <v>1458</v>
      </c>
      <c r="B108" s="3" t="str">
        <f>A108</f>
        <v>hanley-power-lines-2000-li-1998</v>
      </c>
      <c r="C108" s="2" t="s">
        <v>579</v>
      </c>
      <c r="D108" s="2" t="s">
        <v>1459</v>
      </c>
      <c r="E108" s="2" t="s">
        <v>1460</v>
      </c>
      <c r="F108" s="5">
        <f>SUMIFS(CaseCells!G2:G999,CaseCells!C2:C999, C108,CaseCells!D2:D999, D108)</f>
        <v>55</v>
      </c>
    </row>
    <row r="109">
      <c r="A109" s="2" t="s">
        <v>1461</v>
      </c>
      <c r="B109" s="3" t="str">
        <f>A109</f>
        <v>hanley-power-lines-2000-mcbride-1999</v>
      </c>
      <c r="C109" s="2" t="s">
        <v>579</v>
      </c>
      <c r="D109" s="2" t="s">
        <v>1462</v>
      </c>
      <c r="E109" s="2" t="s">
        <v>1463</v>
      </c>
      <c r="F109" s="5">
        <f>SUMIFS(CaseCells!G2:G999,CaseCells!C2:C999, C109,CaseCells!D2:D999, D109)</f>
        <v>65</v>
      </c>
    </row>
    <row r="110">
      <c r="A110" s="2" t="s">
        <v>1464</v>
      </c>
      <c r="B110" s="3" t="str">
        <f>A110</f>
        <v>coffee-smoking-lung-1968-smokers</v>
      </c>
      <c r="C110" s="2" t="s">
        <v>583</v>
      </c>
      <c r="D110" s="2" t="s">
        <v>1465</v>
      </c>
      <c r="E110" s="2" t="s">
        <v>980</v>
      </c>
      <c r="F110" s="5">
        <f>SUMIFS(CaseCells!G2:G999,CaseCells!C2:C999, C110,CaseCells!D2:D999, D110)</f>
        <v>866</v>
      </c>
    </row>
    <row r="111">
      <c r="A111" s="2" t="s">
        <v>1466</v>
      </c>
      <c r="B111" s="3" t="str">
        <f>A111</f>
        <v>coffee-smoking-lung-1968-nonsmokers</v>
      </c>
      <c r="C111" s="2" t="s">
        <v>583</v>
      </c>
      <c r="D111" s="2" t="s">
        <v>1467</v>
      </c>
      <c r="E111" s="2" t="s">
        <v>1468</v>
      </c>
      <c r="F111" s="5">
        <f>SUMIFS(CaseCells!G2:G999,CaseCells!C2:C999, C111,CaseCells!D2:D999, D111)</f>
        <v>250</v>
      </c>
    </row>
    <row r="112">
      <c r="A112" s="2" t="s">
        <v>1469</v>
      </c>
      <c r="B112" s="3" t="str">
        <f>A112</f>
        <v>panama-sweden-mortality-1975-under-10</v>
      </c>
      <c r="C112" s="2" t="s">
        <v>586</v>
      </c>
      <c r="D112" s="2" t="s">
        <v>1470</v>
      </c>
      <c r="E112" s="2" t="s">
        <v>1471</v>
      </c>
      <c r="F112" s="5">
        <f>SUMIFS(CaseCells!G2:G999,CaseCells!C2:C999, C112,CaseCells!D2:D999, D112)</f>
        <v>600</v>
      </c>
    </row>
    <row r="113">
      <c r="A113" s="2" t="s">
        <v>1472</v>
      </c>
      <c r="B113" s="3" t="str">
        <f>A113</f>
        <v>panama-sweden-mortality-1975-mid-age</v>
      </c>
      <c r="C113" s="2" t="s">
        <v>586</v>
      </c>
      <c r="D113" s="2" t="s">
        <v>1473</v>
      </c>
      <c r="E113" s="2" t="s">
        <v>1474</v>
      </c>
      <c r="F113" s="5">
        <f>SUMIFS(CaseCells!G2:G999,CaseCells!C2:C999, C113,CaseCells!D2:D999, D113)</f>
        <v>650</v>
      </c>
    </row>
    <row r="114">
      <c r="A114" s="2" t="s">
        <v>1475</v>
      </c>
      <c r="B114" s="3" t="str">
        <f>A114</f>
        <v>panama-sweden-mortality-1975-elderly</v>
      </c>
      <c r="C114" s="2" t="s">
        <v>586</v>
      </c>
      <c r="D114" s="2" t="s">
        <v>1476</v>
      </c>
      <c r="E114" s="2" t="s">
        <v>1477</v>
      </c>
      <c r="F114" s="5">
        <f>SUMIFS(CaseCells!G2:G999,CaseCells!C2:C999, C114,CaseCells!D2:D999, D114)</f>
        <v>750</v>
      </c>
    </row>
    <row r="115">
      <c r="A115" s="2" t="s">
        <v>1478</v>
      </c>
      <c r="B115" s="3" t="str">
        <f>A115</f>
        <v>hrt-whi-2002-observational</v>
      </c>
      <c r="C115" s="2" t="s">
        <v>589</v>
      </c>
      <c r="D115" s="2" t="s">
        <v>1479</v>
      </c>
      <c r="E115" s="2" t="s">
        <v>1480</v>
      </c>
      <c r="F115" s="5">
        <f>SUMIFS(CaseCells!G2:G999,CaseCells!C2:C999, C115,CaseCells!D2:D999, D115)</f>
        <v>20000</v>
      </c>
    </row>
    <row r="116">
      <c r="A116" s="2" t="s">
        <v>1481</v>
      </c>
      <c r="B116" s="3" t="str">
        <f>A116</f>
        <v>hrt-whi-2002-rct-whi</v>
      </c>
      <c r="C116" s="2" t="s">
        <v>589</v>
      </c>
      <c r="D116" s="2" t="s">
        <v>1482</v>
      </c>
      <c r="E116" s="2" t="s">
        <v>1483</v>
      </c>
      <c r="F116" s="5">
        <f>SUMIFS(CaseCells!G2:G999,CaseCells!C2:C999, C116,CaseCells!D2:D999, D116)</f>
        <v>190000</v>
      </c>
    </row>
    <row r="117">
      <c r="A117" s="2" t="s">
        <v>1484</v>
      </c>
      <c r="B117" s="3" t="str">
        <f>A117</f>
        <v>obesity-paradox-hf-no-hf</v>
      </c>
      <c r="C117" s="2" t="s">
        <v>593</v>
      </c>
      <c r="D117" s="2" t="s">
        <v>1485</v>
      </c>
      <c r="E117" s="2" t="s">
        <v>1486</v>
      </c>
      <c r="F117" s="5">
        <f>SUMIFS(CaseCells!G2:G999,CaseCells!C2:C999, C117,CaseCells!D2:D999, D117)</f>
        <v>2000</v>
      </c>
    </row>
    <row r="118">
      <c r="A118" s="2" t="s">
        <v>1487</v>
      </c>
      <c r="B118" s="3" t="str">
        <f>A118</f>
        <v>obesity-paradox-hf-hf</v>
      </c>
      <c r="C118" s="2" t="s">
        <v>593</v>
      </c>
      <c r="D118" s="2" t="s">
        <v>1488</v>
      </c>
      <c r="E118" s="2" t="s">
        <v>1489</v>
      </c>
      <c r="F118" s="5">
        <f>SUMIFS(CaseCells!G2:G999,CaseCells!C2:C999, C118,CaseCells!D2:D999, D118)</f>
        <v>2000</v>
      </c>
    </row>
    <row r="119">
      <c r="A119" s="2" t="s">
        <v>1490</v>
      </c>
      <c r="B119" s="3" t="str">
        <f>A119</f>
        <v>dialysis-bmi-survival-general-population</v>
      </c>
      <c r="C119" s="2" t="s">
        <v>597</v>
      </c>
      <c r="D119" s="2" t="s">
        <v>1491</v>
      </c>
      <c r="E119" s="2" t="s">
        <v>1492</v>
      </c>
      <c r="F119" s="5">
        <f>SUMIFS(CaseCells!G2:G999,CaseCells!C2:C999, C119,CaseCells!D2:D999, D119)</f>
        <v>2000</v>
      </c>
    </row>
    <row r="120">
      <c r="A120" s="2" t="s">
        <v>1493</v>
      </c>
      <c r="B120" s="3" t="str">
        <f>A120</f>
        <v>dialysis-bmi-survival-esrd-dialysis</v>
      </c>
      <c r="C120" s="2" t="s">
        <v>597</v>
      </c>
      <c r="D120" s="2" t="s">
        <v>1494</v>
      </c>
      <c r="E120" s="2" t="s">
        <v>1495</v>
      </c>
      <c r="F120" s="5">
        <f>SUMIFS(CaseCells!G2:G999,CaseCells!C2:C999, C120,CaseCells!D2:D999, D120)</f>
        <v>2000</v>
      </c>
    </row>
    <row r="121">
      <c r="A121" s="2" t="s">
        <v>1496</v>
      </c>
      <c r="B121" s="3" t="str">
        <f>A121</f>
        <v>sick-quitter-alcohol-never-drinkers-only</v>
      </c>
      <c r="C121" s="2" t="s">
        <v>601</v>
      </c>
      <c r="D121" s="2" t="s">
        <v>1497</v>
      </c>
      <c r="E121" s="2" t="s">
        <v>1498</v>
      </c>
      <c r="F121" s="5">
        <f>SUMIFS(CaseCells!G2:G999,CaseCells!C2:C999, C121,CaseCells!D2:D999, D121)</f>
        <v>2000</v>
      </c>
    </row>
    <row r="122">
      <c r="A122" s="2" t="s">
        <v>1499</v>
      </c>
      <c r="B122" s="3" t="str">
        <f>A122</f>
        <v>sick-quitter-alcohol-includes-former-drinkers</v>
      </c>
      <c r="C122" s="2" t="s">
        <v>601</v>
      </c>
      <c r="D122" s="2" t="s">
        <v>1500</v>
      </c>
      <c r="E122" s="2" t="s">
        <v>1501</v>
      </c>
      <c r="F122" s="5">
        <f>SUMIFS(CaseCells!G2:G999,CaseCells!C2:C999, C122,CaseCells!D2:D999, D122)</f>
        <v>2000</v>
      </c>
    </row>
    <row r="123">
      <c r="A123" s="2" t="s">
        <v>1502</v>
      </c>
      <c r="B123" s="3" t="str">
        <f>A123</f>
        <v>flu-vaccine-elderly-mortality-under-75</v>
      </c>
      <c r="C123" s="2" t="s">
        <v>605</v>
      </c>
      <c r="D123" s="2" t="s">
        <v>1503</v>
      </c>
      <c r="E123" s="2" t="s">
        <v>1504</v>
      </c>
      <c r="F123" s="5">
        <f>SUMIFS(CaseCells!G2:G999,CaseCells!C2:C999, C123,CaseCells!D2:D999, D123)</f>
        <v>240000</v>
      </c>
    </row>
    <row r="124">
      <c r="A124" s="2" t="s">
        <v>1505</v>
      </c>
      <c r="B124" s="3" t="str">
        <f>A124</f>
        <v>flu-vaccine-elderly-mortality-75-plus</v>
      </c>
      <c r="C124" s="2" t="s">
        <v>605</v>
      </c>
      <c r="D124" s="2" t="s">
        <v>1506</v>
      </c>
      <c r="E124" s="2" t="s">
        <v>1507</v>
      </c>
      <c r="F124" s="5">
        <f>SUMIFS(CaseCells!G2:G999,CaseCells!C2:C999, C124,CaseCells!D2:D999, D124)</f>
        <v>8000</v>
      </c>
    </row>
    <row r="125">
      <c r="A125" s="2" t="s">
        <v>1508</v>
      </c>
      <c r="B125" s="3" t="str">
        <f>A125</f>
        <v>covid-italy-china-cfr-2020-under-60</v>
      </c>
      <c r="C125" s="2" t="s">
        <v>609</v>
      </c>
      <c r="D125" s="2" t="s">
        <v>1509</v>
      </c>
      <c r="E125" s="2" t="s">
        <v>1510</v>
      </c>
      <c r="F125" s="5">
        <f>SUMIFS(CaseCells!G2:G999,CaseCells!C2:C999, C125,CaseCells!D2:D999, D125)</f>
        <v>51000</v>
      </c>
    </row>
    <row r="126">
      <c r="A126" s="2" t="s">
        <v>1511</v>
      </c>
      <c r="B126" s="3" t="str">
        <f>A126</f>
        <v>covid-italy-china-cfr-2020-60-plus</v>
      </c>
      <c r="C126" s="2" t="s">
        <v>609</v>
      </c>
      <c r="D126" s="2" t="s">
        <v>1512</v>
      </c>
      <c r="E126" s="2" t="s">
        <v>1513</v>
      </c>
      <c r="F126" s="5">
        <f>SUMIFS(CaseCells!G2:G999,CaseCells!C2:C999, C126,CaseCells!D2:D999, D126)</f>
        <v>2400</v>
      </c>
    </row>
    <row r="127">
      <c r="A127" s="2" t="s">
        <v>1514</v>
      </c>
      <c r="B127" s="3" t="str">
        <f>A127</f>
        <v>israel-covid-severe-2021-under-50</v>
      </c>
      <c r="C127" s="2" t="s">
        <v>613</v>
      </c>
      <c r="D127" s="2" t="s">
        <v>1515</v>
      </c>
      <c r="E127" s="2" t="s">
        <v>1516</v>
      </c>
      <c r="F127" s="5">
        <f>SUMIFS(CaseCells!G2:G999,CaseCells!C2:C999, C127,CaseCells!D2:D999, D127)</f>
        <v>152200</v>
      </c>
    </row>
    <row r="128">
      <c r="A128" s="2" t="s">
        <v>1517</v>
      </c>
      <c r="B128" s="3" t="str">
        <f>A128</f>
        <v>israel-covid-severe-2021-50-plus</v>
      </c>
      <c r="C128" s="2" t="s">
        <v>613</v>
      </c>
      <c r="D128" s="2" t="s">
        <v>1518</v>
      </c>
      <c r="E128" s="2" t="s">
        <v>1519</v>
      </c>
      <c r="F128" s="5">
        <f>SUMIFS(CaseCells!G2:G999,CaseCells!C2:C999, C128,CaseCells!D2:D999, D128)</f>
        <v>10800</v>
      </c>
    </row>
    <row r="129">
      <c r="A129" s="2" t="s">
        <v>1520</v>
      </c>
      <c r="B129" s="3" t="str">
        <f>A129</f>
        <v>cochran-smoking-1968-under-65</v>
      </c>
      <c r="C129" s="2" t="s">
        <v>617</v>
      </c>
      <c r="D129" s="2" t="s">
        <v>1331</v>
      </c>
      <c r="E129" s="2" t="s">
        <v>1521</v>
      </c>
      <c r="F129" s="5">
        <f>SUMIFS(CaseCells!G2:G999,CaseCells!C2:C999, C129,CaseCells!D2:D999, D129)</f>
        <v>11000</v>
      </c>
    </row>
    <row r="130">
      <c r="A130" s="2" t="s">
        <v>1522</v>
      </c>
      <c r="B130" s="3" t="str">
        <f>A130</f>
        <v>cochran-smoking-1968-65-plus</v>
      </c>
      <c r="C130" s="2" t="s">
        <v>617</v>
      </c>
      <c r="D130" s="2" t="s">
        <v>1523</v>
      </c>
      <c r="E130" s="2" t="s">
        <v>1524</v>
      </c>
      <c r="F130" s="5">
        <f>SUMIFS(CaseCells!G2:G999,CaseCells!C2:C999, C130,CaseCells!D2:D999, D130)</f>
        <v>2000</v>
      </c>
    </row>
    <row r="131">
      <c r="A131" s="2" t="s">
        <v>1525</v>
      </c>
      <c r="B131" s="3" t="str">
        <f>A131</f>
        <v>healthy-worker-mortality-low-hazard-occupations</v>
      </c>
      <c r="C131" s="2" t="s">
        <v>621</v>
      </c>
      <c r="D131" s="2" t="s">
        <v>1526</v>
      </c>
      <c r="E131" s="2" t="s">
        <v>1527</v>
      </c>
      <c r="F131" s="5">
        <f>SUMIFS(CaseCells!G2:G999,CaseCells!C2:C999, C131,CaseCells!D2:D999, D131)</f>
        <v>2000</v>
      </c>
    </row>
    <row r="132">
      <c r="A132" s="2" t="s">
        <v>1528</v>
      </c>
      <c r="B132" s="3" t="str">
        <f>A132</f>
        <v>healthy-worker-mortality-high-hazard-occupations</v>
      </c>
      <c r="C132" s="2" t="s">
        <v>621</v>
      </c>
      <c r="D132" s="2" t="s">
        <v>1529</v>
      </c>
      <c r="E132" s="2" t="s">
        <v>1530</v>
      </c>
      <c r="F132" s="5">
        <f>SUMIFS(CaseCells!G2:G999,CaseCells!C2:C999, C132,CaseCells!D2:D999, D132)</f>
        <v>2000</v>
      </c>
    </row>
    <row r="133">
      <c r="A133" s="2" t="s">
        <v>1531</v>
      </c>
      <c r="B133" s="3" t="str">
        <f>A133</f>
        <v>compas-recidivism-base-low-prevalence-group</v>
      </c>
      <c r="C133" s="2" t="s">
        <v>624</v>
      </c>
      <c r="D133" s="2" t="s">
        <v>1532</v>
      </c>
      <c r="E133" s="2" t="s">
        <v>1533</v>
      </c>
      <c r="F133" s="5">
        <f>SUMIFS(CaseCells!G2:G999,CaseCells!C2:C999, C133,CaseCells!D2:D999, D133)</f>
        <v>2000</v>
      </c>
    </row>
    <row r="134">
      <c r="A134" s="2" t="s">
        <v>1534</v>
      </c>
      <c r="B134" s="3" t="str">
        <f>A134</f>
        <v>compas-recidivism-base-high-prevalence-group</v>
      </c>
      <c r="C134" s="2" t="s">
        <v>624</v>
      </c>
      <c r="D134" s="2" t="s">
        <v>1535</v>
      </c>
      <c r="E134" s="2" t="s">
        <v>1536</v>
      </c>
      <c r="F134" s="5">
        <f>SUMIFS(CaseCells!G2:G999,CaseCells!C2:C999, C134,CaseCells!D2:D999, D134)</f>
        <v>2000</v>
      </c>
    </row>
    <row r="135">
      <c r="A135" s="2" t="s">
        <v>1537</v>
      </c>
      <c r="B135" s="3" t="str">
        <f>A135</f>
        <v>us-wage-composition-stagnation-college-educated</v>
      </c>
      <c r="C135" s="2" t="s">
        <v>629</v>
      </c>
      <c r="D135" s="2" t="s">
        <v>1538</v>
      </c>
      <c r="E135" s="2" t="s">
        <v>1539</v>
      </c>
      <c r="F135" s="5">
        <f>SUMIFS(CaseCells!G2:G999,CaseCells!C2:C999, C135,CaseCells!D2:D999, D135)</f>
        <v>20000</v>
      </c>
    </row>
    <row r="136">
      <c r="A136" s="2" t="s">
        <v>1540</v>
      </c>
      <c r="B136" s="3" t="str">
        <f>A136</f>
        <v>us-wage-composition-stagnation-non-college</v>
      </c>
      <c r="C136" s="2" t="s">
        <v>629</v>
      </c>
      <c r="D136" s="2" t="s">
        <v>1541</v>
      </c>
      <c r="E136" s="2" t="s">
        <v>1542</v>
      </c>
      <c r="F136" s="5">
        <f>SUMIFS(CaseCells!G2:G999,CaseCells!C2:C999, C136,CaseCells!D2:D999, D136)</f>
        <v>11000</v>
      </c>
    </row>
    <row r="137">
      <c r="A137" s="2" t="s">
        <v>1543</v>
      </c>
      <c r="B137" s="3" t="str">
        <f>A137</f>
        <v>borjas-immigrant-cohort-recent-arrivals</v>
      </c>
      <c r="C137" s="2" t="s">
        <v>633</v>
      </c>
      <c r="D137" s="2" t="s">
        <v>1544</v>
      </c>
      <c r="E137" s="2" t="s">
        <v>1545</v>
      </c>
      <c r="F137" s="5">
        <f>SUMIFS(CaseCells!G2:G999,CaseCells!C2:C999, C137,CaseCells!D2:D999, D137)</f>
        <v>2000</v>
      </c>
    </row>
    <row r="138">
      <c r="A138" s="2" t="s">
        <v>1546</v>
      </c>
      <c r="B138" s="3" t="str">
        <f>A138</f>
        <v>borjas-immigrant-cohort-established-immigrants</v>
      </c>
      <c r="C138" s="2" t="s">
        <v>633</v>
      </c>
      <c r="D138" s="2" t="s">
        <v>1547</v>
      </c>
      <c r="E138" s="2" t="s">
        <v>1548</v>
      </c>
      <c r="F138" s="5">
        <f>SUMIFS(CaseCells!G2:G999,CaseCells!C2:C999, C138,CaseCells!D2:D999, D138)</f>
        <v>2000</v>
      </c>
    </row>
    <row r="139">
      <c r="A139" s="2" t="s">
        <v>1549</v>
      </c>
      <c r="B139" s="3" t="str">
        <f>A139</f>
        <v>robinson-1950-literacy-high-literacy-states</v>
      </c>
      <c r="C139" s="2" t="s">
        <v>637</v>
      </c>
      <c r="D139" s="2" t="s">
        <v>1550</v>
      </c>
      <c r="E139" s="2" t="s">
        <v>1551</v>
      </c>
      <c r="F139" s="5">
        <f>SUMIFS(CaseCells!G2:G999,CaseCells!C2:C999, C139,CaseCells!D2:D999, D139)</f>
        <v>11000</v>
      </c>
    </row>
    <row r="140">
      <c r="A140" s="2" t="s">
        <v>1552</v>
      </c>
      <c r="B140" s="3" t="str">
        <f>A140</f>
        <v>robinson-1950-literacy-low-literacy-states</v>
      </c>
      <c r="C140" s="2" t="s">
        <v>637</v>
      </c>
      <c r="D140" s="2" t="s">
        <v>1553</v>
      </c>
      <c r="E140" s="2" t="s">
        <v>1554</v>
      </c>
      <c r="F140" s="5">
        <f>SUMIFS(CaseCells!G2:G999,CaseCells!C2:C999, C140,CaseCells!D2:D999, D140)</f>
        <v>3000</v>
      </c>
    </row>
    <row r="141">
      <c r="A141" s="2" t="s">
        <v>1555</v>
      </c>
      <c r="B141" s="3" t="str">
        <f>A141</f>
        <v>ab-test-traffic-mix-week1-young-users</v>
      </c>
      <c r="C141" s="2" t="s">
        <v>641</v>
      </c>
      <c r="D141" s="2" t="s">
        <v>1556</v>
      </c>
      <c r="E141" s="2" t="s">
        <v>1557</v>
      </c>
      <c r="F141" s="5">
        <f>SUMIFS(CaseCells!G2:G999,CaseCells!C2:C999, C141,CaseCells!D2:D999, D141)</f>
        <v>20000</v>
      </c>
    </row>
    <row r="142">
      <c r="A142" s="2" t="s">
        <v>1558</v>
      </c>
      <c r="B142" s="3" t="str">
        <f>A142</f>
        <v>ab-test-traffic-mix-week2-old-users</v>
      </c>
      <c r="C142" s="2" t="s">
        <v>641</v>
      </c>
      <c r="D142" s="2" t="s">
        <v>1559</v>
      </c>
      <c r="E142" s="2" t="s">
        <v>1560</v>
      </c>
      <c r="F142" s="5">
        <f>SUMIFS(CaseCells!G2:G999,CaseCells!C2:C999, C142,CaseCells!D2:D999, D142)</f>
        <v>4000</v>
      </c>
    </row>
    <row r="143">
      <c r="A143" s="2" t="s">
        <v>1561</v>
      </c>
      <c r="B143" s="3" t="str">
        <f>A143</f>
        <v>recsys-offline-eval-head-items</v>
      </c>
      <c r="C143" s="2" t="s">
        <v>645</v>
      </c>
      <c r="D143" s="2" t="s">
        <v>1562</v>
      </c>
      <c r="E143" s="2" t="s">
        <v>1563</v>
      </c>
      <c r="F143" s="5">
        <f>SUMIFS(CaseCells!G2:G999,CaseCells!C2:C999, C143,CaseCells!D2:D999, D143)</f>
        <v>2000</v>
      </c>
    </row>
    <row r="144">
      <c r="A144" s="2" t="s">
        <v>1564</v>
      </c>
      <c r="B144" s="3" t="str">
        <f>A144</f>
        <v>recsys-offline-eval-tail-items</v>
      </c>
      <c r="C144" s="2" t="s">
        <v>645</v>
      </c>
      <c r="D144" s="2" t="s">
        <v>1565</v>
      </c>
      <c r="E144" s="2" t="s">
        <v>1566</v>
      </c>
      <c r="F144" s="5">
        <f>SUMIFS(CaseCells!G2:G999,CaseCells!C2:C999, C144,CaseCells!D2:D999, D144)</f>
        <v>2000</v>
      </c>
    </row>
    <row r="145">
      <c r="A145" s="2" t="s">
        <v>1567</v>
      </c>
      <c r="B145" s="3" t="str">
        <f>A145</f>
        <v>collider-only-synthetic-conditioned-in</v>
      </c>
      <c r="C145" s="2" t="s">
        <v>649</v>
      </c>
      <c r="D145" s="2" t="s">
        <v>1568</v>
      </c>
      <c r="E145" s="2" t="s">
        <v>1569</v>
      </c>
      <c r="F145" s="5">
        <f>SUMIFS(CaseCells!G2:G999,CaseCells!C2:C999, C145,CaseCells!D2:D999, D145)</f>
        <v>200</v>
      </c>
    </row>
    <row r="146">
      <c r="A146" s="2" t="s">
        <v>1570</v>
      </c>
      <c r="B146" s="3" t="str">
        <f>A146</f>
        <v>collider-only-synthetic-conditioned-out</v>
      </c>
      <c r="C146" s="2" t="s">
        <v>649</v>
      </c>
      <c r="D146" s="2" t="s">
        <v>1571</v>
      </c>
      <c r="E146" s="2" t="s">
        <v>1572</v>
      </c>
      <c r="F146" s="5">
        <f>SUMIFS(CaseCells!G2:G999,CaseCells!C2:C999, C146,CaseCells!D2:D999, D146)</f>
        <v>1800</v>
      </c>
    </row>
    <row r="147">
      <c r="A147" s="2" t="s">
        <v>1573</v>
      </c>
      <c r="B147" s="3" t="str">
        <f>A147</f>
        <v>noncollapsibility-or-synthetic-low-prevalence</v>
      </c>
      <c r="C147" s="2" t="s">
        <v>652</v>
      </c>
      <c r="D147" s="2" t="s">
        <v>1574</v>
      </c>
      <c r="E147" s="2" t="s">
        <v>1575</v>
      </c>
      <c r="F147" s="5">
        <f>SUMIFS(CaseCells!G2:G999,CaseCells!C2:C999, C147,CaseCells!D2:D999, D147)</f>
        <v>200</v>
      </c>
    </row>
    <row r="148">
      <c r="A148" s="2" t="s">
        <v>1576</v>
      </c>
      <c r="B148" s="3" t="str">
        <f>A148</f>
        <v>noncollapsibility-or-synthetic-high-prevalence</v>
      </c>
      <c r="C148" s="2" t="s">
        <v>652</v>
      </c>
      <c r="D148" s="2" t="s">
        <v>1577</v>
      </c>
      <c r="E148" s="2" t="s">
        <v>1578</v>
      </c>
      <c r="F148" s="5">
        <f>SUMIFS(CaseCells!G2:G999,CaseCells!C2:C999, C148,CaseCells!D2:D999, D148)</f>
        <v>2000</v>
      </c>
    </row>
    <row r="149">
      <c r="A149" s="2" t="s">
        <v>1579</v>
      </c>
      <c r="B149" s="3" t="str">
        <f>A149</f>
        <v>trauma-center-mortality-mild-injury</v>
      </c>
      <c r="C149" s="2" t="s">
        <v>655</v>
      </c>
      <c r="D149" s="2" t="s">
        <v>1580</v>
      </c>
      <c r="E149" s="2" t="s">
        <v>1581</v>
      </c>
      <c r="F149" s="5">
        <f>SUMIFS(CaseCells!G2:G999,CaseCells!C2:C999, C149,CaseCells!D2:D999, D149)</f>
        <v>2000</v>
      </c>
    </row>
    <row r="150">
      <c r="A150" s="2" t="s">
        <v>1582</v>
      </c>
      <c r="B150" s="3" t="str">
        <f>A150</f>
        <v>trauma-center-mortality-severe-injury</v>
      </c>
      <c r="C150" s="2" t="s">
        <v>655</v>
      </c>
      <c r="D150" s="2" t="s">
        <v>1583</v>
      </c>
      <c r="E150" s="2" t="s">
        <v>1584</v>
      </c>
      <c r="F150" s="5">
        <f>SUMIFS(CaseCells!G2:G999,CaseCells!C2:C999, C150,CaseCells!D2:D999, D150)</f>
        <v>2000</v>
      </c>
    </row>
    <row r="151">
      <c r="A151" s="2" t="s">
        <v>1585</v>
      </c>
      <c r="B151" s="3" t="str">
        <f>A151</f>
        <v>surgeon-volume-mortality-low-risk</v>
      </c>
      <c r="C151" s="2" t="s">
        <v>659</v>
      </c>
      <c r="D151" s="2" t="s">
        <v>1235</v>
      </c>
      <c r="E151" s="2" t="s">
        <v>1586</v>
      </c>
      <c r="F151" s="5">
        <f>SUMIFS(CaseCells!G2:G999,CaseCells!C2:C999, C151,CaseCells!D2:D999, D151)</f>
        <v>2000</v>
      </c>
    </row>
    <row r="152">
      <c r="A152" s="2" t="s">
        <v>1587</v>
      </c>
      <c r="B152" s="3" t="str">
        <f>A152</f>
        <v>surgeon-volume-mortality-high-risk</v>
      </c>
      <c r="C152" s="2" t="s">
        <v>659</v>
      </c>
      <c r="D152" s="2" t="s">
        <v>1232</v>
      </c>
      <c r="E152" s="2" t="s">
        <v>1588</v>
      </c>
      <c r="F152" s="5">
        <f>SUMIFS(CaseCells!G2:G999,CaseCells!C2:C999, C152,CaseCells!D2:D999, D152)</f>
        <v>2000</v>
      </c>
    </row>
    <row r="153">
      <c r="A153" s="2" t="s">
        <v>1589</v>
      </c>
      <c r="B153" s="3" t="str">
        <f>A153</f>
        <v>mammography-length-bias-slow-growing</v>
      </c>
      <c r="C153" s="2" t="s">
        <v>663</v>
      </c>
      <c r="D153" s="2" t="s">
        <v>1590</v>
      </c>
      <c r="E153" s="2" t="s">
        <v>1591</v>
      </c>
      <c r="F153" s="5">
        <f>SUMIFS(CaseCells!G2:G999,CaseCells!C2:C999, C153,CaseCells!D2:D999, D153)</f>
        <v>2000</v>
      </c>
    </row>
    <row r="154">
      <c r="A154" s="2" t="s">
        <v>1592</v>
      </c>
      <c r="B154" s="3" t="str">
        <f>A154</f>
        <v>mammography-length-bias-aggressive</v>
      </c>
      <c r="C154" s="2" t="s">
        <v>663</v>
      </c>
      <c r="D154" s="2" t="s">
        <v>1593</v>
      </c>
      <c r="E154" s="2" t="s">
        <v>1594</v>
      </c>
      <c r="F154" s="5">
        <f>SUMIFS(CaseCells!G2:G999,CaseCells!C2:C999, C154,CaseCells!D2:D999, D154)</f>
        <v>2000</v>
      </c>
    </row>
    <row r="155">
      <c r="A155" s="2" t="s">
        <v>1595</v>
      </c>
      <c r="B155" s="3" t="str">
        <f>A155</f>
        <v>cabg-vs-pci-severity-multivessel</v>
      </c>
      <c r="C155" s="2" t="s">
        <v>667</v>
      </c>
      <c r="D155" s="2" t="s">
        <v>1596</v>
      </c>
      <c r="E155" s="2" t="s">
        <v>1597</v>
      </c>
      <c r="F155" s="5">
        <f>SUMIFS(CaseCells!G2:G999,CaseCells!C2:C999, C155,CaseCells!D2:D999, D155)</f>
        <v>2000</v>
      </c>
    </row>
    <row r="156">
      <c r="A156" s="2" t="s">
        <v>1598</v>
      </c>
      <c r="B156" s="3" t="str">
        <f>A156</f>
        <v>cabg-vs-pci-severity-single-vessel</v>
      </c>
      <c r="C156" s="2" t="s">
        <v>667</v>
      </c>
      <c r="D156" s="2" t="s">
        <v>1599</v>
      </c>
      <c r="E156" s="2" t="s">
        <v>1600</v>
      </c>
      <c r="F156" s="5">
        <f>SUMIFS(CaseCells!G2:G999,CaseCells!C2:C999, C156,CaseCells!D2:D999, D156)</f>
        <v>2000</v>
      </c>
    </row>
    <row r="157">
      <c r="A157" s="2" t="s">
        <v>1601</v>
      </c>
      <c r="B157" s="3" t="str">
        <f>A157</f>
        <v>tolbutamide-ugdp-1970-low-risk-centers</v>
      </c>
      <c r="C157" s="2" t="s">
        <v>671</v>
      </c>
      <c r="D157" s="2" t="s">
        <v>1602</v>
      </c>
      <c r="E157" s="2" t="s">
        <v>1603</v>
      </c>
      <c r="F157" s="5">
        <f>SUMIFS(CaseCells!G2:G999,CaseCells!C2:C999, C157,CaseCells!D2:D999, D157)</f>
        <v>2000</v>
      </c>
    </row>
    <row r="158">
      <c r="A158" s="2" t="s">
        <v>1604</v>
      </c>
      <c r="B158" s="3" t="str">
        <f>A158</f>
        <v>tolbutamide-ugdp-1970-high-risk-centers</v>
      </c>
      <c r="C158" s="2" t="s">
        <v>671</v>
      </c>
      <c r="D158" s="2" t="s">
        <v>1605</v>
      </c>
      <c r="E158" s="2" t="s">
        <v>1606</v>
      </c>
      <c r="F158" s="5">
        <f>SUMIFS(CaseCells!G2:G999,CaseCells!C2:C999, C158,CaseCells!D2:D999, D158)</f>
        <v>2000</v>
      </c>
    </row>
    <row r="159">
      <c r="A159" s="2" t="s">
        <v>1607</v>
      </c>
      <c r="B159" s="3" t="str">
        <f>A159</f>
        <v>snow-cholera-water-1855-high-exposure-district</v>
      </c>
      <c r="C159" s="2" t="s">
        <v>675</v>
      </c>
      <c r="D159" s="2" t="s">
        <v>1608</v>
      </c>
      <c r="E159" s="2" t="s">
        <v>1609</v>
      </c>
      <c r="F159" s="5">
        <f>SUMIFS(CaseCells!G2:G999,CaseCells!C2:C999, C159,CaseCells!D2:D999, D159)</f>
        <v>2000</v>
      </c>
    </row>
    <row r="160">
      <c r="A160" s="2" t="s">
        <v>1610</v>
      </c>
      <c r="B160" s="3" t="str">
        <f>A160</f>
        <v>snow-cholera-water-1855-mixed-supply-district</v>
      </c>
      <c r="C160" s="2" t="s">
        <v>675</v>
      </c>
      <c r="D160" s="2" t="s">
        <v>1611</v>
      </c>
      <c r="E160" s="2" t="s">
        <v>1612</v>
      </c>
      <c r="F160" s="5">
        <f>SUMIFS(CaseCells!G2:G999,CaseCells!C2:C999, C160,CaseCells!D2:D999, D160)</f>
        <v>2000</v>
      </c>
    </row>
    <row r="161">
      <c r="A161" s="2" t="s">
        <v>1613</v>
      </c>
      <c r="B161" s="3" t="str">
        <f>A161</f>
        <v>seatbelt-crash-severity-minor-crash</v>
      </c>
      <c r="C161" s="2" t="s">
        <v>679</v>
      </c>
      <c r="D161" s="2" t="s">
        <v>1614</v>
      </c>
      <c r="E161" s="2" t="s">
        <v>1615</v>
      </c>
      <c r="F161" s="5">
        <f>SUMIFS(CaseCells!G2:G999,CaseCells!C2:C999, C161,CaseCells!D2:D999, D161)</f>
        <v>2000</v>
      </c>
    </row>
    <row r="162">
      <c r="A162" s="2" t="s">
        <v>1616</v>
      </c>
      <c r="B162" s="3" t="str">
        <f>A162</f>
        <v>seatbelt-crash-severity-severe-crash</v>
      </c>
      <c r="C162" s="2" t="s">
        <v>679</v>
      </c>
      <c r="D162" s="2" t="s">
        <v>1617</v>
      </c>
      <c r="E162" s="2" t="s">
        <v>1618</v>
      </c>
      <c r="F162" s="5">
        <f>SUMIFS(CaseCells!G2:G999,CaseCells!C2:C999, C162,CaseCells!D2:D999, D162)</f>
        <v>2000</v>
      </c>
    </row>
    <row r="163">
      <c r="A163" s="2" t="s">
        <v>1619</v>
      </c>
      <c r="B163" s="3" t="str">
        <f>A163</f>
        <v>measles-outbreak-vaccinated-high-coverage-setting</v>
      </c>
      <c r="C163" s="2" t="s">
        <v>683</v>
      </c>
      <c r="D163" s="2" t="s">
        <v>1620</v>
      </c>
      <c r="E163" s="2" t="s">
        <v>1621</v>
      </c>
      <c r="F163" s="5">
        <f>SUMIFS(CaseCells!G2:G999,CaseCells!C2:C999, C163,CaseCells!D2:D999, D163)</f>
        <v>10000</v>
      </c>
    </row>
    <row r="164">
      <c r="A164" s="2" t="s">
        <v>1622</v>
      </c>
      <c r="B164" s="3" t="str">
        <f>A164</f>
        <v>measles-outbreak-vaccinated-lower-coverage-setting</v>
      </c>
      <c r="C164" s="2" t="s">
        <v>683</v>
      </c>
      <c r="D164" s="2" t="s">
        <v>1623</v>
      </c>
      <c r="E164" s="2" t="s">
        <v>1624</v>
      </c>
      <c r="F164" s="5">
        <f>SUMIFS(CaseCells!G2:G999,CaseCells!C2:C999, C164,CaseCells!D2:D999, D164)</f>
        <v>2500</v>
      </c>
    </row>
    <row r="165">
      <c r="A165" s="2" t="s">
        <v>1625</v>
      </c>
      <c r="B165" s="3" t="str">
        <f>A165</f>
        <v>air-pollution-mortality-city-younger-population-city</v>
      </c>
      <c r="C165" s="2" t="s">
        <v>687</v>
      </c>
      <c r="D165" s="2" t="s">
        <v>1626</v>
      </c>
      <c r="E165" s="2" t="s">
        <v>1627</v>
      </c>
      <c r="F165" s="5">
        <f>SUMIFS(CaseCells!G2:G999,CaseCells!C2:C999, C165,CaseCells!D2:D999, D165)</f>
        <v>2000</v>
      </c>
    </row>
    <row r="166">
      <c r="A166" s="2" t="s">
        <v>1628</v>
      </c>
      <c r="B166" s="3" t="str">
        <f>A166</f>
        <v>air-pollution-mortality-city-older-population-city</v>
      </c>
      <c r="C166" s="2" t="s">
        <v>687</v>
      </c>
      <c r="D166" s="2" t="s">
        <v>1629</v>
      </c>
      <c r="E166" s="2" t="s">
        <v>1630</v>
      </c>
      <c r="F166" s="5">
        <f>SUMIFS(CaseCells!G2:G999,CaseCells!C2:C999, C166,CaseCells!D2:D999, D166)</f>
        <v>2000</v>
      </c>
    </row>
    <row r="167">
      <c r="A167" s="2" t="s">
        <v>1631</v>
      </c>
      <c r="B167" s="3" t="str">
        <f>A167</f>
        <v>tb-treatment-resistance-drug-sensitive</v>
      </c>
      <c r="C167" s="2" t="s">
        <v>691</v>
      </c>
      <c r="D167" s="2" t="s">
        <v>1632</v>
      </c>
      <c r="E167" s="2" t="s">
        <v>1633</v>
      </c>
      <c r="F167" s="5">
        <f>SUMIFS(CaseCells!G2:G999,CaseCells!C2:C999, C167,CaseCells!D2:D999, D167)</f>
        <v>2000</v>
      </c>
    </row>
    <row r="168">
      <c r="A168" s="2" t="s">
        <v>1634</v>
      </c>
      <c r="B168" s="3" t="str">
        <f>A168</f>
        <v>tb-treatment-resistance-drug-resistant</v>
      </c>
      <c r="C168" s="2" t="s">
        <v>691</v>
      </c>
      <c r="D168" s="2" t="s">
        <v>1635</v>
      </c>
      <c r="E168" s="2" t="s">
        <v>1636</v>
      </c>
      <c r="F168" s="5">
        <f>SUMIFS(CaseCells!G2:G999,CaseCells!C2:C999, C168,CaseCells!D2:D999, D168)</f>
        <v>2000</v>
      </c>
    </row>
    <row r="169">
      <c r="A169" s="2" t="s">
        <v>1637</v>
      </c>
      <c r="B169" s="3" t="str">
        <f>A169</f>
        <v>hospital-mortality-readmission-high-comorbidity</v>
      </c>
      <c r="C169" s="2" t="s">
        <v>695</v>
      </c>
      <c r="D169" s="2" t="s">
        <v>1638</v>
      </c>
      <c r="E169" s="2" t="s">
        <v>1639</v>
      </c>
      <c r="F169" s="5">
        <f>SUMIFS(CaseCells!G2:G999,CaseCells!C2:C999, C169,CaseCells!D2:D999, D169)</f>
        <v>2000</v>
      </c>
    </row>
    <row r="170">
      <c r="A170" s="2" t="s">
        <v>1640</v>
      </c>
      <c r="B170" s="3" t="str">
        <f>A170</f>
        <v>hospital-mortality-readmission-low-comorbidity</v>
      </c>
      <c r="C170" s="2" t="s">
        <v>695</v>
      </c>
      <c r="D170" s="2" t="s">
        <v>1641</v>
      </c>
      <c r="E170" s="2" t="s">
        <v>1642</v>
      </c>
      <c r="F170" s="5">
        <f>SUMIFS(CaseCells!G2:G999,CaseCells!C2:C999, C170,CaseCells!D2:D999, D170)</f>
        <v>2000</v>
      </c>
    </row>
    <row r="171">
      <c r="A171" s="2" t="s">
        <v>1643</v>
      </c>
      <c r="B171" s="3" t="str">
        <f>A171</f>
        <v>nypd-stop-frisk-hitrate-high-crime-precincts</v>
      </c>
      <c r="C171" s="2" t="s">
        <v>699</v>
      </c>
      <c r="D171" s="2" t="s">
        <v>1644</v>
      </c>
      <c r="E171" s="2" t="s">
        <v>1645</v>
      </c>
      <c r="F171" s="5">
        <f>SUMIFS(CaseCells!G2:G999,CaseCells!C2:C999, C171,CaseCells!D2:D999, D171)</f>
        <v>15000</v>
      </c>
    </row>
    <row r="172">
      <c r="A172" s="2" t="s">
        <v>1646</v>
      </c>
      <c r="B172" s="3" t="str">
        <f>A172</f>
        <v>nypd-stop-frisk-hitrate-low-crime-precincts</v>
      </c>
      <c r="C172" s="2" t="s">
        <v>699</v>
      </c>
      <c r="D172" s="2" t="s">
        <v>1647</v>
      </c>
      <c r="E172" s="2" t="s">
        <v>1648</v>
      </c>
      <c r="F172" s="5">
        <f>SUMIFS(CaseCells!G2:G999,CaseCells!C2:C999, C172,CaseCells!D2:D999, D172)</f>
        <v>3500</v>
      </c>
    </row>
    <row r="173">
      <c r="A173" s="2" t="s">
        <v>1649</v>
      </c>
      <c r="B173" s="3" t="str">
        <f>A173</f>
        <v>sentencing-offense-type-violent-offenses</v>
      </c>
      <c r="C173" s="2" t="s">
        <v>703</v>
      </c>
      <c r="D173" s="2" t="s">
        <v>1650</v>
      </c>
      <c r="E173" s="2" t="s">
        <v>1651</v>
      </c>
      <c r="F173" s="5">
        <f>SUMIFS(CaseCells!G2:G999,CaseCells!C2:C999, C173,CaseCells!D2:D999, D173)</f>
        <v>2000</v>
      </c>
    </row>
    <row r="174">
      <c r="A174" s="2" t="s">
        <v>1652</v>
      </c>
      <c r="B174" s="3" t="str">
        <f>A174</f>
        <v>sentencing-offense-type-nonviolent-offenses</v>
      </c>
      <c r="C174" s="2" t="s">
        <v>703</v>
      </c>
      <c r="D174" s="2" t="s">
        <v>1653</v>
      </c>
      <c r="E174" s="2" t="s">
        <v>1654</v>
      </c>
      <c r="F174" s="5">
        <f>SUMIFS(CaseCells!G2:G999,CaseCells!C2:C999, C174,CaseCells!D2:D999, D174)</f>
        <v>2000</v>
      </c>
    </row>
    <row r="175">
      <c r="A175" s="2" t="s">
        <v>1655</v>
      </c>
      <c r="B175" s="3" t="str">
        <f>A175</f>
        <v>bail-risk-score-high-risk-tier</v>
      </c>
      <c r="C175" s="2" t="s">
        <v>707</v>
      </c>
      <c r="D175" s="2" t="s">
        <v>1656</v>
      </c>
      <c r="E175" s="2" t="s">
        <v>1657</v>
      </c>
      <c r="F175" s="5">
        <f>SUMIFS(CaseCells!G2:G999,CaseCells!C2:C999, C175,CaseCells!D2:D999, D175)</f>
        <v>2000</v>
      </c>
    </row>
    <row r="176">
      <c r="A176" s="2" t="s">
        <v>1658</v>
      </c>
      <c r="B176" s="3" t="str">
        <f>A176</f>
        <v>bail-risk-score-low-risk-tier</v>
      </c>
      <c r="C176" s="2" t="s">
        <v>707</v>
      </c>
      <c r="D176" s="2" t="s">
        <v>1659</v>
      </c>
      <c r="E176" s="2" t="s">
        <v>1660</v>
      </c>
      <c r="F176" s="5">
        <f>SUMIFS(CaseCells!G2:G999,CaseCells!C2:C999, C176,CaseCells!D2:D999, D176)</f>
        <v>2000</v>
      </c>
    </row>
    <row r="177">
      <c r="A177" s="2" t="s">
        <v>1661</v>
      </c>
      <c r="B177" s="3" t="str">
        <f>A177</f>
        <v>police-force-encounter-discretionary-stop</v>
      </c>
      <c r="C177" s="2" t="s">
        <v>711</v>
      </c>
      <c r="D177" s="2" t="s">
        <v>1662</v>
      </c>
      <c r="E177" s="2" t="s">
        <v>1663</v>
      </c>
      <c r="F177" s="5">
        <f>SUMIFS(CaseCells!G2:G999,CaseCells!C2:C999, C177,CaseCells!D2:D999, D177)</f>
        <v>2000</v>
      </c>
    </row>
    <row r="178">
      <c r="A178" s="2" t="s">
        <v>1664</v>
      </c>
      <c r="B178" s="3" t="str">
        <f>A178</f>
        <v>police-force-encounter-high-risk-call</v>
      </c>
      <c r="C178" s="2" t="s">
        <v>711</v>
      </c>
      <c r="D178" s="2" t="s">
        <v>1665</v>
      </c>
      <c r="E178" s="2" t="s">
        <v>1666</v>
      </c>
      <c r="F178" s="5">
        <f>SUMIFS(CaseCells!G2:G999,CaseCells!C2:C999, C178,CaseCells!D2:D999, D178)</f>
        <v>2000</v>
      </c>
    </row>
    <row r="179">
      <c r="A179" s="2" t="s">
        <v>1667</v>
      </c>
      <c r="B179" s="3" t="str">
        <f>A179</f>
        <v>uc-systemwide-admissions-high-selectivity-major</v>
      </c>
      <c r="C179" s="2" t="s">
        <v>715</v>
      </c>
      <c r="D179" s="2" t="s">
        <v>1668</v>
      </c>
      <c r="E179" s="2" t="s">
        <v>1669</v>
      </c>
      <c r="F179" s="5">
        <f>SUMIFS(CaseCells!G2:G999,CaseCells!C2:C999, C179,CaseCells!D2:D999, D179)</f>
        <v>2000</v>
      </c>
    </row>
    <row r="180">
      <c r="A180" s="2" t="s">
        <v>1670</v>
      </c>
      <c r="B180" s="3" t="str">
        <f>A180</f>
        <v>uc-systemwide-admissions-lower-selectivity-major</v>
      </c>
      <c r="C180" s="2" t="s">
        <v>715</v>
      </c>
      <c r="D180" s="2" t="s">
        <v>1671</v>
      </c>
      <c r="E180" s="2" t="s">
        <v>1672</v>
      </c>
      <c r="F180" s="5">
        <f>SUMIFS(CaseCells!G2:G999,CaseCells!C2:C999, C180,CaseCells!D2:D999, D180)</f>
        <v>2000</v>
      </c>
    </row>
    <row r="181">
      <c r="A181" s="2" t="s">
        <v>1673</v>
      </c>
      <c r="B181" s="3" t="str">
        <f>A181</f>
        <v>teacher-vam-prior-achievement-high-prior-achievement</v>
      </c>
      <c r="C181" s="2" t="s">
        <v>719</v>
      </c>
      <c r="D181" s="2" t="s">
        <v>1674</v>
      </c>
      <c r="E181" s="2" t="s">
        <v>1675</v>
      </c>
      <c r="F181" s="5">
        <f>SUMIFS(CaseCells!G2:G999,CaseCells!C2:C999, C181,CaseCells!D2:D999, D181)</f>
        <v>2000</v>
      </c>
    </row>
    <row r="182">
      <c r="A182" s="2" t="s">
        <v>1676</v>
      </c>
      <c r="B182" s="3" t="str">
        <f>A182</f>
        <v>teacher-vam-prior-achievement-low-prior-achievement</v>
      </c>
      <c r="C182" s="2" t="s">
        <v>719</v>
      </c>
      <c r="D182" s="2" t="s">
        <v>1677</v>
      </c>
      <c r="E182" s="2" t="s">
        <v>1678</v>
      </c>
      <c r="F182" s="5">
        <f>SUMIFS(CaseCells!G2:G999,CaseCells!C2:C999, C182,CaseCells!D2:D999, D182)</f>
        <v>2000</v>
      </c>
    </row>
    <row r="183">
      <c r="A183" s="2" t="s">
        <v>1679</v>
      </c>
      <c r="B183" s="3" t="str">
        <f>A183</f>
        <v>naep-state-demographics-high-poverty-states</v>
      </c>
      <c r="C183" s="2" t="s">
        <v>723</v>
      </c>
      <c r="D183" s="2" t="s">
        <v>1680</v>
      </c>
      <c r="E183" s="2" t="s">
        <v>1681</v>
      </c>
      <c r="F183" s="5">
        <f>SUMIFS(CaseCells!G2:G999,CaseCells!C2:C999, C183,CaseCells!D2:D999, D183)</f>
        <v>2000</v>
      </c>
    </row>
    <row r="184">
      <c r="A184" s="2" t="s">
        <v>1682</v>
      </c>
      <c r="B184" s="3" t="str">
        <f>A184</f>
        <v>naep-state-demographics-low-poverty-states</v>
      </c>
      <c r="C184" s="2" t="s">
        <v>723</v>
      </c>
      <c r="D184" s="2" t="s">
        <v>1683</v>
      </c>
      <c r="E184" s="2" t="s">
        <v>1684</v>
      </c>
      <c r="F184" s="5">
        <f>SUMIFS(CaseCells!G2:G999,CaseCells!C2:C999, C184,CaseCells!D2:D999, D184)</f>
        <v>2000</v>
      </c>
    </row>
    <row r="185">
      <c r="A185" s="2" t="s">
        <v>1685</v>
      </c>
      <c r="B185" s="3" t="str">
        <f>A185</f>
        <v>college-grad-rate-selectivity-well-prepared-intake</v>
      </c>
      <c r="C185" s="2" t="s">
        <v>727</v>
      </c>
      <c r="D185" s="2" t="s">
        <v>1686</v>
      </c>
      <c r="E185" s="2" t="s">
        <v>1687</v>
      </c>
      <c r="F185" s="5">
        <f>SUMIFS(CaseCells!G2:G999,CaseCells!C2:C999, C185,CaseCells!D2:D999, D185)</f>
        <v>2000</v>
      </c>
    </row>
    <row r="186">
      <c r="A186" s="2" t="s">
        <v>1688</v>
      </c>
      <c r="B186" s="3" t="str">
        <f>A186</f>
        <v>college-grad-rate-selectivity-under-prepared-intake</v>
      </c>
      <c r="C186" s="2" t="s">
        <v>727</v>
      </c>
      <c r="D186" s="2" t="s">
        <v>1689</v>
      </c>
      <c r="E186" s="2" t="s">
        <v>1690</v>
      </c>
      <c r="F186" s="5">
        <f>SUMIFS(CaseCells!G2:G999,CaseCells!C2:C999, C186,CaseCells!D2:D999, D186)</f>
        <v>2000</v>
      </c>
    </row>
    <row r="187">
      <c r="A187" s="2" t="s">
        <v>1691</v>
      </c>
      <c r="B187" s="3" t="str">
        <f>A187</f>
        <v>star-class-size-inner-city-schools</v>
      </c>
      <c r="C187" s="2" t="s">
        <v>731</v>
      </c>
      <c r="D187" s="2" t="s">
        <v>1692</v>
      </c>
      <c r="E187" s="2" t="s">
        <v>1693</v>
      </c>
      <c r="F187" s="5">
        <f>SUMIFS(CaseCells!G2:G999,CaseCells!C2:C999, C187,CaseCells!D2:D999, D187)</f>
        <v>2000</v>
      </c>
    </row>
    <row r="188">
      <c r="A188" s="2" t="s">
        <v>1694</v>
      </c>
      <c r="B188" s="3" t="str">
        <f>A188</f>
        <v>star-class-size-suburban-schools</v>
      </c>
      <c r="C188" s="2" t="s">
        <v>731</v>
      </c>
      <c r="D188" s="2" t="s">
        <v>1695</v>
      </c>
      <c r="E188" s="2" t="s">
        <v>1696</v>
      </c>
      <c r="F188" s="5">
        <f>SUMIFS(CaseCells!G2:G999,CaseCells!C2:C999, C188,CaseCells!D2:D999, D188)</f>
        <v>2000</v>
      </c>
    </row>
    <row r="189">
      <c r="A189" s="2" t="s">
        <v>1697</v>
      </c>
      <c r="B189" s="3" t="str">
        <f>A189</f>
        <v>nba-shooting-shot-mix-two-point-attempts</v>
      </c>
      <c r="C189" s="2" t="s">
        <v>735</v>
      </c>
      <c r="D189" s="2" t="s">
        <v>1698</v>
      </c>
      <c r="E189" s="2" t="s">
        <v>1699</v>
      </c>
      <c r="F189" s="5">
        <f>SUMIFS(CaseCells!G2:G999,CaseCells!C2:C999, C189,CaseCells!D2:D999, D189)</f>
        <v>2000</v>
      </c>
    </row>
    <row r="190">
      <c r="A190" s="2" t="s">
        <v>1700</v>
      </c>
      <c r="B190" s="3" t="str">
        <f>A190</f>
        <v>nba-shooting-shot-mix-three-point-attempts</v>
      </c>
      <c r="C190" s="2" t="s">
        <v>735</v>
      </c>
      <c r="D190" s="2" t="s">
        <v>1701</v>
      </c>
      <c r="E190" s="2" t="s">
        <v>1702</v>
      </c>
      <c r="F190" s="5">
        <f>SUMIFS(CaseCells!G2:G999,CaseCells!C2:C999, C190,CaseCells!D2:D999, D190)</f>
        <v>1500</v>
      </c>
    </row>
    <row r="191">
      <c r="A191" s="2" t="s">
        <v>1703</v>
      </c>
      <c r="B191" s="3" t="str">
        <f>A191</f>
        <v>pitcher-era-ballpark-pitcher-friendly-park</v>
      </c>
      <c r="C191" s="2" t="s">
        <v>739</v>
      </c>
      <c r="D191" s="2" t="s">
        <v>1704</v>
      </c>
      <c r="E191" s="2" t="s">
        <v>1705</v>
      </c>
      <c r="F191" s="5">
        <f>SUMIFS(CaseCells!G2:G999,CaseCells!C2:C999, C191,CaseCells!D2:D999, D191)</f>
        <v>2000</v>
      </c>
    </row>
    <row r="192">
      <c r="A192" s="2" t="s">
        <v>1706</v>
      </c>
      <c r="B192" s="3" t="str">
        <f>A192</f>
        <v>pitcher-era-ballpark-hitter-friendly-park</v>
      </c>
      <c r="C192" s="2" t="s">
        <v>739</v>
      </c>
      <c r="D192" s="2" t="s">
        <v>1707</v>
      </c>
      <c r="E192" s="2" t="s">
        <v>1708</v>
      </c>
      <c r="F192" s="5">
        <f>SUMIFS(CaseCells!G2:G999,CaseCells!C2:C999, C192,CaseCells!D2:D999, D192)</f>
        <v>2000</v>
      </c>
    </row>
    <row r="193">
      <c r="A193" s="2" t="s">
        <v>1709</v>
      </c>
      <c r="B193" s="3" t="str">
        <f>A193</f>
        <v>nfl-completion-depth-short-pass</v>
      </c>
      <c r="C193" s="2" t="s">
        <v>743</v>
      </c>
      <c r="D193" s="2" t="s">
        <v>1710</v>
      </c>
      <c r="E193" s="2" t="s">
        <v>1711</v>
      </c>
      <c r="F193" s="5">
        <f>SUMIFS(CaseCells!G2:G999,CaseCells!C2:C999, C193,CaseCells!D2:D999, D193)</f>
        <v>1600</v>
      </c>
    </row>
    <row r="194">
      <c r="A194" s="2" t="s">
        <v>1712</v>
      </c>
      <c r="B194" s="3" t="str">
        <f>A194</f>
        <v>nfl-completion-depth-deep-pass</v>
      </c>
      <c r="C194" s="2" t="s">
        <v>743</v>
      </c>
      <c r="D194" s="2" t="s">
        <v>1713</v>
      </c>
      <c r="E194" s="2" t="s">
        <v>1714</v>
      </c>
      <c r="F194" s="5">
        <f>SUMIFS(CaseCells!G2:G999,CaseCells!C2:C999, C194,CaseCells!D2:D999, D194)</f>
        <v>400</v>
      </c>
    </row>
    <row r="195">
      <c r="A195" s="2" t="s">
        <v>1715</v>
      </c>
      <c r="B195" s="3" t="str">
        <f>A195</f>
        <v>field-goal-distance-short-fg</v>
      </c>
      <c r="C195" s="2" t="s">
        <v>747</v>
      </c>
      <c r="D195" s="2" t="s">
        <v>1716</v>
      </c>
      <c r="E195" s="2" t="s">
        <v>1717</v>
      </c>
      <c r="F195" s="5">
        <f>SUMIFS(CaseCells!G2:G999,CaseCells!C2:C999, C195,CaseCells!D2:D999, D195)</f>
        <v>2000</v>
      </c>
    </row>
    <row r="196">
      <c r="A196" s="2" t="s">
        <v>1718</v>
      </c>
      <c r="B196" s="3" t="str">
        <f>A196</f>
        <v>field-goal-distance-long-fg</v>
      </c>
      <c r="C196" s="2" t="s">
        <v>747</v>
      </c>
      <c r="D196" s="2" t="s">
        <v>1719</v>
      </c>
      <c r="E196" s="2" t="s">
        <v>1720</v>
      </c>
      <c r="F196" s="5">
        <f>SUMIFS(CaseCells!G2:G999,CaseCells!C2:C999, C196,CaseCells!D2:D999, D196)</f>
        <v>2000</v>
      </c>
    </row>
    <row r="197">
      <c r="A197" s="2" t="s">
        <v>1721</v>
      </c>
      <c r="B197" s="3" t="str">
        <f>A197</f>
        <v>golf-scoring-course-easy-course</v>
      </c>
      <c r="C197" s="2" t="s">
        <v>751</v>
      </c>
      <c r="D197" s="2" t="s">
        <v>1722</v>
      </c>
      <c r="E197" s="2" t="s">
        <v>1723</v>
      </c>
      <c r="F197" s="5">
        <f>SUMIFS(CaseCells!G2:G999,CaseCells!C2:C999, C197,CaseCells!D2:D999, D197)</f>
        <v>2000</v>
      </c>
    </row>
    <row r="198">
      <c r="A198" s="2" t="s">
        <v>1724</v>
      </c>
      <c r="B198" s="3" t="str">
        <f>A198</f>
        <v>golf-scoring-course-difficult-course</v>
      </c>
      <c r="C198" s="2" t="s">
        <v>751</v>
      </c>
      <c r="D198" s="2" t="s">
        <v>1725</v>
      </c>
      <c r="E198" s="2" t="s">
        <v>1726</v>
      </c>
      <c r="F198" s="5">
        <f>SUMIFS(CaseCells!G2:G999,CaseCells!C2:C999, C198,CaseCells!D2:D999, D198)</f>
        <v>2000</v>
      </c>
    </row>
    <row r="199">
      <c r="A199" s="2" t="s">
        <v>1727</v>
      </c>
      <c r="B199" s="3" t="str">
        <f>A199</f>
        <v>minimum-wage-region-tight-labor-market</v>
      </c>
      <c r="C199" s="2" t="s">
        <v>755</v>
      </c>
      <c r="D199" s="2" t="s">
        <v>1728</v>
      </c>
      <c r="E199" s="2" t="s">
        <v>1729</v>
      </c>
      <c r="F199" s="5">
        <f>SUMIFS(CaseCells!G2:G999,CaseCells!C2:C999, C199,CaseCells!D2:D999, D199)</f>
        <v>2000</v>
      </c>
    </row>
    <row r="200">
      <c r="A200" s="2" t="s">
        <v>1730</v>
      </c>
      <c r="B200" s="3" t="str">
        <f>A200</f>
        <v>minimum-wage-region-slack-labor-market</v>
      </c>
      <c r="C200" s="2" t="s">
        <v>755</v>
      </c>
      <c r="D200" s="2" t="s">
        <v>1731</v>
      </c>
      <c r="E200" s="2" t="s">
        <v>1732</v>
      </c>
      <c r="F200" s="5">
        <f>SUMIFS(CaseCells!G2:G999,CaseCells!C2:C999, C200,CaseCells!D2:D999, D200)</f>
        <v>2000</v>
      </c>
    </row>
    <row r="201">
      <c r="A201" s="2" t="s">
        <v>1733</v>
      </c>
      <c r="B201" s="3" t="str">
        <f>A201</f>
        <v>returns-to-education-field-stem-fields</v>
      </c>
      <c r="C201" s="2" t="s">
        <v>759</v>
      </c>
      <c r="D201" s="2" t="s">
        <v>1734</v>
      </c>
      <c r="E201" s="2" t="s">
        <v>1735</v>
      </c>
      <c r="F201" s="5">
        <f>SUMIFS(CaseCells!G2:G999,CaseCells!C2:C999, C201,CaseCells!D2:D999, D201)</f>
        <v>2000</v>
      </c>
    </row>
    <row r="202">
      <c r="A202" s="2" t="s">
        <v>1736</v>
      </c>
      <c r="B202" s="3" t="str">
        <f>A202</f>
        <v>returns-to-education-field-non-stem-fields</v>
      </c>
      <c r="C202" s="2" t="s">
        <v>759</v>
      </c>
      <c r="D202" s="2" t="s">
        <v>1737</v>
      </c>
      <c r="E202" s="2" t="s">
        <v>1738</v>
      </c>
      <c r="F202" s="5">
        <f>SUMIFS(CaseCells!G2:G999,CaseCells!C2:C999, C202,CaseCells!D2:D999, D202)</f>
        <v>2000</v>
      </c>
    </row>
    <row r="203">
      <c r="A203" s="2" t="s">
        <v>1739</v>
      </c>
      <c r="B203" s="3" t="str">
        <f>A203</f>
        <v>unemployment-education-cycle-college-educated-share</v>
      </c>
      <c r="C203" s="2" t="s">
        <v>763</v>
      </c>
      <c r="D203" s="2" t="s">
        <v>1740</v>
      </c>
      <c r="E203" s="2" t="s">
        <v>1741</v>
      </c>
      <c r="F203" s="5">
        <f>SUMIFS(CaseCells!G2:G999,CaseCells!C2:C999, C203,CaseCells!D2:D999, D203)</f>
        <v>2000</v>
      </c>
    </row>
    <row r="204">
      <c r="A204" s="2" t="s">
        <v>1742</v>
      </c>
      <c r="B204" s="3" t="str">
        <f>A204</f>
        <v>unemployment-education-cycle-non-college-share</v>
      </c>
      <c r="C204" s="2" t="s">
        <v>763</v>
      </c>
      <c r="D204" s="2" t="s">
        <v>1743</v>
      </c>
      <c r="E204" s="2" t="s">
        <v>1744</v>
      </c>
      <c r="F204" s="5">
        <f>SUMIFS(CaseCells!G2:G999,CaseCells!C2:C999, C204,CaseCells!D2:D999, D204)</f>
        <v>2000</v>
      </c>
    </row>
    <row r="205">
      <c r="A205" s="2" t="s">
        <v>1745</v>
      </c>
      <c r="B205" s="3" t="str">
        <f>A205</f>
        <v>costa-rica-us-life-expectancy-under-65</v>
      </c>
      <c r="C205" s="2" t="s">
        <v>766</v>
      </c>
      <c r="D205" s="2" t="s">
        <v>1331</v>
      </c>
      <c r="E205" s="2" t="s">
        <v>1746</v>
      </c>
      <c r="F205" s="5">
        <f>SUMIFS(CaseCells!G2:G999,CaseCells!C2:C999, C205,CaseCells!D2:D999, D205)</f>
        <v>2000</v>
      </c>
    </row>
    <row r="206">
      <c r="A206" s="2" t="s">
        <v>1747</v>
      </c>
      <c r="B206" s="3" t="str">
        <f>A206</f>
        <v>costa-rica-us-life-expectancy-65-plus</v>
      </c>
      <c r="C206" s="2" t="s">
        <v>766</v>
      </c>
      <c r="D206" s="2" t="s">
        <v>1523</v>
      </c>
      <c r="E206" s="2" t="s">
        <v>1748</v>
      </c>
      <c r="F206" s="5">
        <f>SUMIFS(CaseCells!G2:G999,CaseCells!C2:C999, C206,CaseCells!D2:D999, D206)</f>
        <v>2000</v>
      </c>
    </row>
    <row r="207">
      <c r="A207" s="2" t="s">
        <v>1749</v>
      </c>
      <c r="B207" s="3" t="str">
        <f>A207</f>
        <v>fertility-income-country-high-income-countries</v>
      </c>
      <c r="C207" s="2" t="s">
        <v>770</v>
      </c>
      <c r="D207" s="2" t="s">
        <v>1750</v>
      </c>
      <c r="E207" s="2" t="s">
        <v>1751</v>
      </c>
      <c r="F207" s="5">
        <f>SUMIFS(CaseCells!G2:G999,CaseCells!C2:C999, C207,CaseCells!D2:D999, D207)</f>
        <v>2000</v>
      </c>
    </row>
    <row r="208">
      <c r="A208" s="2" t="s">
        <v>1752</v>
      </c>
      <c r="B208" s="3" t="str">
        <f>A208</f>
        <v>fertility-income-country-middle-income-countries</v>
      </c>
      <c r="C208" s="2" t="s">
        <v>770</v>
      </c>
      <c r="D208" s="2" t="s">
        <v>1753</v>
      </c>
      <c r="E208" s="2" t="s">
        <v>1754</v>
      </c>
      <c r="F208" s="5">
        <f>SUMIFS(CaseCells!G2:G999,CaseCells!C2:C999, C208,CaseCells!D2:D999, D208)</f>
        <v>2000</v>
      </c>
    </row>
    <row r="209">
      <c r="A209" s="2" t="s">
        <v>1755</v>
      </c>
      <c r="B209" s="3" t="str">
        <f>A209</f>
        <v>religiosity-happiness-country-high-gdp-countries</v>
      </c>
      <c r="C209" s="2" t="s">
        <v>774</v>
      </c>
      <c r="D209" s="2" t="s">
        <v>1756</v>
      </c>
      <c r="E209" s="2" t="s">
        <v>1757</v>
      </c>
      <c r="F209" s="5">
        <f>SUMIFS(CaseCells!G2:G999,CaseCells!C2:C999, C209,CaseCells!D2:D999, D209)</f>
        <v>2000</v>
      </c>
    </row>
    <row r="210">
      <c r="A210" s="2" t="s">
        <v>1758</v>
      </c>
      <c r="B210" s="3" t="str">
        <f>A210</f>
        <v>religiosity-happiness-country-lower-gdp-countries</v>
      </c>
      <c r="C210" s="2" t="s">
        <v>774</v>
      </c>
      <c r="D210" s="2" t="s">
        <v>1759</v>
      </c>
      <c r="E210" s="2" t="s">
        <v>1760</v>
      </c>
      <c r="F210" s="5">
        <f>SUMIFS(CaseCells!G2:G999,CaseCells!C2:C999, C210,CaseCells!D2:D999, D210)</f>
        <v>2000</v>
      </c>
    </row>
    <row r="211">
      <c r="A211" s="2" t="s">
        <v>1761</v>
      </c>
      <c r="B211" s="3" t="str">
        <f>A211</f>
        <v>voter-turnout-education-state-high-education-states</v>
      </c>
      <c r="C211" s="2" t="s">
        <v>778</v>
      </c>
      <c r="D211" s="2" t="s">
        <v>1389</v>
      </c>
      <c r="E211" s="2" t="s">
        <v>1762</v>
      </c>
      <c r="F211" s="5">
        <f>SUMIFS(CaseCells!G2:G999,CaseCells!C2:C999, C211,CaseCells!D2:D999, D211)</f>
        <v>2000</v>
      </c>
    </row>
    <row r="212">
      <c r="A212" s="2" t="s">
        <v>1763</v>
      </c>
      <c r="B212" s="3" t="str">
        <f>A212</f>
        <v>voter-turnout-education-state-lower-education-states</v>
      </c>
      <c r="C212" s="2" t="s">
        <v>778</v>
      </c>
      <c r="D212" s="2" t="s">
        <v>1764</v>
      </c>
      <c r="E212" s="2" t="s">
        <v>1765</v>
      </c>
      <c r="F212" s="5">
        <f>SUMIFS(CaseCells!G2:G999,CaseCells!C2:C999, C212,CaseCells!D2:D999, D212)</f>
        <v>2000</v>
      </c>
    </row>
    <row r="213">
      <c r="A213" s="2" t="s">
        <v>1766</v>
      </c>
      <c r="B213" s="3" t="str">
        <f>A213</f>
        <v>ad-ctr-platform-mix-mobile-traffic</v>
      </c>
      <c r="C213" s="2" t="s">
        <v>782</v>
      </c>
      <c r="D213" s="2" t="s">
        <v>1767</v>
      </c>
      <c r="E213" s="2" t="s">
        <v>1768</v>
      </c>
      <c r="F213" s="5">
        <f>SUMIFS(CaseCells!G2:G999,CaseCells!C2:C999, C213,CaseCells!D2:D999, D213)</f>
        <v>2000</v>
      </c>
    </row>
    <row r="214">
      <c r="A214" s="2" t="s">
        <v>1769</v>
      </c>
      <c r="B214" s="3" t="str">
        <f>A214</f>
        <v>ad-ctr-platform-mix-desktop-traffic</v>
      </c>
      <c r="C214" s="2" t="s">
        <v>782</v>
      </c>
      <c r="D214" s="2" t="s">
        <v>1770</v>
      </c>
      <c r="E214" s="2" t="s">
        <v>1771</v>
      </c>
      <c r="F214" s="5">
        <f>SUMIFS(CaseCells!G2:G999,CaseCells!C2:C999, C214,CaseCells!D2:D999, D214)</f>
        <v>2000</v>
      </c>
    </row>
  </sheetData>
  <autoFilter ref="A1:F1"/>
  <headerFooter/>
  <legacyDrawing r:id="rId1"/>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427"/>
  <sheetViews>
    <sheetView workbookViewId="0">
      <pane ySplit="1" topLeftCell="A2" state="frozen" activePane="bottomLeft"/>
      <selection pane="bottomLeft" activeCell="A1" sqref="A1"/>
    </sheetView>
  </sheetViews>
  <sheetFormatPr defaultRowHeight="15"/>
  <cols>
    <col min="1" max="1" width="55.79016876220703" customWidth="1"/>
    <col min="2" max="2" width="55.79016876220703" customWidth="1"/>
    <col min="3" max="3" width="33.19231414794922" customWidth="1"/>
    <col min="4" max="4" width="24.531021118164062" customWidth="1"/>
    <col min="5" max="5" width="17.443378448486328" customWidth="1"/>
    <col min="6" max="6" width="17.443378448486328" customWidth="1"/>
    <col min="7" max="7" width="17.443378448486328" customWidth="1"/>
    <col min="8" max="8" width="19.383024215698242" customWidth="1"/>
    <col min="9" max="9" width="24.254566192626953" customWidth="1"/>
    <col min="10" max="10" width="27.30083656311035" customWidth="1"/>
    <col min="11" max="11" width="19.865081787109375" customWidth="1"/>
  </cols>
  <sheetData>
    <row r="1">
      <c r="A1" s="1" t="s">
        <v>1772</v>
      </c>
      <c r="B1" s="1" t="s">
        <v>1</v>
      </c>
      <c r="C1" s="1" t="s">
        <v>786</v>
      </c>
      <c r="D1" s="1" t="s">
        <v>1150</v>
      </c>
      <c r="E1" s="1" t="s">
        <v>787</v>
      </c>
      <c r="F1" s="1" t="s">
        <v>1773</v>
      </c>
      <c r="G1" s="1" t="s">
        <v>1774</v>
      </c>
      <c r="H1" s="1" t="s">
        <v>1775</v>
      </c>
      <c r="I1" s="1" t="s">
        <v>1776</v>
      </c>
      <c r="J1" s="1" t="s">
        <v>1777</v>
      </c>
      <c r="K1" s="1" t="s">
        <v>1778</v>
      </c>
    </row>
    <row r="2">
      <c r="A2" s="2" t="s">
        <v>1779</v>
      </c>
      <c r="B2" s="3" t="str">
        <f>A2</f>
        <v>kidney-1986-small-A</v>
      </c>
      <c r="C2" s="2" t="s">
        <v>414</v>
      </c>
      <c r="D2" s="2" t="s">
        <v>1152</v>
      </c>
      <c r="E2" s="2" t="s">
        <v>792</v>
      </c>
      <c r="F2" s="4">
        <v>81</v>
      </c>
      <c r="G2" s="4">
        <v>87</v>
      </c>
      <c r="H2" s="3">
        <f>IF(G2 = 0, "", F2 / G2)</f>
        <v>0.9310344827586207</v>
      </c>
      <c r="I2" s="5">
        <f>SUMIFS(G2,C2, C2,E2, E2)</f>
        <v>87</v>
      </c>
      <c r="J2" s="3">
        <f>IF(I2 = 0, "", G2 / I2)</f>
        <v>1</v>
      </c>
      <c r="K2" s="3" t="b">
        <f>AND(G2 &gt; 0, F2 &gt;= 0, F2 &lt;= G2)</f>
        <v>1</v>
      </c>
    </row>
    <row r="3">
      <c r="A3" s="2" t="s">
        <v>1780</v>
      </c>
      <c r="B3" s="3" t="str">
        <f>A3</f>
        <v>kidney-1986-small-B</v>
      </c>
      <c r="C3" s="2" t="s">
        <v>414</v>
      </c>
      <c r="D3" s="2" t="s">
        <v>1152</v>
      </c>
      <c r="E3" s="2" t="s">
        <v>795</v>
      </c>
      <c r="F3" s="4">
        <v>234</v>
      </c>
      <c r="G3" s="4">
        <v>270</v>
      </c>
      <c r="H3" s="3">
        <f>IF(G3 = 0, "", F3 / G3)</f>
        <v>0.8666666666666667</v>
      </c>
      <c r="I3" s="5">
        <f>SUMIFS(G3,C3, C3,E3, E3)</f>
        <v>270</v>
      </c>
      <c r="J3" s="3">
        <f>IF(I3 = 0, "", G3 / I3)</f>
        <v>1</v>
      </c>
      <c r="K3" s="3" t="b">
        <f>AND(G3 &gt; 0, F3 &gt;= 0, F3 &lt;= G3)</f>
        <v>1</v>
      </c>
    </row>
    <row r="4">
      <c r="A4" s="2" t="s">
        <v>1781</v>
      </c>
      <c r="B4" s="3" t="str">
        <f>A4</f>
        <v>kidney-1986-large-A</v>
      </c>
      <c r="C4" s="2" t="s">
        <v>414</v>
      </c>
      <c r="D4" s="2" t="s">
        <v>1155</v>
      </c>
      <c r="E4" s="2" t="s">
        <v>792</v>
      </c>
      <c r="F4" s="4">
        <v>192</v>
      </c>
      <c r="G4" s="4">
        <v>263</v>
      </c>
      <c r="H4" s="3">
        <f>IF(G4 = 0, "", F4 / G4)</f>
        <v>0.7300380228136882</v>
      </c>
      <c r="I4" s="5">
        <f>SUMIFS(G4,C4, C4,E4, E4)</f>
        <v>263</v>
      </c>
      <c r="J4" s="3">
        <f>IF(I4 = 0, "", G4 / I4)</f>
        <v>1</v>
      </c>
      <c r="K4" s="3" t="b">
        <f>AND(G4 &gt; 0, F4 &gt;= 0, F4 &lt;= G4)</f>
        <v>1</v>
      </c>
    </row>
    <row r="5">
      <c r="A5" s="2" t="s">
        <v>1782</v>
      </c>
      <c r="B5" s="3" t="str">
        <f>A5</f>
        <v>kidney-1986-large-B</v>
      </c>
      <c r="C5" s="2" t="s">
        <v>414</v>
      </c>
      <c r="D5" s="2" t="s">
        <v>1155</v>
      </c>
      <c r="E5" s="2" t="s">
        <v>795</v>
      </c>
      <c r="F5" s="4">
        <v>55</v>
      </c>
      <c r="G5" s="4">
        <v>80</v>
      </c>
      <c r="H5" s="3">
        <f>IF(G5 = 0, "", F5 / G5)</f>
        <v>0.6875</v>
      </c>
      <c r="I5" s="5">
        <f>SUMIFS(G5,C5, C5,E5, E5)</f>
        <v>80</v>
      </c>
      <c r="J5" s="3">
        <f>IF(I5 = 0, "", G5 / I5)</f>
        <v>1</v>
      </c>
      <c r="K5" s="3" t="b">
        <f>AND(G5 &gt; 0, F5 &gt;= 0, F5 &lt;= G5)</f>
        <v>1</v>
      </c>
    </row>
    <row r="6">
      <c r="A6" s="2" t="s">
        <v>1783</v>
      </c>
      <c r="B6" s="3" t="str">
        <f>A6</f>
        <v>kidney-balanced-small-A</v>
      </c>
      <c r="C6" s="2" t="s">
        <v>425</v>
      </c>
      <c r="D6" s="2" t="s">
        <v>1152</v>
      </c>
      <c r="E6" s="2" t="s">
        <v>792</v>
      </c>
      <c r="F6" s="4">
        <v>163</v>
      </c>
      <c r="G6" s="4">
        <v>175</v>
      </c>
      <c r="H6" s="3">
        <f>IF(G6 = 0, "", F6 / G6)</f>
        <v>0.9314285714285714</v>
      </c>
      <c r="I6" s="5">
        <f>SUMIFS(G6,C6, C6,E6, E6)</f>
        <v>175</v>
      </c>
      <c r="J6" s="3">
        <f>IF(I6 = 0, "", G6 / I6)</f>
        <v>1</v>
      </c>
      <c r="K6" s="3" t="b">
        <f>AND(G6 &gt; 0, F6 &gt;= 0, F6 &lt;= G6)</f>
        <v>1</v>
      </c>
    </row>
    <row r="7">
      <c r="A7" s="2" t="s">
        <v>1784</v>
      </c>
      <c r="B7" s="3" t="str">
        <f>A7</f>
        <v>kidney-balanced-small-B</v>
      </c>
      <c r="C7" s="2" t="s">
        <v>425</v>
      </c>
      <c r="D7" s="2" t="s">
        <v>1152</v>
      </c>
      <c r="E7" s="2" t="s">
        <v>795</v>
      </c>
      <c r="F7" s="4">
        <v>152</v>
      </c>
      <c r="G7" s="4">
        <v>175</v>
      </c>
      <c r="H7" s="3">
        <f>IF(G7 = 0, "", F7 / G7)</f>
        <v>0.8685714285714285</v>
      </c>
      <c r="I7" s="5">
        <f>SUMIFS(G7,C7, C7,E7, E7)</f>
        <v>175</v>
      </c>
      <c r="J7" s="3">
        <f>IF(I7 = 0, "", G7 / I7)</f>
        <v>1</v>
      </c>
      <c r="K7" s="3" t="b">
        <f>AND(G7 &gt; 0, F7 &gt;= 0, F7 &lt;= G7)</f>
        <v>1</v>
      </c>
    </row>
    <row r="8">
      <c r="A8" s="2" t="s">
        <v>1785</v>
      </c>
      <c r="B8" s="3" t="str">
        <f>A8</f>
        <v>kidney-balanced-large-A</v>
      </c>
      <c r="C8" s="2" t="s">
        <v>425</v>
      </c>
      <c r="D8" s="2" t="s">
        <v>1155</v>
      </c>
      <c r="E8" s="2" t="s">
        <v>792</v>
      </c>
      <c r="F8" s="4">
        <v>128</v>
      </c>
      <c r="G8" s="4">
        <v>175</v>
      </c>
      <c r="H8" s="3">
        <f>IF(G8 = 0, "", F8 / G8)</f>
        <v>0.7314285714285714</v>
      </c>
      <c r="I8" s="5">
        <f>SUMIFS(G8,C8, C8,E8, E8)</f>
        <v>175</v>
      </c>
      <c r="J8" s="3">
        <f>IF(I8 = 0, "", G8 / I8)</f>
        <v>1</v>
      </c>
      <c r="K8" s="3" t="b">
        <f>AND(G8 &gt; 0, F8 &gt;= 0, F8 &lt;= G8)</f>
        <v>1</v>
      </c>
    </row>
    <row r="9">
      <c r="A9" s="2" t="s">
        <v>1786</v>
      </c>
      <c r="B9" s="3" t="str">
        <f>A9</f>
        <v>kidney-balanced-large-B</v>
      </c>
      <c r="C9" s="2" t="s">
        <v>425</v>
      </c>
      <c r="D9" s="2" t="s">
        <v>1155</v>
      </c>
      <c r="E9" s="2" t="s">
        <v>795</v>
      </c>
      <c r="F9" s="4">
        <v>120</v>
      </c>
      <c r="G9" s="4">
        <v>175</v>
      </c>
      <c r="H9" s="3">
        <f>IF(G9 = 0, "", F9 / G9)</f>
        <v>0.6857142857142857</v>
      </c>
      <c r="I9" s="5">
        <f>SUMIFS(G9,C9, C9,E9, E9)</f>
        <v>175</v>
      </c>
      <c r="J9" s="3">
        <f>IF(I9 = 0, "", G9 / I9)</f>
        <v>1</v>
      </c>
      <c r="K9" s="3" t="b">
        <f>AND(G9 &gt; 0, F9 &gt;= 0, F9 &lt;= G9)</f>
        <v>1</v>
      </c>
    </row>
    <row r="10">
      <c r="A10" s="2" t="s">
        <v>1787</v>
      </c>
      <c r="B10" s="3" t="str">
        <f>A10</f>
        <v>balanced-synthetic-easy-A</v>
      </c>
      <c r="C10" s="2" t="s">
        <v>420</v>
      </c>
      <c r="D10" s="2" t="s">
        <v>1162</v>
      </c>
      <c r="E10" s="2" t="s">
        <v>792</v>
      </c>
      <c r="F10" s="4">
        <v>60</v>
      </c>
      <c r="G10" s="4">
        <v>100</v>
      </c>
      <c r="H10" s="3">
        <f>IF(G10 = 0, "", F10 / G10)</f>
        <v>0.6</v>
      </c>
      <c r="I10" s="5">
        <f>SUMIFS(G10,C10, C10,E10, E10)</f>
        <v>100</v>
      </c>
      <c r="J10" s="3">
        <f>IF(I10 = 0, "", G10 / I10)</f>
        <v>1</v>
      </c>
      <c r="K10" s="3" t="b">
        <f>AND(G10 &gt; 0, F10 &gt;= 0, F10 &lt;= G10)</f>
        <v>1</v>
      </c>
    </row>
    <row r="11">
      <c r="A11" s="2" t="s">
        <v>1788</v>
      </c>
      <c r="B11" s="3" t="str">
        <f>A11</f>
        <v>balanced-synthetic-easy-B</v>
      </c>
      <c r="C11" s="2" t="s">
        <v>420</v>
      </c>
      <c r="D11" s="2" t="s">
        <v>1162</v>
      </c>
      <c r="E11" s="2" t="s">
        <v>795</v>
      </c>
      <c r="F11" s="4">
        <v>50</v>
      </c>
      <c r="G11" s="4">
        <v>100</v>
      </c>
      <c r="H11" s="3">
        <f>IF(G11 = 0, "", F11 / G11)</f>
        <v>0.5</v>
      </c>
      <c r="I11" s="5">
        <f>SUMIFS(G11,C11, C11,E11, E11)</f>
        <v>100</v>
      </c>
      <c r="J11" s="3">
        <f>IF(I11 = 0, "", G11 / I11)</f>
        <v>1</v>
      </c>
      <c r="K11" s="3" t="b">
        <f>AND(G11 &gt; 0, F11 &gt;= 0, F11 &lt;= G11)</f>
        <v>1</v>
      </c>
    </row>
    <row r="12">
      <c r="A12" s="2" t="s">
        <v>1789</v>
      </c>
      <c r="B12" s="3" t="str">
        <f>A12</f>
        <v>balanced-synthetic-hard-A</v>
      </c>
      <c r="C12" s="2" t="s">
        <v>420</v>
      </c>
      <c r="D12" s="2" t="s">
        <v>1165</v>
      </c>
      <c r="E12" s="2" t="s">
        <v>792</v>
      </c>
      <c r="F12" s="4">
        <v>60</v>
      </c>
      <c r="G12" s="4">
        <v>100</v>
      </c>
      <c r="H12" s="3">
        <f>IF(G12 = 0, "", F12 / G12)</f>
        <v>0.6</v>
      </c>
      <c r="I12" s="5">
        <f>SUMIFS(G12,C12, C12,E12, E12)</f>
        <v>100</v>
      </c>
      <c r="J12" s="3">
        <f>IF(I12 = 0, "", G12 / I12)</f>
        <v>1</v>
      </c>
      <c r="K12" s="3" t="b">
        <f>AND(G12 &gt; 0, F12 &gt;= 0, F12 &lt;= G12)</f>
        <v>1</v>
      </c>
    </row>
    <row r="13">
      <c r="A13" s="2" t="s">
        <v>1790</v>
      </c>
      <c r="B13" s="3" t="str">
        <f>A13</f>
        <v>balanced-synthetic-hard-B</v>
      </c>
      <c r="C13" s="2" t="s">
        <v>420</v>
      </c>
      <c r="D13" s="2" t="s">
        <v>1165</v>
      </c>
      <c r="E13" s="2" t="s">
        <v>795</v>
      </c>
      <c r="F13" s="4">
        <v>50</v>
      </c>
      <c r="G13" s="4">
        <v>100</v>
      </c>
      <c r="H13" s="3">
        <f>IF(G13 = 0, "", F13 / G13)</f>
        <v>0.5</v>
      </c>
      <c r="I13" s="5">
        <f>SUMIFS(G13,C13, C13,E13, E13)</f>
        <v>100</v>
      </c>
      <c r="J13" s="3">
        <f>IF(I13 = 0, "", G13 / I13)</f>
        <v>1</v>
      </c>
      <c r="K13" s="3" t="b">
        <f>AND(G13 &gt; 0, F13 &gt;= 0, F13 &lt;= G13)</f>
        <v>1</v>
      </c>
    </row>
    <row r="14">
      <c r="A14" s="2" t="s">
        <v>1791</v>
      </c>
      <c r="B14" s="3" t="str">
        <f>A14</f>
        <v>berkeley-1973-dept-A-male</v>
      </c>
      <c r="C14" s="2" t="s">
        <v>428</v>
      </c>
      <c r="D14" s="2" t="s">
        <v>1168</v>
      </c>
      <c r="E14" s="2" t="s">
        <v>792</v>
      </c>
      <c r="F14" s="4">
        <v>512</v>
      </c>
      <c r="G14" s="4">
        <v>825</v>
      </c>
      <c r="H14" s="3">
        <f>IF(G14 = 0, "", F14 / G14)</f>
        <v>0.6206060606060606</v>
      </c>
      <c r="I14" s="5">
        <f>SUMIFS(G14,C14, C14,E14, E14)</f>
        <v>825</v>
      </c>
      <c r="J14" s="3">
        <f>IF(I14 = 0, "", G14 / I14)</f>
        <v>1</v>
      </c>
      <c r="K14" s="3" t="b">
        <f>AND(G14 &gt; 0, F14 &gt;= 0, F14 &lt;= G14)</f>
        <v>1</v>
      </c>
    </row>
    <row r="15">
      <c r="A15" s="2" t="s">
        <v>1792</v>
      </c>
      <c r="B15" s="3" t="str">
        <f>A15</f>
        <v>berkeley-1973-dept-A-female</v>
      </c>
      <c r="C15" s="2" t="s">
        <v>428</v>
      </c>
      <c r="D15" s="2" t="s">
        <v>1168</v>
      </c>
      <c r="E15" s="2" t="s">
        <v>795</v>
      </c>
      <c r="F15" s="4">
        <v>89</v>
      </c>
      <c r="G15" s="4">
        <v>108</v>
      </c>
      <c r="H15" s="3">
        <f>IF(G15 = 0, "", F15 / G15)</f>
        <v>0.8240740740740741</v>
      </c>
      <c r="I15" s="5">
        <f>SUMIFS(G15,C15, C15,E15, E15)</f>
        <v>108</v>
      </c>
      <c r="J15" s="3">
        <f>IF(I15 = 0, "", G15 / I15)</f>
        <v>1</v>
      </c>
      <c r="K15" s="3" t="b">
        <f>AND(G15 &gt; 0, F15 &gt;= 0, F15 &lt;= G15)</f>
        <v>1</v>
      </c>
    </row>
    <row r="16">
      <c r="A16" s="2" t="s">
        <v>1793</v>
      </c>
      <c r="B16" s="3" t="str">
        <f>A16</f>
        <v>berkeley-1973-dept-B-male</v>
      </c>
      <c r="C16" s="2" t="s">
        <v>428</v>
      </c>
      <c r="D16" s="2" t="s">
        <v>1171</v>
      </c>
      <c r="E16" s="2" t="s">
        <v>792</v>
      </c>
      <c r="F16" s="4">
        <v>353</v>
      </c>
      <c r="G16" s="4">
        <v>560</v>
      </c>
      <c r="H16" s="3">
        <f>IF(G16 = 0, "", F16 / G16)</f>
        <v>0.6303571428571428</v>
      </c>
      <c r="I16" s="5">
        <f>SUMIFS(G16,C16, C16,E16, E16)</f>
        <v>560</v>
      </c>
      <c r="J16" s="3">
        <f>IF(I16 = 0, "", G16 / I16)</f>
        <v>1</v>
      </c>
      <c r="K16" s="3" t="b">
        <f>AND(G16 &gt; 0, F16 &gt;= 0, F16 &lt;= G16)</f>
        <v>1</v>
      </c>
    </row>
    <row r="17">
      <c r="A17" s="2" t="s">
        <v>1794</v>
      </c>
      <c r="B17" s="3" t="str">
        <f>A17</f>
        <v>berkeley-1973-dept-B-female</v>
      </c>
      <c r="C17" s="2" t="s">
        <v>428</v>
      </c>
      <c r="D17" s="2" t="s">
        <v>1171</v>
      </c>
      <c r="E17" s="2" t="s">
        <v>795</v>
      </c>
      <c r="F17" s="4">
        <v>17</v>
      </c>
      <c r="G17" s="4">
        <v>25</v>
      </c>
      <c r="H17" s="3">
        <f>IF(G17 = 0, "", F17 / G17)</f>
        <v>0.68</v>
      </c>
      <c r="I17" s="5">
        <f>SUMIFS(G17,C17, C17,E17, E17)</f>
        <v>25</v>
      </c>
      <c r="J17" s="3">
        <f>IF(I17 = 0, "", G17 / I17)</f>
        <v>1</v>
      </c>
      <c r="K17" s="3" t="b">
        <f>AND(G17 &gt; 0, F17 &gt;= 0, F17 &lt;= G17)</f>
        <v>1</v>
      </c>
    </row>
    <row r="18">
      <c r="A18" s="2" t="s">
        <v>1795</v>
      </c>
      <c r="B18" s="3" t="str">
        <f>A18</f>
        <v>berkeley-1973-dept-C-male</v>
      </c>
      <c r="C18" s="2" t="s">
        <v>428</v>
      </c>
      <c r="D18" s="2" t="s">
        <v>1174</v>
      </c>
      <c r="E18" s="2" t="s">
        <v>792</v>
      </c>
      <c r="F18" s="4">
        <v>120</v>
      </c>
      <c r="G18" s="4">
        <v>325</v>
      </c>
      <c r="H18" s="3">
        <f>IF(G18 = 0, "", F18 / G18)</f>
        <v>0.36923076923076925</v>
      </c>
      <c r="I18" s="5">
        <f>SUMIFS(G18,C18, C18,E18, E18)</f>
        <v>325</v>
      </c>
      <c r="J18" s="3">
        <f>IF(I18 = 0, "", G18 / I18)</f>
        <v>1</v>
      </c>
      <c r="K18" s="3" t="b">
        <f>AND(G18 &gt; 0, F18 &gt;= 0, F18 &lt;= G18)</f>
        <v>1</v>
      </c>
    </row>
    <row r="19">
      <c r="A19" s="2" t="s">
        <v>1796</v>
      </c>
      <c r="B19" s="3" t="str">
        <f>A19</f>
        <v>berkeley-1973-dept-C-female</v>
      </c>
      <c r="C19" s="2" t="s">
        <v>428</v>
      </c>
      <c r="D19" s="2" t="s">
        <v>1174</v>
      </c>
      <c r="E19" s="2" t="s">
        <v>795</v>
      </c>
      <c r="F19" s="4">
        <v>202</v>
      </c>
      <c r="G19" s="4">
        <v>593</v>
      </c>
      <c r="H19" s="3">
        <f>IF(G19 = 0, "", F19 / G19)</f>
        <v>0.3406408094435076</v>
      </c>
      <c r="I19" s="5">
        <f>SUMIFS(G19,C19, C19,E19, E19)</f>
        <v>593</v>
      </c>
      <c r="J19" s="3">
        <f>IF(I19 = 0, "", G19 / I19)</f>
        <v>1</v>
      </c>
      <c r="K19" s="3" t="b">
        <f>AND(G19 &gt; 0, F19 &gt;= 0, F19 &lt;= G19)</f>
        <v>1</v>
      </c>
    </row>
    <row r="20">
      <c r="A20" s="2" t="s">
        <v>1797</v>
      </c>
      <c r="B20" s="3" t="str">
        <f>A20</f>
        <v>berkeley-1973-dept-D-male</v>
      </c>
      <c r="C20" s="2" t="s">
        <v>428</v>
      </c>
      <c r="D20" s="2" t="s">
        <v>1177</v>
      </c>
      <c r="E20" s="2" t="s">
        <v>792</v>
      </c>
      <c r="F20" s="4">
        <v>138</v>
      </c>
      <c r="G20" s="4">
        <v>417</v>
      </c>
      <c r="H20" s="3">
        <f>IF(G20 = 0, "", F20 / G20)</f>
        <v>0.33093525179856115</v>
      </c>
      <c r="I20" s="5">
        <f>SUMIFS(G20,C20, C20,E20, E20)</f>
        <v>417</v>
      </c>
      <c r="J20" s="3">
        <f>IF(I20 = 0, "", G20 / I20)</f>
        <v>1</v>
      </c>
      <c r="K20" s="3" t="b">
        <f>AND(G20 &gt; 0, F20 &gt;= 0, F20 &lt;= G20)</f>
        <v>1</v>
      </c>
    </row>
    <row r="21">
      <c r="A21" s="2" t="s">
        <v>1798</v>
      </c>
      <c r="B21" s="3" t="str">
        <f>A21</f>
        <v>berkeley-1973-dept-D-female</v>
      </c>
      <c r="C21" s="2" t="s">
        <v>428</v>
      </c>
      <c r="D21" s="2" t="s">
        <v>1177</v>
      </c>
      <c r="E21" s="2" t="s">
        <v>795</v>
      </c>
      <c r="F21" s="4">
        <v>131</v>
      </c>
      <c r="G21" s="4">
        <v>375</v>
      </c>
      <c r="H21" s="3">
        <f>IF(G21 = 0, "", F21 / G21)</f>
        <v>0.34933333333333333</v>
      </c>
      <c r="I21" s="5">
        <f>SUMIFS(G21,C21, C21,E21, E21)</f>
        <v>375</v>
      </c>
      <c r="J21" s="3">
        <f>IF(I21 = 0, "", G21 / I21)</f>
        <v>1</v>
      </c>
      <c r="K21" s="3" t="b">
        <f>AND(G21 &gt; 0, F21 &gt;= 0, F21 &lt;= G21)</f>
        <v>1</v>
      </c>
    </row>
    <row r="22">
      <c r="A22" s="2" t="s">
        <v>1799</v>
      </c>
      <c r="B22" s="3" t="str">
        <f>A22</f>
        <v>compressed-synthetic-hard-A</v>
      </c>
      <c r="C22" s="2" t="s">
        <v>434</v>
      </c>
      <c r="D22" s="2" t="s">
        <v>1165</v>
      </c>
      <c r="E22" s="2" t="s">
        <v>792</v>
      </c>
      <c r="F22" s="4">
        <v>84</v>
      </c>
      <c r="G22" s="4">
        <v>120</v>
      </c>
      <c r="H22" s="3">
        <f>IF(G22 = 0, "", F22 / G22)</f>
        <v>0.7</v>
      </c>
      <c r="I22" s="5">
        <f>SUMIFS(G22,C22, C22,E22, E22)</f>
        <v>120</v>
      </c>
      <c r="J22" s="3">
        <f>IF(I22 = 0, "", G22 / I22)</f>
        <v>1</v>
      </c>
      <c r="K22" s="3" t="b">
        <f>AND(G22 &gt; 0, F22 &gt;= 0, F22 &lt;= G22)</f>
        <v>1</v>
      </c>
    </row>
    <row r="23">
      <c r="A23" s="2" t="s">
        <v>1800</v>
      </c>
      <c r="B23" s="3" t="str">
        <f>A23</f>
        <v>compressed-synthetic-hard-B</v>
      </c>
      <c r="C23" s="2" t="s">
        <v>434</v>
      </c>
      <c r="D23" s="2" t="s">
        <v>1165</v>
      </c>
      <c r="E23" s="2" t="s">
        <v>795</v>
      </c>
      <c r="F23" s="4">
        <v>48</v>
      </c>
      <c r="G23" s="4">
        <v>80</v>
      </c>
      <c r="H23" s="3">
        <f>IF(G23 = 0, "", F23 / G23)</f>
        <v>0.6</v>
      </c>
      <c r="I23" s="5">
        <f>SUMIFS(G23,C23, C23,E23, E23)</f>
        <v>80</v>
      </c>
      <c r="J23" s="3">
        <f>IF(I23 = 0, "", G23 / I23)</f>
        <v>1</v>
      </c>
      <c r="K23" s="3" t="b">
        <f>AND(G23 &gt; 0, F23 &gt;= 0, F23 &lt;= G23)</f>
        <v>1</v>
      </c>
    </row>
    <row r="24">
      <c r="A24" s="2" t="s">
        <v>1801</v>
      </c>
      <c r="B24" s="3" t="str">
        <f>A24</f>
        <v>compressed-synthetic-easy-A</v>
      </c>
      <c r="C24" s="2" t="s">
        <v>434</v>
      </c>
      <c r="D24" s="2" t="s">
        <v>1162</v>
      </c>
      <c r="E24" s="2" t="s">
        <v>792</v>
      </c>
      <c r="F24" s="4">
        <v>72</v>
      </c>
      <c r="G24" s="4">
        <v>80</v>
      </c>
      <c r="H24" s="3">
        <f>IF(G24 = 0, "", F24 / G24)</f>
        <v>0.9</v>
      </c>
      <c r="I24" s="5">
        <f>SUMIFS(G24,C24, C24,E24, E24)</f>
        <v>80</v>
      </c>
      <c r="J24" s="3">
        <f>IF(I24 = 0, "", G24 / I24)</f>
        <v>1</v>
      </c>
      <c r="K24" s="3" t="b">
        <f>AND(G24 &gt; 0, F24 &gt;= 0, F24 &lt;= G24)</f>
        <v>1</v>
      </c>
    </row>
    <row r="25">
      <c r="A25" s="2" t="s">
        <v>1802</v>
      </c>
      <c r="B25" s="3" t="str">
        <f>A25</f>
        <v>compressed-synthetic-easy-B</v>
      </c>
      <c r="C25" s="2" t="s">
        <v>434</v>
      </c>
      <c r="D25" s="2" t="s">
        <v>1162</v>
      </c>
      <c r="E25" s="2" t="s">
        <v>795</v>
      </c>
      <c r="F25" s="4">
        <v>96</v>
      </c>
      <c r="G25" s="4">
        <v>120</v>
      </c>
      <c r="H25" s="3">
        <f>IF(G25 = 0, "", F25 / G25)</f>
        <v>0.8</v>
      </c>
      <c r="I25" s="5">
        <f>SUMIFS(G25,C25, C25,E25, E25)</f>
        <v>120</v>
      </c>
      <c r="J25" s="3">
        <f>IF(I25 = 0, "", G25 / I25)</f>
        <v>1</v>
      </c>
      <c r="K25" s="3" t="b">
        <f>AND(G25 &gt; 0, F25 &gt;= 0, F25 &lt;= G25)</f>
        <v>1</v>
      </c>
    </row>
    <row r="26">
      <c r="A26" s="2" t="s">
        <v>1803</v>
      </c>
      <c r="B26" s="3" t="str">
        <f>A26</f>
        <v>reintjes-2000-low-A</v>
      </c>
      <c r="C26" s="2" t="s">
        <v>437</v>
      </c>
      <c r="D26" s="2" t="s">
        <v>1184</v>
      </c>
      <c r="E26" s="2" t="s">
        <v>792</v>
      </c>
      <c r="F26" s="4">
        <v>20</v>
      </c>
      <c r="G26" s="4">
        <v>1113</v>
      </c>
      <c r="H26" s="3">
        <f>IF(G26 = 0, "", F26 / G26)</f>
        <v>0.017969451931716084</v>
      </c>
      <c r="I26" s="5">
        <f>SUMIFS(G26,C26, C26,E26, E26)</f>
        <v>1113</v>
      </c>
      <c r="J26" s="3">
        <f>IF(I26 = 0, "", G26 / I26)</f>
        <v>1</v>
      </c>
      <c r="K26" s="3" t="b">
        <f>AND(G26 &gt; 0, F26 &gt;= 0, F26 &lt;= G26)</f>
        <v>1</v>
      </c>
    </row>
    <row r="27">
      <c r="A27" s="2" t="s">
        <v>1804</v>
      </c>
      <c r="B27" s="3" t="str">
        <f>A27</f>
        <v>reintjes-2000-low-B</v>
      </c>
      <c r="C27" s="2" t="s">
        <v>437</v>
      </c>
      <c r="D27" s="2" t="s">
        <v>1184</v>
      </c>
      <c r="E27" s="2" t="s">
        <v>795</v>
      </c>
      <c r="F27" s="4">
        <v>5</v>
      </c>
      <c r="G27" s="4">
        <v>720</v>
      </c>
      <c r="H27" s="3">
        <f>IF(G27 = 0, "", F27 / G27)</f>
        <v>0.006944444444444444</v>
      </c>
      <c r="I27" s="5">
        <f>SUMIFS(G27,C27, C27,E27, E27)</f>
        <v>720</v>
      </c>
      <c r="J27" s="3">
        <f>IF(I27 = 0, "", G27 / I27)</f>
        <v>1</v>
      </c>
      <c r="K27" s="3" t="b">
        <f>AND(G27 &gt; 0, F27 &gt;= 0, F27 &lt;= G27)</f>
        <v>1</v>
      </c>
    </row>
    <row r="28">
      <c r="A28" s="2" t="s">
        <v>1805</v>
      </c>
      <c r="B28" s="3" t="str">
        <f>A28</f>
        <v>reintjes-2000-high-A</v>
      </c>
      <c r="C28" s="2" t="s">
        <v>437</v>
      </c>
      <c r="D28" s="2" t="s">
        <v>1187</v>
      </c>
      <c r="E28" s="2" t="s">
        <v>792</v>
      </c>
      <c r="F28" s="4">
        <v>22</v>
      </c>
      <c r="G28" s="4">
        <v>166</v>
      </c>
      <c r="H28" s="3">
        <f>IF(G28 = 0, "", F28 / G28)</f>
        <v>0.13253012048192772</v>
      </c>
      <c r="I28" s="5">
        <f>SUMIFS(G28,C28, C28,E28, E28)</f>
        <v>166</v>
      </c>
      <c r="J28" s="3">
        <f>IF(I28 = 0, "", G28 / I28)</f>
        <v>1</v>
      </c>
      <c r="K28" s="3" t="b">
        <f>AND(G28 &gt; 0, F28 &gt;= 0, F28 &lt;= G28)</f>
        <v>1</v>
      </c>
    </row>
    <row r="29">
      <c r="A29" s="2" t="s">
        <v>1806</v>
      </c>
      <c r="B29" s="3" t="str">
        <f>A29</f>
        <v>reintjes-2000-high-B</v>
      </c>
      <c r="C29" s="2" t="s">
        <v>437</v>
      </c>
      <c r="D29" s="2" t="s">
        <v>1187</v>
      </c>
      <c r="E29" s="2" t="s">
        <v>795</v>
      </c>
      <c r="F29" s="4">
        <v>99</v>
      </c>
      <c r="G29" s="4">
        <v>1520</v>
      </c>
      <c r="H29" s="3">
        <f>IF(G29 = 0, "", F29 / G29)</f>
        <v>0.06513157894736842</v>
      </c>
      <c r="I29" s="5">
        <f>SUMIFS(G29,C29, C29,E29, E29)</f>
        <v>1520</v>
      </c>
      <c r="J29" s="3">
        <f>IF(I29 = 0, "", G29 / I29)</f>
        <v>1</v>
      </c>
      <c r="K29" s="3" t="b">
        <f>AND(G29 &gt; 0, F29 &gt;= 0, F29 &lt;= G29)</f>
        <v>1</v>
      </c>
    </row>
    <row r="30">
      <c r="A30" s="2" t="s">
        <v>1807</v>
      </c>
      <c r="B30" s="3" t="str">
        <f>A30</f>
        <v>radelet-1981-white-victim-A</v>
      </c>
      <c r="C30" s="2" t="s">
        <v>442</v>
      </c>
      <c r="D30" s="2" t="s">
        <v>1190</v>
      </c>
      <c r="E30" s="2" t="s">
        <v>792</v>
      </c>
      <c r="F30" s="4">
        <v>19</v>
      </c>
      <c r="G30" s="4">
        <v>151</v>
      </c>
      <c r="H30" s="3">
        <f>IF(G30 = 0, "", F30 / G30)</f>
        <v>0.12582781456953643</v>
      </c>
      <c r="I30" s="5">
        <f>SUMIFS(G30,C30, C30,E30, E30)</f>
        <v>151</v>
      </c>
      <c r="J30" s="3">
        <f>IF(I30 = 0, "", G30 / I30)</f>
        <v>1</v>
      </c>
      <c r="K30" s="3" t="b">
        <f>AND(G30 &gt; 0, F30 &gt;= 0, F30 &lt;= G30)</f>
        <v>1</v>
      </c>
    </row>
    <row r="31">
      <c r="A31" s="2" t="s">
        <v>1808</v>
      </c>
      <c r="B31" s="3" t="str">
        <f>A31</f>
        <v>radelet-1981-white-victim-B</v>
      </c>
      <c r="C31" s="2" t="s">
        <v>442</v>
      </c>
      <c r="D31" s="2" t="s">
        <v>1190</v>
      </c>
      <c r="E31" s="2" t="s">
        <v>795</v>
      </c>
      <c r="F31" s="4">
        <v>11</v>
      </c>
      <c r="G31" s="4">
        <v>63</v>
      </c>
      <c r="H31" s="3">
        <f>IF(G31 = 0, "", F31 / G31)</f>
        <v>0.1746031746031746</v>
      </c>
      <c r="I31" s="5">
        <f>SUMIFS(G31,C31, C31,E31, E31)</f>
        <v>63</v>
      </c>
      <c r="J31" s="3">
        <f>IF(I31 = 0, "", G31 / I31)</f>
        <v>1</v>
      </c>
      <c r="K31" s="3" t="b">
        <f>AND(G31 &gt; 0, F31 &gt;= 0, F31 &lt;= G31)</f>
        <v>1</v>
      </c>
    </row>
    <row r="32">
      <c r="A32" s="2" t="s">
        <v>1809</v>
      </c>
      <c r="B32" s="3" t="str">
        <f>A32</f>
        <v>radelet-1981-black-victim-A</v>
      </c>
      <c r="C32" s="2" t="s">
        <v>442</v>
      </c>
      <c r="D32" s="2" t="s">
        <v>1193</v>
      </c>
      <c r="E32" s="2" t="s">
        <v>792</v>
      </c>
      <c r="F32" s="4">
        <v>0</v>
      </c>
      <c r="G32" s="4">
        <v>9</v>
      </c>
      <c r="H32" s="3">
        <f>IF(G32 = 0, "", F32 / G32)</f>
        <v>0</v>
      </c>
      <c r="I32" s="5">
        <f>SUMIFS(G32,C32, C32,E32, E32)</f>
        <v>9</v>
      </c>
      <c r="J32" s="3">
        <f>IF(I32 = 0, "", G32 / I32)</f>
        <v>1</v>
      </c>
      <c r="K32" s="3" t="b">
        <f>AND(G32 &gt; 0, F32 &gt;= 0, F32 &lt;= G32)</f>
        <v>1</v>
      </c>
    </row>
    <row r="33">
      <c r="A33" s="2" t="s">
        <v>1810</v>
      </c>
      <c r="B33" s="3" t="str">
        <f>A33</f>
        <v>radelet-1981-black-victim-B</v>
      </c>
      <c r="C33" s="2" t="s">
        <v>442</v>
      </c>
      <c r="D33" s="2" t="s">
        <v>1193</v>
      </c>
      <c r="E33" s="2" t="s">
        <v>795</v>
      </c>
      <c r="F33" s="4">
        <v>6</v>
      </c>
      <c r="G33" s="4">
        <v>103</v>
      </c>
      <c r="H33" s="3">
        <f>IF(G33 = 0, "", F33 / G33)</f>
        <v>0.05825242718446602</v>
      </c>
      <c r="I33" s="5">
        <f>SUMIFS(G33,C33, C33,E33, E33)</f>
        <v>103</v>
      </c>
      <c r="J33" s="3">
        <f>IF(I33 = 0, "", G33 / I33)</f>
        <v>1</v>
      </c>
      <c r="K33" s="3" t="b">
        <f>AND(G33 &gt; 0, F33 &gt;= 0, F33 &lt;= G33)</f>
        <v>1</v>
      </c>
    </row>
    <row r="34">
      <c r="A34" s="2" t="s">
        <v>1811</v>
      </c>
      <c r="B34" s="3" t="str">
        <f>A34</f>
        <v>jeter-justice-1997-1995-A</v>
      </c>
      <c r="C34" s="2" t="s">
        <v>448</v>
      </c>
      <c r="D34" s="2" t="s">
        <v>1196</v>
      </c>
      <c r="E34" s="2" t="s">
        <v>792</v>
      </c>
      <c r="F34" s="4">
        <v>12</v>
      </c>
      <c r="G34" s="4">
        <v>48</v>
      </c>
      <c r="H34" s="3">
        <f>IF(G34 = 0, "", F34 / G34)</f>
        <v>0.25</v>
      </c>
      <c r="I34" s="5">
        <f>SUMIFS(G34,C34, C34,E34, E34)</f>
        <v>48</v>
      </c>
      <c r="J34" s="3">
        <f>IF(I34 = 0, "", G34 / I34)</f>
        <v>1</v>
      </c>
      <c r="K34" s="3" t="b">
        <f>AND(G34 &gt; 0, F34 &gt;= 0, F34 &lt;= G34)</f>
        <v>1</v>
      </c>
    </row>
    <row r="35">
      <c r="A35" s="2" t="s">
        <v>1812</v>
      </c>
      <c r="B35" s="3" t="str">
        <f>A35</f>
        <v>jeter-justice-1997-1995-B</v>
      </c>
      <c r="C35" s="2" t="s">
        <v>448</v>
      </c>
      <c r="D35" s="2" t="s">
        <v>1196</v>
      </c>
      <c r="E35" s="2" t="s">
        <v>795</v>
      </c>
      <c r="F35" s="4">
        <v>104</v>
      </c>
      <c r="G35" s="4">
        <v>411</v>
      </c>
      <c r="H35" s="3">
        <f>IF(G35 = 0, "", F35 / G35)</f>
        <v>0.25304136253041365</v>
      </c>
      <c r="I35" s="5">
        <f>SUMIFS(G35,C35, C35,E35, E35)</f>
        <v>411</v>
      </c>
      <c r="J35" s="3">
        <f>IF(I35 = 0, "", G35 / I35)</f>
        <v>1</v>
      </c>
      <c r="K35" s="3" t="b">
        <f>AND(G35 &gt; 0, F35 &gt;= 0, F35 &lt;= G35)</f>
        <v>1</v>
      </c>
    </row>
    <row r="36">
      <c r="A36" s="2" t="s">
        <v>1813</v>
      </c>
      <c r="B36" s="3" t="str">
        <f>A36</f>
        <v>jeter-justice-1997-1996-A</v>
      </c>
      <c r="C36" s="2" t="s">
        <v>448</v>
      </c>
      <c r="D36" s="2" t="s">
        <v>1199</v>
      </c>
      <c r="E36" s="2" t="s">
        <v>792</v>
      </c>
      <c r="F36" s="4">
        <v>183</v>
      </c>
      <c r="G36" s="4">
        <v>582</v>
      </c>
      <c r="H36" s="3">
        <f>IF(G36 = 0, "", F36 / G36)</f>
        <v>0.31443298969072164</v>
      </c>
      <c r="I36" s="5">
        <f>SUMIFS(G36,C36, C36,E36, E36)</f>
        <v>582</v>
      </c>
      <c r="J36" s="3">
        <f>IF(I36 = 0, "", G36 / I36)</f>
        <v>1</v>
      </c>
      <c r="K36" s="3" t="b">
        <f>AND(G36 &gt; 0, F36 &gt;= 0, F36 &lt;= G36)</f>
        <v>1</v>
      </c>
    </row>
    <row r="37">
      <c r="A37" s="2" t="s">
        <v>1814</v>
      </c>
      <c r="B37" s="3" t="str">
        <f>A37</f>
        <v>jeter-justice-1997-1996-B</v>
      </c>
      <c r="C37" s="2" t="s">
        <v>448</v>
      </c>
      <c r="D37" s="2" t="s">
        <v>1199</v>
      </c>
      <c r="E37" s="2" t="s">
        <v>795</v>
      </c>
      <c r="F37" s="4">
        <v>45</v>
      </c>
      <c r="G37" s="4">
        <v>140</v>
      </c>
      <c r="H37" s="3">
        <f>IF(G37 = 0, "", F37 / G37)</f>
        <v>0.32142857142857145</v>
      </c>
      <c r="I37" s="5">
        <f>SUMIFS(G37,C37, C37,E37, E37)</f>
        <v>140</v>
      </c>
      <c r="J37" s="3">
        <f>IF(I37 = 0, "", G37 / I37)</f>
        <v>1</v>
      </c>
      <c r="K37" s="3" t="b">
        <f>AND(G37 &gt; 0, F37 &gt;= 0, F37 &lt;= G37)</f>
        <v>1</v>
      </c>
    </row>
    <row r="38">
      <c r="A38" s="2" t="s">
        <v>1815</v>
      </c>
      <c r="B38" s="3" t="str">
        <f>A38</f>
        <v>jeter-justice-1997-1997-A</v>
      </c>
      <c r="C38" s="2" t="s">
        <v>448</v>
      </c>
      <c r="D38" s="2" t="s">
        <v>1202</v>
      </c>
      <c r="E38" s="2" t="s">
        <v>792</v>
      </c>
      <c r="F38" s="4">
        <v>190</v>
      </c>
      <c r="G38" s="4">
        <v>654</v>
      </c>
      <c r="H38" s="3">
        <f>IF(G38 = 0, "", F38 / G38)</f>
        <v>0.290519877675841</v>
      </c>
      <c r="I38" s="5">
        <f>SUMIFS(G38,C38, C38,E38, E38)</f>
        <v>654</v>
      </c>
      <c r="J38" s="3">
        <f>IF(I38 = 0, "", G38 / I38)</f>
        <v>1</v>
      </c>
      <c r="K38" s="3" t="b">
        <f>AND(G38 &gt; 0, F38 &gt;= 0, F38 &lt;= G38)</f>
        <v>1</v>
      </c>
    </row>
    <row r="39">
      <c r="A39" s="2" t="s">
        <v>1816</v>
      </c>
      <c r="B39" s="3" t="str">
        <f>A39</f>
        <v>jeter-justice-1997-1997-B</v>
      </c>
      <c r="C39" s="2" t="s">
        <v>448</v>
      </c>
      <c r="D39" s="2" t="s">
        <v>1202</v>
      </c>
      <c r="E39" s="2" t="s">
        <v>795</v>
      </c>
      <c r="F39" s="4">
        <v>163</v>
      </c>
      <c r="G39" s="4">
        <v>495</v>
      </c>
      <c r="H39" s="3">
        <f>IF(G39 = 0, "", F39 / G39)</f>
        <v>0.3292929292929293</v>
      </c>
      <c r="I39" s="5">
        <f>SUMIFS(G39,C39, C39,E39, E39)</f>
        <v>495</v>
      </c>
      <c r="J39" s="3">
        <f>IF(I39 = 0, "", G39 / I39)</f>
        <v>1</v>
      </c>
      <c r="K39" s="3" t="b">
        <f>AND(G39 &gt; 0, F39 &gt;= 0, F39 &lt;= G39)</f>
        <v>1</v>
      </c>
    </row>
    <row r="40">
      <c r="A40" s="2" t="s">
        <v>1817</v>
      </c>
      <c r="B40" s="3" t="str">
        <f>A40</f>
        <v>appleton-1996-18-24-A</v>
      </c>
      <c r="C40" s="2" t="s">
        <v>453</v>
      </c>
      <c r="D40" s="2" t="s">
        <v>1205</v>
      </c>
      <c r="E40" s="2" t="s">
        <v>792</v>
      </c>
      <c r="F40" s="4">
        <v>2</v>
      </c>
      <c r="G40" s="4">
        <v>55</v>
      </c>
      <c r="H40" s="3">
        <f>IF(G40 = 0, "", F40 / G40)</f>
        <v>0.03636363636363636</v>
      </c>
      <c r="I40" s="5">
        <f>SUMIFS(G40,C40, C40,E40, E40)</f>
        <v>55</v>
      </c>
      <c r="J40" s="3">
        <f>IF(I40 = 0, "", G40 / I40)</f>
        <v>1</v>
      </c>
      <c r="K40" s="3" t="b">
        <f>AND(G40 &gt; 0, F40 &gt;= 0, F40 &lt;= G40)</f>
        <v>1</v>
      </c>
    </row>
    <row r="41">
      <c r="A41" s="2" t="s">
        <v>1818</v>
      </c>
      <c r="B41" s="3" t="str">
        <f>A41</f>
        <v>appleton-1996-18-24-B</v>
      </c>
      <c r="C41" s="2" t="s">
        <v>453</v>
      </c>
      <c r="D41" s="2" t="s">
        <v>1205</v>
      </c>
      <c r="E41" s="2" t="s">
        <v>795</v>
      </c>
      <c r="F41" s="4">
        <v>1</v>
      </c>
      <c r="G41" s="4">
        <v>72</v>
      </c>
      <c r="H41" s="3">
        <f>IF(G41 = 0, "", F41 / G41)</f>
        <v>0.013888888888888888</v>
      </c>
      <c r="I41" s="5">
        <f>SUMIFS(G41,C41, C41,E41, E41)</f>
        <v>72</v>
      </c>
      <c r="J41" s="3">
        <f>IF(I41 = 0, "", G41 / I41)</f>
        <v>1</v>
      </c>
      <c r="K41" s="3" t="b">
        <f>AND(G41 &gt; 0, F41 &gt;= 0, F41 &lt;= G41)</f>
        <v>1</v>
      </c>
    </row>
    <row r="42">
      <c r="A42" s="2" t="s">
        <v>1819</v>
      </c>
      <c r="B42" s="3" t="str">
        <f>A42</f>
        <v>appleton-1996-25-34-A</v>
      </c>
      <c r="C42" s="2" t="s">
        <v>453</v>
      </c>
      <c r="D42" s="2" t="s">
        <v>1208</v>
      </c>
      <c r="E42" s="2" t="s">
        <v>792</v>
      </c>
      <c r="F42" s="4">
        <v>3</v>
      </c>
      <c r="G42" s="4">
        <v>125</v>
      </c>
      <c r="H42" s="3">
        <f>IF(G42 = 0, "", F42 / G42)</f>
        <v>0.024</v>
      </c>
      <c r="I42" s="5">
        <f>SUMIFS(G42,C42, C42,E42, E42)</f>
        <v>125</v>
      </c>
      <c r="J42" s="3">
        <f>IF(I42 = 0, "", G42 / I42)</f>
        <v>1</v>
      </c>
      <c r="K42" s="3" t="b">
        <f>AND(G42 &gt; 0, F42 &gt;= 0, F42 &lt;= G42)</f>
        <v>1</v>
      </c>
    </row>
    <row r="43">
      <c r="A43" s="2" t="s">
        <v>1820</v>
      </c>
      <c r="B43" s="3" t="str">
        <f>A43</f>
        <v>appleton-1996-25-34-B</v>
      </c>
      <c r="C43" s="2" t="s">
        <v>453</v>
      </c>
      <c r="D43" s="2" t="s">
        <v>1208</v>
      </c>
      <c r="E43" s="2" t="s">
        <v>795</v>
      </c>
      <c r="F43" s="4">
        <v>4</v>
      </c>
      <c r="G43" s="4">
        <v>156</v>
      </c>
      <c r="H43" s="3">
        <f>IF(G43 = 0, "", F43 / G43)</f>
        <v>0.02564102564102564</v>
      </c>
      <c r="I43" s="5">
        <f>SUMIFS(G43,C43, C43,E43, E43)</f>
        <v>156</v>
      </c>
      <c r="J43" s="3">
        <f>IF(I43 = 0, "", G43 / I43)</f>
        <v>1</v>
      </c>
      <c r="K43" s="3" t="b">
        <f>AND(G43 &gt; 0, F43 &gt;= 0, F43 &lt;= G43)</f>
        <v>1</v>
      </c>
    </row>
    <row r="44">
      <c r="A44" s="2" t="s">
        <v>1821</v>
      </c>
      <c r="B44" s="3" t="str">
        <f>A44</f>
        <v>appleton-1996-35-44-A</v>
      </c>
      <c r="C44" s="2" t="s">
        <v>453</v>
      </c>
      <c r="D44" s="2" t="s">
        <v>1211</v>
      </c>
      <c r="E44" s="2" t="s">
        <v>792</v>
      </c>
      <c r="F44" s="4">
        <v>10</v>
      </c>
      <c r="G44" s="4">
        <v>105</v>
      </c>
      <c r="H44" s="3">
        <f>IF(G44 = 0, "", F44 / G44)</f>
        <v>0.09523809523809523</v>
      </c>
      <c r="I44" s="5">
        <f>SUMIFS(G44,C44, C44,E44, E44)</f>
        <v>105</v>
      </c>
      <c r="J44" s="3">
        <f>IF(I44 = 0, "", G44 / I44)</f>
        <v>1</v>
      </c>
      <c r="K44" s="3" t="b">
        <f>AND(G44 &gt; 0, F44 &gt;= 0, F44 &lt;= G44)</f>
        <v>1</v>
      </c>
    </row>
    <row r="45">
      <c r="A45" s="2" t="s">
        <v>1822</v>
      </c>
      <c r="B45" s="3" t="str">
        <f>A45</f>
        <v>appleton-1996-35-44-B</v>
      </c>
      <c r="C45" s="2" t="s">
        <v>453</v>
      </c>
      <c r="D45" s="2" t="s">
        <v>1211</v>
      </c>
      <c r="E45" s="2" t="s">
        <v>795</v>
      </c>
      <c r="F45" s="4">
        <v>7</v>
      </c>
      <c r="G45" s="4">
        <v>111</v>
      </c>
      <c r="H45" s="3">
        <f>IF(G45 = 0, "", F45 / G45)</f>
        <v>0.06306306306306306</v>
      </c>
      <c r="I45" s="5">
        <f>SUMIFS(G45,C45, C45,E45, E45)</f>
        <v>111</v>
      </c>
      <c r="J45" s="3">
        <f>IF(I45 = 0, "", G45 / I45)</f>
        <v>1</v>
      </c>
      <c r="K45" s="3" t="b">
        <f>AND(G45 &gt; 0, F45 &gt;= 0, F45 &lt;= G45)</f>
        <v>1</v>
      </c>
    </row>
    <row r="46">
      <c r="A46" s="2" t="s">
        <v>1823</v>
      </c>
      <c r="B46" s="3" t="str">
        <f>A46</f>
        <v>appleton-1996-45-54-A</v>
      </c>
      <c r="C46" s="2" t="s">
        <v>453</v>
      </c>
      <c r="D46" s="2" t="s">
        <v>1214</v>
      </c>
      <c r="E46" s="2" t="s">
        <v>792</v>
      </c>
      <c r="F46" s="4">
        <v>28</v>
      </c>
      <c r="G46" s="4">
        <v>131</v>
      </c>
      <c r="H46" s="3">
        <f>IF(G46 = 0, "", F46 / G46)</f>
        <v>0.21374045801526717</v>
      </c>
      <c r="I46" s="5">
        <f>SUMIFS(G46,C46, C46,E46, E46)</f>
        <v>131</v>
      </c>
      <c r="J46" s="3">
        <f>IF(I46 = 0, "", G46 / I46)</f>
        <v>1</v>
      </c>
      <c r="K46" s="3" t="b">
        <f>AND(G46 &gt; 0, F46 &gt;= 0, F46 &lt;= G46)</f>
        <v>1</v>
      </c>
    </row>
    <row r="47">
      <c r="A47" s="2" t="s">
        <v>1824</v>
      </c>
      <c r="B47" s="3" t="str">
        <f>A47</f>
        <v>appleton-1996-45-54-B</v>
      </c>
      <c r="C47" s="2" t="s">
        <v>453</v>
      </c>
      <c r="D47" s="2" t="s">
        <v>1214</v>
      </c>
      <c r="E47" s="2" t="s">
        <v>795</v>
      </c>
      <c r="F47" s="4">
        <v>12</v>
      </c>
      <c r="G47" s="4">
        <v>78</v>
      </c>
      <c r="H47" s="3">
        <f>IF(G47 = 0, "", F47 / G47)</f>
        <v>0.15384615384615385</v>
      </c>
      <c r="I47" s="5">
        <f>SUMIFS(G47,C47, C47,E47, E47)</f>
        <v>78</v>
      </c>
      <c r="J47" s="3">
        <f>IF(I47 = 0, "", G47 / I47)</f>
        <v>1</v>
      </c>
      <c r="K47" s="3" t="b">
        <f>AND(G47 &gt; 0, F47 &gt;= 0, F47 &lt;= G47)</f>
        <v>1</v>
      </c>
    </row>
    <row r="48">
      <c r="A48" s="2" t="s">
        <v>1825</v>
      </c>
      <c r="B48" s="3" t="str">
        <f>A48</f>
        <v>appleton-1996-55-64-A</v>
      </c>
      <c r="C48" s="2" t="s">
        <v>453</v>
      </c>
      <c r="D48" s="2" t="s">
        <v>1217</v>
      </c>
      <c r="E48" s="2" t="s">
        <v>792</v>
      </c>
      <c r="F48" s="4">
        <v>52</v>
      </c>
      <c r="G48" s="4">
        <v>116</v>
      </c>
      <c r="H48" s="3">
        <f>IF(G48 = 0, "", F48 / G48)</f>
        <v>0.4482758620689655</v>
      </c>
      <c r="I48" s="5">
        <f>SUMIFS(G48,C48, C48,E48, E48)</f>
        <v>116</v>
      </c>
      <c r="J48" s="3">
        <f>IF(I48 = 0, "", G48 / I48)</f>
        <v>1</v>
      </c>
      <c r="K48" s="3" t="b">
        <f>AND(G48 &gt; 0, F48 &gt;= 0, F48 &lt;= G48)</f>
        <v>1</v>
      </c>
    </row>
    <row r="49">
      <c r="A49" s="2" t="s">
        <v>1826</v>
      </c>
      <c r="B49" s="3" t="str">
        <f>A49</f>
        <v>appleton-1996-55-64-B</v>
      </c>
      <c r="C49" s="2" t="s">
        <v>453</v>
      </c>
      <c r="D49" s="2" t="s">
        <v>1217</v>
      </c>
      <c r="E49" s="2" t="s">
        <v>795</v>
      </c>
      <c r="F49" s="4">
        <v>41</v>
      </c>
      <c r="G49" s="4">
        <v>122</v>
      </c>
      <c r="H49" s="3">
        <f>IF(G49 = 0, "", F49 / G49)</f>
        <v>0.3360655737704918</v>
      </c>
      <c r="I49" s="5">
        <f>SUMIFS(G49,C49, C49,E49, E49)</f>
        <v>122</v>
      </c>
      <c r="J49" s="3">
        <f>IF(I49 = 0, "", G49 / I49)</f>
        <v>1</v>
      </c>
      <c r="K49" s="3" t="b">
        <f>AND(G49 &gt; 0, F49 &gt;= 0, F49 &lt;= G49)</f>
        <v>1</v>
      </c>
    </row>
    <row r="50">
      <c r="A50" s="2" t="s">
        <v>1827</v>
      </c>
      <c r="B50" s="3" t="str">
        <f>A50</f>
        <v>appleton-1996-65-74-A</v>
      </c>
      <c r="C50" s="2" t="s">
        <v>453</v>
      </c>
      <c r="D50" s="2" t="s">
        <v>1220</v>
      </c>
      <c r="E50" s="2" t="s">
        <v>792</v>
      </c>
      <c r="F50" s="4">
        <v>31</v>
      </c>
      <c r="G50" s="4">
        <v>37</v>
      </c>
      <c r="H50" s="3">
        <f>IF(G50 = 0, "", F50 / G50)</f>
        <v>0.8378378378378378</v>
      </c>
      <c r="I50" s="5">
        <f>SUMIFS(G50,C50, C50,E50, E50)</f>
        <v>37</v>
      </c>
      <c r="J50" s="3">
        <f>IF(I50 = 0, "", G50 / I50)</f>
        <v>1</v>
      </c>
      <c r="K50" s="3" t="b">
        <f>AND(G50 &gt; 0, F50 &gt;= 0, F50 &lt;= G50)</f>
        <v>1</v>
      </c>
    </row>
    <row r="51">
      <c r="A51" s="2" t="s">
        <v>1828</v>
      </c>
      <c r="B51" s="3" t="str">
        <f>A51</f>
        <v>appleton-1996-65-74-B</v>
      </c>
      <c r="C51" s="2" t="s">
        <v>453</v>
      </c>
      <c r="D51" s="2" t="s">
        <v>1220</v>
      </c>
      <c r="E51" s="2" t="s">
        <v>795</v>
      </c>
      <c r="F51" s="4">
        <v>101</v>
      </c>
      <c r="G51" s="4">
        <v>129</v>
      </c>
      <c r="H51" s="3">
        <f>IF(G51 = 0, "", F51 / G51)</f>
        <v>0.7829457364341085</v>
      </c>
      <c r="I51" s="5">
        <f>SUMIFS(G51,C51, C51,E51, E51)</f>
        <v>129</v>
      </c>
      <c r="J51" s="3">
        <f>IF(I51 = 0, "", G51 / I51)</f>
        <v>1</v>
      </c>
      <c r="K51" s="3" t="b">
        <f>AND(G51 &gt; 0, F51 &gt;= 0, F51 &lt;= G51)</f>
        <v>1</v>
      </c>
    </row>
    <row r="52">
      <c r="A52" s="2" t="s">
        <v>1829</v>
      </c>
      <c r="B52" s="3" t="str">
        <f>A52</f>
        <v>appleton-1996-75plus-A</v>
      </c>
      <c r="C52" s="2" t="s">
        <v>453</v>
      </c>
      <c r="D52" s="2" t="s">
        <v>1223</v>
      </c>
      <c r="E52" s="2" t="s">
        <v>792</v>
      </c>
      <c r="F52" s="4">
        <v>13</v>
      </c>
      <c r="G52" s="4">
        <v>13</v>
      </c>
      <c r="H52" s="3">
        <f>IF(G52 = 0, "", F52 / G52)</f>
        <v>1</v>
      </c>
      <c r="I52" s="5">
        <f>SUMIFS(G52,C52, C52,E52, E52)</f>
        <v>13</v>
      </c>
      <c r="J52" s="3">
        <f>IF(I52 = 0, "", G52 / I52)</f>
        <v>1</v>
      </c>
      <c r="K52" s="3" t="b">
        <f>AND(G52 &gt; 0, F52 &gt;= 0, F52 &lt;= G52)</f>
        <v>1</v>
      </c>
    </row>
    <row r="53">
      <c r="A53" s="2" t="s">
        <v>1830</v>
      </c>
      <c r="B53" s="3" t="str">
        <f>A53</f>
        <v>appleton-1996-75plus-B</v>
      </c>
      <c r="C53" s="2" t="s">
        <v>453</v>
      </c>
      <c r="D53" s="2" t="s">
        <v>1223</v>
      </c>
      <c r="E53" s="2" t="s">
        <v>795</v>
      </c>
      <c r="F53" s="4">
        <v>64</v>
      </c>
      <c r="G53" s="4">
        <v>64</v>
      </c>
      <c r="H53" s="3">
        <f>IF(G53 = 0, "", F53 / G53)</f>
        <v>1</v>
      </c>
      <c r="I53" s="5">
        <f>SUMIFS(G53,C53, C53,E53, E53)</f>
        <v>64</v>
      </c>
      <c r="J53" s="3">
        <f>IF(I53 = 0, "", G53 / I53)</f>
        <v>1</v>
      </c>
      <c r="K53" s="3" t="b">
        <f>AND(G53 &gt; 0, F53 &gt;= 0, F53 &lt;= G53)</f>
        <v>1</v>
      </c>
    </row>
    <row r="54">
      <c r="A54" s="2" t="s">
        <v>1831</v>
      </c>
      <c r="B54" s="3" t="str">
        <f>A54</f>
        <v>phe-covid-2021-under-50-A</v>
      </c>
      <c r="C54" s="2" t="s">
        <v>457</v>
      </c>
      <c r="D54" s="2" t="s">
        <v>1226</v>
      </c>
      <c r="E54" s="2" t="s">
        <v>792</v>
      </c>
      <c r="F54" s="4">
        <v>21</v>
      </c>
      <c r="G54" s="4">
        <v>89807</v>
      </c>
      <c r="H54" s="3">
        <f>IF(G54 = 0, "", F54 / G54)</f>
        <v>0.00023383477902613381</v>
      </c>
      <c r="I54" s="5">
        <f>SUMIFS(G54,C54, C54,E54, E54)</f>
        <v>89807</v>
      </c>
      <c r="J54" s="3">
        <f>IF(I54 = 0, "", G54 / I54)</f>
        <v>1</v>
      </c>
      <c r="K54" s="3" t="b">
        <f>AND(G54 &gt; 0, F54 &gt;= 0, F54 &lt;= G54)</f>
        <v>1</v>
      </c>
    </row>
    <row r="55">
      <c r="A55" s="2" t="s">
        <v>1832</v>
      </c>
      <c r="B55" s="3" t="str">
        <f>A55</f>
        <v>phe-covid-2021-under-50-B</v>
      </c>
      <c r="C55" s="2" t="s">
        <v>457</v>
      </c>
      <c r="D55" s="2" t="s">
        <v>1226</v>
      </c>
      <c r="E55" s="2" t="s">
        <v>795</v>
      </c>
      <c r="F55" s="4">
        <v>48</v>
      </c>
      <c r="G55" s="4">
        <v>147612</v>
      </c>
      <c r="H55" s="3">
        <f>IF(G55 = 0, "", F55 / G55)</f>
        <v>0.00032517681489309814</v>
      </c>
      <c r="I55" s="5">
        <f>SUMIFS(G55,C55, C55,E55, E55)</f>
        <v>147612</v>
      </c>
      <c r="J55" s="3">
        <f>IF(I55 = 0, "", G55 / I55)</f>
        <v>1</v>
      </c>
      <c r="K55" s="3" t="b">
        <f>AND(G55 &gt; 0, F55 &gt;= 0, F55 &lt;= G55)</f>
        <v>1</v>
      </c>
    </row>
    <row r="56">
      <c r="A56" s="2" t="s">
        <v>1833</v>
      </c>
      <c r="B56" s="3" t="str">
        <f>A56</f>
        <v>phe-covid-2021-50plus-A</v>
      </c>
      <c r="C56" s="2" t="s">
        <v>457</v>
      </c>
      <c r="D56" s="2" t="s">
        <v>1229</v>
      </c>
      <c r="E56" s="2" t="s">
        <v>792</v>
      </c>
      <c r="F56" s="4">
        <v>460</v>
      </c>
      <c r="G56" s="4">
        <v>27307</v>
      </c>
      <c r="H56" s="3">
        <f>IF(G56 = 0, "", F56 / G56)</f>
        <v>0.0168454974914857</v>
      </c>
      <c r="I56" s="5">
        <f>SUMIFS(G56,C56, C56,E56, E56)</f>
        <v>27307</v>
      </c>
      <c r="J56" s="3">
        <f>IF(I56 = 0, "", G56 / I56)</f>
        <v>1</v>
      </c>
      <c r="K56" s="3" t="b">
        <f>AND(G56 &gt; 0, F56 &gt;= 0, F56 &lt;= G56)</f>
        <v>1</v>
      </c>
    </row>
    <row r="57">
      <c r="A57" s="2" t="s">
        <v>1834</v>
      </c>
      <c r="B57" s="3" t="str">
        <f>A57</f>
        <v>phe-covid-2021-50plus-B</v>
      </c>
      <c r="C57" s="2" t="s">
        <v>457</v>
      </c>
      <c r="D57" s="2" t="s">
        <v>1229</v>
      </c>
      <c r="E57" s="2" t="s">
        <v>795</v>
      </c>
      <c r="F57" s="4">
        <v>205</v>
      </c>
      <c r="G57" s="4">
        <v>3440</v>
      </c>
      <c r="H57" s="3">
        <f>IF(G57 = 0, "", F57 / G57)</f>
        <v>0.059593023255813955</v>
      </c>
      <c r="I57" s="5">
        <f>SUMIFS(G57,C57, C57,E57, E57)</f>
        <v>3440</v>
      </c>
      <c r="J57" s="3">
        <f>IF(I57 = 0, "", G57 / I57)</f>
        <v>1</v>
      </c>
      <c r="K57" s="3" t="b">
        <f>AND(G57 &gt; 0, F57 &gt;= 0, F57 &lt;= G57)</f>
        <v>1</v>
      </c>
    </row>
    <row r="58">
      <c r="A58" s="2" t="s">
        <v>1835</v>
      </c>
      <c r="B58" s="3" t="str">
        <f>A58</f>
        <v>hannan-1994-high-risk-A</v>
      </c>
      <c r="C58" s="2" t="s">
        <v>462</v>
      </c>
      <c r="D58" s="2" t="s">
        <v>1232</v>
      </c>
      <c r="E58" s="2" t="s">
        <v>792</v>
      </c>
      <c r="F58" s="4">
        <v>466</v>
      </c>
      <c r="G58" s="4">
        <v>490</v>
      </c>
      <c r="H58" s="3">
        <f>IF(G58 = 0, "", F58 / G58)</f>
        <v>0.9510204081632653</v>
      </c>
      <c r="I58" s="5">
        <f>SUMIFS(G58,C58, C58,E58, E58)</f>
        <v>490</v>
      </c>
      <c r="J58" s="3">
        <f>IF(I58 = 0, "", G58 / I58)</f>
        <v>1</v>
      </c>
      <c r="K58" s="3" t="b">
        <f>AND(G58 &gt; 0, F58 &gt;= 0, F58 &lt;= G58)</f>
        <v>1</v>
      </c>
    </row>
    <row r="59">
      <c r="A59" s="2" t="s">
        <v>1836</v>
      </c>
      <c r="B59" s="3" t="str">
        <f>A59</f>
        <v>hannan-1994-high-risk-B</v>
      </c>
      <c r="C59" s="2" t="s">
        <v>462</v>
      </c>
      <c r="D59" s="2" t="s">
        <v>1232</v>
      </c>
      <c r="E59" s="2" t="s">
        <v>795</v>
      </c>
      <c r="F59" s="4">
        <v>64</v>
      </c>
      <c r="G59" s="4">
        <v>80</v>
      </c>
      <c r="H59" s="3">
        <f>IF(G59 = 0, "", F59 / G59)</f>
        <v>0.8</v>
      </c>
      <c r="I59" s="5">
        <f>SUMIFS(G59,C59, C59,E59, E59)</f>
        <v>80</v>
      </c>
      <c r="J59" s="3">
        <f>IF(I59 = 0, "", G59 / I59)</f>
        <v>1</v>
      </c>
      <c r="K59" s="3" t="b">
        <f>AND(G59 &gt; 0, F59 &gt;= 0, F59 &lt;= G59)</f>
        <v>1</v>
      </c>
    </row>
    <row r="60">
      <c r="A60" s="2" t="s">
        <v>1837</v>
      </c>
      <c r="B60" s="3" t="str">
        <f>A60</f>
        <v>hannan-1994-low-risk-A</v>
      </c>
      <c r="C60" s="2" t="s">
        <v>462</v>
      </c>
      <c r="D60" s="2" t="s">
        <v>1235</v>
      </c>
      <c r="E60" s="2" t="s">
        <v>792</v>
      </c>
      <c r="F60" s="4">
        <v>208</v>
      </c>
      <c r="G60" s="4">
        <v>210</v>
      </c>
      <c r="H60" s="3">
        <f>IF(G60 = 0, "", F60 / G60)</f>
        <v>0.9904761904761905</v>
      </c>
      <c r="I60" s="5">
        <f>SUMIFS(G60,C60, C60,E60, E60)</f>
        <v>210</v>
      </c>
      <c r="J60" s="3">
        <f>IF(I60 = 0, "", G60 / I60)</f>
        <v>1</v>
      </c>
      <c r="K60" s="3" t="b">
        <f>AND(G60 &gt; 0, F60 &gt;= 0, F60 &lt;= G60)</f>
        <v>1</v>
      </c>
    </row>
    <row r="61">
      <c r="A61" s="2" t="s">
        <v>1838</v>
      </c>
      <c r="B61" s="3" t="str">
        <f>A61</f>
        <v>hannan-1994-low-risk-B</v>
      </c>
      <c r="C61" s="2" t="s">
        <v>462</v>
      </c>
      <c r="D61" s="2" t="s">
        <v>1235</v>
      </c>
      <c r="E61" s="2" t="s">
        <v>795</v>
      </c>
      <c r="F61" s="4">
        <v>310</v>
      </c>
      <c r="G61" s="4">
        <v>320</v>
      </c>
      <c r="H61" s="3">
        <f>IF(G61 = 0, "", F61 / G61)</f>
        <v>0.96875</v>
      </c>
      <c r="I61" s="5">
        <f>SUMIFS(G61,C61, C61,E61, E61)</f>
        <v>320</v>
      </c>
      <c r="J61" s="3">
        <f>IF(I61 = 0, "", G61 / I61)</f>
        <v>1</v>
      </c>
      <c r="K61" s="3" t="b">
        <f>AND(G61 &gt; 0, F61 &gt;= 0, F61 &lt;= G61)</f>
        <v>1</v>
      </c>
    </row>
    <row r="62">
      <c r="A62" s="2" t="s">
        <v>1839</v>
      </c>
      <c r="B62" s="3" t="str">
        <f>A62</f>
        <v>titanic-1912-male-A</v>
      </c>
      <c r="C62" s="2" t="s">
        <v>466</v>
      </c>
      <c r="D62" s="2" t="s">
        <v>1238</v>
      </c>
      <c r="E62" s="2" t="s">
        <v>792</v>
      </c>
      <c r="F62" s="4">
        <v>57</v>
      </c>
      <c r="G62" s="4">
        <v>175</v>
      </c>
      <c r="H62" s="3">
        <f>IF(G62 = 0, "", F62 / G62)</f>
        <v>0.32571428571428573</v>
      </c>
      <c r="I62" s="5">
        <f>SUMIFS(G62,C62, C62,E62, E62)</f>
        <v>175</v>
      </c>
      <c r="J62" s="3">
        <f>IF(I62 = 0, "", G62 / I62)</f>
        <v>1</v>
      </c>
      <c r="K62" s="3" t="b">
        <f>AND(G62 &gt; 0, F62 &gt;= 0, F62 &lt;= G62)</f>
        <v>1</v>
      </c>
    </row>
    <row r="63">
      <c r="A63" s="2" t="s">
        <v>1840</v>
      </c>
      <c r="B63" s="3" t="str">
        <f>A63</f>
        <v>titanic-1912-male-B</v>
      </c>
      <c r="C63" s="2" t="s">
        <v>466</v>
      </c>
      <c r="D63" s="2" t="s">
        <v>1238</v>
      </c>
      <c r="E63" s="2" t="s">
        <v>795</v>
      </c>
      <c r="F63" s="4">
        <v>75</v>
      </c>
      <c r="G63" s="4">
        <v>462</v>
      </c>
      <c r="H63" s="3">
        <f>IF(G63 = 0, "", F63 / G63)</f>
        <v>0.16233766233766234</v>
      </c>
      <c r="I63" s="5">
        <f>SUMIFS(G63,C63, C63,E63, E63)</f>
        <v>462</v>
      </c>
      <c r="J63" s="3">
        <f>IF(I63 = 0, "", G63 / I63)</f>
        <v>1</v>
      </c>
      <c r="K63" s="3" t="b">
        <f>AND(G63 &gt; 0, F63 &gt;= 0, F63 &lt;= G63)</f>
        <v>1</v>
      </c>
    </row>
    <row r="64">
      <c r="A64" s="2" t="s">
        <v>1841</v>
      </c>
      <c r="B64" s="3" t="str">
        <f>A64</f>
        <v>titanic-1912-female-A</v>
      </c>
      <c r="C64" s="2" t="s">
        <v>466</v>
      </c>
      <c r="D64" s="2" t="s">
        <v>1241</v>
      </c>
      <c r="E64" s="2" t="s">
        <v>792</v>
      </c>
      <c r="F64" s="4">
        <v>139</v>
      </c>
      <c r="G64" s="4">
        <v>144</v>
      </c>
      <c r="H64" s="3">
        <f>IF(G64 = 0, "", F64 / G64)</f>
        <v>0.9652777777777778</v>
      </c>
      <c r="I64" s="5">
        <f>SUMIFS(G64,C64, C64,E64, E64)</f>
        <v>144</v>
      </c>
      <c r="J64" s="3">
        <f>IF(I64 = 0, "", G64 / I64)</f>
        <v>1</v>
      </c>
      <c r="K64" s="3" t="b">
        <f>AND(G64 &gt; 0, F64 &gt;= 0, F64 &lt;= G64)</f>
        <v>1</v>
      </c>
    </row>
    <row r="65">
      <c r="A65" s="2" t="s">
        <v>1842</v>
      </c>
      <c r="B65" s="3" t="str">
        <f>A65</f>
        <v>titanic-1912-female-B</v>
      </c>
      <c r="C65" s="2" t="s">
        <v>466</v>
      </c>
      <c r="D65" s="2" t="s">
        <v>1241</v>
      </c>
      <c r="E65" s="2" t="s">
        <v>795</v>
      </c>
      <c r="F65" s="4">
        <v>76</v>
      </c>
      <c r="G65" s="4">
        <v>165</v>
      </c>
      <c r="H65" s="3">
        <f>IF(G65 = 0, "", F65 / G65)</f>
        <v>0.46060606060606063</v>
      </c>
      <c r="I65" s="5">
        <f>SUMIFS(G65,C65, C65,E65, E65)</f>
        <v>165</v>
      </c>
      <c r="J65" s="3">
        <f>IF(I65 = 0, "", G65 / I65)</f>
        <v>1</v>
      </c>
      <c r="K65" s="3" t="b">
        <f>AND(G65 &gt; 0, F65 &gt;= 0, F65 &lt;= G65)</f>
        <v>1</v>
      </c>
    </row>
    <row r="66">
      <c r="A66" s="2" t="s">
        <v>1843</v>
      </c>
      <c r="B66" s="3" t="str">
        <f>A66</f>
        <v>bwp-lbw-A</v>
      </c>
      <c r="C66" s="2" t="s">
        <v>470</v>
      </c>
      <c r="D66" s="2" t="s">
        <v>1244</v>
      </c>
      <c r="E66" s="2" t="s">
        <v>792</v>
      </c>
      <c r="F66" s="4">
        <v>960</v>
      </c>
      <c r="G66" s="4">
        <v>1000</v>
      </c>
      <c r="H66" s="3">
        <f>IF(G66 = 0, "", F66 / G66)</f>
        <v>0.96</v>
      </c>
      <c r="I66" s="5">
        <f>SUMIFS(G66,C66, C66,E66, E66)</f>
        <v>1000</v>
      </c>
      <c r="J66" s="3">
        <f>IF(I66 = 0, "", G66 / I66)</f>
        <v>1</v>
      </c>
      <c r="K66" s="3" t="b">
        <f>AND(G66 &gt; 0, F66 &gt;= 0, F66 &lt;= G66)</f>
        <v>1</v>
      </c>
    </row>
    <row r="67">
      <c r="A67" s="2" t="s">
        <v>1844</v>
      </c>
      <c r="B67" s="3" t="str">
        <f>A67</f>
        <v>bwp-lbw-B</v>
      </c>
      <c r="C67" s="2" t="s">
        <v>470</v>
      </c>
      <c r="D67" s="2" t="s">
        <v>1244</v>
      </c>
      <c r="E67" s="2" t="s">
        <v>795</v>
      </c>
      <c r="F67" s="4">
        <v>470</v>
      </c>
      <c r="G67" s="4">
        <v>500</v>
      </c>
      <c r="H67" s="3">
        <f>IF(G67 = 0, "", F67 / G67)</f>
        <v>0.94</v>
      </c>
      <c r="I67" s="5">
        <f>SUMIFS(G67,C67, C67,E67, E67)</f>
        <v>500</v>
      </c>
      <c r="J67" s="3">
        <f>IF(I67 = 0, "", G67 / I67)</f>
        <v>1</v>
      </c>
      <c r="K67" s="3" t="b">
        <f>AND(G67 &gt; 0, F67 &gt;= 0, F67 &lt;= G67)</f>
        <v>1</v>
      </c>
    </row>
    <row r="68">
      <c r="A68" s="2" t="s">
        <v>1845</v>
      </c>
      <c r="B68" s="3" t="str">
        <f>A68</f>
        <v>bwp-nbw-A</v>
      </c>
      <c r="C68" s="2" t="s">
        <v>470</v>
      </c>
      <c r="D68" s="2" t="s">
        <v>1247</v>
      </c>
      <c r="E68" s="2" t="s">
        <v>792</v>
      </c>
      <c r="F68" s="4">
        <v>995</v>
      </c>
      <c r="G68" s="4">
        <v>1000</v>
      </c>
      <c r="H68" s="3">
        <f>IF(G68 = 0, "", F68 / G68)</f>
        <v>0.995</v>
      </c>
      <c r="I68" s="5">
        <f>SUMIFS(G68,C68, C68,E68, E68)</f>
        <v>1000</v>
      </c>
      <c r="J68" s="3">
        <f>IF(I68 = 0, "", G68 / I68)</f>
        <v>1</v>
      </c>
      <c r="K68" s="3" t="b">
        <f>AND(G68 &gt; 0, F68 &gt;= 0, F68 &lt;= G68)</f>
        <v>1</v>
      </c>
    </row>
    <row r="69">
      <c r="A69" s="2" t="s">
        <v>1846</v>
      </c>
      <c r="B69" s="3" t="str">
        <f>A69</f>
        <v>bwp-nbw-B</v>
      </c>
      <c r="C69" s="2" t="s">
        <v>470</v>
      </c>
      <c r="D69" s="2" t="s">
        <v>1247</v>
      </c>
      <c r="E69" s="2" t="s">
        <v>795</v>
      </c>
      <c r="F69" s="4">
        <v>4980</v>
      </c>
      <c r="G69" s="4">
        <v>5000</v>
      </c>
      <c r="H69" s="3">
        <f>IF(G69 = 0, "", F69 / G69)</f>
        <v>0.996</v>
      </c>
      <c r="I69" s="5">
        <f>SUMIFS(G69,C69, C69,E69, E69)</f>
        <v>5000</v>
      </c>
      <c r="J69" s="3">
        <f>IF(I69 = 0, "", G69 / I69)</f>
        <v>1</v>
      </c>
      <c r="K69" s="3" t="b">
        <f>AND(G69 &gt; 0, F69 &gt;= 0, F69 &lt;= G69)</f>
        <v>1</v>
      </c>
    </row>
    <row r="70">
      <c r="A70" s="2" t="s">
        <v>1847</v>
      </c>
      <c r="B70" s="3" t="str">
        <f>A70</f>
        <v>mel-thin-A</v>
      </c>
      <c r="C70" s="2" t="s">
        <v>475</v>
      </c>
      <c r="D70" s="2" t="s">
        <v>1250</v>
      </c>
      <c r="E70" s="2" t="s">
        <v>792</v>
      </c>
      <c r="F70" s="4">
        <v>133</v>
      </c>
      <c r="G70" s="4">
        <v>140</v>
      </c>
      <c r="H70" s="3">
        <f>IF(G70 = 0, "", F70 / G70)</f>
        <v>0.95</v>
      </c>
      <c r="I70" s="5">
        <f>SUMIFS(G70,C70, C70,E70, E70)</f>
        <v>140</v>
      </c>
      <c r="J70" s="3">
        <f>IF(I70 = 0, "", G70 / I70)</f>
        <v>1</v>
      </c>
      <c r="K70" s="3" t="b">
        <f>AND(G70 &gt; 0, F70 &gt;= 0, F70 &lt;= G70)</f>
        <v>1</v>
      </c>
    </row>
    <row r="71">
      <c r="A71" s="2" t="s">
        <v>1848</v>
      </c>
      <c r="B71" s="3" t="str">
        <f>A71</f>
        <v>mel-thin-B</v>
      </c>
      <c r="C71" s="2" t="s">
        <v>475</v>
      </c>
      <c r="D71" s="2" t="s">
        <v>1250</v>
      </c>
      <c r="E71" s="2" t="s">
        <v>795</v>
      </c>
      <c r="F71" s="4">
        <v>70</v>
      </c>
      <c r="G71" s="4">
        <v>80</v>
      </c>
      <c r="H71" s="3">
        <f>IF(G71 = 0, "", F71 / G71)</f>
        <v>0.875</v>
      </c>
      <c r="I71" s="5">
        <f>SUMIFS(G71,C71, C71,E71, E71)</f>
        <v>80</v>
      </c>
      <c r="J71" s="3">
        <f>IF(I71 = 0, "", G71 / I71)</f>
        <v>1</v>
      </c>
      <c r="K71" s="3" t="b">
        <f>AND(G71 &gt; 0, F71 &gt;= 0, F71 &lt;= G71)</f>
        <v>1</v>
      </c>
    </row>
    <row r="72">
      <c r="A72" s="2" t="s">
        <v>1849</v>
      </c>
      <c r="B72" s="3" t="str">
        <f>A72</f>
        <v>mel-thick-A</v>
      </c>
      <c r="C72" s="2" t="s">
        <v>475</v>
      </c>
      <c r="D72" s="2" t="s">
        <v>1253</v>
      </c>
      <c r="E72" s="2" t="s">
        <v>792</v>
      </c>
      <c r="F72" s="4">
        <v>39</v>
      </c>
      <c r="G72" s="4">
        <v>60</v>
      </c>
      <c r="H72" s="3">
        <f>IF(G72 = 0, "", F72 / G72)</f>
        <v>0.65</v>
      </c>
      <c r="I72" s="5">
        <f>SUMIFS(G72,C72, C72,E72, E72)</f>
        <v>60</v>
      </c>
      <c r="J72" s="3">
        <f>IF(I72 = 0, "", G72 / I72)</f>
        <v>1</v>
      </c>
      <c r="K72" s="3" t="b">
        <f>AND(G72 &gt; 0, F72 &gt;= 0, F72 &lt;= G72)</f>
        <v>1</v>
      </c>
    </row>
    <row r="73">
      <c r="A73" s="2" t="s">
        <v>1850</v>
      </c>
      <c r="B73" s="3" t="str">
        <f>A73</f>
        <v>mel-thick-B</v>
      </c>
      <c r="C73" s="2" t="s">
        <v>475</v>
      </c>
      <c r="D73" s="2" t="s">
        <v>1253</v>
      </c>
      <c r="E73" s="2" t="s">
        <v>795</v>
      </c>
      <c r="F73" s="4">
        <v>66</v>
      </c>
      <c r="G73" s="4">
        <v>120</v>
      </c>
      <c r="H73" s="3">
        <f>IF(G73 = 0, "", F73 / G73)</f>
        <v>0.55</v>
      </c>
      <c r="I73" s="5">
        <f>SUMIFS(G73,C73, C73,E73, E73)</f>
        <v>120</v>
      </c>
      <c r="J73" s="3">
        <f>IF(I73 = 0, "", G73 / I73)</f>
        <v>1</v>
      </c>
      <c r="K73" s="3" t="b">
        <f>AND(G73 &gt; 0, F73 &gt;= 0, F73 &lt;= G73)</f>
        <v>1</v>
      </c>
    </row>
    <row r="74">
      <c r="A74" s="2" t="s">
        <v>1851</v>
      </c>
      <c r="B74" s="3" t="str">
        <f>A74</f>
        <v>coffee-nonsmoker-A</v>
      </c>
      <c r="C74" s="2" t="s">
        <v>479</v>
      </c>
      <c r="D74" s="2" t="s">
        <v>1256</v>
      </c>
      <c r="E74" s="2" t="s">
        <v>792</v>
      </c>
      <c r="F74" s="4">
        <v>920</v>
      </c>
      <c r="G74" s="4">
        <v>1000</v>
      </c>
      <c r="H74" s="3">
        <f>IF(G74 = 0, "", F74 / G74)</f>
        <v>0.92</v>
      </c>
      <c r="I74" s="5">
        <f>SUMIFS(G74,C74, C74,E74, E74)</f>
        <v>1000</v>
      </c>
      <c r="J74" s="3">
        <f>IF(I74 = 0, "", G74 / I74)</f>
        <v>1</v>
      </c>
      <c r="K74" s="3" t="b">
        <f>AND(G74 &gt; 0, F74 &gt;= 0, F74 &lt;= G74)</f>
        <v>1</v>
      </c>
    </row>
    <row r="75">
      <c r="A75" s="2" t="s">
        <v>1852</v>
      </c>
      <c r="B75" s="3" t="str">
        <f>A75</f>
        <v>coffee-nonsmoker-B</v>
      </c>
      <c r="C75" s="2" t="s">
        <v>479</v>
      </c>
      <c r="D75" s="2" t="s">
        <v>1256</v>
      </c>
      <c r="E75" s="2" t="s">
        <v>795</v>
      </c>
      <c r="F75" s="4">
        <v>890</v>
      </c>
      <c r="G75" s="4">
        <v>1000</v>
      </c>
      <c r="H75" s="3">
        <f>IF(G75 = 0, "", F75 / G75)</f>
        <v>0.89</v>
      </c>
      <c r="I75" s="5">
        <f>SUMIFS(G75,C75, C75,E75, E75)</f>
        <v>1000</v>
      </c>
      <c r="J75" s="3">
        <f>IF(I75 = 0, "", G75 / I75)</f>
        <v>1</v>
      </c>
      <c r="K75" s="3" t="b">
        <f>AND(G75 &gt; 0, F75 &gt;= 0, F75 &lt;= G75)</f>
        <v>1</v>
      </c>
    </row>
    <row r="76">
      <c r="A76" s="2" t="s">
        <v>1853</v>
      </c>
      <c r="B76" s="3" t="str">
        <f>A76</f>
        <v>coffee-smoker-A</v>
      </c>
      <c r="C76" s="2" t="s">
        <v>479</v>
      </c>
      <c r="D76" s="2" t="s">
        <v>1259</v>
      </c>
      <c r="E76" s="2" t="s">
        <v>792</v>
      </c>
      <c r="F76" s="4">
        <v>820</v>
      </c>
      <c r="G76" s="4">
        <v>1000</v>
      </c>
      <c r="H76" s="3">
        <f>IF(G76 = 0, "", F76 / G76)</f>
        <v>0.82</v>
      </c>
      <c r="I76" s="5">
        <f>SUMIFS(G76,C76, C76,E76, E76)</f>
        <v>1000</v>
      </c>
      <c r="J76" s="3">
        <f>IF(I76 = 0, "", G76 / I76)</f>
        <v>1</v>
      </c>
      <c r="K76" s="3" t="b">
        <f>AND(G76 &gt; 0, F76 &gt;= 0, F76 &lt;= G76)</f>
        <v>1</v>
      </c>
    </row>
    <row r="77">
      <c r="A77" s="2" t="s">
        <v>1854</v>
      </c>
      <c r="B77" s="3" t="str">
        <f>A77</f>
        <v>coffee-smoker-B</v>
      </c>
      <c r="C77" s="2" t="s">
        <v>479</v>
      </c>
      <c r="D77" s="2" t="s">
        <v>1259</v>
      </c>
      <c r="E77" s="2" t="s">
        <v>795</v>
      </c>
      <c r="F77" s="4">
        <v>800</v>
      </c>
      <c r="G77" s="4">
        <v>1000</v>
      </c>
      <c r="H77" s="3">
        <f>IF(G77 = 0, "", F77 / G77)</f>
        <v>0.8</v>
      </c>
      <c r="I77" s="5">
        <f>SUMIFS(G77,C77, C77,E77, E77)</f>
        <v>1000</v>
      </c>
      <c r="J77" s="3">
        <f>IF(I77 = 0, "", G77 / I77)</f>
        <v>1</v>
      </c>
      <c r="K77" s="3" t="b">
        <f>AND(G77 &gt; 0, F77 &gt;= 0, F77 &lt;= G77)</f>
        <v>1</v>
      </c>
    </row>
    <row r="78">
      <c r="A78" s="2" t="s">
        <v>1855</v>
      </c>
      <c r="B78" s="3" t="str">
        <f>A78</f>
        <v>sat-lowspend-A</v>
      </c>
      <c r="C78" s="2" t="s">
        <v>483</v>
      </c>
      <c r="D78" s="2" t="s">
        <v>1262</v>
      </c>
      <c r="E78" s="2" t="s">
        <v>792</v>
      </c>
      <c r="F78" s="4">
        <v>240</v>
      </c>
      <c r="G78" s="4">
        <v>600</v>
      </c>
      <c r="H78" s="3">
        <f>IF(G78 = 0, "", F78 / G78)</f>
        <v>0.4</v>
      </c>
      <c r="I78" s="5">
        <f>SUMIFS(G78,C78, C78,E78, E78)</f>
        <v>600</v>
      </c>
      <c r="J78" s="3">
        <f>IF(I78 = 0, "", G78 / I78)</f>
        <v>1</v>
      </c>
      <c r="K78" s="3" t="b">
        <f>AND(G78 &gt; 0, F78 &gt;= 0, F78 &lt;= G78)</f>
        <v>1</v>
      </c>
    </row>
    <row r="79">
      <c r="A79" s="2" t="s">
        <v>1856</v>
      </c>
      <c r="B79" s="3" t="str">
        <f>A79</f>
        <v>sat-lowspend-B</v>
      </c>
      <c r="C79" s="2" t="s">
        <v>483</v>
      </c>
      <c r="D79" s="2" t="s">
        <v>1262</v>
      </c>
      <c r="E79" s="2" t="s">
        <v>795</v>
      </c>
      <c r="F79" s="4">
        <v>35</v>
      </c>
      <c r="G79" s="4">
        <v>100</v>
      </c>
      <c r="H79" s="3">
        <f>IF(G79 = 0, "", F79 / G79)</f>
        <v>0.35</v>
      </c>
      <c r="I79" s="5">
        <f>SUMIFS(G79,C79, C79,E79, E79)</f>
        <v>100</v>
      </c>
      <c r="J79" s="3">
        <f>IF(I79 = 0, "", G79 / I79)</f>
        <v>1</v>
      </c>
      <c r="K79" s="3" t="b">
        <f>AND(G79 &gt; 0, F79 &gt;= 0, F79 &lt;= G79)</f>
        <v>1</v>
      </c>
    </row>
    <row r="80">
      <c r="A80" s="2" t="s">
        <v>1857</v>
      </c>
      <c r="B80" s="3" t="str">
        <f>A80</f>
        <v>sat-highspend-A</v>
      </c>
      <c r="C80" s="2" t="s">
        <v>483</v>
      </c>
      <c r="D80" s="2" t="s">
        <v>1265</v>
      </c>
      <c r="E80" s="2" t="s">
        <v>792</v>
      </c>
      <c r="F80" s="4">
        <v>280</v>
      </c>
      <c r="G80" s="4">
        <v>400</v>
      </c>
      <c r="H80" s="3">
        <f>IF(G80 = 0, "", F80 / G80)</f>
        <v>0.7</v>
      </c>
      <c r="I80" s="5">
        <f>SUMIFS(G80,C80, C80,E80, E80)</f>
        <v>400</v>
      </c>
      <c r="J80" s="3">
        <f>IF(I80 = 0, "", G80 / I80)</f>
        <v>1</v>
      </c>
      <c r="K80" s="3" t="b">
        <f>AND(G80 &gt; 0, F80 &gt;= 0, F80 &lt;= G80)</f>
        <v>1</v>
      </c>
    </row>
    <row r="81">
      <c r="A81" s="2" t="s">
        <v>1858</v>
      </c>
      <c r="B81" s="3" t="str">
        <f>A81</f>
        <v>sat-highspend-B</v>
      </c>
      <c r="C81" s="2" t="s">
        <v>483</v>
      </c>
      <c r="D81" s="2" t="s">
        <v>1265</v>
      </c>
      <c r="E81" s="2" t="s">
        <v>795</v>
      </c>
      <c r="F81" s="4">
        <v>40</v>
      </c>
      <c r="G81" s="4">
        <v>50</v>
      </c>
      <c r="H81" s="3">
        <f>IF(G81 = 0, "", F81 / G81)</f>
        <v>0.8</v>
      </c>
      <c r="I81" s="5">
        <f>SUMIFS(G81,C81, C81,E81, E81)</f>
        <v>50</v>
      </c>
      <c r="J81" s="3">
        <f>IF(I81 = 0, "", G81 / I81)</f>
        <v>1</v>
      </c>
      <c r="K81" s="3" t="b">
        <f>AND(G81 &gt; 0, F81 &gt;= 0, F81 &lt;= G81)</f>
        <v>1</v>
      </c>
    </row>
    <row r="82">
      <c r="A82" s="2" t="s">
        <v>1859</v>
      </c>
      <c r="B82" s="3" t="str">
        <f>A82</f>
        <v>rogers-nicewander-1988-infield-proxy-A</v>
      </c>
      <c r="C82" s="2" t="s">
        <v>488</v>
      </c>
      <c r="D82" s="2" t="s">
        <v>1268</v>
      </c>
      <c r="E82" s="2" t="s">
        <v>792</v>
      </c>
      <c r="F82" s="4">
        <v>11</v>
      </c>
      <c r="G82" s="4">
        <v>29</v>
      </c>
      <c r="H82" s="3">
        <f>IF(G82 = 0, "", F82 / G82)</f>
        <v>0.3793103448275862</v>
      </c>
      <c r="I82" s="5">
        <f>SUMIFS(G82,C82, C82,E82, E82)</f>
        <v>29</v>
      </c>
      <c r="J82" s="3">
        <f>IF(I82 = 0, "", G82 / I82)</f>
        <v>1</v>
      </c>
      <c r="K82" s="3" t="b">
        <f>AND(G82 &gt; 0, F82 &gt;= 0, F82 &lt;= G82)</f>
        <v>1</v>
      </c>
    </row>
    <row r="83">
      <c r="A83" s="2" t="s">
        <v>1860</v>
      </c>
      <c r="B83" s="3" t="str">
        <f>A83</f>
        <v>rogers-nicewander-1988-infield-proxy-B</v>
      </c>
      <c r="C83" s="2" t="s">
        <v>488</v>
      </c>
      <c r="D83" s="2" t="s">
        <v>1268</v>
      </c>
      <c r="E83" s="2" t="s">
        <v>795</v>
      </c>
      <c r="F83" s="4">
        <v>4</v>
      </c>
      <c r="G83" s="4">
        <v>10</v>
      </c>
      <c r="H83" s="3">
        <f>IF(G83 = 0, "", F83 / G83)</f>
        <v>0.4</v>
      </c>
      <c r="I83" s="5">
        <f>SUMIFS(G83,C83, C83,E83, E83)</f>
        <v>10</v>
      </c>
      <c r="J83" s="3">
        <f>IF(I83 = 0, "", G83 / I83)</f>
        <v>1</v>
      </c>
      <c r="K83" s="3" t="b">
        <f>AND(G83 &gt; 0, F83 &gt;= 0, F83 &lt;= G83)</f>
        <v>1</v>
      </c>
    </row>
    <row r="84">
      <c r="A84" s="2" t="s">
        <v>1861</v>
      </c>
      <c r="B84" s="3" t="str">
        <f>A84</f>
        <v>rogers-nicewander-1988-outfield-proxy-A</v>
      </c>
      <c r="C84" s="2" t="s">
        <v>488</v>
      </c>
      <c r="D84" s="2" t="s">
        <v>1271</v>
      </c>
      <c r="E84" s="2" t="s">
        <v>792</v>
      </c>
      <c r="F84" s="4">
        <v>1</v>
      </c>
      <c r="G84" s="4">
        <v>7</v>
      </c>
      <c r="H84" s="3">
        <f>IF(G84 = 0, "", F84 / G84)</f>
        <v>0.14285714285714285</v>
      </c>
      <c r="I84" s="5">
        <f>SUMIFS(G84,C84, C84,E84, E84)</f>
        <v>7</v>
      </c>
      <c r="J84" s="3">
        <f>IF(I84 = 0, "", G84 / I84)</f>
        <v>1</v>
      </c>
      <c r="K84" s="3" t="b">
        <f>AND(G84 &gt; 0, F84 &gt;= 0, F84 &lt;= G84)</f>
        <v>1</v>
      </c>
    </row>
    <row r="85">
      <c r="A85" s="2" t="s">
        <v>1862</v>
      </c>
      <c r="B85" s="3" t="str">
        <f>A85</f>
        <v>rogers-nicewander-1988-outfield-proxy-B</v>
      </c>
      <c r="C85" s="2" t="s">
        <v>488</v>
      </c>
      <c r="D85" s="2" t="s">
        <v>1271</v>
      </c>
      <c r="E85" s="2" t="s">
        <v>795</v>
      </c>
      <c r="F85" s="4">
        <v>2</v>
      </c>
      <c r="G85" s="4">
        <v>12</v>
      </c>
      <c r="H85" s="3">
        <f>IF(G85 = 0, "", F85 / G85)</f>
        <v>0.16666666666666666</v>
      </c>
      <c r="I85" s="5">
        <f>SUMIFS(G85,C85, C85,E85, E85)</f>
        <v>12</v>
      </c>
      <c r="J85" s="3">
        <f>IF(I85 = 0, "", G85 / I85)</f>
        <v>1</v>
      </c>
      <c r="K85" s="3" t="b">
        <f>AND(G85 &gt; 0, F85 &gt;= 0, F85 &lt;= G85)</f>
        <v>1</v>
      </c>
    </row>
    <row r="86">
      <c r="A86" s="2" t="s">
        <v>1863</v>
      </c>
      <c r="B86" s="3" t="str">
        <f>A86</f>
        <v>lucente-baseball-1995-first-half-A</v>
      </c>
      <c r="C86" s="2" t="s">
        <v>492</v>
      </c>
      <c r="D86" s="2" t="s">
        <v>1274</v>
      </c>
      <c r="E86" s="2" t="s">
        <v>792</v>
      </c>
      <c r="F86" s="4">
        <v>52</v>
      </c>
      <c r="G86" s="4">
        <v>180</v>
      </c>
      <c r="H86" s="3">
        <f>IF(G86 = 0, "", F86 / G86)</f>
        <v>0.28888888888888886</v>
      </c>
      <c r="I86" s="5">
        <f>SUMIFS(G86,C86, C86,E86, E86)</f>
        <v>180</v>
      </c>
      <c r="J86" s="3">
        <f>IF(I86 = 0, "", G86 / I86)</f>
        <v>1</v>
      </c>
      <c r="K86" s="3" t="b">
        <f>AND(G86 &gt; 0, F86 &gt;= 0, F86 &lt;= G86)</f>
        <v>1</v>
      </c>
    </row>
    <row r="87">
      <c r="A87" s="2" t="s">
        <v>1864</v>
      </c>
      <c r="B87" s="3" t="str">
        <f>A87</f>
        <v>lucente-baseball-1995-first-half-B</v>
      </c>
      <c r="C87" s="2" t="s">
        <v>492</v>
      </c>
      <c r="D87" s="2" t="s">
        <v>1274</v>
      </c>
      <c r="E87" s="2" t="s">
        <v>795</v>
      </c>
      <c r="F87" s="4">
        <v>48</v>
      </c>
      <c r="G87" s="4">
        <v>160</v>
      </c>
      <c r="H87" s="3">
        <f>IF(G87 = 0, "", F87 / G87)</f>
        <v>0.3</v>
      </c>
      <c r="I87" s="5">
        <f>SUMIFS(G87,C87, C87,E87, E87)</f>
        <v>160</v>
      </c>
      <c r="J87" s="3">
        <f>IF(I87 = 0, "", G87 / I87)</f>
        <v>1</v>
      </c>
      <c r="K87" s="3" t="b">
        <f>AND(G87 &gt; 0, F87 &gt;= 0, F87 &lt;= G87)</f>
        <v>1</v>
      </c>
    </row>
    <row r="88">
      <c r="A88" s="2" t="s">
        <v>1865</v>
      </c>
      <c r="B88" s="3" t="str">
        <f>A88</f>
        <v>lucente-baseball-1995-second-half-A</v>
      </c>
      <c r="C88" s="2" t="s">
        <v>492</v>
      </c>
      <c r="D88" s="2" t="s">
        <v>1277</v>
      </c>
      <c r="E88" s="2" t="s">
        <v>792</v>
      </c>
      <c r="F88" s="4">
        <v>45</v>
      </c>
      <c r="G88" s="4">
        <v>150</v>
      </c>
      <c r="H88" s="3">
        <f>IF(G88 = 0, "", F88 / G88)</f>
        <v>0.3</v>
      </c>
      <c r="I88" s="5">
        <f>SUMIFS(G88,C88, C88,E88, E88)</f>
        <v>150</v>
      </c>
      <c r="J88" s="3">
        <f>IF(I88 = 0, "", G88 / I88)</f>
        <v>1</v>
      </c>
      <c r="K88" s="3" t="b">
        <f>AND(G88 &gt; 0, F88 &gt;= 0, F88 &lt;= G88)</f>
        <v>1</v>
      </c>
    </row>
    <row r="89">
      <c r="A89" s="2" t="s">
        <v>1866</v>
      </c>
      <c r="B89" s="3" t="str">
        <f>A89</f>
        <v>lucente-baseball-1995-second-half-B</v>
      </c>
      <c r="C89" s="2" t="s">
        <v>492</v>
      </c>
      <c r="D89" s="2" t="s">
        <v>1277</v>
      </c>
      <c r="E89" s="2" t="s">
        <v>795</v>
      </c>
      <c r="F89" s="4">
        <v>55</v>
      </c>
      <c r="G89" s="4">
        <v>200</v>
      </c>
      <c r="H89" s="3">
        <f>IF(G89 = 0, "", F89 / G89)</f>
        <v>0.275</v>
      </c>
      <c r="I89" s="5">
        <f>SUMIFS(G89,C89, C89,E89, E89)</f>
        <v>200</v>
      </c>
      <c r="J89" s="3">
        <f>IF(I89 = 0, "", G89 / I89)</f>
        <v>1</v>
      </c>
      <c r="K89" s="3" t="b">
        <f>AND(G89 &gt; 0, F89 &gt;= 0, F89 &lt;= G89)</f>
        <v>1</v>
      </c>
    </row>
    <row r="90">
      <c r="A90" s="2" t="s">
        <v>1867</v>
      </c>
      <c r="B90" s="3" t="str">
        <f>A90</f>
        <v>wilson-batting-2000-early-innings-A</v>
      </c>
      <c r="C90" s="2" t="s">
        <v>495</v>
      </c>
      <c r="D90" s="2" t="s">
        <v>1280</v>
      </c>
      <c r="E90" s="2" t="s">
        <v>792</v>
      </c>
      <c r="F90" s="4">
        <v>38</v>
      </c>
      <c r="G90" s="4">
        <v>120</v>
      </c>
      <c r="H90" s="3">
        <f>IF(G90 = 0, "", F90 / G90)</f>
        <v>0.31666666666666665</v>
      </c>
      <c r="I90" s="5">
        <f>SUMIFS(G90,C90, C90,E90, E90)</f>
        <v>120</v>
      </c>
      <c r="J90" s="3">
        <f>IF(I90 = 0, "", G90 / I90)</f>
        <v>1</v>
      </c>
      <c r="K90" s="3" t="b">
        <f>AND(G90 &gt; 0, F90 &gt;= 0, F90 &lt;= G90)</f>
        <v>1</v>
      </c>
    </row>
    <row r="91">
      <c r="A91" s="2" t="s">
        <v>1868</v>
      </c>
      <c r="B91" s="3" t="str">
        <f>A91</f>
        <v>wilson-batting-2000-early-innings-B</v>
      </c>
      <c r="C91" s="2" t="s">
        <v>495</v>
      </c>
      <c r="D91" s="2" t="s">
        <v>1280</v>
      </c>
      <c r="E91" s="2" t="s">
        <v>795</v>
      </c>
      <c r="F91" s="4">
        <v>42</v>
      </c>
      <c r="G91" s="4">
        <v>130</v>
      </c>
      <c r="H91" s="3">
        <f>IF(G91 = 0, "", F91 / G91)</f>
        <v>0.3230769230769231</v>
      </c>
      <c r="I91" s="5">
        <f>SUMIFS(G91,C91, C91,E91, E91)</f>
        <v>130</v>
      </c>
      <c r="J91" s="3">
        <f>IF(I91 = 0, "", G91 / I91)</f>
        <v>1</v>
      </c>
      <c r="K91" s="3" t="b">
        <f>AND(G91 &gt; 0, F91 &gt;= 0, F91 &lt;= G91)</f>
        <v>1</v>
      </c>
    </row>
    <row r="92">
      <c r="A92" s="2" t="s">
        <v>1869</v>
      </c>
      <c r="B92" s="3" t="str">
        <f>A92</f>
        <v>wilson-batting-2000-late-innings-A</v>
      </c>
      <c r="C92" s="2" t="s">
        <v>495</v>
      </c>
      <c r="D92" s="2" t="s">
        <v>1283</v>
      </c>
      <c r="E92" s="2" t="s">
        <v>792</v>
      </c>
      <c r="F92" s="4">
        <v>15</v>
      </c>
      <c r="G92" s="4">
        <v>60</v>
      </c>
      <c r="H92" s="3">
        <f>IF(G92 = 0, "", F92 / G92)</f>
        <v>0.25</v>
      </c>
      <c r="I92" s="5">
        <f>SUMIFS(G92,C92, C92,E92, E92)</f>
        <v>60</v>
      </c>
      <c r="J92" s="3">
        <f>IF(I92 = 0, "", G92 / I92)</f>
        <v>1</v>
      </c>
      <c r="K92" s="3" t="b">
        <f>AND(G92 &gt; 0, F92 &gt;= 0, F92 &lt;= G92)</f>
        <v>1</v>
      </c>
    </row>
    <row r="93">
      <c r="A93" s="2" t="s">
        <v>1870</v>
      </c>
      <c r="B93" s="3" t="str">
        <f>A93</f>
        <v>wilson-batting-2000-late-innings-B</v>
      </c>
      <c r="C93" s="2" t="s">
        <v>495</v>
      </c>
      <c r="D93" s="2" t="s">
        <v>1283</v>
      </c>
      <c r="E93" s="2" t="s">
        <v>795</v>
      </c>
      <c r="F93" s="4">
        <v>18</v>
      </c>
      <c r="G93" s="4">
        <v>70</v>
      </c>
      <c r="H93" s="3">
        <f>IF(G93 = 0, "", F93 / G93)</f>
        <v>0.2571428571428571</v>
      </c>
      <c r="I93" s="5">
        <f>SUMIFS(G93,C93, C93,E93, E93)</f>
        <v>70</v>
      </c>
      <c r="J93" s="3">
        <f>IF(I93 = 0, "", G93 / I93)</f>
        <v>1</v>
      </c>
      <c r="K93" s="3" t="b">
        <f>AND(G93 &gt; 0, F93 &gt;= 0, F93 &lt;= G93)</f>
        <v>1</v>
      </c>
    </row>
    <row r="94">
      <c r="A94" s="2" t="s">
        <v>1871</v>
      </c>
      <c r="B94" s="3" t="str">
        <f>A94</f>
        <v>clemens-bly-1998-home-A</v>
      </c>
      <c r="C94" s="2" t="s">
        <v>498</v>
      </c>
      <c r="D94" s="2" t="s">
        <v>1286</v>
      </c>
      <c r="E94" s="2" t="s">
        <v>792</v>
      </c>
      <c r="F94" s="4">
        <v>28</v>
      </c>
      <c r="G94" s="4">
        <v>90</v>
      </c>
      <c r="H94" s="3">
        <f>IF(G94 = 0, "", F94 / G94)</f>
        <v>0.3111111111111111</v>
      </c>
      <c r="I94" s="5">
        <f>SUMIFS(G94,C94, C94,E94, E94)</f>
        <v>90</v>
      </c>
      <c r="J94" s="3">
        <f>IF(I94 = 0, "", G94 / I94)</f>
        <v>1</v>
      </c>
      <c r="K94" s="3" t="b">
        <f>AND(G94 &gt; 0, F94 &gt;= 0, F94 &lt;= G94)</f>
        <v>1</v>
      </c>
    </row>
    <row r="95">
      <c r="A95" s="2" t="s">
        <v>1872</v>
      </c>
      <c r="B95" s="3" t="str">
        <f>A95</f>
        <v>clemens-bly-1998-home-B</v>
      </c>
      <c r="C95" s="2" t="s">
        <v>498</v>
      </c>
      <c r="D95" s="2" t="s">
        <v>1286</v>
      </c>
      <c r="E95" s="2" t="s">
        <v>795</v>
      </c>
      <c r="F95" s="4">
        <v>32</v>
      </c>
      <c r="G95" s="4">
        <v>100</v>
      </c>
      <c r="H95" s="3">
        <f>IF(G95 = 0, "", F95 / G95)</f>
        <v>0.32</v>
      </c>
      <c r="I95" s="5">
        <f>SUMIFS(G95,C95, C95,E95, E95)</f>
        <v>100</v>
      </c>
      <c r="J95" s="3">
        <f>IF(I95 = 0, "", G95 / I95)</f>
        <v>1</v>
      </c>
      <c r="K95" s="3" t="b">
        <f>AND(G95 &gt; 0, F95 &gt;= 0, F95 &lt;= G95)</f>
        <v>1</v>
      </c>
    </row>
    <row r="96">
      <c r="A96" s="2" t="s">
        <v>1873</v>
      </c>
      <c r="B96" s="3" t="str">
        <f>A96</f>
        <v>clemens-bly-1998-away-A</v>
      </c>
      <c r="C96" s="2" t="s">
        <v>498</v>
      </c>
      <c r="D96" s="2" t="s">
        <v>1289</v>
      </c>
      <c r="E96" s="2" t="s">
        <v>792</v>
      </c>
      <c r="F96" s="4">
        <v>12</v>
      </c>
      <c r="G96" s="4">
        <v>50</v>
      </c>
      <c r="H96" s="3">
        <f>IF(G96 = 0, "", F96 / G96)</f>
        <v>0.24</v>
      </c>
      <c r="I96" s="5">
        <f>SUMIFS(G96,C96, C96,E96, E96)</f>
        <v>50</v>
      </c>
      <c r="J96" s="3">
        <f>IF(I96 = 0, "", G96 / I96)</f>
        <v>1</v>
      </c>
      <c r="K96" s="3" t="b">
        <f>AND(G96 &gt; 0, F96 &gt;= 0, F96 &lt;= G96)</f>
        <v>1</v>
      </c>
    </row>
    <row r="97">
      <c r="A97" s="2" t="s">
        <v>1874</v>
      </c>
      <c r="B97" s="3" t="str">
        <f>A97</f>
        <v>clemens-bly-1998-away-B</v>
      </c>
      <c r="C97" s="2" t="s">
        <v>498</v>
      </c>
      <c r="D97" s="2" t="s">
        <v>1289</v>
      </c>
      <c r="E97" s="2" t="s">
        <v>795</v>
      </c>
      <c r="F97" s="4">
        <v>14</v>
      </c>
      <c r="G97" s="4">
        <v>55</v>
      </c>
      <c r="H97" s="3">
        <f>IF(G97 = 0, "", F97 / G97)</f>
        <v>0.2545454545454545</v>
      </c>
      <c r="I97" s="5">
        <f>SUMIFS(G97,C97, C97,E97, E97)</f>
        <v>55</v>
      </c>
      <c r="J97" s="3">
        <f>IF(I97 = 0, "", G97 / I97)</f>
        <v>1</v>
      </c>
      <c r="K97" s="3" t="b">
        <f>AND(G97 &gt; 0, F97 &gt;= 0, F97 &lt;= G97)</f>
        <v>1</v>
      </c>
    </row>
    <row r="98">
      <c r="A98" s="2" t="s">
        <v>1875</v>
      </c>
      <c r="B98" s="3" t="str">
        <f>A98</f>
        <v>open-university-1975-under-21-A</v>
      </c>
      <c r="C98" s="2" t="s">
        <v>501</v>
      </c>
      <c r="D98" s="2" t="s">
        <v>1292</v>
      </c>
      <c r="E98" s="2" t="s">
        <v>792</v>
      </c>
      <c r="F98" s="4">
        <v>843</v>
      </c>
      <c r="G98" s="4">
        <v>1154</v>
      </c>
      <c r="H98" s="3">
        <f>IF(G98 = 0, "", F98 / G98)</f>
        <v>0.7305025996533796</v>
      </c>
      <c r="I98" s="5">
        <f>SUMIFS(G98,C98, C98,E98, E98)</f>
        <v>1154</v>
      </c>
      <c r="J98" s="3">
        <f>IF(I98 = 0, "", G98 / I98)</f>
        <v>1</v>
      </c>
      <c r="K98" s="3" t="b">
        <f>AND(G98 &gt; 0, F98 &gt;= 0, F98 &lt;= G98)</f>
        <v>1</v>
      </c>
    </row>
    <row r="99">
      <c r="A99" s="2" t="s">
        <v>1876</v>
      </c>
      <c r="B99" s="3" t="str">
        <f>A99</f>
        <v>open-university-1975-under-21-B</v>
      </c>
      <c r="C99" s="2" t="s">
        <v>501</v>
      </c>
      <c r="D99" s="2" t="s">
        <v>1292</v>
      </c>
      <c r="E99" s="2" t="s">
        <v>795</v>
      </c>
      <c r="F99" s="4">
        <v>437</v>
      </c>
      <c r="G99" s="4">
        <v>619</v>
      </c>
      <c r="H99" s="3">
        <f>IF(G99 = 0, "", F99 / G99)</f>
        <v>0.7059773828756059</v>
      </c>
      <c r="I99" s="5">
        <f>SUMIFS(G99,C99, C99,E99, E99)</f>
        <v>619</v>
      </c>
      <c r="J99" s="3">
        <f>IF(I99 = 0, "", G99 / I99)</f>
        <v>1</v>
      </c>
      <c r="K99" s="3" t="b">
        <f>AND(G99 &gt; 0, F99 &gt;= 0, F99 &lt;= G99)</f>
        <v>1</v>
      </c>
    </row>
    <row r="100">
      <c r="A100" s="2" t="s">
        <v>1877</v>
      </c>
      <c r="B100" s="3" t="str">
        <f>A100</f>
        <v>open-university-1975-21-to-40-A</v>
      </c>
      <c r="C100" s="2" t="s">
        <v>501</v>
      </c>
      <c r="D100" s="2" t="s">
        <v>1295</v>
      </c>
      <c r="E100" s="2" t="s">
        <v>792</v>
      </c>
      <c r="F100" s="4">
        <v>180</v>
      </c>
      <c r="G100" s="4">
        <v>250</v>
      </c>
      <c r="H100" s="3">
        <f>IF(G100 = 0, "", F100 / G100)</f>
        <v>0.72</v>
      </c>
      <c r="I100" s="5">
        <f>SUMIFS(G100,C100, C100,E100, E100)</f>
        <v>250</v>
      </c>
      <c r="J100" s="3">
        <f>IF(I100 = 0, "", G100 / I100)</f>
        <v>1</v>
      </c>
      <c r="K100" s="3" t="b">
        <f>AND(G100 &gt; 0, F100 &gt;= 0, F100 &lt;= G100)</f>
        <v>1</v>
      </c>
    </row>
    <row r="101">
      <c r="A101" s="2" t="s">
        <v>1878</v>
      </c>
      <c r="B101" s="3" t="str">
        <f>A101</f>
        <v>open-university-1975-21-to-40-B</v>
      </c>
      <c r="C101" s="2" t="s">
        <v>501</v>
      </c>
      <c r="D101" s="2" t="s">
        <v>1295</v>
      </c>
      <c r="E101" s="2" t="s">
        <v>795</v>
      </c>
      <c r="F101" s="4">
        <v>240</v>
      </c>
      <c r="G101" s="4">
        <v>320</v>
      </c>
      <c r="H101" s="3">
        <f>IF(G101 = 0, "", F101 / G101)</f>
        <v>0.75</v>
      </c>
      <c r="I101" s="5">
        <f>SUMIFS(G101,C101, C101,E101, E101)</f>
        <v>320</v>
      </c>
      <c r="J101" s="3">
        <f>IF(I101 = 0, "", G101 / I101)</f>
        <v>1</v>
      </c>
      <c r="K101" s="3" t="b">
        <f>AND(G101 &gt; 0, F101 &gt;= 0, F101 &lt;= G101)</f>
        <v>1</v>
      </c>
    </row>
    <row r="102">
      <c r="A102" s="2" t="s">
        <v>1879</v>
      </c>
      <c r="B102" s="3" t="str">
        <f>A102</f>
        <v>open-university-1975-over-40-A</v>
      </c>
      <c r="C102" s="2" t="s">
        <v>501</v>
      </c>
      <c r="D102" s="2" t="s">
        <v>1298</v>
      </c>
      <c r="E102" s="2" t="s">
        <v>792</v>
      </c>
      <c r="F102" s="4">
        <v>40</v>
      </c>
      <c r="G102" s="4">
        <v>80</v>
      </c>
      <c r="H102" s="3">
        <f>IF(G102 = 0, "", F102 / G102)</f>
        <v>0.5</v>
      </c>
      <c r="I102" s="5">
        <f>SUMIFS(G102,C102, C102,E102, E102)</f>
        <v>80</v>
      </c>
      <c r="J102" s="3">
        <f>IF(I102 = 0, "", G102 / I102)</f>
        <v>1</v>
      </c>
      <c r="K102" s="3" t="b">
        <f>AND(G102 &gt; 0, F102 &gt;= 0, F102 &lt;= G102)</f>
        <v>1</v>
      </c>
    </row>
    <row r="103">
      <c r="A103" s="2" t="s">
        <v>1880</v>
      </c>
      <c r="B103" s="3" t="str">
        <f>A103</f>
        <v>open-university-1975-over-40-B</v>
      </c>
      <c r="C103" s="2" t="s">
        <v>501</v>
      </c>
      <c r="D103" s="2" t="s">
        <v>1298</v>
      </c>
      <c r="E103" s="2" t="s">
        <v>795</v>
      </c>
      <c r="F103" s="4">
        <v>60</v>
      </c>
      <c r="G103" s="4">
        <v>100</v>
      </c>
      <c r="H103" s="3">
        <f>IF(G103 = 0, "", F103 / G103)</f>
        <v>0.6</v>
      </c>
      <c r="I103" s="5">
        <f>SUMIFS(G103,C103, C103,E103, E103)</f>
        <v>100</v>
      </c>
      <c r="J103" s="3">
        <f>IF(I103 = 0, "", G103 / I103)</f>
        <v>1</v>
      </c>
      <c r="K103" s="3" t="b">
        <f>AND(G103 &gt; 0, F103 &gt;= 0, F103 &lt;= G103)</f>
        <v>1</v>
      </c>
    </row>
    <row r="104">
      <c r="A104" s="2" t="s">
        <v>1881</v>
      </c>
      <c r="B104" s="3" t="str">
        <f>A104</f>
        <v>pisa-immigration-2015-high-performing-A</v>
      </c>
      <c r="C104" s="2" t="s">
        <v>504</v>
      </c>
      <c r="D104" s="2" t="s">
        <v>1301</v>
      </c>
      <c r="E104" s="2" t="s">
        <v>792</v>
      </c>
      <c r="F104" s="4">
        <v>420</v>
      </c>
      <c r="G104" s="4">
        <v>500</v>
      </c>
      <c r="H104" s="3">
        <f>IF(G104 = 0, "", F104 / G104)</f>
        <v>0.84</v>
      </c>
      <c r="I104" s="5">
        <f>SUMIFS(G104,C104, C104,E104, E104)</f>
        <v>500</v>
      </c>
      <c r="J104" s="3">
        <f>IF(I104 = 0, "", G104 / I104)</f>
        <v>1</v>
      </c>
      <c r="K104" s="3" t="b">
        <f>AND(G104 &gt; 0, F104 &gt;= 0, F104 &lt;= G104)</f>
        <v>1</v>
      </c>
    </row>
    <row r="105">
      <c r="A105" s="2" t="s">
        <v>1882</v>
      </c>
      <c r="B105" s="3" t="str">
        <f>A105</f>
        <v>pisa-immigration-2015-high-performing-B</v>
      </c>
      <c r="C105" s="2" t="s">
        <v>504</v>
      </c>
      <c r="D105" s="2" t="s">
        <v>1301</v>
      </c>
      <c r="E105" s="2" t="s">
        <v>795</v>
      </c>
      <c r="F105" s="4">
        <v>80</v>
      </c>
      <c r="G105" s="4">
        <v>120</v>
      </c>
      <c r="H105" s="3">
        <f>IF(G105 = 0, "", F105 / G105)</f>
        <v>0.6666666666666666</v>
      </c>
      <c r="I105" s="5">
        <f>SUMIFS(G105,C105, C105,E105, E105)</f>
        <v>120</v>
      </c>
      <c r="J105" s="3">
        <f>IF(I105 = 0, "", G105 / I105)</f>
        <v>1</v>
      </c>
      <c r="K105" s="3" t="b">
        <f>AND(G105 &gt; 0, F105 &gt;= 0, F105 &lt;= G105)</f>
        <v>1</v>
      </c>
    </row>
    <row r="106">
      <c r="A106" s="2" t="s">
        <v>1883</v>
      </c>
      <c r="B106" s="3" t="str">
        <f>A106</f>
        <v>pisa-immigration-2015-lower-performing-A</v>
      </c>
      <c r="C106" s="2" t="s">
        <v>504</v>
      </c>
      <c r="D106" s="2" t="s">
        <v>1304</v>
      </c>
      <c r="E106" s="2" t="s">
        <v>792</v>
      </c>
      <c r="F106" s="4">
        <v>280</v>
      </c>
      <c r="G106" s="4">
        <v>400</v>
      </c>
      <c r="H106" s="3">
        <f>IF(G106 = 0, "", F106 / G106)</f>
        <v>0.7</v>
      </c>
      <c r="I106" s="5">
        <f>SUMIFS(G106,C106, C106,E106, E106)</f>
        <v>400</v>
      </c>
      <c r="J106" s="3">
        <f>IF(I106 = 0, "", G106 / I106)</f>
        <v>1</v>
      </c>
      <c r="K106" s="3" t="b">
        <f>AND(G106 &gt; 0, F106 &gt;= 0, F106 &lt;= G106)</f>
        <v>1</v>
      </c>
    </row>
    <row r="107">
      <c r="A107" s="2" t="s">
        <v>1884</v>
      </c>
      <c r="B107" s="3" t="str">
        <f>A107</f>
        <v>pisa-immigration-2015-lower-performing-B</v>
      </c>
      <c r="C107" s="2" t="s">
        <v>504</v>
      </c>
      <c r="D107" s="2" t="s">
        <v>1304</v>
      </c>
      <c r="E107" s="2" t="s">
        <v>795</v>
      </c>
      <c r="F107" s="4">
        <v>150</v>
      </c>
      <c r="G107" s="4">
        <v>200</v>
      </c>
      <c r="H107" s="3">
        <f>IF(G107 = 0, "", F107 / G107)</f>
        <v>0.75</v>
      </c>
      <c r="I107" s="5">
        <f>SUMIFS(G107,C107, C107,E107, E107)</f>
        <v>200</v>
      </c>
      <c r="J107" s="3">
        <f>IF(I107 = 0, "", G107 / I107)</f>
        <v>1</v>
      </c>
      <c r="K107" s="3" t="b">
        <f>AND(G107 &gt; 0, F107 &gt;= 0, F107 &lt;= G107)</f>
        <v>1</v>
      </c>
    </row>
    <row r="108">
      <c r="A108" s="2" t="s">
        <v>1885</v>
      </c>
      <c r="B108" s="3" t="str">
        <f>A108</f>
        <v>wainer-sat-states-1992-northeast-A</v>
      </c>
      <c r="C108" s="2" t="s">
        <v>508</v>
      </c>
      <c r="D108" s="2" t="s">
        <v>1307</v>
      </c>
      <c r="E108" s="2" t="s">
        <v>792</v>
      </c>
      <c r="F108" s="4">
        <v>320</v>
      </c>
      <c r="G108" s="4">
        <v>500</v>
      </c>
      <c r="H108" s="3">
        <f>IF(G108 = 0, "", F108 / G108)</f>
        <v>0.64</v>
      </c>
      <c r="I108" s="5">
        <f>SUMIFS(G108,C108, C108,E108, E108)</f>
        <v>500</v>
      </c>
      <c r="J108" s="3">
        <f>IF(I108 = 0, "", G108 / I108)</f>
        <v>1</v>
      </c>
      <c r="K108" s="3" t="b">
        <f>AND(G108 &gt; 0, F108 &gt;= 0, F108 &lt;= G108)</f>
        <v>1</v>
      </c>
    </row>
    <row r="109">
      <c r="A109" s="2" t="s">
        <v>1886</v>
      </c>
      <c r="B109" s="3" t="str">
        <f>A109</f>
        <v>wainer-sat-states-1992-northeast-B</v>
      </c>
      <c r="C109" s="2" t="s">
        <v>508</v>
      </c>
      <c r="D109" s="2" t="s">
        <v>1307</v>
      </c>
      <c r="E109" s="2" t="s">
        <v>795</v>
      </c>
      <c r="F109" s="4">
        <v>180</v>
      </c>
      <c r="G109" s="4">
        <v>250</v>
      </c>
      <c r="H109" s="3">
        <f>IF(G109 = 0, "", F109 / G109)</f>
        <v>0.72</v>
      </c>
      <c r="I109" s="5">
        <f>SUMIFS(G109,C109, C109,E109, E109)</f>
        <v>250</v>
      </c>
      <c r="J109" s="3">
        <f>IF(I109 = 0, "", G109 / I109)</f>
        <v>1</v>
      </c>
      <c r="K109" s="3" t="b">
        <f>AND(G109 &gt; 0, F109 &gt;= 0, F109 &lt;= G109)</f>
        <v>1</v>
      </c>
    </row>
    <row r="110">
      <c r="A110" s="2" t="s">
        <v>1887</v>
      </c>
      <c r="B110" s="3" t="str">
        <f>A110</f>
        <v>wainer-sat-states-1992-south-A</v>
      </c>
      <c r="C110" s="2" t="s">
        <v>508</v>
      </c>
      <c r="D110" s="2" t="s">
        <v>1310</v>
      </c>
      <c r="E110" s="2" t="s">
        <v>792</v>
      </c>
      <c r="F110" s="4">
        <v>200</v>
      </c>
      <c r="G110" s="4">
        <v>400</v>
      </c>
      <c r="H110" s="3">
        <f>IF(G110 = 0, "", F110 / G110)</f>
        <v>0.5</v>
      </c>
      <c r="I110" s="5">
        <f>SUMIFS(G110,C110, C110,E110, E110)</f>
        <v>400</v>
      </c>
      <c r="J110" s="3">
        <f>IF(I110 = 0, "", G110 / I110)</f>
        <v>1</v>
      </c>
      <c r="K110" s="3" t="b">
        <f>AND(G110 &gt; 0, F110 &gt;= 0, F110 &lt;= G110)</f>
        <v>1</v>
      </c>
    </row>
    <row r="111">
      <c r="A111" s="2" t="s">
        <v>1888</v>
      </c>
      <c r="B111" s="3" t="str">
        <f>A111</f>
        <v>wainer-sat-states-1992-south-B</v>
      </c>
      <c r="C111" s="2" t="s">
        <v>508</v>
      </c>
      <c r="D111" s="2" t="s">
        <v>1310</v>
      </c>
      <c r="E111" s="2" t="s">
        <v>795</v>
      </c>
      <c r="F111" s="4">
        <v>150</v>
      </c>
      <c r="G111" s="4">
        <v>200</v>
      </c>
      <c r="H111" s="3">
        <f>IF(G111 = 0, "", F111 / G111)</f>
        <v>0.75</v>
      </c>
      <c r="I111" s="5">
        <f>SUMIFS(G111,C111, C111,E111, E111)</f>
        <v>200</v>
      </c>
      <c r="J111" s="3">
        <f>IF(I111 = 0, "", G111 / I111)</f>
        <v>1</v>
      </c>
      <c r="K111" s="3" t="b">
        <f>AND(G111 &gt; 0, F111 &gt;= 0, F111 &lt;= G111)</f>
        <v>1</v>
      </c>
    </row>
    <row r="112">
      <c r="A112" s="2" t="s">
        <v>1889</v>
      </c>
      <c r="B112" s="3" t="str">
        <f>A112</f>
        <v>folic-acid-neural-tube-1991-under-28-A</v>
      </c>
      <c r="C112" s="2" t="s">
        <v>511</v>
      </c>
      <c r="D112" s="2" t="s">
        <v>1313</v>
      </c>
      <c r="E112" s="2" t="s">
        <v>792</v>
      </c>
      <c r="F112" s="4">
        <v>0</v>
      </c>
      <c r="G112" s="4">
        <v>1400</v>
      </c>
      <c r="H112" s="3">
        <f>IF(G112 = 0, "", F112 / G112)</f>
        <v>0</v>
      </c>
      <c r="I112" s="5">
        <f>SUMIFS(G112,C112, C112,E112, E112)</f>
        <v>1400</v>
      </c>
      <c r="J112" s="3">
        <f>IF(I112 = 0, "", G112 / I112)</f>
        <v>1</v>
      </c>
      <c r="K112" s="3" t="b">
        <f>AND(G112 &gt; 0, F112 &gt;= 0, F112 &lt;= G112)</f>
        <v>1</v>
      </c>
    </row>
    <row r="113">
      <c r="A113" s="2" t="s">
        <v>1890</v>
      </c>
      <c r="B113" s="3" t="str">
        <f>A113</f>
        <v>folic-acid-neural-tube-1991-under-28-B</v>
      </c>
      <c r="C113" s="2" t="s">
        <v>511</v>
      </c>
      <c r="D113" s="2" t="s">
        <v>1313</v>
      </c>
      <c r="E113" s="2" t="s">
        <v>795</v>
      </c>
      <c r="F113" s="4">
        <v>2</v>
      </c>
      <c r="G113" s="4">
        <v>1300</v>
      </c>
      <c r="H113" s="3">
        <f>IF(G113 = 0, "", F113 / G113)</f>
        <v>0.0015384615384615385</v>
      </c>
      <c r="I113" s="5">
        <f>SUMIFS(G113,C113, C113,E113, E113)</f>
        <v>1300</v>
      </c>
      <c r="J113" s="3">
        <f>IF(I113 = 0, "", G113 / I113)</f>
        <v>1</v>
      </c>
      <c r="K113" s="3" t="b">
        <f>AND(G113 &gt; 0, F113 &gt;= 0, F113 &lt;= G113)</f>
        <v>1</v>
      </c>
    </row>
    <row r="114">
      <c r="A114" s="2" t="s">
        <v>1891</v>
      </c>
      <c r="B114" s="3" t="str">
        <f>A114</f>
        <v>folic-acid-neural-tube-1991-28-and-over-A</v>
      </c>
      <c r="C114" s="2" t="s">
        <v>511</v>
      </c>
      <c r="D114" s="2" t="s">
        <v>1316</v>
      </c>
      <c r="E114" s="2" t="s">
        <v>792</v>
      </c>
      <c r="F114" s="4">
        <v>0</v>
      </c>
      <c r="G114" s="4">
        <v>704</v>
      </c>
      <c r="H114" s="3">
        <f>IF(G114 = 0, "", F114 / G114)</f>
        <v>0</v>
      </c>
      <c r="I114" s="5">
        <f>SUMIFS(G114,C114, C114,E114, E114)</f>
        <v>704</v>
      </c>
      <c r="J114" s="3">
        <f>IF(I114 = 0, "", G114 / I114)</f>
        <v>1</v>
      </c>
      <c r="K114" s="3" t="b">
        <f>AND(G114 &gt; 0, F114 &gt;= 0, F114 &lt;= G114)</f>
        <v>1</v>
      </c>
    </row>
    <row r="115">
      <c r="A115" s="2" t="s">
        <v>1892</v>
      </c>
      <c r="B115" s="3" t="str">
        <f>A115</f>
        <v>folic-acid-neural-tube-1991-28-and-over-B</v>
      </c>
      <c r="C115" s="2" t="s">
        <v>511</v>
      </c>
      <c r="D115" s="2" t="s">
        <v>1316</v>
      </c>
      <c r="E115" s="2" t="s">
        <v>795</v>
      </c>
      <c r="F115" s="4">
        <v>4</v>
      </c>
      <c r="G115" s="4">
        <v>752</v>
      </c>
      <c r="H115" s="3">
        <f>IF(G115 = 0, "", F115 / G115)</f>
        <v>0.005319148936170213</v>
      </c>
      <c r="I115" s="5">
        <f>SUMIFS(G115,C115, C115,E115, E115)</f>
        <v>752</v>
      </c>
      <c r="J115" s="3">
        <f>IF(I115 = 0, "", G115 / I115)</f>
        <v>1</v>
      </c>
      <c r="K115" s="3" t="b">
        <f>AND(G115 &gt; 0, F115 &gt;= 0, F115 &lt;= G115)</f>
        <v>1</v>
      </c>
    </row>
    <row r="116">
      <c r="A116" s="2" t="s">
        <v>1893</v>
      </c>
      <c r="B116" s="3" t="str">
        <f>A116</f>
        <v>steroid-asthma-severity-mild-A</v>
      </c>
      <c r="C116" s="2" t="s">
        <v>515</v>
      </c>
      <c r="D116" s="2" t="s">
        <v>1319</v>
      </c>
      <c r="E116" s="2" t="s">
        <v>792</v>
      </c>
      <c r="F116" s="4">
        <v>180</v>
      </c>
      <c r="G116" s="4">
        <v>200</v>
      </c>
      <c r="H116" s="3">
        <f>IF(G116 = 0, "", F116 / G116)</f>
        <v>0.9</v>
      </c>
      <c r="I116" s="5">
        <f>SUMIFS(G116,C116, C116,E116, E116)</f>
        <v>200</v>
      </c>
      <c r="J116" s="3">
        <f>IF(I116 = 0, "", G116 / I116)</f>
        <v>1</v>
      </c>
      <c r="K116" s="3" t="b">
        <f>AND(G116 &gt; 0, F116 &gt;= 0, F116 &lt;= G116)</f>
        <v>1</v>
      </c>
    </row>
    <row r="117">
      <c r="A117" s="2" t="s">
        <v>1894</v>
      </c>
      <c r="B117" s="3" t="str">
        <f>A117</f>
        <v>steroid-asthma-severity-mild-B</v>
      </c>
      <c r="C117" s="2" t="s">
        <v>515</v>
      </c>
      <c r="D117" s="2" t="s">
        <v>1319</v>
      </c>
      <c r="E117" s="2" t="s">
        <v>795</v>
      </c>
      <c r="F117" s="4">
        <v>150</v>
      </c>
      <c r="G117" s="4">
        <v>180</v>
      </c>
      <c r="H117" s="3">
        <f>IF(G117 = 0, "", F117 / G117)</f>
        <v>0.8333333333333334</v>
      </c>
      <c r="I117" s="5">
        <f>SUMIFS(G117,C117, C117,E117, E117)</f>
        <v>180</v>
      </c>
      <c r="J117" s="3">
        <f>IF(I117 = 0, "", G117 / I117)</f>
        <v>1</v>
      </c>
      <c r="K117" s="3" t="b">
        <f>AND(G117 &gt; 0, F117 &gt;= 0, F117 &lt;= G117)</f>
        <v>1</v>
      </c>
    </row>
    <row r="118">
      <c r="A118" s="2" t="s">
        <v>1895</v>
      </c>
      <c r="B118" s="3" t="str">
        <f>A118</f>
        <v>steroid-asthma-severity-severe-A</v>
      </c>
      <c r="C118" s="2" t="s">
        <v>515</v>
      </c>
      <c r="D118" s="2" t="s">
        <v>1322</v>
      </c>
      <c r="E118" s="2" t="s">
        <v>792</v>
      </c>
      <c r="F118" s="4">
        <v>60</v>
      </c>
      <c r="G118" s="4">
        <v>120</v>
      </c>
      <c r="H118" s="3">
        <f>IF(G118 = 0, "", F118 / G118)</f>
        <v>0.5</v>
      </c>
      <c r="I118" s="5">
        <f>SUMIFS(G118,C118, C118,E118, E118)</f>
        <v>120</v>
      </c>
      <c r="J118" s="3">
        <f>IF(I118 = 0, "", G118 / I118)</f>
        <v>1</v>
      </c>
      <c r="K118" s="3" t="b">
        <f>AND(G118 &gt; 0, F118 &gt;= 0, F118 &lt;= G118)</f>
        <v>1</v>
      </c>
    </row>
    <row r="119">
      <c r="A119" s="2" t="s">
        <v>1896</v>
      </c>
      <c r="B119" s="3" t="str">
        <f>A119</f>
        <v>steroid-asthma-severity-severe-B</v>
      </c>
      <c r="C119" s="2" t="s">
        <v>515</v>
      </c>
      <c r="D119" s="2" t="s">
        <v>1322</v>
      </c>
      <c r="E119" s="2" t="s">
        <v>795</v>
      </c>
      <c r="F119" s="4">
        <v>90</v>
      </c>
      <c r="G119" s="4">
        <v>150</v>
      </c>
      <c r="H119" s="3">
        <f>IF(G119 = 0, "", F119 / G119)</f>
        <v>0.6</v>
      </c>
      <c r="I119" s="5">
        <f>SUMIFS(G119,C119, C119,E119, E119)</f>
        <v>150</v>
      </c>
      <c r="J119" s="3">
        <f>IF(I119 = 0, "", G119 / I119)</f>
        <v>1</v>
      </c>
      <c r="K119" s="3" t="b">
        <f>AND(G119 &gt; 0, F119 &gt;= 0, F119 &lt;= G119)</f>
        <v>1</v>
      </c>
    </row>
    <row r="120">
      <c r="A120" s="2" t="s">
        <v>1897</v>
      </c>
      <c r="B120" s="3" t="str">
        <f>A120</f>
        <v>kidney-dialysis-facility-1990-high-severity-A</v>
      </c>
      <c r="C120" s="2" t="s">
        <v>518</v>
      </c>
      <c r="D120" s="2" t="s">
        <v>1325</v>
      </c>
      <c r="E120" s="2" t="s">
        <v>792</v>
      </c>
      <c r="F120" s="4">
        <v>85</v>
      </c>
      <c r="G120" s="4">
        <v>100</v>
      </c>
      <c r="H120" s="3">
        <f>IF(G120 = 0, "", F120 / G120)</f>
        <v>0.85</v>
      </c>
      <c r="I120" s="5">
        <f>SUMIFS(G120,C120, C120,E120, E120)</f>
        <v>100</v>
      </c>
      <c r="J120" s="3">
        <f>IF(I120 = 0, "", G120 / I120)</f>
        <v>1</v>
      </c>
      <c r="K120" s="3" t="b">
        <f>AND(G120 &gt; 0, F120 &gt;= 0, F120 &lt;= G120)</f>
        <v>1</v>
      </c>
    </row>
    <row r="121">
      <c r="A121" s="2" t="s">
        <v>1898</v>
      </c>
      <c r="B121" s="3" t="str">
        <f>A121</f>
        <v>kidney-dialysis-facility-1990-high-severity-B</v>
      </c>
      <c r="C121" s="2" t="s">
        <v>518</v>
      </c>
      <c r="D121" s="2" t="s">
        <v>1325</v>
      </c>
      <c r="E121" s="2" t="s">
        <v>795</v>
      </c>
      <c r="F121" s="4">
        <v>70</v>
      </c>
      <c r="G121" s="4">
        <v>100</v>
      </c>
      <c r="H121" s="3">
        <f>IF(G121 = 0, "", F121 / G121)</f>
        <v>0.7</v>
      </c>
      <c r="I121" s="5">
        <f>SUMIFS(G121,C121, C121,E121, E121)</f>
        <v>100</v>
      </c>
      <c r="J121" s="3">
        <f>IF(I121 = 0, "", G121 / I121)</f>
        <v>1</v>
      </c>
      <c r="K121" s="3" t="b">
        <f>AND(G121 &gt; 0, F121 &gt;= 0, F121 &lt;= G121)</f>
        <v>1</v>
      </c>
    </row>
    <row r="122">
      <c r="A122" s="2" t="s">
        <v>1899</v>
      </c>
      <c r="B122" s="3" t="str">
        <f>A122</f>
        <v>kidney-dialysis-facility-1990-low-severity-A</v>
      </c>
      <c r="C122" s="2" t="s">
        <v>518</v>
      </c>
      <c r="D122" s="2" t="s">
        <v>1328</v>
      </c>
      <c r="E122" s="2" t="s">
        <v>792</v>
      </c>
      <c r="F122" s="4">
        <v>92</v>
      </c>
      <c r="G122" s="4">
        <v>100</v>
      </c>
      <c r="H122" s="3">
        <f>IF(G122 = 0, "", F122 / G122)</f>
        <v>0.92</v>
      </c>
      <c r="I122" s="5">
        <f>SUMIFS(G122,C122, C122,E122, E122)</f>
        <v>100</v>
      </c>
      <c r="J122" s="3">
        <f>IF(I122 = 0, "", G122 / I122)</f>
        <v>1</v>
      </c>
      <c r="K122" s="3" t="b">
        <f>AND(G122 &gt; 0, F122 &gt;= 0, F122 &lt;= G122)</f>
        <v>1</v>
      </c>
    </row>
    <row r="123">
      <c r="A123" s="2" t="s">
        <v>1900</v>
      </c>
      <c r="B123" s="3" t="str">
        <f>A123</f>
        <v>kidney-dialysis-facility-1990-low-severity-B</v>
      </c>
      <c r="C123" s="2" t="s">
        <v>518</v>
      </c>
      <c r="D123" s="2" t="s">
        <v>1328</v>
      </c>
      <c r="E123" s="2" t="s">
        <v>795</v>
      </c>
      <c r="F123" s="4">
        <v>88</v>
      </c>
      <c r="G123" s="4">
        <v>100</v>
      </c>
      <c r="H123" s="3">
        <f>IF(G123 = 0, "", F123 / G123)</f>
        <v>0.88</v>
      </c>
      <c r="I123" s="5">
        <f>SUMIFS(G123,C123, C123,E123, E123)</f>
        <v>100</v>
      </c>
      <c r="J123" s="3">
        <f>IF(I123 = 0, "", G123 / I123)</f>
        <v>1</v>
      </c>
      <c r="K123" s="3" t="b">
        <f>AND(G123 &gt; 0, F123 &gt;= 0, F123 &lt;= G123)</f>
        <v>1</v>
      </c>
    </row>
    <row r="124">
      <c r="A124" s="2" t="s">
        <v>1901</v>
      </c>
      <c r="B124" s="3" t="str">
        <f>A124</f>
        <v>warfarin-bleeding-age-under-65-A</v>
      </c>
      <c r="C124" s="2" t="s">
        <v>521</v>
      </c>
      <c r="D124" s="2" t="s">
        <v>1331</v>
      </c>
      <c r="E124" s="2" t="s">
        <v>792</v>
      </c>
      <c r="F124" s="4">
        <v>25</v>
      </c>
      <c r="G124" s="4">
        <v>500</v>
      </c>
      <c r="H124" s="3">
        <f>IF(G124 = 0, "", F124 / G124)</f>
        <v>0.05</v>
      </c>
      <c r="I124" s="5">
        <f>SUMIFS(G124,C124, C124,E124, E124)</f>
        <v>500</v>
      </c>
      <c r="J124" s="3">
        <f>IF(I124 = 0, "", G124 / I124)</f>
        <v>1</v>
      </c>
      <c r="K124" s="3" t="b">
        <f>AND(G124 &gt; 0, F124 &gt;= 0, F124 &lt;= G124)</f>
        <v>1</v>
      </c>
    </row>
    <row r="125">
      <c r="A125" s="2" t="s">
        <v>1902</v>
      </c>
      <c r="B125" s="3" t="str">
        <f>A125</f>
        <v>warfarin-bleeding-age-under-65-B</v>
      </c>
      <c r="C125" s="2" t="s">
        <v>521</v>
      </c>
      <c r="D125" s="2" t="s">
        <v>1331</v>
      </c>
      <c r="E125" s="2" t="s">
        <v>795</v>
      </c>
      <c r="F125" s="4">
        <v>15</v>
      </c>
      <c r="G125" s="4">
        <v>400</v>
      </c>
      <c r="H125" s="3">
        <f>IF(G125 = 0, "", F125 / G125)</f>
        <v>0.0375</v>
      </c>
      <c r="I125" s="5">
        <f>SUMIFS(G125,C125, C125,E125, E125)</f>
        <v>400</v>
      </c>
      <c r="J125" s="3">
        <f>IF(I125 = 0, "", G125 / I125)</f>
        <v>1</v>
      </c>
      <c r="K125" s="3" t="b">
        <f>AND(G125 &gt; 0, F125 &gt;= 0, F125 &lt;= G125)</f>
        <v>1</v>
      </c>
    </row>
    <row r="126">
      <c r="A126" s="2" t="s">
        <v>1903</v>
      </c>
      <c r="B126" s="3" t="str">
        <f>A126</f>
        <v>warfarin-bleeding-age-65-and-over-A</v>
      </c>
      <c r="C126" s="2" t="s">
        <v>521</v>
      </c>
      <c r="D126" s="2" t="s">
        <v>1334</v>
      </c>
      <c r="E126" s="2" t="s">
        <v>792</v>
      </c>
      <c r="F126" s="4">
        <v>45</v>
      </c>
      <c r="G126" s="4">
        <v>300</v>
      </c>
      <c r="H126" s="3">
        <f>IF(G126 = 0, "", F126 / G126)</f>
        <v>0.15</v>
      </c>
      <c r="I126" s="5">
        <f>SUMIFS(G126,C126, C126,E126, E126)</f>
        <v>300</v>
      </c>
      <c r="J126" s="3">
        <f>IF(I126 = 0, "", G126 / I126)</f>
        <v>1</v>
      </c>
      <c r="K126" s="3" t="b">
        <f>AND(G126 &gt; 0, F126 &gt;= 0, F126 &lt;= G126)</f>
        <v>1</v>
      </c>
    </row>
    <row r="127">
      <c r="A127" s="2" t="s">
        <v>1904</v>
      </c>
      <c r="B127" s="3" t="str">
        <f>A127</f>
        <v>warfarin-bleeding-age-65-and-over-B</v>
      </c>
      <c r="C127" s="2" t="s">
        <v>521</v>
      </c>
      <c r="D127" s="2" t="s">
        <v>1334</v>
      </c>
      <c r="E127" s="2" t="s">
        <v>795</v>
      </c>
      <c r="F127" s="4">
        <v>20</v>
      </c>
      <c r="G127" s="4">
        <v>200</v>
      </c>
      <c r="H127" s="3">
        <f>IF(G127 = 0, "", F127 / G127)</f>
        <v>0.1</v>
      </c>
      <c r="I127" s="5">
        <f>SUMIFS(G127,C127, C127,E127, E127)</f>
        <v>200</v>
      </c>
      <c r="J127" s="3">
        <f>IF(I127 = 0, "", G127 / I127)</f>
        <v>1</v>
      </c>
      <c r="K127" s="3" t="b">
        <f>AND(G127 &gt; 0, F127 &gt;= 0, F127 &lt;= G127)</f>
        <v>1</v>
      </c>
    </row>
    <row r="128">
      <c r="A128" s="2" t="s">
        <v>1905</v>
      </c>
      <c r="B128" s="3" t="str">
        <f>A128</f>
        <v>diabetes-metformin-bmi-normal-bmi-A</v>
      </c>
      <c r="C128" s="2" t="s">
        <v>524</v>
      </c>
      <c r="D128" s="2" t="s">
        <v>1337</v>
      </c>
      <c r="E128" s="2" t="s">
        <v>792</v>
      </c>
      <c r="F128" s="4">
        <v>120</v>
      </c>
      <c r="G128" s="4">
        <v>200</v>
      </c>
      <c r="H128" s="3">
        <f>IF(G128 = 0, "", F128 / G128)</f>
        <v>0.6</v>
      </c>
      <c r="I128" s="5">
        <f>SUMIFS(G128,C128, C128,E128, E128)</f>
        <v>200</v>
      </c>
      <c r="J128" s="3">
        <f>IF(I128 = 0, "", G128 / I128)</f>
        <v>1</v>
      </c>
      <c r="K128" s="3" t="b">
        <f>AND(G128 &gt; 0, F128 &gt;= 0, F128 &lt;= G128)</f>
        <v>1</v>
      </c>
    </row>
    <row r="129">
      <c r="A129" s="2" t="s">
        <v>1906</v>
      </c>
      <c r="B129" s="3" t="str">
        <f>A129</f>
        <v>diabetes-metformin-bmi-normal-bmi-B</v>
      </c>
      <c r="C129" s="2" t="s">
        <v>524</v>
      </c>
      <c r="D129" s="2" t="s">
        <v>1337</v>
      </c>
      <c r="E129" s="2" t="s">
        <v>795</v>
      </c>
      <c r="F129" s="4">
        <v>130</v>
      </c>
      <c r="G129" s="4">
        <v>200</v>
      </c>
      <c r="H129" s="3">
        <f>IF(G129 = 0, "", F129 / G129)</f>
        <v>0.65</v>
      </c>
      <c r="I129" s="5">
        <f>SUMIFS(G129,C129, C129,E129, E129)</f>
        <v>200</v>
      </c>
      <c r="J129" s="3">
        <f>IF(I129 = 0, "", G129 / I129)</f>
        <v>1</v>
      </c>
      <c r="K129" s="3" t="b">
        <f>AND(G129 &gt; 0, F129 &gt;= 0, F129 &lt;= G129)</f>
        <v>1</v>
      </c>
    </row>
    <row r="130">
      <c r="A130" s="2" t="s">
        <v>1907</v>
      </c>
      <c r="B130" s="3" t="str">
        <f>A130</f>
        <v>diabetes-metformin-bmi-obese-A</v>
      </c>
      <c r="C130" s="2" t="s">
        <v>524</v>
      </c>
      <c r="D130" s="2" t="s">
        <v>1340</v>
      </c>
      <c r="E130" s="2" t="s">
        <v>792</v>
      </c>
      <c r="F130" s="4">
        <v>180</v>
      </c>
      <c r="G130" s="4">
        <v>250</v>
      </c>
      <c r="H130" s="3">
        <f>IF(G130 = 0, "", F130 / G130)</f>
        <v>0.72</v>
      </c>
      <c r="I130" s="5">
        <f>SUMIFS(G130,C130, C130,E130, E130)</f>
        <v>250</v>
      </c>
      <c r="J130" s="3">
        <f>IF(I130 = 0, "", G130 / I130)</f>
        <v>1</v>
      </c>
      <c r="K130" s="3" t="b">
        <f>AND(G130 &gt; 0, F130 &gt;= 0, F130 &lt;= G130)</f>
        <v>1</v>
      </c>
    </row>
    <row r="131">
      <c r="A131" s="2" t="s">
        <v>1908</v>
      </c>
      <c r="B131" s="3" t="str">
        <f>A131</f>
        <v>diabetes-metformin-bmi-obese-B</v>
      </c>
      <c r="C131" s="2" t="s">
        <v>524</v>
      </c>
      <c r="D131" s="2" t="s">
        <v>1340</v>
      </c>
      <c r="E131" s="2" t="s">
        <v>795</v>
      </c>
      <c r="F131" s="4">
        <v>140</v>
      </c>
      <c r="G131" s="4">
        <v>250</v>
      </c>
      <c r="H131" s="3">
        <f>IF(G131 = 0, "", F131 / G131)</f>
        <v>0.56</v>
      </c>
      <c r="I131" s="5">
        <f>SUMIFS(G131,C131, C131,E131, E131)</f>
        <v>250</v>
      </c>
      <c r="J131" s="3">
        <f>IF(I131 = 0, "", G131 / I131)</f>
        <v>1</v>
      </c>
      <c r="K131" s="3" t="b">
        <f>AND(G131 &gt; 0, F131 &gt;= 0, F131 &lt;= G131)</f>
        <v>1</v>
      </c>
    </row>
    <row r="132">
      <c r="A132" s="2" t="s">
        <v>1909</v>
      </c>
      <c r="B132" s="3" t="str">
        <f>A132</f>
        <v>oncology-trial-stage-early-stage-A</v>
      </c>
      <c r="C132" s="2" t="s">
        <v>527</v>
      </c>
      <c r="D132" s="2" t="s">
        <v>1343</v>
      </c>
      <c r="E132" s="2" t="s">
        <v>792</v>
      </c>
      <c r="F132" s="4">
        <v>140</v>
      </c>
      <c r="G132" s="4">
        <v>180</v>
      </c>
      <c r="H132" s="3">
        <f>IF(G132 = 0, "", F132 / G132)</f>
        <v>0.7777777777777778</v>
      </c>
      <c r="I132" s="5">
        <f>SUMIFS(G132,C132, C132,E132, E132)</f>
        <v>180</v>
      </c>
      <c r="J132" s="3">
        <f>IF(I132 = 0, "", G132 / I132)</f>
        <v>1</v>
      </c>
      <c r="K132" s="3" t="b">
        <f>AND(G132 &gt; 0, F132 &gt;= 0, F132 &lt;= G132)</f>
        <v>1</v>
      </c>
    </row>
    <row r="133">
      <c r="A133" s="2" t="s">
        <v>1910</v>
      </c>
      <c r="B133" s="3" t="str">
        <f>A133</f>
        <v>oncology-trial-stage-early-stage-B</v>
      </c>
      <c r="C133" s="2" t="s">
        <v>527</v>
      </c>
      <c r="D133" s="2" t="s">
        <v>1343</v>
      </c>
      <c r="E133" s="2" t="s">
        <v>795</v>
      </c>
      <c r="F133" s="4">
        <v>120</v>
      </c>
      <c r="G133" s="4">
        <v>180</v>
      </c>
      <c r="H133" s="3">
        <f>IF(G133 = 0, "", F133 / G133)</f>
        <v>0.6666666666666666</v>
      </c>
      <c r="I133" s="5">
        <f>SUMIFS(G133,C133, C133,E133, E133)</f>
        <v>180</v>
      </c>
      <c r="J133" s="3">
        <f>IF(I133 = 0, "", G133 / I133)</f>
        <v>1</v>
      </c>
      <c r="K133" s="3" t="b">
        <f>AND(G133 &gt; 0, F133 &gt;= 0, F133 &lt;= G133)</f>
        <v>1</v>
      </c>
    </row>
    <row r="134">
      <c r="A134" s="2" t="s">
        <v>1911</v>
      </c>
      <c r="B134" s="3" t="str">
        <f>A134</f>
        <v>oncology-trial-stage-advanced-stage-A</v>
      </c>
      <c r="C134" s="2" t="s">
        <v>527</v>
      </c>
      <c r="D134" s="2" t="s">
        <v>1346</v>
      </c>
      <c r="E134" s="2" t="s">
        <v>792</v>
      </c>
      <c r="F134" s="4">
        <v>50</v>
      </c>
      <c r="G134" s="4">
        <v>120</v>
      </c>
      <c r="H134" s="3">
        <f>IF(G134 = 0, "", F134 / G134)</f>
        <v>0.4166666666666667</v>
      </c>
      <c r="I134" s="5">
        <f>SUMIFS(G134,C134, C134,E134, E134)</f>
        <v>120</v>
      </c>
      <c r="J134" s="3">
        <f>IF(I134 = 0, "", G134 / I134)</f>
        <v>1</v>
      </c>
      <c r="K134" s="3" t="b">
        <f>AND(G134 &gt; 0, F134 &gt;= 0, F134 &lt;= G134)</f>
        <v>1</v>
      </c>
    </row>
    <row r="135">
      <c r="A135" s="2" t="s">
        <v>1912</v>
      </c>
      <c r="B135" s="3" t="str">
        <f>A135</f>
        <v>oncology-trial-stage-advanced-stage-B</v>
      </c>
      <c r="C135" s="2" t="s">
        <v>527</v>
      </c>
      <c r="D135" s="2" t="s">
        <v>1346</v>
      </c>
      <c r="E135" s="2" t="s">
        <v>795</v>
      </c>
      <c r="F135" s="4">
        <v>70</v>
      </c>
      <c r="G135" s="4">
        <v>120</v>
      </c>
      <c r="H135" s="3">
        <f>IF(G135 = 0, "", F135 / G135)</f>
        <v>0.5833333333333334</v>
      </c>
      <c r="I135" s="5">
        <f>SUMIFS(G135,C135, C135,E135, E135)</f>
        <v>120</v>
      </c>
      <c r="J135" s="3">
        <f>IF(I135 = 0, "", G135 / I135)</f>
        <v>1</v>
      </c>
      <c r="K135" s="3" t="b">
        <f>AND(G135 &gt; 0, F135 &gt;= 0, F135 &lt;= G135)</f>
        <v>1</v>
      </c>
    </row>
    <row r="136">
      <c r="A136" s="2" t="s">
        <v>1913</v>
      </c>
      <c r="B136" s="3" t="str">
        <f>A136</f>
        <v>exercise-cholesterol-age-young-A</v>
      </c>
      <c r="C136" s="2" t="s">
        <v>530</v>
      </c>
      <c r="D136" s="2" t="s">
        <v>1349</v>
      </c>
      <c r="E136" s="2" t="s">
        <v>792</v>
      </c>
      <c r="F136" s="4">
        <v>200</v>
      </c>
      <c r="G136" s="4">
        <v>300</v>
      </c>
      <c r="H136" s="3">
        <f>IF(G136 = 0, "", F136 / G136)</f>
        <v>0.6666666666666666</v>
      </c>
      <c r="I136" s="5">
        <f>SUMIFS(G136,C136, C136,E136, E136)</f>
        <v>300</v>
      </c>
      <c r="J136" s="3">
        <f>IF(I136 = 0, "", G136 / I136)</f>
        <v>1</v>
      </c>
      <c r="K136" s="3" t="b">
        <f>AND(G136 &gt; 0, F136 &gt;= 0, F136 &lt;= G136)</f>
        <v>1</v>
      </c>
    </row>
    <row r="137">
      <c r="A137" s="2" t="s">
        <v>1914</v>
      </c>
      <c r="B137" s="3" t="str">
        <f>A137</f>
        <v>exercise-cholesterol-age-young-B</v>
      </c>
      <c r="C137" s="2" t="s">
        <v>530</v>
      </c>
      <c r="D137" s="2" t="s">
        <v>1349</v>
      </c>
      <c r="E137" s="2" t="s">
        <v>795</v>
      </c>
      <c r="F137" s="4">
        <v>120</v>
      </c>
      <c r="G137" s="4">
        <v>300</v>
      </c>
      <c r="H137" s="3">
        <f>IF(G137 = 0, "", F137 / G137)</f>
        <v>0.4</v>
      </c>
      <c r="I137" s="5">
        <f>SUMIFS(G137,C137, C137,E137, E137)</f>
        <v>300</v>
      </c>
      <c r="J137" s="3">
        <f>IF(I137 = 0, "", G137 / I137)</f>
        <v>1</v>
      </c>
      <c r="K137" s="3" t="b">
        <f>AND(G137 &gt; 0, F137 &gt;= 0, F137 &lt;= G137)</f>
        <v>1</v>
      </c>
    </row>
    <row r="138">
      <c r="A138" s="2" t="s">
        <v>1915</v>
      </c>
      <c r="B138" s="3" t="str">
        <f>A138</f>
        <v>exercise-cholesterol-age-older-A</v>
      </c>
      <c r="C138" s="2" t="s">
        <v>530</v>
      </c>
      <c r="D138" s="2" t="s">
        <v>1352</v>
      </c>
      <c r="E138" s="2" t="s">
        <v>792</v>
      </c>
      <c r="F138" s="4">
        <v>80</v>
      </c>
      <c r="G138" s="4">
        <v>200</v>
      </c>
      <c r="H138" s="3">
        <f>IF(G138 = 0, "", F138 / G138)</f>
        <v>0.4</v>
      </c>
      <c r="I138" s="5">
        <f>SUMIFS(G138,C138, C138,E138, E138)</f>
        <v>200</v>
      </c>
      <c r="J138" s="3">
        <f>IF(I138 = 0, "", G138 / I138)</f>
        <v>1</v>
      </c>
      <c r="K138" s="3" t="b">
        <f>AND(G138 &gt; 0, F138 &gt;= 0, F138 &lt;= G138)</f>
        <v>1</v>
      </c>
    </row>
    <row r="139">
      <c r="A139" s="2" t="s">
        <v>1916</v>
      </c>
      <c r="B139" s="3" t="str">
        <f>A139</f>
        <v>exercise-cholesterol-age-older-B</v>
      </c>
      <c r="C139" s="2" t="s">
        <v>530</v>
      </c>
      <c r="D139" s="2" t="s">
        <v>1352</v>
      </c>
      <c r="E139" s="2" t="s">
        <v>795</v>
      </c>
      <c r="F139" s="4">
        <v>100</v>
      </c>
      <c r="G139" s="4">
        <v>250</v>
      </c>
      <c r="H139" s="3">
        <f>IF(G139 = 0, "", F139 / G139)</f>
        <v>0.4</v>
      </c>
      <c r="I139" s="5">
        <f>SUMIFS(G139,C139, C139,E139, E139)</f>
        <v>250</v>
      </c>
      <c r="J139" s="3">
        <f>IF(I139 = 0, "", G139 / I139)</f>
        <v>1</v>
      </c>
      <c r="K139" s="3" t="b">
        <f>AND(G139 &gt; 0, F139 &gt;= 0, F139 &lt;= G139)</f>
        <v>1</v>
      </c>
    </row>
    <row r="140">
      <c r="A140" s="2" t="s">
        <v>1917</v>
      </c>
      <c r="B140" s="3" t="str">
        <f>A140</f>
        <v>red-meat-colorectal-bmi-normal-weight-A</v>
      </c>
      <c r="C140" s="2" t="s">
        <v>533</v>
      </c>
      <c r="D140" s="2" t="s">
        <v>1355</v>
      </c>
      <c r="E140" s="2" t="s">
        <v>792</v>
      </c>
      <c r="F140" s="4">
        <v>30</v>
      </c>
      <c r="G140" s="4">
        <v>500</v>
      </c>
      <c r="H140" s="3">
        <f>IF(G140 = 0, "", F140 / G140)</f>
        <v>0.06</v>
      </c>
      <c r="I140" s="5">
        <f>SUMIFS(G140,C140, C140,E140, E140)</f>
        <v>500</v>
      </c>
      <c r="J140" s="3">
        <f>IF(I140 = 0, "", G140 / I140)</f>
        <v>1</v>
      </c>
      <c r="K140" s="3" t="b">
        <f>AND(G140 &gt; 0, F140 &gt;= 0, F140 &lt;= G140)</f>
        <v>1</v>
      </c>
    </row>
    <row r="141">
      <c r="A141" s="2" t="s">
        <v>1918</v>
      </c>
      <c r="B141" s="3" t="str">
        <f>A141</f>
        <v>red-meat-colorectal-bmi-normal-weight-B</v>
      </c>
      <c r="C141" s="2" t="s">
        <v>533</v>
      </c>
      <c r="D141" s="2" t="s">
        <v>1355</v>
      </c>
      <c r="E141" s="2" t="s">
        <v>795</v>
      </c>
      <c r="F141" s="4">
        <v>25</v>
      </c>
      <c r="G141" s="4">
        <v>500</v>
      </c>
      <c r="H141" s="3">
        <f>IF(G141 = 0, "", F141 / G141)</f>
        <v>0.05</v>
      </c>
      <c r="I141" s="5">
        <f>SUMIFS(G141,C141, C141,E141, E141)</f>
        <v>500</v>
      </c>
      <c r="J141" s="3">
        <f>IF(I141 = 0, "", G141 / I141)</f>
        <v>1</v>
      </c>
      <c r="K141" s="3" t="b">
        <f>AND(G141 &gt; 0, F141 &gt;= 0, F141 &lt;= G141)</f>
        <v>1</v>
      </c>
    </row>
    <row r="142">
      <c r="A142" s="2" t="s">
        <v>1919</v>
      </c>
      <c r="B142" s="3" t="str">
        <f>A142</f>
        <v>red-meat-colorectal-bmi-overweight-A</v>
      </c>
      <c r="C142" s="2" t="s">
        <v>533</v>
      </c>
      <c r="D142" s="2" t="s">
        <v>1358</v>
      </c>
      <c r="E142" s="2" t="s">
        <v>792</v>
      </c>
      <c r="F142" s="4">
        <v>45</v>
      </c>
      <c r="G142" s="4">
        <v>400</v>
      </c>
      <c r="H142" s="3">
        <f>IF(G142 = 0, "", F142 / G142)</f>
        <v>0.1125</v>
      </c>
      <c r="I142" s="5">
        <f>SUMIFS(G142,C142, C142,E142, E142)</f>
        <v>400</v>
      </c>
      <c r="J142" s="3">
        <f>IF(I142 = 0, "", G142 / I142)</f>
        <v>1</v>
      </c>
      <c r="K142" s="3" t="b">
        <f>AND(G142 &gt; 0, F142 &gt;= 0, F142 &lt;= G142)</f>
        <v>1</v>
      </c>
    </row>
    <row r="143">
      <c r="A143" s="2" t="s">
        <v>1920</v>
      </c>
      <c r="B143" s="3" t="str">
        <f>A143</f>
        <v>red-meat-colorectal-bmi-overweight-B</v>
      </c>
      <c r="C143" s="2" t="s">
        <v>533</v>
      </c>
      <c r="D143" s="2" t="s">
        <v>1358</v>
      </c>
      <c r="E143" s="2" t="s">
        <v>795</v>
      </c>
      <c r="F143" s="4">
        <v>35</v>
      </c>
      <c r="G143" s="4">
        <v>450</v>
      </c>
      <c r="H143" s="3">
        <f>IF(G143 = 0, "", F143 / G143)</f>
        <v>0.07777777777777778</v>
      </c>
      <c r="I143" s="5">
        <f>SUMIFS(G143,C143, C143,E143, E143)</f>
        <v>450</v>
      </c>
      <c r="J143" s="3">
        <f>IF(I143 = 0, "", G143 / I143)</f>
        <v>1</v>
      </c>
      <c r="K143" s="3" t="b">
        <f>AND(G143 &gt; 0, F143 &gt;= 0, F143 &lt;= G143)</f>
        <v>1</v>
      </c>
    </row>
    <row r="144">
      <c r="A144" s="2" t="s">
        <v>1921</v>
      </c>
      <c r="B144" s="3" t="str">
        <f>A144</f>
        <v>folic-fortification-2000-early-fortified-A</v>
      </c>
      <c r="C144" s="2" t="s">
        <v>536</v>
      </c>
      <c r="D144" s="2" t="s">
        <v>1361</v>
      </c>
      <c r="E144" s="2" t="s">
        <v>792</v>
      </c>
      <c r="F144" s="4">
        <v>980</v>
      </c>
      <c r="G144" s="4">
        <v>1000</v>
      </c>
      <c r="H144" s="3">
        <f>IF(G144 = 0, "", F144 / G144)</f>
        <v>0.98</v>
      </c>
      <c r="I144" s="5">
        <f>SUMIFS(G144,C144, C144,E144, E144)</f>
        <v>1000</v>
      </c>
      <c r="J144" s="3">
        <f>IF(I144 = 0, "", G144 / I144)</f>
        <v>1</v>
      </c>
      <c r="K144" s="3" t="b">
        <f>AND(G144 &gt; 0, F144 &gt;= 0, F144 &lt;= G144)</f>
        <v>1</v>
      </c>
    </row>
    <row r="145">
      <c r="A145" s="2" t="s">
        <v>1922</v>
      </c>
      <c r="B145" s="3" t="str">
        <f>A145</f>
        <v>folic-fortification-2000-early-fortified-B</v>
      </c>
      <c r="C145" s="2" t="s">
        <v>536</v>
      </c>
      <c r="D145" s="2" t="s">
        <v>1361</v>
      </c>
      <c r="E145" s="2" t="s">
        <v>795</v>
      </c>
      <c r="F145" s="4">
        <v>960</v>
      </c>
      <c r="G145" s="4">
        <v>1000</v>
      </c>
      <c r="H145" s="3">
        <f>IF(G145 = 0, "", F145 / G145)</f>
        <v>0.96</v>
      </c>
      <c r="I145" s="5">
        <f>SUMIFS(G145,C145, C145,E145, E145)</f>
        <v>1000</v>
      </c>
      <c r="J145" s="3">
        <f>IF(I145 = 0, "", G145 / I145)</f>
        <v>1</v>
      </c>
      <c r="K145" s="3" t="b">
        <f>AND(G145 &gt; 0, F145 &gt;= 0, F145 &lt;= G145)</f>
        <v>1</v>
      </c>
    </row>
    <row r="146">
      <c r="A146" s="2" t="s">
        <v>1923</v>
      </c>
      <c r="B146" s="3" t="str">
        <f>A146</f>
        <v>folic-fortification-2000-late-fortified-A</v>
      </c>
      <c r="C146" s="2" t="s">
        <v>536</v>
      </c>
      <c r="D146" s="2" t="s">
        <v>1364</v>
      </c>
      <c r="E146" s="2" t="s">
        <v>792</v>
      </c>
      <c r="F146" s="4">
        <v>970</v>
      </c>
      <c r="G146" s="4">
        <v>1000</v>
      </c>
      <c r="H146" s="3">
        <f>IF(G146 = 0, "", F146 / G146)</f>
        <v>0.97</v>
      </c>
      <c r="I146" s="5">
        <f>SUMIFS(G146,C146, C146,E146, E146)</f>
        <v>1000</v>
      </c>
      <c r="J146" s="3">
        <f>IF(I146 = 0, "", G146 / I146)</f>
        <v>1</v>
      </c>
      <c r="K146" s="3" t="b">
        <f>AND(G146 &gt; 0, F146 &gt;= 0, F146 &lt;= G146)</f>
        <v>1</v>
      </c>
    </row>
    <row r="147">
      <c r="A147" s="2" t="s">
        <v>1924</v>
      </c>
      <c r="B147" s="3" t="str">
        <f>A147</f>
        <v>folic-fortification-2000-late-fortified-B</v>
      </c>
      <c r="C147" s="2" t="s">
        <v>536</v>
      </c>
      <c r="D147" s="2" t="s">
        <v>1364</v>
      </c>
      <c r="E147" s="2" t="s">
        <v>795</v>
      </c>
      <c r="F147" s="4">
        <v>950</v>
      </c>
      <c r="G147" s="4">
        <v>1000</v>
      </c>
      <c r="H147" s="3">
        <f>IF(G147 = 0, "", F147 / G147)</f>
        <v>0.95</v>
      </c>
      <c r="I147" s="5">
        <f>SUMIFS(G147,C147, C147,E147, E147)</f>
        <v>1000</v>
      </c>
      <c r="J147" s="3">
        <f>IF(I147 = 0, "", G147 / I147)</f>
        <v>1</v>
      </c>
      <c r="K147" s="3" t="b">
        <f>AND(G147 &gt; 0, F147 &gt;= 0, F147 &lt;= G147)</f>
        <v>1</v>
      </c>
    </row>
    <row r="148">
      <c r="A148" s="2" t="s">
        <v>1925</v>
      </c>
      <c r="B148" s="3" t="str">
        <f>A148</f>
        <v>folic-fortification-2000-voluntary-A</v>
      </c>
      <c r="C148" s="2" t="s">
        <v>536</v>
      </c>
      <c r="D148" s="2" t="s">
        <v>1367</v>
      </c>
      <c r="E148" s="2" t="s">
        <v>792</v>
      </c>
      <c r="F148" s="4">
        <v>965</v>
      </c>
      <c r="G148" s="4">
        <v>1000</v>
      </c>
      <c r="H148" s="3">
        <f>IF(G148 = 0, "", F148 / G148)</f>
        <v>0.965</v>
      </c>
      <c r="I148" s="5">
        <f>SUMIFS(G148,C148, C148,E148, E148)</f>
        <v>1000</v>
      </c>
      <c r="J148" s="3">
        <f>IF(I148 = 0, "", G148 / I148)</f>
        <v>1</v>
      </c>
      <c r="K148" s="3" t="b">
        <f>AND(G148 &gt; 0, F148 &gt;= 0, F148 &lt;= G148)</f>
        <v>1</v>
      </c>
    </row>
    <row r="149">
      <c r="A149" s="2" t="s">
        <v>1926</v>
      </c>
      <c r="B149" s="3" t="str">
        <f>A149</f>
        <v>folic-fortification-2000-voluntary-B</v>
      </c>
      <c r="C149" s="2" t="s">
        <v>536</v>
      </c>
      <c r="D149" s="2" t="s">
        <v>1367</v>
      </c>
      <c r="E149" s="2" t="s">
        <v>795</v>
      </c>
      <c r="F149" s="4">
        <v>940</v>
      </c>
      <c r="G149" s="4">
        <v>1000</v>
      </c>
      <c r="H149" s="3">
        <f>IF(G149 = 0, "", F149 / G149)</f>
        <v>0.94</v>
      </c>
      <c r="I149" s="5">
        <f>SUMIFS(G149,C149, C149,E149, E149)</f>
        <v>1000</v>
      </c>
      <c r="J149" s="3">
        <f>IF(I149 = 0, "", G149 / I149)</f>
        <v>1</v>
      </c>
      <c r="K149" s="3" t="b">
        <f>AND(G149 &gt; 0, F149 &gt;= 0, F149 &lt;= G149)</f>
        <v>1</v>
      </c>
    </row>
    <row r="150">
      <c r="A150" s="2" t="s">
        <v>1927</v>
      </c>
      <c r="B150" s="3" t="str">
        <f>A150</f>
        <v>north-carolina-death-penalty-1990-white-victim-A</v>
      </c>
      <c r="C150" s="2" t="s">
        <v>539</v>
      </c>
      <c r="D150" s="2" t="s">
        <v>1190</v>
      </c>
      <c r="E150" s="2" t="s">
        <v>792</v>
      </c>
      <c r="F150" s="4">
        <v>14</v>
      </c>
      <c r="G150" s="4">
        <v>120</v>
      </c>
      <c r="H150" s="3">
        <f>IF(G150 = 0, "", F150 / G150)</f>
        <v>0.11666666666666667</v>
      </c>
      <c r="I150" s="5">
        <f>SUMIFS(G150,C150, C150,E150, E150)</f>
        <v>120</v>
      </c>
      <c r="J150" s="3">
        <f>IF(I150 = 0, "", G150 / I150)</f>
        <v>1</v>
      </c>
      <c r="K150" s="3" t="b">
        <f>AND(G150 &gt; 0, F150 &gt;= 0, F150 &lt;= G150)</f>
        <v>1</v>
      </c>
    </row>
    <row r="151">
      <c r="A151" s="2" t="s">
        <v>1928</v>
      </c>
      <c r="B151" s="3" t="str">
        <f>A151</f>
        <v>north-carolina-death-penalty-1990-white-victim-B</v>
      </c>
      <c r="C151" s="2" t="s">
        <v>539</v>
      </c>
      <c r="D151" s="2" t="s">
        <v>1190</v>
      </c>
      <c r="E151" s="2" t="s">
        <v>795</v>
      </c>
      <c r="F151" s="4">
        <v>8</v>
      </c>
      <c r="G151" s="4">
        <v>55</v>
      </c>
      <c r="H151" s="3">
        <f>IF(G151 = 0, "", F151 / G151)</f>
        <v>0.14545454545454545</v>
      </c>
      <c r="I151" s="5">
        <f>SUMIFS(G151,C151, C151,E151, E151)</f>
        <v>55</v>
      </c>
      <c r="J151" s="3">
        <f>IF(I151 = 0, "", G151 / I151)</f>
        <v>1</v>
      </c>
      <c r="K151" s="3" t="b">
        <f>AND(G151 &gt; 0, F151 &gt;= 0, F151 &lt;= G151)</f>
        <v>1</v>
      </c>
    </row>
    <row r="152">
      <c r="A152" s="2" t="s">
        <v>1929</v>
      </c>
      <c r="B152" s="3" t="str">
        <f>A152</f>
        <v>north-carolina-death-penalty-1990-black-victim-A</v>
      </c>
      <c r="C152" s="2" t="s">
        <v>539</v>
      </c>
      <c r="D152" s="2" t="s">
        <v>1193</v>
      </c>
      <c r="E152" s="2" t="s">
        <v>792</v>
      </c>
      <c r="F152" s="4">
        <v>1</v>
      </c>
      <c r="G152" s="4">
        <v>15</v>
      </c>
      <c r="H152" s="3">
        <f>IF(G152 = 0, "", F152 / G152)</f>
        <v>0.06666666666666667</v>
      </c>
      <c r="I152" s="5">
        <f>SUMIFS(G152,C152, C152,E152, E152)</f>
        <v>15</v>
      </c>
      <c r="J152" s="3">
        <f>IF(I152 = 0, "", G152 / I152)</f>
        <v>1</v>
      </c>
      <c r="K152" s="3" t="b">
        <f>AND(G152 &gt; 0, F152 &gt;= 0, F152 &lt;= G152)</f>
        <v>1</v>
      </c>
    </row>
    <row r="153">
      <c r="A153" s="2" t="s">
        <v>1930</v>
      </c>
      <c r="B153" s="3" t="str">
        <f>A153</f>
        <v>north-carolina-death-penalty-1990-black-victim-B</v>
      </c>
      <c r="C153" s="2" t="s">
        <v>539</v>
      </c>
      <c r="D153" s="2" t="s">
        <v>1193</v>
      </c>
      <c r="E153" s="2" t="s">
        <v>795</v>
      </c>
      <c r="F153" s="4">
        <v>5</v>
      </c>
      <c r="G153" s="4">
        <v>90</v>
      </c>
      <c r="H153" s="3">
        <f>IF(G153 = 0, "", F153 / G153)</f>
        <v>0.05555555555555555</v>
      </c>
      <c r="I153" s="5">
        <f>SUMIFS(G153,C153, C153,E153, E153)</f>
        <v>90</v>
      </c>
      <c r="J153" s="3">
        <f>IF(I153 = 0, "", G153 / I153)</f>
        <v>1</v>
      </c>
      <c r="K153" s="3" t="b">
        <f>AND(G153 &gt; 0, F153 &gt;= 0, F153 &lt;= G153)</f>
        <v>1</v>
      </c>
    </row>
    <row r="154">
      <c r="A154" s="2" t="s">
        <v>1931</v>
      </c>
      <c r="B154" s="3" t="str">
        <f>A154</f>
        <v>housing-discrimination-audit-high-income-A</v>
      </c>
      <c r="C154" s="2" t="s">
        <v>542</v>
      </c>
      <c r="D154" s="2" t="s">
        <v>1374</v>
      </c>
      <c r="E154" s="2" t="s">
        <v>792</v>
      </c>
      <c r="F154" s="4">
        <v>180</v>
      </c>
      <c r="G154" s="4">
        <v>250</v>
      </c>
      <c r="H154" s="3">
        <f>IF(G154 = 0, "", F154 / G154)</f>
        <v>0.72</v>
      </c>
      <c r="I154" s="5">
        <f>SUMIFS(G154,C154, C154,E154, E154)</f>
        <v>250</v>
      </c>
      <c r="J154" s="3">
        <f>IF(I154 = 0, "", G154 / I154)</f>
        <v>1</v>
      </c>
      <c r="K154" s="3" t="b">
        <f>AND(G154 &gt; 0, F154 &gt;= 0, F154 &lt;= G154)</f>
        <v>1</v>
      </c>
    </row>
    <row r="155">
      <c r="A155" s="2" t="s">
        <v>1932</v>
      </c>
      <c r="B155" s="3" t="str">
        <f>A155</f>
        <v>housing-discrimination-audit-high-income-B</v>
      </c>
      <c r="C155" s="2" t="s">
        <v>542</v>
      </c>
      <c r="D155" s="2" t="s">
        <v>1374</v>
      </c>
      <c r="E155" s="2" t="s">
        <v>795</v>
      </c>
      <c r="F155" s="4">
        <v>200</v>
      </c>
      <c r="G155" s="4">
        <v>250</v>
      </c>
      <c r="H155" s="3">
        <f>IF(G155 = 0, "", F155 / G155)</f>
        <v>0.8</v>
      </c>
      <c r="I155" s="5">
        <f>SUMIFS(G155,C155, C155,E155, E155)</f>
        <v>250</v>
      </c>
      <c r="J155" s="3">
        <f>IF(I155 = 0, "", G155 / I155)</f>
        <v>1</v>
      </c>
      <c r="K155" s="3" t="b">
        <f>AND(G155 &gt; 0, F155 &gt;= 0, F155 &lt;= G155)</f>
        <v>1</v>
      </c>
    </row>
    <row r="156">
      <c r="A156" s="2" t="s">
        <v>1933</v>
      </c>
      <c r="B156" s="3" t="str">
        <f>A156</f>
        <v>housing-discrimination-audit-low-income-A</v>
      </c>
      <c r="C156" s="2" t="s">
        <v>542</v>
      </c>
      <c r="D156" s="2" t="s">
        <v>1377</v>
      </c>
      <c r="E156" s="2" t="s">
        <v>792</v>
      </c>
      <c r="F156" s="4">
        <v>120</v>
      </c>
      <c r="G156" s="4">
        <v>250</v>
      </c>
      <c r="H156" s="3">
        <f>IF(G156 = 0, "", F156 / G156)</f>
        <v>0.48</v>
      </c>
      <c r="I156" s="5">
        <f>SUMIFS(G156,C156, C156,E156, E156)</f>
        <v>250</v>
      </c>
      <c r="J156" s="3">
        <f>IF(I156 = 0, "", G156 / I156)</f>
        <v>1</v>
      </c>
      <c r="K156" s="3" t="b">
        <f>AND(G156 &gt; 0, F156 &gt;= 0, F156 &lt;= G156)</f>
        <v>1</v>
      </c>
    </row>
    <row r="157">
      <c r="A157" s="2" t="s">
        <v>1934</v>
      </c>
      <c r="B157" s="3" t="str">
        <f>A157</f>
        <v>housing-discrimination-audit-low-income-B</v>
      </c>
      <c r="C157" s="2" t="s">
        <v>542</v>
      </c>
      <c r="D157" s="2" t="s">
        <v>1377</v>
      </c>
      <c r="E157" s="2" t="s">
        <v>795</v>
      </c>
      <c r="F157" s="4">
        <v>160</v>
      </c>
      <c r="G157" s="4">
        <v>250</v>
      </c>
      <c r="H157" s="3">
        <f>IF(G157 = 0, "", F157 / G157)</f>
        <v>0.64</v>
      </c>
      <c r="I157" s="5">
        <f>SUMIFS(G157,C157, C157,E157, E157)</f>
        <v>250</v>
      </c>
      <c r="J157" s="3">
        <f>IF(I157 = 0, "", G157 / I157)</f>
        <v>1</v>
      </c>
      <c r="K157" s="3" t="b">
        <f>AND(G157 &gt; 0, F157 &gt;= 0, F157 &lt;= G157)</f>
        <v>1</v>
      </c>
    </row>
    <row r="158">
      <c r="A158" s="2" t="s">
        <v>1935</v>
      </c>
      <c r="B158" s="3" t="str">
        <f>A158</f>
        <v>gender-pay-gap-industry-tech-professional-A</v>
      </c>
      <c r="C158" s="2" t="s">
        <v>547</v>
      </c>
      <c r="D158" s="2" t="s">
        <v>1380</v>
      </c>
      <c r="E158" s="2" t="s">
        <v>792</v>
      </c>
      <c r="F158" s="4">
        <v>420</v>
      </c>
      <c r="G158" s="4">
        <v>600</v>
      </c>
      <c r="H158" s="3">
        <f>IF(G158 = 0, "", F158 / G158)</f>
        <v>0.7</v>
      </c>
      <c r="I158" s="5">
        <f>SUMIFS(G158,C158, C158,E158, E158)</f>
        <v>600</v>
      </c>
      <c r="J158" s="3">
        <f>IF(I158 = 0, "", G158 / I158)</f>
        <v>1</v>
      </c>
      <c r="K158" s="3" t="b">
        <f>AND(G158 &gt; 0, F158 &gt;= 0, F158 &lt;= G158)</f>
        <v>1</v>
      </c>
    </row>
    <row r="159">
      <c r="A159" s="2" t="s">
        <v>1936</v>
      </c>
      <c r="B159" s="3" t="str">
        <f>A159</f>
        <v>gender-pay-gap-industry-tech-professional-B</v>
      </c>
      <c r="C159" s="2" t="s">
        <v>547</v>
      </c>
      <c r="D159" s="2" t="s">
        <v>1380</v>
      </c>
      <c r="E159" s="2" t="s">
        <v>795</v>
      </c>
      <c r="F159" s="4">
        <v>280</v>
      </c>
      <c r="G159" s="4">
        <v>400</v>
      </c>
      <c r="H159" s="3">
        <f>IF(G159 = 0, "", F159 / G159)</f>
        <v>0.7</v>
      </c>
      <c r="I159" s="5">
        <f>SUMIFS(G159,C159, C159,E159, E159)</f>
        <v>400</v>
      </c>
      <c r="J159" s="3">
        <f>IF(I159 = 0, "", G159 / I159)</f>
        <v>1</v>
      </c>
      <c r="K159" s="3" t="b">
        <f>AND(G159 &gt; 0, F159 &gt;= 0, F159 &lt;= G159)</f>
        <v>1</v>
      </c>
    </row>
    <row r="160">
      <c r="A160" s="2" t="s">
        <v>1937</v>
      </c>
      <c r="B160" s="3" t="str">
        <f>A160</f>
        <v>gender-pay-gap-industry-healthcare-A</v>
      </c>
      <c r="C160" s="2" t="s">
        <v>547</v>
      </c>
      <c r="D160" s="2" t="s">
        <v>1383</v>
      </c>
      <c r="E160" s="2" t="s">
        <v>792</v>
      </c>
      <c r="F160" s="4">
        <v>200</v>
      </c>
      <c r="G160" s="4">
        <v>400</v>
      </c>
      <c r="H160" s="3">
        <f>IF(G160 = 0, "", F160 / G160)</f>
        <v>0.5</v>
      </c>
      <c r="I160" s="5">
        <f>SUMIFS(G160,C160, C160,E160, E160)</f>
        <v>400</v>
      </c>
      <c r="J160" s="3">
        <f>IF(I160 = 0, "", G160 / I160)</f>
        <v>1</v>
      </c>
      <c r="K160" s="3" t="b">
        <f>AND(G160 &gt; 0, F160 &gt;= 0, F160 &lt;= G160)</f>
        <v>1</v>
      </c>
    </row>
    <row r="161">
      <c r="A161" s="2" t="s">
        <v>1938</v>
      </c>
      <c r="B161" s="3" t="str">
        <f>A161</f>
        <v>gender-pay-gap-industry-healthcare-B</v>
      </c>
      <c r="C161" s="2" t="s">
        <v>547</v>
      </c>
      <c r="D161" s="2" t="s">
        <v>1383</v>
      </c>
      <c r="E161" s="2" t="s">
        <v>795</v>
      </c>
      <c r="F161" s="4">
        <v>350</v>
      </c>
      <c r="G161" s="4">
        <v>500</v>
      </c>
      <c r="H161" s="3">
        <f>IF(G161 = 0, "", F161 / G161)</f>
        <v>0.7</v>
      </c>
      <c r="I161" s="5">
        <f>SUMIFS(G161,C161, C161,E161, E161)</f>
        <v>500</v>
      </c>
      <c r="J161" s="3">
        <f>IF(I161 = 0, "", G161 / I161)</f>
        <v>1</v>
      </c>
      <c r="K161" s="3" t="b">
        <f>AND(G161 &gt; 0, F161 &gt;= 0, F161 &lt;= G161)</f>
        <v>1</v>
      </c>
    </row>
    <row r="162">
      <c r="A162" s="2" t="s">
        <v>1939</v>
      </c>
      <c r="B162" s="3" t="str">
        <f>A162</f>
        <v>gender-pay-gap-industry-retail-hospitality-A</v>
      </c>
      <c r="C162" s="2" t="s">
        <v>547</v>
      </c>
      <c r="D162" s="2" t="s">
        <v>1386</v>
      </c>
      <c r="E162" s="2" t="s">
        <v>792</v>
      </c>
      <c r="F162" s="4">
        <v>150</v>
      </c>
      <c r="G162" s="4">
        <v>400</v>
      </c>
      <c r="H162" s="3">
        <f>IF(G162 = 0, "", F162 / G162)</f>
        <v>0.375</v>
      </c>
      <c r="I162" s="5">
        <f>SUMIFS(G162,C162, C162,E162, E162)</f>
        <v>400</v>
      </c>
      <c r="J162" s="3">
        <f>IF(I162 = 0, "", G162 / I162)</f>
        <v>1</v>
      </c>
      <c r="K162" s="3" t="b">
        <f>AND(G162 &gt; 0, F162 &gt;= 0, F162 &lt;= G162)</f>
        <v>1</v>
      </c>
    </row>
    <row r="163">
      <c r="A163" s="2" t="s">
        <v>1940</v>
      </c>
      <c r="B163" s="3" t="str">
        <f>A163</f>
        <v>gender-pay-gap-industry-retail-hospitality-B</v>
      </c>
      <c r="C163" s="2" t="s">
        <v>547</v>
      </c>
      <c r="D163" s="2" t="s">
        <v>1386</v>
      </c>
      <c r="E163" s="2" t="s">
        <v>795</v>
      </c>
      <c r="F163" s="4">
        <v>280</v>
      </c>
      <c r="G163" s="4">
        <v>500</v>
      </c>
      <c r="H163" s="3">
        <f>IF(G163 = 0, "", F163 / G163)</f>
        <v>0.56</v>
      </c>
      <c r="I163" s="5">
        <f>SUMIFS(G163,C163, C163,E163, E163)</f>
        <v>500</v>
      </c>
      <c r="J163" s="3">
        <f>IF(I163 = 0, "", G163 / I163)</f>
        <v>1</v>
      </c>
      <c r="K163" s="3" t="b">
        <f>AND(G163 &gt; 0, F163 &gt;= 0, F163 &lt;= G163)</f>
        <v>1</v>
      </c>
    </row>
    <row r="164">
      <c r="A164" s="2" t="s">
        <v>1941</v>
      </c>
      <c r="B164" s="3" t="str">
        <f>A164</f>
        <v>income-education-state-high-education-states-A</v>
      </c>
      <c r="C164" s="2" t="s">
        <v>551</v>
      </c>
      <c r="D164" s="2" t="s">
        <v>1389</v>
      </c>
      <c r="E164" s="2" t="s">
        <v>792</v>
      </c>
      <c r="F164" s="4">
        <v>800</v>
      </c>
      <c r="G164" s="4">
        <v>1000</v>
      </c>
      <c r="H164" s="3">
        <f>IF(G164 = 0, "", F164 / G164)</f>
        <v>0.8</v>
      </c>
      <c r="I164" s="5">
        <f>SUMIFS(G164,C164, C164,E164, E164)</f>
        <v>1000</v>
      </c>
      <c r="J164" s="3">
        <f>IF(I164 = 0, "", G164 / I164)</f>
        <v>1</v>
      </c>
      <c r="K164" s="3" t="b">
        <f>AND(G164 &gt; 0, F164 &gt;= 0, F164 &lt;= G164)</f>
        <v>1</v>
      </c>
    </row>
    <row r="165">
      <c r="A165" s="2" t="s">
        <v>1942</v>
      </c>
      <c r="B165" s="3" t="str">
        <f>A165</f>
        <v>income-education-state-high-education-states-B</v>
      </c>
      <c r="C165" s="2" t="s">
        <v>551</v>
      </c>
      <c r="D165" s="2" t="s">
        <v>1389</v>
      </c>
      <c r="E165" s="2" t="s">
        <v>795</v>
      </c>
      <c r="F165" s="4">
        <v>400</v>
      </c>
      <c r="G165" s="4">
        <v>800</v>
      </c>
      <c r="H165" s="3">
        <f>IF(G165 = 0, "", F165 / G165)</f>
        <v>0.5</v>
      </c>
      <c r="I165" s="5">
        <f>SUMIFS(G165,C165, C165,E165, E165)</f>
        <v>800</v>
      </c>
      <c r="J165" s="3">
        <f>IF(I165 = 0, "", G165 / I165)</f>
        <v>1</v>
      </c>
      <c r="K165" s="3" t="b">
        <f>AND(G165 &gt; 0, F165 &gt;= 0, F165 &lt;= G165)</f>
        <v>1</v>
      </c>
    </row>
    <row r="166">
      <c r="A166" s="2" t="s">
        <v>1943</v>
      </c>
      <c r="B166" s="3" t="str">
        <f>A166</f>
        <v>income-education-state-low-education-states-A</v>
      </c>
      <c r="C166" s="2" t="s">
        <v>551</v>
      </c>
      <c r="D166" s="2" t="s">
        <v>1392</v>
      </c>
      <c r="E166" s="2" t="s">
        <v>792</v>
      </c>
      <c r="F166" s="4">
        <v>500</v>
      </c>
      <c r="G166" s="4">
        <v>900</v>
      </c>
      <c r="H166" s="3">
        <f>IF(G166 = 0, "", F166 / G166)</f>
        <v>0.5555555555555556</v>
      </c>
      <c r="I166" s="5">
        <f>SUMIFS(G166,C166, C166,E166, E166)</f>
        <v>900</v>
      </c>
      <c r="J166" s="3">
        <f>IF(I166 = 0, "", G166 / I166)</f>
        <v>1</v>
      </c>
      <c r="K166" s="3" t="b">
        <f>AND(G166 &gt; 0, F166 &gt;= 0, F166 &lt;= G166)</f>
        <v>1</v>
      </c>
    </row>
    <row r="167">
      <c r="A167" s="2" t="s">
        <v>1944</v>
      </c>
      <c r="B167" s="3" t="str">
        <f>A167</f>
        <v>income-education-state-low-education-states-B</v>
      </c>
      <c r="C167" s="2" t="s">
        <v>551</v>
      </c>
      <c r="D167" s="2" t="s">
        <v>1392</v>
      </c>
      <c r="E167" s="2" t="s">
        <v>795</v>
      </c>
      <c r="F167" s="4">
        <v>450</v>
      </c>
      <c r="G167" s="4">
        <v>900</v>
      </c>
      <c r="H167" s="3">
        <f>IF(G167 = 0, "", F167 / G167)</f>
        <v>0.5</v>
      </c>
      <c r="I167" s="5">
        <f>SUMIFS(G167,C167, C167,E167, E167)</f>
        <v>900</v>
      </c>
      <c r="J167" s="3">
        <f>IF(I167 = 0, "", G167 / I167)</f>
        <v>1</v>
      </c>
      <c r="K167" s="3" t="b">
        <f>AND(G167 &gt; 0, F167 &gt;= 0, F167 &lt;= G167)</f>
        <v>1</v>
      </c>
    </row>
    <row r="168">
      <c r="A168" s="2" t="s">
        <v>1945</v>
      </c>
      <c r="B168" s="3" t="str">
        <f>A168</f>
        <v>florida-reef-fish-1994-inshore-A</v>
      </c>
      <c r="C168" s="2" t="s">
        <v>555</v>
      </c>
      <c r="D168" s="2" t="s">
        <v>1395</v>
      </c>
      <c r="E168" s="2" t="s">
        <v>792</v>
      </c>
      <c r="F168" s="4">
        <v>450</v>
      </c>
      <c r="G168" s="4">
        <v>600</v>
      </c>
      <c r="H168" s="3">
        <f>IF(G168 = 0, "", F168 / G168)</f>
        <v>0.75</v>
      </c>
      <c r="I168" s="5">
        <f>SUMIFS(G168,C168, C168,E168, E168)</f>
        <v>600</v>
      </c>
      <c r="J168" s="3">
        <f>IF(I168 = 0, "", G168 / I168)</f>
        <v>1</v>
      </c>
      <c r="K168" s="3" t="b">
        <f>AND(G168 &gt; 0, F168 &gt;= 0, F168 &lt;= G168)</f>
        <v>1</v>
      </c>
    </row>
    <row r="169">
      <c r="A169" s="2" t="s">
        <v>1946</v>
      </c>
      <c r="B169" s="3" t="str">
        <f>A169</f>
        <v>florida-reef-fish-1994-inshore-B</v>
      </c>
      <c r="C169" s="2" t="s">
        <v>555</v>
      </c>
      <c r="D169" s="2" t="s">
        <v>1395</v>
      </c>
      <c r="E169" s="2" t="s">
        <v>795</v>
      </c>
      <c r="F169" s="4">
        <v>380</v>
      </c>
      <c r="G169" s="4">
        <v>600</v>
      </c>
      <c r="H169" s="3">
        <f>IF(G169 = 0, "", F169 / G169)</f>
        <v>0.6333333333333333</v>
      </c>
      <c r="I169" s="5">
        <f>SUMIFS(G169,C169, C169,E169, E169)</f>
        <v>600</v>
      </c>
      <c r="J169" s="3">
        <f>IF(I169 = 0, "", G169 / I169)</f>
        <v>1</v>
      </c>
      <c r="K169" s="3" t="b">
        <f>AND(G169 &gt; 0, F169 &gt;= 0, F169 &lt;= G169)</f>
        <v>1</v>
      </c>
    </row>
    <row r="170">
      <c r="A170" s="2" t="s">
        <v>1947</v>
      </c>
      <c r="B170" s="3" t="str">
        <f>A170</f>
        <v>florida-reef-fish-1994-offshore-A</v>
      </c>
      <c r="C170" s="2" t="s">
        <v>555</v>
      </c>
      <c r="D170" s="2" t="s">
        <v>1398</v>
      </c>
      <c r="E170" s="2" t="s">
        <v>792</v>
      </c>
      <c r="F170" s="4">
        <v>120</v>
      </c>
      <c r="G170" s="4">
        <v>200</v>
      </c>
      <c r="H170" s="3">
        <f>IF(G170 = 0, "", F170 / G170)</f>
        <v>0.6</v>
      </c>
      <c r="I170" s="5">
        <f>SUMIFS(G170,C170, C170,E170, E170)</f>
        <v>200</v>
      </c>
      <c r="J170" s="3">
        <f>IF(I170 = 0, "", G170 / I170)</f>
        <v>1</v>
      </c>
      <c r="K170" s="3" t="b">
        <f>AND(G170 &gt; 0, F170 &gt;= 0, F170 &lt;= G170)</f>
        <v>1</v>
      </c>
    </row>
    <row r="171">
      <c r="A171" s="2" t="s">
        <v>1948</v>
      </c>
      <c r="B171" s="3" t="str">
        <f>A171</f>
        <v>florida-reef-fish-1994-offshore-B</v>
      </c>
      <c r="C171" s="2" t="s">
        <v>555</v>
      </c>
      <c r="D171" s="2" t="s">
        <v>1398</v>
      </c>
      <c r="E171" s="2" t="s">
        <v>795</v>
      </c>
      <c r="F171" s="4">
        <v>150</v>
      </c>
      <c r="G171" s="4">
        <v>200</v>
      </c>
      <c r="H171" s="3">
        <f>IF(G171 = 0, "", F171 / G171)</f>
        <v>0.75</v>
      </c>
      <c r="I171" s="5">
        <f>SUMIFS(G171,C171, C171,E171, E171)</f>
        <v>200</v>
      </c>
      <c r="J171" s="3">
        <f>IF(I171 = 0, "", G171 / I171)</f>
        <v>1</v>
      </c>
      <c r="K171" s="3" t="b">
        <f>AND(G171 &gt; 0, F171 &gt;= 0, F171 &lt;= G171)</f>
        <v>1</v>
      </c>
    </row>
    <row r="172">
      <c r="A172" s="2" t="s">
        <v>1949</v>
      </c>
      <c r="B172" s="3" t="str">
        <f>A172</f>
        <v>uc-irvine-admissions-1985-engineering-A</v>
      </c>
      <c r="C172" s="2" t="s">
        <v>558</v>
      </c>
      <c r="D172" s="2" t="s">
        <v>1401</v>
      </c>
      <c r="E172" s="2" t="s">
        <v>792</v>
      </c>
      <c r="F172" s="4">
        <v>120</v>
      </c>
      <c r="G172" s="4">
        <v>400</v>
      </c>
      <c r="H172" s="3">
        <f>IF(G172 = 0, "", F172 / G172)</f>
        <v>0.3</v>
      </c>
      <c r="I172" s="5">
        <f>SUMIFS(G172,C172, C172,E172, E172)</f>
        <v>400</v>
      </c>
      <c r="J172" s="3">
        <f>IF(I172 = 0, "", G172 / I172)</f>
        <v>1</v>
      </c>
      <c r="K172" s="3" t="b">
        <f>AND(G172 &gt; 0, F172 &gt;= 0, F172 &lt;= G172)</f>
        <v>1</v>
      </c>
    </row>
    <row r="173">
      <c r="A173" s="2" t="s">
        <v>1950</v>
      </c>
      <c r="B173" s="3" t="str">
        <f>A173</f>
        <v>uc-irvine-admissions-1985-engineering-B</v>
      </c>
      <c r="C173" s="2" t="s">
        <v>558</v>
      </c>
      <c r="D173" s="2" t="s">
        <v>1401</v>
      </c>
      <c r="E173" s="2" t="s">
        <v>795</v>
      </c>
      <c r="F173" s="4">
        <v>40</v>
      </c>
      <c r="G173" s="4">
        <v>200</v>
      </c>
      <c r="H173" s="3">
        <f>IF(G173 = 0, "", F173 / G173)</f>
        <v>0.2</v>
      </c>
      <c r="I173" s="5">
        <f>SUMIFS(G173,C173, C173,E173, E173)</f>
        <v>200</v>
      </c>
      <c r="J173" s="3">
        <f>IF(I173 = 0, "", G173 / I173)</f>
        <v>1</v>
      </c>
      <c r="K173" s="3" t="b">
        <f>AND(G173 &gt; 0, F173 &gt;= 0, F173 &lt;= G173)</f>
        <v>1</v>
      </c>
    </row>
    <row r="174">
      <c r="A174" s="2" t="s">
        <v>1951</v>
      </c>
      <c r="B174" s="3" t="str">
        <f>A174</f>
        <v>uc-irvine-admissions-1985-humanities-A</v>
      </c>
      <c r="C174" s="2" t="s">
        <v>558</v>
      </c>
      <c r="D174" s="2" t="s">
        <v>1404</v>
      </c>
      <c r="E174" s="2" t="s">
        <v>792</v>
      </c>
      <c r="F174" s="4">
        <v>80</v>
      </c>
      <c r="G174" s="4">
        <v>200</v>
      </c>
      <c r="H174" s="3">
        <f>IF(G174 = 0, "", F174 / G174)</f>
        <v>0.4</v>
      </c>
      <c r="I174" s="5">
        <f>SUMIFS(G174,C174, C174,E174, E174)</f>
        <v>200</v>
      </c>
      <c r="J174" s="3">
        <f>IF(I174 = 0, "", G174 / I174)</f>
        <v>1</v>
      </c>
      <c r="K174" s="3" t="b">
        <f>AND(G174 &gt; 0, F174 &gt;= 0, F174 &lt;= G174)</f>
        <v>1</v>
      </c>
    </row>
    <row r="175">
      <c r="A175" s="2" t="s">
        <v>1952</v>
      </c>
      <c r="B175" s="3" t="str">
        <f>A175</f>
        <v>uc-irvine-admissions-1985-humanities-B</v>
      </c>
      <c r="C175" s="2" t="s">
        <v>558</v>
      </c>
      <c r="D175" s="2" t="s">
        <v>1404</v>
      </c>
      <c r="E175" s="2" t="s">
        <v>795</v>
      </c>
      <c r="F175" s="4">
        <v>150</v>
      </c>
      <c r="G175" s="4">
        <v>250</v>
      </c>
      <c r="H175" s="3">
        <f>IF(G175 = 0, "", F175 / G175)</f>
        <v>0.6</v>
      </c>
      <c r="I175" s="5">
        <f>SUMIFS(G175,C175, C175,E175, E175)</f>
        <v>250</v>
      </c>
      <c r="J175" s="3">
        <f>IF(I175 = 0, "", G175 / I175)</f>
        <v>1</v>
      </c>
      <c r="K175" s="3" t="b">
        <f>AND(G175 &gt; 0, F175 &gt;= 0, F175 &lt;= G175)</f>
        <v>1</v>
      </c>
    </row>
    <row r="176">
      <c r="A176" s="2" t="s">
        <v>1953</v>
      </c>
      <c r="B176" s="3" t="str">
        <f>A176</f>
        <v>uc-irvine-admissions-1985-biological-sciences-A</v>
      </c>
      <c r="C176" s="2" t="s">
        <v>558</v>
      </c>
      <c r="D176" s="2" t="s">
        <v>1407</v>
      </c>
      <c r="E176" s="2" t="s">
        <v>792</v>
      </c>
      <c r="F176" s="4">
        <v>100</v>
      </c>
      <c r="G176" s="4">
        <v>300</v>
      </c>
      <c r="H176" s="3">
        <f>IF(G176 = 0, "", F176 / G176)</f>
        <v>0.3333333333333333</v>
      </c>
      <c r="I176" s="5">
        <f>SUMIFS(G176,C176, C176,E176, E176)</f>
        <v>300</v>
      </c>
      <c r="J176" s="3">
        <f>IF(I176 = 0, "", G176 / I176)</f>
        <v>1</v>
      </c>
      <c r="K176" s="3" t="b">
        <f>AND(G176 &gt; 0, F176 &gt;= 0, F176 &lt;= G176)</f>
        <v>1</v>
      </c>
    </row>
    <row r="177">
      <c r="A177" s="2" t="s">
        <v>1954</v>
      </c>
      <c r="B177" s="3" t="str">
        <f>A177</f>
        <v>uc-irvine-admissions-1985-biological-sciences-B</v>
      </c>
      <c r="C177" s="2" t="s">
        <v>558</v>
      </c>
      <c r="D177" s="2" t="s">
        <v>1407</v>
      </c>
      <c r="E177" s="2" t="s">
        <v>795</v>
      </c>
      <c r="F177" s="4">
        <v>120</v>
      </c>
      <c r="G177" s="4">
        <v>280</v>
      </c>
      <c r="H177" s="3">
        <f>IF(G177 = 0, "", F177 / G177)</f>
        <v>0.42857142857142855</v>
      </c>
      <c r="I177" s="5">
        <f>SUMIFS(G177,C177, C177,E177, E177)</f>
        <v>280</v>
      </c>
      <c r="J177" s="3">
        <f>IF(I177 = 0, "", G177 / I177)</f>
        <v>1</v>
      </c>
      <c r="K177" s="3" t="b">
        <f>AND(G177 &gt; 0, F177 &gt;= 0, F177 &lt;= G177)</f>
        <v>1</v>
      </c>
    </row>
    <row r="178">
      <c r="A178" s="2" t="s">
        <v>1955</v>
      </c>
      <c r="B178" s="3" t="str">
        <f>A178</f>
        <v>uc-irvine-admissions-1985-social-sciences-A</v>
      </c>
      <c r="C178" s="2" t="s">
        <v>558</v>
      </c>
      <c r="D178" s="2" t="s">
        <v>1410</v>
      </c>
      <c r="E178" s="2" t="s">
        <v>792</v>
      </c>
      <c r="F178" s="4">
        <v>90</v>
      </c>
      <c r="G178" s="4">
        <v>250</v>
      </c>
      <c r="H178" s="3">
        <f>IF(G178 = 0, "", F178 / G178)</f>
        <v>0.36</v>
      </c>
      <c r="I178" s="5">
        <f>SUMIFS(G178,C178, C178,E178, E178)</f>
        <v>250</v>
      </c>
      <c r="J178" s="3">
        <f>IF(I178 = 0, "", G178 / I178)</f>
        <v>1</v>
      </c>
      <c r="K178" s="3" t="b">
        <f>AND(G178 &gt; 0, F178 &gt;= 0, F178 &lt;= G178)</f>
        <v>1</v>
      </c>
    </row>
    <row r="179">
      <c r="A179" s="2" t="s">
        <v>1956</v>
      </c>
      <c r="B179" s="3" t="str">
        <f>A179</f>
        <v>uc-irvine-admissions-1985-social-sciences-B</v>
      </c>
      <c r="C179" s="2" t="s">
        <v>558</v>
      </c>
      <c r="D179" s="2" t="s">
        <v>1410</v>
      </c>
      <c r="E179" s="2" t="s">
        <v>795</v>
      </c>
      <c r="F179" s="4">
        <v>130</v>
      </c>
      <c r="G179" s="4">
        <v>300</v>
      </c>
      <c r="H179" s="3">
        <f>IF(G179 = 0, "", F179 / G179)</f>
        <v>0.43333333333333335</v>
      </c>
      <c r="I179" s="5">
        <f>SUMIFS(G179,C179, C179,E179, E179)</f>
        <v>300</v>
      </c>
      <c r="J179" s="3">
        <f>IF(I179 = 0, "", G179 / I179)</f>
        <v>1</v>
      </c>
      <c r="K179" s="3" t="b">
        <f>AND(G179 &gt; 0, F179 &gt;= 0, F179 &lt;= G179)</f>
        <v>1</v>
      </c>
    </row>
    <row r="180">
      <c r="A180" s="2" t="s">
        <v>1957</v>
      </c>
      <c r="B180" s="3" t="str">
        <f>A180</f>
        <v>cesarean-birth-weight-2006-normal-bw-A</v>
      </c>
      <c r="C180" s="2" t="s">
        <v>561</v>
      </c>
      <c r="D180" s="2" t="s">
        <v>1413</v>
      </c>
      <c r="E180" s="2" t="s">
        <v>792</v>
      </c>
      <c r="F180" s="4">
        <v>1200</v>
      </c>
      <c r="G180" s="4">
        <v>5000</v>
      </c>
      <c r="H180" s="3">
        <f>IF(G180 = 0, "", F180 / G180)</f>
        <v>0.24</v>
      </c>
      <c r="I180" s="5">
        <f>SUMIFS(G180,C180, C180,E180, E180)</f>
        <v>5000</v>
      </c>
      <c r="J180" s="3">
        <f>IF(I180 = 0, "", G180 / I180)</f>
        <v>1</v>
      </c>
      <c r="K180" s="3" t="b">
        <f>AND(G180 &gt; 0, F180 &gt;= 0, F180 &lt;= G180)</f>
        <v>1</v>
      </c>
    </row>
    <row r="181">
      <c r="A181" s="2" t="s">
        <v>1958</v>
      </c>
      <c r="B181" s="3" t="str">
        <f>A181</f>
        <v>cesarean-birth-weight-2006-normal-bw-B</v>
      </c>
      <c r="C181" s="2" t="s">
        <v>561</v>
      </c>
      <c r="D181" s="2" t="s">
        <v>1413</v>
      </c>
      <c r="E181" s="2" t="s">
        <v>795</v>
      </c>
      <c r="F181" s="4">
        <v>800</v>
      </c>
      <c r="G181" s="4">
        <v>2000</v>
      </c>
      <c r="H181" s="3">
        <f>IF(G181 = 0, "", F181 / G181)</f>
        <v>0.4</v>
      </c>
      <c r="I181" s="5">
        <f>SUMIFS(G181,C181, C181,E181, E181)</f>
        <v>2000</v>
      </c>
      <c r="J181" s="3">
        <f>IF(I181 = 0, "", G181 / I181)</f>
        <v>1</v>
      </c>
      <c r="K181" s="3" t="b">
        <f>AND(G181 &gt; 0, F181 &gt;= 0, F181 &lt;= G181)</f>
        <v>1</v>
      </c>
    </row>
    <row r="182">
      <c r="A182" s="2" t="s">
        <v>1959</v>
      </c>
      <c r="B182" s="3" t="str">
        <f>A182</f>
        <v>cesarean-birth-weight-2006-low-bw-A</v>
      </c>
      <c r="C182" s="2" t="s">
        <v>561</v>
      </c>
      <c r="D182" s="2" t="s">
        <v>1416</v>
      </c>
      <c r="E182" s="2" t="s">
        <v>792</v>
      </c>
      <c r="F182" s="4">
        <v>400</v>
      </c>
      <c r="G182" s="4">
        <v>800</v>
      </c>
      <c r="H182" s="3">
        <f>IF(G182 = 0, "", F182 / G182)</f>
        <v>0.5</v>
      </c>
      <c r="I182" s="5">
        <f>SUMIFS(G182,C182, C182,E182, E182)</f>
        <v>800</v>
      </c>
      <c r="J182" s="3">
        <f>IF(I182 = 0, "", G182 / I182)</f>
        <v>1</v>
      </c>
      <c r="K182" s="3" t="b">
        <f>AND(G182 &gt; 0, F182 &gt;= 0, F182 &lt;= G182)</f>
        <v>1</v>
      </c>
    </row>
    <row r="183">
      <c r="A183" s="2" t="s">
        <v>1960</v>
      </c>
      <c r="B183" s="3" t="str">
        <f>A183</f>
        <v>cesarean-birth-weight-2006-low-bw-B</v>
      </c>
      <c r="C183" s="2" t="s">
        <v>561</v>
      </c>
      <c r="D183" s="2" t="s">
        <v>1416</v>
      </c>
      <c r="E183" s="2" t="s">
        <v>795</v>
      </c>
      <c r="F183" s="4">
        <v>350</v>
      </c>
      <c r="G183" s="4">
        <v>600</v>
      </c>
      <c r="H183" s="3">
        <f>IF(G183 = 0, "", F183 / G183)</f>
        <v>0.5833333333333334</v>
      </c>
      <c r="I183" s="5">
        <f>SUMIFS(G183,C183, C183,E183, E183)</f>
        <v>600</v>
      </c>
      <c r="J183" s="3">
        <f>IF(I183 = 0, "", G183 / I183)</f>
        <v>1</v>
      </c>
      <c r="K183" s="3" t="b">
        <f>AND(G183 &gt; 0, F183 &gt;= 0, F183 &lt;= G183)</f>
        <v>1</v>
      </c>
    </row>
    <row r="184">
      <c r="A184" s="2" t="s">
        <v>1961</v>
      </c>
      <c r="B184" s="3" t="str">
        <f>A184</f>
        <v>schizophrenia-antipsychotic-moderate-A</v>
      </c>
      <c r="C184" s="2" t="s">
        <v>565</v>
      </c>
      <c r="D184" s="2" t="s">
        <v>1419</v>
      </c>
      <c r="E184" s="2" t="s">
        <v>792</v>
      </c>
      <c r="F184" s="4">
        <v>90</v>
      </c>
      <c r="G184" s="4">
        <v>150</v>
      </c>
      <c r="H184" s="3">
        <f>IF(G184 = 0, "", F184 / G184)</f>
        <v>0.6</v>
      </c>
      <c r="I184" s="5">
        <f>SUMIFS(G184,C184, C184,E184, E184)</f>
        <v>150</v>
      </c>
      <c r="J184" s="3">
        <f>IF(I184 = 0, "", G184 / I184)</f>
        <v>1</v>
      </c>
      <c r="K184" s="3" t="b">
        <f>AND(G184 &gt; 0, F184 &gt;= 0, F184 &lt;= G184)</f>
        <v>1</v>
      </c>
    </row>
    <row r="185">
      <c r="A185" s="2" t="s">
        <v>1962</v>
      </c>
      <c r="B185" s="3" t="str">
        <f>A185</f>
        <v>schizophrenia-antipsychotic-moderate-B</v>
      </c>
      <c r="C185" s="2" t="s">
        <v>565</v>
      </c>
      <c r="D185" s="2" t="s">
        <v>1419</v>
      </c>
      <c r="E185" s="2" t="s">
        <v>795</v>
      </c>
      <c r="F185" s="4">
        <v>80</v>
      </c>
      <c r="G185" s="4">
        <v>150</v>
      </c>
      <c r="H185" s="3">
        <f>IF(G185 = 0, "", F185 / G185)</f>
        <v>0.5333333333333333</v>
      </c>
      <c r="I185" s="5">
        <f>SUMIFS(G185,C185, C185,E185, E185)</f>
        <v>150</v>
      </c>
      <c r="J185" s="3">
        <f>IF(I185 = 0, "", G185 / I185)</f>
        <v>1</v>
      </c>
      <c r="K185" s="3" t="b">
        <f>AND(G185 &gt; 0, F185 &gt;= 0, F185 &lt;= G185)</f>
        <v>1</v>
      </c>
    </row>
    <row r="186">
      <c r="A186" s="2" t="s">
        <v>1963</v>
      </c>
      <c r="B186" s="3" t="str">
        <f>A186</f>
        <v>schizophrenia-antipsychotic-severe-A</v>
      </c>
      <c r="C186" s="2" t="s">
        <v>565</v>
      </c>
      <c r="D186" s="2" t="s">
        <v>1322</v>
      </c>
      <c r="E186" s="2" t="s">
        <v>792</v>
      </c>
      <c r="F186" s="4">
        <v>40</v>
      </c>
      <c r="G186" s="4">
        <v>120</v>
      </c>
      <c r="H186" s="3">
        <f>IF(G186 = 0, "", F186 / G186)</f>
        <v>0.3333333333333333</v>
      </c>
      <c r="I186" s="5">
        <f>SUMIFS(G186,C186, C186,E186, E186)</f>
        <v>120</v>
      </c>
      <c r="J186" s="3">
        <f>IF(I186 = 0, "", G186 / I186)</f>
        <v>1</v>
      </c>
      <c r="K186" s="3" t="b">
        <f>AND(G186 &gt; 0, F186 &gt;= 0, F186 &lt;= G186)</f>
        <v>1</v>
      </c>
    </row>
    <row r="187">
      <c r="A187" s="2" t="s">
        <v>1964</v>
      </c>
      <c r="B187" s="3" t="str">
        <f>A187</f>
        <v>schizophrenia-antipsychotic-severe-B</v>
      </c>
      <c r="C187" s="2" t="s">
        <v>565</v>
      </c>
      <c r="D187" s="2" t="s">
        <v>1322</v>
      </c>
      <c r="E187" s="2" t="s">
        <v>795</v>
      </c>
      <c r="F187" s="4">
        <v>55</v>
      </c>
      <c r="G187" s="4">
        <v>120</v>
      </c>
      <c r="H187" s="3">
        <f>IF(G187 = 0, "", F187 / G187)</f>
        <v>0.4583333333333333</v>
      </c>
      <c r="I187" s="5">
        <f>SUMIFS(G187,C187, C187,E187, E187)</f>
        <v>120</v>
      </c>
      <c r="J187" s="3">
        <f>IF(I187 = 0, "", G187 / I187)</f>
        <v>1</v>
      </c>
      <c r="K187" s="3" t="b">
        <f>AND(G187 &gt; 0, F187 &gt;= 0, F187 &lt;= G187)</f>
        <v>1</v>
      </c>
    </row>
    <row r="188">
      <c r="A188" s="2" t="s">
        <v>1965</v>
      </c>
      <c r="B188" s="3" t="str">
        <f>A188</f>
        <v>berkeley-six-dept-1973-dept-A-A</v>
      </c>
      <c r="C188" s="2" t="s">
        <v>568</v>
      </c>
      <c r="D188" s="2" t="s">
        <v>1168</v>
      </c>
      <c r="E188" s="2" t="s">
        <v>792</v>
      </c>
      <c r="F188" s="4">
        <v>512</v>
      </c>
      <c r="G188" s="4">
        <v>825</v>
      </c>
      <c r="H188" s="3">
        <f>IF(G188 = 0, "", F188 / G188)</f>
        <v>0.6206060606060606</v>
      </c>
      <c r="I188" s="5">
        <f>SUMIFS(G188,C188, C188,E188, E188)</f>
        <v>825</v>
      </c>
      <c r="J188" s="3">
        <f>IF(I188 = 0, "", G188 / I188)</f>
        <v>1</v>
      </c>
      <c r="K188" s="3" t="b">
        <f>AND(G188 &gt; 0, F188 &gt;= 0, F188 &lt;= G188)</f>
        <v>1</v>
      </c>
    </row>
    <row r="189">
      <c r="A189" s="2" t="s">
        <v>1966</v>
      </c>
      <c r="B189" s="3" t="str">
        <f>A189</f>
        <v>berkeley-six-dept-1973-dept-A-B</v>
      </c>
      <c r="C189" s="2" t="s">
        <v>568</v>
      </c>
      <c r="D189" s="2" t="s">
        <v>1168</v>
      </c>
      <c r="E189" s="2" t="s">
        <v>795</v>
      </c>
      <c r="F189" s="4">
        <v>89</v>
      </c>
      <c r="G189" s="4">
        <v>108</v>
      </c>
      <c r="H189" s="3">
        <f>IF(G189 = 0, "", F189 / G189)</f>
        <v>0.8240740740740741</v>
      </c>
      <c r="I189" s="5">
        <f>SUMIFS(G189,C189, C189,E189, E189)</f>
        <v>108</v>
      </c>
      <c r="J189" s="3">
        <f>IF(I189 = 0, "", G189 / I189)</f>
        <v>1</v>
      </c>
      <c r="K189" s="3" t="b">
        <f>AND(G189 &gt; 0, F189 &gt;= 0, F189 &lt;= G189)</f>
        <v>1</v>
      </c>
    </row>
    <row r="190">
      <c r="A190" s="2" t="s">
        <v>1967</v>
      </c>
      <c r="B190" s="3" t="str">
        <f>A190</f>
        <v>berkeley-six-dept-1973-dept-B-A</v>
      </c>
      <c r="C190" s="2" t="s">
        <v>568</v>
      </c>
      <c r="D190" s="2" t="s">
        <v>1171</v>
      </c>
      <c r="E190" s="2" t="s">
        <v>792</v>
      </c>
      <c r="F190" s="4">
        <v>353</v>
      </c>
      <c r="G190" s="4">
        <v>560</v>
      </c>
      <c r="H190" s="3">
        <f>IF(G190 = 0, "", F190 / G190)</f>
        <v>0.6303571428571428</v>
      </c>
      <c r="I190" s="5">
        <f>SUMIFS(G190,C190, C190,E190, E190)</f>
        <v>560</v>
      </c>
      <c r="J190" s="3">
        <f>IF(I190 = 0, "", G190 / I190)</f>
        <v>1</v>
      </c>
      <c r="K190" s="3" t="b">
        <f>AND(G190 &gt; 0, F190 &gt;= 0, F190 &lt;= G190)</f>
        <v>1</v>
      </c>
    </row>
    <row r="191">
      <c r="A191" s="2" t="s">
        <v>1968</v>
      </c>
      <c r="B191" s="3" t="str">
        <f>A191</f>
        <v>berkeley-six-dept-1973-dept-B-B</v>
      </c>
      <c r="C191" s="2" t="s">
        <v>568</v>
      </c>
      <c r="D191" s="2" t="s">
        <v>1171</v>
      </c>
      <c r="E191" s="2" t="s">
        <v>795</v>
      </c>
      <c r="F191" s="4">
        <v>17</v>
      </c>
      <c r="G191" s="4">
        <v>25</v>
      </c>
      <c r="H191" s="3">
        <f>IF(G191 = 0, "", F191 / G191)</f>
        <v>0.68</v>
      </c>
      <c r="I191" s="5">
        <f>SUMIFS(G191,C191, C191,E191, E191)</f>
        <v>25</v>
      </c>
      <c r="J191" s="3">
        <f>IF(I191 = 0, "", G191 / I191)</f>
        <v>1</v>
      </c>
      <c r="K191" s="3" t="b">
        <f>AND(G191 &gt; 0, F191 &gt;= 0, F191 &lt;= G191)</f>
        <v>1</v>
      </c>
    </row>
    <row r="192">
      <c r="A192" s="2" t="s">
        <v>1969</v>
      </c>
      <c r="B192" s="3" t="str">
        <f>A192</f>
        <v>berkeley-six-dept-1973-dept-C-A</v>
      </c>
      <c r="C192" s="2" t="s">
        <v>568</v>
      </c>
      <c r="D192" s="2" t="s">
        <v>1174</v>
      </c>
      <c r="E192" s="2" t="s">
        <v>792</v>
      </c>
      <c r="F192" s="4">
        <v>120</v>
      </c>
      <c r="G192" s="4">
        <v>325</v>
      </c>
      <c r="H192" s="3">
        <f>IF(G192 = 0, "", F192 / G192)</f>
        <v>0.36923076923076925</v>
      </c>
      <c r="I192" s="5">
        <f>SUMIFS(G192,C192, C192,E192, E192)</f>
        <v>325</v>
      </c>
      <c r="J192" s="3">
        <f>IF(I192 = 0, "", G192 / I192)</f>
        <v>1</v>
      </c>
      <c r="K192" s="3" t="b">
        <f>AND(G192 &gt; 0, F192 &gt;= 0, F192 &lt;= G192)</f>
        <v>1</v>
      </c>
    </row>
    <row r="193">
      <c r="A193" s="2" t="s">
        <v>1970</v>
      </c>
      <c r="B193" s="3" t="str">
        <f>A193</f>
        <v>berkeley-six-dept-1973-dept-C-B</v>
      </c>
      <c r="C193" s="2" t="s">
        <v>568</v>
      </c>
      <c r="D193" s="2" t="s">
        <v>1174</v>
      </c>
      <c r="E193" s="2" t="s">
        <v>795</v>
      </c>
      <c r="F193" s="4">
        <v>202</v>
      </c>
      <c r="G193" s="4">
        <v>593</v>
      </c>
      <c r="H193" s="3">
        <f>IF(G193 = 0, "", F193 / G193)</f>
        <v>0.3406408094435076</v>
      </c>
      <c r="I193" s="5">
        <f>SUMIFS(G193,C193, C193,E193, E193)</f>
        <v>593</v>
      </c>
      <c r="J193" s="3">
        <f>IF(I193 = 0, "", G193 / I193)</f>
        <v>1</v>
      </c>
      <c r="K193" s="3" t="b">
        <f>AND(G193 &gt; 0, F193 &gt;= 0, F193 &lt;= G193)</f>
        <v>1</v>
      </c>
    </row>
    <row r="194">
      <c r="A194" s="2" t="s">
        <v>1971</v>
      </c>
      <c r="B194" s="3" t="str">
        <f>A194</f>
        <v>berkeley-six-dept-1973-dept-D-A</v>
      </c>
      <c r="C194" s="2" t="s">
        <v>568</v>
      </c>
      <c r="D194" s="2" t="s">
        <v>1177</v>
      </c>
      <c r="E194" s="2" t="s">
        <v>792</v>
      </c>
      <c r="F194" s="4">
        <v>138</v>
      </c>
      <c r="G194" s="4">
        <v>417</v>
      </c>
      <c r="H194" s="3">
        <f>IF(G194 = 0, "", F194 / G194)</f>
        <v>0.33093525179856115</v>
      </c>
      <c r="I194" s="5">
        <f>SUMIFS(G194,C194, C194,E194, E194)</f>
        <v>417</v>
      </c>
      <c r="J194" s="3">
        <f>IF(I194 = 0, "", G194 / I194)</f>
        <v>1</v>
      </c>
      <c r="K194" s="3" t="b">
        <f>AND(G194 &gt; 0, F194 &gt;= 0, F194 &lt;= G194)</f>
        <v>1</v>
      </c>
    </row>
    <row r="195">
      <c r="A195" s="2" t="s">
        <v>1972</v>
      </c>
      <c r="B195" s="3" t="str">
        <f>A195</f>
        <v>berkeley-six-dept-1973-dept-D-B</v>
      </c>
      <c r="C195" s="2" t="s">
        <v>568</v>
      </c>
      <c r="D195" s="2" t="s">
        <v>1177</v>
      </c>
      <c r="E195" s="2" t="s">
        <v>795</v>
      </c>
      <c r="F195" s="4">
        <v>131</v>
      </c>
      <c r="G195" s="4">
        <v>375</v>
      </c>
      <c r="H195" s="3">
        <f>IF(G195 = 0, "", F195 / G195)</f>
        <v>0.34933333333333333</v>
      </c>
      <c r="I195" s="5">
        <f>SUMIFS(G195,C195, C195,E195, E195)</f>
        <v>375</v>
      </c>
      <c r="J195" s="3">
        <f>IF(I195 = 0, "", G195 / I195)</f>
        <v>1</v>
      </c>
      <c r="K195" s="3" t="b">
        <f>AND(G195 &gt; 0, F195 &gt;= 0, F195 &lt;= G195)</f>
        <v>1</v>
      </c>
    </row>
    <row r="196">
      <c r="A196" s="2" t="s">
        <v>1973</v>
      </c>
      <c r="B196" s="3" t="str">
        <f>A196</f>
        <v>berkeley-six-dept-1973-dept-E-A</v>
      </c>
      <c r="C196" s="2" t="s">
        <v>568</v>
      </c>
      <c r="D196" s="2" t="s">
        <v>1432</v>
      </c>
      <c r="E196" s="2" t="s">
        <v>792</v>
      </c>
      <c r="F196" s="4">
        <v>53</v>
      </c>
      <c r="G196" s="4">
        <v>191</v>
      </c>
      <c r="H196" s="3">
        <f>IF(G196 = 0, "", F196 / G196)</f>
        <v>0.2774869109947644</v>
      </c>
      <c r="I196" s="5">
        <f>SUMIFS(G196,C196, C196,E196, E196)</f>
        <v>191</v>
      </c>
      <c r="J196" s="3">
        <f>IF(I196 = 0, "", G196 / I196)</f>
        <v>1</v>
      </c>
      <c r="K196" s="3" t="b">
        <f>AND(G196 &gt; 0, F196 &gt;= 0, F196 &lt;= G196)</f>
        <v>1</v>
      </c>
    </row>
    <row r="197">
      <c r="A197" s="2" t="s">
        <v>1974</v>
      </c>
      <c r="B197" s="3" t="str">
        <f>A197</f>
        <v>berkeley-six-dept-1973-dept-E-B</v>
      </c>
      <c r="C197" s="2" t="s">
        <v>568</v>
      </c>
      <c r="D197" s="2" t="s">
        <v>1432</v>
      </c>
      <c r="E197" s="2" t="s">
        <v>795</v>
      </c>
      <c r="F197" s="4">
        <v>94</v>
      </c>
      <c r="G197" s="4">
        <v>393</v>
      </c>
      <c r="H197" s="3">
        <f>IF(G197 = 0, "", F197 / G197)</f>
        <v>0.23918575063613232</v>
      </c>
      <c r="I197" s="5">
        <f>SUMIFS(G197,C197, C197,E197, E197)</f>
        <v>393</v>
      </c>
      <c r="J197" s="3">
        <f>IF(I197 = 0, "", G197 / I197)</f>
        <v>1</v>
      </c>
      <c r="K197" s="3" t="b">
        <f>AND(G197 &gt; 0, F197 &gt;= 0, F197 &lt;= G197)</f>
        <v>1</v>
      </c>
    </row>
    <row r="198">
      <c r="A198" s="2" t="s">
        <v>1975</v>
      </c>
      <c r="B198" s="3" t="str">
        <f>A198</f>
        <v>berkeley-six-dept-1973-dept-F-A</v>
      </c>
      <c r="C198" s="2" t="s">
        <v>568</v>
      </c>
      <c r="D198" s="2" t="s">
        <v>1435</v>
      </c>
      <c r="E198" s="2" t="s">
        <v>792</v>
      </c>
      <c r="F198" s="4">
        <v>22</v>
      </c>
      <c r="G198" s="4">
        <v>373</v>
      </c>
      <c r="H198" s="3">
        <f>IF(G198 = 0, "", F198 / G198)</f>
        <v>0.058981233243967826</v>
      </c>
      <c r="I198" s="5">
        <f>SUMIFS(G198,C198, C198,E198, E198)</f>
        <v>373</v>
      </c>
      <c r="J198" s="3">
        <f>IF(I198 = 0, "", G198 / I198)</f>
        <v>1</v>
      </c>
      <c r="K198" s="3" t="b">
        <f>AND(G198 &gt; 0, F198 &gt;= 0, F198 &lt;= G198)</f>
        <v>1</v>
      </c>
    </row>
    <row r="199">
      <c r="A199" s="2" t="s">
        <v>1976</v>
      </c>
      <c r="B199" s="3" t="str">
        <f>A199</f>
        <v>berkeley-six-dept-1973-dept-F-B</v>
      </c>
      <c r="C199" s="2" t="s">
        <v>568</v>
      </c>
      <c r="D199" s="2" t="s">
        <v>1435</v>
      </c>
      <c r="E199" s="2" t="s">
        <v>795</v>
      </c>
      <c r="F199" s="4">
        <v>24</v>
      </c>
      <c r="G199" s="4">
        <v>341</v>
      </c>
      <c r="H199" s="3">
        <f>IF(G199 = 0, "", F199 / G199)</f>
        <v>0.07038123167155426</v>
      </c>
      <c r="I199" s="5">
        <f>SUMIFS(G199,C199, C199,E199, E199)</f>
        <v>341</v>
      </c>
      <c r="J199" s="3">
        <f>IF(I199 = 0, "", G199 / I199)</f>
        <v>1</v>
      </c>
      <c r="K199" s="3" t="b">
        <f>AND(G199 &gt; 0, F199 &gt;= 0, F199 &lt;= G199)</f>
        <v>1</v>
      </c>
    </row>
    <row r="200">
      <c r="A200" s="2" t="s">
        <v>1977</v>
      </c>
      <c r="B200" s="3" t="str">
        <f>A200</f>
        <v>rosiglitazone-mi-pool-2007-imbalanced-trials-A</v>
      </c>
      <c r="C200" s="2" t="s">
        <v>572</v>
      </c>
      <c r="D200" s="2" t="s">
        <v>1438</v>
      </c>
      <c r="E200" s="2" t="s">
        <v>792</v>
      </c>
      <c r="F200" s="4">
        <v>30</v>
      </c>
      <c r="G200" s="4">
        <v>12000</v>
      </c>
      <c r="H200" s="3">
        <f>IF(G200 = 0, "", F200 / G200)</f>
        <v>0.0025</v>
      </c>
      <c r="I200" s="5">
        <f>SUMIFS(G200,C200, C200,E200, E200)</f>
        <v>12000</v>
      </c>
      <c r="J200" s="3">
        <f>IF(I200 = 0, "", G200 / I200)</f>
        <v>1</v>
      </c>
      <c r="K200" s="3" t="b">
        <f>AND(G200 &gt; 0, F200 &gt;= 0, F200 &lt;= G200)</f>
        <v>1</v>
      </c>
    </row>
    <row r="201">
      <c r="A201" s="2" t="s">
        <v>1978</v>
      </c>
      <c r="B201" s="3" t="str">
        <f>A201</f>
        <v>rosiglitazone-mi-pool-2007-imbalanced-trials-B</v>
      </c>
      <c r="C201" s="2" t="s">
        <v>572</v>
      </c>
      <c r="D201" s="2" t="s">
        <v>1438</v>
      </c>
      <c r="E201" s="2" t="s">
        <v>795</v>
      </c>
      <c r="F201" s="4">
        <v>20</v>
      </c>
      <c r="G201" s="4">
        <v>3000</v>
      </c>
      <c r="H201" s="3">
        <f>IF(G201 = 0, "", F201 / G201)</f>
        <v>0.006666666666666667</v>
      </c>
      <c r="I201" s="5">
        <f>SUMIFS(G201,C201, C201,E201, E201)</f>
        <v>3000</v>
      </c>
      <c r="J201" s="3">
        <f>IF(I201 = 0, "", G201 / I201)</f>
        <v>1</v>
      </c>
      <c r="K201" s="3" t="b">
        <f>AND(G201 &gt; 0, F201 &gt;= 0, F201 &lt;= G201)</f>
        <v>1</v>
      </c>
    </row>
    <row r="202">
      <c r="A202" s="2" t="s">
        <v>1979</v>
      </c>
      <c r="B202" s="3" t="str">
        <f>A202</f>
        <v>rosiglitazone-mi-pool-2007-balanced-trials-A</v>
      </c>
      <c r="C202" s="2" t="s">
        <v>572</v>
      </c>
      <c r="D202" s="2" t="s">
        <v>1441</v>
      </c>
      <c r="E202" s="2" t="s">
        <v>792</v>
      </c>
      <c r="F202" s="4">
        <v>56</v>
      </c>
      <c r="G202" s="4">
        <v>3565</v>
      </c>
      <c r="H202" s="3">
        <f>IF(G202 = 0, "", F202 / G202)</f>
        <v>0.01570827489481066</v>
      </c>
      <c r="I202" s="5">
        <f>SUMIFS(G202,C202, C202,E202, E202)</f>
        <v>3565</v>
      </c>
      <c r="J202" s="3">
        <f>IF(I202 = 0, "", G202 / I202)</f>
        <v>1</v>
      </c>
      <c r="K202" s="3" t="b">
        <f>AND(G202 &gt; 0, F202 &gt;= 0, F202 &lt;= G202)</f>
        <v>1</v>
      </c>
    </row>
    <row r="203">
      <c r="A203" s="2" t="s">
        <v>1980</v>
      </c>
      <c r="B203" s="3" t="str">
        <f>A203</f>
        <v>rosiglitazone-mi-pool-2007-balanced-trials-B</v>
      </c>
      <c r="C203" s="2" t="s">
        <v>572</v>
      </c>
      <c r="D203" s="2" t="s">
        <v>1441</v>
      </c>
      <c r="E203" s="2" t="s">
        <v>795</v>
      </c>
      <c r="F203" s="4">
        <v>52</v>
      </c>
      <c r="G203" s="4">
        <v>9282</v>
      </c>
      <c r="H203" s="3">
        <f>IF(G203 = 0, "", F203 / G203)</f>
        <v>0.0056022408963585435</v>
      </c>
      <c r="I203" s="5">
        <f>SUMIFS(G203,C203, C203,E203, E203)</f>
        <v>9282</v>
      </c>
      <c r="J203" s="3">
        <f>IF(I203 = 0, "", G203 / I203)</f>
        <v>1</v>
      </c>
      <c r="K203" s="3" t="b">
        <f>AND(G203 &gt; 0, F203 &gt;= 0, F203 &lt;= G203)</f>
        <v>1</v>
      </c>
    </row>
    <row r="204">
      <c r="A204" s="2" t="s">
        <v>1981</v>
      </c>
      <c r="B204" s="3" t="str">
        <f>A204</f>
        <v>ironman-gender-age-2010-young-cohort-A</v>
      </c>
      <c r="C204" s="2" t="s">
        <v>576</v>
      </c>
      <c r="D204" s="2" t="s">
        <v>1444</v>
      </c>
      <c r="E204" s="2" t="s">
        <v>792</v>
      </c>
      <c r="F204" s="4">
        <v>80</v>
      </c>
      <c r="G204" s="4">
        <v>100</v>
      </c>
      <c r="H204" s="3">
        <f>IF(G204 = 0, "", F204 / G204)</f>
        <v>0.8</v>
      </c>
      <c r="I204" s="5">
        <f>SUMIFS(G204,C204, C204,E204, E204)</f>
        <v>100</v>
      </c>
      <c r="J204" s="3">
        <f>IF(I204 = 0, "", G204 / I204)</f>
        <v>1</v>
      </c>
      <c r="K204" s="3" t="b">
        <f>AND(G204 &gt; 0, F204 &gt;= 0, F204 &lt;= G204)</f>
        <v>1</v>
      </c>
    </row>
    <row r="205">
      <c r="A205" s="2" t="s">
        <v>1982</v>
      </c>
      <c r="B205" s="3" t="str">
        <f>A205</f>
        <v>ironman-gender-age-2010-young-cohort-B</v>
      </c>
      <c r="C205" s="2" t="s">
        <v>576</v>
      </c>
      <c r="D205" s="2" t="s">
        <v>1444</v>
      </c>
      <c r="E205" s="2" t="s">
        <v>795</v>
      </c>
      <c r="F205" s="4">
        <v>9</v>
      </c>
      <c r="G205" s="4">
        <v>10</v>
      </c>
      <c r="H205" s="3">
        <f>IF(G205 = 0, "", F205 / G205)</f>
        <v>0.9</v>
      </c>
      <c r="I205" s="5">
        <f>SUMIFS(G205,C205, C205,E205, E205)</f>
        <v>10</v>
      </c>
      <c r="J205" s="3">
        <f>IF(I205 = 0, "", G205 / I205)</f>
        <v>1</v>
      </c>
      <c r="K205" s="3" t="b">
        <f>AND(G205 &gt; 0, F205 &gt;= 0, F205 &lt;= G205)</f>
        <v>1</v>
      </c>
    </row>
    <row r="206">
      <c r="A206" s="2" t="s">
        <v>1983</v>
      </c>
      <c r="B206" s="3" t="str">
        <f>A206</f>
        <v>ironman-gender-age-2010-old-cohort-A</v>
      </c>
      <c r="C206" s="2" t="s">
        <v>576</v>
      </c>
      <c r="D206" s="2" t="s">
        <v>1447</v>
      </c>
      <c r="E206" s="2" t="s">
        <v>792</v>
      </c>
      <c r="F206" s="4">
        <v>5</v>
      </c>
      <c r="G206" s="4">
        <v>10</v>
      </c>
      <c r="H206" s="3">
        <f>IF(G206 = 0, "", F206 / G206)</f>
        <v>0.5</v>
      </c>
      <c r="I206" s="5">
        <f>SUMIFS(G206,C206, C206,E206, E206)</f>
        <v>10</v>
      </c>
      <c r="J206" s="3">
        <f>IF(I206 = 0, "", G206 / I206)</f>
        <v>1</v>
      </c>
      <c r="K206" s="3" t="b">
        <f>AND(G206 &gt; 0, F206 &gt;= 0, F206 &lt;= G206)</f>
        <v>1</v>
      </c>
    </row>
    <row r="207">
      <c r="A207" s="2" t="s">
        <v>1984</v>
      </c>
      <c r="B207" s="3" t="str">
        <f>A207</f>
        <v>ironman-gender-age-2010-old-cohort-B</v>
      </c>
      <c r="C207" s="2" t="s">
        <v>576</v>
      </c>
      <c r="D207" s="2" t="s">
        <v>1447</v>
      </c>
      <c r="E207" s="2" t="s">
        <v>795</v>
      </c>
      <c r="F207" s="4">
        <v>60</v>
      </c>
      <c r="G207" s="4">
        <v>100</v>
      </c>
      <c r="H207" s="3">
        <f>IF(G207 = 0, "", F207 / G207)</f>
        <v>0.6</v>
      </c>
      <c r="I207" s="5">
        <f>SUMIFS(G207,C207, C207,E207, E207)</f>
        <v>100</v>
      </c>
      <c r="J207" s="3">
        <f>IF(I207 = 0, "", G207 / I207)</f>
        <v>1</v>
      </c>
      <c r="K207" s="3" t="b">
        <f>AND(G207 &gt; 0, F207 &gt;= 0, F207 &lt;= G207)</f>
        <v>1</v>
      </c>
    </row>
    <row r="208">
      <c r="A208" s="2" t="s">
        <v>1985</v>
      </c>
      <c r="B208" s="3" t="str">
        <f>A208</f>
        <v>hanley-power-lines-2000-myers-1990-A</v>
      </c>
      <c r="C208" s="2" t="s">
        <v>579</v>
      </c>
      <c r="D208" s="2" t="s">
        <v>1450</v>
      </c>
      <c r="E208" s="2" t="s">
        <v>792</v>
      </c>
      <c r="F208" s="4">
        <v>8</v>
      </c>
      <c r="G208" s="4">
        <v>13</v>
      </c>
      <c r="H208" s="3">
        <f>IF(G208 = 0, "", F208 / G208)</f>
        <v>0.6153846153846154</v>
      </c>
      <c r="I208" s="5">
        <f>SUMIFS(G208,C208, C208,E208, E208)</f>
        <v>13</v>
      </c>
      <c r="J208" s="3">
        <f>IF(I208 = 0, "", G208 / I208)</f>
        <v>1</v>
      </c>
      <c r="K208" s="3" t="b">
        <f>AND(G208 &gt; 0, F208 &gt;= 0, F208 &lt;= G208)</f>
        <v>1</v>
      </c>
    </row>
    <row r="209">
      <c r="A209" s="2" t="s">
        <v>1986</v>
      </c>
      <c r="B209" s="3" t="str">
        <f>A209</f>
        <v>hanley-power-lines-2000-myers-1990-B</v>
      </c>
      <c r="C209" s="2" t="s">
        <v>579</v>
      </c>
      <c r="D209" s="2" t="s">
        <v>1450</v>
      </c>
      <c r="E209" s="2" t="s">
        <v>795</v>
      </c>
      <c r="F209" s="4">
        <v>28</v>
      </c>
      <c r="G209" s="4">
        <v>124</v>
      </c>
      <c r="H209" s="3">
        <f>IF(G209 = 0, "", F209 / G209)</f>
        <v>0.22580645161290322</v>
      </c>
      <c r="I209" s="5">
        <f>SUMIFS(G209,C209, C209,E209, E209)</f>
        <v>124</v>
      </c>
      <c r="J209" s="3">
        <f>IF(I209 = 0, "", G209 / I209)</f>
        <v>1</v>
      </c>
      <c r="K209" s="3" t="b">
        <f>AND(G209 &gt; 0, F209 &gt;= 0, F209 &lt;= G209)</f>
        <v>1</v>
      </c>
    </row>
    <row r="210">
      <c r="A210" s="2" t="s">
        <v>1987</v>
      </c>
      <c r="B210" s="3" t="str">
        <f>A210</f>
        <v>hanley-power-lines-2000-feychting-1993-A</v>
      </c>
      <c r="C210" s="2" t="s">
        <v>579</v>
      </c>
      <c r="D210" s="2" t="s">
        <v>1453</v>
      </c>
      <c r="E210" s="2" t="s">
        <v>792</v>
      </c>
      <c r="F210" s="4">
        <v>12</v>
      </c>
      <c r="G210" s="4">
        <v>135</v>
      </c>
      <c r="H210" s="3">
        <f>IF(G210 = 0, "", F210 / G210)</f>
        <v>0.08888888888888889</v>
      </c>
      <c r="I210" s="5">
        <f>SUMIFS(G210,C210, C210,E210, E210)</f>
        <v>135</v>
      </c>
      <c r="J210" s="3">
        <f>IF(I210 = 0, "", G210 / I210)</f>
        <v>1</v>
      </c>
      <c r="K210" s="3" t="b">
        <f>AND(G210 &gt; 0, F210 &gt;= 0, F210 &lt;= G210)</f>
        <v>1</v>
      </c>
    </row>
    <row r="211">
      <c r="A211" s="2" t="s">
        <v>1988</v>
      </c>
      <c r="B211" s="3" t="str">
        <f>A211</f>
        <v>hanley-power-lines-2000-feychting-1993-B</v>
      </c>
      <c r="C211" s="2" t="s">
        <v>579</v>
      </c>
      <c r="D211" s="2" t="s">
        <v>1453</v>
      </c>
      <c r="E211" s="2" t="s">
        <v>795</v>
      </c>
      <c r="F211" s="4">
        <v>26</v>
      </c>
      <c r="G211" s="4">
        <v>457</v>
      </c>
      <c r="H211" s="3">
        <f>IF(G211 = 0, "", F211 / G211)</f>
        <v>0.05689277899343545</v>
      </c>
      <c r="I211" s="5">
        <f>SUMIFS(G211,C211, C211,E211, E211)</f>
        <v>457</v>
      </c>
      <c r="J211" s="3">
        <f>IF(I211 = 0, "", G211 / I211)</f>
        <v>1</v>
      </c>
      <c r="K211" s="3" t="b">
        <f>AND(G211 &gt; 0, F211 &gt;= 0, F211 &lt;= G211)</f>
        <v>1</v>
      </c>
    </row>
    <row r="212">
      <c r="A212" s="2" t="s">
        <v>1989</v>
      </c>
      <c r="B212" s="3" t="str">
        <f>A212</f>
        <v>hanley-power-lines-2000-tynes-1997-A</v>
      </c>
      <c r="C212" s="2" t="s">
        <v>579</v>
      </c>
      <c r="D212" s="2" t="s">
        <v>1456</v>
      </c>
      <c r="E212" s="2" t="s">
        <v>792</v>
      </c>
      <c r="F212" s="4">
        <v>11</v>
      </c>
      <c r="G212" s="4">
        <v>82</v>
      </c>
      <c r="H212" s="3">
        <f>IF(G212 = 0, "", F212 / G212)</f>
        <v>0.13414634146341464</v>
      </c>
      <c r="I212" s="5">
        <f>SUMIFS(G212,C212, C212,E212, E212)</f>
        <v>82</v>
      </c>
      <c r="J212" s="3">
        <f>IF(I212 = 0, "", G212 / I212)</f>
        <v>1</v>
      </c>
      <c r="K212" s="3" t="b">
        <f>AND(G212 &gt; 0, F212 &gt;= 0, F212 &lt;= G212)</f>
        <v>1</v>
      </c>
    </row>
    <row r="213">
      <c r="A213" s="2" t="s">
        <v>1990</v>
      </c>
      <c r="B213" s="3" t="str">
        <f>A213</f>
        <v>hanley-power-lines-2000-tynes-1997-B</v>
      </c>
      <c r="C213" s="2" t="s">
        <v>579</v>
      </c>
      <c r="D213" s="2" t="s">
        <v>1456</v>
      </c>
      <c r="E213" s="2" t="s">
        <v>795</v>
      </c>
      <c r="F213" s="4">
        <v>33</v>
      </c>
      <c r="G213" s="4">
        <v>584</v>
      </c>
      <c r="H213" s="3">
        <f>IF(G213 = 0, "", F213 / G213)</f>
        <v>0.05650684931506849</v>
      </c>
      <c r="I213" s="5">
        <f>SUMIFS(G213,C213, C213,E213, E213)</f>
        <v>584</v>
      </c>
      <c r="J213" s="3">
        <f>IF(I213 = 0, "", G213 / I213)</f>
        <v>1</v>
      </c>
      <c r="K213" s="3" t="b">
        <f>AND(G213 &gt; 0, F213 &gt;= 0, F213 &lt;= G213)</f>
        <v>1</v>
      </c>
    </row>
    <row r="214">
      <c r="A214" s="2" t="s">
        <v>1991</v>
      </c>
      <c r="B214" s="3" t="str">
        <f>A214</f>
        <v>hanley-power-lines-2000-li-1998-A</v>
      </c>
      <c r="C214" s="2" t="s">
        <v>579</v>
      </c>
      <c r="D214" s="2" t="s">
        <v>1459</v>
      </c>
      <c r="E214" s="2" t="s">
        <v>792</v>
      </c>
      <c r="F214" s="4">
        <v>5</v>
      </c>
      <c r="G214" s="4">
        <v>13</v>
      </c>
      <c r="H214" s="3">
        <f>IF(G214 = 0, "", F214 / G214)</f>
        <v>0.38461538461538464</v>
      </c>
      <c r="I214" s="5">
        <f>SUMIFS(G214,C214, C214,E214, E214)</f>
        <v>13</v>
      </c>
      <c r="J214" s="3">
        <f>IF(I214 = 0, "", G214 / I214)</f>
        <v>1</v>
      </c>
      <c r="K214" s="3" t="b">
        <f>AND(G214 &gt; 0, F214 &gt;= 0, F214 &lt;= G214)</f>
        <v>1</v>
      </c>
    </row>
    <row r="215">
      <c r="A215" s="2" t="s">
        <v>1992</v>
      </c>
      <c r="B215" s="3" t="str">
        <f>A215</f>
        <v>hanley-power-lines-2000-li-1998-B</v>
      </c>
      <c r="C215" s="2" t="s">
        <v>579</v>
      </c>
      <c r="D215" s="2" t="s">
        <v>1459</v>
      </c>
      <c r="E215" s="2" t="s">
        <v>795</v>
      </c>
      <c r="F215" s="4">
        <v>14</v>
      </c>
      <c r="G215" s="4">
        <v>42</v>
      </c>
      <c r="H215" s="3">
        <f>IF(G215 = 0, "", F215 / G215)</f>
        <v>0.3333333333333333</v>
      </c>
      <c r="I215" s="5">
        <f>SUMIFS(G215,C215, C215,E215, E215)</f>
        <v>42</v>
      </c>
      <c r="J215" s="3">
        <f>IF(I215 = 0, "", G215 / I215)</f>
        <v>1</v>
      </c>
      <c r="K215" s="3" t="b">
        <f>AND(G215 &gt; 0, F215 &gt;= 0, F215 &lt;= G215)</f>
        <v>1</v>
      </c>
    </row>
    <row r="216">
      <c r="A216" s="2" t="s">
        <v>1993</v>
      </c>
      <c r="B216" s="3" t="str">
        <f>A216</f>
        <v>hanley-power-lines-2000-mcbride-1999-A</v>
      </c>
      <c r="C216" s="2" t="s">
        <v>579</v>
      </c>
      <c r="D216" s="2" t="s">
        <v>1462</v>
      </c>
      <c r="E216" s="2" t="s">
        <v>792</v>
      </c>
      <c r="F216" s="4">
        <v>6</v>
      </c>
      <c r="G216" s="4">
        <v>12</v>
      </c>
      <c r="H216" s="3">
        <f>IF(G216 = 0, "", F216 / G216)</f>
        <v>0.5</v>
      </c>
      <c r="I216" s="5">
        <f>SUMIFS(G216,C216, C216,E216, E216)</f>
        <v>12</v>
      </c>
      <c r="J216" s="3">
        <f>IF(I216 = 0, "", G216 / I216)</f>
        <v>1</v>
      </c>
      <c r="K216" s="3" t="b">
        <f>AND(G216 &gt; 0, F216 &gt;= 0, F216 &lt;= G216)</f>
        <v>1</v>
      </c>
    </row>
    <row r="217">
      <c r="A217" s="2" t="s">
        <v>1994</v>
      </c>
      <c r="B217" s="3" t="str">
        <f>A217</f>
        <v>hanley-power-lines-2000-mcbride-1999-B</v>
      </c>
      <c r="C217" s="2" t="s">
        <v>579</v>
      </c>
      <c r="D217" s="2" t="s">
        <v>1462</v>
      </c>
      <c r="E217" s="2" t="s">
        <v>795</v>
      </c>
      <c r="F217" s="4">
        <v>25</v>
      </c>
      <c r="G217" s="4">
        <v>53</v>
      </c>
      <c r="H217" s="3">
        <f>IF(G217 = 0, "", F217 / G217)</f>
        <v>0.4716981132075472</v>
      </c>
      <c r="I217" s="5">
        <f>SUMIFS(G217,C217, C217,E217, E217)</f>
        <v>53</v>
      </c>
      <c r="J217" s="3">
        <f>IF(I217 = 0, "", G217 / I217)</f>
        <v>1</v>
      </c>
      <c r="K217" s="3" t="b">
        <f>AND(G217 &gt; 0, F217 &gt;= 0, F217 &lt;= G217)</f>
        <v>1</v>
      </c>
    </row>
    <row r="218">
      <c r="A218" s="2" t="s">
        <v>1995</v>
      </c>
      <c r="B218" s="3" t="str">
        <f>A218</f>
        <v>coffee-smoking-lung-1968-smokers-A</v>
      </c>
      <c r="C218" s="2" t="s">
        <v>583</v>
      </c>
      <c r="D218" s="2" t="s">
        <v>1465</v>
      </c>
      <c r="E218" s="2" t="s">
        <v>792</v>
      </c>
      <c r="F218" s="4">
        <v>141</v>
      </c>
      <c r="G218" s="4">
        <v>778</v>
      </c>
      <c r="H218" s="3">
        <f>IF(G218 = 0, "", F218 / G218)</f>
        <v>0.18123393316195371</v>
      </c>
      <c r="I218" s="5">
        <f>SUMIFS(G218,C218, C218,E218, E218)</f>
        <v>778</v>
      </c>
      <c r="J218" s="3">
        <f>IF(I218 = 0, "", G218 / I218)</f>
        <v>1</v>
      </c>
      <c r="K218" s="3" t="b">
        <f>AND(G218 &gt; 0, F218 &gt;= 0, F218 &lt;= G218)</f>
        <v>1</v>
      </c>
    </row>
    <row r="219">
      <c r="A219" s="2" t="s">
        <v>1996</v>
      </c>
      <c r="B219" s="3" t="str">
        <f>A219</f>
        <v>coffee-smoking-lung-1968-smokers-B</v>
      </c>
      <c r="C219" s="2" t="s">
        <v>583</v>
      </c>
      <c r="D219" s="2" t="s">
        <v>1465</v>
      </c>
      <c r="E219" s="2" t="s">
        <v>795</v>
      </c>
      <c r="F219" s="4">
        <v>15</v>
      </c>
      <c r="G219" s="4">
        <v>88</v>
      </c>
      <c r="H219" s="3">
        <f>IF(G219 = 0, "", F219 / G219)</f>
        <v>0.17045454545454544</v>
      </c>
      <c r="I219" s="5">
        <f>SUMIFS(G219,C219, C219,E219, E219)</f>
        <v>88</v>
      </c>
      <c r="J219" s="3">
        <f>IF(I219 = 0, "", G219 / I219)</f>
        <v>1</v>
      </c>
      <c r="K219" s="3" t="b">
        <f>AND(G219 &gt; 0, F219 &gt;= 0, F219 &lt;= G219)</f>
        <v>1</v>
      </c>
    </row>
    <row r="220">
      <c r="A220" s="2" t="s">
        <v>1997</v>
      </c>
      <c r="B220" s="3" t="str">
        <f>A220</f>
        <v>coffee-smoking-lung-1968-nonsmokers-A</v>
      </c>
      <c r="C220" s="2" t="s">
        <v>583</v>
      </c>
      <c r="D220" s="2" t="s">
        <v>1467</v>
      </c>
      <c r="E220" s="2" t="s">
        <v>792</v>
      </c>
      <c r="F220" s="4">
        <v>6</v>
      </c>
      <c r="G220" s="4">
        <v>120</v>
      </c>
      <c r="H220" s="3">
        <f>IF(G220 = 0, "", F220 / G220)</f>
        <v>0.05</v>
      </c>
      <c r="I220" s="5">
        <f>SUMIFS(G220,C220, C220,E220, E220)</f>
        <v>120</v>
      </c>
      <c r="J220" s="3">
        <f>IF(I220 = 0, "", G220 / I220)</f>
        <v>1</v>
      </c>
      <c r="K220" s="3" t="b">
        <f>AND(G220 &gt; 0, F220 &gt;= 0, F220 &lt;= G220)</f>
        <v>1</v>
      </c>
    </row>
    <row r="221">
      <c r="A221" s="2" t="s">
        <v>1998</v>
      </c>
      <c r="B221" s="3" t="str">
        <f>A221</f>
        <v>coffee-smoking-lung-1968-nonsmokers-B</v>
      </c>
      <c r="C221" s="2" t="s">
        <v>583</v>
      </c>
      <c r="D221" s="2" t="s">
        <v>1467</v>
      </c>
      <c r="E221" s="2" t="s">
        <v>795</v>
      </c>
      <c r="F221" s="4">
        <v>8</v>
      </c>
      <c r="G221" s="4">
        <v>130</v>
      </c>
      <c r="H221" s="3">
        <f>IF(G221 = 0, "", F221 / G221)</f>
        <v>0.06153846153846154</v>
      </c>
      <c r="I221" s="5">
        <f>SUMIFS(G221,C221, C221,E221, E221)</f>
        <v>130</v>
      </c>
      <c r="J221" s="3">
        <f>IF(I221 = 0, "", G221 / I221)</f>
        <v>1</v>
      </c>
      <c r="K221" s="3" t="b">
        <f>AND(G221 &gt; 0, F221 &gt;= 0, F221 &lt;= G221)</f>
        <v>1</v>
      </c>
    </row>
    <row r="222">
      <c r="A222" s="2" t="s">
        <v>1999</v>
      </c>
      <c r="B222" s="3" t="str">
        <f>A222</f>
        <v>panama-sweden-mortality-1975-under-10-A</v>
      </c>
      <c r="C222" s="2" t="s">
        <v>586</v>
      </c>
      <c r="D222" s="2" t="s">
        <v>1470</v>
      </c>
      <c r="E222" s="2" t="s">
        <v>792</v>
      </c>
      <c r="F222" s="4">
        <v>99</v>
      </c>
      <c r="G222" s="4">
        <v>100</v>
      </c>
      <c r="H222" s="3">
        <f>IF(G222 = 0, "", F222 / G222)</f>
        <v>0.99</v>
      </c>
      <c r="I222" s="5">
        <f>SUMIFS(G222,C222, C222,E222, E222)</f>
        <v>100</v>
      </c>
      <c r="J222" s="3">
        <f>IF(I222 = 0, "", G222 / I222)</f>
        <v>1</v>
      </c>
      <c r="K222" s="3" t="b">
        <f>AND(G222 &gt; 0, F222 &gt;= 0, F222 &lt;= G222)</f>
        <v>1</v>
      </c>
    </row>
    <row r="223">
      <c r="A223" s="2" t="s">
        <v>2000</v>
      </c>
      <c r="B223" s="3" t="str">
        <f>A223</f>
        <v>panama-sweden-mortality-1975-under-10-B</v>
      </c>
      <c r="C223" s="2" t="s">
        <v>586</v>
      </c>
      <c r="D223" s="2" t="s">
        <v>1470</v>
      </c>
      <c r="E223" s="2" t="s">
        <v>795</v>
      </c>
      <c r="F223" s="4">
        <v>493</v>
      </c>
      <c r="G223" s="4">
        <v>500</v>
      </c>
      <c r="H223" s="3">
        <f>IF(G223 = 0, "", F223 / G223)</f>
        <v>0.986</v>
      </c>
      <c r="I223" s="5">
        <f>SUMIFS(G223,C223, C223,E223, E223)</f>
        <v>500</v>
      </c>
      <c r="J223" s="3">
        <f>IF(I223 = 0, "", G223 / I223)</f>
        <v>1</v>
      </c>
      <c r="K223" s="3" t="b">
        <f>AND(G223 &gt; 0, F223 &gt;= 0, F223 &lt;= G223)</f>
        <v>1</v>
      </c>
    </row>
    <row r="224">
      <c r="A224" s="2" t="s">
        <v>2001</v>
      </c>
      <c r="B224" s="3" t="str">
        <f>A224</f>
        <v>panama-sweden-mortality-1975-mid-age-A</v>
      </c>
      <c r="C224" s="2" t="s">
        <v>586</v>
      </c>
      <c r="D224" s="2" t="s">
        <v>1473</v>
      </c>
      <c r="E224" s="2" t="s">
        <v>792</v>
      </c>
      <c r="F224" s="4">
        <v>299</v>
      </c>
      <c r="G224" s="4">
        <v>300</v>
      </c>
      <c r="H224" s="3">
        <f>IF(G224 = 0, "", F224 / G224)</f>
        <v>0.9966666666666667</v>
      </c>
      <c r="I224" s="5">
        <f>SUMIFS(G224,C224, C224,E224, E224)</f>
        <v>300</v>
      </c>
      <c r="J224" s="3">
        <f>IF(I224 = 0, "", G224 / I224)</f>
        <v>1</v>
      </c>
      <c r="K224" s="3" t="b">
        <f>AND(G224 &gt; 0, F224 &gt;= 0, F224 &lt;= G224)</f>
        <v>1</v>
      </c>
    </row>
    <row r="225">
      <c r="A225" s="2" t="s">
        <v>2002</v>
      </c>
      <c r="B225" s="3" t="str">
        <f>A225</f>
        <v>panama-sweden-mortality-1975-mid-age-B</v>
      </c>
      <c r="C225" s="2" t="s">
        <v>586</v>
      </c>
      <c r="D225" s="2" t="s">
        <v>1473</v>
      </c>
      <c r="E225" s="2" t="s">
        <v>795</v>
      </c>
      <c r="F225" s="4">
        <v>348</v>
      </c>
      <c r="G225" s="4">
        <v>350</v>
      </c>
      <c r="H225" s="3">
        <f>IF(G225 = 0, "", F225 / G225)</f>
        <v>0.9942857142857143</v>
      </c>
      <c r="I225" s="5">
        <f>SUMIFS(G225,C225, C225,E225, E225)</f>
        <v>350</v>
      </c>
      <c r="J225" s="3">
        <f>IF(I225 = 0, "", G225 / I225)</f>
        <v>1</v>
      </c>
      <c r="K225" s="3" t="b">
        <f>AND(G225 &gt; 0, F225 &gt;= 0, F225 &lt;= G225)</f>
        <v>1</v>
      </c>
    </row>
    <row r="226">
      <c r="A226" s="2" t="s">
        <v>2003</v>
      </c>
      <c r="B226" s="3" t="str">
        <f>A226</f>
        <v>panama-sweden-mortality-1975-elderly-A</v>
      </c>
      <c r="C226" s="2" t="s">
        <v>586</v>
      </c>
      <c r="D226" s="2" t="s">
        <v>1476</v>
      </c>
      <c r="E226" s="2" t="s">
        <v>792</v>
      </c>
      <c r="F226" s="4">
        <v>516</v>
      </c>
      <c r="G226" s="4">
        <v>600</v>
      </c>
      <c r="H226" s="3">
        <f>IF(G226 = 0, "", F226 / G226)</f>
        <v>0.86</v>
      </c>
      <c r="I226" s="5">
        <f>SUMIFS(G226,C226, C226,E226, E226)</f>
        <v>600</v>
      </c>
      <c r="J226" s="3">
        <f>IF(I226 = 0, "", G226 / I226)</f>
        <v>1</v>
      </c>
      <c r="K226" s="3" t="b">
        <f>AND(G226 &gt; 0, F226 &gt;= 0, F226 &lt;= G226)</f>
        <v>1</v>
      </c>
    </row>
    <row r="227">
      <c r="A227" s="2" t="s">
        <v>2004</v>
      </c>
      <c r="B227" s="3" t="str">
        <f>A227</f>
        <v>panama-sweden-mortality-1975-elderly-B</v>
      </c>
      <c r="C227" s="2" t="s">
        <v>586</v>
      </c>
      <c r="D227" s="2" t="s">
        <v>1476</v>
      </c>
      <c r="E227" s="2" t="s">
        <v>795</v>
      </c>
      <c r="F227" s="4">
        <v>123</v>
      </c>
      <c r="G227" s="4">
        <v>150</v>
      </c>
      <c r="H227" s="3">
        <f>IF(G227 = 0, "", F227 / G227)</f>
        <v>0.82</v>
      </c>
      <c r="I227" s="5">
        <f>SUMIFS(G227,C227, C227,E227, E227)</f>
        <v>150</v>
      </c>
      <c r="J227" s="3">
        <f>IF(I227 = 0, "", G227 / I227)</f>
        <v>1</v>
      </c>
      <c r="K227" s="3" t="b">
        <f>AND(G227 &gt; 0, F227 &gt;= 0, F227 &lt;= G227)</f>
        <v>1</v>
      </c>
    </row>
    <row r="228">
      <c r="A228" s="2" t="s">
        <v>2005</v>
      </c>
      <c r="B228" s="3" t="str">
        <f>A228</f>
        <v>hrt-whi-2002-observational-A</v>
      </c>
      <c r="C228" s="2" t="s">
        <v>589</v>
      </c>
      <c r="D228" s="2" t="s">
        <v>1479</v>
      </c>
      <c r="E228" s="2" t="s">
        <v>792</v>
      </c>
      <c r="F228" s="4">
        <v>950</v>
      </c>
      <c r="G228" s="4">
        <v>10000</v>
      </c>
      <c r="H228" s="3">
        <f>IF(G228 = 0, "", F228 / G228)</f>
        <v>0.095</v>
      </c>
      <c r="I228" s="5">
        <f>SUMIFS(G228,C228, C228,E228, E228)</f>
        <v>10000</v>
      </c>
      <c r="J228" s="3">
        <f>IF(I228 = 0, "", G228 / I228)</f>
        <v>1</v>
      </c>
      <c r="K228" s="3" t="b">
        <f>AND(G228 &gt; 0, F228 &gt;= 0, F228 &lt;= G228)</f>
        <v>1</v>
      </c>
    </row>
    <row r="229">
      <c r="A229" s="2" t="s">
        <v>2006</v>
      </c>
      <c r="B229" s="3" t="str">
        <f>A229</f>
        <v>hrt-whi-2002-observational-B</v>
      </c>
      <c r="C229" s="2" t="s">
        <v>589</v>
      </c>
      <c r="D229" s="2" t="s">
        <v>1479</v>
      </c>
      <c r="E229" s="2" t="s">
        <v>795</v>
      </c>
      <c r="F229" s="4">
        <v>900</v>
      </c>
      <c r="G229" s="4">
        <v>10000</v>
      </c>
      <c r="H229" s="3">
        <f>IF(G229 = 0, "", F229 / G229)</f>
        <v>0.09</v>
      </c>
      <c r="I229" s="5">
        <f>SUMIFS(G229,C229, C229,E229, E229)</f>
        <v>10000</v>
      </c>
      <c r="J229" s="3">
        <f>IF(I229 = 0, "", G229 / I229)</f>
        <v>1</v>
      </c>
      <c r="K229" s="3" t="b">
        <f>AND(G229 &gt; 0, F229 &gt;= 0, F229 &lt;= G229)</f>
        <v>1</v>
      </c>
    </row>
    <row r="230">
      <c r="A230" s="2" t="s">
        <v>2007</v>
      </c>
      <c r="B230" s="3" t="str">
        <f>A230</f>
        <v>hrt-whi-2002-rct-whi-A</v>
      </c>
      <c r="C230" s="2" t="s">
        <v>589</v>
      </c>
      <c r="D230" s="2" t="s">
        <v>1482</v>
      </c>
      <c r="E230" s="2" t="s">
        <v>792</v>
      </c>
      <c r="F230" s="4">
        <v>8500</v>
      </c>
      <c r="G230" s="4">
        <v>95000</v>
      </c>
      <c r="H230" s="3">
        <f>IF(G230 = 0, "", F230 / G230)</f>
        <v>0.08947368421052632</v>
      </c>
      <c r="I230" s="5">
        <f>SUMIFS(G230,C230, C230,E230, E230)</f>
        <v>95000</v>
      </c>
      <c r="J230" s="3">
        <f>IF(I230 = 0, "", G230 / I230)</f>
        <v>1</v>
      </c>
      <c r="K230" s="3" t="b">
        <f>AND(G230 &gt; 0, F230 &gt;= 0, F230 &lt;= G230)</f>
        <v>1</v>
      </c>
    </row>
    <row r="231">
      <c r="A231" s="2" t="s">
        <v>2008</v>
      </c>
      <c r="B231" s="3" t="str">
        <f>A231</f>
        <v>hrt-whi-2002-rct-whi-B</v>
      </c>
      <c r="C231" s="2" t="s">
        <v>589</v>
      </c>
      <c r="D231" s="2" t="s">
        <v>1482</v>
      </c>
      <c r="E231" s="2" t="s">
        <v>795</v>
      </c>
      <c r="F231" s="4">
        <v>9000</v>
      </c>
      <c r="G231" s="4">
        <v>95000</v>
      </c>
      <c r="H231" s="3">
        <f>IF(G231 = 0, "", F231 / G231)</f>
        <v>0.09473684210526316</v>
      </c>
      <c r="I231" s="5">
        <f>SUMIFS(G231,C231, C231,E231, E231)</f>
        <v>95000</v>
      </c>
      <c r="J231" s="3">
        <f>IF(I231 = 0, "", G231 / I231)</f>
        <v>1</v>
      </c>
      <c r="K231" s="3" t="b">
        <f>AND(G231 &gt; 0, F231 &gt;= 0, F231 &lt;= G231)</f>
        <v>1</v>
      </c>
    </row>
    <row r="232">
      <c r="A232" s="2" t="s">
        <v>2009</v>
      </c>
      <c r="B232" s="3" t="str">
        <f>A232</f>
        <v>obesity-paradox-hf-no-hf-A</v>
      </c>
      <c r="C232" s="2" t="s">
        <v>593</v>
      </c>
      <c r="D232" s="2" t="s">
        <v>1485</v>
      </c>
      <c r="E232" s="2" t="s">
        <v>792</v>
      </c>
      <c r="F232" s="4">
        <v>800</v>
      </c>
      <c r="G232" s="4">
        <v>1000</v>
      </c>
      <c r="H232" s="3">
        <f>IF(G232 = 0, "", F232 / G232)</f>
        <v>0.8</v>
      </c>
      <c r="I232" s="5">
        <f>SUMIFS(G232,C232, C232,E232, E232)</f>
        <v>1000</v>
      </c>
      <c r="J232" s="3">
        <f>IF(I232 = 0, "", G232 / I232)</f>
        <v>1</v>
      </c>
      <c r="K232" s="3" t="b">
        <f>AND(G232 &gt; 0, F232 &gt;= 0, F232 &lt;= G232)</f>
        <v>1</v>
      </c>
    </row>
    <row r="233">
      <c r="A233" s="2" t="s">
        <v>2010</v>
      </c>
      <c r="B233" s="3" t="str">
        <f>A233</f>
        <v>obesity-paradox-hf-no-hf-B</v>
      </c>
      <c r="C233" s="2" t="s">
        <v>593</v>
      </c>
      <c r="D233" s="2" t="s">
        <v>1485</v>
      </c>
      <c r="E233" s="2" t="s">
        <v>795</v>
      </c>
      <c r="F233" s="4">
        <v>900</v>
      </c>
      <c r="G233" s="4">
        <v>1000</v>
      </c>
      <c r="H233" s="3">
        <f>IF(G233 = 0, "", F233 / G233)</f>
        <v>0.9</v>
      </c>
      <c r="I233" s="5">
        <f>SUMIFS(G233,C233, C233,E233, E233)</f>
        <v>1000</v>
      </c>
      <c r="J233" s="3">
        <f>IF(I233 = 0, "", G233 / I233)</f>
        <v>1</v>
      </c>
      <c r="K233" s="3" t="b">
        <f>AND(G233 &gt; 0, F233 &gt;= 0, F233 &lt;= G233)</f>
        <v>1</v>
      </c>
    </row>
    <row r="234">
      <c r="A234" s="2" t="s">
        <v>2011</v>
      </c>
      <c r="B234" s="3" t="str">
        <f>A234</f>
        <v>obesity-paradox-hf-hf-A</v>
      </c>
      <c r="C234" s="2" t="s">
        <v>593</v>
      </c>
      <c r="D234" s="2" t="s">
        <v>1488</v>
      </c>
      <c r="E234" s="2" t="s">
        <v>792</v>
      </c>
      <c r="F234" s="4">
        <v>650</v>
      </c>
      <c r="G234" s="4">
        <v>1000</v>
      </c>
      <c r="H234" s="3">
        <f>IF(G234 = 0, "", F234 / G234)</f>
        <v>0.65</v>
      </c>
      <c r="I234" s="5">
        <f>SUMIFS(G234,C234, C234,E234, E234)</f>
        <v>1000</v>
      </c>
      <c r="J234" s="3">
        <f>IF(I234 = 0, "", G234 / I234)</f>
        <v>1</v>
      </c>
      <c r="K234" s="3" t="b">
        <f>AND(G234 &gt; 0, F234 &gt;= 0, F234 &lt;= G234)</f>
        <v>1</v>
      </c>
    </row>
    <row r="235">
      <c r="A235" s="2" t="s">
        <v>2012</v>
      </c>
      <c r="B235" s="3" t="str">
        <f>A235</f>
        <v>obesity-paradox-hf-hf-B</v>
      </c>
      <c r="C235" s="2" t="s">
        <v>593</v>
      </c>
      <c r="D235" s="2" t="s">
        <v>1488</v>
      </c>
      <c r="E235" s="2" t="s">
        <v>795</v>
      </c>
      <c r="F235" s="4">
        <v>500</v>
      </c>
      <c r="G235" s="4">
        <v>1000</v>
      </c>
      <c r="H235" s="3">
        <f>IF(G235 = 0, "", F235 / G235)</f>
        <v>0.5</v>
      </c>
      <c r="I235" s="5">
        <f>SUMIFS(G235,C235, C235,E235, E235)</f>
        <v>1000</v>
      </c>
      <c r="J235" s="3">
        <f>IF(I235 = 0, "", G235 / I235)</f>
        <v>1</v>
      </c>
      <c r="K235" s="3" t="b">
        <f>AND(G235 &gt; 0, F235 &gt;= 0, F235 &lt;= G235)</f>
        <v>1</v>
      </c>
    </row>
    <row r="236">
      <c r="A236" s="2" t="s">
        <v>2013</v>
      </c>
      <c r="B236" s="3" t="str">
        <f>A236</f>
        <v>dialysis-bmi-survival-general-population-A</v>
      </c>
      <c r="C236" s="2" t="s">
        <v>597</v>
      </c>
      <c r="D236" s="2" t="s">
        <v>1491</v>
      </c>
      <c r="E236" s="2" t="s">
        <v>792</v>
      </c>
      <c r="F236" s="4">
        <v>900</v>
      </c>
      <c r="G236" s="4">
        <v>1000</v>
      </c>
      <c r="H236" s="3">
        <f>IF(G236 = 0, "", F236 / G236)</f>
        <v>0.9</v>
      </c>
      <c r="I236" s="5">
        <f>SUMIFS(G236,C236, C236,E236, E236)</f>
        <v>1000</v>
      </c>
      <c r="J236" s="3">
        <f>IF(I236 = 0, "", G236 / I236)</f>
        <v>1</v>
      </c>
      <c r="K236" s="3" t="b">
        <f>AND(G236 &gt; 0, F236 &gt;= 0, F236 &lt;= G236)</f>
        <v>1</v>
      </c>
    </row>
    <row r="237">
      <c r="A237" s="2" t="s">
        <v>2014</v>
      </c>
      <c r="B237" s="3" t="str">
        <f>A237</f>
        <v>dialysis-bmi-survival-general-population-B</v>
      </c>
      <c r="C237" s="2" t="s">
        <v>597</v>
      </c>
      <c r="D237" s="2" t="s">
        <v>1491</v>
      </c>
      <c r="E237" s="2" t="s">
        <v>795</v>
      </c>
      <c r="F237" s="4">
        <v>950</v>
      </c>
      <c r="G237" s="4">
        <v>1000</v>
      </c>
      <c r="H237" s="3">
        <f>IF(G237 = 0, "", F237 / G237)</f>
        <v>0.95</v>
      </c>
      <c r="I237" s="5">
        <f>SUMIFS(G237,C237, C237,E237, E237)</f>
        <v>1000</v>
      </c>
      <c r="J237" s="3">
        <f>IF(I237 = 0, "", G237 / I237)</f>
        <v>1</v>
      </c>
      <c r="K237" s="3" t="b">
        <f>AND(G237 &gt; 0, F237 &gt;= 0, F237 &lt;= G237)</f>
        <v>1</v>
      </c>
    </row>
    <row r="238">
      <c r="A238" s="2" t="s">
        <v>2015</v>
      </c>
      <c r="B238" s="3" t="str">
        <f>A238</f>
        <v>dialysis-bmi-survival-esrd-dialysis-A</v>
      </c>
      <c r="C238" s="2" t="s">
        <v>597</v>
      </c>
      <c r="D238" s="2" t="s">
        <v>1494</v>
      </c>
      <c r="E238" s="2" t="s">
        <v>792</v>
      </c>
      <c r="F238" s="4">
        <v>700</v>
      </c>
      <c r="G238" s="4">
        <v>1000</v>
      </c>
      <c r="H238" s="3">
        <f>IF(G238 = 0, "", F238 / G238)</f>
        <v>0.7</v>
      </c>
      <c r="I238" s="5">
        <f>SUMIFS(G238,C238, C238,E238, E238)</f>
        <v>1000</v>
      </c>
      <c r="J238" s="3">
        <f>IF(I238 = 0, "", G238 / I238)</f>
        <v>1</v>
      </c>
      <c r="K238" s="3" t="b">
        <f>AND(G238 &gt; 0, F238 &gt;= 0, F238 &lt;= G238)</f>
        <v>1</v>
      </c>
    </row>
    <row r="239">
      <c r="A239" s="2" t="s">
        <v>2016</v>
      </c>
      <c r="B239" s="3" t="str">
        <f>A239</f>
        <v>dialysis-bmi-survival-esrd-dialysis-B</v>
      </c>
      <c r="C239" s="2" t="s">
        <v>597</v>
      </c>
      <c r="D239" s="2" t="s">
        <v>1494</v>
      </c>
      <c r="E239" s="2" t="s">
        <v>795</v>
      </c>
      <c r="F239" s="4">
        <v>600</v>
      </c>
      <c r="G239" s="4">
        <v>1000</v>
      </c>
      <c r="H239" s="3">
        <f>IF(G239 = 0, "", F239 / G239)</f>
        <v>0.6</v>
      </c>
      <c r="I239" s="5">
        <f>SUMIFS(G239,C239, C239,E239, E239)</f>
        <v>1000</v>
      </c>
      <c r="J239" s="3">
        <f>IF(I239 = 0, "", G239 / I239)</f>
        <v>1</v>
      </c>
      <c r="K239" s="3" t="b">
        <f>AND(G239 &gt; 0, F239 &gt;= 0, F239 &lt;= G239)</f>
        <v>1</v>
      </c>
    </row>
    <row r="240">
      <c r="A240" s="2" t="s">
        <v>2017</v>
      </c>
      <c r="B240" s="3" t="str">
        <f>A240</f>
        <v>sick-quitter-alcohol-never-drinkers-only-A</v>
      </c>
      <c r="C240" s="2" t="s">
        <v>601</v>
      </c>
      <c r="D240" s="2" t="s">
        <v>1497</v>
      </c>
      <c r="E240" s="2" t="s">
        <v>792</v>
      </c>
      <c r="F240" s="4">
        <v>850</v>
      </c>
      <c r="G240" s="4">
        <v>1000</v>
      </c>
      <c r="H240" s="3">
        <f>IF(G240 = 0, "", F240 / G240)</f>
        <v>0.85</v>
      </c>
      <c r="I240" s="5">
        <f>SUMIFS(G240,C240, C240,E240, E240)</f>
        <v>1000</v>
      </c>
      <c r="J240" s="3">
        <f>IF(I240 = 0, "", G240 / I240)</f>
        <v>1</v>
      </c>
      <c r="K240" s="3" t="b">
        <f>AND(G240 &gt; 0, F240 &gt;= 0, F240 &lt;= G240)</f>
        <v>1</v>
      </c>
    </row>
    <row r="241">
      <c r="A241" s="2" t="s">
        <v>2018</v>
      </c>
      <c r="B241" s="3" t="str">
        <f>A241</f>
        <v>sick-quitter-alcohol-never-drinkers-only-B</v>
      </c>
      <c r="C241" s="2" t="s">
        <v>601</v>
      </c>
      <c r="D241" s="2" t="s">
        <v>1497</v>
      </c>
      <c r="E241" s="2" t="s">
        <v>795</v>
      </c>
      <c r="F241" s="4">
        <v>880</v>
      </c>
      <c r="G241" s="4">
        <v>1000</v>
      </c>
      <c r="H241" s="3">
        <f>IF(G241 = 0, "", F241 / G241)</f>
        <v>0.88</v>
      </c>
      <c r="I241" s="5">
        <f>SUMIFS(G241,C241, C241,E241, E241)</f>
        <v>1000</v>
      </c>
      <c r="J241" s="3">
        <f>IF(I241 = 0, "", G241 / I241)</f>
        <v>1</v>
      </c>
      <c r="K241" s="3" t="b">
        <f>AND(G241 &gt; 0, F241 &gt;= 0, F241 &lt;= G241)</f>
        <v>1</v>
      </c>
    </row>
    <row r="242">
      <c r="A242" s="2" t="s">
        <v>2019</v>
      </c>
      <c r="B242" s="3" t="str">
        <f>A242</f>
        <v>sick-quitter-alcohol-includes-former-drinkers-A</v>
      </c>
      <c r="C242" s="2" t="s">
        <v>601</v>
      </c>
      <c r="D242" s="2" t="s">
        <v>1500</v>
      </c>
      <c r="E242" s="2" t="s">
        <v>792</v>
      </c>
      <c r="F242" s="4">
        <v>820</v>
      </c>
      <c r="G242" s="4">
        <v>1000</v>
      </c>
      <c r="H242" s="3">
        <f>IF(G242 = 0, "", F242 / G242)</f>
        <v>0.82</v>
      </c>
      <c r="I242" s="5">
        <f>SUMIFS(G242,C242, C242,E242, E242)</f>
        <v>1000</v>
      </c>
      <c r="J242" s="3">
        <f>IF(I242 = 0, "", G242 / I242)</f>
        <v>1</v>
      </c>
      <c r="K242" s="3" t="b">
        <f>AND(G242 &gt; 0, F242 &gt;= 0, F242 &lt;= G242)</f>
        <v>1</v>
      </c>
    </row>
    <row r="243">
      <c r="A243" s="2" t="s">
        <v>2020</v>
      </c>
      <c r="B243" s="3" t="str">
        <f>A243</f>
        <v>sick-quitter-alcohol-includes-former-drinkers-B</v>
      </c>
      <c r="C243" s="2" t="s">
        <v>601</v>
      </c>
      <c r="D243" s="2" t="s">
        <v>1500</v>
      </c>
      <c r="E243" s="2" t="s">
        <v>795</v>
      </c>
      <c r="F243" s="4">
        <v>750</v>
      </c>
      <c r="G243" s="4">
        <v>1000</v>
      </c>
      <c r="H243" s="3">
        <f>IF(G243 = 0, "", F243 / G243)</f>
        <v>0.75</v>
      </c>
      <c r="I243" s="5">
        <f>SUMIFS(G243,C243, C243,E243, E243)</f>
        <v>1000</v>
      </c>
      <c r="J243" s="3">
        <f>IF(I243 = 0, "", G243 / I243)</f>
        <v>1</v>
      </c>
      <c r="K243" s="3" t="b">
        <f>AND(G243 &gt; 0, F243 &gt;= 0, F243 &lt;= G243)</f>
        <v>1</v>
      </c>
    </row>
    <row r="244">
      <c r="A244" s="2" t="s">
        <v>2021</v>
      </c>
      <c r="B244" s="3" t="str">
        <f>A244</f>
        <v>flu-vaccine-elderly-mortality-under-75-A</v>
      </c>
      <c r="C244" s="2" t="s">
        <v>605</v>
      </c>
      <c r="D244" s="2" t="s">
        <v>1503</v>
      </c>
      <c r="E244" s="2" t="s">
        <v>792</v>
      </c>
      <c r="F244" s="4">
        <v>89979</v>
      </c>
      <c r="G244" s="4">
        <v>90000</v>
      </c>
      <c r="H244" s="3">
        <f>IF(G244 = 0, "", F244 / G244)</f>
        <v>0.9997666666666667</v>
      </c>
      <c r="I244" s="5">
        <f>SUMIFS(G244,C244, C244,E244, E244)</f>
        <v>90000</v>
      </c>
      <c r="J244" s="3">
        <f>IF(I244 = 0, "", G244 / I244)</f>
        <v>1</v>
      </c>
      <c r="K244" s="3" t="b">
        <f>AND(G244 &gt; 0, F244 &gt;= 0, F244 &lt;= G244)</f>
        <v>1</v>
      </c>
    </row>
    <row r="245">
      <c r="A245" s="2" t="s">
        <v>2022</v>
      </c>
      <c r="B245" s="3" t="str">
        <f>A245</f>
        <v>flu-vaccine-elderly-mortality-under-75-B</v>
      </c>
      <c r="C245" s="2" t="s">
        <v>605</v>
      </c>
      <c r="D245" s="2" t="s">
        <v>1503</v>
      </c>
      <c r="E245" s="2" t="s">
        <v>795</v>
      </c>
      <c r="F245" s="4">
        <v>149952</v>
      </c>
      <c r="G245" s="4">
        <v>150000</v>
      </c>
      <c r="H245" s="3">
        <f>IF(G245 = 0, "", F245 / G245)</f>
        <v>0.99968</v>
      </c>
      <c r="I245" s="5">
        <f>SUMIFS(G245,C245, C245,E245, E245)</f>
        <v>150000</v>
      </c>
      <c r="J245" s="3">
        <f>IF(I245 = 0, "", G245 / I245)</f>
        <v>1</v>
      </c>
      <c r="K245" s="3" t="b">
        <f>AND(G245 &gt; 0, F245 &gt;= 0, F245 &lt;= G245)</f>
        <v>1</v>
      </c>
    </row>
    <row r="246">
      <c r="A246" s="2" t="s">
        <v>2023</v>
      </c>
      <c r="B246" s="3" t="str">
        <f>A246</f>
        <v>flu-vaccine-elderly-mortality-75-plus-A</v>
      </c>
      <c r="C246" s="2" t="s">
        <v>605</v>
      </c>
      <c r="D246" s="2" t="s">
        <v>1506</v>
      </c>
      <c r="E246" s="2" t="s">
        <v>792</v>
      </c>
      <c r="F246" s="4">
        <v>4600</v>
      </c>
      <c r="G246" s="4">
        <v>5000</v>
      </c>
      <c r="H246" s="3">
        <f>IF(G246 = 0, "", F246 / G246)</f>
        <v>0.92</v>
      </c>
      <c r="I246" s="5">
        <f>SUMIFS(G246,C246, C246,E246, E246)</f>
        <v>5000</v>
      </c>
      <c r="J246" s="3">
        <f>IF(I246 = 0, "", G246 / I246)</f>
        <v>1</v>
      </c>
      <c r="K246" s="3" t="b">
        <f>AND(G246 &gt; 0, F246 &gt;= 0, F246 &lt;= G246)</f>
        <v>1</v>
      </c>
    </row>
    <row r="247">
      <c r="A247" s="2" t="s">
        <v>2024</v>
      </c>
      <c r="B247" s="3" t="str">
        <f>A247</f>
        <v>flu-vaccine-elderly-mortality-75-plus-B</v>
      </c>
      <c r="C247" s="2" t="s">
        <v>605</v>
      </c>
      <c r="D247" s="2" t="s">
        <v>1506</v>
      </c>
      <c r="E247" s="2" t="s">
        <v>795</v>
      </c>
      <c r="F247" s="4">
        <v>2500</v>
      </c>
      <c r="G247" s="4">
        <v>3000</v>
      </c>
      <c r="H247" s="3">
        <f>IF(G247 = 0, "", F247 / G247)</f>
        <v>0.8333333333333334</v>
      </c>
      <c r="I247" s="5">
        <f>SUMIFS(G247,C247, C247,E247, E247)</f>
        <v>3000</v>
      </c>
      <c r="J247" s="3">
        <f>IF(I247 = 0, "", G247 / I247)</f>
        <v>1</v>
      </c>
      <c r="K247" s="3" t="b">
        <f>AND(G247 &gt; 0, F247 &gt;= 0, F247 &lt;= G247)</f>
        <v>1</v>
      </c>
    </row>
    <row r="248">
      <c r="A248" s="2" t="s">
        <v>2025</v>
      </c>
      <c r="B248" s="3" t="str">
        <f>A248</f>
        <v>covid-italy-china-cfr-2020-under-60-A</v>
      </c>
      <c r="C248" s="2" t="s">
        <v>609</v>
      </c>
      <c r="D248" s="2" t="s">
        <v>1509</v>
      </c>
      <c r="E248" s="2" t="s">
        <v>792</v>
      </c>
      <c r="F248" s="4">
        <v>990</v>
      </c>
      <c r="G248" s="4">
        <v>1000</v>
      </c>
      <c r="H248" s="3">
        <f>IF(G248 = 0, "", F248 / G248)</f>
        <v>0.99</v>
      </c>
      <c r="I248" s="5">
        <f>SUMIFS(G248,C248, C248,E248, E248)</f>
        <v>1000</v>
      </c>
      <c r="J248" s="3">
        <f>IF(I248 = 0, "", G248 / I248)</f>
        <v>1</v>
      </c>
      <c r="K248" s="3" t="b">
        <f>AND(G248 &gt; 0, F248 &gt;= 0, F248 &lt;= G248)</f>
        <v>1</v>
      </c>
    </row>
    <row r="249">
      <c r="A249" s="2" t="s">
        <v>2026</v>
      </c>
      <c r="B249" s="3" t="str">
        <f>A249</f>
        <v>covid-italy-china-cfr-2020-under-60-B</v>
      </c>
      <c r="C249" s="2" t="s">
        <v>609</v>
      </c>
      <c r="D249" s="2" t="s">
        <v>1509</v>
      </c>
      <c r="E249" s="2" t="s">
        <v>795</v>
      </c>
      <c r="F249" s="4">
        <v>49000</v>
      </c>
      <c r="G249" s="4">
        <v>50000</v>
      </c>
      <c r="H249" s="3">
        <f>IF(G249 = 0, "", F249 / G249)</f>
        <v>0.98</v>
      </c>
      <c r="I249" s="5">
        <f>SUMIFS(G249,C249, C249,E249, E249)</f>
        <v>50000</v>
      </c>
      <c r="J249" s="3">
        <f>IF(I249 = 0, "", G249 / I249)</f>
        <v>1</v>
      </c>
      <c r="K249" s="3" t="b">
        <f>AND(G249 &gt; 0, F249 &gt;= 0, F249 &lt;= G249)</f>
        <v>1</v>
      </c>
    </row>
    <row r="250">
      <c r="A250" s="2" t="s">
        <v>2027</v>
      </c>
      <c r="B250" s="3" t="str">
        <f>A250</f>
        <v>covid-italy-china-cfr-2020-60-plus-A</v>
      </c>
      <c r="C250" s="2" t="s">
        <v>609</v>
      </c>
      <c r="D250" s="2" t="s">
        <v>1512</v>
      </c>
      <c r="E250" s="2" t="s">
        <v>792</v>
      </c>
      <c r="F250" s="4">
        <v>300</v>
      </c>
      <c r="G250" s="4">
        <v>2000</v>
      </c>
      <c r="H250" s="3">
        <f>IF(G250 = 0, "", F250 / G250)</f>
        <v>0.15</v>
      </c>
      <c r="I250" s="5">
        <f>SUMIFS(G250,C250, C250,E250, E250)</f>
        <v>2000</v>
      </c>
      <c r="J250" s="3">
        <f>IF(I250 = 0, "", G250 / I250)</f>
        <v>1</v>
      </c>
      <c r="K250" s="3" t="b">
        <f>AND(G250 &gt; 0, F250 &gt;= 0, F250 &lt;= G250)</f>
        <v>1</v>
      </c>
    </row>
    <row r="251">
      <c r="A251" s="2" t="s">
        <v>2028</v>
      </c>
      <c r="B251" s="3" t="str">
        <f>A251</f>
        <v>covid-italy-china-cfr-2020-60-plus-B</v>
      </c>
      <c r="C251" s="2" t="s">
        <v>609</v>
      </c>
      <c r="D251" s="2" t="s">
        <v>1512</v>
      </c>
      <c r="E251" s="2" t="s">
        <v>795</v>
      </c>
      <c r="F251" s="4">
        <v>320</v>
      </c>
      <c r="G251" s="4">
        <v>400</v>
      </c>
      <c r="H251" s="3">
        <f>IF(G251 = 0, "", F251 / G251)</f>
        <v>0.8</v>
      </c>
      <c r="I251" s="5">
        <f>SUMIFS(G251,C251, C251,E251, E251)</f>
        <v>400</v>
      </c>
      <c r="J251" s="3">
        <f>IF(I251 = 0, "", G251 / I251)</f>
        <v>1</v>
      </c>
      <c r="K251" s="3" t="b">
        <f>AND(G251 &gt; 0, F251 &gt;= 0, F251 &lt;= G251)</f>
        <v>1</v>
      </c>
    </row>
    <row r="252">
      <c r="A252" s="2" t="s">
        <v>2029</v>
      </c>
      <c r="B252" s="3" t="str">
        <f>A252</f>
        <v>israel-covid-severe-2021-under-50-A</v>
      </c>
      <c r="C252" s="2" t="s">
        <v>613</v>
      </c>
      <c r="D252" s="2" t="s">
        <v>1515</v>
      </c>
      <c r="E252" s="2" t="s">
        <v>792</v>
      </c>
      <c r="F252" s="4">
        <v>25</v>
      </c>
      <c r="G252" s="4">
        <v>1000</v>
      </c>
      <c r="H252" s="3">
        <f>IF(G252 = 0, "", F252 / G252)</f>
        <v>0.025</v>
      </c>
      <c r="I252" s="5">
        <f>SUMIFS(G252,C252, C252,E252, E252)</f>
        <v>1000</v>
      </c>
      <c r="J252" s="3">
        <f>IF(I252 = 0, "", G252 / I252)</f>
        <v>1</v>
      </c>
      <c r="K252" s="3" t="b">
        <f>AND(G252 &gt; 0, F252 &gt;= 0, F252 &lt;= G252)</f>
        <v>1</v>
      </c>
    </row>
    <row r="253">
      <c r="A253" s="2" t="s">
        <v>2030</v>
      </c>
      <c r="B253" s="3" t="str">
        <f>A253</f>
        <v>israel-covid-severe-2021-under-50-B</v>
      </c>
      <c r="C253" s="2" t="s">
        <v>613</v>
      </c>
      <c r="D253" s="2" t="s">
        <v>1515</v>
      </c>
      <c r="E253" s="2" t="s">
        <v>795</v>
      </c>
      <c r="F253" s="4">
        <v>50</v>
      </c>
      <c r="G253" s="4">
        <v>151200</v>
      </c>
      <c r="H253" s="3">
        <f>IF(G253 = 0, "", F253 / G253)</f>
        <v>0.00033068783068783067</v>
      </c>
      <c r="I253" s="5">
        <f>SUMIFS(G253,C253, C253,E253, E253)</f>
        <v>151200</v>
      </c>
      <c r="J253" s="3">
        <f>IF(I253 = 0, "", G253 / I253)</f>
        <v>1</v>
      </c>
      <c r="K253" s="3" t="b">
        <f>AND(G253 &gt; 0, F253 &gt;= 0, F253 &lt;= G253)</f>
        <v>1</v>
      </c>
    </row>
    <row r="254">
      <c r="A254" s="2" t="s">
        <v>2031</v>
      </c>
      <c r="B254" s="3" t="str">
        <f>A254</f>
        <v>israel-covid-severe-2021-50-plus-A</v>
      </c>
      <c r="C254" s="2" t="s">
        <v>613</v>
      </c>
      <c r="D254" s="2" t="s">
        <v>1518</v>
      </c>
      <c r="E254" s="2" t="s">
        <v>792</v>
      </c>
      <c r="F254" s="4">
        <v>400</v>
      </c>
      <c r="G254" s="4">
        <v>10000</v>
      </c>
      <c r="H254" s="3">
        <f>IF(G254 = 0, "", F254 / G254)</f>
        <v>0.04</v>
      </c>
      <c r="I254" s="5">
        <f>SUMIFS(G254,C254, C254,E254, E254)</f>
        <v>10000</v>
      </c>
      <c r="J254" s="3">
        <f>IF(I254 = 0, "", G254 / I254)</f>
        <v>1</v>
      </c>
      <c r="K254" s="3" t="b">
        <f>AND(G254 &gt; 0, F254 &gt;= 0, F254 &lt;= G254)</f>
        <v>1</v>
      </c>
    </row>
    <row r="255">
      <c r="A255" s="2" t="s">
        <v>2032</v>
      </c>
      <c r="B255" s="3" t="str">
        <f>A255</f>
        <v>israel-covid-severe-2021-50-plus-B</v>
      </c>
      <c r="C255" s="2" t="s">
        <v>613</v>
      </c>
      <c r="D255" s="2" t="s">
        <v>1518</v>
      </c>
      <c r="E255" s="2" t="s">
        <v>795</v>
      </c>
      <c r="F255" s="4">
        <v>180</v>
      </c>
      <c r="G255" s="4">
        <v>800</v>
      </c>
      <c r="H255" s="3">
        <f>IF(G255 = 0, "", F255 / G255)</f>
        <v>0.225</v>
      </c>
      <c r="I255" s="5">
        <f>SUMIFS(G255,C255, C255,E255, E255)</f>
        <v>800</v>
      </c>
      <c r="J255" s="3">
        <f>IF(I255 = 0, "", G255 / I255)</f>
        <v>1</v>
      </c>
      <c r="K255" s="3" t="b">
        <f>AND(G255 &gt; 0, F255 &gt;= 0, F255 &lt;= G255)</f>
        <v>1</v>
      </c>
    </row>
    <row r="256">
      <c r="A256" s="2" t="s">
        <v>2033</v>
      </c>
      <c r="B256" s="3" t="str">
        <f>A256</f>
        <v>cochran-smoking-1968-under-65-A</v>
      </c>
      <c r="C256" s="2" t="s">
        <v>617</v>
      </c>
      <c r="D256" s="2" t="s">
        <v>1331</v>
      </c>
      <c r="E256" s="2" t="s">
        <v>792</v>
      </c>
      <c r="F256" s="4">
        <v>8500</v>
      </c>
      <c r="G256" s="4">
        <v>10000</v>
      </c>
      <c r="H256" s="3">
        <f>IF(G256 = 0, "", F256 / G256)</f>
        <v>0.85</v>
      </c>
      <c r="I256" s="5">
        <f>SUMIFS(G256,C256, C256,E256, E256)</f>
        <v>10000</v>
      </c>
      <c r="J256" s="3">
        <f>IF(I256 = 0, "", G256 / I256)</f>
        <v>1</v>
      </c>
      <c r="K256" s="3" t="b">
        <f>AND(G256 &gt; 0, F256 &gt;= 0, F256 &lt;= G256)</f>
        <v>1</v>
      </c>
    </row>
    <row r="257">
      <c r="A257" s="2" t="s">
        <v>2034</v>
      </c>
      <c r="B257" s="3" t="str">
        <f>A257</f>
        <v>cochran-smoking-1968-under-65-B</v>
      </c>
      <c r="C257" s="2" t="s">
        <v>617</v>
      </c>
      <c r="D257" s="2" t="s">
        <v>1331</v>
      </c>
      <c r="E257" s="2" t="s">
        <v>795</v>
      </c>
      <c r="F257" s="4">
        <v>900</v>
      </c>
      <c r="G257" s="4">
        <v>1000</v>
      </c>
      <c r="H257" s="3">
        <f>IF(G257 = 0, "", F257 / G257)</f>
        <v>0.9</v>
      </c>
      <c r="I257" s="5">
        <f>SUMIFS(G257,C257, C257,E257, E257)</f>
        <v>1000</v>
      </c>
      <c r="J257" s="3">
        <f>IF(I257 = 0, "", G257 / I257)</f>
        <v>1</v>
      </c>
      <c r="K257" s="3" t="b">
        <f>AND(G257 &gt; 0, F257 &gt;= 0, F257 &lt;= G257)</f>
        <v>1</v>
      </c>
    </row>
    <row r="258">
      <c r="A258" s="2" t="s">
        <v>2035</v>
      </c>
      <c r="B258" s="3" t="str">
        <f>A258</f>
        <v>cochran-smoking-1968-65-plus-A</v>
      </c>
      <c r="C258" s="2" t="s">
        <v>617</v>
      </c>
      <c r="D258" s="2" t="s">
        <v>1523</v>
      </c>
      <c r="E258" s="2" t="s">
        <v>792</v>
      </c>
      <c r="F258" s="4">
        <v>400</v>
      </c>
      <c r="G258" s="4">
        <v>1000</v>
      </c>
      <c r="H258" s="3">
        <f>IF(G258 = 0, "", F258 / G258)</f>
        <v>0.4</v>
      </c>
      <c r="I258" s="5">
        <f>SUMIFS(G258,C258, C258,E258, E258)</f>
        <v>1000</v>
      </c>
      <c r="J258" s="3">
        <f>IF(I258 = 0, "", G258 / I258)</f>
        <v>1</v>
      </c>
      <c r="K258" s="3" t="b">
        <f>AND(G258 &gt; 0, F258 &gt;= 0, F258 &lt;= G258)</f>
        <v>1</v>
      </c>
    </row>
    <row r="259">
      <c r="A259" s="2" t="s">
        <v>2036</v>
      </c>
      <c r="B259" s="3" t="str">
        <f>A259</f>
        <v>cochran-smoking-1968-65-plus-B</v>
      </c>
      <c r="C259" s="2" t="s">
        <v>617</v>
      </c>
      <c r="D259" s="2" t="s">
        <v>1523</v>
      </c>
      <c r="E259" s="2" t="s">
        <v>795</v>
      </c>
      <c r="F259" s="4">
        <v>500</v>
      </c>
      <c r="G259" s="4">
        <v>1000</v>
      </c>
      <c r="H259" s="3">
        <f>IF(G259 = 0, "", F259 / G259)</f>
        <v>0.5</v>
      </c>
      <c r="I259" s="5">
        <f>SUMIFS(G259,C259, C259,E259, E259)</f>
        <v>1000</v>
      </c>
      <c r="J259" s="3">
        <f>IF(I259 = 0, "", G259 / I259)</f>
        <v>1</v>
      </c>
      <c r="K259" s="3" t="b">
        <f>AND(G259 &gt; 0, F259 &gt;= 0, F259 &lt;= G259)</f>
        <v>1</v>
      </c>
    </row>
    <row r="260">
      <c r="A260" s="2" t="s">
        <v>2037</v>
      </c>
      <c r="B260" s="3" t="str">
        <f>A260</f>
        <v>healthy-worker-mortality-low-hazard-occupations-A</v>
      </c>
      <c r="C260" s="2" t="s">
        <v>621</v>
      </c>
      <c r="D260" s="2" t="s">
        <v>1526</v>
      </c>
      <c r="E260" s="2" t="s">
        <v>792</v>
      </c>
      <c r="F260" s="4">
        <v>950</v>
      </c>
      <c r="G260" s="4">
        <v>1000</v>
      </c>
      <c r="H260" s="3">
        <f>IF(G260 = 0, "", F260 / G260)</f>
        <v>0.95</v>
      </c>
      <c r="I260" s="5">
        <f>SUMIFS(G260,C260, C260,E260, E260)</f>
        <v>1000</v>
      </c>
      <c r="J260" s="3">
        <f>IF(I260 = 0, "", G260 / I260)</f>
        <v>1</v>
      </c>
      <c r="K260" s="3" t="b">
        <f>AND(G260 &gt; 0, F260 &gt;= 0, F260 &lt;= G260)</f>
        <v>1</v>
      </c>
    </row>
    <row r="261">
      <c r="A261" s="2" t="s">
        <v>2038</v>
      </c>
      <c r="B261" s="3" t="str">
        <f>A261</f>
        <v>healthy-worker-mortality-low-hazard-occupations-B</v>
      </c>
      <c r="C261" s="2" t="s">
        <v>621</v>
      </c>
      <c r="D261" s="2" t="s">
        <v>1526</v>
      </c>
      <c r="E261" s="2" t="s">
        <v>795</v>
      </c>
      <c r="F261" s="4">
        <v>900</v>
      </c>
      <c r="G261" s="4">
        <v>1000</v>
      </c>
      <c r="H261" s="3">
        <f>IF(G261 = 0, "", F261 / G261)</f>
        <v>0.9</v>
      </c>
      <c r="I261" s="5">
        <f>SUMIFS(G261,C261, C261,E261, E261)</f>
        <v>1000</v>
      </c>
      <c r="J261" s="3">
        <f>IF(I261 = 0, "", G261 / I261)</f>
        <v>1</v>
      </c>
      <c r="K261" s="3" t="b">
        <f>AND(G261 &gt; 0, F261 &gt;= 0, F261 &lt;= G261)</f>
        <v>1</v>
      </c>
    </row>
    <row r="262">
      <c r="A262" s="2" t="s">
        <v>2039</v>
      </c>
      <c r="B262" s="3" t="str">
        <f>A262</f>
        <v>healthy-worker-mortality-high-hazard-occupations-A</v>
      </c>
      <c r="C262" s="2" t="s">
        <v>621</v>
      </c>
      <c r="D262" s="2" t="s">
        <v>1529</v>
      </c>
      <c r="E262" s="2" t="s">
        <v>792</v>
      </c>
      <c r="F262" s="4">
        <v>850</v>
      </c>
      <c r="G262" s="4">
        <v>1000</v>
      </c>
      <c r="H262" s="3">
        <f>IF(G262 = 0, "", F262 / G262)</f>
        <v>0.85</v>
      </c>
      <c r="I262" s="5">
        <f>SUMIFS(G262,C262, C262,E262, E262)</f>
        <v>1000</v>
      </c>
      <c r="J262" s="3">
        <f>IF(I262 = 0, "", G262 / I262)</f>
        <v>1</v>
      </c>
      <c r="K262" s="3" t="b">
        <f>AND(G262 &gt; 0, F262 &gt;= 0, F262 &lt;= G262)</f>
        <v>1</v>
      </c>
    </row>
    <row r="263">
      <c r="A263" s="2" t="s">
        <v>2040</v>
      </c>
      <c r="B263" s="3" t="str">
        <f>A263</f>
        <v>healthy-worker-mortality-high-hazard-occupations-B</v>
      </c>
      <c r="C263" s="2" t="s">
        <v>621</v>
      </c>
      <c r="D263" s="2" t="s">
        <v>1529</v>
      </c>
      <c r="E263" s="2" t="s">
        <v>795</v>
      </c>
      <c r="F263" s="4">
        <v>800</v>
      </c>
      <c r="G263" s="4">
        <v>1000</v>
      </c>
      <c r="H263" s="3">
        <f>IF(G263 = 0, "", F263 / G263)</f>
        <v>0.8</v>
      </c>
      <c r="I263" s="5">
        <f>SUMIFS(G263,C263, C263,E263, E263)</f>
        <v>1000</v>
      </c>
      <c r="J263" s="3">
        <f>IF(I263 = 0, "", G263 / I263)</f>
        <v>1</v>
      </c>
      <c r="K263" s="3" t="b">
        <f>AND(G263 &gt; 0, F263 &gt;= 0, F263 &lt;= G263)</f>
        <v>1</v>
      </c>
    </row>
    <row r="264">
      <c r="A264" s="2" t="s">
        <v>2041</v>
      </c>
      <c r="B264" s="3" t="str">
        <f>A264</f>
        <v>compas-recidivism-base-low-prevalence-group-A</v>
      </c>
      <c r="C264" s="2" t="s">
        <v>624</v>
      </c>
      <c r="D264" s="2" t="s">
        <v>1532</v>
      </c>
      <c r="E264" s="2" t="s">
        <v>792</v>
      </c>
      <c r="F264" s="4">
        <v>700</v>
      </c>
      <c r="G264" s="4">
        <v>1000</v>
      </c>
      <c r="H264" s="3">
        <f>IF(G264 = 0, "", F264 / G264)</f>
        <v>0.7</v>
      </c>
      <c r="I264" s="5">
        <f>SUMIFS(G264,C264, C264,E264, E264)</f>
        <v>1000</v>
      </c>
      <c r="J264" s="3">
        <f>IF(I264 = 0, "", G264 / I264)</f>
        <v>1</v>
      </c>
      <c r="K264" s="3" t="b">
        <f>AND(G264 &gt; 0, F264 &gt;= 0, F264 &lt;= G264)</f>
        <v>1</v>
      </c>
    </row>
    <row r="265">
      <c r="A265" s="2" t="s">
        <v>2042</v>
      </c>
      <c r="B265" s="3" t="str">
        <f>A265</f>
        <v>compas-recidivism-base-low-prevalence-group-B</v>
      </c>
      <c r="C265" s="2" t="s">
        <v>624</v>
      </c>
      <c r="D265" s="2" t="s">
        <v>1532</v>
      </c>
      <c r="E265" s="2" t="s">
        <v>795</v>
      </c>
      <c r="F265" s="4">
        <v>750</v>
      </c>
      <c r="G265" s="4">
        <v>1000</v>
      </c>
      <c r="H265" s="3">
        <f>IF(G265 = 0, "", F265 / G265)</f>
        <v>0.75</v>
      </c>
      <c r="I265" s="5">
        <f>SUMIFS(G265,C265, C265,E265, E265)</f>
        <v>1000</v>
      </c>
      <c r="J265" s="3">
        <f>IF(I265 = 0, "", G265 / I265)</f>
        <v>1</v>
      </c>
      <c r="K265" s="3" t="b">
        <f>AND(G265 &gt; 0, F265 &gt;= 0, F265 &lt;= G265)</f>
        <v>1</v>
      </c>
    </row>
    <row r="266">
      <c r="A266" s="2" t="s">
        <v>2043</v>
      </c>
      <c r="B266" s="3" t="str">
        <f>A266</f>
        <v>compas-recidivism-base-high-prevalence-group-A</v>
      </c>
      <c r="C266" s="2" t="s">
        <v>624</v>
      </c>
      <c r="D266" s="2" t="s">
        <v>1535</v>
      </c>
      <c r="E266" s="2" t="s">
        <v>792</v>
      </c>
      <c r="F266" s="4">
        <v>450</v>
      </c>
      <c r="G266" s="4">
        <v>1000</v>
      </c>
      <c r="H266" s="3">
        <f>IF(G266 = 0, "", F266 / G266)</f>
        <v>0.45</v>
      </c>
      <c r="I266" s="5">
        <f>SUMIFS(G266,C266, C266,E266, E266)</f>
        <v>1000</v>
      </c>
      <c r="J266" s="3">
        <f>IF(I266 = 0, "", G266 / I266)</f>
        <v>1</v>
      </c>
      <c r="K266" s="3" t="b">
        <f>AND(G266 &gt; 0, F266 &gt;= 0, F266 &lt;= G266)</f>
        <v>1</v>
      </c>
    </row>
    <row r="267">
      <c r="A267" s="2" t="s">
        <v>2044</v>
      </c>
      <c r="B267" s="3" t="str">
        <f>A267</f>
        <v>compas-recidivism-base-high-prevalence-group-B</v>
      </c>
      <c r="C267" s="2" t="s">
        <v>624</v>
      </c>
      <c r="D267" s="2" t="s">
        <v>1535</v>
      </c>
      <c r="E267" s="2" t="s">
        <v>795</v>
      </c>
      <c r="F267" s="4">
        <v>500</v>
      </c>
      <c r="G267" s="4">
        <v>1000</v>
      </c>
      <c r="H267" s="3">
        <f>IF(G267 = 0, "", F267 / G267)</f>
        <v>0.5</v>
      </c>
      <c r="I267" s="5">
        <f>SUMIFS(G267,C267, C267,E267, E267)</f>
        <v>1000</v>
      </c>
      <c r="J267" s="3">
        <f>IF(I267 = 0, "", G267 / I267)</f>
        <v>1</v>
      </c>
      <c r="K267" s="3" t="b">
        <f>AND(G267 &gt; 0, F267 &gt;= 0, F267 &lt;= G267)</f>
        <v>1</v>
      </c>
    </row>
    <row r="268">
      <c r="A268" s="2" t="s">
        <v>2045</v>
      </c>
      <c r="B268" s="3" t="str">
        <f>A268</f>
        <v>us-wage-composition-stagnation-college-educated-A</v>
      </c>
      <c r="C268" s="2" t="s">
        <v>629</v>
      </c>
      <c r="D268" s="2" t="s">
        <v>1538</v>
      </c>
      <c r="E268" s="2" t="s">
        <v>792</v>
      </c>
      <c r="F268" s="4">
        <v>5500</v>
      </c>
      <c r="G268" s="4">
        <v>10000</v>
      </c>
      <c r="H268" s="3">
        <f>IF(G268 = 0, "", F268 / G268)</f>
        <v>0.55</v>
      </c>
      <c r="I268" s="5">
        <f>SUMIFS(G268,C268, C268,E268, E268)</f>
        <v>10000</v>
      </c>
      <c r="J268" s="3">
        <f>IF(I268 = 0, "", G268 / I268)</f>
        <v>1</v>
      </c>
      <c r="K268" s="3" t="b">
        <f>AND(G268 &gt; 0, F268 &gt;= 0, F268 &lt;= G268)</f>
        <v>1</v>
      </c>
    </row>
    <row r="269">
      <c r="A269" s="2" t="s">
        <v>2046</v>
      </c>
      <c r="B269" s="3" t="str">
        <f>A269</f>
        <v>us-wage-composition-stagnation-college-educated-B</v>
      </c>
      <c r="C269" s="2" t="s">
        <v>629</v>
      </c>
      <c r="D269" s="2" t="s">
        <v>1538</v>
      </c>
      <c r="E269" s="2" t="s">
        <v>795</v>
      </c>
      <c r="F269" s="4">
        <v>5000</v>
      </c>
      <c r="G269" s="4">
        <v>10000</v>
      </c>
      <c r="H269" s="3">
        <f>IF(G269 = 0, "", F269 / G269)</f>
        <v>0.5</v>
      </c>
      <c r="I269" s="5">
        <f>SUMIFS(G269,C269, C269,E269, E269)</f>
        <v>10000</v>
      </c>
      <c r="J269" s="3">
        <f>IF(I269 = 0, "", G269 / I269)</f>
        <v>1</v>
      </c>
      <c r="K269" s="3" t="b">
        <f>AND(G269 &gt; 0, F269 &gt;= 0, F269 &lt;= G269)</f>
        <v>1</v>
      </c>
    </row>
    <row r="270">
      <c r="A270" s="2" t="s">
        <v>2047</v>
      </c>
      <c r="B270" s="3" t="str">
        <f>A270</f>
        <v>us-wage-composition-stagnation-non-college-A</v>
      </c>
      <c r="C270" s="2" t="s">
        <v>629</v>
      </c>
      <c r="D270" s="2" t="s">
        <v>1541</v>
      </c>
      <c r="E270" s="2" t="s">
        <v>792</v>
      </c>
      <c r="F270" s="4">
        <v>2800</v>
      </c>
      <c r="G270" s="4">
        <v>7000</v>
      </c>
      <c r="H270" s="3">
        <f>IF(G270 = 0, "", F270 / G270)</f>
        <v>0.4</v>
      </c>
      <c r="I270" s="5">
        <f>SUMIFS(G270,C270, C270,E270, E270)</f>
        <v>7000</v>
      </c>
      <c r="J270" s="3">
        <f>IF(I270 = 0, "", G270 / I270)</f>
        <v>1</v>
      </c>
      <c r="K270" s="3" t="b">
        <f>AND(G270 &gt; 0, F270 &gt;= 0, F270 &lt;= G270)</f>
        <v>1</v>
      </c>
    </row>
    <row r="271">
      <c r="A271" s="2" t="s">
        <v>2048</v>
      </c>
      <c r="B271" s="3" t="str">
        <f>A271</f>
        <v>us-wage-composition-stagnation-non-college-B</v>
      </c>
      <c r="C271" s="2" t="s">
        <v>629</v>
      </c>
      <c r="D271" s="2" t="s">
        <v>1541</v>
      </c>
      <c r="E271" s="2" t="s">
        <v>795</v>
      </c>
      <c r="F271" s="4">
        <v>1520</v>
      </c>
      <c r="G271" s="4">
        <v>4000</v>
      </c>
      <c r="H271" s="3">
        <f>IF(G271 = 0, "", F271 / G271)</f>
        <v>0.38</v>
      </c>
      <c r="I271" s="5">
        <f>SUMIFS(G271,C271, C271,E271, E271)</f>
        <v>4000</v>
      </c>
      <c r="J271" s="3">
        <f>IF(I271 = 0, "", G271 / I271)</f>
        <v>1</v>
      </c>
      <c r="K271" s="3" t="b">
        <f>AND(G271 &gt; 0, F271 &gt;= 0, F271 &lt;= G271)</f>
        <v>1</v>
      </c>
    </row>
    <row r="272">
      <c r="A272" s="2" t="s">
        <v>2049</v>
      </c>
      <c r="B272" s="3" t="str">
        <f>A272</f>
        <v>borjas-immigrant-cohort-recent-arrivals-A</v>
      </c>
      <c r="C272" s="2" t="s">
        <v>633</v>
      </c>
      <c r="D272" s="2" t="s">
        <v>1544</v>
      </c>
      <c r="E272" s="2" t="s">
        <v>792</v>
      </c>
      <c r="F272" s="4">
        <v>400</v>
      </c>
      <c r="G272" s="4">
        <v>1000</v>
      </c>
      <c r="H272" s="3">
        <f>IF(G272 = 0, "", F272 / G272)</f>
        <v>0.4</v>
      </c>
      <c r="I272" s="5">
        <f>SUMIFS(G272,C272, C272,E272, E272)</f>
        <v>1000</v>
      </c>
      <c r="J272" s="3">
        <f>IF(I272 = 0, "", G272 / I272)</f>
        <v>1</v>
      </c>
      <c r="K272" s="3" t="b">
        <f>AND(G272 &gt; 0, F272 &gt;= 0, F272 &lt;= G272)</f>
        <v>1</v>
      </c>
    </row>
    <row r="273">
      <c r="A273" s="2" t="s">
        <v>2050</v>
      </c>
      <c r="B273" s="3" t="str">
        <f>A273</f>
        <v>borjas-immigrant-cohort-recent-arrivals-B</v>
      </c>
      <c r="C273" s="2" t="s">
        <v>633</v>
      </c>
      <c r="D273" s="2" t="s">
        <v>1544</v>
      </c>
      <c r="E273" s="2" t="s">
        <v>795</v>
      </c>
      <c r="F273" s="4">
        <v>450</v>
      </c>
      <c r="G273" s="4">
        <v>1000</v>
      </c>
      <c r="H273" s="3">
        <f>IF(G273 = 0, "", F273 / G273)</f>
        <v>0.45</v>
      </c>
      <c r="I273" s="5">
        <f>SUMIFS(G273,C273, C273,E273, E273)</f>
        <v>1000</v>
      </c>
      <c r="J273" s="3">
        <f>IF(I273 = 0, "", G273 / I273)</f>
        <v>1</v>
      </c>
      <c r="K273" s="3" t="b">
        <f>AND(G273 &gt; 0, F273 &gt;= 0, F273 &lt;= G273)</f>
        <v>1</v>
      </c>
    </row>
    <row r="274">
      <c r="A274" s="2" t="s">
        <v>2051</v>
      </c>
      <c r="B274" s="3" t="str">
        <f>A274</f>
        <v>borjas-immigrant-cohort-established-immigrants-A</v>
      </c>
      <c r="C274" s="2" t="s">
        <v>633</v>
      </c>
      <c r="D274" s="2" t="s">
        <v>1547</v>
      </c>
      <c r="E274" s="2" t="s">
        <v>792</v>
      </c>
      <c r="F274" s="4">
        <v>550</v>
      </c>
      <c r="G274" s="4">
        <v>1000</v>
      </c>
      <c r="H274" s="3">
        <f>IF(G274 = 0, "", F274 / G274)</f>
        <v>0.55</v>
      </c>
      <c r="I274" s="5">
        <f>SUMIFS(G274,C274, C274,E274, E274)</f>
        <v>1000</v>
      </c>
      <c r="J274" s="3">
        <f>IF(I274 = 0, "", G274 / I274)</f>
        <v>1</v>
      </c>
      <c r="K274" s="3" t="b">
        <f>AND(G274 &gt; 0, F274 &gt;= 0, F274 &lt;= G274)</f>
        <v>1</v>
      </c>
    </row>
    <row r="275">
      <c r="A275" s="2" t="s">
        <v>2052</v>
      </c>
      <c r="B275" s="3" t="str">
        <f>A275</f>
        <v>borjas-immigrant-cohort-established-immigrants-B</v>
      </c>
      <c r="C275" s="2" t="s">
        <v>633</v>
      </c>
      <c r="D275" s="2" t="s">
        <v>1547</v>
      </c>
      <c r="E275" s="2" t="s">
        <v>795</v>
      </c>
      <c r="F275" s="4">
        <v>520</v>
      </c>
      <c r="G275" s="4">
        <v>1000</v>
      </c>
      <c r="H275" s="3">
        <f>IF(G275 = 0, "", F275 / G275)</f>
        <v>0.52</v>
      </c>
      <c r="I275" s="5">
        <f>SUMIFS(G275,C275, C275,E275, E275)</f>
        <v>1000</v>
      </c>
      <c r="J275" s="3">
        <f>IF(I275 = 0, "", G275 / I275)</f>
        <v>1</v>
      </c>
      <c r="K275" s="3" t="b">
        <f>AND(G275 &gt; 0, F275 &gt;= 0, F275 &lt;= G275)</f>
        <v>1</v>
      </c>
    </row>
    <row r="276">
      <c r="A276" s="2" t="s">
        <v>2053</v>
      </c>
      <c r="B276" s="3" t="str">
        <f>A276</f>
        <v>robinson-1950-literacy-high-literacy-states-A</v>
      </c>
      <c r="C276" s="2" t="s">
        <v>637</v>
      </c>
      <c r="D276" s="2" t="s">
        <v>1550</v>
      </c>
      <c r="E276" s="2" t="s">
        <v>792</v>
      </c>
      <c r="F276" s="4">
        <v>900</v>
      </c>
      <c r="G276" s="4">
        <v>1000</v>
      </c>
      <c r="H276" s="3">
        <f>IF(G276 = 0, "", F276 / G276)</f>
        <v>0.9</v>
      </c>
      <c r="I276" s="5">
        <f>SUMIFS(G276,C276, C276,E276, E276)</f>
        <v>1000</v>
      </c>
      <c r="J276" s="3">
        <f>IF(I276 = 0, "", G276 / I276)</f>
        <v>1</v>
      </c>
      <c r="K276" s="3" t="b">
        <f>AND(G276 &gt; 0, F276 &gt;= 0, F276 &lt;= G276)</f>
        <v>1</v>
      </c>
    </row>
    <row r="277">
      <c r="A277" s="2" t="s">
        <v>2054</v>
      </c>
      <c r="B277" s="3" t="str">
        <f>A277</f>
        <v>robinson-1950-literacy-high-literacy-states-B</v>
      </c>
      <c r="C277" s="2" t="s">
        <v>637</v>
      </c>
      <c r="D277" s="2" t="s">
        <v>1550</v>
      </c>
      <c r="E277" s="2" t="s">
        <v>795</v>
      </c>
      <c r="F277" s="4">
        <v>9500</v>
      </c>
      <c r="G277" s="4">
        <v>10000</v>
      </c>
      <c r="H277" s="3">
        <f>IF(G277 = 0, "", F277 / G277)</f>
        <v>0.95</v>
      </c>
      <c r="I277" s="5">
        <f>SUMIFS(G277,C277, C277,E277, E277)</f>
        <v>10000</v>
      </c>
      <c r="J277" s="3">
        <f>IF(I277 = 0, "", G277 / I277)</f>
        <v>1</v>
      </c>
      <c r="K277" s="3" t="b">
        <f>AND(G277 &gt; 0, F277 &gt;= 0, F277 &lt;= G277)</f>
        <v>1</v>
      </c>
    </row>
    <row r="278">
      <c r="A278" s="2" t="s">
        <v>2055</v>
      </c>
      <c r="B278" s="3" t="str">
        <f>A278</f>
        <v>robinson-1950-literacy-low-literacy-states-A</v>
      </c>
      <c r="C278" s="2" t="s">
        <v>637</v>
      </c>
      <c r="D278" s="2" t="s">
        <v>1553</v>
      </c>
      <c r="E278" s="2" t="s">
        <v>792</v>
      </c>
      <c r="F278" s="4">
        <v>800</v>
      </c>
      <c r="G278" s="4">
        <v>1000</v>
      </c>
      <c r="H278" s="3">
        <f>IF(G278 = 0, "", F278 / G278)</f>
        <v>0.8</v>
      </c>
      <c r="I278" s="5">
        <f>SUMIFS(G278,C278, C278,E278, E278)</f>
        <v>1000</v>
      </c>
      <c r="J278" s="3">
        <f>IF(I278 = 0, "", G278 / I278)</f>
        <v>1</v>
      </c>
      <c r="K278" s="3" t="b">
        <f>AND(G278 &gt; 0, F278 &gt;= 0, F278 &lt;= G278)</f>
        <v>1</v>
      </c>
    </row>
    <row r="279">
      <c r="A279" s="2" t="s">
        <v>2056</v>
      </c>
      <c r="B279" s="3" t="str">
        <f>A279</f>
        <v>robinson-1950-literacy-low-literacy-states-B</v>
      </c>
      <c r="C279" s="2" t="s">
        <v>637</v>
      </c>
      <c r="D279" s="2" t="s">
        <v>1553</v>
      </c>
      <c r="E279" s="2" t="s">
        <v>795</v>
      </c>
      <c r="F279" s="4">
        <v>1400</v>
      </c>
      <c r="G279" s="4">
        <v>2000</v>
      </c>
      <c r="H279" s="3">
        <f>IF(G279 = 0, "", F279 / G279)</f>
        <v>0.7</v>
      </c>
      <c r="I279" s="5">
        <f>SUMIFS(G279,C279, C279,E279, E279)</f>
        <v>2000</v>
      </c>
      <c r="J279" s="3">
        <f>IF(I279 = 0, "", G279 / I279)</f>
        <v>1</v>
      </c>
      <c r="K279" s="3" t="b">
        <f>AND(G279 &gt; 0, F279 &gt;= 0, F279 &lt;= G279)</f>
        <v>1</v>
      </c>
    </row>
    <row r="280">
      <c r="A280" s="2" t="s">
        <v>2057</v>
      </c>
      <c r="B280" s="3" t="str">
        <f>A280</f>
        <v>ab-test-traffic-mix-week1-young-users-A</v>
      </c>
      <c r="C280" s="2" t="s">
        <v>641</v>
      </c>
      <c r="D280" s="2" t="s">
        <v>1556</v>
      </c>
      <c r="E280" s="2" t="s">
        <v>792</v>
      </c>
      <c r="F280" s="4">
        <v>8000</v>
      </c>
      <c r="G280" s="4">
        <v>10000</v>
      </c>
      <c r="H280" s="3">
        <f>IF(G280 = 0, "", F280 / G280)</f>
        <v>0.8</v>
      </c>
      <c r="I280" s="5">
        <f>SUMIFS(G280,C280, C280,E280, E280)</f>
        <v>10000</v>
      </c>
      <c r="J280" s="3">
        <f>IF(I280 = 0, "", G280 / I280)</f>
        <v>1</v>
      </c>
      <c r="K280" s="3" t="b">
        <f>AND(G280 &gt; 0, F280 &gt;= 0, F280 &lt;= G280)</f>
        <v>1</v>
      </c>
    </row>
    <row r="281">
      <c r="A281" s="2" t="s">
        <v>2058</v>
      </c>
      <c r="B281" s="3" t="str">
        <f>A281</f>
        <v>ab-test-traffic-mix-week1-young-users-B</v>
      </c>
      <c r="C281" s="2" t="s">
        <v>641</v>
      </c>
      <c r="D281" s="2" t="s">
        <v>1556</v>
      </c>
      <c r="E281" s="2" t="s">
        <v>795</v>
      </c>
      <c r="F281" s="4">
        <v>7500</v>
      </c>
      <c r="G281" s="4">
        <v>10000</v>
      </c>
      <c r="H281" s="3">
        <f>IF(G281 = 0, "", F281 / G281)</f>
        <v>0.75</v>
      </c>
      <c r="I281" s="5">
        <f>SUMIFS(G281,C281, C281,E281, E281)</f>
        <v>10000</v>
      </c>
      <c r="J281" s="3">
        <f>IF(I281 = 0, "", G281 / I281)</f>
        <v>1</v>
      </c>
      <c r="K281" s="3" t="b">
        <f>AND(G281 &gt; 0, F281 &gt;= 0, F281 &lt;= G281)</f>
        <v>1</v>
      </c>
    </row>
    <row r="282">
      <c r="A282" s="2" t="s">
        <v>2059</v>
      </c>
      <c r="B282" s="3" t="str">
        <f>A282</f>
        <v>ab-test-traffic-mix-week2-old-users-A</v>
      </c>
      <c r="C282" s="2" t="s">
        <v>641</v>
      </c>
      <c r="D282" s="2" t="s">
        <v>1559</v>
      </c>
      <c r="E282" s="2" t="s">
        <v>792</v>
      </c>
      <c r="F282" s="4">
        <v>1100</v>
      </c>
      <c r="G282" s="4">
        <v>2000</v>
      </c>
      <c r="H282" s="3">
        <f>IF(G282 = 0, "", F282 / G282)</f>
        <v>0.55</v>
      </c>
      <c r="I282" s="5">
        <f>SUMIFS(G282,C282, C282,E282, E282)</f>
        <v>2000</v>
      </c>
      <c r="J282" s="3">
        <f>IF(I282 = 0, "", G282 / I282)</f>
        <v>1</v>
      </c>
      <c r="K282" s="3" t="b">
        <f>AND(G282 &gt; 0, F282 &gt;= 0, F282 &lt;= G282)</f>
        <v>1</v>
      </c>
    </row>
    <row r="283">
      <c r="A283" s="2" t="s">
        <v>2060</v>
      </c>
      <c r="B283" s="3" t="str">
        <f>A283</f>
        <v>ab-test-traffic-mix-week2-old-users-B</v>
      </c>
      <c r="C283" s="2" t="s">
        <v>641</v>
      </c>
      <c r="D283" s="2" t="s">
        <v>1559</v>
      </c>
      <c r="E283" s="2" t="s">
        <v>795</v>
      </c>
      <c r="F283" s="4">
        <v>1300</v>
      </c>
      <c r="G283" s="4">
        <v>2000</v>
      </c>
      <c r="H283" s="3">
        <f>IF(G283 = 0, "", F283 / G283)</f>
        <v>0.65</v>
      </c>
      <c r="I283" s="5">
        <f>SUMIFS(G283,C283, C283,E283, E283)</f>
        <v>2000</v>
      </c>
      <c r="J283" s="3">
        <f>IF(I283 = 0, "", G283 / I283)</f>
        <v>1</v>
      </c>
      <c r="K283" s="3" t="b">
        <f>AND(G283 &gt; 0, F283 &gt;= 0, F283 &lt;= G283)</f>
        <v>1</v>
      </c>
    </row>
    <row r="284">
      <c r="A284" s="2" t="s">
        <v>2061</v>
      </c>
      <c r="B284" s="3" t="str">
        <f>A284</f>
        <v>recsys-offline-eval-head-items-A</v>
      </c>
      <c r="C284" s="2" t="s">
        <v>645</v>
      </c>
      <c r="D284" s="2" t="s">
        <v>1562</v>
      </c>
      <c r="E284" s="2" t="s">
        <v>792</v>
      </c>
      <c r="F284" s="4">
        <v>850</v>
      </c>
      <c r="G284" s="4">
        <v>1000</v>
      </c>
      <c r="H284" s="3">
        <f>IF(G284 = 0, "", F284 / G284)</f>
        <v>0.85</v>
      </c>
      <c r="I284" s="5">
        <f>SUMIFS(G284,C284, C284,E284, E284)</f>
        <v>1000</v>
      </c>
      <c r="J284" s="3">
        <f>IF(I284 = 0, "", G284 / I284)</f>
        <v>1</v>
      </c>
      <c r="K284" s="3" t="b">
        <f>AND(G284 &gt; 0, F284 &gt;= 0, F284 &lt;= G284)</f>
        <v>1</v>
      </c>
    </row>
    <row r="285">
      <c r="A285" s="2" t="s">
        <v>2062</v>
      </c>
      <c r="B285" s="3" t="str">
        <f>A285</f>
        <v>recsys-offline-eval-head-items-B</v>
      </c>
      <c r="C285" s="2" t="s">
        <v>645</v>
      </c>
      <c r="D285" s="2" t="s">
        <v>1562</v>
      </c>
      <c r="E285" s="2" t="s">
        <v>795</v>
      </c>
      <c r="F285" s="4">
        <v>800</v>
      </c>
      <c r="G285" s="4">
        <v>1000</v>
      </c>
      <c r="H285" s="3">
        <f>IF(G285 = 0, "", F285 / G285)</f>
        <v>0.8</v>
      </c>
      <c r="I285" s="5">
        <f>SUMIFS(G285,C285, C285,E285, E285)</f>
        <v>1000</v>
      </c>
      <c r="J285" s="3">
        <f>IF(I285 = 0, "", G285 / I285)</f>
        <v>1</v>
      </c>
      <c r="K285" s="3" t="b">
        <f>AND(G285 &gt; 0, F285 &gt;= 0, F285 &lt;= G285)</f>
        <v>1</v>
      </c>
    </row>
    <row r="286">
      <c r="A286" s="2" t="s">
        <v>2063</v>
      </c>
      <c r="B286" s="3" t="str">
        <f>A286</f>
        <v>recsys-offline-eval-tail-items-A</v>
      </c>
      <c r="C286" s="2" t="s">
        <v>645</v>
      </c>
      <c r="D286" s="2" t="s">
        <v>1565</v>
      </c>
      <c r="E286" s="2" t="s">
        <v>792</v>
      </c>
      <c r="F286" s="4">
        <v>300</v>
      </c>
      <c r="G286" s="4">
        <v>1000</v>
      </c>
      <c r="H286" s="3">
        <f>IF(G286 = 0, "", F286 / G286)</f>
        <v>0.3</v>
      </c>
      <c r="I286" s="5">
        <f>SUMIFS(G286,C286, C286,E286, E286)</f>
        <v>1000</v>
      </c>
      <c r="J286" s="3">
        <f>IF(I286 = 0, "", G286 / I286)</f>
        <v>1</v>
      </c>
      <c r="K286" s="3" t="b">
        <f>AND(G286 &gt; 0, F286 &gt;= 0, F286 &lt;= G286)</f>
        <v>1</v>
      </c>
    </row>
    <row r="287">
      <c r="A287" s="2" t="s">
        <v>2064</v>
      </c>
      <c r="B287" s="3" t="str">
        <f>A287</f>
        <v>recsys-offline-eval-tail-items-B</v>
      </c>
      <c r="C287" s="2" t="s">
        <v>645</v>
      </c>
      <c r="D287" s="2" t="s">
        <v>1565</v>
      </c>
      <c r="E287" s="2" t="s">
        <v>795</v>
      </c>
      <c r="F287" s="4">
        <v>350</v>
      </c>
      <c r="G287" s="4">
        <v>1000</v>
      </c>
      <c r="H287" s="3">
        <f>IF(G287 = 0, "", F287 / G287)</f>
        <v>0.35</v>
      </c>
      <c r="I287" s="5">
        <f>SUMIFS(G287,C287, C287,E287, E287)</f>
        <v>1000</v>
      </c>
      <c r="J287" s="3">
        <f>IF(I287 = 0, "", G287 / I287)</f>
        <v>1</v>
      </c>
      <c r="K287" s="3" t="b">
        <f>AND(G287 &gt; 0, F287 &gt;= 0, F287 &lt;= G287)</f>
        <v>1</v>
      </c>
    </row>
    <row r="288">
      <c r="A288" s="2" t="s">
        <v>2065</v>
      </c>
      <c r="B288" s="3" t="str">
        <f>A288</f>
        <v>collider-only-synthetic-conditioned-in-A</v>
      </c>
      <c r="C288" s="2" t="s">
        <v>649</v>
      </c>
      <c r="D288" s="2" t="s">
        <v>1568</v>
      </c>
      <c r="E288" s="2" t="s">
        <v>792</v>
      </c>
      <c r="F288" s="4">
        <v>85</v>
      </c>
      <c r="G288" s="4">
        <v>100</v>
      </c>
      <c r="H288" s="3">
        <f>IF(G288 = 0, "", F288 / G288)</f>
        <v>0.85</v>
      </c>
      <c r="I288" s="5">
        <f>SUMIFS(G288,C288, C288,E288, E288)</f>
        <v>100</v>
      </c>
      <c r="J288" s="3">
        <f>IF(I288 = 0, "", G288 / I288)</f>
        <v>1</v>
      </c>
      <c r="K288" s="3" t="b">
        <f>AND(G288 &gt; 0, F288 &gt;= 0, F288 &lt;= G288)</f>
        <v>1</v>
      </c>
    </row>
    <row r="289">
      <c r="A289" s="2" t="s">
        <v>2066</v>
      </c>
      <c r="B289" s="3" t="str">
        <f>A289</f>
        <v>collider-only-synthetic-conditioned-in-B</v>
      </c>
      <c r="C289" s="2" t="s">
        <v>649</v>
      </c>
      <c r="D289" s="2" t="s">
        <v>1568</v>
      </c>
      <c r="E289" s="2" t="s">
        <v>795</v>
      </c>
      <c r="F289" s="4">
        <v>70</v>
      </c>
      <c r="G289" s="4">
        <v>100</v>
      </c>
      <c r="H289" s="3">
        <f>IF(G289 = 0, "", F289 / G289)</f>
        <v>0.7</v>
      </c>
      <c r="I289" s="5">
        <f>SUMIFS(G289,C289, C289,E289, E289)</f>
        <v>100</v>
      </c>
      <c r="J289" s="3">
        <f>IF(I289 = 0, "", G289 / I289)</f>
        <v>1</v>
      </c>
      <c r="K289" s="3" t="b">
        <f>AND(G289 &gt; 0, F289 &gt;= 0, F289 &lt;= G289)</f>
        <v>1</v>
      </c>
    </row>
    <row r="290">
      <c r="A290" s="2" t="s">
        <v>2067</v>
      </c>
      <c r="B290" s="3" t="str">
        <f>A290</f>
        <v>collider-only-synthetic-conditioned-out-A</v>
      </c>
      <c r="C290" s="2" t="s">
        <v>649</v>
      </c>
      <c r="D290" s="2" t="s">
        <v>1571</v>
      </c>
      <c r="E290" s="2" t="s">
        <v>792</v>
      </c>
      <c r="F290" s="4">
        <v>150</v>
      </c>
      <c r="G290" s="4">
        <v>900</v>
      </c>
      <c r="H290" s="3">
        <f>IF(G290 = 0, "", F290 / G290)</f>
        <v>0.16666666666666666</v>
      </c>
      <c r="I290" s="5">
        <f>SUMIFS(G290,C290, C290,E290, E290)</f>
        <v>900</v>
      </c>
      <c r="J290" s="3">
        <f>IF(I290 = 0, "", G290 / I290)</f>
        <v>1</v>
      </c>
      <c r="K290" s="3" t="b">
        <f>AND(G290 &gt; 0, F290 &gt;= 0, F290 &lt;= G290)</f>
        <v>1</v>
      </c>
    </row>
    <row r="291">
      <c r="A291" s="2" t="s">
        <v>2068</v>
      </c>
      <c r="B291" s="3" t="str">
        <f>A291</f>
        <v>collider-only-synthetic-conditioned-out-B</v>
      </c>
      <c r="C291" s="2" t="s">
        <v>649</v>
      </c>
      <c r="D291" s="2" t="s">
        <v>1571</v>
      </c>
      <c r="E291" s="2" t="s">
        <v>795</v>
      </c>
      <c r="F291" s="4">
        <v>270</v>
      </c>
      <c r="G291" s="4">
        <v>900</v>
      </c>
      <c r="H291" s="3">
        <f>IF(G291 = 0, "", F291 / G291)</f>
        <v>0.3</v>
      </c>
      <c r="I291" s="5">
        <f>SUMIFS(G291,C291, C291,E291, E291)</f>
        <v>900</v>
      </c>
      <c r="J291" s="3">
        <f>IF(I291 = 0, "", G291 / I291)</f>
        <v>1</v>
      </c>
      <c r="K291" s="3" t="b">
        <f>AND(G291 &gt; 0, F291 &gt;= 0, F291 &lt;= G291)</f>
        <v>1</v>
      </c>
    </row>
    <row r="292">
      <c r="A292" s="2" t="s">
        <v>2069</v>
      </c>
      <c r="B292" s="3" t="str">
        <f>A292</f>
        <v>noncollapsibility-or-synthetic-low-prevalence-A</v>
      </c>
      <c r="C292" s="2" t="s">
        <v>652</v>
      </c>
      <c r="D292" s="2" t="s">
        <v>1574</v>
      </c>
      <c r="E292" s="2" t="s">
        <v>792</v>
      </c>
      <c r="F292" s="4">
        <v>40</v>
      </c>
      <c r="G292" s="4">
        <v>100</v>
      </c>
      <c r="H292" s="3">
        <f>IF(G292 = 0, "", F292 / G292)</f>
        <v>0.4</v>
      </c>
      <c r="I292" s="5">
        <f>SUMIFS(G292,C292, C292,E292, E292)</f>
        <v>100</v>
      </c>
      <c r="J292" s="3">
        <f>IF(I292 = 0, "", G292 / I292)</f>
        <v>1</v>
      </c>
      <c r="K292" s="3" t="b">
        <f>AND(G292 &gt; 0, F292 &gt;= 0, F292 &lt;= G292)</f>
        <v>1</v>
      </c>
    </row>
    <row r="293">
      <c r="A293" s="2" t="s">
        <v>2070</v>
      </c>
      <c r="B293" s="3" t="str">
        <f>A293</f>
        <v>noncollapsibility-or-synthetic-low-prevalence-B</v>
      </c>
      <c r="C293" s="2" t="s">
        <v>652</v>
      </c>
      <c r="D293" s="2" t="s">
        <v>1574</v>
      </c>
      <c r="E293" s="2" t="s">
        <v>795</v>
      </c>
      <c r="F293" s="4">
        <v>30</v>
      </c>
      <c r="G293" s="4">
        <v>100</v>
      </c>
      <c r="H293" s="3">
        <f>IF(G293 = 0, "", F293 / G293)</f>
        <v>0.3</v>
      </c>
      <c r="I293" s="5">
        <f>SUMIFS(G293,C293, C293,E293, E293)</f>
        <v>100</v>
      </c>
      <c r="J293" s="3">
        <f>IF(I293 = 0, "", G293 / I293)</f>
        <v>1</v>
      </c>
      <c r="K293" s="3" t="b">
        <f>AND(G293 &gt; 0, F293 &gt;= 0, F293 &lt;= G293)</f>
        <v>1</v>
      </c>
    </row>
    <row r="294">
      <c r="A294" s="2" t="s">
        <v>2071</v>
      </c>
      <c r="B294" s="3" t="str">
        <f>A294</f>
        <v>noncollapsibility-or-synthetic-high-prevalence-A</v>
      </c>
      <c r="C294" s="2" t="s">
        <v>652</v>
      </c>
      <c r="D294" s="2" t="s">
        <v>1577</v>
      </c>
      <c r="E294" s="2" t="s">
        <v>792</v>
      </c>
      <c r="F294" s="4">
        <v>400</v>
      </c>
      <c r="G294" s="4">
        <v>1000</v>
      </c>
      <c r="H294" s="3">
        <f>IF(G294 = 0, "", F294 / G294)</f>
        <v>0.4</v>
      </c>
      <c r="I294" s="5">
        <f>SUMIFS(G294,C294, C294,E294, E294)</f>
        <v>1000</v>
      </c>
      <c r="J294" s="3">
        <f>IF(I294 = 0, "", G294 / I294)</f>
        <v>1</v>
      </c>
      <c r="K294" s="3" t="b">
        <f>AND(G294 &gt; 0, F294 &gt;= 0, F294 &lt;= G294)</f>
        <v>1</v>
      </c>
    </row>
    <row r="295">
      <c r="A295" s="2" t="s">
        <v>2072</v>
      </c>
      <c r="B295" s="3" t="str">
        <f>A295</f>
        <v>noncollapsibility-or-synthetic-high-prevalence-B</v>
      </c>
      <c r="C295" s="2" t="s">
        <v>652</v>
      </c>
      <c r="D295" s="2" t="s">
        <v>1577</v>
      </c>
      <c r="E295" s="2" t="s">
        <v>795</v>
      </c>
      <c r="F295" s="4">
        <v>300</v>
      </c>
      <c r="G295" s="4">
        <v>1000</v>
      </c>
      <c r="H295" s="3">
        <f>IF(G295 = 0, "", F295 / G295)</f>
        <v>0.3</v>
      </c>
      <c r="I295" s="5">
        <f>SUMIFS(G295,C295, C295,E295, E295)</f>
        <v>1000</v>
      </c>
      <c r="J295" s="3">
        <f>IF(I295 = 0, "", G295 / I295)</f>
        <v>1</v>
      </c>
      <c r="K295" s="3" t="b">
        <f>AND(G295 &gt; 0, F295 &gt;= 0, F295 &lt;= G295)</f>
        <v>1</v>
      </c>
    </row>
    <row r="296">
      <c r="A296" s="2" t="s">
        <v>2073</v>
      </c>
      <c r="B296" s="3" t="str">
        <f>A296</f>
        <v>trauma-center-mortality-mild-injury-A</v>
      </c>
      <c r="C296" s="2" t="s">
        <v>655</v>
      </c>
      <c r="D296" s="2" t="s">
        <v>1580</v>
      </c>
      <c r="E296" s="2" t="s">
        <v>792</v>
      </c>
      <c r="F296" s="4">
        <v>950</v>
      </c>
      <c r="G296" s="4">
        <v>1000</v>
      </c>
      <c r="H296" s="3">
        <f>IF(G296 = 0, "", F296 / G296)</f>
        <v>0.95</v>
      </c>
      <c r="I296" s="5">
        <f>SUMIFS(G296,C296, C296,E296, E296)</f>
        <v>1000</v>
      </c>
      <c r="J296" s="3">
        <f>IF(I296 = 0, "", G296 / I296)</f>
        <v>1</v>
      </c>
      <c r="K296" s="3" t="b">
        <f>AND(G296 &gt; 0, F296 &gt;= 0, F296 &lt;= G296)</f>
        <v>1</v>
      </c>
    </row>
    <row r="297">
      <c r="A297" s="2" t="s">
        <v>2074</v>
      </c>
      <c r="B297" s="3" t="str">
        <f>A297</f>
        <v>trauma-center-mortality-mild-injury-B</v>
      </c>
      <c r="C297" s="2" t="s">
        <v>655</v>
      </c>
      <c r="D297" s="2" t="s">
        <v>1580</v>
      </c>
      <c r="E297" s="2" t="s">
        <v>795</v>
      </c>
      <c r="F297" s="4">
        <v>960</v>
      </c>
      <c r="G297" s="4">
        <v>1000</v>
      </c>
      <c r="H297" s="3">
        <f>IF(G297 = 0, "", F297 / G297)</f>
        <v>0.96</v>
      </c>
      <c r="I297" s="5">
        <f>SUMIFS(G297,C297, C297,E297, E297)</f>
        <v>1000</v>
      </c>
      <c r="J297" s="3">
        <f>IF(I297 = 0, "", G297 / I297)</f>
        <v>1</v>
      </c>
      <c r="K297" s="3" t="b">
        <f>AND(G297 &gt; 0, F297 &gt;= 0, F297 &lt;= G297)</f>
        <v>1</v>
      </c>
    </row>
    <row r="298">
      <c r="A298" s="2" t="s">
        <v>2075</v>
      </c>
      <c r="B298" s="3" t="str">
        <f>A298</f>
        <v>trauma-center-mortality-severe-injury-A</v>
      </c>
      <c r="C298" s="2" t="s">
        <v>655</v>
      </c>
      <c r="D298" s="2" t="s">
        <v>1583</v>
      </c>
      <c r="E298" s="2" t="s">
        <v>792</v>
      </c>
      <c r="F298" s="4">
        <v>600</v>
      </c>
      <c r="G298" s="4">
        <v>1000</v>
      </c>
      <c r="H298" s="3">
        <f>IF(G298 = 0, "", F298 / G298)</f>
        <v>0.6</v>
      </c>
      <c r="I298" s="5">
        <f>SUMIFS(G298,C298, C298,E298, E298)</f>
        <v>1000</v>
      </c>
      <c r="J298" s="3">
        <f>IF(I298 = 0, "", G298 / I298)</f>
        <v>1</v>
      </c>
      <c r="K298" s="3" t="b">
        <f>AND(G298 &gt; 0, F298 &gt;= 0, F298 &lt;= G298)</f>
        <v>1</v>
      </c>
    </row>
    <row r="299">
      <c r="A299" s="2" t="s">
        <v>2076</v>
      </c>
      <c r="B299" s="3" t="str">
        <f>A299</f>
        <v>trauma-center-mortality-severe-injury-B</v>
      </c>
      <c r="C299" s="2" t="s">
        <v>655</v>
      </c>
      <c r="D299" s="2" t="s">
        <v>1583</v>
      </c>
      <c r="E299" s="2" t="s">
        <v>795</v>
      </c>
      <c r="F299" s="4">
        <v>680</v>
      </c>
      <c r="G299" s="4">
        <v>1000</v>
      </c>
      <c r="H299" s="3">
        <f>IF(G299 = 0, "", F299 / G299)</f>
        <v>0.68</v>
      </c>
      <c r="I299" s="5">
        <f>SUMIFS(G299,C299, C299,E299, E299)</f>
        <v>1000</v>
      </c>
      <c r="J299" s="3">
        <f>IF(I299 = 0, "", G299 / I299)</f>
        <v>1</v>
      </c>
      <c r="K299" s="3" t="b">
        <f>AND(G299 &gt; 0, F299 &gt;= 0, F299 &lt;= G299)</f>
        <v>1</v>
      </c>
    </row>
    <row r="300">
      <c r="A300" s="2" t="s">
        <v>2077</v>
      </c>
      <c r="B300" s="3" t="str">
        <f>A300</f>
        <v>surgeon-volume-mortality-low-risk-A</v>
      </c>
      <c r="C300" s="2" t="s">
        <v>659</v>
      </c>
      <c r="D300" s="2" t="s">
        <v>1235</v>
      </c>
      <c r="E300" s="2" t="s">
        <v>792</v>
      </c>
      <c r="F300" s="4">
        <v>980</v>
      </c>
      <c r="G300" s="4">
        <v>1000</v>
      </c>
      <c r="H300" s="3">
        <f>IF(G300 = 0, "", F300 / G300)</f>
        <v>0.98</v>
      </c>
      <c r="I300" s="5">
        <f>SUMIFS(G300,C300, C300,E300, E300)</f>
        <v>1000</v>
      </c>
      <c r="J300" s="3">
        <f>IF(I300 = 0, "", G300 / I300)</f>
        <v>1</v>
      </c>
      <c r="K300" s="3" t="b">
        <f>AND(G300 &gt; 0, F300 &gt;= 0, F300 &lt;= G300)</f>
        <v>1</v>
      </c>
    </row>
    <row r="301">
      <c r="A301" s="2" t="s">
        <v>2078</v>
      </c>
      <c r="B301" s="3" t="str">
        <f>A301</f>
        <v>surgeon-volume-mortality-low-risk-B</v>
      </c>
      <c r="C301" s="2" t="s">
        <v>659</v>
      </c>
      <c r="D301" s="2" t="s">
        <v>1235</v>
      </c>
      <c r="E301" s="2" t="s">
        <v>795</v>
      </c>
      <c r="F301" s="4">
        <v>975</v>
      </c>
      <c r="G301" s="4">
        <v>1000</v>
      </c>
      <c r="H301" s="3">
        <f>IF(G301 = 0, "", F301 / G301)</f>
        <v>0.975</v>
      </c>
      <c r="I301" s="5">
        <f>SUMIFS(G301,C301, C301,E301, E301)</f>
        <v>1000</v>
      </c>
      <c r="J301" s="3">
        <f>IF(I301 = 0, "", G301 / I301)</f>
        <v>1</v>
      </c>
      <c r="K301" s="3" t="b">
        <f>AND(G301 &gt; 0, F301 &gt;= 0, F301 &lt;= G301)</f>
        <v>1</v>
      </c>
    </row>
    <row r="302">
      <c r="A302" s="2" t="s">
        <v>2079</v>
      </c>
      <c r="B302" s="3" t="str">
        <f>A302</f>
        <v>surgeon-volume-mortality-high-risk-A</v>
      </c>
      <c r="C302" s="2" t="s">
        <v>659</v>
      </c>
      <c r="D302" s="2" t="s">
        <v>1232</v>
      </c>
      <c r="E302" s="2" t="s">
        <v>792</v>
      </c>
      <c r="F302" s="4">
        <v>820</v>
      </c>
      <c r="G302" s="4">
        <v>1000</v>
      </c>
      <c r="H302" s="3">
        <f>IF(G302 = 0, "", F302 / G302)</f>
        <v>0.82</v>
      </c>
      <c r="I302" s="5">
        <f>SUMIFS(G302,C302, C302,E302, E302)</f>
        <v>1000</v>
      </c>
      <c r="J302" s="3">
        <f>IF(I302 = 0, "", G302 / I302)</f>
        <v>1</v>
      </c>
      <c r="K302" s="3" t="b">
        <f>AND(G302 &gt; 0, F302 &gt;= 0, F302 &lt;= G302)</f>
        <v>1</v>
      </c>
    </row>
    <row r="303">
      <c r="A303" s="2" t="s">
        <v>2080</v>
      </c>
      <c r="B303" s="3" t="str">
        <f>A303</f>
        <v>surgeon-volume-mortality-high-risk-B</v>
      </c>
      <c r="C303" s="2" t="s">
        <v>659</v>
      </c>
      <c r="D303" s="2" t="s">
        <v>1232</v>
      </c>
      <c r="E303" s="2" t="s">
        <v>795</v>
      </c>
      <c r="F303" s="4">
        <v>860</v>
      </c>
      <c r="G303" s="4">
        <v>1000</v>
      </c>
      <c r="H303" s="3">
        <f>IF(G303 = 0, "", F303 / G303)</f>
        <v>0.86</v>
      </c>
      <c r="I303" s="5">
        <f>SUMIFS(G303,C303, C303,E303, E303)</f>
        <v>1000</v>
      </c>
      <c r="J303" s="3">
        <f>IF(I303 = 0, "", G303 / I303)</f>
        <v>1</v>
      </c>
      <c r="K303" s="3" t="b">
        <f>AND(G303 &gt; 0, F303 &gt;= 0, F303 &lt;= G303)</f>
        <v>1</v>
      </c>
    </row>
    <row r="304">
      <c r="A304" s="2" t="s">
        <v>2081</v>
      </c>
      <c r="B304" s="3" t="str">
        <f>A304</f>
        <v>mammography-length-bias-slow-growing-A</v>
      </c>
      <c r="C304" s="2" t="s">
        <v>663</v>
      </c>
      <c r="D304" s="2" t="s">
        <v>1590</v>
      </c>
      <c r="E304" s="2" t="s">
        <v>792</v>
      </c>
      <c r="F304" s="4">
        <v>920</v>
      </c>
      <c r="G304" s="4">
        <v>1000</v>
      </c>
      <c r="H304" s="3">
        <f>IF(G304 = 0, "", F304 / G304)</f>
        <v>0.92</v>
      </c>
      <c r="I304" s="5">
        <f>SUMIFS(G304,C304, C304,E304, E304)</f>
        <v>1000</v>
      </c>
      <c r="J304" s="3">
        <f>IF(I304 = 0, "", G304 / I304)</f>
        <v>1</v>
      </c>
      <c r="K304" s="3" t="b">
        <f>AND(G304 &gt; 0, F304 &gt;= 0, F304 &lt;= G304)</f>
        <v>1</v>
      </c>
    </row>
    <row r="305">
      <c r="A305" s="2" t="s">
        <v>2082</v>
      </c>
      <c r="B305" s="3" t="str">
        <f>A305</f>
        <v>mammography-length-bias-slow-growing-B</v>
      </c>
      <c r="C305" s="2" t="s">
        <v>663</v>
      </c>
      <c r="D305" s="2" t="s">
        <v>1590</v>
      </c>
      <c r="E305" s="2" t="s">
        <v>795</v>
      </c>
      <c r="F305" s="4">
        <v>700</v>
      </c>
      <c r="G305" s="4">
        <v>1000</v>
      </c>
      <c r="H305" s="3">
        <f>IF(G305 = 0, "", F305 / G305)</f>
        <v>0.7</v>
      </c>
      <c r="I305" s="5">
        <f>SUMIFS(G305,C305, C305,E305, E305)</f>
        <v>1000</v>
      </c>
      <c r="J305" s="3">
        <f>IF(I305 = 0, "", G305 / I305)</f>
        <v>1</v>
      </c>
      <c r="K305" s="3" t="b">
        <f>AND(G305 &gt; 0, F305 &gt;= 0, F305 &lt;= G305)</f>
        <v>1</v>
      </c>
    </row>
    <row r="306">
      <c r="A306" s="2" t="s">
        <v>2083</v>
      </c>
      <c r="B306" s="3" t="str">
        <f>A306</f>
        <v>mammography-length-bias-aggressive-A</v>
      </c>
      <c r="C306" s="2" t="s">
        <v>663</v>
      </c>
      <c r="D306" s="2" t="s">
        <v>1593</v>
      </c>
      <c r="E306" s="2" t="s">
        <v>792</v>
      </c>
      <c r="F306" s="4">
        <v>400</v>
      </c>
      <c r="G306" s="4">
        <v>1000</v>
      </c>
      <c r="H306" s="3">
        <f>IF(G306 = 0, "", F306 / G306)</f>
        <v>0.4</v>
      </c>
      <c r="I306" s="5">
        <f>SUMIFS(G306,C306, C306,E306, E306)</f>
        <v>1000</v>
      </c>
      <c r="J306" s="3">
        <f>IF(I306 = 0, "", G306 / I306)</f>
        <v>1</v>
      </c>
      <c r="K306" s="3" t="b">
        <f>AND(G306 &gt; 0, F306 &gt;= 0, F306 &lt;= G306)</f>
        <v>1</v>
      </c>
    </row>
    <row r="307">
      <c r="A307" s="2" t="s">
        <v>2084</v>
      </c>
      <c r="B307" s="3" t="str">
        <f>A307</f>
        <v>mammography-length-bias-aggressive-B</v>
      </c>
      <c r="C307" s="2" t="s">
        <v>663</v>
      </c>
      <c r="D307" s="2" t="s">
        <v>1593</v>
      </c>
      <c r="E307" s="2" t="s">
        <v>795</v>
      </c>
      <c r="F307" s="4">
        <v>350</v>
      </c>
      <c r="G307" s="4">
        <v>1000</v>
      </c>
      <c r="H307" s="3">
        <f>IF(G307 = 0, "", F307 / G307)</f>
        <v>0.35</v>
      </c>
      <c r="I307" s="5">
        <f>SUMIFS(G307,C307, C307,E307, E307)</f>
        <v>1000</v>
      </c>
      <c r="J307" s="3">
        <f>IF(I307 = 0, "", G307 / I307)</f>
        <v>1</v>
      </c>
      <c r="K307" s="3" t="b">
        <f>AND(G307 &gt; 0, F307 &gt;= 0, F307 &lt;= G307)</f>
        <v>1</v>
      </c>
    </row>
    <row r="308">
      <c r="A308" s="2" t="s">
        <v>2085</v>
      </c>
      <c r="B308" s="3" t="str">
        <f>A308</f>
        <v>cabg-vs-pci-severity-multivessel-A</v>
      </c>
      <c r="C308" s="2" t="s">
        <v>667</v>
      </c>
      <c r="D308" s="2" t="s">
        <v>1596</v>
      </c>
      <c r="E308" s="2" t="s">
        <v>792</v>
      </c>
      <c r="F308" s="4">
        <v>920</v>
      </c>
      <c r="G308" s="4">
        <v>1000</v>
      </c>
      <c r="H308" s="3">
        <f>IF(G308 = 0, "", F308 / G308)</f>
        <v>0.92</v>
      </c>
      <c r="I308" s="5">
        <f>SUMIFS(G308,C308, C308,E308, E308)</f>
        <v>1000</v>
      </c>
      <c r="J308" s="3">
        <f>IF(I308 = 0, "", G308 / I308)</f>
        <v>1</v>
      </c>
      <c r="K308" s="3" t="b">
        <f>AND(G308 &gt; 0, F308 &gt;= 0, F308 &lt;= G308)</f>
        <v>1</v>
      </c>
    </row>
    <row r="309">
      <c r="A309" s="2" t="s">
        <v>2086</v>
      </c>
      <c r="B309" s="3" t="str">
        <f>A309</f>
        <v>cabg-vs-pci-severity-multivessel-B</v>
      </c>
      <c r="C309" s="2" t="s">
        <v>667</v>
      </c>
      <c r="D309" s="2" t="s">
        <v>1596</v>
      </c>
      <c r="E309" s="2" t="s">
        <v>795</v>
      </c>
      <c r="F309" s="4">
        <v>880</v>
      </c>
      <c r="G309" s="4">
        <v>1000</v>
      </c>
      <c r="H309" s="3">
        <f>IF(G309 = 0, "", F309 / G309)</f>
        <v>0.88</v>
      </c>
      <c r="I309" s="5">
        <f>SUMIFS(G309,C309, C309,E309, E309)</f>
        <v>1000</v>
      </c>
      <c r="J309" s="3">
        <f>IF(I309 = 0, "", G309 / I309)</f>
        <v>1</v>
      </c>
      <c r="K309" s="3" t="b">
        <f>AND(G309 &gt; 0, F309 &gt;= 0, F309 &lt;= G309)</f>
        <v>1</v>
      </c>
    </row>
    <row r="310">
      <c r="A310" s="2" t="s">
        <v>2087</v>
      </c>
      <c r="B310" s="3" t="str">
        <f>A310</f>
        <v>cabg-vs-pci-severity-single-vessel-A</v>
      </c>
      <c r="C310" s="2" t="s">
        <v>667</v>
      </c>
      <c r="D310" s="2" t="s">
        <v>1599</v>
      </c>
      <c r="E310" s="2" t="s">
        <v>792</v>
      </c>
      <c r="F310" s="4">
        <v>980</v>
      </c>
      <c r="G310" s="4">
        <v>1000</v>
      </c>
      <c r="H310" s="3">
        <f>IF(G310 = 0, "", F310 / G310)</f>
        <v>0.98</v>
      </c>
      <c r="I310" s="5">
        <f>SUMIFS(G310,C310, C310,E310, E310)</f>
        <v>1000</v>
      </c>
      <c r="J310" s="3">
        <f>IF(I310 = 0, "", G310 / I310)</f>
        <v>1</v>
      </c>
      <c r="K310" s="3" t="b">
        <f>AND(G310 &gt; 0, F310 &gt;= 0, F310 &lt;= G310)</f>
        <v>1</v>
      </c>
    </row>
    <row r="311">
      <c r="A311" s="2" t="s">
        <v>2088</v>
      </c>
      <c r="B311" s="3" t="str">
        <f>A311</f>
        <v>cabg-vs-pci-severity-single-vessel-B</v>
      </c>
      <c r="C311" s="2" t="s">
        <v>667</v>
      </c>
      <c r="D311" s="2" t="s">
        <v>1599</v>
      </c>
      <c r="E311" s="2" t="s">
        <v>795</v>
      </c>
      <c r="F311" s="4">
        <v>975</v>
      </c>
      <c r="G311" s="4">
        <v>1000</v>
      </c>
      <c r="H311" s="3">
        <f>IF(G311 = 0, "", F311 / G311)</f>
        <v>0.975</v>
      </c>
      <c r="I311" s="5">
        <f>SUMIFS(G311,C311, C311,E311, E311)</f>
        <v>1000</v>
      </c>
      <c r="J311" s="3">
        <f>IF(I311 = 0, "", G311 / I311)</f>
        <v>1</v>
      </c>
      <c r="K311" s="3" t="b">
        <f>AND(G311 &gt; 0, F311 &gt;= 0, F311 &lt;= G311)</f>
        <v>1</v>
      </c>
    </row>
    <row r="312">
      <c r="A312" s="2" t="s">
        <v>2089</v>
      </c>
      <c r="B312" s="3" t="str">
        <f>A312</f>
        <v>tolbutamide-ugdp-1970-low-risk-centers-A</v>
      </c>
      <c r="C312" s="2" t="s">
        <v>671</v>
      </c>
      <c r="D312" s="2" t="s">
        <v>1602</v>
      </c>
      <c r="E312" s="2" t="s">
        <v>792</v>
      </c>
      <c r="F312" s="4">
        <v>920</v>
      </c>
      <c r="G312" s="4">
        <v>1000</v>
      </c>
      <c r="H312" s="3">
        <f>IF(G312 = 0, "", F312 / G312)</f>
        <v>0.92</v>
      </c>
      <c r="I312" s="5">
        <f>SUMIFS(G312,C312, C312,E312, E312)</f>
        <v>1000</v>
      </c>
      <c r="J312" s="3">
        <f>IF(I312 = 0, "", G312 / I312)</f>
        <v>1</v>
      </c>
      <c r="K312" s="3" t="b">
        <f>AND(G312 &gt; 0, F312 &gt;= 0, F312 &lt;= G312)</f>
        <v>1</v>
      </c>
    </row>
    <row r="313">
      <c r="A313" s="2" t="s">
        <v>2090</v>
      </c>
      <c r="B313" s="3" t="str">
        <f>A313</f>
        <v>tolbutamide-ugdp-1970-low-risk-centers-B</v>
      </c>
      <c r="C313" s="2" t="s">
        <v>671</v>
      </c>
      <c r="D313" s="2" t="s">
        <v>1602</v>
      </c>
      <c r="E313" s="2" t="s">
        <v>795</v>
      </c>
      <c r="F313" s="4">
        <v>910</v>
      </c>
      <c r="G313" s="4">
        <v>1000</v>
      </c>
      <c r="H313" s="3">
        <f>IF(G313 = 0, "", F313 / G313)</f>
        <v>0.91</v>
      </c>
      <c r="I313" s="5">
        <f>SUMIFS(G313,C313, C313,E313, E313)</f>
        <v>1000</v>
      </c>
      <c r="J313" s="3">
        <f>IF(I313 = 0, "", G313 / I313)</f>
        <v>1</v>
      </c>
      <c r="K313" s="3" t="b">
        <f>AND(G313 &gt; 0, F313 &gt;= 0, F313 &lt;= G313)</f>
        <v>1</v>
      </c>
    </row>
    <row r="314">
      <c r="A314" s="2" t="s">
        <v>2091</v>
      </c>
      <c r="B314" s="3" t="str">
        <f>A314</f>
        <v>tolbutamide-ugdp-1970-high-risk-centers-A</v>
      </c>
      <c r="C314" s="2" t="s">
        <v>671</v>
      </c>
      <c r="D314" s="2" t="s">
        <v>1605</v>
      </c>
      <c r="E314" s="2" t="s">
        <v>792</v>
      </c>
      <c r="F314" s="4">
        <v>780</v>
      </c>
      <c r="G314" s="4">
        <v>1000</v>
      </c>
      <c r="H314" s="3">
        <f>IF(G314 = 0, "", F314 / G314)</f>
        <v>0.78</v>
      </c>
      <c r="I314" s="5">
        <f>SUMIFS(G314,C314, C314,E314, E314)</f>
        <v>1000</v>
      </c>
      <c r="J314" s="3">
        <f>IF(I314 = 0, "", G314 / I314)</f>
        <v>1</v>
      </c>
      <c r="K314" s="3" t="b">
        <f>AND(G314 &gt; 0, F314 &gt;= 0, F314 &lt;= G314)</f>
        <v>1</v>
      </c>
    </row>
    <row r="315">
      <c r="A315" s="2" t="s">
        <v>2092</v>
      </c>
      <c r="B315" s="3" t="str">
        <f>A315</f>
        <v>tolbutamide-ugdp-1970-high-risk-centers-B</v>
      </c>
      <c r="C315" s="2" t="s">
        <v>671</v>
      </c>
      <c r="D315" s="2" t="s">
        <v>1605</v>
      </c>
      <c r="E315" s="2" t="s">
        <v>795</v>
      </c>
      <c r="F315" s="4">
        <v>820</v>
      </c>
      <c r="G315" s="4">
        <v>1000</v>
      </c>
      <c r="H315" s="3">
        <f>IF(G315 = 0, "", F315 / G315)</f>
        <v>0.82</v>
      </c>
      <c r="I315" s="5">
        <f>SUMIFS(G315,C315, C315,E315, E315)</f>
        <v>1000</v>
      </c>
      <c r="J315" s="3">
        <f>IF(I315 = 0, "", G315 / I315)</f>
        <v>1</v>
      </c>
      <c r="K315" s="3" t="b">
        <f>AND(G315 &gt; 0, F315 &gt;= 0, F315 &lt;= G315)</f>
        <v>1</v>
      </c>
    </row>
    <row r="316">
      <c r="A316" s="2" t="s">
        <v>2093</v>
      </c>
      <c r="B316" s="3" t="str">
        <f>A316</f>
        <v>snow-cholera-water-1855-high-exposure-district-A</v>
      </c>
      <c r="C316" s="2" t="s">
        <v>675</v>
      </c>
      <c r="D316" s="2" t="s">
        <v>1608</v>
      </c>
      <c r="E316" s="2" t="s">
        <v>792</v>
      </c>
      <c r="F316" s="4">
        <v>902</v>
      </c>
      <c r="G316" s="4">
        <v>1000</v>
      </c>
      <c r="H316" s="3">
        <f>IF(G316 = 0, "", F316 / G316)</f>
        <v>0.902</v>
      </c>
      <c r="I316" s="5">
        <f>SUMIFS(G316,C316, C316,E316, E316)</f>
        <v>1000</v>
      </c>
      <c r="J316" s="3">
        <f>IF(I316 = 0, "", G316 / I316)</f>
        <v>1</v>
      </c>
      <c r="K316" s="3" t="b">
        <f>AND(G316 &gt; 0, F316 &gt;= 0, F316 &lt;= G316)</f>
        <v>1</v>
      </c>
    </row>
    <row r="317">
      <c r="A317" s="2" t="s">
        <v>2094</v>
      </c>
      <c r="B317" s="3" t="str">
        <f>A317</f>
        <v>snow-cholera-water-1855-high-exposure-district-B</v>
      </c>
      <c r="C317" s="2" t="s">
        <v>675</v>
      </c>
      <c r="D317" s="2" t="s">
        <v>1608</v>
      </c>
      <c r="E317" s="2" t="s">
        <v>795</v>
      </c>
      <c r="F317" s="4">
        <v>960</v>
      </c>
      <c r="G317" s="4">
        <v>1000</v>
      </c>
      <c r="H317" s="3">
        <f>IF(G317 = 0, "", F317 / G317)</f>
        <v>0.96</v>
      </c>
      <c r="I317" s="5">
        <f>SUMIFS(G317,C317, C317,E317, E317)</f>
        <v>1000</v>
      </c>
      <c r="J317" s="3">
        <f>IF(I317 = 0, "", G317 / I317)</f>
        <v>1</v>
      </c>
      <c r="K317" s="3" t="b">
        <f>AND(G317 &gt; 0, F317 &gt;= 0, F317 &lt;= G317)</f>
        <v>1</v>
      </c>
    </row>
    <row r="318">
      <c r="A318" s="2" t="s">
        <v>2095</v>
      </c>
      <c r="B318" s="3" t="str">
        <f>A318</f>
        <v>snow-cholera-water-1855-mixed-supply-district-A</v>
      </c>
      <c r="C318" s="2" t="s">
        <v>675</v>
      </c>
      <c r="D318" s="2" t="s">
        <v>1611</v>
      </c>
      <c r="E318" s="2" t="s">
        <v>792</v>
      </c>
      <c r="F318" s="4">
        <v>940</v>
      </c>
      <c r="G318" s="4">
        <v>1000</v>
      </c>
      <c r="H318" s="3">
        <f>IF(G318 = 0, "", F318 / G318)</f>
        <v>0.94</v>
      </c>
      <c r="I318" s="5">
        <f>SUMIFS(G318,C318, C318,E318, E318)</f>
        <v>1000</v>
      </c>
      <c r="J318" s="3">
        <f>IF(I318 = 0, "", G318 / I318)</f>
        <v>1</v>
      </c>
      <c r="K318" s="3" t="b">
        <f>AND(G318 &gt; 0, F318 &gt;= 0, F318 &lt;= G318)</f>
        <v>1</v>
      </c>
    </row>
    <row r="319">
      <c r="A319" s="2" t="s">
        <v>2096</v>
      </c>
      <c r="B319" s="3" t="str">
        <f>A319</f>
        <v>snow-cholera-water-1855-mixed-supply-district-B</v>
      </c>
      <c r="C319" s="2" t="s">
        <v>675</v>
      </c>
      <c r="D319" s="2" t="s">
        <v>1611</v>
      </c>
      <c r="E319" s="2" t="s">
        <v>795</v>
      </c>
      <c r="F319" s="4">
        <v>970</v>
      </c>
      <c r="G319" s="4">
        <v>1000</v>
      </c>
      <c r="H319" s="3">
        <f>IF(G319 = 0, "", F319 / G319)</f>
        <v>0.97</v>
      </c>
      <c r="I319" s="5">
        <f>SUMIFS(G319,C319, C319,E319, E319)</f>
        <v>1000</v>
      </c>
      <c r="J319" s="3">
        <f>IF(I319 = 0, "", G319 / I319)</f>
        <v>1</v>
      </c>
      <c r="K319" s="3" t="b">
        <f>AND(G319 &gt; 0, F319 &gt;= 0, F319 &lt;= G319)</f>
        <v>1</v>
      </c>
    </row>
    <row r="320">
      <c r="A320" s="2" t="s">
        <v>2097</v>
      </c>
      <c r="B320" s="3" t="str">
        <f>A320</f>
        <v>seatbelt-crash-severity-minor-crash-A</v>
      </c>
      <c r="C320" s="2" t="s">
        <v>679</v>
      </c>
      <c r="D320" s="2" t="s">
        <v>1614</v>
      </c>
      <c r="E320" s="2" t="s">
        <v>792</v>
      </c>
      <c r="F320" s="4">
        <v>980</v>
      </c>
      <c r="G320" s="4">
        <v>1000</v>
      </c>
      <c r="H320" s="3">
        <f>IF(G320 = 0, "", F320 / G320)</f>
        <v>0.98</v>
      </c>
      <c r="I320" s="5">
        <f>SUMIFS(G320,C320, C320,E320, E320)</f>
        <v>1000</v>
      </c>
      <c r="J320" s="3">
        <f>IF(I320 = 0, "", G320 / I320)</f>
        <v>1</v>
      </c>
      <c r="K320" s="3" t="b">
        <f>AND(G320 &gt; 0, F320 &gt;= 0, F320 &lt;= G320)</f>
        <v>1</v>
      </c>
    </row>
    <row r="321">
      <c r="A321" s="2" t="s">
        <v>2098</v>
      </c>
      <c r="B321" s="3" t="str">
        <f>A321</f>
        <v>seatbelt-crash-severity-minor-crash-B</v>
      </c>
      <c r="C321" s="2" t="s">
        <v>679</v>
      </c>
      <c r="D321" s="2" t="s">
        <v>1614</v>
      </c>
      <c r="E321" s="2" t="s">
        <v>795</v>
      </c>
      <c r="F321" s="4">
        <v>970</v>
      </c>
      <c r="G321" s="4">
        <v>1000</v>
      </c>
      <c r="H321" s="3">
        <f>IF(G321 = 0, "", F321 / G321)</f>
        <v>0.97</v>
      </c>
      <c r="I321" s="5">
        <f>SUMIFS(G321,C321, C321,E321, E321)</f>
        <v>1000</v>
      </c>
      <c r="J321" s="3">
        <f>IF(I321 = 0, "", G321 / I321)</f>
        <v>1</v>
      </c>
      <c r="K321" s="3" t="b">
        <f>AND(G321 &gt; 0, F321 &gt;= 0, F321 &lt;= G321)</f>
        <v>1</v>
      </c>
    </row>
    <row r="322">
      <c r="A322" s="2" t="s">
        <v>2099</v>
      </c>
      <c r="B322" s="3" t="str">
        <f>A322</f>
        <v>seatbelt-crash-severity-severe-crash-A</v>
      </c>
      <c r="C322" s="2" t="s">
        <v>679</v>
      </c>
      <c r="D322" s="2" t="s">
        <v>1617</v>
      </c>
      <c r="E322" s="2" t="s">
        <v>792</v>
      </c>
      <c r="F322" s="4">
        <v>700</v>
      </c>
      <c r="G322" s="4">
        <v>1000</v>
      </c>
      <c r="H322" s="3">
        <f>IF(G322 = 0, "", F322 / G322)</f>
        <v>0.7</v>
      </c>
      <c r="I322" s="5">
        <f>SUMIFS(G322,C322, C322,E322, E322)</f>
        <v>1000</v>
      </c>
      <c r="J322" s="3">
        <f>IF(I322 = 0, "", G322 / I322)</f>
        <v>1</v>
      </c>
      <c r="K322" s="3" t="b">
        <f>AND(G322 &gt; 0, F322 &gt;= 0, F322 &lt;= G322)</f>
        <v>1</v>
      </c>
    </row>
    <row r="323">
      <c r="A323" s="2" t="s">
        <v>2100</v>
      </c>
      <c r="B323" s="3" t="str">
        <f>A323</f>
        <v>seatbelt-crash-severity-severe-crash-B</v>
      </c>
      <c r="C323" s="2" t="s">
        <v>679</v>
      </c>
      <c r="D323" s="2" t="s">
        <v>1617</v>
      </c>
      <c r="E323" s="2" t="s">
        <v>795</v>
      </c>
      <c r="F323" s="4">
        <v>600</v>
      </c>
      <c r="G323" s="4">
        <v>1000</v>
      </c>
      <c r="H323" s="3">
        <f>IF(G323 = 0, "", F323 / G323)</f>
        <v>0.6</v>
      </c>
      <c r="I323" s="5">
        <f>SUMIFS(G323,C323, C323,E323, E323)</f>
        <v>1000</v>
      </c>
      <c r="J323" s="3">
        <f>IF(I323 = 0, "", G323 / I323)</f>
        <v>1</v>
      </c>
      <c r="K323" s="3" t="b">
        <f>AND(G323 &gt; 0, F323 &gt;= 0, F323 &lt;= G323)</f>
        <v>1</v>
      </c>
    </row>
    <row r="324">
      <c r="A324" s="2" t="s">
        <v>2101</v>
      </c>
      <c r="B324" s="3" t="str">
        <f>A324</f>
        <v>measles-outbreak-vaccinated-high-coverage-setting-A</v>
      </c>
      <c r="C324" s="2" t="s">
        <v>683</v>
      </c>
      <c r="D324" s="2" t="s">
        <v>1620</v>
      </c>
      <c r="E324" s="2" t="s">
        <v>792</v>
      </c>
      <c r="F324" s="4">
        <v>100</v>
      </c>
      <c r="G324" s="4">
        <v>9000</v>
      </c>
      <c r="H324" s="3">
        <f>IF(G324 = 0, "", F324 / G324)</f>
        <v>0.011111111111111112</v>
      </c>
      <c r="I324" s="5">
        <f>SUMIFS(G324,C324, C324,E324, E324)</f>
        <v>9000</v>
      </c>
      <c r="J324" s="3">
        <f>IF(I324 = 0, "", G324 / I324)</f>
        <v>1</v>
      </c>
      <c r="K324" s="3" t="b">
        <f>AND(G324 &gt; 0, F324 &gt;= 0, F324 &lt;= G324)</f>
        <v>1</v>
      </c>
    </row>
    <row r="325">
      <c r="A325" s="2" t="s">
        <v>2102</v>
      </c>
      <c r="B325" s="3" t="str">
        <f>A325</f>
        <v>measles-outbreak-vaccinated-high-coverage-setting-B</v>
      </c>
      <c r="C325" s="2" t="s">
        <v>683</v>
      </c>
      <c r="D325" s="2" t="s">
        <v>1620</v>
      </c>
      <c r="E325" s="2" t="s">
        <v>795</v>
      </c>
      <c r="F325" s="4">
        <v>44</v>
      </c>
      <c r="G325" s="4">
        <v>1000</v>
      </c>
      <c r="H325" s="3">
        <f>IF(G325 = 0, "", F325 / G325)</f>
        <v>0.044</v>
      </c>
      <c r="I325" s="5">
        <f>SUMIFS(G325,C325, C325,E325, E325)</f>
        <v>1000</v>
      </c>
      <c r="J325" s="3">
        <f>IF(I325 = 0, "", G325 / I325)</f>
        <v>1</v>
      </c>
      <c r="K325" s="3" t="b">
        <f>AND(G325 &gt; 0, F325 &gt;= 0, F325 &lt;= G325)</f>
        <v>1</v>
      </c>
    </row>
    <row r="326">
      <c r="A326" s="2" t="s">
        <v>2103</v>
      </c>
      <c r="B326" s="3" t="str">
        <f>A326</f>
        <v>measles-outbreak-vaccinated-lower-coverage-setting-A</v>
      </c>
      <c r="C326" s="2" t="s">
        <v>683</v>
      </c>
      <c r="D326" s="2" t="s">
        <v>1623</v>
      </c>
      <c r="E326" s="2" t="s">
        <v>792</v>
      </c>
      <c r="F326" s="4">
        <v>15</v>
      </c>
      <c r="G326" s="4">
        <v>2000</v>
      </c>
      <c r="H326" s="3">
        <f>IF(G326 = 0, "", F326 / G326)</f>
        <v>0.0075</v>
      </c>
      <c r="I326" s="5">
        <f>SUMIFS(G326,C326, C326,E326, E326)</f>
        <v>2000</v>
      </c>
      <c r="J326" s="3">
        <f>IF(I326 = 0, "", G326 / I326)</f>
        <v>1</v>
      </c>
      <c r="K326" s="3" t="b">
        <f>AND(G326 &gt; 0, F326 &gt;= 0, F326 &lt;= G326)</f>
        <v>1</v>
      </c>
    </row>
    <row r="327">
      <c r="A327" s="2" t="s">
        <v>2104</v>
      </c>
      <c r="B327" s="3" t="str">
        <f>A327</f>
        <v>measles-outbreak-vaccinated-lower-coverage-setting-B</v>
      </c>
      <c r="C327" s="2" t="s">
        <v>683</v>
      </c>
      <c r="D327" s="2" t="s">
        <v>1623</v>
      </c>
      <c r="E327" s="2" t="s">
        <v>795</v>
      </c>
      <c r="F327" s="4">
        <v>35</v>
      </c>
      <c r="G327" s="4">
        <v>500</v>
      </c>
      <c r="H327" s="3">
        <f>IF(G327 = 0, "", F327 / G327)</f>
        <v>0.07</v>
      </c>
      <c r="I327" s="5">
        <f>SUMIFS(G327,C327, C327,E327, E327)</f>
        <v>500</v>
      </c>
      <c r="J327" s="3">
        <f>IF(I327 = 0, "", G327 / I327)</f>
        <v>1</v>
      </c>
      <c r="K327" s="3" t="b">
        <f>AND(G327 &gt; 0, F327 &gt;= 0, F327 &lt;= G327)</f>
        <v>1</v>
      </c>
    </row>
    <row r="328">
      <c r="A328" s="2" t="s">
        <v>2105</v>
      </c>
      <c r="B328" s="3" t="str">
        <f>A328</f>
        <v>air-pollution-mortality-city-younger-population-city-A</v>
      </c>
      <c r="C328" s="2" t="s">
        <v>687</v>
      </c>
      <c r="D328" s="2" t="s">
        <v>1626</v>
      </c>
      <c r="E328" s="2" t="s">
        <v>792</v>
      </c>
      <c r="F328" s="4">
        <v>980</v>
      </c>
      <c r="G328" s="4">
        <v>1000</v>
      </c>
      <c r="H328" s="3">
        <f>IF(G328 = 0, "", F328 / G328)</f>
        <v>0.98</v>
      </c>
      <c r="I328" s="5">
        <f>SUMIFS(G328,C328, C328,E328, E328)</f>
        <v>1000</v>
      </c>
      <c r="J328" s="3">
        <f>IF(I328 = 0, "", G328 / I328)</f>
        <v>1</v>
      </c>
      <c r="K328" s="3" t="b">
        <f>AND(G328 &gt; 0, F328 &gt;= 0, F328 &lt;= G328)</f>
        <v>1</v>
      </c>
    </row>
    <row r="329">
      <c r="A329" s="2" t="s">
        <v>2106</v>
      </c>
      <c r="B329" s="3" t="str">
        <f>A329</f>
        <v>air-pollution-mortality-city-younger-population-city-B</v>
      </c>
      <c r="C329" s="2" t="s">
        <v>687</v>
      </c>
      <c r="D329" s="2" t="s">
        <v>1626</v>
      </c>
      <c r="E329" s="2" t="s">
        <v>795</v>
      </c>
      <c r="F329" s="4">
        <v>985</v>
      </c>
      <c r="G329" s="4">
        <v>1000</v>
      </c>
      <c r="H329" s="3">
        <f>IF(G329 = 0, "", F329 / G329)</f>
        <v>0.985</v>
      </c>
      <c r="I329" s="5">
        <f>SUMIFS(G329,C329, C329,E329, E329)</f>
        <v>1000</v>
      </c>
      <c r="J329" s="3">
        <f>IF(I329 = 0, "", G329 / I329)</f>
        <v>1</v>
      </c>
      <c r="K329" s="3" t="b">
        <f>AND(G329 &gt; 0, F329 &gt;= 0, F329 &lt;= G329)</f>
        <v>1</v>
      </c>
    </row>
    <row r="330">
      <c r="A330" s="2" t="s">
        <v>2107</v>
      </c>
      <c r="B330" s="3" t="str">
        <f>A330</f>
        <v>air-pollution-mortality-city-older-population-city-A</v>
      </c>
      <c r="C330" s="2" t="s">
        <v>687</v>
      </c>
      <c r="D330" s="2" t="s">
        <v>1629</v>
      </c>
      <c r="E330" s="2" t="s">
        <v>792</v>
      </c>
      <c r="F330" s="4">
        <v>920</v>
      </c>
      <c r="G330" s="4">
        <v>1000</v>
      </c>
      <c r="H330" s="3">
        <f>IF(G330 = 0, "", F330 / G330)</f>
        <v>0.92</v>
      </c>
      <c r="I330" s="5">
        <f>SUMIFS(G330,C330, C330,E330, E330)</f>
        <v>1000</v>
      </c>
      <c r="J330" s="3">
        <f>IF(I330 = 0, "", G330 / I330)</f>
        <v>1</v>
      </c>
      <c r="K330" s="3" t="b">
        <f>AND(G330 &gt; 0, F330 &gt;= 0, F330 &lt;= G330)</f>
        <v>1</v>
      </c>
    </row>
    <row r="331">
      <c r="A331" s="2" t="s">
        <v>2108</v>
      </c>
      <c r="B331" s="3" t="str">
        <f>A331</f>
        <v>air-pollution-mortality-city-older-population-city-B</v>
      </c>
      <c r="C331" s="2" t="s">
        <v>687</v>
      </c>
      <c r="D331" s="2" t="s">
        <v>1629</v>
      </c>
      <c r="E331" s="2" t="s">
        <v>795</v>
      </c>
      <c r="F331" s="4">
        <v>940</v>
      </c>
      <c r="G331" s="4">
        <v>1000</v>
      </c>
      <c r="H331" s="3">
        <f>IF(G331 = 0, "", F331 / G331)</f>
        <v>0.94</v>
      </c>
      <c r="I331" s="5">
        <f>SUMIFS(G331,C331, C331,E331, E331)</f>
        <v>1000</v>
      </c>
      <c r="J331" s="3">
        <f>IF(I331 = 0, "", G331 / I331)</f>
        <v>1</v>
      </c>
      <c r="K331" s="3" t="b">
        <f>AND(G331 &gt; 0, F331 &gt;= 0, F331 &lt;= G331)</f>
        <v>1</v>
      </c>
    </row>
    <row r="332">
      <c r="A332" s="2" t="s">
        <v>2109</v>
      </c>
      <c r="B332" s="3" t="str">
        <f>A332</f>
        <v>tb-treatment-resistance-drug-sensitive-A</v>
      </c>
      <c r="C332" s="2" t="s">
        <v>691</v>
      </c>
      <c r="D332" s="2" t="s">
        <v>1632</v>
      </c>
      <c r="E332" s="2" t="s">
        <v>792</v>
      </c>
      <c r="F332" s="4">
        <v>920</v>
      </c>
      <c r="G332" s="4">
        <v>1000</v>
      </c>
      <c r="H332" s="3">
        <f>IF(G332 = 0, "", F332 / G332)</f>
        <v>0.92</v>
      </c>
      <c r="I332" s="5">
        <f>SUMIFS(G332,C332, C332,E332, E332)</f>
        <v>1000</v>
      </c>
      <c r="J332" s="3">
        <f>IF(I332 = 0, "", G332 / I332)</f>
        <v>1</v>
      </c>
      <c r="K332" s="3" t="b">
        <f>AND(G332 &gt; 0, F332 &gt;= 0, F332 &lt;= G332)</f>
        <v>1</v>
      </c>
    </row>
    <row r="333">
      <c r="A333" s="2" t="s">
        <v>2110</v>
      </c>
      <c r="B333" s="3" t="str">
        <f>A333</f>
        <v>tb-treatment-resistance-drug-sensitive-B</v>
      </c>
      <c r="C333" s="2" t="s">
        <v>691</v>
      </c>
      <c r="D333" s="2" t="s">
        <v>1632</v>
      </c>
      <c r="E333" s="2" t="s">
        <v>795</v>
      </c>
      <c r="F333" s="4">
        <v>910</v>
      </c>
      <c r="G333" s="4">
        <v>1000</v>
      </c>
      <c r="H333" s="3">
        <f>IF(G333 = 0, "", F333 / G333)</f>
        <v>0.91</v>
      </c>
      <c r="I333" s="5">
        <f>SUMIFS(G333,C333, C333,E333, E333)</f>
        <v>1000</v>
      </c>
      <c r="J333" s="3">
        <f>IF(I333 = 0, "", G333 / I333)</f>
        <v>1</v>
      </c>
      <c r="K333" s="3" t="b">
        <f>AND(G333 &gt; 0, F333 &gt;= 0, F333 &lt;= G333)</f>
        <v>1</v>
      </c>
    </row>
    <row r="334">
      <c r="A334" s="2" t="s">
        <v>2111</v>
      </c>
      <c r="B334" s="3" t="str">
        <f>A334</f>
        <v>tb-treatment-resistance-drug-resistant-A</v>
      </c>
      <c r="C334" s="2" t="s">
        <v>691</v>
      </c>
      <c r="D334" s="2" t="s">
        <v>1635</v>
      </c>
      <c r="E334" s="2" t="s">
        <v>792</v>
      </c>
      <c r="F334" s="4">
        <v>650</v>
      </c>
      <c r="G334" s="4">
        <v>1000</v>
      </c>
      <c r="H334" s="3">
        <f>IF(G334 = 0, "", F334 / G334)</f>
        <v>0.65</v>
      </c>
      <c r="I334" s="5">
        <f>SUMIFS(G334,C334, C334,E334, E334)</f>
        <v>1000</v>
      </c>
      <c r="J334" s="3">
        <f>IF(I334 = 0, "", G334 / I334)</f>
        <v>1</v>
      </c>
      <c r="K334" s="3" t="b">
        <f>AND(G334 &gt; 0, F334 &gt;= 0, F334 &lt;= G334)</f>
        <v>1</v>
      </c>
    </row>
    <row r="335">
      <c r="A335" s="2" t="s">
        <v>2112</v>
      </c>
      <c r="B335" s="3" t="str">
        <f>A335</f>
        <v>tb-treatment-resistance-drug-resistant-B</v>
      </c>
      <c r="C335" s="2" t="s">
        <v>691</v>
      </c>
      <c r="D335" s="2" t="s">
        <v>1635</v>
      </c>
      <c r="E335" s="2" t="s">
        <v>795</v>
      </c>
      <c r="F335" s="4">
        <v>720</v>
      </c>
      <c r="G335" s="4">
        <v>1000</v>
      </c>
      <c r="H335" s="3">
        <f>IF(G335 = 0, "", F335 / G335)</f>
        <v>0.72</v>
      </c>
      <c r="I335" s="5">
        <f>SUMIFS(G335,C335, C335,E335, E335)</f>
        <v>1000</v>
      </c>
      <c r="J335" s="3">
        <f>IF(I335 = 0, "", G335 / I335)</f>
        <v>1</v>
      </c>
      <c r="K335" s="3" t="b">
        <f>AND(G335 &gt; 0, F335 &gt;= 0, F335 &lt;= G335)</f>
        <v>1</v>
      </c>
    </row>
    <row r="336">
      <c r="A336" s="2" t="s">
        <v>2113</v>
      </c>
      <c r="B336" s="3" t="str">
        <f>A336</f>
        <v>hospital-mortality-readmission-high-comorbidity-A</v>
      </c>
      <c r="C336" s="2" t="s">
        <v>695</v>
      </c>
      <c r="D336" s="2" t="s">
        <v>1638</v>
      </c>
      <c r="E336" s="2" t="s">
        <v>792</v>
      </c>
      <c r="F336" s="4">
        <v>850</v>
      </c>
      <c r="G336" s="4">
        <v>1000</v>
      </c>
      <c r="H336" s="3">
        <f>IF(G336 = 0, "", F336 / G336)</f>
        <v>0.85</v>
      </c>
      <c r="I336" s="5">
        <f>SUMIFS(G336,C336, C336,E336, E336)</f>
        <v>1000</v>
      </c>
      <c r="J336" s="3">
        <f>IF(I336 = 0, "", G336 / I336)</f>
        <v>1</v>
      </c>
      <c r="K336" s="3" t="b">
        <f>AND(G336 &gt; 0, F336 &gt;= 0, F336 &lt;= G336)</f>
        <v>1</v>
      </c>
    </row>
    <row r="337">
      <c r="A337" s="2" t="s">
        <v>2114</v>
      </c>
      <c r="B337" s="3" t="str">
        <f>A337</f>
        <v>hospital-mortality-readmission-high-comorbidity-B</v>
      </c>
      <c r="C337" s="2" t="s">
        <v>695</v>
      </c>
      <c r="D337" s="2" t="s">
        <v>1638</v>
      </c>
      <c r="E337" s="2" t="s">
        <v>795</v>
      </c>
      <c r="F337" s="4">
        <v>880</v>
      </c>
      <c r="G337" s="4">
        <v>1000</v>
      </c>
      <c r="H337" s="3">
        <f>IF(G337 = 0, "", F337 / G337)</f>
        <v>0.88</v>
      </c>
      <c r="I337" s="5">
        <f>SUMIFS(G337,C337, C337,E337, E337)</f>
        <v>1000</v>
      </c>
      <c r="J337" s="3">
        <f>IF(I337 = 0, "", G337 / I337)</f>
        <v>1</v>
      </c>
      <c r="K337" s="3" t="b">
        <f>AND(G337 &gt; 0, F337 &gt;= 0, F337 &lt;= G337)</f>
        <v>1</v>
      </c>
    </row>
    <row r="338">
      <c r="A338" s="2" t="s">
        <v>2115</v>
      </c>
      <c r="B338" s="3" t="str">
        <f>A338</f>
        <v>hospital-mortality-readmission-low-comorbidity-A</v>
      </c>
      <c r="C338" s="2" t="s">
        <v>695</v>
      </c>
      <c r="D338" s="2" t="s">
        <v>1641</v>
      </c>
      <c r="E338" s="2" t="s">
        <v>792</v>
      </c>
      <c r="F338" s="4">
        <v>970</v>
      </c>
      <c r="G338" s="4">
        <v>1000</v>
      </c>
      <c r="H338" s="3">
        <f>IF(G338 = 0, "", F338 / G338)</f>
        <v>0.97</v>
      </c>
      <c r="I338" s="5">
        <f>SUMIFS(G338,C338, C338,E338, E338)</f>
        <v>1000</v>
      </c>
      <c r="J338" s="3">
        <f>IF(I338 = 0, "", G338 / I338)</f>
        <v>1</v>
      </c>
      <c r="K338" s="3" t="b">
        <f>AND(G338 &gt; 0, F338 &gt;= 0, F338 &lt;= G338)</f>
        <v>1</v>
      </c>
    </row>
    <row r="339">
      <c r="A339" s="2" t="s">
        <v>2116</v>
      </c>
      <c r="B339" s="3" t="str">
        <f>A339</f>
        <v>hospital-mortality-readmission-low-comorbidity-B</v>
      </c>
      <c r="C339" s="2" t="s">
        <v>695</v>
      </c>
      <c r="D339" s="2" t="s">
        <v>1641</v>
      </c>
      <c r="E339" s="2" t="s">
        <v>795</v>
      </c>
      <c r="F339" s="4">
        <v>975</v>
      </c>
      <c r="G339" s="4">
        <v>1000</v>
      </c>
      <c r="H339" s="3">
        <f>IF(G339 = 0, "", F339 / G339)</f>
        <v>0.975</v>
      </c>
      <c r="I339" s="5">
        <f>SUMIFS(G339,C339, C339,E339, E339)</f>
        <v>1000</v>
      </c>
      <c r="J339" s="3">
        <f>IF(I339 = 0, "", G339 / I339)</f>
        <v>1</v>
      </c>
      <c r="K339" s="3" t="b">
        <f>AND(G339 &gt; 0, F339 &gt;= 0, F339 &lt;= G339)</f>
        <v>1</v>
      </c>
    </row>
    <row r="340">
      <c r="A340" s="2" t="s">
        <v>2117</v>
      </c>
      <c r="B340" s="3" t="str">
        <f>A340</f>
        <v>nypd-stop-frisk-hitrate-high-crime-precincts-A</v>
      </c>
      <c r="C340" s="2" t="s">
        <v>699</v>
      </c>
      <c r="D340" s="2" t="s">
        <v>1644</v>
      </c>
      <c r="E340" s="2" t="s">
        <v>792</v>
      </c>
      <c r="F340" s="4">
        <v>320</v>
      </c>
      <c r="G340" s="4">
        <v>8000</v>
      </c>
      <c r="H340" s="3">
        <f>IF(G340 = 0, "", F340 / G340)</f>
        <v>0.04</v>
      </c>
      <c r="I340" s="5">
        <f>SUMIFS(G340,C340, C340,E340, E340)</f>
        <v>8000</v>
      </c>
      <c r="J340" s="3">
        <f>IF(I340 = 0, "", G340 / I340)</f>
        <v>1</v>
      </c>
      <c r="K340" s="3" t="b">
        <f>AND(G340 &gt; 0, F340 &gt;= 0, F340 &lt;= G340)</f>
        <v>1</v>
      </c>
    </row>
    <row r="341">
      <c r="A341" s="2" t="s">
        <v>2118</v>
      </c>
      <c r="B341" s="3" t="str">
        <f>A341</f>
        <v>nypd-stop-frisk-hitrate-high-crime-precincts-B</v>
      </c>
      <c r="C341" s="2" t="s">
        <v>699</v>
      </c>
      <c r="D341" s="2" t="s">
        <v>1644</v>
      </c>
      <c r="E341" s="2" t="s">
        <v>795</v>
      </c>
      <c r="F341" s="4">
        <v>280</v>
      </c>
      <c r="G341" s="4">
        <v>7000</v>
      </c>
      <c r="H341" s="3">
        <f>IF(G341 = 0, "", F341 / G341)</f>
        <v>0.04</v>
      </c>
      <c r="I341" s="5">
        <f>SUMIFS(G341,C341, C341,E341, E341)</f>
        <v>7000</v>
      </c>
      <c r="J341" s="3">
        <f>IF(I341 = 0, "", G341 / I341)</f>
        <v>1</v>
      </c>
      <c r="K341" s="3" t="b">
        <f>AND(G341 &gt; 0, F341 &gt;= 0, F341 &lt;= G341)</f>
        <v>1</v>
      </c>
    </row>
    <row r="342">
      <c r="A342" s="2" t="s">
        <v>2119</v>
      </c>
      <c r="B342" s="3" t="str">
        <f>A342</f>
        <v>nypd-stop-frisk-hitrate-low-crime-precincts-A</v>
      </c>
      <c r="C342" s="2" t="s">
        <v>699</v>
      </c>
      <c r="D342" s="2" t="s">
        <v>1647</v>
      </c>
      <c r="E342" s="2" t="s">
        <v>792</v>
      </c>
      <c r="F342" s="4">
        <v>45</v>
      </c>
      <c r="G342" s="4">
        <v>2000</v>
      </c>
      <c r="H342" s="3">
        <f>IF(G342 = 0, "", F342 / G342)</f>
        <v>0.0225</v>
      </c>
      <c r="I342" s="5">
        <f>SUMIFS(G342,C342, C342,E342, E342)</f>
        <v>2000</v>
      </c>
      <c r="J342" s="3">
        <f>IF(I342 = 0, "", G342 / I342)</f>
        <v>1</v>
      </c>
      <c r="K342" s="3" t="b">
        <f>AND(G342 &gt; 0, F342 &gt;= 0, F342 &lt;= G342)</f>
        <v>1</v>
      </c>
    </row>
    <row r="343">
      <c r="A343" s="2" t="s">
        <v>2120</v>
      </c>
      <c r="B343" s="3" t="str">
        <f>A343</f>
        <v>nypd-stop-frisk-hitrate-low-crime-precincts-B</v>
      </c>
      <c r="C343" s="2" t="s">
        <v>699</v>
      </c>
      <c r="D343" s="2" t="s">
        <v>1647</v>
      </c>
      <c r="E343" s="2" t="s">
        <v>795</v>
      </c>
      <c r="F343" s="4">
        <v>72</v>
      </c>
      <c r="G343" s="4">
        <v>1500</v>
      </c>
      <c r="H343" s="3">
        <f>IF(G343 = 0, "", F343 / G343)</f>
        <v>0.048</v>
      </c>
      <c r="I343" s="5">
        <f>SUMIFS(G343,C343, C343,E343, E343)</f>
        <v>1500</v>
      </c>
      <c r="J343" s="3">
        <f>IF(I343 = 0, "", G343 / I343)</f>
        <v>1</v>
      </c>
      <c r="K343" s="3" t="b">
        <f>AND(G343 &gt; 0, F343 &gt;= 0, F343 &lt;= G343)</f>
        <v>1</v>
      </c>
    </row>
    <row r="344">
      <c r="A344" s="2" t="s">
        <v>2121</v>
      </c>
      <c r="B344" s="3" t="str">
        <f>A344</f>
        <v>sentencing-offense-type-violent-offenses-A</v>
      </c>
      <c r="C344" s="2" t="s">
        <v>703</v>
      </c>
      <c r="D344" s="2" t="s">
        <v>1650</v>
      </c>
      <c r="E344" s="2" t="s">
        <v>792</v>
      </c>
      <c r="F344" s="4">
        <v>800</v>
      </c>
      <c r="G344" s="4">
        <v>1000</v>
      </c>
      <c r="H344" s="3">
        <f>IF(G344 = 0, "", F344 / G344)</f>
        <v>0.8</v>
      </c>
      <c r="I344" s="5">
        <f>SUMIFS(G344,C344, C344,E344, E344)</f>
        <v>1000</v>
      </c>
      <c r="J344" s="3">
        <f>IF(I344 = 0, "", G344 / I344)</f>
        <v>1</v>
      </c>
      <c r="K344" s="3" t="b">
        <f>AND(G344 &gt; 0, F344 &gt;= 0, F344 &lt;= G344)</f>
        <v>1</v>
      </c>
    </row>
    <row r="345">
      <c r="A345" s="2" t="s">
        <v>2122</v>
      </c>
      <c r="B345" s="3" t="str">
        <f>A345</f>
        <v>sentencing-offense-type-violent-offenses-B</v>
      </c>
      <c r="C345" s="2" t="s">
        <v>703</v>
      </c>
      <c r="D345" s="2" t="s">
        <v>1650</v>
      </c>
      <c r="E345" s="2" t="s">
        <v>795</v>
      </c>
      <c r="F345" s="4">
        <v>750</v>
      </c>
      <c r="G345" s="4">
        <v>1000</v>
      </c>
      <c r="H345" s="3">
        <f>IF(G345 = 0, "", F345 / G345)</f>
        <v>0.75</v>
      </c>
      <c r="I345" s="5">
        <f>SUMIFS(G345,C345, C345,E345, E345)</f>
        <v>1000</v>
      </c>
      <c r="J345" s="3">
        <f>IF(I345 = 0, "", G345 / I345)</f>
        <v>1</v>
      </c>
      <c r="K345" s="3" t="b">
        <f>AND(G345 &gt; 0, F345 &gt;= 0, F345 &lt;= G345)</f>
        <v>1</v>
      </c>
    </row>
    <row r="346">
      <c r="A346" s="2" t="s">
        <v>2123</v>
      </c>
      <c r="B346" s="3" t="str">
        <f>A346</f>
        <v>sentencing-offense-type-nonviolent-offenses-A</v>
      </c>
      <c r="C346" s="2" t="s">
        <v>703</v>
      </c>
      <c r="D346" s="2" t="s">
        <v>1653</v>
      </c>
      <c r="E346" s="2" t="s">
        <v>792</v>
      </c>
      <c r="F346" s="4">
        <v>400</v>
      </c>
      <c r="G346" s="4">
        <v>1000</v>
      </c>
      <c r="H346" s="3">
        <f>IF(G346 = 0, "", F346 / G346)</f>
        <v>0.4</v>
      </c>
      <c r="I346" s="5">
        <f>SUMIFS(G346,C346, C346,E346, E346)</f>
        <v>1000</v>
      </c>
      <c r="J346" s="3">
        <f>IF(I346 = 0, "", G346 / I346)</f>
        <v>1</v>
      </c>
      <c r="K346" s="3" t="b">
        <f>AND(G346 &gt; 0, F346 &gt;= 0, F346 &lt;= G346)</f>
        <v>1</v>
      </c>
    </row>
    <row r="347">
      <c r="A347" s="2" t="s">
        <v>2124</v>
      </c>
      <c r="B347" s="3" t="str">
        <f>A347</f>
        <v>sentencing-offense-type-nonviolent-offenses-B</v>
      </c>
      <c r="C347" s="2" t="s">
        <v>703</v>
      </c>
      <c r="D347" s="2" t="s">
        <v>1653</v>
      </c>
      <c r="E347" s="2" t="s">
        <v>795</v>
      </c>
      <c r="F347" s="4">
        <v>420</v>
      </c>
      <c r="G347" s="4">
        <v>1000</v>
      </c>
      <c r="H347" s="3">
        <f>IF(G347 = 0, "", F347 / G347)</f>
        <v>0.42</v>
      </c>
      <c r="I347" s="5">
        <f>SUMIFS(G347,C347, C347,E347, E347)</f>
        <v>1000</v>
      </c>
      <c r="J347" s="3">
        <f>IF(I347 = 0, "", G347 / I347)</f>
        <v>1</v>
      </c>
      <c r="K347" s="3" t="b">
        <f>AND(G347 &gt; 0, F347 &gt;= 0, F347 &lt;= G347)</f>
        <v>1</v>
      </c>
    </row>
    <row r="348">
      <c r="A348" s="2" t="s">
        <v>2125</v>
      </c>
      <c r="B348" s="3" t="str">
        <f>A348</f>
        <v>bail-risk-score-high-risk-tier-A</v>
      </c>
      <c r="C348" s="2" t="s">
        <v>707</v>
      </c>
      <c r="D348" s="2" t="s">
        <v>1656</v>
      </c>
      <c r="E348" s="2" t="s">
        <v>792</v>
      </c>
      <c r="F348" s="4">
        <v>450</v>
      </c>
      <c r="G348" s="4">
        <v>1000</v>
      </c>
      <c r="H348" s="3">
        <f>IF(G348 = 0, "", F348 / G348)</f>
        <v>0.45</v>
      </c>
      <c r="I348" s="5">
        <f>SUMIFS(G348,C348, C348,E348, E348)</f>
        <v>1000</v>
      </c>
      <c r="J348" s="3">
        <f>IF(I348 = 0, "", G348 / I348)</f>
        <v>1</v>
      </c>
      <c r="K348" s="3" t="b">
        <f>AND(G348 &gt; 0, F348 &gt;= 0, F348 &lt;= G348)</f>
        <v>1</v>
      </c>
    </row>
    <row r="349">
      <c r="A349" s="2" t="s">
        <v>2126</v>
      </c>
      <c r="B349" s="3" t="str">
        <f>A349</f>
        <v>bail-risk-score-high-risk-tier-B</v>
      </c>
      <c r="C349" s="2" t="s">
        <v>707</v>
      </c>
      <c r="D349" s="2" t="s">
        <v>1656</v>
      </c>
      <c r="E349" s="2" t="s">
        <v>795</v>
      </c>
      <c r="F349" s="4">
        <v>520</v>
      </c>
      <c r="G349" s="4">
        <v>1000</v>
      </c>
      <c r="H349" s="3">
        <f>IF(G349 = 0, "", F349 / G349)</f>
        <v>0.52</v>
      </c>
      <c r="I349" s="5">
        <f>SUMIFS(G349,C349, C349,E349, E349)</f>
        <v>1000</v>
      </c>
      <c r="J349" s="3">
        <f>IF(I349 = 0, "", G349 / I349)</f>
        <v>1</v>
      </c>
      <c r="K349" s="3" t="b">
        <f>AND(G349 &gt; 0, F349 &gt;= 0, F349 &lt;= G349)</f>
        <v>1</v>
      </c>
    </row>
    <row r="350">
      <c r="A350" s="2" t="s">
        <v>2127</v>
      </c>
      <c r="B350" s="3" t="str">
        <f>A350</f>
        <v>bail-risk-score-low-risk-tier-A</v>
      </c>
      <c r="C350" s="2" t="s">
        <v>707</v>
      </c>
      <c r="D350" s="2" t="s">
        <v>1659</v>
      </c>
      <c r="E350" s="2" t="s">
        <v>792</v>
      </c>
      <c r="F350" s="4">
        <v>120</v>
      </c>
      <c r="G350" s="4">
        <v>1000</v>
      </c>
      <c r="H350" s="3">
        <f>IF(G350 = 0, "", F350 / G350)</f>
        <v>0.12</v>
      </c>
      <c r="I350" s="5">
        <f>SUMIFS(G350,C350, C350,E350, E350)</f>
        <v>1000</v>
      </c>
      <c r="J350" s="3">
        <f>IF(I350 = 0, "", G350 / I350)</f>
        <v>1</v>
      </c>
      <c r="K350" s="3" t="b">
        <f>AND(G350 &gt; 0, F350 &gt;= 0, F350 &lt;= G350)</f>
        <v>1</v>
      </c>
    </row>
    <row r="351">
      <c r="A351" s="2" t="s">
        <v>2128</v>
      </c>
      <c r="B351" s="3" t="str">
        <f>A351</f>
        <v>bail-risk-score-low-risk-tier-B</v>
      </c>
      <c r="C351" s="2" t="s">
        <v>707</v>
      </c>
      <c r="D351" s="2" t="s">
        <v>1659</v>
      </c>
      <c r="E351" s="2" t="s">
        <v>795</v>
      </c>
      <c r="F351" s="4">
        <v>150</v>
      </c>
      <c r="G351" s="4">
        <v>1000</v>
      </c>
      <c r="H351" s="3">
        <f>IF(G351 = 0, "", F351 / G351)</f>
        <v>0.15</v>
      </c>
      <c r="I351" s="5">
        <f>SUMIFS(G351,C351, C351,E351, E351)</f>
        <v>1000</v>
      </c>
      <c r="J351" s="3">
        <f>IF(I351 = 0, "", G351 / I351)</f>
        <v>1</v>
      </c>
      <c r="K351" s="3" t="b">
        <f>AND(G351 &gt; 0, F351 &gt;= 0, F351 &lt;= G351)</f>
        <v>1</v>
      </c>
    </row>
    <row r="352">
      <c r="A352" s="2" t="s">
        <v>2129</v>
      </c>
      <c r="B352" s="3" t="str">
        <f>A352</f>
        <v>police-force-encounter-discretionary-stop-A</v>
      </c>
      <c r="C352" s="2" t="s">
        <v>711</v>
      </c>
      <c r="D352" s="2" t="s">
        <v>1662</v>
      </c>
      <c r="E352" s="2" t="s">
        <v>792</v>
      </c>
      <c r="F352" s="4">
        <v>180</v>
      </c>
      <c r="G352" s="4">
        <v>1000</v>
      </c>
      <c r="H352" s="3">
        <f>IF(G352 = 0, "", F352 / G352)</f>
        <v>0.18</v>
      </c>
      <c r="I352" s="5">
        <f>SUMIFS(G352,C352, C352,E352, E352)</f>
        <v>1000</v>
      </c>
      <c r="J352" s="3">
        <f>IF(I352 = 0, "", G352 / I352)</f>
        <v>1</v>
      </c>
      <c r="K352" s="3" t="b">
        <f>AND(G352 &gt; 0, F352 &gt;= 0, F352 &lt;= G352)</f>
        <v>1</v>
      </c>
    </row>
    <row r="353">
      <c r="A353" s="2" t="s">
        <v>2130</v>
      </c>
      <c r="B353" s="3" t="str">
        <f>A353</f>
        <v>police-force-encounter-discretionary-stop-B</v>
      </c>
      <c r="C353" s="2" t="s">
        <v>711</v>
      </c>
      <c r="D353" s="2" t="s">
        <v>1662</v>
      </c>
      <c r="E353" s="2" t="s">
        <v>795</v>
      </c>
      <c r="F353" s="4">
        <v>50</v>
      </c>
      <c r="G353" s="4">
        <v>1000</v>
      </c>
      <c r="H353" s="3">
        <f>IF(G353 = 0, "", F353 / G353)</f>
        <v>0.05</v>
      </c>
      <c r="I353" s="5">
        <f>SUMIFS(G353,C353, C353,E353, E353)</f>
        <v>1000</v>
      </c>
      <c r="J353" s="3">
        <f>IF(I353 = 0, "", G353 / I353)</f>
        <v>1</v>
      </c>
      <c r="K353" s="3" t="b">
        <f>AND(G353 &gt; 0, F353 &gt;= 0, F353 &lt;= G353)</f>
        <v>1</v>
      </c>
    </row>
    <row r="354">
      <c r="A354" s="2" t="s">
        <v>2131</v>
      </c>
      <c r="B354" s="3" t="str">
        <f>A354</f>
        <v>police-force-encounter-high-risk-call-A</v>
      </c>
      <c r="C354" s="2" t="s">
        <v>711</v>
      </c>
      <c r="D354" s="2" t="s">
        <v>1665</v>
      </c>
      <c r="E354" s="2" t="s">
        <v>792</v>
      </c>
      <c r="F354" s="4">
        <v>400</v>
      </c>
      <c r="G354" s="4">
        <v>1000</v>
      </c>
      <c r="H354" s="3">
        <f>IF(G354 = 0, "", F354 / G354)</f>
        <v>0.4</v>
      </c>
      <c r="I354" s="5">
        <f>SUMIFS(G354,C354, C354,E354, E354)</f>
        <v>1000</v>
      </c>
      <c r="J354" s="3">
        <f>IF(I354 = 0, "", G354 / I354)</f>
        <v>1</v>
      </c>
      <c r="K354" s="3" t="b">
        <f>AND(G354 &gt; 0, F354 &gt;= 0, F354 &lt;= G354)</f>
        <v>1</v>
      </c>
    </row>
    <row r="355">
      <c r="A355" s="2" t="s">
        <v>2132</v>
      </c>
      <c r="B355" s="3" t="str">
        <f>A355</f>
        <v>police-force-encounter-high-risk-call-B</v>
      </c>
      <c r="C355" s="2" t="s">
        <v>711</v>
      </c>
      <c r="D355" s="2" t="s">
        <v>1665</v>
      </c>
      <c r="E355" s="2" t="s">
        <v>795</v>
      </c>
      <c r="F355" s="4">
        <v>120</v>
      </c>
      <c r="G355" s="4">
        <v>1000</v>
      </c>
      <c r="H355" s="3">
        <f>IF(G355 = 0, "", F355 / G355)</f>
        <v>0.12</v>
      </c>
      <c r="I355" s="5">
        <f>SUMIFS(G355,C355, C355,E355, E355)</f>
        <v>1000</v>
      </c>
      <c r="J355" s="3">
        <f>IF(I355 = 0, "", G355 / I355)</f>
        <v>1</v>
      </c>
      <c r="K355" s="3" t="b">
        <f>AND(G355 &gt; 0, F355 &gt;= 0, F355 &lt;= G355)</f>
        <v>1</v>
      </c>
    </row>
    <row r="356">
      <c r="A356" s="2" t="s">
        <v>2133</v>
      </c>
      <c r="B356" s="3" t="str">
        <f>A356</f>
        <v>uc-systemwide-admissions-high-selectivity-major-A</v>
      </c>
      <c r="C356" s="2" t="s">
        <v>715</v>
      </c>
      <c r="D356" s="2" t="s">
        <v>1668</v>
      </c>
      <c r="E356" s="2" t="s">
        <v>792</v>
      </c>
      <c r="F356" s="4">
        <v>120</v>
      </c>
      <c r="G356" s="4">
        <v>1000</v>
      </c>
      <c r="H356" s="3">
        <f>IF(G356 = 0, "", F356 / G356)</f>
        <v>0.12</v>
      </c>
      <c r="I356" s="5">
        <f>SUMIFS(G356,C356, C356,E356, E356)</f>
        <v>1000</v>
      </c>
      <c r="J356" s="3">
        <f>IF(I356 = 0, "", G356 / I356)</f>
        <v>1</v>
      </c>
      <c r="K356" s="3" t="b">
        <f>AND(G356 &gt; 0, F356 &gt;= 0, F356 &lt;= G356)</f>
        <v>1</v>
      </c>
    </row>
    <row r="357">
      <c r="A357" s="2" t="s">
        <v>2134</v>
      </c>
      <c r="B357" s="3" t="str">
        <f>A357</f>
        <v>uc-systemwide-admissions-high-selectivity-major-B</v>
      </c>
      <c r="C357" s="2" t="s">
        <v>715</v>
      </c>
      <c r="D357" s="2" t="s">
        <v>1668</v>
      </c>
      <c r="E357" s="2" t="s">
        <v>795</v>
      </c>
      <c r="F357" s="4">
        <v>140</v>
      </c>
      <c r="G357" s="4">
        <v>1000</v>
      </c>
      <c r="H357" s="3">
        <f>IF(G357 = 0, "", F357 / G357)</f>
        <v>0.14</v>
      </c>
      <c r="I357" s="5">
        <f>SUMIFS(G357,C357, C357,E357, E357)</f>
        <v>1000</v>
      </c>
      <c r="J357" s="3">
        <f>IF(I357 = 0, "", G357 / I357)</f>
        <v>1</v>
      </c>
      <c r="K357" s="3" t="b">
        <f>AND(G357 &gt; 0, F357 &gt;= 0, F357 &lt;= G357)</f>
        <v>1</v>
      </c>
    </row>
    <row r="358">
      <c r="A358" s="2" t="s">
        <v>2135</v>
      </c>
      <c r="B358" s="3" t="str">
        <f>A358</f>
        <v>uc-systemwide-admissions-lower-selectivity-major-A</v>
      </c>
      <c r="C358" s="2" t="s">
        <v>715</v>
      </c>
      <c r="D358" s="2" t="s">
        <v>1671</v>
      </c>
      <c r="E358" s="2" t="s">
        <v>792</v>
      </c>
      <c r="F358" s="4">
        <v>650</v>
      </c>
      <c r="G358" s="4">
        <v>1000</v>
      </c>
      <c r="H358" s="3">
        <f>IF(G358 = 0, "", F358 / G358)</f>
        <v>0.65</v>
      </c>
      <c r="I358" s="5">
        <f>SUMIFS(G358,C358, C358,E358, E358)</f>
        <v>1000</v>
      </c>
      <c r="J358" s="3">
        <f>IF(I358 = 0, "", G358 / I358)</f>
        <v>1</v>
      </c>
      <c r="K358" s="3" t="b">
        <f>AND(G358 &gt; 0, F358 &gt;= 0, F358 &lt;= G358)</f>
        <v>1</v>
      </c>
    </row>
    <row r="359">
      <c r="A359" s="2" t="s">
        <v>2136</v>
      </c>
      <c r="B359" s="3" t="str">
        <f>A359</f>
        <v>uc-systemwide-admissions-lower-selectivity-major-B</v>
      </c>
      <c r="C359" s="2" t="s">
        <v>715</v>
      </c>
      <c r="D359" s="2" t="s">
        <v>1671</v>
      </c>
      <c r="E359" s="2" t="s">
        <v>795</v>
      </c>
      <c r="F359" s="4">
        <v>600</v>
      </c>
      <c r="G359" s="4">
        <v>1000</v>
      </c>
      <c r="H359" s="3">
        <f>IF(G359 = 0, "", F359 / G359)</f>
        <v>0.6</v>
      </c>
      <c r="I359" s="5">
        <f>SUMIFS(G359,C359, C359,E359, E359)</f>
        <v>1000</v>
      </c>
      <c r="J359" s="3">
        <f>IF(I359 = 0, "", G359 / I359)</f>
        <v>1</v>
      </c>
      <c r="K359" s="3" t="b">
        <f>AND(G359 &gt; 0, F359 &gt;= 0, F359 &lt;= G359)</f>
        <v>1</v>
      </c>
    </row>
    <row r="360">
      <c r="A360" s="2" t="s">
        <v>2137</v>
      </c>
      <c r="B360" s="3" t="str">
        <f>A360</f>
        <v>teacher-vam-prior-achievement-high-prior-achievement-A</v>
      </c>
      <c r="C360" s="2" t="s">
        <v>719</v>
      </c>
      <c r="D360" s="2" t="s">
        <v>1674</v>
      </c>
      <c r="E360" s="2" t="s">
        <v>792</v>
      </c>
      <c r="F360" s="4">
        <v>850</v>
      </c>
      <c r="G360" s="4">
        <v>1000</v>
      </c>
      <c r="H360" s="3">
        <f>IF(G360 = 0, "", F360 / G360)</f>
        <v>0.85</v>
      </c>
      <c r="I360" s="5">
        <f>SUMIFS(G360,C360, C360,E360, E360)</f>
        <v>1000</v>
      </c>
      <c r="J360" s="3">
        <f>IF(I360 = 0, "", G360 / I360)</f>
        <v>1</v>
      </c>
      <c r="K360" s="3" t="b">
        <f>AND(G360 &gt; 0, F360 &gt;= 0, F360 &lt;= G360)</f>
        <v>1</v>
      </c>
    </row>
    <row r="361">
      <c r="A361" s="2" t="s">
        <v>2138</v>
      </c>
      <c r="B361" s="3" t="str">
        <f>A361</f>
        <v>teacher-vam-prior-achievement-high-prior-achievement-B</v>
      </c>
      <c r="C361" s="2" t="s">
        <v>719</v>
      </c>
      <c r="D361" s="2" t="s">
        <v>1674</v>
      </c>
      <c r="E361" s="2" t="s">
        <v>795</v>
      </c>
      <c r="F361" s="4">
        <v>820</v>
      </c>
      <c r="G361" s="4">
        <v>1000</v>
      </c>
      <c r="H361" s="3">
        <f>IF(G361 = 0, "", F361 / G361)</f>
        <v>0.82</v>
      </c>
      <c r="I361" s="5">
        <f>SUMIFS(G361,C361, C361,E361, E361)</f>
        <v>1000</v>
      </c>
      <c r="J361" s="3">
        <f>IF(I361 = 0, "", G361 / I361)</f>
        <v>1</v>
      </c>
      <c r="K361" s="3" t="b">
        <f>AND(G361 &gt; 0, F361 &gt;= 0, F361 &lt;= G361)</f>
        <v>1</v>
      </c>
    </row>
    <row r="362">
      <c r="A362" s="2" t="s">
        <v>2139</v>
      </c>
      <c r="B362" s="3" t="str">
        <f>A362</f>
        <v>teacher-vam-prior-achievement-low-prior-achievement-A</v>
      </c>
      <c r="C362" s="2" t="s">
        <v>719</v>
      </c>
      <c r="D362" s="2" t="s">
        <v>1677</v>
      </c>
      <c r="E362" s="2" t="s">
        <v>792</v>
      </c>
      <c r="F362" s="4">
        <v>520</v>
      </c>
      <c r="G362" s="4">
        <v>1000</v>
      </c>
      <c r="H362" s="3">
        <f>IF(G362 = 0, "", F362 / G362)</f>
        <v>0.52</v>
      </c>
      <c r="I362" s="5">
        <f>SUMIFS(G362,C362, C362,E362, E362)</f>
        <v>1000</v>
      </c>
      <c r="J362" s="3">
        <f>IF(I362 = 0, "", G362 / I362)</f>
        <v>1</v>
      </c>
      <c r="K362" s="3" t="b">
        <f>AND(G362 &gt; 0, F362 &gt;= 0, F362 &lt;= G362)</f>
        <v>1</v>
      </c>
    </row>
    <row r="363">
      <c r="A363" s="2" t="s">
        <v>2140</v>
      </c>
      <c r="B363" s="3" t="str">
        <f>A363</f>
        <v>teacher-vam-prior-achievement-low-prior-achievement-B</v>
      </c>
      <c r="C363" s="2" t="s">
        <v>719</v>
      </c>
      <c r="D363" s="2" t="s">
        <v>1677</v>
      </c>
      <c r="E363" s="2" t="s">
        <v>795</v>
      </c>
      <c r="F363" s="4">
        <v>560</v>
      </c>
      <c r="G363" s="4">
        <v>1000</v>
      </c>
      <c r="H363" s="3">
        <f>IF(G363 = 0, "", F363 / G363)</f>
        <v>0.56</v>
      </c>
      <c r="I363" s="5">
        <f>SUMIFS(G363,C363, C363,E363, E363)</f>
        <v>1000</v>
      </c>
      <c r="J363" s="3">
        <f>IF(I363 = 0, "", G363 / I363)</f>
        <v>1</v>
      </c>
      <c r="K363" s="3" t="b">
        <f>AND(G363 &gt; 0, F363 &gt;= 0, F363 &lt;= G363)</f>
        <v>1</v>
      </c>
    </row>
    <row r="364">
      <c r="A364" s="2" t="s">
        <v>2141</v>
      </c>
      <c r="B364" s="3" t="str">
        <f>A364</f>
        <v>naep-state-demographics-high-poverty-states-A</v>
      </c>
      <c r="C364" s="2" t="s">
        <v>723</v>
      </c>
      <c r="D364" s="2" t="s">
        <v>1680</v>
      </c>
      <c r="E364" s="2" t="s">
        <v>792</v>
      </c>
      <c r="F364" s="4">
        <v>280</v>
      </c>
      <c r="G364" s="4">
        <v>1000</v>
      </c>
      <c r="H364" s="3">
        <f>IF(G364 = 0, "", F364 / G364)</f>
        <v>0.28</v>
      </c>
      <c r="I364" s="5">
        <f>SUMIFS(G364,C364, C364,E364, E364)</f>
        <v>1000</v>
      </c>
      <c r="J364" s="3">
        <f>IF(I364 = 0, "", G364 / I364)</f>
        <v>1</v>
      </c>
      <c r="K364" s="3" t="b">
        <f>AND(G364 &gt; 0, F364 &gt;= 0, F364 &lt;= G364)</f>
        <v>1</v>
      </c>
    </row>
    <row r="365">
      <c r="A365" s="2" t="s">
        <v>2142</v>
      </c>
      <c r="B365" s="3" t="str">
        <f>A365</f>
        <v>naep-state-demographics-high-poverty-states-B</v>
      </c>
      <c r="C365" s="2" t="s">
        <v>723</v>
      </c>
      <c r="D365" s="2" t="s">
        <v>1680</v>
      </c>
      <c r="E365" s="2" t="s">
        <v>795</v>
      </c>
      <c r="F365" s="4">
        <v>320</v>
      </c>
      <c r="G365" s="4">
        <v>1000</v>
      </c>
      <c r="H365" s="3">
        <f>IF(G365 = 0, "", F365 / G365)</f>
        <v>0.32</v>
      </c>
      <c r="I365" s="5">
        <f>SUMIFS(G365,C365, C365,E365, E365)</f>
        <v>1000</v>
      </c>
      <c r="J365" s="3">
        <f>IF(I365 = 0, "", G365 / I365)</f>
        <v>1</v>
      </c>
      <c r="K365" s="3" t="b">
        <f>AND(G365 &gt; 0, F365 &gt;= 0, F365 &lt;= G365)</f>
        <v>1</v>
      </c>
    </row>
    <row r="366">
      <c r="A366" s="2" t="s">
        <v>2143</v>
      </c>
      <c r="B366" s="3" t="str">
        <f>A366</f>
        <v>naep-state-demographics-low-poverty-states-A</v>
      </c>
      <c r="C366" s="2" t="s">
        <v>723</v>
      </c>
      <c r="D366" s="2" t="s">
        <v>1683</v>
      </c>
      <c r="E366" s="2" t="s">
        <v>792</v>
      </c>
      <c r="F366" s="4">
        <v>450</v>
      </c>
      <c r="G366" s="4">
        <v>1000</v>
      </c>
      <c r="H366" s="3">
        <f>IF(G366 = 0, "", F366 / G366)</f>
        <v>0.45</v>
      </c>
      <c r="I366" s="5">
        <f>SUMIFS(G366,C366, C366,E366, E366)</f>
        <v>1000</v>
      </c>
      <c r="J366" s="3">
        <f>IF(I366 = 0, "", G366 / I366)</f>
        <v>1</v>
      </c>
      <c r="K366" s="3" t="b">
        <f>AND(G366 &gt; 0, F366 &gt;= 0, F366 &lt;= G366)</f>
        <v>1</v>
      </c>
    </row>
    <row r="367">
      <c r="A367" s="2" t="s">
        <v>2144</v>
      </c>
      <c r="B367" s="3" t="str">
        <f>A367</f>
        <v>naep-state-demographics-low-poverty-states-B</v>
      </c>
      <c r="C367" s="2" t="s">
        <v>723</v>
      </c>
      <c r="D367" s="2" t="s">
        <v>1683</v>
      </c>
      <c r="E367" s="2" t="s">
        <v>795</v>
      </c>
      <c r="F367" s="4">
        <v>420</v>
      </c>
      <c r="G367" s="4">
        <v>1000</v>
      </c>
      <c r="H367" s="3">
        <f>IF(G367 = 0, "", F367 / G367)</f>
        <v>0.42</v>
      </c>
      <c r="I367" s="5">
        <f>SUMIFS(G367,C367, C367,E367, E367)</f>
        <v>1000</v>
      </c>
      <c r="J367" s="3">
        <f>IF(I367 = 0, "", G367 / I367)</f>
        <v>1</v>
      </c>
      <c r="K367" s="3" t="b">
        <f>AND(G367 &gt; 0, F367 &gt;= 0, F367 &lt;= G367)</f>
        <v>1</v>
      </c>
    </row>
    <row r="368">
      <c r="A368" s="2" t="s">
        <v>2145</v>
      </c>
      <c r="B368" s="3" t="str">
        <f>A368</f>
        <v>college-grad-rate-selectivity-well-prepared-intake-A</v>
      </c>
      <c r="C368" s="2" t="s">
        <v>727</v>
      </c>
      <c r="D368" s="2" t="s">
        <v>1686</v>
      </c>
      <c r="E368" s="2" t="s">
        <v>792</v>
      </c>
      <c r="F368" s="4">
        <v>920</v>
      </c>
      <c r="G368" s="4">
        <v>1000</v>
      </c>
      <c r="H368" s="3">
        <f>IF(G368 = 0, "", F368 / G368)</f>
        <v>0.92</v>
      </c>
      <c r="I368" s="5">
        <f>SUMIFS(G368,C368, C368,E368, E368)</f>
        <v>1000</v>
      </c>
      <c r="J368" s="3">
        <f>IF(I368 = 0, "", G368 / I368)</f>
        <v>1</v>
      </c>
      <c r="K368" s="3" t="b">
        <f>AND(G368 &gt; 0, F368 &gt;= 0, F368 &lt;= G368)</f>
        <v>1</v>
      </c>
    </row>
    <row r="369">
      <c r="A369" s="2" t="s">
        <v>2146</v>
      </c>
      <c r="B369" s="3" t="str">
        <f>A369</f>
        <v>college-grad-rate-selectivity-well-prepared-intake-B</v>
      </c>
      <c r="C369" s="2" t="s">
        <v>727</v>
      </c>
      <c r="D369" s="2" t="s">
        <v>1686</v>
      </c>
      <c r="E369" s="2" t="s">
        <v>795</v>
      </c>
      <c r="F369" s="4">
        <v>880</v>
      </c>
      <c r="G369" s="4">
        <v>1000</v>
      </c>
      <c r="H369" s="3">
        <f>IF(G369 = 0, "", F369 / G369)</f>
        <v>0.88</v>
      </c>
      <c r="I369" s="5">
        <f>SUMIFS(G369,C369, C369,E369, E369)</f>
        <v>1000</v>
      </c>
      <c r="J369" s="3">
        <f>IF(I369 = 0, "", G369 / I369)</f>
        <v>1</v>
      </c>
      <c r="K369" s="3" t="b">
        <f>AND(G369 &gt; 0, F369 &gt;= 0, F369 &lt;= G369)</f>
        <v>1</v>
      </c>
    </row>
    <row r="370">
      <c r="A370" s="2" t="s">
        <v>2147</v>
      </c>
      <c r="B370" s="3" t="str">
        <f>A370</f>
        <v>college-grad-rate-selectivity-under-prepared-intake-A</v>
      </c>
      <c r="C370" s="2" t="s">
        <v>727</v>
      </c>
      <c r="D370" s="2" t="s">
        <v>1689</v>
      </c>
      <c r="E370" s="2" t="s">
        <v>792</v>
      </c>
      <c r="F370" s="4">
        <v>550</v>
      </c>
      <c r="G370" s="4">
        <v>1000</v>
      </c>
      <c r="H370" s="3">
        <f>IF(G370 = 0, "", F370 / G370)</f>
        <v>0.55</v>
      </c>
      <c r="I370" s="5">
        <f>SUMIFS(G370,C370, C370,E370, E370)</f>
        <v>1000</v>
      </c>
      <c r="J370" s="3">
        <f>IF(I370 = 0, "", G370 / I370)</f>
        <v>1</v>
      </c>
      <c r="K370" s="3" t="b">
        <f>AND(G370 &gt; 0, F370 &gt;= 0, F370 &lt;= G370)</f>
        <v>1</v>
      </c>
    </row>
    <row r="371">
      <c r="A371" s="2" t="s">
        <v>2148</v>
      </c>
      <c r="B371" s="3" t="str">
        <f>A371</f>
        <v>college-grad-rate-selectivity-under-prepared-intake-B</v>
      </c>
      <c r="C371" s="2" t="s">
        <v>727</v>
      </c>
      <c r="D371" s="2" t="s">
        <v>1689</v>
      </c>
      <c r="E371" s="2" t="s">
        <v>795</v>
      </c>
      <c r="F371" s="4">
        <v>620</v>
      </c>
      <c r="G371" s="4">
        <v>1000</v>
      </c>
      <c r="H371" s="3">
        <f>IF(G371 = 0, "", F371 / G371)</f>
        <v>0.62</v>
      </c>
      <c r="I371" s="5">
        <f>SUMIFS(G371,C371, C371,E371, E371)</f>
        <v>1000</v>
      </c>
      <c r="J371" s="3">
        <f>IF(I371 = 0, "", G371 / I371)</f>
        <v>1</v>
      </c>
      <c r="K371" s="3" t="b">
        <f>AND(G371 &gt; 0, F371 &gt;= 0, F371 &lt;= G371)</f>
        <v>1</v>
      </c>
    </row>
    <row r="372">
      <c r="A372" s="2" t="s">
        <v>2149</v>
      </c>
      <c r="B372" s="3" t="str">
        <f>A372</f>
        <v>star-class-size-inner-city-schools-A</v>
      </c>
      <c r="C372" s="2" t="s">
        <v>731</v>
      </c>
      <c r="D372" s="2" t="s">
        <v>1692</v>
      </c>
      <c r="E372" s="2" t="s">
        <v>792</v>
      </c>
      <c r="F372" s="4">
        <v>820</v>
      </c>
      <c r="G372" s="4">
        <v>1000</v>
      </c>
      <c r="H372" s="3">
        <f>IF(G372 = 0, "", F372 / G372)</f>
        <v>0.82</v>
      </c>
      <c r="I372" s="5">
        <f>SUMIFS(G372,C372, C372,E372, E372)</f>
        <v>1000</v>
      </c>
      <c r="J372" s="3">
        <f>IF(I372 = 0, "", G372 / I372)</f>
        <v>1</v>
      </c>
      <c r="K372" s="3" t="b">
        <f>AND(G372 &gt; 0, F372 &gt;= 0, F372 &lt;= G372)</f>
        <v>1</v>
      </c>
    </row>
    <row r="373">
      <c r="A373" s="2" t="s">
        <v>2150</v>
      </c>
      <c r="B373" s="3" t="str">
        <f>A373</f>
        <v>star-class-size-inner-city-schools-B</v>
      </c>
      <c r="C373" s="2" t="s">
        <v>731</v>
      </c>
      <c r="D373" s="2" t="s">
        <v>1692</v>
      </c>
      <c r="E373" s="2" t="s">
        <v>795</v>
      </c>
      <c r="F373" s="4">
        <v>800</v>
      </c>
      <c r="G373" s="4">
        <v>1000</v>
      </c>
      <c r="H373" s="3">
        <f>IF(G373 = 0, "", F373 / G373)</f>
        <v>0.8</v>
      </c>
      <c r="I373" s="5">
        <f>SUMIFS(G373,C373, C373,E373, E373)</f>
        <v>1000</v>
      </c>
      <c r="J373" s="3">
        <f>IF(I373 = 0, "", G373 / I373)</f>
        <v>1</v>
      </c>
      <c r="K373" s="3" t="b">
        <f>AND(G373 &gt; 0, F373 &gt;= 0, F373 &lt;= G373)</f>
        <v>1</v>
      </c>
    </row>
    <row r="374">
      <c r="A374" s="2" t="s">
        <v>2151</v>
      </c>
      <c r="B374" s="3" t="str">
        <f>A374</f>
        <v>star-class-size-suburban-schools-A</v>
      </c>
      <c r="C374" s="2" t="s">
        <v>731</v>
      </c>
      <c r="D374" s="2" t="s">
        <v>1695</v>
      </c>
      <c r="E374" s="2" t="s">
        <v>792</v>
      </c>
      <c r="F374" s="4">
        <v>910</v>
      </c>
      <c r="G374" s="4">
        <v>1000</v>
      </c>
      <c r="H374" s="3">
        <f>IF(G374 = 0, "", F374 / G374)</f>
        <v>0.91</v>
      </c>
      <c r="I374" s="5">
        <f>SUMIFS(G374,C374, C374,E374, E374)</f>
        <v>1000</v>
      </c>
      <c r="J374" s="3">
        <f>IF(I374 = 0, "", G374 / I374)</f>
        <v>1</v>
      </c>
      <c r="K374" s="3" t="b">
        <f>AND(G374 &gt; 0, F374 &gt;= 0, F374 &lt;= G374)</f>
        <v>1</v>
      </c>
    </row>
    <row r="375">
      <c r="A375" s="2" t="s">
        <v>2152</v>
      </c>
      <c r="B375" s="3" t="str">
        <f>A375</f>
        <v>star-class-size-suburban-schools-B</v>
      </c>
      <c r="C375" s="2" t="s">
        <v>731</v>
      </c>
      <c r="D375" s="2" t="s">
        <v>1695</v>
      </c>
      <c r="E375" s="2" t="s">
        <v>795</v>
      </c>
      <c r="F375" s="4">
        <v>900</v>
      </c>
      <c r="G375" s="4">
        <v>1000</v>
      </c>
      <c r="H375" s="3">
        <f>IF(G375 = 0, "", F375 / G375)</f>
        <v>0.9</v>
      </c>
      <c r="I375" s="5">
        <f>SUMIFS(G375,C375, C375,E375, E375)</f>
        <v>1000</v>
      </c>
      <c r="J375" s="3">
        <f>IF(I375 = 0, "", G375 / I375)</f>
        <v>1</v>
      </c>
      <c r="K375" s="3" t="b">
        <f>AND(G375 &gt; 0, F375 &gt;= 0, F375 &lt;= G375)</f>
        <v>1</v>
      </c>
    </row>
    <row r="376">
      <c r="A376" s="2" t="s">
        <v>2153</v>
      </c>
      <c r="B376" s="3" t="str">
        <f>A376</f>
        <v>nba-shooting-shot-mix-two-point-attempts-A</v>
      </c>
      <c r="C376" s="2" t="s">
        <v>735</v>
      </c>
      <c r="D376" s="2" t="s">
        <v>1698</v>
      </c>
      <c r="E376" s="2" t="s">
        <v>792</v>
      </c>
      <c r="F376" s="4">
        <v>480</v>
      </c>
      <c r="G376" s="4">
        <v>1000</v>
      </c>
      <c r="H376" s="3">
        <f>IF(G376 = 0, "", F376 / G376)</f>
        <v>0.48</v>
      </c>
      <c r="I376" s="5">
        <f>SUMIFS(G376,C376, C376,E376, E376)</f>
        <v>1000</v>
      </c>
      <c r="J376" s="3">
        <f>IF(I376 = 0, "", G376 / I376)</f>
        <v>1</v>
      </c>
      <c r="K376" s="3" t="b">
        <f>AND(G376 &gt; 0, F376 &gt;= 0, F376 &lt;= G376)</f>
        <v>1</v>
      </c>
    </row>
    <row r="377">
      <c r="A377" s="2" t="s">
        <v>2154</v>
      </c>
      <c r="B377" s="3" t="str">
        <f>A377</f>
        <v>nba-shooting-shot-mix-two-point-attempts-B</v>
      </c>
      <c r="C377" s="2" t="s">
        <v>735</v>
      </c>
      <c r="D377" s="2" t="s">
        <v>1698</v>
      </c>
      <c r="E377" s="2" t="s">
        <v>795</v>
      </c>
      <c r="F377" s="4">
        <v>440</v>
      </c>
      <c r="G377" s="4">
        <v>1000</v>
      </c>
      <c r="H377" s="3">
        <f>IF(G377 = 0, "", F377 / G377)</f>
        <v>0.44</v>
      </c>
      <c r="I377" s="5">
        <f>SUMIFS(G377,C377, C377,E377, E377)</f>
        <v>1000</v>
      </c>
      <c r="J377" s="3">
        <f>IF(I377 = 0, "", G377 / I377)</f>
        <v>1</v>
      </c>
      <c r="K377" s="3" t="b">
        <f>AND(G377 &gt; 0, F377 &gt;= 0, F377 &lt;= G377)</f>
        <v>1</v>
      </c>
    </row>
    <row r="378">
      <c r="A378" s="2" t="s">
        <v>2155</v>
      </c>
      <c r="B378" s="3" t="str">
        <f>A378</f>
        <v>nba-shooting-shot-mix-three-point-attempts-A</v>
      </c>
      <c r="C378" s="2" t="s">
        <v>735</v>
      </c>
      <c r="D378" s="2" t="s">
        <v>1701</v>
      </c>
      <c r="E378" s="2" t="s">
        <v>792</v>
      </c>
      <c r="F378" s="4">
        <v>360</v>
      </c>
      <c r="G378" s="4">
        <v>1000</v>
      </c>
      <c r="H378" s="3">
        <f>IF(G378 = 0, "", F378 / G378)</f>
        <v>0.36</v>
      </c>
      <c r="I378" s="5">
        <f>SUMIFS(G378,C378, C378,E378, E378)</f>
        <v>1000</v>
      </c>
      <c r="J378" s="3">
        <f>IF(I378 = 0, "", G378 / I378)</f>
        <v>1</v>
      </c>
      <c r="K378" s="3" t="b">
        <f>AND(G378 &gt; 0, F378 &gt;= 0, F378 &lt;= G378)</f>
        <v>1</v>
      </c>
    </row>
    <row r="379">
      <c r="A379" s="2" t="s">
        <v>2156</v>
      </c>
      <c r="B379" s="3" t="str">
        <f>A379</f>
        <v>nba-shooting-shot-mix-three-point-attempts-B</v>
      </c>
      <c r="C379" s="2" t="s">
        <v>735</v>
      </c>
      <c r="D379" s="2" t="s">
        <v>1701</v>
      </c>
      <c r="E379" s="2" t="s">
        <v>795</v>
      </c>
      <c r="F379" s="4">
        <v>150</v>
      </c>
      <c r="G379" s="4">
        <v>500</v>
      </c>
      <c r="H379" s="3">
        <f>IF(G379 = 0, "", F379 / G379)</f>
        <v>0.3</v>
      </c>
      <c r="I379" s="5">
        <f>SUMIFS(G379,C379, C379,E379, E379)</f>
        <v>500</v>
      </c>
      <c r="J379" s="3">
        <f>IF(I379 = 0, "", G379 / I379)</f>
        <v>1</v>
      </c>
      <c r="K379" s="3" t="b">
        <f>AND(G379 &gt; 0, F379 &gt;= 0, F379 &lt;= G379)</f>
        <v>1</v>
      </c>
    </row>
    <row r="380">
      <c r="A380" s="2" t="s">
        <v>2157</v>
      </c>
      <c r="B380" s="3" t="str">
        <f>A380</f>
        <v>pitcher-era-ballpark-pitcher-friendly-park-A</v>
      </c>
      <c r="C380" s="2" t="s">
        <v>739</v>
      </c>
      <c r="D380" s="2" t="s">
        <v>1704</v>
      </c>
      <c r="E380" s="2" t="s">
        <v>792</v>
      </c>
      <c r="F380" s="4">
        <v>650</v>
      </c>
      <c r="G380" s="4">
        <v>1000</v>
      </c>
      <c r="H380" s="3">
        <f>IF(G380 = 0, "", F380 / G380)</f>
        <v>0.65</v>
      </c>
      <c r="I380" s="5">
        <f>SUMIFS(G380,C380, C380,E380, E380)</f>
        <v>1000</v>
      </c>
      <c r="J380" s="3">
        <f>IF(I380 = 0, "", G380 / I380)</f>
        <v>1</v>
      </c>
      <c r="K380" s="3" t="b">
        <f>AND(G380 &gt; 0, F380 &gt;= 0, F380 &lt;= G380)</f>
        <v>1</v>
      </c>
    </row>
    <row r="381">
      <c r="A381" s="2" t="s">
        <v>2158</v>
      </c>
      <c r="B381" s="3" t="str">
        <f>A381</f>
        <v>pitcher-era-ballpark-pitcher-friendly-park-B</v>
      </c>
      <c r="C381" s="2" t="s">
        <v>739</v>
      </c>
      <c r="D381" s="2" t="s">
        <v>1704</v>
      </c>
      <c r="E381" s="2" t="s">
        <v>795</v>
      </c>
      <c r="F381" s="4">
        <v>620</v>
      </c>
      <c r="G381" s="4">
        <v>1000</v>
      </c>
      <c r="H381" s="3">
        <f>IF(G381 = 0, "", F381 / G381)</f>
        <v>0.62</v>
      </c>
      <c r="I381" s="5">
        <f>SUMIFS(G381,C381, C381,E381, E381)</f>
        <v>1000</v>
      </c>
      <c r="J381" s="3">
        <f>IF(I381 = 0, "", G381 / I381)</f>
        <v>1</v>
      </c>
      <c r="K381" s="3" t="b">
        <f>AND(G381 &gt; 0, F381 &gt;= 0, F381 &lt;= G381)</f>
        <v>1</v>
      </c>
    </row>
    <row r="382">
      <c r="A382" s="2" t="s">
        <v>2159</v>
      </c>
      <c r="B382" s="3" t="str">
        <f>A382</f>
        <v>pitcher-era-ballpark-hitter-friendly-park-A</v>
      </c>
      <c r="C382" s="2" t="s">
        <v>739</v>
      </c>
      <c r="D382" s="2" t="s">
        <v>1707</v>
      </c>
      <c r="E382" s="2" t="s">
        <v>792</v>
      </c>
      <c r="F382" s="4">
        <v>520</v>
      </c>
      <c r="G382" s="4">
        <v>1000</v>
      </c>
      <c r="H382" s="3">
        <f>IF(G382 = 0, "", F382 / G382)</f>
        <v>0.52</v>
      </c>
      <c r="I382" s="5">
        <f>SUMIFS(G382,C382, C382,E382, E382)</f>
        <v>1000</v>
      </c>
      <c r="J382" s="3">
        <f>IF(I382 = 0, "", G382 / I382)</f>
        <v>1</v>
      </c>
      <c r="K382" s="3" t="b">
        <f>AND(G382 &gt; 0, F382 &gt;= 0, F382 &lt;= G382)</f>
        <v>1</v>
      </c>
    </row>
    <row r="383">
      <c r="A383" s="2" t="s">
        <v>2160</v>
      </c>
      <c r="B383" s="3" t="str">
        <f>A383</f>
        <v>pitcher-era-ballpark-hitter-friendly-park-B</v>
      </c>
      <c r="C383" s="2" t="s">
        <v>739</v>
      </c>
      <c r="D383" s="2" t="s">
        <v>1707</v>
      </c>
      <c r="E383" s="2" t="s">
        <v>795</v>
      </c>
      <c r="F383" s="4">
        <v>540</v>
      </c>
      <c r="G383" s="4">
        <v>1000</v>
      </c>
      <c r="H383" s="3">
        <f>IF(G383 = 0, "", F383 / G383)</f>
        <v>0.54</v>
      </c>
      <c r="I383" s="5">
        <f>SUMIFS(G383,C383, C383,E383, E383)</f>
        <v>1000</v>
      </c>
      <c r="J383" s="3">
        <f>IF(I383 = 0, "", G383 / I383)</f>
        <v>1</v>
      </c>
      <c r="K383" s="3" t="b">
        <f>AND(G383 &gt; 0, F383 &gt;= 0, F383 &lt;= G383)</f>
        <v>1</v>
      </c>
    </row>
    <row r="384">
      <c r="A384" s="2" t="s">
        <v>2161</v>
      </c>
      <c r="B384" s="3" t="str">
        <f>A384</f>
        <v>nfl-completion-depth-short-pass-A</v>
      </c>
      <c r="C384" s="2" t="s">
        <v>743</v>
      </c>
      <c r="D384" s="2" t="s">
        <v>1710</v>
      </c>
      <c r="E384" s="2" t="s">
        <v>792</v>
      </c>
      <c r="F384" s="4">
        <v>720</v>
      </c>
      <c r="G384" s="4">
        <v>800</v>
      </c>
      <c r="H384" s="3">
        <f>IF(G384 = 0, "", F384 / G384)</f>
        <v>0.9</v>
      </c>
      <c r="I384" s="5">
        <f>SUMIFS(G384,C384, C384,E384, E384)</f>
        <v>800</v>
      </c>
      <c r="J384" s="3">
        <f>IF(I384 = 0, "", G384 / I384)</f>
        <v>1</v>
      </c>
      <c r="K384" s="3" t="b">
        <f>AND(G384 &gt; 0, F384 &gt;= 0, F384 &lt;= G384)</f>
        <v>1</v>
      </c>
    </row>
    <row r="385">
      <c r="A385" s="2" t="s">
        <v>2162</v>
      </c>
      <c r="B385" s="3" t="str">
        <f>A385</f>
        <v>nfl-completion-depth-short-pass-B</v>
      </c>
      <c r="C385" s="2" t="s">
        <v>743</v>
      </c>
      <c r="D385" s="2" t="s">
        <v>1710</v>
      </c>
      <c r="E385" s="2" t="s">
        <v>795</v>
      </c>
      <c r="F385" s="4">
        <v>700</v>
      </c>
      <c r="G385" s="4">
        <v>800</v>
      </c>
      <c r="H385" s="3">
        <f>IF(G385 = 0, "", F385 / G385)</f>
        <v>0.875</v>
      </c>
      <c r="I385" s="5">
        <f>SUMIFS(G385,C385, C385,E385, E385)</f>
        <v>800</v>
      </c>
      <c r="J385" s="3">
        <f>IF(I385 = 0, "", G385 / I385)</f>
        <v>1</v>
      </c>
      <c r="K385" s="3" t="b">
        <f>AND(G385 &gt; 0, F385 &gt;= 0, F385 &lt;= G385)</f>
        <v>1</v>
      </c>
    </row>
    <row r="386">
      <c r="A386" s="2" t="s">
        <v>2163</v>
      </c>
      <c r="B386" s="3" t="str">
        <f>A386</f>
        <v>nfl-completion-depth-deep-pass-A</v>
      </c>
      <c r="C386" s="2" t="s">
        <v>743</v>
      </c>
      <c r="D386" s="2" t="s">
        <v>1713</v>
      </c>
      <c r="E386" s="2" t="s">
        <v>792</v>
      </c>
      <c r="F386" s="4">
        <v>90</v>
      </c>
      <c r="G386" s="4">
        <v>200</v>
      </c>
      <c r="H386" s="3">
        <f>IF(G386 = 0, "", F386 / G386)</f>
        <v>0.45</v>
      </c>
      <c r="I386" s="5">
        <f>SUMIFS(G386,C386, C386,E386, E386)</f>
        <v>200</v>
      </c>
      <c r="J386" s="3">
        <f>IF(I386 = 0, "", G386 / I386)</f>
        <v>1</v>
      </c>
      <c r="K386" s="3" t="b">
        <f>AND(G386 &gt; 0, F386 &gt;= 0, F386 &lt;= G386)</f>
        <v>1</v>
      </c>
    </row>
    <row r="387">
      <c r="A387" s="2" t="s">
        <v>2164</v>
      </c>
      <c r="B387" s="3" t="str">
        <f>A387</f>
        <v>nfl-completion-depth-deep-pass-B</v>
      </c>
      <c r="C387" s="2" t="s">
        <v>743</v>
      </c>
      <c r="D387" s="2" t="s">
        <v>1713</v>
      </c>
      <c r="E387" s="2" t="s">
        <v>795</v>
      </c>
      <c r="F387" s="4">
        <v>110</v>
      </c>
      <c r="G387" s="4">
        <v>200</v>
      </c>
      <c r="H387" s="3">
        <f>IF(G387 = 0, "", F387 / G387)</f>
        <v>0.55</v>
      </c>
      <c r="I387" s="5">
        <f>SUMIFS(G387,C387, C387,E387, E387)</f>
        <v>200</v>
      </c>
      <c r="J387" s="3">
        <f>IF(I387 = 0, "", G387 / I387)</f>
        <v>1</v>
      </c>
      <c r="K387" s="3" t="b">
        <f>AND(G387 &gt; 0, F387 &gt;= 0, F387 &lt;= G387)</f>
        <v>1</v>
      </c>
    </row>
    <row r="388">
      <c r="A388" s="2" t="s">
        <v>2165</v>
      </c>
      <c r="B388" s="3" t="str">
        <f>A388</f>
        <v>field-goal-distance-short-fg-A</v>
      </c>
      <c r="C388" s="2" t="s">
        <v>747</v>
      </c>
      <c r="D388" s="2" t="s">
        <v>1716</v>
      </c>
      <c r="E388" s="2" t="s">
        <v>792</v>
      </c>
      <c r="F388" s="4">
        <v>950</v>
      </c>
      <c r="G388" s="4">
        <v>1000</v>
      </c>
      <c r="H388" s="3">
        <f>IF(G388 = 0, "", F388 / G388)</f>
        <v>0.95</v>
      </c>
      <c r="I388" s="5">
        <f>SUMIFS(G388,C388, C388,E388, E388)</f>
        <v>1000</v>
      </c>
      <c r="J388" s="3">
        <f>IF(I388 = 0, "", G388 / I388)</f>
        <v>1</v>
      </c>
      <c r="K388" s="3" t="b">
        <f>AND(G388 &gt; 0, F388 &gt;= 0, F388 &lt;= G388)</f>
        <v>1</v>
      </c>
    </row>
    <row r="389">
      <c r="A389" s="2" t="s">
        <v>2166</v>
      </c>
      <c r="B389" s="3" t="str">
        <f>A389</f>
        <v>field-goal-distance-short-fg-B</v>
      </c>
      <c r="C389" s="2" t="s">
        <v>747</v>
      </c>
      <c r="D389" s="2" t="s">
        <v>1716</v>
      </c>
      <c r="E389" s="2" t="s">
        <v>795</v>
      </c>
      <c r="F389" s="4">
        <v>940</v>
      </c>
      <c r="G389" s="4">
        <v>1000</v>
      </c>
      <c r="H389" s="3">
        <f>IF(G389 = 0, "", F389 / G389)</f>
        <v>0.94</v>
      </c>
      <c r="I389" s="5">
        <f>SUMIFS(G389,C389, C389,E389, E389)</f>
        <v>1000</v>
      </c>
      <c r="J389" s="3">
        <f>IF(I389 = 0, "", G389 / I389)</f>
        <v>1</v>
      </c>
      <c r="K389" s="3" t="b">
        <f>AND(G389 &gt; 0, F389 &gt;= 0, F389 &lt;= G389)</f>
        <v>1</v>
      </c>
    </row>
    <row r="390">
      <c r="A390" s="2" t="s">
        <v>2167</v>
      </c>
      <c r="B390" s="3" t="str">
        <f>A390</f>
        <v>field-goal-distance-long-fg-A</v>
      </c>
      <c r="C390" s="2" t="s">
        <v>747</v>
      </c>
      <c r="D390" s="2" t="s">
        <v>1719</v>
      </c>
      <c r="E390" s="2" t="s">
        <v>792</v>
      </c>
      <c r="F390" s="4">
        <v>600</v>
      </c>
      <c r="G390" s="4">
        <v>1000</v>
      </c>
      <c r="H390" s="3">
        <f>IF(G390 = 0, "", F390 / G390)</f>
        <v>0.6</v>
      </c>
      <c r="I390" s="5">
        <f>SUMIFS(G390,C390, C390,E390, E390)</f>
        <v>1000</v>
      </c>
      <c r="J390" s="3">
        <f>IF(I390 = 0, "", G390 / I390)</f>
        <v>1</v>
      </c>
      <c r="K390" s="3" t="b">
        <f>AND(G390 &gt; 0, F390 &gt;= 0, F390 &lt;= G390)</f>
        <v>1</v>
      </c>
    </row>
    <row r="391">
      <c r="A391" s="2" t="s">
        <v>2168</v>
      </c>
      <c r="B391" s="3" t="str">
        <f>A391</f>
        <v>field-goal-distance-long-fg-B</v>
      </c>
      <c r="C391" s="2" t="s">
        <v>747</v>
      </c>
      <c r="D391" s="2" t="s">
        <v>1719</v>
      </c>
      <c r="E391" s="2" t="s">
        <v>795</v>
      </c>
      <c r="F391" s="4">
        <v>650</v>
      </c>
      <c r="G391" s="4">
        <v>1000</v>
      </c>
      <c r="H391" s="3">
        <f>IF(G391 = 0, "", F391 / G391)</f>
        <v>0.65</v>
      </c>
      <c r="I391" s="5">
        <f>SUMIFS(G391,C391, C391,E391, E391)</f>
        <v>1000</v>
      </c>
      <c r="J391" s="3">
        <f>IF(I391 = 0, "", G391 / I391)</f>
        <v>1</v>
      </c>
      <c r="K391" s="3" t="b">
        <f>AND(G391 &gt; 0, F391 &gt;= 0, F391 &lt;= G391)</f>
        <v>1</v>
      </c>
    </row>
    <row r="392">
      <c r="A392" s="2" t="s">
        <v>2169</v>
      </c>
      <c r="B392" s="3" t="str">
        <f>A392</f>
        <v>golf-scoring-course-easy-course-A</v>
      </c>
      <c r="C392" s="2" t="s">
        <v>751</v>
      </c>
      <c r="D392" s="2" t="s">
        <v>1722</v>
      </c>
      <c r="E392" s="2" t="s">
        <v>792</v>
      </c>
      <c r="F392" s="4">
        <v>650</v>
      </c>
      <c r="G392" s="4">
        <v>1000</v>
      </c>
      <c r="H392" s="3">
        <f>IF(G392 = 0, "", F392 / G392)</f>
        <v>0.65</v>
      </c>
      <c r="I392" s="5">
        <f>SUMIFS(G392,C392, C392,E392, E392)</f>
        <v>1000</v>
      </c>
      <c r="J392" s="3">
        <f>IF(I392 = 0, "", G392 / I392)</f>
        <v>1</v>
      </c>
      <c r="K392" s="3" t="b">
        <f>AND(G392 &gt; 0, F392 &gt;= 0, F392 &lt;= G392)</f>
        <v>1</v>
      </c>
    </row>
    <row r="393">
      <c r="A393" s="2" t="s">
        <v>2170</v>
      </c>
      <c r="B393" s="3" t="str">
        <f>A393</f>
        <v>golf-scoring-course-easy-course-B</v>
      </c>
      <c r="C393" s="2" t="s">
        <v>751</v>
      </c>
      <c r="D393" s="2" t="s">
        <v>1722</v>
      </c>
      <c r="E393" s="2" t="s">
        <v>795</v>
      </c>
      <c r="F393" s="4">
        <v>620</v>
      </c>
      <c r="G393" s="4">
        <v>1000</v>
      </c>
      <c r="H393" s="3">
        <f>IF(G393 = 0, "", F393 / G393)</f>
        <v>0.62</v>
      </c>
      <c r="I393" s="5">
        <f>SUMIFS(G393,C393, C393,E393, E393)</f>
        <v>1000</v>
      </c>
      <c r="J393" s="3">
        <f>IF(I393 = 0, "", G393 / I393)</f>
        <v>1</v>
      </c>
      <c r="K393" s="3" t="b">
        <f>AND(G393 &gt; 0, F393 &gt;= 0, F393 &lt;= G393)</f>
        <v>1</v>
      </c>
    </row>
    <row r="394">
      <c r="A394" s="2" t="s">
        <v>2171</v>
      </c>
      <c r="B394" s="3" t="str">
        <f>A394</f>
        <v>golf-scoring-course-difficult-course-A</v>
      </c>
      <c r="C394" s="2" t="s">
        <v>751</v>
      </c>
      <c r="D394" s="2" t="s">
        <v>1725</v>
      </c>
      <c r="E394" s="2" t="s">
        <v>792</v>
      </c>
      <c r="F394" s="4">
        <v>350</v>
      </c>
      <c r="G394" s="4">
        <v>1000</v>
      </c>
      <c r="H394" s="3">
        <f>IF(G394 = 0, "", F394 / G394)</f>
        <v>0.35</v>
      </c>
      <c r="I394" s="5">
        <f>SUMIFS(G394,C394, C394,E394, E394)</f>
        <v>1000</v>
      </c>
      <c r="J394" s="3">
        <f>IF(I394 = 0, "", G394 / I394)</f>
        <v>1</v>
      </c>
      <c r="K394" s="3" t="b">
        <f>AND(G394 &gt; 0, F394 &gt;= 0, F394 &lt;= G394)</f>
        <v>1</v>
      </c>
    </row>
    <row r="395">
      <c r="A395" s="2" t="s">
        <v>2172</v>
      </c>
      <c r="B395" s="3" t="str">
        <f>A395</f>
        <v>golf-scoring-course-difficult-course-B</v>
      </c>
      <c r="C395" s="2" t="s">
        <v>751</v>
      </c>
      <c r="D395" s="2" t="s">
        <v>1725</v>
      </c>
      <c r="E395" s="2" t="s">
        <v>795</v>
      </c>
      <c r="F395" s="4">
        <v>380</v>
      </c>
      <c r="G395" s="4">
        <v>1000</v>
      </c>
      <c r="H395" s="3">
        <f>IF(G395 = 0, "", F395 / G395)</f>
        <v>0.38</v>
      </c>
      <c r="I395" s="5">
        <f>SUMIFS(G395,C395, C395,E395, E395)</f>
        <v>1000</v>
      </c>
      <c r="J395" s="3">
        <f>IF(I395 = 0, "", G395 / I395)</f>
        <v>1</v>
      </c>
      <c r="K395" s="3" t="b">
        <f>AND(G395 &gt; 0, F395 &gt;= 0, F395 &lt;= G395)</f>
        <v>1</v>
      </c>
    </row>
    <row r="396">
      <c r="A396" s="2" t="s">
        <v>2173</v>
      </c>
      <c r="B396" s="3" t="str">
        <f>A396</f>
        <v>minimum-wage-region-tight-labor-market-A</v>
      </c>
      <c r="C396" s="2" t="s">
        <v>755</v>
      </c>
      <c r="D396" s="2" t="s">
        <v>1728</v>
      </c>
      <c r="E396" s="2" t="s">
        <v>792</v>
      </c>
      <c r="F396" s="4">
        <v>920</v>
      </c>
      <c r="G396" s="4">
        <v>1000</v>
      </c>
      <c r="H396" s="3">
        <f>IF(G396 = 0, "", F396 / G396)</f>
        <v>0.92</v>
      </c>
      <c r="I396" s="5">
        <f>SUMIFS(G396,C396, C396,E396, E396)</f>
        <v>1000</v>
      </c>
      <c r="J396" s="3">
        <f>IF(I396 = 0, "", G396 / I396)</f>
        <v>1</v>
      </c>
      <c r="K396" s="3" t="b">
        <f>AND(G396 &gt; 0, F396 &gt;= 0, F396 &lt;= G396)</f>
        <v>1</v>
      </c>
    </row>
    <row r="397">
      <c r="A397" s="2" t="s">
        <v>2174</v>
      </c>
      <c r="B397" s="3" t="str">
        <f>A397</f>
        <v>minimum-wage-region-tight-labor-market-B</v>
      </c>
      <c r="C397" s="2" t="s">
        <v>755</v>
      </c>
      <c r="D397" s="2" t="s">
        <v>1728</v>
      </c>
      <c r="E397" s="2" t="s">
        <v>795</v>
      </c>
      <c r="F397" s="4">
        <v>910</v>
      </c>
      <c r="G397" s="4">
        <v>1000</v>
      </c>
      <c r="H397" s="3">
        <f>IF(G397 = 0, "", F397 / G397)</f>
        <v>0.91</v>
      </c>
      <c r="I397" s="5">
        <f>SUMIFS(G397,C397, C397,E397, E397)</f>
        <v>1000</v>
      </c>
      <c r="J397" s="3">
        <f>IF(I397 = 0, "", G397 / I397)</f>
        <v>1</v>
      </c>
      <c r="K397" s="3" t="b">
        <f>AND(G397 &gt; 0, F397 &gt;= 0, F397 &lt;= G397)</f>
        <v>1</v>
      </c>
    </row>
    <row r="398">
      <c r="A398" s="2" t="s">
        <v>2175</v>
      </c>
      <c r="B398" s="3" t="str">
        <f>A398</f>
        <v>minimum-wage-region-slack-labor-market-A</v>
      </c>
      <c r="C398" s="2" t="s">
        <v>755</v>
      </c>
      <c r="D398" s="2" t="s">
        <v>1731</v>
      </c>
      <c r="E398" s="2" t="s">
        <v>792</v>
      </c>
      <c r="F398" s="4">
        <v>780</v>
      </c>
      <c r="G398" s="4">
        <v>1000</v>
      </c>
      <c r="H398" s="3">
        <f>IF(G398 = 0, "", F398 / G398)</f>
        <v>0.78</v>
      </c>
      <c r="I398" s="5">
        <f>SUMIFS(G398,C398, C398,E398, E398)</f>
        <v>1000</v>
      </c>
      <c r="J398" s="3">
        <f>IF(I398 = 0, "", G398 / I398)</f>
        <v>1</v>
      </c>
      <c r="K398" s="3" t="b">
        <f>AND(G398 &gt; 0, F398 &gt;= 0, F398 &lt;= G398)</f>
        <v>1</v>
      </c>
    </row>
    <row r="399">
      <c r="A399" s="2" t="s">
        <v>2176</v>
      </c>
      <c r="B399" s="3" t="str">
        <f>A399</f>
        <v>minimum-wage-region-slack-labor-market-B</v>
      </c>
      <c r="C399" s="2" t="s">
        <v>755</v>
      </c>
      <c r="D399" s="2" t="s">
        <v>1731</v>
      </c>
      <c r="E399" s="2" t="s">
        <v>795</v>
      </c>
      <c r="F399" s="4">
        <v>820</v>
      </c>
      <c r="G399" s="4">
        <v>1000</v>
      </c>
      <c r="H399" s="3">
        <f>IF(G399 = 0, "", F399 / G399)</f>
        <v>0.82</v>
      </c>
      <c r="I399" s="5">
        <f>SUMIFS(G399,C399, C399,E399, E399)</f>
        <v>1000</v>
      </c>
      <c r="J399" s="3">
        <f>IF(I399 = 0, "", G399 / I399)</f>
        <v>1</v>
      </c>
      <c r="K399" s="3" t="b">
        <f>AND(G399 &gt; 0, F399 &gt;= 0, F399 &lt;= G399)</f>
        <v>1</v>
      </c>
    </row>
    <row r="400">
      <c r="A400" s="2" t="s">
        <v>2177</v>
      </c>
      <c r="B400" s="3" t="str">
        <f>A400</f>
        <v>returns-to-education-field-stem-fields-A</v>
      </c>
      <c r="C400" s="2" t="s">
        <v>759</v>
      </c>
      <c r="D400" s="2" t="s">
        <v>1734</v>
      </c>
      <c r="E400" s="2" t="s">
        <v>792</v>
      </c>
      <c r="F400" s="4">
        <v>720</v>
      </c>
      <c r="G400" s="4">
        <v>1000</v>
      </c>
      <c r="H400" s="3">
        <f>IF(G400 = 0, "", F400 / G400)</f>
        <v>0.72</v>
      </c>
      <c r="I400" s="5">
        <f>SUMIFS(G400,C400, C400,E400, E400)</f>
        <v>1000</v>
      </c>
      <c r="J400" s="3">
        <f>IF(I400 = 0, "", G400 / I400)</f>
        <v>1</v>
      </c>
      <c r="K400" s="3" t="b">
        <f>AND(G400 &gt; 0, F400 &gt;= 0, F400 &lt;= G400)</f>
        <v>1</v>
      </c>
    </row>
    <row r="401">
      <c r="A401" s="2" t="s">
        <v>2178</v>
      </c>
      <c r="B401" s="3" t="str">
        <f>A401</f>
        <v>returns-to-education-field-stem-fields-B</v>
      </c>
      <c r="C401" s="2" t="s">
        <v>759</v>
      </c>
      <c r="D401" s="2" t="s">
        <v>1734</v>
      </c>
      <c r="E401" s="2" t="s">
        <v>795</v>
      </c>
      <c r="F401" s="4">
        <v>350</v>
      </c>
      <c r="G401" s="4">
        <v>1000</v>
      </c>
      <c r="H401" s="3">
        <f>IF(G401 = 0, "", F401 / G401)</f>
        <v>0.35</v>
      </c>
      <c r="I401" s="5">
        <f>SUMIFS(G401,C401, C401,E401, E401)</f>
        <v>1000</v>
      </c>
      <c r="J401" s="3">
        <f>IF(I401 = 0, "", G401 / I401)</f>
        <v>1</v>
      </c>
      <c r="K401" s="3" t="b">
        <f>AND(G401 &gt; 0, F401 &gt;= 0, F401 &lt;= G401)</f>
        <v>1</v>
      </c>
    </row>
    <row r="402">
      <c r="A402" s="2" t="s">
        <v>2179</v>
      </c>
      <c r="B402" s="3" t="str">
        <f>A402</f>
        <v>returns-to-education-field-non-stem-fields-A</v>
      </c>
      <c r="C402" s="2" t="s">
        <v>759</v>
      </c>
      <c r="D402" s="2" t="s">
        <v>1737</v>
      </c>
      <c r="E402" s="2" t="s">
        <v>792</v>
      </c>
      <c r="F402" s="4">
        <v>520</v>
      </c>
      <c r="G402" s="4">
        <v>1000</v>
      </c>
      <c r="H402" s="3">
        <f>IF(G402 = 0, "", F402 / G402)</f>
        <v>0.52</v>
      </c>
      <c r="I402" s="5">
        <f>SUMIFS(G402,C402, C402,E402, E402)</f>
        <v>1000</v>
      </c>
      <c r="J402" s="3">
        <f>IF(I402 = 0, "", G402 / I402)</f>
        <v>1</v>
      </c>
      <c r="K402" s="3" t="b">
        <f>AND(G402 &gt; 0, F402 &gt;= 0, F402 &lt;= G402)</f>
        <v>1</v>
      </c>
    </row>
    <row r="403">
      <c r="A403" s="2" t="s">
        <v>2180</v>
      </c>
      <c r="B403" s="3" t="str">
        <f>A403</f>
        <v>returns-to-education-field-non-stem-fields-B</v>
      </c>
      <c r="C403" s="2" t="s">
        <v>759</v>
      </c>
      <c r="D403" s="2" t="s">
        <v>1737</v>
      </c>
      <c r="E403" s="2" t="s">
        <v>795</v>
      </c>
      <c r="F403" s="4">
        <v>380</v>
      </c>
      <c r="G403" s="4">
        <v>1000</v>
      </c>
      <c r="H403" s="3">
        <f>IF(G403 = 0, "", F403 / G403)</f>
        <v>0.38</v>
      </c>
      <c r="I403" s="5">
        <f>SUMIFS(G403,C403, C403,E403, E403)</f>
        <v>1000</v>
      </c>
      <c r="J403" s="3">
        <f>IF(I403 = 0, "", G403 / I403)</f>
        <v>1</v>
      </c>
      <c r="K403" s="3" t="b">
        <f>AND(G403 &gt; 0, F403 &gt;= 0, F403 &lt;= G403)</f>
        <v>1</v>
      </c>
    </row>
    <row r="404">
      <c r="A404" s="2" t="s">
        <v>2181</v>
      </c>
      <c r="B404" s="3" t="str">
        <f>A404</f>
        <v>unemployment-education-cycle-college-educated-share-A</v>
      </c>
      <c r="C404" s="2" t="s">
        <v>763</v>
      </c>
      <c r="D404" s="2" t="s">
        <v>1740</v>
      </c>
      <c r="E404" s="2" t="s">
        <v>792</v>
      </c>
      <c r="F404" s="4">
        <v>950</v>
      </c>
      <c r="G404" s="4">
        <v>1000</v>
      </c>
      <c r="H404" s="3">
        <f>IF(G404 = 0, "", F404 / G404)</f>
        <v>0.95</v>
      </c>
      <c r="I404" s="5">
        <f>SUMIFS(G404,C404, C404,E404, E404)</f>
        <v>1000</v>
      </c>
      <c r="J404" s="3">
        <f>IF(I404 = 0, "", G404 / I404)</f>
        <v>1</v>
      </c>
      <c r="K404" s="3" t="b">
        <f>AND(G404 &gt; 0, F404 &gt;= 0, F404 &lt;= G404)</f>
        <v>1</v>
      </c>
    </row>
    <row r="405">
      <c r="A405" s="2" t="s">
        <v>2182</v>
      </c>
      <c r="B405" s="3" t="str">
        <f>A405</f>
        <v>unemployment-education-cycle-college-educated-share-B</v>
      </c>
      <c r="C405" s="2" t="s">
        <v>763</v>
      </c>
      <c r="D405" s="2" t="s">
        <v>1740</v>
      </c>
      <c r="E405" s="2" t="s">
        <v>795</v>
      </c>
      <c r="F405" s="4">
        <v>940</v>
      </c>
      <c r="G405" s="4">
        <v>1000</v>
      </c>
      <c r="H405" s="3">
        <f>IF(G405 = 0, "", F405 / G405)</f>
        <v>0.94</v>
      </c>
      <c r="I405" s="5">
        <f>SUMIFS(G405,C405, C405,E405, E405)</f>
        <v>1000</v>
      </c>
      <c r="J405" s="3">
        <f>IF(I405 = 0, "", G405 / I405)</f>
        <v>1</v>
      </c>
      <c r="K405" s="3" t="b">
        <f>AND(G405 &gt; 0, F405 &gt;= 0, F405 &lt;= G405)</f>
        <v>1</v>
      </c>
    </row>
    <row r="406">
      <c r="A406" s="2" t="s">
        <v>2183</v>
      </c>
      <c r="B406" s="3" t="str">
        <f>A406</f>
        <v>unemployment-education-cycle-non-college-share-A</v>
      </c>
      <c r="C406" s="2" t="s">
        <v>763</v>
      </c>
      <c r="D406" s="2" t="s">
        <v>1743</v>
      </c>
      <c r="E406" s="2" t="s">
        <v>792</v>
      </c>
      <c r="F406" s="4">
        <v>820</v>
      </c>
      <c r="G406" s="4">
        <v>1000</v>
      </c>
      <c r="H406" s="3">
        <f>IF(G406 = 0, "", F406 / G406)</f>
        <v>0.82</v>
      </c>
      <c r="I406" s="5">
        <f>SUMIFS(G406,C406, C406,E406, E406)</f>
        <v>1000</v>
      </c>
      <c r="J406" s="3">
        <f>IF(I406 = 0, "", G406 / I406)</f>
        <v>1</v>
      </c>
      <c r="K406" s="3" t="b">
        <f>AND(G406 &gt; 0, F406 &gt;= 0, F406 &lt;= G406)</f>
        <v>1</v>
      </c>
    </row>
    <row r="407">
      <c r="A407" s="2" t="s">
        <v>2184</v>
      </c>
      <c r="B407" s="3" t="str">
        <f>A407</f>
        <v>unemployment-education-cycle-non-college-share-B</v>
      </c>
      <c r="C407" s="2" t="s">
        <v>763</v>
      </c>
      <c r="D407" s="2" t="s">
        <v>1743</v>
      </c>
      <c r="E407" s="2" t="s">
        <v>795</v>
      </c>
      <c r="F407" s="4">
        <v>850</v>
      </c>
      <c r="G407" s="4">
        <v>1000</v>
      </c>
      <c r="H407" s="3">
        <f>IF(G407 = 0, "", F407 / G407)</f>
        <v>0.85</v>
      </c>
      <c r="I407" s="5">
        <f>SUMIFS(G407,C407, C407,E407, E407)</f>
        <v>1000</v>
      </c>
      <c r="J407" s="3">
        <f>IF(I407 = 0, "", G407 / I407)</f>
        <v>1</v>
      </c>
      <c r="K407" s="3" t="b">
        <f>AND(G407 &gt; 0, F407 &gt;= 0, F407 &lt;= G407)</f>
        <v>1</v>
      </c>
    </row>
    <row r="408">
      <c r="A408" s="2" t="s">
        <v>2185</v>
      </c>
      <c r="B408" s="3" t="str">
        <f>A408</f>
        <v>costa-rica-us-life-expectancy-under-65-A</v>
      </c>
      <c r="C408" s="2" t="s">
        <v>766</v>
      </c>
      <c r="D408" s="2" t="s">
        <v>1331</v>
      </c>
      <c r="E408" s="2" t="s">
        <v>792</v>
      </c>
      <c r="F408" s="4">
        <v>990</v>
      </c>
      <c r="G408" s="4">
        <v>1000</v>
      </c>
      <c r="H408" s="3">
        <f>IF(G408 = 0, "", F408 / G408)</f>
        <v>0.99</v>
      </c>
      <c r="I408" s="5">
        <f>SUMIFS(G408,C408, C408,E408, E408)</f>
        <v>1000</v>
      </c>
      <c r="J408" s="3">
        <f>IF(I408 = 0, "", G408 / I408)</f>
        <v>1</v>
      </c>
      <c r="K408" s="3" t="b">
        <f>AND(G408 &gt; 0, F408 &gt;= 0, F408 &lt;= G408)</f>
        <v>1</v>
      </c>
    </row>
    <row r="409">
      <c r="A409" s="2" t="s">
        <v>2186</v>
      </c>
      <c r="B409" s="3" t="str">
        <f>A409</f>
        <v>costa-rica-us-life-expectancy-under-65-B</v>
      </c>
      <c r="C409" s="2" t="s">
        <v>766</v>
      </c>
      <c r="D409" s="2" t="s">
        <v>1331</v>
      </c>
      <c r="E409" s="2" t="s">
        <v>795</v>
      </c>
      <c r="F409" s="4">
        <v>985</v>
      </c>
      <c r="G409" s="4">
        <v>1000</v>
      </c>
      <c r="H409" s="3">
        <f>IF(G409 = 0, "", F409 / G409)</f>
        <v>0.985</v>
      </c>
      <c r="I409" s="5">
        <f>SUMIFS(G409,C409, C409,E409, E409)</f>
        <v>1000</v>
      </c>
      <c r="J409" s="3">
        <f>IF(I409 = 0, "", G409 / I409)</f>
        <v>1</v>
      </c>
      <c r="K409" s="3" t="b">
        <f>AND(G409 &gt; 0, F409 &gt;= 0, F409 &lt;= G409)</f>
        <v>1</v>
      </c>
    </row>
    <row r="410">
      <c r="A410" s="2" t="s">
        <v>2187</v>
      </c>
      <c r="B410" s="3" t="str">
        <f>A410</f>
        <v>costa-rica-us-life-expectancy-65-plus-A</v>
      </c>
      <c r="C410" s="2" t="s">
        <v>766</v>
      </c>
      <c r="D410" s="2" t="s">
        <v>1523</v>
      </c>
      <c r="E410" s="2" t="s">
        <v>792</v>
      </c>
      <c r="F410" s="4">
        <v>850</v>
      </c>
      <c r="G410" s="4">
        <v>1000</v>
      </c>
      <c r="H410" s="3">
        <f>IF(G410 = 0, "", F410 / G410)</f>
        <v>0.85</v>
      </c>
      <c r="I410" s="5">
        <f>SUMIFS(G410,C410, C410,E410, E410)</f>
        <v>1000</v>
      </c>
      <c r="J410" s="3">
        <f>IF(I410 = 0, "", G410 / I410)</f>
        <v>1</v>
      </c>
      <c r="K410" s="3" t="b">
        <f>AND(G410 &gt; 0, F410 &gt;= 0, F410 &lt;= G410)</f>
        <v>1</v>
      </c>
    </row>
    <row r="411">
      <c r="A411" s="2" t="s">
        <v>2188</v>
      </c>
      <c r="B411" s="3" t="str">
        <f>A411</f>
        <v>costa-rica-us-life-expectancy-65-plus-B</v>
      </c>
      <c r="C411" s="2" t="s">
        <v>766</v>
      </c>
      <c r="D411" s="2" t="s">
        <v>1523</v>
      </c>
      <c r="E411" s="2" t="s">
        <v>795</v>
      </c>
      <c r="F411" s="4">
        <v>900</v>
      </c>
      <c r="G411" s="4">
        <v>1000</v>
      </c>
      <c r="H411" s="3">
        <f>IF(G411 = 0, "", F411 / G411)</f>
        <v>0.9</v>
      </c>
      <c r="I411" s="5">
        <f>SUMIFS(G411,C411, C411,E411, E411)</f>
        <v>1000</v>
      </c>
      <c r="J411" s="3">
        <f>IF(I411 = 0, "", G411 / I411)</f>
        <v>1</v>
      </c>
      <c r="K411" s="3" t="b">
        <f>AND(G411 &gt; 0, F411 &gt;= 0, F411 &lt;= G411)</f>
        <v>1</v>
      </c>
    </row>
    <row r="412">
      <c r="A412" s="2" t="s">
        <v>2189</v>
      </c>
      <c r="B412" s="3" t="str">
        <f>A412</f>
        <v>fertility-income-country-high-income-countries-A</v>
      </c>
      <c r="C412" s="2" t="s">
        <v>770</v>
      </c>
      <c r="D412" s="2" t="s">
        <v>1750</v>
      </c>
      <c r="E412" s="2" t="s">
        <v>792</v>
      </c>
      <c r="F412" s="4">
        <v>450</v>
      </c>
      <c r="G412" s="4">
        <v>1000</v>
      </c>
      <c r="H412" s="3">
        <f>IF(G412 = 0, "", F412 / G412)</f>
        <v>0.45</v>
      </c>
      <c r="I412" s="5">
        <f>SUMIFS(G412,C412, C412,E412, E412)</f>
        <v>1000</v>
      </c>
      <c r="J412" s="3">
        <f>IF(I412 = 0, "", G412 / I412)</f>
        <v>1</v>
      </c>
      <c r="K412" s="3" t="b">
        <f>AND(G412 &gt; 0, F412 &gt;= 0, F412 &lt;= G412)</f>
        <v>1</v>
      </c>
    </row>
    <row r="413">
      <c r="A413" s="2" t="s">
        <v>2190</v>
      </c>
      <c r="B413" s="3" t="str">
        <f>A413</f>
        <v>fertility-income-country-high-income-countries-B</v>
      </c>
      <c r="C413" s="2" t="s">
        <v>770</v>
      </c>
      <c r="D413" s="2" t="s">
        <v>1750</v>
      </c>
      <c r="E413" s="2" t="s">
        <v>795</v>
      </c>
      <c r="F413" s="4">
        <v>520</v>
      </c>
      <c r="G413" s="4">
        <v>1000</v>
      </c>
      <c r="H413" s="3">
        <f>IF(G413 = 0, "", F413 / G413)</f>
        <v>0.52</v>
      </c>
      <c r="I413" s="5">
        <f>SUMIFS(G413,C413, C413,E413, E413)</f>
        <v>1000</v>
      </c>
      <c r="J413" s="3">
        <f>IF(I413 = 0, "", G413 / I413)</f>
        <v>1</v>
      </c>
      <c r="K413" s="3" t="b">
        <f>AND(G413 &gt; 0, F413 &gt;= 0, F413 &lt;= G413)</f>
        <v>1</v>
      </c>
    </row>
    <row r="414">
      <c r="A414" s="2" t="s">
        <v>2191</v>
      </c>
      <c r="B414" s="3" t="str">
        <f>A414</f>
        <v>fertility-income-country-middle-income-countries-A</v>
      </c>
      <c r="C414" s="2" t="s">
        <v>770</v>
      </c>
      <c r="D414" s="2" t="s">
        <v>1753</v>
      </c>
      <c r="E414" s="2" t="s">
        <v>792</v>
      </c>
      <c r="F414" s="4">
        <v>380</v>
      </c>
      <c r="G414" s="4">
        <v>1000</v>
      </c>
      <c r="H414" s="3">
        <f>IF(G414 = 0, "", F414 / G414)</f>
        <v>0.38</v>
      </c>
      <c r="I414" s="5">
        <f>SUMIFS(G414,C414, C414,E414, E414)</f>
        <v>1000</v>
      </c>
      <c r="J414" s="3">
        <f>IF(I414 = 0, "", G414 / I414)</f>
        <v>1</v>
      </c>
      <c r="K414" s="3" t="b">
        <f>AND(G414 &gt; 0, F414 &gt;= 0, F414 &lt;= G414)</f>
        <v>1</v>
      </c>
    </row>
    <row r="415">
      <c r="A415" s="2" t="s">
        <v>2192</v>
      </c>
      <c r="B415" s="3" t="str">
        <f>A415</f>
        <v>fertility-income-country-middle-income-countries-B</v>
      </c>
      <c r="C415" s="2" t="s">
        <v>770</v>
      </c>
      <c r="D415" s="2" t="s">
        <v>1753</v>
      </c>
      <c r="E415" s="2" t="s">
        <v>795</v>
      </c>
      <c r="F415" s="4">
        <v>350</v>
      </c>
      <c r="G415" s="4">
        <v>1000</v>
      </c>
      <c r="H415" s="3">
        <f>IF(G415 = 0, "", F415 / G415)</f>
        <v>0.35</v>
      </c>
      <c r="I415" s="5">
        <f>SUMIFS(G415,C415, C415,E415, E415)</f>
        <v>1000</v>
      </c>
      <c r="J415" s="3">
        <f>IF(I415 = 0, "", G415 / I415)</f>
        <v>1</v>
      </c>
      <c r="K415" s="3" t="b">
        <f>AND(G415 &gt; 0, F415 &gt;= 0, F415 &lt;= G415)</f>
        <v>1</v>
      </c>
    </row>
    <row r="416">
      <c r="A416" s="2" t="s">
        <v>2193</v>
      </c>
      <c r="B416" s="3" t="str">
        <f>A416</f>
        <v>religiosity-happiness-country-high-gdp-countries-A</v>
      </c>
      <c r="C416" s="2" t="s">
        <v>774</v>
      </c>
      <c r="D416" s="2" t="s">
        <v>1756</v>
      </c>
      <c r="E416" s="2" t="s">
        <v>792</v>
      </c>
      <c r="F416" s="4">
        <v>750</v>
      </c>
      <c r="G416" s="4">
        <v>1000</v>
      </c>
      <c r="H416" s="3">
        <f>IF(G416 = 0, "", F416 / G416)</f>
        <v>0.75</v>
      </c>
      <c r="I416" s="5">
        <f>SUMIFS(G416,C416, C416,E416, E416)</f>
        <v>1000</v>
      </c>
      <c r="J416" s="3">
        <f>IF(I416 = 0, "", G416 / I416)</f>
        <v>1</v>
      </c>
      <c r="K416" s="3" t="b">
        <f>AND(G416 &gt; 0, F416 &gt;= 0, F416 &lt;= G416)</f>
        <v>1</v>
      </c>
    </row>
    <row r="417">
      <c r="A417" s="2" t="s">
        <v>2194</v>
      </c>
      <c r="B417" s="3" t="str">
        <f>A417</f>
        <v>religiosity-happiness-country-high-gdp-countries-B</v>
      </c>
      <c r="C417" s="2" t="s">
        <v>774</v>
      </c>
      <c r="D417" s="2" t="s">
        <v>1756</v>
      </c>
      <c r="E417" s="2" t="s">
        <v>795</v>
      </c>
      <c r="F417" s="4">
        <v>780</v>
      </c>
      <c r="G417" s="4">
        <v>1000</v>
      </c>
      <c r="H417" s="3">
        <f>IF(G417 = 0, "", F417 / G417)</f>
        <v>0.78</v>
      </c>
      <c r="I417" s="5">
        <f>SUMIFS(G417,C417, C417,E417, E417)</f>
        <v>1000</v>
      </c>
      <c r="J417" s="3">
        <f>IF(I417 = 0, "", G417 / I417)</f>
        <v>1</v>
      </c>
      <c r="K417" s="3" t="b">
        <f>AND(G417 &gt; 0, F417 &gt;= 0, F417 &lt;= G417)</f>
        <v>1</v>
      </c>
    </row>
    <row r="418">
      <c r="A418" s="2" t="s">
        <v>2195</v>
      </c>
      <c r="B418" s="3" t="str">
        <f>A418</f>
        <v>religiosity-happiness-country-lower-gdp-countries-A</v>
      </c>
      <c r="C418" s="2" t="s">
        <v>774</v>
      </c>
      <c r="D418" s="2" t="s">
        <v>1759</v>
      </c>
      <c r="E418" s="2" t="s">
        <v>792</v>
      </c>
      <c r="F418" s="4">
        <v>620</v>
      </c>
      <c r="G418" s="4">
        <v>1000</v>
      </c>
      <c r="H418" s="3">
        <f>IF(G418 = 0, "", F418 / G418)</f>
        <v>0.62</v>
      </c>
      <c r="I418" s="5">
        <f>SUMIFS(G418,C418, C418,E418, E418)</f>
        <v>1000</v>
      </c>
      <c r="J418" s="3">
        <f>IF(I418 = 0, "", G418 / I418)</f>
        <v>1</v>
      </c>
      <c r="K418" s="3" t="b">
        <f>AND(G418 &gt; 0, F418 &gt;= 0, F418 &lt;= G418)</f>
        <v>1</v>
      </c>
    </row>
    <row r="419">
      <c r="A419" s="2" t="s">
        <v>2196</v>
      </c>
      <c r="B419" s="3" t="str">
        <f>A419</f>
        <v>religiosity-happiness-country-lower-gdp-countries-B</v>
      </c>
      <c r="C419" s="2" t="s">
        <v>774</v>
      </c>
      <c r="D419" s="2" t="s">
        <v>1759</v>
      </c>
      <c r="E419" s="2" t="s">
        <v>795</v>
      </c>
      <c r="F419" s="4">
        <v>580</v>
      </c>
      <c r="G419" s="4">
        <v>1000</v>
      </c>
      <c r="H419" s="3">
        <f>IF(G419 = 0, "", F419 / G419)</f>
        <v>0.58</v>
      </c>
      <c r="I419" s="5">
        <f>SUMIFS(G419,C419, C419,E419, E419)</f>
        <v>1000</v>
      </c>
      <c r="J419" s="3">
        <f>IF(I419 = 0, "", G419 / I419)</f>
        <v>1</v>
      </c>
      <c r="K419" s="3" t="b">
        <f>AND(G419 &gt; 0, F419 &gt;= 0, F419 &lt;= G419)</f>
        <v>1</v>
      </c>
    </row>
    <row r="420">
      <c r="A420" s="2" t="s">
        <v>2197</v>
      </c>
      <c r="B420" s="3" t="str">
        <f>A420</f>
        <v>voter-turnout-education-state-high-education-states-A</v>
      </c>
      <c r="C420" s="2" t="s">
        <v>778</v>
      </c>
      <c r="D420" s="2" t="s">
        <v>1389</v>
      </c>
      <c r="E420" s="2" t="s">
        <v>792</v>
      </c>
      <c r="F420" s="4">
        <v>780</v>
      </c>
      <c r="G420" s="4">
        <v>1000</v>
      </c>
      <c r="H420" s="3">
        <f>IF(G420 = 0, "", F420 / G420)</f>
        <v>0.78</v>
      </c>
      <c r="I420" s="5">
        <f>SUMIFS(G420,C420, C420,E420, E420)</f>
        <v>1000</v>
      </c>
      <c r="J420" s="3">
        <f>IF(I420 = 0, "", G420 / I420)</f>
        <v>1</v>
      </c>
      <c r="K420" s="3" t="b">
        <f>AND(G420 &gt; 0, F420 &gt;= 0, F420 &lt;= G420)</f>
        <v>1</v>
      </c>
    </row>
    <row r="421">
      <c r="A421" s="2" t="s">
        <v>2198</v>
      </c>
      <c r="B421" s="3" t="str">
        <f>A421</f>
        <v>voter-turnout-education-state-high-education-states-B</v>
      </c>
      <c r="C421" s="2" t="s">
        <v>778</v>
      </c>
      <c r="D421" s="2" t="s">
        <v>1389</v>
      </c>
      <c r="E421" s="2" t="s">
        <v>795</v>
      </c>
      <c r="F421" s="4">
        <v>520</v>
      </c>
      <c r="G421" s="4">
        <v>1000</v>
      </c>
      <c r="H421" s="3">
        <f>IF(G421 = 0, "", F421 / G421)</f>
        <v>0.52</v>
      </c>
      <c r="I421" s="5">
        <f>SUMIFS(G421,C421, C421,E421, E421)</f>
        <v>1000</v>
      </c>
      <c r="J421" s="3">
        <f>IF(I421 = 0, "", G421 / I421)</f>
        <v>1</v>
      </c>
      <c r="K421" s="3" t="b">
        <f>AND(G421 &gt; 0, F421 &gt;= 0, F421 &lt;= G421)</f>
        <v>1</v>
      </c>
    </row>
    <row r="422">
      <c r="A422" s="2" t="s">
        <v>2199</v>
      </c>
      <c r="B422" s="3" t="str">
        <f>A422</f>
        <v>voter-turnout-education-state-lower-education-states-A</v>
      </c>
      <c r="C422" s="2" t="s">
        <v>778</v>
      </c>
      <c r="D422" s="2" t="s">
        <v>1764</v>
      </c>
      <c r="E422" s="2" t="s">
        <v>792</v>
      </c>
      <c r="F422" s="4">
        <v>650</v>
      </c>
      <c r="G422" s="4">
        <v>1000</v>
      </c>
      <c r="H422" s="3">
        <f>IF(G422 = 0, "", F422 / G422)</f>
        <v>0.65</v>
      </c>
      <c r="I422" s="5">
        <f>SUMIFS(G422,C422, C422,E422, E422)</f>
        <v>1000</v>
      </c>
      <c r="J422" s="3">
        <f>IF(I422 = 0, "", G422 / I422)</f>
        <v>1</v>
      </c>
      <c r="K422" s="3" t="b">
        <f>AND(G422 &gt; 0, F422 &gt;= 0, F422 &lt;= G422)</f>
        <v>1</v>
      </c>
    </row>
    <row r="423">
      <c r="A423" s="2" t="s">
        <v>2200</v>
      </c>
      <c r="B423" s="3" t="str">
        <f>A423</f>
        <v>voter-turnout-education-state-lower-education-states-B</v>
      </c>
      <c r="C423" s="2" t="s">
        <v>778</v>
      </c>
      <c r="D423" s="2" t="s">
        <v>1764</v>
      </c>
      <c r="E423" s="2" t="s">
        <v>795</v>
      </c>
      <c r="F423" s="4">
        <v>480</v>
      </c>
      <c r="G423" s="4">
        <v>1000</v>
      </c>
      <c r="H423" s="3">
        <f>IF(G423 = 0, "", F423 / G423)</f>
        <v>0.48</v>
      </c>
      <c r="I423" s="5">
        <f>SUMIFS(G423,C423, C423,E423, E423)</f>
        <v>1000</v>
      </c>
      <c r="J423" s="3">
        <f>IF(I423 = 0, "", G423 / I423)</f>
        <v>1</v>
      </c>
      <c r="K423" s="3" t="b">
        <f>AND(G423 &gt; 0, F423 &gt;= 0, F423 &lt;= G423)</f>
        <v>1</v>
      </c>
    </row>
    <row r="424">
      <c r="A424" s="2" t="s">
        <v>2201</v>
      </c>
      <c r="B424" s="3" t="str">
        <f>A424</f>
        <v>ad-ctr-platform-mix-mobile-traffic-A</v>
      </c>
      <c r="C424" s="2" t="s">
        <v>782</v>
      </c>
      <c r="D424" s="2" t="s">
        <v>1767</v>
      </c>
      <c r="E424" s="2" t="s">
        <v>792</v>
      </c>
      <c r="F424" s="4">
        <v>80</v>
      </c>
      <c r="G424" s="4">
        <v>1000</v>
      </c>
      <c r="H424" s="3">
        <f>IF(G424 = 0, "", F424 / G424)</f>
        <v>0.08</v>
      </c>
      <c r="I424" s="5">
        <f>SUMIFS(G424,C424, C424,E424, E424)</f>
        <v>1000</v>
      </c>
      <c r="J424" s="3">
        <f>IF(I424 = 0, "", G424 / I424)</f>
        <v>1</v>
      </c>
      <c r="K424" s="3" t="b">
        <f>AND(G424 &gt; 0, F424 &gt;= 0, F424 &lt;= G424)</f>
        <v>1</v>
      </c>
    </row>
    <row r="425">
      <c r="A425" s="2" t="s">
        <v>2202</v>
      </c>
      <c r="B425" s="3" t="str">
        <f>A425</f>
        <v>ad-ctr-platform-mix-mobile-traffic-B</v>
      </c>
      <c r="C425" s="2" t="s">
        <v>782</v>
      </c>
      <c r="D425" s="2" t="s">
        <v>1767</v>
      </c>
      <c r="E425" s="2" t="s">
        <v>795</v>
      </c>
      <c r="F425" s="4">
        <v>75</v>
      </c>
      <c r="G425" s="4">
        <v>1000</v>
      </c>
      <c r="H425" s="3">
        <f>IF(G425 = 0, "", F425 / G425)</f>
        <v>0.075</v>
      </c>
      <c r="I425" s="5">
        <f>SUMIFS(G425,C425, C425,E425, E425)</f>
        <v>1000</v>
      </c>
      <c r="J425" s="3">
        <f>IF(I425 = 0, "", G425 / I425)</f>
        <v>1</v>
      </c>
      <c r="K425" s="3" t="b">
        <f>AND(G425 &gt; 0, F425 &gt;= 0, F425 &lt;= G425)</f>
        <v>1</v>
      </c>
    </row>
    <row r="426">
      <c r="A426" s="2" t="s">
        <v>2203</v>
      </c>
      <c r="B426" s="3" t="str">
        <f>A426</f>
        <v>ad-ctr-platform-mix-desktop-traffic-A</v>
      </c>
      <c r="C426" s="2" t="s">
        <v>782</v>
      </c>
      <c r="D426" s="2" t="s">
        <v>1770</v>
      </c>
      <c r="E426" s="2" t="s">
        <v>792</v>
      </c>
      <c r="F426" s="4">
        <v>45</v>
      </c>
      <c r="G426" s="4">
        <v>1000</v>
      </c>
      <c r="H426" s="3">
        <f>IF(G426 = 0, "", F426 / G426)</f>
        <v>0.045</v>
      </c>
      <c r="I426" s="5">
        <f>SUMIFS(G426,C426, C426,E426, E426)</f>
        <v>1000</v>
      </c>
      <c r="J426" s="3">
        <f>IF(I426 = 0, "", G426 / I426)</f>
        <v>1</v>
      </c>
      <c r="K426" s="3" t="b">
        <f>AND(G426 &gt; 0, F426 &gt;= 0, F426 &lt;= G426)</f>
        <v>1</v>
      </c>
    </row>
    <row r="427">
      <c r="A427" s="2" t="s">
        <v>2204</v>
      </c>
      <c r="B427" s="3" t="str">
        <f>A427</f>
        <v>ad-ctr-platform-mix-desktop-traffic-B</v>
      </c>
      <c r="C427" s="2" t="s">
        <v>782</v>
      </c>
      <c r="D427" s="2" t="s">
        <v>1770</v>
      </c>
      <c r="E427" s="2" t="s">
        <v>795</v>
      </c>
      <c r="F427" s="4">
        <v>50</v>
      </c>
      <c r="G427" s="4">
        <v>1000</v>
      </c>
      <c r="H427" s="3">
        <f>IF(G427 = 0, "", F427 / G427)</f>
        <v>0.05</v>
      </c>
      <c r="I427" s="5">
        <f>SUMIFS(G427,C427, C427,E427, E427)</f>
        <v>1000</v>
      </c>
      <c r="J427" s="3">
        <f>IF(I427 = 0, "", G427 / I427)</f>
        <v>1</v>
      </c>
      <c r="K427" s="3" t="b">
        <f>AND(G427 &gt; 0, F427 &gt;= 0, F427 &lt;= G427)</f>
        <v>1</v>
      </c>
    </row>
  </sheetData>
  <autoFilter ref="A1:K1"/>
  <headerFooter/>
  <legacyDrawing r:id="rId1"/>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B427"/>
  <sheetViews>
    <sheetView workbookViewId="0">
      <pane ySplit="1" topLeftCell="A2" state="frozen" activePane="bottomLeft"/>
      <selection pane="bottomLeft" activeCell="A1" sqref="A1"/>
    </sheetView>
  </sheetViews>
  <sheetFormatPr defaultRowHeight="15"/>
  <cols>
    <col min="1" max="1" width="55.79016876220703" customWidth="1"/>
    <col min="2" max="2" width="55.79016876220703" customWidth="1"/>
    <col min="3" max="3" width="33.19231414794922" customWidth="1"/>
    <col min="4" max="4" width="24.531021118164062" customWidth="1"/>
    <col min="5" max="5" width="17.443378448486328" customWidth="1"/>
    <col min="6" max="6" width="18.499021530151367" customWidth="1"/>
    <col min="7" max="7" width="17.443378448486328" customWidth="1"/>
    <col min="8" max="8" width="20.67177391052246" customWidth="1"/>
    <col min="9" max="9" width="19.721357345581055" customWidth="1"/>
    <col min="10" max="10" width="17.443378448486328" customWidth="1"/>
    <col min="11" max="11" width="18.152408599853516" customWidth="1"/>
    <col min="12" max="12" width="19.721357345581055" customWidth="1"/>
    <col min="13" max="13" width="17.443378448486328" customWidth="1"/>
    <col min="14" max="14" width="19.383024215698242" customWidth="1"/>
    <col min="15" max="15" width="17.443378448486328" customWidth="1"/>
    <col min="16" max="16" width="17.443378448486328" customWidth="1"/>
    <col min="17" max="17" width="19.070587158203125" customWidth="1"/>
    <col min="18" max="18" width="17.443378448486328" customWidth="1"/>
    <col min="19" max="19" width="22.120805740356445" customWidth="1"/>
    <col min="20" max="20" width="22.24150276184082" customWidth="1"/>
    <col min="21" max="21" width="22.24150276184082" customWidth="1"/>
    <col min="22" max="22" width="22.417102813720703" customWidth="1"/>
    <col min="23" max="23" width="22.417102813720703" customWidth="1"/>
    <col min="24" max="24" width="19.298635482788086" customWidth="1"/>
    <col min="25" max="25" width="19.298635482788086" customWidth="1"/>
    <col min="26" max="26" width="18.934141159057617" customWidth="1"/>
    <col min="27" max="27" width="19.740009307861328" customWidth="1"/>
    <col min="28" max="28" width="21.693204879760742" customWidth="1"/>
  </cols>
  <sheetData>
    <row r="1">
      <c r="A1" s="1" t="s">
        <v>2205</v>
      </c>
      <c r="B1" s="1" t="s">
        <v>1</v>
      </c>
      <c r="C1" s="1" t="s">
        <v>786</v>
      </c>
      <c r="D1" s="1" t="s">
        <v>1150</v>
      </c>
      <c r="E1" s="1" t="s">
        <v>787</v>
      </c>
      <c r="F1" s="1" t="s">
        <v>2206</v>
      </c>
      <c r="G1" s="1" t="s">
        <v>2207</v>
      </c>
      <c r="H1" s="1" t="s">
        <v>2208</v>
      </c>
      <c r="I1" s="1" t="s">
        <v>2209</v>
      </c>
      <c r="J1" s="1" t="s">
        <v>2210</v>
      </c>
      <c r="K1" s="1" t="s">
        <v>2211</v>
      </c>
      <c r="L1" s="1" t="s">
        <v>2212</v>
      </c>
      <c r="M1" s="1" t="s">
        <v>2213</v>
      </c>
      <c r="N1" s="1" t="s">
        <v>2214</v>
      </c>
      <c r="O1" s="1" t="s">
        <v>2215</v>
      </c>
      <c r="P1" s="1" t="s">
        <v>2216</v>
      </c>
      <c r="Q1" s="1" t="s">
        <v>2217</v>
      </c>
      <c r="R1" s="1" t="s">
        <v>2218</v>
      </c>
      <c r="S1" s="1" t="s">
        <v>2219</v>
      </c>
      <c r="T1" s="1" t="s">
        <v>2220</v>
      </c>
      <c r="U1" s="1" t="s">
        <v>2221</v>
      </c>
      <c r="V1" s="1" t="s">
        <v>2222</v>
      </c>
      <c r="W1" s="1" t="s">
        <v>2223</v>
      </c>
      <c r="X1" s="1" t="s">
        <v>2224</v>
      </c>
      <c r="Y1" s="1" t="s">
        <v>2225</v>
      </c>
      <c r="Z1" s="1" t="s">
        <v>2226</v>
      </c>
      <c r="AA1" s="1" t="s">
        <v>2227</v>
      </c>
      <c r="AB1" s="1" t="s">
        <v>2228</v>
      </c>
    </row>
    <row r="2">
      <c r="A2" s="2" t="s">
        <v>1779</v>
      </c>
      <c r="B2" s="3" t="str">
        <f>A2</f>
        <v>kidney-1986-small-A</v>
      </c>
      <c r="C2" s="2" t="s">
        <v>414</v>
      </c>
      <c r="D2" s="2" t="s">
        <v>1152</v>
      </c>
      <c r="E2" s="2" t="s">
        <v>792</v>
      </c>
      <c r="F2" s="5">
        <f>SUMIFS(CaseCells!F2:F999,CaseCells!C2:C999, C2,CaseCells!D2:D999, D2,CaseCells!E2:E999, E2)</f>
        <v>81</v>
      </c>
      <c r="G2" s="5">
        <f>SUMIFS(CaseCells!G2:G999,CaseCells!C2:C999, C2,CaseCells!D2:D999, D2,CaseCells!E2:E999, E2)</f>
        <v>87</v>
      </c>
      <c r="H2" s="3">
        <f>IF(G2 = 0, "", F2 / G2)</f>
        <v>0.9310344827586207</v>
      </c>
      <c r="I2" s="5">
        <f>SUMIFS(CaseCells!F2:F999,CaseCells!C2:C999, C2,CaseCells!D2:D999, D2,CaseCells!E2:E999, "A")</f>
        <v>81</v>
      </c>
      <c r="J2" s="5">
        <f>SUMIFS(CaseCells!G2:G999,CaseCells!C2:C999, C2,CaseCells!D2:D999, D2,CaseCells!E2:E999, "A")</f>
        <v>87</v>
      </c>
      <c r="K2" s="3">
        <f>IF(J2 = 0, "", I2 / J2)</f>
        <v>0.9310344827586207</v>
      </c>
      <c r="L2" s="5">
        <f>SUMIFS(CaseCells!F2:F999,CaseCells!C2:C999, C2,CaseCells!D2:D999, D2,CaseCells!E2:E999, "B")</f>
        <v>234</v>
      </c>
      <c r="M2" s="5">
        <f>SUMIFS(CaseCells!G2:G999,CaseCells!C2:C999, C2,CaseCells!D2:D999, D2,CaseCells!E2:E999, "B")</f>
        <v>270</v>
      </c>
      <c r="N2" s="3">
        <f>IF(M2 = 0, "", L2 / M2)</f>
        <v>0.8666666666666667</v>
      </c>
      <c r="O2" s="3" t="str">
        <f>IF(K2 &gt; N2, "A", "B")</f>
        <v>A</v>
      </c>
      <c r="P2" s="5">
        <f>SUMIFS(CaseCells!G2:G999,CaseCells!C2:C999, C2)</f>
        <v>700</v>
      </c>
      <c r="Q2" s="5">
        <f>SUMIFS(CaseCells!G2:G999,CaseCells!C2:C999, C2,CaseCells!D2:D999, D2)</f>
        <v>357</v>
      </c>
      <c r="R2" s="3">
        <f>IF(P2 = 0, "", Q2 / P2)</f>
        <v>0.51</v>
      </c>
      <c r="S2" s="3">
        <f>IF(R2 = "", "", R2 * H2)</f>
        <v>0.4748275862068965</v>
      </c>
      <c r="T2" s="5">
        <f>SUMIFS(CaseCells!G2:G999,CaseCells!C2:C999, C2,CaseCells!D2:D999, D2,CaseCells!E2:E999, "A")</f>
        <v>87</v>
      </c>
      <c r="U2" s="5">
        <f>SUMIFS(CaseCells!G2:G999,CaseCells!C2:C999, C2,CaseCells!D2:D999, D2,CaseCells!E2:E999, "B")</f>
        <v>270</v>
      </c>
      <c r="V2" s="5">
        <f>SUMIFS(CaseCells!G2:G999,CaseCells!C2:C999, C2,CaseCells!E2:E999, "A")</f>
        <v>350</v>
      </c>
      <c r="W2" s="5">
        <f>SUMIFS(CaseCells!G2:G999,CaseCells!C2:C999, C2,CaseCells!E2:E999, "B")</f>
        <v>350</v>
      </c>
      <c r="X2" s="3">
        <f>IF(V2 = 0, "", T2 / V2)</f>
        <v>0.24857142857142858</v>
      </c>
      <c r="Y2" s="3">
        <f>IF(W2 = 0, "", U2 / W2)</f>
        <v>0.7714285714285715</v>
      </c>
      <c r="Z2" s="3">
        <f>IF(X2 = "", "", X2 - Y2)</f>
        <v>-0.5228571428571429</v>
      </c>
      <c r="AA2" s="3">
        <f>IF(K2 = "", "", K2 - N2)</f>
        <v>0.06436781609195397</v>
      </c>
      <c r="AB2" s="3">
        <f>IF(AA2 = "", "", AA2 * R2)</f>
        <v>0.03282758620689653</v>
      </c>
    </row>
    <row r="3">
      <c r="A3" s="2" t="s">
        <v>1780</v>
      </c>
      <c r="B3" s="3" t="str">
        <f>A3</f>
        <v>kidney-1986-small-B</v>
      </c>
      <c r="C3" s="2" t="s">
        <v>414</v>
      </c>
      <c r="D3" s="2" t="s">
        <v>1152</v>
      </c>
      <c r="E3" s="2" t="s">
        <v>795</v>
      </c>
      <c r="F3" s="5">
        <f>SUMIFS(CaseCells!F2:F999,CaseCells!C2:C999, C3,CaseCells!D2:D999, D3,CaseCells!E2:E999, E3)</f>
        <v>234</v>
      </c>
      <c r="G3" s="5">
        <f>SUMIFS(CaseCells!G2:G999,CaseCells!C2:C999, C3,CaseCells!D2:D999, D3,CaseCells!E2:E999, E3)</f>
        <v>270</v>
      </c>
      <c r="H3" s="3">
        <f>IF(G3 = 0, "", F3 / G3)</f>
        <v>0.8666666666666667</v>
      </c>
      <c r="I3" s="5">
        <f>SUMIFS(CaseCells!F2:F999,CaseCells!C2:C999, C3,CaseCells!D2:D999, D3,CaseCells!E2:E999, "A")</f>
        <v>81</v>
      </c>
      <c r="J3" s="5">
        <f>SUMIFS(CaseCells!G2:G999,CaseCells!C2:C999, C3,CaseCells!D2:D999, D3,CaseCells!E2:E999, "A")</f>
        <v>87</v>
      </c>
      <c r="K3" s="3">
        <f>IF(J3 = 0, "", I3 / J3)</f>
        <v>0.9310344827586207</v>
      </c>
      <c r="L3" s="5">
        <f>SUMIFS(CaseCells!F2:F999,CaseCells!C2:C999, C3,CaseCells!D2:D999, D3,CaseCells!E2:E999, "B")</f>
        <v>234</v>
      </c>
      <c r="M3" s="5">
        <f>SUMIFS(CaseCells!G2:G999,CaseCells!C2:C999, C3,CaseCells!D2:D999, D3,CaseCells!E2:E999, "B")</f>
        <v>270</v>
      </c>
      <c r="N3" s="3">
        <f>IF(M3 = 0, "", L3 / M3)</f>
        <v>0.8666666666666667</v>
      </c>
      <c r="O3" s="3" t="str">
        <f>IF(K3 &gt; N3, "A", "B")</f>
        <v>A</v>
      </c>
      <c r="P3" s="5">
        <f>SUMIFS(CaseCells!G2:G999,CaseCells!C2:C999, C3)</f>
        <v>700</v>
      </c>
      <c r="Q3" s="5">
        <f>SUMIFS(CaseCells!G2:G999,CaseCells!C2:C999, C3,CaseCells!D2:D999, D3)</f>
        <v>357</v>
      </c>
      <c r="R3" s="3">
        <f>IF(P3 = 0, "", Q3 / P3)</f>
        <v>0.51</v>
      </c>
      <c r="S3" s="3">
        <f>IF(R3 = "", "", R3 * H3)</f>
        <v>0.442</v>
      </c>
      <c r="T3" s="5">
        <f>SUMIFS(CaseCells!G2:G999,CaseCells!C2:C999, C3,CaseCells!D2:D999, D3,CaseCells!E2:E999, "A")</f>
        <v>87</v>
      </c>
      <c r="U3" s="5">
        <f>SUMIFS(CaseCells!G2:G999,CaseCells!C2:C999, C3,CaseCells!D2:D999, D3,CaseCells!E2:E999, "B")</f>
        <v>270</v>
      </c>
      <c r="V3" s="5">
        <f>SUMIFS(CaseCells!G2:G999,CaseCells!C2:C999, C3,CaseCells!E2:E999, "A")</f>
        <v>350</v>
      </c>
      <c r="W3" s="5">
        <f>SUMIFS(CaseCells!G2:G999,CaseCells!C2:C999, C3,CaseCells!E2:E999, "B")</f>
        <v>350</v>
      </c>
      <c r="X3" s="3">
        <f>IF(V3 = 0, "", T3 / V3)</f>
        <v>0.24857142857142858</v>
      </c>
      <c r="Y3" s="3">
        <f>IF(W3 = 0, "", U3 / W3)</f>
        <v>0.7714285714285715</v>
      </c>
      <c r="Z3" s="3">
        <f>IF(X3 = "", "", X3 - Y3)</f>
        <v>-0.5228571428571429</v>
      </c>
      <c r="AA3" s="3">
        <f>IF(K3 = "", "", K3 - N3)</f>
        <v>0.06436781609195397</v>
      </c>
      <c r="AB3" s="3">
        <f>IF(AA3 = "", "", AA3 * R3)</f>
        <v>0.03282758620689653</v>
      </c>
    </row>
    <row r="4">
      <c r="A4" s="2" t="s">
        <v>1781</v>
      </c>
      <c r="B4" s="3" t="str">
        <f>A4</f>
        <v>kidney-1986-large-A</v>
      </c>
      <c r="C4" s="2" t="s">
        <v>414</v>
      </c>
      <c r="D4" s="2" t="s">
        <v>1155</v>
      </c>
      <c r="E4" s="2" t="s">
        <v>792</v>
      </c>
      <c r="F4" s="5">
        <f>SUMIFS(CaseCells!F2:F999,CaseCells!C2:C999, C4,CaseCells!D2:D999, D4,CaseCells!E2:E999, E4)</f>
        <v>192</v>
      </c>
      <c r="G4" s="5">
        <f>SUMIFS(CaseCells!G2:G999,CaseCells!C2:C999, C4,CaseCells!D2:D999, D4,CaseCells!E2:E999, E4)</f>
        <v>263</v>
      </c>
      <c r="H4" s="3">
        <f>IF(G4 = 0, "", F4 / G4)</f>
        <v>0.7300380228136882</v>
      </c>
      <c r="I4" s="5">
        <f>SUMIFS(CaseCells!F2:F999,CaseCells!C2:C999, C4,CaseCells!D2:D999, D4,CaseCells!E2:E999, "A")</f>
        <v>192</v>
      </c>
      <c r="J4" s="5">
        <f>SUMIFS(CaseCells!G2:G999,CaseCells!C2:C999, C4,CaseCells!D2:D999, D4,CaseCells!E2:E999, "A")</f>
        <v>263</v>
      </c>
      <c r="K4" s="3">
        <f>IF(J4 = 0, "", I4 / J4)</f>
        <v>0.7300380228136882</v>
      </c>
      <c r="L4" s="5">
        <f>SUMIFS(CaseCells!F2:F999,CaseCells!C2:C999, C4,CaseCells!D2:D999, D4,CaseCells!E2:E999, "B")</f>
        <v>55</v>
      </c>
      <c r="M4" s="5">
        <f>SUMIFS(CaseCells!G2:G999,CaseCells!C2:C999, C4,CaseCells!D2:D999, D4,CaseCells!E2:E999, "B")</f>
        <v>80</v>
      </c>
      <c r="N4" s="3">
        <f>IF(M4 = 0, "", L4 / M4)</f>
        <v>0.6875</v>
      </c>
      <c r="O4" s="3" t="str">
        <f>IF(K4 &gt; N4, "A", "B")</f>
        <v>A</v>
      </c>
      <c r="P4" s="5">
        <f>SUMIFS(CaseCells!G2:G999,CaseCells!C2:C999, C4)</f>
        <v>700</v>
      </c>
      <c r="Q4" s="5">
        <f>SUMIFS(CaseCells!G2:G999,CaseCells!C2:C999, C4,CaseCells!D2:D999, D4)</f>
        <v>343</v>
      </c>
      <c r="R4" s="3">
        <f>IF(P4 = 0, "", Q4 / P4)</f>
        <v>0.49</v>
      </c>
      <c r="S4" s="3">
        <f>IF(R4 = "", "", R4 * H4)</f>
        <v>0.3577186311787072</v>
      </c>
      <c r="T4" s="5">
        <f>SUMIFS(CaseCells!G2:G999,CaseCells!C2:C999, C4,CaseCells!D2:D999, D4,CaseCells!E2:E999, "A")</f>
        <v>263</v>
      </c>
      <c r="U4" s="5">
        <f>SUMIFS(CaseCells!G2:G999,CaseCells!C2:C999, C4,CaseCells!D2:D999, D4,CaseCells!E2:E999, "B")</f>
        <v>80</v>
      </c>
      <c r="V4" s="5">
        <f>SUMIFS(CaseCells!G2:G999,CaseCells!C2:C999, C4,CaseCells!E2:E999, "A")</f>
        <v>350</v>
      </c>
      <c r="W4" s="5">
        <f>SUMIFS(CaseCells!G2:G999,CaseCells!C2:C999, C4,CaseCells!E2:E999, "B")</f>
        <v>350</v>
      </c>
      <c r="X4" s="3">
        <f>IF(V4 = 0, "", T4 / V4)</f>
        <v>0.7514285714285714</v>
      </c>
      <c r="Y4" s="3">
        <f>IF(W4 = 0, "", U4 / W4)</f>
        <v>0.22857142857142856</v>
      </c>
      <c r="Z4" s="3">
        <f>IF(X4 = "", "", X4 - Y4)</f>
        <v>0.5228571428571429</v>
      </c>
      <c r="AA4" s="3">
        <f>IF(K4 = "", "", K4 - N4)</f>
        <v>0.04253802281368824</v>
      </c>
      <c r="AB4" s="3">
        <f>IF(AA4 = "", "", AA4 * R4)</f>
        <v>0.020843631178707234</v>
      </c>
    </row>
    <row r="5">
      <c r="A5" s="2" t="s">
        <v>1782</v>
      </c>
      <c r="B5" s="3" t="str">
        <f>A5</f>
        <v>kidney-1986-large-B</v>
      </c>
      <c r="C5" s="2" t="s">
        <v>414</v>
      </c>
      <c r="D5" s="2" t="s">
        <v>1155</v>
      </c>
      <c r="E5" s="2" t="s">
        <v>795</v>
      </c>
      <c r="F5" s="5">
        <f>SUMIFS(CaseCells!F2:F999,CaseCells!C2:C999, C5,CaseCells!D2:D999, D5,CaseCells!E2:E999, E5)</f>
        <v>55</v>
      </c>
      <c r="G5" s="5">
        <f>SUMIFS(CaseCells!G2:G999,CaseCells!C2:C999, C5,CaseCells!D2:D999, D5,CaseCells!E2:E999, E5)</f>
        <v>80</v>
      </c>
      <c r="H5" s="3">
        <f>IF(G5 = 0, "", F5 / G5)</f>
        <v>0.6875</v>
      </c>
      <c r="I5" s="5">
        <f>SUMIFS(CaseCells!F2:F999,CaseCells!C2:C999, C5,CaseCells!D2:D999, D5,CaseCells!E2:E999, "A")</f>
        <v>192</v>
      </c>
      <c r="J5" s="5">
        <f>SUMIFS(CaseCells!G2:G999,CaseCells!C2:C999, C5,CaseCells!D2:D999, D5,CaseCells!E2:E999, "A")</f>
        <v>263</v>
      </c>
      <c r="K5" s="3">
        <f>IF(J5 = 0, "", I5 / J5)</f>
        <v>0.7300380228136882</v>
      </c>
      <c r="L5" s="5">
        <f>SUMIFS(CaseCells!F2:F999,CaseCells!C2:C999, C5,CaseCells!D2:D999, D5,CaseCells!E2:E999, "B")</f>
        <v>55</v>
      </c>
      <c r="M5" s="5">
        <f>SUMIFS(CaseCells!G2:G999,CaseCells!C2:C999, C5,CaseCells!D2:D999, D5,CaseCells!E2:E999, "B")</f>
        <v>80</v>
      </c>
      <c r="N5" s="3">
        <f>IF(M5 = 0, "", L5 / M5)</f>
        <v>0.6875</v>
      </c>
      <c r="O5" s="3" t="str">
        <f>IF(K5 &gt; N5, "A", "B")</f>
        <v>A</v>
      </c>
      <c r="P5" s="5">
        <f>SUMIFS(CaseCells!G2:G999,CaseCells!C2:C999, C5)</f>
        <v>700</v>
      </c>
      <c r="Q5" s="5">
        <f>SUMIFS(CaseCells!G2:G999,CaseCells!C2:C999, C5,CaseCells!D2:D999, D5)</f>
        <v>343</v>
      </c>
      <c r="R5" s="3">
        <f>IF(P5 = 0, "", Q5 / P5)</f>
        <v>0.49</v>
      </c>
      <c r="S5" s="3">
        <f>IF(R5 = "", "", R5 * H5)</f>
        <v>0.336875</v>
      </c>
      <c r="T5" s="5">
        <f>SUMIFS(CaseCells!G2:G999,CaseCells!C2:C999, C5,CaseCells!D2:D999, D5,CaseCells!E2:E999, "A")</f>
        <v>263</v>
      </c>
      <c r="U5" s="5">
        <f>SUMIFS(CaseCells!G2:G999,CaseCells!C2:C999, C5,CaseCells!D2:D999, D5,CaseCells!E2:E999, "B")</f>
        <v>80</v>
      </c>
      <c r="V5" s="5">
        <f>SUMIFS(CaseCells!G2:G999,CaseCells!C2:C999, C5,CaseCells!E2:E999, "A")</f>
        <v>350</v>
      </c>
      <c r="W5" s="5">
        <f>SUMIFS(CaseCells!G2:G999,CaseCells!C2:C999, C5,CaseCells!E2:E999, "B")</f>
        <v>350</v>
      </c>
      <c r="X5" s="3">
        <f>IF(V5 = 0, "", T5 / V5)</f>
        <v>0.7514285714285714</v>
      </c>
      <c r="Y5" s="3">
        <f>IF(W5 = 0, "", U5 / W5)</f>
        <v>0.22857142857142856</v>
      </c>
      <c r="Z5" s="3">
        <f>IF(X5 = "", "", X5 - Y5)</f>
        <v>0.5228571428571429</v>
      </c>
      <c r="AA5" s="3">
        <f>IF(K5 = "", "", K5 - N5)</f>
        <v>0.04253802281368824</v>
      </c>
      <c r="AB5" s="3">
        <f>IF(AA5 = "", "", AA5 * R5)</f>
        <v>0.020843631178707234</v>
      </c>
    </row>
    <row r="6">
      <c r="A6" s="2" t="s">
        <v>1783</v>
      </c>
      <c r="B6" s="3" t="str">
        <f>A6</f>
        <v>kidney-balanced-small-A</v>
      </c>
      <c r="C6" s="2" t="s">
        <v>425</v>
      </c>
      <c r="D6" s="2" t="s">
        <v>1152</v>
      </c>
      <c r="E6" s="2" t="s">
        <v>792</v>
      </c>
      <c r="F6" s="5">
        <f>SUMIFS(CaseCells!F2:F999,CaseCells!C2:C999, C6,CaseCells!D2:D999, D6,CaseCells!E2:E999, E6)</f>
        <v>163</v>
      </c>
      <c r="G6" s="5">
        <f>SUMIFS(CaseCells!G2:G999,CaseCells!C2:C999, C6,CaseCells!D2:D999, D6,CaseCells!E2:E999, E6)</f>
        <v>175</v>
      </c>
      <c r="H6" s="3">
        <f>IF(G6 = 0, "", F6 / G6)</f>
        <v>0.9314285714285714</v>
      </c>
      <c r="I6" s="5">
        <f>SUMIFS(CaseCells!F2:F999,CaseCells!C2:C999, C6,CaseCells!D2:D999, D6,CaseCells!E2:E999, "A")</f>
        <v>163</v>
      </c>
      <c r="J6" s="5">
        <f>SUMIFS(CaseCells!G2:G999,CaseCells!C2:C999, C6,CaseCells!D2:D999, D6,CaseCells!E2:E999, "A")</f>
        <v>175</v>
      </c>
      <c r="K6" s="3">
        <f>IF(J6 = 0, "", I6 / J6)</f>
        <v>0.9314285714285714</v>
      </c>
      <c r="L6" s="5">
        <f>SUMIFS(CaseCells!F2:F999,CaseCells!C2:C999, C6,CaseCells!D2:D999, D6,CaseCells!E2:E999, "B")</f>
        <v>152</v>
      </c>
      <c r="M6" s="5">
        <f>SUMIFS(CaseCells!G2:G999,CaseCells!C2:C999, C6,CaseCells!D2:D999, D6,CaseCells!E2:E999, "B")</f>
        <v>175</v>
      </c>
      <c r="N6" s="3">
        <f>IF(M6 = 0, "", L6 / M6)</f>
        <v>0.8685714285714285</v>
      </c>
      <c r="O6" s="3" t="str">
        <f>IF(K6 &gt; N6, "A", "B")</f>
        <v>A</v>
      </c>
      <c r="P6" s="5">
        <f>SUMIFS(CaseCells!G2:G999,CaseCells!C2:C999, C6)</f>
        <v>700</v>
      </c>
      <c r="Q6" s="5">
        <f>SUMIFS(CaseCells!G2:G999,CaseCells!C2:C999, C6,CaseCells!D2:D999, D6)</f>
        <v>350</v>
      </c>
      <c r="R6" s="3">
        <f>IF(P6 = 0, "", Q6 / P6)</f>
        <v>0.5</v>
      </c>
      <c r="S6" s="3">
        <f>IF(R6 = "", "", R6 * H6)</f>
        <v>0.4657142857142857</v>
      </c>
      <c r="T6" s="5">
        <f>SUMIFS(CaseCells!G2:G999,CaseCells!C2:C999, C6,CaseCells!D2:D999, D6,CaseCells!E2:E999, "A")</f>
        <v>175</v>
      </c>
      <c r="U6" s="5">
        <f>SUMIFS(CaseCells!G2:G999,CaseCells!C2:C999, C6,CaseCells!D2:D999, D6,CaseCells!E2:E999, "B")</f>
        <v>175</v>
      </c>
      <c r="V6" s="5">
        <f>SUMIFS(CaseCells!G2:G999,CaseCells!C2:C999, C6,CaseCells!E2:E999, "A")</f>
        <v>350</v>
      </c>
      <c r="W6" s="5">
        <f>SUMIFS(CaseCells!G2:G999,CaseCells!C2:C999, C6,CaseCells!E2:E999, "B")</f>
        <v>350</v>
      </c>
      <c r="X6" s="3">
        <f>IF(V6 = 0, "", T6 / V6)</f>
        <v>0.5</v>
      </c>
      <c r="Y6" s="3">
        <f>IF(W6 = 0, "", U6 / W6)</f>
        <v>0.5</v>
      </c>
      <c r="Z6" s="3">
        <f>IF(X6 = "", "", X6 - Y6)</f>
        <v>0</v>
      </c>
      <c r="AA6" s="3">
        <f>IF(K6 = "", "", K6 - N6)</f>
        <v>0.06285714285714283</v>
      </c>
      <c r="AB6" s="3">
        <f>IF(AA6 = "", "", AA6 * R6)</f>
        <v>0.03142857142857142</v>
      </c>
    </row>
    <row r="7">
      <c r="A7" s="2" t="s">
        <v>1784</v>
      </c>
      <c r="B7" s="3" t="str">
        <f>A7</f>
        <v>kidney-balanced-small-B</v>
      </c>
      <c r="C7" s="2" t="s">
        <v>425</v>
      </c>
      <c r="D7" s="2" t="s">
        <v>1152</v>
      </c>
      <c r="E7" s="2" t="s">
        <v>795</v>
      </c>
      <c r="F7" s="5">
        <f>SUMIFS(CaseCells!F2:F999,CaseCells!C2:C999, C7,CaseCells!D2:D999, D7,CaseCells!E2:E999, E7)</f>
        <v>152</v>
      </c>
      <c r="G7" s="5">
        <f>SUMIFS(CaseCells!G2:G999,CaseCells!C2:C999, C7,CaseCells!D2:D999, D7,CaseCells!E2:E999, E7)</f>
        <v>175</v>
      </c>
      <c r="H7" s="3">
        <f>IF(G7 = 0, "", F7 / G7)</f>
        <v>0.8685714285714285</v>
      </c>
      <c r="I7" s="5">
        <f>SUMIFS(CaseCells!F2:F999,CaseCells!C2:C999, C7,CaseCells!D2:D999, D7,CaseCells!E2:E999, "A")</f>
        <v>163</v>
      </c>
      <c r="J7" s="5">
        <f>SUMIFS(CaseCells!G2:G999,CaseCells!C2:C999, C7,CaseCells!D2:D999, D7,CaseCells!E2:E999, "A")</f>
        <v>175</v>
      </c>
      <c r="K7" s="3">
        <f>IF(J7 = 0, "", I7 / J7)</f>
        <v>0.9314285714285714</v>
      </c>
      <c r="L7" s="5">
        <f>SUMIFS(CaseCells!F2:F999,CaseCells!C2:C999, C7,CaseCells!D2:D999, D7,CaseCells!E2:E999, "B")</f>
        <v>152</v>
      </c>
      <c r="M7" s="5">
        <f>SUMIFS(CaseCells!G2:G999,CaseCells!C2:C999, C7,CaseCells!D2:D999, D7,CaseCells!E2:E999, "B")</f>
        <v>175</v>
      </c>
      <c r="N7" s="3">
        <f>IF(M7 = 0, "", L7 / M7)</f>
        <v>0.8685714285714285</v>
      </c>
      <c r="O7" s="3" t="str">
        <f>IF(K7 &gt; N7, "A", "B")</f>
        <v>A</v>
      </c>
      <c r="P7" s="5">
        <f>SUMIFS(CaseCells!G2:G999,CaseCells!C2:C999, C7)</f>
        <v>700</v>
      </c>
      <c r="Q7" s="5">
        <f>SUMIFS(CaseCells!G2:G999,CaseCells!C2:C999, C7,CaseCells!D2:D999, D7)</f>
        <v>350</v>
      </c>
      <c r="R7" s="3">
        <f>IF(P7 = 0, "", Q7 / P7)</f>
        <v>0.5</v>
      </c>
      <c r="S7" s="3">
        <f>IF(R7 = "", "", R7 * H7)</f>
        <v>0.4342857142857143</v>
      </c>
      <c r="T7" s="5">
        <f>SUMIFS(CaseCells!G2:G999,CaseCells!C2:C999, C7,CaseCells!D2:D999, D7,CaseCells!E2:E999, "A")</f>
        <v>175</v>
      </c>
      <c r="U7" s="5">
        <f>SUMIFS(CaseCells!G2:G999,CaseCells!C2:C999, C7,CaseCells!D2:D999, D7,CaseCells!E2:E999, "B")</f>
        <v>175</v>
      </c>
      <c r="V7" s="5">
        <f>SUMIFS(CaseCells!G2:G999,CaseCells!C2:C999, C7,CaseCells!E2:E999, "A")</f>
        <v>350</v>
      </c>
      <c r="W7" s="5">
        <f>SUMIFS(CaseCells!G2:G999,CaseCells!C2:C999, C7,CaseCells!E2:E999, "B")</f>
        <v>350</v>
      </c>
      <c r="X7" s="3">
        <f>IF(V7 = 0, "", T7 / V7)</f>
        <v>0.5</v>
      </c>
      <c r="Y7" s="3">
        <f>IF(W7 = 0, "", U7 / W7)</f>
        <v>0.5</v>
      </c>
      <c r="Z7" s="3">
        <f>IF(X7 = "", "", X7 - Y7)</f>
        <v>0</v>
      </c>
      <c r="AA7" s="3">
        <f>IF(K7 = "", "", K7 - N7)</f>
        <v>0.06285714285714283</v>
      </c>
      <c r="AB7" s="3">
        <f>IF(AA7 = "", "", AA7 * R7)</f>
        <v>0.03142857142857142</v>
      </c>
    </row>
    <row r="8">
      <c r="A8" s="2" t="s">
        <v>1785</v>
      </c>
      <c r="B8" s="3" t="str">
        <f>A8</f>
        <v>kidney-balanced-large-A</v>
      </c>
      <c r="C8" s="2" t="s">
        <v>425</v>
      </c>
      <c r="D8" s="2" t="s">
        <v>1155</v>
      </c>
      <c r="E8" s="2" t="s">
        <v>792</v>
      </c>
      <c r="F8" s="5">
        <f>SUMIFS(CaseCells!F2:F999,CaseCells!C2:C999, C8,CaseCells!D2:D999, D8,CaseCells!E2:E999, E8)</f>
        <v>128</v>
      </c>
      <c r="G8" s="5">
        <f>SUMIFS(CaseCells!G2:G999,CaseCells!C2:C999, C8,CaseCells!D2:D999, D8,CaseCells!E2:E999, E8)</f>
        <v>175</v>
      </c>
      <c r="H8" s="3">
        <f>IF(G8 = 0, "", F8 / G8)</f>
        <v>0.7314285714285714</v>
      </c>
      <c r="I8" s="5">
        <f>SUMIFS(CaseCells!F2:F999,CaseCells!C2:C999, C8,CaseCells!D2:D999, D8,CaseCells!E2:E999, "A")</f>
        <v>128</v>
      </c>
      <c r="J8" s="5">
        <f>SUMIFS(CaseCells!G2:G999,CaseCells!C2:C999, C8,CaseCells!D2:D999, D8,CaseCells!E2:E999, "A")</f>
        <v>175</v>
      </c>
      <c r="K8" s="3">
        <f>IF(J8 = 0, "", I8 / J8)</f>
        <v>0.7314285714285714</v>
      </c>
      <c r="L8" s="5">
        <f>SUMIFS(CaseCells!F2:F999,CaseCells!C2:C999, C8,CaseCells!D2:D999, D8,CaseCells!E2:E999, "B")</f>
        <v>120</v>
      </c>
      <c r="M8" s="5">
        <f>SUMIFS(CaseCells!G2:G999,CaseCells!C2:C999, C8,CaseCells!D2:D999, D8,CaseCells!E2:E999, "B")</f>
        <v>175</v>
      </c>
      <c r="N8" s="3">
        <f>IF(M8 = 0, "", L8 / M8)</f>
        <v>0.6857142857142857</v>
      </c>
      <c r="O8" s="3" t="str">
        <f>IF(K8 &gt; N8, "A", "B")</f>
        <v>A</v>
      </c>
      <c r="P8" s="5">
        <f>SUMIFS(CaseCells!G2:G999,CaseCells!C2:C999, C8)</f>
        <v>700</v>
      </c>
      <c r="Q8" s="5">
        <f>SUMIFS(CaseCells!G2:G999,CaseCells!C2:C999, C8,CaseCells!D2:D999, D8)</f>
        <v>350</v>
      </c>
      <c r="R8" s="3">
        <f>IF(P8 = 0, "", Q8 / P8)</f>
        <v>0.5</v>
      </c>
      <c r="S8" s="3">
        <f>IF(R8 = "", "", R8 * H8)</f>
        <v>0.3657142857142857</v>
      </c>
      <c r="T8" s="5">
        <f>SUMIFS(CaseCells!G2:G999,CaseCells!C2:C999, C8,CaseCells!D2:D999, D8,CaseCells!E2:E999, "A")</f>
        <v>175</v>
      </c>
      <c r="U8" s="5">
        <f>SUMIFS(CaseCells!G2:G999,CaseCells!C2:C999, C8,CaseCells!D2:D999, D8,CaseCells!E2:E999, "B")</f>
        <v>175</v>
      </c>
      <c r="V8" s="5">
        <f>SUMIFS(CaseCells!G2:G999,CaseCells!C2:C999, C8,CaseCells!E2:E999, "A")</f>
        <v>350</v>
      </c>
      <c r="W8" s="5">
        <f>SUMIFS(CaseCells!G2:G999,CaseCells!C2:C999, C8,CaseCells!E2:E999, "B")</f>
        <v>350</v>
      </c>
      <c r="X8" s="3">
        <f>IF(V8 = 0, "", T8 / V8)</f>
        <v>0.5</v>
      </c>
      <c r="Y8" s="3">
        <f>IF(W8 = 0, "", U8 / W8)</f>
        <v>0.5</v>
      </c>
      <c r="Z8" s="3">
        <f>IF(X8 = "", "", X8 - Y8)</f>
        <v>0</v>
      </c>
      <c r="AA8" s="3">
        <f>IF(K8 = "", "", K8 - N8)</f>
        <v>0.04571428571428571</v>
      </c>
      <c r="AB8" s="3">
        <f>IF(AA8 = "", "", AA8 * R8)</f>
        <v>0.022857142857142854</v>
      </c>
    </row>
    <row r="9">
      <c r="A9" s="2" t="s">
        <v>1786</v>
      </c>
      <c r="B9" s="3" t="str">
        <f>A9</f>
        <v>kidney-balanced-large-B</v>
      </c>
      <c r="C9" s="2" t="s">
        <v>425</v>
      </c>
      <c r="D9" s="2" t="s">
        <v>1155</v>
      </c>
      <c r="E9" s="2" t="s">
        <v>795</v>
      </c>
      <c r="F9" s="5">
        <f>SUMIFS(CaseCells!F2:F999,CaseCells!C2:C999, C9,CaseCells!D2:D999, D9,CaseCells!E2:E999, E9)</f>
        <v>120</v>
      </c>
      <c r="G9" s="5">
        <f>SUMIFS(CaseCells!G2:G999,CaseCells!C2:C999, C9,CaseCells!D2:D999, D9,CaseCells!E2:E999, E9)</f>
        <v>175</v>
      </c>
      <c r="H9" s="3">
        <f>IF(G9 = 0, "", F9 / G9)</f>
        <v>0.6857142857142857</v>
      </c>
      <c r="I9" s="5">
        <f>SUMIFS(CaseCells!F2:F999,CaseCells!C2:C999, C9,CaseCells!D2:D999, D9,CaseCells!E2:E999, "A")</f>
        <v>128</v>
      </c>
      <c r="J9" s="5">
        <f>SUMIFS(CaseCells!G2:G999,CaseCells!C2:C999, C9,CaseCells!D2:D999, D9,CaseCells!E2:E999, "A")</f>
        <v>175</v>
      </c>
      <c r="K9" s="3">
        <f>IF(J9 = 0, "", I9 / J9)</f>
        <v>0.7314285714285714</v>
      </c>
      <c r="L9" s="5">
        <f>SUMIFS(CaseCells!F2:F999,CaseCells!C2:C999, C9,CaseCells!D2:D999, D9,CaseCells!E2:E999, "B")</f>
        <v>120</v>
      </c>
      <c r="M9" s="5">
        <f>SUMIFS(CaseCells!G2:G999,CaseCells!C2:C999, C9,CaseCells!D2:D999, D9,CaseCells!E2:E999, "B")</f>
        <v>175</v>
      </c>
      <c r="N9" s="3">
        <f>IF(M9 = 0, "", L9 / M9)</f>
        <v>0.6857142857142857</v>
      </c>
      <c r="O9" s="3" t="str">
        <f>IF(K9 &gt; N9, "A", "B")</f>
        <v>A</v>
      </c>
      <c r="P9" s="5">
        <f>SUMIFS(CaseCells!G2:G999,CaseCells!C2:C999, C9)</f>
        <v>700</v>
      </c>
      <c r="Q9" s="5">
        <f>SUMIFS(CaseCells!G2:G999,CaseCells!C2:C999, C9,CaseCells!D2:D999, D9)</f>
        <v>350</v>
      </c>
      <c r="R9" s="3">
        <f>IF(P9 = 0, "", Q9 / P9)</f>
        <v>0.5</v>
      </c>
      <c r="S9" s="3">
        <f>IF(R9 = "", "", R9 * H9)</f>
        <v>0.34285714285714286</v>
      </c>
      <c r="T9" s="5">
        <f>SUMIFS(CaseCells!G2:G999,CaseCells!C2:C999, C9,CaseCells!D2:D999, D9,CaseCells!E2:E999, "A")</f>
        <v>175</v>
      </c>
      <c r="U9" s="5">
        <f>SUMIFS(CaseCells!G2:G999,CaseCells!C2:C999, C9,CaseCells!D2:D999, D9,CaseCells!E2:E999, "B")</f>
        <v>175</v>
      </c>
      <c r="V9" s="5">
        <f>SUMIFS(CaseCells!G2:G999,CaseCells!C2:C999, C9,CaseCells!E2:E999, "A")</f>
        <v>350</v>
      </c>
      <c r="W9" s="5">
        <f>SUMIFS(CaseCells!G2:G999,CaseCells!C2:C999, C9,CaseCells!E2:E999, "B")</f>
        <v>350</v>
      </c>
      <c r="X9" s="3">
        <f>IF(V9 = 0, "", T9 / V9)</f>
        <v>0.5</v>
      </c>
      <c r="Y9" s="3">
        <f>IF(W9 = 0, "", U9 / W9)</f>
        <v>0.5</v>
      </c>
      <c r="Z9" s="3">
        <f>IF(X9 = "", "", X9 - Y9)</f>
        <v>0</v>
      </c>
      <c r="AA9" s="3">
        <f>IF(K9 = "", "", K9 - N9)</f>
        <v>0.04571428571428571</v>
      </c>
      <c r="AB9" s="3">
        <f>IF(AA9 = "", "", AA9 * R9)</f>
        <v>0.022857142857142854</v>
      </c>
    </row>
    <row r="10">
      <c r="A10" s="2" t="s">
        <v>1787</v>
      </c>
      <c r="B10" s="3" t="str">
        <f>A10</f>
        <v>balanced-synthetic-easy-A</v>
      </c>
      <c r="C10" s="2" t="s">
        <v>420</v>
      </c>
      <c r="D10" s="2" t="s">
        <v>1162</v>
      </c>
      <c r="E10" s="2" t="s">
        <v>792</v>
      </c>
      <c r="F10" s="5">
        <f>SUMIFS(CaseCells!F2:F999,CaseCells!C2:C999, C10,CaseCells!D2:D999, D10,CaseCells!E2:E999, E10)</f>
        <v>60</v>
      </c>
      <c r="G10" s="5">
        <f>SUMIFS(CaseCells!G2:G999,CaseCells!C2:C999, C10,CaseCells!D2:D999, D10,CaseCells!E2:E999, E10)</f>
        <v>100</v>
      </c>
      <c r="H10" s="3">
        <f>IF(G10 = 0, "", F10 / G10)</f>
        <v>0.6</v>
      </c>
      <c r="I10" s="5">
        <f>SUMIFS(CaseCells!F2:F999,CaseCells!C2:C999, C10,CaseCells!D2:D999, D10,CaseCells!E2:E999, "A")</f>
        <v>60</v>
      </c>
      <c r="J10" s="5">
        <f>SUMIFS(CaseCells!G2:G999,CaseCells!C2:C999, C10,CaseCells!D2:D999, D10,CaseCells!E2:E999, "A")</f>
        <v>100</v>
      </c>
      <c r="K10" s="3">
        <f>IF(J10 = 0, "", I10 / J10)</f>
        <v>0.6</v>
      </c>
      <c r="L10" s="5">
        <f>SUMIFS(CaseCells!F2:F999,CaseCells!C2:C999, C10,CaseCells!D2:D999, D10,CaseCells!E2:E999, "B")</f>
        <v>50</v>
      </c>
      <c r="M10" s="5">
        <f>SUMIFS(CaseCells!G2:G999,CaseCells!C2:C999, C10,CaseCells!D2:D999, D10,CaseCells!E2:E999, "B")</f>
        <v>100</v>
      </c>
      <c r="N10" s="3">
        <f>IF(M10 = 0, "", L10 / M10)</f>
        <v>0.5</v>
      </c>
      <c r="O10" s="3" t="str">
        <f>IF(K10 &gt; N10, "A", "B")</f>
        <v>A</v>
      </c>
      <c r="P10" s="5">
        <f>SUMIFS(CaseCells!G2:G999,CaseCells!C2:C999, C10)</f>
        <v>400</v>
      </c>
      <c r="Q10" s="5">
        <f>SUMIFS(CaseCells!G2:G999,CaseCells!C2:C999, C10,CaseCells!D2:D999, D10)</f>
        <v>200</v>
      </c>
      <c r="R10" s="3">
        <f>IF(P10 = 0, "", Q10 / P10)</f>
        <v>0.5</v>
      </c>
      <c r="S10" s="3">
        <f>IF(R10 = "", "", R10 * H10)</f>
        <v>0.3</v>
      </c>
      <c r="T10" s="5">
        <f>SUMIFS(CaseCells!G2:G999,CaseCells!C2:C999, C10,CaseCells!D2:D999, D10,CaseCells!E2:E999, "A")</f>
        <v>100</v>
      </c>
      <c r="U10" s="5">
        <f>SUMIFS(CaseCells!G2:G999,CaseCells!C2:C999, C10,CaseCells!D2:D999, D10,CaseCells!E2:E999, "B")</f>
        <v>100</v>
      </c>
      <c r="V10" s="5">
        <f>SUMIFS(CaseCells!G2:G999,CaseCells!C2:C999, C10,CaseCells!E2:E999, "A")</f>
        <v>200</v>
      </c>
      <c r="W10" s="5">
        <f>SUMIFS(CaseCells!G2:G999,CaseCells!C2:C999, C10,CaseCells!E2:E999, "B")</f>
        <v>200</v>
      </c>
      <c r="X10" s="3">
        <f>IF(V10 = 0, "", T10 / V10)</f>
        <v>0.5</v>
      </c>
      <c r="Y10" s="3">
        <f>IF(W10 = 0, "", U10 / W10)</f>
        <v>0.5</v>
      </c>
      <c r="Z10" s="3">
        <f>IF(X10 = "", "", X10 - Y10)</f>
        <v>0</v>
      </c>
      <c r="AA10" s="3">
        <f>IF(K10 = "", "", K10 - N10)</f>
        <v>0.09999999999999998</v>
      </c>
      <c r="AB10" s="3">
        <f>IF(AA10 = "", "", AA10 * R10)</f>
        <v>0.04999999999999999</v>
      </c>
    </row>
    <row r="11">
      <c r="A11" s="2" t="s">
        <v>1788</v>
      </c>
      <c r="B11" s="3" t="str">
        <f>A11</f>
        <v>balanced-synthetic-easy-B</v>
      </c>
      <c r="C11" s="2" t="s">
        <v>420</v>
      </c>
      <c r="D11" s="2" t="s">
        <v>1162</v>
      </c>
      <c r="E11" s="2" t="s">
        <v>795</v>
      </c>
      <c r="F11" s="5">
        <f>SUMIFS(CaseCells!F2:F999,CaseCells!C2:C999, C11,CaseCells!D2:D999, D11,CaseCells!E2:E999, E11)</f>
        <v>50</v>
      </c>
      <c r="G11" s="5">
        <f>SUMIFS(CaseCells!G2:G999,CaseCells!C2:C999, C11,CaseCells!D2:D999, D11,CaseCells!E2:E999, E11)</f>
        <v>100</v>
      </c>
      <c r="H11" s="3">
        <f>IF(G11 = 0, "", F11 / G11)</f>
        <v>0.5</v>
      </c>
      <c r="I11" s="5">
        <f>SUMIFS(CaseCells!F2:F999,CaseCells!C2:C999, C11,CaseCells!D2:D999, D11,CaseCells!E2:E999, "A")</f>
        <v>60</v>
      </c>
      <c r="J11" s="5">
        <f>SUMIFS(CaseCells!G2:G999,CaseCells!C2:C999, C11,CaseCells!D2:D999, D11,CaseCells!E2:E999, "A")</f>
        <v>100</v>
      </c>
      <c r="K11" s="3">
        <f>IF(J11 = 0, "", I11 / J11)</f>
        <v>0.6</v>
      </c>
      <c r="L11" s="5">
        <f>SUMIFS(CaseCells!F2:F999,CaseCells!C2:C999, C11,CaseCells!D2:D999, D11,CaseCells!E2:E999, "B")</f>
        <v>50</v>
      </c>
      <c r="M11" s="5">
        <f>SUMIFS(CaseCells!G2:G999,CaseCells!C2:C999, C11,CaseCells!D2:D999, D11,CaseCells!E2:E999, "B")</f>
        <v>100</v>
      </c>
      <c r="N11" s="3">
        <f>IF(M11 = 0, "", L11 / M11)</f>
        <v>0.5</v>
      </c>
      <c r="O11" s="3" t="str">
        <f>IF(K11 &gt; N11, "A", "B")</f>
        <v>A</v>
      </c>
      <c r="P11" s="5">
        <f>SUMIFS(CaseCells!G2:G999,CaseCells!C2:C999, C11)</f>
        <v>400</v>
      </c>
      <c r="Q11" s="5">
        <f>SUMIFS(CaseCells!G2:G999,CaseCells!C2:C999, C11,CaseCells!D2:D999, D11)</f>
        <v>200</v>
      </c>
      <c r="R11" s="3">
        <f>IF(P11 = 0, "", Q11 / P11)</f>
        <v>0.5</v>
      </c>
      <c r="S11" s="3">
        <f>IF(R11 = "", "", R11 * H11)</f>
        <v>0.25</v>
      </c>
      <c r="T11" s="5">
        <f>SUMIFS(CaseCells!G2:G999,CaseCells!C2:C999, C11,CaseCells!D2:D999, D11,CaseCells!E2:E999, "A")</f>
        <v>100</v>
      </c>
      <c r="U11" s="5">
        <f>SUMIFS(CaseCells!G2:G999,CaseCells!C2:C999, C11,CaseCells!D2:D999, D11,CaseCells!E2:E999, "B")</f>
        <v>100</v>
      </c>
      <c r="V11" s="5">
        <f>SUMIFS(CaseCells!G2:G999,CaseCells!C2:C999, C11,CaseCells!E2:E999, "A")</f>
        <v>200</v>
      </c>
      <c r="W11" s="5">
        <f>SUMIFS(CaseCells!G2:G999,CaseCells!C2:C999, C11,CaseCells!E2:E999, "B")</f>
        <v>200</v>
      </c>
      <c r="X11" s="3">
        <f>IF(V11 = 0, "", T11 / V11)</f>
        <v>0.5</v>
      </c>
      <c r="Y11" s="3">
        <f>IF(W11 = 0, "", U11 / W11)</f>
        <v>0.5</v>
      </c>
      <c r="Z11" s="3">
        <f>IF(X11 = "", "", X11 - Y11)</f>
        <v>0</v>
      </c>
      <c r="AA11" s="3">
        <f>IF(K11 = "", "", K11 - N11)</f>
        <v>0.09999999999999998</v>
      </c>
      <c r="AB11" s="3">
        <f>IF(AA11 = "", "", AA11 * R11)</f>
        <v>0.04999999999999999</v>
      </c>
    </row>
    <row r="12">
      <c r="A12" s="2" t="s">
        <v>1789</v>
      </c>
      <c r="B12" s="3" t="str">
        <f>A12</f>
        <v>balanced-synthetic-hard-A</v>
      </c>
      <c r="C12" s="2" t="s">
        <v>420</v>
      </c>
      <c r="D12" s="2" t="s">
        <v>1165</v>
      </c>
      <c r="E12" s="2" t="s">
        <v>792</v>
      </c>
      <c r="F12" s="5">
        <f>SUMIFS(CaseCells!F2:F999,CaseCells!C2:C999, C12,CaseCells!D2:D999, D12,CaseCells!E2:E999, E12)</f>
        <v>60</v>
      </c>
      <c r="G12" s="5">
        <f>SUMIFS(CaseCells!G2:G999,CaseCells!C2:C999, C12,CaseCells!D2:D999, D12,CaseCells!E2:E999, E12)</f>
        <v>100</v>
      </c>
      <c r="H12" s="3">
        <f>IF(G12 = 0, "", F12 / G12)</f>
        <v>0.6</v>
      </c>
      <c r="I12" s="5">
        <f>SUMIFS(CaseCells!F2:F999,CaseCells!C2:C999, C12,CaseCells!D2:D999, D12,CaseCells!E2:E999, "A")</f>
        <v>60</v>
      </c>
      <c r="J12" s="5">
        <f>SUMIFS(CaseCells!G2:G999,CaseCells!C2:C999, C12,CaseCells!D2:D999, D12,CaseCells!E2:E999, "A")</f>
        <v>100</v>
      </c>
      <c r="K12" s="3">
        <f>IF(J12 = 0, "", I12 / J12)</f>
        <v>0.6</v>
      </c>
      <c r="L12" s="5">
        <f>SUMIFS(CaseCells!F2:F999,CaseCells!C2:C999, C12,CaseCells!D2:D999, D12,CaseCells!E2:E999, "B")</f>
        <v>50</v>
      </c>
      <c r="M12" s="5">
        <f>SUMIFS(CaseCells!G2:G999,CaseCells!C2:C999, C12,CaseCells!D2:D999, D12,CaseCells!E2:E999, "B")</f>
        <v>100</v>
      </c>
      <c r="N12" s="3">
        <f>IF(M12 = 0, "", L12 / M12)</f>
        <v>0.5</v>
      </c>
      <c r="O12" s="3" t="str">
        <f>IF(K12 &gt; N12, "A", "B")</f>
        <v>A</v>
      </c>
      <c r="P12" s="5">
        <f>SUMIFS(CaseCells!G2:G999,CaseCells!C2:C999, C12)</f>
        <v>400</v>
      </c>
      <c r="Q12" s="5">
        <f>SUMIFS(CaseCells!G2:G999,CaseCells!C2:C999, C12,CaseCells!D2:D999, D12)</f>
        <v>200</v>
      </c>
      <c r="R12" s="3">
        <f>IF(P12 = 0, "", Q12 / P12)</f>
        <v>0.5</v>
      </c>
      <c r="S12" s="3">
        <f>IF(R12 = "", "", R12 * H12)</f>
        <v>0.3</v>
      </c>
      <c r="T12" s="5">
        <f>SUMIFS(CaseCells!G2:G999,CaseCells!C2:C999, C12,CaseCells!D2:D999, D12,CaseCells!E2:E999, "A")</f>
        <v>100</v>
      </c>
      <c r="U12" s="5">
        <f>SUMIFS(CaseCells!G2:G999,CaseCells!C2:C999, C12,CaseCells!D2:D999, D12,CaseCells!E2:E999, "B")</f>
        <v>100</v>
      </c>
      <c r="V12" s="5">
        <f>SUMIFS(CaseCells!G2:G999,CaseCells!C2:C999, C12,CaseCells!E2:E999, "A")</f>
        <v>200</v>
      </c>
      <c r="W12" s="5">
        <f>SUMIFS(CaseCells!G2:G999,CaseCells!C2:C999, C12,CaseCells!E2:E999, "B")</f>
        <v>200</v>
      </c>
      <c r="X12" s="3">
        <f>IF(V12 = 0, "", T12 / V12)</f>
        <v>0.5</v>
      </c>
      <c r="Y12" s="3">
        <f>IF(W12 = 0, "", U12 / W12)</f>
        <v>0.5</v>
      </c>
      <c r="Z12" s="3">
        <f>IF(X12 = "", "", X12 - Y12)</f>
        <v>0</v>
      </c>
      <c r="AA12" s="3">
        <f>IF(K12 = "", "", K12 - N12)</f>
        <v>0.09999999999999998</v>
      </c>
      <c r="AB12" s="3">
        <f>IF(AA12 = "", "", AA12 * R12)</f>
        <v>0.04999999999999999</v>
      </c>
    </row>
    <row r="13">
      <c r="A13" s="2" t="s">
        <v>1790</v>
      </c>
      <c r="B13" s="3" t="str">
        <f>A13</f>
        <v>balanced-synthetic-hard-B</v>
      </c>
      <c r="C13" s="2" t="s">
        <v>420</v>
      </c>
      <c r="D13" s="2" t="s">
        <v>1165</v>
      </c>
      <c r="E13" s="2" t="s">
        <v>795</v>
      </c>
      <c r="F13" s="5">
        <f>SUMIFS(CaseCells!F2:F999,CaseCells!C2:C999, C13,CaseCells!D2:D999, D13,CaseCells!E2:E999, E13)</f>
        <v>50</v>
      </c>
      <c r="G13" s="5">
        <f>SUMIFS(CaseCells!G2:G999,CaseCells!C2:C999, C13,CaseCells!D2:D999, D13,CaseCells!E2:E999, E13)</f>
        <v>100</v>
      </c>
      <c r="H13" s="3">
        <f>IF(G13 = 0, "", F13 / G13)</f>
        <v>0.5</v>
      </c>
      <c r="I13" s="5">
        <f>SUMIFS(CaseCells!F2:F999,CaseCells!C2:C999, C13,CaseCells!D2:D999, D13,CaseCells!E2:E999, "A")</f>
        <v>60</v>
      </c>
      <c r="J13" s="5">
        <f>SUMIFS(CaseCells!G2:G999,CaseCells!C2:C999, C13,CaseCells!D2:D999, D13,CaseCells!E2:E999, "A")</f>
        <v>100</v>
      </c>
      <c r="K13" s="3">
        <f>IF(J13 = 0, "", I13 / J13)</f>
        <v>0.6</v>
      </c>
      <c r="L13" s="5">
        <f>SUMIFS(CaseCells!F2:F999,CaseCells!C2:C999, C13,CaseCells!D2:D999, D13,CaseCells!E2:E999, "B")</f>
        <v>50</v>
      </c>
      <c r="M13" s="5">
        <f>SUMIFS(CaseCells!G2:G999,CaseCells!C2:C999, C13,CaseCells!D2:D999, D13,CaseCells!E2:E999, "B")</f>
        <v>100</v>
      </c>
      <c r="N13" s="3">
        <f>IF(M13 = 0, "", L13 / M13)</f>
        <v>0.5</v>
      </c>
      <c r="O13" s="3" t="str">
        <f>IF(K13 &gt; N13, "A", "B")</f>
        <v>A</v>
      </c>
      <c r="P13" s="5">
        <f>SUMIFS(CaseCells!G2:G999,CaseCells!C2:C999, C13)</f>
        <v>400</v>
      </c>
      <c r="Q13" s="5">
        <f>SUMIFS(CaseCells!G2:G999,CaseCells!C2:C999, C13,CaseCells!D2:D999, D13)</f>
        <v>200</v>
      </c>
      <c r="R13" s="3">
        <f>IF(P13 = 0, "", Q13 / P13)</f>
        <v>0.5</v>
      </c>
      <c r="S13" s="3">
        <f>IF(R13 = "", "", R13 * H13)</f>
        <v>0.25</v>
      </c>
      <c r="T13" s="5">
        <f>SUMIFS(CaseCells!G2:G999,CaseCells!C2:C999, C13,CaseCells!D2:D999, D13,CaseCells!E2:E999, "A")</f>
        <v>100</v>
      </c>
      <c r="U13" s="5">
        <f>SUMIFS(CaseCells!G2:G999,CaseCells!C2:C999, C13,CaseCells!D2:D999, D13,CaseCells!E2:E999, "B")</f>
        <v>100</v>
      </c>
      <c r="V13" s="5">
        <f>SUMIFS(CaseCells!G2:G999,CaseCells!C2:C999, C13,CaseCells!E2:E999, "A")</f>
        <v>200</v>
      </c>
      <c r="W13" s="5">
        <f>SUMIFS(CaseCells!G2:G999,CaseCells!C2:C999, C13,CaseCells!E2:E999, "B")</f>
        <v>200</v>
      </c>
      <c r="X13" s="3">
        <f>IF(V13 = 0, "", T13 / V13)</f>
        <v>0.5</v>
      </c>
      <c r="Y13" s="3">
        <f>IF(W13 = 0, "", U13 / W13)</f>
        <v>0.5</v>
      </c>
      <c r="Z13" s="3">
        <f>IF(X13 = "", "", X13 - Y13)</f>
        <v>0</v>
      </c>
      <c r="AA13" s="3">
        <f>IF(K13 = "", "", K13 - N13)</f>
        <v>0.09999999999999998</v>
      </c>
      <c r="AB13" s="3">
        <f>IF(AA13 = "", "", AA13 * R13)</f>
        <v>0.04999999999999999</v>
      </c>
    </row>
    <row r="14">
      <c r="A14" s="2" t="s">
        <v>1791</v>
      </c>
      <c r="B14" s="3" t="str">
        <f>A14</f>
        <v>berkeley-1973-dept-A-male</v>
      </c>
      <c r="C14" s="2" t="s">
        <v>428</v>
      </c>
      <c r="D14" s="2" t="s">
        <v>1168</v>
      </c>
      <c r="E14" s="2" t="s">
        <v>792</v>
      </c>
      <c r="F14" s="5">
        <f>SUMIFS(CaseCells!F2:F999,CaseCells!C2:C999, C14,CaseCells!D2:D999, D14,CaseCells!E2:E999, E14)</f>
        <v>512</v>
      </c>
      <c r="G14" s="5">
        <f>SUMIFS(CaseCells!G2:G999,CaseCells!C2:C999, C14,CaseCells!D2:D999, D14,CaseCells!E2:E999, E14)</f>
        <v>825</v>
      </c>
      <c r="H14" s="3">
        <f>IF(G14 = 0, "", F14 / G14)</f>
        <v>0.6206060606060606</v>
      </c>
      <c r="I14" s="5">
        <f>SUMIFS(CaseCells!F2:F999,CaseCells!C2:C999, C14,CaseCells!D2:D999, D14,CaseCells!E2:E999, "A")</f>
        <v>512</v>
      </c>
      <c r="J14" s="5">
        <f>SUMIFS(CaseCells!G2:G999,CaseCells!C2:C999, C14,CaseCells!D2:D999, D14,CaseCells!E2:E999, "A")</f>
        <v>825</v>
      </c>
      <c r="K14" s="3">
        <f>IF(J14 = 0, "", I14 / J14)</f>
        <v>0.6206060606060606</v>
      </c>
      <c r="L14" s="5">
        <f>SUMIFS(CaseCells!F2:F999,CaseCells!C2:C999, C14,CaseCells!D2:D999, D14,CaseCells!E2:E999, "B")</f>
        <v>89</v>
      </c>
      <c r="M14" s="5">
        <f>SUMIFS(CaseCells!G2:G999,CaseCells!C2:C999, C14,CaseCells!D2:D999, D14,CaseCells!E2:E999, "B")</f>
        <v>108</v>
      </c>
      <c r="N14" s="3">
        <f>IF(M14 = 0, "", L14 / M14)</f>
        <v>0.8240740740740741</v>
      </c>
      <c r="O14" s="3" t="str">
        <f>IF(K14 &gt; N14, "A", "B")</f>
        <v>B</v>
      </c>
      <c r="P14" s="5">
        <f>SUMIFS(CaseCells!G2:G999,CaseCells!C2:C999, C14)</f>
        <v>3228</v>
      </c>
      <c r="Q14" s="5">
        <f>SUMIFS(CaseCells!G2:G999,CaseCells!C2:C999, C14,CaseCells!D2:D999, D14)</f>
        <v>933</v>
      </c>
      <c r="R14" s="3">
        <f>IF(P14 = 0, "", Q14 / P14)</f>
        <v>0.28903345724907065</v>
      </c>
      <c r="S14" s="3">
        <f>IF(R14 = "", "", R14 * H14)</f>
        <v>0.17937591528669597</v>
      </c>
      <c r="T14" s="5">
        <f>SUMIFS(CaseCells!G2:G999,CaseCells!C2:C999, C14,CaseCells!D2:D999, D14,CaseCells!E2:E999, "A")</f>
        <v>825</v>
      </c>
      <c r="U14" s="5">
        <f>SUMIFS(CaseCells!G2:G999,CaseCells!C2:C999, C14,CaseCells!D2:D999, D14,CaseCells!E2:E999, "B")</f>
        <v>108</v>
      </c>
      <c r="V14" s="5">
        <f>SUMIFS(CaseCells!G2:G999,CaseCells!C2:C999, C14,CaseCells!E2:E999, "A")</f>
        <v>2127</v>
      </c>
      <c r="W14" s="5">
        <f>SUMIFS(CaseCells!G2:G999,CaseCells!C2:C999, C14,CaseCells!E2:E999, "B")</f>
        <v>1101</v>
      </c>
      <c r="X14" s="3">
        <f>IF(V14 = 0, "", T14 / V14)</f>
        <v>0.38787023977433005</v>
      </c>
      <c r="Y14" s="3">
        <f>IF(W14 = 0, "", U14 / W14)</f>
        <v>0.09809264305177112</v>
      </c>
      <c r="Z14" s="3">
        <f>IF(X14 = "", "", X14 - Y14)</f>
        <v>0.2897775967225589</v>
      </c>
      <c r="AA14" s="3">
        <f>IF(K14 = "", "", K14 - N14)</f>
        <v>-0.20346801346801346</v>
      </c>
      <c r="AB14" s="3">
        <f>IF(AA14 = "", "", AA14 * R14)</f>
        <v>-0.0588090633722604</v>
      </c>
    </row>
    <row r="15">
      <c r="A15" s="2" t="s">
        <v>1792</v>
      </c>
      <c r="B15" s="3" t="str">
        <f>A15</f>
        <v>berkeley-1973-dept-A-female</v>
      </c>
      <c r="C15" s="2" t="s">
        <v>428</v>
      </c>
      <c r="D15" s="2" t="s">
        <v>1168</v>
      </c>
      <c r="E15" s="2" t="s">
        <v>795</v>
      </c>
      <c r="F15" s="5">
        <f>SUMIFS(CaseCells!F2:F999,CaseCells!C2:C999, C15,CaseCells!D2:D999, D15,CaseCells!E2:E999, E15)</f>
        <v>89</v>
      </c>
      <c r="G15" s="5">
        <f>SUMIFS(CaseCells!G2:G999,CaseCells!C2:C999, C15,CaseCells!D2:D999, D15,CaseCells!E2:E999, E15)</f>
        <v>108</v>
      </c>
      <c r="H15" s="3">
        <f>IF(G15 = 0, "", F15 / G15)</f>
        <v>0.8240740740740741</v>
      </c>
      <c r="I15" s="5">
        <f>SUMIFS(CaseCells!F2:F999,CaseCells!C2:C999, C15,CaseCells!D2:D999, D15,CaseCells!E2:E999, "A")</f>
        <v>512</v>
      </c>
      <c r="J15" s="5">
        <f>SUMIFS(CaseCells!G2:G999,CaseCells!C2:C999, C15,CaseCells!D2:D999, D15,CaseCells!E2:E999, "A")</f>
        <v>825</v>
      </c>
      <c r="K15" s="3">
        <f>IF(J15 = 0, "", I15 / J15)</f>
        <v>0.6206060606060606</v>
      </c>
      <c r="L15" s="5">
        <f>SUMIFS(CaseCells!F2:F999,CaseCells!C2:C999, C15,CaseCells!D2:D999, D15,CaseCells!E2:E999, "B")</f>
        <v>89</v>
      </c>
      <c r="M15" s="5">
        <f>SUMIFS(CaseCells!G2:G999,CaseCells!C2:C999, C15,CaseCells!D2:D999, D15,CaseCells!E2:E999, "B")</f>
        <v>108</v>
      </c>
      <c r="N15" s="3">
        <f>IF(M15 = 0, "", L15 / M15)</f>
        <v>0.8240740740740741</v>
      </c>
      <c r="O15" s="3" t="str">
        <f>IF(K15 &gt; N15, "A", "B")</f>
        <v>B</v>
      </c>
      <c r="P15" s="5">
        <f>SUMIFS(CaseCells!G2:G999,CaseCells!C2:C999, C15)</f>
        <v>3228</v>
      </c>
      <c r="Q15" s="5">
        <f>SUMIFS(CaseCells!G2:G999,CaseCells!C2:C999, C15,CaseCells!D2:D999, D15)</f>
        <v>933</v>
      </c>
      <c r="R15" s="3">
        <f>IF(P15 = 0, "", Q15 / P15)</f>
        <v>0.28903345724907065</v>
      </c>
      <c r="S15" s="3">
        <f>IF(R15 = "", "", R15 * H15)</f>
        <v>0.23818497865895635</v>
      </c>
      <c r="T15" s="5">
        <f>SUMIFS(CaseCells!G2:G999,CaseCells!C2:C999, C15,CaseCells!D2:D999, D15,CaseCells!E2:E999, "A")</f>
        <v>825</v>
      </c>
      <c r="U15" s="5">
        <f>SUMIFS(CaseCells!G2:G999,CaseCells!C2:C999, C15,CaseCells!D2:D999, D15,CaseCells!E2:E999, "B")</f>
        <v>108</v>
      </c>
      <c r="V15" s="5">
        <f>SUMIFS(CaseCells!G2:G999,CaseCells!C2:C999, C15,CaseCells!E2:E999, "A")</f>
        <v>2127</v>
      </c>
      <c r="W15" s="5">
        <f>SUMIFS(CaseCells!G2:G999,CaseCells!C2:C999, C15,CaseCells!E2:E999, "B")</f>
        <v>1101</v>
      </c>
      <c r="X15" s="3">
        <f>IF(V15 = 0, "", T15 / V15)</f>
        <v>0.38787023977433005</v>
      </c>
      <c r="Y15" s="3">
        <f>IF(W15 = 0, "", U15 / W15)</f>
        <v>0.09809264305177112</v>
      </c>
      <c r="Z15" s="3">
        <f>IF(X15 = "", "", X15 - Y15)</f>
        <v>0.2897775967225589</v>
      </c>
      <c r="AA15" s="3">
        <f>IF(K15 = "", "", K15 - N15)</f>
        <v>-0.20346801346801346</v>
      </c>
      <c r="AB15" s="3">
        <f>IF(AA15 = "", "", AA15 * R15)</f>
        <v>-0.0588090633722604</v>
      </c>
    </row>
    <row r="16">
      <c r="A16" s="2" t="s">
        <v>1793</v>
      </c>
      <c r="B16" s="3" t="str">
        <f>A16</f>
        <v>berkeley-1973-dept-B-male</v>
      </c>
      <c r="C16" s="2" t="s">
        <v>428</v>
      </c>
      <c r="D16" s="2" t="s">
        <v>1171</v>
      </c>
      <c r="E16" s="2" t="s">
        <v>792</v>
      </c>
      <c r="F16" s="5">
        <f>SUMIFS(CaseCells!F2:F999,CaseCells!C2:C999, C16,CaseCells!D2:D999, D16,CaseCells!E2:E999, E16)</f>
        <v>353</v>
      </c>
      <c r="G16" s="5">
        <f>SUMIFS(CaseCells!G2:G999,CaseCells!C2:C999, C16,CaseCells!D2:D999, D16,CaseCells!E2:E999, E16)</f>
        <v>560</v>
      </c>
      <c r="H16" s="3">
        <f>IF(G16 = 0, "", F16 / G16)</f>
        <v>0.6303571428571428</v>
      </c>
      <c r="I16" s="5">
        <f>SUMIFS(CaseCells!F2:F999,CaseCells!C2:C999, C16,CaseCells!D2:D999, D16,CaseCells!E2:E999, "A")</f>
        <v>353</v>
      </c>
      <c r="J16" s="5">
        <f>SUMIFS(CaseCells!G2:G999,CaseCells!C2:C999, C16,CaseCells!D2:D999, D16,CaseCells!E2:E999, "A")</f>
        <v>560</v>
      </c>
      <c r="K16" s="3">
        <f>IF(J16 = 0, "", I16 / J16)</f>
        <v>0.6303571428571428</v>
      </c>
      <c r="L16" s="5">
        <f>SUMIFS(CaseCells!F2:F999,CaseCells!C2:C999, C16,CaseCells!D2:D999, D16,CaseCells!E2:E999, "B")</f>
        <v>17</v>
      </c>
      <c r="M16" s="5">
        <f>SUMIFS(CaseCells!G2:G999,CaseCells!C2:C999, C16,CaseCells!D2:D999, D16,CaseCells!E2:E999, "B")</f>
        <v>25</v>
      </c>
      <c r="N16" s="3">
        <f>IF(M16 = 0, "", L16 / M16)</f>
        <v>0.68</v>
      </c>
      <c r="O16" s="3" t="str">
        <f>IF(K16 &gt; N16, "A", "B")</f>
        <v>B</v>
      </c>
      <c r="P16" s="5">
        <f>SUMIFS(CaseCells!G2:G999,CaseCells!C2:C999, C16)</f>
        <v>3228</v>
      </c>
      <c r="Q16" s="5">
        <f>SUMIFS(CaseCells!G2:G999,CaseCells!C2:C999, C16,CaseCells!D2:D999, D16)</f>
        <v>585</v>
      </c>
      <c r="R16" s="3">
        <f>IF(P16 = 0, "", Q16 / P16)</f>
        <v>0.1812267657992565</v>
      </c>
      <c r="S16" s="3">
        <f>IF(R16 = "", "", R16 * H16)</f>
        <v>0.1142375862984599</v>
      </c>
      <c r="T16" s="5">
        <f>SUMIFS(CaseCells!G2:G999,CaseCells!C2:C999, C16,CaseCells!D2:D999, D16,CaseCells!E2:E999, "A")</f>
        <v>560</v>
      </c>
      <c r="U16" s="5">
        <f>SUMIFS(CaseCells!G2:G999,CaseCells!C2:C999, C16,CaseCells!D2:D999, D16,CaseCells!E2:E999, "B")</f>
        <v>25</v>
      </c>
      <c r="V16" s="5">
        <f>SUMIFS(CaseCells!G2:G999,CaseCells!C2:C999, C16,CaseCells!E2:E999, "A")</f>
        <v>2127</v>
      </c>
      <c r="W16" s="5">
        <f>SUMIFS(CaseCells!G2:G999,CaseCells!C2:C999, C16,CaseCells!E2:E999, "B")</f>
        <v>1101</v>
      </c>
      <c r="X16" s="3">
        <f>IF(V16 = 0, "", T16 / V16)</f>
        <v>0.2632816173013634</v>
      </c>
      <c r="Y16" s="3">
        <f>IF(W16 = 0, "", U16 / W16)</f>
        <v>0.022706630336058128</v>
      </c>
      <c r="Z16" s="3">
        <f>IF(X16 = "", "", X16 - Y16)</f>
        <v>0.24057498696530527</v>
      </c>
      <c r="AA16" s="3">
        <f>IF(K16 = "", "", K16 - N16)</f>
        <v>-0.04964285714285721</v>
      </c>
      <c r="AB16" s="3">
        <f>IF(AA16 = "", "", AA16 * R16)</f>
        <v>-0.008996614445034532</v>
      </c>
    </row>
    <row r="17">
      <c r="A17" s="2" t="s">
        <v>1794</v>
      </c>
      <c r="B17" s="3" t="str">
        <f>A17</f>
        <v>berkeley-1973-dept-B-female</v>
      </c>
      <c r="C17" s="2" t="s">
        <v>428</v>
      </c>
      <c r="D17" s="2" t="s">
        <v>1171</v>
      </c>
      <c r="E17" s="2" t="s">
        <v>795</v>
      </c>
      <c r="F17" s="5">
        <f>SUMIFS(CaseCells!F2:F999,CaseCells!C2:C999, C17,CaseCells!D2:D999, D17,CaseCells!E2:E999, E17)</f>
        <v>17</v>
      </c>
      <c r="G17" s="5">
        <f>SUMIFS(CaseCells!G2:G999,CaseCells!C2:C999, C17,CaseCells!D2:D999, D17,CaseCells!E2:E999, E17)</f>
        <v>25</v>
      </c>
      <c r="H17" s="3">
        <f>IF(G17 = 0, "", F17 / G17)</f>
        <v>0.68</v>
      </c>
      <c r="I17" s="5">
        <f>SUMIFS(CaseCells!F2:F999,CaseCells!C2:C999, C17,CaseCells!D2:D999, D17,CaseCells!E2:E999, "A")</f>
        <v>353</v>
      </c>
      <c r="J17" s="5">
        <f>SUMIFS(CaseCells!G2:G999,CaseCells!C2:C999, C17,CaseCells!D2:D999, D17,CaseCells!E2:E999, "A")</f>
        <v>560</v>
      </c>
      <c r="K17" s="3">
        <f>IF(J17 = 0, "", I17 / J17)</f>
        <v>0.6303571428571428</v>
      </c>
      <c r="L17" s="5">
        <f>SUMIFS(CaseCells!F2:F999,CaseCells!C2:C999, C17,CaseCells!D2:D999, D17,CaseCells!E2:E999, "B")</f>
        <v>17</v>
      </c>
      <c r="M17" s="5">
        <f>SUMIFS(CaseCells!G2:G999,CaseCells!C2:C999, C17,CaseCells!D2:D999, D17,CaseCells!E2:E999, "B")</f>
        <v>25</v>
      </c>
      <c r="N17" s="3">
        <f>IF(M17 = 0, "", L17 / M17)</f>
        <v>0.68</v>
      </c>
      <c r="O17" s="3" t="str">
        <f>IF(K17 &gt; N17, "A", "B")</f>
        <v>B</v>
      </c>
      <c r="P17" s="5">
        <f>SUMIFS(CaseCells!G2:G999,CaseCells!C2:C999, C17)</f>
        <v>3228</v>
      </c>
      <c r="Q17" s="5">
        <f>SUMIFS(CaseCells!G2:G999,CaseCells!C2:C999, C17,CaseCells!D2:D999, D17)</f>
        <v>585</v>
      </c>
      <c r="R17" s="3">
        <f>IF(P17 = 0, "", Q17 / P17)</f>
        <v>0.1812267657992565</v>
      </c>
      <c r="S17" s="3">
        <f>IF(R17 = "", "", R17 * H17)</f>
        <v>0.12323420074349443</v>
      </c>
      <c r="T17" s="5">
        <f>SUMIFS(CaseCells!G2:G999,CaseCells!C2:C999, C17,CaseCells!D2:D999, D17,CaseCells!E2:E999, "A")</f>
        <v>560</v>
      </c>
      <c r="U17" s="5">
        <f>SUMIFS(CaseCells!G2:G999,CaseCells!C2:C999, C17,CaseCells!D2:D999, D17,CaseCells!E2:E999, "B")</f>
        <v>25</v>
      </c>
      <c r="V17" s="5">
        <f>SUMIFS(CaseCells!G2:G999,CaseCells!C2:C999, C17,CaseCells!E2:E999, "A")</f>
        <v>2127</v>
      </c>
      <c r="W17" s="5">
        <f>SUMIFS(CaseCells!G2:G999,CaseCells!C2:C999, C17,CaseCells!E2:E999, "B")</f>
        <v>1101</v>
      </c>
      <c r="X17" s="3">
        <f>IF(V17 = 0, "", T17 / V17)</f>
        <v>0.2632816173013634</v>
      </c>
      <c r="Y17" s="3">
        <f>IF(W17 = 0, "", U17 / W17)</f>
        <v>0.022706630336058128</v>
      </c>
      <c r="Z17" s="3">
        <f>IF(X17 = "", "", X17 - Y17)</f>
        <v>0.24057498696530527</v>
      </c>
      <c r="AA17" s="3">
        <f>IF(K17 = "", "", K17 - N17)</f>
        <v>-0.04964285714285721</v>
      </c>
      <c r="AB17" s="3">
        <f>IF(AA17 = "", "", AA17 * R17)</f>
        <v>-0.008996614445034532</v>
      </c>
    </row>
    <row r="18">
      <c r="A18" s="2" t="s">
        <v>1795</v>
      </c>
      <c r="B18" s="3" t="str">
        <f>A18</f>
        <v>berkeley-1973-dept-C-male</v>
      </c>
      <c r="C18" s="2" t="s">
        <v>428</v>
      </c>
      <c r="D18" s="2" t="s">
        <v>1174</v>
      </c>
      <c r="E18" s="2" t="s">
        <v>792</v>
      </c>
      <c r="F18" s="5">
        <f>SUMIFS(CaseCells!F2:F999,CaseCells!C2:C999, C18,CaseCells!D2:D999, D18,CaseCells!E2:E999, E18)</f>
        <v>120</v>
      </c>
      <c r="G18" s="5">
        <f>SUMIFS(CaseCells!G2:G999,CaseCells!C2:C999, C18,CaseCells!D2:D999, D18,CaseCells!E2:E999, E18)</f>
        <v>325</v>
      </c>
      <c r="H18" s="3">
        <f>IF(G18 = 0, "", F18 / G18)</f>
        <v>0.36923076923076925</v>
      </c>
      <c r="I18" s="5">
        <f>SUMIFS(CaseCells!F2:F999,CaseCells!C2:C999, C18,CaseCells!D2:D999, D18,CaseCells!E2:E999, "A")</f>
        <v>120</v>
      </c>
      <c r="J18" s="5">
        <f>SUMIFS(CaseCells!G2:G999,CaseCells!C2:C999, C18,CaseCells!D2:D999, D18,CaseCells!E2:E999, "A")</f>
        <v>325</v>
      </c>
      <c r="K18" s="3">
        <f>IF(J18 = 0, "", I18 / J18)</f>
        <v>0.36923076923076925</v>
      </c>
      <c r="L18" s="5">
        <f>SUMIFS(CaseCells!F2:F999,CaseCells!C2:C999, C18,CaseCells!D2:D999, D18,CaseCells!E2:E999, "B")</f>
        <v>202</v>
      </c>
      <c r="M18" s="5">
        <f>SUMIFS(CaseCells!G2:G999,CaseCells!C2:C999, C18,CaseCells!D2:D999, D18,CaseCells!E2:E999, "B")</f>
        <v>593</v>
      </c>
      <c r="N18" s="3">
        <f>IF(M18 = 0, "", L18 / M18)</f>
        <v>0.3406408094435076</v>
      </c>
      <c r="O18" s="3" t="str">
        <f>IF(K18 &gt; N18, "A", "B")</f>
        <v>A</v>
      </c>
      <c r="P18" s="5">
        <f>SUMIFS(CaseCells!G2:G999,CaseCells!C2:C999, C18)</f>
        <v>3228</v>
      </c>
      <c r="Q18" s="5">
        <f>SUMIFS(CaseCells!G2:G999,CaseCells!C2:C999, C18,CaseCells!D2:D999, D18)</f>
        <v>918</v>
      </c>
      <c r="R18" s="3">
        <f>IF(P18 = 0, "", Q18 / P18)</f>
        <v>0.2843866171003718</v>
      </c>
      <c r="S18" s="3">
        <f>IF(R18 = "", "", R18 * H18)</f>
        <v>0.1050042893909065</v>
      </c>
      <c r="T18" s="5">
        <f>SUMIFS(CaseCells!G2:G999,CaseCells!C2:C999, C18,CaseCells!D2:D999, D18,CaseCells!E2:E999, "A")</f>
        <v>325</v>
      </c>
      <c r="U18" s="5">
        <f>SUMIFS(CaseCells!G2:G999,CaseCells!C2:C999, C18,CaseCells!D2:D999, D18,CaseCells!E2:E999, "B")</f>
        <v>593</v>
      </c>
      <c r="V18" s="5">
        <f>SUMIFS(CaseCells!G2:G999,CaseCells!C2:C999, C18,CaseCells!E2:E999, "A")</f>
        <v>2127</v>
      </c>
      <c r="W18" s="5">
        <f>SUMIFS(CaseCells!G2:G999,CaseCells!C2:C999, C18,CaseCells!E2:E999, "B")</f>
        <v>1101</v>
      </c>
      <c r="X18" s="3">
        <f>IF(V18 = 0, "", T18 / V18)</f>
        <v>0.152797367183827</v>
      </c>
      <c r="Y18" s="3">
        <f>IF(W18 = 0, "", U18 / W18)</f>
        <v>0.5386012715712988</v>
      </c>
      <c r="Z18" s="3">
        <f>IF(X18 = "", "", X18 - Y18)</f>
        <v>-0.3858039043874718</v>
      </c>
      <c r="AA18" s="3">
        <f>IF(K18 = "", "", K18 - N18)</f>
        <v>0.028589959787261643</v>
      </c>
      <c r="AB18" s="3">
        <f>IF(AA18 = "", "", AA18 * R18)</f>
        <v>0.008130601946935004</v>
      </c>
    </row>
    <row r="19">
      <c r="A19" s="2" t="s">
        <v>1796</v>
      </c>
      <c r="B19" s="3" t="str">
        <f>A19</f>
        <v>berkeley-1973-dept-C-female</v>
      </c>
      <c r="C19" s="2" t="s">
        <v>428</v>
      </c>
      <c r="D19" s="2" t="s">
        <v>1174</v>
      </c>
      <c r="E19" s="2" t="s">
        <v>795</v>
      </c>
      <c r="F19" s="5">
        <f>SUMIFS(CaseCells!F2:F999,CaseCells!C2:C999, C19,CaseCells!D2:D999, D19,CaseCells!E2:E999, E19)</f>
        <v>202</v>
      </c>
      <c r="G19" s="5">
        <f>SUMIFS(CaseCells!G2:G999,CaseCells!C2:C999, C19,CaseCells!D2:D999, D19,CaseCells!E2:E999, E19)</f>
        <v>593</v>
      </c>
      <c r="H19" s="3">
        <f>IF(G19 = 0, "", F19 / G19)</f>
        <v>0.3406408094435076</v>
      </c>
      <c r="I19" s="5">
        <f>SUMIFS(CaseCells!F2:F999,CaseCells!C2:C999, C19,CaseCells!D2:D999, D19,CaseCells!E2:E999, "A")</f>
        <v>120</v>
      </c>
      <c r="J19" s="5">
        <f>SUMIFS(CaseCells!G2:G999,CaseCells!C2:C999, C19,CaseCells!D2:D999, D19,CaseCells!E2:E999, "A")</f>
        <v>325</v>
      </c>
      <c r="K19" s="3">
        <f>IF(J19 = 0, "", I19 / J19)</f>
        <v>0.36923076923076925</v>
      </c>
      <c r="L19" s="5">
        <f>SUMIFS(CaseCells!F2:F999,CaseCells!C2:C999, C19,CaseCells!D2:D999, D19,CaseCells!E2:E999, "B")</f>
        <v>202</v>
      </c>
      <c r="M19" s="5">
        <f>SUMIFS(CaseCells!G2:G999,CaseCells!C2:C999, C19,CaseCells!D2:D999, D19,CaseCells!E2:E999, "B")</f>
        <v>593</v>
      </c>
      <c r="N19" s="3">
        <f>IF(M19 = 0, "", L19 / M19)</f>
        <v>0.3406408094435076</v>
      </c>
      <c r="O19" s="3" t="str">
        <f>IF(K19 &gt; N19, "A", "B")</f>
        <v>A</v>
      </c>
      <c r="P19" s="5">
        <f>SUMIFS(CaseCells!G2:G999,CaseCells!C2:C999, C19)</f>
        <v>3228</v>
      </c>
      <c r="Q19" s="5">
        <f>SUMIFS(CaseCells!G2:G999,CaseCells!C2:C999, C19,CaseCells!D2:D999, D19)</f>
        <v>918</v>
      </c>
      <c r="R19" s="3">
        <f>IF(P19 = 0, "", Q19 / P19)</f>
        <v>0.2843866171003718</v>
      </c>
      <c r="S19" s="3">
        <f>IF(R19 = "", "", R19 * H19)</f>
        <v>0.0968736874439715</v>
      </c>
      <c r="T19" s="5">
        <f>SUMIFS(CaseCells!G2:G999,CaseCells!C2:C999, C19,CaseCells!D2:D999, D19,CaseCells!E2:E999, "A")</f>
        <v>325</v>
      </c>
      <c r="U19" s="5">
        <f>SUMIFS(CaseCells!G2:G999,CaseCells!C2:C999, C19,CaseCells!D2:D999, D19,CaseCells!E2:E999, "B")</f>
        <v>593</v>
      </c>
      <c r="V19" s="5">
        <f>SUMIFS(CaseCells!G2:G999,CaseCells!C2:C999, C19,CaseCells!E2:E999, "A")</f>
        <v>2127</v>
      </c>
      <c r="W19" s="5">
        <f>SUMIFS(CaseCells!G2:G999,CaseCells!C2:C999, C19,CaseCells!E2:E999, "B")</f>
        <v>1101</v>
      </c>
      <c r="X19" s="3">
        <f>IF(V19 = 0, "", T19 / V19)</f>
        <v>0.152797367183827</v>
      </c>
      <c r="Y19" s="3">
        <f>IF(W19 = 0, "", U19 / W19)</f>
        <v>0.5386012715712988</v>
      </c>
      <c r="Z19" s="3">
        <f>IF(X19 = "", "", X19 - Y19)</f>
        <v>-0.3858039043874718</v>
      </c>
      <c r="AA19" s="3">
        <f>IF(K19 = "", "", K19 - N19)</f>
        <v>0.028589959787261643</v>
      </c>
      <c r="AB19" s="3">
        <f>IF(AA19 = "", "", AA19 * R19)</f>
        <v>0.008130601946935004</v>
      </c>
    </row>
    <row r="20">
      <c r="A20" s="2" t="s">
        <v>1797</v>
      </c>
      <c r="B20" s="3" t="str">
        <f>A20</f>
        <v>berkeley-1973-dept-D-male</v>
      </c>
      <c r="C20" s="2" t="s">
        <v>428</v>
      </c>
      <c r="D20" s="2" t="s">
        <v>1177</v>
      </c>
      <c r="E20" s="2" t="s">
        <v>792</v>
      </c>
      <c r="F20" s="5">
        <f>SUMIFS(CaseCells!F2:F999,CaseCells!C2:C999, C20,CaseCells!D2:D999, D20,CaseCells!E2:E999, E20)</f>
        <v>138</v>
      </c>
      <c r="G20" s="5">
        <f>SUMIFS(CaseCells!G2:G999,CaseCells!C2:C999, C20,CaseCells!D2:D999, D20,CaseCells!E2:E999, E20)</f>
        <v>417</v>
      </c>
      <c r="H20" s="3">
        <f>IF(G20 = 0, "", F20 / G20)</f>
        <v>0.33093525179856115</v>
      </c>
      <c r="I20" s="5">
        <f>SUMIFS(CaseCells!F2:F999,CaseCells!C2:C999, C20,CaseCells!D2:D999, D20,CaseCells!E2:E999, "A")</f>
        <v>138</v>
      </c>
      <c r="J20" s="5">
        <f>SUMIFS(CaseCells!G2:G999,CaseCells!C2:C999, C20,CaseCells!D2:D999, D20,CaseCells!E2:E999, "A")</f>
        <v>417</v>
      </c>
      <c r="K20" s="3">
        <f>IF(J20 = 0, "", I20 / J20)</f>
        <v>0.33093525179856115</v>
      </c>
      <c r="L20" s="5">
        <f>SUMIFS(CaseCells!F2:F999,CaseCells!C2:C999, C20,CaseCells!D2:D999, D20,CaseCells!E2:E999, "B")</f>
        <v>131</v>
      </c>
      <c r="M20" s="5">
        <f>SUMIFS(CaseCells!G2:G999,CaseCells!C2:C999, C20,CaseCells!D2:D999, D20,CaseCells!E2:E999, "B")</f>
        <v>375</v>
      </c>
      <c r="N20" s="3">
        <f>IF(M20 = 0, "", L20 / M20)</f>
        <v>0.34933333333333333</v>
      </c>
      <c r="O20" s="3" t="str">
        <f>IF(K20 &gt; N20, "A", "B")</f>
        <v>B</v>
      </c>
      <c r="P20" s="5">
        <f>SUMIFS(CaseCells!G2:G999,CaseCells!C2:C999, C20)</f>
        <v>3228</v>
      </c>
      <c r="Q20" s="5">
        <f>SUMIFS(CaseCells!G2:G999,CaseCells!C2:C999, C20,CaseCells!D2:D999, D20)</f>
        <v>792</v>
      </c>
      <c r="R20" s="3">
        <f>IF(P20 = 0, "", Q20 / P20)</f>
        <v>0.24535315985130113</v>
      </c>
      <c r="S20" s="3">
        <f>IF(R20 = "", "", R20 * H20)</f>
        <v>0.08119600973496297</v>
      </c>
      <c r="T20" s="5">
        <f>SUMIFS(CaseCells!G2:G999,CaseCells!C2:C999, C20,CaseCells!D2:D999, D20,CaseCells!E2:E999, "A")</f>
        <v>417</v>
      </c>
      <c r="U20" s="5">
        <f>SUMIFS(CaseCells!G2:G999,CaseCells!C2:C999, C20,CaseCells!D2:D999, D20,CaseCells!E2:E999, "B")</f>
        <v>375</v>
      </c>
      <c r="V20" s="5">
        <f>SUMIFS(CaseCells!G2:G999,CaseCells!C2:C999, C20,CaseCells!E2:E999, "A")</f>
        <v>2127</v>
      </c>
      <c r="W20" s="5">
        <f>SUMIFS(CaseCells!G2:G999,CaseCells!C2:C999, C20,CaseCells!E2:E999, "B")</f>
        <v>1101</v>
      </c>
      <c r="X20" s="3">
        <f>IF(V20 = 0, "", T20 / V20)</f>
        <v>0.19605077574047955</v>
      </c>
      <c r="Y20" s="3">
        <f>IF(W20 = 0, "", U20 / W20)</f>
        <v>0.3405994550408719</v>
      </c>
      <c r="Z20" s="3">
        <f>IF(X20 = "", "", X20 - Y20)</f>
        <v>-0.14454867930039236</v>
      </c>
      <c r="AA20" s="3">
        <f>IF(K20 = "", "", K20 - N20)</f>
        <v>-0.01839808153477218</v>
      </c>
      <c r="AB20" s="3">
        <f>IF(AA20 = "", "", AA20 * R20)</f>
        <v>-0.004514027439758231</v>
      </c>
    </row>
    <row r="21">
      <c r="A21" s="2" t="s">
        <v>1798</v>
      </c>
      <c r="B21" s="3" t="str">
        <f>A21</f>
        <v>berkeley-1973-dept-D-female</v>
      </c>
      <c r="C21" s="2" t="s">
        <v>428</v>
      </c>
      <c r="D21" s="2" t="s">
        <v>1177</v>
      </c>
      <c r="E21" s="2" t="s">
        <v>795</v>
      </c>
      <c r="F21" s="5">
        <f>SUMIFS(CaseCells!F2:F999,CaseCells!C2:C999, C21,CaseCells!D2:D999, D21,CaseCells!E2:E999, E21)</f>
        <v>131</v>
      </c>
      <c r="G21" s="5">
        <f>SUMIFS(CaseCells!G2:G999,CaseCells!C2:C999, C21,CaseCells!D2:D999, D21,CaseCells!E2:E999, E21)</f>
        <v>375</v>
      </c>
      <c r="H21" s="3">
        <f>IF(G21 = 0, "", F21 / G21)</f>
        <v>0.34933333333333333</v>
      </c>
      <c r="I21" s="5">
        <f>SUMIFS(CaseCells!F2:F999,CaseCells!C2:C999, C21,CaseCells!D2:D999, D21,CaseCells!E2:E999, "A")</f>
        <v>138</v>
      </c>
      <c r="J21" s="5">
        <f>SUMIFS(CaseCells!G2:G999,CaseCells!C2:C999, C21,CaseCells!D2:D999, D21,CaseCells!E2:E999, "A")</f>
        <v>417</v>
      </c>
      <c r="K21" s="3">
        <f>IF(J21 = 0, "", I21 / J21)</f>
        <v>0.33093525179856115</v>
      </c>
      <c r="L21" s="5">
        <f>SUMIFS(CaseCells!F2:F999,CaseCells!C2:C999, C21,CaseCells!D2:D999, D21,CaseCells!E2:E999, "B")</f>
        <v>131</v>
      </c>
      <c r="M21" s="5">
        <f>SUMIFS(CaseCells!G2:G999,CaseCells!C2:C999, C21,CaseCells!D2:D999, D21,CaseCells!E2:E999, "B")</f>
        <v>375</v>
      </c>
      <c r="N21" s="3">
        <f>IF(M21 = 0, "", L21 / M21)</f>
        <v>0.34933333333333333</v>
      </c>
      <c r="O21" s="3" t="str">
        <f>IF(K21 &gt; N21, "A", "B")</f>
        <v>B</v>
      </c>
      <c r="P21" s="5">
        <f>SUMIFS(CaseCells!G2:G999,CaseCells!C2:C999, C21)</f>
        <v>3228</v>
      </c>
      <c r="Q21" s="5">
        <f>SUMIFS(CaseCells!G2:G999,CaseCells!C2:C999, C21,CaseCells!D2:D999, D21)</f>
        <v>792</v>
      </c>
      <c r="R21" s="3">
        <f>IF(P21 = 0, "", Q21 / P21)</f>
        <v>0.24535315985130113</v>
      </c>
      <c r="S21" s="3">
        <f>IF(R21 = "", "", R21 * H21)</f>
        <v>0.0857100371747212</v>
      </c>
      <c r="T21" s="5">
        <f>SUMIFS(CaseCells!G2:G999,CaseCells!C2:C999, C21,CaseCells!D2:D999, D21,CaseCells!E2:E999, "A")</f>
        <v>417</v>
      </c>
      <c r="U21" s="5">
        <f>SUMIFS(CaseCells!G2:G999,CaseCells!C2:C999, C21,CaseCells!D2:D999, D21,CaseCells!E2:E999, "B")</f>
        <v>375</v>
      </c>
      <c r="V21" s="5">
        <f>SUMIFS(CaseCells!G2:G999,CaseCells!C2:C999, C21,CaseCells!E2:E999, "A")</f>
        <v>2127</v>
      </c>
      <c r="W21" s="5">
        <f>SUMIFS(CaseCells!G2:G999,CaseCells!C2:C999, C21,CaseCells!E2:E999, "B")</f>
        <v>1101</v>
      </c>
      <c r="X21" s="3">
        <f>IF(V21 = 0, "", T21 / V21)</f>
        <v>0.19605077574047955</v>
      </c>
      <c r="Y21" s="3">
        <f>IF(W21 = 0, "", U21 / W21)</f>
        <v>0.3405994550408719</v>
      </c>
      <c r="Z21" s="3">
        <f>IF(X21 = "", "", X21 - Y21)</f>
        <v>-0.14454867930039236</v>
      </c>
      <c r="AA21" s="3">
        <f>IF(K21 = "", "", K21 - N21)</f>
        <v>-0.01839808153477218</v>
      </c>
      <c r="AB21" s="3">
        <f>IF(AA21 = "", "", AA21 * R21)</f>
        <v>-0.004514027439758231</v>
      </c>
    </row>
    <row r="22">
      <c r="A22" s="2" t="s">
        <v>1799</v>
      </c>
      <c r="B22" s="3" t="str">
        <f>A22</f>
        <v>compressed-synthetic-hard-A</v>
      </c>
      <c r="C22" s="2" t="s">
        <v>434</v>
      </c>
      <c r="D22" s="2" t="s">
        <v>1165</v>
      </c>
      <c r="E22" s="2" t="s">
        <v>792</v>
      </c>
      <c r="F22" s="5">
        <f>SUMIFS(CaseCells!F2:F999,CaseCells!C2:C999, C22,CaseCells!D2:D999, D22,CaseCells!E2:E999, E22)</f>
        <v>84</v>
      </c>
      <c r="G22" s="5">
        <f>SUMIFS(CaseCells!G2:G999,CaseCells!C2:C999, C22,CaseCells!D2:D999, D22,CaseCells!E2:E999, E22)</f>
        <v>120</v>
      </c>
      <c r="H22" s="3">
        <f>IF(G22 = 0, "", F22 / G22)</f>
        <v>0.7</v>
      </c>
      <c r="I22" s="5">
        <f>SUMIFS(CaseCells!F2:F999,CaseCells!C2:C999, C22,CaseCells!D2:D999, D22,CaseCells!E2:E999, "A")</f>
        <v>84</v>
      </c>
      <c r="J22" s="5">
        <f>SUMIFS(CaseCells!G2:G999,CaseCells!C2:C999, C22,CaseCells!D2:D999, D22,CaseCells!E2:E999, "A")</f>
        <v>120</v>
      </c>
      <c r="K22" s="3">
        <f>IF(J22 = 0, "", I22 / J22)</f>
        <v>0.7</v>
      </c>
      <c r="L22" s="5">
        <f>SUMIFS(CaseCells!F2:F999,CaseCells!C2:C999, C22,CaseCells!D2:D999, D22,CaseCells!E2:E999, "B")</f>
        <v>48</v>
      </c>
      <c r="M22" s="5">
        <f>SUMIFS(CaseCells!G2:G999,CaseCells!C2:C999, C22,CaseCells!D2:D999, D22,CaseCells!E2:E999, "B")</f>
        <v>80</v>
      </c>
      <c r="N22" s="3">
        <f>IF(M22 = 0, "", L22 / M22)</f>
        <v>0.6</v>
      </c>
      <c r="O22" s="3" t="str">
        <f>IF(K22 &gt; N22, "A", "B")</f>
        <v>A</v>
      </c>
      <c r="P22" s="5">
        <f>SUMIFS(CaseCells!G2:G999,CaseCells!C2:C999, C22)</f>
        <v>400</v>
      </c>
      <c r="Q22" s="5">
        <f>SUMIFS(CaseCells!G2:G999,CaseCells!C2:C999, C22,CaseCells!D2:D999, D22)</f>
        <v>200</v>
      </c>
      <c r="R22" s="3">
        <f>IF(P22 = 0, "", Q22 / P22)</f>
        <v>0.5</v>
      </c>
      <c r="S22" s="3">
        <f>IF(R22 = "", "", R22 * H22)</f>
        <v>0.35</v>
      </c>
      <c r="T22" s="5">
        <f>SUMIFS(CaseCells!G2:G999,CaseCells!C2:C999, C22,CaseCells!D2:D999, D22,CaseCells!E2:E999, "A")</f>
        <v>120</v>
      </c>
      <c r="U22" s="5">
        <f>SUMIFS(CaseCells!G2:G999,CaseCells!C2:C999, C22,CaseCells!D2:D999, D22,CaseCells!E2:E999, "B")</f>
        <v>80</v>
      </c>
      <c r="V22" s="5">
        <f>SUMIFS(CaseCells!G2:G999,CaseCells!C2:C999, C22,CaseCells!E2:E999, "A")</f>
        <v>200</v>
      </c>
      <c r="W22" s="5">
        <f>SUMIFS(CaseCells!G2:G999,CaseCells!C2:C999, C22,CaseCells!E2:E999, "B")</f>
        <v>200</v>
      </c>
      <c r="X22" s="3">
        <f>IF(V22 = 0, "", T22 / V22)</f>
        <v>0.6</v>
      </c>
      <c r="Y22" s="3">
        <f>IF(W22 = 0, "", U22 / W22)</f>
        <v>0.4</v>
      </c>
      <c r="Z22" s="3">
        <f>IF(X22 = "", "", X22 - Y22)</f>
        <v>0.19999999999999996</v>
      </c>
      <c r="AA22" s="3">
        <f>IF(K22 = "", "", K22 - N22)</f>
        <v>0.09999999999999998</v>
      </c>
      <c r="AB22" s="3">
        <f>IF(AA22 = "", "", AA22 * R22)</f>
        <v>0.04999999999999999</v>
      </c>
    </row>
    <row r="23">
      <c r="A23" s="2" t="s">
        <v>1800</v>
      </c>
      <c r="B23" s="3" t="str">
        <f>A23</f>
        <v>compressed-synthetic-hard-B</v>
      </c>
      <c r="C23" s="2" t="s">
        <v>434</v>
      </c>
      <c r="D23" s="2" t="s">
        <v>1165</v>
      </c>
      <c r="E23" s="2" t="s">
        <v>795</v>
      </c>
      <c r="F23" s="5">
        <f>SUMIFS(CaseCells!F2:F999,CaseCells!C2:C999, C23,CaseCells!D2:D999, D23,CaseCells!E2:E999, E23)</f>
        <v>48</v>
      </c>
      <c r="G23" s="5">
        <f>SUMIFS(CaseCells!G2:G999,CaseCells!C2:C999, C23,CaseCells!D2:D999, D23,CaseCells!E2:E999, E23)</f>
        <v>80</v>
      </c>
      <c r="H23" s="3">
        <f>IF(G23 = 0, "", F23 / G23)</f>
        <v>0.6</v>
      </c>
      <c r="I23" s="5">
        <f>SUMIFS(CaseCells!F2:F999,CaseCells!C2:C999, C23,CaseCells!D2:D999, D23,CaseCells!E2:E999, "A")</f>
        <v>84</v>
      </c>
      <c r="J23" s="5">
        <f>SUMIFS(CaseCells!G2:G999,CaseCells!C2:C999, C23,CaseCells!D2:D999, D23,CaseCells!E2:E999, "A")</f>
        <v>120</v>
      </c>
      <c r="K23" s="3">
        <f>IF(J23 = 0, "", I23 / J23)</f>
        <v>0.7</v>
      </c>
      <c r="L23" s="5">
        <f>SUMIFS(CaseCells!F2:F999,CaseCells!C2:C999, C23,CaseCells!D2:D999, D23,CaseCells!E2:E999, "B")</f>
        <v>48</v>
      </c>
      <c r="M23" s="5">
        <f>SUMIFS(CaseCells!G2:G999,CaseCells!C2:C999, C23,CaseCells!D2:D999, D23,CaseCells!E2:E999, "B")</f>
        <v>80</v>
      </c>
      <c r="N23" s="3">
        <f>IF(M23 = 0, "", L23 / M23)</f>
        <v>0.6</v>
      </c>
      <c r="O23" s="3" t="str">
        <f>IF(K23 &gt; N23, "A", "B")</f>
        <v>A</v>
      </c>
      <c r="P23" s="5">
        <f>SUMIFS(CaseCells!G2:G999,CaseCells!C2:C999, C23)</f>
        <v>400</v>
      </c>
      <c r="Q23" s="5">
        <f>SUMIFS(CaseCells!G2:G999,CaseCells!C2:C999, C23,CaseCells!D2:D999, D23)</f>
        <v>200</v>
      </c>
      <c r="R23" s="3">
        <f>IF(P23 = 0, "", Q23 / P23)</f>
        <v>0.5</v>
      </c>
      <c r="S23" s="3">
        <f>IF(R23 = "", "", R23 * H23)</f>
        <v>0.3</v>
      </c>
      <c r="T23" s="5">
        <f>SUMIFS(CaseCells!G2:G999,CaseCells!C2:C999, C23,CaseCells!D2:D999, D23,CaseCells!E2:E999, "A")</f>
        <v>120</v>
      </c>
      <c r="U23" s="5">
        <f>SUMIFS(CaseCells!G2:G999,CaseCells!C2:C999, C23,CaseCells!D2:D999, D23,CaseCells!E2:E999, "B")</f>
        <v>80</v>
      </c>
      <c r="V23" s="5">
        <f>SUMIFS(CaseCells!G2:G999,CaseCells!C2:C999, C23,CaseCells!E2:E999, "A")</f>
        <v>200</v>
      </c>
      <c r="W23" s="5">
        <f>SUMIFS(CaseCells!G2:G999,CaseCells!C2:C999, C23,CaseCells!E2:E999, "B")</f>
        <v>200</v>
      </c>
      <c r="X23" s="3">
        <f>IF(V23 = 0, "", T23 / V23)</f>
        <v>0.6</v>
      </c>
      <c r="Y23" s="3">
        <f>IF(W23 = 0, "", U23 / W23)</f>
        <v>0.4</v>
      </c>
      <c r="Z23" s="3">
        <f>IF(X23 = "", "", X23 - Y23)</f>
        <v>0.19999999999999996</v>
      </c>
      <c r="AA23" s="3">
        <f>IF(K23 = "", "", K23 - N23)</f>
        <v>0.09999999999999998</v>
      </c>
      <c r="AB23" s="3">
        <f>IF(AA23 = "", "", AA23 * R23)</f>
        <v>0.04999999999999999</v>
      </c>
    </row>
    <row r="24">
      <c r="A24" s="2" t="s">
        <v>1801</v>
      </c>
      <c r="B24" s="3" t="str">
        <f>A24</f>
        <v>compressed-synthetic-easy-A</v>
      </c>
      <c r="C24" s="2" t="s">
        <v>434</v>
      </c>
      <c r="D24" s="2" t="s">
        <v>1162</v>
      </c>
      <c r="E24" s="2" t="s">
        <v>792</v>
      </c>
      <c r="F24" s="5">
        <f>SUMIFS(CaseCells!F2:F999,CaseCells!C2:C999, C24,CaseCells!D2:D999, D24,CaseCells!E2:E999, E24)</f>
        <v>72</v>
      </c>
      <c r="G24" s="5">
        <f>SUMIFS(CaseCells!G2:G999,CaseCells!C2:C999, C24,CaseCells!D2:D999, D24,CaseCells!E2:E999, E24)</f>
        <v>80</v>
      </c>
      <c r="H24" s="3">
        <f>IF(G24 = 0, "", F24 / G24)</f>
        <v>0.9</v>
      </c>
      <c r="I24" s="5">
        <f>SUMIFS(CaseCells!F2:F999,CaseCells!C2:C999, C24,CaseCells!D2:D999, D24,CaseCells!E2:E999, "A")</f>
        <v>72</v>
      </c>
      <c r="J24" s="5">
        <f>SUMIFS(CaseCells!G2:G999,CaseCells!C2:C999, C24,CaseCells!D2:D999, D24,CaseCells!E2:E999, "A")</f>
        <v>80</v>
      </c>
      <c r="K24" s="3">
        <f>IF(J24 = 0, "", I24 / J24)</f>
        <v>0.9</v>
      </c>
      <c r="L24" s="5">
        <f>SUMIFS(CaseCells!F2:F999,CaseCells!C2:C999, C24,CaseCells!D2:D999, D24,CaseCells!E2:E999, "B")</f>
        <v>96</v>
      </c>
      <c r="M24" s="5">
        <f>SUMIFS(CaseCells!G2:G999,CaseCells!C2:C999, C24,CaseCells!D2:D999, D24,CaseCells!E2:E999, "B")</f>
        <v>120</v>
      </c>
      <c r="N24" s="3">
        <f>IF(M24 = 0, "", L24 / M24)</f>
        <v>0.8</v>
      </c>
      <c r="O24" s="3" t="str">
        <f>IF(K24 &gt; N24, "A", "B")</f>
        <v>A</v>
      </c>
      <c r="P24" s="5">
        <f>SUMIFS(CaseCells!G2:G999,CaseCells!C2:C999, C24)</f>
        <v>400</v>
      </c>
      <c r="Q24" s="5">
        <f>SUMIFS(CaseCells!G2:G999,CaseCells!C2:C999, C24,CaseCells!D2:D999, D24)</f>
        <v>200</v>
      </c>
      <c r="R24" s="3">
        <f>IF(P24 = 0, "", Q24 / P24)</f>
        <v>0.5</v>
      </c>
      <c r="S24" s="3">
        <f>IF(R24 = "", "", R24 * H24)</f>
        <v>0.45</v>
      </c>
      <c r="T24" s="5">
        <f>SUMIFS(CaseCells!G2:G999,CaseCells!C2:C999, C24,CaseCells!D2:D999, D24,CaseCells!E2:E999, "A")</f>
        <v>80</v>
      </c>
      <c r="U24" s="5">
        <f>SUMIFS(CaseCells!G2:G999,CaseCells!C2:C999, C24,CaseCells!D2:D999, D24,CaseCells!E2:E999, "B")</f>
        <v>120</v>
      </c>
      <c r="V24" s="5">
        <f>SUMIFS(CaseCells!G2:G999,CaseCells!C2:C999, C24,CaseCells!E2:E999, "A")</f>
        <v>200</v>
      </c>
      <c r="W24" s="5">
        <f>SUMIFS(CaseCells!G2:G999,CaseCells!C2:C999, C24,CaseCells!E2:E999, "B")</f>
        <v>200</v>
      </c>
      <c r="X24" s="3">
        <f>IF(V24 = 0, "", T24 / V24)</f>
        <v>0.4</v>
      </c>
      <c r="Y24" s="3">
        <f>IF(W24 = 0, "", U24 / W24)</f>
        <v>0.6</v>
      </c>
      <c r="Z24" s="3">
        <f>IF(X24 = "", "", X24 - Y24)</f>
        <v>-0.19999999999999996</v>
      </c>
      <c r="AA24" s="3">
        <f>IF(K24 = "", "", K24 - N24)</f>
        <v>0.09999999999999998</v>
      </c>
      <c r="AB24" s="3">
        <f>IF(AA24 = "", "", AA24 * R24)</f>
        <v>0.04999999999999999</v>
      </c>
    </row>
    <row r="25">
      <c r="A25" s="2" t="s">
        <v>1802</v>
      </c>
      <c r="B25" s="3" t="str">
        <f>A25</f>
        <v>compressed-synthetic-easy-B</v>
      </c>
      <c r="C25" s="2" t="s">
        <v>434</v>
      </c>
      <c r="D25" s="2" t="s">
        <v>1162</v>
      </c>
      <c r="E25" s="2" t="s">
        <v>795</v>
      </c>
      <c r="F25" s="5">
        <f>SUMIFS(CaseCells!F2:F999,CaseCells!C2:C999, C25,CaseCells!D2:D999, D25,CaseCells!E2:E999, E25)</f>
        <v>96</v>
      </c>
      <c r="G25" s="5">
        <f>SUMIFS(CaseCells!G2:G999,CaseCells!C2:C999, C25,CaseCells!D2:D999, D25,CaseCells!E2:E999, E25)</f>
        <v>120</v>
      </c>
      <c r="H25" s="3">
        <f>IF(G25 = 0, "", F25 / G25)</f>
        <v>0.8</v>
      </c>
      <c r="I25" s="5">
        <f>SUMIFS(CaseCells!F2:F999,CaseCells!C2:C999, C25,CaseCells!D2:D999, D25,CaseCells!E2:E999, "A")</f>
        <v>72</v>
      </c>
      <c r="J25" s="5">
        <f>SUMIFS(CaseCells!G2:G999,CaseCells!C2:C999, C25,CaseCells!D2:D999, D25,CaseCells!E2:E999, "A")</f>
        <v>80</v>
      </c>
      <c r="K25" s="3">
        <f>IF(J25 = 0, "", I25 / J25)</f>
        <v>0.9</v>
      </c>
      <c r="L25" s="5">
        <f>SUMIFS(CaseCells!F2:F999,CaseCells!C2:C999, C25,CaseCells!D2:D999, D25,CaseCells!E2:E999, "B")</f>
        <v>96</v>
      </c>
      <c r="M25" s="5">
        <f>SUMIFS(CaseCells!G2:G999,CaseCells!C2:C999, C25,CaseCells!D2:D999, D25,CaseCells!E2:E999, "B")</f>
        <v>120</v>
      </c>
      <c r="N25" s="3">
        <f>IF(M25 = 0, "", L25 / M25)</f>
        <v>0.8</v>
      </c>
      <c r="O25" s="3" t="str">
        <f>IF(K25 &gt; N25, "A", "B")</f>
        <v>A</v>
      </c>
      <c r="P25" s="5">
        <f>SUMIFS(CaseCells!G2:G999,CaseCells!C2:C999, C25)</f>
        <v>400</v>
      </c>
      <c r="Q25" s="5">
        <f>SUMIFS(CaseCells!G2:G999,CaseCells!C2:C999, C25,CaseCells!D2:D999, D25)</f>
        <v>200</v>
      </c>
      <c r="R25" s="3">
        <f>IF(P25 = 0, "", Q25 / P25)</f>
        <v>0.5</v>
      </c>
      <c r="S25" s="3">
        <f>IF(R25 = "", "", R25 * H25)</f>
        <v>0.4</v>
      </c>
      <c r="T25" s="5">
        <f>SUMIFS(CaseCells!G2:G999,CaseCells!C2:C999, C25,CaseCells!D2:D999, D25,CaseCells!E2:E999, "A")</f>
        <v>80</v>
      </c>
      <c r="U25" s="5">
        <f>SUMIFS(CaseCells!G2:G999,CaseCells!C2:C999, C25,CaseCells!D2:D999, D25,CaseCells!E2:E999, "B")</f>
        <v>120</v>
      </c>
      <c r="V25" s="5">
        <f>SUMIFS(CaseCells!G2:G999,CaseCells!C2:C999, C25,CaseCells!E2:E999, "A")</f>
        <v>200</v>
      </c>
      <c r="W25" s="5">
        <f>SUMIFS(CaseCells!G2:G999,CaseCells!C2:C999, C25,CaseCells!E2:E999, "B")</f>
        <v>200</v>
      </c>
      <c r="X25" s="3">
        <f>IF(V25 = 0, "", T25 / V25)</f>
        <v>0.4</v>
      </c>
      <c r="Y25" s="3">
        <f>IF(W25 = 0, "", U25 / W25)</f>
        <v>0.6</v>
      </c>
      <c r="Z25" s="3">
        <f>IF(X25 = "", "", X25 - Y25)</f>
        <v>-0.19999999999999996</v>
      </c>
      <c r="AA25" s="3">
        <f>IF(K25 = "", "", K25 - N25)</f>
        <v>0.09999999999999998</v>
      </c>
      <c r="AB25" s="3">
        <f>IF(AA25 = "", "", AA25 * R25)</f>
        <v>0.04999999999999999</v>
      </c>
    </row>
    <row r="26">
      <c r="A26" s="2" t="s">
        <v>1803</v>
      </c>
      <c r="B26" s="3" t="str">
        <f>A26</f>
        <v>reintjes-2000-low-A</v>
      </c>
      <c r="C26" s="2" t="s">
        <v>437</v>
      </c>
      <c r="D26" s="2" t="s">
        <v>1184</v>
      </c>
      <c r="E26" s="2" t="s">
        <v>792</v>
      </c>
      <c r="F26" s="5">
        <f>SUMIFS(CaseCells!F2:F999,CaseCells!C2:C999, C26,CaseCells!D2:D999, D26,CaseCells!E2:E999, E26)</f>
        <v>20</v>
      </c>
      <c r="G26" s="5">
        <f>SUMIFS(CaseCells!G2:G999,CaseCells!C2:C999, C26,CaseCells!D2:D999, D26,CaseCells!E2:E999, E26)</f>
        <v>1113</v>
      </c>
      <c r="H26" s="3">
        <f>IF(G26 = 0, "", F26 / G26)</f>
        <v>0.017969451931716084</v>
      </c>
      <c r="I26" s="5">
        <f>SUMIFS(CaseCells!F2:F999,CaseCells!C2:C999, C26,CaseCells!D2:D999, D26,CaseCells!E2:E999, "A")</f>
        <v>20</v>
      </c>
      <c r="J26" s="5">
        <f>SUMIFS(CaseCells!G2:G999,CaseCells!C2:C999, C26,CaseCells!D2:D999, D26,CaseCells!E2:E999, "A")</f>
        <v>1113</v>
      </c>
      <c r="K26" s="3">
        <f>IF(J26 = 0, "", I26 / J26)</f>
        <v>0.017969451931716084</v>
      </c>
      <c r="L26" s="5">
        <f>SUMIFS(CaseCells!F2:F999,CaseCells!C2:C999, C26,CaseCells!D2:D999, D26,CaseCells!E2:E999, "B")</f>
        <v>5</v>
      </c>
      <c r="M26" s="5">
        <f>SUMIFS(CaseCells!G2:G999,CaseCells!C2:C999, C26,CaseCells!D2:D999, D26,CaseCells!E2:E999, "B")</f>
        <v>720</v>
      </c>
      <c r="N26" s="3">
        <f>IF(M26 = 0, "", L26 / M26)</f>
        <v>0.006944444444444444</v>
      </c>
      <c r="O26" s="3" t="str">
        <f>IF(K26 &gt; N26, "A", "B")</f>
        <v>A</v>
      </c>
      <c r="P26" s="5">
        <f>SUMIFS(CaseCells!G2:G999,CaseCells!C2:C999, C26)</f>
        <v>3519</v>
      </c>
      <c r="Q26" s="5">
        <f>SUMIFS(CaseCells!G2:G999,CaseCells!C2:C999, C26,CaseCells!D2:D999, D26)</f>
        <v>1833</v>
      </c>
      <c r="R26" s="3">
        <f>IF(P26 = 0, "", Q26 / P26)</f>
        <v>0.5208866155157715</v>
      </c>
      <c r="S26" s="3">
        <f>IF(R26 = "", "", R26 * H26)</f>
        <v>0.009360046999384935</v>
      </c>
      <c r="T26" s="5">
        <f>SUMIFS(CaseCells!G2:G999,CaseCells!C2:C999, C26,CaseCells!D2:D999, D26,CaseCells!E2:E999, "A")</f>
        <v>1113</v>
      </c>
      <c r="U26" s="5">
        <f>SUMIFS(CaseCells!G2:G999,CaseCells!C2:C999, C26,CaseCells!D2:D999, D26,CaseCells!E2:E999, "B")</f>
        <v>720</v>
      </c>
      <c r="V26" s="5">
        <f>SUMIFS(CaseCells!G2:G999,CaseCells!C2:C999, C26,CaseCells!E2:E999, "A")</f>
        <v>1279</v>
      </c>
      <c r="W26" s="5">
        <f>SUMIFS(CaseCells!G2:G999,CaseCells!C2:C999, C26,CaseCells!E2:E999, "B")</f>
        <v>2240</v>
      </c>
      <c r="X26" s="3">
        <f>IF(V26 = 0, "", T26 / V26)</f>
        <v>0.8702111024237685</v>
      </c>
      <c r="Y26" s="3">
        <f>IF(W26 = 0, "", U26 / W26)</f>
        <v>0.32142857142857145</v>
      </c>
      <c r="Z26" s="3">
        <f>IF(X26 = "", "", X26 - Y26)</f>
        <v>0.548782530995197</v>
      </c>
      <c r="AA26" s="3">
        <f>IF(K26 = "", "", K26 - N26)</f>
        <v>0.01102500748727164</v>
      </c>
      <c r="AB26" s="3">
        <f>IF(AA26 = "", "", AA26 * R26)</f>
        <v>0.005742778836080965</v>
      </c>
    </row>
    <row r="27">
      <c r="A27" s="2" t="s">
        <v>1804</v>
      </c>
      <c r="B27" s="3" t="str">
        <f>A27</f>
        <v>reintjes-2000-low-B</v>
      </c>
      <c r="C27" s="2" t="s">
        <v>437</v>
      </c>
      <c r="D27" s="2" t="s">
        <v>1184</v>
      </c>
      <c r="E27" s="2" t="s">
        <v>795</v>
      </c>
      <c r="F27" s="5">
        <f>SUMIFS(CaseCells!F2:F999,CaseCells!C2:C999, C27,CaseCells!D2:D999, D27,CaseCells!E2:E999, E27)</f>
        <v>5</v>
      </c>
      <c r="G27" s="5">
        <f>SUMIFS(CaseCells!G2:G999,CaseCells!C2:C999, C27,CaseCells!D2:D999, D27,CaseCells!E2:E999, E27)</f>
        <v>720</v>
      </c>
      <c r="H27" s="3">
        <f>IF(G27 = 0, "", F27 / G27)</f>
        <v>0.006944444444444444</v>
      </c>
      <c r="I27" s="5">
        <f>SUMIFS(CaseCells!F2:F999,CaseCells!C2:C999, C27,CaseCells!D2:D999, D27,CaseCells!E2:E999, "A")</f>
        <v>20</v>
      </c>
      <c r="J27" s="5">
        <f>SUMIFS(CaseCells!G2:G999,CaseCells!C2:C999, C27,CaseCells!D2:D999, D27,CaseCells!E2:E999, "A")</f>
        <v>1113</v>
      </c>
      <c r="K27" s="3">
        <f>IF(J27 = 0, "", I27 / J27)</f>
        <v>0.017969451931716084</v>
      </c>
      <c r="L27" s="5">
        <f>SUMIFS(CaseCells!F2:F999,CaseCells!C2:C999, C27,CaseCells!D2:D999, D27,CaseCells!E2:E999, "B")</f>
        <v>5</v>
      </c>
      <c r="M27" s="5">
        <f>SUMIFS(CaseCells!G2:G999,CaseCells!C2:C999, C27,CaseCells!D2:D999, D27,CaseCells!E2:E999, "B")</f>
        <v>720</v>
      </c>
      <c r="N27" s="3">
        <f>IF(M27 = 0, "", L27 / M27)</f>
        <v>0.006944444444444444</v>
      </c>
      <c r="O27" s="3" t="str">
        <f>IF(K27 &gt; N27, "A", "B")</f>
        <v>A</v>
      </c>
      <c r="P27" s="5">
        <f>SUMIFS(CaseCells!G2:G999,CaseCells!C2:C999, C27)</f>
        <v>3519</v>
      </c>
      <c r="Q27" s="5">
        <f>SUMIFS(CaseCells!G2:G999,CaseCells!C2:C999, C27,CaseCells!D2:D999, D27)</f>
        <v>1833</v>
      </c>
      <c r="R27" s="3">
        <f>IF(P27 = 0, "", Q27 / P27)</f>
        <v>0.5208866155157715</v>
      </c>
      <c r="S27" s="3">
        <f>IF(R27 = "", "", R27 * H27)</f>
        <v>0.0036172681633039687</v>
      </c>
      <c r="T27" s="5">
        <f>SUMIFS(CaseCells!G2:G999,CaseCells!C2:C999, C27,CaseCells!D2:D999, D27,CaseCells!E2:E999, "A")</f>
        <v>1113</v>
      </c>
      <c r="U27" s="5">
        <f>SUMIFS(CaseCells!G2:G999,CaseCells!C2:C999, C27,CaseCells!D2:D999, D27,CaseCells!E2:E999, "B")</f>
        <v>720</v>
      </c>
      <c r="V27" s="5">
        <f>SUMIFS(CaseCells!G2:G999,CaseCells!C2:C999, C27,CaseCells!E2:E999, "A")</f>
        <v>1279</v>
      </c>
      <c r="W27" s="5">
        <f>SUMIFS(CaseCells!G2:G999,CaseCells!C2:C999, C27,CaseCells!E2:E999, "B")</f>
        <v>2240</v>
      </c>
      <c r="X27" s="3">
        <f>IF(V27 = 0, "", T27 / V27)</f>
        <v>0.8702111024237685</v>
      </c>
      <c r="Y27" s="3">
        <f>IF(W27 = 0, "", U27 / W27)</f>
        <v>0.32142857142857145</v>
      </c>
      <c r="Z27" s="3">
        <f>IF(X27 = "", "", X27 - Y27)</f>
        <v>0.548782530995197</v>
      </c>
      <c r="AA27" s="3">
        <f>IF(K27 = "", "", K27 - N27)</f>
        <v>0.01102500748727164</v>
      </c>
      <c r="AB27" s="3">
        <f>IF(AA27 = "", "", AA27 * R27)</f>
        <v>0.005742778836080965</v>
      </c>
    </row>
    <row r="28">
      <c r="A28" s="2" t="s">
        <v>1805</v>
      </c>
      <c r="B28" s="3" t="str">
        <f>A28</f>
        <v>reintjes-2000-high-A</v>
      </c>
      <c r="C28" s="2" t="s">
        <v>437</v>
      </c>
      <c r="D28" s="2" t="s">
        <v>1187</v>
      </c>
      <c r="E28" s="2" t="s">
        <v>792</v>
      </c>
      <c r="F28" s="5">
        <f>SUMIFS(CaseCells!F2:F999,CaseCells!C2:C999, C28,CaseCells!D2:D999, D28,CaseCells!E2:E999, E28)</f>
        <v>22</v>
      </c>
      <c r="G28" s="5">
        <f>SUMIFS(CaseCells!G2:G999,CaseCells!C2:C999, C28,CaseCells!D2:D999, D28,CaseCells!E2:E999, E28)</f>
        <v>166</v>
      </c>
      <c r="H28" s="3">
        <f>IF(G28 = 0, "", F28 / G28)</f>
        <v>0.13253012048192772</v>
      </c>
      <c r="I28" s="5">
        <f>SUMIFS(CaseCells!F2:F999,CaseCells!C2:C999, C28,CaseCells!D2:D999, D28,CaseCells!E2:E999, "A")</f>
        <v>22</v>
      </c>
      <c r="J28" s="5">
        <f>SUMIFS(CaseCells!G2:G999,CaseCells!C2:C999, C28,CaseCells!D2:D999, D28,CaseCells!E2:E999, "A")</f>
        <v>166</v>
      </c>
      <c r="K28" s="3">
        <f>IF(J28 = 0, "", I28 / J28)</f>
        <v>0.13253012048192772</v>
      </c>
      <c r="L28" s="5">
        <f>SUMIFS(CaseCells!F2:F999,CaseCells!C2:C999, C28,CaseCells!D2:D999, D28,CaseCells!E2:E999, "B")</f>
        <v>99</v>
      </c>
      <c r="M28" s="5">
        <f>SUMIFS(CaseCells!G2:G999,CaseCells!C2:C999, C28,CaseCells!D2:D999, D28,CaseCells!E2:E999, "B")</f>
        <v>1520</v>
      </c>
      <c r="N28" s="3">
        <f>IF(M28 = 0, "", L28 / M28)</f>
        <v>0.06513157894736842</v>
      </c>
      <c r="O28" s="3" t="str">
        <f>IF(K28 &gt; N28, "A", "B")</f>
        <v>A</v>
      </c>
      <c r="P28" s="5">
        <f>SUMIFS(CaseCells!G2:G999,CaseCells!C2:C999, C28)</f>
        <v>3519</v>
      </c>
      <c r="Q28" s="5">
        <f>SUMIFS(CaseCells!G2:G999,CaseCells!C2:C999, C28,CaseCells!D2:D999, D28)</f>
        <v>1686</v>
      </c>
      <c r="R28" s="3">
        <f>IF(P28 = 0, "", Q28 / P28)</f>
        <v>0.47911338448422847</v>
      </c>
      <c r="S28" s="3">
        <f>IF(R28 = "", "", R28 * H28)</f>
        <v>0.06349695457019895</v>
      </c>
      <c r="T28" s="5">
        <f>SUMIFS(CaseCells!G2:G999,CaseCells!C2:C999, C28,CaseCells!D2:D999, D28,CaseCells!E2:E999, "A")</f>
        <v>166</v>
      </c>
      <c r="U28" s="5">
        <f>SUMIFS(CaseCells!G2:G999,CaseCells!C2:C999, C28,CaseCells!D2:D999, D28,CaseCells!E2:E999, "B")</f>
        <v>1520</v>
      </c>
      <c r="V28" s="5">
        <f>SUMIFS(CaseCells!G2:G999,CaseCells!C2:C999, C28,CaseCells!E2:E999, "A")</f>
        <v>1279</v>
      </c>
      <c r="W28" s="5">
        <f>SUMIFS(CaseCells!G2:G999,CaseCells!C2:C999, C28,CaseCells!E2:E999, "B")</f>
        <v>2240</v>
      </c>
      <c r="X28" s="3">
        <f>IF(V28 = 0, "", T28 / V28)</f>
        <v>0.12978889757623144</v>
      </c>
      <c r="Y28" s="3">
        <f>IF(W28 = 0, "", U28 / W28)</f>
        <v>0.6785714285714286</v>
      </c>
      <c r="Z28" s="3">
        <f>IF(X28 = "", "", X28 - Y28)</f>
        <v>-0.5487825309951971</v>
      </c>
      <c r="AA28" s="3">
        <f>IF(K28 = "", "", K28 - N28)</f>
        <v>0.0673985415345593</v>
      </c>
      <c r="AB28" s="3">
        <f>IF(AA28 = "", "", AA28 * R28)</f>
        <v>0.032291543343923555</v>
      </c>
    </row>
    <row r="29">
      <c r="A29" s="2" t="s">
        <v>1806</v>
      </c>
      <c r="B29" s="3" t="str">
        <f>A29</f>
        <v>reintjes-2000-high-B</v>
      </c>
      <c r="C29" s="2" t="s">
        <v>437</v>
      </c>
      <c r="D29" s="2" t="s">
        <v>1187</v>
      </c>
      <c r="E29" s="2" t="s">
        <v>795</v>
      </c>
      <c r="F29" s="5">
        <f>SUMIFS(CaseCells!F2:F999,CaseCells!C2:C999, C29,CaseCells!D2:D999, D29,CaseCells!E2:E999, E29)</f>
        <v>99</v>
      </c>
      <c r="G29" s="5">
        <f>SUMIFS(CaseCells!G2:G999,CaseCells!C2:C999, C29,CaseCells!D2:D999, D29,CaseCells!E2:E999, E29)</f>
        <v>1520</v>
      </c>
      <c r="H29" s="3">
        <f>IF(G29 = 0, "", F29 / G29)</f>
        <v>0.06513157894736842</v>
      </c>
      <c r="I29" s="5">
        <f>SUMIFS(CaseCells!F2:F999,CaseCells!C2:C999, C29,CaseCells!D2:D999, D29,CaseCells!E2:E999, "A")</f>
        <v>22</v>
      </c>
      <c r="J29" s="5">
        <f>SUMIFS(CaseCells!G2:G999,CaseCells!C2:C999, C29,CaseCells!D2:D999, D29,CaseCells!E2:E999, "A")</f>
        <v>166</v>
      </c>
      <c r="K29" s="3">
        <f>IF(J29 = 0, "", I29 / J29)</f>
        <v>0.13253012048192772</v>
      </c>
      <c r="L29" s="5">
        <f>SUMIFS(CaseCells!F2:F999,CaseCells!C2:C999, C29,CaseCells!D2:D999, D29,CaseCells!E2:E999, "B")</f>
        <v>99</v>
      </c>
      <c r="M29" s="5">
        <f>SUMIFS(CaseCells!G2:G999,CaseCells!C2:C999, C29,CaseCells!D2:D999, D29,CaseCells!E2:E999, "B")</f>
        <v>1520</v>
      </c>
      <c r="N29" s="3">
        <f>IF(M29 = 0, "", L29 / M29)</f>
        <v>0.06513157894736842</v>
      </c>
      <c r="O29" s="3" t="str">
        <f>IF(K29 &gt; N29, "A", "B")</f>
        <v>A</v>
      </c>
      <c r="P29" s="5">
        <f>SUMIFS(CaseCells!G2:G999,CaseCells!C2:C999, C29)</f>
        <v>3519</v>
      </c>
      <c r="Q29" s="5">
        <f>SUMIFS(CaseCells!G2:G999,CaseCells!C2:C999, C29,CaseCells!D2:D999, D29)</f>
        <v>1686</v>
      </c>
      <c r="R29" s="3">
        <f>IF(P29 = 0, "", Q29 / P29)</f>
        <v>0.47911338448422847</v>
      </c>
      <c r="S29" s="3">
        <f>IF(R29 = "", "", R29 * H29)</f>
        <v>0.031205411226275404</v>
      </c>
      <c r="T29" s="5">
        <f>SUMIFS(CaseCells!G2:G999,CaseCells!C2:C999, C29,CaseCells!D2:D999, D29,CaseCells!E2:E999, "A")</f>
        <v>166</v>
      </c>
      <c r="U29" s="5">
        <f>SUMIFS(CaseCells!G2:G999,CaseCells!C2:C999, C29,CaseCells!D2:D999, D29,CaseCells!E2:E999, "B")</f>
        <v>1520</v>
      </c>
      <c r="V29" s="5">
        <f>SUMIFS(CaseCells!G2:G999,CaseCells!C2:C999, C29,CaseCells!E2:E999, "A")</f>
        <v>1279</v>
      </c>
      <c r="W29" s="5">
        <f>SUMIFS(CaseCells!G2:G999,CaseCells!C2:C999, C29,CaseCells!E2:E999, "B")</f>
        <v>2240</v>
      </c>
      <c r="X29" s="3">
        <f>IF(V29 = 0, "", T29 / V29)</f>
        <v>0.12978889757623144</v>
      </c>
      <c r="Y29" s="3">
        <f>IF(W29 = 0, "", U29 / W29)</f>
        <v>0.6785714285714286</v>
      </c>
      <c r="Z29" s="3">
        <f>IF(X29 = "", "", X29 - Y29)</f>
        <v>-0.5487825309951971</v>
      </c>
      <c r="AA29" s="3">
        <f>IF(K29 = "", "", K29 - N29)</f>
        <v>0.0673985415345593</v>
      </c>
      <c r="AB29" s="3">
        <f>IF(AA29 = "", "", AA29 * R29)</f>
        <v>0.032291543343923555</v>
      </c>
    </row>
    <row r="30">
      <c r="A30" s="2" t="s">
        <v>1807</v>
      </c>
      <c r="B30" s="3" t="str">
        <f>A30</f>
        <v>radelet-1981-white-victim-A</v>
      </c>
      <c r="C30" s="2" t="s">
        <v>442</v>
      </c>
      <c r="D30" s="2" t="s">
        <v>1190</v>
      </c>
      <c r="E30" s="2" t="s">
        <v>792</v>
      </c>
      <c r="F30" s="5">
        <f>SUMIFS(CaseCells!F2:F999,CaseCells!C2:C999, C30,CaseCells!D2:D999, D30,CaseCells!E2:E999, E30)</f>
        <v>19</v>
      </c>
      <c r="G30" s="5">
        <f>SUMIFS(CaseCells!G2:G999,CaseCells!C2:C999, C30,CaseCells!D2:D999, D30,CaseCells!E2:E999, E30)</f>
        <v>151</v>
      </c>
      <c r="H30" s="3">
        <f>IF(G30 = 0, "", F30 / G30)</f>
        <v>0.12582781456953643</v>
      </c>
      <c r="I30" s="5">
        <f>SUMIFS(CaseCells!F2:F999,CaseCells!C2:C999, C30,CaseCells!D2:D999, D30,CaseCells!E2:E999, "A")</f>
        <v>19</v>
      </c>
      <c r="J30" s="5">
        <f>SUMIFS(CaseCells!G2:G999,CaseCells!C2:C999, C30,CaseCells!D2:D999, D30,CaseCells!E2:E999, "A")</f>
        <v>151</v>
      </c>
      <c r="K30" s="3">
        <f>IF(J30 = 0, "", I30 / J30)</f>
        <v>0.12582781456953643</v>
      </c>
      <c r="L30" s="5">
        <f>SUMIFS(CaseCells!F2:F999,CaseCells!C2:C999, C30,CaseCells!D2:D999, D30,CaseCells!E2:E999, "B")</f>
        <v>11</v>
      </c>
      <c r="M30" s="5">
        <f>SUMIFS(CaseCells!G2:G999,CaseCells!C2:C999, C30,CaseCells!D2:D999, D30,CaseCells!E2:E999, "B")</f>
        <v>63</v>
      </c>
      <c r="N30" s="3">
        <f>IF(M30 = 0, "", L30 / M30)</f>
        <v>0.1746031746031746</v>
      </c>
      <c r="O30" s="3" t="str">
        <f>IF(K30 &gt; N30, "A", "B")</f>
        <v>B</v>
      </c>
      <c r="P30" s="5">
        <f>SUMIFS(CaseCells!G2:G999,CaseCells!C2:C999, C30)</f>
        <v>326</v>
      </c>
      <c r="Q30" s="5">
        <f>SUMIFS(CaseCells!G2:G999,CaseCells!C2:C999, C30,CaseCells!D2:D999, D30)</f>
        <v>214</v>
      </c>
      <c r="R30" s="3">
        <f>IF(P30 = 0, "", Q30 / P30)</f>
        <v>0.656441717791411</v>
      </c>
      <c r="S30" s="3">
        <f>IF(R30 = "", "", R30 * H30)</f>
        <v>0.08259862674196562</v>
      </c>
      <c r="T30" s="5">
        <f>SUMIFS(CaseCells!G2:G999,CaseCells!C2:C999, C30,CaseCells!D2:D999, D30,CaseCells!E2:E999, "A")</f>
        <v>151</v>
      </c>
      <c r="U30" s="5">
        <f>SUMIFS(CaseCells!G2:G999,CaseCells!C2:C999, C30,CaseCells!D2:D999, D30,CaseCells!E2:E999, "B")</f>
        <v>63</v>
      </c>
      <c r="V30" s="5">
        <f>SUMIFS(CaseCells!G2:G999,CaseCells!C2:C999, C30,CaseCells!E2:E999, "A")</f>
        <v>160</v>
      </c>
      <c r="W30" s="5">
        <f>SUMIFS(CaseCells!G2:G999,CaseCells!C2:C999, C30,CaseCells!E2:E999, "B")</f>
        <v>166</v>
      </c>
      <c r="X30" s="3">
        <f>IF(V30 = 0, "", T30 / V30)</f>
        <v>0.94375</v>
      </c>
      <c r="Y30" s="3">
        <f>IF(W30 = 0, "", U30 / W30)</f>
        <v>0.3795180722891566</v>
      </c>
      <c r="Z30" s="3">
        <f>IF(X30 = "", "", X30 - Y30)</f>
        <v>0.5642319277108434</v>
      </c>
      <c r="AA30" s="3">
        <f>IF(K30 = "", "", K30 - N30)</f>
        <v>-0.048775360033638165</v>
      </c>
      <c r="AB30" s="3">
        <f>IF(AA30 = "", "", AA30 * R30)</f>
        <v>-0.03201818112637597</v>
      </c>
    </row>
    <row r="31">
      <c r="A31" s="2" t="s">
        <v>1808</v>
      </c>
      <c r="B31" s="3" t="str">
        <f>A31</f>
        <v>radelet-1981-white-victim-B</v>
      </c>
      <c r="C31" s="2" t="s">
        <v>442</v>
      </c>
      <c r="D31" s="2" t="s">
        <v>1190</v>
      </c>
      <c r="E31" s="2" t="s">
        <v>795</v>
      </c>
      <c r="F31" s="5">
        <f>SUMIFS(CaseCells!F2:F999,CaseCells!C2:C999, C31,CaseCells!D2:D999, D31,CaseCells!E2:E999, E31)</f>
        <v>11</v>
      </c>
      <c r="G31" s="5">
        <f>SUMIFS(CaseCells!G2:G999,CaseCells!C2:C999, C31,CaseCells!D2:D999, D31,CaseCells!E2:E999, E31)</f>
        <v>63</v>
      </c>
      <c r="H31" s="3">
        <f>IF(G31 = 0, "", F31 / G31)</f>
        <v>0.1746031746031746</v>
      </c>
      <c r="I31" s="5">
        <f>SUMIFS(CaseCells!F2:F999,CaseCells!C2:C999, C31,CaseCells!D2:D999, D31,CaseCells!E2:E999, "A")</f>
        <v>19</v>
      </c>
      <c r="J31" s="5">
        <f>SUMIFS(CaseCells!G2:G999,CaseCells!C2:C999, C31,CaseCells!D2:D999, D31,CaseCells!E2:E999, "A")</f>
        <v>151</v>
      </c>
      <c r="K31" s="3">
        <f>IF(J31 = 0, "", I31 / J31)</f>
        <v>0.12582781456953643</v>
      </c>
      <c r="L31" s="5">
        <f>SUMIFS(CaseCells!F2:F999,CaseCells!C2:C999, C31,CaseCells!D2:D999, D31,CaseCells!E2:E999, "B")</f>
        <v>11</v>
      </c>
      <c r="M31" s="5">
        <f>SUMIFS(CaseCells!G2:G999,CaseCells!C2:C999, C31,CaseCells!D2:D999, D31,CaseCells!E2:E999, "B")</f>
        <v>63</v>
      </c>
      <c r="N31" s="3">
        <f>IF(M31 = 0, "", L31 / M31)</f>
        <v>0.1746031746031746</v>
      </c>
      <c r="O31" s="3" t="str">
        <f>IF(K31 &gt; N31, "A", "B")</f>
        <v>B</v>
      </c>
      <c r="P31" s="5">
        <f>SUMIFS(CaseCells!G2:G999,CaseCells!C2:C999, C31)</f>
        <v>326</v>
      </c>
      <c r="Q31" s="5">
        <f>SUMIFS(CaseCells!G2:G999,CaseCells!C2:C999, C31,CaseCells!D2:D999, D31)</f>
        <v>214</v>
      </c>
      <c r="R31" s="3">
        <f>IF(P31 = 0, "", Q31 / P31)</f>
        <v>0.656441717791411</v>
      </c>
      <c r="S31" s="3">
        <f>IF(R31 = "", "", R31 * H31)</f>
        <v>0.11461680786834161</v>
      </c>
      <c r="T31" s="5">
        <f>SUMIFS(CaseCells!G2:G999,CaseCells!C2:C999, C31,CaseCells!D2:D999, D31,CaseCells!E2:E999, "A")</f>
        <v>151</v>
      </c>
      <c r="U31" s="5">
        <f>SUMIFS(CaseCells!G2:G999,CaseCells!C2:C999, C31,CaseCells!D2:D999, D31,CaseCells!E2:E999, "B")</f>
        <v>63</v>
      </c>
      <c r="V31" s="5">
        <f>SUMIFS(CaseCells!G2:G999,CaseCells!C2:C999, C31,CaseCells!E2:E999, "A")</f>
        <v>160</v>
      </c>
      <c r="W31" s="5">
        <f>SUMIFS(CaseCells!G2:G999,CaseCells!C2:C999, C31,CaseCells!E2:E999, "B")</f>
        <v>166</v>
      </c>
      <c r="X31" s="3">
        <f>IF(V31 = 0, "", T31 / V31)</f>
        <v>0.94375</v>
      </c>
      <c r="Y31" s="3">
        <f>IF(W31 = 0, "", U31 / W31)</f>
        <v>0.3795180722891566</v>
      </c>
      <c r="Z31" s="3">
        <f>IF(X31 = "", "", X31 - Y31)</f>
        <v>0.5642319277108434</v>
      </c>
      <c r="AA31" s="3">
        <f>IF(K31 = "", "", K31 - N31)</f>
        <v>-0.048775360033638165</v>
      </c>
      <c r="AB31" s="3">
        <f>IF(AA31 = "", "", AA31 * R31)</f>
        <v>-0.03201818112637597</v>
      </c>
    </row>
    <row r="32">
      <c r="A32" s="2" t="s">
        <v>1809</v>
      </c>
      <c r="B32" s="3" t="str">
        <f>A32</f>
        <v>radelet-1981-black-victim-A</v>
      </c>
      <c r="C32" s="2" t="s">
        <v>442</v>
      </c>
      <c r="D32" s="2" t="s">
        <v>1193</v>
      </c>
      <c r="E32" s="2" t="s">
        <v>792</v>
      </c>
      <c r="F32" s="5">
        <f>SUMIFS(CaseCells!F2:F999,CaseCells!C2:C999, C32,CaseCells!D2:D999, D32,CaseCells!E2:E999, E32)</f>
        <v>0</v>
      </c>
      <c r="G32" s="5">
        <f>SUMIFS(CaseCells!G2:G999,CaseCells!C2:C999, C32,CaseCells!D2:D999, D32,CaseCells!E2:E999, E32)</f>
        <v>9</v>
      </c>
      <c r="H32" s="3">
        <f>IF(G32 = 0, "", F32 / G32)</f>
        <v>0</v>
      </c>
      <c r="I32" s="5">
        <f>SUMIFS(CaseCells!F2:F999,CaseCells!C2:C999, C32,CaseCells!D2:D999, D32,CaseCells!E2:E999, "A")</f>
        <v>0</v>
      </c>
      <c r="J32" s="5">
        <f>SUMIFS(CaseCells!G2:G999,CaseCells!C2:C999, C32,CaseCells!D2:D999, D32,CaseCells!E2:E999, "A")</f>
        <v>9</v>
      </c>
      <c r="K32" s="3">
        <f>IF(J32 = 0, "", I32 / J32)</f>
        <v>0</v>
      </c>
      <c r="L32" s="5">
        <f>SUMIFS(CaseCells!F2:F999,CaseCells!C2:C999, C32,CaseCells!D2:D999, D32,CaseCells!E2:E999, "B")</f>
        <v>6</v>
      </c>
      <c r="M32" s="5">
        <f>SUMIFS(CaseCells!G2:G999,CaseCells!C2:C999, C32,CaseCells!D2:D999, D32,CaseCells!E2:E999, "B")</f>
        <v>103</v>
      </c>
      <c r="N32" s="3">
        <f>IF(M32 = 0, "", L32 / M32)</f>
        <v>0.05825242718446602</v>
      </c>
      <c r="O32" s="3" t="str">
        <f>IF(K32 &gt; N32, "A", "B")</f>
        <v>B</v>
      </c>
      <c r="P32" s="5">
        <f>SUMIFS(CaseCells!G2:G999,CaseCells!C2:C999, C32)</f>
        <v>326</v>
      </c>
      <c r="Q32" s="5">
        <f>SUMIFS(CaseCells!G2:G999,CaseCells!C2:C999, C32,CaseCells!D2:D999, D32)</f>
        <v>112</v>
      </c>
      <c r="R32" s="3">
        <f>IF(P32 = 0, "", Q32 / P32)</f>
        <v>0.34355828220858897</v>
      </c>
      <c r="S32" s="3">
        <f>IF(R32 = "", "", R32 * H32)</f>
        <v>0</v>
      </c>
      <c r="T32" s="5">
        <f>SUMIFS(CaseCells!G2:G999,CaseCells!C2:C999, C32,CaseCells!D2:D999, D32,CaseCells!E2:E999, "A")</f>
        <v>9</v>
      </c>
      <c r="U32" s="5">
        <f>SUMIFS(CaseCells!G2:G999,CaseCells!C2:C999, C32,CaseCells!D2:D999, D32,CaseCells!E2:E999, "B")</f>
        <v>103</v>
      </c>
      <c r="V32" s="5">
        <f>SUMIFS(CaseCells!G2:G999,CaseCells!C2:C999, C32,CaseCells!E2:E999, "A")</f>
        <v>160</v>
      </c>
      <c r="W32" s="5">
        <f>SUMIFS(CaseCells!G2:G999,CaseCells!C2:C999, C32,CaseCells!E2:E999, "B")</f>
        <v>166</v>
      </c>
      <c r="X32" s="3">
        <f>IF(V32 = 0, "", T32 / V32)</f>
        <v>0.05625</v>
      </c>
      <c r="Y32" s="3">
        <f>IF(W32 = 0, "", U32 / W32)</f>
        <v>0.6204819277108434</v>
      </c>
      <c r="Z32" s="3">
        <f>IF(X32 = "", "", X32 - Y32)</f>
        <v>-0.5642319277108434</v>
      </c>
      <c r="AA32" s="3">
        <f>IF(K32 = "", "", K32 - N32)</f>
        <v>-0.05825242718446602</v>
      </c>
      <c r="AB32" s="3">
        <f>IF(AA32 = "", "", AA32 * R32)</f>
        <v>-0.020013103817976056</v>
      </c>
    </row>
    <row r="33">
      <c r="A33" s="2" t="s">
        <v>1810</v>
      </c>
      <c r="B33" s="3" t="str">
        <f>A33</f>
        <v>radelet-1981-black-victim-B</v>
      </c>
      <c r="C33" s="2" t="s">
        <v>442</v>
      </c>
      <c r="D33" s="2" t="s">
        <v>1193</v>
      </c>
      <c r="E33" s="2" t="s">
        <v>795</v>
      </c>
      <c r="F33" s="5">
        <f>SUMIFS(CaseCells!F2:F999,CaseCells!C2:C999, C33,CaseCells!D2:D999, D33,CaseCells!E2:E999, E33)</f>
        <v>6</v>
      </c>
      <c r="G33" s="5">
        <f>SUMIFS(CaseCells!G2:G999,CaseCells!C2:C999, C33,CaseCells!D2:D999, D33,CaseCells!E2:E999, E33)</f>
        <v>103</v>
      </c>
      <c r="H33" s="3">
        <f>IF(G33 = 0, "", F33 / G33)</f>
        <v>0.05825242718446602</v>
      </c>
      <c r="I33" s="5">
        <f>SUMIFS(CaseCells!F2:F999,CaseCells!C2:C999, C33,CaseCells!D2:D999, D33,CaseCells!E2:E999, "A")</f>
        <v>0</v>
      </c>
      <c r="J33" s="5">
        <f>SUMIFS(CaseCells!G2:G999,CaseCells!C2:C999, C33,CaseCells!D2:D999, D33,CaseCells!E2:E999, "A")</f>
        <v>9</v>
      </c>
      <c r="K33" s="3">
        <f>IF(J33 = 0, "", I33 / J33)</f>
        <v>0</v>
      </c>
      <c r="L33" s="5">
        <f>SUMIFS(CaseCells!F2:F999,CaseCells!C2:C999, C33,CaseCells!D2:D999, D33,CaseCells!E2:E999, "B")</f>
        <v>6</v>
      </c>
      <c r="M33" s="5">
        <f>SUMIFS(CaseCells!G2:G999,CaseCells!C2:C999, C33,CaseCells!D2:D999, D33,CaseCells!E2:E999, "B")</f>
        <v>103</v>
      </c>
      <c r="N33" s="3">
        <f>IF(M33 = 0, "", L33 / M33)</f>
        <v>0.05825242718446602</v>
      </c>
      <c r="O33" s="3" t="str">
        <f>IF(K33 &gt; N33, "A", "B")</f>
        <v>B</v>
      </c>
      <c r="P33" s="5">
        <f>SUMIFS(CaseCells!G2:G999,CaseCells!C2:C999, C33)</f>
        <v>326</v>
      </c>
      <c r="Q33" s="5">
        <f>SUMIFS(CaseCells!G2:G999,CaseCells!C2:C999, C33,CaseCells!D2:D999, D33)</f>
        <v>112</v>
      </c>
      <c r="R33" s="3">
        <f>IF(P33 = 0, "", Q33 / P33)</f>
        <v>0.34355828220858897</v>
      </c>
      <c r="S33" s="3">
        <f>IF(R33 = "", "", R33 * H33)</f>
        <v>0.020013103817976056</v>
      </c>
      <c r="T33" s="5">
        <f>SUMIFS(CaseCells!G2:G999,CaseCells!C2:C999, C33,CaseCells!D2:D999, D33,CaseCells!E2:E999, "A")</f>
        <v>9</v>
      </c>
      <c r="U33" s="5">
        <f>SUMIFS(CaseCells!G2:G999,CaseCells!C2:C999, C33,CaseCells!D2:D999, D33,CaseCells!E2:E999, "B")</f>
        <v>103</v>
      </c>
      <c r="V33" s="5">
        <f>SUMIFS(CaseCells!G2:G999,CaseCells!C2:C999, C33,CaseCells!E2:E999, "A")</f>
        <v>160</v>
      </c>
      <c r="W33" s="5">
        <f>SUMIFS(CaseCells!G2:G999,CaseCells!C2:C999, C33,CaseCells!E2:E999, "B")</f>
        <v>166</v>
      </c>
      <c r="X33" s="3">
        <f>IF(V33 = 0, "", T33 / V33)</f>
        <v>0.05625</v>
      </c>
      <c r="Y33" s="3">
        <f>IF(W33 = 0, "", U33 / W33)</f>
        <v>0.6204819277108434</v>
      </c>
      <c r="Z33" s="3">
        <f>IF(X33 = "", "", X33 - Y33)</f>
        <v>-0.5642319277108434</v>
      </c>
      <c r="AA33" s="3">
        <f>IF(K33 = "", "", K33 - N33)</f>
        <v>-0.05825242718446602</v>
      </c>
      <c r="AB33" s="3">
        <f>IF(AA33 = "", "", AA33 * R33)</f>
        <v>-0.020013103817976056</v>
      </c>
    </row>
    <row r="34">
      <c r="A34" s="2" t="s">
        <v>1811</v>
      </c>
      <c r="B34" s="3" t="str">
        <f>A34</f>
        <v>jeter-justice-1997-1995-A</v>
      </c>
      <c r="C34" s="2" t="s">
        <v>448</v>
      </c>
      <c r="D34" s="2" t="s">
        <v>1196</v>
      </c>
      <c r="E34" s="2" t="s">
        <v>792</v>
      </c>
      <c r="F34" s="5">
        <f>SUMIFS(CaseCells!F2:F999,CaseCells!C2:C999, C34,CaseCells!D2:D999, D34,CaseCells!E2:E999, E34)</f>
        <v>12</v>
      </c>
      <c r="G34" s="5">
        <f>SUMIFS(CaseCells!G2:G999,CaseCells!C2:C999, C34,CaseCells!D2:D999, D34,CaseCells!E2:E999, E34)</f>
        <v>48</v>
      </c>
      <c r="H34" s="3">
        <f>IF(G34 = 0, "", F34 / G34)</f>
        <v>0.25</v>
      </c>
      <c r="I34" s="5">
        <f>SUMIFS(CaseCells!F2:F999,CaseCells!C2:C999, C34,CaseCells!D2:D999, D34,CaseCells!E2:E999, "A")</f>
        <v>12</v>
      </c>
      <c r="J34" s="5">
        <f>SUMIFS(CaseCells!G2:G999,CaseCells!C2:C999, C34,CaseCells!D2:D999, D34,CaseCells!E2:E999, "A")</f>
        <v>48</v>
      </c>
      <c r="K34" s="3">
        <f>IF(J34 = 0, "", I34 / J34)</f>
        <v>0.25</v>
      </c>
      <c r="L34" s="5">
        <f>SUMIFS(CaseCells!F2:F999,CaseCells!C2:C999, C34,CaseCells!D2:D999, D34,CaseCells!E2:E999, "B")</f>
        <v>104</v>
      </c>
      <c r="M34" s="5">
        <f>SUMIFS(CaseCells!G2:G999,CaseCells!C2:C999, C34,CaseCells!D2:D999, D34,CaseCells!E2:E999, "B")</f>
        <v>411</v>
      </c>
      <c r="N34" s="3">
        <f>IF(M34 = 0, "", L34 / M34)</f>
        <v>0.25304136253041365</v>
      </c>
      <c r="O34" s="3" t="str">
        <f>IF(K34 &gt; N34, "A", "B")</f>
        <v>B</v>
      </c>
      <c r="P34" s="5">
        <f>SUMIFS(CaseCells!G2:G999,CaseCells!C2:C999, C34)</f>
        <v>2330</v>
      </c>
      <c r="Q34" s="5">
        <f>SUMIFS(CaseCells!G2:G999,CaseCells!C2:C999, C34,CaseCells!D2:D999, D34)</f>
        <v>459</v>
      </c>
      <c r="R34" s="3">
        <f>IF(P34 = 0, "", Q34 / P34)</f>
        <v>0.19699570815450643</v>
      </c>
      <c r="S34" s="3">
        <f>IF(R34 = "", "", R34 * H34)</f>
        <v>0.04924892703862661</v>
      </c>
      <c r="T34" s="5">
        <f>SUMIFS(CaseCells!G2:G999,CaseCells!C2:C999, C34,CaseCells!D2:D999, D34,CaseCells!E2:E999, "A")</f>
        <v>48</v>
      </c>
      <c r="U34" s="5">
        <f>SUMIFS(CaseCells!G2:G999,CaseCells!C2:C999, C34,CaseCells!D2:D999, D34,CaseCells!E2:E999, "B")</f>
        <v>411</v>
      </c>
      <c r="V34" s="5">
        <f>SUMIFS(CaseCells!G2:G999,CaseCells!C2:C999, C34,CaseCells!E2:E999, "A")</f>
        <v>1284</v>
      </c>
      <c r="W34" s="5">
        <f>SUMIFS(CaseCells!G2:G999,CaseCells!C2:C999, C34,CaseCells!E2:E999, "B")</f>
        <v>1046</v>
      </c>
      <c r="X34" s="3">
        <f>IF(V34 = 0, "", T34 / V34)</f>
        <v>0.037383177570093455</v>
      </c>
      <c r="Y34" s="3">
        <f>IF(W34 = 0, "", U34 / W34)</f>
        <v>0.39292543021032506</v>
      </c>
      <c r="Z34" s="3">
        <f>IF(X34 = "", "", X34 - Y34)</f>
        <v>-0.3555422526402316</v>
      </c>
      <c r="AA34" s="3">
        <f>IF(K34 = "", "", K34 - N34)</f>
        <v>-0.0030413625304136493</v>
      </c>
      <c r="AB34" s="3">
        <f>IF(AA34 = "", "", AA34 * R34)</f>
        <v>-0.0005991353654334184</v>
      </c>
    </row>
    <row r="35">
      <c r="A35" s="2" t="s">
        <v>1812</v>
      </c>
      <c r="B35" s="3" t="str">
        <f>A35</f>
        <v>jeter-justice-1997-1995-B</v>
      </c>
      <c r="C35" s="2" t="s">
        <v>448</v>
      </c>
      <c r="D35" s="2" t="s">
        <v>1196</v>
      </c>
      <c r="E35" s="2" t="s">
        <v>795</v>
      </c>
      <c r="F35" s="5">
        <f>SUMIFS(CaseCells!F2:F999,CaseCells!C2:C999, C35,CaseCells!D2:D999, D35,CaseCells!E2:E999, E35)</f>
        <v>104</v>
      </c>
      <c r="G35" s="5">
        <f>SUMIFS(CaseCells!G2:G999,CaseCells!C2:C999, C35,CaseCells!D2:D999, D35,CaseCells!E2:E999, E35)</f>
        <v>411</v>
      </c>
      <c r="H35" s="3">
        <f>IF(G35 = 0, "", F35 / G35)</f>
        <v>0.25304136253041365</v>
      </c>
      <c r="I35" s="5">
        <f>SUMIFS(CaseCells!F2:F999,CaseCells!C2:C999, C35,CaseCells!D2:D999, D35,CaseCells!E2:E999, "A")</f>
        <v>12</v>
      </c>
      <c r="J35" s="5">
        <f>SUMIFS(CaseCells!G2:G999,CaseCells!C2:C999, C35,CaseCells!D2:D999, D35,CaseCells!E2:E999, "A")</f>
        <v>48</v>
      </c>
      <c r="K35" s="3">
        <f>IF(J35 = 0, "", I35 / J35)</f>
        <v>0.25</v>
      </c>
      <c r="L35" s="5">
        <f>SUMIFS(CaseCells!F2:F999,CaseCells!C2:C999, C35,CaseCells!D2:D999, D35,CaseCells!E2:E999, "B")</f>
        <v>104</v>
      </c>
      <c r="M35" s="5">
        <f>SUMIFS(CaseCells!G2:G999,CaseCells!C2:C999, C35,CaseCells!D2:D999, D35,CaseCells!E2:E999, "B")</f>
        <v>411</v>
      </c>
      <c r="N35" s="3">
        <f>IF(M35 = 0, "", L35 / M35)</f>
        <v>0.25304136253041365</v>
      </c>
      <c r="O35" s="3" t="str">
        <f>IF(K35 &gt; N35, "A", "B")</f>
        <v>B</v>
      </c>
      <c r="P35" s="5">
        <f>SUMIFS(CaseCells!G2:G999,CaseCells!C2:C999, C35)</f>
        <v>2330</v>
      </c>
      <c r="Q35" s="5">
        <f>SUMIFS(CaseCells!G2:G999,CaseCells!C2:C999, C35,CaseCells!D2:D999, D35)</f>
        <v>459</v>
      </c>
      <c r="R35" s="3">
        <f>IF(P35 = 0, "", Q35 / P35)</f>
        <v>0.19699570815450643</v>
      </c>
      <c r="S35" s="3">
        <f>IF(R35 = "", "", R35 * H35)</f>
        <v>0.04984806240406003</v>
      </c>
      <c r="T35" s="5">
        <f>SUMIFS(CaseCells!G2:G999,CaseCells!C2:C999, C35,CaseCells!D2:D999, D35,CaseCells!E2:E999, "A")</f>
        <v>48</v>
      </c>
      <c r="U35" s="5">
        <f>SUMIFS(CaseCells!G2:G999,CaseCells!C2:C999, C35,CaseCells!D2:D999, D35,CaseCells!E2:E999, "B")</f>
        <v>411</v>
      </c>
      <c r="V35" s="5">
        <f>SUMIFS(CaseCells!G2:G999,CaseCells!C2:C999, C35,CaseCells!E2:E999, "A")</f>
        <v>1284</v>
      </c>
      <c r="W35" s="5">
        <f>SUMIFS(CaseCells!G2:G999,CaseCells!C2:C999, C35,CaseCells!E2:E999, "B")</f>
        <v>1046</v>
      </c>
      <c r="X35" s="3">
        <f>IF(V35 = 0, "", T35 / V35)</f>
        <v>0.037383177570093455</v>
      </c>
      <c r="Y35" s="3">
        <f>IF(W35 = 0, "", U35 / W35)</f>
        <v>0.39292543021032506</v>
      </c>
      <c r="Z35" s="3">
        <f>IF(X35 = "", "", X35 - Y35)</f>
        <v>-0.3555422526402316</v>
      </c>
      <c r="AA35" s="3">
        <f>IF(K35 = "", "", K35 - N35)</f>
        <v>-0.0030413625304136493</v>
      </c>
      <c r="AB35" s="3">
        <f>IF(AA35 = "", "", AA35 * R35)</f>
        <v>-0.0005991353654334184</v>
      </c>
    </row>
    <row r="36">
      <c r="A36" s="2" t="s">
        <v>1813</v>
      </c>
      <c r="B36" s="3" t="str">
        <f>A36</f>
        <v>jeter-justice-1997-1996-A</v>
      </c>
      <c r="C36" s="2" t="s">
        <v>448</v>
      </c>
      <c r="D36" s="2" t="s">
        <v>1199</v>
      </c>
      <c r="E36" s="2" t="s">
        <v>792</v>
      </c>
      <c r="F36" s="5">
        <f>SUMIFS(CaseCells!F2:F999,CaseCells!C2:C999, C36,CaseCells!D2:D999, D36,CaseCells!E2:E999, E36)</f>
        <v>183</v>
      </c>
      <c r="G36" s="5">
        <f>SUMIFS(CaseCells!G2:G999,CaseCells!C2:C999, C36,CaseCells!D2:D999, D36,CaseCells!E2:E999, E36)</f>
        <v>582</v>
      </c>
      <c r="H36" s="3">
        <f>IF(G36 = 0, "", F36 / G36)</f>
        <v>0.31443298969072164</v>
      </c>
      <c r="I36" s="5">
        <f>SUMIFS(CaseCells!F2:F999,CaseCells!C2:C999, C36,CaseCells!D2:D999, D36,CaseCells!E2:E999, "A")</f>
        <v>183</v>
      </c>
      <c r="J36" s="5">
        <f>SUMIFS(CaseCells!G2:G999,CaseCells!C2:C999, C36,CaseCells!D2:D999, D36,CaseCells!E2:E999, "A")</f>
        <v>582</v>
      </c>
      <c r="K36" s="3">
        <f>IF(J36 = 0, "", I36 / J36)</f>
        <v>0.31443298969072164</v>
      </c>
      <c r="L36" s="5">
        <f>SUMIFS(CaseCells!F2:F999,CaseCells!C2:C999, C36,CaseCells!D2:D999, D36,CaseCells!E2:E999, "B")</f>
        <v>45</v>
      </c>
      <c r="M36" s="5">
        <f>SUMIFS(CaseCells!G2:G999,CaseCells!C2:C999, C36,CaseCells!D2:D999, D36,CaseCells!E2:E999, "B")</f>
        <v>140</v>
      </c>
      <c r="N36" s="3">
        <f>IF(M36 = 0, "", L36 / M36)</f>
        <v>0.32142857142857145</v>
      </c>
      <c r="O36" s="3" t="str">
        <f>IF(K36 &gt; N36, "A", "B")</f>
        <v>B</v>
      </c>
      <c r="P36" s="5">
        <f>SUMIFS(CaseCells!G2:G999,CaseCells!C2:C999, C36)</f>
        <v>2330</v>
      </c>
      <c r="Q36" s="5">
        <f>SUMIFS(CaseCells!G2:G999,CaseCells!C2:C999, C36,CaseCells!D2:D999, D36)</f>
        <v>722</v>
      </c>
      <c r="R36" s="3">
        <f>IF(P36 = 0, "", Q36 / P36)</f>
        <v>0.3098712446351931</v>
      </c>
      <c r="S36" s="3">
        <f>IF(R36 = "", "", R36 * H36)</f>
        <v>0.09743374186982875</v>
      </c>
      <c r="T36" s="5">
        <f>SUMIFS(CaseCells!G2:G999,CaseCells!C2:C999, C36,CaseCells!D2:D999, D36,CaseCells!E2:E999, "A")</f>
        <v>582</v>
      </c>
      <c r="U36" s="5">
        <f>SUMIFS(CaseCells!G2:G999,CaseCells!C2:C999, C36,CaseCells!D2:D999, D36,CaseCells!E2:E999, "B")</f>
        <v>140</v>
      </c>
      <c r="V36" s="5">
        <f>SUMIFS(CaseCells!G2:G999,CaseCells!C2:C999, C36,CaseCells!E2:E999, "A")</f>
        <v>1284</v>
      </c>
      <c r="W36" s="5">
        <f>SUMIFS(CaseCells!G2:G999,CaseCells!C2:C999, C36,CaseCells!E2:E999, "B")</f>
        <v>1046</v>
      </c>
      <c r="X36" s="3">
        <f>IF(V36 = 0, "", T36 / V36)</f>
        <v>0.4532710280373832</v>
      </c>
      <c r="Y36" s="3">
        <f>IF(W36 = 0, "", U36 / W36)</f>
        <v>0.1338432122370937</v>
      </c>
      <c r="Z36" s="3">
        <f>IF(X36 = "", "", X36 - Y36)</f>
        <v>0.31942781580028945</v>
      </c>
      <c r="AA36" s="3">
        <f>IF(K36 = "", "", K36 - N36)</f>
        <v>-0.00699558173784981</v>
      </c>
      <c r="AB36" s="3">
        <f>IF(AA36 = "", "", AA36 * R36)</f>
        <v>-0.0021677296200547477</v>
      </c>
    </row>
    <row r="37">
      <c r="A37" s="2" t="s">
        <v>1814</v>
      </c>
      <c r="B37" s="3" t="str">
        <f>A37</f>
        <v>jeter-justice-1997-1996-B</v>
      </c>
      <c r="C37" s="2" t="s">
        <v>448</v>
      </c>
      <c r="D37" s="2" t="s">
        <v>1199</v>
      </c>
      <c r="E37" s="2" t="s">
        <v>795</v>
      </c>
      <c r="F37" s="5">
        <f>SUMIFS(CaseCells!F2:F999,CaseCells!C2:C999, C37,CaseCells!D2:D999, D37,CaseCells!E2:E999, E37)</f>
        <v>45</v>
      </c>
      <c r="G37" s="5">
        <f>SUMIFS(CaseCells!G2:G999,CaseCells!C2:C999, C37,CaseCells!D2:D999, D37,CaseCells!E2:E999, E37)</f>
        <v>140</v>
      </c>
      <c r="H37" s="3">
        <f>IF(G37 = 0, "", F37 / G37)</f>
        <v>0.32142857142857145</v>
      </c>
      <c r="I37" s="5">
        <f>SUMIFS(CaseCells!F2:F999,CaseCells!C2:C999, C37,CaseCells!D2:D999, D37,CaseCells!E2:E999, "A")</f>
        <v>183</v>
      </c>
      <c r="J37" s="5">
        <f>SUMIFS(CaseCells!G2:G999,CaseCells!C2:C999, C37,CaseCells!D2:D999, D37,CaseCells!E2:E999, "A")</f>
        <v>582</v>
      </c>
      <c r="K37" s="3">
        <f>IF(J37 = 0, "", I37 / J37)</f>
        <v>0.31443298969072164</v>
      </c>
      <c r="L37" s="5">
        <f>SUMIFS(CaseCells!F2:F999,CaseCells!C2:C999, C37,CaseCells!D2:D999, D37,CaseCells!E2:E999, "B")</f>
        <v>45</v>
      </c>
      <c r="M37" s="5">
        <f>SUMIFS(CaseCells!G2:G999,CaseCells!C2:C999, C37,CaseCells!D2:D999, D37,CaseCells!E2:E999, "B")</f>
        <v>140</v>
      </c>
      <c r="N37" s="3">
        <f>IF(M37 = 0, "", L37 / M37)</f>
        <v>0.32142857142857145</v>
      </c>
      <c r="O37" s="3" t="str">
        <f>IF(K37 &gt; N37, "A", "B")</f>
        <v>B</v>
      </c>
      <c r="P37" s="5">
        <f>SUMIFS(CaseCells!G2:G999,CaseCells!C2:C999, C37)</f>
        <v>2330</v>
      </c>
      <c r="Q37" s="5">
        <f>SUMIFS(CaseCells!G2:G999,CaseCells!C2:C999, C37,CaseCells!D2:D999, D37)</f>
        <v>722</v>
      </c>
      <c r="R37" s="3">
        <f>IF(P37 = 0, "", Q37 / P37)</f>
        <v>0.3098712446351931</v>
      </c>
      <c r="S37" s="3">
        <f>IF(R37 = "", "", R37 * H37)</f>
        <v>0.0996014714898835</v>
      </c>
      <c r="T37" s="5">
        <f>SUMIFS(CaseCells!G2:G999,CaseCells!C2:C999, C37,CaseCells!D2:D999, D37,CaseCells!E2:E999, "A")</f>
        <v>582</v>
      </c>
      <c r="U37" s="5">
        <f>SUMIFS(CaseCells!G2:G999,CaseCells!C2:C999, C37,CaseCells!D2:D999, D37,CaseCells!E2:E999, "B")</f>
        <v>140</v>
      </c>
      <c r="V37" s="5">
        <f>SUMIFS(CaseCells!G2:G999,CaseCells!C2:C999, C37,CaseCells!E2:E999, "A")</f>
        <v>1284</v>
      </c>
      <c r="W37" s="5">
        <f>SUMIFS(CaseCells!G2:G999,CaseCells!C2:C999, C37,CaseCells!E2:E999, "B")</f>
        <v>1046</v>
      </c>
      <c r="X37" s="3">
        <f>IF(V37 = 0, "", T37 / V37)</f>
        <v>0.4532710280373832</v>
      </c>
      <c r="Y37" s="3">
        <f>IF(W37 = 0, "", U37 / W37)</f>
        <v>0.1338432122370937</v>
      </c>
      <c r="Z37" s="3">
        <f>IF(X37 = "", "", X37 - Y37)</f>
        <v>0.31942781580028945</v>
      </c>
      <c r="AA37" s="3">
        <f>IF(K37 = "", "", K37 - N37)</f>
        <v>-0.00699558173784981</v>
      </c>
      <c r="AB37" s="3">
        <f>IF(AA37 = "", "", AA37 * R37)</f>
        <v>-0.0021677296200547477</v>
      </c>
    </row>
    <row r="38">
      <c r="A38" s="2" t="s">
        <v>1815</v>
      </c>
      <c r="B38" s="3" t="str">
        <f>A38</f>
        <v>jeter-justice-1997-1997-A</v>
      </c>
      <c r="C38" s="2" t="s">
        <v>448</v>
      </c>
      <c r="D38" s="2" t="s">
        <v>1202</v>
      </c>
      <c r="E38" s="2" t="s">
        <v>792</v>
      </c>
      <c r="F38" s="5">
        <f>SUMIFS(CaseCells!F2:F999,CaseCells!C2:C999, C38,CaseCells!D2:D999, D38,CaseCells!E2:E999, E38)</f>
        <v>190</v>
      </c>
      <c r="G38" s="5">
        <f>SUMIFS(CaseCells!G2:G999,CaseCells!C2:C999, C38,CaseCells!D2:D999, D38,CaseCells!E2:E999, E38)</f>
        <v>654</v>
      </c>
      <c r="H38" s="3">
        <f>IF(G38 = 0, "", F38 / G38)</f>
        <v>0.290519877675841</v>
      </c>
      <c r="I38" s="5">
        <f>SUMIFS(CaseCells!F2:F999,CaseCells!C2:C999, C38,CaseCells!D2:D999, D38,CaseCells!E2:E999, "A")</f>
        <v>190</v>
      </c>
      <c r="J38" s="5">
        <f>SUMIFS(CaseCells!G2:G999,CaseCells!C2:C999, C38,CaseCells!D2:D999, D38,CaseCells!E2:E999, "A")</f>
        <v>654</v>
      </c>
      <c r="K38" s="3">
        <f>IF(J38 = 0, "", I38 / J38)</f>
        <v>0.290519877675841</v>
      </c>
      <c r="L38" s="5">
        <f>SUMIFS(CaseCells!F2:F999,CaseCells!C2:C999, C38,CaseCells!D2:D999, D38,CaseCells!E2:E999, "B")</f>
        <v>163</v>
      </c>
      <c r="M38" s="5">
        <f>SUMIFS(CaseCells!G2:G999,CaseCells!C2:C999, C38,CaseCells!D2:D999, D38,CaseCells!E2:E999, "B")</f>
        <v>495</v>
      </c>
      <c r="N38" s="3">
        <f>IF(M38 = 0, "", L38 / M38)</f>
        <v>0.3292929292929293</v>
      </c>
      <c r="O38" s="3" t="str">
        <f>IF(K38 &gt; N38, "A", "B")</f>
        <v>B</v>
      </c>
      <c r="P38" s="5">
        <f>SUMIFS(CaseCells!G2:G999,CaseCells!C2:C999, C38)</f>
        <v>2330</v>
      </c>
      <c r="Q38" s="5">
        <f>SUMIFS(CaseCells!G2:G999,CaseCells!C2:C999, C38,CaseCells!D2:D999, D38)</f>
        <v>1149</v>
      </c>
      <c r="R38" s="3">
        <f>IF(P38 = 0, "", Q38 / P38)</f>
        <v>0.49313304721030043</v>
      </c>
      <c r="S38" s="3">
        <f>IF(R38 = "", "", R38 * H38)</f>
        <v>0.1432649525534512</v>
      </c>
      <c r="T38" s="5">
        <f>SUMIFS(CaseCells!G2:G999,CaseCells!C2:C999, C38,CaseCells!D2:D999, D38,CaseCells!E2:E999, "A")</f>
        <v>654</v>
      </c>
      <c r="U38" s="5">
        <f>SUMIFS(CaseCells!G2:G999,CaseCells!C2:C999, C38,CaseCells!D2:D999, D38,CaseCells!E2:E999, "B")</f>
        <v>495</v>
      </c>
      <c r="V38" s="5">
        <f>SUMIFS(CaseCells!G2:G999,CaseCells!C2:C999, C38,CaseCells!E2:E999, "A")</f>
        <v>1284</v>
      </c>
      <c r="W38" s="5">
        <f>SUMIFS(CaseCells!G2:G999,CaseCells!C2:C999, C38,CaseCells!E2:E999, "B")</f>
        <v>1046</v>
      </c>
      <c r="X38" s="3">
        <f>IF(V38 = 0, "", T38 / V38)</f>
        <v>0.5093457943925234</v>
      </c>
      <c r="Y38" s="3">
        <f>IF(W38 = 0, "", U38 / W38)</f>
        <v>0.4732313575525813</v>
      </c>
      <c r="Z38" s="3">
        <f>IF(X38 = "", "", X38 - Y38)</f>
        <v>0.03611443683994209</v>
      </c>
      <c r="AA38" s="3">
        <f>IF(K38 = "", "", K38 - N38)</f>
        <v>-0.03877305161708833</v>
      </c>
      <c r="AB38" s="3">
        <f>IF(AA38 = "", "", AA38 * R38)</f>
        <v>-0.019120273093577035</v>
      </c>
    </row>
    <row r="39">
      <c r="A39" s="2" t="s">
        <v>1816</v>
      </c>
      <c r="B39" s="3" t="str">
        <f>A39</f>
        <v>jeter-justice-1997-1997-B</v>
      </c>
      <c r="C39" s="2" t="s">
        <v>448</v>
      </c>
      <c r="D39" s="2" t="s">
        <v>1202</v>
      </c>
      <c r="E39" s="2" t="s">
        <v>795</v>
      </c>
      <c r="F39" s="5">
        <f>SUMIFS(CaseCells!F2:F999,CaseCells!C2:C999, C39,CaseCells!D2:D999, D39,CaseCells!E2:E999, E39)</f>
        <v>163</v>
      </c>
      <c r="G39" s="5">
        <f>SUMIFS(CaseCells!G2:G999,CaseCells!C2:C999, C39,CaseCells!D2:D999, D39,CaseCells!E2:E999, E39)</f>
        <v>495</v>
      </c>
      <c r="H39" s="3">
        <f>IF(G39 = 0, "", F39 / G39)</f>
        <v>0.3292929292929293</v>
      </c>
      <c r="I39" s="5">
        <f>SUMIFS(CaseCells!F2:F999,CaseCells!C2:C999, C39,CaseCells!D2:D999, D39,CaseCells!E2:E999, "A")</f>
        <v>190</v>
      </c>
      <c r="J39" s="5">
        <f>SUMIFS(CaseCells!G2:G999,CaseCells!C2:C999, C39,CaseCells!D2:D999, D39,CaseCells!E2:E999, "A")</f>
        <v>654</v>
      </c>
      <c r="K39" s="3">
        <f>IF(J39 = 0, "", I39 / J39)</f>
        <v>0.290519877675841</v>
      </c>
      <c r="L39" s="5">
        <f>SUMIFS(CaseCells!F2:F999,CaseCells!C2:C999, C39,CaseCells!D2:D999, D39,CaseCells!E2:E999, "B")</f>
        <v>163</v>
      </c>
      <c r="M39" s="5">
        <f>SUMIFS(CaseCells!G2:G999,CaseCells!C2:C999, C39,CaseCells!D2:D999, D39,CaseCells!E2:E999, "B")</f>
        <v>495</v>
      </c>
      <c r="N39" s="3">
        <f>IF(M39 = 0, "", L39 / M39)</f>
        <v>0.3292929292929293</v>
      </c>
      <c r="O39" s="3" t="str">
        <f>IF(K39 &gt; N39, "A", "B")</f>
        <v>B</v>
      </c>
      <c r="P39" s="5">
        <f>SUMIFS(CaseCells!G2:G999,CaseCells!C2:C999, C39)</f>
        <v>2330</v>
      </c>
      <c r="Q39" s="5">
        <f>SUMIFS(CaseCells!G2:G999,CaseCells!C2:C999, C39,CaseCells!D2:D999, D39)</f>
        <v>1149</v>
      </c>
      <c r="R39" s="3">
        <f>IF(P39 = 0, "", Q39 / P39)</f>
        <v>0.49313304721030043</v>
      </c>
      <c r="S39" s="3">
        <f>IF(R39 = "", "", R39 * H39)</f>
        <v>0.16238522564702823</v>
      </c>
      <c r="T39" s="5">
        <f>SUMIFS(CaseCells!G2:G999,CaseCells!C2:C999, C39,CaseCells!D2:D999, D39,CaseCells!E2:E999, "A")</f>
        <v>654</v>
      </c>
      <c r="U39" s="5">
        <f>SUMIFS(CaseCells!G2:G999,CaseCells!C2:C999, C39,CaseCells!D2:D999, D39,CaseCells!E2:E999, "B")</f>
        <v>495</v>
      </c>
      <c r="V39" s="5">
        <f>SUMIFS(CaseCells!G2:G999,CaseCells!C2:C999, C39,CaseCells!E2:E999, "A")</f>
        <v>1284</v>
      </c>
      <c r="W39" s="5">
        <f>SUMIFS(CaseCells!G2:G999,CaseCells!C2:C999, C39,CaseCells!E2:E999, "B")</f>
        <v>1046</v>
      </c>
      <c r="X39" s="3">
        <f>IF(V39 = 0, "", T39 / V39)</f>
        <v>0.5093457943925234</v>
      </c>
      <c r="Y39" s="3">
        <f>IF(W39 = 0, "", U39 / W39)</f>
        <v>0.4732313575525813</v>
      </c>
      <c r="Z39" s="3">
        <f>IF(X39 = "", "", X39 - Y39)</f>
        <v>0.03611443683994209</v>
      </c>
      <c r="AA39" s="3">
        <f>IF(K39 = "", "", K39 - N39)</f>
        <v>-0.03877305161708833</v>
      </c>
      <c r="AB39" s="3">
        <f>IF(AA39 = "", "", AA39 * R39)</f>
        <v>-0.019120273093577035</v>
      </c>
    </row>
    <row r="40">
      <c r="A40" s="2" t="s">
        <v>1817</v>
      </c>
      <c r="B40" s="3" t="str">
        <f>A40</f>
        <v>appleton-1996-18-24-A</v>
      </c>
      <c r="C40" s="2" t="s">
        <v>453</v>
      </c>
      <c r="D40" s="2" t="s">
        <v>1205</v>
      </c>
      <c r="E40" s="2" t="s">
        <v>792</v>
      </c>
      <c r="F40" s="5">
        <f>SUMIFS(CaseCells!F2:F999,CaseCells!C2:C999, C40,CaseCells!D2:D999, D40,CaseCells!E2:E999, E40)</f>
        <v>2</v>
      </c>
      <c r="G40" s="5">
        <f>SUMIFS(CaseCells!G2:G999,CaseCells!C2:C999, C40,CaseCells!D2:D999, D40,CaseCells!E2:E999, E40)</f>
        <v>55</v>
      </c>
      <c r="H40" s="3">
        <f>IF(G40 = 0, "", F40 / G40)</f>
        <v>0.03636363636363636</v>
      </c>
      <c r="I40" s="5">
        <f>SUMIFS(CaseCells!F2:F999,CaseCells!C2:C999, C40,CaseCells!D2:D999, D40,CaseCells!E2:E999, "A")</f>
        <v>2</v>
      </c>
      <c r="J40" s="5">
        <f>SUMIFS(CaseCells!G2:G999,CaseCells!C2:C999, C40,CaseCells!D2:D999, D40,CaseCells!E2:E999, "A")</f>
        <v>55</v>
      </c>
      <c r="K40" s="3">
        <f>IF(J40 = 0, "", I40 / J40)</f>
        <v>0.03636363636363636</v>
      </c>
      <c r="L40" s="5">
        <f>SUMIFS(CaseCells!F2:F999,CaseCells!C2:C999, C40,CaseCells!D2:D999, D40,CaseCells!E2:E999, "B")</f>
        <v>1</v>
      </c>
      <c r="M40" s="5">
        <f>SUMIFS(CaseCells!G2:G999,CaseCells!C2:C999, C40,CaseCells!D2:D999, D40,CaseCells!E2:E999, "B")</f>
        <v>72</v>
      </c>
      <c r="N40" s="3">
        <f>IF(M40 = 0, "", L40 / M40)</f>
        <v>0.013888888888888888</v>
      </c>
      <c r="O40" s="3" t="str">
        <f>IF(K40 &gt; N40, "A", "B")</f>
        <v>A</v>
      </c>
      <c r="P40" s="5">
        <f>SUMIFS(CaseCells!G2:G999,CaseCells!C2:C999, C40)</f>
        <v>1314</v>
      </c>
      <c r="Q40" s="5">
        <f>SUMIFS(CaseCells!G2:G999,CaseCells!C2:C999, C40,CaseCells!D2:D999, D40)</f>
        <v>127</v>
      </c>
      <c r="R40" s="3">
        <f>IF(P40 = 0, "", Q40 / P40)</f>
        <v>0.09665144596651445</v>
      </c>
      <c r="S40" s="3">
        <f>IF(R40 = "", "", R40 * H40)</f>
        <v>0.00351459803514598</v>
      </c>
      <c r="T40" s="5">
        <f>SUMIFS(CaseCells!G2:G999,CaseCells!C2:C999, C40,CaseCells!D2:D999, D40,CaseCells!E2:E999, "A")</f>
        <v>55</v>
      </c>
      <c r="U40" s="5">
        <f>SUMIFS(CaseCells!G2:G999,CaseCells!C2:C999, C40,CaseCells!D2:D999, D40,CaseCells!E2:E999, "B")</f>
        <v>72</v>
      </c>
      <c r="V40" s="5">
        <f>SUMIFS(CaseCells!G2:G999,CaseCells!C2:C999, C40,CaseCells!E2:E999, "A")</f>
        <v>582</v>
      </c>
      <c r="W40" s="5">
        <f>SUMIFS(CaseCells!G2:G999,CaseCells!C2:C999, C40,CaseCells!E2:E999, "B")</f>
        <v>732</v>
      </c>
      <c r="X40" s="3">
        <f>IF(V40 = 0, "", T40 / V40)</f>
        <v>0.09450171821305842</v>
      </c>
      <c r="Y40" s="3">
        <f>IF(W40 = 0, "", U40 / W40)</f>
        <v>0.09836065573770492</v>
      </c>
      <c r="Z40" s="3">
        <f>IF(X40 = "", "", X40 - Y40)</f>
        <v>-0.0038589375246464996</v>
      </c>
      <c r="AA40" s="3">
        <f>IF(K40 = "", "", K40 - N40)</f>
        <v>0.022474747474747474</v>
      </c>
      <c r="AB40" s="3">
        <f>IF(AA40 = "", "", AA40 * R40)</f>
        <v>0.0021722168411666127</v>
      </c>
    </row>
    <row r="41">
      <c r="A41" s="2" t="s">
        <v>1818</v>
      </c>
      <c r="B41" s="3" t="str">
        <f>A41</f>
        <v>appleton-1996-18-24-B</v>
      </c>
      <c r="C41" s="2" t="s">
        <v>453</v>
      </c>
      <c r="D41" s="2" t="s">
        <v>1205</v>
      </c>
      <c r="E41" s="2" t="s">
        <v>795</v>
      </c>
      <c r="F41" s="5">
        <f>SUMIFS(CaseCells!F2:F999,CaseCells!C2:C999, C41,CaseCells!D2:D999, D41,CaseCells!E2:E999, E41)</f>
        <v>1</v>
      </c>
      <c r="G41" s="5">
        <f>SUMIFS(CaseCells!G2:G999,CaseCells!C2:C999, C41,CaseCells!D2:D999, D41,CaseCells!E2:E999, E41)</f>
        <v>72</v>
      </c>
      <c r="H41" s="3">
        <f>IF(G41 = 0, "", F41 / G41)</f>
        <v>0.013888888888888888</v>
      </c>
      <c r="I41" s="5">
        <f>SUMIFS(CaseCells!F2:F999,CaseCells!C2:C999, C41,CaseCells!D2:D999, D41,CaseCells!E2:E999, "A")</f>
        <v>2</v>
      </c>
      <c r="J41" s="5">
        <f>SUMIFS(CaseCells!G2:G999,CaseCells!C2:C999, C41,CaseCells!D2:D999, D41,CaseCells!E2:E999, "A")</f>
        <v>55</v>
      </c>
      <c r="K41" s="3">
        <f>IF(J41 = 0, "", I41 / J41)</f>
        <v>0.03636363636363636</v>
      </c>
      <c r="L41" s="5">
        <f>SUMIFS(CaseCells!F2:F999,CaseCells!C2:C999, C41,CaseCells!D2:D999, D41,CaseCells!E2:E999, "B")</f>
        <v>1</v>
      </c>
      <c r="M41" s="5">
        <f>SUMIFS(CaseCells!G2:G999,CaseCells!C2:C999, C41,CaseCells!D2:D999, D41,CaseCells!E2:E999, "B")</f>
        <v>72</v>
      </c>
      <c r="N41" s="3">
        <f>IF(M41 = 0, "", L41 / M41)</f>
        <v>0.013888888888888888</v>
      </c>
      <c r="O41" s="3" t="str">
        <f>IF(K41 &gt; N41, "A", "B")</f>
        <v>A</v>
      </c>
      <c r="P41" s="5">
        <f>SUMIFS(CaseCells!G2:G999,CaseCells!C2:C999, C41)</f>
        <v>1314</v>
      </c>
      <c r="Q41" s="5">
        <f>SUMIFS(CaseCells!G2:G999,CaseCells!C2:C999, C41,CaseCells!D2:D999, D41)</f>
        <v>127</v>
      </c>
      <c r="R41" s="3">
        <f>IF(P41 = 0, "", Q41 / P41)</f>
        <v>0.09665144596651445</v>
      </c>
      <c r="S41" s="3">
        <f>IF(R41 = "", "", R41 * H41)</f>
        <v>0.0013423811939793674</v>
      </c>
      <c r="T41" s="5">
        <f>SUMIFS(CaseCells!G2:G999,CaseCells!C2:C999, C41,CaseCells!D2:D999, D41,CaseCells!E2:E999, "A")</f>
        <v>55</v>
      </c>
      <c r="U41" s="5">
        <f>SUMIFS(CaseCells!G2:G999,CaseCells!C2:C999, C41,CaseCells!D2:D999, D41,CaseCells!E2:E999, "B")</f>
        <v>72</v>
      </c>
      <c r="V41" s="5">
        <f>SUMIFS(CaseCells!G2:G999,CaseCells!C2:C999, C41,CaseCells!E2:E999, "A")</f>
        <v>582</v>
      </c>
      <c r="W41" s="5">
        <f>SUMIFS(CaseCells!G2:G999,CaseCells!C2:C999, C41,CaseCells!E2:E999, "B")</f>
        <v>732</v>
      </c>
      <c r="X41" s="3">
        <f>IF(V41 = 0, "", T41 / V41)</f>
        <v>0.09450171821305842</v>
      </c>
      <c r="Y41" s="3">
        <f>IF(W41 = 0, "", U41 / W41)</f>
        <v>0.09836065573770492</v>
      </c>
      <c r="Z41" s="3">
        <f>IF(X41 = "", "", X41 - Y41)</f>
        <v>-0.0038589375246464996</v>
      </c>
      <c r="AA41" s="3">
        <f>IF(K41 = "", "", K41 - N41)</f>
        <v>0.022474747474747474</v>
      </c>
      <c r="AB41" s="3">
        <f>IF(AA41 = "", "", AA41 * R41)</f>
        <v>0.0021722168411666127</v>
      </c>
    </row>
    <row r="42">
      <c r="A42" s="2" t="s">
        <v>1819</v>
      </c>
      <c r="B42" s="3" t="str">
        <f>A42</f>
        <v>appleton-1996-25-34-A</v>
      </c>
      <c r="C42" s="2" t="s">
        <v>453</v>
      </c>
      <c r="D42" s="2" t="s">
        <v>1208</v>
      </c>
      <c r="E42" s="2" t="s">
        <v>792</v>
      </c>
      <c r="F42" s="5">
        <f>SUMIFS(CaseCells!F2:F999,CaseCells!C2:C999, C42,CaseCells!D2:D999, D42,CaseCells!E2:E999, E42)</f>
        <v>3</v>
      </c>
      <c r="G42" s="5">
        <f>SUMIFS(CaseCells!G2:G999,CaseCells!C2:C999, C42,CaseCells!D2:D999, D42,CaseCells!E2:E999, E42)</f>
        <v>125</v>
      </c>
      <c r="H42" s="3">
        <f>IF(G42 = 0, "", F42 / G42)</f>
        <v>0.024</v>
      </c>
      <c r="I42" s="5">
        <f>SUMIFS(CaseCells!F2:F999,CaseCells!C2:C999, C42,CaseCells!D2:D999, D42,CaseCells!E2:E999, "A")</f>
        <v>3</v>
      </c>
      <c r="J42" s="5">
        <f>SUMIFS(CaseCells!G2:G999,CaseCells!C2:C999, C42,CaseCells!D2:D999, D42,CaseCells!E2:E999, "A")</f>
        <v>125</v>
      </c>
      <c r="K42" s="3">
        <f>IF(J42 = 0, "", I42 / J42)</f>
        <v>0.024</v>
      </c>
      <c r="L42" s="5">
        <f>SUMIFS(CaseCells!F2:F999,CaseCells!C2:C999, C42,CaseCells!D2:D999, D42,CaseCells!E2:E999, "B")</f>
        <v>4</v>
      </c>
      <c r="M42" s="5">
        <f>SUMIFS(CaseCells!G2:G999,CaseCells!C2:C999, C42,CaseCells!D2:D999, D42,CaseCells!E2:E999, "B")</f>
        <v>156</v>
      </c>
      <c r="N42" s="3">
        <f>IF(M42 = 0, "", L42 / M42)</f>
        <v>0.02564102564102564</v>
      </c>
      <c r="O42" s="3" t="str">
        <f>IF(K42 &gt; N42, "A", "B")</f>
        <v>B</v>
      </c>
      <c r="P42" s="5">
        <f>SUMIFS(CaseCells!G2:G999,CaseCells!C2:C999, C42)</f>
        <v>1314</v>
      </c>
      <c r="Q42" s="5">
        <f>SUMIFS(CaseCells!G2:G999,CaseCells!C2:C999, C42,CaseCells!D2:D999, D42)</f>
        <v>281</v>
      </c>
      <c r="R42" s="3">
        <f>IF(P42 = 0, "", Q42 / P42)</f>
        <v>0.21385083713850836</v>
      </c>
      <c r="S42" s="3">
        <f>IF(R42 = "", "", R42 * H42)</f>
        <v>0.0051324200913242</v>
      </c>
      <c r="T42" s="5">
        <f>SUMIFS(CaseCells!G2:G999,CaseCells!C2:C999, C42,CaseCells!D2:D999, D42,CaseCells!E2:E999, "A")</f>
        <v>125</v>
      </c>
      <c r="U42" s="5">
        <f>SUMIFS(CaseCells!G2:G999,CaseCells!C2:C999, C42,CaseCells!D2:D999, D42,CaseCells!E2:E999, "B")</f>
        <v>156</v>
      </c>
      <c r="V42" s="5">
        <f>SUMIFS(CaseCells!G2:G999,CaseCells!C2:C999, C42,CaseCells!E2:E999, "A")</f>
        <v>582</v>
      </c>
      <c r="W42" s="5">
        <f>SUMIFS(CaseCells!G2:G999,CaseCells!C2:C999, C42,CaseCells!E2:E999, "B")</f>
        <v>732</v>
      </c>
      <c r="X42" s="3">
        <f>IF(V42 = 0, "", T42 / V42)</f>
        <v>0.21477663230240548</v>
      </c>
      <c r="Y42" s="3">
        <f>IF(W42 = 0, "", U42 / W42)</f>
        <v>0.21311475409836064</v>
      </c>
      <c r="Z42" s="3">
        <f>IF(X42 = "", "", X42 - Y42)</f>
        <v>0.001661878204044842</v>
      </c>
      <c r="AA42" s="3">
        <f>IF(K42 = "", "", K42 - N42)</f>
        <v>-0.0016410256410256396</v>
      </c>
      <c r="AB42" s="3">
        <f>IF(AA42 = "", "", AA42 * R42)</f>
        <v>-0.00035093470709909034</v>
      </c>
    </row>
    <row r="43">
      <c r="A43" s="2" t="s">
        <v>1820</v>
      </c>
      <c r="B43" s="3" t="str">
        <f>A43</f>
        <v>appleton-1996-25-34-B</v>
      </c>
      <c r="C43" s="2" t="s">
        <v>453</v>
      </c>
      <c r="D43" s="2" t="s">
        <v>1208</v>
      </c>
      <c r="E43" s="2" t="s">
        <v>795</v>
      </c>
      <c r="F43" s="5">
        <f>SUMIFS(CaseCells!F2:F999,CaseCells!C2:C999, C43,CaseCells!D2:D999, D43,CaseCells!E2:E999, E43)</f>
        <v>4</v>
      </c>
      <c r="G43" s="5">
        <f>SUMIFS(CaseCells!G2:G999,CaseCells!C2:C999, C43,CaseCells!D2:D999, D43,CaseCells!E2:E999, E43)</f>
        <v>156</v>
      </c>
      <c r="H43" s="3">
        <f>IF(G43 = 0, "", F43 / G43)</f>
        <v>0.02564102564102564</v>
      </c>
      <c r="I43" s="5">
        <f>SUMIFS(CaseCells!F2:F999,CaseCells!C2:C999, C43,CaseCells!D2:D999, D43,CaseCells!E2:E999, "A")</f>
        <v>3</v>
      </c>
      <c r="J43" s="5">
        <f>SUMIFS(CaseCells!G2:G999,CaseCells!C2:C999, C43,CaseCells!D2:D999, D43,CaseCells!E2:E999, "A")</f>
        <v>125</v>
      </c>
      <c r="K43" s="3">
        <f>IF(J43 = 0, "", I43 / J43)</f>
        <v>0.024</v>
      </c>
      <c r="L43" s="5">
        <f>SUMIFS(CaseCells!F2:F999,CaseCells!C2:C999, C43,CaseCells!D2:D999, D43,CaseCells!E2:E999, "B")</f>
        <v>4</v>
      </c>
      <c r="M43" s="5">
        <f>SUMIFS(CaseCells!G2:G999,CaseCells!C2:C999, C43,CaseCells!D2:D999, D43,CaseCells!E2:E999, "B")</f>
        <v>156</v>
      </c>
      <c r="N43" s="3">
        <f>IF(M43 = 0, "", L43 / M43)</f>
        <v>0.02564102564102564</v>
      </c>
      <c r="O43" s="3" t="str">
        <f>IF(K43 &gt; N43, "A", "B")</f>
        <v>B</v>
      </c>
      <c r="P43" s="5">
        <f>SUMIFS(CaseCells!G2:G999,CaseCells!C2:C999, C43)</f>
        <v>1314</v>
      </c>
      <c r="Q43" s="5">
        <f>SUMIFS(CaseCells!G2:G999,CaseCells!C2:C999, C43,CaseCells!D2:D999, D43)</f>
        <v>281</v>
      </c>
      <c r="R43" s="3">
        <f>IF(P43 = 0, "", Q43 / P43)</f>
        <v>0.21385083713850836</v>
      </c>
      <c r="S43" s="3">
        <f>IF(R43 = "", "", R43 * H43)</f>
        <v>0.005483354798423291</v>
      </c>
      <c r="T43" s="5">
        <f>SUMIFS(CaseCells!G2:G999,CaseCells!C2:C999, C43,CaseCells!D2:D999, D43,CaseCells!E2:E999, "A")</f>
        <v>125</v>
      </c>
      <c r="U43" s="5">
        <f>SUMIFS(CaseCells!G2:G999,CaseCells!C2:C999, C43,CaseCells!D2:D999, D43,CaseCells!E2:E999, "B")</f>
        <v>156</v>
      </c>
      <c r="V43" s="5">
        <f>SUMIFS(CaseCells!G2:G999,CaseCells!C2:C999, C43,CaseCells!E2:E999, "A")</f>
        <v>582</v>
      </c>
      <c r="W43" s="5">
        <f>SUMIFS(CaseCells!G2:G999,CaseCells!C2:C999, C43,CaseCells!E2:E999, "B")</f>
        <v>732</v>
      </c>
      <c r="X43" s="3">
        <f>IF(V43 = 0, "", T43 / V43)</f>
        <v>0.21477663230240548</v>
      </c>
      <c r="Y43" s="3">
        <f>IF(W43 = 0, "", U43 / W43)</f>
        <v>0.21311475409836064</v>
      </c>
      <c r="Z43" s="3">
        <f>IF(X43 = "", "", X43 - Y43)</f>
        <v>0.001661878204044842</v>
      </c>
      <c r="AA43" s="3">
        <f>IF(K43 = "", "", K43 - N43)</f>
        <v>-0.0016410256410256396</v>
      </c>
      <c r="AB43" s="3">
        <f>IF(AA43 = "", "", AA43 * R43)</f>
        <v>-0.00035093470709909034</v>
      </c>
    </row>
    <row r="44">
      <c r="A44" s="2" t="s">
        <v>1821</v>
      </c>
      <c r="B44" s="3" t="str">
        <f>A44</f>
        <v>appleton-1996-35-44-A</v>
      </c>
      <c r="C44" s="2" t="s">
        <v>453</v>
      </c>
      <c r="D44" s="2" t="s">
        <v>1211</v>
      </c>
      <c r="E44" s="2" t="s">
        <v>792</v>
      </c>
      <c r="F44" s="5">
        <f>SUMIFS(CaseCells!F2:F999,CaseCells!C2:C999, C44,CaseCells!D2:D999, D44,CaseCells!E2:E999, E44)</f>
        <v>10</v>
      </c>
      <c r="G44" s="5">
        <f>SUMIFS(CaseCells!G2:G999,CaseCells!C2:C999, C44,CaseCells!D2:D999, D44,CaseCells!E2:E999, E44)</f>
        <v>105</v>
      </c>
      <c r="H44" s="3">
        <f>IF(G44 = 0, "", F44 / G44)</f>
        <v>0.09523809523809523</v>
      </c>
      <c r="I44" s="5">
        <f>SUMIFS(CaseCells!F2:F999,CaseCells!C2:C999, C44,CaseCells!D2:D999, D44,CaseCells!E2:E999, "A")</f>
        <v>10</v>
      </c>
      <c r="J44" s="5">
        <f>SUMIFS(CaseCells!G2:G999,CaseCells!C2:C999, C44,CaseCells!D2:D999, D44,CaseCells!E2:E999, "A")</f>
        <v>105</v>
      </c>
      <c r="K44" s="3">
        <f>IF(J44 = 0, "", I44 / J44)</f>
        <v>0.09523809523809523</v>
      </c>
      <c r="L44" s="5">
        <f>SUMIFS(CaseCells!F2:F999,CaseCells!C2:C999, C44,CaseCells!D2:D999, D44,CaseCells!E2:E999, "B")</f>
        <v>7</v>
      </c>
      <c r="M44" s="5">
        <f>SUMIFS(CaseCells!G2:G999,CaseCells!C2:C999, C44,CaseCells!D2:D999, D44,CaseCells!E2:E999, "B")</f>
        <v>111</v>
      </c>
      <c r="N44" s="3">
        <f>IF(M44 = 0, "", L44 / M44)</f>
        <v>0.06306306306306306</v>
      </c>
      <c r="O44" s="3" t="str">
        <f>IF(K44 &gt; N44, "A", "B")</f>
        <v>A</v>
      </c>
      <c r="P44" s="5">
        <f>SUMIFS(CaseCells!G2:G999,CaseCells!C2:C999, C44)</f>
        <v>1314</v>
      </c>
      <c r="Q44" s="5">
        <f>SUMIFS(CaseCells!G2:G999,CaseCells!C2:C999, C44,CaseCells!D2:D999, D44)</f>
        <v>216</v>
      </c>
      <c r="R44" s="3">
        <f>IF(P44 = 0, "", Q44 / P44)</f>
        <v>0.1643835616438356</v>
      </c>
      <c r="S44" s="3">
        <f>IF(R44 = "", "", R44 * H44)</f>
        <v>0.015655577299412915</v>
      </c>
      <c r="T44" s="5">
        <f>SUMIFS(CaseCells!G2:G999,CaseCells!C2:C999, C44,CaseCells!D2:D999, D44,CaseCells!E2:E999, "A")</f>
        <v>105</v>
      </c>
      <c r="U44" s="5">
        <f>SUMIFS(CaseCells!G2:G999,CaseCells!C2:C999, C44,CaseCells!D2:D999, D44,CaseCells!E2:E999, "B")</f>
        <v>111</v>
      </c>
      <c r="V44" s="5">
        <f>SUMIFS(CaseCells!G2:G999,CaseCells!C2:C999, C44,CaseCells!E2:E999, "A")</f>
        <v>582</v>
      </c>
      <c r="W44" s="5">
        <f>SUMIFS(CaseCells!G2:G999,CaseCells!C2:C999, C44,CaseCells!E2:E999, "B")</f>
        <v>732</v>
      </c>
      <c r="X44" s="3">
        <f>IF(V44 = 0, "", T44 / V44)</f>
        <v>0.18041237113402062</v>
      </c>
      <c r="Y44" s="3">
        <f>IF(W44 = 0, "", U44 / W44)</f>
        <v>0.15163934426229508</v>
      </c>
      <c r="Z44" s="3">
        <f>IF(X44 = "", "", X44 - Y44)</f>
        <v>0.028773026871725532</v>
      </c>
      <c r="AA44" s="3">
        <f>IF(K44 = "", "", K44 - N44)</f>
        <v>0.032175032175032175</v>
      </c>
      <c r="AB44" s="3">
        <f>IF(AA44 = "", "", AA44 * R44)</f>
        <v>0.0052890463849367955</v>
      </c>
    </row>
    <row r="45">
      <c r="A45" s="2" t="s">
        <v>1822</v>
      </c>
      <c r="B45" s="3" t="str">
        <f>A45</f>
        <v>appleton-1996-35-44-B</v>
      </c>
      <c r="C45" s="2" t="s">
        <v>453</v>
      </c>
      <c r="D45" s="2" t="s">
        <v>1211</v>
      </c>
      <c r="E45" s="2" t="s">
        <v>795</v>
      </c>
      <c r="F45" s="5">
        <f>SUMIFS(CaseCells!F2:F999,CaseCells!C2:C999, C45,CaseCells!D2:D999, D45,CaseCells!E2:E999, E45)</f>
        <v>7</v>
      </c>
      <c r="G45" s="5">
        <f>SUMIFS(CaseCells!G2:G999,CaseCells!C2:C999, C45,CaseCells!D2:D999, D45,CaseCells!E2:E999, E45)</f>
        <v>111</v>
      </c>
      <c r="H45" s="3">
        <f>IF(G45 = 0, "", F45 / G45)</f>
        <v>0.06306306306306306</v>
      </c>
      <c r="I45" s="5">
        <f>SUMIFS(CaseCells!F2:F999,CaseCells!C2:C999, C45,CaseCells!D2:D999, D45,CaseCells!E2:E999, "A")</f>
        <v>10</v>
      </c>
      <c r="J45" s="5">
        <f>SUMIFS(CaseCells!G2:G999,CaseCells!C2:C999, C45,CaseCells!D2:D999, D45,CaseCells!E2:E999, "A")</f>
        <v>105</v>
      </c>
      <c r="K45" s="3">
        <f>IF(J45 = 0, "", I45 / J45)</f>
        <v>0.09523809523809523</v>
      </c>
      <c r="L45" s="5">
        <f>SUMIFS(CaseCells!F2:F999,CaseCells!C2:C999, C45,CaseCells!D2:D999, D45,CaseCells!E2:E999, "B")</f>
        <v>7</v>
      </c>
      <c r="M45" s="5">
        <f>SUMIFS(CaseCells!G2:G999,CaseCells!C2:C999, C45,CaseCells!D2:D999, D45,CaseCells!E2:E999, "B")</f>
        <v>111</v>
      </c>
      <c r="N45" s="3">
        <f>IF(M45 = 0, "", L45 / M45)</f>
        <v>0.06306306306306306</v>
      </c>
      <c r="O45" s="3" t="str">
        <f>IF(K45 &gt; N45, "A", "B")</f>
        <v>A</v>
      </c>
      <c r="P45" s="5">
        <f>SUMIFS(CaseCells!G2:G999,CaseCells!C2:C999, C45)</f>
        <v>1314</v>
      </c>
      <c r="Q45" s="5">
        <f>SUMIFS(CaseCells!G2:G999,CaseCells!C2:C999, C45,CaseCells!D2:D999, D45)</f>
        <v>216</v>
      </c>
      <c r="R45" s="3">
        <f>IF(P45 = 0, "", Q45 / P45)</f>
        <v>0.1643835616438356</v>
      </c>
      <c r="S45" s="3">
        <f>IF(R45 = "", "", R45 * H45)</f>
        <v>0.010366530914476119</v>
      </c>
      <c r="T45" s="5">
        <f>SUMIFS(CaseCells!G2:G999,CaseCells!C2:C999, C45,CaseCells!D2:D999, D45,CaseCells!E2:E999, "A")</f>
        <v>105</v>
      </c>
      <c r="U45" s="5">
        <f>SUMIFS(CaseCells!G2:G999,CaseCells!C2:C999, C45,CaseCells!D2:D999, D45,CaseCells!E2:E999, "B")</f>
        <v>111</v>
      </c>
      <c r="V45" s="5">
        <f>SUMIFS(CaseCells!G2:G999,CaseCells!C2:C999, C45,CaseCells!E2:E999, "A")</f>
        <v>582</v>
      </c>
      <c r="W45" s="5">
        <f>SUMIFS(CaseCells!G2:G999,CaseCells!C2:C999, C45,CaseCells!E2:E999, "B")</f>
        <v>732</v>
      </c>
      <c r="X45" s="3">
        <f>IF(V45 = 0, "", T45 / V45)</f>
        <v>0.18041237113402062</v>
      </c>
      <c r="Y45" s="3">
        <f>IF(W45 = 0, "", U45 / W45)</f>
        <v>0.15163934426229508</v>
      </c>
      <c r="Z45" s="3">
        <f>IF(X45 = "", "", X45 - Y45)</f>
        <v>0.028773026871725532</v>
      </c>
      <c r="AA45" s="3">
        <f>IF(K45 = "", "", K45 - N45)</f>
        <v>0.032175032175032175</v>
      </c>
      <c r="AB45" s="3">
        <f>IF(AA45 = "", "", AA45 * R45)</f>
        <v>0.0052890463849367955</v>
      </c>
    </row>
    <row r="46">
      <c r="A46" s="2" t="s">
        <v>1823</v>
      </c>
      <c r="B46" s="3" t="str">
        <f>A46</f>
        <v>appleton-1996-45-54-A</v>
      </c>
      <c r="C46" s="2" t="s">
        <v>453</v>
      </c>
      <c r="D46" s="2" t="s">
        <v>1214</v>
      </c>
      <c r="E46" s="2" t="s">
        <v>792</v>
      </c>
      <c r="F46" s="5">
        <f>SUMIFS(CaseCells!F2:F999,CaseCells!C2:C999, C46,CaseCells!D2:D999, D46,CaseCells!E2:E999, E46)</f>
        <v>28</v>
      </c>
      <c r="G46" s="5">
        <f>SUMIFS(CaseCells!G2:G999,CaseCells!C2:C999, C46,CaseCells!D2:D999, D46,CaseCells!E2:E999, E46)</f>
        <v>131</v>
      </c>
      <c r="H46" s="3">
        <f>IF(G46 = 0, "", F46 / G46)</f>
        <v>0.21374045801526717</v>
      </c>
      <c r="I46" s="5">
        <f>SUMIFS(CaseCells!F2:F999,CaseCells!C2:C999, C46,CaseCells!D2:D999, D46,CaseCells!E2:E999, "A")</f>
        <v>28</v>
      </c>
      <c r="J46" s="5">
        <f>SUMIFS(CaseCells!G2:G999,CaseCells!C2:C999, C46,CaseCells!D2:D999, D46,CaseCells!E2:E999, "A")</f>
        <v>131</v>
      </c>
      <c r="K46" s="3">
        <f>IF(J46 = 0, "", I46 / J46)</f>
        <v>0.21374045801526717</v>
      </c>
      <c r="L46" s="5">
        <f>SUMIFS(CaseCells!F2:F999,CaseCells!C2:C999, C46,CaseCells!D2:D999, D46,CaseCells!E2:E999, "B")</f>
        <v>12</v>
      </c>
      <c r="M46" s="5">
        <f>SUMIFS(CaseCells!G2:G999,CaseCells!C2:C999, C46,CaseCells!D2:D999, D46,CaseCells!E2:E999, "B")</f>
        <v>78</v>
      </c>
      <c r="N46" s="3">
        <f>IF(M46 = 0, "", L46 / M46)</f>
        <v>0.15384615384615385</v>
      </c>
      <c r="O46" s="3" t="str">
        <f>IF(K46 &gt; N46, "A", "B")</f>
        <v>A</v>
      </c>
      <c r="P46" s="5">
        <f>SUMIFS(CaseCells!G2:G999,CaseCells!C2:C999, C46)</f>
        <v>1314</v>
      </c>
      <c r="Q46" s="5">
        <f>SUMIFS(CaseCells!G2:G999,CaseCells!C2:C999, C46,CaseCells!D2:D999, D46)</f>
        <v>209</v>
      </c>
      <c r="R46" s="3">
        <f>IF(P46 = 0, "", Q46 / P46)</f>
        <v>0.15905631659056316</v>
      </c>
      <c r="S46" s="3">
        <f>IF(R46 = "", "", R46 * H46)</f>
        <v>0.033996769958288306</v>
      </c>
      <c r="T46" s="5">
        <f>SUMIFS(CaseCells!G2:G999,CaseCells!C2:C999, C46,CaseCells!D2:D999, D46,CaseCells!E2:E999, "A")</f>
        <v>131</v>
      </c>
      <c r="U46" s="5">
        <f>SUMIFS(CaseCells!G2:G999,CaseCells!C2:C999, C46,CaseCells!D2:D999, D46,CaseCells!E2:E999, "B")</f>
        <v>78</v>
      </c>
      <c r="V46" s="5">
        <f>SUMIFS(CaseCells!G2:G999,CaseCells!C2:C999, C46,CaseCells!E2:E999, "A")</f>
        <v>582</v>
      </c>
      <c r="W46" s="5">
        <f>SUMIFS(CaseCells!G2:G999,CaseCells!C2:C999, C46,CaseCells!E2:E999, "B")</f>
        <v>732</v>
      </c>
      <c r="X46" s="3">
        <f>IF(V46 = 0, "", T46 / V46)</f>
        <v>0.22508591065292097</v>
      </c>
      <c r="Y46" s="3">
        <f>IF(W46 = 0, "", U46 / W46)</f>
        <v>0.10655737704918032</v>
      </c>
      <c r="Z46" s="3">
        <f>IF(X46 = "", "", X46 - Y46)</f>
        <v>0.11852853360374065</v>
      </c>
      <c r="AA46" s="3">
        <f>IF(K46 = "", "", K46 - N46)</f>
        <v>0.059894304169113316</v>
      </c>
      <c r="AB46" s="3">
        <f>IF(AA46 = "", "", AA46 * R46)</f>
        <v>0.009526567405893974</v>
      </c>
    </row>
    <row r="47">
      <c r="A47" s="2" t="s">
        <v>1824</v>
      </c>
      <c r="B47" s="3" t="str">
        <f>A47</f>
        <v>appleton-1996-45-54-B</v>
      </c>
      <c r="C47" s="2" t="s">
        <v>453</v>
      </c>
      <c r="D47" s="2" t="s">
        <v>1214</v>
      </c>
      <c r="E47" s="2" t="s">
        <v>795</v>
      </c>
      <c r="F47" s="5">
        <f>SUMIFS(CaseCells!F2:F999,CaseCells!C2:C999, C47,CaseCells!D2:D999, D47,CaseCells!E2:E999, E47)</f>
        <v>12</v>
      </c>
      <c r="G47" s="5">
        <f>SUMIFS(CaseCells!G2:G999,CaseCells!C2:C999, C47,CaseCells!D2:D999, D47,CaseCells!E2:E999, E47)</f>
        <v>78</v>
      </c>
      <c r="H47" s="3">
        <f>IF(G47 = 0, "", F47 / G47)</f>
        <v>0.15384615384615385</v>
      </c>
      <c r="I47" s="5">
        <f>SUMIFS(CaseCells!F2:F999,CaseCells!C2:C999, C47,CaseCells!D2:D999, D47,CaseCells!E2:E999, "A")</f>
        <v>28</v>
      </c>
      <c r="J47" s="5">
        <f>SUMIFS(CaseCells!G2:G999,CaseCells!C2:C999, C47,CaseCells!D2:D999, D47,CaseCells!E2:E999, "A")</f>
        <v>131</v>
      </c>
      <c r="K47" s="3">
        <f>IF(J47 = 0, "", I47 / J47)</f>
        <v>0.21374045801526717</v>
      </c>
      <c r="L47" s="5">
        <f>SUMIFS(CaseCells!F2:F999,CaseCells!C2:C999, C47,CaseCells!D2:D999, D47,CaseCells!E2:E999, "B")</f>
        <v>12</v>
      </c>
      <c r="M47" s="5">
        <f>SUMIFS(CaseCells!G2:G999,CaseCells!C2:C999, C47,CaseCells!D2:D999, D47,CaseCells!E2:E999, "B")</f>
        <v>78</v>
      </c>
      <c r="N47" s="3">
        <f>IF(M47 = 0, "", L47 / M47)</f>
        <v>0.15384615384615385</v>
      </c>
      <c r="O47" s="3" t="str">
        <f>IF(K47 &gt; N47, "A", "B")</f>
        <v>A</v>
      </c>
      <c r="P47" s="5">
        <f>SUMIFS(CaseCells!G2:G999,CaseCells!C2:C999, C47)</f>
        <v>1314</v>
      </c>
      <c r="Q47" s="5">
        <f>SUMIFS(CaseCells!G2:G999,CaseCells!C2:C999, C47,CaseCells!D2:D999, D47)</f>
        <v>209</v>
      </c>
      <c r="R47" s="3">
        <f>IF(P47 = 0, "", Q47 / P47)</f>
        <v>0.15905631659056316</v>
      </c>
      <c r="S47" s="3">
        <f>IF(R47 = "", "", R47 * H47)</f>
        <v>0.02447020255239433</v>
      </c>
      <c r="T47" s="5">
        <f>SUMIFS(CaseCells!G2:G999,CaseCells!C2:C999, C47,CaseCells!D2:D999, D47,CaseCells!E2:E999, "A")</f>
        <v>131</v>
      </c>
      <c r="U47" s="5">
        <f>SUMIFS(CaseCells!G2:G999,CaseCells!C2:C999, C47,CaseCells!D2:D999, D47,CaseCells!E2:E999, "B")</f>
        <v>78</v>
      </c>
      <c r="V47" s="5">
        <f>SUMIFS(CaseCells!G2:G999,CaseCells!C2:C999, C47,CaseCells!E2:E999, "A")</f>
        <v>582</v>
      </c>
      <c r="W47" s="5">
        <f>SUMIFS(CaseCells!G2:G999,CaseCells!C2:C999, C47,CaseCells!E2:E999, "B")</f>
        <v>732</v>
      </c>
      <c r="X47" s="3">
        <f>IF(V47 = 0, "", T47 / V47)</f>
        <v>0.22508591065292097</v>
      </c>
      <c r="Y47" s="3">
        <f>IF(W47 = 0, "", U47 / W47)</f>
        <v>0.10655737704918032</v>
      </c>
      <c r="Z47" s="3">
        <f>IF(X47 = "", "", X47 - Y47)</f>
        <v>0.11852853360374065</v>
      </c>
      <c r="AA47" s="3">
        <f>IF(K47 = "", "", K47 - N47)</f>
        <v>0.059894304169113316</v>
      </c>
      <c r="AB47" s="3">
        <f>IF(AA47 = "", "", AA47 * R47)</f>
        <v>0.009526567405893974</v>
      </c>
    </row>
    <row r="48">
      <c r="A48" s="2" t="s">
        <v>1825</v>
      </c>
      <c r="B48" s="3" t="str">
        <f>A48</f>
        <v>appleton-1996-55-64-A</v>
      </c>
      <c r="C48" s="2" t="s">
        <v>453</v>
      </c>
      <c r="D48" s="2" t="s">
        <v>1217</v>
      </c>
      <c r="E48" s="2" t="s">
        <v>792</v>
      </c>
      <c r="F48" s="5">
        <f>SUMIFS(CaseCells!F2:F999,CaseCells!C2:C999, C48,CaseCells!D2:D999, D48,CaseCells!E2:E999, E48)</f>
        <v>52</v>
      </c>
      <c r="G48" s="5">
        <f>SUMIFS(CaseCells!G2:G999,CaseCells!C2:C999, C48,CaseCells!D2:D999, D48,CaseCells!E2:E999, E48)</f>
        <v>116</v>
      </c>
      <c r="H48" s="3">
        <f>IF(G48 = 0, "", F48 / G48)</f>
        <v>0.4482758620689655</v>
      </c>
      <c r="I48" s="5">
        <f>SUMIFS(CaseCells!F2:F999,CaseCells!C2:C999, C48,CaseCells!D2:D999, D48,CaseCells!E2:E999, "A")</f>
        <v>52</v>
      </c>
      <c r="J48" s="5">
        <f>SUMIFS(CaseCells!G2:G999,CaseCells!C2:C999, C48,CaseCells!D2:D999, D48,CaseCells!E2:E999, "A")</f>
        <v>116</v>
      </c>
      <c r="K48" s="3">
        <f>IF(J48 = 0, "", I48 / J48)</f>
        <v>0.4482758620689655</v>
      </c>
      <c r="L48" s="5">
        <f>SUMIFS(CaseCells!F2:F999,CaseCells!C2:C999, C48,CaseCells!D2:D999, D48,CaseCells!E2:E999, "B")</f>
        <v>41</v>
      </c>
      <c r="M48" s="5">
        <f>SUMIFS(CaseCells!G2:G999,CaseCells!C2:C999, C48,CaseCells!D2:D999, D48,CaseCells!E2:E999, "B")</f>
        <v>122</v>
      </c>
      <c r="N48" s="3">
        <f>IF(M48 = 0, "", L48 / M48)</f>
        <v>0.3360655737704918</v>
      </c>
      <c r="O48" s="3" t="str">
        <f>IF(K48 &gt; N48, "A", "B")</f>
        <v>A</v>
      </c>
      <c r="P48" s="5">
        <f>SUMIFS(CaseCells!G2:G999,CaseCells!C2:C999, C48)</f>
        <v>1314</v>
      </c>
      <c r="Q48" s="5">
        <f>SUMIFS(CaseCells!G2:G999,CaseCells!C2:C999, C48,CaseCells!D2:D999, D48)</f>
        <v>238</v>
      </c>
      <c r="R48" s="3">
        <f>IF(P48 = 0, "", Q48 / P48)</f>
        <v>0.1811263318112633</v>
      </c>
      <c r="S48" s="3">
        <f>IF(R48 = "", "", R48 * H48)</f>
        <v>0.08119456253608355</v>
      </c>
      <c r="T48" s="5">
        <f>SUMIFS(CaseCells!G2:G999,CaseCells!C2:C999, C48,CaseCells!D2:D999, D48,CaseCells!E2:E999, "A")</f>
        <v>116</v>
      </c>
      <c r="U48" s="5">
        <f>SUMIFS(CaseCells!G2:G999,CaseCells!C2:C999, C48,CaseCells!D2:D999, D48,CaseCells!E2:E999, "B")</f>
        <v>122</v>
      </c>
      <c r="V48" s="5">
        <f>SUMIFS(CaseCells!G2:G999,CaseCells!C2:C999, C48,CaseCells!E2:E999, "A")</f>
        <v>582</v>
      </c>
      <c r="W48" s="5">
        <f>SUMIFS(CaseCells!G2:G999,CaseCells!C2:C999, C48,CaseCells!E2:E999, "B")</f>
        <v>732</v>
      </c>
      <c r="X48" s="3">
        <f>IF(V48 = 0, "", T48 / V48)</f>
        <v>0.19931271477663232</v>
      </c>
      <c r="Y48" s="3">
        <f>IF(W48 = 0, "", U48 / W48)</f>
        <v>0.16666666666666666</v>
      </c>
      <c r="Z48" s="3">
        <f>IF(X48 = "", "", X48 - Y48)</f>
        <v>0.03264604810996566</v>
      </c>
      <c r="AA48" s="3">
        <f>IF(K48 = "", "", K48 - N48)</f>
        <v>0.11221028829847374</v>
      </c>
      <c r="AB48" s="3">
        <f>IF(AA48 = "", "", AA48 * R48)</f>
        <v>0.02032423791098687</v>
      </c>
    </row>
    <row r="49">
      <c r="A49" s="2" t="s">
        <v>1826</v>
      </c>
      <c r="B49" s="3" t="str">
        <f>A49</f>
        <v>appleton-1996-55-64-B</v>
      </c>
      <c r="C49" s="2" t="s">
        <v>453</v>
      </c>
      <c r="D49" s="2" t="s">
        <v>1217</v>
      </c>
      <c r="E49" s="2" t="s">
        <v>795</v>
      </c>
      <c r="F49" s="5">
        <f>SUMIFS(CaseCells!F2:F999,CaseCells!C2:C999, C49,CaseCells!D2:D999, D49,CaseCells!E2:E999, E49)</f>
        <v>41</v>
      </c>
      <c r="G49" s="5">
        <f>SUMIFS(CaseCells!G2:G999,CaseCells!C2:C999, C49,CaseCells!D2:D999, D49,CaseCells!E2:E999, E49)</f>
        <v>122</v>
      </c>
      <c r="H49" s="3">
        <f>IF(G49 = 0, "", F49 / G49)</f>
        <v>0.3360655737704918</v>
      </c>
      <c r="I49" s="5">
        <f>SUMIFS(CaseCells!F2:F999,CaseCells!C2:C999, C49,CaseCells!D2:D999, D49,CaseCells!E2:E999, "A")</f>
        <v>52</v>
      </c>
      <c r="J49" s="5">
        <f>SUMIFS(CaseCells!G2:G999,CaseCells!C2:C999, C49,CaseCells!D2:D999, D49,CaseCells!E2:E999, "A")</f>
        <v>116</v>
      </c>
      <c r="K49" s="3">
        <f>IF(J49 = 0, "", I49 / J49)</f>
        <v>0.4482758620689655</v>
      </c>
      <c r="L49" s="5">
        <f>SUMIFS(CaseCells!F2:F999,CaseCells!C2:C999, C49,CaseCells!D2:D999, D49,CaseCells!E2:E999, "B")</f>
        <v>41</v>
      </c>
      <c r="M49" s="5">
        <f>SUMIFS(CaseCells!G2:G999,CaseCells!C2:C999, C49,CaseCells!D2:D999, D49,CaseCells!E2:E999, "B")</f>
        <v>122</v>
      </c>
      <c r="N49" s="3">
        <f>IF(M49 = 0, "", L49 / M49)</f>
        <v>0.3360655737704918</v>
      </c>
      <c r="O49" s="3" t="str">
        <f>IF(K49 &gt; N49, "A", "B")</f>
        <v>A</v>
      </c>
      <c r="P49" s="5">
        <f>SUMIFS(CaseCells!G2:G999,CaseCells!C2:C999, C49)</f>
        <v>1314</v>
      </c>
      <c r="Q49" s="5">
        <f>SUMIFS(CaseCells!G2:G999,CaseCells!C2:C999, C49,CaseCells!D2:D999, D49)</f>
        <v>238</v>
      </c>
      <c r="R49" s="3">
        <f>IF(P49 = 0, "", Q49 / P49)</f>
        <v>0.1811263318112633</v>
      </c>
      <c r="S49" s="3">
        <f>IF(R49 = "", "", R49 * H49)</f>
        <v>0.06087032462509668</v>
      </c>
      <c r="T49" s="5">
        <f>SUMIFS(CaseCells!G2:G999,CaseCells!C2:C999, C49,CaseCells!D2:D999, D49,CaseCells!E2:E999, "A")</f>
        <v>116</v>
      </c>
      <c r="U49" s="5">
        <f>SUMIFS(CaseCells!G2:G999,CaseCells!C2:C999, C49,CaseCells!D2:D999, D49,CaseCells!E2:E999, "B")</f>
        <v>122</v>
      </c>
      <c r="V49" s="5">
        <f>SUMIFS(CaseCells!G2:G999,CaseCells!C2:C999, C49,CaseCells!E2:E999, "A")</f>
        <v>582</v>
      </c>
      <c r="W49" s="5">
        <f>SUMIFS(CaseCells!G2:G999,CaseCells!C2:C999, C49,CaseCells!E2:E999, "B")</f>
        <v>732</v>
      </c>
      <c r="X49" s="3">
        <f>IF(V49 = 0, "", T49 / V49)</f>
        <v>0.19931271477663232</v>
      </c>
      <c r="Y49" s="3">
        <f>IF(W49 = 0, "", U49 / W49)</f>
        <v>0.16666666666666666</v>
      </c>
      <c r="Z49" s="3">
        <f>IF(X49 = "", "", X49 - Y49)</f>
        <v>0.03264604810996566</v>
      </c>
      <c r="AA49" s="3">
        <f>IF(K49 = "", "", K49 - N49)</f>
        <v>0.11221028829847374</v>
      </c>
      <c r="AB49" s="3">
        <f>IF(AA49 = "", "", AA49 * R49)</f>
        <v>0.02032423791098687</v>
      </c>
    </row>
    <row r="50">
      <c r="A50" s="2" t="s">
        <v>1827</v>
      </c>
      <c r="B50" s="3" t="str">
        <f>A50</f>
        <v>appleton-1996-65-74-A</v>
      </c>
      <c r="C50" s="2" t="s">
        <v>453</v>
      </c>
      <c r="D50" s="2" t="s">
        <v>1220</v>
      </c>
      <c r="E50" s="2" t="s">
        <v>792</v>
      </c>
      <c r="F50" s="5">
        <f>SUMIFS(CaseCells!F2:F999,CaseCells!C2:C999, C50,CaseCells!D2:D999, D50,CaseCells!E2:E999, E50)</f>
        <v>31</v>
      </c>
      <c r="G50" s="5">
        <f>SUMIFS(CaseCells!G2:G999,CaseCells!C2:C999, C50,CaseCells!D2:D999, D50,CaseCells!E2:E999, E50)</f>
        <v>37</v>
      </c>
      <c r="H50" s="3">
        <f>IF(G50 = 0, "", F50 / G50)</f>
        <v>0.8378378378378378</v>
      </c>
      <c r="I50" s="5">
        <f>SUMIFS(CaseCells!F2:F999,CaseCells!C2:C999, C50,CaseCells!D2:D999, D50,CaseCells!E2:E999, "A")</f>
        <v>31</v>
      </c>
      <c r="J50" s="5">
        <f>SUMIFS(CaseCells!G2:G999,CaseCells!C2:C999, C50,CaseCells!D2:D999, D50,CaseCells!E2:E999, "A")</f>
        <v>37</v>
      </c>
      <c r="K50" s="3">
        <f>IF(J50 = 0, "", I50 / J50)</f>
        <v>0.8378378378378378</v>
      </c>
      <c r="L50" s="5">
        <f>SUMIFS(CaseCells!F2:F999,CaseCells!C2:C999, C50,CaseCells!D2:D999, D50,CaseCells!E2:E999, "B")</f>
        <v>101</v>
      </c>
      <c r="M50" s="5">
        <f>SUMIFS(CaseCells!G2:G999,CaseCells!C2:C999, C50,CaseCells!D2:D999, D50,CaseCells!E2:E999, "B")</f>
        <v>129</v>
      </c>
      <c r="N50" s="3">
        <f>IF(M50 = 0, "", L50 / M50)</f>
        <v>0.7829457364341085</v>
      </c>
      <c r="O50" s="3" t="str">
        <f>IF(K50 &gt; N50, "A", "B")</f>
        <v>A</v>
      </c>
      <c r="P50" s="5">
        <f>SUMIFS(CaseCells!G2:G999,CaseCells!C2:C999, C50)</f>
        <v>1314</v>
      </c>
      <c r="Q50" s="5">
        <f>SUMIFS(CaseCells!G2:G999,CaseCells!C2:C999, C50,CaseCells!D2:D999, D50)</f>
        <v>166</v>
      </c>
      <c r="R50" s="3">
        <f>IF(P50 = 0, "", Q50 / P50)</f>
        <v>0.1263318112633181</v>
      </c>
      <c r="S50" s="3">
        <f>IF(R50 = "", "", R50 * H50)</f>
        <v>0.10584557159899625</v>
      </c>
      <c r="T50" s="5">
        <f>SUMIFS(CaseCells!G2:G999,CaseCells!C2:C999, C50,CaseCells!D2:D999, D50,CaseCells!E2:E999, "A")</f>
        <v>37</v>
      </c>
      <c r="U50" s="5">
        <f>SUMIFS(CaseCells!G2:G999,CaseCells!C2:C999, C50,CaseCells!D2:D999, D50,CaseCells!E2:E999, "B")</f>
        <v>129</v>
      </c>
      <c r="V50" s="5">
        <f>SUMIFS(CaseCells!G2:G999,CaseCells!C2:C999, C50,CaseCells!E2:E999, "A")</f>
        <v>582</v>
      </c>
      <c r="W50" s="5">
        <f>SUMIFS(CaseCells!G2:G999,CaseCells!C2:C999, C50,CaseCells!E2:E999, "B")</f>
        <v>732</v>
      </c>
      <c r="X50" s="3">
        <f>IF(V50 = 0, "", T50 / V50)</f>
        <v>0.06357388316151202</v>
      </c>
      <c r="Y50" s="3">
        <f>IF(W50 = 0, "", U50 / W50)</f>
        <v>0.1762295081967213</v>
      </c>
      <c r="Z50" s="3">
        <f>IF(X50 = "", "", X50 - Y50)</f>
        <v>-0.11265562503520929</v>
      </c>
      <c r="AA50" s="3">
        <f>IF(K50 = "", "", K50 - N50)</f>
        <v>0.054892101403729354</v>
      </c>
      <c r="AB50" s="3">
        <f>IF(AA50 = "", "", AA50 * R50)</f>
        <v>0.0069346185943828555</v>
      </c>
    </row>
    <row r="51">
      <c r="A51" s="2" t="s">
        <v>1828</v>
      </c>
      <c r="B51" s="3" t="str">
        <f>A51</f>
        <v>appleton-1996-65-74-B</v>
      </c>
      <c r="C51" s="2" t="s">
        <v>453</v>
      </c>
      <c r="D51" s="2" t="s">
        <v>1220</v>
      </c>
      <c r="E51" s="2" t="s">
        <v>795</v>
      </c>
      <c r="F51" s="5">
        <f>SUMIFS(CaseCells!F2:F999,CaseCells!C2:C999, C51,CaseCells!D2:D999, D51,CaseCells!E2:E999, E51)</f>
        <v>101</v>
      </c>
      <c r="G51" s="5">
        <f>SUMIFS(CaseCells!G2:G999,CaseCells!C2:C999, C51,CaseCells!D2:D999, D51,CaseCells!E2:E999, E51)</f>
        <v>129</v>
      </c>
      <c r="H51" s="3">
        <f>IF(G51 = 0, "", F51 / G51)</f>
        <v>0.7829457364341085</v>
      </c>
      <c r="I51" s="5">
        <f>SUMIFS(CaseCells!F2:F999,CaseCells!C2:C999, C51,CaseCells!D2:D999, D51,CaseCells!E2:E999, "A")</f>
        <v>31</v>
      </c>
      <c r="J51" s="5">
        <f>SUMIFS(CaseCells!G2:G999,CaseCells!C2:C999, C51,CaseCells!D2:D999, D51,CaseCells!E2:E999, "A")</f>
        <v>37</v>
      </c>
      <c r="K51" s="3">
        <f>IF(J51 = 0, "", I51 / J51)</f>
        <v>0.8378378378378378</v>
      </c>
      <c r="L51" s="5">
        <f>SUMIFS(CaseCells!F2:F999,CaseCells!C2:C999, C51,CaseCells!D2:D999, D51,CaseCells!E2:E999, "B")</f>
        <v>101</v>
      </c>
      <c r="M51" s="5">
        <f>SUMIFS(CaseCells!G2:G999,CaseCells!C2:C999, C51,CaseCells!D2:D999, D51,CaseCells!E2:E999, "B")</f>
        <v>129</v>
      </c>
      <c r="N51" s="3">
        <f>IF(M51 = 0, "", L51 / M51)</f>
        <v>0.7829457364341085</v>
      </c>
      <c r="O51" s="3" t="str">
        <f>IF(K51 &gt; N51, "A", "B")</f>
        <v>A</v>
      </c>
      <c r="P51" s="5">
        <f>SUMIFS(CaseCells!G2:G999,CaseCells!C2:C999, C51)</f>
        <v>1314</v>
      </c>
      <c r="Q51" s="5">
        <f>SUMIFS(CaseCells!G2:G999,CaseCells!C2:C999, C51,CaseCells!D2:D999, D51)</f>
        <v>166</v>
      </c>
      <c r="R51" s="3">
        <f>IF(P51 = 0, "", Q51 / P51)</f>
        <v>0.1263318112633181</v>
      </c>
      <c r="S51" s="3">
        <f>IF(R51 = "", "", R51 * H51)</f>
        <v>0.09891095300461339</v>
      </c>
      <c r="T51" s="5">
        <f>SUMIFS(CaseCells!G2:G999,CaseCells!C2:C999, C51,CaseCells!D2:D999, D51,CaseCells!E2:E999, "A")</f>
        <v>37</v>
      </c>
      <c r="U51" s="5">
        <f>SUMIFS(CaseCells!G2:G999,CaseCells!C2:C999, C51,CaseCells!D2:D999, D51,CaseCells!E2:E999, "B")</f>
        <v>129</v>
      </c>
      <c r="V51" s="5">
        <f>SUMIFS(CaseCells!G2:G999,CaseCells!C2:C999, C51,CaseCells!E2:E999, "A")</f>
        <v>582</v>
      </c>
      <c r="W51" s="5">
        <f>SUMIFS(CaseCells!G2:G999,CaseCells!C2:C999, C51,CaseCells!E2:E999, "B")</f>
        <v>732</v>
      </c>
      <c r="X51" s="3">
        <f>IF(V51 = 0, "", T51 / V51)</f>
        <v>0.06357388316151202</v>
      </c>
      <c r="Y51" s="3">
        <f>IF(W51 = 0, "", U51 / W51)</f>
        <v>0.1762295081967213</v>
      </c>
      <c r="Z51" s="3">
        <f>IF(X51 = "", "", X51 - Y51)</f>
        <v>-0.11265562503520929</v>
      </c>
      <c r="AA51" s="3">
        <f>IF(K51 = "", "", K51 - N51)</f>
        <v>0.054892101403729354</v>
      </c>
      <c r="AB51" s="3">
        <f>IF(AA51 = "", "", AA51 * R51)</f>
        <v>0.0069346185943828555</v>
      </c>
    </row>
    <row r="52">
      <c r="A52" s="2" t="s">
        <v>1829</v>
      </c>
      <c r="B52" s="3" t="str">
        <f>A52</f>
        <v>appleton-1996-75plus-A</v>
      </c>
      <c r="C52" s="2" t="s">
        <v>453</v>
      </c>
      <c r="D52" s="2" t="s">
        <v>1223</v>
      </c>
      <c r="E52" s="2" t="s">
        <v>792</v>
      </c>
      <c r="F52" s="5">
        <f>SUMIFS(CaseCells!F2:F999,CaseCells!C2:C999, C52,CaseCells!D2:D999, D52,CaseCells!E2:E999, E52)</f>
        <v>13</v>
      </c>
      <c r="G52" s="5">
        <f>SUMIFS(CaseCells!G2:G999,CaseCells!C2:C999, C52,CaseCells!D2:D999, D52,CaseCells!E2:E999, E52)</f>
        <v>13</v>
      </c>
      <c r="H52" s="3">
        <f>IF(G52 = 0, "", F52 / G52)</f>
        <v>1</v>
      </c>
      <c r="I52" s="5">
        <f>SUMIFS(CaseCells!F2:F999,CaseCells!C2:C999, C52,CaseCells!D2:D999, D52,CaseCells!E2:E999, "A")</f>
        <v>13</v>
      </c>
      <c r="J52" s="5">
        <f>SUMIFS(CaseCells!G2:G999,CaseCells!C2:C999, C52,CaseCells!D2:D999, D52,CaseCells!E2:E999, "A")</f>
        <v>13</v>
      </c>
      <c r="K52" s="3">
        <f>IF(J52 = 0, "", I52 / J52)</f>
        <v>1</v>
      </c>
      <c r="L52" s="5">
        <f>SUMIFS(CaseCells!F2:F999,CaseCells!C2:C999, C52,CaseCells!D2:D999, D52,CaseCells!E2:E999, "B")</f>
        <v>64</v>
      </c>
      <c r="M52" s="5">
        <f>SUMIFS(CaseCells!G2:G999,CaseCells!C2:C999, C52,CaseCells!D2:D999, D52,CaseCells!E2:E999, "B")</f>
        <v>64</v>
      </c>
      <c r="N52" s="3">
        <f>IF(M52 = 0, "", L52 / M52)</f>
        <v>1</v>
      </c>
      <c r="O52" s="3" t="str">
        <f>IF(K52 &gt; N52, "A", "B")</f>
        <v>B</v>
      </c>
      <c r="P52" s="5">
        <f>SUMIFS(CaseCells!G2:G999,CaseCells!C2:C999, C52)</f>
        <v>1314</v>
      </c>
      <c r="Q52" s="5">
        <f>SUMIFS(CaseCells!G2:G999,CaseCells!C2:C999, C52,CaseCells!D2:D999, D52)</f>
        <v>77</v>
      </c>
      <c r="R52" s="3">
        <f>IF(P52 = 0, "", Q52 / P52)</f>
        <v>0.05859969558599695</v>
      </c>
      <c r="S52" s="3">
        <f>IF(R52 = "", "", R52 * H52)</f>
        <v>0.05859969558599695</v>
      </c>
      <c r="T52" s="5">
        <f>SUMIFS(CaseCells!G2:G999,CaseCells!C2:C999, C52,CaseCells!D2:D999, D52,CaseCells!E2:E999, "A")</f>
        <v>13</v>
      </c>
      <c r="U52" s="5">
        <f>SUMIFS(CaseCells!G2:G999,CaseCells!C2:C999, C52,CaseCells!D2:D999, D52,CaseCells!E2:E999, "B")</f>
        <v>64</v>
      </c>
      <c r="V52" s="5">
        <f>SUMIFS(CaseCells!G2:G999,CaseCells!C2:C999, C52,CaseCells!E2:E999, "A")</f>
        <v>582</v>
      </c>
      <c r="W52" s="5">
        <f>SUMIFS(CaseCells!G2:G999,CaseCells!C2:C999, C52,CaseCells!E2:E999, "B")</f>
        <v>732</v>
      </c>
      <c r="X52" s="3">
        <f>IF(V52 = 0, "", T52 / V52)</f>
        <v>0.022336769759450172</v>
      </c>
      <c r="Y52" s="3">
        <f>IF(W52 = 0, "", U52 / W52)</f>
        <v>0.08743169398907104</v>
      </c>
      <c r="Z52" s="3">
        <f>IF(X52 = "", "", X52 - Y52)</f>
        <v>-0.06509492422962086</v>
      </c>
      <c r="AA52" s="3">
        <f>IF(K52 = "", "", K52 - N52)</f>
        <v>0</v>
      </c>
      <c r="AB52" s="3">
        <f>IF(AA52 = "", "", AA52 * R52)</f>
        <v>0</v>
      </c>
    </row>
    <row r="53">
      <c r="A53" s="2" t="s">
        <v>1830</v>
      </c>
      <c r="B53" s="3" t="str">
        <f>A53</f>
        <v>appleton-1996-75plus-B</v>
      </c>
      <c r="C53" s="2" t="s">
        <v>453</v>
      </c>
      <c r="D53" s="2" t="s">
        <v>1223</v>
      </c>
      <c r="E53" s="2" t="s">
        <v>795</v>
      </c>
      <c r="F53" s="5">
        <f>SUMIFS(CaseCells!F2:F999,CaseCells!C2:C999, C53,CaseCells!D2:D999, D53,CaseCells!E2:E999, E53)</f>
        <v>64</v>
      </c>
      <c r="G53" s="5">
        <f>SUMIFS(CaseCells!G2:G999,CaseCells!C2:C999, C53,CaseCells!D2:D999, D53,CaseCells!E2:E999, E53)</f>
        <v>64</v>
      </c>
      <c r="H53" s="3">
        <f>IF(G53 = 0, "", F53 / G53)</f>
        <v>1</v>
      </c>
      <c r="I53" s="5">
        <f>SUMIFS(CaseCells!F2:F999,CaseCells!C2:C999, C53,CaseCells!D2:D999, D53,CaseCells!E2:E999, "A")</f>
        <v>13</v>
      </c>
      <c r="J53" s="5">
        <f>SUMIFS(CaseCells!G2:G999,CaseCells!C2:C999, C53,CaseCells!D2:D999, D53,CaseCells!E2:E999, "A")</f>
        <v>13</v>
      </c>
      <c r="K53" s="3">
        <f>IF(J53 = 0, "", I53 / J53)</f>
        <v>1</v>
      </c>
      <c r="L53" s="5">
        <f>SUMIFS(CaseCells!F2:F999,CaseCells!C2:C999, C53,CaseCells!D2:D999, D53,CaseCells!E2:E999, "B")</f>
        <v>64</v>
      </c>
      <c r="M53" s="5">
        <f>SUMIFS(CaseCells!G2:G999,CaseCells!C2:C999, C53,CaseCells!D2:D999, D53,CaseCells!E2:E999, "B")</f>
        <v>64</v>
      </c>
      <c r="N53" s="3">
        <f>IF(M53 = 0, "", L53 / M53)</f>
        <v>1</v>
      </c>
      <c r="O53" s="3" t="str">
        <f>IF(K53 &gt; N53, "A", "B")</f>
        <v>B</v>
      </c>
      <c r="P53" s="5">
        <f>SUMIFS(CaseCells!G2:G999,CaseCells!C2:C999, C53)</f>
        <v>1314</v>
      </c>
      <c r="Q53" s="5">
        <f>SUMIFS(CaseCells!G2:G999,CaseCells!C2:C999, C53,CaseCells!D2:D999, D53)</f>
        <v>77</v>
      </c>
      <c r="R53" s="3">
        <f>IF(P53 = 0, "", Q53 / P53)</f>
        <v>0.05859969558599695</v>
      </c>
      <c r="S53" s="3">
        <f>IF(R53 = "", "", R53 * H53)</f>
        <v>0.05859969558599695</v>
      </c>
      <c r="T53" s="5">
        <f>SUMIFS(CaseCells!G2:G999,CaseCells!C2:C999, C53,CaseCells!D2:D999, D53,CaseCells!E2:E999, "A")</f>
        <v>13</v>
      </c>
      <c r="U53" s="5">
        <f>SUMIFS(CaseCells!G2:G999,CaseCells!C2:C999, C53,CaseCells!D2:D999, D53,CaseCells!E2:E999, "B")</f>
        <v>64</v>
      </c>
      <c r="V53" s="5">
        <f>SUMIFS(CaseCells!G2:G999,CaseCells!C2:C999, C53,CaseCells!E2:E999, "A")</f>
        <v>582</v>
      </c>
      <c r="W53" s="5">
        <f>SUMIFS(CaseCells!G2:G999,CaseCells!C2:C999, C53,CaseCells!E2:E999, "B")</f>
        <v>732</v>
      </c>
      <c r="X53" s="3">
        <f>IF(V53 = 0, "", T53 / V53)</f>
        <v>0.022336769759450172</v>
      </c>
      <c r="Y53" s="3">
        <f>IF(W53 = 0, "", U53 / W53)</f>
        <v>0.08743169398907104</v>
      </c>
      <c r="Z53" s="3">
        <f>IF(X53 = "", "", X53 - Y53)</f>
        <v>-0.06509492422962086</v>
      </c>
      <c r="AA53" s="3">
        <f>IF(K53 = "", "", K53 - N53)</f>
        <v>0</v>
      </c>
      <c r="AB53" s="3">
        <f>IF(AA53 = "", "", AA53 * R53)</f>
        <v>0</v>
      </c>
    </row>
    <row r="54">
      <c r="A54" s="2" t="s">
        <v>1831</v>
      </c>
      <c r="B54" s="3" t="str">
        <f>A54</f>
        <v>phe-covid-2021-under-50-A</v>
      </c>
      <c r="C54" s="2" t="s">
        <v>457</v>
      </c>
      <c r="D54" s="2" t="s">
        <v>1226</v>
      </c>
      <c r="E54" s="2" t="s">
        <v>792</v>
      </c>
      <c r="F54" s="5">
        <f>SUMIFS(CaseCells!F2:F999,CaseCells!C2:C999, C54,CaseCells!D2:D999, D54,CaseCells!E2:E999, E54)</f>
        <v>21</v>
      </c>
      <c r="G54" s="5">
        <f>SUMIFS(CaseCells!G2:G999,CaseCells!C2:C999, C54,CaseCells!D2:D999, D54,CaseCells!E2:E999, E54)</f>
        <v>89807</v>
      </c>
      <c r="H54" s="3">
        <f>IF(G54 = 0, "", F54 / G54)</f>
        <v>0.00023383477902613381</v>
      </c>
      <c r="I54" s="5">
        <f>SUMIFS(CaseCells!F2:F999,CaseCells!C2:C999, C54,CaseCells!D2:D999, D54,CaseCells!E2:E999, "A")</f>
        <v>21</v>
      </c>
      <c r="J54" s="5">
        <f>SUMIFS(CaseCells!G2:G999,CaseCells!C2:C999, C54,CaseCells!D2:D999, D54,CaseCells!E2:E999, "A")</f>
        <v>89807</v>
      </c>
      <c r="K54" s="3">
        <f>IF(J54 = 0, "", I54 / J54)</f>
        <v>0.00023383477902613381</v>
      </c>
      <c r="L54" s="5">
        <f>SUMIFS(CaseCells!F2:F999,CaseCells!C2:C999, C54,CaseCells!D2:D999, D54,CaseCells!E2:E999, "B")</f>
        <v>48</v>
      </c>
      <c r="M54" s="5">
        <f>SUMIFS(CaseCells!G2:G999,CaseCells!C2:C999, C54,CaseCells!D2:D999, D54,CaseCells!E2:E999, "B")</f>
        <v>147612</v>
      </c>
      <c r="N54" s="3">
        <f>IF(M54 = 0, "", L54 / M54)</f>
        <v>0.00032517681489309814</v>
      </c>
      <c r="O54" s="3" t="str">
        <f>IF(K54 &gt; N54, "A", "B")</f>
        <v>B</v>
      </c>
      <c r="P54" s="5">
        <f>SUMIFS(CaseCells!G2:G999,CaseCells!C2:C999, C54)</f>
        <v>268166</v>
      </c>
      <c r="Q54" s="5">
        <f>SUMIFS(CaseCells!G2:G999,CaseCells!C2:C999, C54,CaseCells!D2:D999, D54)</f>
        <v>237419</v>
      </c>
      <c r="R54" s="3">
        <f>IF(P54 = 0, "", Q54 / P54)</f>
        <v>0.8853434066958525</v>
      </c>
      <c r="S54" s="3">
        <f>IF(R54 = "", "", R54 * H54)</f>
        <v>0.0002070240798669692</v>
      </c>
      <c r="T54" s="5">
        <f>SUMIFS(CaseCells!G2:G999,CaseCells!C2:C999, C54,CaseCells!D2:D999, D54,CaseCells!E2:E999, "A")</f>
        <v>89807</v>
      </c>
      <c r="U54" s="5">
        <f>SUMIFS(CaseCells!G2:G999,CaseCells!C2:C999, C54,CaseCells!D2:D999, D54,CaseCells!E2:E999, "B")</f>
        <v>147612</v>
      </c>
      <c r="V54" s="5">
        <f>SUMIFS(CaseCells!G2:G999,CaseCells!C2:C999, C54,CaseCells!E2:E999, "A")</f>
        <v>117114</v>
      </c>
      <c r="W54" s="5">
        <f>SUMIFS(CaseCells!G2:G999,CaseCells!C2:C999, C54,CaseCells!E2:E999, "B")</f>
        <v>151052</v>
      </c>
      <c r="X54" s="3">
        <f>IF(V54 = 0, "", T54 / V54)</f>
        <v>0.766834024967126</v>
      </c>
      <c r="Y54" s="3">
        <f>IF(W54 = 0, "", U54 / W54)</f>
        <v>0.9772263856155496</v>
      </c>
      <c r="Z54" s="3">
        <f>IF(X54 = "", "", X54 - Y54)</f>
        <v>-0.2103923606484236</v>
      </c>
      <c r="AA54" s="3">
        <f>IF(K54 = "", "", K54 - N54)</f>
        <v>-9.134203586696433E-05</v>
      </c>
      <c r="AB54" s="3">
        <f>IF(AA54 = "", "", AA54 * R54)</f>
        <v>-8.086906920899295E-05</v>
      </c>
    </row>
    <row r="55">
      <c r="A55" s="2" t="s">
        <v>1832</v>
      </c>
      <c r="B55" s="3" t="str">
        <f>A55</f>
        <v>phe-covid-2021-under-50-B</v>
      </c>
      <c r="C55" s="2" t="s">
        <v>457</v>
      </c>
      <c r="D55" s="2" t="s">
        <v>1226</v>
      </c>
      <c r="E55" s="2" t="s">
        <v>795</v>
      </c>
      <c r="F55" s="5">
        <f>SUMIFS(CaseCells!F2:F999,CaseCells!C2:C999, C55,CaseCells!D2:D999, D55,CaseCells!E2:E999, E55)</f>
        <v>48</v>
      </c>
      <c r="G55" s="5">
        <f>SUMIFS(CaseCells!G2:G999,CaseCells!C2:C999, C55,CaseCells!D2:D999, D55,CaseCells!E2:E999, E55)</f>
        <v>147612</v>
      </c>
      <c r="H55" s="3">
        <f>IF(G55 = 0, "", F55 / G55)</f>
        <v>0.00032517681489309814</v>
      </c>
      <c r="I55" s="5">
        <f>SUMIFS(CaseCells!F2:F999,CaseCells!C2:C999, C55,CaseCells!D2:D999, D55,CaseCells!E2:E999, "A")</f>
        <v>21</v>
      </c>
      <c r="J55" s="5">
        <f>SUMIFS(CaseCells!G2:G999,CaseCells!C2:C999, C55,CaseCells!D2:D999, D55,CaseCells!E2:E999, "A")</f>
        <v>89807</v>
      </c>
      <c r="K55" s="3">
        <f>IF(J55 = 0, "", I55 / J55)</f>
        <v>0.00023383477902613381</v>
      </c>
      <c r="L55" s="5">
        <f>SUMIFS(CaseCells!F2:F999,CaseCells!C2:C999, C55,CaseCells!D2:D999, D55,CaseCells!E2:E999, "B")</f>
        <v>48</v>
      </c>
      <c r="M55" s="5">
        <f>SUMIFS(CaseCells!G2:G999,CaseCells!C2:C999, C55,CaseCells!D2:D999, D55,CaseCells!E2:E999, "B")</f>
        <v>147612</v>
      </c>
      <c r="N55" s="3">
        <f>IF(M55 = 0, "", L55 / M55)</f>
        <v>0.00032517681489309814</v>
      </c>
      <c r="O55" s="3" t="str">
        <f>IF(K55 &gt; N55, "A", "B")</f>
        <v>B</v>
      </c>
      <c r="P55" s="5">
        <f>SUMIFS(CaseCells!G2:G999,CaseCells!C2:C999, C55)</f>
        <v>268166</v>
      </c>
      <c r="Q55" s="5">
        <f>SUMIFS(CaseCells!G2:G999,CaseCells!C2:C999, C55,CaseCells!D2:D999, D55)</f>
        <v>237419</v>
      </c>
      <c r="R55" s="3">
        <f>IF(P55 = 0, "", Q55 / P55)</f>
        <v>0.8853434066958525</v>
      </c>
      <c r="S55" s="3">
        <f>IF(R55 = "", "", R55 * H55)</f>
        <v>0.00028789314907596214</v>
      </c>
      <c r="T55" s="5">
        <f>SUMIFS(CaseCells!G2:G999,CaseCells!C2:C999, C55,CaseCells!D2:D999, D55,CaseCells!E2:E999, "A")</f>
        <v>89807</v>
      </c>
      <c r="U55" s="5">
        <f>SUMIFS(CaseCells!G2:G999,CaseCells!C2:C999, C55,CaseCells!D2:D999, D55,CaseCells!E2:E999, "B")</f>
        <v>147612</v>
      </c>
      <c r="V55" s="5">
        <f>SUMIFS(CaseCells!G2:G999,CaseCells!C2:C999, C55,CaseCells!E2:E999, "A")</f>
        <v>117114</v>
      </c>
      <c r="W55" s="5">
        <f>SUMIFS(CaseCells!G2:G999,CaseCells!C2:C999, C55,CaseCells!E2:E999, "B")</f>
        <v>151052</v>
      </c>
      <c r="X55" s="3">
        <f>IF(V55 = 0, "", T55 / V55)</f>
        <v>0.766834024967126</v>
      </c>
      <c r="Y55" s="3">
        <f>IF(W55 = 0, "", U55 / W55)</f>
        <v>0.9772263856155496</v>
      </c>
      <c r="Z55" s="3">
        <f>IF(X55 = "", "", X55 - Y55)</f>
        <v>-0.2103923606484236</v>
      </c>
      <c r="AA55" s="3">
        <f>IF(K55 = "", "", K55 - N55)</f>
        <v>-9.134203586696433E-05</v>
      </c>
      <c r="AB55" s="3">
        <f>IF(AA55 = "", "", AA55 * R55)</f>
        <v>-8.086906920899295E-05</v>
      </c>
    </row>
    <row r="56">
      <c r="A56" s="2" t="s">
        <v>1833</v>
      </c>
      <c r="B56" s="3" t="str">
        <f>A56</f>
        <v>phe-covid-2021-50plus-A</v>
      </c>
      <c r="C56" s="2" t="s">
        <v>457</v>
      </c>
      <c r="D56" s="2" t="s">
        <v>1229</v>
      </c>
      <c r="E56" s="2" t="s">
        <v>792</v>
      </c>
      <c r="F56" s="5">
        <f>SUMIFS(CaseCells!F2:F999,CaseCells!C2:C999, C56,CaseCells!D2:D999, D56,CaseCells!E2:E999, E56)</f>
        <v>460</v>
      </c>
      <c r="G56" s="5">
        <f>SUMIFS(CaseCells!G2:G999,CaseCells!C2:C999, C56,CaseCells!D2:D999, D56,CaseCells!E2:E999, E56)</f>
        <v>27307</v>
      </c>
      <c r="H56" s="3">
        <f>IF(G56 = 0, "", F56 / G56)</f>
        <v>0.0168454974914857</v>
      </c>
      <c r="I56" s="5">
        <f>SUMIFS(CaseCells!F2:F999,CaseCells!C2:C999, C56,CaseCells!D2:D999, D56,CaseCells!E2:E999, "A")</f>
        <v>460</v>
      </c>
      <c r="J56" s="5">
        <f>SUMIFS(CaseCells!G2:G999,CaseCells!C2:C999, C56,CaseCells!D2:D999, D56,CaseCells!E2:E999, "A")</f>
        <v>27307</v>
      </c>
      <c r="K56" s="3">
        <f>IF(J56 = 0, "", I56 / J56)</f>
        <v>0.0168454974914857</v>
      </c>
      <c r="L56" s="5">
        <f>SUMIFS(CaseCells!F2:F999,CaseCells!C2:C999, C56,CaseCells!D2:D999, D56,CaseCells!E2:E999, "B")</f>
        <v>205</v>
      </c>
      <c r="M56" s="5">
        <f>SUMIFS(CaseCells!G2:G999,CaseCells!C2:C999, C56,CaseCells!D2:D999, D56,CaseCells!E2:E999, "B")</f>
        <v>3440</v>
      </c>
      <c r="N56" s="3">
        <f>IF(M56 = 0, "", L56 / M56)</f>
        <v>0.059593023255813955</v>
      </c>
      <c r="O56" s="3" t="str">
        <f>IF(K56 &gt; N56, "A", "B")</f>
        <v>B</v>
      </c>
      <c r="P56" s="5">
        <f>SUMIFS(CaseCells!G2:G999,CaseCells!C2:C999, C56)</f>
        <v>268166</v>
      </c>
      <c r="Q56" s="5">
        <f>SUMIFS(CaseCells!G2:G999,CaseCells!C2:C999, C56,CaseCells!D2:D999, D56)</f>
        <v>30747</v>
      </c>
      <c r="R56" s="3">
        <f>IF(P56 = 0, "", Q56 / P56)</f>
        <v>0.11465659330414743</v>
      </c>
      <c r="S56" s="3">
        <f>IF(R56 = "", "", R56 * H56)</f>
        <v>0.0019314473548873116</v>
      </c>
      <c r="T56" s="5">
        <f>SUMIFS(CaseCells!G2:G999,CaseCells!C2:C999, C56,CaseCells!D2:D999, D56,CaseCells!E2:E999, "A")</f>
        <v>27307</v>
      </c>
      <c r="U56" s="5">
        <f>SUMIFS(CaseCells!G2:G999,CaseCells!C2:C999, C56,CaseCells!D2:D999, D56,CaseCells!E2:E999, "B")</f>
        <v>3440</v>
      </c>
      <c r="V56" s="5">
        <f>SUMIFS(CaseCells!G2:G999,CaseCells!C2:C999, C56,CaseCells!E2:E999, "A")</f>
        <v>117114</v>
      </c>
      <c r="W56" s="5">
        <f>SUMIFS(CaseCells!G2:G999,CaseCells!C2:C999, C56,CaseCells!E2:E999, "B")</f>
        <v>151052</v>
      </c>
      <c r="X56" s="3">
        <f>IF(V56 = 0, "", T56 / V56)</f>
        <v>0.23316597503287395</v>
      </c>
      <c r="Y56" s="3">
        <f>IF(W56 = 0, "", U56 / W56)</f>
        <v>0.02277361438445039</v>
      </c>
      <c r="Z56" s="3">
        <f>IF(X56 = "", "", X56 - Y56)</f>
        <v>0.21039236064842357</v>
      </c>
      <c r="AA56" s="3">
        <f>IF(K56 = "", "", K56 - N56)</f>
        <v>-0.042747525764328255</v>
      </c>
      <c r="AB56" s="3">
        <f>IF(AA56 = "", "", AA56 * R56)</f>
        <v>-0.004901285676319149</v>
      </c>
    </row>
    <row r="57">
      <c r="A57" s="2" t="s">
        <v>1834</v>
      </c>
      <c r="B57" s="3" t="str">
        <f>A57</f>
        <v>phe-covid-2021-50plus-B</v>
      </c>
      <c r="C57" s="2" t="s">
        <v>457</v>
      </c>
      <c r="D57" s="2" t="s">
        <v>1229</v>
      </c>
      <c r="E57" s="2" t="s">
        <v>795</v>
      </c>
      <c r="F57" s="5">
        <f>SUMIFS(CaseCells!F2:F999,CaseCells!C2:C999, C57,CaseCells!D2:D999, D57,CaseCells!E2:E999, E57)</f>
        <v>205</v>
      </c>
      <c r="G57" s="5">
        <f>SUMIFS(CaseCells!G2:G999,CaseCells!C2:C999, C57,CaseCells!D2:D999, D57,CaseCells!E2:E999, E57)</f>
        <v>3440</v>
      </c>
      <c r="H57" s="3">
        <f>IF(G57 = 0, "", F57 / G57)</f>
        <v>0.059593023255813955</v>
      </c>
      <c r="I57" s="5">
        <f>SUMIFS(CaseCells!F2:F999,CaseCells!C2:C999, C57,CaseCells!D2:D999, D57,CaseCells!E2:E999, "A")</f>
        <v>460</v>
      </c>
      <c r="J57" s="5">
        <f>SUMIFS(CaseCells!G2:G999,CaseCells!C2:C999, C57,CaseCells!D2:D999, D57,CaseCells!E2:E999, "A")</f>
        <v>27307</v>
      </c>
      <c r="K57" s="3">
        <f>IF(J57 = 0, "", I57 / J57)</f>
        <v>0.0168454974914857</v>
      </c>
      <c r="L57" s="5">
        <f>SUMIFS(CaseCells!F2:F999,CaseCells!C2:C999, C57,CaseCells!D2:D999, D57,CaseCells!E2:E999, "B")</f>
        <v>205</v>
      </c>
      <c r="M57" s="5">
        <f>SUMIFS(CaseCells!G2:G999,CaseCells!C2:C999, C57,CaseCells!D2:D999, D57,CaseCells!E2:E999, "B")</f>
        <v>3440</v>
      </c>
      <c r="N57" s="3">
        <f>IF(M57 = 0, "", L57 / M57)</f>
        <v>0.059593023255813955</v>
      </c>
      <c r="O57" s="3" t="str">
        <f>IF(K57 &gt; N57, "A", "B")</f>
        <v>B</v>
      </c>
      <c r="P57" s="5">
        <f>SUMIFS(CaseCells!G2:G999,CaseCells!C2:C999, C57)</f>
        <v>268166</v>
      </c>
      <c r="Q57" s="5">
        <f>SUMIFS(CaseCells!G2:G999,CaseCells!C2:C999, C57,CaseCells!D2:D999, D57)</f>
        <v>30747</v>
      </c>
      <c r="R57" s="3">
        <f>IF(P57 = 0, "", Q57 / P57)</f>
        <v>0.11465659330414743</v>
      </c>
      <c r="S57" s="3">
        <f>IF(R57 = "", "", R57 * H57)</f>
        <v>0.006832733031206461</v>
      </c>
      <c r="T57" s="5">
        <f>SUMIFS(CaseCells!G2:G999,CaseCells!C2:C999, C57,CaseCells!D2:D999, D57,CaseCells!E2:E999, "A")</f>
        <v>27307</v>
      </c>
      <c r="U57" s="5">
        <f>SUMIFS(CaseCells!G2:G999,CaseCells!C2:C999, C57,CaseCells!D2:D999, D57,CaseCells!E2:E999, "B")</f>
        <v>3440</v>
      </c>
      <c r="V57" s="5">
        <f>SUMIFS(CaseCells!G2:G999,CaseCells!C2:C999, C57,CaseCells!E2:E999, "A")</f>
        <v>117114</v>
      </c>
      <c r="W57" s="5">
        <f>SUMIFS(CaseCells!G2:G999,CaseCells!C2:C999, C57,CaseCells!E2:E999, "B")</f>
        <v>151052</v>
      </c>
      <c r="X57" s="3">
        <f>IF(V57 = 0, "", T57 / V57)</f>
        <v>0.23316597503287395</v>
      </c>
      <c r="Y57" s="3">
        <f>IF(W57 = 0, "", U57 / W57)</f>
        <v>0.02277361438445039</v>
      </c>
      <c r="Z57" s="3">
        <f>IF(X57 = "", "", X57 - Y57)</f>
        <v>0.21039236064842357</v>
      </c>
      <c r="AA57" s="3">
        <f>IF(K57 = "", "", K57 - N57)</f>
        <v>-0.042747525764328255</v>
      </c>
      <c r="AB57" s="3">
        <f>IF(AA57 = "", "", AA57 * R57)</f>
        <v>-0.004901285676319149</v>
      </c>
    </row>
    <row r="58">
      <c r="A58" s="2" t="s">
        <v>1835</v>
      </c>
      <c r="B58" s="3" t="str">
        <f>A58</f>
        <v>hannan-1994-high-risk-A</v>
      </c>
      <c r="C58" s="2" t="s">
        <v>462</v>
      </c>
      <c r="D58" s="2" t="s">
        <v>1232</v>
      </c>
      <c r="E58" s="2" t="s">
        <v>792</v>
      </c>
      <c r="F58" s="5">
        <f>SUMIFS(CaseCells!F2:F999,CaseCells!C2:C999, C58,CaseCells!D2:D999, D58,CaseCells!E2:E999, E58)</f>
        <v>466</v>
      </c>
      <c r="G58" s="5">
        <f>SUMIFS(CaseCells!G2:G999,CaseCells!C2:C999, C58,CaseCells!D2:D999, D58,CaseCells!E2:E999, E58)</f>
        <v>490</v>
      </c>
      <c r="H58" s="3">
        <f>IF(G58 = 0, "", F58 / G58)</f>
        <v>0.9510204081632653</v>
      </c>
      <c r="I58" s="5">
        <f>SUMIFS(CaseCells!F2:F999,CaseCells!C2:C999, C58,CaseCells!D2:D999, D58,CaseCells!E2:E999, "A")</f>
        <v>466</v>
      </c>
      <c r="J58" s="5">
        <f>SUMIFS(CaseCells!G2:G999,CaseCells!C2:C999, C58,CaseCells!D2:D999, D58,CaseCells!E2:E999, "A")</f>
        <v>490</v>
      </c>
      <c r="K58" s="3">
        <f>IF(J58 = 0, "", I58 / J58)</f>
        <v>0.9510204081632653</v>
      </c>
      <c r="L58" s="5">
        <f>SUMIFS(CaseCells!F2:F999,CaseCells!C2:C999, C58,CaseCells!D2:D999, D58,CaseCells!E2:E999, "B")</f>
        <v>64</v>
      </c>
      <c r="M58" s="5">
        <f>SUMIFS(CaseCells!G2:G999,CaseCells!C2:C999, C58,CaseCells!D2:D999, D58,CaseCells!E2:E999, "B")</f>
        <v>80</v>
      </c>
      <c r="N58" s="3">
        <f>IF(M58 = 0, "", L58 / M58)</f>
        <v>0.8</v>
      </c>
      <c r="O58" s="3" t="str">
        <f>IF(K58 &gt; N58, "A", "B")</f>
        <v>A</v>
      </c>
      <c r="P58" s="5">
        <f>SUMIFS(CaseCells!G2:G999,CaseCells!C2:C999, C58)</f>
        <v>1100</v>
      </c>
      <c r="Q58" s="5">
        <f>SUMIFS(CaseCells!G2:G999,CaseCells!C2:C999, C58,CaseCells!D2:D999, D58)</f>
        <v>570</v>
      </c>
      <c r="R58" s="3">
        <f>IF(P58 = 0, "", Q58 / P58)</f>
        <v>0.5181818181818182</v>
      </c>
      <c r="S58" s="3">
        <f>IF(R58 = "", "", R58 * H58)</f>
        <v>0.49280148423005565</v>
      </c>
      <c r="T58" s="5">
        <f>SUMIFS(CaseCells!G2:G999,CaseCells!C2:C999, C58,CaseCells!D2:D999, D58,CaseCells!E2:E999, "A")</f>
        <v>490</v>
      </c>
      <c r="U58" s="5">
        <f>SUMIFS(CaseCells!G2:G999,CaseCells!C2:C999, C58,CaseCells!D2:D999, D58,CaseCells!E2:E999, "B")</f>
        <v>80</v>
      </c>
      <c r="V58" s="5">
        <f>SUMIFS(CaseCells!G2:G999,CaseCells!C2:C999, C58,CaseCells!E2:E999, "A")</f>
        <v>700</v>
      </c>
      <c r="W58" s="5">
        <f>SUMIFS(CaseCells!G2:G999,CaseCells!C2:C999, C58,CaseCells!E2:E999, "B")</f>
        <v>400</v>
      </c>
      <c r="X58" s="3">
        <f>IF(V58 = 0, "", T58 / V58)</f>
        <v>0.7</v>
      </c>
      <c r="Y58" s="3">
        <f>IF(W58 = 0, "", U58 / W58)</f>
        <v>0.2</v>
      </c>
      <c r="Z58" s="3">
        <f>IF(X58 = "", "", X58 - Y58)</f>
        <v>0.49999999999999994</v>
      </c>
      <c r="AA58" s="3">
        <f>IF(K58 = "", "", K58 - N58)</f>
        <v>0.15102040816326523</v>
      </c>
      <c r="AB58" s="3">
        <f>IF(AA58 = "", "", AA58 * R58)</f>
        <v>0.07825602968460108</v>
      </c>
    </row>
    <row r="59">
      <c r="A59" s="2" t="s">
        <v>1836</v>
      </c>
      <c r="B59" s="3" t="str">
        <f>A59</f>
        <v>hannan-1994-high-risk-B</v>
      </c>
      <c r="C59" s="2" t="s">
        <v>462</v>
      </c>
      <c r="D59" s="2" t="s">
        <v>1232</v>
      </c>
      <c r="E59" s="2" t="s">
        <v>795</v>
      </c>
      <c r="F59" s="5">
        <f>SUMIFS(CaseCells!F2:F999,CaseCells!C2:C999, C59,CaseCells!D2:D999, D59,CaseCells!E2:E999, E59)</f>
        <v>64</v>
      </c>
      <c r="G59" s="5">
        <f>SUMIFS(CaseCells!G2:G999,CaseCells!C2:C999, C59,CaseCells!D2:D999, D59,CaseCells!E2:E999, E59)</f>
        <v>80</v>
      </c>
      <c r="H59" s="3">
        <f>IF(G59 = 0, "", F59 / G59)</f>
        <v>0.8</v>
      </c>
      <c r="I59" s="5">
        <f>SUMIFS(CaseCells!F2:F999,CaseCells!C2:C999, C59,CaseCells!D2:D999, D59,CaseCells!E2:E999, "A")</f>
        <v>466</v>
      </c>
      <c r="J59" s="5">
        <f>SUMIFS(CaseCells!G2:G999,CaseCells!C2:C999, C59,CaseCells!D2:D999, D59,CaseCells!E2:E999, "A")</f>
        <v>490</v>
      </c>
      <c r="K59" s="3">
        <f>IF(J59 = 0, "", I59 / J59)</f>
        <v>0.9510204081632653</v>
      </c>
      <c r="L59" s="5">
        <f>SUMIFS(CaseCells!F2:F999,CaseCells!C2:C999, C59,CaseCells!D2:D999, D59,CaseCells!E2:E999, "B")</f>
        <v>64</v>
      </c>
      <c r="M59" s="5">
        <f>SUMIFS(CaseCells!G2:G999,CaseCells!C2:C999, C59,CaseCells!D2:D999, D59,CaseCells!E2:E999, "B")</f>
        <v>80</v>
      </c>
      <c r="N59" s="3">
        <f>IF(M59 = 0, "", L59 / M59)</f>
        <v>0.8</v>
      </c>
      <c r="O59" s="3" t="str">
        <f>IF(K59 &gt; N59, "A", "B")</f>
        <v>A</v>
      </c>
      <c r="P59" s="5">
        <f>SUMIFS(CaseCells!G2:G999,CaseCells!C2:C999, C59)</f>
        <v>1100</v>
      </c>
      <c r="Q59" s="5">
        <f>SUMIFS(CaseCells!G2:G999,CaseCells!C2:C999, C59,CaseCells!D2:D999, D59)</f>
        <v>570</v>
      </c>
      <c r="R59" s="3">
        <f>IF(P59 = 0, "", Q59 / P59)</f>
        <v>0.5181818181818182</v>
      </c>
      <c r="S59" s="3">
        <f>IF(R59 = "", "", R59 * H59)</f>
        <v>0.41454545454545455</v>
      </c>
      <c r="T59" s="5">
        <f>SUMIFS(CaseCells!G2:G999,CaseCells!C2:C999, C59,CaseCells!D2:D999, D59,CaseCells!E2:E999, "A")</f>
        <v>490</v>
      </c>
      <c r="U59" s="5">
        <f>SUMIFS(CaseCells!G2:G999,CaseCells!C2:C999, C59,CaseCells!D2:D999, D59,CaseCells!E2:E999, "B")</f>
        <v>80</v>
      </c>
      <c r="V59" s="5">
        <f>SUMIFS(CaseCells!G2:G999,CaseCells!C2:C999, C59,CaseCells!E2:E999, "A")</f>
        <v>700</v>
      </c>
      <c r="W59" s="5">
        <f>SUMIFS(CaseCells!G2:G999,CaseCells!C2:C999, C59,CaseCells!E2:E999, "B")</f>
        <v>400</v>
      </c>
      <c r="X59" s="3">
        <f>IF(V59 = 0, "", T59 / V59)</f>
        <v>0.7</v>
      </c>
      <c r="Y59" s="3">
        <f>IF(W59 = 0, "", U59 / W59)</f>
        <v>0.2</v>
      </c>
      <c r="Z59" s="3">
        <f>IF(X59 = "", "", X59 - Y59)</f>
        <v>0.49999999999999994</v>
      </c>
      <c r="AA59" s="3">
        <f>IF(K59 = "", "", K59 - N59)</f>
        <v>0.15102040816326523</v>
      </c>
      <c r="AB59" s="3">
        <f>IF(AA59 = "", "", AA59 * R59)</f>
        <v>0.07825602968460108</v>
      </c>
    </row>
    <row r="60">
      <c r="A60" s="2" t="s">
        <v>1837</v>
      </c>
      <c r="B60" s="3" t="str">
        <f>A60</f>
        <v>hannan-1994-low-risk-A</v>
      </c>
      <c r="C60" s="2" t="s">
        <v>462</v>
      </c>
      <c r="D60" s="2" t="s">
        <v>1235</v>
      </c>
      <c r="E60" s="2" t="s">
        <v>792</v>
      </c>
      <c r="F60" s="5">
        <f>SUMIFS(CaseCells!F2:F999,CaseCells!C2:C999, C60,CaseCells!D2:D999, D60,CaseCells!E2:E999, E60)</f>
        <v>208</v>
      </c>
      <c r="G60" s="5">
        <f>SUMIFS(CaseCells!G2:G999,CaseCells!C2:C999, C60,CaseCells!D2:D999, D60,CaseCells!E2:E999, E60)</f>
        <v>210</v>
      </c>
      <c r="H60" s="3">
        <f>IF(G60 = 0, "", F60 / G60)</f>
        <v>0.9904761904761905</v>
      </c>
      <c r="I60" s="5">
        <f>SUMIFS(CaseCells!F2:F999,CaseCells!C2:C999, C60,CaseCells!D2:D999, D60,CaseCells!E2:E999, "A")</f>
        <v>208</v>
      </c>
      <c r="J60" s="5">
        <f>SUMIFS(CaseCells!G2:G999,CaseCells!C2:C999, C60,CaseCells!D2:D999, D60,CaseCells!E2:E999, "A")</f>
        <v>210</v>
      </c>
      <c r="K60" s="3">
        <f>IF(J60 = 0, "", I60 / J60)</f>
        <v>0.9904761904761905</v>
      </c>
      <c r="L60" s="5">
        <f>SUMIFS(CaseCells!F2:F999,CaseCells!C2:C999, C60,CaseCells!D2:D999, D60,CaseCells!E2:E999, "B")</f>
        <v>310</v>
      </c>
      <c r="M60" s="5">
        <f>SUMIFS(CaseCells!G2:G999,CaseCells!C2:C999, C60,CaseCells!D2:D999, D60,CaseCells!E2:E999, "B")</f>
        <v>320</v>
      </c>
      <c r="N60" s="3">
        <f>IF(M60 = 0, "", L60 / M60)</f>
        <v>0.96875</v>
      </c>
      <c r="O60" s="3" t="str">
        <f>IF(K60 &gt; N60, "A", "B")</f>
        <v>A</v>
      </c>
      <c r="P60" s="5">
        <f>SUMIFS(CaseCells!G2:G999,CaseCells!C2:C999, C60)</f>
        <v>1100</v>
      </c>
      <c r="Q60" s="5">
        <f>SUMIFS(CaseCells!G2:G999,CaseCells!C2:C999, C60,CaseCells!D2:D999, D60)</f>
        <v>530</v>
      </c>
      <c r="R60" s="3">
        <f>IF(P60 = 0, "", Q60 / P60)</f>
        <v>0.4818181818181818</v>
      </c>
      <c r="S60" s="3">
        <f>IF(R60 = "", "", R60 * H60)</f>
        <v>0.4772294372294372</v>
      </c>
      <c r="T60" s="5">
        <f>SUMIFS(CaseCells!G2:G999,CaseCells!C2:C999, C60,CaseCells!D2:D999, D60,CaseCells!E2:E999, "A")</f>
        <v>210</v>
      </c>
      <c r="U60" s="5">
        <f>SUMIFS(CaseCells!G2:G999,CaseCells!C2:C999, C60,CaseCells!D2:D999, D60,CaseCells!E2:E999, "B")</f>
        <v>320</v>
      </c>
      <c r="V60" s="5">
        <f>SUMIFS(CaseCells!G2:G999,CaseCells!C2:C999, C60,CaseCells!E2:E999, "A")</f>
        <v>700</v>
      </c>
      <c r="W60" s="5">
        <f>SUMIFS(CaseCells!G2:G999,CaseCells!C2:C999, C60,CaseCells!E2:E999, "B")</f>
        <v>400</v>
      </c>
      <c r="X60" s="3">
        <f>IF(V60 = 0, "", T60 / V60)</f>
        <v>0.3</v>
      </c>
      <c r="Y60" s="3">
        <f>IF(W60 = 0, "", U60 / W60)</f>
        <v>0.8</v>
      </c>
      <c r="Z60" s="3">
        <f>IF(X60 = "", "", X60 - Y60)</f>
        <v>-0.5</v>
      </c>
      <c r="AA60" s="3">
        <f>IF(K60 = "", "", K60 - N60)</f>
        <v>0.02172619047619051</v>
      </c>
      <c r="AB60" s="3">
        <f>IF(AA60 = "", "", AA60 * R60)</f>
        <v>0.010468073593073609</v>
      </c>
    </row>
    <row r="61">
      <c r="A61" s="2" t="s">
        <v>1838</v>
      </c>
      <c r="B61" s="3" t="str">
        <f>A61</f>
        <v>hannan-1994-low-risk-B</v>
      </c>
      <c r="C61" s="2" t="s">
        <v>462</v>
      </c>
      <c r="D61" s="2" t="s">
        <v>1235</v>
      </c>
      <c r="E61" s="2" t="s">
        <v>795</v>
      </c>
      <c r="F61" s="5">
        <f>SUMIFS(CaseCells!F2:F999,CaseCells!C2:C999, C61,CaseCells!D2:D999, D61,CaseCells!E2:E999, E61)</f>
        <v>310</v>
      </c>
      <c r="G61" s="5">
        <f>SUMIFS(CaseCells!G2:G999,CaseCells!C2:C999, C61,CaseCells!D2:D999, D61,CaseCells!E2:E999, E61)</f>
        <v>320</v>
      </c>
      <c r="H61" s="3">
        <f>IF(G61 = 0, "", F61 / G61)</f>
        <v>0.96875</v>
      </c>
      <c r="I61" s="5">
        <f>SUMIFS(CaseCells!F2:F999,CaseCells!C2:C999, C61,CaseCells!D2:D999, D61,CaseCells!E2:E999, "A")</f>
        <v>208</v>
      </c>
      <c r="J61" s="5">
        <f>SUMIFS(CaseCells!G2:G999,CaseCells!C2:C999, C61,CaseCells!D2:D999, D61,CaseCells!E2:E999, "A")</f>
        <v>210</v>
      </c>
      <c r="K61" s="3">
        <f>IF(J61 = 0, "", I61 / J61)</f>
        <v>0.9904761904761905</v>
      </c>
      <c r="L61" s="5">
        <f>SUMIFS(CaseCells!F2:F999,CaseCells!C2:C999, C61,CaseCells!D2:D999, D61,CaseCells!E2:E999, "B")</f>
        <v>310</v>
      </c>
      <c r="M61" s="5">
        <f>SUMIFS(CaseCells!G2:G999,CaseCells!C2:C999, C61,CaseCells!D2:D999, D61,CaseCells!E2:E999, "B")</f>
        <v>320</v>
      </c>
      <c r="N61" s="3">
        <f>IF(M61 = 0, "", L61 / M61)</f>
        <v>0.96875</v>
      </c>
      <c r="O61" s="3" t="str">
        <f>IF(K61 &gt; N61, "A", "B")</f>
        <v>A</v>
      </c>
      <c r="P61" s="5">
        <f>SUMIFS(CaseCells!G2:G999,CaseCells!C2:C999, C61)</f>
        <v>1100</v>
      </c>
      <c r="Q61" s="5">
        <f>SUMIFS(CaseCells!G2:G999,CaseCells!C2:C999, C61,CaseCells!D2:D999, D61)</f>
        <v>530</v>
      </c>
      <c r="R61" s="3">
        <f>IF(P61 = 0, "", Q61 / P61)</f>
        <v>0.4818181818181818</v>
      </c>
      <c r="S61" s="3">
        <f>IF(R61 = "", "", R61 * H61)</f>
        <v>0.4667613636363636</v>
      </c>
      <c r="T61" s="5">
        <f>SUMIFS(CaseCells!G2:G999,CaseCells!C2:C999, C61,CaseCells!D2:D999, D61,CaseCells!E2:E999, "A")</f>
        <v>210</v>
      </c>
      <c r="U61" s="5">
        <f>SUMIFS(CaseCells!G2:G999,CaseCells!C2:C999, C61,CaseCells!D2:D999, D61,CaseCells!E2:E999, "B")</f>
        <v>320</v>
      </c>
      <c r="V61" s="5">
        <f>SUMIFS(CaseCells!G2:G999,CaseCells!C2:C999, C61,CaseCells!E2:E999, "A")</f>
        <v>700</v>
      </c>
      <c r="W61" s="5">
        <f>SUMIFS(CaseCells!G2:G999,CaseCells!C2:C999, C61,CaseCells!E2:E999, "B")</f>
        <v>400</v>
      </c>
      <c r="X61" s="3">
        <f>IF(V61 = 0, "", T61 / V61)</f>
        <v>0.3</v>
      </c>
      <c r="Y61" s="3">
        <f>IF(W61 = 0, "", U61 / W61)</f>
        <v>0.8</v>
      </c>
      <c r="Z61" s="3">
        <f>IF(X61 = "", "", X61 - Y61)</f>
        <v>-0.5</v>
      </c>
      <c r="AA61" s="3">
        <f>IF(K61 = "", "", K61 - N61)</f>
        <v>0.02172619047619051</v>
      </c>
      <c r="AB61" s="3">
        <f>IF(AA61 = "", "", AA61 * R61)</f>
        <v>0.010468073593073609</v>
      </c>
    </row>
    <row r="62">
      <c r="A62" s="2" t="s">
        <v>1839</v>
      </c>
      <c r="B62" s="3" t="str">
        <f>A62</f>
        <v>titanic-1912-male-A</v>
      </c>
      <c r="C62" s="2" t="s">
        <v>466</v>
      </c>
      <c r="D62" s="2" t="s">
        <v>1238</v>
      </c>
      <c r="E62" s="2" t="s">
        <v>792</v>
      </c>
      <c r="F62" s="5">
        <f>SUMIFS(CaseCells!F2:F999,CaseCells!C2:C999, C62,CaseCells!D2:D999, D62,CaseCells!E2:E999, E62)</f>
        <v>57</v>
      </c>
      <c r="G62" s="5">
        <f>SUMIFS(CaseCells!G2:G999,CaseCells!C2:C999, C62,CaseCells!D2:D999, D62,CaseCells!E2:E999, E62)</f>
        <v>175</v>
      </c>
      <c r="H62" s="3">
        <f>IF(G62 = 0, "", F62 / G62)</f>
        <v>0.32571428571428573</v>
      </c>
      <c r="I62" s="5">
        <f>SUMIFS(CaseCells!F2:F999,CaseCells!C2:C999, C62,CaseCells!D2:D999, D62,CaseCells!E2:E999, "A")</f>
        <v>57</v>
      </c>
      <c r="J62" s="5">
        <f>SUMIFS(CaseCells!G2:G999,CaseCells!C2:C999, C62,CaseCells!D2:D999, D62,CaseCells!E2:E999, "A")</f>
        <v>175</v>
      </c>
      <c r="K62" s="3">
        <f>IF(J62 = 0, "", I62 / J62)</f>
        <v>0.32571428571428573</v>
      </c>
      <c r="L62" s="5">
        <f>SUMIFS(CaseCells!F2:F999,CaseCells!C2:C999, C62,CaseCells!D2:D999, D62,CaseCells!E2:E999, "B")</f>
        <v>75</v>
      </c>
      <c r="M62" s="5">
        <f>SUMIFS(CaseCells!G2:G999,CaseCells!C2:C999, C62,CaseCells!D2:D999, D62,CaseCells!E2:E999, "B")</f>
        <v>462</v>
      </c>
      <c r="N62" s="3">
        <f>IF(M62 = 0, "", L62 / M62)</f>
        <v>0.16233766233766234</v>
      </c>
      <c r="O62" s="3" t="str">
        <f>IF(K62 &gt; N62, "A", "B")</f>
        <v>A</v>
      </c>
      <c r="P62" s="5">
        <f>SUMIFS(CaseCells!G2:G999,CaseCells!C2:C999, C62)</f>
        <v>946</v>
      </c>
      <c r="Q62" s="5">
        <f>SUMIFS(CaseCells!G2:G999,CaseCells!C2:C999, C62,CaseCells!D2:D999, D62)</f>
        <v>637</v>
      </c>
      <c r="R62" s="3">
        <f>IF(P62 = 0, "", Q62 / P62)</f>
        <v>0.6733615221987315</v>
      </c>
      <c r="S62" s="3">
        <f>IF(R62 = "", "", R62 * H62)</f>
        <v>0.21932346723044396</v>
      </c>
      <c r="T62" s="5">
        <f>SUMIFS(CaseCells!G2:G999,CaseCells!C2:C999, C62,CaseCells!D2:D999, D62,CaseCells!E2:E999, "A")</f>
        <v>175</v>
      </c>
      <c r="U62" s="5">
        <f>SUMIFS(CaseCells!G2:G999,CaseCells!C2:C999, C62,CaseCells!D2:D999, D62,CaseCells!E2:E999, "B")</f>
        <v>462</v>
      </c>
      <c r="V62" s="5">
        <f>SUMIFS(CaseCells!G2:G999,CaseCells!C2:C999, C62,CaseCells!E2:E999, "A")</f>
        <v>319</v>
      </c>
      <c r="W62" s="5">
        <f>SUMIFS(CaseCells!G2:G999,CaseCells!C2:C999, C62,CaseCells!E2:E999, "B")</f>
        <v>627</v>
      </c>
      <c r="X62" s="3">
        <f>IF(V62 = 0, "", T62 / V62)</f>
        <v>0.54858934169279</v>
      </c>
      <c r="Y62" s="3">
        <f>IF(W62 = 0, "", U62 / W62)</f>
        <v>0.7368421052631579</v>
      </c>
      <c r="Z62" s="3">
        <f>IF(X62 = "", "", X62 - Y62)</f>
        <v>-0.1882527635703679</v>
      </c>
      <c r="AA62" s="3">
        <f>IF(K62 = "", "", K62 - N62)</f>
        <v>0.1633766233766234</v>
      </c>
      <c r="AB62" s="3">
        <f>IF(AA62 = "", "", AA62 * R62)</f>
        <v>0.11001153180857198</v>
      </c>
    </row>
    <row r="63">
      <c r="A63" s="2" t="s">
        <v>1840</v>
      </c>
      <c r="B63" s="3" t="str">
        <f>A63</f>
        <v>titanic-1912-male-B</v>
      </c>
      <c r="C63" s="2" t="s">
        <v>466</v>
      </c>
      <c r="D63" s="2" t="s">
        <v>1238</v>
      </c>
      <c r="E63" s="2" t="s">
        <v>795</v>
      </c>
      <c r="F63" s="5">
        <f>SUMIFS(CaseCells!F2:F999,CaseCells!C2:C999, C63,CaseCells!D2:D999, D63,CaseCells!E2:E999, E63)</f>
        <v>75</v>
      </c>
      <c r="G63" s="5">
        <f>SUMIFS(CaseCells!G2:G999,CaseCells!C2:C999, C63,CaseCells!D2:D999, D63,CaseCells!E2:E999, E63)</f>
        <v>462</v>
      </c>
      <c r="H63" s="3">
        <f>IF(G63 = 0, "", F63 / G63)</f>
        <v>0.16233766233766234</v>
      </c>
      <c r="I63" s="5">
        <f>SUMIFS(CaseCells!F2:F999,CaseCells!C2:C999, C63,CaseCells!D2:D999, D63,CaseCells!E2:E999, "A")</f>
        <v>57</v>
      </c>
      <c r="J63" s="5">
        <f>SUMIFS(CaseCells!G2:G999,CaseCells!C2:C999, C63,CaseCells!D2:D999, D63,CaseCells!E2:E999, "A")</f>
        <v>175</v>
      </c>
      <c r="K63" s="3">
        <f>IF(J63 = 0, "", I63 / J63)</f>
        <v>0.32571428571428573</v>
      </c>
      <c r="L63" s="5">
        <f>SUMIFS(CaseCells!F2:F999,CaseCells!C2:C999, C63,CaseCells!D2:D999, D63,CaseCells!E2:E999, "B")</f>
        <v>75</v>
      </c>
      <c r="M63" s="5">
        <f>SUMIFS(CaseCells!G2:G999,CaseCells!C2:C999, C63,CaseCells!D2:D999, D63,CaseCells!E2:E999, "B")</f>
        <v>462</v>
      </c>
      <c r="N63" s="3">
        <f>IF(M63 = 0, "", L63 / M63)</f>
        <v>0.16233766233766234</v>
      </c>
      <c r="O63" s="3" t="str">
        <f>IF(K63 &gt; N63, "A", "B")</f>
        <v>A</v>
      </c>
      <c r="P63" s="5">
        <f>SUMIFS(CaseCells!G2:G999,CaseCells!C2:C999, C63)</f>
        <v>946</v>
      </c>
      <c r="Q63" s="5">
        <f>SUMIFS(CaseCells!G2:G999,CaseCells!C2:C999, C63,CaseCells!D2:D999, D63)</f>
        <v>637</v>
      </c>
      <c r="R63" s="3">
        <f>IF(P63 = 0, "", Q63 / P63)</f>
        <v>0.6733615221987315</v>
      </c>
      <c r="S63" s="3">
        <f>IF(R63 = "", "", R63 * H63)</f>
        <v>0.109311935421872</v>
      </c>
      <c r="T63" s="5">
        <f>SUMIFS(CaseCells!G2:G999,CaseCells!C2:C999, C63,CaseCells!D2:D999, D63,CaseCells!E2:E999, "A")</f>
        <v>175</v>
      </c>
      <c r="U63" s="5">
        <f>SUMIFS(CaseCells!G2:G999,CaseCells!C2:C999, C63,CaseCells!D2:D999, D63,CaseCells!E2:E999, "B")</f>
        <v>462</v>
      </c>
      <c r="V63" s="5">
        <f>SUMIFS(CaseCells!G2:G999,CaseCells!C2:C999, C63,CaseCells!E2:E999, "A")</f>
        <v>319</v>
      </c>
      <c r="W63" s="5">
        <f>SUMIFS(CaseCells!G2:G999,CaseCells!C2:C999, C63,CaseCells!E2:E999, "B")</f>
        <v>627</v>
      </c>
      <c r="X63" s="3">
        <f>IF(V63 = 0, "", T63 / V63)</f>
        <v>0.54858934169279</v>
      </c>
      <c r="Y63" s="3">
        <f>IF(W63 = 0, "", U63 / W63)</f>
        <v>0.7368421052631579</v>
      </c>
      <c r="Z63" s="3">
        <f>IF(X63 = "", "", X63 - Y63)</f>
        <v>-0.1882527635703679</v>
      </c>
      <c r="AA63" s="3">
        <f>IF(K63 = "", "", K63 - N63)</f>
        <v>0.1633766233766234</v>
      </c>
      <c r="AB63" s="3">
        <f>IF(AA63 = "", "", AA63 * R63)</f>
        <v>0.11001153180857198</v>
      </c>
    </row>
    <row r="64">
      <c r="A64" s="2" t="s">
        <v>1841</v>
      </c>
      <c r="B64" s="3" t="str">
        <f>A64</f>
        <v>titanic-1912-female-A</v>
      </c>
      <c r="C64" s="2" t="s">
        <v>466</v>
      </c>
      <c r="D64" s="2" t="s">
        <v>1241</v>
      </c>
      <c r="E64" s="2" t="s">
        <v>792</v>
      </c>
      <c r="F64" s="5">
        <f>SUMIFS(CaseCells!F2:F999,CaseCells!C2:C999, C64,CaseCells!D2:D999, D64,CaseCells!E2:E999, E64)</f>
        <v>139</v>
      </c>
      <c r="G64" s="5">
        <f>SUMIFS(CaseCells!G2:G999,CaseCells!C2:C999, C64,CaseCells!D2:D999, D64,CaseCells!E2:E999, E64)</f>
        <v>144</v>
      </c>
      <c r="H64" s="3">
        <f>IF(G64 = 0, "", F64 / G64)</f>
        <v>0.9652777777777778</v>
      </c>
      <c r="I64" s="5">
        <f>SUMIFS(CaseCells!F2:F999,CaseCells!C2:C999, C64,CaseCells!D2:D999, D64,CaseCells!E2:E999, "A")</f>
        <v>139</v>
      </c>
      <c r="J64" s="5">
        <f>SUMIFS(CaseCells!G2:G999,CaseCells!C2:C999, C64,CaseCells!D2:D999, D64,CaseCells!E2:E999, "A")</f>
        <v>144</v>
      </c>
      <c r="K64" s="3">
        <f>IF(J64 = 0, "", I64 / J64)</f>
        <v>0.9652777777777778</v>
      </c>
      <c r="L64" s="5">
        <f>SUMIFS(CaseCells!F2:F999,CaseCells!C2:C999, C64,CaseCells!D2:D999, D64,CaseCells!E2:E999, "B")</f>
        <v>76</v>
      </c>
      <c r="M64" s="5">
        <f>SUMIFS(CaseCells!G2:G999,CaseCells!C2:C999, C64,CaseCells!D2:D999, D64,CaseCells!E2:E999, "B")</f>
        <v>165</v>
      </c>
      <c r="N64" s="3">
        <f>IF(M64 = 0, "", L64 / M64)</f>
        <v>0.46060606060606063</v>
      </c>
      <c r="O64" s="3" t="str">
        <f>IF(K64 &gt; N64, "A", "B")</f>
        <v>A</v>
      </c>
      <c r="P64" s="5">
        <f>SUMIFS(CaseCells!G2:G999,CaseCells!C2:C999, C64)</f>
        <v>946</v>
      </c>
      <c r="Q64" s="5">
        <f>SUMIFS(CaseCells!G2:G999,CaseCells!C2:C999, C64,CaseCells!D2:D999, D64)</f>
        <v>309</v>
      </c>
      <c r="R64" s="3">
        <f>IF(P64 = 0, "", Q64 / P64)</f>
        <v>0.3266384778012685</v>
      </c>
      <c r="S64" s="3">
        <f>IF(R64 = "", "", R64 * H64)</f>
        <v>0.3152968639887244</v>
      </c>
      <c r="T64" s="5">
        <f>SUMIFS(CaseCells!G2:G999,CaseCells!C2:C999, C64,CaseCells!D2:D999, D64,CaseCells!E2:E999, "A")</f>
        <v>144</v>
      </c>
      <c r="U64" s="5">
        <f>SUMIFS(CaseCells!G2:G999,CaseCells!C2:C999, C64,CaseCells!D2:D999, D64,CaseCells!E2:E999, "B")</f>
        <v>165</v>
      </c>
      <c r="V64" s="5">
        <f>SUMIFS(CaseCells!G2:G999,CaseCells!C2:C999, C64,CaseCells!E2:E999, "A")</f>
        <v>319</v>
      </c>
      <c r="W64" s="5">
        <f>SUMIFS(CaseCells!G2:G999,CaseCells!C2:C999, C64,CaseCells!E2:E999, "B")</f>
        <v>627</v>
      </c>
      <c r="X64" s="3">
        <f>IF(V64 = 0, "", T64 / V64)</f>
        <v>0.45141065830721006</v>
      </c>
      <c r="Y64" s="3">
        <f>IF(W64 = 0, "", U64 / W64)</f>
        <v>0.2631578947368421</v>
      </c>
      <c r="Z64" s="3">
        <f>IF(X64 = "", "", X64 - Y64)</f>
        <v>0.18825276357036796</v>
      </c>
      <c r="AA64" s="3">
        <f>IF(K64 = "", "", K64 - N64)</f>
        <v>0.5046717171717172</v>
      </c>
      <c r="AB64" s="3">
        <f>IF(AA64 = "", "", AA64 * R64)</f>
        <v>0.164845201486322</v>
      </c>
    </row>
    <row r="65">
      <c r="A65" s="2" t="s">
        <v>1842</v>
      </c>
      <c r="B65" s="3" t="str">
        <f>A65</f>
        <v>titanic-1912-female-B</v>
      </c>
      <c r="C65" s="2" t="s">
        <v>466</v>
      </c>
      <c r="D65" s="2" t="s">
        <v>1241</v>
      </c>
      <c r="E65" s="2" t="s">
        <v>795</v>
      </c>
      <c r="F65" s="5">
        <f>SUMIFS(CaseCells!F2:F999,CaseCells!C2:C999, C65,CaseCells!D2:D999, D65,CaseCells!E2:E999, E65)</f>
        <v>76</v>
      </c>
      <c r="G65" s="5">
        <f>SUMIFS(CaseCells!G2:G999,CaseCells!C2:C999, C65,CaseCells!D2:D999, D65,CaseCells!E2:E999, E65)</f>
        <v>165</v>
      </c>
      <c r="H65" s="3">
        <f>IF(G65 = 0, "", F65 / G65)</f>
        <v>0.46060606060606063</v>
      </c>
      <c r="I65" s="5">
        <f>SUMIFS(CaseCells!F2:F999,CaseCells!C2:C999, C65,CaseCells!D2:D999, D65,CaseCells!E2:E999, "A")</f>
        <v>139</v>
      </c>
      <c r="J65" s="5">
        <f>SUMIFS(CaseCells!G2:G999,CaseCells!C2:C999, C65,CaseCells!D2:D999, D65,CaseCells!E2:E999, "A")</f>
        <v>144</v>
      </c>
      <c r="K65" s="3">
        <f>IF(J65 = 0, "", I65 / J65)</f>
        <v>0.9652777777777778</v>
      </c>
      <c r="L65" s="5">
        <f>SUMIFS(CaseCells!F2:F999,CaseCells!C2:C999, C65,CaseCells!D2:D999, D65,CaseCells!E2:E999, "B")</f>
        <v>76</v>
      </c>
      <c r="M65" s="5">
        <f>SUMIFS(CaseCells!G2:G999,CaseCells!C2:C999, C65,CaseCells!D2:D999, D65,CaseCells!E2:E999, "B")</f>
        <v>165</v>
      </c>
      <c r="N65" s="3">
        <f>IF(M65 = 0, "", L65 / M65)</f>
        <v>0.46060606060606063</v>
      </c>
      <c r="O65" s="3" t="str">
        <f>IF(K65 &gt; N65, "A", "B")</f>
        <v>A</v>
      </c>
      <c r="P65" s="5">
        <f>SUMIFS(CaseCells!G2:G999,CaseCells!C2:C999, C65)</f>
        <v>946</v>
      </c>
      <c r="Q65" s="5">
        <f>SUMIFS(CaseCells!G2:G999,CaseCells!C2:C999, C65,CaseCells!D2:D999, D65)</f>
        <v>309</v>
      </c>
      <c r="R65" s="3">
        <f>IF(P65 = 0, "", Q65 / P65)</f>
        <v>0.3266384778012685</v>
      </c>
      <c r="S65" s="3">
        <f>IF(R65 = "", "", R65 * H65)</f>
        <v>0.15045166250240247</v>
      </c>
      <c r="T65" s="5">
        <f>SUMIFS(CaseCells!G2:G999,CaseCells!C2:C999, C65,CaseCells!D2:D999, D65,CaseCells!E2:E999, "A")</f>
        <v>144</v>
      </c>
      <c r="U65" s="5">
        <f>SUMIFS(CaseCells!G2:G999,CaseCells!C2:C999, C65,CaseCells!D2:D999, D65,CaseCells!E2:E999, "B")</f>
        <v>165</v>
      </c>
      <c r="V65" s="5">
        <f>SUMIFS(CaseCells!G2:G999,CaseCells!C2:C999, C65,CaseCells!E2:E999, "A")</f>
        <v>319</v>
      </c>
      <c r="W65" s="5">
        <f>SUMIFS(CaseCells!G2:G999,CaseCells!C2:C999, C65,CaseCells!E2:E999, "B")</f>
        <v>627</v>
      </c>
      <c r="X65" s="3">
        <f>IF(V65 = 0, "", T65 / V65)</f>
        <v>0.45141065830721006</v>
      </c>
      <c r="Y65" s="3">
        <f>IF(W65 = 0, "", U65 / W65)</f>
        <v>0.2631578947368421</v>
      </c>
      <c r="Z65" s="3">
        <f>IF(X65 = "", "", X65 - Y65)</f>
        <v>0.18825276357036796</v>
      </c>
      <c r="AA65" s="3">
        <f>IF(K65 = "", "", K65 - N65)</f>
        <v>0.5046717171717172</v>
      </c>
      <c r="AB65" s="3">
        <f>IF(AA65 = "", "", AA65 * R65)</f>
        <v>0.164845201486322</v>
      </c>
    </row>
    <row r="66">
      <c r="A66" s="2" t="s">
        <v>2229</v>
      </c>
      <c r="B66" s="3" t="str">
        <f>A66</f>
        <v>birth-weight-paradox-low-birth-weight-A</v>
      </c>
      <c r="C66" s="2" t="s">
        <v>470</v>
      </c>
      <c r="D66" s="2" t="s">
        <v>1244</v>
      </c>
      <c r="E66" s="2" t="s">
        <v>792</v>
      </c>
      <c r="F66" s="5">
        <f>SUMIFS(CaseCells!F2:F999,CaseCells!C2:C999, C66,CaseCells!D2:D999, D66,CaseCells!E2:E999, E66)</f>
        <v>960</v>
      </c>
      <c r="G66" s="5">
        <f>SUMIFS(CaseCells!G2:G999,CaseCells!C2:C999, C66,CaseCells!D2:D999, D66,CaseCells!E2:E999, E66)</f>
        <v>1000</v>
      </c>
      <c r="H66" s="3">
        <f>IF(G66 = 0, "", F66 / G66)</f>
        <v>0.96</v>
      </c>
      <c r="I66" s="5">
        <f>SUMIFS(CaseCells!F2:F999,CaseCells!C2:C999, C66,CaseCells!D2:D999, D66,CaseCells!E2:E999, "A")</f>
        <v>960</v>
      </c>
      <c r="J66" s="5">
        <f>SUMIFS(CaseCells!G2:G999,CaseCells!C2:C999, C66,CaseCells!D2:D999, D66,CaseCells!E2:E999, "A")</f>
        <v>1000</v>
      </c>
      <c r="K66" s="3">
        <f>IF(J66 = 0, "", I66 / J66)</f>
        <v>0.96</v>
      </c>
      <c r="L66" s="5">
        <f>SUMIFS(CaseCells!F2:F999,CaseCells!C2:C999, C66,CaseCells!D2:D999, D66,CaseCells!E2:E999, "B")</f>
        <v>470</v>
      </c>
      <c r="M66" s="5">
        <f>SUMIFS(CaseCells!G2:G999,CaseCells!C2:C999, C66,CaseCells!D2:D999, D66,CaseCells!E2:E999, "B")</f>
        <v>500</v>
      </c>
      <c r="N66" s="3">
        <f>IF(M66 = 0, "", L66 / M66)</f>
        <v>0.94</v>
      </c>
      <c r="O66" s="3" t="str">
        <f>IF(K66 &gt; N66, "A", "B")</f>
        <v>A</v>
      </c>
      <c r="P66" s="5">
        <f>SUMIFS(CaseCells!G2:G999,CaseCells!C2:C999, C66)</f>
        <v>7500</v>
      </c>
      <c r="Q66" s="5">
        <f>SUMIFS(CaseCells!G2:G999,CaseCells!C2:C999, C66,CaseCells!D2:D999, D66)</f>
        <v>1500</v>
      </c>
      <c r="R66" s="3">
        <f>IF(P66 = 0, "", Q66 / P66)</f>
        <v>0.2</v>
      </c>
      <c r="S66" s="3">
        <f>IF(R66 = "", "", R66 * H66)</f>
        <v>0.192</v>
      </c>
      <c r="T66" s="5">
        <f>SUMIFS(CaseCells!G2:G999,CaseCells!C2:C999, C66,CaseCells!D2:D999, D66,CaseCells!E2:E999, "A")</f>
        <v>1000</v>
      </c>
      <c r="U66" s="5">
        <f>SUMIFS(CaseCells!G2:G999,CaseCells!C2:C999, C66,CaseCells!D2:D999, D66,CaseCells!E2:E999, "B")</f>
        <v>500</v>
      </c>
      <c r="V66" s="5">
        <f>SUMIFS(CaseCells!G2:G999,CaseCells!C2:C999, C66,CaseCells!E2:E999, "A")</f>
        <v>2000</v>
      </c>
      <c r="W66" s="5">
        <f>SUMIFS(CaseCells!G2:G999,CaseCells!C2:C999, C66,CaseCells!E2:E999, "B")</f>
        <v>5500</v>
      </c>
      <c r="X66" s="3">
        <f>IF(V66 = 0, "", T66 / V66)</f>
        <v>0.5</v>
      </c>
      <c r="Y66" s="3">
        <f>IF(W66 = 0, "", U66 / W66)</f>
        <v>0.09090909090909091</v>
      </c>
      <c r="Z66" s="3">
        <f>IF(X66 = "", "", X66 - Y66)</f>
        <v>0.40909090909090906</v>
      </c>
      <c r="AA66" s="3">
        <f>IF(K66 = "", "", K66 - N66)</f>
        <v>0.020000000000000018</v>
      </c>
      <c r="AB66" s="3">
        <f>IF(AA66 = "", "", AA66 * R66)</f>
        <v>0.0040000000000000036</v>
      </c>
    </row>
    <row r="67">
      <c r="A67" s="2" t="s">
        <v>2230</v>
      </c>
      <c r="B67" s="3" t="str">
        <f>A67</f>
        <v>birth-weight-paradox-low-birth-weight-B</v>
      </c>
      <c r="C67" s="2" t="s">
        <v>470</v>
      </c>
      <c r="D67" s="2" t="s">
        <v>1244</v>
      </c>
      <c r="E67" s="2" t="s">
        <v>795</v>
      </c>
      <c r="F67" s="5">
        <f>SUMIFS(CaseCells!F2:F999,CaseCells!C2:C999, C67,CaseCells!D2:D999, D67,CaseCells!E2:E999, E67)</f>
        <v>470</v>
      </c>
      <c r="G67" s="5">
        <f>SUMIFS(CaseCells!G2:G999,CaseCells!C2:C999, C67,CaseCells!D2:D999, D67,CaseCells!E2:E999, E67)</f>
        <v>500</v>
      </c>
      <c r="H67" s="3">
        <f>IF(G67 = 0, "", F67 / G67)</f>
        <v>0.94</v>
      </c>
      <c r="I67" s="5">
        <f>SUMIFS(CaseCells!F2:F999,CaseCells!C2:C999, C67,CaseCells!D2:D999, D67,CaseCells!E2:E999, "A")</f>
        <v>960</v>
      </c>
      <c r="J67" s="5">
        <f>SUMIFS(CaseCells!G2:G999,CaseCells!C2:C999, C67,CaseCells!D2:D999, D67,CaseCells!E2:E999, "A")</f>
        <v>1000</v>
      </c>
      <c r="K67" s="3">
        <f>IF(J67 = 0, "", I67 / J67)</f>
        <v>0.96</v>
      </c>
      <c r="L67" s="5">
        <f>SUMIFS(CaseCells!F2:F999,CaseCells!C2:C999, C67,CaseCells!D2:D999, D67,CaseCells!E2:E999, "B")</f>
        <v>470</v>
      </c>
      <c r="M67" s="5">
        <f>SUMIFS(CaseCells!G2:G999,CaseCells!C2:C999, C67,CaseCells!D2:D999, D67,CaseCells!E2:E999, "B")</f>
        <v>500</v>
      </c>
      <c r="N67" s="3">
        <f>IF(M67 = 0, "", L67 / M67)</f>
        <v>0.94</v>
      </c>
      <c r="O67" s="3" t="str">
        <f>IF(K67 &gt; N67, "A", "B")</f>
        <v>A</v>
      </c>
      <c r="P67" s="5">
        <f>SUMIFS(CaseCells!G2:G999,CaseCells!C2:C999, C67)</f>
        <v>7500</v>
      </c>
      <c r="Q67" s="5">
        <f>SUMIFS(CaseCells!G2:G999,CaseCells!C2:C999, C67,CaseCells!D2:D999, D67)</f>
        <v>1500</v>
      </c>
      <c r="R67" s="3">
        <f>IF(P67 = 0, "", Q67 / P67)</f>
        <v>0.2</v>
      </c>
      <c r="S67" s="3">
        <f>IF(R67 = "", "", R67 * H67)</f>
        <v>0.188</v>
      </c>
      <c r="T67" s="5">
        <f>SUMIFS(CaseCells!G2:G999,CaseCells!C2:C999, C67,CaseCells!D2:D999, D67,CaseCells!E2:E999, "A")</f>
        <v>1000</v>
      </c>
      <c r="U67" s="5">
        <f>SUMIFS(CaseCells!G2:G999,CaseCells!C2:C999, C67,CaseCells!D2:D999, D67,CaseCells!E2:E999, "B")</f>
        <v>500</v>
      </c>
      <c r="V67" s="5">
        <f>SUMIFS(CaseCells!G2:G999,CaseCells!C2:C999, C67,CaseCells!E2:E999, "A")</f>
        <v>2000</v>
      </c>
      <c r="W67" s="5">
        <f>SUMIFS(CaseCells!G2:G999,CaseCells!C2:C999, C67,CaseCells!E2:E999, "B")</f>
        <v>5500</v>
      </c>
      <c r="X67" s="3">
        <f>IF(V67 = 0, "", T67 / V67)</f>
        <v>0.5</v>
      </c>
      <c r="Y67" s="3">
        <f>IF(W67 = 0, "", U67 / W67)</f>
        <v>0.09090909090909091</v>
      </c>
      <c r="Z67" s="3">
        <f>IF(X67 = "", "", X67 - Y67)</f>
        <v>0.40909090909090906</v>
      </c>
      <c r="AA67" s="3">
        <f>IF(K67 = "", "", K67 - N67)</f>
        <v>0.020000000000000018</v>
      </c>
      <c r="AB67" s="3">
        <f>IF(AA67 = "", "", AA67 * R67)</f>
        <v>0.0040000000000000036</v>
      </c>
    </row>
    <row r="68">
      <c r="A68" s="2" t="s">
        <v>2231</v>
      </c>
      <c r="B68" s="3" t="str">
        <f>A68</f>
        <v>birth-weight-paradox-normal-birth-weight-A</v>
      </c>
      <c r="C68" s="2" t="s">
        <v>470</v>
      </c>
      <c r="D68" s="2" t="s">
        <v>1247</v>
      </c>
      <c r="E68" s="2" t="s">
        <v>792</v>
      </c>
      <c r="F68" s="5">
        <f>SUMIFS(CaseCells!F2:F999,CaseCells!C2:C999, C68,CaseCells!D2:D999, D68,CaseCells!E2:E999, E68)</f>
        <v>995</v>
      </c>
      <c r="G68" s="5">
        <f>SUMIFS(CaseCells!G2:G999,CaseCells!C2:C999, C68,CaseCells!D2:D999, D68,CaseCells!E2:E999, E68)</f>
        <v>1000</v>
      </c>
      <c r="H68" s="3">
        <f>IF(G68 = 0, "", F68 / G68)</f>
        <v>0.995</v>
      </c>
      <c r="I68" s="5">
        <f>SUMIFS(CaseCells!F2:F999,CaseCells!C2:C999, C68,CaseCells!D2:D999, D68,CaseCells!E2:E999, "A")</f>
        <v>995</v>
      </c>
      <c r="J68" s="5">
        <f>SUMIFS(CaseCells!G2:G999,CaseCells!C2:C999, C68,CaseCells!D2:D999, D68,CaseCells!E2:E999, "A")</f>
        <v>1000</v>
      </c>
      <c r="K68" s="3">
        <f>IF(J68 = 0, "", I68 / J68)</f>
        <v>0.995</v>
      </c>
      <c r="L68" s="5">
        <f>SUMIFS(CaseCells!F2:F999,CaseCells!C2:C999, C68,CaseCells!D2:D999, D68,CaseCells!E2:E999, "B")</f>
        <v>4980</v>
      </c>
      <c r="M68" s="5">
        <f>SUMIFS(CaseCells!G2:G999,CaseCells!C2:C999, C68,CaseCells!D2:D999, D68,CaseCells!E2:E999, "B")</f>
        <v>5000</v>
      </c>
      <c r="N68" s="3">
        <f>IF(M68 = 0, "", L68 / M68)</f>
        <v>0.996</v>
      </c>
      <c r="O68" s="3" t="str">
        <f>IF(K68 &gt; N68, "A", "B")</f>
        <v>B</v>
      </c>
      <c r="P68" s="5">
        <f>SUMIFS(CaseCells!G2:G999,CaseCells!C2:C999, C68)</f>
        <v>7500</v>
      </c>
      <c r="Q68" s="5">
        <f>SUMIFS(CaseCells!G2:G999,CaseCells!C2:C999, C68,CaseCells!D2:D999, D68)</f>
        <v>6000</v>
      </c>
      <c r="R68" s="3">
        <f>IF(P68 = 0, "", Q68 / P68)</f>
        <v>0.8</v>
      </c>
      <c r="S68" s="3">
        <f>IF(R68 = "", "", R68 * H68)</f>
        <v>0.796</v>
      </c>
      <c r="T68" s="5">
        <f>SUMIFS(CaseCells!G2:G999,CaseCells!C2:C999, C68,CaseCells!D2:D999, D68,CaseCells!E2:E999, "A")</f>
        <v>1000</v>
      </c>
      <c r="U68" s="5">
        <f>SUMIFS(CaseCells!G2:G999,CaseCells!C2:C999, C68,CaseCells!D2:D999, D68,CaseCells!E2:E999, "B")</f>
        <v>5000</v>
      </c>
      <c r="V68" s="5">
        <f>SUMIFS(CaseCells!G2:G999,CaseCells!C2:C999, C68,CaseCells!E2:E999, "A")</f>
        <v>2000</v>
      </c>
      <c r="W68" s="5">
        <f>SUMIFS(CaseCells!G2:G999,CaseCells!C2:C999, C68,CaseCells!E2:E999, "B")</f>
        <v>5500</v>
      </c>
      <c r="X68" s="3">
        <f>IF(V68 = 0, "", T68 / V68)</f>
        <v>0.5</v>
      </c>
      <c r="Y68" s="3">
        <f>IF(W68 = 0, "", U68 / W68)</f>
        <v>0.9090909090909091</v>
      </c>
      <c r="Z68" s="3">
        <f>IF(X68 = "", "", X68 - Y68)</f>
        <v>-0.40909090909090906</v>
      </c>
      <c r="AA68" s="3">
        <f>IF(K68 = "", "", K68 - N68)</f>
        <v>-0.0010000000000000009</v>
      </c>
      <c r="AB68" s="3">
        <f>IF(AA68 = "", "", AA68 * R68)</f>
        <v>-0.0008000000000000008</v>
      </c>
    </row>
    <row r="69">
      <c r="A69" s="2" t="s">
        <v>2232</v>
      </c>
      <c r="B69" s="3" t="str">
        <f>A69</f>
        <v>birth-weight-paradox-normal-birth-weight-B</v>
      </c>
      <c r="C69" s="2" t="s">
        <v>470</v>
      </c>
      <c r="D69" s="2" t="s">
        <v>1247</v>
      </c>
      <c r="E69" s="2" t="s">
        <v>795</v>
      </c>
      <c r="F69" s="5">
        <f>SUMIFS(CaseCells!F2:F999,CaseCells!C2:C999, C69,CaseCells!D2:D999, D69,CaseCells!E2:E999, E69)</f>
        <v>4980</v>
      </c>
      <c r="G69" s="5">
        <f>SUMIFS(CaseCells!G2:G999,CaseCells!C2:C999, C69,CaseCells!D2:D999, D69,CaseCells!E2:E999, E69)</f>
        <v>5000</v>
      </c>
      <c r="H69" s="3">
        <f>IF(G69 = 0, "", F69 / G69)</f>
        <v>0.996</v>
      </c>
      <c r="I69" s="5">
        <f>SUMIFS(CaseCells!F2:F999,CaseCells!C2:C999, C69,CaseCells!D2:D999, D69,CaseCells!E2:E999, "A")</f>
        <v>995</v>
      </c>
      <c r="J69" s="5">
        <f>SUMIFS(CaseCells!G2:G999,CaseCells!C2:C999, C69,CaseCells!D2:D999, D69,CaseCells!E2:E999, "A")</f>
        <v>1000</v>
      </c>
      <c r="K69" s="3">
        <f>IF(J69 = 0, "", I69 / J69)</f>
        <v>0.995</v>
      </c>
      <c r="L69" s="5">
        <f>SUMIFS(CaseCells!F2:F999,CaseCells!C2:C999, C69,CaseCells!D2:D999, D69,CaseCells!E2:E999, "B")</f>
        <v>4980</v>
      </c>
      <c r="M69" s="5">
        <f>SUMIFS(CaseCells!G2:G999,CaseCells!C2:C999, C69,CaseCells!D2:D999, D69,CaseCells!E2:E999, "B")</f>
        <v>5000</v>
      </c>
      <c r="N69" s="3">
        <f>IF(M69 = 0, "", L69 / M69)</f>
        <v>0.996</v>
      </c>
      <c r="O69" s="3" t="str">
        <f>IF(K69 &gt; N69, "A", "B")</f>
        <v>B</v>
      </c>
      <c r="P69" s="5">
        <f>SUMIFS(CaseCells!G2:G999,CaseCells!C2:C999, C69)</f>
        <v>7500</v>
      </c>
      <c r="Q69" s="5">
        <f>SUMIFS(CaseCells!G2:G999,CaseCells!C2:C999, C69,CaseCells!D2:D999, D69)</f>
        <v>6000</v>
      </c>
      <c r="R69" s="3">
        <f>IF(P69 = 0, "", Q69 / P69)</f>
        <v>0.8</v>
      </c>
      <c r="S69" s="3">
        <f>IF(R69 = "", "", R69 * H69)</f>
        <v>0.7968000000000001</v>
      </c>
      <c r="T69" s="5">
        <f>SUMIFS(CaseCells!G2:G999,CaseCells!C2:C999, C69,CaseCells!D2:D999, D69,CaseCells!E2:E999, "A")</f>
        <v>1000</v>
      </c>
      <c r="U69" s="5">
        <f>SUMIFS(CaseCells!G2:G999,CaseCells!C2:C999, C69,CaseCells!D2:D999, D69,CaseCells!E2:E999, "B")</f>
        <v>5000</v>
      </c>
      <c r="V69" s="5">
        <f>SUMIFS(CaseCells!G2:G999,CaseCells!C2:C999, C69,CaseCells!E2:E999, "A")</f>
        <v>2000</v>
      </c>
      <c r="W69" s="5">
        <f>SUMIFS(CaseCells!G2:G999,CaseCells!C2:C999, C69,CaseCells!E2:E999, "B")</f>
        <v>5500</v>
      </c>
      <c r="X69" s="3">
        <f>IF(V69 = 0, "", T69 / V69)</f>
        <v>0.5</v>
      </c>
      <c r="Y69" s="3">
        <f>IF(W69 = 0, "", U69 / W69)</f>
        <v>0.9090909090909091</v>
      </c>
      <c r="Z69" s="3">
        <f>IF(X69 = "", "", X69 - Y69)</f>
        <v>-0.40909090909090906</v>
      </c>
      <c r="AA69" s="3">
        <f>IF(K69 = "", "", K69 - N69)</f>
        <v>-0.0010000000000000009</v>
      </c>
      <c r="AB69" s="3">
        <f>IF(AA69 = "", "", AA69 * R69)</f>
        <v>-0.0008000000000000008</v>
      </c>
    </row>
    <row r="70">
      <c r="A70" s="2" t="s">
        <v>2233</v>
      </c>
      <c r="B70" s="3" t="str">
        <f>A70</f>
        <v>melanoma-altman-1991-thin-A</v>
      </c>
      <c r="C70" s="2" t="s">
        <v>475</v>
      </c>
      <c r="D70" s="2" t="s">
        <v>1250</v>
      </c>
      <c r="E70" s="2" t="s">
        <v>792</v>
      </c>
      <c r="F70" s="5">
        <f>SUMIFS(CaseCells!F2:F999,CaseCells!C2:C999, C70,CaseCells!D2:D999, D70,CaseCells!E2:E999, E70)</f>
        <v>133</v>
      </c>
      <c r="G70" s="5">
        <f>SUMIFS(CaseCells!G2:G999,CaseCells!C2:C999, C70,CaseCells!D2:D999, D70,CaseCells!E2:E999, E70)</f>
        <v>140</v>
      </c>
      <c r="H70" s="3">
        <f>IF(G70 = 0, "", F70 / G70)</f>
        <v>0.95</v>
      </c>
      <c r="I70" s="5">
        <f>SUMIFS(CaseCells!F2:F999,CaseCells!C2:C999, C70,CaseCells!D2:D999, D70,CaseCells!E2:E999, "A")</f>
        <v>133</v>
      </c>
      <c r="J70" s="5">
        <f>SUMIFS(CaseCells!G2:G999,CaseCells!C2:C999, C70,CaseCells!D2:D999, D70,CaseCells!E2:E999, "A")</f>
        <v>140</v>
      </c>
      <c r="K70" s="3">
        <f>IF(J70 = 0, "", I70 / J70)</f>
        <v>0.95</v>
      </c>
      <c r="L70" s="5">
        <f>SUMIFS(CaseCells!F2:F999,CaseCells!C2:C999, C70,CaseCells!D2:D999, D70,CaseCells!E2:E999, "B")</f>
        <v>70</v>
      </c>
      <c r="M70" s="5">
        <f>SUMIFS(CaseCells!G2:G999,CaseCells!C2:C999, C70,CaseCells!D2:D999, D70,CaseCells!E2:E999, "B")</f>
        <v>80</v>
      </c>
      <c r="N70" s="3">
        <f>IF(M70 = 0, "", L70 / M70)</f>
        <v>0.875</v>
      </c>
      <c r="O70" s="3" t="str">
        <f>IF(K70 &gt; N70, "A", "B")</f>
        <v>A</v>
      </c>
      <c r="P70" s="5">
        <f>SUMIFS(CaseCells!G2:G999,CaseCells!C2:C999, C70)</f>
        <v>400</v>
      </c>
      <c r="Q70" s="5">
        <f>SUMIFS(CaseCells!G2:G999,CaseCells!C2:C999, C70,CaseCells!D2:D999, D70)</f>
        <v>220</v>
      </c>
      <c r="R70" s="3">
        <f>IF(P70 = 0, "", Q70 / P70)</f>
        <v>0.55</v>
      </c>
      <c r="S70" s="3">
        <f>IF(R70 = "", "", R70 * H70)</f>
        <v>0.5225</v>
      </c>
      <c r="T70" s="5">
        <f>SUMIFS(CaseCells!G2:G999,CaseCells!C2:C999, C70,CaseCells!D2:D999, D70,CaseCells!E2:E999, "A")</f>
        <v>140</v>
      </c>
      <c r="U70" s="5">
        <f>SUMIFS(CaseCells!G2:G999,CaseCells!C2:C999, C70,CaseCells!D2:D999, D70,CaseCells!E2:E999, "B")</f>
        <v>80</v>
      </c>
      <c r="V70" s="5">
        <f>SUMIFS(CaseCells!G2:G999,CaseCells!C2:C999, C70,CaseCells!E2:E999, "A")</f>
        <v>200</v>
      </c>
      <c r="W70" s="5">
        <f>SUMIFS(CaseCells!G2:G999,CaseCells!C2:C999, C70,CaseCells!E2:E999, "B")</f>
        <v>200</v>
      </c>
      <c r="X70" s="3">
        <f>IF(V70 = 0, "", T70 / V70)</f>
        <v>0.7</v>
      </c>
      <c r="Y70" s="3">
        <f>IF(W70 = 0, "", U70 / W70)</f>
        <v>0.4</v>
      </c>
      <c r="Z70" s="3">
        <f>IF(X70 = "", "", X70 - Y70)</f>
        <v>0.29999999999999993</v>
      </c>
      <c r="AA70" s="3">
        <f>IF(K70 = "", "", K70 - N70)</f>
        <v>0.07499999999999996</v>
      </c>
      <c r="AB70" s="3">
        <f>IF(AA70 = "", "", AA70 * R70)</f>
        <v>0.04124999999999998</v>
      </c>
    </row>
    <row r="71">
      <c r="A71" s="2" t="s">
        <v>2234</v>
      </c>
      <c r="B71" s="3" t="str">
        <f>A71</f>
        <v>melanoma-altman-1991-thin-B</v>
      </c>
      <c r="C71" s="2" t="s">
        <v>475</v>
      </c>
      <c r="D71" s="2" t="s">
        <v>1250</v>
      </c>
      <c r="E71" s="2" t="s">
        <v>795</v>
      </c>
      <c r="F71" s="5">
        <f>SUMIFS(CaseCells!F2:F999,CaseCells!C2:C999, C71,CaseCells!D2:D999, D71,CaseCells!E2:E999, E71)</f>
        <v>70</v>
      </c>
      <c r="G71" s="5">
        <f>SUMIFS(CaseCells!G2:G999,CaseCells!C2:C999, C71,CaseCells!D2:D999, D71,CaseCells!E2:E999, E71)</f>
        <v>80</v>
      </c>
      <c r="H71" s="3">
        <f>IF(G71 = 0, "", F71 / G71)</f>
        <v>0.875</v>
      </c>
      <c r="I71" s="5">
        <f>SUMIFS(CaseCells!F2:F999,CaseCells!C2:C999, C71,CaseCells!D2:D999, D71,CaseCells!E2:E999, "A")</f>
        <v>133</v>
      </c>
      <c r="J71" s="5">
        <f>SUMIFS(CaseCells!G2:G999,CaseCells!C2:C999, C71,CaseCells!D2:D999, D71,CaseCells!E2:E999, "A")</f>
        <v>140</v>
      </c>
      <c r="K71" s="3">
        <f>IF(J71 = 0, "", I71 / J71)</f>
        <v>0.95</v>
      </c>
      <c r="L71" s="5">
        <f>SUMIFS(CaseCells!F2:F999,CaseCells!C2:C999, C71,CaseCells!D2:D999, D71,CaseCells!E2:E999, "B")</f>
        <v>70</v>
      </c>
      <c r="M71" s="5">
        <f>SUMIFS(CaseCells!G2:G999,CaseCells!C2:C999, C71,CaseCells!D2:D999, D71,CaseCells!E2:E999, "B")</f>
        <v>80</v>
      </c>
      <c r="N71" s="3">
        <f>IF(M71 = 0, "", L71 / M71)</f>
        <v>0.875</v>
      </c>
      <c r="O71" s="3" t="str">
        <f>IF(K71 &gt; N71, "A", "B")</f>
        <v>A</v>
      </c>
      <c r="P71" s="5">
        <f>SUMIFS(CaseCells!G2:G999,CaseCells!C2:C999, C71)</f>
        <v>400</v>
      </c>
      <c r="Q71" s="5">
        <f>SUMIFS(CaseCells!G2:G999,CaseCells!C2:C999, C71,CaseCells!D2:D999, D71)</f>
        <v>220</v>
      </c>
      <c r="R71" s="3">
        <f>IF(P71 = 0, "", Q71 / P71)</f>
        <v>0.55</v>
      </c>
      <c r="S71" s="3">
        <f>IF(R71 = "", "", R71 * H71)</f>
        <v>0.48125000000000007</v>
      </c>
      <c r="T71" s="5">
        <f>SUMIFS(CaseCells!G2:G999,CaseCells!C2:C999, C71,CaseCells!D2:D999, D71,CaseCells!E2:E999, "A")</f>
        <v>140</v>
      </c>
      <c r="U71" s="5">
        <f>SUMIFS(CaseCells!G2:G999,CaseCells!C2:C999, C71,CaseCells!D2:D999, D71,CaseCells!E2:E999, "B")</f>
        <v>80</v>
      </c>
      <c r="V71" s="5">
        <f>SUMIFS(CaseCells!G2:G999,CaseCells!C2:C999, C71,CaseCells!E2:E999, "A")</f>
        <v>200</v>
      </c>
      <c r="W71" s="5">
        <f>SUMIFS(CaseCells!G2:G999,CaseCells!C2:C999, C71,CaseCells!E2:E999, "B")</f>
        <v>200</v>
      </c>
      <c r="X71" s="3">
        <f>IF(V71 = 0, "", T71 / V71)</f>
        <v>0.7</v>
      </c>
      <c r="Y71" s="3">
        <f>IF(W71 = 0, "", U71 / W71)</f>
        <v>0.4</v>
      </c>
      <c r="Z71" s="3">
        <f>IF(X71 = "", "", X71 - Y71)</f>
        <v>0.29999999999999993</v>
      </c>
      <c r="AA71" s="3">
        <f>IF(K71 = "", "", K71 - N71)</f>
        <v>0.07499999999999996</v>
      </c>
      <c r="AB71" s="3">
        <f>IF(AA71 = "", "", AA71 * R71)</f>
        <v>0.04124999999999998</v>
      </c>
    </row>
    <row r="72">
      <c r="A72" s="2" t="s">
        <v>2235</v>
      </c>
      <c r="B72" s="3" t="str">
        <f>A72</f>
        <v>melanoma-altman-1991-thick-A</v>
      </c>
      <c r="C72" s="2" t="s">
        <v>475</v>
      </c>
      <c r="D72" s="2" t="s">
        <v>1253</v>
      </c>
      <c r="E72" s="2" t="s">
        <v>792</v>
      </c>
      <c r="F72" s="5">
        <f>SUMIFS(CaseCells!F2:F999,CaseCells!C2:C999, C72,CaseCells!D2:D999, D72,CaseCells!E2:E999, E72)</f>
        <v>39</v>
      </c>
      <c r="G72" s="5">
        <f>SUMIFS(CaseCells!G2:G999,CaseCells!C2:C999, C72,CaseCells!D2:D999, D72,CaseCells!E2:E999, E72)</f>
        <v>60</v>
      </c>
      <c r="H72" s="3">
        <f>IF(G72 = 0, "", F72 / G72)</f>
        <v>0.65</v>
      </c>
      <c r="I72" s="5">
        <f>SUMIFS(CaseCells!F2:F999,CaseCells!C2:C999, C72,CaseCells!D2:D999, D72,CaseCells!E2:E999, "A")</f>
        <v>39</v>
      </c>
      <c r="J72" s="5">
        <f>SUMIFS(CaseCells!G2:G999,CaseCells!C2:C999, C72,CaseCells!D2:D999, D72,CaseCells!E2:E999, "A")</f>
        <v>60</v>
      </c>
      <c r="K72" s="3">
        <f>IF(J72 = 0, "", I72 / J72)</f>
        <v>0.65</v>
      </c>
      <c r="L72" s="5">
        <f>SUMIFS(CaseCells!F2:F999,CaseCells!C2:C999, C72,CaseCells!D2:D999, D72,CaseCells!E2:E999, "B")</f>
        <v>66</v>
      </c>
      <c r="M72" s="5">
        <f>SUMIFS(CaseCells!G2:G999,CaseCells!C2:C999, C72,CaseCells!D2:D999, D72,CaseCells!E2:E999, "B")</f>
        <v>120</v>
      </c>
      <c r="N72" s="3">
        <f>IF(M72 = 0, "", L72 / M72)</f>
        <v>0.55</v>
      </c>
      <c r="O72" s="3" t="str">
        <f>IF(K72 &gt; N72, "A", "B")</f>
        <v>A</v>
      </c>
      <c r="P72" s="5">
        <f>SUMIFS(CaseCells!G2:G999,CaseCells!C2:C999, C72)</f>
        <v>400</v>
      </c>
      <c r="Q72" s="5">
        <f>SUMIFS(CaseCells!G2:G999,CaseCells!C2:C999, C72,CaseCells!D2:D999, D72)</f>
        <v>180</v>
      </c>
      <c r="R72" s="3">
        <f>IF(P72 = 0, "", Q72 / P72)</f>
        <v>0.45</v>
      </c>
      <c r="S72" s="3">
        <f>IF(R72 = "", "", R72 * H72)</f>
        <v>0.29250000000000004</v>
      </c>
      <c r="T72" s="5">
        <f>SUMIFS(CaseCells!G2:G999,CaseCells!C2:C999, C72,CaseCells!D2:D999, D72,CaseCells!E2:E999, "A")</f>
        <v>60</v>
      </c>
      <c r="U72" s="5">
        <f>SUMIFS(CaseCells!G2:G999,CaseCells!C2:C999, C72,CaseCells!D2:D999, D72,CaseCells!E2:E999, "B")</f>
        <v>120</v>
      </c>
      <c r="V72" s="5">
        <f>SUMIFS(CaseCells!G2:G999,CaseCells!C2:C999, C72,CaseCells!E2:E999, "A")</f>
        <v>200</v>
      </c>
      <c r="W72" s="5">
        <f>SUMIFS(CaseCells!G2:G999,CaseCells!C2:C999, C72,CaseCells!E2:E999, "B")</f>
        <v>200</v>
      </c>
      <c r="X72" s="3">
        <f>IF(V72 = 0, "", T72 / V72)</f>
        <v>0.3</v>
      </c>
      <c r="Y72" s="3">
        <f>IF(W72 = 0, "", U72 / W72)</f>
        <v>0.6</v>
      </c>
      <c r="Z72" s="3">
        <f>IF(X72 = "", "", X72 - Y72)</f>
        <v>-0.3</v>
      </c>
      <c r="AA72" s="3">
        <f>IF(K72 = "", "", K72 - N72)</f>
        <v>0.09999999999999998</v>
      </c>
      <c r="AB72" s="3">
        <f>IF(AA72 = "", "", AA72 * R72)</f>
        <v>0.04499999999999999</v>
      </c>
    </row>
    <row r="73">
      <c r="A73" s="2" t="s">
        <v>2236</v>
      </c>
      <c r="B73" s="3" t="str">
        <f>A73</f>
        <v>melanoma-altman-1991-thick-B</v>
      </c>
      <c r="C73" s="2" t="s">
        <v>475</v>
      </c>
      <c r="D73" s="2" t="s">
        <v>1253</v>
      </c>
      <c r="E73" s="2" t="s">
        <v>795</v>
      </c>
      <c r="F73" s="5">
        <f>SUMIFS(CaseCells!F2:F999,CaseCells!C2:C999, C73,CaseCells!D2:D999, D73,CaseCells!E2:E999, E73)</f>
        <v>66</v>
      </c>
      <c r="G73" s="5">
        <f>SUMIFS(CaseCells!G2:G999,CaseCells!C2:C999, C73,CaseCells!D2:D999, D73,CaseCells!E2:E999, E73)</f>
        <v>120</v>
      </c>
      <c r="H73" s="3">
        <f>IF(G73 = 0, "", F73 / G73)</f>
        <v>0.55</v>
      </c>
      <c r="I73" s="5">
        <f>SUMIFS(CaseCells!F2:F999,CaseCells!C2:C999, C73,CaseCells!D2:D999, D73,CaseCells!E2:E999, "A")</f>
        <v>39</v>
      </c>
      <c r="J73" s="5">
        <f>SUMIFS(CaseCells!G2:G999,CaseCells!C2:C999, C73,CaseCells!D2:D999, D73,CaseCells!E2:E999, "A")</f>
        <v>60</v>
      </c>
      <c r="K73" s="3">
        <f>IF(J73 = 0, "", I73 / J73)</f>
        <v>0.65</v>
      </c>
      <c r="L73" s="5">
        <f>SUMIFS(CaseCells!F2:F999,CaseCells!C2:C999, C73,CaseCells!D2:D999, D73,CaseCells!E2:E999, "B")</f>
        <v>66</v>
      </c>
      <c r="M73" s="5">
        <f>SUMIFS(CaseCells!G2:G999,CaseCells!C2:C999, C73,CaseCells!D2:D999, D73,CaseCells!E2:E999, "B")</f>
        <v>120</v>
      </c>
      <c r="N73" s="3">
        <f>IF(M73 = 0, "", L73 / M73)</f>
        <v>0.55</v>
      </c>
      <c r="O73" s="3" t="str">
        <f>IF(K73 &gt; N73, "A", "B")</f>
        <v>A</v>
      </c>
      <c r="P73" s="5">
        <f>SUMIFS(CaseCells!G2:G999,CaseCells!C2:C999, C73)</f>
        <v>400</v>
      </c>
      <c r="Q73" s="5">
        <f>SUMIFS(CaseCells!G2:G999,CaseCells!C2:C999, C73,CaseCells!D2:D999, D73)</f>
        <v>180</v>
      </c>
      <c r="R73" s="3">
        <f>IF(P73 = 0, "", Q73 / P73)</f>
        <v>0.45</v>
      </c>
      <c r="S73" s="3">
        <f>IF(R73 = "", "", R73 * H73)</f>
        <v>0.24750000000000003</v>
      </c>
      <c r="T73" s="5">
        <f>SUMIFS(CaseCells!G2:G999,CaseCells!C2:C999, C73,CaseCells!D2:D999, D73,CaseCells!E2:E999, "A")</f>
        <v>60</v>
      </c>
      <c r="U73" s="5">
        <f>SUMIFS(CaseCells!G2:G999,CaseCells!C2:C999, C73,CaseCells!D2:D999, D73,CaseCells!E2:E999, "B")</f>
        <v>120</v>
      </c>
      <c r="V73" s="5">
        <f>SUMIFS(CaseCells!G2:G999,CaseCells!C2:C999, C73,CaseCells!E2:E999, "A")</f>
        <v>200</v>
      </c>
      <c r="W73" s="5">
        <f>SUMIFS(CaseCells!G2:G999,CaseCells!C2:C999, C73,CaseCells!E2:E999, "B")</f>
        <v>200</v>
      </c>
      <c r="X73" s="3">
        <f>IF(V73 = 0, "", T73 / V73)</f>
        <v>0.3</v>
      </c>
      <c r="Y73" s="3">
        <f>IF(W73 = 0, "", U73 / W73)</f>
        <v>0.6</v>
      </c>
      <c r="Z73" s="3">
        <f>IF(X73 = "", "", X73 - Y73)</f>
        <v>-0.3</v>
      </c>
      <c r="AA73" s="3">
        <f>IF(K73 = "", "", K73 - N73)</f>
        <v>0.09999999999999998</v>
      </c>
      <c r="AB73" s="3">
        <f>IF(AA73 = "", "", AA73 * R73)</f>
        <v>0.04499999999999999</v>
      </c>
    </row>
    <row r="74">
      <c r="A74" s="2" t="s">
        <v>2237</v>
      </c>
      <c r="B74" s="3" t="str">
        <f>A74</f>
        <v>coffee-tverdal-2020-non-smoker-A</v>
      </c>
      <c r="C74" s="2" t="s">
        <v>479</v>
      </c>
      <c r="D74" s="2" t="s">
        <v>1256</v>
      </c>
      <c r="E74" s="2" t="s">
        <v>792</v>
      </c>
      <c r="F74" s="5">
        <f>SUMIFS(CaseCells!F2:F999,CaseCells!C2:C999, C74,CaseCells!D2:D999, D74,CaseCells!E2:E999, E74)</f>
        <v>920</v>
      </c>
      <c r="G74" s="5">
        <f>SUMIFS(CaseCells!G2:G999,CaseCells!C2:C999, C74,CaseCells!D2:D999, D74,CaseCells!E2:E999, E74)</f>
        <v>1000</v>
      </c>
      <c r="H74" s="3">
        <f>IF(G74 = 0, "", F74 / G74)</f>
        <v>0.92</v>
      </c>
      <c r="I74" s="5">
        <f>SUMIFS(CaseCells!F2:F999,CaseCells!C2:C999, C74,CaseCells!D2:D999, D74,CaseCells!E2:E999, "A")</f>
        <v>920</v>
      </c>
      <c r="J74" s="5">
        <f>SUMIFS(CaseCells!G2:G999,CaseCells!C2:C999, C74,CaseCells!D2:D999, D74,CaseCells!E2:E999, "A")</f>
        <v>1000</v>
      </c>
      <c r="K74" s="3">
        <f>IF(J74 = 0, "", I74 / J74)</f>
        <v>0.92</v>
      </c>
      <c r="L74" s="5">
        <f>SUMIFS(CaseCells!F2:F999,CaseCells!C2:C999, C74,CaseCells!D2:D999, D74,CaseCells!E2:E999, "B")</f>
        <v>890</v>
      </c>
      <c r="M74" s="5">
        <f>SUMIFS(CaseCells!G2:G999,CaseCells!C2:C999, C74,CaseCells!D2:D999, D74,CaseCells!E2:E999, "B")</f>
        <v>1000</v>
      </c>
      <c r="N74" s="3">
        <f>IF(M74 = 0, "", L74 / M74)</f>
        <v>0.89</v>
      </c>
      <c r="O74" s="3" t="str">
        <f>IF(K74 &gt; N74, "A", "B")</f>
        <v>A</v>
      </c>
      <c r="P74" s="5">
        <f>SUMIFS(CaseCells!G2:G999,CaseCells!C2:C999, C74)</f>
        <v>4000</v>
      </c>
      <c r="Q74" s="5">
        <f>SUMIFS(CaseCells!G2:G999,CaseCells!C2:C999, C74,CaseCells!D2:D999, D74)</f>
        <v>2000</v>
      </c>
      <c r="R74" s="3">
        <f>IF(P74 = 0, "", Q74 / P74)</f>
        <v>0.5</v>
      </c>
      <c r="S74" s="3">
        <f>IF(R74 = "", "", R74 * H74)</f>
        <v>0.46</v>
      </c>
      <c r="T74" s="5">
        <f>SUMIFS(CaseCells!G2:G999,CaseCells!C2:C999, C74,CaseCells!D2:D999, D74,CaseCells!E2:E999, "A")</f>
        <v>1000</v>
      </c>
      <c r="U74" s="5">
        <f>SUMIFS(CaseCells!G2:G999,CaseCells!C2:C999, C74,CaseCells!D2:D999, D74,CaseCells!E2:E999, "B")</f>
        <v>1000</v>
      </c>
      <c r="V74" s="5">
        <f>SUMIFS(CaseCells!G2:G999,CaseCells!C2:C999, C74,CaseCells!E2:E999, "A")</f>
        <v>2000</v>
      </c>
      <c r="W74" s="5">
        <f>SUMIFS(CaseCells!G2:G999,CaseCells!C2:C999, C74,CaseCells!E2:E999, "B")</f>
        <v>2000</v>
      </c>
      <c r="X74" s="3">
        <f>IF(V74 = 0, "", T74 / V74)</f>
        <v>0.5</v>
      </c>
      <c r="Y74" s="3">
        <f>IF(W74 = 0, "", U74 / W74)</f>
        <v>0.5</v>
      </c>
      <c r="Z74" s="3">
        <f>IF(X74 = "", "", X74 - Y74)</f>
        <v>0</v>
      </c>
      <c r="AA74" s="3">
        <f>IF(K74 = "", "", K74 - N74)</f>
        <v>0.030000000000000027</v>
      </c>
      <c r="AB74" s="3">
        <f>IF(AA74 = "", "", AA74 * R74)</f>
        <v>0.015000000000000013</v>
      </c>
    </row>
    <row r="75">
      <c r="A75" s="2" t="s">
        <v>2238</v>
      </c>
      <c r="B75" s="3" t="str">
        <f>A75</f>
        <v>coffee-tverdal-2020-non-smoker-B</v>
      </c>
      <c r="C75" s="2" t="s">
        <v>479</v>
      </c>
      <c r="D75" s="2" t="s">
        <v>1256</v>
      </c>
      <c r="E75" s="2" t="s">
        <v>795</v>
      </c>
      <c r="F75" s="5">
        <f>SUMIFS(CaseCells!F2:F999,CaseCells!C2:C999, C75,CaseCells!D2:D999, D75,CaseCells!E2:E999, E75)</f>
        <v>890</v>
      </c>
      <c r="G75" s="5">
        <f>SUMIFS(CaseCells!G2:G999,CaseCells!C2:C999, C75,CaseCells!D2:D999, D75,CaseCells!E2:E999, E75)</f>
        <v>1000</v>
      </c>
      <c r="H75" s="3">
        <f>IF(G75 = 0, "", F75 / G75)</f>
        <v>0.89</v>
      </c>
      <c r="I75" s="5">
        <f>SUMIFS(CaseCells!F2:F999,CaseCells!C2:C999, C75,CaseCells!D2:D999, D75,CaseCells!E2:E999, "A")</f>
        <v>920</v>
      </c>
      <c r="J75" s="5">
        <f>SUMIFS(CaseCells!G2:G999,CaseCells!C2:C999, C75,CaseCells!D2:D999, D75,CaseCells!E2:E999, "A")</f>
        <v>1000</v>
      </c>
      <c r="K75" s="3">
        <f>IF(J75 = 0, "", I75 / J75)</f>
        <v>0.92</v>
      </c>
      <c r="L75" s="5">
        <f>SUMIFS(CaseCells!F2:F999,CaseCells!C2:C999, C75,CaseCells!D2:D999, D75,CaseCells!E2:E999, "B")</f>
        <v>890</v>
      </c>
      <c r="M75" s="5">
        <f>SUMIFS(CaseCells!G2:G999,CaseCells!C2:C999, C75,CaseCells!D2:D999, D75,CaseCells!E2:E999, "B")</f>
        <v>1000</v>
      </c>
      <c r="N75" s="3">
        <f>IF(M75 = 0, "", L75 / M75)</f>
        <v>0.89</v>
      </c>
      <c r="O75" s="3" t="str">
        <f>IF(K75 &gt; N75, "A", "B")</f>
        <v>A</v>
      </c>
      <c r="P75" s="5">
        <f>SUMIFS(CaseCells!G2:G999,CaseCells!C2:C999, C75)</f>
        <v>4000</v>
      </c>
      <c r="Q75" s="5">
        <f>SUMIFS(CaseCells!G2:G999,CaseCells!C2:C999, C75,CaseCells!D2:D999, D75)</f>
        <v>2000</v>
      </c>
      <c r="R75" s="3">
        <f>IF(P75 = 0, "", Q75 / P75)</f>
        <v>0.5</v>
      </c>
      <c r="S75" s="3">
        <f>IF(R75 = "", "", R75 * H75)</f>
        <v>0.445</v>
      </c>
      <c r="T75" s="5">
        <f>SUMIFS(CaseCells!G2:G999,CaseCells!C2:C999, C75,CaseCells!D2:D999, D75,CaseCells!E2:E999, "A")</f>
        <v>1000</v>
      </c>
      <c r="U75" s="5">
        <f>SUMIFS(CaseCells!G2:G999,CaseCells!C2:C999, C75,CaseCells!D2:D999, D75,CaseCells!E2:E999, "B")</f>
        <v>1000</v>
      </c>
      <c r="V75" s="5">
        <f>SUMIFS(CaseCells!G2:G999,CaseCells!C2:C999, C75,CaseCells!E2:E999, "A")</f>
        <v>2000</v>
      </c>
      <c r="W75" s="5">
        <f>SUMIFS(CaseCells!G2:G999,CaseCells!C2:C999, C75,CaseCells!E2:E999, "B")</f>
        <v>2000</v>
      </c>
      <c r="X75" s="3">
        <f>IF(V75 = 0, "", T75 / V75)</f>
        <v>0.5</v>
      </c>
      <c r="Y75" s="3">
        <f>IF(W75 = 0, "", U75 / W75)</f>
        <v>0.5</v>
      </c>
      <c r="Z75" s="3">
        <f>IF(X75 = "", "", X75 - Y75)</f>
        <v>0</v>
      </c>
      <c r="AA75" s="3">
        <f>IF(K75 = "", "", K75 - N75)</f>
        <v>0.030000000000000027</v>
      </c>
      <c r="AB75" s="3">
        <f>IF(AA75 = "", "", AA75 * R75)</f>
        <v>0.015000000000000013</v>
      </c>
    </row>
    <row r="76">
      <c r="A76" s="2" t="s">
        <v>2239</v>
      </c>
      <c r="B76" s="3" t="str">
        <f>A76</f>
        <v>coffee-tverdal-2020-smoker-A</v>
      </c>
      <c r="C76" s="2" t="s">
        <v>479</v>
      </c>
      <c r="D76" s="2" t="s">
        <v>1259</v>
      </c>
      <c r="E76" s="2" t="s">
        <v>792</v>
      </c>
      <c r="F76" s="5">
        <f>SUMIFS(CaseCells!F2:F999,CaseCells!C2:C999, C76,CaseCells!D2:D999, D76,CaseCells!E2:E999, E76)</f>
        <v>820</v>
      </c>
      <c r="G76" s="5">
        <f>SUMIFS(CaseCells!G2:G999,CaseCells!C2:C999, C76,CaseCells!D2:D999, D76,CaseCells!E2:E999, E76)</f>
        <v>1000</v>
      </c>
      <c r="H76" s="3">
        <f>IF(G76 = 0, "", F76 / G76)</f>
        <v>0.82</v>
      </c>
      <c r="I76" s="5">
        <f>SUMIFS(CaseCells!F2:F999,CaseCells!C2:C999, C76,CaseCells!D2:D999, D76,CaseCells!E2:E999, "A")</f>
        <v>820</v>
      </c>
      <c r="J76" s="5">
        <f>SUMIFS(CaseCells!G2:G999,CaseCells!C2:C999, C76,CaseCells!D2:D999, D76,CaseCells!E2:E999, "A")</f>
        <v>1000</v>
      </c>
      <c r="K76" s="3">
        <f>IF(J76 = 0, "", I76 / J76)</f>
        <v>0.82</v>
      </c>
      <c r="L76" s="5">
        <f>SUMIFS(CaseCells!F2:F999,CaseCells!C2:C999, C76,CaseCells!D2:D999, D76,CaseCells!E2:E999, "B")</f>
        <v>800</v>
      </c>
      <c r="M76" s="5">
        <f>SUMIFS(CaseCells!G2:G999,CaseCells!C2:C999, C76,CaseCells!D2:D999, D76,CaseCells!E2:E999, "B")</f>
        <v>1000</v>
      </c>
      <c r="N76" s="3">
        <f>IF(M76 = 0, "", L76 / M76)</f>
        <v>0.8</v>
      </c>
      <c r="O76" s="3" t="str">
        <f>IF(K76 &gt; N76, "A", "B")</f>
        <v>A</v>
      </c>
      <c r="P76" s="5">
        <f>SUMIFS(CaseCells!G2:G999,CaseCells!C2:C999, C76)</f>
        <v>4000</v>
      </c>
      <c r="Q76" s="5">
        <f>SUMIFS(CaseCells!G2:G999,CaseCells!C2:C999, C76,CaseCells!D2:D999, D76)</f>
        <v>2000</v>
      </c>
      <c r="R76" s="3">
        <f>IF(P76 = 0, "", Q76 / P76)</f>
        <v>0.5</v>
      </c>
      <c r="S76" s="3">
        <f>IF(R76 = "", "", R76 * H76)</f>
        <v>0.41</v>
      </c>
      <c r="T76" s="5">
        <f>SUMIFS(CaseCells!G2:G999,CaseCells!C2:C999, C76,CaseCells!D2:D999, D76,CaseCells!E2:E999, "A")</f>
        <v>1000</v>
      </c>
      <c r="U76" s="5">
        <f>SUMIFS(CaseCells!G2:G999,CaseCells!C2:C999, C76,CaseCells!D2:D999, D76,CaseCells!E2:E999, "B")</f>
        <v>1000</v>
      </c>
      <c r="V76" s="5">
        <f>SUMIFS(CaseCells!G2:G999,CaseCells!C2:C999, C76,CaseCells!E2:E999, "A")</f>
        <v>2000</v>
      </c>
      <c r="W76" s="5">
        <f>SUMIFS(CaseCells!G2:G999,CaseCells!C2:C999, C76,CaseCells!E2:E999, "B")</f>
        <v>2000</v>
      </c>
      <c r="X76" s="3">
        <f>IF(V76 = 0, "", T76 / V76)</f>
        <v>0.5</v>
      </c>
      <c r="Y76" s="3">
        <f>IF(W76 = 0, "", U76 / W76)</f>
        <v>0.5</v>
      </c>
      <c r="Z76" s="3">
        <f>IF(X76 = "", "", X76 - Y76)</f>
        <v>0</v>
      </c>
      <c r="AA76" s="3">
        <f>IF(K76 = "", "", K76 - N76)</f>
        <v>0.019999999999999907</v>
      </c>
      <c r="AB76" s="3">
        <f>IF(AA76 = "", "", AA76 * R76)</f>
        <v>0.009999999999999953</v>
      </c>
    </row>
    <row r="77">
      <c r="A77" s="2" t="s">
        <v>2240</v>
      </c>
      <c r="B77" s="3" t="str">
        <f>A77</f>
        <v>coffee-tverdal-2020-smoker-B</v>
      </c>
      <c r="C77" s="2" t="s">
        <v>479</v>
      </c>
      <c r="D77" s="2" t="s">
        <v>1259</v>
      </c>
      <c r="E77" s="2" t="s">
        <v>795</v>
      </c>
      <c r="F77" s="5">
        <f>SUMIFS(CaseCells!F2:F999,CaseCells!C2:C999, C77,CaseCells!D2:D999, D77,CaseCells!E2:E999, E77)</f>
        <v>800</v>
      </c>
      <c r="G77" s="5">
        <f>SUMIFS(CaseCells!G2:G999,CaseCells!C2:C999, C77,CaseCells!D2:D999, D77,CaseCells!E2:E999, E77)</f>
        <v>1000</v>
      </c>
      <c r="H77" s="3">
        <f>IF(G77 = 0, "", F77 / G77)</f>
        <v>0.8</v>
      </c>
      <c r="I77" s="5">
        <f>SUMIFS(CaseCells!F2:F999,CaseCells!C2:C999, C77,CaseCells!D2:D999, D77,CaseCells!E2:E999, "A")</f>
        <v>820</v>
      </c>
      <c r="J77" s="5">
        <f>SUMIFS(CaseCells!G2:G999,CaseCells!C2:C999, C77,CaseCells!D2:D999, D77,CaseCells!E2:E999, "A")</f>
        <v>1000</v>
      </c>
      <c r="K77" s="3">
        <f>IF(J77 = 0, "", I77 / J77)</f>
        <v>0.82</v>
      </c>
      <c r="L77" s="5">
        <f>SUMIFS(CaseCells!F2:F999,CaseCells!C2:C999, C77,CaseCells!D2:D999, D77,CaseCells!E2:E999, "B")</f>
        <v>800</v>
      </c>
      <c r="M77" s="5">
        <f>SUMIFS(CaseCells!G2:G999,CaseCells!C2:C999, C77,CaseCells!D2:D999, D77,CaseCells!E2:E999, "B")</f>
        <v>1000</v>
      </c>
      <c r="N77" s="3">
        <f>IF(M77 = 0, "", L77 / M77)</f>
        <v>0.8</v>
      </c>
      <c r="O77" s="3" t="str">
        <f>IF(K77 &gt; N77, "A", "B")</f>
        <v>A</v>
      </c>
      <c r="P77" s="5">
        <f>SUMIFS(CaseCells!G2:G999,CaseCells!C2:C999, C77)</f>
        <v>4000</v>
      </c>
      <c r="Q77" s="5">
        <f>SUMIFS(CaseCells!G2:G999,CaseCells!C2:C999, C77,CaseCells!D2:D999, D77)</f>
        <v>2000</v>
      </c>
      <c r="R77" s="3">
        <f>IF(P77 = 0, "", Q77 / P77)</f>
        <v>0.5</v>
      </c>
      <c r="S77" s="3">
        <f>IF(R77 = "", "", R77 * H77)</f>
        <v>0.4</v>
      </c>
      <c r="T77" s="5">
        <f>SUMIFS(CaseCells!G2:G999,CaseCells!C2:C999, C77,CaseCells!D2:D999, D77,CaseCells!E2:E999, "A")</f>
        <v>1000</v>
      </c>
      <c r="U77" s="5">
        <f>SUMIFS(CaseCells!G2:G999,CaseCells!C2:C999, C77,CaseCells!D2:D999, D77,CaseCells!E2:E999, "B")</f>
        <v>1000</v>
      </c>
      <c r="V77" s="5">
        <f>SUMIFS(CaseCells!G2:G999,CaseCells!C2:C999, C77,CaseCells!E2:E999, "A")</f>
        <v>2000</v>
      </c>
      <c r="W77" s="5">
        <f>SUMIFS(CaseCells!G2:G999,CaseCells!C2:C999, C77,CaseCells!E2:E999, "B")</f>
        <v>2000</v>
      </c>
      <c r="X77" s="3">
        <f>IF(V77 = 0, "", T77 / V77)</f>
        <v>0.5</v>
      </c>
      <c r="Y77" s="3">
        <f>IF(W77 = 0, "", U77 / W77)</f>
        <v>0.5</v>
      </c>
      <c r="Z77" s="3">
        <f>IF(X77 = "", "", X77 - Y77)</f>
        <v>0</v>
      </c>
      <c r="AA77" s="3">
        <f>IF(K77 = "", "", K77 - N77)</f>
        <v>0.019999999999999907</v>
      </c>
      <c r="AB77" s="3">
        <f>IF(AA77 = "", "", AA77 * R77)</f>
        <v>0.009999999999999953</v>
      </c>
    </row>
    <row r="78">
      <c r="A78" s="2" t="s">
        <v>2241</v>
      </c>
      <c r="B78" s="3" t="str">
        <f>A78</f>
        <v>sat-wainer-1986-low-spending-A</v>
      </c>
      <c r="C78" s="2" t="s">
        <v>483</v>
      </c>
      <c r="D78" s="2" t="s">
        <v>1262</v>
      </c>
      <c r="E78" s="2" t="s">
        <v>792</v>
      </c>
      <c r="F78" s="5">
        <f>SUMIFS(CaseCells!F2:F999,CaseCells!C2:C999, C78,CaseCells!D2:D999, D78,CaseCells!E2:E999, E78)</f>
        <v>240</v>
      </c>
      <c r="G78" s="5">
        <f>SUMIFS(CaseCells!G2:G999,CaseCells!C2:C999, C78,CaseCells!D2:D999, D78,CaseCells!E2:E999, E78)</f>
        <v>600</v>
      </c>
      <c r="H78" s="3">
        <f>IF(G78 = 0, "", F78 / G78)</f>
        <v>0.4</v>
      </c>
      <c r="I78" s="5">
        <f>SUMIFS(CaseCells!F2:F999,CaseCells!C2:C999, C78,CaseCells!D2:D999, D78,CaseCells!E2:E999, "A")</f>
        <v>240</v>
      </c>
      <c r="J78" s="5">
        <f>SUMIFS(CaseCells!G2:G999,CaseCells!C2:C999, C78,CaseCells!D2:D999, D78,CaseCells!E2:E999, "A")</f>
        <v>600</v>
      </c>
      <c r="K78" s="3">
        <f>IF(J78 = 0, "", I78 / J78)</f>
        <v>0.4</v>
      </c>
      <c r="L78" s="5">
        <f>SUMIFS(CaseCells!F2:F999,CaseCells!C2:C999, C78,CaseCells!D2:D999, D78,CaseCells!E2:E999, "B")</f>
        <v>35</v>
      </c>
      <c r="M78" s="5">
        <f>SUMIFS(CaseCells!G2:G999,CaseCells!C2:C999, C78,CaseCells!D2:D999, D78,CaseCells!E2:E999, "B")</f>
        <v>100</v>
      </c>
      <c r="N78" s="3">
        <f>IF(M78 = 0, "", L78 / M78)</f>
        <v>0.35</v>
      </c>
      <c r="O78" s="3" t="str">
        <f>IF(K78 &gt; N78, "A", "B")</f>
        <v>A</v>
      </c>
      <c r="P78" s="5">
        <f>SUMIFS(CaseCells!G2:G999,CaseCells!C2:C999, C78)</f>
        <v>1150</v>
      </c>
      <c r="Q78" s="5">
        <f>SUMIFS(CaseCells!G2:G999,CaseCells!C2:C999, C78,CaseCells!D2:D999, D78)</f>
        <v>700</v>
      </c>
      <c r="R78" s="3">
        <f>IF(P78 = 0, "", Q78 / P78)</f>
        <v>0.6086956521739131</v>
      </c>
      <c r="S78" s="3">
        <f>IF(R78 = "", "", R78 * H78)</f>
        <v>0.24347826086956526</v>
      </c>
      <c r="T78" s="5">
        <f>SUMIFS(CaseCells!G2:G999,CaseCells!C2:C999, C78,CaseCells!D2:D999, D78,CaseCells!E2:E999, "A")</f>
        <v>600</v>
      </c>
      <c r="U78" s="5">
        <f>SUMIFS(CaseCells!G2:G999,CaseCells!C2:C999, C78,CaseCells!D2:D999, D78,CaseCells!E2:E999, "B")</f>
        <v>100</v>
      </c>
      <c r="V78" s="5">
        <f>SUMIFS(CaseCells!G2:G999,CaseCells!C2:C999, C78,CaseCells!E2:E999, "A")</f>
        <v>1000</v>
      </c>
      <c r="W78" s="5">
        <f>SUMIFS(CaseCells!G2:G999,CaseCells!C2:C999, C78,CaseCells!E2:E999, "B")</f>
        <v>150</v>
      </c>
      <c r="X78" s="3">
        <f>IF(V78 = 0, "", T78 / V78)</f>
        <v>0.6</v>
      </c>
      <c r="Y78" s="3">
        <f>IF(W78 = 0, "", U78 / W78)</f>
        <v>0.6666666666666666</v>
      </c>
      <c r="Z78" s="3">
        <f>IF(X78 = "", "", X78 - Y78)</f>
        <v>-0.06666666666666665</v>
      </c>
      <c r="AA78" s="3">
        <f>IF(K78 = "", "", K78 - N78)</f>
        <v>0.050000000000000044</v>
      </c>
      <c r="AB78" s="3">
        <f>IF(AA78 = "", "", AA78 * R78)</f>
        <v>0.03043478260869568</v>
      </c>
    </row>
    <row r="79">
      <c r="A79" s="2" t="s">
        <v>2242</v>
      </c>
      <c r="B79" s="3" t="str">
        <f>A79</f>
        <v>sat-wainer-1986-low-spending-B</v>
      </c>
      <c r="C79" s="2" t="s">
        <v>483</v>
      </c>
      <c r="D79" s="2" t="s">
        <v>1262</v>
      </c>
      <c r="E79" s="2" t="s">
        <v>795</v>
      </c>
      <c r="F79" s="5">
        <f>SUMIFS(CaseCells!F2:F999,CaseCells!C2:C999, C79,CaseCells!D2:D999, D79,CaseCells!E2:E999, E79)</f>
        <v>35</v>
      </c>
      <c r="G79" s="5">
        <f>SUMIFS(CaseCells!G2:G999,CaseCells!C2:C999, C79,CaseCells!D2:D999, D79,CaseCells!E2:E999, E79)</f>
        <v>100</v>
      </c>
      <c r="H79" s="3">
        <f>IF(G79 = 0, "", F79 / G79)</f>
        <v>0.35</v>
      </c>
      <c r="I79" s="5">
        <f>SUMIFS(CaseCells!F2:F999,CaseCells!C2:C999, C79,CaseCells!D2:D999, D79,CaseCells!E2:E999, "A")</f>
        <v>240</v>
      </c>
      <c r="J79" s="5">
        <f>SUMIFS(CaseCells!G2:G999,CaseCells!C2:C999, C79,CaseCells!D2:D999, D79,CaseCells!E2:E999, "A")</f>
        <v>600</v>
      </c>
      <c r="K79" s="3">
        <f>IF(J79 = 0, "", I79 / J79)</f>
        <v>0.4</v>
      </c>
      <c r="L79" s="5">
        <f>SUMIFS(CaseCells!F2:F999,CaseCells!C2:C999, C79,CaseCells!D2:D999, D79,CaseCells!E2:E999, "B")</f>
        <v>35</v>
      </c>
      <c r="M79" s="5">
        <f>SUMIFS(CaseCells!G2:G999,CaseCells!C2:C999, C79,CaseCells!D2:D999, D79,CaseCells!E2:E999, "B")</f>
        <v>100</v>
      </c>
      <c r="N79" s="3">
        <f>IF(M79 = 0, "", L79 / M79)</f>
        <v>0.35</v>
      </c>
      <c r="O79" s="3" t="str">
        <f>IF(K79 &gt; N79, "A", "B")</f>
        <v>A</v>
      </c>
      <c r="P79" s="5">
        <f>SUMIFS(CaseCells!G2:G999,CaseCells!C2:C999, C79)</f>
        <v>1150</v>
      </c>
      <c r="Q79" s="5">
        <f>SUMIFS(CaseCells!G2:G999,CaseCells!C2:C999, C79,CaseCells!D2:D999, D79)</f>
        <v>700</v>
      </c>
      <c r="R79" s="3">
        <f>IF(P79 = 0, "", Q79 / P79)</f>
        <v>0.6086956521739131</v>
      </c>
      <c r="S79" s="3">
        <f>IF(R79 = "", "", R79 * H79)</f>
        <v>0.21304347826086956</v>
      </c>
      <c r="T79" s="5">
        <f>SUMIFS(CaseCells!G2:G999,CaseCells!C2:C999, C79,CaseCells!D2:D999, D79,CaseCells!E2:E999, "A")</f>
        <v>600</v>
      </c>
      <c r="U79" s="5">
        <f>SUMIFS(CaseCells!G2:G999,CaseCells!C2:C999, C79,CaseCells!D2:D999, D79,CaseCells!E2:E999, "B")</f>
        <v>100</v>
      </c>
      <c r="V79" s="5">
        <f>SUMIFS(CaseCells!G2:G999,CaseCells!C2:C999, C79,CaseCells!E2:E999, "A")</f>
        <v>1000</v>
      </c>
      <c r="W79" s="5">
        <f>SUMIFS(CaseCells!G2:G999,CaseCells!C2:C999, C79,CaseCells!E2:E999, "B")</f>
        <v>150</v>
      </c>
      <c r="X79" s="3">
        <f>IF(V79 = 0, "", T79 / V79)</f>
        <v>0.6</v>
      </c>
      <c r="Y79" s="3">
        <f>IF(W79 = 0, "", U79 / W79)</f>
        <v>0.6666666666666666</v>
      </c>
      <c r="Z79" s="3">
        <f>IF(X79 = "", "", X79 - Y79)</f>
        <v>-0.06666666666666665</v>
      </c>
      <c r="AA79" s="3">
        <f>IF(K79 = "", "", K79 - N79)</f>
        <v>0.050000000000000044</v>
      </c>
      <c r="AB79" s="3">
        <f>IF(AA79 = "", "", AA79 * R79)</f>
        <v>0.03043478260869568</v>
      </c>
    </row>
    <row r="80">
      <c r="A80" s="2" t="s">
        <v>2243</v>
      </c>
      <c r="B80" s="3" t="str">
        <f>A80</f>
        <v>sat-wainer-1986-high-spending-A</v>
      </c>
      <c r="C80" s="2" t="s">
        <v>483</v>
      </c>
      <c r="D80" s="2" t="s">
        <v>1265</v>
      </c>
      <c r="E80" s="2" t="s">
        <v>792</v>
      </c>
      <c r="F80" s="5">
        <f>SUMIFS(CaseCells!F2:F999,CaseCells!C2:C999, C80,CaseCells!D2:D999, D80,CaseCells!E2:E999, E80)</f>
        <v>280</v>
      </c>
      <c r="G80" s="5">
        <f>SUMIFS(CaseCells!G2:G999,CaseCells!C2:C999, C80,CaseCells!D2:D999, D80,CaseCells!E2:E999, E80)</f>
        <v>400</v>
      </c>
      <c r="H80" s="3">
        <f>IF(G80 = 0, "", F80 / G80)</f>
        <v>0.7</v>
      </c>
      <c r="I80" s="5">
        <f>SUMIFS(CaseCells!F2:F999,CaseCells!C2:C999, C80,CaseCells!D2:D999, D80,CaseCells!E2:E999, "A")</f>
        <v>280</v>
      </c>
      <c r="J80" s="5">
        <f>SUMIFS(CaseCells!G2:G999,CaseCells!C2:C999, C80,CaseCells!D2:D999, D80,CaseCells!E2:E999, "A")</f>
        <v>400</v>
      </c>
      <c r="K80" s="3">
        <f>IF(J80 = 0, "", I80 / J80)</f>
        <v>0.7</v>
      </c>
      <c r="L80" s="5">
        <f>SUMIFS(CaseCells!F2:F999,CaseCells!C2:C999, C80,CaseCells!D2:D999, D80,CaseCells!E2:E999, "B")</f>
        <v>40</v>
      </c>
      <c r="M80" s="5">
        <f>SUMIFS(CaseCells!G2:G999,CaseCells!C2:C999, C80,CaseCells!D2:D999, D80,CaseCells!E2:E999, "B")</f>
        <v>50</v>
      </c>
      <c r="N80" s="3">
        <f>IF(M80 = 0, "", L80 / M80)</f>
        <v>0.8</v>
      </c>
      <c r="O80" s="3" t="str">
        <f>IF(K80 &gt; N80, "A", "B")</f>
        <v>B</v>
      </c>
      <c r="P80" s="5">
        <f>SUMIFS(CaseCells!G2:G999,CaseCells!C2:C999, C80)</f>
        <v>1150</v>
      </c>
      <c r="Q80" s="5">
        <f>SUMIFS(CaseCells!G2:G999,CaseCells!C2:C999, C80,CaseCells!D2:D999, D80)</f>
        <v>450</v>
      </c>
      <c r="R80" s="3">
        <f>IF(P80 = 0, "", Q80 / P80)</f>
        <v>0.391304347826087</v>
      </c>
      <c r="S80" s="3">
        <f>IF(R80 = "", "", R80 * H80)</f>
        <v>0.27391304347826084</v>
      </c>
      <c r="T80" s="5">
        <f>SUMIFS(CaseCells!G2:G999,CaseCells!C2:C999, C80,CaseCells!D2:D999, D80,CaseCells!E2:E999, "A")</f>
        <v>400</v>
      </c>
      <c r="U80" s="5">
        <f>SUMIFS(CaseCells!G2:G999,CaseCells!C2:C999, C80,CaseCells!D2:D999, D80,CaseCells!E2:E999, "B")</f>
        <v>50</v>
      </c>
      <c r="V80" s="5">
        <f>SUMIFS(CaseCells!G2:G999,CaseCells!C2:C999, C80,CaseCells!E2:E999, "A")</f>
        <v>1000</v>
      </c>
      <c r="W80" s="5">
        <f>SUMIFS(CaseCells!G2:G999,CaseCells!C2:C999, C80,CaseCells!E2:E999, "B")</f>
        <v>150</v>
      </c>
      <c r="X80" s="3">
        <f>IF(V80 = 0, "", T80 / V80)</f>
        <v>0.4</v>
      </c>
      <c r="Y80" s="3">
        <f>IF(W80 = 0, "", U80 / W80)</f>
        <v>0.3333333333333333</v>
      </c>
      <c r="Z80" s="3">
        <f>IF(X80 = "", "", X80 - Y80)</f>
        <v>0.06666666666666671</v>
      </c>
      <c r="AA80" s="3">
        <f>IF(K80 = "", "", K80 - N80)</f>
        <v>-0.10000000000000009</v>
      </c>
      <c r="AB80" s="3">
        <f>IF(AA80 = "", "", AA80 * R80)</f>
        <v>-0.03913043478260873</v>
      </c>
    </row>
    <row r="81">
      <c r="A81" s="2" t="s">
        <v>2244</v>
      </c>
      <c r="B81" s="3" t="str">
        <f>A81</f>
        <v>sat-wainer-1986-high-spending-B</v>
      </c>
      <c r="C81" s="2" t="s">
        <v>483</v>
      </c>
      <c r="D81" s="2" t="s">
        <v>1265</v>
      </c>
      <c r="E81" s="2" t="s">
        <v>795</v>
      </c>
      <c r="F81" s="5">
        <f>SUMIFS(CaseCells!F2:F999,CaseCells!C2:C999, C81,CaseCells!D2:D999, D81,CaseCells!E2:E999, E81)</f>
        <v>40</v>
      </c>
      <c r="G81" s="5">
        <f>SUMIFS(CaseCells!G2:G999,CaseCells!C2:C999, C81,CaseCells!D2:D999, D81,CaseCells!E2:E999, E81)</f>
        <v>50</v>
      </c>
      <c r="H81" s="3">
        <f>IF(G81 = 0, "", F81 / G81)</f>
        <v>0.8</v>
      </c>
      <c r="I81" s="5">
        <f>SUMIFS(CaseCells!F2:F999,CaseCells!C2:C999, C81,CaseCells!D2:D999, D81,CaseCells!E2:E999, "A")</f>
        <v>280</v>
      </c>
      <c r="J81" s="5">
        <f>SUMIFS(CaseCells!G2:G999,CaseCells!C2:C999, C81,CaseCells!D2:D999, D81,CaseCells!E2:E999, "A")</f>
        <v>400</v>
      </c>
      <c r="K81" s="3">
        <f>IF(J81 = 0, "", I81 / J81)</f>
        <v>0.7</v>
      </c>
      <c r="L81" s="5">
        <f>SUMIFS(CaseCells!F2:F999,CaseCells!C2:C999, C81,CaseCells!D2:D999, D81,CaseCells!E2:E999, "B")</f>
        <v>40</v>
      </c>
      <c r="M81" s="5">
        <f>SUMIFS(CaseCells!G2:G999,CaseCells!C2:C999, C81,CaseCells!D2:D999, D81,CaseCells!E2:E999, "B")</f>
        <v>50</v>
      </c>
      <c r="N81" s="3">
        <f>IF(M81 = 0, "", L81 / M81)</f>
        <v>0.8</v>
      </c>
      <c r="O81" s="3" t="str">
        <f>IF(K81 &gt; N81, "A", "B")</f>
        <v>B</v>
      </c>
      <c r="P81" s="5">
        <f>SUMIFS(CaseCells!G2:G999,CaseCells!C2:C999, C81)</f>
        <v>1150</v>
      </c>
      <c r="Q81" s="5">
        <f>SUMIFS(CaseCells!G2:G999,CaseCells!C2:C999, C81,CaseCells!D2:D999, D81)</f>
        <v>450</v>
      </c>
      <c r="R81" s="3">
        <f>IF(P81 = 0, "", Q81 / P81)</f>
        <v>0.391304347826087</v>
      </c>
      <c r="S81" s="3">
        <f>IF(R81 = "", "", R81 * H81)</f>
        <v>0.3130434782608696</v>
      </c>
      <c r="T81" s="5">
        <f>SUMIFS(CaseCells!G2:G999,CaseCells!C2:C999, C81,CaseCells!D2:D999, D81,CaseCells!E2:E999, "A")</f>
        <v>400</v>
      </c>
      <c r="U81" s="5">
        <f>SUMIFS(CaseCells!G2:G999,CaseCells!C2:C999, C81,CaseCells!D2:D999, D81,CaseCells!E2:E999, "B")</f>
        <v>50</v>
      </c>
      <c r="V81" s="5">
        <f>SUMIFS(CaseCells!G2:G999,CaseCells!C2:C999, C81,CaseCells!E2:E999, "A")</f>
        <v>1000</v>
      </c>
      <c r="W81" s="5">
        <f>SUMIFS(CaseCells!G2:G999,CaseCells!C2:C999, C81,CaseCells!E2:E999, "B")</f>
        <v>150</v>
      </c>
      <c r="X81" s="3">
        <f>IF(V81 = 0, "", T81 / V81)</f>
        <v>0.4</v>
      </c>
      <c r="Y81" s="3">
        <f>IF(W81 = 0, "", U81 / W81)</f>
        <v>0.3333333333333333</v>
      </c>
      <c r="Z81" s="3">
        <f>IF(X81 = "", "", X81 - Y81)</f>
        <v>0.06666666666666671</v>
      </c>
      <c r="AA81" s="3">
        <f>IF(K81 = "", "", K81 - N81)</f>
        <v>-0.10000000000000009</v>
      </c>
      <c r="AB81" s="3">
        <f>IF(AA81 = "", "", AA81 * R81)</f>
        <v>-0.03913043478260873</v>
      </c>
    </row>
    <row r="82">
      <c r="A82" s="2" t="s">
        <v>1859</v>
      </c>
      <c r="B82" s="3" t="str">
        <f>A82</f>
        <v>rogers-nicewander-1988-infield-proxy-A</v>
      </c>
      <c r="C82" s="2" t="s">
        <v>488</v>
      </c>
      <c r="D82" s="2" t="s">
        <v>1268</v>
      </c>
      <c r="E82" s="2" t="s">
        <v>792</v>
      </c>
      <c r="F82" s="5">
        <f>SUMIFS(CaseCells!F2:F999,CaseCells!C2:C999, C82,CaseCells!D2:D999, D82,CaseCells!E2:E999, E82)</f>
        <v>11</v>
      </c>
      <c r="G82" s="5">
        <f>SUMIFS(CaseCells!G2:G999,CaseCells!C2:C999, C82,CaseCells!D2:D999, D82,CaseCells!E2:E999, E82)</f>
        <v>29</v>
      </c>
      <c r="H82" s="3">
        <f>IF(G82 = 0, "", F82 / G82)</f>
        <v>0.3793103448275862</v>
      </c>
      <c r="I82" s="5">
        <f>SUMIFS(CaseCells!F2:F999,CaseCells!C2:C999, C82,CaseCells!D2:D999, D82,CaseCells!E2:E999, "A")</f>
        <v>11</v>
      </c>
      <c r="J82" s="5">
        <f>SUMIFS(CaseCells!G2:G999,CaseCells!C2:C999, C82,CaseCells!D2:D999, D82,CaseCells!E2:E999, "A")</f>
        <v>29</v>
      </c>
      <c r="K82" s="3">
        <f>IF(J82 = 0, "", I82 / J82)</f>
        <v>0.3793103448275862</v>
      </c>
      <c r="L82" s="5">
        <f>SUMIFS(CaseCells!F2:F999,CaseCells!C2:C999, C82,CaseCells!D2:D999, D82,CaseCells!E2:E999, "B")</f>
        <v>4</v>
      </c>
      <c r="M82" s="5">
        <f>SUMIFS(CaseCells!G2:G999,CaseCells!C2:C999, C82,CaseCells!D2:D999, D82,CaseCells!E2:E999, "B")</f>
        <v>10</v>
      </c>
      <c r="N82" s="3">
        <f>IF(M82 = 0, "", L82 / M82)</f>
        <v>0.4</v>
      </c>
      <c r="O82" s="3" t="str">
        <f>IF(K82 &gt; N82, "A", "B")</f>
        <v>B</v>
      </c>
      <c r="P82" s="5">
        <f>SUMIFS(CaseCells!G2:G999,CaseCells!C2:C999, C82)</f>
        <v>58</v>
      </c>
      <c r="Q82" s="5">
        <f>SUMIFS(CaseCells!G2:G999,CaseCells!C2:C999, C82,CaseCells!D2:D999, D82)</f>
        <v>39</v>
      </c>
      <c r="R82" s="3">
        <f>IF(P82 = 0, "", Q82 / P82)</f>
        <v>0.6724137931034483</v>
      </c>
      <c r="S82" s="3">
        <f>IF(R82 = "", "", R82 * H82)</f>
        <v>0.2550535077288942</v>
      </c>
      <c r="T82" s="5">
        <f>SUMIFS(CaseCells!G2:G999,CaseCells!C2:C999, C82,CaseCells!D2:D999, D82,CaseCells!E2:E999, "A")</f>
        <v>29</v>
      </c>
      <c r="U82" s="5">
        <f>SUMIFS(CaseCells!G2:G999,CaseCells!C2:C999, C82,CaseCells!D2:D999, D82,CaseCells!E2:E999, "B")</f>
        <v>10</v>
      </c>
      <c r="V82" s="5">
        <f>SUMIFS(CaseCells!G2:G999,CaseCells!C2:C999, C82,CaseCells!E2:E999, "A")</f>
        <v>36</v>
      </c>
      <c r="W82" s="5">
        <f>SUMIFS(CaseCells!G2:G999,CaseCells!C2:C999, C82,CaseCells!E2:E999, "B")</f>
        <v>22</v>
      </c>
      <c r="X82" s="3">
        <f>IF(V82 = 0, "", T82 / V82)</f>
        <v>0.8055555555555556</v>
      </c>
      <c r="Y82" s="3">
        <f>IF(W82 = 0, "", U82 / W82)</f>
        <v>0.45454545454545453</v>
      </c>
      <c r="Z82" s="3">
        <f>IF(X82 = "", "", X82 - Y82)</f>
        <v>0.35101010101010105</v>
      </c>
      <c r="AA82" s="3">
        <f>IF(K82 = "", "", K82 - N82)</f>
        <v>-0.020689655172413834</v>
      </c>
      <c r="AB82" s="3">
        <f>IF(AA82 = "", "", AA82 * R82)</f>
        <v>-0.013912009512485165</v>
      </c>
    </row>
    <row r="83">
      <c r="A83" s="2" t="s">
        <v>1860</v>
      </c>
      <c r="B83" s="3" t="str">
        <f>A83</f>
        <v>rogers-nicewander-1988-infield-proxy-B</v>
      </c>
      <c r="C83" s="2" t="s">
        <v>488</v>
      </c>
      <c r="D83" s="2" t="s">
        <v>1268</v>
      </c>
      <c r="E83" s="2" t="s">
        <v>795</v>
      </c>
      <c r="F83" s="5">
        <f>SUMIFS(CaseCells!F2:F999,CaseCells!C2:C999, C83,CaseCells!D2:D999, D83,CaseCells!E2:E999, E83)</f>
        <v>4</v>
      </c>
      <c r="G83" s="5">
        <f>SUMIFS(CaseCells!G2:G999,CaseCells!C2:C999, C83,CaseCells!D2:D999, D83,CaseCells!E2:E999, E83)</f>
        <v>10</v>
      </c>
      <c r="H83" s="3">
        <f>IF(G83 = 0, "", F83 / G83)</f>
        <v>0.4</v>
      </c>
      <c r="I83" s="5">
        <f>SUMIFS(CaseCells!F2:F999,CaseCells!C2:C999, C83,CaseCells!D2:D999, D83,CaseCells!E2:E999, "A")</f>
        <v>11</v>
      </c>
      <c r="J83" s="5">
        <f>SUMIFS(CaseCells!G2:G999,CaseCells!C2:C999, C83,CaseCells!D2:D999, D83,CaseCells!E2:E999, "A")</f>
        <v>29</v>
      </c>
      <c r="K83" s="3">
        <f>IF(J83 = 0, "", I83 / J83)</f>
        <v>0.3793103448275862</v>
      </c>
      <c r="L83" s="5">
        <f>SUMIFS(CaseCells!F2:F999,CaseCells!C2:C999, C83,CaseCells!D2:D999, D83,CaseCells!E2:E999, "B")</f>
        <v>4</v>
      </c>
      <c r="M83" s="5">
        <f>SUMIFS(CaseCells!G2:G999,CaseCells!C2:C999, C83,CaseCells!D2:D999, D83,CaseCells!E2:E999, "B")</f>
        <v>10</v>
      </c>
      <c r="N83" s="3">
        <f>IF(M83 = 0, "", L83 / M83)</f>
        <v>0.4</v>
      </c>
      <c r="O83" s="3" t="str">
        <f>IF(K83 &gt; N83, "A", "B")</f>
        <v>B</v>
      </c>
      <c r="P83" s="5">
        <f>SUMIFS(CaseCells!G2:G999,CaseCells!C2:C999, C83)</f>
        <v>58</v>
      </c>
      <c r="Q83" s="5">
        <f>SUMIFS(CaseCells!G2:G999,CaseCells!C2:C999, C83,CaseCells!D2:D999, D83)</f>
        <v>39</v>
      </c>
      <c r="R83" s="3">
        <f>IF(P83 = 0, "", Q83 / P83)</f>
        <v>0.6724137931034483</v>
      </c>
      <c r="S83" s="3">
        <f>IF(R83 = "", "", R83 * H83)</f>
        <v>0.26896551724137935</v>
      </c>
      <c r="T83" s="5">
        <f>SUMIFS(CaseCells!G2:G999,CaseCells!C2:C999, C83,CaseCells!D2:D999, D83,CaseCells!E2:E999, "A")</f>
        <v>29</v>
      </c>
      <c r="U83" s="5">
        <f>SUMIFS(CaseCells!G2:G999,CaseCells!C2:C999, C83,CaseCells!D2:D999, D83,CaseCells!E2:E999, "B")</f>
        <v>10</v>
      </c>
      <c r="V83" s="5">
        <f>SUMIFS(CaseCells!G2:G999,CaseCells!C2:C999, C83,CaseCells!E2:E999, "A")</f>
        <v>36</v>
      </c>
      <c r="W83" s="5">
        <f>SUMIFS(CaseCells!G2:G999,CaseCells!C2:C999, C83,CaseCells!E2:E999, "B")</f>
        <v>22</v>
      </c>
      <c r="X83" s="3">
        <f>IF(V83 = 0, "", T83 / V83)</f>
        <v>0.8055555555555556</v>
      </c>
      <c r="Y83" s="3">
        <f>IF(W83 = 0, "", U83 / W83)</f>
        <v>0.45454545454545453</v>
      </c>
      <c r="Z83" s="3">
        <f>IF(X83 = "", "", X83 - Y83)</f>
        <v>0.35101010101010105</v>
      </c>
      <c r="AA83" s="3">
        <f>IF(K83 = "", "", K83 - N83)</f>
        <v>-0.020689655172413834</v>
      </c>
      <c r="AB83" s="3">
        <f>IF(AA83 = "", "", AA83 * R83)</f>
        <v>-0.013912009512485165</v>
      </c>
    </row>
    <row r="84">
      <c r="A84" s="2" t="s">
        <v>1861</v>
      </c>
      <c r="B84" s="3" t="str">
        <f>A84</f>
        <v>rogers-nicewander-1988-outfield-proxy-A</v>
      </c>
      <c r="C84" s="2" t="s">
        <v>488</v>
      </c>
      <c r="D84" s="2" t="s">
        <v>1271</v>
      </c>
      <c r="E84" s="2" t="s">
        <v>792</v>
      </c>
      <c r="F84" s="5">
        <f>SUMIFS(CaseCells!F2:F999,CaseCells!C2:C999, C84,CaseCells!D2:D999, D84,CaseCells!E2:E999, E84)</f>
        <v>1</v>
      </c>
      <c r="G84" s="5">
        <f>SUMIFS(CaseCells!G2:G999,CaseCells!C2:C999, C84,CaseCells!D2:D999, D84,CaseCells!E2:E999, E84)</f>
        <v>7</v>
      </c>
      <c r="H84" s="3">
        <f>IF(G84 = 0, "", F84 / G84)</f>
        <v>0.14285714285714285</v>
      </c>
      <c r="I84" s="5">
        <f>SUMIFS(CaseCells!F2:F999,CaseCells!C2:C999, C84,CaseCells!D2:D999, D84,CaseCells!E2:E999, "A")</f>
        <v>1</v>
      </c>
      <c r="J84" s="5">
        <f>SUMIFS(CaseCells!G2:G999,CaseCells!C2:C999, C84,CaseCells!D2:D999, D84,CaseCells!E2:E999, "A")</f>
        <v>7</v>
      </c>
      <c r="K84" s="3">
        <f>IF(J84 = 0, "", I84 / J84)</f>
        <v>0.14285714285714285</v>
      </c>
      <c r="L84" s="5">
        <f>SUMIFS(CaseCells!F2:F999,CaseCells!C2:C999, C84,CaseCells!D2:D999, D84,CaseCells!E2:E999, "B")</f>
        <v>2</v>
      </c>
      <c r="M84" s="5">
        <f>SUMIFS(CaseCells!G2:G999,CaseCells!C2:C999, C84,CaseCells!D2:D999, D84,CaseCells!E2:E999, "B")</f>
        <v>12</v>
      </c>
      <c r="N84" s="3">
        <f>IF(M84 = 0, "", L84 / M84)</f>
        <v>0.16666666666666666</v>
      </c>
      <c r="O84" s="3" t="str">
        <f>IF(K84 &gt; N84, "A", "B")</f>
        <v>B</v>
      </c>
      <c r="P84" s="5">
        <f>SUMIFS(CaseCells!G2:G999,CaseCells!C2:C999, C84)</f>
        <v>58</v>
      </c>
      <c r="Q84" s="5">
        <f>SUMIFS(CaseCells!G2:G999,CaseCells!C2:C999, C84,CaseCells!D2:D999, D84)</f>
        <v>19</v>
      </c>
      <c r="R84" s="3">
        <f>IF(P84 = 0, "", Q84 / P84)</f>
        <v>0.3275862068965517</v>
      </c>
      <c r="S84" s="3">
        <f>IF(R84 = "", "", R84 * H84)</f>
        <v>0.046798029556650245</v>
      </c>
      <c r="T84" s="5">
        <f>SUMIFS(CaseCells!G2:G999,CaseCells!C2:C999, C84,CaseCells!D2:D999, D84,CaseCells!E2:E999, "A")</f>
        <v>7</v>
      </c>
      <c r="U84" s="5">
        <f>SUMIFS(CaseCells!G2:G999,CaseCells!C2:C999, C84,CaseCells!D2:D999, D84,CaseCells!E2:E999, "B")</f>
        <v>12</v>
      </c>
      <c r="V84" s="5">
        <f>SUMIFS(CaseCells!G2:G999,CaseCells!C2:C999, C84,CaseCells!E2:E999, "A")</f>
        <v>36</v>
      </c>
      <c r="W84" s="5">
        <f>SUMIFS(CaseCells!G2:G999,CaseCells!C2:C999, C84,CaseCells!E2:E999, "B")</f>
        <v>22</v>
      </c>
      <c r="X84" s="3">
        <f>IF(V84 = 0, "", T84 / V84)</f>
        <v>0.19444444444444445</v>
      </c>
      <c r="Y84" s="3">
        <f>IF(W84 = 0, "", U84 / W84)</f>
        <v>0.5454545454545454</v>
      </c>
      <c r="Z84" s="3">
        <f>IF(X84 = "", "", X84 - Y84)</f>
        <v>-0.351010101010101</v>
      </c>
      <c r="AA84" s="3">
        <f>IF(K84 = "", "", K84 - N84)</f>
        <v>-0.023809523809523808</v>
      </c>
      <c r="AB84" s="3">
        <f>IF(AA84 = "", "", AA84 * R84)</f>
        <v>-0.00779967159277504</v>
      </c>
    </row>
    <row r="85">
      <c r="A85" s="2" t="s">
        <v>1862</v>
      </c>
      <c r="B85" s="3" t="str">
        <f>A85</f>
        <v>rogers-nicewander-1988-outfield-proxy-B</v>
      </c>
      <c r="C85" s="2" t="s">
        <v>488</v>
      </c>
      <c r="D85" s="2" t="s">
        <v>1271</v>
      </c>
      <c r="E85" s="2" t="s">
        <v>795</v>
      </c>
      <c r="F85" s="5">
        <f>SUMIFS(CaseCells!F2:F999,CaseCells!C2:C999, C85,CaseCells!D2:D999, D85,CaseCells!E2:E999, E85)</f>
        <v>2</v>
      </c>
      <c r="G85" s="5">
        <f>SUMIFS(CaseCells!G2:G999,CaseCells!C2:C999, C85,CaseCells!D2:D999, D85,CaseCells!E2:E999, E85)</f>
        <v>12</v>
      </c>
      <c r="H85" s="3">
        <f>IF(G85 = 0, "", F85 / G85)</f>
        <v>0.16666666666666666</v>
      </c>
      <c r="I85" s="5">
        <f>SUMIFS(CaseCells!F2:F999,CaseCells!C2:C999, C85,CaseCells!D2:D999, D85,CaseCells!E2:E999, "A")</f>
        <v>1</v>
      </c>
      <c r="J85" s="5">
        <f>SUMIFS(CaseCells!G2:G999,CaseCells!C2:C999, C85,CaseCells!D2:D999, D85,CaseCells!E2:E999, "A")</f>
        <v>7</v>
      </c>
      <c r="K85" s="3">
        <f>IF(J85 = 0, "", I85 / J85)</f>
        <v>0.14285714285714285</v>
      </c>
      <c r="L85" s="5">
        <f>SUMIFS(CaseCells!F2:F999,CaseCells!C2:C999, C85,CaseCells!D2:D999, D85,CaseCells!E2:E999, "B")</f>
        <v>2</v>
      </c>
      <c r="M85" s="5">
        <f>SUMIFS(CaseCells!G2:G999,CaseCells!C2:C999, C85,CaseCells!D2:D999, D85,CaseCells!E2:E999, "B")</f>
        <v>12</v>
      </c>
      <c r="N85" s="3">
        <f>IF(M85 = 0, "", L85 / M85)</f>
        <v>0.16666666666666666</v>
      </c>
      <c r="O85" s="3" t="str">
        <f>IF(K85 &gt; N85, "A", "B")</f>
        <v>B</v>
      </c>
      <c r="P85" s="5">
        <f>SUMIFS(CaseCells!G2:G999,CaseCells!C2:C999, C85)</f>
        <v>58</v>
      </c>
      <c r="Q85" s="5">
        <f>SUMIFS(CaseCells!G2:G999,CaseCells!C2:C999, C85,CaseCells!D2:D999, D85)</f>
        <v>19</v>
      </c>
      <c r="R85" s="3">
        <f>IF(P85 = 0, "", Q85 / P85)</f>
        <v>0.3275862068965517</v>
      </c>
      <c r="S85" s="3">
        <f>IF(R85 = "", "", R85 * H85)</f>
        <v>0.05459770114942528</v>
      </c>
      <c r="T85" s="5">
        <f>SUMIFS(CaseCells!G2:G999,CaseCells!C2:C999, C85,CaseCells!D2:D999, D85,CaseCells!E2:E999, "A")</f>
        <v>7</v>
      </c>
      <c r="U85" s="5">
        <f>SUMIFS(CaseCells!G2:G999,CaseCells!C2:C999, C85,CaseCells!D2:D999, D85,CaseCells!E2:E999, "B")</f>
        <v>12</v>
      </c>
      <c r="V85" s="5">
        <f>SUMIFS(CaseCells!G2:G999,CaseCells!C2:C999, C85,CaseCells!E2:E999, "A")</f>
        <v>36</v>
      </c>
      <c r="W85" s="5">
        <f>SUMIFS(CaseCells!G2:G999,CaseCells!C2:C999, C85,CaseCells!E2:E999, "B")</f>
        <v>22</v>
      </c>
      <c r="X85" s="3">
        <f>IF(V85 = 0, "", T85 / V85)</f>
        <v>0.19444444444444445</v>
      </c>
      <c r="Y85" s="3">
        <f>IF(W85 = 0, "", U85 / W85)</f>
        <v>0.5454545454545454</v>
      </c>
      <c r="Z85" s="3">
        <f>IF(X85 = "", "", X85 - Y85)</f>
        <v>-0.351010101010101</v>
      </c>
      <c r="AA85" s="3">
        <f>IF(K85 = "", "", K85 - N85)</f>
        <v>-0.023809523809523808</v>
      </c>
      <c r="AB85" s="3">
        <f>IF(AA85 = "", "", AA85 * R85)</f>
        <v>-0.00779967159277504</v>
      </c>
    </row>
    <row r="86">
      <c r="A86" s="2" t="s">
        <v>1863</v>
      </c>
      <c r="B86" s="3" t="str">
        <f>A86</f>
        <v>lucente-baseball-1995-first-half-A</v>
      </c>
      <c r="C86" s="2" t="s">
        <v>492</v>
      </c>
      <c r="D86" s="2" t="s">
        <v>1274</v>
      </c>
      <c r="E86" s="2" t="s">
        <v>792</v>
      </c>
      <c r="F86" s="5">
        <f>SUMIFS(CaseCells!F2:F999,CaseCells!C2:C999, C86,CaseCells!D2:D999, D86,CaseCells!E2:E999, E86)</f>
        <v>52</v>
      </c>
      <c r="G86" s="5">
        <f>SUMIFS(CaseCells!G2:G999,CaseCells!C2:C999, C86,CaseCells!D2:D999, D86,CaseCells!E2:E999, E86)</f>
        <v>180</v>
      </c>
      <c r="H86" s="3">
        <f>IF(G86 = 0, "", F86 / G86)</f>
        <v>0.28888888888888886</v>
      </c>
      <c r="I86" s="5">
        <f>SUMIFS(CaseCells!F2:F999,CaseCells!C2:C999, C86,CaseCells!D2:D999, D86,CaseCells!E2:E999, "A")</f>
        <v>52</v>
      </c>
      <c r="J86" s="5">
        <f>SUMIFS(CaseCells!G2:G999,CaseCells!C2:C999, C86,CaseCells!D2:D999, D86,CaseCells!E2:E999, "A")</f>
        <v>180</v>
      </c>
      <c r="K86" s="3">
        <f>IF(J86 = 0, "", I86 / J86)</f>
        <v>0.28888888888888886</v>
      </c>
      <c r="L86" s="5">
        <f>SUMIFS(CaseCells!F2:F999,CaseCells!C2:C999, C86,CaseCells!D2:D999, D86,CaseCells!E2:E999, "B")</f>
        <v>48</v>
      </c>
      <c r="M86" s="5">
        <f>SUMIFS(CaseCells!G2:G999,CaseCells!C2:C999, C86,CaseCells!D2:D999, D86,CaseCells!E2:E999, "B")</f>
        <v>160</v>
      </c>
      <c r="N86" s="3">
        <f>IF(M86 = 0, "", L86 / M86)</f>
        <v>0.3</v>
      </c>
      <c r="O86" s="3" t="str">
        <f>IF(K86 &gt; N86, "A", "B")</f>
        <v>B</v>
      </c>
      <c r="P86" s="5">
        <f>SUMIFS(CaseCells!G2:G999,CaseCells!C2:C999, C86)</f>
        <v>690</v>
      </c>
      <c r="Q86" s="5">
        <f>SUMIFS(CaseCells!G2:G999,CaseCells!C2:C999, C86,CaseCells!D2:D999, D86)</f>
        <v>340</v>
      </c>
      <c r="R86" s="3">
        <f>IF(P86 = 0, "", Q86 / P86)</f>
        <v>0.4927536231884058</v>
      </c>
      <c r="S86" s="3">
        <f>IF(R86 = "", "", R86 * H86)</f>
        <v>0.14235104669887277</v>
      </c>
      <c r="T86" s="5">
        <f>SUMIFS(CaseCells!G2:G999,CaseCells!C2:C999, C86,CaseCells!D2:D999, D86,CaseCells!E2:E999, "A")</f>
        <v>180</v>
      </c>
      <c r="U86" s="5">
        <f>SUMIFS(CaseCells!G2:G999,CaseCells!C2:C999, C86,CaseCells!D2:D999, D86,CaseCells!E2:E999, "B")</f>
        <v>160</v>
      </c>
      <c r="V86" s="5">
        <f>SUMIFS(CaseCells!G2:G999,CaseCells!C2:C999, C86,CaseCells!E2:E999, "A")</f>
        <v>330</v>
      </c>
      <c r="W86" s="5">
        <f>SUMIFS(CaseCells!G2:G999,CaseCells!C2:C999, C86,CaseCells!E2:E999, "B")</f>
        <v>360</v>
      </c>
      <c r="X86" s="3">
        <f>IF(V86 = 0, "", T86 / V86)</f>
        <v>0.5454545454545454</v>
      </c>
      <c r="Y86" s="3">
        <f>IF(W86 = 0, "", U86 / W86)</f>
        <v>0.4444444444444444</v>
      </c>
      <c r="Z86" s="3">
        <f>IF(X86 = "", "", X86 - Y86)</f>
        <v>0.101010101010101</v>
      </c>
      <c r="AA86" s="3">
        <f>IF(K86 = "", "", K86 - N86)</f>
        <v>-0.011111111111111127</v>
      </c>
      <c r="AB86" s="3">
        <f>IF(AA86 = "", "", AA86 * R86)</f>
        <v>-0.005475040257648962</v>
      </c>
    </row>
    <row r="87">
      <c r="A87" s="2" t="s">
        <v>1864</v>
      </c>
      <c r="B87" s="3" t="str">
        <f>A87</f>
        <v>lucente-baseball-1995-first-half-B</v>
      </c>
      <c r="C87" s="2" t="s">
        <v>492</v>
      </c>
      <c r="D87" s="2" t="s">
        <v>1274</v>
      </c>
      <c r="E87" s="2" t="s">
        <v>795</v>
      </c>
      <c r="F87" s="5">
        <f>SUMIFS(CaseCells!F2:F999,CaseCells!C2:C999, C87,CaseCells!D2:D999, D87,CaseCells!E2:E999, E87)</f>
        <v>48</v>
      </c>
      <c r="G87" s="5">
        <f>SUMIFS(CaseCells!G2:G999,CaseCells!C2:C999, C87,CaseCells!D2:D999, D87,CaseCells!E2:E999, E87)</f>
        <v>160</v>
      </c>
      <c r="H87" s="3">
        <f>IF(G87 = 0, "", F87 / G87)</f>
        <v>0.3</v>
      </c>
      <c r="I87" s="5">
        <f>SUMIFS(CaseCells!F2:F999,CaseCells!C2:C999, C87,CaseCells!D2:D999, D87,CaseCells!E2:E999, "A")</f>
        <v>52</v>
      </c>
      <c r="J87" s="5">
        <f>SUMIFS(CaseCells!G2:G999,CaseCells!C2:C999, C87,CaseCells!D2:D999, D87,CaseCells!E2:E999, "A")</f>
        <v>180</v>
      </c>
      <c r="K87" s="3">
        <f>IF(J87 = 0, "", I87 / J87)</f>
        <v>0.28888888888888886</v>
      </c>
      <c r="L87" s="5">
        <f>SUMIFS(CaseCells!F2:F999,CaseCells!C2:C999, C87,CaseCells!D2:D999, D87,CaseCells!E2:E999, "B")</f>
        <v>48</v>
      </c>
      <c r="M87" s="5">
        <f>SUMIFS(CaseCells!G2:G999,CaseCells!C2:C999, C87,CaseCells!D2:D999, D87,CaseCells!E2:E999, "B")</f>
        <v>160</v>
      </c>
      <c r="N87" s="3">
        <f>IF(M87 = 0, "", L87 / M87)</f>
        <v>0.3</v>
      </c>
      <c r="O87" s="3" t="str">
        <f>IF(K87 &gt; N87, "A", "B")</f>
        <v>B</v>
      </c>
      <c r="P87" s="5">
        <f>SUMIFS(CaseCells!G2:G999,CaseCells!C2:C999, C87)</f>
        <v>690</v>
      </c>
      <c r="Q87" s="5">
        <f>SUMIFS(CaseCells!G2:G999,CaseCells!C2:C999, C87,CaseCells!D2:D999, D87)</f>
        <v>340</v>
      </c>
      <c r="R87" s="3">
        <f>IF(P87 = 0, "", Q87 / P87)</f>
        <v>0.4927536231884058</v>
      </c>
      <c r="S87" s="3">
        <f>IF(R87 = "", "", R87 * H87)</f>
        <v>0.14782608695652175</v>
      </c>
      <c r="T87" s="5">
        <f>SUMIFS(CaseCells!G2:G999,CaseCells!C2:C999, C87,CaseCells!D2:D999, D87,CaseCells!E2:E999, "A")</f>
        <v>180</v>
      </c>
      <c r="U87" s="5">
        <f>SUMIFS(CaseCells!G2:G999,CaseCells!C2:C999, C87,CaseCells!D2:D999, D87,CaseCells!E2:E999, "B")</f>
        <v>160</v>
      </c>
      <c r="V87" s="5">
        <f>SUMIFS(CaseCells!G2:G999,CaseCells!C2:C999, C87,CaseCells!E2:E999, "A")</f>
        <v>330</v>
      </c>
      <c r="W87" s="5">
        <f>SUMIFS(CaseCells!G2:G999,CaseCells!C2:C999, C87,CaseCells!E2:E999, "B")</f>
        <v>360</v>
      </c>
      <c r="X87" s="3">
        <f>IF(V87 = 0, "", T87 / V87)</f>
        <v>0.5454545454545454</v>
      </c>
      <c r="Y87" s="3">
        <f>IF(W87 = 0, "", U87 / W87)</f>
        <v>0.4444444444444444</v>
      </c>
      <c r="Z87" s="3">
        <f>IF(X87 = "", "", X87 - Y87)</f>
        <v>0.101010101010101</v>
      </c>
      <c r="AA87" s="3">
        <f>IF(K87 = "", "", K87 - N87)</f>
        <v>-0.011111111111111127</v>
      </c>
      <c r="AB87" s="3">
        <f>IF(AA87 = "", "", AA87 * R87)</f>
        <v>-0.005475040257648962</v>
      </c>
    </row>
    <row r="88">
      <c r="A88" s="2" t="s">
        <v>1865</v>
      </c>
      <c r="B88" s="3" t="str">
        <f>A88</f>
        <v>lucente-baseball-1995-second-half-A</v>
      </c>
      <c r="C88" s="2" t="s">
        <v>492</v>
      </c>
      <c r="D88" s="2" t="s">
        <v>1277</v>
      </c>
      <c r="E88" s="2" t="s">
        <v>792</v>
      </c>
      <c r="F88" s="5">
        <f>SUMIFS(CaseCells!F2:F999,CaseCells!C2:C999, C88,CaseCells!D2:D999, D88,CaseCells!E2:E999, E88)</f>
        <v>45</v>
      </c>
      <c r="G88" s="5">
        <f>SUMIFS(CaseCells!G2:G999,CaseCells!C2:C999, C88,CaseCells!D2:D999, D88,CaseCells!E2:E999, E88)</f>
        <v>150</v>
      </c>
      <c r="H88" s="3">
        <f>IF(G88 = 0, "", F88 / G88)</f>
        <v>0.3</v>
      </c>
      <c r="I88" s="5">
        <f>SUMIFS(CaseCells!F2:F999,CaseCells!C2:C999, C88,CaseCells!D2:D999, D88,CaseCells!E2:E999, "A")</f>
        <v>45</v>
      </c>
      <c r="J88" s="5">
        <f>SUMIFS(CaseCells!G2:G999,CaseCells!C2:C999, C88,CaseCells!D2:D999, D88,CaseCells!E2:E999, "A")</f>
        <v>150</v>
      </c>
      <c r="K88" s="3">
        <f>IF(J88 = 0, "", I88 / J88)</f>
        <v>0.3</v>
      </c>
      <c r="L88" s="5">
        <f>SUMIFS(CaseCells!F2:F999,CaseCells!C2:C999, C88,CaseCells!D2:D999, D88,CaseCells!E2:E999, "B")</f>
        <v>55</v>
      </c>
      <c r="M88" s="5">
        <f>SUMIFS(CaseCells!G2:G999,CaseCells!C2:C999, C88,CaseCells!D2:D999, D88,CaseCells!E2:E999, "B")</f>
        <v>200</v>
      </c>
      <c r="N88" s="3">
        <f>IF(M88 = 0, "", L88 / M88)</f>
        <v>0.275</v>
      </c>
      <c r="O88" s="3" t="str">
        <f>IF(K88 &gt; N88, "A", "B")</f>
        <v>A</v>
      </c>
      <c r="P88" s="5">
        <f>SUMIFS(CaseCells!G2:G999,CaseCells!C2:C999, C88)</f>
        <v>690</v>
      </c>
      <c r="Q88" s="5">
        <f>SUMIFS(CaseCells!G2:G999,CaseCells!C2:C999, C88,CaseCells!D2:D999, D88)</f>
        <v>350</v>
      </c>
      <c r="R88" s="3">
        <f>IF(P88 = 0, "", Q88 / P88)</f>
        <v>0.5072463768115942</v>
      </c>
      <c r="S88" s="3">
        <f>IF(R88 = "", "", R88 * H88)</f>
        <v>0.15217391304347827</v>
      </c>
      <c r="T88" s="5">
        <f>SUMIFS(CaseCells!G2:G999,CaseCells!C2:C999, C88,CaseCells!D2:D999, D88,CaseCells!E2:E999, "A")</f>
        <v>150</v>
      </c>
      <c r="U88" s="5">
        <f>SUMIFS(CaseCells!G2:G999,CaseCells!C2:C999, C88,CaseCells!D2:D999, D88,CaseCells!E2:E999, "B")</f>
        <v>200</v>
      </c>
      <c r="V88" s="5">
        <f>SUMIFS(CaseCells!G2:G999,CaseCells!C2:C999, C88,CaseCells!E2:E999, "A")</f>
        <v>330</v>
      </c>
      <c r="W88" s="5">
        <f>SUMIFS(CaseCells!G2:G999,CaseCells!C2:C999, C88,CaseCells!E2:E999, "B")</f>
        <v>360</v>
      </c>
      <c r="X88" s="3">
        <f>IF(V88 = 0, "", T88 / V88)</f>
        <v>0.45454545454545453</v>
      </c>
      <c r="Y88" s="3">
        <f>IF(W88 = 0, "", U88 / W88)</f>
        <v>0.5555555555555556</v>
      </c>
      <c r="Z88" s="3">
        <f>IF(X88 = "", "", X88 - Y88)</f>
        <v>-0.10101010101010105</v>
      </c>
      <c r="AA88" s="3">
        <f>IF(K88 = "", "", K88 - N88)</f>
        <v>0.024999999999999967</v>
      </c>
      <c r="AB88" s="3">
        <f>IF(AA88 = "", "", AA88 * R88)</f>
        <v>0.012681159420289839</v>
      </c>
    </row>
    <row r="89">
      <c r="A89" s="2" t="s">
        <v>1866</v>
      </c>
      <c r="B89" s="3" t="str">
        <f>A89</f>
        <v>lucente-baseball-1995-second-half-B</v>
      </c>
      <c r="C89" s="2" t="s">
        <v>492</v>
      </c>
      <c r="D89" s="2" t="s">
        <v>1277</v>
      </c>
      <c r="E89" s="2" t="s">
        <v>795</v>
      </c>
      <c r="F89" s="5">
        <f>SUMIFS(CaseCells!F2:F999,CaseCells!C2:C999, C89,CaseCells!D2:D999, D89,CaseCells!E2:E999, E89)</f>
        <v>55</v>
      </c>
      <c r="G89" s="5">
        <f>SUMIFS(CaseCells!G2:G999,CaseCells!C2:C999, C89,CaseCells!D2:D999, D89,CaseCells!E2:E999, E89)</f>
        <v>200</v>
      </c>
      <c r="H89" s="3">
        <f>IF(G89 = 0, "", F89 / G89)</f>
        <v>0.275</v>
      </c>
      <c r="I89" s="5">
        <f>SUMIFS(CaseCells!F2:F999,CaseCells!C2:C999, C89,CaseCells!D2:D999, D89,CaseCells!E2:E999, "A")</f>
        <v>45</v>
      </c>
      <c r="J89" s="5">
        <f>SUMIFS(CaseCells!G2:G999,CaseCells!C2:C999, C89,CaseCells!D2:D999, D89,CaseCells!E2:E999, "A")</f>
        <v>150</v>
      </c>
      <c r="K89" s="3">
        <f>IF(J89 = 0, "", I89 / J89)</f>
        <v>0.3</v>
      </c>
      <c r="L89" s="5">
        <f>SUMIFS(CaseCells!F2:F999,CaseCells!C2:C999, C89,CaseCells!D2:D999, D89,CaseCells!E2:E999, "B")</f>
        <v>55</v>
      </c>
      <c r="M89" s="5">
        <f>SUMIFS(CaseCells!G2:G999,CaseCells!C2:C999, C89,CaseCells!D2:D999, D89,CaseCells!E2:E999, "B")</f>
        <v>200</v>
      </c>
      <c r="N89" s="3">
        <f>IF(M89 = 0, "", L89 / M89)</f>
        <v>0.275</v>
      </c>
      <c r="O89" s="3" t="str">
        <f>IF(K89 &gt; N89, "A", "B")</f>
        <v>A</v>
      </c>
      <c r="P89" s="5">
        <f>SUMIFS(CaseCells!G2:G999,CaseCells!C2:C999, C89)</f>
        <v>690</v>
      </c>
      <c r="Q89" s="5">
        <f>SUMIFS(CaseCells!G2:G999,CaseCells!C2:C999, C89,CaseCells!D2:D999, D89)</f>
        <v>350</v>
      </c>
      <c r="R89" s="3">
        <f>IF(P89 = 0, "", Q89 / P89)</f>
        <v>0.5072463768115942</v>
      </c>
      <c r="S89" s="3">
        <f>IF(R89 = "", "", R89 * H89)</f>
        <v>0.13949275362318841</v>
      </c>
      <c r="T89" s="5">
        <f>SUMIFS(CaseCells!G2:G999,CaseCells!C2:C999, C89,CaseCells!D2:D999, D89,CaseCells!E2:E999, "A")</f>
        <v>150</v>
      </c>
      <c r="U89" s="5">
        <f>SUMIFS(CaseCells!G2:G999,CaseCells!C2:C999, C89,CaseCells!D2:D999, D89,CaseCells!E2:E999, "B")</f>
        <v>200</v>
      </c>
      <c r="V89" s="5">
        <f>SUMIFS(CaseCells!G2:G999,CaseCells!C2:C999, C89,CaseCells!E2:E999, "A")</f>
        <v>330</v>
      </c>
      <c r="W89" s="5">
        <f>SUMIFS(CaseCells!G2:G999,CaseCells!C2:C999, C89,CaseCells!E2:E999, "B")</f>
        <v>360</v>
      </c>
      <c r="X89" s="3">
        <f>IF(V89 = 0, "", T89 / V89)</f>
        <v>0.45454545454545453</v>
      </c>
      <c r="Y89" s="3">
        <f>IF(W89 = 0, "", U89 / W89)</f>
        <v>0.5555555555555556</v>
      </c>
      <c r="Z89" s="3">
        <f>IF(X89 = "", "", X89 - Y89)</f>
        <v>-0.10101010101010105</v>
      </c>
      <c r="AA89" s="3">
        <f>IF(K89 = "", "", K89 - N89)</f>
        <v>0.024999999999999967</v>
      </c>
      <c r="AB89" s="3">
        <f>IF(AA89 = "", "", AA89 * R89)</f>
        <v>0.012681159420289839</v>
      </c>
    </row>
    <row r="90">
      <c r="A90" s="2" t="s">
        <v>1867</v>
      </c>
      <c r="B90" s="3" t="str">
        <f>A90</f>
        <v>wilson-batting-2000-early-innings-A</v>
      </c>
      <c r="C90" s="2" t="s">
        <v>495</v>
      </c>
      <c r="D90" s="2" t="s">
        <v>1280</v>
      </c>
      <c r="E90" s="2" t="s">
        <v>792</v>
      </c>
      <c r="F90" s="5">
        <f>SUMIFS(CaseCells!F2:F999,CaseCells!C2:C999, C90,CaseCells!D2:D999, D90,CaseCells!E2:E999, E90)</f>
        <v>38</v>
      </c>
      <c r="G90" s="5">
        <f>SUMIFS(CaseCells!G2:G999,CaseCells!C2:C999, C90,CaseCells!D2:D999, D90,CaseCells!E2:E999, E90)</f>
        <v>120</v>
      </c>
      <c r="H90" s="3">
        <f>IF(G90 = 0, "", F90 / G90)</f>
        <v>0.31666666666666665</v>
      </c>
      <c r="I90" s="5">
        <f>SUMIFS(CaseCells!F2:F999,CaseCells!C2:C999, C90,CaseCells!D2:D999, D90,CaseCells!E2:E999, "A")</f>
        <v>38</v>
      </c>
      <c r="J90" s="5">
        <f>SUMIFS(CaseCells!G2:G999,CaseCells!C2:C999, C90,CaseCells!D2:D999, D90,CaseCells!E2:E999, "A")</f>
        <v>120</v>
      </c>
      <c r="K90" s="3">
        <f>IF(J90 = 0, "", I90 / J90)</f>
        <v>0.31666666666666665</v>
      </c>
      <c r="L90" s="5">
        <f>SUMIFS(CaseCells!F2:F999,CaseCells!C2:C999, C90,CaseCells!D2:D999, D90,CaseCells!E2:E999, "B")</f>
        <v>42</v>
      </c>
      <c r="M90" s="5">
        <f>SUMIFS(CaseCells!G2:G999,CaseCells!C2:C999, C90,CaseCells!D2:D999, D90,CaseCells!E2:E999, "B")</f>
        <v>130</v>
      </c>
      <c r="N90" s="3">
        <f>IF(M90 = 0, "", L90 / M90)</f>
        <v>0.3230769230769231</v>
      </c>
      <c r="O90" s="3" t="str">
        <f>IF(K90 &gt; N90, "A", "B")</f>
        <v>B</v>
      </c>
      <c r="P90" s="5">
        <f>SUMIFS(CaseCells!G2:G999,CaseCells!C2:C999, C90)</f>
        <v>380</v>
      </c>
      <c r="Q90" s="5">
        <f>SUMIFS(CaseCells!G2:G999,CaseCells!C2:C999, C90,CaseCells!D2:D999, D90)</f>
        <v>250</v>
      </c>
      <c r="R90" s="3">
        <f>IF(P90 = 0, "", Q90 / P90)</f>
        <v>0.6578947368421053</v>
      </c>
      <c r="S90" s="3">
        <f>IF(R90 = "", "", R90 * H90)</f>
        <v>0.20833333333333334</v>
      </c>
      <c r="T90" s="5">
        <f>SUMIFS(CaseCells!G2:G999,CaseCells!C2:C999, C90,CaseCells!D2:D999, D90,CaseCells!E2:E999, "A")</f>
        <v>120</v>
      </c>
      <c r="U90" s="5">
        <f>SUMIFS(CaseCells!G2:G999,CaseCells!C2:C999, C90,CaseCells!D2:D999, D90,CaseCells!E2:E999, "B")</f>
        <v>130</v>
      </c>
      <c r="V90" s="5">
        <f>SUMIFS(CaseCells!G2:G999,CaseCells!C2:C999, C90,CaseCells!E2:E999, "A")</f>
        <v>180</v>
      </c>
      <c r="W90" s="5">
        <f>SUMIFS(CaseCells!G2:G999,CaseCells!C2:C999, C90,CaseCells!E2:E999, "B")</f>
        <v>200</v>
      </c>
      <c r="X90" s="3">
        <f>IF(V90 = 0, "", T90 / V90)</f>
        <v>0.6666666666666666</v>
      </c>
      <c r="Y90" s="3">
        <f>IF(W90 = 0, "", U90 / W90)</f>
        <v>0.65</v>
      </c>
      <c r="Z90" s="3">
        <f>IF(X90 = "", "", X90 - Y90)</f>
        <v>0.016666666666666607</v>
      </c>
      <c r="AA90" s="3">
        <f>IF(K90 = "", "", K90 - N90)</f>
        <v>-0.006410256410256443</v>
      </c>
      <c r="AB90" s="3">
        <f>IF(AA90 = "", "", AA90 * R90)</f>
        <v>-0.004217273954116081</v>
      </c>
    </row>
    <row r="91">
      <c r="A91" s="2" t="s">
        <v>1868</v>
      </c>
      <c r="B91" s="3" t="str">
        <f>A91</f>
        <v>wilson-batting-2000-early-innings-B</v>
      </c>
      <c r="C91" s="2" t="s">
        <v>495</v>
      </c>
      <c r="D91" s="2" t="s">
        <v>1280</v>
      </c>
      <c r="E91" s="2" t="s">
        <v>795</v>
      </c>
      <c r="F91" s="5">
        <f>SUMIFS(CaseCells!F2:F999,CaseCells!C2:C999, C91,CaseCells!D2:D999, D91,CaseCells!E2:E999, E91)</f>
        <v>42</v>
      </c>
      <c r="G91" s="5">
        <f>SUMIFS(CaseCells!G2:G999,CaseCells!C2:C999, C91,CaseCells!D2:D999, D91,CaseCells!E2:E999, E91)</f>
        <v>130</v>
      </c>
      <c r="H91" s="3">
        <f>IF(G91 = 0, "", F91 / G91)</f>
        <v>0.3230769230769231</v>
      </c>
      <c r="I91" s="5">
        <f>SUMIFS(CaseCells!F2:F999,CaseCells!C2:C999, C91,CaseCells!D2:D999, D91,CaseCells!E2:E999, "A")</f>
        <v>38</v>
      </c>
      <c r="J91" s="5">
        <f>SUMIFS(CaseCells!G2:G999,CaseCells!C2:C999, C91,CaseCells!D2:D999, D91,CaseCells!E2:E999, "A")</f>
        <v>120</v>
      </c>
      <c r="K91" s="3">
        <f>IF(J91 = 0, "", I91 / J91)</f>
        <v>0.31666666666666665</v>
      </c>
      <c r="L91" s="5">
        <f>SUMIFS(CaseCells!F2:F999,CaseCells!C2:C999, C91,CaseCells!D2:D999, D91,CaseCells!E2:E999, "B")</f>
        <v>42</v>
      </c>
      <c r="M91" s="5">
        <f>SUMIFS(CaseCells!G2:G999,CaseCells!C2:C999, C91,CaseCells!D2:D999, D91,CaseCells!E2:E999, "B")</f>
        <v>130</v>
      </c>
      <c r="N91" s="3">
        <f>IF(M91 = 0, "", L91 / M91)</f>
        <v>0.3230769230769231</v>
      </c>
      <c r="O91" s="3" t="str">
        <f>IF(K91 &gt; N91, "A", "B")</f>
        <v>B</v>
      </c>
      <c r="P91" s="5">
        <f>SUMIFS(CaseCells!G2:G999,CaseCells!C2:C999, C91)</f>
        <v>380</v>
      </c>
      <c r="Q91" s="5">
        <f>SUMIFS(CaseCells!G2:G999,CaseCells!C2:C999, C91,CaseCells!D2:D999, D91)</f>
        <v>250</v>
      </c>
      <c r="R91" s="3">
        <f>IF(P91 = 0, "", Q91 / P91)</f>
        <v>0.6578947368421053</v>
      </c>
      <c r="S91" s="3">
        <f>IF(R91 = "", "", R91 * H91)</f>
        <v>0.21255060728744943</v>
      </c>
      <c r="T91" s="5">
        <f>SUMIFS(CaseCells!G2:G999,CaseCells!C2:C999, C91,CaseCells!D2:D999, D91,CaseCells!E2:E999, "A")</f>
        <v>120</v>
      </c>
      <c r="U91" s="5">
        <f>SUMIFS(CaseCells!G2:G999,CaseCells!C2:C999, C91,CaseCells!D2:D999, D91,CaseCells!E2:E999, "B")</f>
        <v>130</v>
      </c>
      <c r="V91" s="5">
        <f>SUMIFS(CaseCells!G2:G999,CaseCells!C2:C999, C91,CaseCells!E2:E999, "A")</f>
        <v>180</v>
      </c>
      <c r="W91" s="5">
        <f>SUMIFS(CaseCells!G2:G999,CaseCells!C2:C999, C91,CaseCells!E2:E999, "B")</f>
        <v>200</v>
      </c>
      <c r="X91" s="3">
        <f>IF(V91 = 0, "", T91 / V91)</f>
        <v>0.6666666666666666</v>
      </c>
      <c r="Y91" s="3">
        <f>IF(W91 = 0, "", U91 / W91)</f>
        <v>0.65</v>
      </c>
      <c r="Z91" s="3">
        <f>IF(X91 = "", "", X91 - Y91)</f>
        <v>0.016666666666666607</v>
      </c>
      <c r="AA91" s="3">
        <f>IF(K91 = "", "", K91 - N91)</f>
        <v>-0.006410256410256443</v>
      </c>
      <c r="AB91" s="3">
        <f>IF(AA91 = "", "", AA91 * R91)</f>
        <v>-0.004217273954116081</v>
      </c>
    </row>
    <row r="92">
      <c r="A92" s="2" t="s">
        <v>1869</v>
      </c>
      <c r="B92" s="3" t="str">
        <f>A92</f>
        <v>wilson-batting-2000-late-innings-A</v>
      </c>
      <c r="C92" s="2" t="s">
        <v>495</v>
      </c>
      <c r="D92" s="2" t="s">
        <v>1283</v>
      </c>
      <c r="E92" s="2" t="s">
        <v>792</v>
      </c>
      <c r="F92" s="5">
        <f>SUMIFS(CaseCells!F2:F999,CaseCells!C2:C999, C92,CaseCells!D2:D999, D92,CaseCells!E2:E999, E92)</f>
        <v>15</v>
      </c>
      <c r="G92" s="5">
        <f>SUMIFS(CaseCells!G2:G999,CaseCells!C2:C999, C92,CaseCells!D2:D999, D92,CaseCells!E2:E999, E92)</f>
        <v>60</v>
      </c>
      <c r="H92" s="3">
        <f>IF(G92 = 0, "", F92 / G92)</f>
        <v>0.25</v>
      </c>
      <c r="I92" s="5">
        <f>SUMIFS(CaseCells!F2:F999,CaseCells!C2:C999, C92,CaseCells!D2:D999, D92,CaseCells!E2:E999, "A")</f>
        <v>15</v>
      </c>
      <c r="J92" s="5">
        <f>SUMIFS(CaseCells!G2:G999,CaseCells!C2:C999, C92,CaseCells!D2:D999, D92,CaseCells!E2:E999, "A")</f>
        <v>60</v>
      </c>
      <c r="K92" s="3">
        <f>IF(J92 = 0, "", I92 / J92)</f>
        <v>0.25</v>
      </c>
      <c r="L92" s="5">
        <f>SUMIFS(CaseCells!F2:F999,CaseCells!C2:C999, C92,CaseCells!D2:D999, D92,CaseCells!E2:E999, "B")</f>
        <v>18</v>
      </c>
      <c r="M92" s="5">
        <f>SUMIFS(CaseCells!G2:G999,CaseCells!C2:C999, C92,CaseCells!D2:D999, D92,CaseCells!E2:E999, "B")</f>
        <v>70</v>
      </c>
      <c r="N92" s="3">
        <f>IF(M92 = 0, "", L92 / M92)</f>
        <v>0.2571428571428571</v>
      </c>
      <c r="O92" s="3" t="str">
        <f>IF(K92 &gt; N92, "A", "B")</f>
        <v>B</v>
      </c>
      <c r="P92" s="5">
        <f>SUMIFS(CaseCells!G2:G999,CaseCells!C2:C999, C92)</f>
        <v>380</v>
      </c>
      <c r="Q92" s="5">
        <f>SUMIFS(CaseCells!G2:G999,CaseCells!C2:C999, C92,CaseCells!D2:D999, D92)</f>
        <v>130</v>
      </c>
      <c r="R92" s="3">
        <f>IF(P92 = 0, "", Q92 / P92)</f>
        <v>0.34210526315789475</v>
      </c>
      <c r="S92" s="3">
        <f>IF(R92 = "", "", R92 * H92)</f>
        <v>0.08552631578947369</v>
      </c>
      <c r="T92" s="5">
        <f>SUMIFS(CaseCells!G2:G999,CaseCells!C2:C999, C92,CaseCells!D2:D999, D92,CaseCells!E2:E999, "A")</f>
        <v>60</v>
      </c>
      <c r="U92" s="5">
        <f>SUMIFS(CaseCells!G2:G999,CaseCells!C2:C999, C92,CaseCells!D2:D999, D92,CaseCells!E2:E999, "B")</f>
        <v>70</v>
      </c>
      <c r="V92" s="5">
        <f>SUMIFS(CaseCells!G2:G999,CaseCells!C2:C999, C92,CaseCells!E2:E999, "A")</f>
        <v>180</v>
      </c>
      <c r="W92" s="5">
        <f>SUMIFS(CaseCells!G2:G999,CaseCells!C2:C999, C92,CaseCells!E2:E999, "B")</f>
        <v>200</v>
      </c>
      <c r="X92" s="3">
        <f>IF(V92 = 0, "", T92 / V92)</f>
        <v>0.3333333333333333</v>
      </c>
      <c r="Y92" s="3">
        <f>IF(W92 = 0, "", U92 / W92)</f>
        <v>0.35</v>
      </c>
      <c r="Z92" s="3">
        <f>IF(X92 = "", "", X92 - Y92)</f>
        <v>-0.016666666666666663</v>
      </c>
      <c r="AA92" s="3">
        <f>IF(K92 = "", "", K92 - N92)</f>
        <v>-0.0071428571428571175</v>
      </c>
      <c r="AB92" s="3">
        <f>IF(AA92 = "", "", AA92 * R92)</f>
        <v>-0.0024436090225563823</v>
      </c>
    </row>
    <row r="93">
      <c r="A93" s="2" t="s">
        <v>1870</v>
      </c>
      <c r="B93" s="3" t="str">
        <f>A93</f>
        <v>wilson-batting-2000-late-innings-B</v>
      </c>
      <c r="C93" s="2" t="s">
        <v>495</v>
      </c>
      <c r="D93" s="2" t="s">
        <v>1283</v>
      </c>
      <c r="E93" s="2" t="s">
        <v>795</v>
      </c>
      <c r="F93" s="5">
        <f>SUMIFS(CaseCells!F2:F999,CaseCells!C2:C999, C93,CaseCells!D2:D999, D93,CaseCells!E2:E999, E93)</f>
        <v>18</v>
      </c>
      <c r="G93" s="5">
        <f>SUMIFS(CaseCells!G2:G999,CaseCells!C2:C999, C93,CaseCells!D2:D999, D93,CaseCells!E2:E999, E93)</f>
        <v>70</v>
      </c>
      <c r="H93" s="3">
        <f>IF(G93 = 0, "", F93 / G93)</f>
        <v>0.2571428571428571</v>
      </c>
      <c r="I93" s="5">
        <f>SUMIFS(CaseCells!F2:F999,CaseCells!C2:C999, C93,CaseCells!D2:D999, D93,CaseCells!E2:E999, "A")</f>
        <v>15</v>
      </c>
      <c r="J93" s="5">
        <f>SUMIFS(CaseCells!G2:G999,CaseCells!C2:C999, C93,CaseCells!D2:D999, D93,CaseCells!E2:E999, "A")</f>
        <v>60</v>
      </c>
      <c r="K93" s="3">
        <f>IF(J93 = 0, "", I93 / J93)</f>
        <v>0.25</v>
      </c>
      <c r="L93" s="5">
        <f>SUMIFS(CaseCells!F2:F999,CaseCells!C2:C999, C93,CaseCells!D2:D999, D93,CaseCells!E2:E999, "B")</f>
        <v>18</v>
      </c>
      <c r="M93" s="5">
        <f>SUMIFS(CaseCells!G2:G999,CaseCells!C2:C999, C93,CaseCells!D2:D999, D93,CaseCells!E2:E999, "B")</f>
        <v>70</v>
      </c>
      <c r="N93" s="3">
        <f>IF(M93 = 0, "", L93 / M93)</f>
        <v>0.2571428571428571</v>
      </c>
      <c r="O93" s="3" t="str">
        <f>IF(K93 &gt; N93, "A", "B")</f>
        <v>B</v>
      </c>
      <c r="P93" s="5">
        <f>SUMIFS(CaseCells!G2:G999,CaseCells!C2:C999, C93)</f>
        <v>380</v>
      </c>
      <c r="Q93" s="5">
        <f>SUMIFS(CaseCells!G2:G999,CaseCells!C2:C999, C93,CaseCells!D2:D999, D93)</f>
        <v>130</v>
      </c>
      <c r="R93" s="3">
        <f>IF(P93 = 0, "", Q93 / P93)</f>
        <v>0.34210526315789475</v>
      </c>
      <c r="S93" s="3">
        <f>IF(R93 = "", "", R93 * H93)</f>
        <v>0.08796992481203007</v>
      </c>
      <c r="T93" s="5">
        <f>SUMIFS(CaseCells!G2:G999,CaseCells!C2:C999, C93,CaseCells!D2:D999, D93,CaseCells!E2:E999, "A")</f>
        <v>60</v>
      </c>
      <c r="U93" s="5">
        <f>SUMIFS(CaseCells!G2:G999,CaseCells!C2:C999, C93,CaseCells!D2:D999, D93,CaseCells!E2:E999, "B")</f>
        <v>70</v>
      </c>
      <c r="V93" s="5">
        <f>SUMIFS(CaseCells!G2:G999,CaseCells!C2:C999, C93,CaseCells!E2:E999, "A")</f>
        <v>180</v>
      </c>
      <c r="W93" s="5">
        <f>SUMIFS(CaseCells!G2:G999,CaseCells!C2:C999, C93,CaseCells!E2:E999, "B")</f>
        <v>200</v>
      </c>
      <c r="X93" s="3">
        <f>IF(V93 = 0, "", T93 / V93)</f>
        <v>0.3333333333333333</v>
      </c>
      <c r="Y93" s="3">
        <f>IF(W93 = 0, "", U93 / W93)</f>
        <v>0.35</v>
      </c>
      <c r="Z93" s="3">
        <f>IF(X93 = "", "", X93 - Y93)</f>
        <v>-0.016666666666666663</v>
      </c>
      <c r="AA93" s="3">
        <f>IF(K93 = "", "", K93 - N93)</f>
        <v>-0.0071428571428571175</v>
      </c>
      <c r="AB93" s="3">
        <f>IF(AA93 = "", "", AA93 * R93)</f>
        <v>-0.0024436090225563823</v>
      </c>
    </row>
    <row r="94">
      <c r="A94" s="2" t="s">
        <v>1871</v>
      </c>
      <c r="B94" s="3" t="str">
        <f>A94</f>
        <v>clemens-bly-1998-home-A</v>
      </c>
      <c r="C94" s="2" t="s">
        <v>498</v>
      </c>
      <c r="D94" s="2" t="s">
        <v>1286</v>
      </c>
      <c r="E94" s="2" t="s">
        <v>792</v>
      </c>
      <c r="F94" s="5">
        <f>SUMIFS(CaseCells!F2:F999,CaseCells!C2:C999, C94,CaseCells!D2:D999, D94,CaseCells!E2:E999, E94)</f>
        <v>28</v>
      </c>
      <c r="G94" s="5">
        <f>SUMIFS(CaseCells!G2:G999,CaseCells!C2:C999, C94,CaseCells!D2:D999, D94,CaseCells!E2:E999, E94)</f>
        <v>90</v>
      </c>
      <c r="H94" s="3">
        <f>IF(G94 = 0, "", F94 / G94)</f>
        <v>0.3111111111111111</v>
      </c>
      <c r="I94" s="5">
        <f>SUMIFS(CaseCells!F2:F999,CaseCells!C2:C999, C94,CaseCells!D2:D999, D94,CaseCells!E2:E999, "A")</f>
        <v>28</v>
      </c>
      <c r="J94" s="5">
        <f>SUMIFS(CaseCells!G2:G999,CaseCells!C2:C999, C94,CaseCells!D2:D999, D94,CaseCells!E2:E999, "A")</f>
        <v>90</v>
      </c>
      <c r="K94" s="3">
        <f>IF(J94 = 0, "", I94 / J94)</f>
        <v>0.3111111111111111</v>
      </c>
      <c r="L94" s="5">
        <f>SUMIFS(CaseCells!F2:F999,CaseCells!C2:C999, C94,CaseCells!D2:D999, D94,CaseCells!E2:E999, "B")</f>
        <v>32</v>
      </c>
      <c r="M94" s="5">
        <f>SUMIFS(CaseCells!G2:G999,CaseCells!C2:C999, C94,CaseCells!D2:D999, D94,CaseCells!E2:E999, "B")</f>
        <v>100</v>
      </c>
      <c r="N94" s="3">
        <f>IF(M94 = 0, "", L94 / M94)</f>
        <v>0.32</v>
      </c>
      <c r="O94" s="3" t="str">
        <f>IF(K94 &gt; N94, "A", "B")</f>
        <v>B</v>
      </c>
      <c r="P94" s="5">
        <f>SUMIFS(CaseCells!G2:G999,CaseCells!C2:C999, C94)</f>
        <v>295</v>
      </c>
      <c r="Q94" s="5">
        <f>SUMIFS(CaseCells!G2:G999,CaseCells!C2:C999, C94,CaseCells!D2:D999, D94)</f>
        <v>190</v>
      </c>
      <c r="R94" s="3">
        <f>IF(P94 = 0, "", Q94 / P94)</f>
        <v>0.6440677966101694</v>
      </c>
      <c r="S94" s="3">
        <f>IF(R94 = "", "", R94 * H94)</f>
        <v>0.20037664783427495</v>
      </c>
      <c r="T94" s="5">
        <f>SUMIFS(CaseCells!G2:G999,CaseCells!C2:C999, C94,CaseCells!D2:D999, D94,CaseCells!E2:E999, "A")</f>
        <v>90</v>
      </c>
      <c r="U94" s="5">
        <f>SUMIFS(CaseCells!G2:G999,CaseCells!C2:C999, C94,CaseCells!D2:D999, D94,CaseCells!E2:E999, "B")</f>
        <v>100</v>
      </c>
      <c r="V94" s="5">
        <f>SUMIFS(CaseCells!G2:G999,CaseCells!C2:C999, C94,CaseCells!E2:E999, "A")</f>
        <v>140</v>
      </c>
      <c r="W94" s="5">
        <f>SUMIFS(CaseCells!G2:G999,CaseCells!C2:C999, C94,CaseCells!E2:E999, "B")</f>
        <v>155</v>
      </c>
      <c r="X94" s="3">
        <f>IF(V94 = 0, "", T94 / V94)</f>
        <v>0.6428571428571429</v>
      </c>
      <c r="Y94" s="3">
        <f>IF(W94 = 0, "", U94 / W94)</f>
        <v>0.6451612903225806</v>
      </c>
      <c r="Z94" s="3">
        <f>IF(X94 = "", "", X94 - Y94)</f>
        <v>-0.0023041474654377225</v>
      </c>
      <c r="AA94" s="3">
        <f>IF(K94 = "", "", K94 - N94)</f>
        <v>-0.00888888888888889</v>
      </c>
      <c r="AB94" s="3">
        <f>IF(AA94 = "", "", AA94 * R94)</f>
        <v>-0.005725047080979285</v>
      </c>
    </row>
    <row r="95">
      <c r="A95" s="2" t="s">
        <v>1872</v>
      </c>
      <c r="B95" s="3" t="str">
        <f>A95</f>
        <v>clemens-bly-1998-home-B</v>
      </c>
      <c r="C95" s="2" t="s">
        <v>498</v>
      </c>
      <c r="D95" s="2" t="s">
        <v>1286</v>
      </c>
      <c r="E95" s="2" t="s">
        <v>795</v>
      </c>
      <c r="F95" s="5">
        <f>SUMIFS(CaseCells!F2:F999,CaseCells!C2:C999, C95,CaseCells!D2:D999, D95,CaseCells!E2:E999, E95)</f>
        <v>32</v>
      </c>
      <c r="G95" s="5">
        <f>SUMIFS(CaseCells!G2:G999,CaseCells!C2:C999, C95,CaseCells!D2:D999, D95,CaseCells!E2:E999, E95)</f>
        <v>100</v>
      </c>
      <c r="H95" s="3">
        <f>IF(G95 = 0, "", F95 / G95)</f>
        <v>0.32</v>
      </c>
      <c r="I95" s="5">
        <f>SUMIFS(CaseCells!F2:F999,CaseCells!C2:C999, C95,CaseCells!D2:D999, D95,CaseCells!E2:E999, "A")</f>
        <v>28</v>
      </c>
      <c r="J95" s="5">
        <f>SUMIFS(CaseCells!G2:G999,CaseCells!C2:C999, C95,CaseCells!D2:D999, D95,CaseCells!E2:E999, "A")</f>
        <v>90</v>
      </c>
      <c r="K95" s="3">
        <f>IF(J95 = 0, "", I95 / J95)</f>
        <v>0.3111111111111111</v>
      </c>
      <c r="L95" s="5">
        <f>SUMIFS(CaseCells!F2:F999,CaseCells!C2:C999, C95,CaseCells!D2:D999, D95,CaseCells!E2:E999, "B")</f>
        <v>32</v>
      </c>
      <c r="M95" s="5">
        <f>SUMIFS(CaseCells!G2:G999,CaseCells!C2:C999, C95,CaseCells!D2:D999, D95,CaseCells!E2:E999, "B")</f>
        <v>100</v>
      </c>
      <c r="N95" s="3">
        <f>IF(M95 = 0, "", L95 / M95)</f>
        <v>0.32</v>
      </c>
      <c r="O95" s="3" t="str">
        <f>IF(K95 &gt; N95, "A", "B")</f>
        <v>B</v>
      </c>
      <c r="P95" s="5">
        <f>SUMIFS(CaseCells!G2:G999,CaseCells!C2:C999, C95)</f>
        <v>295</v>
      </c>
      <c r="Q95" s="5">
        <f>SUMIFS(CaseCells!G2:G999,CaseCells!C2:C999, C95,CaseCells!D2:D999, D95)</f>
        <v>190</v>
      </c>
      <c r="R95" s="3">
        <f>IF(P95 = 0, "", Q95 / P95)</f>
        <v>0.6440677966101694</v>
      </c>
      <c r="S95" s="3">
        <f>IF(R95 = "", "", R95 * H95)</f>
        <v>0.20610169491525424</v>
      </c>
      <c r="T95" s="5">
        <f>SUMIFS(CaseCells!G2:G999,CaseCells!C2:C999, C95,CaseCells!D2:D999, D95,CaseCells!E2:E999, "A")</f>
        <v>90</v>
      </c>
      <c r="U95" s="5">
        <f>SUMIFS(CaseCells!G2:G999,CaseCells!C2:C999, C95,CaseCells!D2:D999, D95,CaseCells!E2:E999, "B")</f>
        <v>100</v>
      </c>
      <c r="V95" s="5">
        <f>SUMIFS(CaseCells!G2:G999,CaseCells!C2:C999, C95,CaseCells!E2:E999, "A")</f>
        <v>140</v>
      </c>
      <c r="W95" s="5">
        <f>SUMIFS(CaseCells!G2:G999,CaseCells!C2:C999, C95,CaseCells!E2:E999, "B")</f>
        <v>155</v>
      </c>
      <c r="X95" s="3">
        <f>IF(V95 = 0, "", T95 / V95)</f>
        <v>0.6428571428571429</v>
      </c>
      <c r="Y95" s="3">
        <f>IF(W95 = 0, "", U95 / W95)</f>
        <v>0.6451612903225806</v>
      </c>
      <c r="Z95" s="3">
        <f>IF(X95 = "", "", X95 - Y95)</f>
        <v>-0.0023041474654377225</v>
      </c>
      <c r="AA95" s="3">
        <f>IF(K95 = "", "", K95 - N95)</f>
        <v>-0.00888888888888889</v>
      </c>
      <c r="AB95" s="3">
        <f>IF(AA95 = "", "", AA95 * R95)</f>
        <v>-0.005725047080979285</v>
      </c>
    </row>
    <row r="96">
      <c r="A96" s="2" t="s">
        <v>1873</v>
      </c>
      <c r="B96" s="3" t="str">
        <f>A96</f>
        <v>clemens-bly-1998-away-A</v>
      </c>
      <c r="C96" s="2" t="s">
        <v>498</v>
      </c>
      <c r="D96" s="2" t="s">
        <v>1289</v>
      </c>
      <c r="E96" s="2" t="s">
        <v>792</v>
      </c>
      <c r="F96" s="5">
        <f>SUMIFS(CaseCells!F2:F999,CaseCells!C2:C999, C96,CaseCells!D2:D999, D96,CaseCells!E2:E999, E96)</f>
        <v>12</v>
      </c>
      <c r="G96" s="5">
        <f>SUMIFS(CaseCells!G2:G999,CaseCells!C2:C999, C96,CaseCells!D2:D999, D96,CaseCells!E2:E999, E96)</f>
        <v>50</v>
      </c>
      <c r="H96" s="3">
        <f>IF(G96 = 0, "", F96 / G96)</f>
        <v>0.24</v>
      </c>
      <c r="I96" s="5">
        <f>SUMIFS(CaseCells!F2:F999,CaseCells!C2:C999, C96,CaseCells!D2:D999, D96,CaseCells!E2:E999, "A")</f>
        <v>12</v>
      </c>
      <c r="J96" s="5">
        <f>SUMIFS(CaseCells!G2:G999,CaseCells!C2:C999, C96,CaseCells!D2:D999, D96,CaseCells!E2:E999, "A")</f>
        <v>50</v>
      </c>
      <c r="K96" s="3">
        <f>IF(J96 = 0, "", I96 / J96)</f>
        <v>0.24</v>
      </c>
      <c r="L96" s="5">
        <f>SUMIFS(CaseCells!F2:F999,CaseCells!C2:C999, C96,CaseCells!D2:D999, D96,CaseCells!E2:E999, "B")</f>
        <v>14</v>
      </c>
      <c r="M96" s="5">
        <f>SUMIFS(CaseCells!G2:G999,CaseCells!C2:C999, C96,CaseCells!D2:D999, D96,CaseCells!E2:E999, "B")</f>
        <v>55</v>
      </c>
      <c r="N96" s="3">
        <f>IF(M96 = 0, "", L96 / M96)</f>
        <v>0.2545454545454545</v>
      </c>
      <c r="O96" s="3" t="str">
        <f>IF(K96 &gt; N96, "A", "B")</f>
        <v>B</v>
      </c>
      <c r="P96" s="5">
        <f>SUMIFS(CaseCells!G2:G999,CaseCells!C2:C999, C96)</f>
        <v>295</v>
      </c>
      <c r="Q96" s="5">
        <f>SUMIFS(CaseCells!G2:G999,CaseCells!C2:C999, C96,CaseCells!D2:D999, D96)</f>
        <v>105</v>
      </c>
      <c r="R96" s="3">
        <f>IF(P96 = 0, "", Q96 / P96)</f>
        <v>0.3559322033898305</v>
      </c>
      <c r="S96" s="3">
        <f>IF(R96 = "", "", R96 * H96)</f>
        <v>0.08542372881355932</v>
      </c>
      <c r="T96" s="5">
        <f>SUMIFS(CaseCells!G2:G999,CaseCells!C2:C999, C96,CaseCells!D2:D999, D96,CaseCells!E2:E999, "A")</f>
        <v>50</v>
      </c>
      <c r="U96" s="5">
        <f>SUMIFS(CaseCells!G2:G999,CaseCells!C2:C999, C96,CaseCells!D2:D999, D96,CaseCells!E2:E999, "B")</f>
        <v>55</v>
      </c>
      <c r="V96" s="5">
        <f>SUMIFS(CaseCells!G2:G999,CaseCells!C2:C999, C96,CaseCells!E2:E999, "A")</f>
        <v>140</v>
      </c>
      <c r="W96" s="5">
        <f>SUMIFS(CaseCells!G2:G999,CaseCells!C2:C999, C96,CaseCells!E2:E999, "B")</f>
        <v>155</v>
      </c>
      <c r="X96" s="3">
        <f>IF(V96 = 0, "", T96 / V96)</f>
        <v>0.35714285714285715</v>
      </c>
      <c r="Y96" s="3">
        <f>IF(W96 = 0, "", U96 / W96)</f>
        <v>0.3548387096774194</v>
      </c>
      <c r="Z96" s="3">
        <f>IF(X96 = "", "", X96 - Y96)</f>
        <v>0.002304147465437778</v>
      </c>
      <c r="AA96" s="3">
        <f>IF(K96 = "", "", K96 - N96)</f>
        <v>-0.014545454545454528</v>
      </c>
      <c r="AB96" s="3">
        <f>IF(AA96 = "", "", AA96 * R96)</f>
        <v>-0.005177195685670256</v>
      </c>
    </row>
    <row r="97">
      <c r="A97" s="2" t="s">
        <v>1874</v>
      </c>
      <c r="B97" s="3" t="str">
        <f>A97</f>
        <v>clemens-bly-1998-away-B</v>
      </c>
      <c r="C97" s="2" t="s">
        <v>498</v>
      </c>
      <c r="D97" s="2" t="s">
        <v>1289</v>
      </c>
      <c r="E97" s="2" t="s">
        <v>795</v>
      </c>
      <c r="F97" s="5">
        <f>SUMIFS(CaseCells!F2:F999,CaseCells!C2:C999, C97,CaseCells!D2:D999, D97,CaseCells!E2:E999, E97)</f>
        <v>14</v>
      </c>
      <c r="G97" s="5">
        <f>SUMIFS(CaseCells!G2:G999,CaseCells!C2:C999, C97,CaseCells!D2:D999, D97,CaseCells!E2:E999, E97)</f>
        <v>55</v>
      </c>
      <c r="H97" s="3">
        <f>IF(G97 = 0, "", F97 / G97)</f>
        <v>0.2545454545454545</v>
      </c>
      <c r="I97" s="5">
        <f>SUMIFS(CaseCells!F2:F999,CaseCells!C2:C999, C97,CaseCells!D2:D999, D97,CaseCells!E2:E999, "A")</f>
        <v>12</v>
      </c>
      <c r="J97" s="5">
        <f>SUMIFS(CaseCells!G2:G999,CaseCells!C2:C999, C97,CaseCells!D2:D999, D97,CaseCells!E2:E999, "A")</f>
        <v>50</v>
      </c>
      <c r="K97" s="3">
        <f>IF(J97 = 0, "", I97 / J97)</f>
        <v>0.24</v>
      </c>
      <c r="L97" s="5">
        <f>SUMIFS(CaseCells!F2:F999,CaseCells!C2:C999, C97,CaseCells!D2:D999, D97,CaseCells!E2:E999, "B")</f>
        <v>14</v>
      </c>
      <c r="M97" s="5">
        <f>SUMIFS(CaseCells!G2:G999,CaseCells!C2:C999, C97,CaseCells!D2:D999, D97,CaseCells!E2:E999, "B")</f>
        <v>55</v>
      </c>
      <c r="N97" s="3">
        <f>IF(M97 = 0, "", L97 / M97)</f>
        <v>0.2545454545454545</v>
      </c>
      <c r="O97" s="3" t="str">
        <f>IF(K97 &gt; N97, "A", "B")</f>
        <v>B</v>
      </c>
      <c r="P97" s="5">
        <f>SUMIFS(CaseCells!G2:G999,CaseCells!C2:C999, C97)</f>
        <v>295</v>
      </c>
      <c r="Q97" s="5">
        <f>SUMIFS(CaseCells!G2:G999,CaseCells!C2:C999, C97,CaseCells!D2:D999, D97)</f>
        <v>105</v>
      </c>
      <c r="R97" s="3">
        <f>IF(P97 = 0, "", Q97 / P97)</f>
        <v>0.3559322033898305</v>
      </c>
      <c r="S97" s="3">
        <f>IF(R97 = "", "", R97 * H97)</f>
        <v>0.09060092449922957</v>
      </c>
      <c r="T97" s="5">
        <f>SUMIFS(CaseCells!G2:G999,CaseCells!C2:C999, C97,CaseCells!D2:D999, D97,CaseCells!E2:E999, "A")</f>
        <v>50</v>
      </c>
      <c r="U97" s="5">
        <f>SUMIFS(CaseCells!G2:G999,CaseCells!C2:C999, C97,CaseCells!D2:D999, D97,CaseCells!E2:E999, "B")</f>
        <v>55</v>
      </c>
      <c r="V97" s="5">
        <f>SUMIFS(CaseCells!G2:G999,CaseCells!C2:C999, C97,CaseCells!E2:E999, "A")</f>
        <v>140</v>
      </c>
      <c r="W97" s="5">
        <f>SUMIFS(CaseCells!G2:G999,CaseCells!C2:C999, C97,CaseCells!E2:E999, "B")</f>
        <v>155</v>
      </c>
      <c r="X97" s="3">
        <f>IF(V97 = 0, "", T97 / V97)</f>
        <v>0.35714285714285715</v>
      </c>
      <c r="Y97" s="3">
        <f>IF(W97 = 0, "", U97 / W97)</f>
        <v>0.3548387096774194</v>
      </c>
      <c r="Z97" s="3">
        <f>IF(X97 = "", "", X97 - Y97)</f>
        <v>0.002304147465437778</v>
      </c>
      <c r="AA97" s="3">
        <f>IF(K97 = "", "", K97 - N97)</f>
        <v>-0.014545454545454528</v>
      </c>
      <c r="AB97" s="3">
        <f>IF(AA97 = "", "", AA97 * R97)</f>
        <v>-0.005177195685670256</v>
      </c>
    </row>
    <row r="98">
      <c r="A98" s="2" t="s">
        <v>1875</v>
      </c>
      <c r="B98" s="3" t="str">
        <f>A98</f>
        <v>open-university-1975-under-21-A</v>
      </c>
      <c r="C98" s="2" t="s">
        <v>501</v>
      </c>
      <c r="D98" s="2" t="s">
        <v>1292</v>
      </c>
      <c r="E98" s="2" t="s">
        <v>792</v>
      </c>
      <c r="F98" s="5">
        <f>SUMIFS(CaseCells!F2:F999,CaseCells!C2:C999, C98,CaseCells!D2:D999, D98,CaseCells!E2:E999, E98)</f>
        <v>843</v>
      </c>
      <c r="G98" s="5">
        <f>SUMIFS(CaseCells!G2:G999,CaseCells!C2:C999, C98,CaseCells!D2:D999, D98,CaseCells!E2:E999, E98)</f>
        <v>1154</v>
      </c>
      <c r="H98" s="3">
        <f>IF(G98 = 0, "", F98 / G98)</f>
        <v>0.7305025996533796</v>
      </c>
      <c r="I98" s="5">
        <f>SUMIFS(CaseCells!F2:F999,CaseCells!C2:C999, C98,CaseCells!D2:D999, D98,CaseCells!E2:E999, "A")</f>
        <v>843</v>
      </c>
      <c r="J98" s="5">
        <f>SUMIFS(CaseCells!G2:G999,CaseCells!C2:C999, C98,CaseCells!D2:D999, D98,CaseCells!E2:E999, "A")</f>
        <v>1154</v>
      </c>
      <c r="K98" s="3">
        <f>IF(J98 = 0, "", I98 / J98)</f>
        <v>0.7305025996533796</v>
      </c>
      <c r="L98" s="5">
        <f>SUMIFS(CaseCells!F2:F999,CaseCells!C2:C999, C98,CaseCells!D2:D999, D98,CaseCells!E2:E999, "B")</f>
        <v>437</v>
      </c>
      <c r="M98" s="5">
        <f>SUMIFS(CaseCells!G2:G999,CaseCells!C2:C999, C98,CaseCells!D2:D999, D98,CaseCells!E2:E999, "B")</f>
        <v>619</v>
      </c>
      <c r="N98" s="3">
        <f>IF(M98 = 0, "", L98 / M98)</f>
        <v>0.7059773828756059</v>
      </c>
      <c r="O98" s="3" t="str">
        <f>IF(K98 &gt; N98, "A", "B")</f>
        <v>A</v>
      </c>
      <c r="P98" s="5">
        <f>SUMIFS(CaseCells!G2:G999,CaseCells!C2:C999, C98)</f>
        <v>2523</v>
      </c>
      <c r="Q98" s="5">
        <f>SUMIFS(CaseCells!G2:G999,CaseCells!C2:C999, C98,CaseCells!D2:D999, D98)</f>
        <v>1773</v>
      </c>
      <c r="R98" s="3">
        <f>IF(P98 = 0, "", Q98 / P98)</f>
        <v>0.7027348394768134</v>
      </c>
      <c r="S98" s="3">
        <f>IF(R98 = "", "", R98 * H98)</f>
        <v>0.5133496271048126</v>
      </c>
      <c r="T98" s="5">
        <f>SUMIFS(CaseCells!G2:G999,CaseCells!C2:C999, C98,CaseCells!D2:D999, D98,CaseCells!E2:E999, "A")</f>
        <v>1154</v>
      </c>
      <c r="U98" s="5">
        <f>SUMIFS(CaseCells!G2:G999,CaseCells!C2:C999, C98,CaseCells!D2:D999, D98,CaseCells!E2:E999, "B")</f>
        <v>619</v>
      </c>
      <c r="V98" s="5">
        <f>SUMIFS(CaseCells!G2:G999,CaseCells!C2:C999, C98,CaseCells!E2:E999, "A")</f>
        <v>1484</v>
      </c>
      <c r="W98" s="5">
        <f>SUMIFS(CaseCells!G2:G999,CaseCells!C2:C999, C98,CaseCells!E2:E999, "B")</f>
        <v>1039</v>
      </c>
      <c r="X98" s="3">
        <f>IF(V98 = 0, "", T98 / V98)</f>
        <v>0.7776280323450134</v>
      </c>
      <c r="Y98" s="3">
        <f>IF(W98 = 0, "", U98 / W98)</f>
        <v>0.5957651588065448</v>
      </c>
      <c r="Z98" s="3">
        <f>IF(X98 = "", "", X98 - Y98)</f>
        <v>0.18186287353846864</v>
      </c>
      <c r="AA98" s="3">
        <f>IF(K98 = "", "", K98 - N98)</f>
        <v>0.02452521677777375</v>
      </c>
      <c r="AB98" s="3">
        <f>IF(AA98 = "", "", AA98 * R98)</f>
        <v>0.017234724275462885</v>
      </c>
    </row>
    <row r="99">
      <c r="A99" s="2" t="s">
        <v>1876</v>
      </c>
      <c r="B99" s="3" t="str">
        <f>A99</f>
        <v>open-university-1975-under-21-B</v>
      </c>
      <c r="C99" s="2" t="s">
        <v>501</v>
      </c>
      <c r="D99" s="2" t="s">
        <v>1292</v>
      </c>
      <c r="E99" s="2" t="s">
        <v>795</v>
      </c>
      <c r="F99" s="5">
        <f>SUMIFS(CaseCells!F2:F999,CaseCells!C2:C999, C99,CaseCells!D2:D999, D99,CaseCells!E2:E999, E99)</f>
        <v>437</v>
      </c>
      <c r="G99" s="5">
        <f>SUMIFS(CaseCells!G2:G999,CaseCells!C2:C999, C99,CaseCells!D2:D999, D99,CaseCells!E2:E999, E99)</f>
        <v>619</v>
      </c>
      <c r="H99" s="3">
        <f>IF(G99 = 0, "", F99 / G99)</f>
        <v>0.7059773828756059</v>
      </c>
      <c r="I99" s="5">
        <f>SUMIFS(CaseCells!F2:F999,CaseCells!C2:C999, C99,CaseCells!D2:D999, D99,CaseCells!E2:E999, "A")</f>
        <v>843</v>
      </c>
      <c r="J99" s="5">
        <f>SUMIFS(CaseCells!G2:G999,CaseCells!C2:C999, C99,CaseCells!D2:D999, D99,CaseCells!E2:E999, "A")</f>
        <v>1154</v>
      </c>
      <c r="K99" s="3">
        <f>IF(J99 = 0, "", I99 / J99)</f>
        <v>0.7305025996533796</v>
      </c>
      <c r="L99" s="5">
        <f>SUMIFS(CaseCells!F2:F999,CaseCells!C2:C999, C99,CaseCells!D2:D999, D99,CaseCells!E2:E999, "B")</f>
        <v>437</v>
      </c>
      <c r="M99" s="5">
        <f>SUMIFS(CaseCells!G2:G999,CaseCells!C2:C999, C99,CaseCells!D2:D999, D99,CaseCells!E2:E999, "B")</f>
        <v>619</v>
      </c>
      <c r="N99" s="3">
        <f>IF(M99 = 0, "", L99 / M99)</f>
        <v>0.7059773828756059</v>
      </c>
      <c r="O99" s="3" t="str">
        <f>IF(K99 &gt; N99, "A", "B")</f>
        <v>A</v>
      </c>
      <c r="P99" s="5">
        <f>SUMIFS(CaseCells!G2:G999,CaseCells!C2:C999, C99)</f>
        <v>2523</v>
      </c>
      <c r="Q99" s="5">
        <f>SUMIFS(CaseCells!G2:G999,CaseCells!C2:C999, C99,CaseCells!D2:D999, D99)</f>
        <v>1773</v>
      </c>
      <c r="R99" s="3">
        <f>IF(P99 = 0, "", Q99 / P99)</f>
        <v>0.7027348394768134</v>
      </c>
      <c r="S99" s="3">
        <f>IF(R99 = "", "", R99 * H99)</f>
        <v>0.49611490282934967</v>
      </c>
      <c r="T99" s="5">
        <f>SUMIFS(CaseCells!G2:G999,CaseCells!C2:C999, C99,CaseCells!D2:D999, D99,CaseCells!E2:E999, "A")</f>
        <v>1154</v>
      </c>
      <c r="U99" s="5">
        <f>SUMIFS(CaseCells!G2:G999,CaseCells!C2:C999, C99,CaseCells!D2:D999, D99,CaseCells!E2:E999, "B")</f>
        <v>619</v>
      </c>
      <c r="V99" s="5">
        <f>SUMIFS(CaseCells!G2:G999,CaseCells!C2:C999, C99,CaseCells!E2:E999, "A")</f>
        <v>1484</v>
      </c>
      <c r="W99" s="5">
        <f>SUMIFS(CaseCells!G2:G999,CaseCells!C2:C999, C99,CaseCells!E2:E999, "B")</f>
        <v>1039</v>
      </c>
      <c r="X99" s="3">
        <f>IF(V99 = 0, "", T99 / V99)</f>
        <v>0.7776280323450134</v>
      </c>
      <c r="Y99" s="3">
        <f>IF(W99 = 0, "", U99 / W99)</f>
        <v>0.5957651588065448</v>
      </c>
      <c r="Z99" s="3">
        <f>IF(X99 = "", "", X99 - Y99)</f>
        <v>0.18186287353846864</v>
      </c>
      <c r="AA99" s="3">
        <f>IF(K99 = "", "", K99 - N99)</f>
        <v>0.02452521677777375</v>
      </c>
      <c r="AB99" s="3">
        <f>IF(AA99 = "", "", AA99 * R99)</f>
        <v>0.017234724275462885</v>
      </c>
    </row>
    <row r="100">
      <c r="A100" s="2" t="s">
        <v>1877</v>
      </c>
      <c r="B100" s="3" t="str">
        <f>A100</f>
        <v>open-university-1975-21-to-40-A</v>
      </c>
      <c r="C100" s="2" t="s">
        <v>501</v>
      </c>
      <c r="D100" s="2" t="s">
        <v>1295</v>
      </c>
      <c r="E100" s="2" t="s">
        <v>792</v>
      </c>
      <c r="F100" s="5">
        <f>SUMIFS(CaseCells!F2:F999,CaseCells!C2:C999, C100,CaseCells!D2:D999, D100,CaseCells!E2:E999, E100)</f>
        <v>180</v>
      </c>
      <c r="G100" s="5">
        <f>SUMIFS(CaseCells!G2:G999,CaseCells!C2:C999, C100,CaseCells!D2:D999, D100,CaseCells!E2:E999, E100)</f>
        <v>250</v>
      </c>
      <c r="H100" s="3">
        <f>IF(G100 = 0, "", F100 / G100)</f>
        <v>0.72</v>
      </c>
      <c r="I100" s="5">
        <f>SUMIFS(CaseCells!F2:F999,CaseCells!C2:C999, C100,CaseCells!D2:D999, D100,CaseCells!E2:E999, "A")</f>
        <v>180</v>
      </c>
      <c r="J100" s="5">
        <f>SUMIFS(CaseCells!G2:G999,CaseCells!C2:C999, C100,CaseCells!D2:D999, D100,CaseCells!E2:E999, "A")</f>
        <v>250</v>
      </c>
      <c r="K100" s="3">
        <f>IF(J100 = 0, "", I100 / J100)</f>
        <v>0.72</v>
      </c>
      <c r="L100" s="5">
        <f>SUMIFS(CaseCells!F2:F999,CaseCells!C2:C999, C100,CaseCells!D2:D999, D100,CaseCells!E2:E999, "B")</f>
        <v>240</v>
      </c>
      <c r="M100" s="5">
        <f>SUMIFS(CaseCells!G2:G999,CaseCells!C2:C999, C100,CaseCells!D2:D999, D100,CaseCells!E2:E999, "B")</f>
        <v>320</v>
      </c>
      <c r="N100" s="3">
        <f>IF(M100 = 0, "", L100 / M100)</f>
        <v>0.75</v>
      </c>
      <c r="O100" s="3" t="str">
        <f>IF(K100 &gt; N100, "A", "B")</f>
        <v>B</v>
      </c>
      <c r="P100" s="5">
        <f>SUMIFS(CaseCells!G2:G999,CaseCells!C2:C999, C100)</f>
        <v>2523</v>
      </c>
      <c r="Q100" s="5">
        <f>SUMIFS(CaseCells!G2:G999,CaseCells!C2:C999, C100,CaseCells!D2:D999, D100)</f>
        <v>570</v>
      </c>
      <c r="R100" s="3">
        <f>IF(P100 = 0, "", Q100 / P100)</f>
        <v>0.2259215219976219</v>
      </c>
      <c r="S100" s="3">
        <f>IF(R100 = "", "", R100 * H100)</f>
        <v>0.16266349583828776</v>
      </c>
      <c r="T100" s="5">
        <f>SUMIFS(CaseCells!G2:G999,CaseCells!C2:C999, C100,CaseCells!D2:D999, D100,CaseCells!E2:E999, "A")</f>
        <v>250</v>
      </c>
      <c r="U100" s="5">
        <f>SUMIFS(CaseCells!G2:G999,CaseCells!C2:C999, C100,CaseCells!D2:D999, D100,CaseCells!E2:E999, "B")</f>
        <v>320</v>
      </c>
      <c r="V100" s="5">
        <f>SUMIFS(CaseCells!G2:G999,CaseCells!C2:C999, C100,CaseCells!E2:E999, "A")</f>
        <v>1484</v>
      </c>
      <c r="W100" s="5">
        <f>SUMIFS(CaseCells!G2:G999,CaseCells!C2:C999, C100,CaseCells!E2:E999, "B")</f>
        <v>1039</v>
      </c>
      <c r="X100" s="3">
        <f>IF(V100 = 0, "", T100 / V100)</f>
        <v>0.16846361185983827</v>
      </c>
      <c r="Y100" s="3">
        <f>IF(W100 = 0, "", U100 / W100)</f>
        <v>0.30798845043310874</v>
      </c>
      <c r="Z100" s="3">
        <f>IF(X100 = "", "", X100 - Y100)</f>
        <v>-0.13952483857327047</v>
      </c>
      <c r="AA100" s="3">
        <f>IF(K100 = "", "", K100 - N100)</f>
        <v>-0.030000000000000027</v>
      </c>
      <c r="AB100" s="3">
        <f>IF(AA100 = "", "", AA100 * R100)</f>
        <v>-0.006777645659928663</v>
      </c>
    </row>
    <row r="101">
      <c r="A101" s="2" t="s">
        <v>1878</v>
      </c>
      <c r="B101" s="3" t="str">
        <f>A101</f>
        <v>open-university-1975-21-to-40-B</v>
      </c>
      <c r="C101" s="2" t="s">
        <v>501</v>
      </c>
      <c r="D101" s="2" t="s">
        <v>1295</v>
      </c>
      <c r="E101" s="2" t="s">
        <v>795</v>
      </c>
      <c r="F101" s="5">
        <f>SUMIFS(CaseCells!F2:F999,CaseCells!C2:C999, C101,CaseCells!D2:D999, D101,CaseCells!E2:E999, E101)</f>
        <v>240</v>
      </c>
      <c r="G101" s="5">
        <f>SUMIFS(CaseCells!G2:G999,CaseCells!C2:C999, C101,CaseCells!D2:D999, D101,CaseCells!E2:E999, E101)</f>
        <v>320</v>
      </c>
      <c r="H101" s="3">
        <f>IF(G101 = 0, "", F101 / G101)</f>
        <v>0.75</v>
      </c>
      <c r="I101" s="5">
        <f>SUMIFS(CaseCells!F2:F999,CaseCells!C2:C999, C101,CaseCells!D2:D999, D101,CaseCells!E2:E999, "A")</f>
        <v>180</v>
      </c>
      <c r="J101" s="5">
        <f>SUMIFS(CaseCells!G2:G999,CaseCells!C2:C999, C101,CaseCells!D2:D999, D101,CaseCells!E2:E999, "A")</f>
        <v>250</v>
      </c>
      <c r="K101" s="3">
        <f>IF(J101 = 0, "", I101 / J101)</f>
        <v>0.72</v>
      </c>
      <c r="L101" s="5">
        <f>SUMIFS(CaseCells!F2:F999,CaseCells!C2:C999, C101,CaseCells!D2:D999, D101,CaseCells!E2:E999, "B")</f>
        <v>240</v>
      </c>
      <c r="M101" s="5">
        <f>SUMIFS(CaseCells!G2:G999,CaseCells!C2:C999, C101,CaseCells!D2:D999, D101,CaseCells!E2:E999, "B")</f>
        <v>320</v>
      </c>
      <c r="N101" s="3">
        <f>IF(M101 = 0, "", L101 / M101)</f>
        <v>0.75</v>
      </c>
      <c r="O101" s="3" t="str">
        <f>IF(K101 &gt; N101, "A", "B")</f>
        <v>B</v>
      </c>
      <c r="P101" s="5">
        <f>SUMIFS(CaseCells!G2:G999,CaseCells!C2:C999, C101)</f>
        <v>2523</v>
      </c>
      <c r="Q101" s="5">
        <f>SUMIFS(CaseCells!G2:G999,CaseCells!C2:C999, C101,CaseCells!D2:D999, D101)</f>
        <v>570</v>
      </c>
      <c r="R101" s="3">
        <f>IF(P101 = 0, "", Q101 / P101)</f>
        <v>0.2259215219976219</v>
      </c>
      <c r="S101" s="3">
        <f>IF(R101 = "", "", R101 * H101)</f>
        <v>0.16944114149821643</v>
      </c>
      <c r="T101" s="5">
        <f>SUMIFS(CaseCells!G2:G999,CaseCells!C2:C999, C101,CaseCells!D2:D999, D101,CaseCells!E2:E999, "A")</f>
        <v>250</v>
      </c>
      <c r="U101" s="5">
        <f>SUMIFS(CaseCells!G2:G999,CaseCells!C2:C999, C101,CaseCells!D2:D999, D101,CaseCells!E2:E999, "B")</f>
        <v>320</v>
      </c>
      <c r="V101" s="5">
        <f>SUMIFS(CaseCells!G2:G999,CaseCells!C2:C999, C101,CaseCells!E2:E999, "A")</f>
        <v>1484</v>
      </c>
      <c r="W101" s="5">
        <f>SUMIFS(CaseCells!G2:G999,CaseCells!C2:C999, C101,CaseCells!E2:E999, "B")</f>
        <v>1039</v>
      </c>
      <c r="X101" s="3">
        <f>IF(V101 = 0, "", T101 / V101)</f>
        <v>0.16846361185983827</v>
      </c>
      <c r="Y101" s="3">
        <f>IF(W101 = 0, "", U101 / W101)</f>
        <v>0.30798845043310874</v>
      </c>
      <c r="Z101" s="3">
        <f>IF(X101 = "", "", X101 - Y101)</f>
        <v>-0.13952483857327047</v>
      </c>
      <c r="AA101" s="3">
        <f>IF(K101 = "", "", K101 - N101)</f>
        <v>-0.030000000000000027</v>
      </c>
      <c r="AB101" s="3">
        <f>IF(AA101 = "", "", AA101 * R101)</f>
        <v>-0.006777645659928663</v>
      </c>
    </row>
    <row r="102">
      <c r="A102" s="2" t="s">
        <v>1879</v>
      </c>
      <c r="B102" s="3" t="str">
        <f>A102</f>
        <v>open-university-1975-over-40-A</v>
      </c>
      <c r="C102" s="2" t="s">
        <v>501</v>
      </c>
      <c r="D102" s="2" t="s">
        <v>1298</v>
      </c>
      <c r="E102" s="2" t="s">
        <v>792</v>
      </c>
      <c r="F102" s="5">
        <f>SUMIFS(CaseCells!F2:F999,CaseCells!C2:C999, C102,CaseCells!D2:D999, D102,CaseCells!E2:E999, E102)</f>
        <v>40</v>
      </c>
      <c r="G102" s="5">
        <f>SUMIFS(CaseCells!G2:G999,CaseCells!C2:C999, C102,CaseCells!D2:D999, D102,CaseCells!E2:E999, E102)</f>
        <v>80</v>
      </c>
      <c r="H102" s="3">
        <f>IF(G102 = 0, "", F102 / G102)</f>
        <v>0.5</v>
      </c>
      <c r="I102" s="5">
        <f>SUMIFS(CaseCells!F2:F999,CaseCells!C2:C999, C102,CaseCells!D2:D999, D102,CaseCells!E2:E999, "A")</f>
        <v>40</v>
      </c>
      <c r="J102" s="5">
        <f>SUMIFS(CaseCells!G2:G999,CaseCells!C2:C999, C102,CaseCells!D2:D999, D102,CaseCells!E2:E999, "A")</f>
        <v>80</v>
      </c>
      <c r="K102" s="3">
        <f>IF(J102 = 0, "", I102 / J102)</f>
        <v>0.5</v>
      </c>
      <c r="L102" s="5">
        <f>SUMIFS(CaseCells!F2:F999,CaseCells!C2:C999, C102,CaseCells!D2:D999, D102,CaseCells!E2:E999, "B")</f>
        <v>60</v>
      </c>
      <c r="M102" s="5">
        <f>SUMIFS(CaseCells!G2:G999,CaseCells!C2:C999, C102,CaseCells!D2:D999, D102,CaseCells!E2:E999, "B")</f>
        <v>100</v>
      </c>
      <c r="N102" s="3">
        <f>IF(M102 = 0, "", L102 / M102)</f>
        <v>0.6</v>
      </c>
      <c r="O102" s="3" t="str">
        <f>IF(K102 &gt; N102, "A", "B")</f>
        <v>B</v>
      </c>
      <c r="P102" s="5">
        <f>SUMIFS(CaseCells!G2:G999,CaseCells!C2:C999, C102)</f>
        <v>2523</v>
      </c>
      <c r="Q102" s="5">
        <f>SUMIFS(CaseCells!G2:G999,CaseCells!C2:C999, C102,CaseCells!D2:D999, D102)</f>
        <v>180</v>
      </c>
      <c r="R102" s="3">
        <f>IF(P102 = 0, "", Q102 / P102)</f>
        <v>0.0713436385255648</v>
      </c>
      <c r="S102" s="3">
        <f>IF(R102 = "", "", R102 * H102)</f>
        <v>0.0356718192627824</v>
      </c>
      <c r="T102" s="5">
        <f>SUMIFS(CaseCells!G2:G999,CaseCells!C2:C999, C102,CaseCells!D2:D999, D102,CaseCells!E2:E999, "A")</f>
        <v>80</v>
      </c>
      <c r="U102" s="5">
        <f>SUMIFS(CaseCells!G2:G999,CaseCells!C2:C999, C102,CaseCells!D2:D999, D102,CaseCells!E2:E999, "B")</f>
        <v>100</v>
      </c>
      <c r="V102" s="5">
        <f>SUMIFS(CaseCells!G2:G999,CaseCells!C2:C999, C102,CaseCells!E2:E999, "A")</f>
        <v>1484</v>
      </c>
      <c r="W102" s="5">
        <f>SUMIFS(CaseCells!G2:G999,CaseCells!C2:C999, C102,CaseCells!E2:E999, "B")</f>
        <v>1039</v>
      </c>
      <c r="X102" s="3">
        <f>IF(V102 = 0, "", T102 / V102)</f>
        <v>0.05390835579514825</v>
      </c>
      <c r="Y102" s="3">
        <f>IF(W102 = 0, "", U102 / W102)</f>
        <v>0.09624639076034648</v>
      </c>
      <c r="Z102" s="3">
        <f>IF(X102 = "", "", X102 - Y102)</f>
        <v>-0.04233803496519823</v>
      </c>
      <c r="AA102" s="3">
        <f>IF(K102 = "", "", K102 - N102)</f>
        <v>-0.09999999999999998</v>
      </c>
      <c r="AB102" s="3">
        <f>IF(AA102 = "", "", AA102 * R102)</f>
        <v>-0.007134363852556479</v>
      </c>
    </row>
    <row r="103">
      <c r="A103" s="2" t="s">
        <v>1880</v>
      </c>
      <c r="B103" s="3" t="str">
        <f>A103</f>
        <v>open-university-1975-over-40-B</v>
      </c>
      <c r="C103" s="2" t="s">
        <v>501</v>
      </c>
      <c r="D103" s="2" t="s">
        <v>1298</v>
      </c>
      <c r="E103" s="2" t="s">
        <v>795</v>
      </c>
      <c r="F103" s="5">
        <f>SUMIFS(CaseCells!F2:F999,CaseCells!C2:C999, C103,CaseCells!D2:D999, D103,CaseCells!E2:E999, E103)</f>
        <v>60</v>
      </c>
      <c r="G103" s="5">
        <f>SUMIFS(CaseCells!G2:G999,CaseCells!C2:C999, C103,CaseCells!D2:D999, D103,CaseCells!E2:E999, E103)</f>
        <v>100</v>
      </c>
      <c r="H103" s="3">
        <f>IF(G103 = 0, "", F103 / G103)</f>
        <v>0.6</v>
      </c>
      <c r="I103" s="5">
        <f>SUMIFS(CaseCells!F2:F999,CaseCells!C2:C999, C103,CaseCells!D2:D999, D103,CaseCells!E2:E999, "A")</f>
        <v>40</v>
      </c>
      <c r="J103" s="5">
        <f>SUMIFS(CaseCells!G2:G999,CaseCells!C2:C999, C103,CaseCells!D2:D999, D103,CaseCells!E2:E999, "A")</f>
        <v>80</v>
      </c>
      <c r="K103" s="3">
        <f>IF(J103 = 0, "", I103 / J103)</f>
        <v>0.5</v>
      </c>
      <c r="L103" s="5">
        <f>SUMIFS(CaseCells!F2:F999,CaseCells!C2:C999, C103,CaseCells!D2:D999, D103,CaseCells!E2:E999, "B")</f>
        <v>60</v>
      </c>
      <c r="M103" s="5">
        <f>SUMIFS(CaseCells!G2:G999,CaseCells!C2:C999, C103,CaseCells!D2:D999, D103,CaseCells!E2:E999, "B")</f>
        <v>100</v>
      </c>
      <c r="N103" s="3">
        <f>IF(M103 = 0, "", L103 / M103)</f>
        <v>0.6</v>
      </c>
      <c r="O103" s="3" t="str">
        <f>IF(K103 &gt; N103, "A", "B")</f>
        <v>B</v>
      </c>
      <c r="P103" s="5">
        <f>SUMIFS(CaseCells!G2:G999,CaseCells!C2:C999, C103)</f>
        <v>2523</v>
      </c>
      <c r="Q103" s="5">
        <f>SUMIFS(CaseCells!G2:G999,CaseCells!C2:C999, C103,CaseCells!D2:D999, D103)</f>
        <v>180</v>
      </c>
      <c r="R103" s="3">
        <f>IF(P103 = 0, "", Q103 / P103)</f>
        <v>0.0713436385255648</v>
      </c>
      <c r="S103" s="3">
        <f>IF(R103 = "", "", R103 * H103)</f>
        <v>0.04280618311533888</v>
      </c>
      <c r="T103" s="5">
        <f>SUMIFS(CaseCells!G2:G999,CaseCells!C2:C999, C103,CaseCells!D2:D999, D103,CaseCells!E2:E999, "A")</f>
        <v>80</v>
      </c>
      <c r="U103" s="5">
        <f>SUMIFS(CaseCells!G2:G999,CaseCells!C2:C999, C103,CaseCells!D2:D999, D103,CaseCells!E2:E999, "B")</f>
        <v>100</v>
      </c>
      <c r="V103" s="5">
        <f>SUMIFS(CaseCells!G2:G999,CaseCells!C2:C999, C103,CaseCells!E2:E999, "A")</f>
        <v>1484</v>
      </c>
      <c r="W103" s="5">
        <f>SUMIFS(CaseCells!G2:G999,CaseCells!C2:C999, C103,CaseCells!E2:E999, "B")</f>
        <v>1039</v>
      </c>
      <c r="X103" s="3">
        <f>IF(V103 = 0, "", T103 / V103)</f>
        <v>0.05390835579514825</v>
      </c>
      <c r="Y103" s="3">
        <f>IF(W103 = 0, "", U103 / W103)</f>
        <v>0.09624639076034648</v>
      </c>
      <c r="Z103" s="3">
        <f>IF(X103 = "", "", X103 - Y103)</f>
        <v>-0.04233803496519823</v>
      </c>
      <c r="AA103" s="3">
        <f>IF(K103 = "", "", K103 - N103)</f>
        <v>-0.09999999999999998</v>
      </c>
      <c r="AB103" s="3">
        <f>IF(AA103 = "", "", AA103 * R103)</f>
        <v>-0.007134363852556479</v>
      </c>
    </row>
    <row r="104">
      <c r="A104" s="2" t="s">
        <v>1881</v>
      </c>
      <c r="B104" s="3" t="str">
        <f>A104</f>
        <v>pisa-immigration-2015-high-performing-A</v>
      </c>
      <c r="C104" s="2" t="s">
        <v>504</v>
      </c>
      <c r="D104" s="2" t="s">
        <v>1301</v>
      </c>
      <c r="E104" s="2" t="s">
        <v>792</v>
      </c>
      <c r="F104" s="5">
        <f>SUMIFS(CaseCells!F2:F999,CaseCells!C2:C999, C104,CaseCells!D2:D999, D104,CaseCells!E2:E999, E104)</f>
        <v>420</v>
      </c>
      <c r="G104" s="5">
        <f>SUMIFS(CaseCells!G2:G999,CaseCells!C2:C999, C104,CaseCells!D2:D999, D104,CaseCells!E2:E999, E104)</f>
        <v>500</v>
      </c>
      <c r="H104" s="3">
        <f>IF(G104 = 0, "", F104 / G104)</f>
        <v>0.84</v>
      </c>
      <c r="I104" s="5">
        <f>SUMIFS(CaseCells!F2:F999,CaseCells!C2:C999, C104,CaseCells!D2:D999, D104,CaseCells!E2:E999, "A")</f>
        <v>420</v>
      </c>
      <c r="J104" s="5">
        <f>SUMIFS(CaseCells!G2:G999,CaseCells!C2:C999, C104,CaseCells!D2:D999, D104,CaseCells!E2:E999, "A")</f>
        <v>500</v>
      </c>
      <c r="K104" s="3">
        <f>IF(J104 = 0, "", I104 / J104)</f>
        <v>0.84</v>
      </c>
      <c r="L104" s="5">
        <f>SUMIFS(CaseCells!F2:F999,CaseCells!C2:C999, C104,CaseCells!D2:D999, D104,CaseCells!E2:E999, "B")</f>
        <v>80</v>
      </c>
      <c r="M104" s="5">
        <f>SUMIFS(CaseCells!G2:G999,CaseCells!C2:C999, C104,CaseCells!D2:D999, D104,CaseCells!E2:E999, "B")</f>
        <v>120</v>
      </c>
      <c r="N104" s="3">
        <f>IF(M104 = 0, "", L104 / M104)</f>
        <v>0.6666666666666666</v>
      </c>
      <c r="O104" s="3" t="str">
        <f>IF(K104 &gt; N104, "A", "B")</f>
        <v>A</v>
      </c>
      <c r="P104" s="5">
        <f>SUMIFS(CaseCells!G2:G999,CaseCells!C2:C999, C104)</f>
        <v>1220</v>
      </c>
      <c r="Q104" s="5">
        <f>SUMIFS(CaseCells!G2:G999,CaseCells!C2:C999, C104,CaseCells!D2:D999, D104)</f>
        <v>620</v>
      </c>
      <c r="R104" s="3">
        <f>IF(P104 = 0, "", Q104 / P104)</f>
        <v>0.5081967213114754</v>
      </c>
      <c r="S104" s="3">
        <f>IF(R104 = "", "", R104 * H104)</f>
        <v>0.42688524590163934</v>
      </c>
      <c r="T104" s="5">
        <f>SUMIFS(CaseCells!G2:G999,CaseCells!C2:C999, C104,CaseCells!D2:D999, D104,CaseCells!E2:E999, "A")</f>
        <v>500</v>
      </c>
      <c r="U104" s="5">
        <f>SUMIFS(CaseCells!G2:G999,CaseCells!C2:C999, C104,CaseCells!D2:D999, D104,CaseCells!E2:E999, "B")</f>
        <v>120</v>
      </c>
      <c r="V104" s="5">
        <f>SUMIFS(CaseCells!G2:G999,CaseCells!C2:C999, C104,CaseCells!E2:E999, "A")</f>
        <v>900</v>
      </c>
      <c r="W104" s="5">
        <f>SUMIFS(CaseCells!G2:G999,CaseCells!C2:C999, C104,CaseCells!E2:E999, "B")</f>
        <v>320</v>
      </c>
      <c r="X104" s="3">
        <f>IF(V104 = 0, "", T104 / V104)</f>
        <v>0.5555555555555556</v>
      </c>
      <c r="Y104" s="3">
        <f>IF(W104 = 0, "", U104 / W104)</f>
        <v>0.375</v>
      </c>
      <c r="Z104" s="3">
        <f>IF(X104 = "", "", X104 - Y104)</f>
        <v>0.18055555555555558</v>
      </c>
      <c r="AA104" s="3">
        <f>IF(K104 = "", "", K104 - N104)</f>
        <v>0.17333333333333334</v>
      </c>
      <c r="AB104" s="3">
        <f>IF(AA104 = "", "", AA104 * R104)</f>
        <v>0.08808743169398908</v>
      </c>
    </row>
    <row r="105">
      <c r="A105" s="2" t="s">
        <v>1882</v>
      </c>
      <c r="B105" s="3" t="str">
        <f>A105</f>
        <v>pisa-immigration-2015-high-performing-B</v>
      </c>
      <c r="C105" s="2" t="s">
        <v>504</v>
      </c>
      <c r="D105" s="2" t="s">
        <v>1301</v>
      </c>
      <c r="E105" s="2" t="s">
        <v>795</v>
      </c>
      <c r="F105" s="5">
        <f>SUMIFS(CaseCells!F2:F999,CaseCells!C2:C999, C105,CaseCells!D2:D999, D105,CaseCells!E2:E999, E105)</f>
        <v>80</v>
      </c>
      <c r="G105" s="5">
        <f>SUMIFS(CaseCells!G2:G999,CaseCells!C2:C999, C105,CaseCells!D2:D999, D105,CaseCells!E2:E999, E105)</f>
        <v>120</v>
      </c>
      <c r="H105" s="3">
        <f>IF(G105 = 0, "", F105 / G105)</f>
        <v>0.6666666666666666</v>
      </c>
      <c r="I105" s="5">
        <f>SUMIFS(CaseCells!F2:F999,CaseCells!C2:C999, C105,CaseCells!D2:D999, D105,CaseCells!E2:E999, "A")</f>
        <v>420</v>
      </c>
      <c r="J105" s="5">
        <f>SUMIFS(CaseCells!G2:G999,CaseCells!C2:C999, C105,CaseCells!D2:D999, D105,CaseCells!E2:E999, "A")</f>
        <v>500</v>
      </c>
      <c r="K105" s="3">
        <f>IF(J105 = 0, "", I105 / J105)</f>
        <v>0.84</v>
      </c>
      <c r="L105" s="5">
        <f>SUMIFS(CaseCells!F2:F999,CaseCells!C2:C999, C105,CaseCells!D2:D999, D105,CaseCells!E2:E999, "B")</f>
        <v>80</v>
      </c>
      <c r="M105" s="5">
        <f>SUMIFS(CaseCells!G2:G999,CaseCells!C2:C999, C105,CaseCells!D2:D999, D105,CaseCells!E2:E999, "B")</f>
        <v>120</v>
      </c>
      <c r="N105" s="3">
        <f>IF(M105 = 0, "", L105 / M105)</f>
        <v>0.6666666666666666</v>
      </c>
      <c r="O105" s="3" t="str">
        <f>IF(K105 &gt; N105, "A", "B")</f>
        <v>A</v>
      </c>
      <c r="P105" s="5">
        <f>SUMIFS(CaseCells!G2:G999,CaseCells!C2:C999, C105)</f>
        <v>1220</v>
      </c>
      <c r="Q105" s="5">
        <f>SUMIFS(CaseCells!G2:G999,CaseCells!C2:C999, C105,CaseCells!D2:D999, D105)</f>
        <v>620</v>
      </c>
      <c r="R105" s="3">
        <f>IF(P105 = 0, "", Q105 / P105)</f>
        <v>0.5081967213114754</v>
      </c>
      <c r="S105" s="3">
        <f>IF(R105 = "", "", R105 * H105)</f>
        <v>0.33879781420765026</v>
      </c>
      <c r="T105" s="5">
        <f>SUMIFS(CaseCells!G2:G999,CaseCells!C2:C999, C105,CaseCells!D2:D999, D105,CaseCells!E2:E999, "A")</f>
        <v>500</v>
      </c>
      <c r="U105" s="5">
        <f>SUMIFS(CaseCells!G2:G999,CaseCells!C2:C999, C105,CaseCells!D2:D999, D105,CaseCells!E2:E999, "B")</f>
        <v>120</v>
      </c>
      <c r="V105" s="5">
        <f>SUMIFS(CaseCells!G2:G999,CaseCells!C2:C999, C105,CaseCells!E2:E999, "A")</f>
        <v>900</v>
      </c>
      <c r="W105" s="5">
        <f>SUMIFS(CaseCells!G2:G999,CaseCells!C2:C999, C105,CaseCells!E2:E999, "B")</f>
        <v>320</v>
      </c>
      <c r="X105" s="3">
        <f>IF(V105 = 0, "", T105 / V105)</f>
        <v>0.5555555555555556</v>
      </c>
      <c r="Y105" s="3">
        <f>IF(W105 = 0, "", U105 / W105)</f>
        <v>0.375</v>
      </c>
      <c r="Z105" s="3">
        <f>IF(X105 = "", "", X105 - Y105)</f>
        <v>0.18055555555555558</v>
      </c>
      <c r="AA105" s="3">
        <f>IF(K105 = "", "", K105 - N105)</f>
        <v>0.17333333333333334</v>
      </c>
      <c r="AB105" s="3">
        <f>IF(AA105 = "", "", AA105 * R105)</f>
        <v>0.08808743169398908</v>
      </c>
    </row>
    <row r="106">
      <c r="A106" s="2" t="s">
        <v>1883</v>
      </c>
      <c r="B106" s="3" t="str">
        <f>A106</f>
        <v>pisa-immigration-2015-lower-performing-A</v>
      </c>
      <c r="C106" s="2" t="s">
        <v>504</v>
      </c>
      <c r="D106" s="2" t="s">
        <v>1304</v>
      </c>
      <c r="E106" s="2" t="s">
        <v>792</v>
      </c>
      <c r="F106" s="5">
        <f>SUMIFS(CaseCells!F2:F999,CaseCells!C2:C999, C106,CaseCells!D2:D999, D106,CaseCells!E2:E999, E106)</f>
        <v>280</v>
      </c>
      <c r="G106" s="5">
        <f>SUMIFS(CaseCells!G2:G999,CaseCells!C2:C999, C106,CaseCells!D2:D999, D106,CaseCells!E2:E999, E106)</f>
        <v>400</v>
      </c>
      <c r="H106" s="3">
        <f>IF(G106 = 0, "", F106 / G106)</f>
        <v>0.7</v>
      </c>
      <c r="I106" s="5">
        <f>SUMIFS(CaseCells!F2:F999,CaseCells!C2:C999, C106,CaseCells!D2:D999, D106,CaseCells!E2:E999, "A")</f>
        <v>280</v>
      </c>
      <c r="J106" s="5">
        <f>SUMIFS(CaseCells!G2:G999,CaseCells!C2:C999, C106,CaseCells!D2:D999, D106,CaseCells!E2:E999, "A")</f>
        <v>400</v>
      </c>
      <c r="K106" s="3">
        <f>IF(J106 = 0, "", I106 / J106)</f>
        <v>0.7</v>
      </c>
      <c r="L106" s="5">
        <f>SUMIFS(CaseCells!F2:F999,CaseCells!C2:C999, C106,CaseCells!D2:D999, D106,CaseCells!E2:E999, "B")</f>
        <v>150</v>
      </c>
      <c r="M106" s="5">
        <f>SUMIFS(CaseCells!G2:G999,CaseCells!C2:C999, C106,CaseCells!D2:D999, D106,CaseCells!E2:E999, "B")</f>
        <v>200</v>
      </c>
      <c r="N106" s="3">
        <f>IF(M106 = 0, "", L106 / M106)</f>
        <v>0.75</v>
      </c>
      <c r="O106" s="3" t="str">
        <f>IF(K106 &gt; N106, "A", "B")</f>
        <v>B</v>
      </c>
      <c r="P106" s="5">
        <f>SUMIFS(CaseCells!G2:G999,CaseCells!C2:C999, C106)</f>
        <v>1220</v>
      </c>
      <c r="Q106" s="5">
        <f>SUMIFS(CaseCells!G2:G999,CaseCells!C2:C999, C106,CaseCells!D2:D999, D106)</f>
        <v>600</v>
      </c>
      <c r="R106" s="3">
        <f>IF(P106 = 0, "", Q106 / P106)</f>
        <v>0.4918032786885246</v>
      </c>
      <c r="S106" s="3">
        <f>IF(R106 = "", "", R106 * H106)</f>
        <v>0.3442622950819672</v>
      </c>
      <c r="T106" s="5">
        <f>SUMIFS(CaseCells!G2:G999,CaseCells!C2:C999, C106,CaseCells!D2:D999, D106,CaseCells!E2:E999, "A")</f>
        <v>400</v>
      </c>
      <c r="U106" s="5">
        <f>SUMIFS(CaseCells!G2:G999,CaseCells!C2:C999, C106,CaseCells!D2:D999, D106,CaseCells!E2:E999, "B")</f>
        <v>200</v>
      </c>
      <c r="V106" s="5">
        <f>SUMIFS(CaseCells!G2:G999,CaseCells!C2:C999, C106,CaseCells!E2:E999, "A")</f>
        <v>900</v>
      </c>
      <c r="W106" s="5">
        <f>SUMIFS(CaseCells!G2:G999,CaseCells!C2:C999, C106,CaseCells!E2:E999, "B")</f>
        <v>320</v>
      </c>
      <c r="X106" s="3">
        <f>IF(V106 = 0, "", T106 / V106)</f>
        <v>0.4444444444444444</v>
      </c>
      <c r="Y106" s="3">
        <f>IF(W106 = 0, "", U106 / W106)</f>
        <v>0.625</v>
      </c>
      <c r="Z106" s="3">
        <f>IF(X106 = "", "", X106 - Y106)</f>
        <v>-0.18055555555555558</v>
      </c>
      <c r="AA106" s="3">
        <f>IF(K106 = "", "", K106 - N106)</f>
        <v>-0.050000000000000044</v>
      </c>
      <c r="AB106" s="3">
        <f>IF(AA106 = "", "", AA106 * R106)</f>
        <v>-0.02459016393442625</v>
      </c>
    </row>
    <row r="107">
      <c r="A107" s="2" t="s">
        <v>1884</v>
      </c>
      <c r="B107" s="3" t="str">
        <f>A107</f>
        <v>pisa-immigration-2015-lower-performing-B</v>
      </c>
      <c r="C107" s="2" t="s">
        <v>504</v>
      </c>
      <c r="D107" s="2" t="s">
        <v>1304</v>
      </c>
      <c r="E107" s="2" t="s">
        <v>795</v>
      </c>
      <c r="F107" s="5">
        <f>SUMIFS(CaseCells!F2:F999,CaseCells!C2:C999, C107,CaseCells!D2:D999, D107,CaseCells!E2:E999, E107)</f>
        <v>150</v>
      </c>
      <c r="G107" s="5">
        <f>SUMIFS(CaseCells!G2:G999,CaseCells!C2:C999, C107,CaseCells!D2:D999, D107,CaseCells!E2:E999, E107)</f>
        <v>200</v>
      </c>
      <c r="H107" s="3">
        <f>IF(G107 = 0, "", F107 / G107)</f>
        <v>0.75</v>
      </c>
      <c r="I107" s="5">
        <f>SUMIFS(CaseCells!F2:F999,CaseCells!C2:C999, C107,CaseCells!D2:D999, D107,CaseCells!E2:E999, "A")</f>
        <v>280</v>
      </c>
      <c r="J107" s="5">
        <f>SUMIFS(CaseCells!G2:G999,CaseCells!C2:C999, C107,CaseCells!D2:D999, D107,CaseCells!E2:E999, "A")</f>
        <v>400</v>
      </c>
      <c r="K107" s="3">
        <f>IF(J107 = 0, "", I107 / J107)</f>
        <v>0.7</v>
      </c>
      <c r="L107" s="5">
        <f>SUMIFS(CaseCells!F2:F999,CaseCells!C2:C999, C107,CaseCells!D2:D999, D107,CaseCells!E2:E999, "B")</f>
        <v>150</v>
      </c>
      <c r="M107" s="5">
        <f>SUMIFS(CaseCells!G2:G999,CaseCells!C2:C999, C107,CaseCells!D2:D999, D107,CaseCells!E2:E999, "B")</f>
        <v>200</v>
      </c>
      <c r="N107" s="3">
        <f>IF(M107 = 0, "", L107 / M107)</f>
        <v>0.75</v>
      </c>
      <c r="O107" s="3" t="str">
        <f>IF(K107 &gt; N107, "A", "B")</f>
        <v>B</v>
      </c>
      <c r="P107" s="5">
        <f>SUMIFS(CaseCells!G2:G999,CaseCells!C2:C999, C107)</f>
        <v>1220</v>
      </c>
      <c r="Q107" s="5">
        <f>SUMIFS(CaseCells!G2:G999,CaseCells!C2:C999, C107,CaseCells!D2:D999, D107)</f>
        <v>600</v>
      </c>
      <c r="R107" s="3">
        <f>IF(P107 = 0, "", Q107 / P107)</f>
        <v>0.4918032786885246</v>
      </c>
      <c r="S107" s="3">
        <f>IF(R107 = "", "", R107 * H107)</f>
        <v>0.3688524590163934</v>
      </c>
      <c r="T107" s="5">
        <f>SUMIFS(CaseCells!G2:G999,CaseCells!C2:C999, C107,CaseCells!D2:D999, D107,CaseCells!E2:E999, "A")</f>
        <v>400</v>
      </c>
      <c r="U107" s="5">
        <f>SUMIFS(CaseCells!G2:G999,CaseCells!C2:C999, C107,CaseCells!D2:D999, D107,CaseCells!E2:E999, "B")</f>
        <v>200</v>
      </c>
      <c r="V107" s="5">
        <f>SUMIFS(CaseCells!G2:G999,CaseCells!C2:C999, C107,CaseCells!E2:E999, "A")</f>
        <v>900</v>
      </c>
      <c r="W107" s="5">
        <f>SUMIFS(CaseCells!G2:G999,CaseCells!C2:C999, C107,CaseCells!E2:E999, "B")</f>
        <v>320</v>
      </c>
      <c r="X107" s="3">
        <f>IF(V107 = 0, "", T107 / V107)</f>
        <v>0.4444444444444444</v>
      </c>
      <c r="Y107" s="3">
        <f>IF(W107 = 0, "", U107 / W107)</f>
        <v>0.625</v>
      </c>
      <c r="Z107" s="3">
        <f>IF(X107 = "", "", X107 - Y107)</f>
        <v>-0.18055555555555558</v>
      </c>
      <c r="AA107" s="3">
        <f>IF(K107 = "", "", K107 - N107)</f>
        <v>-0.050000000000000044</v>
      </c>
      <c r="AB107" s="3">
        <f>IF(AA107 = "", "", AA107 * R107)</f>
        <v>-0.02459016393442625</v>
      </c>
    </row>
    <row r="108">
      <c r="A108" s="2" t="s">
        <v>1885</v>
      </c>
      <c r="B108" s="3" t="str">
        <f>A108</f>
        <v>wainer-sat-states-1992-northeast-A</v>
      </c>
      <c r="C108" s="2" t="s">
        <v>508</v>
      </c>
      <c r="D108" s="2" t="s">
        <v>1307</v>
      </c>
      <c r="E108" s="2" t="s">
        <v>792</v>
      </c>
      <c r="F108" s="5">
        <f>SUMIFS(CaseCells!F2:F999,CaseCells!C2:C999, C108,CaseCells!D2:D999, D108,CaseCells!E2:E999, E108)</f>
        <v>320</v>
      </c>
      <c r="G108" s="5">
        <f>SUMIFS(CaseCells!G2:G999,CaseCells!C2:C999, C108,CaseCells!D2:D999, D108,CaseCells!E2:E999, E108)</f>
        <v>500</v>
      </c>
      <c r="H108" s="3">
        <f>IF(G108 = 0, "", F108 / G108)</f>
        <v>0.64</v>
      </c>
      <c r="I108" s="5">
        <f>SUMIFS(CaseCells!F2:F999,CaseCells!C2:C999, C108,CaseCells!D2:D999, D108,CaseCells!E2:E999, "A")</f>
        <v>320</v>
      </c>
      <c r="J108" s="5">
        <f>SUMIFS(CaseCells!G2:G999,CaseCells!C2:C999, C108,CaseCells!D2:D999, D108,CaseCells!E2:E999, "A")</f>
        <v>500</v>
      </c>
      <c r="K108" s="3">
        <f>IF(J108 = 0, "", I108 / J108)</f>
        <v>0.64</v>
      </c>
      <c r="L108" s="5">
        <f>SUMIFS(CaseCells!F2:F999,CaseCells!C2:C999, C108,CaseCells!D2:D999, D108,CaseCells!E2:E999, "B")</f>
        <v>180</v>
      </c>
      <c r="M108" s="5">
        <f>SUMIFS(CaseCells!G2:G999,CaseCells!C2:C999, C108,CaseCells!D2:D999, D108,CaseCells!E2:E999, "B")</f>
        <v>250</v>
      </c>
      <c r="N108" s="3">
        <f>IF(M108 = 0, "", L108 / M108)</f>
        <v>0.72</v>
      </c>
      <c r="O108" s="3" t="str">
        <f>IF(K108 &gt; N108, "A", "B")</f>
        <v>B</v>
      </c>
      <c r="P108" s="5">
        <f>SUMIFS(CaseCells!G2:G999,CaseCells!C2:C999, C108)</f>
        <v>1350</v>
      </c>
      <c r="Q108" s="5">
        <f>SUMIFS(CaseCells!G2:G999,CaseCells!C2:C999, C108,CaseCells!D2:D999, D108)</f>
        <v>750</v>
      </c>
      <c r="R108" s="3">
        <f>IF(P108 = 0, "", Q108 / P108)</f>
        <v>0.5555555555555556</v>
      </c>
      <c r="S108" s="3">
        <f>IF(R108 = "", "", R108 * H108)</f>
        <v>0.35555555555555557</v>
      </c>
      <c r="T108" s="5">
        <f>SUMIFS(CaseCells!G2:G999,CaseCells!C2:C999, C108,CaseCells!D2:D999, D108,CaseCells!E2:E999, "A")</f>
        <v>500</v>
      </c>
      <c r="U108" s="5">
        <f>SUMIFS(CaseCells!G2:G999,CaseCells!C2:C999, C108,CaseCells!D2:D999, D108,CaseCells!E2:E999, "B")</f>
        <v>250</v>
      </c>
      <c r="V108" s="5">
        <f>SUMIFS(CaseCells!G2:G999,CaseCells!C2:C999, C108,CaseCells!E2:E999, "A")</f>
        <v>900</v>
      </c>
      <c r="W108" s="5">
        <f>SUMIFS(CaseCells!G2:G999,CaseCells!C2:C999, C108,CaseCells!E2:E999, "B")</f>
        <v>450</v>
      </c>
      <c r="X108" s="3">
        <f>IF(V108 = 0, "", T108 / V108)</f>
        <v>0.5555555555555556</v>
      </c>
      <c r="Y108" s="3">
        <f>IF(W108 = 0, "", U108 / W108)</f>
        <v>0.5555555555555556</v>
      </c>
      <c r="Z108" s="3">
        <f>IF(X108 = "", "", X108 - Y108)</f>
        <v>0</v>
      </c>
      <c r="AA108" s="3">
        <f>IF(K108 = "", "", K108 - N108)</f>
        <v>-0.07999999999999996</v>
      </c>
      <c r="AB108" s="3">
        <f>IF(AA108 = "", "", AA108 * R108)</f>
        <v>-0.044444444444444425</v>
      </c>
    </row>
    <row r="109">
      <c r="A109" s="2" t="s">
        <v>1886</v>
      </c>
      <c r="B109" s="3" t="str">
        <f>A109</f>
        <v>wainer-sat-states-1992-northeast-B</v>
      </c>
      <c r="C109" s="2" t="s">
        <v>508</v>
      </c>
      <c r="D109" s="2" t="s">
        <v>1307</v>
      </c>
      <c r="E109" s="2" t="s">
        <v>795</v>
      </c>
      <c r="F109" s="5">
        <f>SUMIFS(CaseCells!F2:F999,CaseCells!C2:C999, C109,CaseCells!D2:D999, D109,CaseCells!E2:E999, E109)</f>
        <v>180</v>
      </c>
      <c r="G109" s="5">
        <f>SUMIFS(CaseCells!G2:G999,CaseCells!C2:C999, C109,CaseCells!D2:D999, D109,CaseCells!E2:E999, E109)</f>
        <v>250</v>
      </c>
      <c r="H109" s="3">
        <f>IF(G109 = 0, "", F109 / G109)</f>
        <v>0.72</v>
      </c>
      <c r="I109" s="5">
        <f>SUMIFS(CaseCells!F2:F999,CaseCells!C2:C999, C109,CaseCells!D2:D999, D109,CaseCells!E2:E999, "A")</f>
        <v>320</v>
      </c>
      <c r="J109" s="5">
        <f>SUMIFS(CaseCells!G2:G999,CaseCells!C2:C999, C109,CaseCells!D2:D999, D109,CaseCells!E2:E999, "A")</f>
        <v>500</v>
      </c>
      <c r="K109" s="3">
        <f>IF(J109 = 0, "", I109 / J109)</f>
        <v>0.64</v>
      </c>
      <c r="L109" s="5">
        <f>SUMIFS(CaseCells!F2:F999,CaseCells!C2:C999, C109,CaseCells!D2:D999, D109,CaseCells!E2:E999, "B")</f>
        <v>180</v>
      </c>
      <c r="M109" s="5">
        <f>SUMIFS(CaseCells!G2:G999,CaseCells!C2:C999, C109,CaseCells!D2:D999, D109,CaseCells!E2:E999, "B")</f>
        <v>250</v>
      </c>
      <c r="N109" s="3">
        <f>IF(M109 = 0, "", L109 / M109)</f>
        <v>0.72</v>
      </c>
      <c r="O109" s="3" t="str">
        <f>IF(K109 &gt; N109, "A", "B")</f>
        <v>B</v>
      </c>
      <c r="P109" s="5">
        <f>SUMIFS(CaseCells!G2:G999,CaseCells!C2:C999, C109)</f>
        <v>1350</v>
      </c>
      <c r="Q109" s="5">
        <f>SUMIFS(CaseCells!G2:G999,CaseCells!C2:C999, C109,CaseCells!D2:D999, D109)</f>
        <v>750</v>
      </c>
      <c r="R109" s="3">
        <f>IF(P109 = 0, "", Q109 / P109)</f>
        <v>0.5555555555555556</v>
      </c>
      <c r="S109" s="3">
        <f>IF(R109 = "", "", R109 * H109)</f>
        <v>0.4</v>
      </c>
      <c r="T109" s="5">
        <f>SUMIFS(CaseCells!G2:G999,CaseCells!C2:C999, C109,CaseCells!D2:D999, D109,CaseCells!E2:E999, "A")</f>
        <v>500</v>
      </c>
      <c r="U109" s="5">
        <f>SUMIFS(CaseCells!G2:G999,CaseCells!C2:C999, C109,CaseCells!D2:D999, D109,CaseCells!E2:E999, "B")</f>
        <v>250</v>
      </c>
      <c r="V109" s="5">
        <f>SUMIFS(CaseCells!G2:G999,CaseCells!C2:C999, C109,CaseCells!E2:E999, "A")</f>
        <v>900</v>
      </c>
      <c r="W109" s="5">
        <f>SUMIFS(CaseCells!G2:G999,CaseCells!C2:C999, C109,CaseCells!E2:E999, "B")</f>
        <v>450</v>
      </c>
      <c r="X109" s="3">
        <f>IF(V109 = 0, "", T109 / V109)</f>
        <v>0.5555555555555556</v>
      </c>
      <c r="Y109" s="3">
        <f>IF(W109 = 0, "", U109 / W109)</f>
        <v>0.5555555555555556</v>
      </c>
      <c r="Z109" s="3">
        <f>IF(X109 = "", "", X109 - Y109)</f>
        <v>0</v>
      </c>
      <c r="AA109" s="3">
        <f>IF(K109 = "", "", K109 - N109)</f>
        <v>-0.07999999999999996</v>
      </c>
      <c r="AB109" s="3">
        <f>IF(AA109 = "", "", AA109 * R109)</f>
        <v>-0.044444444444444425</v>
      </c>
    </row>
    <row r="110">
      <c r="A110" s="2" t="s">
        <v>1887</v>
      </c>
      <c r="B110" s="3" t="str">
        <f>A110</f>
        <v>wainer-sat-states-1992-south-A</v>
      </c>
      <c r="C110" s="2" t="s">
        <v>508</v>
      </c>
      <c r="D110" s="2" t="s">
        <v>1310</v>
      </c>
      <c r="E110" s="2" t="s">
        <v>792</v>
      </c>
      <c r="F110" s="5">
        <f>SUMIFS(CaseCells!F2:F999,CaseCells!C2:C999, C110,CaseCells!D2:D999, D110,CaseCells!E2:E999, E110)</f>
        <v>200</v>
      </c>
      <c r="G110" s="5">
        <f>SUMIFS(CaseCells!G2:G999,CaseCells!C2:C999, C110,CaseCells!D2:D999, D110,CaseCells!E2:E999, E110)</f>
        <v>400</v>
      </c>
      <c r="H110" s="3">
        <f>IF(G110 = 0, "", F110 / G110)</f>
        <v>0.5</v>
      </c>
      <c r="I110" s="5">
        <f>SUMIFS(CaseCells!F2:F999,CaseCells!C2:C999, C110,CaseCells!D2:D999, D110,CaseCells!E2:E999, "A")</f>
        <v>200</v>
      </c>
      <c r="J110" s="5">
        <f>SUMIFS(CaseCells!G2:G999,CaseCells!C2:C999, C110,CaseCells!D2:D999, D110,CaseCells!E2:E999, "A")</f>
        <v>400</v>
      </c>
      <c r="K110" s="3">
        <f>IF(J110 = 0, "", I110 / J110)</f>
        <v>0.5</v>
      </c>
      <c r="L110" s="5">
        <f>SUMIFS(CaseCells!F2:F999,CaseCells!C2:C999, C110,CaseCells!D2:D999, D110,CaseCells!E2:E999, "B")</f>
        <v>150</v>
      </c>
      <c r="M110" s="5">
        <f>SUMIFS(CaseCells!G2:G999,CaseCells!C2:C999, C110,CaseCells!D2:D999, D110,CaseCells!E2:E999, "B")</f>
        <v>200</v>
      </c>
      <c r="N110" s="3">
        <f>IF(M110 = 0, "", L110 / M110)</f>
        <v>0.75</v>
      </c>
      <c r="O110" s="3" t="str">
        <f>IF(K110 &gt; N110, "A", "B")</f>
        <v>B</v>
      </c>
      <c r="P110" s="5">
        <f>SUMIFS(CaseCells!G2:G999,CaseCells!C2:C999, C110)</f>
        <v>1350</v>
      </c>
      <c r="Q110" s="5">
        <f>SUMIFS(CaseCells!G2:G999,CaseCells!C2:C999, C110,CaseCells!D2:D999, D110)</f>
        <v>600</v>
      </c>
      <c r="R110" s="3">
        <f>IF(P110 = 0, "", Q110 / P110)</f>
        <v>0.4444444444444444</v>
      </c>
      <c r="S110" s="3">
        <f>IF(R110 = "", "", R110 * H110)</f>
        <v>0.2222222222222222</v>
      </c>
      <c r="T110" s="5">
        <f>SUMIFS(CaseCells!G2:G999,CaseCells!C2:C999, C110,CaseCells!D2:D999, D110,CaseCells!E2:E999, "A")</f>
        <v>400</v>
      </c>
      <c r="U110" s="5">
        <f>SUMIFS(CaseCells!G2:G999,CaseCells!C2:C999, C110,CaseCells!D2:D999, D110,CaseCells!E2:E999, "B")</f>
        <v>200</v>
      </c>
      <c r="V110" s="5">
        <f>SUMIFS(CaseCells!G2:G999,CaseCells!C2:C999, C110,CaseCells!E2:E999, "A")</f>
        <v>900</v>
      </c>
      <c r="W110" s="5">
        <f>SUMIFS(CaseCells!G2:G999,CaseCells!C2:C999, C110,CaseCells!E2:E999, "B")</f>
        <v>450</v>
      </c>
      <c r="X110" s="3">
        <f>IF(V110 = 0, "", T110 / V110)</f>
        <v>0.4444444444444444</v>
      </c>
      <c r="Y110" s="3">
        <f>IF(W110 = 0, "", U110 / W110)</f>
        <v>0.4444444444444444</v>
      </c>
      <c r="Z110" s="3">
        <f>IF(X110 = "", "", X110 - Y110)</f>
        <v>0</v>
      </c>
      <c r="AA110" s="3">
        <f>IF(K110 = "", "", K110 - N110)</f>
        <v>-0.25</v>
      </c>
      <c r="AB110" s="3">
        <f>IF(AA110 = "", "", AA110 * R110)</f>
        <v>-0.1111111111111111</v>
      </c>
    </row>
    <row r="111">
      <c r="A111" s="2" t="s">
        <v>1888</v>
      </c>
      <c r="B111" s="3" t="str">
        <f>A111</f>
        <v>wainer-sat-states-1992-south-B</v>
      </c>
      <c r="C111" s="2" t="s">
        <v>508</v>
      </c>
      <c r="D111" s="2" t="s">
        <v>1310</v>
      </c>
      <c r="E111" s="2" t="s">
        <v>795</v>
      </c>
      <c r="F111" s="5">
        <f>SUMIFS(CaseCells!F2:F999,CaseCells!C2:C999, C111,CaseCells!D2:D999, D111,CaseCells!E2:E999, E111)</f>
        <v>150</v>
      </c>
      <c r="G111" s="5">
        <f>SUMIFS(CaseCells!G2:G999,CaseCells!C2:C999, C111,CaseCells!D2:D999, D111,CaseCells!E2:E999, E111)</f>
        <v>200</v>
      </c>
      <c r="H111" s="3">
        <f>IF(G111 = 0, "", F111 / G111)</f>
        <v>0.75</v>
      </c>
      <c r="I111" s="5">
        <f>SUMIFS(CaseCells!F2:F999,CaseCells!C2:C999, C111,CaseCells!D2:D999, D111,CaseCells!E2:E999, "A")</f>
        <v>200</v>
      </c>
      <c r="J111" s="5">
        <f>SUMIFS(CaseCells!G2:G999,CaseCells!C2:C999, C111,CaseCells!D2:D999, D111,CaseCells!E2:E999, "A")</f>
        <v>400</v>
      </c>
      <c r="K111" s="3">
        <f>IF(J111 = 0, "", I111 / J111)</f>
        <v>0.5</v>
      </c>
      <c r="L111" s="5">
        <f>SUMIFS(CaseCells!F2:F999,CaseCells!C2:C999, C111,CaseCells!D2:D999, D111,CaseCells!E2:E999, "B")</f>
        <v>150</v>
      </c>
      <c r="M111" s="5">
        <f>SUMIFS(CaseCells!G2:G999,CaseCells!C2:C999, C111,CaseCells!D2:D999, D111,CaseCells!E2:E999, "B")</f>
        <v>200</v>
      </c>
      <c r="N111" s="3">
        <f>IF(M111 = 0, "", L111 / M111)</f>
        <v>0.75</v>
      </c>
      <c r="O111" s="3" t="str">
        <f>IF(K111 &gt; N111, "A", "B")</f>
        <v>B</v>
      </c>
      <c r="P111" s="5">
        <f>SUMIFS(CaseCells!G2:G999,CaseCells!C2:C999, C111)</f>
        <v>1350</v>
      </c>
      <c r="Q111" s="5">
        <f>SUMIFS(CaseCells!G2:G999,CaseCells!C2:C999, C111,CaseCells!D2:D999, D111)</f>
        <v>600</v>
      </c>
      <c r="R111" s="3">
        <f>IF(P111 = 0, "", Q111 / P111)</f>
        <v>0.4444444444444444</v>
      </c>
      <c r="S111" s="3">
        <f>IF(R111 = "", "", R111 * H111)</f>
        <v>0.3333333333333333</v>
      </c>
      <c r="T111" s="5">
        <f>SUMIFS(CaseCells!G2:G999,CaseCells!C2:C999, C111,CaseCells!D2:D999, D111,CaseCells!E2:E999, "A")</f>
        <v>400</v>
      </c>
      <c r="U111" s="5">
        <f>SUMIFS(CaseCells!G2:G999,CaseCells!C2:C999, C111,CaseCells!D2:D999, D111,CaseCells!E2:E999, "B")</f>
        <v>200</v>
      </c>
      <c r="V111" s="5">
        <f>SUMIFS(CaseCells!G2:G999,CaseCells!C2:C999, C111,CaseCells!E2:E999, "A")</f>
        <v>900</v>
      </c>
      <c r="W111" s="5">
        <f>SUMIFS(CaseCells!G2:G999,CaseCells!C2:C999, C111,CaseCells!E2:E999, "B")</f>
        <v>450</v>
      </c>
      <c r="X111" s="3">
        <f>IF(V111 = 0, "", T111 / V111)</f>
        <v>0.4444444444444444</v>
      </c>
      <c r="Y111" s="3">
        <f>IF(W111 = 0, "", U111 / W111)</f>
        <v>0.4444444444444444</v>
      </c>
      <c r="Z111" s="3">
        <f>IF(X111 = "", "", X111 - Y111)</f>
        <v>0</v>
      </c>
      <c r="AA111" s="3">
        <f>IF(K111 = "", "", K111 - N111)</f>
        <v>-0.25</v>
      </c>
      <c r="AB111" s="3">
        <f>IF(AA111 = "", "", AA111 * R111)</f>
        <v>-0.1111111111111111</v>
      </c>
    </row>
    <row r="112">
      <c r="A112" s="2" t="s">
        <v>1889</v>
      </c>
      <c r="B112" s="3" t="str">
        <f>A112</f>
        <v>folic-acid-neural-tube-1991-under-28-A</v>
      </c>
      <c r="C112" s="2" t="s">
        <v>511</v>
      </c>
      <c r="D112" s="2" t="s">
        <v>1313</v>
      </c>
      <c r="E112" s="2" t="s">
        <v>792</v>
      </c>
      <c r="F112" s="5">
        <f>SUMIFS(CaseCells!F2:F999,CaseCells!C2:C999, C112,CaseCells!D2:D999, D112,CaseCells!E2:E999, E112)</f>
        <v>0</v>
      </c>
      <c r="G112" s="5">
        <f>SUMIFS(CaseCells!G2:G999,CaseCells!C2:C999, C112,CaseCells!D2:D999, D112,CaseCells!E2:E999, E112)</f>
        <v>1400</v>
      </c>
      <c r="H112" s="3">
        <f>IF(G112 = 0, "", F112 / G112)</f>
        <v>0</v>
      </c>
      <c r="I112" s="5">
        <f>SUMIFS(CaseCells!F2:F999,CaseCells!C2:C999, C112,CaseCells!D2:D999, D112,CaseCells!E2:E999, "A")</f>
        <v>0</v>
      </c>
      <c r="J112" s="5">
        <f>SUMIFS(CaseCells!G2:G999,CaseCells!C2:C999, C112,CaseCells!D2:D999, D112,CaseCells!E2:E999, "A")</f>
        <v>1400</v>
      </c>
      <c r="K112" s="3">
        <f>IF(J112 = 0, "", I112 / J112)</f>
        <v>0</v>
      </c>
      <c r="L112" s="5">
        <f>SUMIFS(CaseCells!F2:F999,CaseCells!C2:C999, C112,CaseCells!D2:D999, D112,CaseCells!E2:E999, "B")</f>
        <v>2</v>
      </c>
      <c r="M112" s="5">
        <f>SUMIFS(CaseCells!G2:G999,CaseCells!C2:C999, C112,CaseCells!D2:D999, D112,CaseCells!E2:E999, "B")</f>
        <v>1300</v>
      </c>
      <c r="N112" s="3">
        <f>IF(M112 = 0, "", L112 / M112)</f>
        <v>0.0015384615384615385</v>
      </c>
      <c r="O112" s="3" t="str">
        <f>IF(K112 &gt; N112, "A", "B")</f>
        <v>B</v>
      </c>
      <c r="P112" s="5">
        <f>SUMIFS(CaseCells!G2:G999,CaseCells!C2:C999, C112)</f>
        <v>4156</v>
      </c>
      <c r="Q112" s="5">
        <f>SUMIFS(CaseCells!G2:G999,CaseCells!C2:C999, C112,CaseCells!D2:D999, D112)</f>
        <v>2700</v>
      </c>
      <c r="R112" s="3">
        <f>IF(P112 = 0, "", Q112 / P112)</f>
        <v>0.6496631376323387</v>
      </c>
      <c r="S112" s="3">
        <f>IF(R112 = "", "", R112 * H112)</f>
        <v>0</v>
      </c>
      <c r="T112" s="5">
        <f>SUMIFS(CaseCells!G2:G999,CaseCells!C2:C999, C112,CaseCells!D2:D999, D112,CaseCells!E2:E999, "A")</f>
        <v>1400</v>
      </c>
      <c r="U112" s="5">
        <f>SUMIFS(CaseCells!G2:G999,CaseCells!C2:C999, C112,CaseCells!D2:D999, D112,CaseCells!E2:E999, "B")</f>
        <v>1300</v>
      </c>
      <c r="V112" s="5">
        <f>SUMIFS(CaseCells!G2:G999,CaseCells!C2:C999, C112,CaseCells!E2:E999, "A")</f>
        <v>2104</v>
      </c>
      <c r="W112" s="5">
        <f>SUMIFS(CaseCells!G2:G999,CaseCells!C2:C999, C112,CaseCells!E2:E999, "B")</f>
        <v>2052</v>
      </c>
      <c r="X112" s="3">
        <f>IF(V112 = 0, "", T112 / V112)</f>
        <v>0.6653992395437263</v>
      </c>
      <c r="Y112" s="3">
        <f>IF(W112 = 0, "", U112 / W112)</f>
        <v>0.6335282651072125</v>
      </c>
      <c r="Z112" s="3">
        <f>IF(X112 = "", "", X112 - Y112)</f>
        <v>0.031870974436513766</v>
      </c>
      <c r="AA112" s="3">
        <f>IF(K112 = "", "", K112 - N112)</f>
        <v>-0.0015384615384615385</v>
      </c>
      <c r="AB112" s="3">
        <f>IF(AA112 = "", "", AA112 * R112)</f>
        <v>-0.000999481750203598</v>
      </c>
    </row>
    <row r="113">
      <c r="A113" s="2" t="s">
        <v>1890</v>
      </c>
      <c r="B113" s="3" t="str">
        <f>A113</f>
        <v>folic-acid-neural-tube-1991-under-28-B</v>
      </c>
      <c r="C113" s="2" t="s">
        <v>511</v>
      </c>
      <c r="D113" s="2" t="s">
        <v>1313</v>
      </c>
      <c r="E113" s="2" t="s">
        <v>795</v>
      </c>
      <c r="F113" s="5">
        <f>SUMIFS(CaseCells!F2:F999,CaseCells!C2:C999, C113,CaseCells!D2:D999, D113,CaseCells!E2:E999, E113)</f>
        <v>2</v>
      </c>
      <c r="G113" s="5">
        <f>SUMIFS(CaseCells!G2:G999,CaseCells!C2:C999, C113,CaseCells!D2:D999, D113,CaseCells!E2:E999, E113)</f>
        <v>1300</v>
      </c>
      <c r="H113" s="3">
        <f>IF(G113 = 0, "", F113 / G113)</f>
        <v>0.0015384615384615385</v>
      </c>
      <c r="I113" s="5">
        <f>SUMIFS(CaseCells!F2:F999,CaseCells!C2:C999, C113,CaseCells!D2:D999, D113,CaseCells!E2:E999, "A")</f>
        <v>0</v>
      </c>
      <c r="J113" s="5">
        <f>SUMIFS(CaseCells!G2:G999,CaseCells!C2:C999, C113,CaseCells!D2:D999, D113,CaseCells!E2:E999, "A")</f>
        <v>1400</v>
      </c>
      <c r="K113" s="3">
        <f>IF(J113 = 0, "", I113 / J113)</f>
        <v>0</v>
      </c>
      <c r="L113" s="5">
        <f>SUMIFS(CaseCells!F2:F999,CaseCells!C2:C999, C113,CaseCells!D2:D999, D113,CaseCells!E2:E999, "B")</f>
        <v>2</v>
      </c>
      <c r="M113" s="5">
        <f>SUMIFS(CaseCells!G2:G999,CaseCells!C2:C999, C113,CaseCells!D2:D999, D113,CaseCells!E2:E999, "B")</f>
        <v>1300</v>
      </c>
      <c r="N113" s="3">
        <f>IF(M113 = 0, "", L113 / M113)</f>
        <v>0.0015384615384615385</v>
      </c>
      <c r="O113" s="3" t="str">
        <f>IF(K113 &gt; N113, "A", "B")</f>
        <v>B</v>
      </c>
      <c r="P113" s="5">
        <f>SUMIFS(CaseCells!G2:G999,CaseCells!C2:C999, C113)</f>
        <v>4156</v>
      </c>
      <c r="Q113" s="5">
        <f>SUMIFS(CaseCells!G2:G999,CaseCells!C2:C999, C113,CaseCells!D2:D999, D113)</f>
        <v>2700</v>
      </c>
      <c r="R113" s="3">
        <f>IF(P113 = 0, "", Q113 / P113)</f>
        <v>0.6496631376323387</v>
      </c>
      <c r="S113" s="3">
        <f>IF(R113 = "", "", R113 * H113)</f>
        <v>0.000999481750203598</v>
      </c>
      <c r="T113" s="5">
        <f>SUMIFS(CaseCells!G2:G999,CaseCells!C2:C999, C113,CaseCells!D2:D999, D113,CaseCells!E2:E999, "A")</f>
        <v>1400</v>
      </c>
      <c r="U113" s="5">
        <f>SUMIFS(CaseCells!G2:G999,CaseCells!C2:C999, C113,CaseCells!D2:D999, D113,CaseCells!E2:E999, "B")</f>
        <v>1300</v>
      </c>
      <c r="V113" s="5">
        <f>SUMIFS(CaseCells!G2:G999,CaseCells!C2:C999, C113,CaseCells!E2:E999, "A")</f>
        <v>2104</v>
      </c>
      <c r="W113" s="5">
        <f>SUMIFS(CaseCells!G2:G999,CaseCells!C2:C999, C113,CaseCells!E2:E999, "B")</f>
        <v>2052</v>
      </c>
      <c r="X113" s="3">
        <f>IF(V113 = 0, "", T113 / V113)</f>
        <v>0.6653992395437263</v>
      </c>
      <c r="Y113" s="3">
        <f>IF(W113 = 0, "", U113 / W113)</f>
        <v>0.6335282651072125</v>
      </c>
      <c r="Z113" s="3">
        <f>IF(X113 = "", "", X113 - Y113)</f>
        <v>0.031870974436513766</v>
      </c>
      <c r="AA113" s="3">
        <f>IF(K113 = "", "", K113 - N113)</f>
        <v>-0.0015384615384615385</v>
      </c>
      <c r="AB113" s="3">
        <f>IF(AA113 = "", "", AA113 * R113)</f>
        <v>-0.000999481750203598</v>
      </c>
    </row>
    <row r="114">
      <c r="A114" s="2" t="s">
        <v>1891</v>
      </c>
      <c r="B114" s="3" t="str">
        <f>A114</f>
        <v>folic-acid-neural-tube-1991-28-and-over-A</v>
      </c>
      <c r="C114" s="2" t="s">
        <v>511</v>
      </c>
      <c r="D114" s="2" t="s">
        <v>1316</v>
      </c>
      <c r="E114" s="2" t="s">
        <v>792</v>
      </c>
      <c r="F114" s="5">
        <f>SUMIFS(CaseCells!F2:F999,CaseCells!C2:C999, C114,CaseCells!D2:D999, D114,CaseCells!E2:E999, E114)</f>
        <v>0</v>
      </c>
      <c r="G114" s="5">
        <f>SUMIFS(CaseCells!G2:G999,CaseCells!C2:C999, C114,CaseCells!D2:D999, D114,CaseCells!E2:E999, E114)</f>
        <v>704</v>
      </c>
      <c r="H114" s="3">
        <f>IF(G114 = 0, "", F114 / G114)</f>
        <v>0</v>
      </c>
      <c r="I114" s="5">
        <f>SUMIFS(CaseCells!F2:F999,CaseCells!C2:C999, C114,CaseCells!D2:D999, D114,CaseCells!E2:E999, "A")</f>
        <v>0</v>
      </c>
      <c r="J114" s="5">
        <f>SUMIFS(CaseCells!G2:G999,CaseCells!C2:C999, C114,CaseCells!D2:D999, D114,CaseCells!E2:E999, "A")</f>
        <v>704</v>
      </c>
      <c r="K114" s="3">
        <f>IF(J114 = 0, "", I114 / J114)</f>
        <v>0</v>
      </c>
      <c r="L114" s="5">
        <f>SUMIFS(CaseCells!F2:F999,CaseCells!C2:C999, C114,CaseCells!D2:D999, D114,CaseCells!E2:E999, "B")</f>
        <v>4</v>
      </c>
      <c r="M114" s="5">
        <f>SUMIFS(CaseCells!G2:G999,CaseCells!C2:C999, C114,CaseCells!D2:D999, D114,CaseCells!E2:E999, "B")</f>
        <v>752</v>
      </c>
      <c r="N114" s="3">
        <f>IF(M114 = 0, "", L114 / M114)</f>
        <v>0.005319148936170213</v>
      </c>
      <c r="O114" s="3" t="str">
        <f>IF(K114 &gt; N114, "A", "B")</f>
        <v>B</v>
      </c>
      <c r="P114" s="5">
        <f>SUMIFS(CaseCells!G2:G999,CaseCells!C2:C999, C114)</f>
        <v>4156</v>
      </c>
      <c r="Q114" s="5">
        <f>SUMIFS(CaseCells!G2:G999,CaseCells!C2:C999, C114,CaseCells!D2:D999, D114)</f>
        <v>1456</v>
      </c>
      <c r="R114" s="3">
        <f>IF(P114 = 0, "", Q114 / P114)</f>
        <v>0.3503368623676612</v>
      </c>
      <c r="S114" s="3">
        <f>IF(R114 = "", "", R114 * H114)</f>
        <v>0</v>
      </c>
      <c r="T114" s="5">
        <f>SUMIFS(CaseCells!G2:G999,CaseCells!C2:C999, C114,CaseCells!D2:D999, D114,CaseCells!E2:E999, "A")</f>
        <v>704</v>
      </c>
      <c r="U114" s="5">
        <f>SUMIFS(CaseCells!G2:G999,CaseCells!C2:C999, C114,CaseCells!D2:D999, D114,CaseCells!E2:E999, "B")</f>
        <v>752</v>
      </c>
      <c r="V114" s="5">
        <f>SUMIFS(CaseCells!G2:G999,CaseCells!C2:C999, C114,CaseCells!E2:E999, "A")</f>
        <v>2104</v>
      </c>
      <c r="W114" s="5">
        <f>SUMIFS(CaseCells!G2:G999,CaseCells!C2:C999, C114,CaseCells!E2:E999, "B")</f>
        <v>2052</v>
      </c>
      <c r="X114" s="3">
        <f>IF(V114 = 0, "", T114 / V114)</f>
        <v>0.33460076045627374</v>
      </c>
      <c r="Y114" s="3">
        <f>IF(W114 = 0, "", U114 / W114)</f>
        <v>0.3664717348927875</v>
      </c>
      <c r="Z114" s="3">
        <f>IF(X114 = "", "", X114 - Y114)</f>
        <v>-0.031870974436513766</v>
      </c>
      <c r="AA114" s="3">
        <f>IF(K114 = "", "", K114 - N114)</f>
        <v>-0.005319148936170213</v>
      </c>
      <c r="AB114" s="3">
        <f>IF(AA114 = "", "", AA114 * R114)</f>
        <v>-0.0018634939487641553</v>
      </c>
    </row>
    <row r="115">
      <c r="A115" s="2" t="s">
        <v>1892</v>
      </c>
      <c r="B115" s="3" t="str">
        <f>A115</f>
        <v>folic-acid-neural-tube-1991-28-and-over-B</v>
      </c>
      <c r="C115" s="2" t="s">
        <v>511</v>
      </c>
      <c r="D115" s="2" t="s">
        <v>1316</v>
      </c>
      <c r="E115" s="2" t="s">
        <v>795</v>
      </c>
      <c r="F115" s="5">
        <f>SUMIFS(CaseCells!F2:F999,CaseCells!C2:C999, C115,CaseCells!D2:D999, D115,CaseCells!E2:E999, E115)</f>
        <v>4</v>
      </c>
      <c r="G115" s="5">
        <f>SUMIFS(CaseCells!G2:G999,CaseCells!C2:C999, C115,CaseCells!D2:D999, D115,CaseCells!E2:E999, E115)</f>
        <v>752</v>
      </c>
      <c r="H115" s="3">
        <f>IF(G115 = 0, "", F115 / G115)</f>
        <v>0.005319148936170213</v>
      </c>
      <c r="I115" s="5">
        <f>SUMIFS(CaseCells!F2:F999,CaseCells!C2:C999, C115,CaseCells!D2:D999, D115,CaseCells!E2:E999, "A")</f>
        <v>0</v>
      </c>
      <c r="J115" s="5">
        <f>SUMIFS(CaseCells!G2:G999,CaseCells!C2:C999, C115,CaseCells!D2:D999, D115,CaseCells!E2:E999, "A")</f>
        <v>704</v>
      </c>
      <c r="K115" s="3">
        <f>IF(J115 = 0, "", I115 / J115)</f>
        <v>0</v>
      </c>
      <c r="L115" s="5">
        <f>SUMIFS(CaseCells!F2:F999,CaseCells!C2:C999, C115,CaseCells!D2:D999, D115,CaseCells!E2:E999, "B")</f>
        <v>4</v>
      </c>
      <c r="M115" s="5">
        <f>SUMIFS(CaseCells!G2:G999,CaseCells!C2:C999, C115,CaseCells!D2:D999, D115,CaseCells!E2:E999, "B")</f>
        <v>752</v>
      </c>
      <c r="N115" s="3">
        <f>IF(M115 = 0, "", L115 / M115)</f>
        <v>0.005319148936170213</v>
      </c>
      <c r="O115" s="3" t="str">
        <f>IF(K115 &gt; N115, "A", "B")</f>
        <v>B</v>
      </c>
      <c r="P115" s="5">
        <f>SUMIFS(CaseCells!G2:G999,CaseCells!C2:C999, C115)</f>
        <v>4156</v>
      </c>
      <c r="Q115" s="5">
        <f>SUMIFS(CaseCells!G2:G999,CaseCells!C2:C999, C115,CaseCells!D2:D999, D115)</f>
        <v>1456</v>
      </c>
      <c r="R115" s="3">
        <f>IF(P115 = 0, "", Q115 / P115)</f>
        <v>0.3503368623676612</v>
      </c>
      <c r="S115" s="3">
        <f>IF(R115 = "", "", R115 * H115)</f>
        <v>0.0018634939487641553</v>
      </c>
      <c r="T115" s="5">
        <f>SUMIFS(CaseCells!G2:G999,CaseCells!C2:C999, C115,CaseCells!D2:D999, D115,CaseCells!E2:E999, "A")</f>
        <v>704</v>
      </c>
      <c r="U115" s="5">
        <f>SUMIFS(CaseCells!G2:G999,CaseCells!C2:C999, C115,CaseCells!D2:D999, D115,CaseCells!E2:E999, "B")</f>
        <v>752</v>
      </c>
      <c r="V115" s="5">
        <f>SUMIFS(CaseCells!G2:G999,CaseCells!C2:C999, C115,CaseCells!E2:E999, "A")</f>
        <v>2104</v>
      </c>
      <c r="W115" s="5">
        <f>SUMIFS(CaseCells!G2:G999,CaseCells!C2:C999, C115,CaseCells!E2:E999, "B")</f>
        <v>2052</v>
      </c>
      <c r="X115" s="3">
        <f>IF(V115 = 0, "", T115 / V115)</f>
        <v>0.33460076045627374</v>
      </c>
      <c r="Y115" s="3">
        <f>IF(W115 = 0, "", U115 / W115)</f>
        <v>0.3664717348927875</v>
      </c>
      <c r="Z115" s="3">
        <f>IF(X115 = "", "", X115 - Y115)</f>
        <v>-0.031870974436513766</v>
      </c>
      <c r="AA115" s="3">
        <f>IF(K115 = "", "", K115 - N115)</f>
        <v>-0.005319148936170213</v>
      </c>
      <c r="AB115" s="3">
        <f>IF(AA115 = "", "", AA115 * R115)</f>
        <v>-0.0018634939487641553</v>
      </c>
    </row>
    <row r="116">
      <c r="A116" s="2" t="s">
        <v>1893</v>
      </c>
      <c r="B116" s="3" t="str">
        <f>A116</f>
        <v>steroid-asthma-severity-mild-A</v>
      </c>
      <c r="C116" s="2" t="s">
        <v>515</v>
      </c>
      <c r="D116" s="2" t="s">
        <v>1319</v>
      </c>
      <c r="E116" s="2" t="s">
        <v>792</v>
      </c>
      <c r="F116" s="5">
        <f>SUMIFS(CaseCells!F2:F999,CaseCells!C2:C999, C116,CaseCells!D2:D999, D116,CaseCells!E2:E999, E116)</f>
        <v>180</v>
      </c>
      <c r="G116" s="5">
        <f>SUMIFS(CaseCells!G2:G999,CaseCells!C2:C999, C116,CaseCells!D2:D999, D116,CaseCells!E2:E999, E116)</f>
        <v>200</v>
      </c>
      <c r="H116" s="3">
        <f>IF(G116 = 0, "", F116 / G116)</f>
        <v>0.9</v>
      </c>
      <c r="I116" s="5">
        <f>SUMIFS(CaseCells!F2:F999,CaseCells!C2:C999, C116,CaseCells!D2:D999, D116,CaseCells!E2:E999, "A")</f>
        <v>180</v>
      </c>
      <c r="J116" s="5">
        <f>SUMIFS(CaseCells!G2:G999,CaseCells!C2:C999, C116,CaseCells!D2:D999, D116,CaseCells!E2:E999, "A")</f>
        <v>200</v>
      </c>
      <c r="K116" s="3">
        <f>IF(J116 = 0, "", I116 / J116)</f>
        <v>0.9</v>
      </c>
      <c r="L116" s="5">
        <f>SUMIFS(CaseCells!F2:F999,CaseCells!C2:C999, C116,CaseCells!D2:D999, D116,CaseCells!E2:E999, "B")</f>
        <v>150</v>
      </c>
      <c r="M116" s="5">
        <f>SUMIFS(CaseCells!G2:G999,CaseCells!C2:C999, C116,CaseCells!D2:D999, D116,CaseCells!E2:E999, "B")</f>
        <v>180</v>
      </c>
      <c r="N116" s="3">
        <f>IF(M116 = 0, "", L116 / M116)</f>
        <v>0.8333333333333334</v>
      </c>
      <c r="O116" s="3" t="str">
        <f>IF(K116 &gt; N116, "A", "B")</f>
        <v>A</v>
      </c>
      <c r="P116" s="5">
        <f>SUMIFS(CaseCells!G2:G999,CaseCells!C2:C999, C116)</f>
        <v>650</v>
      </c>
      <c r="Q116" s="5">
        <f>SUMIFS(CaseCells!G2:G999,CaseCells!C2:C999, C116,CaseCells!D2:D999, D116)</f>
        <v>380</v>
      </c>
      <c r="R116" s="3">
        <f>IF(P116 = 0, "", Q116 / P116)</f>
        <v>0.5846153846153846</v>
      </c>
      <c r="S116" s="3">
        <f>IF(R116 = "", "", R116 * H116)</f>
        <v>0.5261538461538462</v>
      </c>
      <c r="T116" s="5">
        <f>SUMIFS(CaseCells!G2:G999,CaseCells!C2:C999, C116,CaseCells!D2:D999, D116,CaseCells!E2:E999, "A")</f>
        <v>200</v>
      </c>
      <c r="U116" s="5">
        <f>SUMIFS(CaseCells!G2:G999,CaseCells!C2:C999, C116,CaseCells!D2:D999, D116,CaseCells!E2:E999, "B")</f>
        <v>180</v>
      </c>
      <c r="V116" s="5">
        <f>SUMIFS(CaseCells!G2:G999,CaseCells!C2:C999, C116,CaseCells!E2:E999, "A")</f>
        <v>320</v>
      </c>
      <c r="W116" s="5">
        <f>SUMIFS(CaseCells!G2:G999,CaseCells!C2:C999, C116,CaseCells!E2:E999, "B")</f>
        <v>330</v>
      </c>
      <c r="X116" s="3">
        <f>IF(V116 = 0, "", T116 / V116)</f>
        <v>0.625</v>
      </c>
      <c r="Y116" s="3">
        <f>IF(W116 = 0, "", U116 / W116)</f>
        <v>0.5454545454545454</v>
      </c>
      <c r="Z116" s="3">
        <f>IF(X116 = "", "", X116 - Y116)</f>
        <v>0.07954545454545459</v>
      </c>
      <c r="AA116" s="3">
        <f>IF(K116 = "", "", K116 - N116)</f>
        <v>0.06666666666666665</v>
      </c>
      <c r="AB116" s="3">
        <f>IF(AA116 = "", "", AA116 * R116)</f>
        <v>0.03897435897435897</v>
      </c>
    </row>
    <row r="117">
      <c r="A117" s="2" t="s">
        <v>1894</v>
      </c>
      <c r="B117" s="3" t="str">
        <f>A117</f>
        <v>steroid-asthma-severity-mild-B</v>
      </c>
      <c r="C117" s="2" t="s">
        <v>515</v>
      </c>
      <c r="D117" s="2" t="s">
        <v>1319</v>
      </c>
      <c r="E117" s="2" t="s">
        <v>795</v>
      </c>
      <c r="F117" s="5">
        <f>SUMIFS(CaseCells!F2:F999,CaseCells!C2:C999, C117,CaseCells!D2:D999, D117,CaseCells!E2:E999, E117)</f>
        <v>150</v>
      </c>
      <c r="G117" s="5">
        <f>SUMIFS(CaseCells!G2:G999,CaseCells!C2:C999, C117,CaseCells!D2:D999, D117,CaseCells!E2:E999, E117)</f>
        <v>180</v>
      </c>
      <c r="H117" s="3">
        <f>IF(G117 = 0, "", F117 / G117)</f>
        <v>0.8333333333333334</v>
      </c>
      <c r="I117" s="5">
        <f>SUMIFS(CaseCells!F2:F999,CaseCells!C2:C999, C117,CaseCells!D2:D999, D117,CaseCells!E2:E999, "A")</f>
        <v>180</v>
      </c>
      <c r="J117" s="5">
        <f>SUMIFS(CaseCells!G2:G999,CaseCells!C2:C999, C117,CaseCells!D2:D999, D117,CaseCells!E2:E999, "A")</f>
        <v>200</v>
      </c>
      <c r="K117" s="3">
        <f>IF(J117 = 0, "", I117 / J117)</f>
        <v>0.9</v>
      </c>
      <c r="L117" s="5">
        <f>SUMIFS(CaseCells!F2:F999,CaseCells!C2:C999, C117,CaseCells!D2:D999, D117,CaseCells!E2:E999, "B")</f>
        <v>150</v>
      </c>
      <c r="M117" s="5">
        <f>SUMIFS(CaseCells!G2:G999,CaseCells!C2:C999, C117,CaseCells!D2:D999, D117,CaseCells!E2:E999, "B")</f>
        <v>180</v>
      </c>
      <c r="N117" s="3">
        <f>IF(M117 = 0, "", L117 / M117)</f>
        <v>0.8333333333333334</v>
      </c>
      <c r="O117" s="3" t="str">
        <f>IF(K117 &gt; N117, "A", "B")</f>
        <v>A</v>
      </c>
      <c r="P117" s="5">
        <f>SUMIFS(CaseCells!G2:G999,CaseCells!C2:C999, C117)</f>
        <v>650</v>
      </c>
      <c r="Q117" s="5">
        <f>SUMIFS(CaseCells!G2:G999,CaseCells!C2:C999, C117,CaseCells!D2:D999, D117)</f>
        <v>380</v>
      </c>
      <c r="R117" s="3">
        <f>IF(P117 = 0, "", Q117 / P117)</f>
        <v>0.5846153846153846</v>
      </c>
      <c r="S117" s="3">
        <f>IF(R117 = "", "", R117 * H117)</f>
        <v>0.4871794871794872</v>
      </c>
      <c r="T117" s="5">
        <f>SUMIFS(CaseCells!G2:G999,CaseCells!C2:C999, C117,CaseCells!D2:D999, D117,CaseCells!E2:E999, "A")</f>
        <v>200</v>
      </c>
      <c r="U117" s="5">
        <f>SUMIFS(CaseCells!G2:G999,CaseCells!C2:C999, C117,CaseCells!D2:D999, D117,CaseCells!E2:E999, "B")</f>
        <v>180</v>
      </c>
      <c r="V117" s="5">
        <f>SUMIFS(CaseCells!G2:G999,CaseCells!C2:C999, C117,CaseCells!E2:E999, "A")</f>
        <v>320</v>
      </c>
      <c r="W117" s="5">
        <f>SUMIFS(CaseCells!G2:G999,CaseCells!C2:C999, C117,CaseCells!E2:E999, "B")</f>
        <v>330</v>
      </c>
      <c r="X117" s="3">
        <f>IF(V117 = 0, "", T117 / V117)</f>
        <v>0.625</v>
      </c>
      <c r="Y117" s="3">
        <f>IF(W117 = 0, "", U117 / W117)</f>
        <v>0.5454545454545454</v>
      </c>
      <c r="Z117" s="3">
        <f>IF(X117 = "", "", X117 - Y117)</f>
        <v>0.07954545454545459</v>
      </c>
      <c r="AA117" s="3">
        <f>IF(K117 = "", "", K117 - N117)</f>
        <v>0.06666666666666665</v>
      </c>
      <c r="AB117" s="3">
        <f>IF(AA117 = "", "", AA117 * R117)</f>
        <v>0.03897435897435897</v>
      </c>
    </row>
    <row r="118">
      <c r="A118" s="2" t="s">
        <v>1895</v>
      </c>
      <c r="B118" s="3" t="str">
        <f>A118</f>
        <v>steroid-asthma-severity-severe-A</v>
      </c>
      <c r="C118" s="2" t="s">
        <v>515</v>
      </c>
      <c r="D118" s="2" t="s">
        <v>1322</v>
      </c>
      <c r="E118" s="2" t="s">
        <v>792</v>
      </c>
      <c r="F118" s="5">
        <f>SUMIFS(CaseCells!F2:F999,CaseCells!C2:C999, C118,CaseCells!D2:D999, D118,CaseCells!E2:E999, E118)</f>
        <v>60</v>
      </c>
      <c r="G118" s="5">
        <f>SUMIFS(CaseCells!G2:G999,CaseCells!C2:C999, C118,CaseCells!D2:D999, D118,CaseCells!E2:E999, E118)</f>
        <v>120</v>
      </c>
      <c r="H118" s="3">
        <f>IF(G118 = 0, "", F118 / G118)</f>
        <v>0.5</v>
      </c>
      <c r="I118" s="5">
        <f>SUMIFS(CaseCells!F2:F999,CaseCells!C2:C999, C118,CaseCells!D2:D999, D118,CaseCells!E2:E999, "A")</f>
        <v>60</v>
      </c>
      <c r="J118" s="5">
        <f>SUMIFS(CaseCells!G2:G999,CaseCells!C2:C999, C118,CaseCells!D2:D999, D118,CaseCells!E2:E999, "A")</f>
        <v>120</v>
      </c>
      <c r="K118" s="3">
        <f>IF(J118 = 0, "", I118 / J118)</f>
        <v>0.5</v>
      </c>
      <c r="L118" s="5">
        <f>SUMIFS(CaseCells!F2:F999,CaseCells!C2:C999, C118,CaseCells!D2:D999, D118,CaseCells!E2:E999, "B")</f>
        <v>90</v>
      </c>
      <c r="M118" s="5">
        <f>SUMIFS(CaseCells!G2:G999,CaseCells!C2:C999, C118,CaseCells!D2:D999, D118,CaseCells!E2:E999, "B")</f>
        <v>150</v>
      </c>
      <c r="N118" s="3">
        <f>IF(M118 = 0, "", L118 / M118)</f>
        <v>0.6</v>
      </c>
      <c r="O118" s="3" t="str">
        <f>IF(K118 &gt; N118, "A", "B")</f>
        <v>B</v>
      </c>
      <c r="P118" s="5">
        <f>SUMIFS(CaseCells!G2:G999,CaseCells!C2:C999, C118)</f>
        <v>650</v>
      </c>
      <c r="Q118" s="5">
        <f>SUMIFS(CaseCells!G2:G999,CaseCells!C2:C999, C118,CaseCells!D2:D999, D118)</f>
        <v>270</v>
      </c>
      <c r="R118" s="3">
        <f>IF(P118 = 0, "", Q118 / P118)</f>
        <v>0.4153846153846154</v>
      </c>
      <c r="S118" s="3">
        <f>IF(R118 = "", "", R118 * H118)</f>
        <v>0.2076923076923077</v>
      </c>
      <c r="T118" s="5">
        <f>SUMIFS(CaseCells!G2:G999,CaseCells!C2:C999, C118,CaseCells!D2:D999, D118,CaseCells!E2:E999, "A")</f>
        <v>120</v>
      </c>
      <c r="U118" s="5">
        <f>SUMIFS(CaseCells!G2:G999,CaseCells!C2:C999, C118,CaseCells!D2:D999, D118,CaseCells!E2:E999, "B")</f>
        <v>150</v>
      </c>
      <c r="V118" s="5">
        <f>SUMIFS(CaseCells!G2:G999,CaseCells!C2:C999, C118,CaseCells!E2:E999, "A")</f>
        <v>320</v>
      </c>
      <c r="W118" s="5">
        <f>SUMIFS(CaseCells!G2:G999,CaseCells!C2:C999, C118,CaseCells!E2:E999, "B")</f>
        <v>330</v>
      </c>
      <c r="X118" s="3">
        <f>IF(V118 = 0, "", T118 / V118)</f>
        <v>0.375</v>
      </c>
      <c r="Y118" s="3">
        <f>IF(W118 = 0, "", U118 / W118)</f>
        <v>0.45454545454545453</v>
      </c>
      <c r="Z118" s="3">
        <f>IF(X118 = "", "", X118 - Y118)</f>
        <v>-0.07954545454545453</v>
      </c>
      <c r="AA118" s="3">
        <f>IF(K118 = "", "", K118 - N118)</f>
        <v>-0.09999999999999998</v>
      </c>
      <c r="AB118" s="3">
        <f>IF(AA118 = "", "", AA118 * R118)</f>
        <v>-0.04153846153846153</v>
      </c>
    </row>
    <row r="119">
      <c r="A119" s="2" t="s">
        <v>1896</v>
      </c>
      <c r="B119" s="3" t="str">
        <f>A119</f>
        <v>steroid-asthma-severity-severe-B</v>
      </c>
      <c r="C119" s="2" t="s">
        <v>515</v>
      </c>
      <c r="D119" s="2" t="s">
        <v>1322</v>
      </c>
      <c r="E119" s="2" t="s">
        <v>795</v>
      </c>
      <c r="F119" s="5">
        <f>SUMIFS(CaseCells!F2:F999,CaseCells!C2:C999, C119,CaseCells!D2:D999, D119,CaseCells!E2:E999, E119)</f>
        <v>90</v>
      </c>
      <c r="G119" s="5">
        <f>SUMIFS(CaseCells!G2:G999,CaseCells!C2:C999, C119,CaseCells!D2:D999, D119,CaseCells!E2:E999, E119)</f>
        <v>150</v>
      </c>
      <c r="H119" s="3">
        <f>IF(G119 = 0, "", F119 / G119)</f>
        <v>0.6</v>
      </c>
      <c r="I119" s="5">
        <f>SUMIFS(CaseCells!F2:F999,CaseCells!C2:C999, C119,CaseCells!D2:D999, D119,CaseCells!E2:E999, "A")</f>
        <v>60</v>
      </c>
      <c r="J119" s="5">
        <f>SUMIFS(CaseCells!G2:G999,CaseCells!C2:C999, C119,CaseCells!D2:D999, D119,CaseCells!E2:E999, "A")</f>
        <v>120</v>
      </c>
      <c r="K119" s="3">
        <f>IF(J119 = 0, "", I119 / J119)</f>
        <v>0.5</v>
      </c>
      <c r="L119" s="5">
        <f>SUMIFS(CaseCells!F2:F999,CaseCells!C2:C999, C119,CaseCells!D2:D999, D119,CaseCells!E2:E999, "B")</f>
        <v>90</v>
      </c>
      <c r="M119" s="5">
        <f>SUMIFS(CaseCells!G2:G999,CaseCells!C2:C999, C119,CaseCells!D2:D999, D119,CaseCells!E2:E999, "B")</f>
        <v>150</v>
      </c>
      <c r="N119" s="3">
        <f>IF(M119 = 0, "", L119 / M119)</f>
        <v>0.6</v>
      </c>
      <c r="O119" s="3" t="str">
        <f>IF(K119 &gt; N119, "A", "B")</f>
        <v>B</v>
      </c>
      <c r="P119" s="5">
        <f>SUMIFS(CaseCells!G2:G999,CaseCells!C2:C999, C119)</f>
        <v>650</v>
      </c>
      <c r="Q119" s="5">
        <f>SUMIFS(CaseCells!G2:G999,CaseCells!C2:C999, C119,CaseCells!D2:D999, D119)</f>
        <v>270</v>
      </c>
      <c r="R119" s="3">
        <f>IF(P119 = 0, "", Q119 / P119)</f>
        <v>0.4153846153846154</v>
      </c>
      <c r="S119" s="3">
        <f>IF(R119 = "", "", R119 * H119)</f>
        <v>0.24923076923076923</v>
      </c>
      <c r="T119" s="5">
        <f>SUMIFS(CaseCells!G2:G999,CaseCells!C2:C999, C119,CaseCells!D2:D999, D119,CaseCells!E2:E999, "A")</f>
        <v>120</v>
      </c>
      <c r="U119" s="5">
        <f>SUMIFS(CaseCells!G2:G999,CaseCells!C2:C999, C119,CaseCells!D2:D999, D119,CaseCells!E2:E999, "B")</f>
        <v>150</v>
      </c>
      <c r="V119" s="5">
        <f>SUMIFS(CaseCells!G2:G999,CaseCells!C2:C999, C119,CaseCells!E2:E999, "A")</f>
        <v>320</v>
      </c>
      <c r="W119" s="5">
        <f>SUMIFS(CaseCells!G2:G999,CaseCells!C2:C999, C119,CaseCells!E2:E999, "B")</f>
        <v>330</v>
      </c>
      <c r="X119" s="3">
        <f>IF(V119 = 0, "", T119 / V119)</f>
        <v>0.375</v>
      </c>
      <c r="Y119" s="3">
        <f>IF(W119 = 0, "", U119 / W119)</f>
        <v>0.45454545454545453</v>
      </c>
      <c r="Z119" s="3">
        <f>IF(X119 = "", "", X119 - Y119)</f>
        <v>-0.07954545454545453</v>
      </c>
      <c r="AA119" s="3">
        <f>IF(K119 = "", "", K119 - N119)</f>
        <v>-0.09999999999999998</v>
      </c>
      <c r="AB119" s="3">
        <f>IF(AA119 = "", "", AA119 * R119)</f>
        <v>-0.04153846153846153</v>
      </c>
    </row>
    <row r="120">
      <c r="A120" s="2" t="s">
        <v>1897</v>
      </c>
      <c r="B120" s="3" t="str">
        <f>A120</f>
        <v>kidney-dialysis-facility-1990-high-severity-A</v>
      </c>
      <c r="C120" s="2" t="s">
        <v>518</v>
      </c>
      <c r="D120" s="2" t="s">
        <v>1325</v>
      </c>
      <c r="E120" s="2" t="s">
        <v>792</v>
      </c>
      <c r="F120" s="5">
        <f>SUMIFS(CaseCells!F2:F999,CaseCells!C2:C999, C120,CaseCells!D2:D999, D120,CaseCells!E2:E999, E120)</f>
        <v>85</v>
      </c>
      <c r="G120" s="5">
        <f>SUMIFS(CaseCells!G2:G999,CaseCells!C2:C999, C120,CaseCells!D2:D999, D120,CaseCells!E2:E999, E120)</f>
        <v>100</v>
      </c>
      <c r="H120" s="3">
        <f>IF(G120 = 0, "", F120 / G120)</f>
        <v>0.85</v>
      </c>
      <c r="I120" s="5">
        <f>SUMIFS(CaseCells!F2:F999,CaseCells!C2:C999, C120,CaseCells!D2:D999, D120,CaseCells!E2:E999, "A")</f>
        <v>85</v>
      </c>
      <c r="J120" s="5">
        <f>SUMIFS(CaseCells!G2:G999,CaseCells!C2:C999, C120,CaseCells!D2:D999, D120,CaseCells!E2:E999, "A")</f>
        <v>100</v>
      </c>
      <c r="K120" s="3">
        <f>IF(J120 = 0, "", I120 / J120)</f>
        <v>0.85</v>
      </c>
      <c r="L120" s="5">
        <f>SUMIFS(CaseCells!F2:F999,CaseCells!C2:C999, C120,CaseCells!D2:D999, D120,CaseCells!E2:E999, "B")</f>
        <v>70</v>
      </c>
      <c r="M120" s="5">
        <f>SUMIFS(CaseCells!G2:G999,CaseCells!C2:C999, C120,CaseCells!D2:D999, D120,CaseCells!E2:E999, "B")</f>
        <v>100</v>
      </c>
      <c r="N120" s="3">
        <f>IF(M120 = 0, "", L120 / M120)</f>
        <v>0.7</v>
      </c>
      <c r="O120" s="3" t="str">
        <f>IF(K120 &gt; N120, "A", "B")</f>
        <v>A</v>
      </c>
      <c r="P120" s="5">
        <f>SUMIFS(CaseCells!G2:G999,CaseCells!C2:C999, C120)</f>
        <v>400</v>
      </c>
      <c r="Q120" s="5">
        <f>SUMIFS(CaseCells!G2:G999,CaseCells!C2:C999, C120,CaseCells!D2:D999, D120)</f>
        <v>200</v>
      </c>
      <c r="R120" s="3">
        <f>IF(P120 = 0, "", Q120 / P120)</f>
        <v>0.5</v>
      </c>
      <c r="S120" s="3">
        <f>IF(R120 = "", "", R120 * H120)</f>
        <v>0.425</v>
      </c>
      <c r="T120" s="5">
        <f>SUMIFS(CaseCells!G2:G999,CaseCells!C2:C999, C120,CaseCells!D2:D999, D120,CaseCells!E2:E999, "A")</f>
        <v>100</v>
      </c>
      <c r="U120" s="5">
        <f>SUMIFS(CaseCells!G2:G999,CaseCells!C2:C999, C120,CaseCells!D2:D999, D120,CaseCells!E2:E999, "B")</f>
        <v>100</v>
      </c>
      <c r="V120" s="5">
        <f>SUMIFS(CaseCells!G2:G999,CaseCells!C2:C999, C120,CaseCells!E2:E999, "A")</f>
        <v>200</v>
      </c>
      <c r="W120" s="5">
        <f>SUMIFS(CaseCells!G2:G999,CaseCells!C2:C999, C120,CaseCells!E2:E999, "B")</f>
        <v>200</v>
      </c>
      <c r="X120" s="3">
        <f>IF(V120 = 0, "", T120 / V120)</f>
        <v>0.5</v>
      </c>
      <c r="Y120" s="3">
        <f>IF(W120 = 0, "", U120 / W120)</f>
        <v>0.5</v>
      </c>
      <c r="Z120" s="3">
        <f>IF(X120 = "", "", X120 - Y120)</f>
        <v>0</v>
      </c>
      <c r="AA120" s="3">
        <f>IF(K120 = "", "", K120 - N120)</f>
        <v>0.15000000000000002</v>
      </c>
      <c r="AB120" s="3">
        <f>IF(AA120 = "", "", AA120 * R120)</f>
        <v>0.07500000000000001</v>
      </c>
    </row>
    <row r="121">
      <c r="A121" s="2" t="s">
        <v>1898</v>
      </c>
      <c r="B121" s="3" t="str">
        <f>A121</f>
        <v>kidney-dialysis-facility-1990-high-severity-B</v>
      </c>
      <c r="C121" s="2" t="s">
        <v>518</v>
      </c>
      <c r="D121" s="2" t="s">
        <v>1325</v>
      </c>
      <c r="E121" s="2" t="s">
        <v>795</v>
      </c>
      <c r="F121" s="5">
        <f>SUMIFS(CaseCells!F2:F999,CaseCells!C2:C999, C121,CaseCells!D2:D999, D121,CaseCells!E2:E999, E121)</f>
        <v>70</v>
      </c>
      <c r="G121" s="5">
        <f>SUMIFS(CaseCells!G2:G999,CaseCells!C2:C999, C121,CaseCells!D2:D999, D121,CaseCells!E2:E999, E121)</f>
        <v>100</v>
      </c>
      <c r="H121" s="3">
        <f>IF(G121 = 0, "", F121 / G121)</f>
        <v>0.7</v>
      </c>
      <c r="I121" s="5">
        <f>SUMIFS(CaseCells!F2:F999,CaseCells!C2:C999, C121,CaseCells!D2:D999, D121,CaseCells!E2:E999, "A")</f>
        <v>85</v>
      </c>
      <c r="J121" s="5">
        <f>SUMIFS(CaseCells!G2:G999,CaseCells!C2:C999, C121,CaseCells!D2:D999, D121,CaseCells!E2:E999, "A")</f>
        <v>100</v>
      </c>
      <c r="K121" s="3">
        <f>IF(J121 = 0, "", I121 / J121)</f>
        <v>0.85</v>
      </c>
      <c r="L121" s="5">
        <f>SUMIFS(CaseCells!F2:F999,CaseCells!C2:C999, C121,CaseCells!D2:D999, D121,CaseCells!E2:E999, "B")</f>
        <v>70</v>
      </c>
      <c r="M121" s="5">
        <f>SUMIFS(CaseCells!G2:G999,CaseCells!C2:C999, C121,CaseCells!D2:D999, D121,CaseCells!E2:E999, "B")</f>
        <v>100</v>
      </c>
      <c r="N121" s="3">
        <f>IF(M121 = 0, "", L121 / M121)</f>
        <v>0.7</v>
      </c>
      <c r="O121" s="3" t="str">
        <f>IF(K121 &gt; N121, "A", "B")</f>
        <v>A</v>
      </c>
      <c r="P121" s="5">
        <f>SUMIFS(CaseCells!G2:G999,CaseCells!C2:C999, C121)</f>
        <v>400</v>
      </c>
      <c r="Q121" s="5">
        <f>SUMIFS(CaseCells!G2:G999,CaseCells!C2:C999, C121,CaseCells!D2:D999, D121)</f>
        <v>200</v>
      </c>
      <c r="R121" s="3">
        <f>IF(P121 = 0, "", Q121 / P121)</f>
        <v>0.5</v>
      </c>
      <c r="S121" s="3">
        <f>IF(R121 = "", "", R121 * H121)</f>
        <v>0.35</v>
      </c>
      <c r="T121" s="5">
        <f>SUMIFS(CaseCells!G2:G999,CaseCells!C2:C999, C121,CaseCells!D2:D999, D121,CaseCells!E2:E999, "A")</f>
        <v>100</v>
      </c>
      <c r="U121" s="5">
        <f>SUMIFS(CaseCells!G2:G999,CaseCells!C2:C999, C121,CaseCells!D2:D999, D121,CaseCells!E2:E999, "B")</f>
        <v>100</v>
      </c>
      <c r="V121" s="5">
        <f>SUMIFS(CaseCells!G2:G999,CaseCells!C2:C999, C121,CaseCells!E2:E999, "A")</f>
        <v>200</v>
      </c>
      <c r="W121" s="5">
        <f>SUMIFS(CaseCells!G2:G999,CaseCells!C2:C999, C121,CaseCells!E2:E999, "B")</f>
        <v>200</v>
      </c>
      <c r="X121" s="3">
        <f>IF(V121 = 0, "", T121 / V121)</f>
        <v>0.5</v>
      </c>
      <c r="Y121" s="3">
        <f>IF(W121 = 0, "", U121 / W121)</f>
        <v>0.5</v>
      </c>
      <c r="Z121" s="3">
        <f>IF(X121 = "", "", X121 - Y121)</f>
        <v>0</v>
      </c>
      <c r="AA121" s="3">
        <f>IF(K121 = "", "", K121 - N121)</f>
        <v>0.15000000000000002</v>
      </c>
      <c r="AB121" s="3">
        <f>IF(AA121 = "", "", AA121 * R121)</f>
        <v>0.07500000000000001</v>
      </c>
    </row>
    <row r="122">
      <c r="A122" s="2" t="s">
        <v>1899</v>
      </c>
      <c r="B122" s="3" t="str">
        <f>A122</f>
        <v>kidney-dialysis-facility-1990-low-severity-A</v>
      </c>
      <c r="C122" s="2" t="s">
        <v>518</v>
      </c>
      <c r="D122" s="2" t="s">
        <v>1328</v>
      </c>
      <c r="E122" s="2" t="s">
        <v>792</v>
      </c>
      <c r="F122" s="5">
        <f>SUMIFS(CaseCells!F2:F999,CaseCells!C2:C999, C122,CaseCells!D2:D999, D122,CaseCells!E2:E999, E122)</f>
        <v>92</v>
      </c>
      <c r="G122" s="5">
        <f>SUMIFS(CaseCells!G2:G999,CaseCells!C2:C999, C122,CaseCells!D2:D999, D122,CaseCells!E2:E999, E122)</f>
        <v>100</v>
      </c>
      <c r="H122" s="3">
        <f>IF(G122 = 0, "", F122 / G122)</f>
        <v>0.92</v>
      </c>
      <c r="I122" s="5">
        <f>SUMIFS(CaseCells!F2:F999,CaseCells!C2:C999, C122,CaseCells!D2:D999, D122,CaseCells!E2:E999, "A")</f>
        <v>92</v>
      </c>
      <c r="J122" s="5">
        <f>SUMIFS(CaseCells!G2:G999,CaseCells!C2:C999, C122,CaseCells!D2:D999, D122,CaseCells!E2:E999, "A")</f>
        <v>100</v>
      </c>
      <c r="K122" s="3">
        <f>IF(J122 = 0, "", I122 / J122)</f>
        <v>0.92</v>
      </c>
      <c r="L122" s="5">
        <f>SUMIFS(CaseCells!F2:F999,CaseCells!C2:C999, C122,CaseCells!D2:D999, D122,CaseCells!E2:E999, "B")</f>
        <v>88</v>
      </c>
      <c r="M122" s="5">
        <f>SUMIFS(CaseCells!G2:G999,CaseCells!C2:C999, C122,CaseCells!D2:D999, D122,CaseCells!E2:E999, "B")</f>
        <v>100</v>
      </c>
      <c r="N122" s="3">
        <f>IF(M122 = 0, "", L122 / M122)</f>
        <v>0.88</v>
      </c>
      <c r="O122" s="3" t="str">
        <f>IF(K122 &gt; N122, "A", "B")</f>
        <v>A</v>
      </c>
      <c r="P122" s="5">
        <f>SUMIFS(CaseCells!G2:G999,CaseCells!C2:C999, C122)</f>
        <v>400</v>
      </c>
      <c r="Q122" s="5">
        <f>SUMIFS(CaseCells!G2:G999,CaseCells!C2:C999, C122,CaseCells!D2:D999, D122)</f>
        <v>200</v>
      </c>
      <c r="R122" s="3">
        <f>IF(P122 = 0, "", Q122 / P122)</f>
        <v>0.5</v>
      </c>
      <c r="S122" s="3">
        <f>IF(R122 = "", "", R122 * H122)</f>
        <v>0.46</v>
      </c>
      <c r="T122" s="5">
        <f>SUMIFS(CaseCells!G2:G999,CaseCells!C2:C999, C122,CaseCells!D2:D999, D122,CaseCells!E2:E999, "A")</f>
        <v>100</v>
      </c>
      <c r="U122" s="5">
        <f>SUMIFS(CaseCells!G2:G999,CaseCells!C2:C999, C122,CaseCells!D2:D999, D122,CaseCells!E2:E999, "B")</f>
        <v>100</v>
      </c>
      <c r="V122" s="5">
        <f>SUMIFS(CaseCells!G2:G999,CaseCells!C2:C999, C122,CaseCells!E2:E999, "A")</f>
        <v>200</v>
      </c>
      <c r="W122" s="5">
        <f>SUMIFS(CaseCells!G2:G999,CaseCells!C2:C999, C122,CaseCells!E2:E999, "B")</f>
        <v>200</v>
      </c>
      <c r="X122" s="3">
        <f>IF(V122 = 0, "", T122 / V122)</f>
        <v>0.5</v>
      </c>
      <c r="Y122" s="3">
        <f>IF(W122 = 0, "", U122 / W122)</f>
        <v>0.5</v>
      </c>
      <c r="Z122" s="3">
        <f>IF(X122 = "", "", X122 - Y122)</f>
        <v>0</v>
      </c>
      <c r="AA122" s="3">
        <f>IF(K122 = "", "", K122 - N122)</f>
        <v>0.040000000000000036</v>
      </c>
      <c r="AB122" s="3">
        <f>IF(AA122 = "", "", AA122 * R122)</f>
        <v>0.020000000000000018</v>
      </c>
    </row>
    <row r="123">
      <c r="A123" s="2" t="s">
        <v>1900</v>
      </c>
      <c r="B123" s="3" t="str">
        <f>A123</f>
        <v>kidney-dialysis-facility-1990-low-severity-B</v>
      </c>
      <c r="C123" s="2" t="s">
        <v>518</v>
      </c>
      <c r="D123" s="2" t="s">
        <v>1328</v>
      </c>
      <c r="E123" s="2" t="s">
        <v>795</v>
      </c>
      <c r="F123" s="5">
        <f>SUMIFS(CaseCells!F2:F999,CaseCells!C2:C999, C123,CaseCells!D2:D999, D123,CaseCells!E2:E999, E123)</f>
        <v>88</v>
      </c>
      <c r="G123" s="5">
        <f>SUMIFS(CaseCells!G2:G999,CaseCells!C2:C999, C123,CaseCells!D2:D999, D123,CaseCells!E2:E999, E123)</f>
        <v>100</v>
      </c>
      <c r="H123" s="3">
        <f>IF(G123 = 0, "", F123 / G123)</f>
        <v>0.88</v>
      </c>
      <c r="I123" s="5">
        <f>SUMIFS(CaseCells!F2:F999,CaseCells!C2:C999, C123,CaseCells!D2:D999, D123,CaseCells!E2:E999, "A")</f>
        <v>92</v>
      </c>
      <c r="J123" s="5">
        <f>SUMIFS(CaseCells!G2:G999,CaseCells!C2:C999, C123,CaseCells!D2:D999, D123,CaseCells!E2:E999, "A")</f>
        <v>100</v>
      </c>
      <c r="K123" s="3">
        <f>IF(J123 = 0, "", I123 / J123)</f>
        <v>0.92</v>
      </c>
      <c r="L123" s="5">
        <f>SUMIFS(CaseCells!F2:F999,CaseCells!C2:C999, C123,CaseCells!D2:D999, D123,CaseCells!E2:E999, "B")</f>
        <v>88</v>
      </c>
      <c r="M123" s="5">
        <f>SUMIFS(CaseCells!G2:G999,CaseCells!C2:C999, C123,CaseCells!D2:D999, D123,CaseCells!E2:E999, "B")</f>
        <v>100</v>
      </c>
      <c r="N123" s="3">
        <f>IF(M123 = 0, "", L123 / M123)</f>
        <v>0.88</v>
      </c>
      <c r="O123" s="3" t="str">
        <f>IF(K123 &gt; N123, "A", "B")</f>
        <v>A</v>
      </c>
      <c r="P123" s="5">
        <f>SUMIFS(CaseCells!G2:G999,CaseCells!C2:C999, C123)</f>
        <v>400</v>
      </c>
      <c r="Q123" s="5">
        <f>SUMIFS(CaseCells!G2:G999,CaseCells!C2:C999, C123,CaseCells!D2:D999, D123)</f>
        <v>200</v>
      </c>
      <c r="R123" s="3">
        <f>IF(P123 = 0, "", Q123 / P123)</f>
        <v>0.5</v>
      </c>
      <c r="S123" s="3">
        <f>IF(R123 = "", "", R123 * H123)</f>
        <v>0.44</v>
      </c>
      <c r="T123" s="5">
        <f>SUMIFS(CaseCells!G2:G999,CaseCells!C2:C999, C123,CaseCells!D2:D999, D123,CaseCells!E2:E999, "A")</f>
        <v>100</v>
      </c>
      <c r="U123" s="5">
        <f>SUMIFS(CaseCells!G2:G999,CaseCells!C2:C999, C123,CaseCells!D2:D999, D123,CaseCells!E2:E999, "B")</f>
        <v>100</v>
      </c>
      <c r="V123" s="5">
        <f>SUMIFS(CaseCells!G2:G999,CaseCells!C2:C999, C123,CaseCells!E2:E999, "A")</f>
        <v>200</v>
      </c>
      <c r="W123" s="5">
        <f>SUMIFS(CaseCells!G2:G999,CaseCells!C2:C999, C123,CaseCells!E2:E999, "B")</f>
        <v>200</v>
      </c>
      <c r="X123" s="3">
        <f>IF(V123 = 0, "", T123 / V123)</f>
        <v>0.5</v>
      </c>
      <c r="Y123" s="3">
        <f>IF(W123 = 0, "", U123 / W123)</f>
        <v>0.5</v>
      </c>
      <c r="Z123" s="3">
        <f>IF(X123 = "", "", X123 - Y123)</f>
        <v>0</v>
      </c>
      <c r="AA123" s="3">
        <f>IF(K123 = "", "", K123 - N123)</f>
        <v>0.040000000000000036</v>
      </c>
      <c r="AB123" s="3">
        <f>IF(AA123 = "", "", AA123 * R123)</f>
        <v>0.020000000000000018</v>
      </c>
    </row>
    <row r="124">
      <c r="A124" s="2" t="s">
        <v>1901</v>
      </c>
      <c r="B124" s="3" t="str">
        <f>A124</f>
        <v>warfarin-bleeding-age-under-65-A</v>
      </c>
      <c r="C124" s="2" t="s">
        <v>521</v>
      </c>
      <c r="D124" s="2" t="s">
        <v>1331</v>
      </c>
      <c r="E124" s="2" t="s">
        <v>792</v>
      </c>
      <c r="F124" s="5">
        <f>SUMIFS(CaseCells!F2:F999,CaseCells!C2:C999, C124,CaseCells!D2:D999, D124,CaseCells!E2:E999, E124)</f>
        <v>25</v>
      </c>
      <c r="G124" s="5">
        <f>SUMIFS(CaseCells!G2:G999,CaseCells!C2:C999, C124,CaseCells!D2:D999, D124,CaseCells!E2:E999, E124)</f>
        <v>500</v>
      </c>
      <c r="H124" s="3">
        <f>IF(G124 = 0, "", F124 / G124)</f>
        <v>0.05</v>
      </c>
      <c r="I124" s="5">
        <f>SUMIFS(CaseCells!F2:F999,CaseCells!C2:C999, C124,CaseCells!D2:D999, D124,CaseCells!E2:E999, "A")</f>
        <v>25</v>
      </c>
      <c r="J124" s="5">
        <f>SUMIFS(CaseCells!G2:G999,CaseCells!C2:C999, C124,CaseCells!D2:D999, D124,CaseCells!E2:E999, "A")</f>
        <v>500</v>
      </c>
      <c r="K124" s="3">
        <f>IF(J124 = 0, "", I124 / J124)</f>
        <v>0.05</v>
      </c>
      <c r="L124" s="5">
        <f>SUMIFS(CaseCells!F2:F999,CaseCells!C2:C999, C124,CaseCells!D2:D999, D124,CaseCells!E2:E999, "B")</f>
        <v>15</v>
      </c>
      <c r="M124" s="5">
        <f>SUMIFS(CaseCells!G2:G999,CaseCells!C2:C999, C124,CaseCells!D2:D999, D124,CaseCells!E2:E999, "B")</f>
        <v>400</v>
      </c>
      <c r="N124" s="3">
        <f>IF(M124 = 0, "", L124 / M124)</f>
        <v>0.0375</v>
      </c>
      <c r="O124" s="3" t="str">
        <f>IF(K124 &gt; N124, "A", "B")</f>
        <v>A</v>
      </c>
      <c r="P124" s="5">
        <f>SUMIFS(CaseCells!G2:G999,CaseCells!C2:C999, C124)</f>
        <v>1400</v>
      </c>
      <c r="Q124" s="5">
        <f>SUMIFS(CaseCells!G2:G999,CaseCells!C2:C999, C124,CaseCells!D2:D999, D124)</f>
        <v>900</v>
      </c>
      <c r="R124" s="3">
        <f>IF(P124 = 0, "", Q124 / P124)</f>
        <v>0.6428571428571429</v>
      </c>
      <c r="S124" s="3">
        <f>IF(R124 = "", "", R124 * H124)</f>
        <v>0.03214285714285715</v>
      </c>
      <c r="T124" s="5">
        <f>SUMIFS(CaseCells!G2:G999,CaseCells!C2:C999, C124,CaseCells!D2:D999, D124,CaseCells!E2:E999, "A")</f>
        <v>500</v>
      </c>
      <c r="U124" s="5">
        <f>SUMIFS(CaseCells!G2:G999,CaseCells!C2:C999, C124,CaseCells!D2:D999, D124,CaseCells!E2:E999, "B")</f>
        <v>400</v>
      </c>
      <c r="V124" s="5">
        <f>SUMIFS(CaseCells!G2:G999,CaseCells!C2:C999, C124,CaseCells!E2:E999, "A")</f>
        <v>800</v>
      </c>
      <c r="W124" s="5">
        <f>SUMIFS(CaseCells!G2:G999,CaseCells!C2:C999, C124,CaseCells!E2:E999, "B")</f>
        <v>600</v>
      </c>
      <c r="X124" s="3">
        <f>IF(V124 = 0, "", T124 / V124)</f>
        <v>0.625</v>
      </c>
      <c r="Y124" s="3">
        <f>IF(W124 = 0, "", U124 / W124)</f>
        <v>0.6666666666666666</v>
      </c>
      <c r="Z124" s="3">
        <f>IF(X124 = "", "", X124 - Y124)</f>
        <v>-0.04166666666666663</v>
      </c>
      <c r="AA124" s="3">
        <f>IF(K124 = "", "", K124 - N124)</f>
        <v>0.012500000000000004</v>
      </c>
      <c r="AB124" s="3">
        <f>IF(AA124 = "", "", AA124 * R124)</f>
        <v>0.008035714285714288</v>
      </c>
    </row>
    <row r="125">
      <c r="A125" s="2" t="s">
        <v>1902</v>
      </c>
      <c r="B125" s="3" t="str">
        <f>A125</f>
        <v>warfarin-bleeding-age-under-65-B</v>
      </c>
      <c r="C125" s="2" t="s">
        <v>521</v>
      </c>
      <c r="D125" s="2" t="s">
        <v>1331</v>
      </c>
      <c r="E125" s="2" t="s">
        <v>795</v>
      </c>
      <c r="F125" s="5">
        <f>SUMIFS(CaseCells!F2:F999,CaseCells!C2:C999, C125,CaseCells!D2:D999, D125,CaseCells!E2:E999, E125)</f>
        <v>15</v>
      </c>
      <c r="G125" s="5">
        <f>SUMIFS(CaseCells!G2:G999,CaseCells!C2:C999, C125,CaseCells!D2:D999, D125,CaseCells!E2:E999, E125)</f>
        <v>400</v>
      </c>
      <c r="H125" s="3">
        <f>IF(G125 = 0, "", F125 / G125)</f>
        <v>0.0375</v>
      </c>
      <c r="I125" s="5">
        <f>SUMIFS(CaseCells!F2:F999,CaseCells!C2:C999, C125,CaseCells!D2:D999, D125,CaseCells!E2:E999, "A")</f>
        <v>25</v>
      </c>
      <c r="J125" s="5">
        <f>SUMIFS(CaseCells!G2:G999,CaseCells!C2:C999, C125,CaseCells!D2:D999, D125,CaseCells!E2:E999, "A")</f>
        <v>500</v>
      </c>
      <c r="K125" s="3">
        <f>IF(J125 = 0, "", I125 / J125)</f>
        <v>0.05</v>
      </c>
      <c r="L125" s="5">
        <f>SUMIFS(CaseCells!F2:F999,CaseCells!C2:C999, C125,CaseCells!D2:D999, D125,CaseCells!E2:E999, "B")</f>
        <v>15</v>
      </c>
      <c r="M125" s="5">
        <f>SUMIFS(CaseCells!G2:G999,CaseCells!C2:C999, C125,CaseCells!D2:D999, D125,CaseCells!E2:E999, "B")</f>
        <v>400</v>
      </c>
      <c r="N125" s="3">
        <f>IF(M125 = 0, "", L125 / M125)</f>
        <v>0.0375</v>
      </c>
      <c r="O125" s="3" t="str">
        <f>IF(K125 &gt; N125, "A", "B")</f>
        <v>A</v>
      </c>
      <c r="P125" s="5">
        <f>SUMIFS(CaseCells!G2:G999,CaseCells!C2:C999, C125)</f>
        <v>1400</v>
      </c>
      <c r="Q125" s="5">
        <f>SUMIFS(CaseCells!G2:G999,CaseCells!C2:C999, C125,CaseCells!D2:D999, D125)</f>
        <v>900</v>
      </c>
      <c r="R125" s="3">
        <f>IF(P125 = 0, "", Q125 / P125)</f>
        <v>0.6428571428571429</v>
      </c>
      <c r="S125" s="3">
        <f>IF(R125 = "", "", R125 * H125)</f>
        <v>0.024107142857142858</v>
      </c>
      <c r="T125" s="5">
        <f>SUMIFS(CaseCells!G2:G999,CaseCells!C2:C999, C125,CaseCells!D2:D999, D125,CaseCells!E2:E999, "A")</f>
        <v>500</v>
      </c>
      <c r="U125" s="5">
        <f>SUMIFS(CaseCells!G2:G999,CaseCells!C2:C999, C125,CaseCells!D2:D999, D125,CaseCells!E2:E999, "B")</f>
        <v>400</v>
      </c>
      <c r="V125" s="5">
        <f>SUMIFS(CaseCells!G2:G999,CaseCells!C2:C999, C125,CaseCells!E2:E999, "A")</f>
        <v>800</v>
      </c>
      <c r="W125" s="5">
        <f>SUMIFS(CaseCells!G2:G999,CaseCells!C2:C999, C125,CaseCells!E2:E999, "B")</f>
        <v>600</v>
      </c>
      <c r="X125" s="3">
        <f>IF(V125 = 0, "", T125 / V125)</f>
        <v>0.625</v>
      </c>
      <c r="Y125" s="3">
        <f>IF(W125 = 0, "", U125 / W125)</f>
        <v>0.6666666666666666</v>
      </c>
      <c r="Z125" s="3">
        <f>IF(X125 = "", "", X125 - Y125)</f>
        <v>-0.04166666666666663</v>
      </c>
      <c r="AA125" s="3">
        <f>IF(K125 = "", "", K125 - N125)</f>
        <v>0.012500000000000004</v>
      </c>
      <c r="AB125" s="3">
        <f>IF(AA125 = "", "", AA125 * R125)</f>
        <v>0.008035714285714288</v>
      </c>
    </row>
    <row r="126">
      <c r="A126" s="2" t="s">
        <v>1903</v>
      </c>
      <c r="B126" s="3" t="str">
        <f>A126</f>
        <v>warfarin-bleeding-age-65-and-over-A</v>
      </c>
      <c r="C126" s="2" t="s">
        <v>521</v>
      </c>
      <c r="D126" s="2" t="s">
        <v>1334</v>
      </c>
      <c r="E126" s="2" t="s">
        <v>792</v>
      </c>
      <c r="F126" s="5">
        <f>SUMIFS(CaseCells!F2:F999,CaseCells!C2:C999, C126,CaseCells!D2:D999, D126,CaseCells!E2:E999, E126)</f>
        <v>45</v>
      </c>
      <c r="G126" s="5">
        <f>SUMIFS(CaseCells!G2:G999,CaseCells!C2:C999, C126,CaseCells!D2:D999, D126,CaseCells!E2:E999, E126)</f>
        <v>300</v>
      </c>
      <c r="H126" s="3">
        <f>IF(G126 = 0, "", F126 / G126)</f>
        <v>0.15</v>
      </c>
      <c r="I126" s="5">
        <f>SUMIFS(CaseCells!F2:F999,CaseCells!C2:C999, C126,CaseCells!D2:D999, D126,CaseCells!E2:E999, "A")</f>
        <v>45</v>
      </c>
      <c r="J126" s="5">
        <f>SUMIFS(CaseCells!G2:G999,CaseCells!C2:C999, C126,CaseCells!D2:D999, D126,CaseCells!E2:E999, "A")</f>
        <v>300</v>
      </c>
      <c r="K126" s="3">
        <f>IF(J126 = 0, "", I126 / J126)</f>
        <v>0.15</v>
      </c>
      <c r="L126" s="5">
        <f>SUMIFS(CaseCells!F2:F999,CaseCells!C2:C999, C126,CaseCells!D2:D999, D126,CaseCells!E2:E999, "B")</f>
        <v>20</v>
      </c>
      <c r="M126" s="5">
        <f>SUMIFS(CaseCells!G2:G999,CaseCells!C2:C999, C126,CaseCells!D2:D999, D126,CaseCells!E2:E999, "B")</f>
        <v>200</v>
      </c>
      <c r="N126" s="3">
        <f>IF(M126 = 0, "", L126 / M126)</f>
        <v>0.1</v>
      </c>
      <c r="O126" s="3" t="str">
        <f>IF(K126 &gt; N126, "A", "B")</f>
        <v>A</v>
      </c>
      <c r="P126" s="5">
        <f>SUMIFS(CaseCells!G2:G999,CaseCells!C2:C999, C126)</f>
        <v>1400</v>
      </c>
      <c r="Q126" s="5">
        <f>SUMIFS(CaseCells!G2:G999,CaseCells!C2:C999, C126,CaseCells!D2:D999, D126)</f>
        <v>500</v>
      </c>
      <c r="R126" s="3">
        <f>IF(P126 = 0, "", Q126 / P126)</f>
        <v>0.35714285714285715</v>
      </c>
      <c r="S126" s="3">
        <f>IF(R126 = "", "", R126 * H126)</f>
        <v>0.05357142857142857</v>
      </c>
      <c r="T126" s="5">
        <f>SUMIFS(CaseCells!G2:G999,CaseCells!C2:C999, C126,CaseCells!D2:D999, D126,CaseCells!E2:E999, "A")</f>
        <v>300</v>
      </c>
      <c r="U126" s="5">
        <f>SUMIFS(CaseCells!G2:G999,CaseCells!C2:C999, C126,CaseCells!D2:D999, D126,CaseCells!E2:E999, "B")</f>
        <v>200</v>
      </c>
      <c r="V126" s="5">
        <f>SUMIFS(CaseCells!G2:G999,CaseCells!C2:C999, C126,CaseCells!E2:E999, "A")</f>
        <v>800</v>
      </c>
      <c r="W126" s="5">
        <f>SUMIFS(CaseCells!G2:G999,CaseCells!C2:C999, C126,CaseCells!E2:E999, "B")</f>
        <v>600</v>
      </c>
      <c r="X126" s="3">
        <f>IF(V126 = 0, "", T126 / V126)</f>
        <v>0.375</v>
      </c>
      <c r="Y126" s="3">
        <f>IF(W126 = 0, "", U126 / W126)</f>
        <v>0.3333333333333333</v>
      </c>
      <c r="Z126" s="3">
        <f>IF(X126 = "", "", X126 - Y126)</f>
        <v>0.041666666666666685</v>
      </c>
      <c r="AA126" s="3">
        <f>IF(K126 = "", "", K126 - N126)</f>
        <v>0.04999999999999999</v>
      </c>
      <c r="AB126" s="3">
        <f>IF(AA126 = "", "", AA126 * R126)</f>
        <v>0.017857142857142853</v>
      </c>
    </row>
    <row r="127">
      <c r="A127" s="2" t="s">
        <v>1904</v>
      </c>
      <c r="B127" s="3" t="str">
        <f>A127</f>
        <v>warfarin-bleeding-age-65-and-over-B</v>
      </c>
      <c r="C127" s="2" t="s">
        <v>521</v>
      </c>
      <c r="D127" s="2" t="s">
        <v>1334</v>
      </c>
      <c r="E127" s="2" t="s">
        <v>795</v>
      </c>
      <c r="F127" s="5">
        <f>SUMIFS(CaseCells!F2:F999,CaseCells!C2:C999, C127,CaseCells!D2:D999, D127,CaseCells!E2:E999, E127)</f>
        <v>20</v>
      </c>
      <c r="G127" s="5">
        <f>SUMIFS(CaseCells!G2:G999,CaseCells!C2:C999, C127,CaseCells!D2:D999, D127,CaseCells!E2:E999, E127)</f>
        <v>200</v>
      </c>
      <c r="H127" s="3">
        <f>IF(G127 = 0, "", F127 / G127)</f>
        <v>0.1</v>
      </c>
      <c r="I127" s="5">
        <f>SUMIFS(CaseCells!F2:F999,CaseCells!C2:C999, C127,CaseCells!D2:D999, D127,CaseCells!E2:E999, "A")</f>
        <v>45</v>
      </c>
      <c r="J127" s="5">
        <f>SUMIFS(CaseCells!G2:G999,CaseCells!C2:C999, C127,CaseCells!D2:D999, D127,CaseCells!E2:E999, "A")</f>
        <v>300</v>
      </c>
      <c r="K127" s="3">
        <f>IF(J127 = 0, "", I127 / J127)</f>
        <v>0.15</v>
      </c>
      <c r="L127" s="5">
        <f>SUMIFS(CaseCells!F2:F999,CaseCells!C2:C999, C127,CaseCells!D2:D999, D127,CaseCells!E2:E999, "B")</f>
        <v>20</v>
      </c>
      <c r="M127" s="5">
        <f>SUMIFS(CaseCells!G2:G999,CaseCells!C2:C999, C127,CaseCells!D2:D999, D127,CaseCells!E2:E999, "B")</f>
        <v>200</v>
      </c>
      <c r="N127" s="3">
        <f>IF(M127 = 0, "", L127 / M127)</f>
        <v>0.1</v>
      </c>
      <c r="O127" s="3" t="str">
        <f>IF(K127 &gt; N127, "A", "B")</f>
        <v>A</v>
      </c>
      <c r="P127" s="5">
        <f>SUMIFS(CaseCells!G2:G999,CaseCells!C2:C999, C127)</f>
        <v>1400</v>
      </c>
      <c r="Q127" s="5">
        <f>SUMIFS(CaseCells!G2:G999,CaseCells!C2:C999, C127,CaseCells!D2:D999, D127)</f>
        <v>500</v>
      </c>
      <c r="R127" s="3">
        <f>IF(P127 = 0, "", Q127 / P127)</f>
        <v>0.35714285714285715</v>
      </c>
      <c r="S127" s="3">
        <f>IF(R127 = "", "", R127 * H127)</f>
        <v>0.03571428571428572</v>
      </c>
      <c r="T127" s="5">
        <f>SUMIFS(CaseCells!G2:G999,CaseCells!C2:C999, C127,CaseCells!D2:D999, D127,CaseCells!E2:E999, "A")</f>
        <v>300</v>
      </c>
      <c r="U127" s="5">
        <f>SUMIFS(CaseCells!G2:G999,CaseCells!C2:C999, C127,CaseCells!D2:D999, D127,CaseCells!E2:E999, "B")</f>
        <v>200</v>
      </c>
      <c r="V127" s="5">
        <f>SUMIFS(CaseCells!G2:G999,CaseCells!C2:C999, C127,CaseCells!E2:E999, "A")</f>
        <v>800</v>
      </c>
      <c r="W127" s="5">
        <f>SUMIFS(CaseCells!G2:G999,CaseCells!C2:C999, C127,CaseCells!E2:E999, "B")</f>
        <v>600</v>
      </c>
      <c r="X127" s="3">
        <f>IF(V127 = 0, "", T127 / V127)</f>
        <v>0.375</v>
      </c>
      <c r="Y127" s="3">
        <f>IF(W127 = 0, "", U127 / W127)</f>
        <v>0.3333333333333333</v>
      </c>
      <c r="Z127" s="3">
        <f>IF(X127 = "", "", X127 - Y127)</f>
        <v>0.041666666666666685</v>
      </c>
      <c r="AA127" s="3">
        <f>IF(K127 = "", "", K127 - N127)</f>
        <v>0.04999999999999999</v>
      </c>
      <c r="AB127" s="3">
        <f>IF(AA127 = "", "", AA127 * R127)</f>
        <v>0.017857142857142853</v>
      </c>
    </row>
    <row r="128">
      <c r="A128" s="2" t="s">
        <v>1905</v>
      </c>
      <c r="B128" s="3" t="str">
        <f>A128</f>
        <v>diabetes-metformin-bmi-normal-bmi-A</v>
      </c>
      <c r="C128" s="2" t="s">
        <v>524</v>
      </c>
      <c r="D128" s="2" t="s">
        <v>1337</v>
      </c>
      <c r="E128" s="2" t="s">
        <v>792</v>
      </c>
      <c r="F128" s="5">
        <f>SUMIFS(CaseCells!F2:F999,CaseCells!C2:C999, C128,CaseCells!D2:D999, D128,CaseCells!E2:E999, E128)</f>
        <v>120</v>
      </c>
      <c r="G128" s="5">
        <f>SUMIFS(CaseCells!G2:G999,CaseCells!C2:C999, C128,CaseCells!D2:D999, D128,CaseCells!E2:E999, E128)</f>
        <v>200</v>
      </c>
      <c r="H128" s="3">
        <f>IF(G128 = 0, "", F128 / G128)</f>
        <v>0.6</v>
      </c>
      <c r="I128" s="5">
        <f>SUMIFS(CaseCells!F2:F999,CaseCells!C2:C999, C128,CaseCells!D2:D999, D128,CaseCells!E2:E999, "A")</f>
        <v>120</v>
      </c>
      <c r="J128" s="5">
        <f>SUMIFS(CaseCells!G2:G999,CaseCells!C2:C999, C128,CaseCells!D2:D999, D128,CaseCells!E2:E999, "A")</f>
        <v>200</v>
      </c>
      <c r="K128" s="3">
        <f>IF(J128 = 0, "", I128 / J128)</f>
        <v>0.6</v>
      </c>
      <c r="L128" s="5">
        <f>SUMIFS(CaseCells!F2:F999,CaseCells!C2:C999, C128,CaseCells!D2:D999, D128,CaseCells!E2:E999, "B")</f>
        <v>130</v>
      </c>
      <c r="M128" s="5">
        <f>SUMIFS(CaseCells!G2:G999,CaseCells!C2:C999, C128,CaseCells!D2:D999, D128,CaseCells!E2:E999, "B")</f>
        <v>200</v>
      </c>
      <c r="N128" s="3">
        <f>IF(M128 = 0, "", L128 / M128)</f>
        <v>0.65</v>
      </c>
      <c r="O128" s="3" t="str">
        <f>IF(K128 &gt; N128, "A", "B")</f>
        <v>B</v>
      </c>
      <c r="P128" s="5">
        <f>SUMIFS(CaseCells!G2:G999,CaseCells!C2:C999, C128)</f>
        <v>900</v>
      </c>
      <c r="Q128" s="5">
        <f>SUMIFS(CaseCells!G2:G999,CaseCells!C2:C999, C128,CaseCells!D2:D999, D128)</f>
        <v>400</v>
      </c>
      <c r="R128" s="3">
        <f>IF(P128 = 0, "", Q128 / P128)</f>
        <v>0.4444444444444444</v>
      </c>
      <c r="S128" s="3">
        <f>IF(R128 = "", "", R128 * H128)</f>
        <v>0.26666666666666666</v>
      </c>
      <c r="T128" s="5">
        <f>SUMIFS(CaseCells!G2:G999,CaseCells!C2:C999, C128,CaseCells!D2:D999, D128,CaseCells!E2:E999, "A")</f>
        <v>200</v>
      </c>
      <c r="U128" s="5">
        <f>SUMIFS(CaseCells!G2:G999,CaseCells!C2:C999, C128,CaseCells!D2:D999, D128,CaseCells!E2:E999, "B")</f>
        <v>200</v>
      </c>
      <c r="V128" s="5">
        <f>SUMIFS(CaseCells!G2:G999,CaseCells!C2:C999, C128,CaseCells!E2:E999, "A")</f>
        <v>450</v>
      </c>
      <c r="W128" s="5">
        <f>SUMIFS(CaseCells!G2:G999,CaseCells!C2:C999, C128,CaseCells!E2:E999, "B")</f>
        <v>450</v>
      </c>
      <c r="X128" s="3">
        <f>IF(V128 = 0, "", T128 / V128)</f>
        <v>0.4444444444444444</v>
      </c>
      <c r="Y128" s="3">
        <f>IF(W128 = 0, "", U128 / W128)</f>
        <v>0.4444444444444444</v>
      </c>
      <c r="Z128" s="3">
        <f>IF(X128 = "", "", X128 - Y128)</f>
        <v>0</v>
      </c>
      <c r="AA128" s="3">
        <f>IF(K128 = "", "", K128 - N128)</f>
        <v>-0.050000000000000044</v>
      </c>
      <c r="AB128" s="3">
        <f>IF(AA128 = "", "", AA128 * R128)</f>
        <v>-0.02222222222222224</v>
      </c>
    </row>
    <row r="129">
      <c r="A129" s="2" t="s">
        <v>1906</v>
      </c>
      <c r="B129" s="3" t="str">
        <f>A129</f>
        <v>diabetes-metformin-bmi-normal-bmi-B</v>
      </c>
      <c r="C129" s="2" t="s">
        <v>524</v>
      </c>
      <c r="D129" s="2" t="s">
        <v>1337</v>
      </c>
      <c r="E129" s="2" t="s">
        <v>795</v>
      </c>
      <c r="F129" s="5">
        <f>SUMIFS(CaseCells!F2:F999,CaseCells!C2:C999, C129,CaseCells!D2:D999, D129,CaseCells!E2:E999, E129)</f>
        <v>130</v>
      </c>
      <c r="G129" s="5">
        <f>SUMIFS(CaseCells!G2:G999,CaseCells!C2:C999, C129,CaseCells!D2:D999, D129,CaseCells!E2:E999, E129)</f>
        <v>200</v>
      </c>
      <c r="H129" s="3">
        <f>IF(G129 = 0, "", F129 / G129)</f>
        <v>0.65</v>
      </c>
      <c r="I129" s="5">
        <f>SUMIFS(CaseCells!F2:F999,CaseCells!C2:C999, C129,CaseCells!D2:D999, D129,CaseCells!E2:E999, "A")</f>
        <v>120</v>
      </c>
      <c r="J129" s="5">
        <f>SUMIFS(CaseCells!G2:G999,CaseCells!C2:C999, C129,CaseCells!D2:D999, D129,CaseCells!E2:E999, "A")</f>
        <v>200</v>
      </c>
      <c r="K129" s="3">
        <f>IF(J129 = 0, "", I129 / J129)</f>
        <v>0.6</v>
      </c>
      <c r="L129" s="5">
        <f>SUMIFS(CaseCells!F2:F999,CaseCells!C2:C999, C129,CaseCells!D2:D999, D129,CaseCells!E2:E999, "B")</f>
        <v>130</v>
      </c>
      <c r="M129" s="5">
        <f>SUMIFS(CaseCells!G2:G999,CaseCells!C2:C999, C129,CaseCells!D2:D999, D129,CaseCells!E2:E999, "B")</f>
        <v>200</v>
      </c>
      <c r="N129" s="3">
        <f>IF(M129 = 0, "", L129 / M129)</f>
        <v>0.65</v>
      </c>
      <c r="O129" s="3" t="str">
        <f>IF(K129 &gt; N129, "A", "B")</f>
        <v>B</v>
      </c>
      <c r="P129" s="5">
        <f>SUMIFS(CaseCells!G2:G999,CaseCells!C2:C999, C129)</f>
        <v>900</v>
      </c>
      <c r="Q129" s="5">
        <f>SUMIFS(CaseCells!G2:G999,CaseCells!C2:C999, C129,CaseCells!D2:D999, D129)</f>
        <v>400</v>
      </c>
      <c r="R129" s="3">
        <f>IF(P129 = 0, "", Q129 / P129)</f>
        <v>0.4444444444444444</v>
      </c>
      <c r="S129" s="3">
        <f>IF(R129 = "", "", R129 * H129)</f>
        <v>0.28888888888888886</v>
      </c>
      <c r="T129" s="5">
        <f>SUMIFS(CaseCells!G2:G999,CaseCells!C2:C999, C129,CaseCells!D2:D999, D129,CaseCells!E2:E999, "A")</f>
        <v>200</v>
      </c>
      <c r="U129" s="5">
        <f>SUMIFS(CaseCells!G2:G999,CaseCells!C2:C999, C129,CaseCells!D2:D999, D129,CaseCells!E2:E999, "B")</f>
        <v>200</v>
      </c>
      <c r="V129" s="5">
        <f>SUMIFS(CaseCells!G2:G999,CaseCells!C2:C999, C129,CaseCells!E2:E999, "A")</f>
        <v>450</v>
      </c>
      <c r="W129" s="5">
        <f>SUMIFS(CaseCells!G2:G999,CaseCells!C2:C999, C129,CaseCells!E2:E999, "B")</f>
        <v>450</v>
      </c>
      <c r="X129" s="3">
        <f>IF(V129 = 0, "", T129 / V129)</f>
        <v>0.4444444444444444</v>
      </c>
      <c r="Y129" s="3">
        <f>IF(W129 = 0, "", U129 / W129)</f>
        <v>0.4444444444444444</v>
      </c>
      <c r="Z129" s="3">
        <f>IF(X129 = "", "", X129 - Y129)</f>
        <v>0</v>
      </c>
      <c r="AA129" s="3">
        <f>IF(K129 = "", "", K129 - N129)</f>
        <v>-0.050000000000000044</v>
      </c>
      <c r="AB129" s="3">
        <f>IF(AA129 = "", "", AA129 * R129)</f>
        <v>-0.02222222222222224</v>
      </c>
    </row>
    <row r="130">
      <c r="A130" s="2" t="s">
        <v>1907</v>
      </c>
      <c r="B130" s="3" t="str">
        <f>A130</f>
        <v>diabetes-metformin-bmi-obese-A</v>
      </c>
      <c r="C130" s="2" t="s">
        <v>524</v>
      </c>
      <c r="D130" s="2" t="s">
        <v>1340</v>
      </c>
      <c r="E130" s="2" t="s">
        <v>792</v>
      </c>
      <c r="F130" s="5">
        <f>SUMIFS(CaseCells!F2:F999,CaseCells!C2:C999, C130,CaseCells!D2:D999, D130,CaseCells!E2:E999, E130)</f>
        <v>180</v>
      </c>
      <c r="G130" s="5">
        <f>SUMIFS(CaseCells!G2:G999,CaseCells!C2:C999, C130,CaseCells!D2:D999, D130,CaseCells!E2:E999, E130)</f>
        <v>250</v>
      </c>
      <c r="H130" s="3">
        <f>IF(G130 = 0, "", F130 / G130)</f>
        <v>0.72</v>
      </c>
      <c r="I130" s="5">
        <f>SUMIFS(CaseCells!F2:F999,CaseCells!C2:C999, C130,CaseCells!D2:D999, D130,CaseCells!E2:E999, "A")</f>
        <v>180</v>
      </c>
      <c r="J130" s="5">
        <f>SUMIFS(CaseCells!G2:G999,CaseCells!C2:C999, C130,CaseCells!D2:D999, D130,CaseCells!E2:E999, "A")</f>
        <v>250</v>
      </c>
      <c r="K130" s="3">
        <f>IF(J130 = 0, "", I130 / J130)</f>
        <v>0.72</v>
      </c>
      <c r="L130" s="5">
        <f>SUMIFS(CaseCells!F2:F999,CaseCells!C2:C999, C130,CaseCells!D2:D999, D130,CaseCells!E2:E999, "B")</f>
        <v>140</v>
      </c>
      <c r="M130" s="5">
        <f>SUMIFS(CaseCells!G2:G999,CaseCells!C2:C999, C130,CaseCells!D2:D999, D130,CaseCells!E2:E999, "B")</f>
        <v>250</v>
      </c>
      <c r="N130" s="3">
        <f>IF(M130 = 0, "", L130 / M130)</f>
        <v>0.56</v>
      </c>
      <c r="O130" s="3" t="str">
        <f>IF(K130 &gt; N130, "A", "B")</f>
        <v>A</v>
      </c>
      <c r="P130" s="5">
        <f>SUMIFS(CaseCells!G2:G999,CaseCells!C2:C999, C130)</f>
        <v>900</v>
      </c>
      <c r="Q130" s="5">
        <f>SUMIFS(CaseCells!G2:G999,CaseCells!C2:C999, C130,CaseCells!D2:D999, D130)</f>
        <v>500</v>
      </c>
      <c r="R130" s="3">
        <f>IF(P130 = 0, "", Q130 / P130)</f>
        <v>0.5555555555555556</v>
      </c>
      <c r="S130" s="3">
        <f>IF(R130 = "", "", R130 * H130)</f>
        <v>0.4</v>
      </c>
      <c r="T130" s="5">
        <f>SUMIFS(CaseCells!G2:G999,CaseCells!C2:C999, C130,CaseCells!D2:D999, D130,CaseCells!E2:E999, "A")</f>
        <v>250</v>
      </c>
      <c r="U130" s="5">
        <f>SUMIFS(CaseCells!G2:G999,CaseCells!C2:C999, C130,CaseCells!D2:D999, D130,CaseCells!E2:E999, "B")</f>
        <v>250</v>
      </c>
      <c r="V130" s="5">
        <f>SUMIFS(CaseCells!G2:G999,CaseCells!C2:C999, C130,CaseCells!E2:E999, "A")</f>
        <v>450</v>
      </c>
      <c r="W130" s="5">
        <f>SUMIFS(CaseCells!G2:G999,CaseCells!C2:C999, C130,CaseCells!E2:E999, "B")</f>
        <v>450</v>
      </c>
      <c r="X130" s="3">
        <f>IF(V130 = 0, "", T130 / V130)</f>
        <v>0.5555555555555556</v>
      </c>
      <c r="Y130" s="3">
        <f>IF(W130 = 0, "", U130 / W130)</f>
        <v>0.5555555555555556</v>
      </c>
      <c r="Z130" s="3">
        <f>IF(X130 = "", "", X130 - Y130)</f>
        <v>0</v>
      </c>
      <c r="AA130" s="3">
        <f>IF(K130 = "", "", K130 - N130)</f>
        <v>0.15999999999999992</v>
      </c>
      <c r="AB130" s="3">
        <f>IF(AA130 = "", "", AA130 * R130)</f>
        <v>0.08888888888888885</v>
      </c>
    </row>
    <row r="131">
      <c r="A131" s="2" t="s">
        <v>1908</v>
      </c>
      <c r="B131" s="3" t="str">
        <f>A131</f>
        <v>diabetes-metformin-bmi-obese-B</v>
      </c>
      <c r="C131" s="2" t="s">
        <v>524</v>
      </c>
      <c r="D131" s="2" t="s">
        <v>1340</v>
      </c>
      <c r="E131" s="2" t="s">
        <v>795</v>
      </c>
      <c r="F131" s="5">
        <f>SUMIFS(CaseCells!F2:F999,CaseCells!C2:C999, C131,CaseCells!D2:D999, D131,CaseCells!E2:E999, E131)</f>
        <v>140</v>
      </c>
      <c r="G131" s="5">
        <f>SUMIFS(CaseCells!G2:G999,CaseCells!C2:C999, C131,CaseCells!D2:D999, D131,CaseCells!E2:E999, E131)</f>
        <v>250</v>
      </c>
      <c r="H131" s="3">
        <f>IF(G131 = 0, "", F131 / G131)</f>
        <v>0.56</v>
      </c>
      <c r="I131" s="5">
        <f>SUMIFS(CaseCells!F2:F999,CaseCells!C2:C999, C131,CaseCells!D2:D999, D131,CaseCells!E2:E999, "A")</f>
        <v>180</v>
      </c>
      <c r="J131" s="5">
        <f>SUMIFS(CaseCells!G2:G999,CaseCells!C2:C999, C131,CaseCells!D2:D999, D131,CaseCells!E2:E999, "A")</f>
        <v>250</v>
      </c>
      <c r="K131" s="3">
        <f>IF(J131 = 0, "", I131 / J131)</f>
        <v>0.72</v>
      </c>
      <c r="L131" s="5">
        <f>SUMIFS(CaseCells!F2:F999,CaseCells!C2:C999, C131,CaseCells!D2:D999, D131,CaseCells!E2:E999, "B")</f>
        <v>140</v>
      </c>
      <c r="M131" s="5">
        <f>SUMIFS(CaseCells!G2:G999,CaseCells!C2:C999, C131,CaseCells!D2:D999, D131,CaseCells!E2:E999, "B")</f>
        <v>250</v>
      </c>
      <c r="N131" s="3">
        <f>IF(M131 = 0, "", L131 / M131)</f>
        <v>0.56</v>
      </c>
      <c r="O131" s="3" t="str">
        <f>IF(K131 &gt; N131, "A", "B")</f>
        <v>A</v>
      </c>
      <c r="P131" s="5">
        <f>SUMIFS(CaseCells!G2:G999,CaseCells!C2:C999, C131)</f>
        <v>900</v>
      </c>
      <c r="Q131" s="5">
        <f>SUMIFS(CaseCells!G2:G999,CaseCells!C2:C999, C131,CaseCells!D2:D999, D131)</f>
        <v>500</v>
      </c>
      <c r="R131" s="3">
        <f>IF(P131 = 0, "", Q131 / P131)</f>
        <v>0.5555555555555556</v>
      </c>
      <c r="S131" s="3">
        <f>IF(R131 = "", "", R131 * H131)</f>
        <v>0.31111111111111117</v>
      </c>
      <c r="T131" s="5">
        <f>SUMIFS(CaseCells!G2:G999,CaseCells!C2:C999, C131,CaseCells!D2:D999, D131,CaseCells!E2:E999, "A")</f>
        <v>250</v>
      </c>
      <c r="U131" s="5">
        <f>SUMIFS(CaseCells!G2:G999,CaseCells!C2:C999, C131,CaseCells!D2:D999, D131,CaseCells!E2:E999, "B")</f>
        <v>250</v>
      </c>
      <c r="V131" s="5">
        <f>SUMIFS(CaseCells!G2:G999,CaseCells!C2:C999, C131,CaseCells!E2:E999, "A")</f>
        <v>450</v>
      </c>
      <c r="W131" s="5">
        <f>SUMIFS(CaseCells!G2:G999,CaseCells!C2:C999, C131,CaseCells!E2:E999, "B")</f>
        <v>450</v>
      </c>
      <c r="X131" s="3">
        <f>IF(V131 = 0, "", T131 / V131)</f>
        <v>0.5555555555555556</v>
      </c>
      <c r="Y131" s="3">
        <f>IF(W131 = 0, "", U131 / W131)</f>
        <v>0.5555555555555556</v>
      </c>
      <c r="Z131" s="3">
        <f>IF(X131 = "", "", X131 - Y131)</f>
        <v>0</v>
      </c>
      <c r="AA131" s="3">
        <f>IF(K131 = "", "", K131 - N131)</f>
        <v>0.15999999999999992</v>
      </c>
      <c r="AB131" s="3">
        <f>IF(AA131 = "", "", AA131 * R131)</f>
        <v>0.08888888888888885</v>
      </c>
    </row>
    <row r="132">
      <c r="A132" s="2" t="s">
        <v>1909</v>
      </c>
      <c r="B132" s="3" t="str">
        <f>A132</f>
        <v>oncology-trial-stage-early-stage-A</v>
      </c>
      <c r="C132" s="2" t="s">
        <v>527</v>
      </c>
      <c r="D132" s="2" t="s">
        <v>1343</v>
      </c>
      <c r="E132" s="2" t="s">
        <v>792</v>
      </c>
      <c r="F132" s="5">
        <f>SUMIFS(CaseCells!F2:F999,CaseCells!C2:C999, C132,CaseCells!D2:D999, D132,CaseCells!E2:E999, E132)</f>
        <v>140</v>
      </c>
      <c r="G132" s="5">
        <f>SUMIFS(CaseCells!G2:G999,CaseCells!C2:C999, C132,CaseCells!D2:D999, D132,CaseCells!E2:E999, E132)</f>
        <v>180</v>
      </c>
      <c r="H132" s="3">
        <f>IF(G132 = 0, "", F132 / G132)</f>
        <v>0.7777777777777778</v>
      </c>
      <c r="I132" s="5">
        <f>SUMIFS(CaseCells!F2:F999,CaseCells!C2:C999, C132,CaseCells!D2:D999, D132,CaseCells!E2:E999, "A")</f>
        <v>140</v>
      </c>
      <c r="J132" s="5">
        <f>SUMIFS(CaseCells!G2:G999,CaseCells!C2:C999, C132,CaseCells!D2:D999, D132,CaseCells!E2:E999, "A")</f>
        <v>180</v>
      </c>
      <c r="K132" s="3">
        <f>IF(J132 = 0, "", I132 / J132)</f>
        <v>0.7777777777777778</v>
      </c>
      <c r="L132" s="5">
        <f>SUMIFS(CaseCells!F2:F999,CaseCells!C2:C999, C132,CaseCells!D2:D999, D132,CaseCells!E2:E999, "B")</f>
        <v>120</v>
      </c>
      <c r="M132" s="5">
        <f>SUMIFS(CaseCells!G2:G999,CaseCells!C2:C999, C132,CaseCells!D2:D999, D132,CaseCells!E2:E999, "B")</f>
        <v>180</v>
      </c>
      <c r="N132" s="3">
        <f>IF(M132 = 0, "", L132 / M132)</f>
        <v>0.6666666666666666</v>
      </c>
      <c r="O132" s="3" t="str">
        <f>IF(K132 &gt; N132, "A", "B")</f>
        <v>A</v>
      </c>
      <c r="P132" s="5">
        <f>SUMIFS(CaseCells!G2:G999,CaseCells!C2:C999, C132)</f>
        <v>600</v>
      </c>
      <c r="Q132" s="5">
        <f>SUMIFS(CaseCells!G2:G999,CaseCells!C2:C999, C132,CaseCells!D2:D999, D132)</f>
        <v>360</v>
      </c>
      <c r="R132" s="3">
        <f>IF(P132 = 0, "", Q132 / P132)</f>
        <v>0.6</v>
      </c>
      <c r="S132" s="3">
        <f>IF(R132 = "", "", R132 * H132)</f>
        <v>0.4666666666666667</v>
      </c>
      <c r="T132" s="5">
        <f>SUMIFS(CaseCells!G2:G999,CaseCells!C2:C999, C132,CaseCells!D2:D999, D132,CaseCells!E2:E999, "A")</f>
        <v>180</v>
      </c>
      <c r="U132" s="5">
        <f>SUMIFS(CaseCells!G2:G999,CaseCells!C2:C999, C132,CaseCells!D2:D999, D132,CaseCells!E2:E999, "B")</f>
        <v>180</v>
      </c>
      <c r="V132" s="5">
        <f>SUMIFS(CaseCells!G2:G999,CaseCells!C2:C999, C132,CaseCells!E2:E999, "A")</f>
        <v>300</v>
      </c>
      <c r="W132" s="5">
        <f>SUMIFS(CaseCells!G2:G999,CaseCells!C2:C999, C132,CaseCells!E2:E999, "B")</f>
        <v>300</v>
      </c>
      <c r="X132" s="3">
        <f>IF(V132 = 0, "", T132 / V132)</f>
        <v>0.6</v>
      </c>
      <c r="Y132" s="3">
        <f>IF(W132 = 0, "", U132 / W132)</f>
        <v>0.6</v>
      </c>
      <c r="Z132" s="3">
        <f>IF(X132 = "", "", X132 - Y132)</f>
        <v>0</v>
      </c>
      <c r="AA132" s="3">
        <f>IF(K132 = "", "", K132 - N132)</f>
        <v>0.11111111111111116</v>
      </c>
      <c r="AB132" s="3">
        <f>IF(AA132 = "", "", AA132 * R132)</f>
        <v>0.0666666666666667</v>
      </c>
    </row>
    <row r="133">
      <c r="A133" s="2" t="s">
        <v>1910</v>
      </c>
      <c r="B133" s="3" t="str">
        <f>A133</f>
        <v>oncology-trial-stage-early-stage-B</v>
      </c>
      <c r="C133" s="2" t="s">
        <v>527</v>
      </c>
      <c r="D133" s="2" t="s">
        <v>1343</v>
      </c>
      <c r="E133" s="2" t="s">
        <v>795</v>
      </c>
      <c r="F133" s="5">
        <f>SUMIFS(CaseCells!F2:F999,CaseCells!C2:C999, C133,CaseCells!D2:D999, D133,CaseCells!E2:E999, E133)</f>
        <v>120</v>
      </c>
      <c r="G133" s="5">
        <f>SUMIFS(CaseCells!G2:G999,CaseCells!C2:C999, C133,CaseCells!D2:D999, D133,CaseCells!E2:E999, E133)</f>
        <v>180</v>
      </c>
      <c r="H133" s="3">
        <f>IF(G133 = 0, "", F133 / G133)</f>
        <v>0.6666666666666666</v>
      </c>
      <c r="I133" s="5">
        <f>SUMIFS(CaseCells!F2:F999,CaseCells!C2:C999, C133,CaseCells!D2:D999, D133,CaseCells!E2:E999, "A")</f>
        <v>140</v>
      </c>
      <c r="J133" s="5">
        <f>SUMIFS(CaseCells!G2:G999,CaseCells!C2:C999, C133,CaseCells!D2:D999, D133,CaseCells!E2:E999, "A")</f>
        <v>180</v>
      </c>
      <c r="K133" s="3">
        <f>IF(J133 = 0, "", I133 / J133)</f>
        <v>0.7777777777777778</v>
      </c>
      <c r="L133" s="5">
        <f>SUMIFS(CaseCells!F2:F999,CaseCells!C2:C999, C133,CaseCells!D2:D999, D133,CaseCells!E2:E999, "B")</f>
        <v>120</v>
      </c>
      <c r="M133" s="5">
        <f>SUMIFS(CaseCells!G2:G999,CaseCells!C2:C999, C133,CaseCells!D2:D999, D133,CaseCells!E2:E999, "B")</f>
        <v>180</v>
      </c>
      <c r="N133" s="3">
        <f>IF(M133 = 0, "", L133 / M133)</f>
        <v>0.6666666666666666</v>
      </c>
      <c r="O133" s="3" t="str">
        <f>IF(K133 &gt; N133, "A", "B")</f>
        <v>A</v>
      </c>
      <c r="P133" s="5">
        <f>SUMIFS(CaseCells!G2:G999,CaseCells!C2:C999, C133)</f>
        <v>600</v>
      </c>
      <c r="Q133" s="5">
        <f>SUMIFS(CaseCells!G2:G999,CaseCells!C2:C999, C133,CaseCells!D2:D999, D133)</f>
        <v>360</v>
      </c>
      <c r="R133" s="3">
        <f>IF(P133 = 0, "", Q133 / P133)</f>
        <v>0.6</v>
      </c>
      <c r="S133" s="3">
        <f>IF(R133 = "", "", R133 * H133)</f>
        <v>0.39999999999999997</v>
      </c>
      <c r="T133" s="5">
        <f>SUMIFS(CaseCells!G2:G999,CaseCells!C2:C999, C133,CaseCells!D2:D999, D133,CaseCells!E2:E999, "A")</f>
        <v>180</v>
      </c>
      <c r="U133" s="5">
        <f>SUMIFS(CaseCells!G2:G999,CaseCells!C2:C999, C133,CaseCells!D2:D999, D133,CaseCells!E2:E999, "B")</f>
        <v>180</v>
      </c>
      <c r="V133" s="5">
        <f>SUMIFS(CaseCells!G2:G999,CaseCells!C2:C999, C133,CaseCells!E2:E999, "A")</f>
        <v>300</v>
      </c>
      <c r="W133" s="5">
        <f>SUMIFS(CaseCells!G2:G999,CaseCells!C2:C999, C133,CaseCells!E2:E999, "B")</f>
        <v>300</v>
      </c>
      <c r="X133" s="3">
        <f>IF(V133 = 0, "", T133 / V133)</f>
        <v>0.6</v>
      </c>
      <c r="Y133" s="3">
        <f>IF(W133 = 0, "", U133 / W133)</f>
        <v>0.6</v>
      </c>
      <c r="Z133" s="3">
        <f>IF(X133 = "", "", X133 - Y133)</f>
        <v>0</v>
      </c>
      <c r="AA133" s="3">
        <f>IF(K133 = "", "", K133 - N133)</f>
        <v>0.11111111111111116</v>
      </c>
      <c r="AB133" s="3">
        <f>IF(AA133 = "", "", AA133 * R133)</f>
        <v>0.0666666666666667</v>
      </c>
    </row>
    <row r="134">
      <c r="A134" s="2" t="s">
        <v>1911</v>
      </c>
      <c r="B134" s="3" t="str">
        <f>A134</f>
        <v>oncology-trial-stage-advanced-stage-A</v>
      </c>
      <c r="C134" s="2" t="s">
        <v>527</v>
      </c>
      <c r="D134" s="2" t="s">
        <v>1346</v>
      </c>
      <c r="E134" s="2" t="s">
        <v>792</v>
      </c>
      <c r="F134" s="5">
        <f>SUMIFS(CaseCells!F2:F999,CaseCells!C2:C999, C134,CaseCells!D2:D999, D134,CaseCells!E2:E999, E134)</f>
        <v>50</v>
      </c>
      <c r="G134" s="5">
        <f>SUMIFS(CaseCells!G2:G999,CaseCells!C2:C999, C134,CaseCells!D2:D999, D134,CaseCells!E2:E999, E134)</f>
        <v>120</v>
      </c>
      <c r="H134" s="3">
        <f>IF(G134 = 0, "", F134 / G134)</f>
        <v>0.4166666666666667</v>
      </c>
      <c r="I134" s="5">
        <f>SUMIFS(CaseCells!F2:F999,CaseCells!C2:C999, C134,CaseCells!D2:D999, D134,CaseCells!E2:E999, "A")</f>
        <v>50</v>
      </c>
      <c r="J134" s="5">
        <f>SUMIFS(CaseCells!G2:G999,CaseCells!C2:C999, C134,CaseCells!D2:D999, D134,CaseCells!E2:E999, "A")</f>
        <v>120</v>
      </c>
      <c r="K134" s="3">
        <f>IF(J134 = 0, "", I134 / J134)</f>
        <v>0.4166666666666667</v>
      </c>
      <c r="L134" s="5">
        <f>SUMIFS(CaseCells!F2:F999,CaseCells!C2:C999, C134,CaseCells!D2:D999, D134,CaseCells!E2:E999, "B")</f>
        <v>70</v>
      </c>
      <c r="M134" s="5">
        <f>SUMIFS(CaseCells!G2:G999,CaseCells!C2:C999, C134,CaseCells!D2:D999, D134,CaseCells!E2:E999, "B")</f>
        <v>120</v>
      </c>
      <c r="N134" s="3">
        <f>IF(M134 = 0, "", L134 / M134)</f>
        <v>0.5833333333333334</v>
      </c>
      <c r="O134" s="3" t="str">
        <f>IF(K134 &gt; N134, "A", "B")</f>
        <v>B</v>
      </c>
      <c r="P134" s="5">
        <f>SUMIFS(CaseCells!G2:G999,CaseCells!C2:C999, C134)</f>
        <v>600</v>
      </c>
      <c r="Q134" s="5">
        <f>SUMIFS(CaseCells!G2:G999,CaseCells!C2:C999, C134,CaseCells!D2:D999, D134)</f>
        <v>240</v>
      </c>
      <c r="R134" s="3">
        <f>IF(P134 = 0, "", Q134 / P134)</f>
        <v>0.4</v>
      </c>
      <c r="S134" s="3">
        <f>IF(R134 = "", "", R134 * H134)</f>
        <v>0.16666666666666669</v>
      </c>
      <c r="T134" s="5">
        <f>SUMIFS(CaseCells!G2:G999,CaseCells!C2:C999, C134,CaseCells!D2:D999, D134,CaseCells!E2:E999, "A")</f>
        <v>120</v>
      </c>
      <c r="U134" s="5">
        <f>SUMIFS(CaseCells!G2:G999,CaseCells!C2:C999, C134,CaseCells!D2:D999, D134,CaseCells!E2:E999, "B")</f>
        <v>120</v>
      </c>
      <c r="V134" s="5">
        <f>SUMIFS(CaseCells!G2:G999,CaseCells!C2:C999, C134,CaseCells!E2:E999, "A")</f>
        <v>300</v>
      </c>
      <c r="W134" s="5">
        <f>SUMIFS(CaseCells!G2:G999,CaseCells!C2:C999, C134,CaseCells!E2:E999, "B")</f>
        <v>300</v>
      </c>
      <c r="X134" s="3">
        <f>IF(V134 = 0, "", T134 / V134)</f>
        <v>0.4</v>
      </c>
      <c r="Y134" s="3">
        <f>IF(W134 = 0, "", U134 / W134)</f>
        <v>0.4</v>
      </c>
      <c r="Z134" s="3">
        <f>IF(X134 = "", "", X134 - Y134)</f>
        <v>0</v>
      </c>
      <c r="AA134" s="3">
        <f>IF(K134 = "", "", K134 - N134)</f>
        <v>-0.16666666666666669</v>
      </c>
      <c r="AB134" s="3">
        <f>IF(AA134 = "", "", AA134 * R134)</f>
        <v>-0.06666666666666668</v>
      </c>
    </row>
    <row r="135">
      <c r="A135" s="2" t="s">
        <v>1912</v>
      </c>
      <c r="B135" s="3" t="str">
        <f>A135</f>
        <v>oncology-trial-stage-advanced-stage-B</v>
      </c>
      <c r="C135" s="2" t="s">
        <v>527</v>
      </c>
      <c r="D135" s="2" t="s">
        <v>1346</v>
      </c>
      <c r="E135" s="2" t="s">
        <v>795</v>
      </c>
      <c r="F135" s="5">
        <f>SUMIFS(CaseCells!F2:F999,CaseCells!C2:C999, C135,CaseCells!D2:D999, D135,CaseCells!E2:E999, E135)</f>
        <v>70</v>
      </c>
      <c r="G135" s="5">
        <f>SUMIFS(CaseCells!G2:G999,CaseCells!C2:C999, C135,CaseCells!D2:D999, D135,CaseCells!E2:E999, E135)</f>
        <v>120</v>
      </c>
      <c r="H135" s="3">
        <f>IF(G135 = 0, "", F135 / G135)</f>
        <v>0.5833333333333334</v>
      </c>
      <c r="I135" s="5">
        <f>SUMIFS(CaseCells!F2:F999,CaseCells!C2:C999, C135,CaseCells!D2:D999, D135,CaseCells!E2:E999, "A")</f>
        <v>50</v>
      </c>
      <c r="J135" s="5">
        <f>SUMIFS(CaseCells!G2:G999,CaseCells!C2:C999, C135,CaseCells!D2:D999, D135,CaseCells!E2:E999, "A")</f>
        <v>120</v>
      </c>
      <c r="K135" s="3">
        <f>IF(J135 = 0, "", I135 / J135)</f>
        <v>0.4166666666666667</v>
      </c>
      <c r="L135" s="5">
        <f>SUMIFS(CaseCells!F2:F999,CaseCells!C2:C999, C135,CaseCells!D2:D999, D135,CaseCells!E2:E999, "B")</f>
        <v>70</v>
      </c>
      <c r="M135" s="5">
        <f>SUMIFS(CaseCells!G2:G999,CaseCells!C2:C999, C135,CaseCells!D2:D999, D135,CaseCells!E2:E999, "B")</f>
        <v>120</v>
      </c>
      <c r="N135" s="3">
        <f>IF(M135 = 0, "", L135 / M135)</f>
        <v>0.5833333333333334</v>
      </c>
      <c r="O135" s="3" t="str">
        <f>IF(K135 &gt; N135, "A", "B")</f>
        <v>B</v>
      </c>
      <c r="P135" s="5">
        <f>SUMIFS(CaseCells!G2:G999,CaseCells!C2:C999, C135)</f>
        <v>600</v>
      </c>
      <c r="Q135" s="5">
        <f>SUMIFS(CaseCells!G2:G999,CaseCells!C2:C999, C135,CaseCells!D2:D999, D135)</f>
        <v>240</v>
      </c>
      <c r="R135" s="3">
        <f>IF(P135 = 0, "", Q135 / P135)</f>
        <v>0.4</v>
      </c>
      <c r="S135" s="3">
        <f>IF(R135 = "", "", R135 * H135)</f>
        <v>0.23333333333333336</v>
      </c>
      <c r="T135" s="5">
        <f>SUMIFS(CaseCells!G2:G999,CaseCells!C2:C999, C135,CaseCells!D2:D999, D135,CaseCells!E2:E999, "A")</f>
        <v>120</v>
      </c>
      <c r="U135" s="5">
        <f>SUMIFS(CaseCells!G2:G999,CaseCells!C2:C999, C135,CaseCells!D2:D999, D135,CaseCells!E2:E999, "B")</f>
        <v>120</v>
      </c>
      <c r="V135" s="5">
        <f>SUMIFS(CaseCells!G2:G999,CaseCells!C2:C999, C135,CaseCells!E2:E999, "A")</f>
        <v>300</v>
      </c>
      <c r="W135" s="5">
        <f>SUMIFS(CaseCells!G2:G999,CaseCells!C2:C999, C135,CaseCells!E2:E999, "B")</f>
        <v>300</v>
      </c>
      <c r="X135" s="3">
        <f>IF(V135 = 0, "", T135 / V135)</f>
        <v>0.4</v>
      </c>
      <c r="Y135" s="3">
        <f>IF(W135 = 0, "", U135 / W135)</f>
        <v>0.4</v>
      </c>
      <c r="Z135" s="3">
        <f>IF(X135 = "", "", X135 - Y135)</f>
        <v>0</v>
      </c>
      <c r="AA135" s="3">
        <f>IF(K135 = "", "", K135 - N135)</f>
        <v>-0.16666666666666669</v>
      </c>
      <c r="AB135" s="3">
        <f>IF(AA135 = "", "", AA135 * R135)</f>
        <v>-0.06666666666666668</v>
      </c>
    </row>
    <row r="136">
      <c r="A136" s="2" t="s">
        <v>1913</v>
      </c>
      <c r="B136" s="3" t="str">
        <f>A136</f>
        <v>exercise-cholesterol-age-young-A</v>
      </c>
      <c r="C136" s="2" t="s">
        <v>530</v>
      </c>
      <c r="D136" s="2" t="s">
        <v>1349</v>
      </c>
      <c r="E136" s="2" t="s">
        <v>792</v>
      </c>
      <c r="F136" s="5">
        <f>SUMIFS(CaseCells!F2:F999,CaseCells!C2:C999, C136,CaseCells!D2:D999, D136,CaseCells!E2:E999, E136)</f>
        <v>200</v>
      </c>
      <c r="G136" s="5">
        <f>SUMIFS(CaseCells!G2:G999,CaseCells!C2:C999, C136,CaseCells!D2:D999, D136,CaseCells!E2:E999, E136)</f>
        <v>300</v>
      </c>
      <c r="H136" s="3">
        <f>IF(G136 = 0, "", F136 / G136)</f>
        <v>0.6666666666666666</v>
      </c>
      <c r="I136" s="5">
        <f>SUMIFS(CaseCells!F2:F999,CaseCells!C2:C999, C136,CaseCells!D2:D999, D136,CaseCells!E2:E999, "A")</f>
        <v>200</v>
      </c>
      <c r="J136" s="5">
        <f>SUMIFS(CaseCells!G2:G999,CaseCells!C2:C999, C136,CaseCells!D2:D999, D136,CaseCells!E2:E999, "A")</f>
        <v>300</v>
      </c>
      <c r="K136" s="3">
        <f>IF(J136 = 0, "", I136 / J136)</f>
        <v>0.6666666666666666</v>
      </c>
      <c r="L136" s="5">
        <f>SUMIFS(CaseCells!F2:F999,CaseCells!C2:C999, C136,CaseCells!D2:D999, D136,CaseCells!E2:E999, "B")</f>
        <v>120</v>
      </c>
      <c r="M136" s="5">
        <f>SUMIFS(CaseCells!G2:G999,CaseCells!C2:C999, C136,CaseCells!D2:D999, D136,CaseCells!E2:E999, "B")</f>
        <v>300</v>
      </c>
      <c r="N136" s="3">
        <f>IF(M136 = 0, "", L136 / M136)</f>
        <v>0.4</v>
      </c>
      <c r="O136" s="3" t="str">
        <f>IF(K136 &gt; N136, "A", "B")</f>
        <v>A</v>
      </c>
      <c r="P136" s="5">
        <f>SUMIFS(CaseCells!G2:G999,CaseCells!C2:C999, C136)</f>
        <v>1050</v>
      </c>
      <c r="Q136" s="5">
        <f>SUMIFS(CaseCells!G2:G999,CaseCells!C2:C999, C136,CaseCells!D2:D999, D136)</f>
        <v>600</v>
      </c>
      <c r="R136" s="3">
        <f>IF(P136 = 0, "", Q136 / P136)</f>
        <v>0.5714285714285714</v>
      </c>
      <c r="S136" s="3">
        <f>IF(R136 = "", "", R136 * H136)</f>
        <v>0.38095238095238093</v>
      </c>
      <c r="T136" s="5">
        <f>SUMIFS(CaseCells!G2:G999,CaseCells!C2:C999, C136,CaseCells!D2:D999, D136,CaseCells!E2:E999, "A")</f>
        <v>300</v>
      </c>
      <c r="U136" s="5">
        <f>SUMIFS(CaseCells!G2:G999,CaseCells!C2:C999, C136,CaseCells!D2:D999, D136,CaseCells!E2:E999, "B")</f>
        <v>300</v>
      </c>
      <c r="V136" s="5">
        <f>SUMIFS(CaseCells!G2:G999,CaseCells!C2:C999, C136,CaseCells!E2:E999, "A")</f>
        <v>500</v>
      </c>
      <c r="W136" s="5">
        <f>SUMIFS(CaseCells!G2:G999,CaseCells!C2:C999, C136,CaseCells!E2:E999, "B")</f>
        <v>550</v>
      </c>
      <c r="X136" s="3">
        <f>IF(V136 = 0, "", T136 / V136)</f>
        <v>0.6</v>
      </c>
      <c r="Y136" s="3">
        <f>IF(W136 = 0, "", U136 / W136)</f>
        <v>0.5454545454545454</v>
      </c>
      <c r="Z136" s="3">
        <f>IF(X136 = "", "", X136 - Y136)</f>
        <v>0.054545454545454564</v>
      </c>
      <c r="AA136" s="3">
        <f>IF(K136 = "", "", K136 - N136)</f>
        <v>0.2666666666666666</v>
      </c>
      <c r="AB136" s="3">
        <f>IF(AA136 = "", "", AA136 * R136)</f>
        <v>0.15238095238095234</v>
      </c>
    </row>
    <row r="137">
      <c r="A137" s="2" t="s">
        <v>1914</v>
      </c>
      <c r="B137" s="3" t="str">
        <f>A137</f>
        <v>exercise-cholesterol-age-young-B</v>
      </c>
      <c r="C137" s="2" t="s">
        <v>530</v>
      </c>
      <c r="D137" s="2" t="s">
        <v>1349</v>
      </c>
      <c r="E137" s="2" t="s">
        <v>795</v>
      </c>
      <c r="F137" s="5">
        <f>SUMIFS(CaseCells!F2:F999,CaseCells!C2:C999, C137,CaseCells!D2:D999, D137,CaseCells!E2:E999, E137)</f>
        <v>120</v>
      </c>
      <c r="G137" s="5">
        <f>SUMIFS(CaseCells!G2:G999,CaseCells!C2:C999, C137,CaseCells!D2:D999, D137,CaseCells!E2:E999, E137)</f>
        <v>300</v>
      </c>
      <c r="H137" s="3">
        <f>IF(G137 = 0, "", F137 / G137)</f>
        <v>0.4</v>
      </c>
      <c r="I137" s="5">
        <f>SUMIFS(CaseCells!F2:F999,CaseCells!C2:C999, C137,CaseCells!D2:D999, D137,CaseCells!E2:E999, "A")</f>
        <v>200</v>
      </c>
      <c r="J137" s="5">
        <f>SUMIFS(CaseCells!G2:G999,CaseCells!C2:C999, C137,CaseCells!D2:D999, D137,CaseCells!E2:E999, "A")</f>
        <v>300</v>
      </c>
      <c r="K137" s="3">
        <f>IF(J137 = 0, "", I137 / J137)</f>
        <v>0.6666666666666666</v>
      </c>
      <c r="L137" s="5">
        <f>SUMIFS(CaseCells!F2:F999,CaseCells!C2:C999, C137,CaseCells!D2:D999, D137,CaseCells!E2:E999, "B")</f>
        <v>120</v>
      </c>
      <c r="M137" s="5">
        <f>SUMIFS(CaseCells!G2:G999,CaseCells!C2:C999, C137,CaseCells!D2:D999, D137,CaseCells!E2:E999, "B")</f>
        <v>300</v>
      </c>
      <c r="N137" s="3">
        <f>IF(M137 = 0, "", L137 / M137)</f>
        <v>0.4</v>
      </c>
      <c r="O137" s="3" t="str">
        <f>IF(K137 &gt; N137, "A", "B")</f>
        <v>A</v>
      </c>
      <c r="P137" s="5">
        <f>SUMIFS(CaseCells!G2:G999,CaseCells!C2:C999, C137)</f>
        <v>1050</v>
      </c>
      <c r="Q137" s="5">
        <f>SUMIFS(CaseCells!G2:G999,CaseCells!C2:C999, C137,CaseCells!D2:D999, D137)</f>
        <v>600</v>
      </c>
      <c r="R137" s="3">
        <f>IF(P137 = 0, "", Q137 / P137)</f>
        <v>0.5714285714285714</v>
      </c>
      <c r="S137" s="3">
        <f>IF(R137 = "", "", R137 * H137)</f>
        <v>0.22857142857142856</v>
      </c>
      <c r="T137" s="5">
        <f>SUMIFS(CaseCells!G2:G999,CaseCells!C2:C999, C137,CaseCells!D2:D999, D137,CaseCells!E2:E999, "A")</f>
        <v>300</v>
      </c>
      <c r="U137" s="5">
        <f>SUMIFS(CaseCells!G2:G999,CaseCells!C2:C999, C137,CaseCells!D2:D999, D137,CaseCells!E2:E999, "B")</f>
        <v>300</v>
      </c>
      <c r="V137" s="5">
        <f>SUMIFS(CaseCells!G2:G999,CaseCells!C2:C999, C137,CaseCells!E2:E999, "A")</f>
        <v>500</v>
      </c>
      <c r="W137" s="5">
        <f>SUMIFS(CaseCells!G2:G999,CaseCells!C2:C999, C137,CaseCells!E2:E999, "B")</f>
        <v>550</v>
      </c>
      <c r="X137" s="3">
        <f>IF(V137 = 0, "", T137 / V137)</f>
        <v>0.6</v>
      </c>
      <c r="Y137" s="3">
        <f>IF(W137 = 0, "", U137 / W137)</f>
        <v>0.5454545454545454</v>
      </c>
      <c r="Z137" s="3">
        <f>IF(X137 = "", "", X137 - Y137)</f>
        <v>0.054545454545454564</v>
      </c>
      <c r="AA137" s="3">
        <f>IF(K137 = "", "", K137 - N137)</f>
        <v>0.2666666666666666</v>
      </c>
      <c r="AB137" s="3">
        <f>IF(AA137 = "", "", AA137 * R137)</f>
        <v>0.15238095238095234</v>
      </c>
    </row>
    <row r="138">
      <c r="A138" s="2" t="s">
        <v>1915</v>
      </c>
      <c r="B138" s="3" t="str">
        <f>A138</f>
        <v>exercise-cholesterol-age-older-A</v>
      </c>
      <c r="C138" s="2" t="s">
        <v>530</v>
      </c>
      <c r="D138" s="2" t="s">
        <v>1352</v>
      </c>
      <c r="E138" s="2" t="s">
        <v>792</v>
      </c>
      <c r="F138" s="5">
        <f>SUMIFS(CaseCells!F2:F999,CaseCells!C2:C999, C138,CaseCells!D2:D999, D138,CaseCells!E2:E999, E138)</f>
        <v>80</v>
      </c>
      <c r="G138" s="5">
        <f>SUMIFS(CaseCells!G2:G999,CaseCells!C2:C999, C138,CaseCells!D2:D999, D138,CaseCells!E2:E999, E138)</f>
        <v>200</v>
      </c>
      <c r="H138" s="3">
        <f>IF(G138 = 0, "", F138 / G138)</f>
        <v>0.4</v>
      </c>
      <c r="I138" s="5">
        <f>SUMIFS(CaseCells!F2:F999,CaseCells!C2:C999, C138,CaseCells!D2:D999, D138,CaseCells!E2:E999, "A")</f>
        <v>80</v>
      </c>
      <c r="J138" s="5">
        <f>SUMIFS(CaseCells!G2:G999,CaseCells!C2:C999, C138,CaseCells!D2:D999, D138,CaseCells!E2:E999, "A")</f>
        <v>200</v>
      </c>
      <c r="K138" s="3">
        <f>IF(J138 = 0, "", I138 / J138)</f>
        <v>0.4</v>
      </c>
      <c r="L138" s="5">
        <f>SUMIFS(CaseCells!F2:F999,CaseCells!C2:C999, C138,CaseCells!D2:D999, D138,CaseCells!E2:E999, "B")</f>
        <v>100</v>
      </c>
      <c r="M138" s="5">
        <f>SUMIFS(CaseCells!G2:G999,CaseCells!C2:C999, C138,CaseCells!D2:D999, D138,CaseCells!E2:E999, "B")</f>
        <v>250</v>
      </c>
      <c r="N138" s="3">
        <f>IF(M138 = 0, "", L138 / M138)</f>
        <v>0.4</v>
      </c>
      <c r="O138" s="3" t="str">
        <f>IF(K138 &gt; N138, "A", "B")</f>
        <v>B</v>
      </c>
      <c r="P138" s="5">
        <f>SUMIFS(CaseCells!G2:G999,CaseCells!C2:C999, C138)</f>
        <v>1050</v>
      </c>
      <c r="Q138" s="5">
        <f>SUMIFS(CaseCells!G2:G999,CaseCells!C2:C999, C138,CaseCells!D2:D999, D138)</f>
        <v>450</v>
      </c>
      <c r="R138" s="3">
        <f>IF(P138 = 0, "", Q138 / P138)</f>
        <v>0.42857142857142855</v>
      </c>
      <c r="S138" s="3">
        <f>IF(R138 = "", "", R138 * H138)</f>
        <v>0.17142857142857143</v>
      </c>
      <c r="T138" s="5">
        <f>SUMIFS(CaseCells!G2:G999,CaseCells!C2:C999, C138,CaseCells!D2:D999, D138,CaseCells!E2:E999, "A")</f>
        <v>200</v>
      </c>
      <c r="U138" s="5">
        <f>SUMIFS(CaseCells!G2:G999,CaseCells!C2:C999, C138,CaseCells!D2:D999, D138,CaseCells!E2:E999, "B")</f>
        <v>250</v>
      </c>
      <c r="V138" s="5">
        <f>SUMIFS(CaseCells!G2:G999,CaseCells!C2:C999, C138,CaseCells!E2:E999, "A")</f>
        <v>500</v>
      </c>
      <c r="W138" s="5">
        <f>SUMIFS(CaseCells!G2:G999,CaseCells!C2:C999, C138,CaseCells!E2:E999, "B")</f>
        <v>550</v>
      </c>
      <c r="X138" s="3">
        <f>IF(V138 = 0, "", T138 / V138)</f>
        <v>0.4</v>
      </c>
      <c r="Y138" s="3">
        <f>IF(W138 = 0, "", U138 / W138)</f>
        <v>0.45454545454545453</v>
      </c>
      <c r="Z138" s="3">
        <f>IF(X138 = "", "", X138 - Y138)</f>
        <v>-0.05454545454545451</v>
      </c>
      <c r="AA138" s="3">
        <f>IF(K138 = "", "", K138 - N138)</f>
        <v>0</v>
      </c>
      <c r="AB138" s="3">
        <f>IF(AA138 = "", "", AA138 * R138)</f>
        <v>0</v>
      </c>
    </row>
    <row r="139">
      <c r="A139" s="2" t="s">
        <v>1916</v>
      </c>
      <c r="B139" s="3" t="str">
        <f>A139</f>
        <v>exercise-cholesterol-age-older-B</v>
      </c>
      <c r="C139" s="2" t="s">
        <v>530</v>
      </c>
      <c r="D139" s="2" t="s">
        <v>1352</v>
      </c>
      <c r="E139" s="2" t="s">
        <v>795</v>
      </c>
      <c r="F139" s="5">
        <f>SUMIFS(CaseCells!F2:F999,CaseCells!C2:C999, C139,CaseCells!D2:D999, D139,CaseCells!E2:E999, E139)</f>
        <v>100</v>
      </c>
      <c r="G139" s="5">
        <f>SUMIFS(CaseCells!G2:G999,CaseCells!C2:C999, C139,CaseCells!D2:D999, D139,CaseCells!E2:E999, E139)</f>
        <v>250</v>
      </c>
      <c r="H139" s="3">
        <f>IF(G139 = 0, "", F139 / G139)</f>
        <v>0.4</v>
      </c>
      <c r="I139" s="5">
        <f>SUMIFS(CaseCells!F2:F999,CaseCells!C2:C999, C139,CaseCells!D2:D999, D139,CaseCells!E2:E999, "A")</f>
        <v>80</v>
      </c>
      <c r="J139" s="5">
        <f>SUMIFS(CaseCells!G2:G999,CaseCells!C2:C999, C139,CaseCells!D2:D999, D139,CaseCells!E2:E999, "A")</f>
        <v>200</v>
      </c>
      <c r="K139" s="3">
        <f>IF(J139 = 0, "", I139 / J139)</f>
        <v>0.4</v>
      </c>
      <c r="L139" s="5">
        <f>SUMIFS(CaseCells!F2:F999,CaseCells!C2:C999, C139,CaseCells!D2:D999, D139,CaseCells!E2:E999, "B")</f>
        <v>100</v>
      </c>
      <c r="M139" s="5">
        <f>SUMIFS(CaseCells!G2:G999,CaseCells!C2:C999, C139,CaseCells!D2:D999, D139,CaseCells!E2:E999, "B")</f>
        <v>250</v>
      </c>
      <c r="N139" s="3">
        <f>IF(M139 = 0, "", L139 / M139)</f>
        <v>0.4</v>
      </c>
      <c r="O139" s="3" t="str">
        <f>IF(K139 &gt; N139, "A", "B")</f>
        <v>B</v>
      </c>
      <c r="P139" s="5">
        <f>SUMIFS(CaseCells!G2:G999,CaseCells!C2:C999, C139)</f>
        <v>1050</v>
      </c>
      <c r="Q139" s="5">
        <f>SUMIFS(CaseCells!G2:G999,CaseCells!C2:C999, C139,CaseCells!D2:D999, D139)</f>
        <v>450</v>
      </c>
      <c r="R139" s="3">
        <f>IF(P139 = 0, "", Q139 / P139)</f>
        <v>0.42857142857142855</v>
      </c>
      <c r="S139" s="3">
        <f>IF(R139 = "", "", R139 * H139)</f>
        <v>0.17142857142857143</v>
      </c>
      <c r="T139" s="5">
        <f>SUMIFS(CaseCells!G2:G999,CaseCells!C2:C999, C139,CaseCells!D2:D999, D139,CaseCells!E2:E999, "A")</f>
        <v>200</v>
      </c>
      <c r="U139" s="5">
        <f>SUMIFS(CaseCells!G2:G999,CaseCells!C2:C999, C139,CaseCells!D2:D999, D139,CaseCells!E2:E999, "B")</f>
        <v>250</v>
      </c>
      <c r="V139" s="5">
        <f>SUMIFS(CaseCells!G2:G999,CaseCells!C2:C999, C139,CaseCells!E2:E999, "A")</f>
        <v>500</v>
      </c>
      <c r="W139" s="5">
        <f>SUMIFS(CaseCells!G2:G999,CaseCells!C2:C999, C139,CaseCells!E2:E999, "B")</f>
        <v>550</v>
      </c>
      <c r="X139" s="3">
        <f>IF(V139 = 0, "", T139 / V139)</f>
        <v>0.4</v>
      </c>
      <c r="Y139" s="3">
        <f>IF(W139 = 0, "", U139 / W139)</f>
        <v>0.45454545454545453</v>
      </c>
      <c r="Z139" s="3">
        <f>IF(X139 = "", "", X139 - Y139)</f>
        <v>-0.05454545454545451</v>
      </c>
      <c r="AA139" s="3">
        <f>IF(K139 = "", "", K139 - N139)</f>
        <v>0</v>
      </c>
      <c r="AB139" s="3">
        <f>IF(AA139 = "", "", AA139 * R139)</f>
        <v>0</v>
      </c>
    </row>
    <row r="140">
      <c r="A140" s="2" t="s">
        <v>1917</v>
      </c>
      <c r="B140" s="3" t="str">
        <f>A140</f>
        <v>red-meat-colorectal-bmi-normal-weight-A</v>
      </c>
      <c r="C140" s="2" t="s">
        <v>533</v>
      </c>
      <c r="D140" s="2" t="s">
        <v>1355</v>
      </c>
      <c r="E140" s="2" t="s">
        <v>792</v>
      </c>
      <c r="F140" s="5">
        <f>SUMIFS(CaseCells!F2:F999,CaseCells!C2:C999, C140,CaseCells!D2:D999, D140,CaseCells!E2:E999, E140)</f>
        <v>30</v>
      </c>
      <c r="G140" s="5">
        <f>SUMIFS(CaseCells!G2:G999,CaseCells!C2:C999, C140,CaseCells!D2:D999, D140,CaseCells!E2:E999, E140)</f>
        <v>500</v>
      </c>
      <c r="H140" s="3">
        <f>IF(G140 = 0, "", F140 / G140)</f>
        <v>0.06</v>
      </c>
      <c r="I140" s="5">
        <f>SUMIFS(CaseCells!F2:F999,CaseCells!C2:C999, C140,CaseCells!D2:D999, D140,CaseCells!E2:E999, "A")</f>
        <v>30</v>
      </c>
      <c r="J140" s="5">
        <f>SUMIFS(CaseCells!G2:G999,CaseCells!C2:C999, C140,CaseCells!D2:D999, D140,CaseCells!E2:E999, "A")</f>
        <v>500</v>
      </c>
      <c r="K140" s="3">
        <f>IF(J140 = 0, "", I140 / J140)</f>
        <v>0.06</v>
      </c>
      <c r="L140" s="5">
        <f>SUMIFS(CaseCells!F2:F999,CaseCells!C2:C999, C140,CaseCells!D2:D999, D140,CaseCells!E2:E999, "B")</f>
        <v>25</v>
      </c>
      <c r="M140" s="5">
        <f>SUMIFS(CaseCells!G2:G999,CaseCells!C2:C999, C140,CaseCells!D2:D999, D140,CaseCells!E2:E999, "B")</f>
        <v>500</v>
      </c>
      <c r="N140" s="3">
        <f>IF(M140 = 0, "", L140 / M140)</f>
        <v>0.05</v>
      </c>
      <c r="O140" s="3" t="str">
        <f>IF(K140 &gt; N140, "A", "B")</f>
        <v>A</v>
      </c>
      <c r="P140" s="5">
        <f>SUMIFS(CaseCells!G2:G999,CaseCells!C2:C999, C140)</f>
        <v>1850</v>
      </c>
      <c r="Q140" s="5">
        <f>SUMIFS(CaseCells!G2:G999,CaseCells!C2:C999, C140,CaseCells!D2:D999, D140)</f>
        <v>1000</v>
      </c>
      <c r="R140" s="3">
        <f>IF(P140 = 0, "", Q140 / P140)</f>
        <v>0.5405405405405406</v>
      </c>
      <c r="S140" s="3">
        <f>IF(R140 = "", "", R140 * H140)</f>
        <v>0.032432432432432434</v>
      </c>
      <c r="T140" s="5">
        <f>SUMIFS(CaseCells!G2:G999,CaseCells!C2:C999, C140,CaseCells!D2:D999, D140,CaseCells!E2:E999, "A")</f>
        <v>500</v>
      </c>
      <c r="U140" s="5">
        <f>SUMIFS(CaseCells!G2:G999,CaseCells!C2:C999, C140,CaseCells!D2:D999, D140,CaseCells!E2:E999, "B")</f>
        <v>500</v>
      </c>
      <c r="V140" s="5">
        <f>SUMIFS(CaseCells!G2:G999,CaseCells!C2:C999, C140,CaseCells!E2:E999, "A")</f>
        <v>900</v>
      </c>
      <c r="W140" s="5">
        <f>SUMIFS(CaseCells!G2:G999,CaseCells!C2:C999, C140,CaseCells!E2:E999, "B")</f>
        <v>950</v>
      </c>
      <c r="X140" s="3">
        <f>IF(V140 = 0, "", T140 / V140)</f>
        <v>0.5555555555555556</v>
      </c>
      <c r="Y140" s="3">
        <f>IF(W140 = 0, "", U140 / W140)</f>
        <v>0.5263157894736842</v>
      </c>
      <c r="Z140" s="3">
        <f>IF(X140 = "", "", X140 - Y140)</f>
        <v>0.0292397660818714</v>
      </c>
      <c r="AA140" s="3">
        <f>IF(K140 = "", "", K140 - N140)</f>
        <v>0.009999999999999995</v>
      </c>
      <c r="AB140" s="3">
        <f>IF(AA140 = "", "", AA140 * R140)</f>
        <v>0.005405405405405403</v>
      </c>
    </row>
    <row r="141">
      <c r="A141" s="2" t="s">
        <v>1918</v>
      </c>
      <c r="B141" s="3" t="str">
        <f>A141</f>
        <v>red-meat-colorectal-bmi-normal-weight-B</v>
      </c>
      <c r="C141" s="2" t="s">
        <v>533</v>
      </c>
      <c r="D141" s="2" t="s">
        <v>1355</v>
      </c>
      <c r="E141" s="2" t="s">
        <v>795</v>
      </c>
      <c r="F141" s="5">
        <f>SUMIFS(CaseCells!F2:F999,CaseCells!C2:C999, C141,CaseCells!D2:D999, D141,CaseCells!E2:E999, E141)</f>
        <v>25</v>
      </c>
      <c r="G141" s="5">
        <f>SUMIFS(CaseCells!G2:G999,CaseCells!C2:C999, C141,CaseCells!D2:D999, D141,CaseCells!E2:E999, E141)</f>
        <v>500</v>
      </c>
      <c r="H141" s="3">
        <f>IF(G141 = 0, "", F141 / G141)</f>
        <v>0.05</v>
      </c>
      <c r="I141" s="5">
        <f>SUMIFS(CaseCells!F2:F999,CaseCells!C2:C999, C141,CaseCells!D2:D999, D141,CaseCells!E2:E999, "A")</f>
        <v>30</v>
      </c>
      <c r="J141" s="5">
        <f>SUMIFS(CaseCells!G2:G999,CaseCells!C2:C999, C141,CaseCells!D2:D999, D141,CaseCells!E2:E999, "A")</f>
        <v>500</v>
      </c>
      <c r="K141" s="3">
        <f>IF(J141 = 0, "", I141 / J141)</f>
        <v>0.06</v>
      </c>
      <c r="L141" s="5">
        <f>SUMIFS(CaseCells!F2:F999,CaseCells!C2:C999, C141,CaseCells!D2:D999, D141,CaseCells!E2:E999, "B")</f>
        <v>25</v>
      </c>
      <c r="M141" s="5">
        <f>SUMIFS(CaseCells!G2:G999,CaseCells!C2:C999, C141,CaseCells!D2:D999, D141,CaseCells!E2:E999, "B")</f>
        <v>500</v>
      </c>
      <c r="N141" s="3">
        <f>IF(M141 = 0, "", L141 / M141)</f>
        <v>0.05</v>
      </c>
      <c r="O141" s="3" t="str">
        <f>IF(K141 &gt; N141, "A", "B")</f>
        <v>A</v>
      </c>
      <c r="P141" s="5">
        <f>SUMIFS(CaseCells!G2:G999,CaseCells!C2:C999, C141)</f>
        <v>1850</v>
      </c>
      <c r="Q141" s="5">
        <f>SUMIFS(CaseCells!G2:G999,CaseCells!C2:C999, C141,CaseCells!D2:D999, D141)</f>
        <v>1000</v>
      </c>
      <c r="R141" s="3">
        <f>IF(P141 = 0, "", Q141 / P141)</f>
        <v>0.5405405405405406</v>
      </c>
      <c r="S141" s="3">
        <f>IF(R141 = "", "", R141 * H141)</f>
        <v>0.02702702702702703</v>
      </c>
      <c r="T141" s="5">
        <f>SUMIFS(CaseCells!G2:G999,CaseCells!C2:C999, C141,CaseCells!D2:D999, D141,CaseCells!E2:E999, "A")</f>
        <v>500</v>
      </c>
      <c r="U141" s="5">
        <f>SUMIFS(CaseCells!G2:G999,CaseCells!C2:C999, C141,CaseCells!D2:D999, D141,CaseCells!E2:E999, "B")</f>
        <v>500</v>
      </c>
      <c r="V141" s="5">
        <f>SUMIFS(CaseCells!G2:G999,CaseCells!C2:C999, C141,CaseCells!E2:E999, "A")</f>
        <v>900</v>
      </c>
      <c r="W141" s="5">
        <f>SUMIFS(CaseCells!G2:G999,CaseCells!C2:C999, C141,CaseCells!E2:E999, "B")</f>
        <v>950</v>
      </c>
      <c r="X141" s="3">
        <f>IF(V141 = 0, "", T141 / V141)</f>
        <v>0.5555555555555556</v>
      </c>
      <c r="Y141" s="3">
        <f>IF(W141 = 0, "", U141 / W141)</f>
        <v>0.5263157894736842</v>
      </c>
      <c r="Z141" s="3">
        <f>IF(X141 = "", "", X141 - Y141)</f>
        <v>0.0292397660818714</v>
      </c>
      <c r="AA141" s="3">
        <f>IF(K141 = "", "", K141 - N141)</f>
        <v>0.009999999999999995</v>
      </c>
      <c r="AB141" s="3">
        <f>IF(AA141 = "", "", AA141 * R141)</f>
        <v>0.005405405405405403</v>
      </c>
    </row>
    <row r="142">
      <c r="A142" s="2" t="s">
        <v>1919</v>
      </c>
      <c r="B142" s="3" t="str">
        <f>A142</f>
        <v>red-meat-colorectal-bmi-overweight-A</v>
      </c>
      <c r="C142" s="2" t="s">
        <v>533</v>
      </c>
      <c r="D142" s="2" t="s">
        <v>1358</v>
      </c>
      <c r="E142" s="2" t="s">
        <v>792</v>
      </c>
      <c r="F142" s="5">
        <f>SUMIFS(CaseCells!F2:F999,CaseCells!C2:C999, C142,CaseCells!D2:D999, D142,CaseCells!E2:E999, E142)</f>
        <v>45</v>
      </c>
      <c r="G142" s="5">
        <f>SUMIFS(CaseCells!G2:G999,CaseCells!C2:C999, C142,CaseCells!D2:D999, D142,CaseCells!E2:E999, E142)</f>
        <v>400</v>
      </c>
      <c r="H142" s="3">
        <f>IF(G142 = 0, "", F142 / G142)</f>
        <v>0.1125</v>
      </c>
      <c r="I142" s="5">
        <f>SUMIFS(CaseCells!F2:F999,CaseCells!C2:C999, C142,CaseCells!D2:D999, D142,CaseCells!E2:E999, "A")</f>
        <v>45</v>
      </c>
      <c r="J142" s="5">
        <f>SUMIFS(CaseCells!G2:G999,CaseCells!C2:C999, C142,CaseCells!D2:D999, D142,CaseCells!E2:E999, "A")</f>
        <v>400</v>
      </c>
      <c r="K142" s="3">
        <f>IF(J142 = 0, "", I142 / J142)</f>
        <v>0.1125</v>
      </c>
      <c r="L142" s="5">
        <f>SUMIFS(CaseCells!F2:F999,CaseCells!C2:C999, C142,CaseCells!D2:D999, D142,CaseCells!E2:E999, "B")</f>
        <v>35</v>
      </c>
      <c r="M142" s="5">
        <f>SUMIFS(CaseCells!G2:G999,CaseCells!C2:C999, C142,CaseCells!D2:D999, D142,CaseCells!E2:E999, "B")</f>
        <v>450</v>
      </c>
      <c r="N142" s="3">
        <f>IF(M142 = 0, "", L142 / M142)</f>
        <v>0.07777777777777778</v>
      </c>
      <c r="O142" s="3" t="str">
        <f>IF(K142 &gt; N142, "A", "B")</f>
        <v>A</v>
      </c>
      <c r="P142" s="5">
        <f>SUMIFS(CaseCells!G2:G999,CaseCells!C2:C999, C142)</f>
        <v>1850</v>
      </c>
      <c r="Q142" s="5">
        <f>SUMIFS(CaseCells!G2:G999,CaseCells!C2:C999, C142,CaseCells!D2:D999, D142)</f>
        <v>850</v>
      </c>
      <c r="R142" s="3">
        <f>IF(P142 = 0, "", Q142 / P142)</f>
        <v>0.4594594594594595</v>
      </c>
      <c r="S142" s="3">
        <f>IF(R142 = "", "", R142 * H142)</f>
        <v>0.051689189189189196</v>
      </c>
      <c r="T142" s="5">
        <f>SUMIFS(CaseCells!G2:G999,CaseCells!C2:C999, C142,CaseCells!D2:D999, D142,CaseCells!E2:E999, "A")</f>
        <v>400</v>
      </c>
      <c r="U142" s="5">
        <f>SUMIFS(CaseCells!G2:G999,CaseCells!C2:C999, C142,CaseCells!D2:D999, D142,CaseCells!E2:E999, "B")</f>
        <v>450</v>
      </c>
      <c r="V142" s="5">
        <f>SUMIFS(CaseCells!G2:G999,CaseCells!C2:C999, C142,CaseCells!E2:E999, "A")</f>
        <v>900</v>
      </c>
      <c r="W142" s="5">
        <f>SUMIFS(CaseCells!G2:G999,CaseCells!C2:C999, C142,CaseCells!E2:E999, "B")</f>
        <v>950</v>
      </c>
      <c r="X142" s="3">
        <f>IF(V142 = 0, "", T142 / V142)</f>
        <v>0.4444444444444444</v>
      </c>
      <c r="Y142" s="3">
        <f>IF(W142 = 0, "", U142 / W142)</f>
        <v>0.47368421052631576</v>
      </c>
      <c r="Z142" s="3">
        <f>IF(X142 = "", "", X142 - Y142)</f>
        <v>-0.029239766081871343</v>
      </c>
      <c r="AA142" s="3">
        <f>IF(K142 = "", "", K142 - N142)</f>
        <v>0.034722222222222224</v>
      </c>
      <c r="AB142" s="3">
        <f>IF(AA142 = "", "", AA142 * R142)</f>
        <v>0.015953453453453455</v>
      </c>
    </row>
    <row r="143">
      <c r="A143" s="2" t="s">
        <v>1920</v>
      </c>
      <c r="B143" s="3" t="str">
        <f>A143</f>
        <v>red-meat-colorectal-bmi-overweight-B</v>
      </c>
      <c r="C143" s="2" t="s">
        <v>533</v>
      </c>
      <c r="D143" s="2" t="s">
        <v>1358</v>
      </c>
      <c r="E143" s="2" t="s">
        <v>795</v>
      </c>
      <c r="F143" s="5">
        <f>SUMIFS(CaseCells!F2:F999,CaseCells!C2:C999, C143,CaseCells!D2:D999, D143,CaseCells!E2:E999, E143)</f>
        <v>35</v>
      </c>
      <c r="G143" s="5">
        <f>SUMIFS(CaseCells!G2:G999,CaseCells!C2:C999, C143,CaseCells!D2:D999, D143,CaseCells!E2:E999, E143)</f>
        <v>450</v>
      </c>
      <c r="H143" s="3">
        <f>IF(G143 = 0, "", F143 / G143)</f>
        <v>0.07777777777777778</v>
      </c>
      <c r="I143" s="5">
        <f>SUMIFS(CaseCells!F2:F999,CaseCells!C2:C999, C143,CaseCells!D2:D999, D143,CaseCells!E2:E999, "A")</f>
        <v>45</v>
      </c>
      <c r="J143" s="5">
        <f>SUMIFS(CaseCells!G2:G999,CaseCells!C2:C999, C143,CaseCells!D2:D999, D143,CaseCells!E2:E999, "A")</f>
        <v>400</v>
      </c>
      <c r="K143" s="3">
        <f>IF(J143 = 0, "", I143 / J143)</f>
        <v>0.1125</v>
      </c>
      <c r="L143" s="5">
        <f>SUMIFS(CaseCells!F2:F999,CaseCells!C2:C999, C143,CaseCells!D2:D999, D143,CaseCells!E2:E999, "B")</f>
        <v>35</v>
      </c>
      <c r="M143" s="5">
        <f>SUMIFS(CaseCells!G2:G999,CaseCells!C2:C999, C143,CaseCells!D2:D999, D143,CaseCells!E2:E999, "B")</f>
        <v>450</v>
      </c>
      <c r="N143" s="3">
        <f>IF(M143 = 0, "", L143 / M143)</f>
        <v>0.07777777777777778</v>
      </c>
      <c r="O143" s="3" t="str">
        <f>IF(K143 &gt; N143, "A", "B")</f>
        <v>A</v>
      </c>
      <c r="P143" s="5">
        <f>SUMIFS(CaseCells!G2:G999,CaseCells!C2:C999, C143)</f>
        <v>1850</v>
      </c>
      <c r="Q143" s="5">
        <f>SUMIFS(CaseCells!G2:G999,CaseCells!C2:C999, C143,CaseCells!D2:D999, D143)</f>
        <v>850</v>
      </c>
      <c r="R143" s="3">
        <f>IF(P143 = 0, "", Q143 / P143)</f>
        <v>0.4594594594594595</v>
      </c>
      <c r="S143" s="3">
        <f>IF(R143 = "", "", R143 * H143)</f>
        <v>0.03573573573573574</v>
      </c>
      <c r="T143" s="5">
        <f>SUMIFS(CaseCells!G2:G999,CaseCells!C2:C999, C143,CaseCells!D2:D999, D143,CaseCells!E2:E999, "A")</f>
        <v>400</v>
      </c>
      <c r="U143" s="5">
        <f>SUMIFS(CaseCells!G2:G999,CaseCells!C2:C999, C143,CaseCells!D2:D999, D143,CaseCells!E2:E999, "B")</f>
        <v>450</v>
      </c>
      <c r="V143" s="5">
        <f>SUMIFS(CaseCells!G2:G999,CaseCells!C2:C999, C143,CaseCells!E2:E999, "A")</f>
        <v>900</v>
      </c>
      <c r="W143" s="5">
        <f>SUMIFS(CaseCells!G2:G999,CaseCells!C2:C999, C143,CaseCells!E2:E999, "B")</f>
        <v>950</v>
      </c>
      <c r="X143" s="3">
        <f>IF(V143 = 0, "", T143 / V143)</f>
        <v>0.4444444444444444</v>
      </c>
      <c r="Y143" s="3">
        <f>IF(W143 = 0, "", U143 / W143)</f>
        <v>0.47368421052631576</v>
      </c>
      <c r="Z143" s="3">
        <f>IF(X143 = "", "", X143 - Y143)</f>
        <v>-0.029239766081871343</v>
      </c>
      <c r="AA143" s="3">
        <f>IF(K143 = "", "", K143 - N143)</f>
        <v>0.034722222222222224</v>
      </c>
      <c r="AB143" s="3">
        <f>IF(AA143 = "", "", AA143 * R143)</f>
        <v>0.015953453453453455</v>
      </c>
    </row>
    <row r="144">
      <c r="A144" s="2" t="s">
        <v>1921</v>
      </c>
      <c r="B144" s="3" t="str">
        <f>A144</f>
        <v>folic-fortification-2000-early-fortified-A</v>
      </c>
      <c r="C144" s="2" t="s">
        <v>536</v>
      </c>
      <c r="D144" s="2" t="s">
        <v>1361</v>
      </c>
      <c r="E144" s="2" t="s">
        <v>792</v>
      </c>
      <c r="F144" s="5">
        <f>SUMIFS(CaseCells!F2:F999,CaseCells!C2:C999, C144,CaseCells!D2:D999, D144,CaseCells!E2:E999, E144)</f>
        <v>980</v>
      </c>
      <c r="G144" s="5">
        <f>SUMIFS(CaseCells!G2:G999,CaseCells!C2:C999, C144,CaseCells!D2:D999, D144,CaseCells!E2:E999, E144)</f>
        <v>1000</v>
      </c>
      <c r="H144" s="3">
        <f>IF(G144 = 0, "", F144 / G144)</f>
        <v>0.98</v>
      </c>
      <c r="I144" s="5">
        <f>SUMIFS(CaseCells!F2:F999,CaseCells!C2:C999, C144,CaseCells!D2:D999, D144,CaseCells!E2:E999, "A")</f>
        <v>980</v>
      </c>
      <c r="J144" s="5">
        <f>SUMIFS(CaseCells!G2:G999,CaseCells!C2:C999, C144,CaseCells!D2:D999, D144,CaseCells!E2:E999, "A")</f>
        <v>1000</v>
      </c>
      <c r="K144" s="3">
        <f>IF(J144 = 0, "", I144 / J144)</f>
        <v>0.98</v>
      </c>
      <c r="L144" s="5">
        <f>SUMIFS(CaseCells!F2:F999,CaseCells!C2:C999, C144,CaseCells!D2:D999, D144,CaseCells!E2:E999, "B")</f>
        <v>960</v>
      </c>
      <c r="M144" s="5">
        <f>SUMIFS(CaseCells!G2:G999,CaseCells!C2:C999, C144,CaseCells!D2:D999, D144,CaseCells!E2:E999, "B")</f>
        <v>1000</v>
      </c>
      <c r="N144" s="3">
        <f>IF(M144 = 0, "", L144 / M144)</f>
        <v>0.96</v>
      </c>
      <c r="O144" s="3" t="str">
        <f>IF(K144 &gt; N144, "A", "B")</f>
        <v>A</v>
      </c>
      <c r="P144" s="5">
        <f>SUMIFS(CaseCells!G2:G999,CaseCells!C2:C999, C144)</f>
        <v>6000</v>
      </c>
      <c r="Q144" s="5">
        <f>SUMIFS(CaseCells!G2:G999,CaseCells!C2:C999, C144,CaseCells!D2:D999, D144)</f>
        <v>2000</v>
      </c>
      <c r="R144" s="3">
        <f>IF(P144 = 0, "", Q144 / P144)</f>
        <v>0.3333333333333333</v>
      </c>
      <c r="S144" s="3">
        <f>IF(R144 = "", "", R144 * H144)</f>
        <v>0.32666666666666666</v>
      </c>
      <c r="T144" s="5">
        <f>SUMIFS(CaseCells!G2:G999,CaseCells!C2:C999, C144,CaseCells!D2:D999, D144,CaseCells!E2:E999, "A")</f>
        <v>1000</v>
      </c>
      <c r="U144" s="5">
        <f>SUMIFS(CaseCells!G2:G999,CaseCells!C2:C999, C144,CaseCells!D2:D999, D144,CaseCells!E2:E999, "B")</f>
        <v>1000</v>
      </c>
      <c r="V144" s="5">
        <f>SUMIFS(CaseCells!G2:G999,CaseCells!C2:C999, C144,CaseCells!E2:E999, "A")</f>
        <v>3000</v>
      </c>
      <c r="W144" s="5">
        <f>SUMIFS(CaseCells!G2:G999,CaseCells!C2:C999, C144,CaseCells!E2:E999, "B")</f>
        <v>3000</v>
      </c>
      <c r="X144" s="3">
        <f>IF(V144 = 0, "", T144 / V144)</f>
        <v>0.3333333333333333</v>
      </c>
      <c r="Y144" s="3">
        <f>IF(W144 = 0, "", U144 / W144)</f>
        <v>0.3333333333333333</v>
      </c>
      <c r="Z144" s="3">
        <f>IF(X144 = "", "", X144 - Y144)</f>
        <v>0</v>
      </c>
      <c r="AA144" s="3">
        <f>IF(K144 = "", "", K144 - N144)</f>
        <v>0.020000000000000018</v>
      </c>
      <c r="AB144" s="3">
        <f>IF(AA144 = "", "", AA144 * R144)</f>
        <v>0.006666666666666672</v>
      </c>
    </row>
    <row r="145">
      <c r="A145" s="2" t="s">
        <v>1922</v>
      </c>
      <c r="B145" s="3" t="str">
        <f>A145</f>
        <v>folic-fortification-2000-early-fortified-B</v>
      </c>
      <c r="C145" s="2" t="s">
        <v>536</v>
      </c>
      <c r="D145" s="2" t="s">
        <v>1361</v>
      </c>
      <c r="E145" s="2" t="s">
        <v>795</v>
      </c>
      <c r="F145" s="5">
        <f>SUMIFS(CaseCells!F2:F999,CaseCells!C2:C999, C145,CaseCells!D2:D999, D145,CaseCells!E2:E999, E145)</f>
        <v>960</v>
      </c>
      <c r="G145" s="5">
        <f>SUMIFS(CaseCells!G2:G999,CaseCells!C2:C999, C145,CaseCells!D2:D999, D145,CaseCells!E2:E999, E145)</f>
        <v>1000</v>
      </c>
      <c r="H145" s="3">
        <f>IF(G145 = 0, "", F145 / G145)</f>
        <v>0.96</v>
      </c>
      <c r="I145" s="5">
        <f>SUMIFS(CaseCells!F2:F999,CaseCells!C2:C999, C145,CaseCells!D2:D999, D145,CaseCells!E2:E999, "A")</f>
        <v>980</v>
      </c>
      <c r="J145" s="5">
        <f>SUMIFS(CaseCells!G2:G999,CaseCells!C2:C999, C145,CaseCells!D2:D999, D145,CaseCells!E2:E999, "A")</f>
        <v>1000</v>
      </c>
      <c r="K145" s="3">
        <f>IF(J145 = 0, "", I145 / J145)</f>
        <v>0.98</v>
      </c>
      <c r="L145" s="5">
        <f>SUMIFS(CaseCells!F2:F999,CaseCells!C2:C999, C145,CaseCells!D2:D999, D145,CaseCells!E2:E999, "B")</f>
        <v>960</v>
      </c>
      <c r="M145" s="5">
        <f>SUMIFS(CaseCells!G2:G999,CaseCells!C2:C999, C145,CaseCells!D2:D999, D145,CaseCells!E2:E999, "B")</f>
        <v>1000</v>
      </c>
      <c r="N145" s="3">
        <f>IF(M145 = 0, "", L145 / M145)</f>
        <v>0.96</v>
      </c>
      <c r="O145" s="3" t="str">
        <f>IF(K145 &gt; N145, "A", "B")</f>
        <v>A</v>
      </c>
      <c r="P145" s="5">
        <f>SUMIFS(CaseCells!G2:G999,CaseCells!C2:C999, C145)</f>
        <v>6000</v>
      </c>
      <c r="Q145" s="5">
        <f>SUMIFS(CaseCells!G2:G999,CaseCells!C2:C999, C145,CaseCells!D2:D999, D145)</f>
        <v>2000</v>
      </c>
      <c r="R145" s="3">
        <f>IF(P145 = 0, "", Q145 / P145)</f>
        <v>0.3333333333333333</v>
      </c>
      <c r="S145" s="3">
        <f>IF(R145 = "", "", R145 * H145)</f>
        <v>0.31999999999999995</v>
      </c>
      <c r="T145" s="5">
        <f>SUMIFS(CaseCells!G2:G999,CaseCells!C2:C999, C145,CaseCells!D2:D999, D145,CaseCells!E2:E999, "A")</f>
        <v>1000</v>
      </c>
      <c r="U145" s="5">
        <f>SUMIFS(CaseCells!G2:G999,CaseCells!C2:C999, C145,CaseCells!D2:D999, D145,CaseCells!E2:E999, "B")</f>
        <v>1000</v>
      </c>
      <c r="V145" s="5">
        <f>SUMIFS(CaseCells!G2:G999,CaseCells!C2:C999, C145,CaseCells!E2:E999, "A")</f>
        <v>3000</v>
      </c>
      <c r="W145" s="5">
        <f>SUMIFS(CaseCells!G2:G999,CaseCells!C2:C999, C145,CaseCells!E2:E999, "B")</f>
        <v>3000</v>
      </c>
      <c r="X145" s="3">
        <f>IF(V145 = 0, "", T145 / V145)</f>
        <v>0.3333333333333333</v>
      </c>
      <c r="Y145" s="3">
        <f>IF(W145 = 0, "", U145 / W145)</f>
        <v>0.3333333333333333</v>
      </c>
      <c r="Z145" s="3">
        <f>IF(X145 = "", "", X145 - Y145)</f>
        <v>0</v>
      </c>
      <c r="AA145" s="3">
        <f>IF(K145 = "", "", K145 - N145)</f>
        <v>0.020000000000000018</v>
      </c>
      <c r="AB145" s="3">
        <f>IF(AA145 = "", "", AA145 * R145)</f>
        <v>0.006666666666666672</v>
      </c>
    </row>
    <row r="146">
      <c r="A146" s="2" t="s">
        <v>1923</v>
      </c>
      <c r="B146" s="3" t="str">
        <f>A146</f>
        <v>folic-fortification-2000-late-fortified-A</v>
      </c>
      <c r="C146" s="2" t="s">
        <v>536</v>
      </c>
      <c r="D146" s="2" t="s">
        <v>1364</v>
      </c>
      <c r="E146" s="2" t="s">
        <v>792</v>
      </c>
      <c r="F146" s="5">
        <f>SUMIFS(CaseCells!F2:F999,CaseCells!C2:C999, C146,CaseCells!D2:D999, D146,CaseCells!E2:E999, E146)</f>
        <v>970</v>
      </c>
      <c r="G146" s="5">
        <f>SUMIFS(CaseCells!G2:G999,CaseCells!C2:C999, C146,CaseCells!D2:D999, D146,CaseCells!E2:E999, E146)</f>
        <v>1000</v>
      </c>
      <c r="H146" s="3">
        <f>IF(G146 = 0, "", F146 / G146)</f>
        <v>0.97</v>
      </c>
      <c r="I146" s="5">
        <f>SUMIFS(CaseCells!F2:F999,CaseCells!C2:C999, C146,CaseCells!D2:D999, D146,CaseCells!E2:E999, "A")</f>
        <v>970</v>
      </c>
      <c r="J146" s="5">
        <f>SUMIFS(CaseCells!G2:G999,CaseCells!C2:C999, C146,CaseCells!D2:D999, D146,CaseCells!E2:E999, "A")</f>
        <v>1000</v>
      </c>
      <c r="K146" s="3">
        <f>IF(J146 = 0, "", I146 / J146)</f>
        <v>0.97</v>
      </c>
      <c r="L146" s="5">
        <f>SUMIFS(CaseCells!F2:F999,CaseCells!C2:C999, C146,CaseCells!D2:D999, D146,CaseCells!E2:E999, "B")</f>
        <v>950</v>
      </c>
      <c r="M146" s="5">
        <f>SUMIFS(CaseCells!G2:G999,CaseCells!C2:C999, C146,CaseCells!D2:D999, D146,CaseCells!E2:E999, "B")</f>
        <v>1000</v>
      </c>
      <c r="N146" s="3">
        <f>IF(M146 = 0, "", L146 / M146)</f>
        <v>0.95</v>
      </c>
      <c r="O146" s="3" t="str">
        <f>IF(K146 &gt; N146, "A", "B")</f>
        <v>A</v>
      </c>
      <c r="P146" s="5">
        <f>SUMIFS(CaseCells!G2:G999,CaseCells!C2:C999, C146)</f>
        <v>6000</v>
      </c>
      <c r="Q146" s="5">
        <f>SUMIFS(CaseCells!G2:G999,CaseCells!C2:C999, C146,CaseCells!D2:D999, D146)</f>
        <v>2000</v>
      </c>
      <c r="R146" s="3">
        <f>IF(P146 = 0, "", Q146 / P146)</f>
        <v>0.3333333333333333</v>
      </c>
      <c r="S146" s="3">
        <f>IF(R146 = "", "", R146 * H146)</f>
        <v>0.3233333333333333</v>
      </c>
      <c r="T146" s="5">
        <f>SUMIFS(CaseCells!G2:G999,CaseCells!C2:C999, C146,CaseCells!D2:D999, D146,CaseCells!E2:E999, "A")</f>
        <v>1000</v>
      </c>
      <c r="U146" s="5">
        <f>SUMIFS(CaseCells!G2:G999,CaseCells!C2:C999, C146,CaseCells!D2:D999, D146,CaseCells!E2:E999, "B")</f>
        <v>1000</v>
      </c>
      <c r="V146" s="5">
        <f>SUMIFS(CaseCells!G2:G999,CaseCells!C2:C999, C146,CaseCells!E2:E999, "A")</f>
        <v>3000</v>
      </c>
      <c r="W146" s="5">
        <f>SUMIFS(CaseCells!G2:G999,CaseCells!C2:C999, C146,CaseCells!E2:E999, "B")</f>
        <v>3000</v>
      </c>
      <c r="X146" s="3">
        <f>IF(V146 = 0, "", T146 / V146)</f>
        <v>0.3333333333333333</v>
      </c>
      <c r="Y146" s="3">
        <f>IF(W146 = 0, "", U146 / W146)</f>
        <v>0.3333333333333333</v>
      </c>
      <c r="Z146" s="3">
        <f>IF(X146 = "", "", X146 - Y146)</f>
        <v>0</v>
      </c>
      <c r="AA146" s="3">
        <f>IF(K146 = "", "", K146 - N146)</f>
        <v>0.020000000000000018</v>
      </c>
      <c r="AB146" s="3">
        <f>IF(AA146 = "", "", AA146 * R146)</f>
        <v>0.006666666666666672</v>
      </c>
    </row>
    <row r="147">
      <c r="A147" s="2" t="s">
        <v>1924</v>
      </c>
      <c r="B147" s="3" t="str">
        <f>A147</f>
        <v>folic-fortification-2000-late-fortified-B</v>
      </c>
      <c r="C147" s="2" t="s">
        <v>536</v>
      </c>
      <c r="D147" s="2" t="s">
        <v>1364</v>
      </c>
      <c r="E147" s="2" t="s">
        <v>795</v>
      </c>
      <c r="F147" s="5">
        <f>SUMIFS(CaseCells!F2:F999,CaseCells!C2:C999, C147,CaseCells!D2:D999, D147,CaseCells!E2:E999, E147)</f>
        <v>950</v>
      </c>
      <c r="G147" s="5">
        <f>SUMIFS(CaseCells!G2:G999,CaseCells!C2:C999, C147,CaseCells!D2:D999, D147,CaseCells!E2:E999, E147)</f>
        <v>1000</v>
      </c>
      <c r="H147" s="3">
        <f>IF(G147 = 0, "", F147 / G147)</f>
        <v>0.95</v>
      </c>
      <c r="I147" s="5">
        <f>SUMIFS(CaseCells!F2:F999,CaseCells!C2:C999, C147,CaseCells!D2:D999, D147,CaseCells!E2:E999, "A")</f>
        <v>970</v>
      </c>
      <c r="J147" s="5">
        <f>SUMIFS(CaseCells!G2:G999,CaseCells!C2:C999, C147,CaseCells!D2:D999, D147,CaseCells!E2:E999, "A")</f>
        <v>1000</v>
      </c>
      <c r="K147" s="3">
        <f>IF(J147 = 0, "", I147 / J147)</f>
        <v>0.97</v>
      </c>
      <c r="L147" s="5">
        <f>SUMIFS(CaseCells!F2:F999,CaseCells!C2:C999, C147,CaseCells!D2:D999, D147,CaseCells!E2:E999, "B")</f>
        <v>950</v>
      </c>
      <c r="M147" s="5">
        <f>SUMIFS(CaseCells!G2:G999,CaseCells!C2:C999, C147,CaseCells!D2:D999, D147,CaseCells!E2:E999, "B")</f>
        <v>1000</v>
      </c>
      <c r="N147" s="3">
        <f>IF(M147 = 0, "", L147 / M147)</f>
        <v>0.95</v>
      </c>
      <c r="O147" s="3" t="str">
        <f>IF(K147 &gt; N147, "A", "B")</f>
        <v>A</v>
      </c>
      <c r="P147" s="5">
        <f>SUMIFS(CaseCells!G2:G999,CaseCells!C2:C999, C147)</f>
        <v>6000</v>
      </c>
      <c r="Q147" s="5">
        <f>SUMIFS(CaseCells!G2:G999,CaseCells!C2:C999, C147,CaseCells!D2:D999, D147)</f>
        <v>2000</v>
      </c>
      <c r="R147" s="3">
        <f>IF(P147 = 0, "", Q147 / P147)</f>
        <v>0.3333333333333333</v>
      </c>
      <c r="S147" s="3">
        <f>IF(R147 = "", "", R147 * H147)</f>
        <v>0.31666666666666665</v>
      </c>
      <c r="T147" s="5">
        <f>SUMIFS(CaseCells!G2:G999,CaseCells!C2:C999, C147,CaseCells!D2:D999, D147,CaseCells!E2:E999, "A")</f>
        <v>1000</v>
      </c>
      <c r="U147" s="5">
        <f>SUMIFS(CaseCells!G2:G999,CaseCells!C2:C999, C147,CaseCells!D2:D999, D147,CaseCells!E2:E999, "B")</f>
        <v>1000</v>
      </c>
      <c r="V147" s="5">
        <f>SUMIFS(CaseCells!G2:G999,CaseCells!C2:C999, C147,CaseCells!E2:E999, "A")</f>
        <v>3000</v>
      </c>
      <c r="W147" s="5">
        <f>SUMIFS(CaseCells!G2:G999,CaseCells!C2:C999, C147,CaseCells!E2:E999, "B")</f>
        <v>3000</v>
      </c>
      <c r="X147" s="3">
        <f>IF(V147 = 0, "", T147 / V147)</f>
        <v>0.3333333333333333</v>
      </c>
      <c r="Y147" s="3">
        <f>IF(W147 = 0, "", U147 / W147)</f>
        <v>0.3333333333333333</v>
      </c>
      <c r="Z147" s="3">
        <f>IF(X147 = "", "", X147 - Y147)</f>
        <v>0</v>
      </c>
      <c r="AA147" s="3">
        <f>IF(K147 = "", "", K147 - N147)</f>
        <v>0.020000000000000018</v>
      </c>
      <c r="AB147" s="3">
        <f>IF(AA147 = "", "", AA147 * R147)</f>
        <v>0.006666666666666672</v>
      </c>
    </row>
    <row r="148">
      <c r="A148" s="2" t="s">
        <v>1925</v>
      </c>
      <c r="B148" s="3" t="str">
        <f>A148</f>
        <v>folic-fortification-2000-voluntary-A</v>
      </c>
      <c r="C148" s="2" t="s">
        <v>536</v>
      </c>
      <c r="D148" s="2" t="s">
        <v>1367</v>
      </c>
      <c r="E148" s="2" t="s">
        <v>792</v>
      </c>
      <c r="F148" s="5">
        <f>SUMIFS(CaseCells!F2:F999,CaseCells!C2:C999, C148,CaseCells!D2:D999, D148,CaseCells!E2:E999, E148)</f>
        <v>965</v>
      </c>
      <c r="G148" s="5">
        <f>SUMIFS(CaseCells!G2:G999,CaseCells!C2:C999, C148,CaseCells!D2:D999, D148,CaseCells!E2:E999, E148)</f>
        <v>1000</v>
      </c>
      <c r="H148" s="3">
        <f>IF(G148 = 0, "", F148 / G148)</f>
        <v>0.965</v>
      </c>
      <c r="I148" s="5">
        <f>SUMIFS(CaseCells!F2:F999,CaseCells!C2:C999, C148,CaseCells!D2:D999, D148,CaseCells!E2:E999, "A")</f>
        <v>965</v>
      </c>
      <c r="J148" s="5">
        <f>SUMIFS(CaseCells!G2:G999,CaseCells!C2:C999, C148,CaseCells!D2:D999, D148,CaseCells!E2:E999, "A")</f>
        <v>1000</v>
      </c>
      <c r="K148" s="3">
        <f>IF(J148 = 0, "", I148 / J148)</f>
        <v>0.965</v>
      </c>
      <c r="L148" s="5">
        <f>SUMIFS(CaseCells!F2:F999,CaseCells!C2:C999, C148,CaseCells!D2:D999, D148,CaseCells!E2:E999, "B")</f>
        <v>940</v>
      </c>
      <c r="M148" s="5">
        <f>SUMIFS(CaseCells!G2:G999,CaseCells!C2:C999, C148,CaseCells!D2:D999, D148,CaseCells!E2:E999, "B")</f>
        <v>1000</v>
      </c>
      <c r="N148" s="3">
        <f>IF(M148 = 0, "", L148 / M148)</f>
        <v>0.94</v>
      </c>
      <c r="O148" s="3" t="str">
        <f>IF(K148 &gt; N148, "A", "B")</f>
        <v>A</v>
      </c>
      <c r="P148" s="5">
        <f>SUMIFS(CaseCells!G2:G999,CaseCells!C2:C999, C148)</f>
        <v>6000</v>
      </c>
      <c r="Q148" s="5">
        <f>SUMIFS(CaseCells!G2:G999,CaseCells!C2:C999, C148,CaseCells!D2:D999, D148)</f>
        <v>2000</v>
      </c>
      <c r="R148" s="3">
        <f>IF(P148 = 0, "", Q148 / P148)</f>
        <v>0.3333333333333333</v>
      </c>
      <c r="S148" s="3">
        <f>IF(R148 = "", "", R148 * H148)</f>
        <v>0.32166666666666666</v>
      </c>
      <c r="T148" s="5">
        <f>SUMIFS(CaseCells!G2:G999,CaseCells!C2:C999, C148,CaseCells!D2:D999, D148,CaseCells!E2:E999, "A")</f>
        <v>1000</v>
      </c>
      <c r="U148" s="5">
        <f>SUMIFS(CaseCells!G2:G999,CaseCells!C2:C999, C148,CaseCells!D2:D999, D148,CaseCells!E2:E999, "B")</f>
        <v>1000</v>
      </c>
      <c r="V148" s="5">
        <f>SUMIFS(CaseCells!G2:G999,CaseCells!C2:C999, C148,CaseCells!E2:E999, "A")</f>
        <v>3000</v>
      </c>
      <c r="W148" s="5">
        <f>SUMIFS(CaseCells!G2:G999,CaseCells!C2:C999, C148,CaseCells!E2:E999, "B")</f>
        <v>3000</v>
      </c>
      <c r="X148" s="3">
        <f>IF(V148 = 0, "", T148 / V148)</f>
        <v>0.3333333333333333</v>
      </c>
      <c r="Y148" s="3">
        <f>IF(W148 = 0, "", U148 / W148)</f>
        <v>0.3333333333333333</v>
      </c>
      <c r="Z148" s="3">
        <f>IF(X148 = "", "", X148 - Y148)</f>
        <v>0</v>
      </c>
      <c r="AA148" s="3">
        <f>IF(K148 = "", "", K148 - N148)</f>
        <v>0.025000000000000022</v>
      </c>
      <c r="AB148" s="3">
        <f>IF(AA148 = "", "", AA148 * R148)</f>
        <v>0.00833333333333334</v>
      </c>
    </row>
    <row r="149">
      <c r="A149" s="2" t="s">
        <v>1926</v>
      </c>
      <c r="B149" s="3" t="str">
        <f>A149</f>
        <v>folic-fortification-2000-voluntary-B</v>
      </c>
      <c r="C149" s="2" t="s">
        <v>536</v>
      </c>
      <c r="D149" s="2" t="s">
        <v>1367</v>
      </c>
      <c r="E149" s="2" t="s">
        <v>795</v>
      </c>
      <c r="F149" s="5">
        <f>SUMIFS(CaseCells!F2:F999,CaseCells!C2:C999, C149,CaseCells!D2:D999, D149,CaseCells!E2:E999, E149)</f>
        <v>940</v>
      </c>
      <c r="G149" s="5">
        <f>SUMIFS(CaseCells!G2:G999,CaseCells!C2:C999, C149,CaseCells!D2:D999, D149,CaseCells!E2:E999, E149)</f>
        <v>1000</v>
      </c>
      <c r="H149" s="3">
        <f>IF(G149 = 0, "", F149 / G149)</f>
        <v>0.94</v>
      </c>
      <c r="I149" s="5">
        <f>SUMIFS(CaseCells!F2:F999,CaseCells!C2:C999, C149,CaseCells!D2:D999, D149,CaseCells!E2:E999, "A")</f>
        <v>965</v>
      </c>
      <c r="J149" s="5">
        <f>SUMIFS(CaseCells!G2:G999,CaseCells!C2:C999, C149,CaseCells!D2:D999, D149,CaseCells!E2:E999, "A")</f>
        <v>1000</v>
      </c>
      <c r="K149" s="3">
        <f>IF(J149 = 0, "", I149 / J149)</f>
        <v>0.965</v>
      </c>
      <c r="L149" s="5">
        <f>SUMIFS(CaseCells!F2:F999,CaseCells!C2:C999, C149,CaseCells!D2:D999, D149,CaseCells!E2:E999, "B")</f>
        <v>940</v>
      </c>
      <c r="M149" s="5">
        <f>SUMIFS(CaseCells!G2:G999,CaseCells!C2:C999, C149,CaseCells!D2:D999, D149,CaseCells!E2:E999, "B")</f>
        <v>1000</v>
      </c>
      <c r="N149" s="3">
        <f>IF(M149 = 0, "", L149 / M149)</f>
        <v>0.94</v>
      </c>
      <c r="O149" s="3" t="str">
        <f>IF(K149 &gt; N149, "A", "B")</f>
        <v>A</v>
      </c>
      <c r="P149" s="5">
        <f>SUMIFS(CaseCells!G2:G999,CaseCells!C2:C999, C149)</f>
        <v>6000</v>
      </c>
      <c r="Q149" s="5">
        <f>SUMIFS(CaseCells!G2:G999,CaseCells!C2:C999, C149,CaseCells!D2:D999, D149)</f>
        <v>2000</v>
      </c>
      <c r="R149" s="3">
        <f>IF(P149 = 0, "", Q149 / P149)</f>
        <v>0.3333333333333333</v>
      </c>
      <c r="S149" s="3">
        <f>IF(R149 = "", "", R149 * H149)</f>
        <v>0.3133333333333333</v>
      </c>
      <c r="T149" s="5">
        <f>SUMIFS(CaseCells!G2:G999,CaseCells!C2:C999, C149,CaseCells!D2:D999, D149,CaseCells!E2:E999, "A")</f>
        <v>1000</v>
      </c>
      <c r="U149" s="5">
        <f>SUMIFS(CaseCells!G2:G999,CaseCells!C2:C999, C149,CaseCells!D2:D999, D149,CaseCells!E2:E999, "B")</f>
        <v>1000</v>
      </c>
      <c r="V149" s="5">
        <f>SUMIFS(CaseCells!G2:G999,CaseCells!C2:C999, C149,CaseCells!E2:E999, "A")</f>
        <v>3000</v>
      </c>
      <c r="W149" s="5">
        <f>SUMIFS(CaseCells!G2:G999,CaseCells!C2:C999, C149,CaseCells!E2:E999, "B")</f>
        <v>3000</v>
      </c>
      <c r="X149" s="3">
        <f>IF(V149 = 0, "", T149 / V149)</f>
        <v>0.3333333333333333</v>
      </c>
      <c r="Y149" s="3">
        <f>IF(W149 = 0, "", U149 / W149)</f>
        <v>0.3333333333333333</v>
      </c>
      <c r="Z149" s="3">
        <f>IF(X149 = "", "", X149 - Y149)</f>
        <v>0</v>
      </c>
      <c r="AA149" s="3">
        <f>IF(K149 = "", "", K149 - N149)</f>
        <v>0.025000000000000022</v>
      </c>
      <c r="AB149" s="3">
        <f>IF(AA149 = "", "", AA149 * R149)</f>
        <v>0.00833333333333334</v>
      </c>
    </row>
    <row r="150">
      <c r="A150" s="2" t="s">
        <v>1927</v>
      </c>
      <c r="B150" s="3" t="str">
        <f>A150</f>
        <v>north-carolina-death-penalty-1990-white-victim-A</v>
      </c>
      <c r="C150" s="2" t="s">
        <v>539</v>
      </c>
      <c r="D150" s="2" t="s">
        <v>1190</v>
      </c>
      <c r="E150" s="2" t="s">
        <v>792</v>
      </c>
      <c r="F150" s="5">
        <f>SUMIFS(CaseCells!F2:F999,CaseCells!C2:C999, C150,CaseCells!D2:D999, D150,CaseCells!E2:E999, E150)</f>
        <v>14</v>
      </c>
      <c r="G150" s="5">
        <f>SUMIFS(CaseCells!G2:G999,CaseCells!C2:C999, C150,CaseCells!D2:D999, D150,CaseCells!E2:E999, E150)</f>
        <v>120</v>
      </c>
      <c r="H150" s="3">
        <f>IF(G150 = 0, "", F150 / G150)</f>
        <v>0.11666666666666667</v>
      </c>
      <c r="I150" s="5">
        <f>SUMIFS(CaseCells!F2:F999,CaseCells!C2:C999, C150,CaseCells!D2:D999, D150,CaseCells!E2:E999, "A")</f>
        <v>14</v>
      </c>
      <c r="J150" s="5">
        <f>SUMIFS(CaseCells!G2:G999,CaseCells!C2:C999, C150,CaseCells!D2:D999, D150,CaseCells!E2:E999, "A")</f>
        <v>120</v>
      </c>
      <c r="K150" s="3">
        <f>IF(J150 = 0, "", I150 / J150)</f>
        <v>0.11666666666666667</v>
      </c>
      <c r="L150" s="5">
        <f>SUMIFS(CaseCells!F2:F999,CaseCells!C2:C999, C150,CaseCells!D2:D999, D150,CaseCells!E2:E999, "B")</f>
        <v>8</v>
      </c>
      <c r="M150" s="5">
        <f>SUMIFS(CaseCells!G2:G999,CaseCells!C2:C999, C150,CaseCells!D2:D999, D150,CaseCells!E2:E999, "B")</f>
        <v>55</v>
      </c>
      <c r="N150" s="3">
        <f>IF(M150 = 0, "", L150 / M150)</f>
        <v>0.14545454545454545</v>
      </c>
      <c r="O150" s="3" t="str">
        <f>IF(K150 &gt; N150, "A", "B")</f>
        <v>B</v>
      </c>
      <c r="P150" s="5">
        <f>SUMIFS(CaseCells!G2:G999,CaseCells!C2:C999, C150)</f>
        <v>280</v>
      </c>
      <c r="Q150" s="5">
        <f>SUMIFS(CaseCells!G2:G999,CaseCells!C2:C999, C150,CaseCells!D2:D999, D150)</f>
        <v>175</v>
      </c>
      <c r="R150" s="3">
        <f>IF(P150 = 0, "", Q150 / P150)</f>
        <v>0.625</v>
      </c>
      <c r="S150" s="3">
        <f>IF(R150 = "", "", R150 * H150)</f>
        <v>0.07291666666666667</v>
      </c>
      <c r="T150" s="5">
        <f>SUMIFS(CaseCells!G2:G999,CaseCells!C2:C999, C150,CaseCells!D2:D999, D150,CaseCells!E2:E999, "A")</f>
        <v>120</v>
      </c>
      <c r="U150" s="5">
        <f>SUMIFS(CaseCells!G2:G999,CaseCells!C2:C999, C150,CaseCells!D2:D999, D150,CaseCells!E2:E999, "B")</f>
        <v>55</v>
      </c>
      <c r="V150" s="5">
        <f>SUMIFS(CaseCells!G2:G999,CaseCells!C2:C999, C150,CaseCells!E2:E999, "A")</f>
        <v>135</v>
      </c>
      <c r="W150" s="5">
        <f>SUMIFS(CaseCells!G2:G999,CaseCells!C2:C999, C150,CaseCells!E2:E999, "B")</f>
        <v>145</v>
      </c>
      <c r="X150" s="3">
        <f>IF(V150 = 0, "", T150 / V150)</f>
        <v>0.8888888888888888</v>
      </c>
      <c r="Y150" s="3">
        <f>IF(W150 = 0, "", U150 / W150)</f>
        <v>0.3793103448275862</v>
      </c>
      <c r="Z150" s="3">
        <f>IF(X150 = "", "", X150 - Y150)</f>
        <v>0.5095785440613027</v>
      </c>
      <c r="AA150" s="3">
        <f>IF(K150 = "", "", K150 - N150)</f>
        <v>-0.02878787878787878</v>
      </c>
      <c r="AB150" s="3">
        <f>IF(AA150 = "", "", AA150 * R150)</f>
        <v>-0.017992424242424237</v>
      </c>
    </row>
    <row r="151">
      <c r="A151" s="2" t="s">
        <v>1928</v>
      </c>
      <c r="B151" s="3" t="str">
        <f>A151</f>
        <v>north-carolina-death-penalty-1990-white-victim-B</v>
      </c>
      <c r="C151" s="2" t="s">
        <v>539</v>
      </c>
      <c r="D151" s="2" t="s">
        <v>1190</v>
      </c>
      <c r="E151" s="2" t="s">
        <v>795</v>
      </c>
      <c r="F151" s="5">
        <f>SUMIFS(CaseCells!F2:F999,CaseCells!C2:C999, C151,CaseCells!D2:D999, D151,CaseCells!E2:E999, E151)</f>
        <v>8</v>
      </c>
      <c r="G151" s="5">
        <f>SUMIFS(CaseCells!G2:G999,CaseCells!C2:C999, C151,CaseCells!D2:D999, D151,CaseCells!E2:E999, E151)</f>
        <v>55</v>
      </c>
      <c r="H151" s="3">
        <f>IF(G151 = 0, "", F151 / G151)</f>
        <v>0.14545454545454545</v>
      </c>
      <c r="I151" s="5">
        <f>SUMIFS(CaseCells!F2:F999,CaseCells!C2:C999, C151,CaseCells!D2:D999, D151,CaseCells!E2:E999, "A")</f>
        <v>14</v>
      </c>
      <c r="J151" s="5">
        <f>SUMIFS(CaseCells!G2:G999,CaseCells!C2:C999, C151,CaseCells!D2:D999, D151,CaseCells!E2:E999, "A")</f>
        <v>120</v>
      </c>
      <c r="K151" s="3">
        <f>IF(J151 = 0, "", I151 / J151)</f>
        <v>0.11666666666666667</v>
      </c>
      <c r="L151" s="5">
        <f>SUMIFS(CaseCells!F2:F999,CaseCells!C2:C999, C151,CaseCells!D2:D999, D151,CaseCells!E2:E999, "B")</f>
        <v>8</v>
      </c>
      <c r="M151" s="5">
        <f>SUMIFS(CaseCells!G2:G999,CaseCells!C2:C999, C151,CaseCells!D2:D999, D151,CaseCells!E2:E999, "B")</f>
        <v>55</v>
      </c>
      <c r="N151" s="3">
        <f>IF(M151 = 0, "", L151 / M151)</f>
        <v>0.14545454545454545</v>
      </c>
      <c r="O151" s="3" t="str">
        <f>IF(K151 &gt; N151, "A", "B")</f>
        <v>B</v>
      </c>
      <c r="P151" s="5">
        <f>SUMIFS(CaseCells!G2:G999,CaseCells!C2:C999, C151)</f>
        <v>280</v>
      </c>
      <c r="Q151" s="5">
        <f>SUMIFS(CaseCells!G2:G999,CaseCells!C2:C999, C151,CaseCells!D2:D999, D151)</f>
        <v>175</v>
      </c>
      <c r="R151" s="3">
        <f>IF(P151 = 0, "", Q151 / P151)</f>
        <v>0.625</v>
      </c>
      <c r="S151" s="3">
        <f>IF(R151 = "", "", R151 * H151)</f>
        <v>0.09090909090909091</v>
      </c>
      <c r="T151" s="5">
        <f>SUMIFS(CaseCells!G2:G999,CaseCells!C2:C999, C151,CaseCells!D2:D999, D151,CaseCells!E2:E999, "A")</f>
        <v>120</v>
      </c>
      <c r="U151" s="5">
        <f>SUMIFS(CaseCells!G2:G999,CaseCells!C2:C999, C151,CaseCells!D2:D999, D151,CaseCells!E2:E999, "B")</f>
        <v>55</v>
      </c>
      <c r="V151" s="5">
        <f>SUMIFS(CaseCells!G2:G999,CaseCells!C2:C999, C151,CaseCells!E2:E999, "A")</f>
        <v>135</v>
      </c>
      <c r="W151" s="5">
        <f>SUMIFS(CaseCells!G2:G999,CaseCells!C2:C999, C151,CaseCells!E2:E999, "B")</f>
        <v>145</v>
      </c>
      <c r="X151" s="3">
        <f>IF(V151 = 0, "", T151 / V151)</f>
        <v>0.8888888888888888</v>
      </c>
      <c r="Y151" s="3">
        <f>IF(W151 = 0, "", U151 / W151)</f>
        <v>0.3793103448275862</v>
      </c>
      <c r="Z151" s="3">
        <f>IF(X151 = "", "", X151 - Y151)</f>
        <v>0.5095785440613027</v>
      </c>
      <c r="AA151" s="3">
        <f>IF(K151 = "", "", K151 - N151)</f>
        <v>-0.02878787878787878</v>
      </c>
      <c r="AB151" s="3">
        <f>IF(AA151 = "", "", AA151 * R151)</f>
        <v>-0.017992424242424237</v>
      </c>
    </row>
    <row r="152">
      <c r="A152" s="2" t="s">
        <v>1929</v>
      </c>
      <c r="B152" s="3" t="str">
        <f>A152</f>
        <v>north-carolina-death-penalty-1990-black-victim-A</v>
      </c>
      <c r="C152" s="2" t="s">
        <v>539</v>
      </c>
      <c r="D152" s="2" t="s">
        <v>1193</v>
      </c>
      <c r="E152" s="2" t="s">
        <v>792</v>
      </c>
      <c r="F152" s="5">
        <f>SUMIFS(CaseCells!F2:F999,CaseCells!C2:C999, C152,CaseCells!D2:D999, D152,CaseCells!E2:E999, E152)</f>
        <v>1</v>
      </c>
      <c r="G152" s="5">
        <f>SUMIFS(CaseCells!G2:G999,CaseCells!C2:C999, C152,CaseCells!D2:D999, D152,CaseCells!E2:E999, E152)</f>
        <v>15</v>
      </c>
      <c r="H152" s="3">
        <f>IF(G152 = 0, "", F152 / G152)</f>
        <v>0.06666666666666667</v>
      </c>
      <c r="I152" s="5">
        <f>SUMIFS(CaseCells!F2:F999,CaseCells!C2:C999, C152,CaseCells!D2:D999, D152,CaseCells!E2:E999, "A")</f>
        <v>1</v>
      </c>
      <c r="J152" s="5">
        <f>SUMIFS(CaseCells!G2:G999,CaseCells!C2:C999, C152,CaseCells!D2:D999, D152,CaseCells!E2:E999, "A")</f>
        <v>15</v>
      </c>
      <c r="K152" s="3">
        <f>IF(J152 = 0, "", I152 / J152)</f>
        <v>0.06666666666666667</v>
      </c>
      <c r="L152" s="5">
        <f>SUMIFS(CaseCells!F2:F999,CaseCells!C2:C999, C152,CaseCells!D2:D999, D152,CaseCells!E2:E999, "B")</f>
        <v>5</v>
      </c>
      <c r="M152" s="5">
        <f>SUMIFS(CaseCells!G2:G999,CaseCells!C2:C999, C152,CaseCells!D2:D999, D152,CaseCells!E2:E999, "B")</f>
        <v>90</v>
      </c>
      <c r="N152" s="3">
        <f>IF(M152 = 0, "", L152 / M152)</f>
        <v>0.05555555555555555</v>
      </c>
      <c r="O152" s="3" t="str">
        <f>IF(K152 &gt; N152, "A", "B")</f>
        <v>A</v>
      </c>
      <c r="P152" s="5">
        <f>SUMIFS(CaseCells!G2:G999,CaseCells!C2:C999, C152)</f>
        <v>280</v>
      </c>
      <c r="Q152" s="5">
        <f>SUMIFS(CaseCells!G2:G999,CaseCells!C2:C999, C152,CaseCells!D2:D999, D152)</f>
        <v>105</v>
      </c>
      <c r="R152" s="3">
        <f>IF(P152 = 0, "", Q152 / P152)</f>
        <v>0.375</v>
      </c>
      <c r="S152" s="3">
        <f>IF(R152 = "", "", R152 * H152)</f>
        <v>0.025</v>
      </c>
      <c r="T152" s="5">
        <f>SUMIFS(CaseCells!G2:G999,CaseCells!C2:C999, C152,CaseCells!D2:D999, D152,CaseCells!E2:E999, "A")</f>
        <v>15</v>
      </c>
      <c r="U152" s="5">
        <f>SUMIFS(CaseCells!G2:G999,CaseCells!C2:C999, C152,CaseCells!D2:D999, D152,CaseCells!E2:E999, "B")</f>
        <v>90</v>
      </c>
      <c r="V152" s="5">
        <f>SUMIFS(CaseCells!G2:G999,CaseCells!C2:C999, C152,CaseCells!E2:E999, "A")</f>
        <v>135</v>
      </c>
      <c r="W152" s="5">
        <f>SUMIFS(CaseCells!G2:G999,CaseCells!C2:C999, C152,CaseCells!E2:E999, "B")</f>
        <v>145</v>
      </c>
      <c r="X152" s="3">
        <f>IF(V152 = 0, "", T152 / V152)</f>
        <v>0.1111111111111111</v>
      </c>
      <c r="Y152" s="3">
        <f>IF(W152 = 0, "", U152 / W152)</f>
        <v>0.6206896551724138</v>
      </c>
      <c r="Z152" s="3">
        <f>IF(X152 = "", "", X152 - Y152)</f>
        <v>-0.5095785440613028</v>
      </c>
      <c r="AA152" s="3">
        <f>IF(K152 = "", "", K152 - N152)</f>
        <v>0.011111111111111113</v>
      </c>
      <c r="AB152" s="3">
        <f>IF(AA152 = "", "", AA152 * R152)</f>
        <v>0.0041666666666666675</v>
      </c>
    </row>
    <row r="153">
      <c r="A153" s="2" t="s">
        <v>1930</v>
      </c>
      <c r="B153" s="3" t="str">
        <f>A153</f>
        <v>north-carolina-death-penalty-1990-black-victim-B</v>
      </c>
      <c r="C153" s="2" t="s">
        <v>539</v>
      </c>
      <c r="D153" s="2" t="s">
        <v>1193</v>
      </c>
      <c r="E153" s="2" t="s">
        <v>795</v>
      </c>
      <c r="F153" s="5">
        <f>SUMIFS(CaseCells!F2:F999,CaseCells!C2:C999, C153,CaseCells!D2:D999, D153,CaseCells!E2:E999, E153)</f>
        <v>5</v>
      </c>
      <c r="G153" s="5">
        <f>SUMIFS(CaseCells!G2:G999,CaseCells!C2:C999, C153,CaseCells!D2:D999, D153,CaseCells!E2:E999, E153)</f>
        <v>90</v>
      </c>
      <c r="H153" s="3">
        <f>IF(G153 = 0, "", F153 / G153)</f>
        <v>0.05555555555555555</v>
      </c>
      <c r="I153" s="5">
        <f>SUMIFS(CaseCells!F2:F999,CaseCells!C2:C999, C153,CaseCells!D2:D999, D153,CaseCells!E2:E999, "A")</f>
        <v>1</v>
      </c>
      <c r="J153" s="5">
        <f>SUMIFS(CaseCells!G2:G999,CaseCells!C2:C999, C153,CaseCells!D2:D999, D153,CaseCells!E2:E999, "A")</f>
        <v>15</v>
      </c>
      <c r="K153" s="3">
        <f>IF(J153 = 0, "", I153 / J153)</f>
        <v>0.06666666666666667</v>
      </c>
      <c r="L153" s="5">
        <f>SUMIFS(CaseCells!F2:F999,CaseCells!C2:C999, C153,CaseCells!D2:D999, D153,CaseCells!E2:E999, "B")</f>
        <v>5</v>
      </c>
      <c r="M153" s="5">
        <f>SUMIFS(CaseCells!G2:G999,CaseCells!C2:C999, C153,CaseCells!D2:D999, D153,CaseCells!E2:E999, "B")</f>
        <v>90</v>
      </c>
      <c r="N153" s="3">
        <f>IF(M153 = 0, "", L153 / M153)</f>
        <v>0.05555555555555555</v>
      </c>
      <c r="O153" s="3" t="str">
        <f>IF(K153 &gt; N153, "A", "B")</f>
        <v>A</v>
      </c>
      <c r="P153" s="5">
        <f>SUMIFS(CaseCells!G2:G999,CaseCells!C2:C999, C153)</f>
        <v>280</v>
      </c>
      <c r="Q153" s="5">
        <f>SUMIFS(CaseCells!G2:G999,CaseCells!C2:C999, C153,CaseCells!D2:D999, D153)</f>
        <v>105</v>
      </c>
      <c r="R153" s="3">
        <f>IF(P153 = 0, "", Q153 / P153)</f>
        <v>0.375</v>
      </c>
      <c r="S153" s="3">
        <f>IF(R153 = "", "", R153 * H153)</f>
        <v>0.020833333333333332</v>
      </c>
      <c r="T153" s="5">
        <f>SUMIFS(CaseCells!G2:G999,CaseCells!C2:C999, C153,CaseCells!D2:D999, D153,CaseCells!E2:E999, "A")</f>
        <v>15</v>
      </c>
      <c r="U153" s="5">
        <f>SUMIFS(CaseCells!G2:G999,CaseCells!C2:C999, C153,CaseCells!D2:D999, D153,CaseCells!E2:E999, "B")</f>
        <v>90</v>
      </c>
      <c r="V153" s="5">
        <f>SUMIFS(CaseCells!G2:G999,CaseCells!C2:C999, C153,CaseCells!E2:E999, "A")</f>
        <v>135</v>
      </c>
      <c r="W153" s="5">
        <f>SUMIFS(CaseCells!G2:G999,CaseCells!C2:C999, C153,CaseCells!E2:E999, "B")</f>
        <v>145</v>
      </c>
      <c r="X153" s="3">
        <f>IF(V153 = 0, "", T153 / V153)</f>
        <v>0.1111111111111111</v>
      </c>
      <c r="Y153" s="3">
        <f>IF(W153 = 0, "", U153 / W153)</f>
        <v>0.6206896551724138</v>
      </c>
      <c r="Z153" s="3">
        <f>IF(X153 = "", "", X153 - Y153)</f>
        <v>-0.5095785440613028</v>
      </c>
      <c r="AA153" s="3">
        <f>IF(K153 = "", "", K153 - N153)</f>
        <v>0.011111111111111113</v>
      </c>
      <c r="AB153" s="3">
        <f>IF(AA153 = "", "", AA153 * R153)</f>
        <v>0.0041666666666666675</v>
      </c>
    </row>
    <row r="154">
      <c r="A154" s="2" t="s">
        <v>1931</v>
      </c>
      <c r="B154" s="3" t="str">
        <f>A154</f>
        <v>housing-discrimination-audit-high-income-A</v>
      </c>
      <c r="C154" s="2" t="s">
        <v>542</v>
      </c>
      <c r="D154" s="2" t="s">
        <v>1374</v>
      </c>
      <c r="E154" s="2" t="s">
        <v>792</v>
      </c>
      <c r="F154" s="5">
        <f>SUMIFS(CaseCells!F2:F999,CaseCells!C2:C999, C154,CaseCells!D2:D999, D154,CaseCells!E2:E999, E154)</f>
        <v>180</v>
      </c>
      <c r="G154" s="5">
        <f>SUMIFS(CaseCells!G2:G999,CaseCells!C2:C999, C154,CaseCells!D2:D999, D154,CaseCells!E2:E999, E154)</f>
        <v>250</v>
      </c>
      <c r="H154" s="3">
        <f>IF(G154 = 0, "", F154 / G154)</f>
        <v>0.72</v>
      </c>
      <c r="I154" s="5">
        <f>SUMIFS(CaseCells!F2:F999,CaseCells!C2:C999, C154,CaseCells!D2:D999, D154,CaseCells!E2:E999, "A")</f>
        <v>180</v>
      </c>
      <c r="J154" s="5">
        <f>SUMIFS(CaseCells!G2:G999,CaseCells!C2:C999, C154,CaseCells!D2:D999, D154,CaseCells!E2:E999, "A")</f>
        <v>250</v>
      </c>
      <c r="K154" s="3">
        <f>IF(J154 = 0, "", I154 / J154)</f>
        <v>0.72</v>
      </c>
      <c r="L154" s="5">
        <f>SUMIFS(CaseCells!F2:F999,CaseCells!C2:C999, C154,CaseCells!D2:D999, D154,CaseCells!E2:E999, "B")</f>
        <v>200</v>
      </c>
      <c r="M154" s="5">
        <f>SUMIFS(CaseCells!G2:G999,CaseCells!C2:C999, C154,CaseCells!D2:D999, D154,CaseCells!E2:E999, "B")</f>
        <v>250</v>
      </c>
      <c r="N154" s="3">
        <f>IF(M154 = 0, "", L154 / M154)</f>
        <v>0.8</v>
      </c>
      <c r="O154" s="3" t="str">
        <f>IF(K154 &gt; N154, "A", "B")</f>
        <v>B</v>
      </c>
      <c r="P154" s="5">
        <f>SUMIFS(CaseCells!G2:G999,CaseCells!C2:C999, C154)</f>
        <v>1000</v>
      </c>
      <c r="Q154" s="5">
        <f>SUMIFS(CaseCells!G2:G999,CaseCells!C2:C999, C154,CaseCells!D2:D999, D154)</f>
        <v>500</v>
      </c>
      <c r="R154" s="3">
        <f>IF(P154 = 0, "", Q154 / P154)</f>
        <v>0.5</v>
      </c>
      <c r="S154" s="3">
        <f>IF(R154 = "", "", R154 * H154)</f>
        <v>0.36</v>
      </c>
      <c r="T154" s="5">
        <f>SUMIFS(CaseCells!G2:G999,CaseCells!C2:C999, C154,CaseCells!D2:D999, D154,CaseCells!E2:E999, "A")</f>
        <v>250</v>
      </c>
      <c r="U154" s="5">
        <f>SUMIFS(CaseCells!G2:G999,CaseCells!C2:C999, C154,CaseCells!D2:D999, D154,CaseCells!E2:E999, "B")</f>
        <v>250</v>
      </c>
      <c r="V154" s="5">
        <f>SUMIFS(CaseCells!G2:G999,CaseCells!C2:C999, C154,CaseCells!E2:E999, "A")</f>
        <v>500</v>
      </c>
      <c r="W154" s="5">
        <f>SUMIFS(CaseCells!G2:G999,CaseCells!C2:C999, C154,CaseCells!E2:E999, "B")</f>
        <v>500</v>
      </c>
      <c r="X154" s="3">
        <f>IF(V154 = 0, "", T154 / V154)</f>
        <v>0.5</v>
      </c>
      <c r="Y154" s="3">
        <f>IF(W154 = 0, "", U154 / W154)</f>
        <v>0.5</v>
      </c>
      <c r="Z154" s="3">
        <f>IF(X154 = "", "", X154 - Y154)</f>
        <v>0</v>
      </c>
      <c r="AA154" s="3">
        <f>IF(K154 = "", "", K154 - N154)</f>
        <v>-0.08000000000000007</v>
      </c>
      <c r="AB154" s="3">
        <f>IF(AA154 = "", "", AA154 * R154)</f>
        <v>-0.040000000000000036</v>
      </c>
    </row>
    <row r="155">
      <c r="A155" s="2" t="s">
        <v>1932</v>
      </c>
      <c r="B155" s="3" t="str">
        <f>A155</f>
        <v>housing-discrimination-audit-high-income-B</v>
      </c>
      <c r="C155" s="2" t="s">
        <v>542</v>
      </c>
      <c r="D155" s="2" t="s">
        <v>1374</v>
      </c>
      <c r="E155" s="2" t="s">
        <v>795</v>
      </c>
      <c r="F155" s="5">
        <f>SUMIFS(CaseCells!F2:F999,CaseCells!C2:C999, C155,CaseCells!D2:D999, D155,CaseCells!E2:E999, E155)</f>
        <v>200</v>
      </c>
      <c r="G155" s="5">
        <f>SUMIFS(CaseCells!G2:G999,CaseCells!C2:C999, C155,CaseCells!D2:D999, D155,CaseCells!E2:E999, E155)</f>
        <v>250</v>
      </c>
      <c r="H155" s="3">
        <f>IF(G155 = 0, "", F155 / G155)</f>
        <v>0.8</v>
      </c>
      <c r="I155" s="5">
        <f>SUMIFS(CaseCells!F2:F999,CaseCells!C2:C999, C155,CaseCells!D2:D999, D155,CaseCells!E2:E999, "A")</f>
        <v>180</v>
      </c>
      <c r="J155" s="5">
        <f>SUMIFS(CaseCells!G2:G999,CaseCells!C2:C999, C155,CaseCells!D2:D999, D155,CaseCells!E2:E999, "A")</f>
        <v>250</v>
      </c>
      <c r="K155" s="3">
        <f>IF(J155 = 0, "", I155 / J155)</f>
        <v>0.72</v>
      </c>
      <c r="L155" s="5">
        <f>SUMIFS(CaseCells!F2:F999,CaseCells!C2:C999, C155,CaseCells!D2:D999, D155,CaseCells!E2:E999, "B")</f>
        <v>200</v>
      </c>
      <c r="M155" s="5">
        <f>SUMIFS(CaseCells!G2:G999,CaseCells!C2:C999, C155,CaseCells!D2:D999, D155,CaseCells!E2:E999, "B")</f>
        <v>250</v>
      </c>
      <c r="N155" s="3">
        <f>IF(M155 = 0, "", L155 / M155)</f>
        <v>0.8</v>
      </c>
      <c r="O155" s="3" t="str">
        <f>IF(K155 &gt; N155, "A", "B")</f>
        <v>B</v>
      </c>
      <c r="P155" s="5">
        <f>SUMIFS(CaseCells!G2:G999,CaseCells!C2:C999, C155)</f>
        <v>1000</v>
      </c>
      <c r="Q155" s="5">
        <f>SUMIFS(CaseCells!G2:G999,CaseCells!C2:C999, C155,CaseCells!D2:D999, D155)</f>
        <v>500</v>
      </c>
      <c r="R155" s="3">
        <f>IF(P155 = 0, "", Q155 / P155)</f>
        <v>0.5</v>
      </c>
      <c r="S155" s="3">
        <f>IF(R155 = "", "", R155 * H155)</f>
        <v>0.4</v>
      </c>
      <c r="T155" s="5">
        <f>SUMIFS(CaseCells!G2:G999,CaseCells!C2:C999, C155,CaseCells!D2:D999, D155,CaseCells!E2:E999, "A")</f>
        <v>250</v>
      </c>
      <c r="U155" s="5">
        <f>SUMIFS(CaseCells!G2:G999,CaseCells!C2:C999, C155,CaseCells!D2:D999, D155,CaseCells!E2:E999, "B")</f>
        <v>250</v>
      </c>
      <c r="V155" s="5">
        <f>SUMIFS(CaseCells!G2:G999,CaseCells!C2:C999, C155,CaseCells!E2:E999, "A")</f>
        <v>500</v>
      </c>
      <c r="W155" s="5">
        <f>SUMIFS(CaseCells!G2:G999,CaseCells!C2:C999, C155,CaseCells!E2:E999, "B")</f>
        <v>500</v>
      </c>
      <c r="X155" s="3">
        <f>IF(V155 = 0, "", T155 / V155)</f>
        <v>0.5</v>
      </c>
      <c r="Y155" s="3">
        <f>IF(W155 = 0, "", U155 / W155)</f>
        <v>0.5</v>
      </c>
      <c r="Z155" s="3">
        <f>IF(X155 = "", "", X155 - Y155)</f>
        <v>0</v>
      </c>
      <c r="AA155" s="3">
        <f>IF(K155 = "", "", K155 - N155)</f>
        <v>-0.08000000000000007</v>
      </c>
      <c r="AB155" s="3">
        <f>IF(AA155 = "", "", AA155 * R155)</f>
        <v>-0.040000000000000036</v>
      </c>
    </row>
    <row r="156">
      <c r="A156" s="2" t="s">
        <v>1933</v>
      </c>
      <c r="B156" s="3" t="str">
        <f>A156</f>
        <v>housing-discrimination-audit-low-income-A</v>
      </c>
      <c r="C156" s="2" t="s">
        <v>542</v>
      </c>
      <c r="D156" s="2" t="s">
        <v>1377</v>
      </c>
      <c r="E156" s="2" t="s">
        <v>792</v>
      </c>
      <c r="F156" s="5">
        <f>SUMIFS(CaseCells!F2:F999,CaseCells!C2:C999, C156,CaseCells!D2:D999, D156,CaseCells!E2:E999, E156)</f>
        <v>120</v>
      </c>
      <c r="G156" s="5">
        <f>SUMIFS(CaseCells!G2:G999,CaseCells!C2:C999, C156,CaseCells!D2:D999, D156,CaseCells!E2:E999, E156)</f>
        <v>250</v>
      </c>
      <c r="H156" s="3">
        <f>IF(G156 = 0, "", F156 / G156)</f>
        <v>0.48</v>
      </c>
      <c r="I156" s="5">
        <f>SUMIFS(CaseCells!F2:F999,CaseCells!C2:C999, C156,CaseCells!D2:D999, D156,CaseCells!E2:E999, "A")</f>
        <v>120</v>
      </c>
      <c r="J156" s="5">
        <f>SUMIFS(CaseCells!G2:G999,CaseCells!C2:C999, C156,CaseCells!D2:D999, D156,CaseCells!E2:E999, "A")</f>
        <v>250</v>
      </c>
      <c r="K156" s="3">
        <f>IF(J156 = 0, "", I156 / J156)</f>
        <v>0.48</v>
      </c>
      <c r="L156" s="5">
        <f>SUMIFS(CaseCells!F2:F999,CaseCells!C2:C999, C156,CaseCells!D2:D999, D156,CaseCells!E2:E999, "B")</f>
        <v>160</v>
      </c>
      <c r="M156" s="5">
        <f>SUMIFS(CaseCells!G2:G999,CaseCells!C2:C999, C156,CaseCells!D2:D999, D156,CaseCells!E2:E999, "B")</f>
        <v>250</v>
      </c>
      <c r="N156" s="3">
        <f>IF(M156 = 0, "", L156 / M156)</f>
        <v>0.64</v>
      </c>
      <c r="O156" s="3" t="str">
        <f>IF(K156 &gt; N156, "A", "B")</f>
        <v>B</v>
      </c>
      <c r="P156" s="5">
        <f>SUMIFS(CaseCells!G2:G999,CaseCells!C2:C999, C156)</f>
        <v>1000</v>
      </c>
      <c r="Q156" s="5">
        <f>SUMIFS(CaseCells!G2:G999,CaseCells!C2:C999, C156,CaseCells!D2:D999, D156)</f>
        <v>500</v>
      </c>
      <c r="R156" s="3">
        <f>IF(P156 = 0, "", Q156 / P156)</f>
        <v>0.5</v>
      </c>
      <c r="S156" s="3">
        <f>IF(R156 = "", "", R156 * H156)</f>
        <v>0.24</v>
      </c>
      <c r="T156" s="5">
        <f>SUMIFS(CaseCells!G2:G999,CaseCells!C2:C999, C156,CaseCells!D2:D999, D156,CaseCells!E2:E999, "A")</f>
        <v>250</v>
      </c>
      <c r="U156" s="5">
        <f>SUMIFS(CaseCells!G2:G999,CaseCells!C2:C999, C156,CaseCells!D2:D999, D156,CaseCells!E2:E999, "B")</f>
        <v>250</v>
      </c>
      <c r="V156" s="5">
        <f>SUMIFS(CaseCells!G2:G999,CaseCells!C2:C999, C156,CaseCells!E2:E999, "A")</f>
        <v>500</v>
      </c>
      <c r="W156" s="5">
        <f>SUMIFS(CaseCells!G2:G999,CaseCells!C2:C999, C156,CaseCells!E2:E999, "B")</f>
        <v>500</v>
      </c>
      <c r="X156" s="3">
        <f>IF(V156 = 0, "", T156 / V156)</f>
        <v>0.5</v>
      </c>
      <c r="Y156" s="3">
        <f>IF(W156 = 0, "", U156 / W156)</f>
        <v>0.5</v>
      </c>
      <c r="Z156" s="3">
        <f>IF(X156 = "", "", X156 - Y156)</f>
        <v>0</v>
      </c>
      <c r="AA156" s="3">
        <f>IF(K156 = "", "", K156 - N156)</f>
        <v>-0.16000000000000003</v>
      </c>
      <c r="AB156" s="3">
        <f>IF(AA156 = "", "", AA156 * R156)</f>
        <v>-0.08000000000000002</v>
      </c>
    </row>
    <row r="157">
      <c r="A157" s="2" t="s">
        <v>1934</v>
      </c>
      <c r="B157" s="3" t="str">
        <f>A157</f>
        <v>housing-discrimination-audit-low-income-B</v>
      </c>
      <c r="C157" s="2" t="s">
        <v>542</v>
      </c>
      <c r="D157" s="2" t="s">
        <v>1377</v>
      </c>
      <c r="E157" s="2" t="s">
        <v>795</v>
      </c>
      <c r="F157" s="5">
        <f>SUMIFS(CaseCells!F2:F999,CaseCells!C2:C999, C157,CaseCells!D2:D999, D157,CaseCells!E2:E999, E157)</f>
        <v>160</v>
      </c>
      <c r="G157" s="5">
        <f>SUMIFS(CaseCells!G2:G999,CaseCells!C2:C999, C157,CaseCells!D2:D999, D157,CaseCells!E2:E999, E157)</f>
        <v>250</v>
      </c>
      <c r="H157" s="3">
        <f>IF(G157 = 0, "", F157 / G157)</f>
        <v>0.64</v>
      </c>
      <c r="I157" s="5">
        <f>SUMIFS(CaseCells!F2:F999,CaseCells!C2:C999, C157,CaseCells!D2:D999, D157,CaseCells!E2:E999, "A")</f>
        <v>120</v>
      </c>
      <c r="J157" s="5">
        <f>SUMIFS(CaseCells!G2:G999,CaseCells!C2:C999, C157,CaseCells!D2:D999, D157,CaseCells!E2:E999, "A")</f>
        <v>250</v>
      </c>
      <c r="K157" s="3">
        <f>IF(J157 = 0, "", I157 / J157)</f>
        <v>0.48</v>
      </c>
      <c r="L157" s="5">
        <f>SUMIFS(CaseCells!F2:F999,CaseCells!C2:C999, C157,CaseCells!D2:D999, D157,CaseCells!E2:E999, "B")</f>
        <v>160</v>
      </c>
      <c r="M157" s="5">
        <f>SUMIFS(CaseCells!G2:G999,CaseCells!C2:C999, C157,CaseCells!D2:D999, D157,CaseCells!E2:E999, "B")</f>
        <v>250</v>
      </c>
      <c r="N157" s="3">
        <f>IF(M157 = 0, "", L157 / M157)</f>
        <v>0.64</v>
      </c>
      <c r="O157" s="3" t="str">
        <f>IF(K157 &gt; N157, "A", "B")</f>
        <v>B</v>
      </c>
      <c r="P157" s="5">
        <f>SUMIFS(CaseCells!G2:G999,CaseCells!C2:C999, C157)</f>
        <v>1000</v>
      </c>
      <c r="Q157" s="5">
        <f>SUMIFS(CaseCells!G2:G999,CaseCells!C2:C999, C157,CaseCells!D2:D999, D157)</f>
        <v>500</v>
      </c>
      <c r="R157" s="3">
        <f>IF(P157 = 0, "", Q157 / P157)</f>
        <v>0.5</v>
      </c>
      <c r="S157" s="3">
        <f>IF(R157 = "", "", R157 * H157)</f>
        <v>0.32</v>
      </c>
      <c r="T157" s="5">
        <f>SUMIFS(CaseCells!G2:G999,CaseCells!C2:C999, C157,CaseCells!D2:D999, D157,CaseCells!E2:E999, "A")</f>
        <v>250</v>
      </c>
      <c r="U157" s="5">
        <f>SUMIFS(CaseCells!G2:G999,CaseCells!C2:C999, C157,CaseCells!D2:D999, D157,CaseCells!E2:E999, "B")</f>
        <v>250</v>
      </c>
      <c r="V157" s="5">
        <f>SUMIFS(CaseCells!G2:G999,CaseCells!C2:C999, C157,CaseCells!E2:E999, "A")</f>
        <v>500</v>
      </c>
      <c r="W157" s="5">
        <f>SUMIFS(CaseCells!G2:G999,CaseCells!C2:C999, C157,CaseCells!E2:E999, "B")</f>
        <v>500</v>
      </c>
      <c r="X157" s="3">
        <f>IF(V157 = 0, "", T157 / V157)</f>
        <v>0.5</v>
      </c>
      <c r="Y157" s="3">
        <f>IF(W157 = 0, "", U157 / W157)</f>
        <v>0.5</v>
      </c>
      <c r="Z157" s="3">
        <f>IF(X157 = "", "", X157 - Y157)</f>
        <v>0</v>
      </c>
      <c r="AA157" s="3">
        <f>IF(K157 = "", "", K157 - N157)</f>
        <v>-0.16000000000000003</v>
      </c>
      <c r="AB157" s="3">
        <f>IF(AA157 = "", "", AA157 * R157)</f>
        <v>-0.08000000000000002</v>
      </c>
    </row>
    <row r="158">
      <c r="A158" s="2" t="s">
        <v>1935</v>
      </c>
      <c r="B158" s="3" t="str">
        <f>A158</f>
        <v>gender-pay-gap-industry-tech-professional-A</v>
      </c>
      <c r="C158" s="2" t="s">
        <v>547</v>
      </c>
      <c r="D158" s="2" t="s">
        <v>1380</v>
      </c>
      <c r="E158" s="2" t="s">
        <v>792</v>
      </c>
      <c r="F158" s="5">
        <f>SUMIFS(CaseCells!F2:F999,CaseCells!C2:C999, C158,CaseCells!D2:D999, D158,CaseCells!E2:E999, E158)</f>
        <v>420</v>
      </c>
      <c r="G158" s="5">
        <f>SUMIFS(CaseCells!G2:G999,CaseCells!C2:C999, C158,CaseCells!D2:D999, D158,CaseCells!E2:E999, E158)</f>
        <v>600</v>
      </c>
      <c r="H158" s="3">
        <f>IF(G158 = 0, "", F158 / G158)</f>
        <v>0.7</v>
      </c>
      <c r="I158" s="5">
        <f>SUMIFS(CaseCells!F2:F999,CaseCells!C2:C999, C158,CaseCells!D2:D999, D158,CaseCells!E2:E999, "A")</f>
        <v>420</v>
      </c>
      <c r="J158" s="5">
        <f>SUMIFS(CaseCells!G2:G999,CaseCells!C2:C999, C158,CaseCells!D2:D999, D158,CaseCells!E2:E999, "A")</f>
        <v>600</v>
      </c>
      <c r="K158" s="3">
        <f>IF(J158 = 0, "", I158 / J158)</f>
        <v>0.7</v>
      </c>
      <c r="L158" s="5">
        <f>SUMIFS(CaseCells!F2:F999,CaseCells!C2:C999, C158,CaseCells!D2:D999, D158,CaseCells!E2:E999, "B")</f>
        <v>280</v>
      </c>
      <c r="M158" s="5">
        <f>SUMIFS(CaseCells!G2:G999,CaseCells!C2:C999, C158,CaseCells!D2:D999, D158,CaseCells!E2:E999, "B")</f>
        <v>400</v>
      </c>
      <c r="N158" s="3">
        <f>IF(M158 = 0, "", L158 / M158)</f>
        <v>0.7</v>
      </c>
      <c r="O158" s="3" t="str">
        <f>IF(K158 &gt; N158, "A", "B")</f>
        <v>B</v>
      </c>
      <c r="P158" s="5">
        <f>SUMIFS(CaseCells!G2:G999,CaseCells!C2:C999, C158)</f>
        <v>2800</v>
      </c>
      <c r="Q158" s="5">
        <f>SUMIFS(CaseCells!G2:G999,CaseCells!C2:C999, C158,CaseCells!D2:D999, D158)</f>
        <v>1000</v>
      </c>
      <c r="R158" s="3">
        <f>IF(P158 = 0, "", Q158 / P158)</f>
        <v>0.35714285714285715</v>
      </c>
      <c r="S158" s="3">
        <f>IF(R158 = "", "", R158 * H158)</f>
        <v>0.25</v>
      </c>
      <c r="T158" s="5">
        <f>SUMIFS(CaseCells!G2:G999,CaseCells!C2:C999, C158,CaseCells!D2:D999, D158,CaseCells!E2:E999, "A")</f>
        <v>600</v>
      </c>
      <c r="U158" s="5">
        <f>SUMIFS(CaseCells!G2:G999,CaseCells!C2:C999, C158,CaseCells!D2:D999, D158,CaseCells!E2:E999, "B")</f>
        <v>400</v>
      </c>
      <c r="V158" s="5">
        <f>SUMIFS(CaseCells!G2:G999,CaseCells!C2:C999, C158,CaseCells!E2:E999, "A")</f>
        <v>1400</v>
      </c>
      <c r="W158" s="5">
        <f>SUMIFS(CaseCells!G2:G999,CaseCells!C2:C999, C158,CaseCells!E2:E999, "B")</f>
        <v>1400</v>
      </c>
      <c r="X158" s="3">
        <f>IF(V158 = 0, "", T158 / V158)</f>
        <v>0.42857142857142855</v>
      </c>
      <c r="Y158" s="3">
        <f>IF(W158 = 0, "", U158 / W158)</f>
        <v>0.2857142857142857</v>
      </c>
      <c r="Z158" s="3">
        <f>IF(X158 = "", "", X158 - Y158)</f>
        <v>0.14285714285714285</v>
      </c>
      <c r="AA158" s="3">
        <f>IF(K158 = "", "", K158 - N158)</f>
        <v>0</v>
      </c>
      <c r="AB158" s="3">
        <f>IF(AA158 = "", "", AA158 * R158)</f>
        <v>0</v>
      </c>
    </row>
    <row r="159">
      <c r="A159" s="2" t="s">
        <v>1936</v>
      </c>
      <c r="B159" s="3" t="str">
        <f>A159</f>
        <v>gender-pay-gap-industry-tech-professional-B</v>
      </c>
      <c r="C159" s="2" t="s">
        <v>547</v>
      </c>
      <c r="D159" s="2" t="s">
        <v>1380</v>
      </c>
      <c r="E159" s="2" t="s">
        <v>795</v>
      </c>
      <c r="F159" s="5">
        <f>SUMIFS(CaseCells!F2:F999,CaseCells!C2:C999, C159,CaseCells!D2:D999, D159,CaseCells!E2:E999, E159)</f>
        <v>280</v>
      </c>
      <c r="G159" s="5">
        <f>SUMIFS(CaseCells!G2:G999,CaseCells!C2:C999, C159,CaseCells!D2:D999, D159,CaseCells!E2:E999, E159)</f>
        <v>400</v>
      </c>
      <c r="H159" s="3">
        <f>IF(G159 = 0, "", F159 / G159)</f>
        <v>0.7</v>
      </c>
      <c r="I159" s="5">
        <f>SUMIFS(CaseCells!F2:F999,CaseCells!C2:C999, C159,CaseCells!D2:D999, D159,CaseCells!E2:E999, "A")</f>
        <v>420</v>
      </c>
      <c r="J159" s="5">
        <f>SUMIFS(CaseCells!G2:G999,CaseCells!C2:C999, C159,CaseCells!D2:D999, D159,CaseCells!E2:E999, "A")</f>
        <v>600</v>
      </c>
      <c r="K159" s="3">
        <f>IF(J159 = 0, "", I159 / J159)</f>
        <v>0.7</v>
      </c>
      <c r="L159" s="5">
        <f>SUMIFS(CaseCells!F2:F999,CaseCells!C2:C999, C159,CaseCells!D2:D999, D159,CaseCells!E2:E999, "B")</f>
        <v>280</v>
      </c>
      <c r="M159" s="5">
        <f>SUMIFS(CaseCells!G2:G999,CaseCells!C2:C999, C159,CaseCells!D2:D999, D159,CaseCells!E2:E999, "B")</f>
        <v>400</v>
      </c>
      <c r="N159" s="3">
        <f>IF(M159 = 0, "", L159 / M159)</f>
        <v>0.7</v>
      </c>
      <c r="O159" s="3" t="str">
        <f>IF(K159 &gt; N159, "A", "B")</f>
        <v>B</v>
      </c>
      <c r="P159" s="5">
        <f>SUMIFS(CaseCells!G2:G999,CaseCells!C2:C999, C159)</f>
        <v>2800</v>
      </c>
      <c r="Q159" s="5">
        <f>SUMIFS(CaseCells!G2:G999,CaseCells!C2:C999, C159,CaseCells!D2:D999, D159)</f>
        <v>1000</v>
      </c>
      <c r="R159" s="3">
        <f>IF(P159 = 0, "", Q159 / P159)</f>
        <v>0.35714285714285715</v>
      </c>
      <c r="S159" s="3">
        <f>IF(R159 = "", "", R159 * H159)</f>
        <v>0.25</v>
      </c>
      <c r="T159" s="5">
        <f>SUMIFS(CaseCells!G2:G999,CaseCells!C2:C999, C159,CaseCells!D2:D999, D159,CaseCells!E2:E999, "A")</f>
        <v>600</v>
      </c>
      <c r="U159" s="5">
        <f>SUMIFS(CaseCells!G2:G999,CaseCells!C2:C999, C159,CaseCells!D2:D999, D159,CaseCells!E2:E999, "B")</f>
        <v>400</v>
      </c>
      <c r="V159" s="5">
        <f>SUMIFS(CaseCells!G2:G999,CaseCells!C2:C999, C159,CaseCells!E2:E999, "A")</f>
        <v>1400</v>
      </c>
      <c r="W159" s="5">
        <f>SUMIFS(CaseCells!G2:G999,CaseCells!C2:C999, C159,CaseCells!E2:E999, "B")</f>
        <v>1400</v>
      </c>
      <c r="X159" s="3">
        <f>IF(V159 = 0, "", T159 / V159)</f>
        <v>0.42857142857142855</v>
      </c>
      <c r="Y159" s="3">
        <f>IF(W159 = 0, "", U159 / W159)</f>
        <v>0.2857142857142857</v>
      </c>
      <c r="Z159" s="3">
        <f>IF(X159 = "", "", X159 - Y159)</f>
        <v>0.14285714285714285</v>
      </c>
      <c r="AA159" s="3">
        <f>IF(K159 = "", "", K159 - N159)</f>
        <v>0</v>
      </c>
      <c r="AB159" s="3">
        <f>IF(AA159 = "", "", AA159 * R159)</f>
        <v>0</v>
      </c>
    </row>
    <row r="160">
      <c r="A160" s="2" t="s">
        <v>1937</v>
      </c>
      <c r="B160" s="3" t="str">
        <f>A160</f>
        <v>gender-pay-gap-industry-healthcare-A</v>
      </c>
      <c r="C160" s="2" t="s">
        <v>547</v>
      </c>
      <c r="D160" s="2" t="s">
        <v>1383</v>
      </c>
      <c r="E160" s="2" t="s">
        <v>792</v>
      </c>
      <c r="F160" s="5">
        <f>SUMIFS(CaseCells!F2:F999,CaseCells!C2:C999, C160,CaseCells!D2:D999, D160,CaseCells!E2:E999, E160)</f>
        <v>200</v>
      </c>
      <c r="G160" s="5">
        <f>SUMIFS(CaseCells!G2:G999,CaseCells!C2:C999, C160,CaseCells!D2:D999, D160,CaseCells!E2:E999, E160)</f>
        <v>400</v>
      </c>
      <c r="H160" s="3">
        <f>IF(G160 = 0, "", F160 / G160)</f>
        <v>0.5</v>
      </c>
      <c r="I160" s="5">
        <f>SUMIFS(CaseCells!F2:F999,CaseCells!C2:C999, C160,CaseCells!D2:D999, D160,CaseCells!E2:E999, "A")</f>
        <v>200</v>
      </c>
      <c r="J160" s="5">
        <f>SUMIFS(CaseCells!G2:G999,CaseCells!C2:C999, C160,CaseCells!D2:D999, D160,CaseCells!E2:E999, "A")</f>
        <v>400</v>
      </c>
      <c r="K160" s="3">
        <f>IF(J160 = 0, "", I160 / J160)</f>
        <v>0.5</v>
      </c>
      <c r="L160" s="5">
        <f>SUMIFS(CaseCells!F2:F999,CaseCells!C2:C999, C160,CaseCells!D2:D999, D160,CaseCells!E2:E999, "B")</f>
        <v>350</v>
      </c>
      <c r="M160" s="5">
        <f>SUMIFS(CaseCells!G2:G999,CaseCells!C2:C999, C160,CaseCells!D2:D999, D160,CaseCells!E2:E999, "B")</f>
        <v>500</v>
      </c>
      <c r="N160" s="3">
        <f>IF(M160 = 0, "", L160 / M160)</f>
        <v>0.7</v>
      </c>
      <c r="O160" s="3" t="str">
        <f>IF(K160 &gt; N160, "A", "B")</f>
        <v>B</v>
      </c>
      <c r="P160" s="5">
        <f>SUMIFS(CaseCells!G2:G999,CaseCells!C2:C999, C160)</f>
        <v>2800</v>
      </c>
      <c r="Q160" s="5">
        <f>SUMIFS(CaseCells!G2:G999,CaseCells!C2:C999, C160,CaseCells!D2:D999, D160)</f>
        <v>900</v>
      </c>
      <c r="R160" s="3">
        <f>IF(P160 = 0, "", Q160 / P160)</f>
        <v>0.32142857142857145</v>
      </c>
      <c r="S160" s="3">
        <f>IF(R160 = "", "", R160 * H160)</f>
        <v>0.16071428571428573</v>
      </c>
      <c r="T160" s="5">
        <f>SUMIFS(CaseCells!G2:G999,CaseCells!C2:C999, C160,CaseCells!D2:D999, D160,CaseCells!E2:E999, "A")</f>
        <v>400</v>
      </c>
      <c r="U160" s="5">
        <f>SUMIFS(CaseCells!G2:G999,CaseCells!C2:C999, C160,CaseCells!D2:D999, D160,CaseCells!E2:E999, "B")</f>
        <v>500</v>
      </c>
      <c r="V160" s="5">
        <f>SUMIFS(CaseCells!G2:G999,CaseCells!C2:C999, C160,CaseCells!E2:E999, "A")</f>
        <v>1400</v>
      </c>
      <c r="W160" s="5">
        <f>SUMIFS(CaseCells!G2:G999,CaseCells!C2:C999, C160,CaseCells!E2:E999, "B")</f>
        <v>1400</v>
      </c>
      <c r="X160" s="3">
        <f>IF(V160 = 0, "", T160 / V160)</f>
        <v>0.2857142857142857</v>
      </c>
      <c r="Y160" s="3">
        <f>IF(W160 = 0, "", U160 / W160)</f>
        <v>0.35714285714285715</v>
      </c>
      <c r="Z160" s="3">
        <f>IF(X160 = "", "", X160 - Y160)</f>
        <v>-0.07142857142857145</v>
      </c>
      <c r="AA160" s="3">
        <f>IF(K160 = "", "", K160 - N160)</f>
        <v>-0.19999999999999996</v>
      </c>
      <c r="AB160" s="3">
        <f>IF(AA160 = "", "", AA160 * R160)</f>
        <v>-0.06428571428571428</v>
      </c>
    </row>
    <row r="161">
      <c r="A161" s="2" t="s">
        <v>1938</v>
      </c>
      <c r="B161" s="3" t="str">
        <f>A161</f>
        <v>gender-pay-gap-industry-healthcare-B</v>
      </c>
      <c r="C161" s="2" t="s">
        <v>547</v>
      </c>
      <c r="D161" s="2" t="s">
        <v>1383</v>
      </c>
      <c r="E161" s="2" t="s">
        <v>795</v>
      </c>
      <c r="F161" s="5">
        <f>SUMIFS(CaseCells!F2:F999,CaseCells!C2:C999, C161,CaseCells!D2:D999, D161,CaseCells!E2:E999, E161)</f>
        <v>350</v>
      </c>
      <c r="G161" s="5">
        <f>SUMIFS(CaseCells!G2:G999,CaseCells!C2:C999, C161,CaseCells!D2:D999, D161,CaseCells!E2:E999, E161)</f>
        <v>500</v>
      </c>
      <c r="H161" s="3">
        <f>IF(G161 = 0, "", F161 / G161)</f>
        <v>0.7</v>
      </c>
      <c r="I161" s="5">
        <f>SUMIFS(CaseCells!F2:F999,CaseCells!C2:C999, C161,CaseCells!D2:D999, D161,CaseCells!E2:E999, "A")</f>
        <v>200</v>
      </c>
      <c r="J161" s="5">
        <f>SUMIFS(CaseCells!G2:G999,CaseCells!C2:C999, C161,CaseCells!D2:D999, D161,CaseCells!E2:E999, "A")</f>
        <v>400</v>
      </c>
      <c r="K161" s="3">
        <f>IF(J161 = 0, "", I161 / J161)</f>
        <v>0.5</v>
      </c>
      <c r="L161" s="5">
        <f>SUMIFS(CaseCells!F2:F999,CaseCells!C2:C999, C161,CaseCells!D2:D999, D161,CaseCells!E2:E999, "B")</f>
        <v>350</v>
      </c>
      <c r="M161" s="5">
        <f>SUMIFS(CaseCells!G2:G999,CaseCells!C2:C999, C161,CaseCells!D2:D999, D161,CaseCells!E2:E999, "B")</f>
        <v>500</v>
      </c>
      <c r="N161" s="3">
        <f>IF(M161 = 0, "", L161 / M161)</f>
        <v>0.7</v>
      </c>
      <c r="O161" s="3" t="str">
        <f>IF(K161 &gt; N161, "A", "B")</f>
        <v>B</v>
      </c>
      <c r="P161" s="5">
        <f>SUMIFS(CaseCells!G2:G999,CaseCells!C2:C999, C161)</f>
        <v>2800</v>
      </c>
      <c r="Q161" s="5">
        <f>SUMIFS(CaseCells!G2:G999,CaseCells!C2:C999, C161,CaseCells!D2:D999, D161)</f>
        <v>900</v>
      </c>
      <c r="R161" s="3">
        <f>IF(P161 = 0, "", Q161 / P161)</f>
        <v>0.32142857142857145</v>
      </c>
      <c r="S161" s="3">
        <f>IF(R161 = "", "", R161 * H161)</f>
        <v>0.225</v>
      </c>
      <c r="T161" s="5">
        <f>SUMIFS(CaseCells!G2:G999,CaseCells!C2:C999, C161,CaseCells!D2:D999, D161,CaseCells!E2:E999, "A")</f>
        <v>400</v>
      </c>
      <c r="U161" s="5">
        <f>SUMIFS(CaseCells!G2:G999,CaseCells!C2:C999, C161,CaseCells!D2:D999, D161,CaseCells!E2:E999, "B")</f>
        <v>500</v>
      </c>
      <c r="V161" s="5">
        <f>SUMIFS(CaseCells!G2:G999,CaseCells!C2:C999, C161,CaseCells!E2:E999, "A")</f>
        <v>1400</v>
      </c>
      <c r="W161" s="5">
        <f>SUMIFS(CaseCells!G2:G999,CaseCells!C2:C999, C161,CaseCells!E2:E999, "B")</f>
        <v>1400</v>
      </c>
      <c r="X161" s="3">
        <f>IF(V161 = 0, "", T161 / V161)</f>
        <v>0.2857142857142857</v>
      </c>
      <c r="Y161" s="3">
        <f>IF(W161 = 0, "", U161 / W161)</f>
        <v>0.35714285714285715</v>
      </c>
      <c r="Z161" s="3">
        <f>IF(X161 = "", "", X161 - Y161)</f>
        <v>-0.07142857142857145</v>
      </c>
      <c r="AA161" s="3">
        <f>IF(K161 = "", "", K161 - N161)</f>
        <v>-0.19999999999999996</v>
      </c>
      <c r="AB161" s="3">
        <f>IF(AA161 = "", "", AA161 * R161)</f>
        <v>-0.06428571428571428</v>
      </c>
    </row>
    <row r="162">
      <c r="A162" s="2" t="s">
        <v>1939</v>
      </c>
      <c r="B162" s="3" t="str">
        <f>A162</f>
        <v>gender-pay-gap-industry-retail-hospitality-A</v>
      </c>
      <c r="C162" s="2" t="s">
        <v>547</v>
      </c>
      <c r="D162" s="2" t="s">
        <v>1386</v>
      </c>
      <c r="E162" s="2" t="s">
        <v>792</v>
      </c>
      <c r="F162" s="5">
        <f>SUMIFS(CaseCells!F2:F999,CaseCells!C2:C999, C162,CaseCells!D2:D999, D162,CaseCells!E2:E999, E162)</f>
        <v>150</v>
      </c>
      <c r="G162" s="5">
        <f>SUMIFS(CaseCells!G2:G999,CaseCells!C2:C999, C162,CaseCells!D2:D999, D162,CaseCells!E2:E999, E162)</f>
        <v>400</v>
      </c>
      <c r="H162" s="3">
        <f>IF(G162 = 0, "", F162 / G162)</f>
        <v>0.375</v>
      </c>
      <c r="I162" s="5">
        <f>SUMIFS(CaseCells!F2:F999,CaseCells!C2:C999, C162,CaseCells!D2:D999, D162,CaseCells!E2:E999, "A")</f>
        <v>150</v>
      </c>
      <c r="J162" s="5">
        <f>SUMIFS(CaseCells!G2:G999,CaseCells!C2:C999, C162,CaseCells!D2:D999, D162,CaseCells!E2:E999, "A")</f>
        <v>400</v>
      </c>
      <c r="K162" s="3">
        <f>IF(J162 = 0, "", I162 / J162)</f>
        <v>0.375</v>
      </c>
      <c r="L162" s="5">
        <f>SUMIFS(CaseCells!F2:F999,CaseCells!C2:C999, C162,CaseCells!D2:D999, D162,CaseCells!E2:E999, "B")</f>
        <v>280</v>
      </c>
      <c r="M162" s="5">
        <f>SUMIFS(CaseCells!G2:G999,CaseCells!C2:C999, C162,CaseCells!D2:D999, D162,CaseCells!E2:E999, "B")</f>
        <v>500</v>
      </c>
      <c r="N162" s="3">
        <f>IF(M162 = 0, "", L162 / M162)</f>
        <v>0.56</v>
      </c>
      <c r="O162" s="3" t="str">
        <f>IF(K162 &gt; N162, "A", "B")</f>
        <v>B</v>
      </c>
      <c r="P162" s="5">
        <f>SUMIFS(CaseCells!G2:G999,CaseCells!C2:C999, C162)</f>
        <v>2800</v>
      </c>
      <c r="Q162" s="5">
        <f>SUMIFS(CaseCells!G2:G999,CaseCells!C2:C999, C162,CaseCells!D2:D999, D162)</f>
        <v>900</v>
      </c>
      <c r="R162" s="3">
        <f>IF(P162 = 0, "", Q162 / P162)</f>
        <v>0.32142857142857145</v>
      </c>
      <c r="S162" s="3">
        <f>IF(R162 = "", "", R162 * H162)</f>
        <v>0.1205357142857143</v>
      </c>
      <c r="T162" s="5">
        <f>SUMIFS(CaseCells!G2:G999,CaseCells!C2:C999, C162,CaseCells!D2:D999, D162,CaseCells!E2:E999, "A")</f>
        <v>400</v>
      </c>
      <c r="U162" s="5">
        <f>SUMIFS(CaseCells!G2:G999,CaseCells!C2:C999, C162,CaseCells!D2:D999, D162,CaseCells!E2:E999, "B")</f>
        <v>500</v>
      </c>
      <c r="V162" s="5">
        <f>SUMIFS(CaseCells!G2:G999,CaseCells!C2:C999, C162,CaseCells!E2:E999, "A")</f>
        <v>1400</v>
      </c>
      <c r="W162" s="5">
        <f>SUMIFS(CaseCells!G2:G999,CaseCells!C2:C999, C162,CaseCells!E2:E999, "B")</f>
        <v>1400</v>
      </c>
      <c r="X162" s="3">
        <f>IF(V162 = 0, "", T162 / V162)</f>
        <v>0.2857142857142857</v>
      </c>
      <c r="Y162" s="3">
        <f>IF(W162 = 0, "", U162 / W162)</f>
        <v>0.35714285714285715</v>
      </c>
      <c r="Z162" s="3">
        <f>IF(X162 = "", "", X162 - Y162)</f>
        <v>-0.07142857142857145</v>
      </c>
      <c r="AA162" s="3">
        <f>IF(K162 = "", "", K162 - N162)</f>
        <v>-0.18500000000000005</v>
      </c>
      <c r="AB162" s="3">
        <f>IF(AA162 = "", "", AA162 * R162)</f>
        <v>-0.05946428571428573</v>
      </c>
    </row>
    <row r="163">
      <c r="A163" s="2" t="s">
        <v>1940</v>
      </c>
      <c r="B163" s="3" t="str">
        <f>A163</f>
        <v>gender-pay-gap-industry-retail-hospitality-B</v>
      </c>
      <c r="C163" s="2" t="s">
        <v>547</v>
      </c>
      <c r="D163" s="2" t="s">
        <v>1386</v>
      </c>
      <c r="E163" s="2" t="s">
        <v>795</v>
      </c>
      <c r="F163" s="5">
        <f>SUMIFS(CaseCells!F2:F999,CaseCells!C2:C999, C163,CaseCells!D2:D999, D163,CaseCells!E2:E999, E163)</f>
        <v>280</v>
      </c>
      <c r="G163" s="5">
        <f>SUMIFS(CaseCells!G2:G999,CaseCells!C2:C999, C163,CaseCells!D2:D999, D163,CaseCells!E2:E999, E163)</f>
        <v>500</v>
      </c>
      <c r="H163" s="3">
        <f>IF(G163 = 0, "", F163 / G163)</f>
        <v>0.56</v>
      </c>
      <c r="I163" s="5">
        <f>SUMIFS(CaseCells!F2:F999,CaseCells!C2:C999, C163,CaseCells!D2:D999, D163,CaseCells!E2:E999, "A")</f>
        <v>150</v>
      </c>
      <c r="J163" s="5">
        <f>SUMIFS(CaseCells!G2:G999,CaseCells!C2:C999, C163,CaseCells!D2:D999, D163,CaseCells!E2:E999, "A")</f>
        <v>400</v>
      </c>
      <c r="K163" s="3">
        <f>IF(J163 = 0, "", I163 / J163)</f>
        <v>0.375</v>
      </c>
      <c r="L163" s="5">
        <f>SUMIFS(CaseCells!F2:F999,CaseCells!C2:C999, C163,CaseCells!D2:D999, D163,CaseCells!E2:E999, "B")</f>
        <v>280</v>
      </c>
      <c r="M163" s="5">
        <f>SUMIFS(CaseCells!G2:G999,CaseCells!C2:C999, C163,CaseCells!D2:D999, D163,CaseCells!E2:E999, "B")</f>
        <v>500</v>
      </c>
      <c r="N163" s="3">
        <f>IF(M163 = 0, "", L163 / M163)</f>
        <v>0.56</v>
      </c>
      <c r="O163" s="3" t="str">
        <f>IF(K163 &gt; N163, "A", "B")</f>
        <v>B</v>
      </c>
      <c r="P163" s="5">
        <f>SUMIFS(CaseCells!G2:G999,CaseCells!C2:C999, C163)</f>
        <v>2800</v>
      </c>
      <c r="Q163" s="5">
        <f>SUMIFS(CaseCells!G2:G999,CaseCells!C2:C999, C163,CaseCells!D2:D999, D163)</f>
        <v>900</v>
      </c>
      <c r="R163" s="3">
        <f>IF(P163 = 0, "", Q163 / P163)</f>
        <v>0.32142857142857145</v>
      </c>
      <c r="S163" s="3">
        <f>IF(R163 = "", "", R163 * H163)</f>
        <v>0.18000000000000002</v>
      </c>
      <c r="T163" s="5">
        <f>SUMIFS(CaseCells!G2:G999,CaseCells!C2:C999, C163,CaseCells!D2:D999, D163,CaseCells!E2:E999, "A")</f>
        <v>400</v>
      </c>
      <c r="U163" s="5">
        <f>SUMIFS(CaseCells!G2:G999,CaseCells!C2:C999, C163,CaseCells!D2:D999, D163,CaseCells!E2:E999, "B")</f>
        <v>500</v>
      </c>
      <c r="V163" s="5">
        <f>SUMIFS(CaseCells!G2:G999,CaseCells!C2:C999, C163,CaseCells!E2:E999, "A")</f>
        <v>1400</v>
      </c>
      <c r="W163" s="5">
        <f>SUMIFS(CaseCells!G2:G999,CaseCells!C2:C999, C163,CaseCells!E2:E999, "B")</f>
        <v>1400</v>
      </c>
      <c r="X163" s="3">
        <f>IF(V163 = 0, "", T163 / V163)</f>
        <v>0.2857142857142857</v>
      </c>
      <c r="Y163" s="3">
        <f>IF(W163 = 0, "", U163 / W163)</f>
        <v>0.35714285714285715</v>
      </c>
      <c r="Z163" s="3">
        <f>IF(X163 = "", "", X163 - Y163)</f>
        <v>-0.07142857142857145</v>
      </c>
      <c r="AA163" s="3">
        <f>IF(K163 = "", "", K163 - N163)</f>
        <v>-0.18500000000000005</v>
      </c>
      <c r="AB163" s="3">
        <f>IF(AA163 = "", "", AA163 * R163)</f>
        <v>-0.05946428571428573</v>
      </c>
    </row>
    <row r="164">
      <c r="A164" s="2" t="s">
        <v>1941</v>
      </c>
      <c r="B164" s="3" t="str">
        <f>A164</f>
        <v>income-education-state-high-education-states-A</v>
      </c>
      <c r="C164" s="2" t="s">
        <v>551</v>
      </c>
      <c r="D164" s="2" t="s">
        <v>1389</v>
      </c>
      <c r="E164" s="2" t="s">
        <v>792</v>
      </c>
      <c r="F164" s="5">
        <f>SUMIFS(CaseCells!F2:F999,CaseCells!C2:C999, C164,CaseCells!D2:D999, D164,CaseCells!E2:E999, E164)</f>
        <v>800</v>
      </c>
      <c r="G164" s="5">
        <f>SUMIFS(CaseCells!G2:G999,CaseCells!C2:C999, C164,CaseCells!D2:D999, D164,CaseCells!E2:E999, E164)</f>
        <v>1000</v>
      </c>
      <c r="H164" s="3">
        <f>IF(G164 = 0, "", F164 / G164)</f>
        <v>0.8</v>
      </c>
      <c r="I164" s="5">
        <f>SUMIFS(CaseCells!F2:F999,CaseCells!C2:C999, C164,CaseCells!D2:D999, D164,CaseCells!E2:E999, "A")</f>
        <v>800</v>
      </c>
      <c r="J164" s="5">
        <f>SUMIFS(CaseCells!G2:G999,CaseCells!C2:C999, C164,CaseCells!D2:D999, D164,CaseCells!E2:E999, "A")</f>
        <v>1000</v>
      </c>
      <c r="K164" s="3">
        <f>IF(J164 = 0, "", I164 / J164)</f>
        <v>0.8</v>
      </c>
      <c r="L164" s="5">
        <f>SUMIFS(CaseCells!F2:F999,CaseCells!C2:C999, C164,CaseCells!D2:D999, D164,CaseCells!E2:E999, "B")</f>
        <v>400</v>
      </c>
      <c r="M164" s="5">
        <f>SUMIFS(CaseCells!G2:G999,CaseCells!C2:C999, C164,CaseCells!D2:D999, D164,CaseCells!E2:E999, "B")</f>
        <v>800</v>
      </c>
      <c r="N164" s="3">
        <f>IF(M164 = 0, "", L164 / M164)</f>
        <v>0.5</v>
      </c>
      <c r="O164" s="3" t="str">
        <f>IF(K164 &gt; N164, "A", "B")</f>
        <v>A</v>
      </c>
      <c r="P164" s="5">
        <f>SUMIFS(CaseCells!G2:G999,CaseCells!C2:C999, C164)</f>
        <v>3600</v>
      </c>
      <c r="Q164" s="5">
        <f>SUMIFS(CaseCells!G2:G999,CaseCells!C2:C999, C164,CaseCells!D2:D999, D164)</f>
        <v>1800</v>
      </c>
      <c r="R164" s="3">
        <f>IF(P164 = 0, "", Q164 / P164)</f>
        <v>0.5</v>
      </c>
      <c r="S164" s="3">
        <f>IF(R164 = "", "", R164 * H164)</f>
        <v>0.4</v>
      </c>
      <c r="T164" s="5">
        <f>SUMIFS(CaseCells!G2:G999,CaseCells!C2:C999, C164,CaseCells!D2:D999, D164,CaseCells!E2:E999, "A")</f>
        <v>1000</v>
      </c>
      <c r="U164" s="5">
        <f>SUMIFS(CaseCells!G2:G999,CaseCells!C2:C999, C164,CaseCells!D2:D999, D164,CaseCells!E2:E999, "B")</f>
        <v>800</v>
      </c>
      <c r="V164" s="5">
        <f>SUMIFS(CaseCells!G2:G999,CaseCells!C2:C999, C164,CaseCells!E2:E999, "A")</f>
        <v>1900</v>
      </c>
      <c r="W164" s="5">
        <f>SUMIFS(CaseCells!G2:G999,CaseCells!C2:C999, C164,CaseCells!E2:E999, "B")</f>
        <v>1700</v>
      </c>
      <c r="X164" s="3">
        <f>IF(V164 = 0, "", T164 / V164)</f>
        <v>0.5263157894736842</v>
      </c>
      <c r="Y164" s="3">
        <f>IF(W164 = 0, "", U164 / W164)</f>
        <v>0.47058823529411764</v>
      </c>
      <c r="Z164" s="3">
        <f>IF(X164 = "", "", X164 - Y164)</f>
        <v>0.05572755417956654</v>
      </c>
      <c r="AA164" s="3">
        <f>IF(K164 = "", "", K164 - N164)</f>
        <v>0.30000000000000004</v>
      </c>
      <c r="AB164" s="3">
        <f>IF(AA164 = "", "", AA164 * R164)</f>
        <v>0.15000000000000002</v>
      </c>
    </row>
    <row r="165">
      <c r="A165" s="2" t="s">
        <v>1942</v>
      </c>
      <c r="B165" s="3" t="str">
        <f>A165</f>
        <v>income-education-state-high-education-states-B</v>
      </c>
      <c r="C165" s="2" t="s">
        <v>551</v>
      </c>
      <c r="D165" s="2" t="s">
        <v>1389</v>
      </c>
      <c r="E165" s="2" t="s">
        <v>795</v>
      </c>
      <c r="F165" s="5">
        <f>SUMIFS(CaseCells!F2:F999,CaseCells!C2:C999, C165,CaseCells!D2:D999, D165,CaseCells!E2:E999, E165)</f>
        <v>400</v>
      </c>
      <c r="G165" s="5">
        <f>SUMIFS(CaseCells!G2:G999,CaseCells!C2:C999, C165,CaseCells!D2:D999, D165,CaseCells!E2:E999, E165)</f>
        <v>800</v>
      </c>
      <c r="H165" s="3">
        <f>IF(G165 = 0, "", F165 / G165)</f>
        <v>0.5</v>
      </c>
      <c r="I165" s="5">
        <f>SUMIFS(CaseCells!F2:F999,CaseCells!C2:C999, C165,CaseCells!D2:D999, D165,CaseCells!E2:E999, "A")</f>
        <v>800</v>
      </c>
      <c r="J165" s="5">
        <f>SUMIFS(CaseCells!G2:G999,CaseCells!C2:C999, C165,CaseCells!D2:D999, D165,CaseCells!E2:E999, "A")</f>
        <v>1000</v>
      </c>
      <c r="K165" s="3">
        <f>IF(J165 = 0, "", I165 / J165)</f>
        <v>0.8</v>
      </c>
      <c r="L165" s="5">
        <f>SUMIFS(CaseCells!F2:F999,CaseCells!C2:C999, C165,CaseCells!D2:D999, D165,CaseCells!E2:E999, "B")</f>
        <v>400</v>
      </c>
      <c r="M165" s="5">
        <f>SUMIFS(CaseCells!G2:G999,CaseCells!C2:C999, C165,CaseCells!D2:D999, D165,CaseCells!E2:E999, "B")</f>
        <v>800</v>
      </c>
      <c r="N165" s="3">
        <f>IF(M165 = 0, "", L165 / M165)</f>
        <v>0.5</v>
      </c>
      <c r="O165" s="3" t="str">
        <f>IF(K165 &gt; N165, "A", "B")</f>
        <v>A</v>
      </c>
      <c r="P165" s="5">
        <f>SUMIFS(CaseCells!G2:G999,CaseCells!C2:C999, C165)</f>
        <v>3600</v>
      </c>
      <c r="Q165" s="5">
        <f>SUMIFS(CaseCells!G2:G999,CaseCells!C2:C999, C165,CaseCells!D2:D999, D165)</f>
        <v>1800</v>
      </c>
      <c r="R165" s="3">
        <f>IF(P165 = 0, "", Q165 / P165)</f>
        <v>0.5</v>
      </c>
      <c r="S165" s="3">
        <f>IF(R165 = "", "", R165 * H165)</f>
        <v>0.25</v>
      </c>
      <c r="T165" s="5">
        <f>SUMIFS(CaseCells!G2:G999,CaseCells!C2:C999, C165,CaseCells!D2:D999, D165,CaseCells!E2:E999, "A")</f>
        <v>1000</v>
      </c>
      <c r="U165" s="5">
        <f>SUMIFS(CaseCells!G2:G999,CaseCells!C2:C999, C165,CaseCells!D2:D999, D165,CaseCells!E2:E999, "B")</f>
        <v>800</v>
      </c>
      <c r="V165" s="5">
        <f>SUMIFS(CaseCells!G2:G999,CaseCells!C2:C999, C165,CaseCells!E2:E999, "A")</f>
        <v>1900</v>
      </c>
      <c r="W165" s="5">
        <f>SUMIFS(CaseCells!G2:G999,CaseCells!C2:C999, C165,CaseCells!E2:E999, "B")</f>
        <v>1700</v>
      </c>
      <c r="X165" s="3">
        <f>IF(V165 = 0, "", T165 / V165)</f>
        <v>0.5263157894736842</v>
      </c>
      <c r="Y165" s="3">
        <f>IF(W165 = 0, "", U165 / W165)</f>
        <v>0.47058823529411764</v>
      </c>
      <c r="Z165" s="3">
        <f>IF(X165 = "", "", X165 - Y165)</f>
        <v>0.05572755417956654</v>
      </c>
      <c r="AA165" s="3">
        <f>IF(K165 = "", "", K165 - N165)</f>
        <v>0.30000000000000004</v>
      </c>
      <c r="AB165" s="3">
        <f>IF(AA165 = "", "", AA165 * R165)</f>
        <v>0.15000000000000002</v>
      </c>
    </row>
    <row r="166">
      <c r="A166" s="2" t="s">
        <v>1943</v>
      </c>
      <c r="B166" s="3" t="str">
        <f>A166</f>
        <v>income-education-state-low-education-states-A</v>
      </c>
      <c r="C166" s="2" t="s">
        <v>551</v>
      </c>
      <c r="D166" s="2" t="s">
        <v>1392</v>
      </c>
      <c r="E166" s="2" t="s">
        <v>792</v>
      </c>
      <c r="F166" s="5">
        <f>SUMIFS(CaseCells!F2:F999,CaseCells!C2:C999, C166,CaseCells!D2:D999, D166,CaseCells!E2:E999, E166)</f>
        <v>500</v>
      </c>
      <c r="G166" s="5">
        <f>SUMIFS(CaseCells!G2:G999,CaseCells!C2:C999, C166,CaseCells!D2:D999, D166,CaseCells!E2:E999, E166)</f>
        <v>900</v>
      </c>
      <c r="H166" s="3">
        <f>IF(G166 = 0, "", F166 / G166)</f>
        <v>0.5555555555555556</v>
      </c>
      <c r="I166" s="5">
        <f>SUMIFS(CaseCells!F2:F999,CaseCells!C2:C999, C166,CaseCells!D2:D999, D166,CaseCells!E2:E999, "A")</f>
        <v>500</v>
      </c>
      <c r="J166" s="5">
        <f>SUMIFS(CaseCells!G2:G999,CaseCells!C2:C999, C166,CaseCells!D2:D999, D166,CaseCells!E2:E999, "A")</f>
        <v>900</v>
      </c>
      <c r="K166" s="3">
        <f>IF(J166 = 0, "", I166 / J166)</f>
        <v>0.5555555555555556</v>
      </c>
      <c r="L166" s="5">
        <f>SUMIFS(CaseCells!F2:F999,CaseCells!C2:C999, C166,CaseCells!D2:D999, D166,CaseCells!E2:E999, "B")</f>
        <v>450</v>
      </c>
      <c r="M166" s="5">
        <f>SUMIFS(CaseCells!G2:G999,CaseCells!C2:C999, C166,CaseCells!D2:D999, D166,CaseCells!E2:E999, "B")</f>
        <v>900</v>
      </c>
      <c r="N166" s="3">
        <f>IF(M166 = 0, "", L166 / M166)</f>
        <v>0.5</v>
      </c>
      <c r="O166" s="3" t="str">
        <f>IF(K166 &gt; N166, "A", "B")</f>
        <v>A</v>
      </c>
      <c r="P166" s="5">
        <f>SUMIFS(CaseCells!G2:G999,CaseCells!C2:C999, C166)</f>
        <v>3600</v>
      </c>
      <c r="Q166" s="5">
        <f>SUMIFS(CaseCells!G2:G999,CaseCells!C2:C999, C166,CaseCells!D2:D999, D166)</f>
        <v>1800</v>
      </c>
      <c r="R166" s="3">
        <f>IF(P166 = 0, "", Q166 / P166)</f>
        <v>0.5</v>
      </c>
      <c r="S166" s="3">
        <f>IF(R166 = "", "", R166 * H166)</f>
        <v>0.2777777777777778</v>
      </c>
      <c r="T166" s="5">
        <f>SUMIFS(CaseCells!G2:G999,CaseCells!C2:C999, C166,CaseCells!D2:D999, D166,CaseCells!E2:E999, "A")</f>
        <v>900</v>
      </c>
      <c r="U166" s="5">
        <f>SUMIFS(CaseCells!G2:G999,CaseCells!C2:C999, C166,CaseCells!D2:D999, D166,CaseCells!E2:E999, "B")</f>
        <v>900</v>
      </c>
      <c r="V166" s="5">
        <f>SUMIFS(CaseCells!G2:G999,CaseCells!C2:C999, C166,CaseCells!E2:E999, "A")</f>
        <v>1900</v>
      </c>
      <c r="W166" s="5">
        <f>SUMIFS(CaseCells!G2:G999,CaseCells!C2:C999, C166,CaseCells!E2:E999, "B")</f>
        <v>1700</v>
      </c>
      <c r="X166" s="3">
        <f>IF(V166 = 0, "", T166 / V166)</f>
        <v>0.47368421052631576</v>
      </c>
      <c r="Y166" s="3">
        <f>IF(W166 = 0, "", U166 / W166)</f>
        <v>0.5294117647058824</v>
      </c>
      <c r="Z166" s="3">
        <f>IF(X166 = "", "", X166 - Y166)</f>
        <v>-0.055727554179566596</v>
      </c>
      <c r="AA166" s="3">
        <f>IF(K166 = "", "", K166 - N166)</f>
        <v>0.05555555555555558</v>
      </c>
      <c r="AB166" s="3">
        <f>IF(AA166 = "", "", AA166 * R166)</f>
        <v>0.02777777777777779</v>
      </c>
    </row>
    <row r="167">
      <c r="A167" s="2" t="s">
        <v>1944</v>
      </c>
      <c r="B167" s="3" t="str">
        <f>A167</f>
        <v>income-education-state-low-education-states-B</v>
      </c>
      <c r="C167" s="2" t="s">
        <v>551</v>
      </c>
      <c r="D167" s="2" t="s">
        <v>1392</v>
      </c>
      <c r="E167" s="2" t="s">
        <v>795</v>
      </c>
      <c r="F167" s="5">
        <f>SUMIFS(CaseCells!F2:F999,CaseCells!C2:C999, C167,CaseCells!D2:D999, D167,CaseCells!E2:E999, E167)</f>
        <v>450</v>
      </c>
      <c r="G167" s="5">
        <f>SUMIFS(CaseCells!G2:G999,CaseCells!C2:C999, C167,CaseCells!D2:D999, D167,CaseCells!E2:E999, E167)</f>
        <v>900</v>
      </c>
      <c r="H167" s="3">
        <f>IF(G167 = 0, "", F167 / G167)</f>
        <v>0.5</v>
      </c>
      <c r="I167" s="5">
        <f>SUMIFS(CaseCells!F2:F999,CaseCells!C2:C999, C167,CaseCells!D2:D999, D167,CaseCells!E2:E999, "A")</f>
        <v>500</v>
      </c>
      <c r="J167" s="5">
        <f>SUMIFS(CaseCells!G2:G999,CaseCells!C2:C999, C167,CaseCells!D2:D999, D167,CaseCells!E2:E999, "A")</f>
        <v>900</v>
      </c>
      <c r="K167" s="3">
        <f>IF(J167 = 0, "", I167 / J167)</f>
        <v>0.5555555555555556</v>
      </c>
      <c r="L167" s="5">
        <f>SUMIFS(CaseCells!F2:F999,CaseCells!C2:C999, C167,CaseCells!D2:D999, D167,CaseCells!E2:E999, "B")</f>
        <v>450</v>
      </c>
      <c r="M167" s="5">
        <f>SUMIFS(CaseCells!G2:G999,CaseCells!C2:C999, C167,CaseCells!D2:D999, D167,CaseCells!E2:E999, "B")</f>
        <v>900</v>
      </c>
      <c r="N167" s="3">
        <f>IF(M167 = 0, "", L167 / M167)</f>
        <v>0.5</v>
      </c>
      <c r="O167" s="3" t="str">
        <f>IF(K167 &gt; N167, "A", "B")</f>
        <v>A</v>
      </c>
      <c r="P167" s="5">
        <f>SUMIFS(CaseCells!G2:G999,CaseCells!C2:C999, C167)</f>
        <v>3600</v>
      </c>
      <c r="Q167" s="5">
        <f>SUMIFS(CaseCells!G2:G999,CaseCells!C2:C999, C167,CaseCells!D2:D999, D167)</f>
        <v>1800</v>
      </c>
      <c r="R167" s="3">
        <f>IF(P167 = 0, "", Q167 / P167)</f>
        <v>0.5</v>
      </c>
      <c r="S167" s="3">
        <f>IF(R167 = "", "", R167 * H167)</f>
        <v>0.25</v>
      </c>
      <c r="T167" s="5">
        <f>SUMIFS(CaseCells!G2:G999,CaseCells!C2:C999, C167,CaseCells!D2:D999, D167,CaseCells!E2:E999, "A")</f>
        <v>900</v>
      </c>
      <c r="U167" s="5">
        <f>SUMIFS(CaseCells!G2:G999,CaseCells!C2:C999, C167,CaseCells!D2:D999, D167,CaseCells!E2:E999, "B")</f>
        <v>900</v>
      </c>
      <c r="V167" s="5">
        <f>SUMIFS(CaseCells!G2:G999,CaseCells!C2:C999, C167,CaseCells!E2:E999, "A")</f>
        <v>1900</v>
      </c>
      <c r="W167" s="5">
        <f>SUMIFS(CaseCells!G2:G999,CaseCells!C2:C999, C167,CaseCells!E2:E999, "B")</f>
        <v>1700</v>
      </c>
      <c r="X167" s="3">
        <f>IF(V167 = 0, "", T167 / V167)</f>
        <v>0.47368421052631576</v>
      </c>
      <c r="Y167" s="3">
        <f>IF(W167 = 0, "", U167 / W167)</f>
        <v>0.5294117647058824</v>
      </c>
      <c r="Z167" s="3">
        <f>IF(X167 = "", "", X167 - Y167)</f>
        <v>-0.055727554179566596</v>
      </c>
      <c r="AA167" s="3">
        <f>IF(K167 = "", "", K167 - N167)</f>
        <v>0.05555555555555558</v>
      </c>
      <c r="AB167" s="3">
        <f>IF(AA167 = "", "", AA167 * R167)</f>
        <v>0.02777777777777779</v>
      </c>
    </row>
    <row r="168">
      <c r="A168" s="2" t="s">
        <v>1945</v>
      </c>
      <c r="B168" s="3" t="str">
        <f>A168</f>
        <v>florida-reef-fish-1994-inshore-A</v>
      </c>
      <c r="C168" s="2" t="s">
        <v>555</v>
      </c>
      <c r="D168" s="2" t="s">
        <v>1395</v>
      </c>
      <c r="E168" s="2" t="s">
        <v>792</v>
      </c>
      <c r="F168" s="5">
        <f>SUMIFS(CaseCells!F2:F999,CaseCells!C2:C999, C168,CaseCells!D2:D999, D168,CaseCells!E2:E999, E168)</f>
        <v>450</v>
      </c>
      <c r="G168" s="5">
        <f>SUMIFS(CaseCells!G2:G999,CaseCells!C2:C999, C168,CaseCells!D2:D999, D168,CaseCells!E2:E999, E168)</f>
        <v>600</v>
      </c>
      <c r="H168" s="3">
        <f>IF(G168 = 0, "", F168 / G168)</f>
        <v>0.75</v>
      </c>
      <c r="I168" s="5">
        <f>SUMIFS(CaseCells!F2:F999,CaseCells!C2:C999, C168,CaseCells!D2:D999, D168,CaseCells!E2:E999, "A")</f>
        <v>450</v>
      </c>
      <c r="J168" s="5">
        <f>SUMIFS(CaseCells!G2:G999,CaseCells!C2:C999, C168,CaseCells!D2:D999, D168,CaseCells!E2:E999, "A")</f>
        <v>600</v>
      </c>
      <c r="K168" s="3">
        <f>IF(J168 = 0, "", I168 / J168)</f>
        <v>0.75</v>
      </c>
      <c r="L168" s="5">
        <f>SUMIFS(CaseCells!F2:F999,CaseCells!C2:C999, C168,CaseCells!D2:D999, D168,CaseCells!E2:E999, "B")</f>
        <v>380</v>
      </c>
      <c r="M168" s="5">
        <f>SUMIFS(CaseCells!G2:G999,CaseCells!C2:C999, C168,CaseCells!D2:D999, D168,CaseCells!E2:E999, "B")</f>
        <v>600</v>
      </c>
      <c r="N168" s="3">
        <f>IF(M168 = 0, "", L168 / M168)</f>
        <v>0.6333333333333333</v>
      </c>
      <c r="O168" s="3" t="str">
        <f>IF(K168 &gt; N168, "A", "B")</f>
        <v>A</v>
      </c>
      <c r="P168" s="5">
        <f>SUMIFS(CaseCells!G2:G999,CaseCells!C2:C999, C168)</f>
        <v>1600</v>
      </c>
      <c r="Q168" s="5">
        <f>SUMIFS(CaseCells!G2:G999,CaseCells!C2:C999, C168,CaseCells!D2:D999, D168)</f>
        <v>1200</v>
      </c>
      <c r="R168" s="3">
        <f>IF(P168 = 0, "", Q168 / P168)</f>
        <v>0.75</v>
      </c>
      <c r="S168" s="3">
        <f>IF(R168 = "", "", R168 * H168)</f>
        <v>0.5625</v>
      </c>
      <c r="T168" s="5">
        <f>SUMIFS(CaseCells!G2:G999,CaseCells!C2:C999, C168,CaseCells!D2:D999, D168,CaseCells!E2:E999, "A")</f>
        <v>600</v>
      </c>
      <c r="U168" s="5">
        <f>SUMIFS(CaseCells!G2:G999,CaseCells!C2:C999, C168,CaseCells!D2:D999, D168,CaseCells!E2:E999, "B")</f>
        <v>600</v>
      </c>
      <c r="V168" s="5">
        <f>SUMIFS(CaseCells!G2:G999,CaseCells!C2:C999, C168,CaseCells!E2:E999, "A")</f>
        <v>800</v>
      </c>
      <c r="W168" s="5">
        <f>SUMIFS(CaseCells!G2:G999,CaseCells!C2:C999, C168,CaseCells!E2:E999, "B")</f>
        <v>800</v>
      </c>
      <c r="X168" s="3">
        <f>IF(V168 = 0, "", T168 / V168)</f>
        <v>0.75</v>
      </c>
      <c r="Y168" s="3">
        <f>IF(W168 = 0, "", U168 / W168)</f>
        <v>0.75</v>
      </c>
      <c r="Z168" s="3">
        <f>IF(X168 = "", "", X168 - Y168)</f>
        <v>0</v>
      </c>
      <c r="AA168" s="3">
        <f>IF(K168 = "", "", K168 - N168)</f>
        <v>0.1166666666666667</v>
      </c>
      <c r="AB168" s="3">
        <f>IF(AA168 = "", "", AA168 * R168)</f>
        <v>0.08750000000000002</v>
      </c>
    </row>
    <row r="169">
      <c r="A169" s="2" t="s">
        <v>1946</v>
      </c>
      <c r="B169" s="3" t="str">
        <f>A169</f>
        <v>florida-reef-fish-1994-inshore-B</v>
      </c>
      <c r="C169" s="2" t="s">
        <v>555</v>
      </c>
      <c r="D169" s="2" t="s">
        <v>1395</v>
      </c>
      <c r="E169" s="2" t="s">
        <v>795</v>
      </c>
      <c r="F169" s="5">
        <f>SUMIFS(CaseCells!F2:F999,CaseCells!C2:C999, C169,CaseCells!D2:D999, D169,CaseCells!E2:E999, E169)</f>
        <v>380</v>
      </c>
      <c r="G169" s="5">
        <f>SUMIFS(CaseCells!G2:G999,CaseCells!C2:C999, C169,CaseCells!D2:D999, D169,CaseCells!E2:E999, E169)</f>
        <v>600</v>
      </c>
      <c r="H169" s="3">
        <f>IF(G169 = 0, "", F169 / G169)</f>
        <v>0.6333333333333333</v>
      </c>
      <c r="I169" s="5">
        <f>SUMIFS(CaseCells!F2:F999,CaseCells!C2:C999, C169,CaseCells!D2:D999, D169,CaseCells!E2:E999, "A")</f>
        <v>450</v>
      </c>
      <c r="J169" s="5">
        <f>SUMIFS(CaseCells!G2:G999,CaseCells!C2:C999, C169,CaseCells!D2:D999, D169,CaseCells!E2:E999, "A")</f>
        <v>600</v>
      </c>
      <c r="K169" s="3">
        <f>IF(J169 = 0, "", I169 / J169)</f>
        <v>0.75</v>
      </c>
      <c r="L169" s="5">
        <f>SUMIFS(CaseCells!F2:F999,CaseCells!C2:C999, C169,CaseCells!D2:D999, D169,CaseCells!E2:E999, "B")</f>
        <v>380</v>
      </c>
      <c r="M169" s="5">
        <f>SUMIFS(CaseCells!G2:G999,CaseCells!C2:C999, C169,CaseCells!D2:D999, D169,CaseCells!E2:E999, "B")</f>
        <v>600</v>
      </c>
      <c r="N169" s="3">
        <f>IF(M169 = 0, "", L169 / M169)</f>
        <v>0.6333333333333333</v>
      </c>
      <c r="O169" s="3" t="str">
        <f>IF(K169 &gt; N169, "A", "B")</f>
        <v>A</v>
      </c>
      <c r="P169" s="5">
        <f>SUMIFS(CaseCells!G2:G999,CaseCells!C2:C999, C169)</f>
        <v>1600</v>
      </c>
      <c r="Q169" s="5">
        <f>SUMIFS(CaseCells!G2:G999,CaseCells!C2:C999, C169,CaseCells!D2:D999, D169)</f>
        <v>1200</v>
      </c>
      <c r="R169" s="3">
        <f>IF(P169 = 0, "", Q169 / P169)</f>
        <v>0.75</v>
      </c>
      <c r="S169" s="3">
        <f>IF(R169 = "", "", R169 * H169)</f>
        <v>0.475</v>
      </c>
      <c r="T169" s="5">
        <f>SUMIFS(CaseCells!G2:G999,CaseCells!C2:C999, C169,CaseCells!D2:D999, D169,CaseCells!E2:E999, "A")</f>
        <v>600</v>
      </c>
      <c r="U169" s="5">
        <f>SUMIFS(CaseCells!G2:G999,CaseCells!C2:C999, C169,CaseCells!D2:D999, D169,CaseCells!E2:E999, "B")</f>
        <v>600</v>
      </c>
      <c r="V169" s="5">
        <f>SUMIFS(CaseCells!G2:G999,CaseCells!C2:C999, C169,CaseCells!E2:E999, "A")</f>
        <v>800</v>
      </c>
      <c r="W169" s="5">
        <f>SUMIFS(CaseCells!G2:G999,CaseCells!C2:C999, C169,CaseCells!E2:E999, "B")</f>
        <v>800</v>
      </c>
      <c r="X169" s="3">
        <f>IF(V169 = 0, "", T169 / V169)</f>
        <v>0.75</v>
      </c>
      <c r="Y169" s="3">
        <f>IF(W169 = 0, "", U169 / W169)</f>
        <v>0.75</v>
      </c>
      <c r="Z169" s="3">
        <f>IF(X169 = "", "", X169 - Y169)</f>
        <v>0</v>
      </c>
      <c r="AA169" s="3">
        <f>IF(K169 = "", "", K169 - N169)</f>
        <v>0.1166666666666667</v>
      </c>
      <c r="AB169" s="3">
        <f>IF(AA169 = "", "", AA169 * R169)</f>
        <v>0.08750000000000002</v>
      </c>
    </row>
    <row r="170">
      <c r="A170" s="2" t="s">
        <v>1947</v>
      </c>
      <c r="B170" s="3" t="str">
        <f>A170</f>
        <v>florida-reef-fish-1994-offshore-A</v>
      </c>
      <c r="C170" s="2" t="s">
        <v>555</v>
      </c>
      <c r="D170" s="2" t="s">
        <v>1398</v>
      </c>
      <c r="E170" s="2" t="s">
        <v>792</v>
      </c>
      <c r="F170" s="5">
        <f>SUMIFS(CaseCells!F2:F999,CaseCells!C2:C999, C170,CaseCells!D2:D999, D170,CaseCells!E2:E999, E170)</f>
        <v>120</v>
      </c>
      <c r="G170" s="5">
        <f>SUMIFS(CaseCells!G2:G999,CaseCells!C2:C999, C170,CaseCells!D2:D999, D170,CaseCells!E2:E999, E170)</f>
        <v>200</v>
      </c>
      <c r="H170" s="3">
        <f>IF(G170 = 0, "", F170 / G170)</f>
        <v>0.6</v>
      </c>
      <c r="I170" s="5">
        <f>SUMIFS(CaseCells!F2:F999,CaseCells!C2:C999, C170,CaseCells!D2:D999, D170,CaseCells!E2:E999, "A")</f>
        <v>120</v>
      </c>
      <c r="J170" s="5">
        <f>SUMIFS(CaseCells!G2:G999,CaseCells!C2:C999, C170,CaseCells!D2:D999, D170,CaseCells!E2:E999, "A")</f>
        <v>200</v>
      </c>
      <c r="K170" s="3">
        <f>IF(J170 = 0, "", I170 / J170)</f>
        <v>0.6</v>
      </c>
      <c r="L170" s="5">
        <f>SUMIFS(CaseCells!F2:F999,CaseCells!C2:C999, C170,CaseCells!D2:D999, D170,CaseCells!E2:E999, "B")</f>
        <v>150</v>
      </c>
      <c r="M170" s="5">
        <f>SUMIFS(CaseCells!G2:G999,CaseCells!C2:C999, C170,CaseCells!D2:D999, D170,CaseCells!E2:E999, "B")</f>
        <v>200</v>
      </c>
      <c r="N170" s="3">
        <f>IF(M170 = 0, "", L170 / M170)</f>
        <v>0.75</v>
      </c>
      <c r="O170" s="3" t="str">
        <f>IF(K170 &gt; N170, "A", "B")</f>
        <v>B</v>
      </c>
      <c r="P170" s="5">
        <f>SUMIFS(CaseCells!G2:G999,CaseCells!C2:C999, C170)</f>
        <v>1600</v>
      </c>
      <c r="Q170" s="5">
        <f>SUMIFS(CaseCells!G2:G999,CaseCells!C2:C999, C170,CaseCells!D2:D999, D170)</f>
        <v>400</v>
      </c>
      <c r="R170" s="3">
        <f>IF(P170 = 0, "", Q170 / P170)</f>
        <v>0.25</v>
      </c>
      <c r="S170" s="3">
        <f>IF(R170 = "", "", R170 * H170)</f>
        <v>0.15</v>
      </c>
      <c r="T170" s="5">
        <f>SUMIFS(CaseCells!G2:G999,CaseCells!C2:C999, C170,CaseCells!D2:D999, D170,CaseCells!E2:E999, "A")</f>
        <v>200</v>
      </c>
      <c r="U170" s="5">
        <f>SUMIFS(CaseCells!G2:G999,CaseCells!C2:C999, C170,CaseCells!D2:D999, D170,CaseCells!E2:E999, "B")</f>
        <v>200</v>
      </c>
      <c r="V170" s="5">
        <f>SUMIFS(CaseCells!G2:G999,CaseCells!C2:C999, C170,CaseCells!E2:E999, "A")</f>
        <v>800</v>
      </c>
      <c r="W170" s="5">
        <f>SUMIFS(CaseCells!G2:G999,CaseCells!C2:C999, C170,CaseCells!E2:E999, "B")</f>
        <v>800</v>
      </c>
      <c r="X170" s="3">
        <f>IF(V170 = 0, "", T170 / V170)</f>
        <v>0.25</v>
      </c>
      <c r="Y170" s="3">
        <f>IF(W170 = 0, "", U170 / W170)</f>
        <v>0.25</v>
      </c>
      <c r="Z170" s="3">
        <f>IF(X170 = "", "", X170 - Y170)</f>
        <v>0</v>
      </c>
      <c r="AA170" s="3">
        <f>IF(K170 = "", "", K170 - N170)</f>
        <v>-0.15000000000000002</v>
      </c>
      <c r="AB170" s="3">
        <f>IF(AA170 = "", "", AA170 * R170)</f>
        <v>-0.037500000000000006</v>
      </c>
    </row>
    <row r="171">
      <c r="A171" s="2" t="s">
        <v>1948</v>
      </c>
      <c r="B171" s="3" t="str">
        <f>A171</f>
        <v>florida-reef-fish-1994-offshore-B</v>
      </c>
      <c r="C171" s="2" t="s">
        <v>555</v>
      </c>
      <c r="D171" s="2" t="s">
        <v>1398</v>
      </c>
      <c r="E171" s="2" t="s">
        <v>795</v>
      </c>
      <c r="F171" s="5">
        <f>SUMIFS(CaseCells!F2:F999,CaseCells!C2:C999, C171,CaseCells!D2:D999, D171,CaseCells!E2:E999, E171)</f>
        <v>150</v>
      </c>
      <c r="G171" s="5">
        <f>SUMIFS(CaseCells!G2:G999,CaseCells!C2:C999, C171,CaseCells!D2:D999, D171,CaseCells!E2:E999, E171)</f>
        <v>200</v>
      </c>
      <c r="H171" s="3">
        <f>IF(G171 = 0, "", F171 / G171)</f>
        <v>0.75</v>
      </c>
      <c r="I171" s="5">
        <f>SUMIFS(CaseCells!F2:F999,CaseCells!C2:C999, C171,CaseCells!D2:D999, D171,CaseCells!E2:E999, "A")</f>
        <v>120</v>
      </c>
      <c r="J171" s="5">
        <f>SUMIFS(CaseCells!G2:G999,CaseCells!C2:C999, C171,CaseCells!D2:D999, D171,CaseCells!E2:E999, "A")</f>
        <v>200</v>
      </c>
      <c r="K171" s="3">
        <f>IF(J171 = 0, "", I171 / J171)</f>
        <v>0.6</v>
      </c>
      <c r="L171" s="5">
        <f>SUMIFS(CaseCells!F2:F999,CaseCells!C2:C999, C171,CaseCells!D2:D999, D171,CaseCells!E2:E999, "B")</f>
        <v>150</v>
      </c>
      <c r="M171" s="5">
        <f>SUMIFS(CaseCells!G2:G999,CaseCells!C2:C999, C171,CaseCells!D2:D999, D171,CaseCells!E2:E999, "B")</f>
        <v>200</v>
      </c>
      <c r="N171" s="3">
        <f>IF(M171 = 0, "", L171 / M171)</f>
        <v>0.75</v>
      </c>
      <c r="O171" s="3" t="str">
        <f>IF(K171 &gt; N171, "A", "B")</f>
        <v>B</v>
      </c>
      <c r="P171" s="5">
        <f>SUMIFS(CaseCells!G2:G999,CaseCells!C2:C999, C171)</f>
        <v>1600</v>
      </c>
      <c r="Q171" s="5">
        <f>SUMIFS(CaseCells!G2:G999,CaseCells!C2:C999, C171,CaseCells!D2:D999, D171)</f>
        <v>400</v>
      </c>
      <c r="R171" s="3">
        <f>IF(P171 = 0, "", Q171 / P171)</f>
        <v>0.25</v>
      </c>
      <c r="S171" s="3">
        <f>IF(R171 = "", "", R171 * H171)</f>
        <v>0.1875</v>
      </c>
      <c r="T171" s="5">
        <f>SUMIFS(CaseCells!G2:G999,CaseCells!C2:C999, C171,CaseCells!D2:D999, D171,CaseCells!E2:E999, "A")</f>
        <v>200</v>
      </c>
      <c r="U171" s="5">
        <f>SUMIFS(CaseCells!G2:G999,CaseCells!C2:C999, C171,CaseCells!D2:D999, D171,CaseCells!E2:E999, "B")</f>
        <v>200</v>
      </c>
      <c r="V171" s="5">
        <f>SUMIFS(CaseCells!G2:G999,CaseCells!C2:C999, C171,CaseCells!E2:E999, "A")</f>
        <v>800</v>
      </c>
      <c r="W171" s="5">
        <f>SUMIFS(CaseCells!G2:G999,CaseCells!C2:C999, C171,CaseCells!E2:E999, "B")</f>
        <v>800</v>
      </c>
      <c r="X171" s="3">
        <f>IF(V171 = 0, "", T171 / V171)</f>
        <v>0.25</v>
      </c>
      <c r="Y171" s="3">
        <f>IF(W171 = 0, "", U171 / W171)</f>
        <v>0.25</v>
      </c>
      <c r="Z171" s="3">
        <f>IF(X171 = "", "", X171 - Y171)</f>
        <v>0</v>
      </c>
      <c r="AA171" s="3">
        <f>IF(K171 = "", "", K171 - N171)</f>
        <v>-0.15000000000000002</v>
      </c>
      <c r="AB171" s="3">
        <f>IF(AA171 = "", "", AA171 * R171)</f>
        <v>-0.037500000000000006</v>
      </c>
    </row>
    <row r="172">
      <c r="A172" s="2" t="s">
        <v>1949</v>
      </c>
      <c r="B172" s="3" t="str">
        <f>A172</f>
        <v>uc-irvine-admissions-1985-engineering-A</v>
      </c>
      <c r="C172" s="2" t="s">
        <v>558</v>
      </c>
      <c r="D172" s="2" t="s">
        <v>1401</v>
      </c>
      <c r="E172" s="2" t="s">
        <v>792</v>
      </c>
      <c r="F172" s="5">
        <f>SUMIFS(CaseCells!F2:F999,CaseCells!C2:C999, C172,CaseCells!D2:D999, D172,CaseCells!E2:E999, E172)</f>
        <v>120</v>
      </c>
      <c r="G172" s="5">
        <f>SUMIFS(CaseCells!G2:G999,CaseCells!C2:C999, C172,CaseCells!D2:D999, D172,CaseCells!E2:E999, E172)</f>
        <v>400</v>
      </c>
      <c r="H172" s="3">
        <f>IF(G172 = 0, "", F172 / G172)</f>
        <v>0.3</v>
      </c>
      <c r="I172" s="5">
        <f>SUMIFS(CaseCells!F2:F999,CaseCells!C2:C999, C172,CaseCells!D2:D999, D172,CaseCells!E2:E999, "A")</f>
        <v>120</v>
      </c>
      <c r="J172" s="5">
        <f>SUMIFS(CaseCells!G2:G999,CaseCells!C2:C999, C172,CaseCells!D2:D999, D172,CaseCells!E2:E999, "A")</f>
        <v>400</v>
      </c>
      <c r="K172" s="3">
        <f>IF(J172 = 0, "", I172 / J172)</f>
        <v>0.3</v>
      </c>
      <c r="L172" s="5">
        <f>SUMIFS(CaseCells!F2:F999,CaseCells!C2:C999, C172,CaseCells!D2:D999, D172,CaseCells!E2:E999, "B")</f>
        <v>40</v>
      </c>
      <c r="M172" s="5">
        <f>SUMIFS(CaseCells!G2:G999,CaseCells!C2:C999, C172,CaseCells!D2:D999, D172,CaseCells!E2:E999, "B")</f>
        <v>200</v>
      </c>
      <c r="N172" s="3">
        <f>IF(M172 = 0, "", L172 / M172)</f>
        <v>0.2</v>
      </c>
      <c r="O172" s="3" t="str">
        <f>IF(K172 &gt; N172, "A", "B")</f>
        <v>A</v>
      </c>
      <c r="P172" s="5">
        <f>SUMIFS(CaseCells!G2:G999,CaseCells!C2:C999, C172)</f>
        <v>2180</v>
      </c>
      <c r="Q172" s="5">
        <f>SUMIFS(CaseCells!G2:G999,CaseCells!C2:C999, C172,CaseCells!D2:D999, D172)</f>
        <v>600</v>
      </c>
      <c r="R172" s="3">
        <f>IF(P172 = 0, "", Q172 / P172)</f>
        <v>0.27522935779816515</v>
      </c>
      <c r="S172" s="3">
        <f>IF(R172 = "", "", R172 * H172)</f>
        <v>0.08256880733944955</v>
      </c>
      <c r="T172" s="5">
        <f>SUMIFS(CaseCells!G2:G999,CaseCells!C2:C999, C172,CaseCells!D2:D999, D172,CaseCells!E2:E999, "A")</f>
        <v>400</v>
      </c>
      <c r="U172" s="5">
        <f>SUMIFS(CaseCells!G2:G999,CaseCells!C2:C999, C172,CaseCells!D2:D999, D172,CaseCells!E2:E999, "B")</f>
        <v>200</v>
      </c>
      <c r="V172" s="5">
        <f>SUMIFS(CaseCells!G2:G999,CaseCells!C2:C999, C172,CaseCells!E2:E999, "A")</f>
        <v>1150</v>
      </c>
      <c r="W172" s="5">
        <f>SUMIFS(CaseCells!G2:G999,CaseCells!C2:C999, C172,CaseCells!E2:E999, "B")</f>
        <v>1030</v>
      </c>
      <c r="X172" s="3">
        <f>IF(V172 = 0, "", T172 / V172)</f>
        <v>0.34782608695652173</v>
      </c>
      <c r="Y172" s="3">
        <f>IF(W172 = 0, "", U172 / W172)</f>
        <v>0.1941747572815534</v>
      </c>
      <c r="Z172" s="3">
        <f>IF(X172 = "", "", X172 - Y172)</f>
        <v>0.15365132967496833</v>
      </c>
      <c r="AA172" s="3">
        <f>IF(K172 = "", "", K172 - N172)</f>
        <v>0.09999999999999998</v>
      </c>
      <c r="AB172" s="3">
        <f>IF(AA172 = "", "", AA172 * R172)</f>
        <v>0.02752293577981651</v>
      </c>
    </row>
    <row r="173">
      <c r="A173" s="2" t="s">
        <v>1950</v>
      </c>
      <c r="B173" s="3" t="str">
        <f>A173</f>
        <v>uc-irvine-admissions-1985-engineering-B</v>
      </c>
      <c r="C173" s="2" t="s">
        <v>558</v>
      </c>
      <c r="D173" s="2" t="s">
        <v>1401</v>
      </c>
      <c r="E173" s="2" t="s">
        <v>795</v>
      </c>
      <c r="F173" s="5">
        <f>SUMIFS(CaseCells!F2:F999,CaseCells!C2:C999, C173,CaseCells!D2:D999, D173,CaseCells!E2:E999, E173)</f>
        <v>40</v>
      </c>
      <c r="G173" s="5">
        <f>SUMIFS(CaseCells!G2:G999,CaseCells!C2:C999, C173,CaseCells!D2:D999, D173,CaseCells!E2:E999, E173)</f>
        <v>200</v>
      </c>
      <c r="H173" s="3">
        <f>IF(G173 = 0, "", F173 / G173)</f>
        <v>0.2</v>
      </c>
      <c r="I173" s="5">
        <f>SUMIFS(CaseCells!F2:F999,CaseCells!C2:C999, C173,CaseCells!D2:D999, D173,CaseCells!E2:E999, "A")</f>
        <v>120</v>
      </c>
      <c r="J173" s="5">
        <f>SUMIFS(CaseCells!G2:G999,CaseCells!C2:C999, C173,CaseCells!D2:D999, D173,CaseCells!E2:E999, "A")</f>
        <v>400</v>
      </c>
      <c r="K173" s="3">
        <f>IF(J173 = 0, "", I173 / J173)</f>
        <v>0.3</v>
      </c>
      <c r="L173" s="5">
        <f>SUMIFS(CaseCells!F2:F999,CaseCells!C2:C999, C173,CaseCells!D2:D999, D173,CaseCells!E2:E999, "B")</f>
        <v>40</v>
      </c>
      <c r="M173" s="5">
        <f>SUMIFS(CaseCells!G2:G999,CaseCells!C2:C999, C173,CaseCells!D2:D999, D173,CaseCells!E2:E999, "B")</f>
        <v>200</v>
      </c>
      <c r="N173" s="3">
        <f>IF(M173 = 0, "", L173 / M173)</f>
        <v>0.2</v>
      </c>
      <c r="O173" s="3" t="str">
        <f>IF(K173 &gt; N173, "A", "B")</f>
        <v>A</v>
      </c>
      <c r="P173" s="5">
        <f>SUMIFS(CaseCells!G2:G999,CaseCells!C2:C999, C173)</f>
        <v>2180</v>
      </c>
      <c r="Q173" s="5">
        <f>SUMIFS(CaseCells!G2:G999,CaseCells!C2:C999, C173,CaseCells!D2:D999, D173)</f>
        <v>600</v>
      </c>
      <c r="R173" s="3">
        <f>IF(P173 = 0, "", Q173 / P173)</f>
        <v>0.27522935779816515</v>
      </c>
      <c r="S173" s="3">
        <f>IF(R173 = "", "", R173 * H173)</f>
        <v>0.05504587155963303</v>
      </c>
      <c r="T173" s="5">
        <f>SUMIFS(CaseCells!G2:G999,CaseCells!C2:C999, C173,CaseCells!D2:D999, D173,CaseCells!E2:E999, "A")</f>
        <v>400</v>
      </c>
      <c r="U173" s="5">
        <f>SUMIFS(CaseCells!G2:G999,CaseCells!C2:C999, C173,CaseCells!D2:D999, D173,CaseCells!E2:E999, "B")</f>
        <v>200</v>
      </c>
      <c r="V173" s="5">
        <f>SUMIFS(CaseCells!G2:G999,CaseCells!C2:C999, C173,CaseCells!E2:E999, "A")</f>
        <v>1150</v>
      </c>
      <c r="W173" s="5">
        <f>SUMIFS(CaseCells!G2:G999,CaseCells!C2:C999, C173,CaseCells!E2:E999, "B")</f>
        <v>1030</v>
      </c>
      <c r="X173" s="3">
        <f>IF(V173 = 0, "", T173 / V173)</f>
        <v>0.34782608695652173</v>
      </c>
      <c r="Y173" s="3">
        <f>IF(W173 = 0, "", U173 / W173)</f>
        <v>0.1941747572815534</v>
      </c>
      <c r="Z173" s="3">
        <f>IF(X173 = "", "", X173 - Y173)</f>
        <v>0.15365132967496833</v>
      </c>
      <c r="AA173" s="3">
        <f>IF(K173 = "", "", K173 - N173)</f>
        <v>0.09999999999999998</v>
      </c>
      <c r="AB173" s="3">
        <f>IF(AA173 = "", "", AA173 * R173)</f>
        <v>0.02752293577981651</v>
      </c>
    </row>
    <row r="174">
      <c r="A174" s="2" t="s">
        <v>1951</v>
      </c>
      <c r="B174" s="3" t="str">
        <f>A174</f>
        <v>uc-irvine-admissions-1985-humanities-A</v>
      </c>
      <c r="C174" s="2" t="s">
        <v>558</v>
      </c>
      <c r="D174" s="2" t="s">
        <v>1404</v>
      </c>
      <c r="E174" s="2" t="s">
        <v>792</v>
      </c>
      <c r="F174" s="5">
        <f>SUMIFS(CaseCells!F2:F999,CaseCells!C2:C999, C174,CaseCells!D2:D999, D174,CaseCells!E2:E999, E174)</f>
        <v>80</v>
      </c>
      <c r="G174" s="5">
        <f>SUMIFS(CaseCells!G2:G999,CaseCells!C2:C999, C174,CaseCells!D2:D999, D174,CaseCells!E2:E999, E174)</f>
        <v>200</v>
      </c>
      <c r="H174" s="3">
        <f>IF(G174 = 0, "", F174 / G174)</f>
        <v>0.4</v>
      </c>
      <c r="I174" s="5">
        <f>SUMIFS(CaseCells!F2:F999,CaseCells!C2:C999, C174,CaseCells!D2:D999, D174,CaseCells!E2:E999, "A")</f>
        <v>80</v>
      </c>
      <c r="J174" s="5">
        <f>SUMIFS(CaseCells!G2:G999,CaseCells!C2:C999, C174,CaseCells!D2:D999, D174,CaseCells!E2:E999, "A")</f>
        <v>200</v>
      </c>
      <c r="K174" s="3">
        <f>IF(J174 = 0, "", I174 / J174)</f>
        <v>0.4</v>
      </c>
      <c r="L174" s="5">
        <f>SUMIFS(CaseCells!F2:F999,CaseCells!C2:C999, C174,CaseCells!D2:D999, D174,CaseCells!E2:E999, "B")</f>
        <v>150</v>
      </c>
      <c r="M174" s="5">
        <f>SUMIFS(CaseCells!G2:G999,CaseCells!C2:C999, C174,CaseCells!D2:D999, D174,CaseCells!E2:E999, "B")</f>
        <v>250</v>
      </c>
      <c r="N174" s="3">
        <f>IF(M174 = 0, "", L174 / M174)</f>
        <v>0.6</v>
      </c>
      <c r="O174" s="3" t="str">
        <f>IF(K174 &gt; N174, "A", "B")</f>
        <v>B</v>
      </c>
      <c r="P174" s="5">
        <f>SUMIFS(CaseCells!G2:G999,CaseCells!C2:C999, C174)</f>
        <v>2180</v>
      </c>
      <c r="Q174" s="5">
        <f>SUMIFS(CaseCells!G2:G999,CaseCells!C2:C999, C174,CaseCells!D2:D999, D174)</f>
        <v>450</v>
      </c>
      <c r="R174" s="3">
        <f>IF(P174 = 0, "", Q174 / P174)</f>
        <v>0.20642201834862386</v>
      </c>
      <c r="S174" s="3">
        <f>IF(R174 = "", "", R174 * H174)</f>
        <v>0.08256880733944955</v>
      </c>
      <c r="T174" s="5">
        <f>SUMIFS(CaseCells!G2:G999,CaseCells!C2:C999, C174,CaseCells!D2:D999, D174,CaseCells!E2:E999, "A")</f>
        <v>200</v>
      </c>
      <c r="U174" s="5">
        <f>SUMIFS(CaseCells!G2:G999,CaseCells!C2:C999, C174,CaseCells!D2:D999, D174,CaseCells!E2:E999, "B")</f>
        <v>250</v>
      </c>
      <c r="V174" s="5">
        <f>SUMIFS(CaseCells!G2:G999,CaseCells!C2:C999, C174,CaseCells!E2:E999, "A")</f>
        <v>1150</v>
      </c>
      <c r="W174" s="5">
        <f>SUMIFS(CaseCells!G2:G999,CaseCells!C2:C999, C174,CaseCells!E2:E999, "B")</f>
        <v>1030</v>
      </c>
      <c r="X174" s="3">
        <f>IF(V174 = 0, "", T174 / V174)</f>
        <v>0.17391304347826086</v>
      </c>
      <c r="Y174" s="3">
        <f>IF(W174 = 0, "", U174 / W174)</f>
        <v>0.24271844660194175</v>
      </c>
      <c r="Z174" s="3">
        <f>IF(X174 = "", "", X174 - Y174)</f>
        <v>-0.06880540312368089</v>
      </c>
      <c r="AA174" s="3">
        <f>IF(K174 = "", "", K174 - N174)</f>
        <v>-0.19999999999999996</v>
      </c>
      <c r="AB174" s="3">
        <f>IF(AA174 = "", "", AA174 * R174)</f>
        <v>-0.041284403669724766</v>
      </c>
    </row>
    <row r="175">
      <c r="A175" s="2" t="s">
        <v>1952</v>
      </c>
      <c r="B175" s="3" t="str">
        <f>A175</f>
        <v>uc-irvine-admissions-1985-humanities-B</v>
      </c>
      <c r="C175" s="2" t="s">
        <v>558</v>
      </c>
      <c r="D175" s="2" t="s">
        <v>1404</v>
      </c>
      <c r="E175" s="2" t="s">
        <v>795</v>
      </c>
      <c r="F175" s="5">
        <f>SUMIFS(CaseCells!F2:F999,CaseCells!C2:C999, C175,CaseCells!D2:D999, D175,CaseCells!E2:E999, E175)</f>
        <v>150</v>
      </c>
      <c r="G175" s="5">
        <f>SUMIFS(CaseCells!G2:G999,CaseCells!C2:C999, C175,CaseCells!D2:D999, D175,CaseCells!E2:E999, E175)</f>
        <v>250</v>
      </c>
      <c r="H175" s="3">
        <f>IF(G175 = 0, "", F175 / G175)</f>
        <v>0.6</v>
      </c>
      <c r="I175" s="5">
        <f>SUMIFS(CaseCells!F2:F999,CaseCells!C2:C999, C175,CaseCells!D2:D999, D175,CaseCells!E2:E999, "A")</f>
        <v>80</v>
      </c>
      <c r="J175" s="5">
        <f>SUMIFS(CaseCells!G2:G999,CaseCells!C2:C999, C175,CaseCells!D2:D999, D175,CaseCells!E2:E999, "A")</f>
        <v>200</v>
      </c>
      <c r="K175" s="3">
        <f>IF(J175 = 0, "", I175 / J175)</f>
        <v>0.4</v>
      </c>
      <c r="L175" s="5">
        <f>SUMIFS(CaseCells!F2:F999,CaseCells!C2:C999, C175,CaseCells!D2:D999, D175,CaseCells!E2:E999, "B")</f>
        <v>150</v>
      </c>
      <c r="M175" s="5">
        <f>SUMIFS(CaseCells!G2:G999,CaseCells!C2:C999, C175,CaseCells!D2:D999, D175,CaseCells!E2:E999, "B")</f>
        <v>250</v>
      </c>
      <c r="N175" s="3">
        <f>IF(M175 = 0, "", L175 / M175)</f>
        <v>0.6</v>
      </c>
      <c r="O175" s="3" t="str">
        <f>IF(K175 &gt; N175, "A", "B")</f>
        <v>B</v>
      </c>
      <c r="P175" s="5">
        <f>SUMIFS(CaseCells!G2:G999,CaseCells!C2:C999, C175)</f>
        <v>2180</v>
      </c>
      <c r="Q175" s="5">
        <f>SUMIFS(CaseCells!G2:G999,CaseCells!C2:C999, C175,CaseCells!D2:D999, D175)</f>
        <v>450</v>
      </c>
      <c r="R175" s="3">
        <f>IF(P175 = 0, "", Q175 / P175)</f>
        <v>0.20642201834862386</v>
      </c>
      <c r="S175" s="3">
        <f>IF(R175 = "", "", R175 * H175)</f>
        <v>0.12385321100917432</v>
      </c>
      <c r="T175" s="5">
        <f>SUMIFS(CaseCells!G2:G999,CaseCells!C2:C999, C175,CaseCells!D2:D999, D175,CaseCells!E2:E999, "A")</f>
        <v>200</v>
      </c>
      <c r="U175" s="5">
        <f>SUMIFS(CaseCells!G2:G999,CaseCells!C2:C999, C175,CaseCells!D2:D999, D175,CaseCells!E2:E999, "B")</f>
        <v>250</v>
      </c>
      <c r="V175" s="5">
        <f>SUMIFS(CaseCells!G2:G999,CaseCells!C2:C999, C175,CaseCells!E2:E999, "A")</f>
        <v>1150</v>
      </c>
      <c r="W175" s="5">
        <f>SUMIFS(CaseCells!G2:G999,CaseCells!C2:C999, C175,CaseCells!E2:E999, "B")</f>
        <v>1030</v>
      </c>
      <c r="X175" s="3">
        <f>IF(V175 = 0, "", T175 / V175)</f>
        <v>0.17391304347826086</v>
      </c>
      <c r="Y175" s="3">
        <f>IF(W175 = 0, "", U175 / W175)</f>
        <v>0.24271844660194175</v>
      </c>
      <c r="Z175" s="3">
        <f>IF(X175 = "", "", X175 - Y175)</f>
        <v>-0.06880540312368089</v>
      </c>
      <c r="AA175" s="3">
        <f>IF(K175 = "", "", K175 - N175)</f>
        <v>-0.19999999999999996</v>
      </c>
      <c r="AB175" s="3">
        <f>IF(AA175 = "", "", AA175 * R175)</f>
        <v>-0.041284403669724766</v>
      </c>
    </row>
    <row r="176">
      <c r="A176" s="2" t="s">
        <v>1953</v>
      </c>
      <c r="B176" s="3" t="str">
        <f>A176</f>
        <v>uc-irvine-admissions-1985-biological-sciences-A</v>
      </c>
      <c r="C176" s="2" t="s">
        <v>558</v>
      </c>
      <c r="D176" s="2" t="s">
        <v>1407</v>
      </c>
      <c r="E176" s="2" t="s">
        <v>792</v>
      </c>
      <c r="F176" s="5">
        <f>SUMIFS(CaseCells!F2:F999,CaseCells!C2:C999, C176,CaseCells!D2:D999, D176,CaseCells!E2:E999, E176)</f>
        <v>100</v>
      </c>
      <c r="G176" s="5">
        <f>SUMIFS(CaseCells!G2:G999,CaseCells!C2:C999, C176,CaseCells!D2:D999, D176,CaseCells!E2:E999, E176)</f>
        <v>300</v>
      </c>
      <c r="H176" s="3">
        <f>IF(G176 = 0, "", F176 / G176)</f>
        <v>0.3333333333333333</v>
      </c>
      <c r="I176" s="5">
        <f>SUMIFS(CaseCells!F2:F999,CaseCells!C2:C999, C176,CaseCells!D2:D999, D176,CaseCells!E2:E999, "A")</f>
        <v>100</v>
      </c>
      <c r="J176" s="5">
        <f>SUMIFS(CaseCells!G2:G999,CaseCells!C2:C999, C176,CaseCells!D2:D999, D176,CaseCells!E2:E999, "A")</f>
        <v>300</v>
      </c>
      <c r="K176" s="3">
        <f>IF(J176 = 0, "", I176 / J176)</f>
        <v>0.3333333333333333</v>
      </c>
      <c r="L176" s="5">
        <f>SUMIFS(CaseCells!F2:F999,CaseCells!C2:C999, C176,CaseCells!D2:D999, D176,CaseCells!E2:E999, "B")</f>
        <v>120</v>
      </c>
      <c r="M176" s="5">
        <f>SUMIFS(CaseCells!G2:G999,CaseCells!C2:C999, C176,CaseCells!D2:D999, D176,CaseCells!E2:E999, "B")</f>
        <v>280</v>
      </c>
      <c r="N176" s="3">
        <f>IF(M176 = 0, "", L176 / M176)</f>
        <v>0.42857142857142855</v>
      </c>
      <c r="O176" s="3" t="str">
        <f>IF(K176 &gt; N176, "A", "B")</f>
        <v>B</v>
      </c>
      <c r="P176" s="5">
        <f>SUMIFS(CaseCells!G2:G999,CaseCells!C2:C999, C176)</f>
        <v>2180</v>
      </c>
      <c r="Q176" s="5">
        <f>SUMIFS(CaseCells!G2:G999,CaseCells!C2:C999, C176,CaseCells!D2:D999, D176)</f>
        <v>580</v>
      </c>
      <c r="R176" s="3">
        <f>IF(P176 = 0, "", Q176 / P176)</f>
        <v>0.26605504587155965</v>
      </c>
      <c r="S176" s="3">
        <f>IF(R176 = "", "", R176 * H176)</f>
        <v>0.08868501529051988</v>
      </c>
      <c r="T176" s="5">
        <f>SUMIFS(CaseCells!G2:G999,CaseCells!C2:C999, C176,CaseCells!D2:D999, D176,CaseCells!E2:E999, "A")</f>
        <v>300</v>
      </c>
      <c r="U176" s="5">
        <f>SUMIFS(CaseCells!G2:G999,CaseCells!C2:C999, C176,CaseCells!D2:D999, D176,CaseCells!E2:E999, "B")</f>
        <v>280</v>
      </c>
      <c r="V176" s="5">
        <f>SUMIFS(CaseCells!G2:G999,CaseCells!C2:C999, C176,CaseCells!E2:E999, "A")</f>
        <v>1150</v>
      </c>
      <c r="W176" s="5">
        <f>SUMIFS(CaseCells!G2:G999,CaseCells!C2:C999, C176,CaseCells!E2:E999, "B")</f>
        <v>1030</v>
      </c>
      <c r="X176" s="3">
        <f>IF(V176 = 0, "", T176 / V176)</f>
        <v>0.2608695652173913</v>
      </c>
      <c r="Y176" s="3">
        <f>IF(W176 = 0, "", U176 / W176)</f>
        <v>0.27184466019417475</v>
      </c>
      <c r="Z176" s="3">
        <f>IF(X176 = "", "", X176 - Y176)</f>
        <v>-0.01097509497678345</v>
      </c>
      <c r="AA176" s="3">
        <f>IF(K176 = "", "", K176 - N176)</f>
        <v>-0.09523809523809523</v>
      </c>
      <c r="AB176" s="3">
        <f>IF(AA176 = "", "", AA176 * R176)</f>
        <v>-0.025338575797291395</v>
      </c>
    </row>
    <row r="177">
      <c r="A177" s="2" t="s">
        <v>1954</v>
      </c>
      <c r="B177" s="3" t="str">
        <f>A177</f>
        <v>uc-irvine-admissions-1985-biological-sciences-B</v>
      </c>
      <c r="C177" s="2" t="s">
        <v>558</v>
      </c>
      <c r="D177" s="2" t="s">
        <v>1407</v>
      </c>
      <c r="E177" s="2" t="s">
        <v>795</v>
      </c>
      <c r="F177" s="5">
        <f>SUMIFS(CaseCells!F2:F999,CaseCells!C2:C999, C177,CaseCells!D2:D999, D177,CaseCells!E2:E999, E177)</f>
        <v>120</v>
      </c>
      <c r="G177" s="5">
        <f>SUMIFS(CaseCells!G2:G999,CaseCells!C2:C999, C177,CaseCells!D2:D999, D177,CaseCells!E2:E999, E177)</f>
        <v>280</v>
      </c>
      <c r="H177" s="3">
        <f>IF(G177 = 0, "", F177 / G177)</f>
        <v>0.42857142857142855</v>
      </c>
      <c r="I177" s="5">
        <f>SUMIFS(CaseCells!F2:F999,CaseCells!C2:C999, C177,CaseCells!D2:D999, D177,CaseCells!E2:E999, "A")</f>
        <v>100</v>
      </c>
      <c r="J177" s="5">
        <f>SUMIFS(CaseCells!G2:G999,CaseCells!C2:C999, C177,CaseCells!D2:D999, D177,CaseCells!E2:E999, "A")</f>
        <v>300</v>
      </c>
      <c r="K177" s="3">
        <f>IF(J177 = 0, "", I177 / J177)</f>
        <v>0.3333333333333333</v>
      </c>
      <c r="L177" s="5">
        <f>SUMIFS(CaseCells!F2:F999,CaseCells!C2:C999, C177,CaseCells!D2:D999, D177,CaseCells!E2:E999, "B")</f>
        <v>120</v>
      </c>
      <c r="M177" s="5">
        <f>SUMIFS(CaseCells!G2:G999,CaseCells!C2:C999, C177,CaseCells!D2:D999, D177,CaseCells!E2:E999, "B")</f>
        <v>280</v>
      </c>
      <c r="N177" s="3">
        <f>IF(M177 = 0, "", L177 / M177)</f>
        <v>0.42857142857142855</v>
      </c>
      <c r="O177" s="3" t="str">
        <f>IF(K177 &gt; N177, "A", "B")</f>
        <v>B</v>
      </c>
      <c r="P177" s="5">
        <f>SUMIFS(CaseCells!G2:G999,CaseCells!C2:C999, C177)</f>
        <v>2180</v>
      </c>
      <c r="Q177" s="5">
        <f>SUMIFS(CaseCells!G2:G999,CaseCells!C2:C999, C177,CaseCells!D2:D999, D177)</f>
        <v>580</v>
      </c>
      <c r="R177" s="3">
        <f>IF(P177 = 0, "", Q177 / P177)</f>
        <v>0.26605504587155965</v>
      </c>
      <c r="S177" s="3">
        <f>IF(R177 = "", "", R177 * H177)</f>
        <v>0.11402359108781127</v>
      </c>
      <c r="T177" s="5">
        <f>SUMIFS(CaseCells!G2:G999,CaseCells!C2:C999, C177,CaseCells!D2:D999, D177,CaseCells!E2:E999, "A")</f>
        <v>300</v>
      </c>
      <c r="U177" s="5">
        <f>SUMIFS(CaseCells!G2:G999,CaseCells!C2:C999, C177,CaseCells!D2:D999, D177,CaseCells!E2:E999, "B")</f>
        <v>280</v>
      </c>
      <c r="V177" s="5">
        <f>SUMIFS(CaseCells!G2:G999,CaseCells!C2:C999, C177,CaseCells!E2:E999, "A")</f>
        <v>1150</v>
      </c>
      <c r="W177" s="5">
        <f>SUMIFS(CaseCells!G2:G999,CaseCells!C2:C999, C177,CaseCells!E2:E999, "B")</f>
        <v>1030</v>
      </c>
      <c r="X177" s="3">
        <f>IF(V177 = 0, "", T177 / V177)</f>
        <v>0.2608695652173913</v>
      </c>
      <c r="Y177" s="3">
        <f>IF(W177 = 0, "", U177 / W177)</f>
        <v>0.27184466019417475</v>
      </c>
      <c r="Z177" s="3">
        <f>IF(X177 = "", "", X177 - Y177)</f>
        <v>-0.01097509497678345</v>
      </c>
      <c r="AA177" s="3">
        <f>IF(K177 = "", "", K177 - N177)</f>
        <v>-0.09523809523809523</v>
      </c>
      <c r="AB177" s="3">
        <f>IF(AA177 = "", "", AA177 * R177)</f>
        <v>-0.025338575797291395</v>
      </c>
    </row>
    <row r="178">
      <c r="A178" s="2" t="s">
        <v>1955</v>
      </c>
      <c r="B178" s="3" t="str">
        <f>A178</f>
        <v>uc-irvine-admissions-1985-social-sciences-A</v>
      </c>
      <c r="C178" s="2" t="s">
        <v>558</v>
      </c>
      <c r="D178" s="2" t="s">
        <v>1410</v>
      </c>
      <c r="E178" s="2" t="s">
        <v>792</v>
      </c>
      <c r="F178" s="5">
        <f>SUMIFS(CaseCells!F2:F999,CaseCells!C2:C999, C178,CaseCells!D2:D999, D178,CaseCells!E2:E999, E178)</f>
        <v>90</v>
      </c>
      <c r="G178" s="5">
        <f>SUMIFS(CaseCells!G2:G999,CaseCells!C2:C999, C178,CaseCells!D2:D999, D178,CaseCells!E2:E999, E178)</f>
        <v>250</v>
      </c>
      <c r="H178" s="3">
        <f>IF(G178 = 0, "", F178 / G178)</f>
        <v>0.36</v>
      </c>
      <c r="I178" s="5">
        <f>SUMIFS(CaseCells!F2:F999,CaseCells!C2:C999, C178,CaseCells!D2:D999, D178,CaseCells!E2:E999, "A")</f>
        <v>90</v>
      </c>
      <c r="J178" s="5">
        <f>SUMIFS(CaseCells!G2:G999,CaseCells!C2:C999, C178,CaseCells!D2:D999, D178,CaseCells!E2:E999, "A")</f>
        <v>250</v>
      </c>
      <c r="K178" s="3">
        <f>IF(J178 = 0, "", I178 / J178)</f>
        <v>0.36</v>
      </c>
      <c r="L178" s="5">
        <f>SUMIFS(CaseCells!F2:F999,CaseCells!C2:C999, C178,CaseCells!D2:D999, D178,CaseCells!E2:E999, "B")</f>
        <v>130</v>
      </c>
      <c r="M178" s="5">
        <f>SUMIFS(CaseCells!G2:G999,CaseCells!C2:C999, C178,CaseCells!D2:D999, D178,CaseCells!E2:E999, "B")</f>
        <v>300</v>
      </c>
      <c r="N178" s="3">
        <f>IF(M178 = 0, "", L178 / M178)</f>
        <v>0.43333333333333335</v>
      </c>
      <c r="O178" s="3" t="str">
        <f>IF(K178 &gt; N178, "A", "B")</f>
        <v>B</v>
      </c>
      <c r="P178" s="5">
        <f>SUMIFS(CaseCells!G2:G999,CaseCells!C2:C999, C178)</f>
        <v>2180</v>
      </c>
      <c r="Q178" s="5">
        <f>SUMIFS(CaseCells!G2:G999,CaseCells!C2:C999, C178,CaseCells!D2:D999, D178)</f>
        <v>550</v>
      </c>
      <c r="R178" s="3">
        <f>IF(P178 = 0, "", Q178 / P178)</f>
        <v>0.25229357798165136</v>
      </c>
      <c r="S178" s="3">
        <f>IF(R178 = "", "", R178 * H178)</f>
        <v>0.09082568807339449</v>
      </c>
      <c r="T178" s="5">
        <f>SUMIFS(CaseCells!G2:G999,CaseCells!C2:C999, C178,CaseCells!D2:D999, D178,CaseCells!E2:E999, "A")</f>
        <v>250</v>
      </c>
      <c r="U178" s="5">
        <f>SUMIFS(CaseCells!G2:G999,CaseCells!C2:C999, C178,CaseCells!D2:D999, D178,CaseCells!E2:E999, "B")</f>
        <v>300</v>
      </c>
      <c r="V178" s="5">
        <f>SUMIFS(CaseCells!G2:G999,CaseCells!C2:C999, C178,CaseCells!E2:E999, "A")</f>
        <v>1150</v>
      </c>
      <c r="W178" s="5">
        <f>SUMIFS(CaseCells!G2:G999,CaseCells!C2:C999, C178,CaseCells!E2:E999, "B")</f>
        <v>1030</v>
      </c>
      <c r="X178" s="3">
        <f>IF(V178 = 0, "", T178 / V178)</f>
        <v>0.21739130434782608</v>
      </c>
      <c r="Y178" s="3">
        <f>IF(W178 = 0, "", U178 / W178)</f>
        <v>0.2912621359223301</v>
      </c>
      <c r="Z178" s="3">
        <f>IF(X178 = "", "", X178 - Y178)</f>
        <v>-0.073870831574504</v>
      </c>
      <c r="AA178" s="3">
        <f>IF(K178 = "", "", K178 - N178)</f>
        <v>-0.07333333333333336</v>
      </c>
      <c r="AB178" s="3">
        <f>IF(AA178 = "", "", AA178 * R178)</f>
        <v>-0.018501529051987774</v>
      </c>
    </row>
    <row r="179">
      <c r="A179" s="2" t="s">
        <v>1956</v>
      </c>
      <c r="B179" s="3" t="str">
        <f>A179</f>
        <v>uc-irvine-admissions-1985-social-sciences-B</v>
      </c>
      <c r="C179" s="2" t="s">
        <v>558</v>
      </c>
      <c r="D179" s="2" t="s">
        <v>1410</v>
      </c>
      <c r="E179" s="2" t="s">
        <v>795</v>
      </c>
      <c r="F179" s="5">
        <f>SUMIFS(CaseCells!F2:F999,CaseCells!C2:C999, C179,CaseCells!D2:D999, D179,CaseCells!E2:E999, E179)</f>
        <v>130</v>
      </c>
      <c r="G179" s="5">
        <f>SUMIFS(CaseCells!G2:G999,CaseCells!C2:C999, C179,CaseCells!D2:D999, D179,CaseCells!E2:E999, E179)</f>
        <v>300</v>
      </c>
      <c r="H179" s="3">
        <f>IF(G179 = 0, "", F179 / G179)</f>
        <v>0.43333333333333335</v>
      </c>
      <c r="I179" s="5">
        <f>SUMIFS(CaseCells!F2:F999,CaseCells!C2:C999, C179,CaseCells!D2:D999, D179,CaseCells!E2:E999, "A")</f>
        <v>90</v>
      </c>
      <c r="J179" s="5">
        <f>SUMIFS(CaseCells!G2:G999,CaseCells!C2:C999, C179,CaseCells!D2:D999, D179,CaseCells!E2:E999, "A")</f>
        <v>250</v>
      </c>
      <c r="K179" s="3">
        <f>IF(J179 = 0, "", I179 / J179)</f>
        <v>0.36</v>
      </c>
      <c r="L179" s="5">
        <f>SUMIFS(CaseCells!F2:F999,CaseCells!C2:C999, C179,CaseCells!D2:D999, D179,CaseCells!E2:E999, "B")</f>
        <v>130</v>
      </c>
      <c r="M179" s="5">
        <f>SUMIFS(CaseCells!G2:G999,CaseCells!C2:C999, C179,CaseCells!D2:D999, D179,CaseCells!E2:E999, "B")</f>
        <v>300</v>
      </c>
      <c r="N179" s="3">
        <f>IF(M179 = 0, "", L179 / M179)</f>
        <v>0.43333333333333335</v>
      </c>
      <c r="O179" s="3" t="str">
        <f>IF(K179 &gt; N179, "A", "B")</f>
        <v>B</v>
      </c>
      <c r="P179" s="5">
        <f>SUMIFS(CaseCells!G2:G999,CaseCells!C2:C999, C179)</f>
        <v>2180</v>
      </c>
      <c r="Q179" s="5">
        <f>SUMIFS(CaseCells!G2:G999,CaseCells!C2:C999, C179,CaseCells!D2:D999, D179)</f>
        <v>550</v>
      </c>
      <c r="R179" s="3">
        <f>IF(P179 = 0, "", Q179 / P179)</f>
        <v>0.25229357798165136</v>
      </c>
      <c r="S179" s="3">
        <f>IF(R179 = "", "", R179 * H179)</f>
        <v>0.10932721712538226</v>
      </c>
      <c r="T179" s="5">
        <f>SUMIFS(CaseCells!G2:G999,CaseCells!C2:C999, C179,CaseCells!D2:D999, D179,CaseCells!E2:E999, "A")</f>
        <v>250</v>
      </c>
      <c r="U179" s="5">
        <f>SUMIFS(CaseCells!G2:G999,CaseCells!C2:C999, C179,CaseCells!D2:D999, D179,CaseCells!E2:E999, "B")</f>
        <v>300</v>
      </c>
      <c r="V179" s="5">
        <f>SUMIFS(CaseCells!G2:G999,CaseCells!C2:C999, C179,CaseCells!E2:E999, "A")</f>
        <v>1150</v>
      </c>
      <c r="W179" s="5">
        <f>SUMIFS(CaseCells!G2:G999,CaseCells!C2:C999, C179,CaseCells!E2:E999, "B")</f>
        <v>1030</v>
      </c>
      <c r="X179" s="3">
        <f>IF(V179 = 0, "", T179 / V179)</f>
        <v>0.21739130434782608</v>
      </c>
      <c r="Y179" s="3">
        <f>IF(W179 = 0, "", U179 / W179)</f>
        <v>0.2912621359223301</v>
      </c>
      <c r="Z179" s="3">
        <f>IF(X179 = "", "", X179 - Y179)</f>
        <v>-0.073870831574504</v>
      </c>
      <c r="AA179" s="3">
        <f>IF(K179 = "", "", K179 - N179)</f>
        <v>-0.07333333333333336</v>
      </c>
      <c r="AB179" s="3">
        <f>IF(AA179 = "", "", AA179 * R179)</f>
        <v>-0.018501529051987774</v>
      </c>
    </row>
    <row r="180">
      <c r="A180" s="2" t="s">
        <v>1957</v>
      </c>
      <c r="B180" s="3" t="str">
        <f>A180</f>
        <v>cesarean-birth-weight-2006-normal-bw-A</v>
      </c>
      <c r="C180" s="2" t="s">
        <v>561</v>
      </c>
      <c r="D180" s="2" t="s">
        <v>1413</v>
      </c>
      <c r="E180" s="2" t="s">
        <v>792</v>
      </c>
      <c r="F180" s="5">
        <f>SUMIFS(CaseCells!F2:F999,CaseCells!C2:C999, C180,CaseCells!D2:D999, D180,CaseCells!E2:E999, E180)</f>
        <v>1200</v>
      </c>
      <c r="G180" s="5">
        <f>SUMIFS(CaseCells!G2:G999,CaseCells!C2:C999, C180,CaseCells!D2:D999, D180,CaseCells!E2:E999, E180)</f>
        <v>5000</v>
      </c>
      <c r="H180" s="3">
        <f>IF(G180 = 0, "", F180 / G180)</f>
        <v>0.24</v>
      </c>
      <c r="I180" s="5">
        <f>SUMIFS(CaseCells!F2:F999,CaseCells!C2:C999, C180,CaseCells!D2:D999, D180,CaseCells!E2:E999, "A")</f>
        <v>1200</v>
      </c>
      <c r="J180" s="5">
        <f>SUMIFS(CaseCells!G2:G999,CaseCells!C2:C999, C180,CaseCells!D2:D999, D180,CaseCells!E2:E999, "A")</f>
        <v>5000</v>
      </c>
      <c r="K180" s="3">
        <f>IF(J180 = 0, "", I180 / J180)</f>
        <v>0.24</v>
      </c>
      <c r="L180" s="5">
        <f>SUMIFS(CaseCells!F2:F999,CaseCells!C2:C999, C180,CaseCells!D2:D999, D180,CaseCells!E2:E999, "B")</f>
        <v>800</v>
      </c>
      <c r="M180" s="5">
        <f>SUMIFS(CaseCells!G2:G999,CaseCells!C2:C999, C180,CaseCells!D2:D999, D180,CaseCells!E2:E999, "B")</f>
        <v>2000</v>
      </c>
      <c r="N180" s="3">
        <f>IF(M180 = 0, "", L180 / M180)</f>
        <v>0.4</v>
      </c>
      <c r="O180" s="3" t="str">
        <f>IF(K180 &gt; N180, "A", "B")</f>
        <v>B</v>
      </c>
      <c r="P180" s="5">
        <f>SUMIFS(CaseCells!G2:G999,CaseCells!C2:C999, C180)</f>
        <v>8400</v>
      </c>
      <c r="Q180" s="5">
        <f>SUMIFS(CaseCells!G2:G999,CaseCells!C2:C999, C180,CaseCells!D2:D999, D180)</f>
        <v>7000</v>
      </c>
      <c r="R180" s="3">
        <f>IF(P180 = 0, "", Q180 / P180)</f>
        <v>0.8333333333333334</v>
      </c>
      <c r="S180" s="3">
        <f>IF(R180 = "", "", R180 * H180)</f>
        <v>0.2</v>
      </c>
      <c r="T180" s="5">
        <f>SUMIFS(CaseCells!G2:G999,CaseCells!C2:C999, C180,CaseCells!D2:D999, D180,CaseCells!E2:E999, "A")</f>
        <v>5000</v>
      </c>
      <c r="U180" s="5">
        <f>SUMIFS(CaseCells!G2:G999,CaseCells!C2:C999, C180,CaseCells!D2:D999, D180,CaseCells!E2:E999, "B")</f>
        <v>2000</v>
      </c>
      <c r="V180" s="5">
        <f>SUMIFS(CaseCells!G2:G999,CaseCells!C2:C999, C180,CaseCells!E2:E999, "A")</f>
        <v>5800</v>
      </c>
      <c r="W180" s="5">
        <f>SUMIFS(CaseCells!G2:G999,CaseCells!C2:C999, C180,CaseCells!E2:E999, "B")</f>
        <v>2600</v>
      </c>
      <c r="X180" s="3">
        <f>IF(V180 = 0, "", T180 / V180)</f>
        <v>0.8620689655172413</v>
      </c>
      <c r="Y180" s="3">
        <f>IF(W180 = 0, "", U180 / W180)</f>
        <v>0.7692307692307693</v>
      </c>
      <c r="Z180" s="3">
        <f>IF(X180 = "", "", X180 - Y180)</f>
        <v>0.09283819628647205</v>
      </c>
      <c r="AA180" s="3">
        <f>IF(K180 = "", "", K180 - N180)</f>
        <v>-0.16000000000000003</v>
      </c>
      <c r="AB180" s="3">
        <f>IF(AA180 = "", "", AA180 * R180)</f>
        <v>-0.13333333333333336</v>
      </c>
    </row>
    <row r="181">
      <c r="A181" s="2" t="s">
        <v>1958</v>
      </c>
      <c r="B181" s="3" t="str">
        <f>A181</f>
        <v>cesarean-birth-weight-2006-normal-bw-B</v>
      </c>
      <c r="C181" s="2" t="s">
        <v>561</v>
      </c>
      <c r="D181" s="2" t="s">
        <v>1413</v>
      </c>
      <c r="E181" s="2" t="s">
        <v>795</v>
      </c>
      <c r="F181" s="5">
        <f>SUMIFS(CaseCells!F2:F999,CaseCells!C2:C999, C181,CaseCells!D2:D999, D181,CaseCells!E2:E999, E181)</f>
        <v>800</v>
      </c>
      <c r="G181" s="5">
        <f>SUMIFS(CaseCells!G2:G999,CaseCells!C2:C999, C181,CaseCells!D2:D999, D181,CaseCells!E2:E999, E181)</f>
        <v>2000</v>
      </c>
      <c r="H181" s="3">
        <f>IF(G181 = 0, "", F181 / G181)</f>
        <v>0.4</v>
      </c>
      <c r="I181" s="5">
        <f>SUMIFS(CaseCells!F2:F999,CaseCells!C2:C999, C181,CaseCells!D2:D999, D181,CaseCells!E2:E999, "A")</f>
        <v>1200</v>
      </c>
      <c r="J181" s="5">
        <f>SUMIFS(CaseCells!G2:G999,CaseCells!C2:C999, C181,CaseCells!D2:D999, D181,CaseCells!E2:E999, "A")</f>
        <v>5000</v>
      </c>
      <c r="K181" s="3">
        <f>IF(J181 = 0, "", I181 / J181)</f>
        <v>0.24</v>
      </c>
      <c r="L181" s="5">
        <f>SUMIFS(CaseCells!F2:F999,CaseCells!C2:C999, C181,CaseCells!D2:D999, D181,CaseCells!E2:E999, "B")</f>
        <v>800</v>
      </c>
      <c r="M181" s="5">
        <f>SUMIFS(CaseCells!G2:G999,CaseCells!C2:C999, C181,CaseCells!D2:D999, D181,CaseCells!E2:E999, "B")</f>
        <v>2000</v>
      </c>
      <c r="N181" s="3">
        <f>IF(M181 = 0, "", L181 / M181)</f>
        <v>0.4</v>
      </c>
      <c r="O181" s="3" t="str">
        <f>IF(K181 &gt; N181, "A", "B")</f>
        <v>B</v>
      </c>
      <c r="P181" s="5">
        <f>SUMIFS(CaseCells!G2:G999,CaseCells!C2:C999, C181)</f>
        <v>8400</v>
      </c>
      <c r="Q181" s="5">
        <f>SUMIFS(CaseCells!G2:G999,CaseCells!C2:C999, C181,CaseCells!D2:D999, D181)</f>
        <v>7000</v>
      </c>
      <c r="R181" s="3">
        <f>IF(P181 = 0, "", Q181 / P181)</f>
        <v>0.8333333333333334</v>
      </c>
      <c r="S181" s="3">
        <f>IF(R181 = "", "", R181 * H181)</f>
        <v>0.33333333333333337</v>
      </c>
      <c r="T181" s="5">
        <f>SUMIFS(CaseCells!G2:G999,CaseCells!C2:C999, C181,CaseCells!D2:D999, D181,CaseCells!E2:E999, "A")</f>
        <v>5000</v>
      </c>
      <c r="U181" s="5">
        <f>SUMIFS(CaseCells!G2:G999,CaseCells!C2:C999, C181,CaseCells!D2:D999, D181,CaseCells!E2:E999, "B")</f>
        <v>2000</v>
      </c>
      <c r="V181" s="5">
        <f>SUMIFS(CaseCells!G2:G999,CaseCells!C2:C999, C181,CaseCells!E2:E999, "A")</f>
        <v>5800</v>
      </c>
      <c r="W181" s="5">
        <f>SUMIFS(CaseCells!G2:G999,CaseCells!C2:C999, C181,CaseCells!E2:E999, "B")</f>
        <v>2600</v>
      </c>
      <c r="X181" s="3">
        <f>IF(V181 = 0, "", T181 / V181)</f>
        <v>0.8620689655172413</v>
      </c>
      <c r="Y181" s="3">
        <f>IF(W181 = 0, "", U181 / W181)</f>
        <v>0.7692307692307693</v>
      </c>
      <c r="Z181" s="3">
        <f>IF(X181 = "", "", X181 - Y181)</f>
        <v>0.09283819628647205</v>
      </c>
      <c r="AA181" s="3">
        <f>IF(K181 = "", "", K181 - N181)</f>
        <v>-0.16000000000000003</v>
      </c>
      <c r="AB181" s="3">
        <f>IF(AA181 = "", "", AA181 * R181)</f>
        <v>-0.13333333333333336</v>
      </c>
    </row>
    <row r="182">
      <c r="A182" s="2" t="s">
        <v>1959</v>
      </c>
      <c r="B182" s="3" t="str">
        <f>A182</f>
        <v>cesarean-birth-weight-2006-low-bw-A</v>
      </c>
      <c r="C182" s="2" t="s">
        <v>561</v>
      </c>
      <c r="D182" s="2" t="s">
        <v>1416</v>
      </c>
      <c r="E182" s="2" t="s">
        <v>792</v>
      </c>
      <c r="F182" s="5">
        <f>SUMIFS(CaseCells!F2:F999,CaseCells!C2:C999, C182,CaseCells!D2:D999, D182,CaseCells!E2:E999, E182)</f>
        <v>400</v>
      </c>
      <c r="G182" s="5">
        <f>SUMIFS(CaseCells!G2:G999,CaseCells!C2:C999, C182,CaseCells!D2:D999, D182,CaseCells!E2:E999, E182)</f>
        <v>800</v>
      </c>
      <c r="H182" s="3">
        <f>IF(G182 = 0, "", F182 / G182)</f>
        <v>0.5</v>
      </c>
      <c r="I182" s="5">
        <f>SUMIFS(CaseCells!F2:F999,CaseCells!C2:C999, C182,CaseCells!D2:D999, D182,CaseCells!E2:E999, "A")</f>
        <v>400</v>
      </c>
      <c r="J182" s="5">
        <f>SUMIFS(CaseCells!G2:G999,CaseCells!C2:C999, C182,CaseCells!D2:D999, D182,CaseCells!E2:E999, "A")</f>
        <v>800</v>
      </c>
      <c r="K182" s="3">
        <f>IF(J182 = 0, "", I182 / J182)</f>
        <v>0.5</v>
      </c>
      <c r="L182" s="5">
        <f>SUMIFS(CaseCells!F2:F999,CaseCells!C2:C999, C182,CaseCells!D2:D999, D182,CaseCells!E2:E999, "B")</f>
        <v>350</v>
      </c>
      <c r="M182" s="5">
        <f>SUMIFS(CaseCells!G2:G999,CaseCells!C2:C999, C182,CaseCells!D2:D999, D182,CaseCells!E2:E999, "B")</f>
        <v>600</v>
      </c>
      <c r="N182" s="3">
        <f>IF(M182 = 0, "", L182 / M182)</f>
        <v>0.5833333333333334</v>
      </c>
      <c r="O182" s="3" t="str">
        <f>IF(K182 &gt; N182, "A", "B")</f>
        <v>B</v>
      </c>
      <c r="P182" s="5">
        <f>SUMIFS(CaseCells!G2:G999,CaseCells!C2:C999, C182)</f>
        <v>8400</v>
      </c>
      <c r="Q182" s="5">
        <f>SUMIFS(CaseCells!G2:G999,CaseCells!C2:C999, C182,CaseCells!D2:D999, D182)</f>
        <v>1400</v>
      </c>
      <c r="R182" s="3">
        <f>IF(P182 = 0, "", Q182 / P182)</f>
        <v>0.16666666666666666</v>
      </c>
      <c r="S182" s="3">
        <f>IF(R182 = "", "", R182 * H182)</f>
        <v>0.08333333333333333</v>
      </c>
      <c r="T182" s="5">
        <f>SUMIFS(CaseCells!G2:G999,CaseCells!C2:C999, C182,CaseCells!D2:D999, D182,CaseCells!E2:E999, "A")</f>
        <v>800</v>
      </c>
      <c r="U182" s="5">
        <f>SUMIFS(CaseCells!G2:G999,CaseCells!C2:C999, C182,CaseCells!D2:D999, D182,CaseCells!E2:E999, "B")</f>
        <v>600</v>
      </c>
      <c r="V182" s="5">
        <f>SUMIFS(CaseCells!G2:G999,CaseCells!C2:C999, C182,CaseCells!E2:E999, "A")</f>
        <v>5800</v>
      </c>
      <c r="W182" s="5">
        <f>SUMIFS(CaseCells!G2:G999,CaseCells!C2:C999, C182,CaseCells!E2:E999, "B")</f>
        <v>2600</v>
      </c>
      <c r="X182" s="3">
        <f>IF(V182 = 0, "", T182 / V182)</f>
        <v>0.13793103448275862</v>
      </c>
      <c r="Y182" s="3">
        <f>IF(W182 = 0, "", U182 / W182)</f>
        <v>0.23076923076923078</v>
      </c>
      <c r="Z182" s="3">
        <f>IF(X182 = "", "", X182 - Y182)</f>
        <v>-0.09283819628647216</v>
      </c>
      <c r="AA182" s="3">
        <f>IF(K182 = "", "", K182 - N182)</f>
        <v>-0.08333333333333337</v>
      </c>
      <c r="AB182" s="3">
        <f>IF(AA182 = "", "", AA182 * R182)</f>
        <v>-0.013888888888888895</v>
      </c>
    </row>
    <row r="183">
      <c r="A183" s="2" t="s">
        <v>1960</v>
      </c>
      <c r="B183" s="3" t="str">
        <f>A183</f>
        <v>cesarean-birth-weight-2006-low-bw-B</v>
      </c>
      <c r="C183" s="2" t="s">
        <v>561</v>
      </c>
      <c r="D183" s="2" t="s">
        <v>1416</v>
      </c>
      <c r="E183" s="2" t="s">
        <v>795</v>
      </c>
      <c r="F183" s="5">
        <f>SUMIFS(CaseCells!F2:F999,CaseCells!C2:C999, C183,CaseCells!D2:D999, D183,CaseCells!E2:E999, E183)</f>
        <v>350</v>
      </c>
      <c r="G183" s="5">
        <f>SUMIFS(CaseCells!G2:G999,CaseCells!C2:C999, C183,CaseCells!D2:D999, D183,CaseCells!E2:E999, E183)</f>
        <v>600</v>
      </c>
      <c r="H183" s="3">
        <f>IF(G183 = 0, "", F183 / G183)</f>
        <v>0.5833333333333334</v>
      </c>
      <c r="I183" s="5">
        <f>SUMIFS(CaseCells!F2:F999,CaseCells!C2:C999, C183,CaseCells!D2:D999, D183,CaseCells!E2:E999, "A")</f>
        <v>400</v>
      </c>
      <c r="J183" s="5">
        <f>SUMIFS(CaseCells!G2:G999,CaseCells!C2:C999, C183,CaseCells!D2:D999, D183,CaseCells!E2:E999, "A")</f>
        <v>800</v>
      </c>
      <c r="K183" s="3">
        <f>IF(J183 = 0, "", I183 / J183)</f>
        <v>0.5</v>
      </c>
      <c r="L183" s="5">
        <f>SUMIFS(CaseCells!F2:F999,CaseCells!C2:C999, C183,CaseCells!D2:D999, D183,CaseCells!E2:E999, "B")</f>
        <v>350</v>
      </c>
      <c r="M183" s="5">
        <f>SUMIFS(CaseCells!G2:G999,CaseCells!C2:C999, C183,CaseCells!D2:D999, D183,CaseCells!E2:E999, "B")</f>
        <v>600</v>
      </c>
      <c r="N183" s="3">
        <f>IF(M183 = 0, "", L183 / M183)</f>
        <v>0.5833333333333334</v>
      </c>
      <c r="O183" s="3" t="str">
        <f>IF(K183 &gt; N183, "A", "B")</f>
        <v>B</v>
      </c>
      <c r="P183" s="5">
        <f>SUMIFS(CaseCells!G2:G999,CaseCells!C2:C999, C183)</f>
        <v>8400</v>
      </c>
      <c r="Q183" s="5">
        <f>SUMIFS(CaseCells!G2:G999,CaseCells!C2:C999, C183,CaseCells!D2:D999, D183)</f>
        <v>1400</v>
      </c>
      <c r="R183" s="3">
        <f>IF(P183 = 0, "", Q183 / P183)</f>
        <v>0.16666666666666666</v>
      </c>
      <c r="S183" s="3">
        <f>IF(R183 = "", "", R183 * H183)</f>
        <v>0.09722222222222222</v>
      </c>
      <c r="T183" s="5">
        <f>SUMIFS(CaseCells!G2:G999,CaseCells!C2:C999, C183,CaseCells!D2:D999, D183,CaseCells!E2:E999, "A")</f>
        <v>800</v>
      </c>
      <c r="U183" s="5">
        <f>SUMIFS(CaseCells!G2:G999,CaseCells!C2:C999, C183,CaseCells!D2:D999, D183,CaseCells!E2:E999, "B")</f>
        <v>600</v>
      </c>
      <c r="V183" s="5">
        <f>SUMIFS(CaseCells!G2:G999,CaseCells!C2:C999, C183,CaseCells!E2:E999, "A")</f>
        <v>5800</v>
      </c>
      <c r="W183" s="5">
        <f>SUMIFS(CaseCells!G2:G999,CaseCells!C2:C999, C183,CaseCells!E2:E999, "B")</f>
        <v>2600</v>
      </c>
      <c r="X183" s="3">
        <f>IF(V183 = 0, "", T183 / V183)</f>
        <v>0.13793103448275862</v>
      </c>
      <c r="Y183" s="3">
        <f>IF(W183 = 0, "", U183 / W183)</f>
        <v>0.23076923076923078</v>
      </c>
      <c r="Z183" s="3">
        <f>IF(X183 = "", "", X183 - Y183)</f>
        <v>-0.09283819628647216</v>
      </c>
      <c r="AA183" s="3">
        <f>IF(K183 = "", "", K183 - N183)</f>
        <v>-0.08333333333333337</v>
      </c>
      <c r="AB183" s="3">
        <f>IF(AA183 = "", "", AA183 * R183)</f>
        <v>-0.013888888888888895</v>
      </c>
    </row>
    <row r="184">
      <c r="A184" s="2" t="s">
        <v>1961</v>
      </c>
      <c r="B184" s="3" t="str">
        <f>A184</f>
        <v>schizophrenia-antipsychotic-moderate-A</v>
      </c>
      <c r="C184" s="2" t="s">
        <v>565</v>
      </c>
      <c r="D184" s="2" t="s">
        <v>1419</v>
      </c>
      <c r="E184" s="2" t="s">
        <v>792</v>
      </c>
      <c r="F184" s="5">
        <f>SUMIFS(CaseCells!F2:F999,CaseCells!C2:C999, C184,CaseCells!D2:D999, D184,CaseCells!E2:E999, E184)</f>
        <v>90</v>
      </c>
      <c r="G184" s="5">
        <f>SUMIFS(CaseCells!G2:G999,CaseCells!C2:C999, C184,CaseCells!D2:D999, D184,CaseCells!E2:E999, E184)</f>
        <v>150</v>
      </c>
      <c r="H184" s="3">
        <f>IF(G184 = 0, "", F184 / G184)</f>
        <v>0.6</v>
      </c>
      <c r="I184" s="5">
        <f>SUMIFS(CaseCells!F2:F999,CaseCells!C2:C999, C184,CaseCells!D2:D999, D184,CaseCells!E2:E999, "A")</f>
        <v>90</v>
      </c>
      <c r="J184" s="5">
        <f>SUMIFS(CaseCells!G2:G999,CaseCells!C2:C999, C184,CaseCells!D2:D999, D184,CaseCells!E2:E999, "A")</f>
        <v>150</v>
      </c>
      <c r="K184" s="3">
        <f>IF(J184 = 0, "", I184 / J184)</f>
        <v>0.6</v>
      </c>
      <c r="L184" s="5">
        <f>SUMIFS(CaseCells!F2:F999,CaseCells!C2:C999, C184,CaseCells!D2:D999, D184,CaseCells!E2:E999, "B")</f>
        <v>80</v>
      </c>
      <c r="M184" s="5">
        <f>SUMIFS(CaseCells!G2:G999,CaseCells!C2:C999, C184,CaseCells!D2:D999, D184,CaseCells!E2:E999, "B")</f>
        <v>150</v>
      </c>
      <c r="N184" s="3">
        <f>IF(M184 = 0, "", L184 / M184)</f>
        <v>0.5333333333333333</v>
      </c>
      <c r="O184" s="3" t="str">
        <f>IF(K184 &gt; N184, "A", "B")</f>
        <v>A</v>
      </c>
      <c r="P184" s="5">
        <f>SUMIFS(CaseCells!G2:G999,CaseCells!C2:C999, C184)</f>
        <v>540</v>
      </c>
      <c r="Q184" s="5">
        <f>SUMIFS(CaseCells!G2:G999,CaseCells!C2:C999, C184,CaseCells!D2:D999, D184)</f>
        <v>300</v>
      </c>
      <c r="R184" s="3">
        <f>IF(P184 = 0, "", Q184 / P184)</f>
        <v>0.5555555555555556</v>
      </c>
      <c r="S184" s="3">
        <f>IF(R184 = "", "", R184 * H184)</f>
        <v>0.3333333333333333</v>
      </c>
      <c r="T184" s="5">
        <f>SUMIFS(CaseCells!G2:G999,CaseCells!C2:C999, C184,CaseCells!D2:D999, D184,CaseCells!E2:E999, "A")</f>
        <v>150</v>
      </c>
      <c r="U184" s="5">
        <f>SUMIFS(CaseCells!G2:G999,CaseCells!C2:C999, C184,CaseCells!D2:D999, D184,CaseCells!E2:E999, "B")</f>
        <v>150</v>
      </c>
      <c r="V184" s="5">
        <f>SUMIFS(CaseCells!G2:G999,CaseCells!C2:C999, C184,CaseCells!E2:E999, "A")</f>
        <v>270</v>
      </c>
      <c r="W184" s="5">
        <f>SUMIFS(CaseCells!G2:G999,CaseCells!C2:C999, C184,CaseCells!E2:E999, "B")</f>
        <v>270</v>
      </c>
      <c r="X184" s="3">
        <f>IF(V184 = 0, "", T184 / V184)</f>
        <v>0.5555555555555556</v>
      </c>
      <c r="Y184" s="3">
        <f>IF(W184 = 0, "", U184 / W184)</f>
        <v>0.5555555555555556</v>
      </c>
      <c r="Z184" s="3">
        <f>IF(X184 = "", "", X184 - Y184)</f>
        <v>0</v>
      </c>
      <c r="AA184" s="3">
        <f>IF(K184 = "", "", K184 - N184)</f>
        <v>0.06666666666666665</v>
      </c>
      <c r="AB184" s="3">
        <f>IF(AA184 = "", "", AA184 * R184)</f>
        <v>0.03703703703703703</v>
      </c>
    </row>
    <row r="185">
      <c r="A185" s="2" t="s">
        <v>1962</v>
      </c>
      <c r="B185" s="3" t="str">
        <f>A185</f>
        <v>schizophrenia-antipsychotic-moderate-B</v>
      </c>
      <c r="C185" s="2" t="s">
        <v>565</v>
      </c>
      <c r="D185" s="2" t="s">
        <v>1419</v>
      </c>
      <c r="E185" s="2" t="s">
        <v>795</v>
      </c>
      <c r="F185" s="5">
        <f>SUMIFS(CaseCells!F2:F999,CaseCells!C2:C999, C185,CaseCells!D2:D999, D185,CaseCells!E2:E999, E185)</f>
        <v>80</v>
      </c>
      <c r="G185" s="5">
        <f>SUMIFS(CaseCells!G2:G999,CaseCells!C2:C999, C185,CaseCells!D2:D999, D185,CaseCells!E2:E999, E185)</f>
        <v>150</v>
      </c>
      <c r="H185" s="3">
        <f>IF(G185 = 0, "", F185 / G185)</f>
        <v>0.5333333333333333</v>
      </c>
      <c r="I185" s="5">
        <f>SUMIFS(CaseCells!F2:F999,CaseCells!C2:C999, C185,CaseCells!D2:D999, D185,CaseCells!E2:E999, "A")</f>
        <v>90</v>
      </c>
      <c r="J185" s="5">
        <f>SUMIFS(CaseCells!G2:G999,CaseCells!C2:C999, C185,CaseCells!D2:D999, D185,CaseCells!E2:E999, "A")</f>
        <v>150</v>
      </c>
      <c r="K185" s="3">
        <f>IF(J185 = 0, "", I185 / J185)</f>
        <v>0.6</v>
      </c>
      <c r="L185" s="5">
        <f>SUMIFS(CaseCells!F2:F999,CaseCells!C2:C999, C185,CaseCells!D2:D999, D185,CaseCells!E2:E999, "B")</f>
        <v>80</v>
      </c>
      <c r="M185" s="5">
        <f>SUMIFS(CaseCells!G2:G999,CaseCells!C2:C999, C185,CaseCells!D2:D999, D185,CaseCells!E2:E999, "B")</f>
        <v>150</v>
      </c>
      <c r="N185" s="3">
        <f>IF(M185 = 0, "", L185 / M185)</f>
        <v>0.5333333333333333</v>
      </c>
      <c r="O185" s="3" t="str">
        <f>IF(K185 &gt; N185, "A", "B")</f>
        <v>A</v>
      </c>
      <c r="P185" s="5">
        <f>SUMIFS(CaseCells!G2:G999,CaseCells!C2:C999, C185)</f>
        <v>540</v>
      </c>
      <c r="Q185" s="5">
        <f>SUMIFS(CaseCells!G2:G999,CaseCells!C2:C999, C185,CaseCells!D2:D999, D185)</f>
        <v>300</v>
      </c>
      <c r="R185" s="3">
        <f>IF(P185 = 0, "", Q185 / P185)</f>
        <v>0.5555555555555556</v>
      </c>
      <c r="S185" s="3">
        <f>IF(R185 = "", "", R185 * H185)</f>
        <v>0.2962962962962963</v>
      </c>
      <c r="T185" s="5">
        <f>SUMIFS(CaseCells!G2:G999,CaseCells!C2:C999, C185,CaseCells!D2:D999, D185,CaseCells!E2:E999, "A")</f>
        <v>150</v>
      </c>
      <c r="U185" s="5">
        <f>SUMIFS(CaseCells!G2:G999,CaseCells!C2:C999, C185,CaseCells!D2:D999, D185,CaseCells!E2:E999, "B")</f>
        <v>150</v>
      </c>
      <c r="V185" s="5">
        <f>SUMIFS(CaseCells!G2:G999,CaseCells!C2:C999, C185,CaseCells!E2:E999, "A")</f>
        <v>270</v>
      </c>
      <c r="W185" s="5">
        <f>SUMIFS(CaseCells!G2:G999,CaseCells!C2:C999, C185,CaseCells!E2:E999, "B")</f>
        <v>270</v>
      </c>
      <c r="X185" s="3">
        <f>IF(V185 = 0, "", T185 / V185)</f>
        <v>0.5555555555555556</v>
      </c>
      <c r="Y185" s="3">
        <f>IF(W185 = 0, "", U185 / W185)</f>
        <v>0.5555555555555556</v>
      </c>
      <c r="Z185" s="3">
        <f>IF(X185 = "", "", X185 - Y185)</f>
        <v>0</v>
      </c>
      <c r="AA185" s="3">
        <f>IF(K185 = "", "", K185 - N185)</f>
        <v>0.06666666666666665</v>
      </c>
      <c r="AB185" s="3">
        <f>IF(AA185 = "", "", AA185 * R185)</f>
        <v>0.03703703703703703</v>
      </c>
    </row>
    <row r="186">
      <c r="A186" s="2" t="s">
        <v>1963</v>
      </c>
      <c r="B186" s="3" t="str">
        <f>A186</f>
        <v>schizophrenia-antipsychotic-severe-A</v>
      </c>
      <c r="C186" s="2" t="s">
        <v>565</v>
      </c>
      <c r="D186" s="2" t="s">
        <v>1322</v>
      </c>
      <c r="E186" s="2" t="s">
        <v>792</v>
      </c>
      <c r="F186" s="5">
        <f>SUMIFS(CaseCells!F2:F999,CaseCells!C2:C999, C186,CaseCells!D2:D999, D186,CaseCells!E2:E999, E186)</f>
        <v>40</v>
      </c>
      <c r="G186" s="5">
        <f>SUMIFS(CaseCells!G2:G999,CaseCells!C2:C999, C186,CaseCells!D2:D999, D186,CaseCells!E2:E999, E186)</f>
        <v>120</v>
      </c>
      <c r="H186" s="3">
        <f>IF(G186 = 0, "", F186 / G186)</f>
        <v>0.3333333333333333</v>
      </c>
      <c r="I186" s="5">
        <f>SUMIFS(CaseCells!F2:F999,CaseCells!C2:C999, C186,CaseCells!D2:D999, D186,CaseCells!E2:E999, "A")</f>
        <v>40</v>
      </c>
      <c r="J186" s="5">
        <f>SUMIFS(CaseCells!G2:G999,CaseCells!C2:C999, C186,CaseCells!D2:D999, D186,CaseCells!E2:E999, "A")</f>
        <v>120</v>
      </c>
      <c r="K186" s="3">
        <f>IF(J186 = 0, "", I186 / J186)</f>
        <v>0.3333333333333333</v>
      </c>
      <c r="L186" s="5">
        <f>SUMIFS(CaseCells!F2:F999,CaseCells!C2:C999, C186,CaseCells!D2:D999, D186,CaseCells!E2:E999, "B")</f>
        <v>55</v>
      </c>
      <c r="M186" s="5">
        <f>SUMIFS(CaseCells!G2:G999,CaseCells!C2:C999, C186,CaseCells!D2:D999, D186,CaseCells!E2:E999, "B")</f>
        <v>120</v>
      </c>
      <c r="N186" s="3">
        <f>IF(M186 = 0, "", L186 / M186)</f>
        <v>0.4583333333333333</v>
      </c>
      <c r="O186" s="3" t="str">
        <f>IF(K186 &gt; N186, "A", "B")</f>
        <v>B</v>
      </c>
      <c r="P186" s="5">
        <f>SUMIFS(CaseCells!G2:G999,CaseCells!C2:C999, C186)</f>
        <v>540</v>
      </c>
      <c r="Q186" s="5">
        <f>SUMIFS(CaseCells!G2:G999,CaseCells!C2:C999, C186,CaseCells!D2:D999, D186)</f>
        <v>240</v>
      </c>
      <c r="R186" s="3">
        <f>IF(P186 = 0, "", Q186 / P186)</f>
        <v>0.4444444444444444</v>
      </c>
      <c r="S186" s="3">
        <f>IF(R186 = "", "", R186 * H186)</f>
        <v>0.14814814814814814</v>
      </c>
      <c r="T186" s="5">
        <f>SUMIFS(CaseCells!G2:G999,CaseCells!C2:C999, C186,CaseCells!D2:D999, D186,CaseCells!E2:E999, "A")</f>
        <v>120</v>
      </c>
      <c r="U186" s="5">
        <f>SUMIFS(CaseCells!G2:G999,CaseCells!C2:C999, C186,CaseCells!D2:D999, D186,CaseCells!E2:E999, "B")</f>
        <v>120</v>
      </c>
      <c r="V186" s="5">
        <f>SUMIFS(CaseCells!G2:G999,CaseCells!C2:C999, C186,CaseCells!E2:E999, "A")</f>
        <v>270</v>
      </c>
      <c r="W186" s="5">
        <f>SUMIFS(CaseCells!G2:G999,CaseCells!C2:C999, C186,CaseCells!E2:E999, "B")</f>
        <v>270</v>
      </c>
      <c r="X186" s="3">
        <f>IF(V186 = 0, "", T186 / V186)</f>
        <v>0.4444444444444444</v>
      </c>
      <c r="Y186" s="3">
        <f>IF(W186 = 0, "", U186 / W186)</f>
        <v>0.4444444444444444</v>
      </c>
      <c r="Z186" s="3">
        <f>IF(X186 = "", "", X186 - Y186)</f>
        <v>0</v>
      </c>
      <c r="AA186" s="3">
        <f>IF(K186 = "", "", K186 - N186)</f>
        <v>-0.125</v>
      </c>
      <c r="AB186" s="3">
        <f>IF(AA186 = "", "", AA186 * R186)</f>
        <v>-0.05555555555555555</v>
      </c>
    </row>
    <row r="187">
      <c r="A187" s="2" t="s">
        <v>1964</v>
      </c>
      <c r="B187" s="3" t="str">
        <f>A187</f>
        <v>schizophrenia-antipsychotic-severe-B</v>
      </c>
      <c r="C187" s="2" t="s">
        <v>565</v>
      </c>
      <c r="D187" s="2" t="s">
        <v>1322</v>
      </c>
      <c r="E187" s="2" t="s">
        <v>795</v>
      </c>
      <c r="F187" s="5">
        <f>SUMIFS(CaseCells!F2:F999,CaseCells!C2:C999, C187,CaseCells!D2:D999, D187,CaseCells!E2:E999, E187)</f>
        <v>55</v>
      </c>
      <c r="G187" s="5">
        <f>SUMIFS(CaseCells!G2:G999,CaseCells!C2:C999, C187,CaseCells!D2:D999, D187,CaseCells!E2:E999, E187)</f>
        <v>120</v>
      </c>
      <c r="H187" s="3">
        <f>IF(G187 = 0, "", F187 / G187)</f>
        <v>0.4583333333333333</v>
      </c>
      <c r="I187" s="5">
        <f>SUMIFS(CaseCells!F2:F999,CaseCells!C2:C999, C187,CaseCells!D2:D999, D187,CaseCells!E2:E999, "A")</f>
        <v>40</v>
      </c>
      <c r="J187" s="5">
        <f>SUMIFS(CaseCells!G2:G999,CaseCells!C2:C999, C187,CaseCells!D2:D999, D187,CaseCells!E2:E999, "A")</f>
        <v>120</v>
      </c>
      <c r="K187" s="3">
        <f>IF(J187 = 0, "", I187 / J187)</f>
        <v>0.3333333333333333</v>
      </c>
      <c r="L187" s="5">
        <f>SUMIFS(CaseCells!F2:F999,CaseCells!C2:C999, C187,CaseCells!D2:D999, D187,CaseCells!E2:E999, "B")</f>
        <v>55</v>
      </c>
      <c r="M187" s="5">
        <f>SUMIFS(CaseCells!G2:G999,CaseCells!C2:C999, C187,CaseCells!D2:D999, D187,CaseCells!E2:E999, "B")</f>
        <v>120</v>
      </c>
      <c r="N187" s="3">
        <f>IF(M187 = 0, "", L187 / M187)</f>
        <v>0.4583333333333333</v>
      </c>
      <c r="O187" s="3" t="str">
        <f>IF(K187 &gt; N187, "A", "B")</f>
        <v>B</v>
      </c>
      <c r="P187" s="5">
        <f>SUMIFS(CaseCells!G2:G999,CaseCells!C2:C999, C187)</f>
        <v>540</v>
      </c>
      <c r="Q187" s="5">
        <f>SUMIFS(CaseCells!G2:G999,CaseCells!C2:C999, C187,CaseCells!D2:D999, D187)</f>
        <v>240</v>
      </c>
      <c r="R187" s="3">
        <f>IF(P187 = 0, "", Q187 / P187)</f>
        <v>0.4444444444444444</v>
      </c>
      <c r="S187" s="3">
        <f>IF(R187 = "", "", R187 * H187)</f>
        <v>0.2037037037037037</v>
      </c>
      <c r="T187" s="5">
        <f>SUMIFS(CaseCells!G2:G999,CaseCells!C2:C999, C187,CaseCells!D2:D999, D187,CaseCells!E2:E999, "A")</f>
        <v>120</v>
      </c>
      <c r="U187" s="5">
        <f>SUMIFS(CaseCells!G2:G999,CaseCells!C2:C999, C187,CaseCells!D2:D999, D187,CaseCells!E2:E999, "B")</f>
        <v>120</v>
      </c>
      <c r="V187" s="5">
        <f>SUMIFS(CaseCells!G2:G999,CaseCells!C2:C999, C187,CaseCells!E2:E999, "A")</f>
        <v>270</v>
      </c>
      <c r="W187" s="5">
        <f>SUMIFS(CaseCells!G2:G999,CaseCells!C2:C999, C187,CaseCells!E2:E999, "B")</f>
        <v>270</v>
      </c>
      <c r="X187" s="3">
        <f>IF(V187 = 0, "", T187 / V187)</f>
        <v>0.4444444444444444</v>
      </c>
      <c r="Y187" s="3">
        <f>IF(W187 = 0, "", U187 / W187)</f>
        <v>0.4444444444444444</v>
      </c>
      <c r="Z187" s="3">
        <f>IF(X187 = "", "", X187 - Y187)</f>
        <v>0</v>
      </c>
      <c r="AA187" s="3">
        <f>IF(K187 = "", "", K187 - N187)</f>
        <v>-0.125</v>
      </c>
      <c r="AB187" s="3">
        <f>IF(AA187 = "", "", AA187 * R187)</f>
        <v>-0.05555555555555555</v>
      </c>
    </row>
    <row r="188">
      <c r="A188" s="2" t="s">
        <v>1965</v>
      </c>
      <c r="B188" s="3" t="str">
        <f>A188</f>
        <v>berkeley-six-dept-1973-dept-A-A</v>
      </c>
      <c r="C188" s="2" t="s">
        <v>568</v>
      </c>
      <c r="D188" s="2" t="s">
        <v>1168</v>
      </c>
      <c r="E188" s="2" t="s">
        <v>792</v>
      </c>
      <c r="F188" s="5">
        <f>SUMIFS(CaseCells!F2:F999,CaseCells!C2:C999, C188,CaseCells!D2:D999, D188,CaseCells!E2:E999, E188)</f>
        <v>512</v>
      </c>
      <c r="G188" s="5">
        <f>SUMIFS(CaseCells!G2:G999,CaseCells!C2:C999, C188,CaseCells!D2:D999, D188,CaseCells!E2:E999, E188)</f>
        <v>825</v>
      </c>
      <c r="H188" s="3">
        <f>IF(G188 = 0, "", F188 / G188)</f>
        <v>0.6206060606060606</v>
      </c>
      <c r="I188" s="5">
        <f>SUMIFS(CaseCells!F2:F999,CaseCells!C2:C999, C188,CaseCells!D2:D999, D188,CaseCells!E2:E999, "A")</f>
        <v>512</v>
      </c>
      <c r="J188" s="5">
        <f>SUMIFS(CaseCells!G2:G999,CaseCells!C2:C999, C188,CaseCells!D2:D999, D188,CaseCells!E2:E999, "A")</f>
        <v>825</v>
      </c>
      <c r="K188" s="3">
        <f>IF(J188 = 0, "", I188 / J188)</f>
        <v>0.6206060606060606</v>
      </c>
      <c r="L188" s="5">
        <f>SUMIFS(CaseCells!F2:F999,CaseCells!C2:C999, C188,CaseCells!D2:D999, D188,CaseCells!E2:E999, "B")</f>
        <v>89</v>
      </c>
      <c r="M188" s="5">
        <f>SUMIFS(CaseCells!G2:G999,CaseCells!C2:C999, C188,CaseCells!D2:D999, D188,CaseCells!E2:E999, "B")</f>
        <v>108</v>
      </c>
      <c r="N188" s="3">
        <f>IF(M188 = 0, "", L188 / M188)</f>
        <v>0.8240740740740741</v>
      </c>
      <c r="O188" s="3" t="str">
        <f>IF(K188 &gt; N188, "A", "B")</f>
        <v>B</v>
      </c>
      <c r="P188" s="5">
        <f>SUMIFS(CaseCells!G2:G999,CaseCells!C2:C999, C188)</f>
        <v>4526</v>
      </c>
      <c r="Q188" s="5">
        <f>SUMIFS(CaseCells!G2:G999,CaseCells!C2:C999, C188,CaseCells!D2:D999, D188)</f>
        <v>933</v>
      </c>
      <c r="R188" s="3">
        <f>IF(P188 = 0, "", Q188 / P188)</f>
        <v>0.20614228899690676</v>
      </c>
      <c r="S188" s="3">
        <f>IF(R188 = "", "", R188 * H188)</f>
        <v>0.12793315389868637</v>
      </c>
      <c r="T188" s="5">
        <f>SUMIFS(CaseCells!G2:G999,CaseCells!C2:C999, C188,CaseCells!D2:D999, D188,CaseCells!E2:E999, "A")</f>
        <v>825</v>
      </c>
      <c r="U188" s="5">
        <f>SUMIFS(CaseCells!G2:G999,CaseCells!C2:C999, C188,CaseCells!D2:D999, D188,CaseCells!E2:E999, "B")</f>
        <v>108</v>
      </c>
      <c r="V188" s="5">
        <f>SUMIFS(CaseCells!G2:G999,CaseCells!C2:C999, C188,CaseCells!E2:E999, "A")</f>
        <v>2691</v>
      </c>
      <c r="W188" s="5">
        <f>SUMIFS(CaseCells!G2:G999,CaseCells!C2:C999, C188,CaseCells!E2:E999, "B")</f>
        <v>1835</v>
      </c>
      <c r="X188" s="3">
        <f>IF(V188 = 0, "", T188 / V188)</f>
        <v>0.30657748049052397</v>
      </c>
      <c r="Y188" s="3">
        <f>IF(W188 = 0, "", U188 / W188)</f>
        <v>0.05885558583106267</v>
      </c>
      <c r="Z188" s="3">
        <f>IF(X188 = "", "", X188 - Y188)</f>
        <v>0.2477218946594613</v>
      </c>
      <c r="AA188" s="3">
        <f>IF(K188 = "", "", K188 - N188)</f>
        <v>-0.20346801346801346</v>
      </c>
      <c r="AB188" s="3">
        <f>IF(AA188 = "", "", AA188 * R188)</f>
        <v>-0.04194336203394975</v>
      </c>
    </row>
    <row r="189">
      <c r="A189" s="2" t="s">
        <v>1966</v>
      </c>
      <c r="B189" s="3" t="str">
        <f>A189</f>
        <v>berkeley-six-dept-1973-dept-A-B</v>
      </c>
      <c r="C189" s="2" t="s">
        <v>568</v>
      </c>
      <c r="D189" s="2" t="s">
        <v>1168</v>
      </c>
      <c r="E189" s="2" t="s">
        <v>795</v>
      </c>
      <c r="F189" s="5">
        <f>SUMIFS(CaseCells!F2:F999,CaseCells!C2:C999, C189,CaseCells!D2:D999, D189,CaseCells!E2:E999, E189)</f>
        <v>89</v>
      </c>
      <c r="G189" s="5">
        <f>SUMIFS(CaseCells!G2:G999,CaseCells!C2:C999, C189,CaseCells!D2:D999, D189,CaseCells!E2:E999, E189)</f>
        <v>108</v>
      </c>
      <c r="H189" s="3">
        <f>IF(G189 = 0, "", F189 / G189)</f>
        <v>0.8240740740740741</v>
      </c>
      <c r="I189" s="5">
        <f>SUMIFS(CaseCells!F2:F999,CaseCells!C2:C999, C189,CaseCells!D2:D999, D189,CaseCells!E2:E999, "A")</f>
        <v>512</v>
      </c>
      <c r="J189" s="5">
        <f>SUMIFS(CaseCells!G2:G999,CaseCells!C2:C999, C189,CaseCells!D2:D999, D189,CaseCells!E2:E999, "A")</f>
        <v>825</v>
      </c>
      <c r="K189" s="3">
        <f>IF(J189 = 0, "", I189 / J189)</f>
        <v>0.6206060606060606</v>
      </c>
      <c r="L189" s="5">
        <f>SUMIFS(CaseCells!F2:F999,CaseCells!C2:C999, C189,CaseCells!D2:D999, D189,CaseCells!E2:E999, "B")</f>
        <v>89</v>
      </c>
      <c r="M189" s="5">
        <f>SUMIFS(CaseCells!G2:G999,CaseCells!C2:C999, C189,CaseCells!D2:D999, D189,CaseCells!E2:E999, "B")</f>
        <v>108</v>
      </c>
      <c r="N189" s="3">
        <f>IF(M189 = 0, "", L189 / M189)</f>
        <v>0.8240740740740741</v>
      </c>
      <c r="O189" s="3" t="str">
        <f>IF(K189 &gt; N189, "A", "B")</f>
        <v>B</v>
      </c>
      <c r="P189" s="5">
        <f>SUMIFS(CaseCells!G2:G999,CaseCells!C2:C999, C189)</f>
        <v>4526</v>
      </c>
      <c r="Q189" s="5">
        <f>SUMIFS(CaseCells!G2:G999,CaseCells!C2:C999, C189,CaseCells!D2:D999, D189)</f>
        <v>933</v>
      </c>
      <c r="R189" s="3">
        <f>IF(P189 = 0, "", Q189 / P189)</f>
        <v>0.20614228899690676</v>
      </c>
      <c r="S189" s="3">
        <f>IF(R189 = "", "", R189 * H189)</f>
        <v>0.1698765159326361</v>
      </c>
      <c r="T189" s="5">
        <f>SUMIFS(CaseCells!G2:G999,CaseCells!C2:C999, C189,CaseCells!D2:D999, D189,CaseCells!E2:E999, "A")</f>
        <v>825</v>
      </c>
      <c r="U189" s="5">
        <f>SUMIFS(CaseCells!G2:G999,CaseCells!C2:C999, C189,CaseCells!D2:D999, D189,CaseCells!E2:E999, "B")</f>
        <v>108</v>
      </c>
      <c r="V189" s="5">
        <f>SUMIFS(CaseCells!G2:G999,CaseCells!C2:C999, C189,CaseCells!E2:E999, "A")</f>
        <v>2691</v>
      </c>
      <c r="W189" s="5">
        <f>SUMIFS(CaseCells!G2:G999,CaseCells!C2:C999, C189,CaseCells!E2:E999, "B")</f>
        <v>1835</v>
      </c>
      <c r="X189" s="3">
        <f>IF(V189 = 0, "", T189 / V189)</f>
        <v>0.30657748049052397</v>
      </c>
      <c r="Y189" s="3">
        <f>IF(W189 = 0, "", U189 / W189)</f>
        <v>0.05885558583106267</v>
      </c>
      <c r="Z189" s="3">
        <f>IF(X189 = "", "", X189 - Y189)</f>
        <v>0.2477218946594613</v>
      </c>
      <c r="AA189" s="3">
        <f>IF(K189 = "", "", K189 - N189)</f>
        <v>-0.20346801346801346</v>
      </c>
      <c r="AB189" s="3">
        <f>IF(AA189 = "", "", AA189 * R189)</f>
        <v>-0.04194336203394975</v>
      </c>
    </row>
    <row r="190">
      <c r="A190" s="2" t="s">
        <v>1967</v>
      </c>
      <c r="B190" s="3" t="str">
        <f>A190</f>
        <v>berkeley-six-dept-1973-dept-B-A</v>
      </c>
      <c r="C190" s="2" t="s">
        <v>568</v>
      </c>
      <c r="D190" s="2" t="s">
        <v>1171</v>
      </c>
      <c r="E190" s="2" t="s">
        <v>792</v>
      </c>
      <c r="F190" s="5">
        <f>SUMIFS(CaseCells!F2:F999,CaseCells!C2:C999, C190,CaseCells!D2:D999, D190,CaseCells!E2:E999, E190)</f>
        <v>353</v>
      </c>
      <c r="G190" s="5">
        <f>SUMIFS(CaseCells!G2:G999,CaseCells!C2:C999, C190,CaseCells!D2:D999, D190,CaseCells!E2:E999, E190)</f>
        <v>560</v>
      </c>
      <c r="H190" s="3">
        <f>IF(G190 = 0, "", F190 / G190)</f>
        <v>0.6303571428571428</v>
      </c>
      <c r="I190" s="5">
        <f>SUMIFS(CaseCells!F2:F999,CaseCells!C2:C999, C190,CaseCells!D2:D999, D190,CaseCells!E2:E999, "A")</f>
        <v>353</v>
      </c>
      <c r="J190" s="5">
        <f>SUMIFS(CaseCells!G2:G999,CaseCells!C2:C999, C190,CaseCells!D2:D999, D190,CaseCells!E2:E999, "A")</f>
        <v>560</v>
      </c>
      <c r="K190" s="3">
        <f>IF(J190 = 0, "", I190 / J190)</f>
        <v>0.6303571428571428</v>
      </c>
      <c r="L190" s="5">
        <f>SUMIFS(CaseCells!F2:F999,CaseCells!C2:C999, C190,CaseCells!D2:D999, D190,CaseCells!E2:E999, "B")</f>
        <v>17</v>
      </c>
      <c r="M190" s="5">
        <f>SUMIFS(CaseCells!G2:G999,CaseCells!C2:C999, C190,CaseCells!D2:D999, D190,CaseCells!E2:E999, "B")</f>
        <v>25</v>
      </c>
      <c r="N190" s="3">
        <f>IF(M190 = 0, "", L190 / M190)</f>
        <v>0.68</v>
      </c>
      <c r="O190" s="3" t="str">
        <f>IF(K190 &gt; N190, "A", "B")</f>
        <v>B</v>
      </c>
      <c r="P190" s="5">
        <f>SUMIFS(CaseCells!G2:G999,CaseCells!C2:C999, C190)</f>
        <v>4526</v>
      </c>
      <c r="Q190" s="5">
        <f>SUMIFS(CaseCells!G2:G999,CaseCells!C2:C999, C190,CaseCells!D2:D999, D190)</f>
        <v>585</v>
      </c>
      <c r="R190" s="3">
        <f>IF(P190 = 0, "", Q190 / P190)</f>
        <v>0.12925320371188687</v>
      </c>
      <c r="S190" s="3">
        <f>IF(R190 = "", "", R190 * H190)</f>
        <v>0.08147568019695725</v>
      </c>
      <c r="T190" s="5">
        <f>SUMIFS(CaseCells!G2:G999,CaseCells!C2:C999, C190,CaseCells!D2:D999, D190,CaseCells!E2:E999, "A")</f>
        <v>560</v>
      </c>
      <c r="U190" s="5">
        <f>SUMIFS(CaseCells!G2:G999,CaseCells!C2:C999, C190,CaseCells!D2:D999, D190,CaseCells!E2:E999, "B")</f>
        <v>25</v>
      </c>
      <c r="V190" s="5">
        <f>SUMIFS(CaseCells!G2:G999,CaseCells!C2:C999, C190,CaseCells!E2:E999, "A")</f>
        <v>2691</v>
      </c>
      <c r="W190" s="5">
        <f>SUMIFS(CaseCells!G2:G999,CaseCells!C2:C999, C190,CaseCells!E2:E999, "B")</f>
        <v>1835</v>
      </c>
      <c r="X190" s="3">
        <f>IF(V190 = 0, "", T190 / V190)</f>
        <v>0.20810107766629507</v>
      </c>
      <c r="Y190" s="3">
        <f>IF(W190 = 0, "", U190 / W190)</f>
        <v>0.013623978201634877</v>
      </c>
      <c r="Z190" s="3">
        <f>IF(X190 = "", "", X190 - Y190)</f>
        <v>0.19447709946466019</v>
      </c>
      <c r="AA190" s="3">
        <f>IF(K190 = "", "", K190 - N190)</f>
        <v>-0.04964285714285721</v>
      </c>
      <c r="AB190" s="3">
        <f>IF(AA190 = "", "", AA190 * R190)</f>
        <v>-0.006416498327125821</v>
      </c>
    </row>
    <row r="191">
      <c r="A191" s="2" t="s">
        <v>1968</v>
      </c>
      <c r="B191" s="3" t="str">
        <f>A191</f>
        <v>berkeley-six-dept-1973-dept-B-B</v>
      </c>
      <c r="C191" s="2" t="s">
        <v>568</v>
      </c>
      <c r="D191" s="2" t="s">
        <v>1171</v>
      </c>
      <c r="E191" s="2" t="s">
        <v>795</v>
      </c>
      <c r="F191" s="5">
        <f>SUMIFS(CaseCells!F2:F999,CaseCells!C2:C999, C191,CaseCells!D2:D999, D191,CaseCells!E2:E999, E191)</f>
        <v>17</v>
      </c>
      <c r="G191" s="5">
        <f>SUMIFS(CaseCells!G2:G999,CaseCells!C2:C999, C191,CaseCells!D2:D999, D191,CaseCells!E2:E999, E191)</f>
        <v>25</v>
      </c>
      <c r="H191" s="3">
        <f>IF(G191 = 0, "", F191 / G191)</f>
        <v>0.68</v>
      </c>
      <c r="I191" s="5">
        <f>SUMIFS(CaseCells!F2:F999,CaseCells!C2:C999, C191,CaseCells!D2:D999, D191,CaseCells!E2:E999, "A")</f>
        <v>353</v>
      </c>
      <c r="J191" s="5">
        <f>SUMIFS(CaseCells!G2:G999,CaseCells!C2:C999, C191,CaseCells!D2:D999, D191,CaseCells!E2:E999, "A")</f>
        <v>560</v>
      </c>
      <c r="K191" s="3">
        <f>IF(J191 = 0, "", I191 / J191)</f>
        <v>0.6303571428571428</v>
      </c>
      <c r="L191" s="5">
        <f>SUMIFS(CaseCells!F2:F999,CaseCells!C2:C999, C191,CaseCells!D2:D999, D191,CaseCells!E2:E999, "B")</f>
        <v>17</v>
      </c>
      <c r="M191" s="5">
        <f>SUMIFS(CaseCells!G2:G999,CaseCells!C2:C999, C191,CaseCells!D2:D999, D191,CaseCells!E2:E999, "B")</f>
        <v>25</v>
      </c>
      <c r="N191" s="3">
        <f>IF(M191 = 0, "", L191 / M191)</f>
        <v>0.68</v>
      </c>
      <c r="O191" s="3" t="str">
        <f>IF(K191 &gt; N191, "A", "B")</f>
        <v>B</v>
      </c>
      <c r="P191" s="5">
        <f>SUMIFS(CaseCells!G2:G999,CaseCells!C2:C999, C191)</f>
        <v>4526</v>
      </c>
      <c r="Q191" s="5">
        <f>SUMIFS(CaseCells!G2:G999,CaseCells!C2:C999, C191,CaseCells!D2:D999, D191)</f>
        <v>585</v>
      </c>
      <c r="R191" s="3">
        <f>IF(P191 = 0, "", Q191 / P191)</f>
        <v>0.12925320371188687</v>
      </c>
      <c r="S191" s="3">
        <f>IF(R191 = "", "", R191 * H191)</f>
        <v>0.08789217852408307</v>
      </c>
      <c r="T191" s="5">
        <f>SUMIFS(CaseCells!G2:G999,CaseCells!C2:C999, C191,CaseCells!D2:D999, D191,CaseCells!E2:E999, "A")</f>
        <v>560</v>
      </c>
      <c r="U191" s="5">
        <f>SUMIFS(CaseCells!G2:G999,CaseCells!C2:C999, C191,CaseCells!D2:D999, D191,CaseCells!E2:E999, "B")</f>
        <v>25</v>
      </c>
      <c r="V191" s="5">
        <f>SUMIFS(CaseCells!G2:G999,CaseCells!C2:C999, C191,CaseCells!E2:E999, "A")</f>
        <v>2691</v>
      </c>
      <c r="W191" s="5">
        <f>SUMIFS(CaseCells!G2:G999,CaseCells!C2:C999, C191,CaseCells!E2:E999, "B")</f>
        <v>1835</v>
      </c>
      <c r="X191" s="3">
        <f>IF(V191 = 0, "", T191 / V191)</f>
        <v>0.20810107766629507</v>
      </c>
      <c r="Y191" s="3">
        <f>IF(W191 = 0, "", U191 / W191)</f>
        <v>0.013623978201634877</v>
      </c>
      <c r="Z191" s="3">
        <f>IF(X191 = "", "", X191 - Y191)</f>
        <v>0.19447709946466019</v>
      </c>
      <c r="AA191" s="3">
        <f>IF(K191 = "", "", K191 - N191)</f>
        <v>-0.04964285714285721</v>
      </c>
      <c r="AB191" s="3">
        <f>IF(AA191 = "", "", AA191 * R191)</f>
        <v>-0.006416498327125821</v>
      </c>
    </row>
    <row r="192">
      <c r="A192" s="2" t="s">
        <v>1969</v>
      </c>
      <c r="B192" s="3" t="str">
        <f>A192</f>
        <v>berkeley-six-dept-1973-dept-C-A</v>
      </c>
      <c r="C192" s="2" t="s">
        <v>568</v>
      </c>
      <c r="D192" s="2" t="s">
        <v>1174</v>
      </c>
      <c r="E192" s="2" t="s">
        <v>792</v>
      </c>
      <c r="F192" s="5">
        <f>SUMIFS(CaseCells!F2:F999,CaseCells!C2:C999, C192,CaseCells!D2:D999, D192,CaseCells!E2:E999, E192)</f>
        <v>120</v>
      </c>
      <c r="G192" s="5">
        <f>SUMIFS(CaseCells!G2:G999,CaseCells!C2:C999, C192,CaseCells!D2:D999, D192,CaseCells!E2:E999, E192)</f>
        <v>325</v>
      </c>
      <c r="H192" s="3">
        <f>IF(G192 = 0, "", F192 / G192)</f>
        <v>0.36923076923076925</v>
      </c>
      <c r="I192" s="5">
        <f>SUMIFS(CaseCells!F2:F999,CaseCells!C2:C999, C192,CaseCells!D2:D999, D192,CaseCells!E2:E999, "A")</f>
        <v>120</v>
      </c>
      <c r="J192" s="5">
        <f>SUMIFS(CaseCells!G2:G999,CaseCells!C2:C999, C192,CaseCells!D2:D999, D192,CaseCells!E2:E999, "A")</f>
        <v>325</v>
      </c>
      <c r="K192" s="3">
        <f>IF(J192 = 0, "", I192 / J192)</f>
        <v>0.36923076923076925</v>
      </c>
      <c r="L192" s="5">
        <f>SUMIFS(CaseCells!F2:F999,CaseCells!C2:C999, C192,CaseCells!D2:D999, D192,CaseCells!E2:E999, "B")</f>
        <v>202</v>
      </c>
      <c r="M192" s="5">
        <f>SUMIFS(CaseCells!G2:G999,CaseCells!C2:C999, C192,CaseCells!D2:D999, D192,CaseCells!E2:E999, "B")</f>
        <v>593</v>
      </c>
      <c r="N192" s="3">
        <f>IF(M192 = 0, "", L192 / M192)</f>
        <v>0.3406408094435076</v>
      </c>
      <c r="O192" s="3" t="str">
        <f>IF(K192 &gt; N192, "A", "B")</f>
        <v>A</v>
      </c>
      <c r="P192" s="5">
        <f>SUMIFS(CaseCells!G2:G999,CaseCells!C2:C999, C192)</f>
        <v>4526</v>
      </c>
      <c r="Q192" s="5">
        <f>SUMIFS(CaseCells!G2:G999,CaseCells!C2:C999, C192,CaseCells!D2:D999, D192)</f>
        <v>918</v>
      </c>
      <c r="R192" s="3">
        <f>IF(P192 = 0, "", Q192 / P192)</f>
        <v>0.20282810428634557</v>
      </c>
      <c r="S192" s="3">
        <f>IF(R192 = "", "", R192 * H192)</f>
        <v>0.07489037696726605</v>
      </c>
      <c r="T192" s="5">
        <f>SUMIFS(CaseCells!G2:G999,CaseCells!C2:C999, C192,CaseCells!D2:D999, D192,CaseCells!E2:E999, "A")</f>
        <v>325</v>
      </c>
      <c r="U192" s="5">
        <f>SUMIFS(CaseCells!G2:G999,CaseCells!C2:C999, C192,CaseCells!D2:D999, D192,CaseCells!E2:E999, "B")</f>
        <v>593</v>
      </c>
      <c r="V192" s="5">
        <f>SUMIFS(CaseCells!G2:G999,CaseCells!C2:C999, C192,CaseCells!E2:E999, "A")</f>
        <v>2691</v>
      </c>
      <c r="W192" s="5">
        <f>SUMIFS(CaseCells!G2:G999,CaseCells!C2:C999, C192,CaseCells!E2:E999, "B")</f>
        <v>1835</v>
      </c>
      <c r="X192" s="3">
        <f>IF(V192 = 0, "", T192 / V192)</f>
        <v>0.12077294685990338</v>
      </c>
      <c r="Y192" s="3">
        <f>IF(W192 = 0, "", U192 / W192)</f>
        <v>0.3231607629427793</v>
      </c>
      <c r="Z192" s="3">
        <f>IF(X192 = "", "", X192 - Y192)</f>
        <v>-0.20238781608287593</v>
      </c>
      <c r="AA192" s="3">
        <f>IF(K192 = "", "", K192 - N192)</f>
        <v>0.028589959787261643</v>
      </c>
      <c r="AB192" s="3">
        <f>IF(AA192 = "", "", AA192 * R192)</f>
        <v>0.005798847345273131</v>
      </c>
    </row>
    <row r="193">
      <c r="A193" s="2" t="s">
        <v>1970</v>
      </c>
      <c r="B193" s="3" t="str">
        <f>A193</f>
        <v>berkeley-six-dept-1973-dept-C-B</v>
      </c>
      <c r="C193" s="2" t="s">
        <v>568</v>
      </c>
      <c r="D193" s="2" t="s">
        <v>1174</v>
      </c>
      <c r="E193" s="2" t="s">
        <v>795</v>
      </c>
      <c r="F193" s="5">
        <f>SUMIFS(CaseCells!F2:F999,CaseCells!C2:C999, C193,CaseCells!D2:D999, D193,CaseCells!E2:E999, E193)</f>
        <v>202</v>
      </c>
      <c r="G193" s="5">
        <f>SUMIFS(CaseCells!G2:G999,CaseCells!C2:C999, C193,CaseCells!D2:D999, D193,CaseCells!E2:E999, E193)</f>
        <v>593</v>
      </c>
      <c r="H193" s="3">
        <f>IF(G193 = 0, "", F193 / G193)</f>
        <v>0.3406408094435076</v>
      </c>
      <c r="I193" s="5">
        <f>SUMIFS(CaseCells!F2:F999,CaseCells!C2:C999, C193,CaseCells!D2:D999, D193,CaseCells!E2:E999, "A")</f>
        <v>120</v>
      </c>
      <c r="J193" s="5">
        <f>SUMIFS(CaseCells!G2:G999,CaseCells!C2:C999, C193,CaseCells!D2:D999, D193,CaseCells!E2:E999, "A")</f>
        <v>325</v>
      </c>
      <c r="K193" s="3">
        <f>IF(J193 = 0, "", I193 / J193)</f>
        <v>0.36923076923076925</v>
      </c>
      <c r="L193" s="5">
        <f>SUMIFS(CaseCells!F2:F999,CaseCells!C2:C999, C193,CaseCells!D2:D999, D193,CaseCells!E2:E999, "B")</f>
        <v>202</v>
      </c>
      <c r="M193" s="5">
        <f>SUMIFS(CaseCells!G2:G999,CaseCells!C2:C999, C193,CaseCells!D2:D999, D193,CaseCells!E2:E999, "B")</f>
        <v>593</v>
      </c>
      <c r="N193" s="3">
        <f>IF(M193 = 0, "", L193 / M193)</f>
        <v>0.3406408094435076</v>
      </c>
      <c r="O193" s="3" t="str">
        <f>IF(K193 &gt; N193, "A", "B")</f>
        <v>A</v>
      </c>
      <c r="P193" s="5">
        <f>SUMIFS(CaseCells!G2:G999,CaseCells!C2:C999, C193)</f>
        <v>4526</v>
      </c>
      <c r="Q193" s="5">
        <f>SUMIFS(CaseCells!G2:G999,CaseCells!C2:C999, C193,CaseCells!D2:D999, D193)</f>
        <v>918</v>
      </c>
      <c r="R193" s="3">
        <f>IF(P193 = 0, "", Q193 / P193)</f>
        <v>0.20282810428634557</v>
      </c>
      <c r="S193" s="3">
        <f>IF(R193 = "", "", R193 * H193)</f>
        <v>0.06909152962199293</v>
      </c>
      <c r="T193" s="5">
        <f>SUMIFS(CaseCells!G2:G999,CaseCells!C2:C999, C193,CaseCells!D2:D999, D193,CaseCells!E2:E999, "A")</f>
        <v>325</v>
      </c>
      <c r="U193" s="5">
        <f>SUMIFS(CaseCells!G2:G999,CaseCells!C2:C999, C193,CaseCells!D2:D999, D193,CaseCells!E2:E999, "B")</f>
        <v>593</v>
      </c>
      <c r="V193" s="5">
        <f>SUMIFS(CaseCells!G2:G999,CaseCells!C2:C999, C193,CaseCells!E2:E999, "A")</f>
        <v>2691</v>
      </c>
      <c r="W193" s="5">
        <f>SUMIFS(CaseCells!G2:G999,CaseCells!C2:C999, C193,CaseCells!E2:E999, "B")</f>
        <v>1835</v>
      </c>
      <c r="X193" s="3">
        <f>IF(V193 = 0, "", T193 / V193)</f>
        <v>0.12077294685990338</v>
      </c>
      <c r="Y193" s="3">
        <f>IF(W193 = 0, "", U193 / W193)</f>
        <v>0.3231607629427793</v>
      </c>
      <c r="Z193" s="3">
        <f>IF(X193 = "", "", X193 - Y193)</f>
        <v>-0.20238781608287593</v>
      </c>
      <c r="AA193" s="3">
        <f>IF(K193 = "", "", K193 - N193)</f>
        <v>0.028589959787261643</v>
      </c>
      <c r="AB193" s="3">
        <f>IF(AA193 = "", "", AA193 * R193)</f>
        <v>0.005798847345273131</v>
      </c>
    </row>
    <row r="194">
      <c r="A194" s="2" t="s">
        <v>1971</v>
      </c>
      <c r="B194" s="3" t="str">
        <f>A194</f>
        <v>berkeley-six-dept-1973-dept-D-A</v>
      </c>
      <c r="C194" s="2" t="s">
        <v>568</v>
      </c>
      <c r="D194" s="2" t="s">
        <v>1177</v>
      </c>
      <c r="E194" s="2" t="s">
        <v>792</v>
      </c>
      <c r="F194" s="5">
        <f>SUMIFS(CaseCells!F2:F999,CaseCells!C2:C999, C194,CaseCells!D2:D999, D194,CaseCells!E2:E999, E194)</f>
        <v>138</v>
      </c>
      <c r="G194" s="5">
        <f>SUMIFS(CaseCells!G2:G999,CaseCells!C2:C999, C194,CaseCells!D2:D999, D194,CaseCells!E2:E999, E194)</f>
        <v>417</v>
      </c>
      <c r="H194" s="3">
        <f>IF(G194 = 0, "", F194 / G194)</f>
        <v>0.33093525179856115</v>
      </c>
      <c r="I194" s="5">
        <f>SUMIFS(CaseCells!F2:F999,CaseCells!C2:C999, C194,CaseCells!D2:D999, D194,CaseCells!E2:E999, "A")</f>
        <v>138</v>
      </c>
      <c r="J194" s="5">
        <f>SUMIFS(CaseCells!G2:G999,CaseCells!C2:C999, C194,CaseCells!D2:D999, D194,CaseCells!E2:E999, "A")</f>
        <v>417</v>
      </c>
      <c r="K194" s="3">
        <f>IF(J194 = 0, "", I194 / J194)</f>
        <v>0.33093525179856115</v>
      </c>
      <c r="L194" s="5">
        <f>SUMIFS(CaseCells!F2:F999,CaseCells!C2:C999, C194,CaseCells!D2:D999, D194,CaseCells!E2:E999, "B")</f>
        <v>131</v>
      </c>
      <c r="M194" s="5">
        <f>SUMIFS(CaseCells!G2:G999,CaseCells!C2:C999, C194,CaseCells!D2:D999, D194,CaseCells!E2:E999, "B")</f>
        <v>375</v>
      </c>
      <c r="N194" s="3">
        <f>IF(M194 = 0, "", L194 / M194)</f>
        <v>0.34933333333333333</v>
      </c>
      <c r="O194" s="3" t="str">
        <f>IF(K194 &gt; N194, "A", "B")</f>
        <v>B</v>
      </c>
      <c r="P194" s="5">
        <f>SUMIFS(CaseCells!G2:G999,CaseCells!C2:C999, C194)</f>
        <v>4526</v>
      </c>
      <c r="Q194" s="5">
        <f>SUMIFS(CaseCells!G2:G999,CaseCells!C2:C999, C194,CaseCells!D2:D999, D194)</f>
        <v>792</v>
      </c>
      <c r="R194" s="3">
        <f>IF(P194 = 0, "", Q194 / P194)</f>
        <v>0.17498895271763146</v>
      </c>
      <c r="S194" s="3">
        <f>IF(R194 = "", "", R194 * H194)</f>
        <v>0.057910013129575874</v>
      </c>
      <c r="T194" s="5">
        <f>SUMIFS(CaseCells!G2:G999,CaseCells!C2:C999, C194,CaseCells!D2:D999, D194,CaseCells!E2:E999, "A")</f>
        <v>417</v>
      </c>
      <c r="U194" s="5">
        <f>SUMIFS(CaseCells!G2:G999,CaseCells!C2:C999, C194,CaseCells!D2:D999, D194,CaseCells!E2:E999, "B")</f>
        <v>375</v>
      </c>
      <c r="V194" s="5">
        <f>SUMIFS(CaseCells!G2:G999,CaseCells!C2:C999, C194,CaseCells!E2:E999, "A")</f>
        <v>2691</v>
      </c>
      <c r="W194" s="5">
        <f>SUMIFS(CaseCells!G2:G999,CaseCells!C2:C999, C194,CaseCells!E2:E999, "B")</f>
        <v>1835</v>
      </c>
      <c r="X194" s="3">
        <f>IF(V194 = 0, "", T194 / V194)</f>
        <v>0.15496098104793757</v>
      </c>
      <c r="Y194" s="3">
        <f>IF(W194 = 0, "", U194 / W194)</f>
        <v>0.20435967302452315</v>
      </c>
      <c r="Z194" s="3">
        <f>IF(X194 = "", "", X194 - Y194)</f>
        <v>-0.049398691976585585</v>
      </c>
      <c r="AA194" s="3">
        <f>IF(K194 = "", "", K194 - N194)</f>
        <v>-0.01839808153477218</v>
      </c>
      <c r="AB194" s="3">
        <f>IF(AA194 = "", "", AA194 * R194)</f>
        <v>-0.0032194610197833775</v>
      </c>
    </row>
    <row r="195">
      <c r="A195" s="2" t="s">
        <v>1972</v>
      </c>
      <c r="B195" s="3" t="str">
        <f>A195</f>
        <v>berkeley-six-dept-1973-dept-D-B</v>
      </c>
      <c r="C195" s="2" t="s">
        <v>568</v>
      </c>
      <c r="D195" s="2" t="s">
        <v>1177</v>
      </c>
      <c r="E195" s="2" t="s">
        <v>795</v>
      </c>
      <c r="F195" s="5">
        <f>SUMIFS(CaseCells!F2:F999,CaseCells!C2:C999, C195,CaseCells!D2:D999, D195,CaseCells!E2:E999, E195)</f>
        <v>131</v>
      </c>
      <c r="G195" s="5">
        <f>SUMIFS(CaseCells!G2:G999,CaseCells!C2:C999, C195,CaseCells!D2:D999, D195,CaseCells!E2:E999, E195)</f>
        <v>375</v>
      </c>
      <c r="H195" s="3">
        <f>IF(G195 = 0, "", F195 / G195)</f>
        <v>0.34933333333333333</v>
      </c>
      <c r="I195" s="5">
        <f>SUMIFS(CaseCells!F2:F999,CaseCells!C2:C999, C195,CaseCells!D2:D999, D195,CaseCells!E2:E999, "A")</f>
        <v>138</v>
      </c>
      <c r="J195" s="5">
        <f>SUMIFS(CaseCells!G2:G999,CaseCells!C2:C999, C195,CaseCells!D2:D999, D195,CaseCells!E2:E999, "A")</f>
        <v>417</v>
      </c>
      <c r="K195" s="3">
        <f>IF(J195 = 0, "", I195 / J195)</f>
        <v>0.33093525179856115</v>
      </c>
      <c r="L195" s="5">
        <f>SUMIFS(CaseCells!F2:F999,CaseCells!C2:C999, C195,CaseCells!D2:D999, D195,CaseCells!E2:E999, "B")</f>
        <v>131</v>
      </c>
      <c r="M195" s="5">
        <f>SUMIFS(CaseCells!G2:G999,CaseCells!C2:C999, C195,CaseCells!D2:D999, D195,CaseCells!E2:E999, "B")</f>
        <v>375</v>
      </c>
      <c r="N195" s="3">
        <f>IF(M195 = 0, "", L195 / M195)</f>
        <v>0.34933333333333333</v>
      </c>
      <c r="O195" s="3" t="str">
        <f>IF(K195 &gt; N195, "A", "B")</f>
        <v>B</v>
      </c>
      <c r="P195" s="5">
        <f>SUMIFS(CaseCells!G2:G999,CaseCells!C2:C999, C195)</f>
        <v>4526</v>
      </c>
      <c r="Q195" s="5">
        <f>SUMIFS(CaseCells!G2:G999,CaseCells!C2:C999, C195,CaseCells!D2:D999, D195)</f>
        <v>792</v>
      </c>
      <c r="R195" s="3">
        <f>IF(P195 = 0, "", Q195 / P195)</f>
        <v>0.17498895271763146</v>
      </c>
      <c r="S195" s="3">
        <f>IF(R195 = "", "", R195 * H195)</f>
        <v>0.06112947414935926</v>
      </c>
      <c r="T195" s="5">
        <f>SUMIFS(CaseCells!G2:G999,CaseCells!C2:C999, C195,CaseCells!D2:D999, D195,CaseCells!E2:E999, "A")</f>
        <v>417</v>
      </c>
      <c r="U195" s="5">
        <f>SUMIFS(CaseCells!G2:G999,CaseCells!C2:C999, C195,CaseCells!D2:D999, D195,CaseCells!E2:E999, "B")</f>
        <v>375</v>
      </c>
      <c r="V195" s="5">
        <f>SUMIFS(CaseCells!G2:G999,CaseCells!C2:C999, C195,CaseCells!E2:E999, "A")</f>
        <v>2691</v>
      </c>
      <c r="W195" s="5">
        <f>SUMIFS(CaseCells!G2:G999,CaseCells!C2:C999, C195,CaseCells!E2:E999, "B")</f>
        <v>1835</v>
      </c>
      <c r="X195" s="3">
        <f>IF(V195 = 0, "", T195 / V195)</f>
        <v>0.15496098104793757</v>
      </c>
      <c r="Y195" s="3">
        <f>IF(W195 = 0, "", U195 / W195)</f>
        <v>0.20435967302452315</v>
      </c>
      <c r="Z195" s="3">
        <f>IF(X195 = "", "", X195 - Y195)</f>
        <v>-0.049398691976585585</v>
      </c>
      <c r="AA195" s="3">
        <f>IF(K195 = "", "", K195 - N195)</f>
        <v>-0.01839808153477218</v>
      </c>
      <c r="AB195" s="3">
        <f>IF(AA195 = "", "", AA195 * R195)</f>
        <v>-0.0032194610197833775</v>
      </c>
    </row>
    <row r="196">
      <c r="A196" s="2" t="s">
        <v>1973</v>
      </c>
      <c r="B196" s="3" t="str">
        <f>A196</f>
        <v>berkeley-six-dept-1973-dept-E-A</v>
      </c>
      <c r="C196" s="2" t="s">
        <v>568</v>
      </c>
      <c r="D196" s="2" t="s">
        <v>1432</v>
      </c>
      <c r="E196" s="2" t="s">
        <v>792</v>
      </c>
      <c r="F196" s="5">
        <f>SUMIFS(CaseCells!F2:F999,CaseCells!C2:C999, C196,CaseCells!D2:D999, D196,CaseCells!E2:E999, E196)</f>
        <v>53</v>
      </c>
      <c r="G196" s="5">
        <f>SUMIFS(CaseCells!G2:G999,CaseCells!C2:C999, C196,CaseCells!D2:D999, D196,CaseCells!E2:E999, E196)</f>
        <v>191</v>
      </c>
      <c r="H196" s="3">
        <f>IF(G196 = 0, "", F196 / G196)</f>
        <v>0.2774869109947644</v>
      </c>
      <c r="I196" s="5">
        <f>SUMIFS(CaseCells!F2:F999,CaseCells!C2:C999, C196,CaseCells!D2:D999, D196,CaseCells!E2:E999, "A")</f>
        <v>53</v>
      </c>
      <c r="J196" s="5">
        <f>SUMIFS(CaseCells!G2:G999,CaseCells!C2:C999, C196,CaseCells!D2:D999, D196,CaseCells!E2:E999, "A")</f>
        <v>191</v>
      </c>
      <c r="K196" s="3">
        <f>IF(J196 = 0, "", I196 / J196)</f>
        <v>0.2774869109947644</v>
      </c>
      <c r="L196" s="5">
        <f>SUMIFS(CaseCells!F2:F999,CaseCells!C2:C999, C196,CaseCells!D2:D999, D196,CaseCells!E2:E999, "B")</f>
        <v>94</v>
      </c>
      <c r="M196" s="5">
        <f>SUMIFS(CaseCells!G2:G999,CaseCells!C2:C999, C196,CaseCells!D2:D999, D196,CaseCells!E2:E999, "B")</f>
        <v>393</v>
      </c>
      <c r="N196" s="3">
        <f>IF(M196 = 0, "", L196 / M196)</f>
        <v>0.23918575063613232</v>
      </c>
      <c r="O196" s="3" t="str">
        <f>IF(K196 &gt; N196, "A", "B")</f>
        <v>A</v>
      </c>
      <c r="P196" s="5">
        <f>SUMIFS(CaseCells!G2:G999,CaseCells!C2:C999, C196)</f>
        <v>4526</v>
      </c>
      <c r="Q196" s="5">
        <f>SUMIFS(CaseCells!G2:G999,CaseCells!C2:C999, C196,CaseCells!D2:D999, D196)</f>
        <v>584</v>
      </c>
      <c r="R196" s="3">
        <f>IF(P196 = 0, "", Q196 / P196)</f>
        <v>0.12903225806451613</v>
      </c>
      <c r="S196" s="3">
        <f>IF(R196 = "", "", R196 * H196)</f>
        <v>0.03580476270900186</v>
      </c>
      <c r="T196" s="5">
        <f>SUMIFS(CaseCells!G2:G999,CaseCells!C2:C999, C196,CaseCells!D2:D999, D196,CaseCells!E2:E999, "A")</f>
        <v>191</v>
      </c>
      <c r="U196" s="5">
        <f>SUMIFS(CaseCells!G2:G999,CaseCells!C2:C999, C196,CaseCells!D2:D999, D196,CaseCells!E2:E999, "B")</f>
        <v>393</v>
      </c>
      <c r="V196" s="5">
        <f>SUMIFS(CaseCells!G2:G999,CaseCells!C2:C999, C196,CaseCells!E2:E999, "A")</f>
        <v>2691</v>
      </c>
      <c r="W196" s="5">
        <f>SUMIFS(CaseCells!G2:G999,CaseCells!C2:C999, C196,CaseCells!E2:E999, "B")</f>
        <v>1835</v>
      </c>
      <c r="X196" s="3">
        <f>IF(V196 = 0, "", T196 / V196)</f>
        <v>0.07097733184689707</v>
      </c>
      <c r="Y196" s="3">
        <f>IF(W196 = 0, "", U196 / W196)</f>
        <v>0.21416893732970027</v>
      </c>
      <c r="Z196" s="3">
        <f>IF(X196 = "", "", X196 - Y196)</f>
        <v>-0.14319160548280319</v>
      </c>
      <c r="AA196" s="3">
        <f>IF(K196 = "", "", K196 - N196)</f>
        <v>0.0383011603586321</v>
      </c>
      <c r="AB196" s="3">
        <f>IF(AA196 = "", "", AA196 * R196)</f>
        <v>0.0049420852075654316</v>
      </c>
    </row>
    <row r="197">
      <c r="A197" s="2" t="s">
        <v>1974</v>
      </c>
      <c r="B197" s="3" t="str">
        <f>A197</f>
        <v>berkeley-six-dept-1973-dept-E-B</v>
      </c>
      <c r="C197" s="2" t="s">
        <v>568</v>
      </c>
      <c r="D197" s="2" t="s">
        <v>1432</v>
      </c>
      <c r="E197" s="2" t="s">
        <v>795</v>
      </c>
      <c r="F197" s="5">
        <f>SUMIFS(CaseCells!F2:F999,CaseCells!C2:C999, C197,CaseCells!D2:D999, D197,CaseCells!E2:E999, E197)</f>
        <v>94</v>
      </c>
      <c r="G197" s="5">
        <f>SUMIFS(CaseCells!G2:G999,CaseCells!C2:C999, C197,CaseCells!D2:D999, D197,CaseCells!E2:E999, E197)</f>
        <v>393</v>
      </c>
      <c r="H197" s="3">
        <f>IF(G197 = 0, "", F197 / G197)</f>
        <v>0.23918575063613232</v>
      </c>
      <c r="I197" s="5">
        <f>SUMIFS(CaseCells!F2:F999,CaseCells!C2:C999, C197,CaseCells!D2:D999, D197,CaseCells!E2:E999, "A")</f>
        <v>53</v>
      </c>
      <c r="J197" s="5">
        <f>SUMIFS(CaseCells!G2:G999,CaseCells!C2:C999, C197,CaseCells!D2:D999, D197,CaseCells!E2:E999, "A")</f>
        <v>191</v>
      </c>
      <c r="K197" s="3">
        <f>IF(J197 = 0, "", I197 / J197)</f>
        <v>0.2774869109947644</v>
      </c>
      <c r="L197" s="5">
        <f>SUMIFS(CaseCells!F2:F999,CaseCells!C2:C999, C197,CaseCells!D2:D999, D197,CaseCells!E2:E999, "B")</f>
        <v>94</v>
      </c>
      <c r="M197" s="5">
        <f>SUMIFS(CaseCells!G2:G999,CaseCells!C2:C999, C197,CaseCells!D2:D999, D197,CaseCells!E2:E999, "B")</f>
        <v>393</v>
      </c>
      <c r="N197" s="3">
        <f>IF(M197 = 0, "", L197 / M197)</f>
        <v>0.23918575063613232</v>
      </c>
      <c r="O197" s="3" t="str">
        <f>IF(K197 &gt; N197, "A", "B")</f>
        <v>A</v>
      </c>
      <c r="P197" s="5">
        <f>SUMIFS(CaseCells!G2:G999,CaseCells!C2:C999, C197)</f>
        <v>4526</v>
      </c>
      <c r="Q197" s="5">
        <f>SUMIFS(CaseCells!G2:G999,CaseCells!C2:C999, C197,CaseCells!D2:D999, D197)</f>
        <v>584</v>
      </c>
      <c r="R197" s="3">
        <f>IF(P197 = 0, "", Q197 / P197)</f>
        <v>0.12903225806451613</v>
      </c>
      <c r="S197" s="3">
        <f>IF(R197 = "", "", R197 * H197)</f>
        <v>0.03086267750143643</v>
      </c>
      <c r="T197" s="5">
        <f>SUMIFS(CaseCells!G2:G999,CaseCells!C2:C999, C197,CaseCells!D2:D999, D197,CaseCells!E2:E999, "A")</f>
        <v>191</v>
      </c>
      <c r="U197" s="5">
        <f>SUMIFS(CaseCells!G2:G999,CaseCells!C2:C999, C197,CaseCells!D2:D999, D197,CaseCells!E2:E999, "B")</f>
        <v>393</v>
      </c>
      <c r="V197" s="5">
        <f>SUMIFS(CaseCells!G2:G999,CaseCells!C2:C999, C197,CaseCells!E2:E999, "A")</f>
        <v>2691</v>
      </c>
      <c r="W197" s="5">
        <f>SUMIFS(CaseCells!G2:G999,CaseCells!C2:C999, C197,CaseCells!E2:E999, "B")</f>
        <v>1835</v>
      </c>
      <c r="X197" s="3">
        <f>IF(V197 = 0, "", T197 / V197)</f>
        <v>0.07097733184689707</v>
      </c>
      <c r="Y197" s="3">
        <f>IF(W197 = 0, "", U197 / W197)</f>
        <v>0.21416893732970027</v>
      </c>
      <c r="Z197" s="3">
        <f>IF(X197 = "", "", X197 - Y197)</f>
        <v>-0.14319160548280319</v>
      </c>
      <c r="AA197" s="3">
        <f>IF(K197 = "", "", K197 - N197)</f>
        <v>0.0383011603586321</v>
      </c>
      <c r="AB197" s="3">
        <f>IF(AA197 = "", "", AA197 * R197)</f>
        <v>0.0049420852075654316</v>
      </c>
    </row>
    <row r="198">
      <c r="A198" s="2" t="s">
        <v>1975</v>
      </c>
      <c r="B198" s="3" t="str">
        <f>A198</f>
        <v>berkeley-six-dept-1973-dept-F-A</v>
      </c>
      <c r="C198" s="2" t="s">
        <v>568</v>
      </c>
      <c r="D198" s="2" t="s">
        <v>1435</v>
      </c>
      <c r="E198" s="2" t="s">
        <v>792</v>
      </c>
      <c r="F198" s="5">
        <f>SUMIFS(CaseCells!F2:F999,CaseCells!C2:C999, C198,CaseCells!D2:D999, D198,CaseCells!E2:E999, E198)</f>
        <v>22</v>
      </c>
      <c r="G198" s="5">
        <f>SUMIFS(CaseCells!G2:G999,CaseCells!C2:C999, C198,CaseCells!D2:D999, D198,CaseCells!E2:E999, E198)</f>
        <v>373</v>
      </c>
      <c r="H198" s="3">
        <f>IF(G198 = 0, "", F198 / G198)</f>
        <v>0.058981233243967826</v>
      </c>
      <c r="I198" s="5">
        <f>SUMIFS(CaseCells!F2:F999,CaseCells!C2:C999, C198,CaseCells!D2:D999, D198,CaseCells!E2:E999, "A")</f>
        <v>22</v>
      </c>
      <c r="J198" s="5">
        <f>SUMIFS(CaseCells!G2:G999,CaseCells!C2:C999, C198,CaseCells!D2:D999, D198,CaseCells!E2:E999, "A")</f>
        <v>373</v>
      </c>
      <c r="K198" s="3">
        <f>IF(J198 = 0, "", I198 / J198)</f>
        <v>0.058981233243967826</v>
      </c>
      <c r="L198" s="5">
        <f>SUMIFS(CaseCells!F2:F999,CaseCells!C2:C999, C198,CaseCells!D2:D999, D198,CaseCells!E2:E999, "B")</f>
        <v>24</v>
      </c>
      <c r="M198" s="5">
        <f>SUMIFS(CaseCells!G2:G999,CaseCells!C2:C999, C198,CaseCells!D2:D999, D198,CaseCells!E2:E999, "B")</f>
        <v>341</v>
      </c>
      <c r="N198" s="3">
        <f>IF(M198 = 0, "", L198 / M198)</f>
        <v>0.07038123167155426</v>
      </c>
      <c r="O198" s="3" t="str">
        <f>IF(K198 &gt; N198, "A", "B")</f>
        <v>B</v>
      </c>
      <c r="P198" s="5">
        <f>SUMIFS(CaseCells!G2:G999,CaseCells!C2:C999, C198)</f>
        <v>4526</v>
      </c>
      <c r="Q198" s="5">
        <f>SUMIFS(CaseCells!G2:G999,CaseCells!C2:C999, C198,CaseCells!D2:D999, D198)</f>
        <v>714</v>
      </c>
      <c r="R198" s="3">
        <f>IF(P198 = 0, "", Q198 / P198)</f>
        <v>0.15775519222271323</v>
      </c>
      <c r="S198" s="3">
        <f>IF(R198 = "", "", R198 * H198)</f>
        <v>0.009304595787934827</v>
      </c>
      <c r="T198" s="5">
        <f>SUMIFS(CaseCells!G2:G999,CaseCells!C2:C999, C198,CaseCells!D2:D999, D198,CaseCells!E2:E999, "A")</f>
        <v>373</v>
      </c>
      <c r="U198" s="5">
        <f>SUMIFS(CaseCells!G2:G999,CaseCells!C2:C999, C198,CaseCells!D2:D999, D198,CaseCells!E2:E999, "B")</f>
        <v>341</v>
      </c>
      <c r="V198" s="5">
        <f>SUMIFS(CaseCells!G2:G999,CaseCells!C2:C999, C198,CaseCells!E2:E999, "A")</f>
        <v>2691</v>
      </c>
      <c r="W198" s="5">
        <f>SUMIFS(CaseCells!G2:G999,CaseCells!C2:C999, C198,CaseCells!E2:E999, "B")</f>
        <v>1835</v>
      </c>
      <c r="X198" s="3">
        <f>IF(V198 = 0, "", T198 / V198)</f>
        <v>0.13861018208844295</v>
      </c>
      <c r="Y198" s="3">
        <f>IF(W198 = 0, "", U198 / W198)</f>
        <v>0.18583106267029972</v>
      </c>
      <c r="Z198" s="3">
        <f>IF(X198 = "", "", X198 - Y198)</f>
        <v>-0.04722088058185678</v>
      </c>
      <c r="AA198" s="3">
        <f>IF(K198 = "", "", K198 - N198)</f>
        <v>-0.011399998427586433</v>
      </c>
      <c r="AB198" s="3">
        <f>IF(AA198 = "", "", AA198 * R198)</f>
        <v>-0.0017984089432825263</v>
      </c>
    </row>
    <row r="199">
      <c r="A199" s="2" t="s">
        <v>1976</v>
      </c>
      <c r="B199" s="3" t="str">
        <f>A199</f>
        <v>berkeley-six-dept-1973-dept-F-B</v>
      </c>
      <c r="C199" s="2" t="s">
        <v>568</v>
      </c>
      <c r="D199" s="2" t="s">
        <v>1435</v>
      </c>
      <c r="E199" s="2" t="s">
        <v>795</v>
      </c>
      <c r="F199" s="5">
        <f>SUMIFS(CaseCells!F2:F999,CaseCells!C2:C999, C199,CaseCells!D2:D999, D199,CaseCells!E2:E999, E199)</f>
        <v>24</v>
      </c>
      <c r="G199" s="5">
        <f>SUMIFS(CaseCells!G2:G999,CaseCells!C2:C999, C199,CaseCells!D2:D999, D199,CaseCells!E2:E999, E199)</f>
        <v>341</v>
      </c>
      <c r="H199" s="3">
        <f>IF(G199 = 0, "", F199 / G199)</f>
        <v>0.07038123167155426</v>
      </c>
      <c r="I199" s="5">
        <f>SUMIFS(CaseCells!F2:F999,CaseCells!C2:C999, C199,CaseCells!D2:D999, D199,CaseCells!E2:E999, "A")</f>
        <v>22</v>
      </c>
      <c r="J199" s="5">
        <f>SUMIFS(CaseCells!G2:G999,CaseCells!C2:C999, C199,CaseCells!D2:D999, D199,CaseCells!E2:E999, "A")</f>
        <v>373</v>
      </c>
      <c r="K199" s="3">
        <f>IF(J199 = 0, "", I199 / J199)</f>
        <v>0.058981233243967826</v>
      </c>
      <c r="L199" s="5">
        <f>SUMIFS(CaseCells!F2:F999,CaseCells!C2:C999, C199,CaseCells!D2:D999, D199,CaseCells!E2:E999, "B")</f>
        <v>24</v>
      </c>
      <c r="M199" s="5">
        <f>SUMIFS(CaseCells!G2:G999,CaseCells!C2:C999, C199,CaseCells!D2:D999, D199,CaseCells!E2:E999, "B")</f>
        <v>341</v>
      </c>
      <c r="N199" s="3">
        <f>IF(M199 = 0, "", L199 / M199)</f>
        <v>0.07038123167155426</v>
      </c>
      <c r="O199" s="3" t="str">
        <f>IF(K199 &gt; N199, "A", "B")</f>
        <v>B</v>
      </c>
      <c r="P199" s="5">
        <f>SUMIFS(CaseCells!G2:G999,CaseCells!C2:C999, C199)</f>
        <v>4526</v>
      </c>
      <c r="Q199" s="5">
        <f>SUMIFS(CaseCells!G2:G999,CaseCells!C2:C999, C199,CaseCells!D2:D999, D199)</f>
        <v>714</v>
      </c>
      <c r="R199" s="3">
        <f>IF(P199 = 0, "", Q199 / P199)</f>
        <v>0.15775519222271323</v>
      </c>
      <c r="S199" s="3">
        <f>IF(R199 = "", "", R199 * H199)</f>
        <v>0.011103004731217354</v>
      </c>
      <c r="T199" s="5">
        <f>SUMIFS(CaseCells!G2:G999,CaseCells!C2:C999, C199,CaseCells!D2:D999, D199,CaseCells!E2:E999, "A")</f>
        <v>373</v>
      </c>
      <c r="U199" s="5">
        <f>SUMIFS(CaseCells!G2:G999,CaseCells!C2:C999, C199,CaseCells!D2:D999, D199,CaseCells!E2:E999, "B")</f>
        <v>341</v>
      </c>
      <c r="V199" s="5">
        <f>SUMIFS(CaseCells!G2:G999,CaseCells!C2:C999, C199,CaseCells!E2:E999, "A")</f>
        <v>2691</v>
      </c>
      <c r="W199" s="5">
        <f>SUMIFS(CaseCells!G2:G999,CaseCells!C2:C999, C199,CaseCells!E2:E999, "B")</f>
        <v>1835</v>
      </c>
      <c r="X199" s="3">
        <f>IF(V199 = 0, "", T199 / V199)</f>
        <v>0.13861018208844295</v>
      </c>
      <c r="Y199" s="3">
        <f>IF(W199 = 0, "", U199 / W199)</f>
        <v>0.18583106267029972</v>
      </c>
      <c r="Z199" s="3">
        <f>IF(X199 = "", "", X199 - Y199)</f>
        <v>-0.04722088058185678</v>
      </c>
      <c r="AA199" s="3">
        <f>IF(K199 = "", "", K199 - N199)</f>
        <v>-0.011399998427586433</v>
      </c>
      <c r="AB199" s="3">
        <f>IF(AA199 = "", "", AA199 * R199)</f>
        <v>-0.0017984089432825263</v>
      </c>
    </row>
    <row r="200">
      <c r="A200" s="2" t="s">
        <v>1977</v>
      </c>
      <c r="B200" s="3" t="str">
        <f>A200</f>
        <v>rosiglitazone-mi-pool-2007-imbalanced-trials-A</v>
      </c>
      <c r="C200" s="2" t="s">
        <v>572</v>
      </c>
      <c r="D200" s="2" t="s">
        <v>1438</v>
      </c>
      <c r="E200" s="2" t="s">
        <v>792</v>
      </c>
      <c r="F200" s="5">
        <f>SUMIFS(CaseCells!F2:F999,CaseCells!C2:C999, C200,CaseCells!D2:D999, D200,CaseCells!E2:E999, E200)</f>
        <v>30</v>
      </c>
      <c r="G200" s="5">
        <f>SUMIFS(CaseCells!G2:G999,CaseCells!C2:C999, C200,CaseCells!D2:D999, D200,CaseCells!E2:E999, E200)</f>
        <v>12000</v>
      </c>
      <c r="H200" s="3">
        <f>IF(G200 = 0, "", F200 / G200)</f>
        <v>0.0025</v>
      </c>
      <c r="I200" s="5">
        <f>SUMIFS(CaseCells!F2:F999,CaseCells!C2:C999, C200,CaseCells!D2:D999, D200,CaseCells!E2:E999, "A")</f>
        <v>30</v>
      </c>
      <c r="J200" s="5">
        <f>SUMIFS(CaseCells!G2:G999,CaseCells!C2:C999, C200,CaseCells!D2:D999, D200,CaseCells!E2:E999, "A")</f>
        <v>12000</v>
      </c>
      <c r="K200" s="3">
        <f>IF(J200 = 0, "", I200 / J200)</f>
        <v>0.0025</v>
      </c>
      <c r="L200" s="5">
        <f>SUMIFS(CaseCells!F2:F999,CaseCells!C2:C999, C200,CaseCells!D2:D999, D200,CaseCells!E2:E999, "B")</f>
        <v>20</v>
      </c>
      <c r="M200" s="5">
        <f>SUMIFS(CaseCells!G2:G999,CaseCells!C2:C999, C200,CaseCells!D2:D999, D200,CaseCells!E2:E999, "B")</f>
        <v>3000</v>
      </c>
      <c r="N200" s="3">
        <f>IF(M200 = 0, "", L200 / M200)</f>
        <v>0.006666666666666667</v>
      </c>
      <c r="O200" s="3" t="str">
        <f>IF(K200 &gt; N200, "A", "B")</f>
        <v>B</v>
      </c>
      <c r="P200" s="5">
        <f>SUMIFS(CaseCells!G2:G999,CaseCells!C2:C999, C200)</f>
        <v>27847</v>
      </c>
      <c r="Q200" s="5">
        <f>SUMIFS(CaseCells!G2:G999,CaseCells!C2:C999, C200,CaseCells!D2:D999, D200)</f>
        <v>15000</v>
      </c>
      <c r="R200" s="3">
        <f>IF(P200 = 0, "", Q200 / P200)</f>
        <v>0.5386576650985744</v>
      </c>
      <c r="S200" s="3">
        <f>IF(R200 = "", "", R200 * H200)</f>
        <v>0.001346644162746436</v>
      </c>
      <c r="T200" s="5">
        <f>SUMIFS(CaseCells!G2:G999,CaseCells!C2:C999, C200,CaseCells!D2:D999, D200,CaseCells!E2:E999, "A")</f>
        <v>12000</v>
      </c>
      <c r="U200" s="5">
        <f>SUMIFS(CaseCells!G2:G999,CaseCells!C2:C999, C200,CaseCells!D2:D999, D200,CaseCells!E2:E999, "B")</f>
        <v>3000</v>
      </c>
      <c r="V200" s="5">
        <f>SUMIFS(CaseCells!G2:G999,CaseCells!C2:C999, C200,CaseCells!E2:E999, "A")</f>
        <v>15565</v>
      </c>
      <c r="W200" s="5">
        <f>SUMIFS(CaseCells!G2:G999,CaseCells!C2:C999, C200,CaseCells!E2:E999, "B")</f>
        <v>12282</v>
      </c>
      <c r="X200" s="3">
        <f>IF(V200 = 0, "", T200 / V200)</f>
        <v>0.7709604882749759</v>
      </c>
      <c r="Y200" s="3">
        <f>IF(W200 = 0, "", U200 / W200)</f>
        <v>0.24425989252564728</v>
      </c>
      <c r="Z200" s="3">
        <f>IF(X200 = "", "", X200 - Y200)</f>
        <v>0.5267005957493286</v>
      </c>
      <c r="AA200" s="3">
        <f>IF(K200 = "", "", K200 - N200)</f>
        <v>-0.0041666666666666675</v>
      </c>
      <c r="AB200" s="3">
        <f>IF(AA200 = "", "", AA200 * R200)</f>
        <v>-0.002244406937910727</v>
      </c>
    </row>
    <row r="201">
      <c r="A201" s="2" t="s">
        <v>1978</v>
      </c>
      <c r="B201" s="3" t="str">
        <f>A201</f>
        <v>rosiglitazone-mi-pool-2007-imbalanced-trials-B</v>
      </c>
      <c r="C201" s="2" t="s">
        <v>572</v>
      </c>
      <c r="D201" s="2" t="s">
        <v>1438</v>
      </c>
      <c r="E201" s="2" t="s">
        <v>795</v>
      </c>
      <c r="F201" s="5">
        <f>SUMIFS(CaseCells!F2:F999,CaseCells!C2:C999, C201,CaseCells!D2:D999, D201,CaseCells!E2:E999, E201)</f>
        <v>20</v>
      </c>
      <c r="G201" s="5">
        <f>SUMIFS(CaseCells!G2:G999,CaseCells!C2:C999, C201,CaseCells!D2:D999, D201,CaseCells!E2:E999, E201)</f>
        <v>3000</v>
      </c>
      <c r="H201" s="3">
        <f>IF(G201 = 0, "", F201 / G201)</f>
        <v>0.006666666666666667</v>
      </c>
      <c r="I201" s="5">
        <f>SUMIFS(CaseCells!F2:F999,CaseCells!C2:C999, C201,CaseCells!D2:D999, D201,CaseCells!E2:E999, "A")</f>
        <v>30</v>
      </c>
      <c r="J201" s="5">
        <f>SUMIFS(CaseCells!G2:G999,CaseCells!C2:C999, C201,CaseCells!D2:D999, D201,CaseCells!E2:E999, "A")</f>
        <v>12000</v>
      </c>
      <c r="K201" s="3">
        <f>IF(J201 = 0, "", I201 / J201)</f>
        <v>0.0025</v>
      </c>
      <c r="L201" s="5">
        <f>SUMIFS(CaseCells!F2:F999,CaseCells!C2:C999, C201,CaseCells!D2:D999, D201,CaseCells!E2:E999, "B")</f>
        <v>20</v>
      </c>
      <c r="M201" s="5">
        <f>SUMIFS(CaseCells!G2:G999,CaseCells!C2:C999, C201,CaseCells!D2:D999, D201,CaseCells!E2:E999, "B")</f>
        <v>3000</v>
      </c>
      <c r="N201" s="3">
        <f>IF(M201 = 0, "", L201 / M201)</f>
        <v>0.006666666666666667</v>
      </c>
      <c r="O201" s="3" t="str">
        <f>IF(K201 &gt; N201, "A", "B")</f>
        <v>B</v>
      </c>
      <c r="P201" s="5">
        <f>SUMIFS(CaseCells!G2:G999,CaseCells!C2:C999, C201)</f>
        <v>27847</v>
      </c>
      <c r="Q201" s="5">
        <f>SUMIFS(CaseCells!G2:G999,CaseCells!C2:C999, C201,CaseCells!D2:D999, D201)</f>
        <v>15000</v>
      </c>
      <c r="R201" s="3">
        <f>IF(P201 = 0, "", Q201 / P201)</f>
        <v>0.5386576650985744</v>
      </c>
      <c r="S201" s="3">
        <f>IF(R201 = "", "", R201 * H201)</f>
        <v>0.0035910511006571628</v>
      </c>
      <c r="T201" s="5">
        <f>SUMIFS(CaseCells!G2:G999,CaseCells!C2:C999, C201,CaseCells!D2:D999, D201,CaseCells!E2:E999, "A")</f>
        <v>12000</v>
      </c>
      <c r="U201" s="5">
        <f>SUMIFS(CaseCells!G2:G999,CaseCells!C2:C999, C201,CaseCells!D2:D999, D201,CaseCells!E2:E999, "B")</f>
        <v>3000</v>
      </c>
      <c r="V201" s="5">
        <f>SUMIFS(CaseCells!G2:G999,CaseCells!C2:C999, C201,CaseCells!E2:E999, "A")</f>
        <v>15565</v>
      </c>
      <c r="W201" s="5">
        <f>SUMIFS(CaseCells!G2:G999,CaseCells!C2:C999, C201,CaseCells!E2:E999, "B")</f>
        <v>12282</v>
      </c>
      <c r="X201" s="3">
        <f>IF(V201 = 0, "", T201 / V201)</f>
        <v>0.7709604882749759</v>
      </c>
      <c r="Y201" s="3">
        <f>IF(W201 = 0, "", U201 / W201)</f>
        <v>0.24425989252564728</v>
      </c>
      <c r="Z201" s="3">
        <f>IF(X201 = "", "", X201 - Y201)</f>
        <v>0.5267005957493286</v>
      </c>
      <c r="AA201" s="3">
        <f>IF(K201 = "", "", K201 - N201)</f>
        <v>-0.0041666666666666675</v>
      </c>
      <c r="AB201" s="3">
        <f>IF(AA201 = "", "", AA201 * R201)</f>
        <v>-0.002244406937910727</v>
      </c>
    </row>
    <row r="202">
      <c r="A202" s="2" t="s">
        <v>1979</v>
      </c>
      <c r="B202" s="3" t="str">
        <f>A202</f>
        <v>rosiglitazone-mi-pool-2007-balanced-trials-A</v>
      </c>
      <c r="C202" s="2" t="s">
        <v>572</v>
      </c>
      <c r="D202" s="2" t="s">
        <v>1441</v>
      </c>
      <c r="E202" s="2" t="s">
        <v>792</v>
      </c>
      <c r="F202" s="5">
        <f>SUMIFS(CaseCells!F2:F999,CaseCells!C2:C999, C202,CaseCells!D2:D999, D202,CaseCells!E2:E999, E202)</f>
        <v>56</v>
      </c>
      <c r="G202" s="5">
        <f>SUMIFS(CaseCells!G2:G999,CaseCells!C2:C999, C202,CaseCells!D2:D999, D202,CaseCells!E2:E999, E202)</f>
        <v>3565</v>
      </c>
      <c r="H202" s="3">
        <f>IF(G202 = 0, "", F202 / G202)</f>
        <v>0.01570827489481066</v>
      </c>
      <c r="I202" s="5">
        <f>SUMIFS(CaseCells!F2:F999,CaseCells!C2:C999, C202,CaseCells!D2:D999, D202,CaseCells!E2:E999, "A")</f>
        <v>56</v>
      </c>
      <c r="J202" s="5">
        <f>SUMIFS(CaseCells!G2:G999,CaseCells!C2:C999, C202,CaseCells!D2:D999, D202,CaseCells!E2:E999, "A")</f>
        <v>3565</v>
      </c>
      <c r="K202" s="3">
        <f>IF(J202 = 0, "", I202 / J202)</f>
        <v>0.01570827489481066</v>
      </c>
      <c r="L202" s="5">
        <f>SUMIFS(CaseCells!F2:F999,CaseCells!C2:C999, C202,CaseCells!D2:D999, D202,CaseCells!E2:E999, "B")</f>
        <v>52</v>
      </c>
      <c r="M202" s="5">
        <f>SUMIFS(CaseCells!G2:G999,CaseCells!C2:C999, C202,CaseCells!D2:D999, D202,CaseCells!E2:E999, "B")</f>
        <v>9282</v>
      </c>
      <c r="N202" s="3">
        <f>IF(M202 = 0, "", L202 / M202)</f>
        <v>0.0056022408963585435</v>
      </c>
      <c r="O202" s="3" t="str">
        <f>IF(K202 &gt; N202, "A", "B")</f>
        <v>A</v>
      </c>
      <c r="P202" s="5">
        <f>SUMIFS(CaseCells!G2:G999,CaseCells!C2:C999, C202)</f>
        <v>27847</v>
      </c>
      <c r="Q202" s="5">
        <f>SUMIFS(CaseCells!G2:G999,CaseCells!C2:C999, C202,CaseCells!D2:D999, D202)</f>
        <v>12847</v>
      </c>
      <c r="R202" s="3">
        <f>IF(P202 = 0, "", Q202 / P202)</f>
        <v>0.4613423349014256</v>
      </c>
      <c r="S202" s="3">
        <f>IF(R202 = "", "", R202 * H202)</f>
        <v>0.007246892217245397</v>
      </c>
      <c r="T202" s="5">
        <f>SUMIFS(CaseCells!G2:G999,CaseCells!C2:C999, C202,CaseCells!D2:D999, D202,CaseCells!E2:E999, "A")</f>
        <v>3565</v>
      </c>
      <c r="U202" s="5">
        <f>SUMIFS(CaseCells!G2:G999,CaseCells!C2:C999, C202,CaseCells!D2:D999, D202,CaseCells!E2:E999, "B")</f>
        <v>9282</v>
      </c>
      <c r="V202" s="5">
        <f>SUMIFS(CaseCells!G2:G999,CaseCells!C2:C999, C202,CaseCells!E2:E999, "A")</f>
        <v>15565</v>
      </c>
      <c r="W202" s="5">
        <f>SUMIFS(CaseCells!G2:G999,CaseCells!C2:C999, C202,CaseCells!E2:E999, "B")</f>
        <v>12282</v>
      </c>
      <c r="X202" s="3">
        <f>IF(V202 = 0, "", T202 / V202)</f>
        <v>0.2290395117250241</v>
      </c>
      <c r="Y202" s="3">
        <f>IF(W202 = 0, "", U202 / W202)</f>
        <v>0.7557401074743527</v>
      </c>
      <c r="Z202" s="3">
        <f>IF(X202 = "", "", X202 - Y202)</f>
        <v>-0.5267005957493286</v>
      </c>
      <c r="AA202" s="3">
        <f>IF(K202 = "", "", K202 - N202)</f>
        <v>0.010106033998452117</v>
      </c>
      <c r="AB202" s="3">
        <f>IF(AA202 = "", "", AA202 * R202)</f>
        <v>0.00466234132143909</v>
      </c>
    </row>
    <row r="203">
      <c r="A203" s="2" t="s">
        <v>1980</v>
      </c>
      <c r="B203" s="3" t="str">
        <f>A203</f>
        <v>rosiglitazone-mi-pool-2007-balanced-trials-B</v>
      </c>
      <c r="C203" s="2" t="s">
        <v>572</v>
      </c>
      <c r="D203" s="2" t="s">
        <v>1441</v>
      </c>
      <c r="E203" s="2" t="s">
        <v>795</v>
      </c>
      <c r="F203" s="5">
        <f>SUMIFS(CaseCells!F2:F999,CaseCells!C2:C999, C203,CaseCells!D2:D999, D203,CaseCells!E2:E999, E203)</f>
        <v>52</v>
      </c>
      <c r="G203" s="5">
        <f>SUMIFS(CaseCells!G2:G999,CaseCells!C2:C999, C203,CaseCells!D2:D999, D203,CaseCells!E2:E999, E203)</f>
        <v>9282</v>
      </c>
      <c r="H203" s="3">
        <f>IF(G203 = 0, "", F203 / G203)</f>
        <v>0.0056022408963585435</v>
      </c>
      <c r="I203" s="5">
        <f>SUMIFS(CaseCells!F2:F999,CaseCells!C2:C999, C203,CaseCells!D2:D999, D203,CaseCells!E2:E999, "A")</f>
        <v>56</v>
      </c>
      <c r="J203" s="5">
        <f>SUMIFS(CaseCells!G2:G999,CaseCells!C2:C999, C203,CaseCells!D2:D999, D203,CaseCells!E2:E999, "A")</f>
        <v>3565</v>
      </c>
      <c r="K203" s="3">
        <f>IF(J203 = 0, "", I203 / J203)</f>
        <v>0.01570827489481066</v>
      </c>
      <c r="L203" s="5">
        <f>SUMIFS(CaseCells!F2:F999,CaseCells!C2:C999, C203,CaseCells!D2:D999, D203,CaseCells!E2:E999, "B")</f>
        <v>52</v>
      </c>
      <c r="M203" s="5">
        <f>SUMIFS(CaseCells!G2:G999,CaseCells!C2:C999, C203,CaseCells!D2:D999, D203,CaseCells!E2:E999, "B")</f>
        <v>9282</v>
      </c>
      <c r="N203" s="3">
        <f>IF(M203 = 0, "", L203 / M203)</f>
        <v>0.0056022408963585435</v>
      </c>
      <c r="O203" s="3" t="str">
        <f>IF(K203 &gt; N203, "A", "B")</f>
        <v>A</v>
      </c>
      <c r="P203" s="5">
        <f>SUMIFS(CaseCells!G2:G999,CaseCells!C2:C999, C203)</f>
        <v>27847</v>
      </c>
      <c r="Q203" s="5">
        <f>SUMIFS(CaseCells!G2:G999,CaseCells!C2:C999, C203,CaseCells!D2:D999, D203)</f>
        <v>12847</v>
      </c>
      <c r="R203" s="3">
        <f>IF(P203 = 0, "", Q203 / P203)</f>
        <v>0.4613423349014256</v>
      </c>
      <c r="S203" s="3">
        <f>IF(R203 = "", "", R203 * H203)</f>
        <v>0.002584550895806306</v>
      </c>
      <c r="T203" s="5">
        <f>SUMIFS(CaseCells!G2:G999,CaseCells!C2:C999, C203,CaseCells!D2:D999, D203,CaseCells!E2:E999, "A")</f>
        <v>3565</v>
      </c>
      <c r="U203" s="5">
        <f>SUMIFS(CaseCells!G2:G999,CaseCells!C2:C999, C203,CaseCells!D2:D999, D203,CaseCells!E2:E999, "B")</f>
        <v>9282</v>
      </c>
      <c r="V203" s="5">
        <f>SUMIFS(CaseCells!G2:G999,CaseCells!C2:C999, C203,CaseCells!E2:E999, "A")</f>
        <v>15565</v>
      </c>
      <c r="W203" s="5">
        <f>SUMIFS(CaseCells!G2:G999,CaseCells!C2:C999, C203,CaseCells!E2:E999, "B")</f>
        <v>12282</v>
      </c>
      <c r="X203" s="3">
        <f>IF(V203 = 0, "", T203 / V203)</f>
        <v>0.2290395117250241</v>
      </c>
      <c r="Y203" s="3">
        <f>IF(W203 = 0, "", U203 / W203)</f>
        <v>0.7557401074743527</v>
      </c>
      <c r="Z203" s="3">
        <f>IF(X203 = "", "", X203 - Y203)</f>
        <v>-0.5267005957493286</v>
      </c>
      <c r="AA203" s="3">
        <f>IF(K203 = "", "", K203 - N203)</f>
        <v>0.010106033998452117</v>
      </c>
      <c r="AB203" s="3">
        <f>IF(AA203 = "", "", AA203 * R203)</f>
        <v>0.00466234132143909</v>
      </c>
    </row>
    <row r="204">
      <c r="A204" s="2" t="s">
        <v>1981</v>
      </c>
      <c r="B204" s="3" t="str">
        <f>A204</f>
        <v>ironman-gender-age-2010-young-cohort-A</v>
      </c>
      <c r="C204" s="2" t="s">
        <v>576</v>
      </c>
      <c r="D204" s="2" t="s">
        <v>1444</v>
      </c>
      <c r="E204" s="2" t="s">
        <v>792</v>
      </c>
      <c r="F204" s="5">
        <f>SUMIFS(CaseCells!F2:F999,CaseCells!C2:C999, C204,CaseCells!D2:D999, D204,CaseCells!E2:E999, E204)</f>
        <v>80</v>
      </c>
      <c r="G204" s="5">
        <f>SUMIFS(CaseCells!G2:G999,CaseCells!C2:C999, C204,CaseCells!D2:D999, D204,CaseCells!E2:E999, E204)</f>
        <v>100</v>
      </c>
      <c r="H204" s="3">
        <f>IF(G204 = 0, "", F204 / G204)</f>
        <v>0.8</v>
      </c>
      <c r="I204" s="5">
        <f>SUMIFS(CaseCells!F2:F999,CaseCells!C2:C999, C204,CaseCells!D2:D999, D204,CaseCells!E2:E999, "A")</f>
        <v>80</v>
      </c>
      <c r="J204" s="5">
        <f>SUMIFS(CaseCells!G2:G999,CaseCells!C2:C999, C204,CaseCells!D2:D999, D204,CaseCells!E2:E999, "A")</f>
        <v>100</v>
      </c>
      <c r="K204" s="3">
        <f>IF(J204 = 0, "", I204 / J204)</f>
        <v>0.8</v>
      </c>
      <c r="L204" s="5">
        <f>SUMIFS(CaseCells!F2:F999,CaseCells!C2:C999, C204,CaseCells!D2:D999, D204,CaseCells!E2:E999, "B")</f>
        <v>9</v>
      </c>
      <c r="M204" s="5">
        <f>SUMIFS(CaseCells!G2:G999,CaseCells!C2:C999, C204,CaseCells!D2:D999, D204,CaseCells!E2:E999, "B")</f>
        <v>10</v>
      </c>
      <c r="N204" s="3">
        <f>IF(M204 = 0, "", L204 / M204)</f>
        <v>0.9</v>
      </c>
      <c r="O204" s="3" t="str">
        <f>IF(K204 &gt; N204, "A", "B")</f>
        <v>B</v>
      </c>
      <c r="P204" s="5">
        <f>SUMIFS(CaseCells!G2:G999,CaseCells!C2:C999, C204)</f>
        <v>220</v>
      </c>
      <c r="Q204" s="5">
        <f>SUMIFS(CaseCells!G2:G999,CaseCells!C2:C999, C204,CaseCells!D2:D999, D204)</f>
        <v>110</v>
      </c>
      <c r="R204" s="3">
        <f>IF(P204 = 0, "", Q204 / P204)</f>
        <v>0.5</v>
      </c>
      <c r="S204" s="3">
        <f>IF(R204 = "", "", R204 * H204)</f>
        <v>0.4</v>
      </c>
      <c r="T204" s="5">
        <f>SUMIFS(CaseCells!G2:G999,CaseCells!C2:C999, C204,CaseCells!D2:D999, D204,CaseCells!E2:E999, "A")</f>
        <v>100</v>
      </c>
      <c r="U204" s="5">
        <f>SUMIFS(CaseCells!G2:G999,CaseCells!C2:C999, C204,CaseCells!D2:D999, D204,CaseCells!E2:E999, "B")</f>
        <v>10</v>
      </c>
      <c r="V204" s="5">
        <f>SUMIFS(CaseCells!G2:G999,CaseCells!C2:C999, C204,CaseCells!E2:E999, "A")</f>
        <v>110</v>
      </c>
      <c r="W204" s="5">
        <f>SUMIFS(CaseCells!G2:G999,CaseCells!C2:C999, C204,CaseCells!E2:E999, "B")</f>
        <v>110</v>
      </c>
      <c r="X204" s="3">
        <f>IF(V204 = 0, "", T204 / V204)</f>
        <v>0.9090909090909091</v>
      </c>
      <c r="Y204" s="3">
        <f>IF(W204 = 0, "", U204 / W204)</f>
        <v>0.09090909090909091</v>
      </c>
      <c r="Z204" s="3">
        <f>IF(X204 = "", "", X204 - Y204)</f>
        <v>0.8181818181818181</v>
      </c>
      <c r="AA204" s="3">
        <f>IF(K204 = "", "", K204 - N204)</f>
        <v>-0.09999999999999998</v>
      </c>
      <c r="AB204" s="3">
        <f>IF(AA204 = "", "", AA204 * R204)</f>
        <v>-0.04999999999999999</v>
      </c>
    </row>
    <row r="205">
      <c r="A205" s="2" t="s">
        <v>1982</v>
      </c>
      <c r="B205" s="3" t="str">
        <f>A205</f>
        <v>ironman-gender-age-2010-young-cohort-B</v>
      </c>
      <c r="C205" s="2" t="s">
        <v>576</v>
      </c>
      <c r="D205" s="2" t="s">
        <v>1444</v>
      </c>
      <c r="E205" s="2" t="s">
        <v>795</v>
      </c>
      <c r="F205" s="5">
        <f>SUMIFS(CaseCells!F2:F999,CaseCells!C2:C999, C205,CaseCells!D2:D999, D205,CaseCells!E2:E999, E205)</f>
        <v>9</v>
      </c>
      <c r="G205" s="5">
        <f>SUMIFS(CaseCells!G2:G999,CaseCells!C2:C999, C205,CaseCells!D2:D999, D205,CaseCells!E2:E999, E205)</f>
        <v>10</v>
      </c>
      <c r="H205" s="3">
        <f>IF(G205 = 0, "", F205 / G205)</f>
        <v>0.9</v>
      </c>
      <c r="I205" s="5">
        <f>SUMIFS(CaseCells!F2:F999,CaseCells!C2:C999, C205,CaseCells!D2:D999, D205,CaseCells!E2:E999, "A")</f>
        <v>80</v>
      </c>
      <c r="J205" s="5">
        <f>SUMIFS(CaseCells!G2:G999,CaseCells!C2:C999, C205,CaseCells!D2:D999, D205,CaseCells!E2:E999, "A")</f>
        <v>100</v>
      </c>
      <c r="K205" s="3">
        <f>IF(J205 = 0, "", I205 / J205)</f>
        <v>0.8</v>
      </c>
      <c r="L205" s="5">
        <f>SUMIFS(CaseCells!F2:F999,CaseCells!C2:C999, C205,CaseCells!D2:D999, D205,CaseCells!E2:E999, "B")</f>
        <v>9</v>
      </c>
      <c r="M205" s="5">
        <f>SUMIFS(CaseCells!G2:G999,CaseCells!C2:C999, C205,CaseCells!D2:D999, D205,CaseCells!E2:E999, "B")</f>
        <v>10</v>
      </c>
      <c r="N205" s="3">
        <f>IF(M205 = 0, "", L205 / M205)</f>
        <v>0.9</v>
      </c>
      <c r="O205" s="3" t="str">
        <f>IF(K205 &gt; N205, "A", "B")</f>
        <v>B</v>
      </c>
      <c r="P205" s="5">
        <f>SUMIFS(CaseCells!G2:G999,CaseCells!C2:C999, C205)</f>
        <v>220</v>
      </c>
      <c r="Q205" s="5">
        <f>SUMIFS(CaseCells!G2:G999,CaseCells!C2:C999, C205,CaseCells!D2:D999, D205)</f>
        <v>110</v>
      </c>
      <c r="R205" s="3">
        <f>IF(P205 = 0, "", Q205 / P205)</f>
        <v>0.5</v>
      </c>
      <c r="S205" s="3">
        <f>IF(R205 = "", "", R205 * H205)</f>
        <v>0.45</v>
      </c>
      <c r="T205" s="5">
        <f>SUMIFS(CaseCells!G2:G999,CaseCells!C2:C999, C205,CaseCells!D2:D999, D205,CaseCells!E2:E999, "A")</f>
        <v>100</v>
      </c>
      <c r="U205" s="5">
        <f>SUMIFS(CaseCells!G2:G999,CaseCells!C2:C999, C205,CaseCells!D2:D999, D205,CaseCells!E2:E999, "B")</f>
        <v>10</v>
      </c>
      <c r="V205" s="5">
        <f>SUMIFS(CaseCells!G2:G999,CaseCells!C2:C999, C205,CaseCells!E2:E999, "A")</f>
        <v>110</v>
      </c>
      <c r="W205" s="5">
        <f>SUMIFS(CaseCells!G2:G999,CaseCells!C2:C999, C205,CaseCells!E2:E999, "B")</f>
        <v>110</v>
      </c>
      <c r="X205" s="3">
        <f>IF(V205 = 0, "", T205 / V205)</f>
        <v>0.9090909090909091</v>
      </c>
      <c r="Y205" s="3">
        <f>IF(W205 = 0, "", U205 / W205)</f>
        <v>0.09090909090909091</v>
      </c>
      <c r="Z205" s="3">
        <f>IF(X205 = "", "", X205 - Y205)</f>
        <v>0.8181818181818181</v>
      </c>
      <c r="AA205" s="3">
        <f>IF(K205 = "", "", K205 - N205)</f>
        <v>-0.09999999999999998</v>
      </c>
      <c r="AB205" s="3">
        <f>IF(AA205 = "", "", AA205 * R205)</f>
        <v>-0.04999999999999999</v>
      </c>
    </row>
    <row r="206">
      <c r="A206" s="2" t="s">
        <v>1983</v>
      </c>
      <c r="B206" s="3" t="str">
        <f>A206</f>
        <v>ironman-gender-age-2010-old-cohort-A</v>
      </c>
      <c r="C206" s="2" t="s">
        <v>576</v>
      </c>
      <c r="D206" s="2" t="s">
        <v>1447</v>
      </c>
      <c r="E206" s="2" t="s">
        <v>792</v>
      </c>
      <c r="F206" s="5">
        <f>SUMIFS(CaseCells!F2:F999,CaseCells!C2:C999, C206,CaseCells!D2:D999, D206,CaseCells!E2:E999, E206)</f>
        <v>5</v>
      </c>
      <c r="G206" s="5">
        <f>SUMIFS(CaseCells!G2:G999,CaseCells!C2:C999, C206,CaseCells!D2:D999, D206,CaseCells!E2:E999, E206)</f>
        <v>10</v>
      </c>
      <c r="H206" s="3">
        <f>IF(G206 = 0, "", F206 / G206)</f>
        <v>0.5</v>
      </c>
      <c r="I206" s="5">
        <f>SUMIFS(CaseCells!F2:F999,CaseCells!C2:C999, C206,CaseCells!D2:D999, D206,CaseCells!E2:E999, "A")</f>
        <v>5</v>
      </c>
      <c r="J206" s="5">
        <f>SUMIFS(CaseCells!G2:G999,CaseCells!C2:C999, C206,CaseCells!D2:D999, D206,CaseCells!E2:E999, "A")</f>
        <v>10</v>
      </c>
      <c r="K206" s="3">
        <f>IF(J206 = 0, "", I206 / J206)</f>
        <v>0.5</v>
      </c>
      <c r="L206" s="5">
        <f>SUMIFS(CaseCells!F2:F999,CaseCells!C2:C999, C206,CaseCells!D2:D999, D206,CaseCells!E2:E999, "B")</f>
        <v>60</v>
      </c>
      <c r="M206" s="5">
        <f>SUMIFS(CaseCells!G2:G999,CaseCells!C2:C999, C206,CaseCells!D2:D999, D206,CaseCells!E2:E999, "B")</f>
        <v>100</v>
      </c>
      <c r="N206" s="3">
        <f>IF(M206 = 0, "", L206 / M206)</f>
        <v>0.6</v>
      </c>
      <c r="O206" s="3" t="str">
        <f>IF(K206 &gt; N206, "A", "B")</f>
        <v>B</v>
      </c>
      <c r="P206" s="5">
        <f>SUMIFS(CaseCells!G2:G999,CaseCells!C2:C999, C206)</f>
        <v>220</v>
      </c>
      <c r="Q206" s="5">
        <f>SUMIFS(CaseCells!G2:G999,CaseCells!C2:C999, C206,CaseCells!D2:D999, D206)</f>
        <v>110</v>
      </c>
      <c r="R206" s="3">
        <f>IF(P206 = 0, "", Q206 / P206)</f>
        <v>0.5</v>
      </c>
      <c r="S206" s="3">
        <f>IF(R206 = "", "", R206 * H206)</f>
        <v>0.25</v>
      </c>
      <c r="T206" s="5">
        <f>SUMIFS(CaseCells!G2:G999,CaseCells!C2:C999, C206,CaseCells!D2:D999, D206,CaseCells!E2:E999, "A")</f>
        <v>10</v>
      </c>
      <c r="U206" s="5">
        <f>SUMIFS(CaseCells!G2:G999,CaseCells!C2:C999, C206,CaseCells!D2:D999, D206,CaseCells!E2:E999, "B")</f>
        <v>100</v>
      </c>
      <c r="V206" s="5">
        <f>SUMIFS(CaseCells!G2:G999,CaseCells!C2:C999, C206,CaseCells!E2:E999, "A")</f>
        <v>110</v>
      </c>
      <c r="W206" s="5">
        <f>SUMIFS(CaseCells!G2:G999,CaseCells!C2:C999, C206,CaseCells!E2:E999, "B")</f>
        <v>110</v>
      </c>
      <c r="X206" s="3">
        <f>IF(V206 = 0, "", T206 / V206)</f>
        <v>0.09090909090909091</v>
      </c>
      <c r="Y206" s="3">
        <f>IF(W206 = 0, "", U206 / W206)</f>
        <v>0.9090909090909091</v>
      </c>
      <c r="Z206" s="3">
        <f>IF(X206 = "", "", X206 - Y206)</f>
        <v>-0.8181818181818181</v>
      </c>
      <c r="AA206" s="3">
        <f>IF(K206 = "", "", K206 - N206)</f>
        <v>-0.09999999999999998</v>
      </c>
      <c r="AB206" s="3">
        <f>IF(AA206 = "", "", AA206 * R206)</f>
        <v>-0.04999999999999999</v>
      </c>
    </row>
    <row r="207">
      <c r="A207" s="2" t="s">
        <v>1984</v>
      </c>
      <c r="B207" s="3" t="str">
        <f>A207</f>
        <v>ironman-gender-age-2010-old-cohort-B</v>
      </c>
      <c r="C207" s="2" t="s">
        <v>576</v>
      </c>
      <c r="D207" s="2" t="s">
        <v>1447</v>
      </c>
      <c r="E207" s="2" t="s">
        <v>795</v>
      </c>
      <c r="F207" s="5">
        <f>SUMIFS(CaseCells!F2:F999,CaseCells!C2:C999, C207,CaseCells!D2:D999, D207,CaseCells!E2:E999, E207)</f>
        <v>60</v>
      </c>
      <c r="G207" s="5">
        <f>SUMIFS(CaseCells!G2:G999,CaseCells!C2:C999, C207,CaseCells!D2:D999, D207,CaseCells!E2:E999, E207)</f>
        <v>100</v>
      </c>
      <c r="H207" s="3">
        <f>IF(G207 = 0, "", F207 / G207)</f>
        <v>0.6</v>
      </c>
      <c r="I207" s="5">
        <f>SUMIFS(CaseCells!F2:F999,CaseCells!C2:C999, C207,CaseCells!D2:D999, D207,CaseCells!E2:E999, "A")</f>
        <v>5</v>
      </c>
      <c r="J207" s="5">
        <f>SUMIFS(CaseCells!G2:G999,CaseCells!C2:C999, C207,CaseCells!D2:D999, D207,CaseCells!E2:E999, "A")</f>
        <v>10</v>
      </c>
      <c r="K207" s="3">
        <f>IF(J207 = 0, "", I207 / J207)</f>
        <v>0.5</v>
      </c>
      <c r="L207" s="5">
        <f>SUMIFS(CaseCells!F2:F999,CaseCells!C2:C999, C207,CaseCells!D2:D999, D207,CaseCells!E2:E999, "B")</f>
        <v>60</v>
      </c>
      <c r="M207" s="5">
        <f>SUMIFS(CaseCells!G2:G999,CaseCells!C2:C999, C207,CaseCells!D2:D999, D207,CaseCells!E2:E999, "B")</f>
        <v>100</v>
      </c>
      <c r="N207" s="3">
        <f>IF(M207 = 0, "", L207 / M207)</f>
        <v>0.6</v>
      </c>
      <c r="O207" s="3" t="str">
        <f>IF(K207 &gt; N207, "A", "B")</f>
        <v>B</v>
      </c>
      <c r="P207" s="5">
        <f>SUMIFS(CaseCells!G2:G999,CaseCells!C2:C999, C207)</f>
        <v>220</v>
      </c>
      <c r="Q207" s="5">
        <f>SUMIFS(CaseCells!G2:G999,CaseCells!C2:C999, C207,CaseCells!D2:D999, D207)</f>
        <v>110</v>
      </c>
      <c r="R207" s="3">
        <f>IF(P207 = 0, "", Q207 / P207)</f>
        <v>0.5</v>
      </c>
      <c r="S207" s="3">
        <f>IF(R207 = "", "", R207 * H207)</f>
        <v>0.3</v>
      </c>
      <c r="T207" s="5">
        <f>SUMIFS(CaseCells!G2:G999,CaseCells!C2:C999, C207,CaseCells!D2:D999, D207,CaseCells!E2:E999, "A")</f>
        <v>10</v>
      </c>
      <c r="U207" s="5">
        <f>SUMIFS(CaseCells!G2:G999,CaseCells!C2:C999, C207,CaseCells!D2:D999, D207,CaseCells!E2:E999, "B")</f>
        <v>100</v>
      </c>
      <c r="V207" s="5">
        <f>SUMIFS(CaseCells!G2:G999,CaseCells!C2:C999, C207,CaseCells!E2:E999, "A")</f>
        <v>110</v>
      </c>
      <c r="W207" s="5">
        <f>SUMIFS(CaseCells!G2:G999,CaseCells!C2:C999, C207,CaseCells!E2:E999, "B")</f>
        <v>110</v>
      </c>
      <c r="X207" s="3">
        <f>IF(V207 = 0, "", T207 / V207)</f>
        <v>0.09090909090909091</v>
      </c>
      <c r="Y207" s="3">
        <f>IF(W207 = 0, "", U207 / W207)</f>
        <v>0.9090909090909091</v>
      </c>
      <c r="Z207" s="3">
        <f>IF(X207 = "", "", X207 - Y207)</f>
        <v>-0.8181818181818181</v>
      </c>
      <c r="AA207" s="3">
        <f>IF(K207 = "", "", K207 - N207)</f>
        <v>-0.09999999999999998</v>
      </c>
      <c r="AB207" s="3">
        <f>IF(AA207 = "", "", AA207 * R207)</f>
        <v>-0.04999999999999999</v>
      </c>
    </row>
    <row r="208">
      <c r="A208" s="2" t="s">
        <v>1985</v>
      </c>
      <c r="B208" s="3" t="str">
        <f>A208</f>
        <v>hanley-power-lines-2000-myers-1990-A</v>
      </c>
      <c r="C208" s="2" t="s">
        <v>579</v>
      </c>
      <c r="D208" s="2" t="s">
        <v>1450</v>
      </c>
      <c r="E208" s="2" t="s">
        <v>792</v>
      </c>
      <c r="F208" s="5">
        <f>SUMIFS(CaseCells!F2:F999,CaseCells!C2:C999, C208,CaseCells!D2:D999, D208,CaseCells!E2:E999, E208)</f>
        <v>8</v>
      </c>
      <c r="G208" s="5">
        <f>SUMIFS(CaseCells!G2:G999,CaseCells!C2:C999, C208,CaseCells!D2:D999, D208,CaseCells!E2:E999, E208)</f>
        <v>13</v>
      </c>
      <c r="H208" s="3">
        <f>IF(G208 = 0, "", F208 / G208)</f>
        <v>0.6153846153846154</v>
      </c>
      <c r="I208" s="5">
        <f>SUMIFS(CaseCells!F2:F999,CaseCells!C2:C999, C208,CaseCells!D2:D999, D208,CaseCells!E2:E999, "A")</f>
        <v>8</v>
      </c>
      <c r="J208" s="5">
        <f>SUMIFS(CaseCells!G2:G999,CaseCells!C2:C999, C208,CaseCells!D2:D999, D208,CaseCells!E2:E999, "A")</f>
        <v>13</v>
      </c>
      <c r="K208" s="3">
        <f>IF(J208 = 0, "", I208 / J208)</f>
        <v>0.6153846153846154</v>
      </c>
      <c r="L208" s="5">
        <f>SUMIFS(CaseCells!F2:F999,CaseCells!C2:C999, C208,CaseCells!D2:D999, D208,CaseCells!E2:E999, "B")</f>
        <v>28</v>
      </c>
      <c r="M208" s="5">
        <f>SUMIFS(CaseCells!G2:G999,CaseCells!C2:C999, C208,CaseCells!D2:D999, D208,CaseCells!E2:E999, "B")</f>
        <v>124</v>
      </c>
      <c r="N208" s="3">
        <f>IF(M208 = 0, "", L208 / M208)</f>
        <v>0.22580645161290322</v>
      </c>
      <c r="O208" s="3" t="str">
        <f>IF(K208 &gt; N208, "A", "B")</f>
        <v>A</v>
      </c>
      <c r="P208" s="5">
        <f>SUMIFS(CaseCells!G2:G999,CaseCells!C2:C999, C208)</f>
        <v>1515</v>
      </c>
      <c r="Q208" s="5">
        <f>SUMIFS(CaseCells!G2:G999,CaseCells!C2:C999, C208,CaseCells!D2:D999, D208)</f>
        <v>137</v>
      </c>
      <c r="R208" s="3">
        <f>IF(P208 = 0, "", Q208 / P208)</f>
        <v>0.09042904290429044</v>
      </c>
      <c r="S208" s="3">
        <f>IF(R208 = "", "", R208 * H208)</f>
        <v>0.055648641787255655</v>
      </c>
      <c r="T208" s="5">
        <f>SUMIFS(CaseCells!G2:G999,CaseCells!C2:C999, C208,CaseCells!D2:D999, D208,CaseCells!E2:E999, "A")</f>
        <v>13</v>
      </c>
      <c r="U208" s="5">
        <f>SUMIFS(CaseCells!G2:G999,CaseCells!C2:C999, C208,CaseCells!D2:D999, D208,CaseCells!E2:E999, "B")</f>
        <v>124</v>
      </c>
      <c r="V208" s="5">
        <f>SUMIFS(CaseCells!G2:G999,CaseCells!C2:C999, C208,CaseCells!E2:E999, "A")</f>
        <v>255</v>
      </c>
      <c r="W208" s="5">
        <f>SUMIFS(CaseCells!G2:G999,CaseCells!C2:C999, C208,CaseCells!E2:E999, "B")</f>
        <v>1260</v>
      </c>
      <c r="X208" s="3">
        <f>IF(V208 = 0, "", T208 / V208)</f>
        <v>0.050980392156862744</v>
      </c>
      <c r="Y208" s="3">
        <f>IF(W208 = 0, "", U208 / W208)</f>
        <v>0.09841269841269841</v>
      </c>
      <c r="Z208" s="3">
        <f>IF(X208 = "", "", X208 - Y208)</f>
        <v>-0.047432306255835666</v>
      </c>
      <c r="AA208" s="3">
        <f>IF(K208 = "", "", K208 - N208)</f>
        <v>0.38957816377171217</v>
      </c>
      <c r="AB208" s="3">
        <f>IF(AA208 = "", "", AA208 * R208)</f>
        <v>0.03522918048628684</v>
      </c>
    </row>
    <row r="209">
      <c r="A209" s="2" t="s">
        <v>1986</v>
      </c>
      <c r="B209" s="3" t="str">
        <f>A209</f>
        <v>hanley-power-lines-2000-myers-1990-B</v>
      </c>
      <c r="C209" s="2" t="s">
        <v>579</v>
      </c>
      <c r="D209" s="2" t="s">
        <v>1450</v>
      </c>
      <c r="E209" s="2" t="s">
        <v>795</v>
      </c>
      <c r="F209" s="5">
        <f>SUMIFS(CaseCells!F2:F999,CaseCells!C2:C999, C209,CaseCells!D2:D999, D209,CaseCells!E2:E999, E209)</f>
        <v>28</v>
      </c>
      <c r="G209" s="5">
        <f>SUMIFS(CaseCells!G2:G999,CaseCells!C2:C999, C209,CaseCells!D2:D999, D209,CaseCells!E2:E999, E209)</f>
        <v>124</v>
      </c>
      <c r="H209" s="3">
        <f>IF(G209 = 0, "", F209 / G209)</f>
        <v>0.22580645161290322</v>
      </c>
      <c r="I209" s="5">
        <f>SUMIFS(CaseCells!F2:F999,CaseCells!C2:C999, C209,CaseCells!D2:D999, D209,CaseCells!E2:E999, "A")</f>
        <v>8</v>
      </c>
      <c r="J209" s="5">
        <f>SUMIFS(CaseCells!G2:G999,CaseCells!C2:C999, C209,CaseCells!D2:D999, D209,CaseCells!E2:E999, "A")</f>
        <v>13</v>
      </c>
      <c r="K209" s="3">
        <f>IF(J209 = 0, "", I209 / J209)</f>
        <v>0.6153846153846154</v>
      </c>
      <c r="L209" s="5">
        <f>SUMIFS(CaseCells!F2:F999,CaseCells!C2:C999, C209,CaseCells!D2:D999, D209,CaseCells!E2:E999, "B")</f>
        <v>28</v>
      </c>
      <c r="M209" s="5">
        <f>SUMIFS(CaseCells!G2:G999,CaseCells!C2:C999, C209,CaseCells!D2:D999, D209,CaseCells!E2:E999, "B")</f>
        <v>124</v>
      </c>
      <c r="N209" s="3">
        <f>IF(M209 = 0, "", L209 / M209)</f>
        <v>0.22580645161290322</v>
      </c>
      <c r="O209" s="3" t="str">
        <f>IF(K209 &gt; N209, "A", "B")</f>
        <v>A</v>
      </c>
      <c r="P209" s="5">
        <f>SUMIFS(CaseCells!G2:G999,CaseCells!C2:C999, C209)</f>
        <v>1515</v>
      </c>
      <c r="Q209" s="5">
        <f>SUMIFS(CaseCells!G2:G999,CaseCells!C2:C999, C209,CaseCells!D2:D999, D209)</f>
        <v>137</v>
      </c>
      <c r="R209" s="3">
        <f>IF(P209 = 0, "", Q209 / P209)</f>
        <v>0.09042904290429044</v>
      </c>
      <c r="S209" s="3">
        <f>IF(R209 = "", "", R209 * H209)</f>
        <v>0.02041946130096881</v>
      </c>
      <c r="T209" s="5">
        <f>SUMIFS(CaseCells!G2:G999,CaseCells!C2:C999, C209,CaseCells!D2:D999, D209,CaseCells!E2:E999, "A")</f>
        <v>13</v>
      </c>
      <c r="U209" s="5">
        <f>SUMIFS(CaseCells!G2:G999,CaseCells!C2:C999, C209,CaseCells!D2:D999, D209,CaseCells!E2:E999, "B")</f>
        <v>124</v>
      </c>
      <c r="V209" s="5">
        <f>SUMIFS(CaseCells!G2:G999,CaseCells!C2:C999, C209,CaseCells!E2:E999, "A")</f>
        <v>255</v>
      </c>
      <c r="W209" s="5">
        <f>SUMIFS(CaseCells!G2:G999,CaseCells!C2:C999, C209,CaseCells!E2:E999, "B")</f>
        <v>1260</v>
      </c>
      <c r="X209" s="3">
        <f>IF(V209 = 0, "", T209 / V209)</f>
        <v>0.050980392156862744</v>
      </c>
      <c r="Y209" s="3">
        <f>IF(W209 = 0, "", U209 / W209)</f>
        <v>0.09841269841269841</v>
      </c>
      <c r="Z209" s="3">
        <f>IF(X209 = "", "", X209 - Y209)</f>
        <v>-0.047432306255835666</v>
      </c>
      <c r="AA209" s="3">
        <f>IF(K209 = "", "", K209 - N209)</f>
        <v>0.38957816377171217</v>
      </c>
      <c r="AB209" s="3">
        <f>IF(AA209 = "", "", AA209 * R209)</f>
        <v>0.03522918048628684</v>
      </c>
    </row>
    <row r="210">
      <c r="A210" s="2" t="s">
        <v>1987</v>
      </c>
      <c r="B210" s="3" t="str">
        <f>A210</f>
        <v>hanley-power-lines-2000-feychting-1993-A</v>
      </c>
      <c r="C210" s="2" t="s">
        <v>579</v>
      </c>
      <c r="D210" s="2" t="s">
        <v>1453</v>
      </c>
      <c r="E210" s="2" t="s">
        <v>792</v>
      </c>
      <c r="F210" s="5">
        <f>SUMIFS(CaseCells!F2:F999,CaseCells!C2:C999, C210,CaseCells!D2:D999, D210,CaseCells!E2:E999, E210)</f>
        <v>12</v>
      </c>
      <c r="G210" s="5">
        <f>SUMIFS(CaseCells!G2:G999,CaseCells!C2:C999, C210,CaseCells!D2:D999, D210,CaseCells!E2:E999, E210)</f>
        <v>135</v>
      </c>
      <c r="H210" s="3">
        <f>IF(G210 = 0, "", F210 / G210)</f>
        <v>0.08888888888888889</v>
      </c>
      <c r="I210" s="5">
        <f>SUMIFS(CaseCells!F2:F999,CaseCells!C2:C999, C210,CaseCells!D2:D999, D210,CaseCells!E2:E999, "A")</f>
        <v>12</v>
      </c>
      <c r="J210" s="5">
        <f>SUMIFS(CaseCells!G2:G999,CaseCells!C2:C999, C210,CaseCells!D2:D999, D210,CaseCells!E2:E999, "A")</f>
        <v>135</v>
      </c>
      <c r="K210" s="3">
        <f>IF(J210 = 0, "", I210 / J210)</f>
        <v>0.08888888888888889</v>
      </c>
      <c r="L210" s="5">
        <f>SUMIFS(CaseCells!F2:F999,CaseCells!C2:C999, C210,CaseCells!D2:D999, D210,CaseCells!E2:E999, "B")</f>
        <v>26</v>
      </c>
      <c r="M210" s="5">
        <f>SUMIFS(CaseCells!G2:G999,CaseCells!C2:C999, C210,CaseCells!D2:D999, D210,CaseCells!E2:E999, "B")</f>
        <v>457</v>
      </c>
      <c r="N210" s="3">
        <f>IF(M210 = 0, "", L210 / M210)</f>
        <v>0.05689277899343545</v>
      </c>
      <c r="O210" s="3" t="str">
        <f>IF(K210 &gt; N210, "A", "B")</f>
        <v>A</v>
      </c>
      <c r="P210" s="5">
        <f>SUMIFS(CaseCells!G2:G999,CaseCells!C2:C999, C210)</f>
        <v>1515</v>
      </c>
      <c r="Q210" s="5">
        <f>SUMIFS(CaseCells!G2:G999,CaseCells!C2:C999, C210,CaseCells!D2:D999, D210)</f>
        <v>592</v>
      </c>
      <c r="R210" s="3">
        <f>IF(P210 = 0, "", Q210 / P210)</f>
        <v>0.39075907590759074</v>
      </c>
      <c r="S210" s="3">
        <f>IF(R210 = "", "", R210 * H210)</f>
        <v>0.034734140080674734</v>
      </c>
      <c r="T210" s="5">
        <f>SUMIFS(CaseCells!G2:G999,CaseCells!C2:C999, C210,CaseCells!D2:D999, D210,CaseCells!E2:E999, "A")</f>
        <v>135</v>
      </c>
      <c r="U210" s="5">
        <f>SUMIFS(CaseCells!G2:G999,CaseCells!C2:C999, C210,CaseCells!D2:D999, D210,CaseCells!E2:E999, "B")</f>
        <v>457</v>
      </c>
      <c r="V210" s="5">
        <f>SUMIFS(CaseCells!G2:G999,CaseCells!C2:C999, C210,CaseCells!E2:E999, "A")</f>
        <v>255</v>
      </c>
      <c r="W210" s="5">
        <f>SUMIFS(CaseCells!G2:G999,CaseCells!C2:C999, C210,CaseCells!E2:E999, "B")</f>
        <v>1260</v>
      </c>
      <c r="X210" s="3">
        <f>IF(V210 = 0, "", T210 / V210)</f>
        <v>0.5294117647058824</v>
      </c>
      <c r="Y210" s="3">
        <f>IF(W210 = 0, "", U210 / W210)</f>
        <v>0.3626984126984127</v>
      </c>
      <c r="Z210" s="3">
        <f>IF(X210 = "", "", X210 - Y210)</f>
        <v>0.16671335200746967</v>
      </c>
      <c r="AA210" s="3">
        <f>IF(K210 = "", "", K210 - N210)</f>
        <v>0.03199610989545344</v>
      </c>
      <c r="AB210" s="3">
        <f>IF(AA210 = "", "", AA210 * R210)</f>
        <v>0.012502770335385107</v>
      </c>
    </row>
    <row r="211">
      <c r="A211" s="2" t="s">
        <v>1988</v>
      </c>
      <c r="B211" s="3" t="str">
        <f>A211</f>
        <v>hanley-power-lines-2000-feychting-1993-B</v>
      </c>
      <c r="C211" s="2" t="s">
        <v>579</v>
      </c>
      <c r="D211" s="2" t="s">
        <v>1453</v>
      </c>
      <c r="E211" s="2" t="s">
        <v>795</v>
      </c>
      <c r="F211" s="5">
        <f>SUMIFS(CaseCells!F2:F999,CaseCells!C2:C999, C211,CaseCells!D2:D999, D211,CaseCells!E2:E999, E211)</f>
        <v>26</v>
      </c>
      <c r="G211" s="5">
        <f>SUMIFS(CaseCells!G2:G999,CaseCells!C2:C999, C211,CaseCells!D2:D999, D211,CaseCells!E2:E999, E211)</f>
        <v>457</v>
      </c>
      <c r="H211" s="3">
        <f>IF(G211 = 0, "", F211 / G211)</f>
        <v>0.05689277899343545</v>
      </c>
      <c r="I211" s="5">
        <f>SUMIFS(CaseCells!F2:F999,CaseCells!C2:C999, C211,CaseCells!D2:D999, D211,CaseCells!E2:E999, "A")</f>
        <v>12</v>
      </c>
      <c r="J211" s="5">
        <f>SUMIFS(CaseCells!G2:G999,CaseCells!C2:C999, C211,CaseCells!D2:D999, D211,CaseCells!E2:E999, "A")</f>
        <v>135</v>
      </c>
      <c r="K211" s="3">
        <f>IF(J211 = 0, "", I211 / J211)</f>
        <v>0.08888888888888889</v>
      </c>
      <c r="L211" s="5">
        <f>SUMIFS(CaseCells!F2:F999,CaseCells!C2:C999, C211,CaseCells!D2:D999, D211,CaseCells!E2:E999, "B")</f>
        <v>26</v>
      </c>
      <c r="M211" s="5">
        <f>SUMIFS(CaseCells!G2:G999,CaseCells!C2:C999, C211,CaseCells!D2:D999, D211,CaseCells!E2:E999, "B")</f>
        <v>457</v>
      </c>
      <c r="N211" s="3">
        <f>IF(M211 = 0, "", L211 / M211)</f>
        <v>0.05689277899343545</v>
      </c>
      <c r="O211" s="3" t="str">
        <f>IF(K211 &gt; N211, "A", "B")</f>
        <v>A</v>
      </c>
      <c r="P211" s="5">
        <f>SUMIFS(CaseCells!G2:G999,CaseCells!C2:C999, C211)</f>
        <v>1515</v>
      </c>
      <c r="Q211" s="5">
        <f>SUMIFS(CaseCells!G2:G999,CaseCells!C2:C999, C211,CaseCells!D2:D999, D211)</f>
        <v>592</v>
      </c>
      <c r="R211" s="3">
        <f>IF(P211 = 0, "", Q211 / P211)</f>
        <v>0.39075907590759074</v>
      </c>
      <c r="S211" s="3">
        <f>IF(R211 = "", "", R211 * H211)</f>
        <v>0.022231369745289626</v>
      </c>
      <c r="T211" s="5">
        <f>SUMIFS(CaseCells!G2:G999,CaseCells!C2:C999, C211,CaseCells!D2:D999, D211,CaseCells!E2:E999, "A")</f>
        <v>135</v>
      </c>
      <c r="U211" s="5">
        <f>SUMIFS(CaseCells!G2:G999,CaseCells!C2:C999, C211,CaseCells!D2:D999, D211,CaseCells!E2:E999, "B")</f>
        <v>457</v>
      </c>
      <c r="V211" s="5">
        <f>SUMIFS(CaseCells!G2:G999,CaseCells!C2:C999, C211,CaseCells!E2:E999, "A")</f>
        <v>255</v>
      </c>
      <c r="W211" s="5">
        <f>SUMIFS(CaseCells!G2:G999,CaseCells!C2:C999, C211,CaseCells!E2:E999, "B")</f>
        <v>1260</v>
      </c>
      <c r="X211" s="3">
        <f>IF(V211 = 0, "", T211 / V211)</f>
        <v>0.5294117647058824</v>
      </c>
      <c r="Y211" s="3">
        <f>IF(W211 = 0, "", U211 / W211)</f>
        <v>0.3626984126984127</v>
      </c>
      <c r="Z211" s="3">
        <f>IF(X211 = "", "", X211 - Y211)</f>
        <v>0.16671335200746967</v>
      </c>
      <c r="AA211" s="3">
        <f>IF(K211 = "", "", K211 - N211)</f>
        <v>0.03199610989545344</v>
      </c>
      <c r="AB211" s="3">
        <f>IF(AA211 = "", "", AA211 * R211)</f>
        <v>0.012502770335385107</v>
      </c>
    </row>
    <row r="212">
      <c r="A212" s="2" t="s">
        <v>1989</v>
      </c>
      <c r="B212" s="3" t="str">
        <f>A212</f>
        <v>hanley-power-lines-2000-tynes-1997-A</v>
      </c>
      <c r="C212" s="2" t="s">
        <v>579</v>
      </c>
      <c r="D212" s="2" t="s">
        <v>1456</v>
      </c>
      <c r="E212" s="2" t="s">
        <v>792</v>
      </c>
      <c r="F212" s="5">
        <f>SUMIFS(CaseCells!F2:F999,CaseCells!C2:C999, C212,CaseCells!D2:D999, D212,CaseCells!E2:E999, E212)</f>
        <v>11</v>
      </c>
      <c r="G212" s="5">
        <f>SUMIFS(CaseCells!G2:G999,CaseCells!C2:C999, C212,CaseCells!D2:D999, D212,CaseCells!E2:E999, E212)</f>
        <v>82</v>
      </c>
      <c r="H212" s="3">
        <f>IF(G212 = 0, "", F212 / G212)</f>
        <v>0.13414634146341464</v>
      </c>
      <c r="I212" s="5">
        <f>SUMIFS(CaseCells!F2:F999,CaseCells!C2:C999, C212,CaseCells!D2:D999, D212,CaseCells!E2:E999, "A")</f>
        <v>11</v>
      </c>
      <c r="J212" s="5">
        <f>SUMIFS(CaseCells!G2:G999,CaseCells!C2:C999, C212,CaseCells!D2:D999, D212,CaseCells!E2:E999, "A")</f>
        <v>82</v>
      </c>
      <c r="K212" s="3">
        <f>IF(J212 = 0, "", I212 / J212)</f>
        <v>0.13414634146341464</v>
      </c>
      <c r="L212" s="5">
        <f>SUMIFS(CaseCells!F2:F999,CaseCells!C2:C999, C212,CaseCells!D2:D999, D212,CaseCells!E2:E999, "B")</f>
        <v>33</v>
      </c>
      <c r="M212" s="5">
        <f>SUMIFS(CaseCells!G2:G999,CaseCells!C2:C999, C212,CaseCells!D2:D999, D212,CaseCells!E2:E999, "B")</f>
        <v>584</v>
      </c>
      <c r="N212" s="3">
        <f>IF(M212 = 0, "", L212 / M212)</f>
        <v>0.05650684931506849</v>
      </c>
      <c r="O212" s="3" t="str">
        <f>IF(K212 &gt; N212, "A", "B")</f>
        <v>A</v>
      </c>
      <c r="P212" s="5">
        <f>SUMIFS(CaseCells!G2:G999,CaseCells!C2:C999, C212)</f>
        <v>1515</v>
      </c>
      <c r="Q212" s="5">
        <f>SUMIFS(CaseCells!G2:G999,CaseCells!C2:C999, C212,CaseCells!D2:D999, D212)</f>
        <v>666</v>
      </c>
      <c r="R212" s="3">
        <f>IF(P212 = 0, "", Q212 / P212)</f>
        <v>0.4396039603960396</v>
      </c>
      <c r="S212" s="3">
        <f>IF(R212 = "", "", R212 * H212)</f>
        <v>0.058971262979956536</v>
      </c>
      <c r="T212" s="5">
        <f>SUMIFS(CaseCells!G2:G999,CaseCells!C2:C999, C212,CaseCells!D2:D999, D212,CaseCells!E2:E999, "A")</f>
        <v>82</v>
      </c>
      <c r="U212" s="5">
        <f>SUMIFS(CaseCells!G2:G999,CaseCells!C2:C999, C212,CaseCells!D2:D999, D212,CaseCells!E2:E999, "B")</f>
        <v>584</v>
      </c>
      <c r="V212" s="5">
        <f>SUMIFS(CaseCells!G2:G999,CaseCells!C2:C999, C212,CaseCells!E2:E999, "A")</f>
        <v>255</v>
      </c>
      <c r="W212" s="5">
        <f>SUMIFS(CaseCells!G2:G999,CaseCells!C2:C999, C212,CaseCells!E2:E999, "B")</f>
        <v>1260</v>
      </c>
      <c r="X212" s="3">
        <f>IF(V212 = 0, "", T212 / V212)</f>
        <v>0.3215686274509804</v>
      </c>
      <c r="Y212" s="3">
        <f>IF(W212 = 0, "", U212 / W212)</f>
        <v>0.4634920634920635</v>
      </c>
      <c r="Z212" s="3">
        <f>IF(X212 = "", "", X212 - Y212)</f>
        <v>-0.1419234360410831</v>
      </c>
      <c r="AA212" s="3">
        <f>IF(K212 = "", "", K212 - N212)</f>
        <v>0.07763949214834615</v>
      </c>
      <c r="AB212" s="3">
        <f>IF(AA212 = "", "", AA212 * R212)</f>
        <v>0.034130628231550185</v>
      </c>
    </row>
    <row r="213">
      <c r="A213" s="2" t="s">
        <v>1990</v>
      </c>
      <c r="B213" s="3" t="str">
        <f>A213</f>
        <v>hanley-power-lines-2000-tynes-1997-B</v>
      </c>
      <c r="C213" s="2" t="s">
        <v>579</v>
      </c>
      <c r="D213" s="2" t="s">
        <v>1456</v>
      </c>
      <c r="E213" s="2" t="s">
        <v>795</v>
      </c>
      <c r="F213" s="5">
        <f>SUMIFS(CaseCells!F2:F999,CaseCells!C2:C999, C213,CaseCells!D2:D999, D213,CaseCells!E2:E999, E213)</f>
        <v>33</v>
      </c>
      <c r="G213" s="5">
        <f>SUMIFS(CaseCells!G2:G999,CaseCells!C2:C999, C213,CaseCells!D2:D999, D213,CaseCells!E2:E999, E213)</f>
        <v>584</v>
      </c>
      <c r="H213" s="3">
        <f>IF(G213 = 0, "", F213 / G213)</f>
        <v>0.05650684931506849</v>
      </c>
      <c r="I213" s="5">
        <f>SUMIFS(CaseCells!F2:F999,CaseCells!C2:C999, C213,CaseCells!D2:D999, D213,CaseCells!E2:E999, "A")</f>
        <v>11</v>
      </c>
      <c r="J213" s="5">
        <f>SUMIFS(CaseCells!G2:G999,CaseCells!C2:C999, C213,CaseCells!D2:D999, D213,CaseCells!E2:E999, "A")</f>
        <v>82</v>
      </c>
      <c r="K213" s="3">
        <f>IF(J213 = 0, "", I213 / J213)</f>
        <v>0.13414634146341464</v>
      </c>
      <c r="L213" s="5">
        <f>SUMIFS(CaseCells!F2:F999,CaseCells!C2:C999, C213,CaseCells!D2:D999, D213,CaseCells!E2:E999, "B")</f>
        <v>33</v>
      </c>
      <c r="M213" s="5">
        <f>SUMIFS(CaseCells!G2:G999,CaseCells!C2:C999, C213,CaseCells!D2:D999, D213,CaseCells!E2:E999, "B")</f>
        <v>584</v>
      </c>
      <c r="N213" s="3">
        <f>IF(M213 = 0, "", L213 / M213)</f>
        <v>0.05650684931506849</v>
      </c>
      <c r="O213" s="3" t="str">
        <f>IF(K213 &gt; N213, "A", "B")</f>
        <v>A</v>
      </c>
      <c r="P213" s="5">
        <f>SUMIFS(CaseCells!G2:G999,CaseCells!C2:C999, C213)</f>
        <v>1515</v>
      </c>
      <c r="Q213" s="5">
        <f>SUMIFS(CaseCells!G2:G999,CaseCells!C2:C999, C213,CaseCells!D2:D999, D213)</f>
        <v>666</v>
      </c>
      <c r="R213" s="3">
        <f>IF(P213 = 0, "", Q213 / P213)</f>
        <v>0.4396039603960396</v>
      </c>
      <c r="S213" s="3">
        <f>IF(R213 = "", "", R213 * H213)</f>
        <v>0.024840634748406348</v>
      </c>
      <c r="T213" s="5">
        <f>SUMIFS(CaseCells!G2:G999,CaseCells!C2:C999, C213,CaseCells!D2:D999, D213,CaseCells!E2:E999, "A")</f>
        <v>82</v>
      </c>
      <c r="U213" s="5">
        <f>SUMIFS(CaseCells!G2:G999,CaseCells!C2:C999, C213,CaseCells!D2:D999, D213,CaseCells!E2:E999, "B")</f>
        <v>584</v>
      </c>
      <c r="V213" s="5">
        <f>SUMIFS(CaseCells!G2:G999,CaseCells!C2:C999, C213,CaseCells!E2:E999, "A")</f>
        <v>255</v>
      </c>
      <c r="W213" s="5">
        <f>SUMIFS(CaseCells!G2:G999,CaseCells!C2:C999, C213,CaseCells!E2:E999, "B")</f>
        <v>1260</v>
      </c>
      <c r="X213" s="3">
        <f>IF(V213 = 0, "", T213 / V213)</f>
        <v>0.3215686274509804</v>
      </c>
      <c r="Y213" s="3">
        <f>IF(W213 = 0, "", U213 / W213)</f>
        <v>0.4634920634920635</v>
      </c>
      <c r="Z213" s="3">
        <f>IF(X213 = "", "", X213 - Y213)</f>
        <v>-0.1419234360410831</v>
      </c>
      <c r="AA213" s="3">
        <f>IF(K213 = "", "", K213 - N213)</f>
        <v>0.07763949214834615</v>
      </c>
      <c r="AB213" s="3">
        <f>IF(AA213 = "", "", AA213 * R213)</f>
        <v>0.034130628231550185</v>
      </c>
    </row>
    <row r="214">
      <c r="A214" s="2" t="s">
        <v>1991</v>
      </c>
      <c r="B214" s="3" t="str">
        <f>A214</f>
        <v>hanley-power-lines-2000-li-1998-A</v>
      </c>
      <c r="C214" s="2" t="s">
        <v>579</v>
      </c>
      <c r="D214" s="2" t="s">
        <v>1459</v>
      </c>
      <c r="E214" s="2" t="s">
        <v>792</v>
      </c>
      <c r="F214" s="5">
        <f>SUMIFS(CaseCells!F2:F999,CaseCells!C2:C999, C214,CaseCells!D2:D999, D214,CaseCells!E2:E999, E214)</f>
        <v>5</v>
      </c>
      <c r="G214" s="5">
        <f>SUMIFS(CaseCells!G2:G999,CaseCells!C2:C999, C214,CaseCells!D2:D999, D214,CaseCells!E2:E999, E214)</f>
        <v>13</v>
      </c>
      <c r="H214" s="3">
        <f>IF(G214 = 0, "", F214 / G214)</f>
        <v>0.38461538461538464</v>
      </c>
      <c r="I214" s="5">
        <f>SUMIFS(CaseCells!F2:F999,CaseCells!C2:C999, C214,CaseCells!D2:D999, D214,CaseCells!E2:E999, "A")</f>
        <v>5</v>
      </c>
      <c r="J214" s="5">
        <f>SUMIFS(CaseCells!G2:G999,CaseCells!C2:C999, C214,CaseCells!D2:D999, D214,CaseCells!E2:E999, "A")</f>
        <v>13</v>
      </c>
      <c r="K214" s="3">
        <f>IF(J214 = 0, "", I214 / J214)</f>
        <v>0.38461538461538464</v>
      </c>
      <c r="L214" s="5">
        <f>SUMIFS(CaseCells!F2:F999,CaseCells!C2:C999, C214,CaseCells!D2:D999, D214,CaseCells!E2:E999, "B")</f>
        <v>14</v>
      </c>
      <c r="M214" s="5">
        <f>SUMIFS(CaseCells!G2:G999,CaseCells!C2:C999, C214,CaseCells!D2:D999, D214,CaseCells!E2:E999, "B")</f>
        <v>42</v>
      </c>
      <c r="N214" s="3">
        <f>IF(M214 = 0, "", L214 / M214)</f>
        <v>0.3333333333333333</v>
      </c>
      <c r="O214" s="3" t="str">
        <f>IF(K214 &gt; N214, "A", "B")</f>
        <v>A</v>
      </c>
      <c r="P214" s="5">
        <f>SUMIFS(CaseCells!G2:G999,CaseCells!C2:C999, C214)</f>
        <v>1515</v>
      </c>
      <c r="Q214" s="5">
        <f>SUMIFS(CaseCells!G2:G999,CaseCells!C2:C999, C214,CaseCells!D2:D999, D214)</f>
        <v>55</v>
      </c>
      <c r="R214" s="3">
        <f>IF(P214 = 0, "", Q214 / P214)</f>
        <v>0.036303630363036306</v>
      </c>
      <c r="S214" s="3">
        <f>IF(R214 = "", "", R214 * H214)</f>
        <v>0.013962934755013964</v>
      </c>
      <c r="T214" s="5">
        <f>SUMIFS(CaseCells!G2:G999,CaseCells!C2:C999, C214,CaseCells!D2:D999, D214,CaseCells!E2:E999, "A")</f>
        <v>13</v>
      </c>
      <c r="U214" s="5">
        <f>SUMIFS(CaseCells!G2:G999,CaseCells!C2:C999, C214,CaseCells!D2:D999, D214,CaseCells!E2:E999, "B")</f>
        <v>42</v>
      </c>
      <c r="V214" s="5">
        <f>SUMIFS(CaseCells!G2:G999,CaseCells!C2:C999, C214,CaseCells!E2:E999, "A")</f>
        <v>255</v>
      </c>
      <c r="W214" s="5">
        <f>SUMIFS(CaseCells!G2:G999,CaseCells!C2:C999, C214,CaseCells!E2:E999, "B")</f>
        <v>1260</v>
      </c>
      <c r="X214" s="3">
        <f>IF(V214 = 0, "", T214 / V214)</f>
        <v>0.050980392156862744</v>
      </c>
      <c r="Y214" s="3">
        <f>IF(W214 = 0, "", U214 / W214)</f>
        <v>0.03333333333333333</v>
      </c>
      <c r="Z214" s="3">
        <f>IF(X214 = "", "", X214 - Y214)</f>
        <v>0.01764705882352941</v>
      </c>
      <c r="AA214" s="3">
        <f>IF(K214 = "", "", K214 - N214)</f>
        <v>0.05128205128205132</v>
      </c>
      <c r="AB214" s="3">
        <f>IF(AA214 = "", "", AA214 * R214)</f>
        <v>0.0018617246340018633</v>
      </c>
    </row>
    <row r="215">
      <c r="A215" s="2" t="s">
        <v>1992</v>
      </c>
      <c r="B215" s="3" t="str">
        <f>A215</f>
        <v>hanley-power-lines-2000-li-1998-B</v>
      </c>
      <c r="C215" s="2" t="s">
        <v>579</v>
      </c>
      <c r="D215" s="2" t="s">
        <v>1459</v>
      </c>
      <c r="E215" s="2" t="s">
        <v>795</v>
      </c>
      <c r="F215" s="5">
        <f>SUMIFS(CaseCells!F2:F999,CaseCells!C2:C999, C215,CaseCells!D2:D999, D215,CaseCells!E2:E999, E215)</f>
        <v>14</v>
      </c>
      <c r="G215" s="5">
        <f>SUMIFS(CaseCells!G2:G999,CaseCells!C2:C999, C215,CaseCells!D2:D999, D215,CaseCells!E2:E999, E215)</f>
        <v>42</v>
      </c>
      <c r="H215" s="3">
        <f>IF(G215 = 0, "", F215 / G215)</f>
        <v>0.3333333333333333</v>
      </c>
      <c r="I215" s="5">
        <f>SUMIFS(CaseCells!F2:F999,CaseCells!C2:C999, C215,CaseCells!D2:D999, D215,CaseCells!E2:E999, "A")</f>
        <v>5</v>
      </c>
      <c r="J215" s="5">
        <f>SUMIFS(CaseCells!G2:G999,CaseCells!C2:C999, C215,CaseCells!D2:D999, D215,CaseCells!E2:E999, "A")</f>
        <v>13</v>
      </c>
      <c r="K215" s="3">
        <f>IF(J215 = 0, "", I215 / J215)</f>
        <v>0.38461538461538464</v>
      </c>
      <c r="L215" s="5">
        <f>SUMIFS(CaseCells!F2:F999,CaseCells!C2:C999, C215,CaseCells!D2:D999, D215,CaseCells!E2:E999, "B")</f>
        <v>14</v>
      </c>
      <c r="M215" s="5">
        <f>SUMIFS(CaseCells!G2:G999,CaseCells!C2:C999, C215,CaseCells!D2:D999, D215,CaseCells!E2:E999, "B")</f>
        <v>42</v>
      </c>
      <c r="N215" s="3">
        <f>IF(M215 = 0, "", L215 / M215)</f>
        <v>0.3333333333333333</v>
      </c>
      <c r="O215" s="3" t="str">
        <f>IF(K215 &gt; N215, "A", "B")</f>
        <v>A</v>
      </c>
      <c r="P215" s="5">
        <f>SUMIFS(CaseCells!G2:G999,CaseCells!C2:C999, C215)</f>
        <v>1515</v>
      </c>
      <c r="Q215" s="5">
        <f>SUMIFS(CaseCells!G2:G999,CaseCells!C2:C999, C215,CaseCells!D2:D999, D215)</f>
        <v>55</v>
      </c>
      <c r="R215" s="3">
        <f>IF(P215 = 0, "", Q215 / P215)</f>
        <v>0.036303630363036306</v>
      </c>
      <c r="S215" s="3">
        <f>IF(R215 = "", "", R215 * H215)</f>
        <v>0.0121012101210121</v>
      </c>
      <c r="T215" s="5">
        <f>SUMIFS(CaseCells!G2:G999,CaseCells!C2:C999, C215,CaseCells!D2:D999, D215,CaseCells!E2:E999, "A")</f>
        <v>13</v>
      </c>
      <c r="U215" s="5">
        <f>SUMIFS(CaseCells!G2:G999,CaseCells!C2:C999, C215,CaseCells!D2:D999, D215,CaseCells!E2:E999, "B")</f>
        <v>42</v>
      </c>
      <c r="V215" s="5">
        <f>SUMIFS(CaseCells!G2:G999,CaseCells!C2:C999, C215,CaseCells!E2:E999, "A")</f>
        <v>255</v>
      </c>
      <c r="W215" s="5">
        <f>SUMIFS(CaseCells!G2:G999,CaseCells!C2:C999, C215,CaseCells!E2:E999, "B")</f>
        <v>1260</v>
      </c>
      <c r="X215" s="3">
        <f>IF(V215 = 0, "", T215 / V215)</f>
        <v>0.050980392156862744</v>
      </c>
      <c r="Y215" s="3">
        <f>IF(W215 = 0, "", U215 / W215)</f>
        <v>0.03333333333333333</v>
      </c>
      <c r="Z215" s="3">
        <f>IF(X215 = "", "", X215 - Y215)</f>
        <v>0.01764705882352941</v>
      </c>
      <c r="AA215" s="3">
        <f>IF(K215 = "", "", K215 - N215)</f>
        <v>0.05128205128205132</v>
      </c>
      <c r="AB215" s="3">
        <f>IF(AA215 = "", "", AA215 * R215)</f>
        <v>0.0018617246340018633</v>
      </c>
    </row>
    <row r="216">
      <c r="A216" s="2" t="s">
        <v>1993</v>
      </c>
      <c r="B216" s="3" t="str">
        <f>A216</f>
        <v>hanley-power-lines-2000-mcbride-1999-A</v>
      </c>
      <c r="C216" s="2" t="s">
        <v>579</v>
      </c>
      <c r="D216" s="2" t="s">
        <v>1462</v>
      </c>
      <c r="E216" s="2" t="s">
        <v>792</v>
      </c>
      <c r="F216" s="5">
        <f>SUMIFS(CaseCells!F2:F999,CaseCells!C2:C999, C216,CaseCells!D2:D999, D216,CaseCells!E2:E999, E216)</f>
        <v>6</v>
      </c>
      <c r="G216" s="5">
        <f>SUMIFS(CaseCells!G2:G999,CaseCells!C2:C999, C216,CaseCells!D2:D999, D216,CaseCells!E2:E999, E216)</f>
        <v>12</v>
      </c>
      <c r="H216" s="3">
        <f>IF(G216 = 0, "", F216 / G216)</f>
        <v>0.5</v>
      </c>
      <c r="I216" s="5">
        <f>SUMIFS(CaseCells!F2:F999,CaseCells!C2:C999, C216,CaseCells!D2:D999, D216,CaseCells!E2:E999, "A")</f>
        <v>6</v>
      </c>
      <c r="J216" s="5">
        <f>SUMIFS(CaseCells!G2:G999,CaseCells!C2:C999, C216,CaseCells!D2:D999, D216,CaseCells!E2:E999, "A")</f>
        <v>12</v>
      </c>
      <c r="K216" s="3">
        <f>IF(J216 = 0, "", I216 / J216)</f>
        <v>0.5</v>
      </c>
      <c r="L216" s="5">
        <f>SUMIFS(CaseCells!F2:F999,CaseCells!C2:C999, C216,CaseCells!D2:D999, D216,CaseCells!E2:E999, "B")</f>
        <v>25</v>
      </c>
      <c r="M216" s="5">
        <f>SUMIFS(CaseCells!G2:G999,CaseCells!C2:C999, C216,CaseCells!D2:D999, D216,CaseCells!E2:E999, "B")</f>
        <v>53</v>
      </c>
      <c r="N216" s="3">
        <f>IF(M216 = 0, "", L216 / M216)</f>
        <v>0.4716981132075472</v>
      </c>
      <c r="O216" s="3" t="str">
        <f>IF(K216 &gt; N216, "A", "B")</f>
        <v>A</v>
      </c>
      <c r="P216" s="5">
        <f>SUMIFS(CaseCells!G2:G999,CaseCells!C2:C999, C216)</f>
        <v>1515</v>
      </c>
      <c r="Q216" s="5">
        <f>SUMIFS(CaseCells!G2:G999,CaseCells!C2:C999, C216,CaseCells!D2:D999, D216)</f>
        <v>65</v>
      </c>
      <c r="R216" s="3">
        <f>IF(P216 = 0, "", Q216 / P216)</f>
        <v>0.0429042904290429</v>
      </c>
      <c r="S216" s="3">
        <f>IF(R216 = "", "", R216 * H216)</f>
        <v>0.02145214521452145</v>
      </c>
      <c r="T216" s="5">
        <f>SUMIFS(CaseCells!G2:G999,CaseCells!C2:C999, C216,CaseCells!D2:D999, D216,CaseCells!E2:E999, "A")</f>
        <v>12</v>
      </c>
      <c r="U216" s="5">
        <f>SUMIFS(CaseCells!G2:G999,CaseCells!C2:C999, C216,CaseCells!D2:D999, D216,CaseCells!E2:E999, "B")</f>
        <v>53</v>
      </c>
      <c r="V216" s="5">
        <f>SUMIFS(CaseCells!G2:G999,CaseCells!C2:C999, C216,CaseCells!E2:E999, "A")</f>
        <v>255</v>
      </c>
      <c r="W216" s="5">
        <f>SUMIFS(CaseCells!G2:G999,CaseCells!C2:C999, C216,CaseCells!E2:E999, "B")</f>
        <v>1260</v>
      </c>
      <c r="X216" s="3">
        <f>IF(V216 = 0, "", T216 / V216)</f>
        <v>0.047058823529411764</v>
      </c>
      <c r="Y216" s="3">
        <f>IF(W216 = 0, "", U216 / W216)</f>
        <v>0.04206349206349207</v>
      </c>
      <c r="Z216" s="3">
        <f>IF(X216 = "", "", X216 - Y216)</f>
        <v>0.004995331465919697</v>
      </c>
      <c r="AA216" s="3">
        <f>IF(K216 = "", "", K216 - N216)</f>
        <v>0.028301886792452824</v>
      </c>
      <c r="AB216" s="3">
        <f>IF(AA216 = "", "", AA216 * R216)</f>
        <v>0.0012142723706332894</v>
      </c>
    </row>
    <row r="217">
      <c r="A217" s="2" t="s">
        <v>1994</v>
      </c>
      <c r="B217" s="3" t="str">
        <f>A217</f>
        <v>hanley-power-lines-2000-mcbride-1999-B</v>
      </c>
      <c r="C217" s="2" t="s">
        <v>579</v>
      </c>
      <c r="D217" s="2" t="s">
        <v>1462</v>
      </c>
      <c r="E217" s="2" t="s">
        <v>795</v>
      </c>
      <c r="F217" s="5">
        <f>SUMIFS(CaseCells!F2:F999,CaseCells!C2:C999, C217,CaseCells!D2:D999, D217,CaseCells!E2:E999, E217)</f>
        <v>25</v>
      </c>
      <c r="G217" s="5">
        <f>SUMIFS(CaseCells!G2:G999,CaseCells!C2:C999, C217,CaseCells!D2:D999, D217,CaseCells!E2:E999, E217)</f>
        <v>53</v>
      </c>
      <c r="H217" s="3">
        <f>IF(G217 = 0, "", F217 / G217)</f>
        <v>0.4716981132075472</v>
      </c>
      <c r="I217" s="5">
        <f>SUMIFS(CaseCells!F2:F999,CaseCells!C2:C999, C217,CaseCells!D2:D999, D217,CaseCells!E2:E999, "A")</f>
        <v>6</v>
      </c>
      <c r="J217" s="5">
        <f>SUMIFS(CaseCells!G2:G999,CaseCells!C2:C999, C217,CaseCells!D2:D999, D217,CaseCells!E2:E999, "A")</f>
        <v>12</v>
      </c>
      <c r="K217" s="3">
        <f>IF(J217 = 0, "", I217 / J217)</f>
        <v>0.5</v>
      </c>
      <c r="L217" s="5">
        <f>SUMIFS(CaseCells!F2:F999,CaseCells!C2:C999, C217,CaseCells!D2:D999, D217,CaseCells!E2:E999, "B")</f>
        <v>25</v>
      </c>
      <c r="M217" s="5">
        <f>SUMIFS(CaseCells!G2:G999,CaseCells!C2:C999, C217,CaseCells!D2:D999, D217,CaseCells!E2:E999, "B")</f>
        <v>53</v>
      </c>
      <c r="N217" s="3">
        <f>IF(M217 = 0, "", L217 / M217)</f>
        <v>0.4716981132075472</v>
      </c>
      <c r="O217" s="3" t="str">
        <f>IF(K217 &gt; N217, "A", "B")</f>
        <v>A</v>
      </c>
      <c r="P217" s="5">
        <f>SUMIFS(CaseCells!G2:G999,CaseCells!C2:C999, C217)</f>
        <v>1515</v>
      </c>
      <c r="Q217" s="5">
        <f>SUMIFS(CaseCells!G2:G999,CaseCells!C2:C999, C217,CaseCells!D2:D999, D217)</f>
        <v>65</v>
      </c>
      <c r="R217" s="3">
        <f>IF(P217 = 0, "", Q217 / P217)</f>
        <v>0.0429042904290429</v>
      </c>
      <c r="S217" s="3">
        <f>IF(R217 = "", "", R217 * H217)</f>
        <v>0.02023787284388816</v>
      </c>
      <c r="T217" s="5">
        <f>SUMIFS(CaseCells!G2:G999,CaseCells!C2:C999, C217,CaseCells!D2:D999, D217,CaseCells!E2:E999, "A")</f>
        <v>12</v>
      </c>
      <c r="U217" s="5">
        <f>SUMIFS(CaseCells!G2:G999,CaseCells!C2:C999, C217,CaseCells!D2:D999, D217,CaseCells!E2:E999, "B")</f>
        <v>53</v>
      </c>
      <c r="V217" s="5">
        <f>SUMIFS(CaseCells!G2:G999,CaseCells!C2:C999, C217,CaseCells!E2:E999, "A")</f>
        <v>255</v>
      </c>
      <c r="W217" s="5">
        <f>SUMIFS(CaseCells!G2:G999,CaseCells!C2:C999, C217,CaseCells!E2:E999, "B")</f>
        <v>1260</v>
      </c>
      <c r="X217" s="3">
        <f>IF(V217 = 0, "", T217 / V217)</f>
        <v>0.047058823529411764</v>
      </c>
      <c r="Y217" s="3">
        <f>IF(W217 = 0, "", U217 / W217)</f>
        <v>0.04206349206349207</v>
      </c>
      <c r="Z217" s="3">
        <f>IF(X217 = "", "", X217 - Y217)</f>
        <v>0.004995331465919697</v>
      </c>
      <c r="AA217" s="3">
        <f>IF(K217 = "", "", K217 - N217)</f>
        <v>0.028301886792452824</v>
      </c>
      <c r="AB217" s="3">
        <f>IF(AA217 = "", "", AA217 * R217)</f>
        <v>0.0012142723706332894</v>
      </c>
    </row>
    <row r="218">
      <c r="A218" s="2" t="s">
        <v>1995</v>
      </c>
      <c r="B218" s="3" t="str">
        <f>A218</f>
        <v>coffee-smoking-lung-1968-smokers-A</v>
      </c>
      <c r="C218" s="2" t="s">
        <v>583</v>
      </c>
      <c r="D218" s="2" t="s">
        <v>1465</v>
      </c>
      <c r="E218" s="2" t="s">
        <v>792</v>
      </c>
      <c r="F218" s="5">
        <f>SUMIFS(CaseCells!F2:F999,CaseCells!C2:C999, C218,CaseCells!D2:D999, D218,CaseCells!E2:E999, E218)</f>
        <v>141</v>
      </c>
      <c r="G218" s="5">
        <f>SUMIFS(CaseCells!G2:G999,CaseCells!C2:C999, C218,CaseCells!D2:D999, D218,CaseCells!E2:E999, E218)</f>
        <v>778</v>
      </c>
      <c r="H218" s="3">
        <f>IF(G218 = 0, "", F218 / G218)</f>
        <v>0.18123393316195371</v>
      </c>
      <c r="I218" s="5">
        <f>SUMIFS(CaseCells!F2:F999,CaseCells!C2:C999, C218,CaseCells!D2:D999, D218,CaseCells!E2:E999, "A")</f>
        <v>141</v>
      </c>
      <c r="J218" s="5">
        <f>SUMIFS(CaseCells!G2:G999,CaseCells!C2:C999, C218,CaseCells!D2:D999, D218,CaseCells!E2:E999, "A")</f>
        <v>778</v>
      </c>
      <c r="K218" s="3">
        <f>IF(J218 = 0, "", I218 / J218)</f>
        <v>0.18123393316195371</v>
      </c>
      <c r="L218" s="5">
        <f>SUMIFS(CaseCells!F2:F999,CaseCells!C2:C999, C218,CaseCells!D2:D999, D218,CaseCells!E2:E999, "B")</f>
        <v>15</v>
      </c>
      <c r="M218" s="5">
        <f>SUMIFS(CaseCells!G2:G999,CaseCells!C2:C999, C218,CaseCells!D2:D999, D218,CaseCells!E2:E999, "B")</f>
        <v>88</v>
      </c>
      <c r="N218" s="3">
        <f>IF(M218 = 0, "", L218 / M218)</f>
        <v>0.17045454545454544</v>
      </c>
      <c r="O218" s="3" t="str">
        <f>IF(K218 &gt; N218, "A", "B")</f>
        <v>A</v>
      </c>
      <c r="P218" s="5">
        <f>SUMIFS(CaseCells!G2:G999,CaseCells!C2:C999, C218)</f>
        <v>1116</v>
      </c>
      <c r="Q218" s="5">
        <f>SUMIFS(CaseCells!G2:G999,CaseCells!C2:C999, C218,CaseCells!D2:D999, D218)</f>
        <v>866</v>
      </c>
      <c r="R218" s="3">
        <f>IF(P218 = 0, "", Q218 / P218)</f>
        <v>0.7759856630824373</v>
      </c>
      <c r="S218" s="3">
        <f>IF(R218 = "", "", R218 * H218)</f>
        <v>0.14063493379771677</v>
      </c>
      <c r="T218" s="5">
        <f>SUMIFS(CaseCells!G2:G999,CaseCells!C2:C999, C218,CaseCells!D2:D999, D218,CaseCells!E2:E999, "A")</f>
        <v>778</v>
      </c>
      <c r="U218" s="5">
        <f>SUMIFS(CaseCells!G2:G999,CaseCells!C2:C999, C218,CaseCells!D2:D999, D218,CaseCells!E2:E999, "B")</f>
        <v>88</v>
      </c>
      <c r="V218" s="5">
        <f>SUMIFS(CaseCells!G2:G999,CaseCells!C2:C999, C218,CaseCells!E2:E999, "A")</f>
        <v>898</v>
      </c>
      <c r="W218" s="5">
        <f>SUMIFS(CaseCells!G2:G999,CaseCells!C2:C999, C218,CaseCells!E2:E999, "B")</f>
        <v>218</v>
      </c>
      <c r="X218" s="3">
        <f>IF(V218 = 0, "", T218 / V218)</f>
        <v>0.8663697104677061</v>
      </c>
      <c r="Y218" s="3">
        <f>IF(W218 = 0, "", U218 / W218)</f>
        <v>0.4036697247706422</v>
      </c>
      <c r="Z218" s="3">
        <f>IF(X218 = "", "", X218 - Y218)</f>
        <v>0.46269998569706383</v>
      </c>
      <c r="AA218" s="3">
        <f>IF(K218 = "", "", K218 - N218)</f>
        <v>0.010779387707408272</v>
      </c>
      <c r="AB218" s="3">
        <f>IF(AA218 = "", "", AA218 * R218)</f>
        <v>0.008364650317755882</v>
      </c>
    </row>
    <row r="219">
      <c r="A219" s="2" t="s">
        <v>1996</v>
      </c>
      <c r="B219" s="3" t="str">
        <f>A219</f>
        <v>coffee-smoking-lung-1968-smokers-B</v>
      </c>
      <c r="C219" s="2" t="s">
        <v>583</v>
      </c>
      <c r="D219" s="2" t="s">
        <v>1465</v>
      </c>
      <c r="E219" s="2" t="s">
        <v>795</v>
      </c>
      <c r="F219" s="5">
        <f>SUMIFS(CaseCells!F2:F999,CaseCells!C2:C999, C219,CaseCells!D2:D999, D219,CaseCells!E2:E999, E219)</f>
        <v>15</v>
      </c>
      <c r="G219" s="5">
        <f>SUMIFS(CaseCells!G2:G999,CaseCells!C2:C999, C219,CaseCells!D2:D999, D219,CaseCells!E2:E999, E219)</f>
        <v>88</v>
      </c>
      <c r="H219" s="3">
        <f>IF(G219 = 0, "", F219 / G219)</f>
        <v>0.17045454545454544</v>
      </c>
      <c r="I219" s="5">
        <f>SUMIFS(CaseCells!F2:F999,CaseCells!C2:C999, C219,CaseCells!D2:D999, D219,CaseCells!E2:E999, "A")</f>
        <v>141</v>
      </c>
      <c r="J219" s="5">
        <f>SUMIFS(CaseCells!G2:G999,CaseCells!C2:C999, C219,CaseCells!D2:D999, D219,CaseCells!E2:E999, "A")</f>
        <v>778</v>
      </c>
      <c r="K219" s="3">
        <f>IF(J219 = 0, "", I219 / J219)</f>
        <v>0.18123393316195371</v>
      </c>
      <c r="L219" s="5">
        <f>SUMIFS(CaseCells!F2:F999,CaseCells!C2:C999, C219,CaseCells!D2:D999, D219,CaseCells!E2:E999, "B")</f>
        <v>15</v>
      </c>
      <c r="M219" s="5">
        <f>SUMIFS(CaseCells!G2:G999,CaseCells!C2:C999, C219,CaseCells!D2:D999, D219,CaseCells!E2:E999, "B")</f>
        <v>88</v>
      </c>
      <c r="N219" s="3">
        <f>IF(M219 = 0, "", L219 / M219)</f>
        <v>0.17045454545454544</v>
      </c>
      <c r="O219" s="3" t="str">
        <f>IF(K219 &gt; N219, "A", "B")</f>
        <v>A</v>
      </c>
      <c r="P219" s="5">
        <f>SUMIFS(CaseCells!G2:G999,CaseCells!C2:C999, C219)</f>
        <v>1116</v>
      </c>
      <c r="Q219" s="5">
        <f>SUMIFS(CaseCells!G2:G999,CaseCells!C2:C999, C219,CaseCells!D2:D999, D219)</f>
        <v>866</v>
      </c>
      <c r="R219" s="3">
        <f>IF(P219 = 0, "", Q219 / P219)</f>
        <v>0.7759856630824373</v>
      </c>
      <c r="S219" s="3">
        <f>IF(R219 = "", "", R219 * H219)</f>
        <v>0.1322702834799609</v>
      </c>
      <c r="T219" s="5">
        <f>SUMIFS(CaseCells!G2:G999,CaseCells!C2:C999, C219,CaseCells!D2:D999, D219,CaseCells!E2:E999, "A")</f>
        <v>778</v>
      </c>
      <c r="U219" s="5">
        <f>SUMIFS(CaseCells!G2:G999,CaseCells!C2:C999, C219,CaseCells!D2:D999, D219,CaseCells!E2:E999, "B")</f>
        <v>88</v>
      </c>
      <c r="V219" s="5">
        <f>SUMIFS(CaseCells!G2:G999,CaseCells!C2:C999, C219,CaseCells!E2:E999, "A")</f>
        <v>898</v>
      </c>
      <c r="W219" s="5">
        <f>SUMIFS(CaseCells!G2:G999,CaseCells!C2:C999, C219,CaseCells!E2:E999, "B")</f>
        <v>218</v>
      </c>
      <c r="X219" s="3">
        <f>IF(V219 = 0, "", T219 / V219)</f>
        <v>0.8663697104677061</v>
      </c>
      <c r="Y219" s="3">
        <f>IF(W219 = 0, "", U219 / W219)</f>
        <v>0.4036697247706422</v>
      </c>
      <c r="Z219" s="3">
        <f>IF(X219 = "", "", X219 - Y219)</f>
        <v>0.46269998569706383</v>
      </c>
      <c r="AA219" s="3">
        <f>IF(K219 = "", "", K219 - N219)</f>
        <v>0.010779387707408272</v>
      </c>
      <c r="AB219" s="3">
        <f>IF(AA219 = "", "", AA219 * R219)</f>
        <v>0.008364650317755882</v>
      </c>
    </row>
    <row r="220">
      <c r="A220" s="2" t="s">
        <v>1997</v>
      </c>
      <c r="B220" s="3" t="str">
        <f>A220</f>
        <v>coffee-smoking-lung-1968-nonsmokers-A</v>
      </c>
      <c r="C220" s="2" t="s">
        <v>583</v>
      </c>
      <c r="D220" s="2" t="s">
        <v>1467</v>
      </c>
      <c r="E220" s="2" t="s">
        <v>792</v>
      </c>
      <c r="F220" s="5">
        <f>SUMIFS(CaseCells!F2:F999,CaseCells!C2:C999, C220,CaseCells!D2:D999, D220,CaseCells!E2:E999, E220)</f>
        <v>6</v>
      </c>
      <c r="G220" s="5">
        <f>SUMIFS(CaseCells!G2:G999,CaseCells!C2:C999, C220,CaseCells!D2:D999, D220,CaseCells!E2:E999, E220)</f>
        <v>120</v>
      </c>
      <c r="H220" s="3">
        <f>IF(G220 = 0, "", F220 / G220)</f>
        <v>0.05</v>
      </c>
      <c r="I220" s="5">
        <f>SUMIFS(CaseCells!F2:F999,CaseCells!C2:C999, C220,CaseCells!D2:D999, D220,CaseCells!E2:E999, "A")</f>
        <v>6</v>
      </c>
      <c r="J220" s="5">
        <f>SUMIFS(CaseCells!G2:G999,CaseCells!C2:C999, C220,CaseCells!D2:D999, D220,CaseCells!E2:E999, "A")</f>
        <v>120</v>
      </c>
      <c r="K220" s="3">
        <f>IF(J220 = 0, "", I220 / J220)</f>
        <v>0.05</v>
      </c>
      <c r="L220" s="5">
        <f>SUMIFS(CaseCells!F2:F999,CaseCells!C2:C999, C220,CaseCells!D2:D999, D220,CaseCells!E2:E999, "B")</f>
        <v>8</v>
      </c>
      <c r="M220" s="5">
        <f>SUMIFS(CaseCells!G2:G999,CaseCells!C2:C999, C220,CaseCells!D2:D999, D220,CaseCells!E2:E999, "B")</f>
        <v>130</v>
      </c>
      <c r="N220" s="3">
        <f>IF(M220 = 0, "", L220 / M220)</f>
        <v>0.06153846153846154</v>
      </c>
      <c r="O220" s="3" t="str">
        <f>IF(K220 &gt; N220, "A", "B")</f>
        <v>B</v>
      </c>
      <c r="P220" s="5">
        <f>SUMIFS(CaseCells!G2:G999,CaseCells!C2:C999, C220)</f>
        <v>1116</v>
      </c>
      <c r="Q220" s="5">
        <f>SUMIFS(CaseCells!G2:G999,CaseCells!C2:C999, C220,CaseCells!D2:D999, D220)</f>
        <v>250</v>
      </c>
      <c r="R220" s="3">
        <f>IF(P220 = 0, "", Q220 / P220)</f>
        <v>0.22401433691756273</v>
      </c>
      <c r="S220" s="3">
        <f>IF(R220 = "", "", R220 * H220)</f>
        <v>0.011200716845878138</v>
      </c>
      <c r="T220" s="5">
        <f>SUMIFS(CaseCells!G2:G999,CaseCells!C2:C999, C220,CaseCells!D2:D999, D220,CaseCells!E2:E999, "A")</f>
        <v>120</v>
      </c>
      <c r="U220" s="5">
        <f>SUMIFS(CaseCells!G2:G999,CaseCells!C2:C999, C220,CaseCells!D2:D999, D220,CaseCells!E2:E999, "B")</f>
        <v>130</v>
      </c>
      <c r="V220" s="5">
        <f>SUMIFS(CaseCells!G2:G999,CaseCells!C2:C999, C220,CaseCells!E2:E999, "A")</f>
        <v>898</v>
      </c>
      <c r="W220" s="5">
        <f>SUMIFS(CaseCells!G2:G999,CaseCells!C2:C999, C220,CaseCells!E2:E999, "B")</f>
        <v>218</v>
      </c>
      <c r="X220" s="3">
        <f>IF(V220 = 0, "", T220 / V220)</f>
        <v>0.133630289532294</v>
      </c>
      <c r="Y220" s="3">
        <f>IF(W220 = 0, "", U220 / W220)</f>
        <v>0.5963302752293578</v>
      </c>
      <c r="Z220" s="3">
        <f>IF(X220 = "", "", X220 - Y220)</f>
        <v>-0.4626999856970638</v>
      </c>
      <c r="AA220" s="3">
        <f>IF(K220 = "", "", K220 - N220)</f>
        <v>-0.011538461538461539</v>
      </c>
      <c r="AB220" s="3">
        <f>IF(AA220 = "", "", AA220 * R220)</f>
        <v>-0.0025847808105872623</v>
      </c>
    </row>
    <row r="221">
      <c r="A221" s="2" t="s">
        <v>1998</v>
      </c>
      <c r="B221" s="3" t="str">
        <f>A221</f>
        <v>coffee-smoking-lung-1968-nonsmokers-B</v>
      </c>
      <c r="C221" s="2" t="s">
        <v>583</v>
      </c>
      <c r="D221" s="2" t="s">
        <v>1467</v>
      </c>
      <c r="E221" s="2" t="s">
        <v>795</v>
      </c>
      <c r="F221" s="5">
        <f>SUMIFS(CaseCells!F2:F999,CaseCells!C2:C999, C221,CaseCells!D2:D999, D221,CaseCells!E2:E999, E221)</f>
        <v>8</v>
      </c>
      <c r="G221" s="5">
        <f>SUMIFS(CaseCells!G2:G999,CaseCells!C2:C999, C221,CaseCells!D2:D999, D221,CaseCells!E2:E999, E221)</f>
        <v>130</v>
      </c>
      <c r="H221" s="3">
        <f>IF(G221 = 0, "", F221 / G221)</f>
        <v>0.06153846153846154</v>
      </c>
      <c r="I221" s="5">
        <f>SUMIFS(CaseCells!F2:F999,CaseCells!C2:C999, C221,CaseCells!D2:D999, D221,CaseCells!E2:E999, "A")</f>
        <v>6</v>
      </c>
      <c r="J221" s="5">
        <f>SUMIFS(CaseCells!G2:G999,CaseCells!C2:C999, C221,CaseCells!D2:D999, D221,CaseCells!E2:E999, "A")</f>
        <v>120</v>
      </c>
      <c r="K221" s="3">
        <f>IF(J221 = 0, "", I221 / J221)</f>
        <v>0.05</v>
      </c>
      <c r="L221" s="5">
        <f>SUMIFS(CaseCells!F2:F999,CaseCells!C2:C999, C221,CaseCells!D2:D999, D221,CaseCells!E2:E999, "B")</f>
        <v>8</v>
      </c>
      <c r="M221" s="5">
        <f>SUMIFS(CaseCells!G2:G999,CaseCells!C2:C999, C221,CaseCells!D2:D999, D221,CaseCells!E2:E999, "B")</f>
        <v>130</v>
      </c>
      <c r="N221" s="3">
        <f>IF(M221 = 0, "", L221 / M221)</f>
        <v>0.06153846153846154</v>
      </c>
      <c r="O221" s="3" t="str">
        <f>IF(K221 &gt; N221, "A", "B")</f>
        <v>B</v>
      </c>
      <c r="P221" s="5">
        <f>SUMIFS(CaseCells!G2:G999,CaseCells!C2:C999, C221)</f>
        <v>1116</v>
      </c>
      <c r="Q221" s="5">
        <f>SUMIFS(CaseCells!G2:G999,CaseCells!C2:C999, C221,CaseCells!D2:D999, D221)</f>
        <v>250</v>
      </c>
      <c r="R221" s="3">
        <f>IF(P221 = 0, "", Q221 / P221)</f>
        <v>0.22401433691756273</v>
      </c>
      <c r="S221" s="3">
        <f>IF(R221 = "", "", R221 * H221)</f>
        <v>0.0137854976564654</v>
      </c>
      <c r="T221" s="5">
        <f>SUMIFS(CaseCells!G2:G999,CaseCells!C2:C999, C221,CaseCells!D2:D999, D221,CaseCells!E2:E999, "A")</f>
        <v>120</v>
      </c>
      <c r="U221" s="5">
        <f>SUMIFS(CaseCells!G2:G999,CaseCells!C2:C999, C221,CaseCells!D2:D999, D221,CaseCells!E2:E999, "B")</f>
        <v>130</v>
      </c>
      <c r="V221" s="5">
        <f>SUMIFS(CaseCells!G2:G999,CaseCells!C2:C999, C221,CaseCells!E2:E999, "A")</f>
        <v>898</v>
      </c>
      <c r="W221" s="5">
        <f>SUMIFS(CaseCells!G2:G999,CaseCells!C2:C999, C221,CaseCells!E2:E999, "B")</f>
        <v>218</v>
      </c>
      <c r="X221" s="3">
        <f>IF(V221 = 0, "", T221 / V221)</f>
        <v>0.133630289532294</v>
      </c>
      <c r="Y221" s="3">
        <f>IF(W221 = 0, "", U221 / W221)</f>
        <v>0.5963302752293578</v>
      </c>
      <c r="Z221" s="3">
        <f>IF(X221 = "", "", X221 - Y221)</f>
        <v>-0.4626999856970638</v>
      </c>
      <c r="AA221" s="3">
        <f>IF(K221 = "", "", K221 - N221)</f>
        <v>-0.011538461538461539</v>
      </c>
      <c r="AB221" s="3">
        <f>IF(AA221 = "", "", AA221 * R221)</f>
        <v>-0.0025847808105872623</v>
      </c>
    </row>
    <row r="222">
      <c r="A222" s="2" t="s">
        <v>1999</v>
      </c>
      <c r="B222" s="3" t="str">
        <f>A222</f>
        <v>panama-sweden-mortality-1975-under-10-A</v>
      </c>
      <c r="C222" s="2" t="s">
        <v>586</v>
      </c>
      <c r="D222" s="2" t="s">
        <v>1470</v>
      </c>
      <c r="E222" s="2" t="s">
        <v>792</v>
      </c>
      <c r="F222" s="5">
        <f>SUMIFS(CaseCells!F2:F999,CaseCells!C2:C999, C222,CaseCells!D2:D999, D222,CaseCells!E2:E999, E222)</f>
        <v>99</v>
      </c>
      <c r="G222" s="5">
        <f>SUMIFS(CaseCells!G2:G999,CaseCells!C2:C999, C222,CaseCells!D2:D999, D222,CaseCells!E2:E999, E222)</f>
        <v>100</v>
      </c>
      <c r="H222" s="3">
        <f>IF(G222 = 0, "", F222 / G222)</f>
        <v>0.99</v>
      </c>
      <c r="I222" s="5">
        <f>SUMIFS(CaseCells!F2:F999,CaseCells!C2:C999, C222,CaseCells!D2:D999, D222,CaseCells!E2:E999, "A")</f>
        <v>99</v>
      </c>
      <c r="J222" s="5">
        <f>SUMIFS(CaseCells!G2:G999,CaseCells!C2:C999, C222,CaseCells!D2:D999, D222,CaseCells!E2:E999, "A")</f>
        <v>100</v>
      </c>
      <c r="K222" s="3">
        <f>IF(J222 = 0, "", I222 / J222)</f>
        <v>0.99</v>
      </c>
      <c r="L222" s="5">
        <f>SUMIFS(CaseCells!F2:F999,CaseCells!C2:C999, C222,CaseCells!D2:D999, D222,CaseCells!E2:E999, "B")</f>
        <v>493</v>
      </c>
      <c r="M222" s="5">
        <f>SUMIFS(CaseCells!G2:G999,CaseCells!C2:C999, C222,CaseCells!D2:D999, D222,CaseCells!E2:E999, "B")</f>
        <v>500</v>
      </c>
      <c r="N222" s="3">
        <f>IF(M222 = 0, "", L222 / M222)</f>
        <v>0.986</v>
      </c>
      <c r="O222" s="3" t="str">
        <f>IF(K222 &gt; N222, "A", "B")</f>
        <v>A</v>
      </c>
      <c r="P222" s="5">
        <f>SUMIFS(CaseCells!G2:G999,CaseCells!C2:C999, C222)</f>
        <v>2000</v>
      </c>
      <c r="Q222" s="5">
        <f>SUMIFS(CaseCells!G2:G999,CaseCells!C2:C999, C222,CaseCells!D2:D999, D222)</f>
        <v>600</v>
      </c>
      <c r="R222" s="3">
        <f>IF(P222 = 0, "", Q222 / P222)</f>
        <v>0.3</v>
      </c>
      <c r="S222" s="3">
        <f>IF(R222 = "", "", R222 * H222)</f>
        <v>0.297</v>
      </c>
      <c r="T222" s="5">
        <f>SUMIFS(CaseCells!G2:G999,CaseCells!C2:C999, C222,CaseCells!D2:D999, D222,CaseCells!E2:E999, "A")</f>
        <v>100</v>
      </c>
      <c r="U222" s="5">
        <f>SUMIFS(CaseCells!G2:G999,CaseCells!C2:C999, C222,CaseCells!D2:D999, D222,CaseCells!E2:E999, "B")</f>
        <v>500</v>
      </c>
      <c r="V222" s="5">
        <f>SUMIFS(CaseCells!G2:G999,CaseCells!C2:C999, C222,CaseCells!E2:E999, "A")</f>
        <v>1000</v>
      </c>
      <c r="W222" s="5">
        <f>SUMIFS(CaseCells!G2:G999,CaseCells!C2:C999, C222,CaseCells!E2:E999, "B")</f>
        <v>1000</v>
      </c>
      <c r="X222" s="3">
        <f>IF(V222 = 0, "", T222 / V222)</f>
        <v>0.1</v>
      </c>
      <c r="Y222" s="3">
        <f>IF(W222 = 0, "", U222 / W222)</f>
        <v>0.5</v>
      </c>
      <c r="Z222" s="3">
        <f>IF(X222 = "", "", X222 - Y222)</f>
        <v>-0.4</v>
      </c>
      <c r="AA222" s="3">
        <f>IF(K222 = "", "", K222 - N222)</f>
        <v>0.0040000000000000036</v>
      </c>
      <c r="AB222" s="3">
        <f>IF(AA222 = "", "", AA222 * R222)</f>
        <v>0.001200000000000001</v>
      </c>
    </row>
    <row r="223">
      <c r="A223" s="2" t="s">
        <v>2000</v>
      </c>
      <c r="B223" s="3" t="str">
        <f>A223</f>
        <v>panama-sweden-mortality-1975-under-10-B</v>
      </c>
      <c r="C223" s="2" t="s">
        <v>586</v>
      </c>
      <c r="D223" s="2" t="s">
        <v>1470</v>
      </c>
      <c r="E223" s="2" t="s">
        <v>795</v>
      </c>
      <c r="F223" s="5">
        <f>SUMIFS(CaseCells!F2:F999,CaseCells!C2:C999, C223,CaseCells!D2:D999, D223,CaseCells!E2:E999, E223)</f>
        <v>493</v>
      </c>
      <c r="G223" s="5">
        <f>SUMIFS(CaseCells!G2:G999,CaseCells!C2:C999, C223,CaseCells!D2:D999, D223,CaseCells!E2:E999, E223)</f>
        <v>500</v>
      </c>
      <c r="H223" s="3">
        <f>IF(G223 = 0, "", F223 / G223)</f>
        <v>0.986</v>
      </c>
      <c r="I223" s="5">
        <f>SUMIFS(CaseCells!F2:F999,CaseCells!C2:C999, C223,CaseCells!D2:D999, D223,CaseCells!E2:E999, "A")</f>
        <v>99</v>
      </c>
      <c r="J223" s="5">
        <f>SUMIFS(CaseCells!G2:G999,CaseCells!C2:C999, C223,CaseCells!D2:D999, D223,CaseCells!E2:E999, "A")</f>
        <v>100</v>
      </c>
      <c r="K223" s="3">
        <f>IF(J223 = 0, "", I223 / J223)</f>
        <v>0.99</v>
      </c>
      <c r="L223" s="5">
        <f>SUMIFS(CaseCells!F2:F999,CaseCells!C2:C999, C223,CaseCells!D2:D999, D223,CaseCells!E2:E999, "B")</f>
        <v>493</v>
      </c>
      <c r="M223" s="5">
        <f>SUMIFS(CaseCells!G2:G999,CaseCells!C2:C999, C223,CaseCells!D2:D999, D223,CaseCells!E2:E999, "B")</f>
        <v>500</v>
      </c>
      <c r="N223" s="3">
        <f>IF(M223 = 0, "", L223 / M223)</f>
        <v>0.986</v>
      </c>
      <c r="O223" s="3" t="str">
        <f>IF(K223 &gt; N223, "A", "B")</f>
        <v>A</v>
      </c>
      <c r="P223" s="5">
        <f>SUMIFS(CaseCells!G2:G999,CaseCells!C2:C999, C223)</f>
        <v>2000</v>
      </c>
      <c r="Q223" s="5">
        <f>SUMIFS(CaseCells!G2:G999,CaseCells!C2:C999, C223,CaseCells!D2:D999, D223)</f>
        <v>600</v>
      </c>
      <c r="R223" s="3">
        <f>IF(P223 = 0, "", Q223 / P223)</f>
        <v>0.3</v>
      </c>
      <c r="S223" s="3">
        <f>IF(R223 = "", "", R223 * H223)</f>
        <v>0.2958</v>
      </c>
      <c r="T223" s="5">
        <f>SUMIFS(CaseCells!G2:G999,CaseCells!C2:C999, C223,CaseCells!D2:D999, D223,CaseCells!E2:E999, "A")</f>
        <v>100</v>
      </c>
      <c r="U223" s="5">
        <f>SUMIFS(CaseCells!G2:G999,CaseCells!C2:C999, C223,CaseCells!D2:D999, D223,CaseCells!E2:E999, "B")</f>
        <v>500</v>
      </c>
      <c r="V223" s="5">
        <f>SUMIFS(CaseCells!G2:G999,CaseCells!C2:C999, C223,CaseCells!E2:E999, "A")</f>
        <v>1000</v>
      </c>
      <c r="W223" s="5">
        <f>SUMIFS(CaseCells!G2:G999,CaseCells!C2:C999, C223,CaseCells!E2:E999, "B")</f>
        <v>1000</v>
      </c>
      <c r="X223" s="3">
        <f>IF(V223 = 0, "", T223 / V223)</f>
        <v>0.1</v>
      </c>
      <c r="Y223" s="3">
        <f>IF(W223 = 0, "", U223 / W223)</f>
        <v>0.5</v>
      </c>
      <c r="Z223" s="3">
        <f>IF(X223 = "", "", X223 - Y223)</f>
        <v>-0.4</v>
      </c>
      <c r="AA223" s="3">
        <f>IF(K223 = "", "", K223 - N223)</f>
        <v>0.0040000000000000036</v>
      </c>
      <c r="AB223" s="3">
        <f>IF(AA223 = "", "", AA223 * R223)</f>
        <v>0.001200000000000001</v>
      </c>
    </row>
    <row r="224">
      <c r="A224" s="2" t="s">
        <v>2001</v>
      </c>
      <c r="B224" s="3" t="str">
        <f>A224</f>
        <v>panama-sweden-mortality-1975-mid-age-A</v>
      </c>
      <c r="C224" s="2" t="s">
        <v>586</v>
      </c>
      <c r="D224" s="2" t="s">
        <v>1473</v>
      </c>
      <c r="E224" s="2" t="s">
        <v>792</v>
      </c>
      <c r="F224" s="5">
        <f>SUMIFS(CaseCells!F2:F999,CaseCells!C2:C999, C224,CaseCells!D2:D999, D224,CaseCells!E2:E999, E224)</f>
        <v>299</v>
      </c>
      <c r="G224" s="5">
        <f>SUMIFS(CaseCells!G2:G999,CaseCells!C2:C999, C224,CaseCells!D2:D999, D224,CaseCells!E2:E999, E224)</f>
        <v>300</v>
      </c>
      <c r="H224" s="3">
        <f>IF(G224 = 0, "", F224 / G224)</f>
        <v>0.9966666666666667</v>
      </c>
      <c r="I224" s="5">
        <f>SUMIFS(CaseCells!F2:F999,CaseCells!C2:C999, C224,CaseCells!D2:D999, D224,CaseCells!E2:E999, "A")</f>
        <v>299</v>
      </c>
      <c r="J224" s="5">
        <f>SUMIFS(CaseCells!G2:G999,CaseCells!C2:C999, C224,CaseCells!D2:D999, D224,CaseCells!E2:E999, "A")</f>
        <v>300</v>
      </c>
      <c r="K224" s="3">
        <f>IF(J224 = 0, "", I224 / J224)</f>
        <v>0.9966666666666667</v>
      </c>
      <c r="L224" s="5">
        <f>SUMIFS(CaseCells!F2:F999,CaseCells!C2:C999, C224,CaseCells!D2:D999, D224,CaseCells!E2:E999, "B")</f>
        <v>348</v>
      </c>
      <c r="M224" s="5">
        <f>SUMIFS(CaseCells!G2:G999,CaseCells!C2:C999, C224,CaseCells!D2:D999, D224,CaseCells!E2:E999, "B")</f>
        <v>350</v>
      </c>
      <c r="N224" s="3">
        <f>IF(M224 = 0, "", L224 / M224)</f>
        <v>0.9942857142857143</v>
      </c>
      <c r="O224" s="3" t="str">
        <f>IF(K224 &gt; N224, "A", "B")</f>
        <v>A</v>
      </c>
      <c r="P224" s="5">
        <f>SUMIFS(CaseCells!G2:G999,CaseCells!C2:C999, C224)</f>
        <v>2000</v>
      </c>
      <c r="Q224" s="5">
        <f>SUMIFS(CaseCells!G2:G999,CaseCells!C2:C999, C224,CaseCells!D2:D999, D224)</f>
        <v>650</v>
      </c>
      <c r="R224" s="3">
        <f>IF(P224 = 0, "", Q224 / P224)</f>
        <v>0.325</v>
      </c>
      <c r="S224" s="3">
        <f>IF(R224 = "", "", R224 * H224)</f>
        <v>0.3239166666666667</v>
      </c>
      <c r="T224" s="5">
        <f>SUMIFS(CaseCells!G2:G999,CaseCells!C2:C999, C224,CaseCells!D2:D999, D224,CaseCells!E2:E999, "A")</f>
        <v>300</v>
      </c>
      <c r="U224" s="5">
        <f>SUMIFS(CaseCells!G2:G999,CaseCells!C2:C999, C224,CaseCells!D2:D999, D224,CaseCells!E2:E999, "B")</f>
        <v>350</v>
      </c>
      <c r="V224" s="5">
        <f>SUMIFS(CaseCells!G2:G999,CaseCells!C2:C999, C224,CaseCells!E2:E999, "A")</f>
        <v>1000</v>
      </c>
      <c r="W224" s="5">
        <f>SUMIFS(CaseCells!G2:G999,CaseCells!C2:C999, C224,CaseCells!E2:E999, "B")</f>
        <v>1000</v>
      </c>
      <c r="X224" s="3">
        <f>IF(V224 = 0, "", T224 / V224)</f>
        <v>0.3</v>
      </c>
      <c r="Y224" s="3">
        <f>IF(W224 = 0, "", U224 / W224)</f>
        <v>0.35</v>
      </c>
      <c r="Z224" s="3">
        <f>IF(X224 = "", "", X224 - Y224)</f>
        <v>-0.04999999999999999</v>
      </c>
      <c r="AA224" s="3">
        <f>IF(K224 = "", "", K224 - N224)</f>
        <v>0.0023809523809523725</v>
      </c>
      <c r="AB224" s="3">
        <f>IF(AA224 = "", "", AA224 * R224)</f>
        <v>0.0007738095238095211</v>
      </c>
    </row>
    <row r="225">
      <c r="A225" s="2" t="s">
        <v>2002</v>
      </c>
      <c r="B225" s="3" t="str">
        <f>A225</f>
        <v>panama-sweden-mortality-1975-mid-age-B</v>
      </c>
      <c r="C225" s="2" t="s">
        <v>586</v>
      </c>
      <c r="D225" s="2" t="s">
        <v>1473</v>
      </c>
      <c r="E225" s="2" t="s">
        <v>795</v>
      </c>
      <c r="F225" s="5">
        <f>SUMIFS(CaseCells!F2:F999,CaseCells!C2:C999, C225,CaseCells!D2:D999, D225,CaseCells!E2:E999, E225)</f>
        <v>348</v>
      </c>
      <c r="G225" s="5">
        <f>SUMIFS(CaseCells!G2:G999,CaseCells!C2:C999, C225,CaseCells!D2:D999, D225,CaseCells!E2:E999, E225)</f>
        <v>350</v>
      </c>
      <c r="H225" s="3">
        <f>IF(G225 = 0, "", F225 / G225)</f>
        <v>0.9942857142857143</v>
      </c>
      <c r="I225" s="5">
        <f>SUMIFS(CaseCells!F2:F999,CaseCells!C2:C999, C225,CaseCells!D2:D999, D225,CaseCells!E2:E999, "A")</f>
        <v>299</v>
      </c>
      <c r="J225" s="5">
        <f>SUMIFS(CaseCells!G2:G999,CaseCells!C2:C999, C225,CaseCells!D2:D999, D225,CaseCells!E2:E999, "A")</f>
        <v>300</v>
      </c>
      <c r="K225" s="3">
        <f>IF(J225 = 0, "", I225 / J225)</f>
        <v>0.9966666666666667</v>
      </c>
      <c r="L225" s="5">
        <f>SUMIFS(CaseCells!F2:F999,CaseCells!C2:C999, C225,CaseCells!D2:D999, D225,CaseCells!E2:E999, "B")</f>
        <v>348</v>
      </c>
      <c r="M225" s="5">
        <f>SUMIFS(CaseCells!G2:G999,CaseCells!C2:C999, C225,CaseCells!D2:D999, D225,CaseCells!E2:E999, "B")</f>
        <v>350</v>
      </c>
      <c r="N225" s="3">
        <f>IF(M225 = 0, "", L225 / M225)</f>
        <v>0.9942857142857143</v>
      </c>
      <c r="O225" s="3" t="str">
        <f>IF(K225 &gt; N225, "A", "B")</f>
        <v>A</v>
      </c>
      <c r="P225" s="5">
        <f>SUMIFS(CaseCells!G2:G999,CaseCells!C2:C999, C225)</f>
        <v>2000</v>
      </c>
      <c r="Q225" s="5">
        <f>SUMIFS(CaseCells!G2:G999,CaseCells!C2:C999, C225,CaseCells!D2:D999, D225)</f>
        <v>650</v>
      </c>
      <c r="R225" s="3">
        <f>IF(P225 = 0, "", Q225 / P225)</f>
        <v>0.325</v>
      </c>
      <c r="S225" s="3">
        <f>IF(R225 = "", "", R225 * H225)</f>
        <v>0.3231428571428572</v>
      </c>
      <c r="T225" s="5">
        <f>SUMIFS(CaseCells!G2:G999,CaseCells!C2:C999, C225,CaseCells!D2:D999, D225,CaseCells!E2:E999, "A")</f>
        <v>300</v>
      </c>
      <c r="U225" s="5">
        <f>SUMIFS(CaseCells!G2:G999,CaseCells!C2:C999, C225,CaseCells!D2:D999, D225,CaseCells!E2:E999, "B")</f>
        <v>350</v>
      </c>
      <c r="V225" s="5">
        <f>SUMIFS(CaseCells!G2:G999,CaseCells!C2:C999, C225,CaseCells!E2:E999, "A")</f>
        <v>1000</v>
      </c>
      <c r="W225" s="5">
        <f>SUMIFS(CaseCells!G2:G999,CaseCells!C2:C999, C225,CaseCells!E2:E999, "B")</f>
        <v>1000</v>
      </c>
      <c r="X225" s="3">
        <f>IF(V225 = 0, "", T225 / V225)</f>
        <v>0.3</v>
      </c>
      <c r="Y225" s="3">
        <f>IF(W225 = 0, "", U225 / W225)</f>
        <v>0.35</v>
      </c>
      <c r="Z225" s="3">
        <f>IF(X225 = "", "", X225 - Y225)</f>
        <v>-0.04999999999999999</v>
      </c>
      <c r="AA225" s="3">
        <f>IF(K225 = "", "", K225 - N225)</f>
        <v>0.0023809523809523725</v>
      </c>
      <c r="AB225" s="3">
        <f>IF(AA225 = "", "", AA225 * R225)</f>
        <v>0.0007738095238095211</v>
      </c>
    </row>
    <row r="226">
      <c r="A226" s="2" t="s">
        <v>2003</v>
      </c>
      <c r="B226" s="3" t="str">
        <f>A226</f>
        <v>panama-sweden-mortality-1975-elderly-A</v>
      </c>
      <c r="C226" s="2" t="s">
        <v>586</v>
      </c>
      <c r="D226" s="2" t="s">
        <v>1476</v>
      </c>
      <c r="E226" s="2" t="s">
        <v>792</v>
      </c>
      <c r="F226" s="5">
        <f>SUMIFS(CaseCells!F2:F999,CaseCells!C2:C999, C226,CaseCells!D2:D999, D226,CaseCells!E2:E999, E226)</f>
        <v>516</v>
      </c>
      <c r="G226" s="5">
        <f>SUMIFS(CaseCells!G2:G999,CaseCells!C2:C999, C226,CaseCells!D2:D999, D226,CaseCells!E2:E999, E226)</f>
        <v>600</v>
      </c>
      <c r="H226" s="3">
        <f>IF(G226 = 0, "", F226 / G226)</f>
        <v>0.86</v>
      </c>
      <c r="I226" s="5">
        <f>SUMIFS(CaseCells!F2:F999,CaseCells!C2:C999, C226,CaseCells!D2:D999, D226,CaseCells!E2:E999, "A")</f>
        <v>516</v>
      </c>
      <c r="J226" s="5">
        <f>SUMIFS(CaseCells!G2:G999,CaseCells!C2:C999, C226,CaseCells!D2:D999, D226,CaseCells!E2:E999, "A")</f>
        <v>600</v>
      </c>
      <c r="K226" s="3">
        <f>IF(J226 = 0, "", I226 / J226)</f>
        <v>0.86</v>
      </c>
      <c r="L226" s="5">
        <f>SUMIFS(CaseCells!F2:F999,CaseCells!C2:C999, C226,CaseCells!D2:D999, D226,CaseCells!E2:E999, "B")</f>
        <v>123</v>
      </c>
      <c r="M226" s="5">
        <f>SUMIFS(CaseCells!G2:G999,CaseCells!C2:C999, C226,CaseCells!D2:D999, D226,CaseCells!E2:E999, "B")</f>
        <v>150</v>
      </c>
      <c r="N226" s="3">
        <f>IF(M226 = 0, "", L226 / M226)</f>
        <v>0.82</v>
      </c>
      <c r="O226" s="3" t="str">
        <f>IF(K226 &gt; N226, "A", "B")</f>
        <v>A</v>
      </c>
      <c r="P226" s="5">
        <f>SUMIFS(CaseCells!G2:G999,CaseCells!C2:C999, C226)</f>
        <v>2000</v>
      </c>
      <c r="Q226" s="5">
        <f>SUMIFS(CaseCells!G2:G999,CaseCells!C2:C999, C226,CaseCells!D2:D999, D226)</f>
        <v>750</v>
      </c>
      <c r="R226" s="3">
        <f>IF(P226 = 0, "", Q226 / P226)</f>
        <v>0.375</v>
      </c>
      <c r="S226" s="3">
        <f>IF(R226 = "", "", R226 * H226)</f>
        <v>0.3225</v>
      </c>
      <c r="T226" s="5">
        <f>SUMIFS(CaseCells!G2:G999,CaseCells!C2:C999, C226,CaseCells!D2:D999, D226,CaseCells!E2:E999, "A")</f>
        <v>600</v>
      </c>
      <c r="U226" s="5">
        <f>SUMIFS(CaseCells!G2:G999,CaseCells!C2:C999, C226,CaseCells!D2:D999, D226,CaseCells!E2:E999, "B")</f>
        <v>150</v>
      </c>
      <c r="V226" s="5">
        <f>SUMIFS(CaseCells!G2:G999,CaseCells!C2:C999, C226,CaseCells!E2:E999, "A")</f>
        <v>1000</v>
      </c>
      <c r="W226" s="5">
        <f>SUMIFS(CaseCells!G2:G999,CaseCells!C2:C999, C226,CaseCells!E2:E999, "B")</f>
        <v>1000</v>
      </c>
      <c r="X226" s="3">
        <f>IF(V226 = 0, "", T226 / V226)</f>
        <v>0.6</v>
      </c>
      <c r="Y226" s="3">
        <f>IF(W226 = 0, "", U226 / W226)</f>
        <v>0.15</v>
      </c>
      <c r="Z226" s="3">
        <f>IF(X226 = "", "", X226 - Y226)</f>
        <v>0.44999999999999996</v>
      </c>
      <c r="AA226" s="3">
        <f>IF(K226 = "", "", K226 - N226)</f>
        <v>0.040000000000000036</v>
      </c>
      <c r="AB226" s="3">
        <f>IF(AA226 = "", "", AA226 * R226)</f>
        <v>0.015000000000000013</v>
      </c>
    </row>
    <row r="227">
      <c r="A227" s="2" t="s">
        <v>2004</v>
      </c>
      <c r="B227" s="3" t="str">
        <f>A227</f>
        <v>panama-sweden-mortality-1975-elderly-B</v>
      </c>
      <c r="C227" s="2" t="s">
        <v>586</v>
      </c>
      <c r="D227" s="2" t="s">
        <v>1476</v>
      </c>
      <c r="E227" s="2" t="s">
        <v>795</v>
      </c>
      <c r="F227" s="5">
        <f>SUMIFS(CaseCells!F2:F999,CaseCells!C2:C999, C227,CaseCells!D2:D999, D227,CaseCells!E2:E999, E227)</f>
        <v>123</v>
      </c>
      <c r="G227" s="5">
        <f>SUMIFS(CaseCells!G2:G999,CaseCells!C2:C999, C227,CaseCells!D2:D999, D227,CaseCells!E2:E999, E227)</f>
        <v>150</v>
      </c>
      <c r="H227" s="3">
        <f>IF(G227 = 0, "", F227 / G227)</f>
        <v>0.82</v>
      </c>
      <c r="I227" s="5">
        <f>SUMIFS(CaseCells!F2:F999,CaseCells!C2:C999, C227,CaseCells!D2:D999, D227,CaseCells!E2:E999, "A")</f>
        <v>516</v>
      </c>
      <c r="J227" s="5">
        <f>SUMIFS(CaseCells!G2:G999,CaseCells!C2:C999, C227,CaseCells!D2:D999, D227,CaseCells!E2:E999, "A")</f>
        <v>600</v>
      </c>
      <c r="K227" s="3">
        <f>IF(J227 = 0, "", I227 / J227)</f>
        <v>0.86</v>
      </c>
      <c r="L227" s="5">
        <f>SUMIFS(CaseCells!F2:F999,CaseCells!C2:C999, C227,CaseCells!D2:D999, D227,CaseCells!E2:E999, "B")</f>
        <v>123</v>
      </c>
      <c r="M227" s="5">
        <f>SUMIFS(CaseCells!G2:G999,CaseCells!C2:C999, C227,CaseCells!D2:D999, D227,CaseCells!E2:E999, "B")</f>
        <v>150</v>
      </c>
      <c r="N227" s="3">
        <f>IF(M227 = 0, "", L227 / M227)</f>
        <v>0.82</v>
      </c>
      <c r="O227" s="3" t="str">
        <f>IF(K227 &gt; N227, "A", "B")</f>
        <v>A</v>
      </c>
      <c r="P227" s="5">
        <f>SUMIFS(CaseCells!G2:G999,CaseCells!C2:C999, C227)</f>
        <v>2000</v>
      </c>
      <c r="Q227" s="5">
        <f>SUMIFS(CaseCells!G2:G999,CaseCells!C2:C999, C227,CaseCells!D2:D999, D227)</f>
        <v>750</v>
      </c>
      <c r="R227" s="3">
        <f>IF(P227 = 0, "", Q227 / P227)</f>
        <v>0.375</v>
      </c>
      <c r="S227" s="3">
        <f>IF(R227 = "", "", R227 * H227)</f>
        <v>0.3075</v>
      </c>
      <c r="T227" s="5">
        <f>SUMIFS(CaseCells!G2:G999,CaseCells!C2:C999, C227,CaseCells!D2:D999, D227,CaseCells!E2:E999, "A")</f>
        <v>600</v>
      </c>
      <c r="U227" s="5">
        <f>SUMIFS(CaseCells!G2:G999,CaseCells!C2:C999, C227,CaseCells!D2:D999, D227,CaseCells!E2:E999, "B")</f>
        <v>150</v>
      </c>
      <c r="V227" s="5">
        <f>SUMIFS(CaseCells!G2:G999,CaseCells!C2:C999, C227,CaseCells!E2:E999, "A")</f>
        <v>1000</v>
      </c>
      <c r="W227" s="5">
        <f>SUMIFS(CaseCells!G2:G999,CaseCells!C2:C999, C227,CaseCells!E2:E999, "B")</f>
        <v>1000</v>
      </c>
      <c r="X227" s="3">
        <f>IF(V227 = 0, "", T227 / V227)</f>
        <v>0.6</v>
      </c>
      <c r="Y227" s="3">
        <f>IF(W227 = 0, "", U227 / W227)</f>
        <v>0.15</v>
      </c>
      <c r="Z227" s="3">
        <f>IF(X227 = "", "", X227 - Y227)</f>
        <v>0.44999999999999996</v>
      </c>
      <c r="AA227" s="3">
        <f>IF(K227 = "", "", K227 - N227)</f>
        <v>0.040000000000000036</v>
      </c>
      <c r="AB227" s="3">
        <f>IF(AA227 = "", "", AA227 * R227)</f>
        <v>0.015000000000000013</v>
      </c>
    </row>
    <row r="228">
      <c r="A228" s="2" t="s">
        <v>2005</v>
      </c>
      <c r="B228" s="3" t="str">
        <f>A228</f>
        <v>hrt-whi-2002-observational-A</v>
      </c>
      <c r="C228" s="2" t="s">
        <v>589</v>
      </c>
      <c r="D228" s="2" t="s">
        <v>1479</v>
      </c>
      <c r="E228" s="2" t="s">
        <v>792</v>
      </c>
      <c r="F228" s="5">
        <f>SUMIFS(CaseCells!F2:F999,CaseCells!C2:C999, C228,CaseCells!D2:D999, D228,CaseCells!E2:E999, E228)</f>
        <v>950</v>
      </c>
      <c r="G228" s="5">
        <f>SUMIFS(CaseCells!G2:G999,CaseCells!C2:C999, C228,CaseCells!D2:D999, D228,CaseCells!E2:E999, E228)</f>
        <v>10000</v>
      </c>
      <c r="H228" s="3">
        <f>IF(G228 = 0, "", F228 / G228)</f>
        <v>0.095</v>
      </c>
      <c r="I228" s="5">
        <f>SUMIFS(CaseCells!F2:F999,CaseCells!C2:C999, C228,CaseCells!D2:D999, D228,CaseCells!E2:E999, "A")</f>
        <v>950</v>
      </c>
      <c r="J228" s="5">
        <f>SUMIFS(CaseCells!G2:G999,CaseCells!C2:C999, C228,CaseCells!D2:D999, D228,CaseCells!E2:E999, "A")</f>
        <v>10000</v>
      </c>
      <c r="K228" s="3">
        <f>IF(J228 = 0, "", I228 / J228)</f>
        <v>0.095</v>
      </c>
      <c r="L228" s="5">
        <f>SUMIFS(CaseCells!F2:F999,CaseCells!C2:C999, C228,CaseCells!D2:D999, D228,CaseCells!E2:E999, "B")</f>
        <v>900</v>
      </c>
      <c r="M228" s="5">
        <f>SUMIFS(CaseCells!G2:G999,CaseCells!C2:C999, C228,CaseCells!D2:D999, D228,CaseCells!E2:E999, "B")</f>
        <v>10000</v>
      </c>
      <c r="N228" s="3">
        <f>IF(M228 = 0, "", L228 / M228)</f>
        <v>0.09</v>
      </c>
      <c r="O228" s="3" t="str">
        <f>IF(K228 &gt; N228, "A", "B")</f>
        <v>A</v>
      </c>
      <c r="P228" s="5">
        <f>SUMIFS(CaseCells!G2:G999,CaseCells!C2:C999, C228)</f>
        <v>210000</v>
      </c>
      <c r="Q228" s="5">
        <f>SUMIFS(CaseCells!G2:G999,CaseCells!C2:C999, C228,CaseCells!D2:D999, D228)</f>
        <v>20000</v>
      </c>
      <c r="R228" s="3">
        <f>IF(P228 = 0, "", Q228 / P228)</f>
        <v>0.09523809523809523</v>
      </c>
      <c r="S228" s="3">
        <f>IF(R228 = "", "", R228 * H228)</f>
        <v>0.009047619047619047</v>
      </c>
      <c r="T228" s="5">
        <f>SUMIFS(CaseCells!G2:G999,CaseCells!C2:C999, C228,CaseCells!D2:D999, D228,CaseCells!E2:E999, "A")</f>
        <v>10000</v>
      </c>
      <c r="U228" s="5">
        <f>SUMIFS(CaseCells!G2:G999,CaseCells!C2:C999, C228,CaseCells!D2:D999, D228,CaseCells!E2:E999, "B")</f>
        <v>10000</v>
      </c>
      <c r="V228" s="5">
        <f>SUMIFS(CaseCells!G2:G999,CaseCells!C2:C999, C228,CaseCells!E2:E999, "A")</f>
        <v>105000</v>
      </c>
      <c r="W228" s="5">
        <f>SUMIFS(CaseCells!G2:G999,CaseCells!C2:C999, C228,CaseCells!E2:E999, "B")</f>
        <v>105000</v>
      </c>
      <c r="X228" s="3">
        <f>IF(V228 = 0, "", T228 / V228)</f>
        <v>0.09523809523809523</v>
      </c>
      <c r="Y228" s="3">
        <f>IF(W228 = 0, "", U228 / W228)</f>
        <v>0.09523809523809523</v>
      </c>
      <c r="Z228" s="3">
        <f>IF(X228 = "", "", X228 - Y228)</f>
        <v>0</v>
      </c>
      <c r="AA228" s="3">
        <f>IF(K228 = "", "", K228 - N228)</f>
        <v>0.0050000000000000044</v>
      </c>
      <c r="AB228" s="3">
        <f>IF(AA228 = "", "", AA228 * R228)</f>
        <v>0.00047619047619047657</v>
      </c>
    </row>
    <row r="229">
      <c r="A229" s="2" t="s">
        <v>2006</v>
      </c>
      <c r="B229" s="3" t="str">
        <f>A229</f>
        <v>hrt-whi-2002-observational-B</v>
      </c>
      <c r="C229" s="2" t="s">
        <v>589</v>
      </c>
      <c r="D229" s="2" t="s">
        <v>1479</v>
      </c>
      <c r="E229" s="2" t="s">
        <v>795</v>
      </c>
      <c r="F229" s="5">
        <f>SUMIFS(CaseCells!F2:F999,CaseCells!C2:C999, C229,CaseCells!D2:D999, D229,CaseCells!E2:E999, E229)</f>
        <v>900</v>
      </c>
      <c r="G229" s="5">
        <f>SUMIFS(CaseCells!G2:G999,CaseCells!C2:C999, C229,CaseCells!D2:D999, D229,CaseCells!E2:E999, E229)</f>
        <v>10000</v>
      </c>
      <c r="H229" s="3">
        <f>IF(G229 = 0, "", F229 / G229)</f>
        <v>0.09</v>
      </c>
      <c r="I229" s="5">
        <f>SUMIFS(CaseCells!F2:F999,CaseCells!C2:C999, C229,CaseCells!D2:D999, D229,CaseCells!E2:E999, "A")</f>
        <v>950</v>
      </c>
      <c r="J229" s="5">
        <f>SUMIFS(CaseCells!G2:G999,CaseCells!C2:C999, C229,CaseCells!D2:D999, D229,CaseCells!E2:E999, "A")</f>
        <v>10000</v>
      </c>
      <c r="K229" s="3">
        <f>IF(J229 = 0, "", I229 / J229)</f>
        <v>0.095</v>
      </c>
      <c r="L229" s="5">
        <f>SUMIFS(CaseCells!F2:F999,CaseCells!C2:C999, C229,CaseCells!D2:D999, D229,CaseCells!E2:E999, "B")</f>
        <v>900</v>
      </c>
      <c r="M229" s="5">
        <f>SUMIFS(CaseCells!G2:G999,CaseCells!C2:C999, C229,CaseCells!D2:D999, D229,CaseCells!E2:E999, "B")</f>
        <v>10000</v>
      </c>
      <c r="N229" s="3">
        <f>IF(M229 = 0, "", L229 / M229)</f>
        <v>0.09</v>
      </c>
      <c r="O229" s="3" t="str">
        <f>IF(K229 &gt; N229, "A", "B")</f>
        <v>A</v>
      </c>
      <c r="P229" s="5">
        <f>SUMIFS(CaseCells!G2:G999,CaseCells!C2:C999, C229)</f>
        <v>210000</v>
      </c>
      <c r="Q229" s="5">
        <f>SUMIFS(CaseCells!G2:G999,CaseCells!C2:C999, C229,CaseCells!D2:D999, D229)</f>
        <v>20000</v>
      </c>
      <c r="R229" s="3">
        <f>IF(P229 = 0, "", Q229 / P229)</f>
        <v>0.09523809523809523</v>
      </c>
      <c r="S229" s="3">
        <f>IF(R229 = "", "", R229 * H229)</f>
        <v>0.00857142857142857</v>
      </c>
      <c r="T229" s="5">
        <f>SUMIFS(CaseCells!G2:G999,CaseCells!C2:C999, C229,CaseCells!D2:D999, D229,CaseCells!E2:E999, "A")</f>
        <v>10000</v>
      </c>
      <c r="U229" s="5">
        <f>SUMIFS(CaseCells!G2:G999,CaseCells!C2:C999, C229,CaseCells!D2:D999, D229,CaseCells!E2:E999, "B")</f>
        <v>10000</v>
      </c>
      <c r="V229" s="5">
        <f>SUMIFS(CaseCells!G2:G999,CaseCells!C2:C999, C229,CaseCells!E2:E999, "A")</f>
        <v>105000</v>
      </c>
      <c r="W229" s="5">
        <f>SUMIFS(CaseCells!G2:G999,CaseCells!C2:C999, C229,CaseCells!E2:E999, "B")</f>
        <v>105000</v>
      </c>
      <c r="X229" s="3">
        <f>IF(V229 = 0, "", T229 / V229)</f>
        <v>0.09523809523809523</v>
      </c>
      <c r="Y229" s="3">
        <f>IF(W229 = 0, "", U229 / W229)</f>
        <v>0.09523809523809523</v>
      </c>
      <c r="Z229" s="3">
        <f>IF(X229 = "", "", X229 - Y229)</f>
        <v>0</v>
      </c>
      <c r="AA229" s="3">
        <f>IF(K229 = "", "", K229 - N229)</f>
        <v>0.0050000000000000044</v>
      </c>
      <c r="AB229" s="3">
        <f>IF(AA229 = "", "", AA229 * R229)</f>
        <v>0.00047619047619047657</v>
      </c>
    </row>
    <row r="230">
      <c r="A230" s="2" t="s">
        <v>2007</v>
      </c>
      <c r="B230" s="3" t="str">
        <f>A230</f>
        <v>hrt-whi-2002-rct-whi-A</v>
      </c>
      <c r="C230" s="2" t="s">
        <v>589</v>
      </c>
      <c r="D230" s="2" t="s">
        <v>1482</v>
      </c>
      <c r="E230" s="2" t="s">
        <v>792</v>
      </c>
      <c r="F230" s="5">
        <f>SUMIFS(CaseCells!F2:F999,CaseCells!C2:C999, C230,CaseCells!D2:D999, D230,CaseCells!E2:E999, E230)</f>
        <v>8500</v>
      </c>
      <c r="G230" s="5">
        <f>SUMIFS(CaseCells!G2:G999,CaseCells!C2:C999, C230,CaseCells!D2:D999, D230,CaseCells!E2:E999, E230)</f>
        <v>95000</v>
      </c>
      <c r="H230" s="3">
        <f>IF(G230 = 0, "", F230 / G230)</f>
        <v>0.08947368421052632</v>
      </c>
      <c r="I230" s="5">
        <f>SUMIFS(CaseCells!F2:F999,CaseCells!C2:C999, C230,CaseCells!D2:D999, D230,CaseCells!E2:E999, "A")</f>
        <v>8500</v>
      </c>
      <c r="J230" s="5">
        <f>SUMIFS(CaseCells!G2:G999,CaseCells!C2:C999, C230,CaseCells!D2:D999, D230,CaseCells!E2:E999, "A")</f>
        <v>95000</v>
      </c>
      <c r="K230" s="3">
        <f>IF(J230 = 0, "", I230 / J230)</f>
        <v>0.08947368421052632</v>
      </c>
      <c r="L230" s="5">
        <f>SUMIFS(CaseCells!F2:F999,CaseCells!C2:C999, C230,CaseCells!D2:D999, D230,CaseCells!E2:E999, "B")</f>
        <v>9000</v>
      </c>
      <c r="M230" s="5">
        <f>SUMIFS(CaseCells!G2:G999,CaseCells!C2:C999, C230,CaseCells!D2:D999, D230,CaseCells!E2:E999, "B")</f>
        <v>95000</v>
      </c>
      <c r="N230" s="3">
        <f>IF(M230 = 0, "", L230 / M230)</f>
        <v>0.09473684210526316</v>
      </c>
      <c r="O230" s="3" t="str">
        <f>IF(K230 &gt; N230, "A", "B")</f>
        <v>B</v>
      </c>
      <c r="P230" s="5">
        <f>SUMIFS(CaseCells!G2:G999,CaseCells!C2:C999, C230)</f>
        <v>210000</v>
      </c>
      <c r="Q230" s="5">
        <f>SUMIFS(CaseCells!G2:G999,CaseCells!C2:C999, C230,CaseCells!D2:D999, D230)</f>
        <v>190000</v>
      </c>
      <c r="R230" s="3">
        <f>IF(P230 = 0, "", Q230 / P230)</f>
        <v>0.9047619047619048</v>
      </c>
      <c r="S230" s="3">
        <f>IF(R230 = "", "", R230 * H230)</f>
        <v>0.08095238095238096</v>
      </c>
      <c r="T230" s="5">
        <f>SUMIFS(CaseCells!G2:G999,CaseCells!C2:C999, C230,CaseCells!D2:D999, D230,CaseCells!E2:E999, "A")</f>
        <v>95000</v>
      </c>
      <c r="U230" s="5">
        <f>SUMIFS(CaseCells!G2:G999,CaseCells!C2:C999, C230,CaseCells!D2:D999, D230,CaseCells!E2:E999, "B")</f>
        <v>95000</v>
      </c>
      <c r="V230" s="5">
        <f>SUMIFS(CaseCells!G2:G999,CaseCells!C2:C999, C230,CaseCells!E2:E999, "A")</f>
        <v>105000</v>
      </c>
      <c r="W230" s="5">
        <f>SUMIFS(CaseCells!G2:G999,CaseCells!C2:C999, C230,CaseCells!E2:E999, "B")</f>
        <v>105000</v>
      </c>
      <c r="X230" s="3">
        <f>IF(V230 = 0, "", T230 / V230)</f>
        <v>0.9047619047619048</v>
      </c>
      <c r="Y230" s="3">
        <f>IF(W230 = 0, "", U230 / W230)</f>
        <v>0.9047619047619048</v>
      </c>
      <c r="Z230" s="3">
        <f>IF(X230 = "", "", X230 - Y230)</f>
        <v>0</v>
      </c>
      <c r="AA230" s="3">
        <f>IF(K230 = "", "", K230 - N230)</f>
        <v>-0.005263157894736845</v>
      </c>
      <c r="AB230" s="3">
        <f>IF(AA230 = "", "", AA230 * R230)</f>
        <v>-0.004761904761904764</v>
      </c>
    </row>
    <row r="231">
      <c r="A231" s="2" t="s">
        <v>2008</v>
      </c>
      <c r="B231" s="3" t="str">
        <f>A231</f>
        <v>hrt-whi-2002-rct-whi-B</v>
      </c>
      <c r="C231" s="2" t="s">
        <v>589</v>
      </c>
      <c r="D231" s="2" t="s">
        <v>1482</v>
      </c>
      <c r="E231" s="2" t="s">
        <v>795</v>
      </c>
      <c r="F231" s="5">
        <f>SUMIFS(CaseCells!F2:F999,CaseCells!C2:C999, C231,CaseCells!D2:D999, D231,CaseCells!E2:E999, E231)</f>
        <v>9000</v>
      </c>
      <c r="G231" s="5">
        <f>SUMIFS(CaseCells!G2:G999,CaseCells!C2:C999, C231,CaseCells!D2:D999, D231,CaseCells!E2:E999, E231)</f>
        <v>95000</v>
      </c>
      <c r="H231" s="3">
        <f>IF(G231 = 0, "", F231 / G231)</f>
        <v>0.09473684210526316</v>
      </c>
      <c r="I231" s="5">
        <f>SUMIFS(CaseCells!F2:F999,CaseCells!C2:C999, C231,CaseCells!D2:D999, D231,CaseCells!E2:E999, "A")</f>
        <v>8500</v>
      </c>
      <c r="J231" s="5">
        <f>SUMIFS(CaseCells!G2:G999,CaseCells!C2:C999, C231,CaseCells!D2:D999, D231,CaseCells!E2:E999, "A")</f>
        <v>95000</v>
      </c>
      <c r="K231" s="3">
        <f>IF(J231 = 0, "", I231 / J231)</f>
        <v>0.08947368421052632</v>
      </c>
      <c r="L231" s="5">
        <f>SUMIFS(CaseCells!F2:F999,CaseCells!C2:C999, C231,CaseCells!D2:D999, D231,CaseCells!E2:E999, "B")</f>
        <v>9000</v>
      </c>
      <c r="M231" s="5">
        <f>SUMIFS(CaseCells!G2:G999,CaseCells!C2:C999, C231,CaseCells!D2:D999, D231,CaseCells!E2:E999, "B")</f>
        <v>95000</v>
      </c>
      <c r="N231" s="3">
        <f>IF(M231 = 0, "", L231 / M231)</f>
        <v>0.09473684210526316</v>
      </c>
      <c r="O231" s="3" t="str">
        <f>IF(K231 &gt; N231, "A", "B")</f>
        <v>B</v>
      </c>
      <c r="P231" s="5">
        <f>SUMIFS(CaseCells!G2:G999,CaseCells!C2:C999, C231)</f>
        <v>210000</v>
      </c>
      <c r="Q231" s="5">
        <f>SUMIFS(CaseCells!G2:G999,CaseCells!C2:C999, C231,CaseCells!D2:D999, D231)</f>
        <v>190000</v>
      </c>
      <c r="R231" s="3">
        <f>IF(P231 = 0, "", Q231 / P231)</f>
        <v>0.9047619047619048</v>
      </c>
      <c r="S231" s="3">
        <f>IF(R231 = "", "", R231 * H231)</f>
        <v>0.08571428571428572</v>
      </c>
      <c r="T231" s="5">
        <f>SUMIFS(CaseCells!G2:G999,CaseCells!C2:C999, C231,CaseCells!D2:D999, D231,CaseCells!E2:E999, "A")</f>
        <v>95000</v>
      </c>
      <c r="U231" s="5">
        <f>SUMIFS(CaseCells!G2:G999,CaseCells!C2:C999, C231,CaseCells!D2:D999, D231,CaseCells!E2:E999, "B")</f>
        <v>95000</v>
      </c>
      <c r="V231" s="5">
        <f>SUMIFS(CaseCells!G2:G999,CaseCells!C2:C999, C231,CaseCells!E2:E999, "A")</f>
        <v>105000</v>
      </c>
      <c r="W231" s="5">
        <f>SUMIFS(CaseCells!G2:G999,CaseCells!C2:C999, C231,CaseCells!E2:E999, "B")</f>
        <v>105000</v>
      </c>
      <c r="X231" s="3">
        <f>IF(V231 = 0, "", T231 / V231)</f>
        <v>0.9047619047619048</v>
      </c>
      <c r="Y231" s="3">
        <f>IF(W231 = 0, "", U231 / W231)</f>
        <v>0.9047619047619048</v>
      </c>
      <c r="Z231" s="3">
        <f>IF(X231 = "", "", X231 - Y231)</f>
        <v>0</v>
      </c>
      <c r="AA231" s="3">
        <f>IF(K231 = "", "", K231 - N231)</f>
        <v>-0.005263157894736845</v>
      </c>
      <c r="AB231" s="3">
        <f>IF(AA231 = "", "", AA231 * R231)</f>
        <v>-0.004761904761904764</v>
      </c>
    </row>
    <row r="232">
      <c r="A232" s="2" t="s">
        <v>2009</v>
      </c>
      <c r="B232" s="3" t="str">
        <f>A232</f>
        <v>obesity-paradox-hf-no-hf-A</v>
      </c>
      <c r="C232" s="2" t="s">
        <v>593</v>
      </c>
      <c r="D232" s="2" t="s">
        <v>1485</v>
      </c>
      <c r="E232" s="2" t="s">
        <v>792</v>
      </c>
      <c r="F232" s="5">
        <f>SUMIFS(CaseCells!F2:F999,CaseCells!C2:C999, C232,CaseCells!D2:D999, D232,CaseCells!E2:E999, E232)</f>
        <v>800</v>
      </c>
      <c r="G232" s="5">
        <f>SUMIFS(CaseCells!G2:G999,CaseCells!C2:C999, C232,CaseCells!D2:D999, D232,CaseCells!E2:E999, E232)</f>
        <v>1000</v>
      </c>
      <c r="H232" s="3">
        <f>IF(G232 = 0, "", F232 / G232)</f>
        <v>0.8</v>
      </c>
      <c r="I232" s="5">
        <f>SUMIFS(CaseCells!F2:F999,CaseCells!C2:C999, C232,CaseCells!D2:D999, D232,CaseCells!E2:E999, "A")</f>
        <v>800</v>
      </c>
      <c r="J232" s="5">
        <f>SUMIFS(CaseCells!G2:G999,CaseCells!C2:C999, C232,CaseCells!D2:D999, D232,CaseCells!E2:E999, "A")</f>
        <v>1000</v>
      </c>
      <c r="K232" s="3">
        <f>IF(J232 = 0, "", I232 / J232)</f>
        <v>0.8</v>
      </c>
      <c r="L232" s="5">
        <f>SUMIFS(CaseCells!F2:F999,CaseCells!C2:C999, C232,CaseCells!D2:D999, D232,CaseCells!E2:E999, "B")</f>
        <v>900</v>
      </c>
      <c r="M232" s="5">
        <f>SUMIFS(CaseCells!G2:G999,CaseCells!C2:C999, C232,CaseCells!D2:D999, D232,CaseCells!E2:E999, "B")</f>
        <v>1000</v>
      </c>
      <c r="N232" s="3">
        <f>IF(M232 = 0, "", L232 / M232)</f>
        <v>0.9</v>
      </c>
      <c r="O232" s="3" t="str">
        <f>IF(K232 &gt; N232, "A", "B")</f>
        <v>B</v>
      </c>
      <c r="P232" s="5">
        <f>SUMIFS(CaseCells!G2:G999,CaseCells!C2:C999, C232)</f>
        <v>4000</v>
      </c>
      <c r="Q232" s="5">
        <f>SUMIFS(CaseCells!G2:G999,CaseCells!C2:C999, C232,CaseCells!D2:D999, D232)</f>
        <v>2000</v>
      </c>
      <c r="R232" s="3">
        <f>IF(P232 = 0, "", Q232 / P232)</f>
        <v>0.5</v>
      </c>
      <c r="S232" s="3">
        <f>IF(R232 = "", "", R232 * H232)</f>
        <v>0.4</v>
      </c>
      <c r="T232" s="5">
        <f>SUMIFS(CaseCells!G2:G999,CaseCells!C2:C999, C232,CaseCells!D2:D999, D232,CaseCells!E2:E999, "A")</f>
        <v>1000</v>
      </c>
      <c r="U232" s="5">
        <f>SUMIFS(CaseCells!G2:G999,CaseCells!C2:C999, C232,CaseCells!D2:D999, D232,CaseCells!E2:E999, "B")</f>
        <v>1000</v>
      </c>
      <c r="V232" s="5">
        <f>SUMIFS(CaseCells!G2:G999,CaseCells!C2:C999, C232,CaseCells!E2:E999, "A")</f>
        <v>2000</v>
      </c>
      <c r="W232" s="5">
        <f>SUMIFS(CaseCells!G2:G999,CaseCells!C2:C999, C232,CaseCells!E2:E999, "B")</f>
        <v>2000</v>
      </c>
      <c r="X232" s="3">
        <f>IF(V232 = 0, "", T232 / V232)</f>
        <v>0.5</v>
      </c>
      <c r="Y232" s="3">
        <f>IF(W232 = 0, "", U232 / W232)</f>
        <v>0.5</v>
      </c>
      <c r="Z232" s="3">
        <f>IF(X232 = "", "", X232 - Y232)</f>
        <v>0</v>
      </c>
      <c r="AA232" s="3">
        <f>IF(K232 = "", "", K232 - N232)</f>
        <v>-0.09999999999999998</v>
      </c>
      <c r="AB232" s="3">
        <f>IF(AA232 = "", "", AA232 * R232)</f>
        <v>-0.04999999999999999</v>
      </c>
    </row>
    <row r="233">
      <c r="A233" s="2" t="s">
        <v>2010</v>
      </c>
      <c r="B233" s="3" t="str">
        <f>A233</f>
        <v>obesity-paradox-hf-no-hf-B</v>
      </c>
      <c r="C233" s="2" t="s">
        <v>593</v>
      </c>
      <c r="D233" s="2" t="s">
        <v>1485</v>
      </c>
      <c r="E233" s="2" t="s">
        <v>795</v>
      </c>
      <c r="F233" s="5">
        <f>SUMIFS(CaseCells!F2:F999,CaseCells!C2:C999, C233,CaseCells!D2:D999, D233,CaseCells!E2:E999, E233)</f>
        <v>900</v>
      </c>
      <c r="G233" s="5">
        <f>SUMIFS(CaseCells!G2:G999,CaseCells!C2:C999, C233,CaseCells!D2:D999, D233,CaseCells!E2:E999, E233)</f>
        <v>1000</v>
      </c>
      <c r="H233" s="3">
        <f>IF(G233 = 0, "", F233 / G233)</f>
        <v>0.9</v>
      </c>
      <c r="I233" s="5">
        <f>SUMIFS(CaseCells!F2:F999,CaseCells!C2:C999, C233,CaseCells!D2:D999, D233,CaseCells!E2:E999, "A")</f>
        <v>800</v>
      </c>
      <c r="J233" s="5">
        <f>SUMIFS(CaseCells!G2:G999,CaseCells!C2:C999, C233,CaseCells!D2:D999, D233,CaseCells!E2:E999, "A")</f>
        <v>1000</v>
      </c>
      <c r="K233" s="3">
        <f>IF(J233 = 0, "", I233 / J233)</f>
        <v>0.8</v>
      </c>
      <c r="L233" s="5">
        <f>SUMIFS(CaseCells!F2:F999,CaseCells!C2:C999, C233,CaseCells!D2:D999, D233,CaseCells!E2:E999, "B")</f>
        <v>900</v>
      </c>
      <c r="M233" s="5">
        <f>SUMIFS(CaseCells!G2:G999,CaseCells!C2:C999, C233,CaseCells!D2:D999, D233,CaseCells!E2:E999, "B")</f>
        <v>1000</v>
      </c>
      <c r="N233" s="3">
        <f>IF(M233 = 0, "", L233 / M233)</f>
        <v>0.9</v>
      </c>
      <c r="O233" s="3" t="str">
        <f>IF(K233 &gt; N233, "A", "B")</f>
        <v>B</v>
      </c>
      <c r="P233" s="5">
        <f>SUMIFS(CaseCells!G2:G999,CaseCells!C2:C999, C233)</f>
        <v>4000</v>
      </c>
      <c r="Q233" s="5">
        <f>SUMIFS(CaseCells!G2:G999,CaseCells!C2:C999, C233,CaseCells!D2:D999, D233)</f>
        <v>2000</v>
      </c>
      <c r="R233" s="3">
        <f>IF(P233 = 0, "", Q233 / P233)</f>
        <v>0.5</v>
      </c>
      <c r="S233" s="3">
        <f>IF(R233 = "", "", R233 * H233)</f>
        <v>0.45</v>
      </c>
      <c r="T233" s="5">
        <f>SUMIFS(CaseCells!G2:G999,CaseCells!C2:C999, C233,CaseCells!D2:D999, D233,CaseCells!E2:E999, "A")</f>
        <v>1000</v>
      </c>
      <c r="U233" s="5">
        <f>SUMIFS(CaseCells!G2:G999,CaseCells!C2:C999, C233,CaseCells!D2:D999, D233,CaseCells!E2:E999, "B")</f>
        <v>1000</v>
      </c>
      <c r="V233" s="5">
        <f>SUMIFS(CaseCells!G2:G999,CaseCells!C2:C999, C233,CaseCells!E2:E999, "A")</f>
        <v>2000</v>
      </c>
      <c r="W233" s="5">
        <f>SUMIFS(CaseCells!G2:G999,CaseCells!C2:C999, C233,CaseCells!E2:E999, "B")</f>
        <v>2000</v>
      </c>
      <c r="X233" s="3">
        <f>IF(V233 = 0, "", T233 / V233)</f>
        <v>0.5</v>
      </c>
      <c r="Y233" s="3">
        <f>IF(W233 = 0, "", U233 / W233)</f>
        <v>0.5</v>
      </c>
      <c r="Z233" s="3">
        <f>IF(X233 = "", "", X233 - Y233)</f>
        <v>0</v>
      </c>
      <c r="AA233" s="3">
        <f>IF(K233 = "", "", K233 - N233)</f>
        <v>-0.09999999999999998</v>
      </c>
      <c r="AB233" s="3">
        <f>IF(AA233 = "", "", AA233 * R233)</f>
        <v>-0.04999999999999999</v>
      </c>
    </row>
    <row r="234">
      <c r="A234" s="2" t="s">
        <v>2011</v>
      </c>
      <c r="B234" s="3" t="str">
        <f>A234</f>
        <v>obesity-paradox-hf-hf-A</v>
      </c>
      <c r="C234" s="2" t="s">
        <v>593</v>
      </c>
      <c r="D234" s="2" t="s">
        <v>1488</v>
      </c>
      <c r="E234" s="2" t="s">
        <v>792</v>
      </c>
      <c r="F234" s="5">
        <f>SUMIFS(CaseCells!F2:F999,CaseCells!C2:C999, C234,CaseCells!D2:D999, D234,CaseCells!E2:E999, E234)</f>
        <v>650</v>
      </c>
      <c r="G234" s="5">
        <f>SUMIFS(CaseCells!G2:G999,CaseCells!C2:C999, C234,CaseCells!D2:D999, D234,CaseCells!E2:E999, E234)</f>
        <v>1000</v>
      </c>
      <c r="H234" s="3">
        <f>IF(G234 = 0, "", F234 / G234)</f>
        <v>0.65</v>
      </c>
      <c r="I234" s="5">
        <f>SUMIFS(CaseCells!F2:F999,CaseCells!C2:C999, C234,CaseCells!D2:D999, D234,CaseCells!E2:E999, "A")</f>
        <v>650</v>
      </c>
      <c r="J234" s="5">
        <f>SUMIFS(CaseCells!G2:G999,CaseCells!C2:C999, C234,CaseCells!D2:D999, D234,CaseCells!E2:E999, "A")</f>
        <v>1000</v>
      </c>
      <c r="K234" s="3">
        <f>IF(J234 = 0, "", I234 / J234)</f>
        <v>0.65</v>
      </c>
      <c r="L234" s="5">
        <f>SUMIFS(CaseCells!F2:F999,CaseCells!C2:C999, C234,CaseCells!D2:D999, D234,CaseCells!E2:E999, "B")</f>
        <v>500</v>
      </c>
      <c r="M234" s="5">
        <f>SUMIFS(CaseCells!G2:G999,CaseCells!C2:C999, C234,CaseCells!D2:D999, D234,CaseCells!E2:E999, "B")</f>
        <v>1000</v>
      </c>
      <c r="N234" s="3">
        <f>IF(M234 = 0, "", L234 / M234)</f>
        <v>0.5</v>
      </c>
      <c r="O234" s="3" t="str">
        <f>IF(K234 &gt; N234, "A", "B")</f>
        <v>A</v>
      </c>
      <c r="P234" s="5">
        <f>SUMIFS(CaseCells!G2:G999,CaseCells!C2:C999, C234)</f>
        <v>4000</v>
      </c>
      <c r="Q234" s="5">
        <f>SUMIFS(CaseCells!G2:G999,CaseCells!C2:C999, C234,CaseCells!D2:D999, D234)</f>
        <v>2000</v>
      </c>
      <c r="R234" s="3">
        <f>IF(P234 = 0, "", Q234 / P234)</f>
        <v>0.5</v>
      </c>
      <c r="S234" s="3">
        <f>IF(R234 = "", "", R234 * H234)</f>
        <v>0.325</v>
      </c>
      <c r="T234" s="5">
        <f>SUMIFS(CaseCells!G2:G999,CaseCells!C2:C999, C234,CaseCells!D2:D999, D234,CaseCells!E2:E999, "A")</f>
        <v>1000</v>
      </c>
      <c r="U234" s="5">
        <f>SUMIFS(CaseCells!G2:G999,CaseCells!C2:C999, C234,CaseCells!D2:D999, D234,CaseCells!E2:E999, "B")</f>
        <v>1000</v>
      </c>
      <c r="V234" s="5">
        <f>SUMIFS(CaseCells!G2:G999,CaseCells!C2:C999, C234,CaseCells!E2:E999, "A")</f>
        <v>2000</v>
      </c>
      <c r="W234" s="5">
        <f>SUMIFS(CaseCells!G2:G999,CaseCells!C2:C999, C234,CaseCells!E2:E999, "B")</f>
        <v>2000</v>
      </c>
      <c r="X234" s="3">
        <f>IF(V234 = 0, "", T234 / V234)</f>
        <v>0.5</v>
      </c>
      <c r="Y234" s="3">
        <f>IF(W234 = 0, "", U234 / W234)</f>
        <v>0.5</v>
      </c>
      <c r="Z234" s="3">
        <f>IF(X234 = "", "", X234 - Y234)</f>
        <v>0</v>
      </c>
      <c r="AA234" s="3">
        <f>IF(K234 = "", "", K234 - N234)</f>
        <v>0.15000000000000002</v>
      </c>
      <c r="AB234" s="3">
        <f>IF(AA234 = "", "", AA234 * R234)</f>
        <v>0.07500000000000001</v>
      </c>
    </row>
    <row r="235">
      <c r="A235" s="2" t="s">
        <v>2012</v>
      </c>
      <c r="B235" s="3" t="str">
        <f>A235</f>
        <v>obesity-paradox-hf-hf-B</v>
      </c>
      <c r="C235" s="2" t="s">
        <v>593</v>
      </c>
      <c r="D235" s="2" t="s">
        <v>1488</v>
      </c>
      <c r="E235" s="2" t="s">
        <v>795</v>
      </c>
      <c r="F235" s="5">
        <f>SUMIFS(CaseCells!F2:F999,CaseCells!C2:C999, C235,CaseCells!D2:D999, D235,CaseCells!E2:E999, E235)</f>
        <v>500</v>
      </c>
      <c r="G235" s="5">
        <f>SUMIFS(CaseCells!G2:G999,CaseCells!C2:C999, C235,CaseCells!D2:D999, D235,CaseCells!E2:E999, E235)</f>
        <v>1000</v>
      </c>
      <c r="H235" s="3">
        <f>IF(G235 = 0, "", F235 / G235)</f>
        <v>0.5</v>
      </c>
      <c r="I235" s="5">
        <f>SUMIFS(CaseCells!F2:F999,CaseCells!C2:C999, C235,CaseCells!D2:D999, D235,CaseCells!E2:E999, "A")</f>
        <v>650</v>
      </c>
      <c r="J235" s="5">
        <f>SUMIFS(CaseCells!G2:G999,CaseCells!C2:C999, C235,CaseCells!D2:D999, D235,CaseCells!E2:E999, "A")</f>
        <v>1000</v>
      </c>
      <c r="K235" s="3">
        <f>IF(J235 = 0, "", I235 / J235)</f>
        <v>0.65</v>
      </c>
      <c r="L235" s="5">
        <f>SUMIFS(CaseCells!F2:F999,CaseCells!C2:C999, C235,CaseCells!D2:D999, D235,CaseCells!E2:E999, "B")</f>
        <v>500</v>
      </c>
      <c r="M235" s="5">
        <f>SUMIFS(CaseCells!G2:G999,CaseCells!C2:C999, C235,CaseCells!D2:D999, D235,CaseCells!E2:E999, "B")</f>
        <v>1000</v>
      </c>
      <c r="N235" s="3">
        <f>IF(M235 = 0, "", L235 / M235)</f>
        <v>0.5</v>
      </c>
      <c r="O235" s="3" t="str">
        <f>IF(K235 &gt; N235, "A", "B")</f>
        <v>A</v>
      </c>
      <c r="P235" s="5">
        <f>SUMIFS(CaseCells!G2:G999,CaseCells!C2:C999, C235)</f>
        <v>4000</v>
      </c>
      <c r="Q235" s="5">
        <f>SUMIFS(CaseCells!G2:G999,CaseCells!C2:C999, C235,CaseCells!D2:D999, D235)</f>
        <v>2000</v>
      </c>
      <c r="R235" s="3">
        <f>IF(P235 = 0, "", Q235 / P235)</f>
        <v>0.5</v>
      </c>
      <c r="S235" s="3">
        <f>IF(R235 = "", "", R235 * H235)</f>
        <v>0.25</v>
      </c>
      <c r="T235" s="5">
        <f>SUMIFS(CaseCells!G2:G999,CaseCells!C2:C999, C235,CaseCells!D2:D999, D235,CaseCells!E2:E999, "A")</f>
        <v>1000</v>
      </c>
      <c r="U235" s="5">
        <f>SUMIFS(CaseCells!G2:G999,CaseCells!C2:C999, C235,CaseCells!D2:D999, D235,CaseCells!E2:E999, "B")</f>
        <v>1000</v>
      </c>
      <c r="V235" s="5">
        <f>SUMIFS(CaseCells!G2:G999,CaseCells!C2:C999, C235,CaseCells!E2:E999, "A")</f>
        <v>2000</v>
      </c>
      <c r="W235" s="5">
        <f>SUMIFS(CaseCells!G2:G999,CaseCells!C2:C999, C235,CaseCells!E2:E999, "B")</f>
        <v>2000</v>
      </c>
      <c r="X235" s="3">
        <f>IF(V235 = 0, "", T235 / V235)</f>
        <v>0.5</v>
      </c>
      <c r="Y235" s="3">
        <f>IF(W235 = 0, "", U235 / W235)</f>
        <v>0.5</v>
      </c>
      <c r="Z235" s="3">
        <f>IF(X235 = "", "", X235 - Y235)</f>
        <v>0</v>
      </c>
      <c r="AA235" s="3">
        <f>IF(K235 = "", "", K235 - N235)</f>
        <v>0.15000000000000002</v>
      </c>
      <c r="AB235" s="3">
        <f>IF(AA235 = "", "", AA235 * R235)</f>
        <v>0.07500000000000001</v>
      </c>
    </row>
    <row r="236">
      <c r="A236" s="2" t="s">
        <v>2013</v>
      </c>
      <c r="B236" s="3" t="str">
        <f>A236</f>
        <v>dialysis-bmi-survival-general-population-A</v>
      </c>
      <c r="C236" s="2" t="s">
        <v>597</v>
      </c>
      <c r="D236" s="2" t="s">
        <v>1491</v>
      </c>
      <c r="E236" s="2" t="s">
        <v>792</v>
      </c>
      <c r="F236" s="5">
        <f>SUMIFS(CaseCells!F2:F999,CaseCells!C2:C999, C236,CaseCells!D2:D999, D236,CaseCells!E2:E999, E236)</f>
        <v>900</v>
      </c>
      <c r="G236" s="5">
        <f>SUMIFS(CaseCells!G2:G999,CaseCells!C2:C999, C236,CaseCells!D2:D999, D236,CaseCells!E2:E999, E236)</f>
        <v>1000</v>
      </c>
      <c r="H236" s="3">
        <f>IF(G236 = 0, "", F236 / G236)</f>
        <v>0.9</v>
      </c>
      <c r="I236" s="5">
        <f>SUMIFS(CaseCells!F2:F999,CaseCells!C2:C999, C236,CaseCells!D2:D999, D236,CaseCells!E2:E999, "A")</f>
        <v>900</v>
      </c>
      <c r="J236" s="5">
        <f>SUMIFS(CaseCells!G2:G999,CaseCells!C2:C999, C236,CaseCells!D2:D999, D236,CaseCells!E2:E999, "A")</f>
        <v>1000</v>
      </c>
      <c r="K236" s="3">
        <f>IF(J236 = 0, "", I236 / J236)</f>
        <v>0.9</v>
      </c>
      <c r="L236" s="5">
        <f>SUMIFS(CaseCells!F2:F999,CaseCells!C2:C999, C236,CaseCells!D2:D999, D236,CaseCells!E2:E999, "B")</f>
        <v>950</v>
      </c>
      <c r="M236" s="5">
        <f>SUMIFS(CaseCells!G2:G999,CaseCells!C2:C999, C236,CaseCells!D2:D999, D236,CaseCells!E2:E999, "B")</f>
        <v>1000</v>
      </c>
      <c r="N236" s="3">
        <f>IF(M236 = 0, "", L236 / M236)</f>
        <v>0.95</v>
      </c>
      <c r="O236" s="3" t="str">
        <f>IF(K236 &gt; N236, "A", "B")</f>
        <v>B</v>
      </c>
      <c r="P236" s="5">
        <f>SUMIFS(CaseCells!G2:G999,CaseCells!C2:C999, C236)</f>
        <v>4000</v>
      </c>
      <c r="Q236" s="5">
        <f>SUMIFS(CaseCells!G2:G999,CaseCells!C2:C999, C236,CaseCells!D2:D999, D236)</f>
        <v>2000</v>
      </c>
      <c r="R236" s="3">
        <f>IF(P236 = 0, "", Q236 / P236)</f>
        <v>0.5</v>
      </c>
      <c r="S236" s="3">
        <f>IF(R236 = "", "", R236 * H236)</f>
        <v>0.45</v>
      </c>
      <c r="T236" s="5">
        <f>SUMIFS(CaseCells!G2:G999,CaseCells!C2:C999, C236,CaseCells!D2:D999, D236,CaseCells!E2:E999, "A")</f>
        <v>1000</v>
      </c>
      <c r="U236" s="5">
        <f>SUMIFS(CaseCells!G2:G999,CaseCells!C2:C999, C236,CaseCells!D2:D999, D236,CaseCells!E2:E999, "B")</f>
        <v>1000</v>
      </c>
      <c r="V236" s="5">
        <f>SUMIFS(CaseCells!G2:G999,CaseCells!C2:C999, C236,CaseCells!E2:E999, "A")</f>
        <v>2000</v>
      </c>
      <c r="W236" s="5">
        <f>SUMIFS(CaseCells!G2:G999,CaseCells!C2:C999, C236,CaseCells!E2:E999, "B")</f>
        <v>2000</v>
      </c>
      <c r="X236" s="3">
        <f>IF(V236 = 0, "", T236 / V236)</f>
        <v>0.5</v>
      </c>
      <c r="Y236" s="3">
        <f>IF(W236 = 0, "", U236 / W236)</f>
        <v>0.5</v>
      </c>
      <c r="Z236" s="3">
        <f>IF(X236 = "", "", X236 - Y236)</f>
        <v>0</v>
      </c>
      <c r="AA236" s="3">
        <f>IF(K236 = "", "", K236 - N236)</f>
        <v>-0.04999999999999993</v>
      </c>
      <c r="AB236" s="3">
        <f>IF(AA236 = "", "", AA236 * R236)</f>
        <v>-0.024999999999999967</v>
      </c>
    </row>
    <row r="237">
      <c r="A237" s="2" t="s">
        <v>2014</v>
      </c>
      <c r="B237" s="3" t="str">
        <f>A237</f>
        <v>dialysis-bmi-survival-general-population-B</v>
      </c>
      <c r="C237" s="2" t="s">
        <v>597</v>
      </c>
      <c r="D237" s="2" t="s">
        <v>1491</v>
      </c>
      <c r="E237" s="2" t="s">
        <v>795</v>
      </c>
      <c r="F237" s="5">
        <f>SUMIFS(CaseCells!F2:F999,CaseCells!C2:C999, C237,CaseCells!D2:D999, D237,CaseCells!E2:E999, E237)</f>
        <v>950</v>
      </c>
      <c r="G237" s="5">
        <f>SUMIFS(CaseCells!G2:G999,CaseCells!C2:C999, C237,CaseCells!D2:D999, D237,CaseCells!E2:E999, E237)</f>
        <v>1000</v>
      </c>
      <c r="H237" s="3">
        <f>IF(G237 = 0, "", F237 / G237)</f>
        <v>0.95</v>
      </c>
      <c r="I237" s="5">
        <f>SUMIFS(CaseCells!F2:F999,CaseCells!C2:C999, C237,CaseCells!D2:D999, D237,CaseCells!E2:E999, "A")</f>
        <v>900</v>
      </c>
      <c r="J237" s="5">
        <f>SUMIFS(CaseCells!G2:G999,CaseCells!C2:C999, C237,CaseCells!D2:D999, D237,CaseCells!E2:E999, "A")</f>
        <v>1000</v>
      </c>
      <c r="K237" s="3">
        <f>IF(J237 = 0, "", I237 / J237)</f>
        <v>0.9</v>
      </c>
      <c r="L237" s="5">
        <f>SUMIFS(CaseCells!F2:F999,CaseCells!C2:C999, C237,CaseCells!D2:D999, D237,CaseCells!E2:E999, "B")</f>
        <v>950</v>
      </c>
      <c r="M237" s="5">
        <f>SUMIFS(CaseCells!G2:G999,CaseCells!C2:C999, C237,CaseCells!D2:D999, D237,CaseCells!E2:E999, "B")</f>
        <v>1000</v>
      </c>
      <c r="N237" s="3">
        <f>IF(M237 = 0, "", L237 / M237)</f>
        <v>0.95</v>
      </c>
      <c r="O237" s="3" t="str">
        <f>IF(K237 &gt; N237, "A", "B")</f>
        <v>B</v>
      </c>
      <c r="P237" s="5">
        <f>SUMIFS(CaseCells!G2:G999,CaseCells!C2:C999, C237)</f>
        <v>4000</v>
      </c>
      <c r="Q237" s="5">
        <f>SUMIFS(CaseCells!G2:G999,CaseCells!C2:C999, C237,CaseCells!D2:D999, D237)</f>
        <v>2000</v>
      </c>
      <c r="R237" s="3">
        <f>IF(P237 = 0, "", Q237 / P237)</f>
        <v>0.5</v>
      </c>
      <c r="S237" s="3">
        <f>IF(R237 = "", "", R237 * H237)</f>
        <v>0.475</v>
      </c>
      <c r="T237" s="5">
        <f>SUMIFS(CaseCells!G2:G999,CaseCells!C2:C999, C237,CaseCells!D2:D999, D237,CaseCells!E2:E999, "A")</f>
        <v>1000</v>
      </c>
      <c r="U237" s="5">
        <f>SUMIFS(CaseCells!G2:G999,CaseCells!C2:C999, C237,CaseCells!D2:D999, D237,CaseCells!E2:E999, "B")</f>
        <v>1000</v>
      </c>
      <c r="V237" s="5">
        <f>SUMIFS(CaseCells!G2:G999,CaseCells!C2:C999, C237,CaseCells!E2:E999, "A")</f>
        <v>2000</v>
      </c>
      <c r="W237" s="5">
        <f>SUMIFS(CaseCells!G2:G999,CaseCells!C2:C999, C237,CaseCells!E2:E999, "B")</f>
        <v>2000</v>
      </c>
      <c r="X237" s="3">
        <f>IF(V237 = 0, "", T237 / V237)</f>
        <v>0.5</v>
      </c>
      <c r="Y237" s="3">
        <f>IF(W237 = 0, "", U237 / W237)</f>
        <v>0.5</v>
      </c>
      <c r="Z237" s="3">
        <f>IF(X237 = "", "", X237 - Y237)</f>
        <v>0</v>
      </c>
      <c r="AA237" s="3">
        <f>IF(K237 = "", "", K237 - N237)</f>
        <v>-0.04999999999999993</v>
      </c>
      <c r="AB237" s="3">
        <f>IF(AA237 = "", "", AA237 * R237)</f>
        <v>-0.024999999999999967</v>
      </c>
    </row>
    <row r="238">
      <c r="A238" s="2" t="s">
        <v>2015</v>
      </c>
      <c r="B238" s="3" t="str">
        <f>A238</f>
        <v>dialysis-bmi-survival-esrd-dialysis-A</v>
      </c>
      <c r="C238" s="2" t="s">
        <v>597</v>
      </c>
      <c r="D238" s="2" t="s">
        <v>1494</v>
      </c>
      <c r="E238" s="2" t="s">
        <v>792</v>
      </c>
      <c r="F238" s="5">
        <f>SUMIFS(CaseCells!F2:F999,CaseCells!C2:C999, C238,CaseCells!D2:D999, D238,CaseCells!E2:E999, E238)</f>
        <v>700</v>
      </c>
      <c r="G238" s="5">
        <f>SUMIFS(CaseCells!G2:G999,CaseCells!C2:C999, C238,CaseCells!D2:D999, D238,CaseCells!E2:E999, E238)</f>
        <v>1000</v>
      </c>
      <c r="H238" s="3">
        <f>IF(G238 = 0, "", F238 / G238)</f>
        <v>0.7</v>
      </c>
      <c r="I238" s="5">
        <f>SUMIFS(CaseCells!F2:F999,CaseCells!C2:C999, C238,CaseCells!D2:D999, D238,CaseCells!E2:E999, "A")</f>
        <v>700</v>
      </c>
      <c r="J238" s="5">
        <f>SUMIFS(CaseCells!G2:G999,CaseCells!C2:C999, C238,CaseCells!D2:D999, D238,CaseCells!E2:E999, "A")</f>
        <v>1000</v>
      </c>
      <c r="K238" s="3">
        <f>IF(J238 = 0, "", I238 / J238)</f>
        <v>0.7</v>
      </c>
      <c r="L238" s="5">
        <f>SUMIFS(CaseCells!F2:F999,CaseCells!C2:C999, C238,CaseCells!D2:D999, D238,CaseCells!E2:E999, "B")</f>
        <v>600</v>
      </c>
      <c r="M238" s="5">
        <f>SUMIFS(CaseCells!G2:G999,CaseCells!C2:C999, C238,CaseCells!D2:D999, D238,CaseCells!E2:E999, "B")</f>
        <v>1000</v>
      </c>
      <c r="N238" s="3">
        <f>IF(M238 = 0, "", L238 / M238)</f>
        <v>0.6</v>
      </c>
      <c r="O238" s="3" t="str">
        <f>IF(K238 &gt; N238, "A", "B")</f>
        <v>A</v>
      </c>
      <c r="P238" s="5">
        <f>SUMIFS(CaseCells!G2:G999,CaseCells!C2:C999, C238)</f>
        <v>4000</v>
      </c>
      <c r="Q238" s="5">
        <f>SUMIFS(CaseCells!G2:G999,CaseCells!C2:C999, C238,CaseCells!D2:D999, D238)</f>
        <v>2000</v>
      </c>
      <c r="R238" s="3">
        <f>IF(P238 = 0, "", Q238 / P238)</f>
        <v>0.5</v>
      </c>
      <c r="S238" s="3">
        <f>IF(R238 = "", "", R238 * H238)</f>
        <v>0.35</v>
      </c>
      <c r="T238" s="5">
        <f>SUMIFS(CaseCells!G2:G999,CaseCells!C2:C999, C238,CaseCells!D2:D999, D238,CaseCells!E2:E999, "A")</f>
        <v>1000</v>
      </c>
      <c r="U238" s="5">
        <f>SUMIFS(CaseCells!G2:G999,CaseCells!C2:C999, C238,CaseCells!D2:D999, D238,CaseCells!E2:E999, "B")</f>
        <v>1000</v>
      </c>
      <c r="V238" s="5">
        <f>SUMIFS(CaseCells!G2:G999,CaseCells!C2:C999, C238,CaseCells!E2:E999, "A")</f>
        <v>2000</v>
      </c>
      <c r="W238" s="5">
        <f>SUMIFS(CaseCells!G2:G999,CaseCells!C2:C999, C238,CaseCells!E2:E999, "B")</f>
        <v>2000</v>
      </c>
      <c r="X238" s="3">
        <f>IF(V238 = 0, "", T238 / V238)</f>
        <v>0.5</v>
      </c>
      <c r="Y238" s="3">
        <f>IF(W238 = 0, "", U238 / W238)</f>
        <v>0.5</v>
      </c>
      <c r="Z238" s="3">
        <f>IF(X238 = "", "", X238 - Y238)</f>
        <v>0</v>
      </c>
      <c r="AA238" s="3">
        <f>IF(K238 = "", "", K238 - N238)</f>
        <v>0.09999999999999998</v>
      </c>
      <c r="AB238" s="3">
        <f>IF(AA238 = "", "", AA238 * R238)</f>
        <v>0.04999999999999999</v>
      </c>
    </row>
    <row r="239">
      <c r="A239" s="2" t="s">
        <v>2016</v>
      </c>
      <c r="B239" s="3" t="str">
        <f>A239</f>
        <v>dialysis-bmi-survival-esrd-dialysis-B</v>
      </c>
      <c r="C239" s="2" t="s">
        <v>597</v>
      </c>
      <c r="D239" s="2" t="s">
        <v>1494</v>
      </c>
      <c r="E239" s="2" t="s">
        <v>795</v>
      </c>
      <c r="F239" s="5">
        <f>SUMIFS(CaseCells!F2:F999,CaseCells!C2:C999, C239,CaseCells!D2:D999, D239,CaseCells!E2:E999, E239)</f>
        <v>600</v>
      </c>
      <c r="G239" s="5">
        <f>SUMIFS(CaseCells!G2:G999,CaseCells!C2:C999, C239,CaseCells!D2:D999, D239,CaseCells!E2:E999, E239)</f>
        <v>1000</v>
      </c>
      <c r="H239" s="3">
        <f>IF(G239 = 0, "", F239 / G239)</f>
        <v>0.6</v>
      </c>
      <c r="I239" s="5">
        <f>SUMIFS(CaseCells!F2:F999,CaseCells!C2:C999, C239,CaseCells!D2:D999, D239,CaseCells!E2:E999, "A")</f>
        <v>700</v>
      </c>
      <c r="J239" s="5">
        <f>SUMIFS(CaseCells!G2:G999,CaseCells!C2:C999, C239,CaseCells!D2:D999, D239,CaseCells!E2:E999, "A")</f>
        <v>1000</v>
      </c>
      <c r="K239" s="3">
        <f>IF(J239 = 0, "", I239 / J239)</f>
        <v>0.7</v>
      </c>
      <c r="L239" s="5">
        <f>SUMIFS(CaseCells!F2:F999,CaseCells!C2:C999, C239,CaseCells!D2:D999, D239,CaseCells!E2:E999, "B")</f>
        <v>600</v>
      </c>
      <c r="M239" s="5">
        <f>SUMIFS(CaseCells!G2:G999,CaseCells!C2:C999, C239,CaseCells!D2:D999, D239,CaseCells!E2:E999, "B")</f>
        <v>1000</v>
      </c>
      <c r="N239" s="3">
        <f>IF(M239 = 0, "", L239 / M239)</f>
        <v>0.6</v>
      </c>
      <c r="O239" s="3" t="str">
        <f>IF(K239 &gt; N239, "A", "B")</f>
        <v>A</v>
      </c>
      <c r="P239" s="5">
        <f>SUMIFS(CaseCells!G2:G999,CaseCells!C2:C999, C239)</f>
        <v>4000</v>
      </c>
      <c r="Q239" s="5">
        <f>SUMIFS(CaseCells!G2:G999,CaseCells!C2:C999, C239,CaseCells!D2:D999, D239)</f>
        <v>2000</v>
      </c>
      <c r="R239" s="3">
        <f>IF(P239 = 0, "", Q239 / P239)</f>
        <v>0.5</v>
      </c>
      <c r="S239" s="3">
        <f>IF(R239 = "", "", R239 * H239)</f>
        <v>0.3</v>
      </c>
      <c r="T239" s="5">
        <f>SUMIFS(CaseCells!G2:G999,CaseCells!C2:C999, C239,CaseCells!D2:D999, D239,CaseCells!E2:E999, "A")</f>
        <v>1000</v>
      </c>
      <c r="U239" s="5">
        <f>SUMIFS(CaseCells!G2:G999,CaseCells!C2:C999, C239,CaseCells!D2:D999, D239,CaseCells!E2:E999, "B")</f>
        <v>1000</v>
      </c>
      <c r="V239" s="5">
        <f>SUMIFS(CaseCells!G2:G999,CaseCells!C2:C999, C239,CaseCells!E2:E999, "A")</f>
        <v>2000</v>
      </c>
      <c r="W239" s="5">
        <f>SUMIFS(CaseCells!G2:G999,CaseCells!C2:C999, C239,CaseCells!E2:E999, "B")</f>
        <v>2000</v>
      </c>
      <c r="X239" s="3">
        <f>IF(V239 = 0, "", T239 / V239)</f>
        <v>0.5</v>
      </c>
      <c r="Y239" s="3">
        <f>IF(W239 = 0, "", U239 / W239)</f>
        <v>0.5</v>
      </c>
      <c r="Z239" s="3">
        <f>IF(X239 = "", "", X239 - Y239)</f>
        <v>0</v>
      </c>
      <c r="AA239" s="3">
        <f>IF(K239 = "", "", K239 - N239)</f>
        <v>0.09999999999999998</v>
      </c>
      <c r="AB239" s="3">
        <f>IF(AA239 = "", "", AA239 * R239)</f>
        <v>0.04999999999999999</v>
      </c>
    </row>
    <row r="240">
      <c r="A240" s="2" t="s">
        <v>2017</v>
      </c>
      <c r="B240" s="3" t="str">
        <f>A240</f>
        <v>sick-quitter-alcohol-never-drinkers-only-A</v>
      </c>
      <c r="C240" s="2" t="s">
        <v>601</v>
      </c>
      <c r="D240" s="2" t="s">
        <v>1497</v>
      </c>
      <c r="E240" s="2" t="s">
        <v>792</v>
      </c>
      <c r="F240" s="5">
        <f>SUMIFS(CaseCells!F2:F999,CaseCells!C2:C999, C240,CaseCells!D2:D999, D240,CaseCells!E2:E999, E240)</f>
        <v>850</v>
      </c>
      <c r="G240" s="5">
        <f>SUMIFS(CaseCells!G2:G999,CaseCells!C2:C999, C240,CaseCells!D2:D999, D240,CaseCells!E2:E999, E240)</f>
        <v>1000</v>
      </c>
      <c r="H240" s="3">
        <f>IF(G240 = 0, "", F240 / G240)</f>
        <v>0.85</v>
      </c>
      <c r="I240" s="5">
        <f>SUMIFS(CaseCells!F2:F999,CaseCells!C2:C999, C240,CaseCells!D2:D999, D240,CaseCells!E2:E999, "A")</f>
        <v>850</v>
      </c>
      <c r="J240" s="5">
        <f>SUMIFS(CaseCells!G2:G999,CaseCells!C2:C999, C240,CaseCells!D2:D999, D240,CaseCells!E2:E999, "A")</f>
        <v>1000</v>
      </c>
      <c r="K240" s="3">
        <f>IF(J240 = 0, "", I240 / J240)</f>
        <v>0.85</v>
      </c>
      <c r="L240" s="5">
        <f>SUMIFS(CaseCells!F2:F999,CaseCells!C2:C999, C240,CaseCells!D2:D999, D240,CaseCells!E2:E999, "B")</f>
        <v>880</v>
      </c>
      <c r="M240" s="5">
        <f>SUMIFS(CaseCells!G2:G999,CaseCells!C2:C999, C240,CaseCells!D2:D999, D240,CaseCells!E2:E999, "B")</f>
        <v>1000</v>
      </c>
      <c r="N240" s="3">
        <f>IF(M240 = 0, "", L240 / M240)</f>
        <v>0.88</v>
      </c>
      <c r="O240" s="3" t="str">
        <f>IF(K240 &gt; N240, "A", "B")</f>
        <v>B</v>
      </c>
      <c r="P240" s="5">
        <f>SUMIFS(CaseCells!G2:G999,CaseCells!C2:C999, C240)</f>
        <v>4000</v>
      </c>
      <c r="Q240" s="5">
        <f>SUMIFS(CaseCells!G2:G999,CaseCells!C2:C999, C240,CaseCells!D2:D999, D240)</f>
        <v>2000</v>
      </c>
      <c r="R240" s="3">
        <f>IF(P240 = 0, "", Q240 / P240)</f>
        <v>0.5</v>
      </c>
      <c r="S240" s="3">
        <f>IF(R240 = "", "", R240 * H240)</f>
        <v>0.425</v>
      </c>
      <c r="T240" s="5">
        <f>SUMIFS(CaseCells!G2:G999,CaseCells!C2:C999, C240,CaseCells!D2:D999, D240,CaseCells!E2:E999, "A")</f>
        <v>1000</v>
      </c>
      <c r="U240" s="5">
        <f>SUMIFS(CaseCells!G2:G999,CaseCells!C2:C999, C240,CaseCells!D2:D999, D240,CaseCells!E2:E999, "B")</f>
        <v>1000</v>
      </c>
      <c r="V240" s="5">
        <f>SUMIFS(CaseCells!G2:G999,CaseCells!C2:C999, C240,CaseCells!E2:E999, "A")</f>
        <v>2000</v>
      </c>
      <c r="W240" s="5">
        <f>SUMIFS(CaseCells!G2:G999,CaseCells!C2:C999, C240,CaseCells!E2:E999, "B")</f>
        <v>2000</v>
      </c>
      <c r="X240" s="3">
        <f>IF(V240 = 0, "", T240 / V240)</f>
        <v>0.5</v>
      </c>
      <c r="Y240" s="3">
        <f>IF(W240 = 0, "", U240 / W240)</f>
        <v>0.5</v>
      </c>
      <c r="Z240" s="3">
        <f>IF(X240 = "", "", X240 - Y240)</f>
        <v>0</v>
      </c>
      <c r="AA240" s="3">
        <f>IF(K240 = "", "", K240 - N240)</f>
        <v>-0.030000000000000027</v>
      </c>
      <c r="AB240" s="3">
        <f>IF(AA240 = "", "", AA240 * R240)</f>
        <v>-0.015000000000000013</v>
      </c>
    </row>
    <row r="241">
      <c r="A241" s="2" t="s">
        <v>2018</v>
      </c>
      <c r="B241" s="3" t="str">
        <f>A241</f>
        <v>sick-quitter-alcohol-never-drinkers-only-B</v>
      </c>
      <c r="C241" s="2" t="s">
        <v>601</v>
      </c>
      <c r="D241" s="2" t="s">
        <v>1497</v>
      </c>
      <c r="E241" s="2" t="s">
        <v>795</v>
      </c>
      <c r="F241" s="5">
        <f>SUMIFS(CaseCells!F2:F999,CaseCells!C2:C999, C241,CaseCells!D2:D999, D241,CaseCells!E2:E999, E241)</f>
        <v>880</v>
      </c>
      <c r="G241" s="5">
        <f>SUMIFS(CaseCells!G2:G999,CaseCells!C2:C999, C241,CaseCells!D2:D999, D241,CaseCells!E2:E999, E241)</f>
        <v>1000</v>
      </c>
      <c r="H241" s="3">
        <f>IF(G241 = 0, "", F241 / G241)</f>
        <v>0.88</v>
      </c>
      <c r="I241" s="5">
        <f>SUMIFS(CaseCells!F2:F999,CaseCells!C2:C999, C241,CaseCells!D2:D999, D241,CaseCells!E2:E999, "A")</f>
        <v>850</v>
      </c>
      <c r="J241" s="5">
        <f>SUMIFS(CaseCells!G2:G999,CaseCells!C2:C999, C241,CaseCells!D2:D999, D241,CaseCells!E2:E999, "A")</f>
        <v>1000</v>
      </c>
      <c r="K241" s="3">
        <f>IF(J241 = 0, "", I241 / J241)</f>
        <v>0.85</v>
      </c>
      <c r="L241" s="5">
        <f>SUMIFS(CaseCells!F2:F999,CaseCells!C2:C999, C241,CaseCells!D2:D999, D241,CaseCells!E2:E999, "B")</f>
        <v>880</v>
      </c>
      <c r="M241" s="5">
        <f>SUMIFS(CaseCells!G2:G999,CaseCells!C2:C999, C241,CaseCells!D2:D999, D241,CaseCells!E2:E999, "B")</f>
        <v>1000</v>
      </c>
      <c r="N241" s="3">
        <f>IF(M241 = 0, "", L241 / M241)</f>
        <v>0.88</v>
      </c>
      <c r="O241" s="3" t="str">
        <f>IF(K241 &gt; N241, "A", "B")</f>
        <v>B</v>
      </c>
      <c r="P241" s="5">
        <f>SUMIFS(CaseCells!G2:G999,CaseCells!C2:C999, C241)</f>
        <v>4000</v>
      </c>
      <c r="Q241" s="5">
        <f>SUMIFS(CaseCells!G2:G999,CaseCells!C2:C999, C241,CaseCells!D2:D999, D241)</f>
        <v>2000</v>
      </c>
      <c r="R241" s="3">
        <f>IF(P241 = 0, "", Q241 / P241)</f>
        <v>0.5</v>
      </c>
      <c r="S241" s="3">
        <f>IF(R241 = "", "", R241 * H241)</f>
        <v>0.44</v>
      </c>
      <c r="T241" s="5">
        <f>SUMIFS(CaseCells!G2:G999,CaseCells!C2:C999, C241,CaseCells!D2:D999, D241,CaseCells!E2:E999, "A")</f>
        <v>1000</v>
      </c>
      <c r="U241" s="5">
        <f>SUMIFS(CaseCells!G2:G999,CaseCells!C2:C999, C241,CaseCells!D2:D999, D241,CaseCells!E2:E999, "B")</f>
        <v>1000</v>
      </c>
      <c r="V241" s="5">
        <f>SUMIFS(CaseCells!G2:G999,CaseCells!C2:C999, C241,CaseCells!E2:E999, "A")</f>
        <v>2000</v>
      </c>
      <c r="W241" s="5">
        <f>SUMIFS(CaseCells!G2:G999,CaseCells!C2:C999, C241,CaseCells!E2:E999, "B")</f>
        <v>2000</v>
      </c>
      <c r="X241" s="3">
        <f>IF(V241 = 0, "", T241 / V241)</f>
        <v>0.5</v>
      </c>
      <c r="Y241" s="3">
        <f>IF(W241 = 0, "", U241 / W241)</f>
        <v>0.5</v>
      </c>
      <c r="Z241" s="3">
        <f>IF(X241 = "", "", X241 - Y241)</f>
        <v>0</v>
      </c>
      <c r="AA241" s="3">
        <f>IF(K241 = "", "", K241 - N241)</f>
        <v>-0.030000000000000027</v>
      </c>
      <c r="AB241" s="3">
        <f>IF(AA241 = "", "", AA241 * R241)</f>
        <v>-0.015000000000000013</v>
      </c>
    </row>
    <row r="242">
      <c r="A242" s="2" t="s">
        <v>2019</v>
      </c>
      <c r="B242" s="3" t="str">
        <f>A242</f>
        <v>sick-quitter-alcohol-includes-former-drinkers-A</v>
      </c>
      <c r="C242" s="2" t="s">
        <v>601</v>
      </c>
      <c r="D242" s="2" t="s">
        <v>1500</v>
      </c>
      <c r="E242" s="2" t="s">
        <v>792</v>
      </c>
      <c r="F242" s="5">
        <f>SUMIFS(CaseCells!F2:F999,CaseCells!C2:C999, C242,CaseCells!D2:D999, D242,CaseCells!E2:E999, E242)</f>
        <v>820</v>
      </c>
      <c r="G242" s="5">
        <f>SUMIFS(CaseCells!G2:G999,CaseCells!C2:C999, C242,CaseCells!D2:D999, D242,CaseCells!E2:E999, E242)</f>
        <v>1000</v>
      </c>
      <c r="H242" s="3">
        <f>IF(G242 = 0, "", F242 / G242)</f>
        <v>0.82</v>
      </c>
      <c r="I242" s="5">
        <f>SUMIFS(CaseCells!F2:F999,CaseCells!C2:C999, C242,CaseCells!D2:D999, D242,CaseCells!E2:E999, "A")</f>
        <v>820</v>
      </c>
      <c r="J242" s="5">
        <f>SUMIFS(CaseCells!G2:G999,CaseCells!C2:C999, C242,CaseCells!D2:D999, D242,CaseCells!E2:E999, "A")</f>
        <v>1000</v>
      </c>
      <c r="K242" s="3">
        <f>IF(J242 = 0, "", I242 / J242)</f>
        <v>0.82</v>
      </c>
      <c r="L242" s="5">
        <f>SUMIFS(CaseCells!F2:F999,CaseCells!C2:C999, C242,CaseCells!D2:D999, D242,CaseCells!E2:E999, "B")</f>
        <v>750</v>
      </c>
      <c r="M242" s="5">
        <f>SUMIFS(CaseCells!G2:G999,CaseCells!C2:C999, C242,CaseCells!D2:D999, D242,CaseCells!E2:E999, "B")</f>
        <v>1000</v>
      </c>
      <c r="N242" s="3">
        <f>IF(M242 = 0, "", L242 / M242)</f>
        <v>0.75</v>
      </c>
      <c r="O242" s="3" t="str">
        <f>IF(K242 &gt; N242, "A", "B")</f>
        <v>A</v>
      </c>
      <c r="P242" s="5">
        <f>SUMIFS(CaseCells!G2:G999,CaseCells!C2:C999, C242)</f>
        <v>4000</v>
      </c>
      <c r="Q242" s="5">
        <f>SUMIFS(CaseCells!G2:G999,CaseCells!C2:C999, C242,CaseCells!D2:D999, D242)</f>
        <v>2000</v>
      </c>
      <c r="R242" s="3">
        <f>IF(P242 = 0, "", Q242 / P242)</f>
        <v>0.5</v>
      </c>
      <c r="S242" s="3">
        <f>IF(R242 = "", "", R242 * H242)</f>
        <v>0.41</v>
      </c>
      <c r="T242" s="5">
        <f>SUMIFS(CaseCells!G2:G999,CaseCells!C2:C999, C242,CaseCells!D2:D999, D242,CaseCells!E2:E999, "A")</f>
        <v>1000</v>
      </c>
      <c r="U242" s="5">
        <f>SUMIFS(CaseCells!G2:G999,CaseCells!C2:C999, C242,CaseCells!D2:D999, D242,CaseCells!E2:E999, "B")</f>
        <v>1000</v>
      </c>
      <c r="V242" s="5">
        <f>SUMIFS(CaseCells!G2:G999,CaseCells!C2:C999, C242,CaseCells!E2:E999, "A")</f>
        <v>2000</v>
      </c>
      <c r="W242" s="5">
        <f>SUMIFS(CaseCells!G2:G999,CaseCells!C2:C999, C242,CaseCells!E2:E999, "B")</f>
        <v>2000</v>
      </c>
      <c r="X242" s="3">
        <f>IF(V242 = 0, "", T242 / V242)</f>
        <v>0.5</v>
      </c>
      <c r="Y242" s="3">
        <f>IF(W242 = 0, "", U242 / W242)</f>
        <v>0.5</v>
      </c>
      <c r="Z242" s="3">
        <f>IF(X242 = "", "", X242 - Y242)</f>
        <v>0</v>
      </c>
      <c r="AA242" s="3">
        <f>IF(K242 = "", "", K242 - N242)</f>
        <v>0.06999999999999995</v>
      </c>
      <c r="AB242" s="3">
        <f>IF(AA242 = "", "", AA242 * R242)</f>
        <v>0.034999999999999976</v>
      </c>
    </row>
    <row r="243">
      <c r="A243" s="2" t="s">
        <v>2020</v>
      </c>
      <c r="B243" s="3" t="str">
        <f>A243</f>
        <v>sick-quitter-alcohol-includes-former-drinkers-B</v>
      </c>
      <c r="C243" s="2" t="s">
        <v>601</v>
      </c>
      <c r="D243" s="2" t="s">
        <v>1500</v>
      </c>
      <c r="E243" s="2" t="s">
        <v>795</v>
      </c>
      <c r="F243" s="5">
        <f>SUMIFS(CaseCells!F2:F999,CaseCells!C2:C999, C243,CaseCells!D2:D999, D243,CaseCells!E2:E999, E243)</f>
        <v>750</v>
      </c>
      <c r="G243" s="5">
        <f>SUMIFS(CaseCells!G2:G999,CaseCells!C2:C999, C243,CaseCells!D2:D999, D243,CaseCells!E2:E999, E243)</f>
        <v>1000</v>
      </c>
      <c r="H243" s="3">
        <f>IF(G243 = 0, "", F243 / G243)</f>
        <v>0.75</v>
      </c>
      <c r="I243" s="5">
        <f>SUMIFS(CaseCells!F2:F999,CaseCells!C2:C999, C243,CaseCells!D2:D999, D243,CaseCells!E2:E999, "A")</f>
        <v>820</v>
      </c>
      <c r="J243" s="5">
        <f>SUMIFS(CaseCells!G2:G999,CaseCells!C2:C999, C243,CaseCells!D2:D999, D243,CaseCells!E2:E999, "A")</f>
        <v>1000</v>
      </c>
      <c r="K243" s="3">
        <f>IF(J243 = 0, "", I243 / J243)</f>
        <v>0.82</v>
      </c>
      <c r="L243" s="5">
        <f>SUMIFS(CaseCells!F2:F999,CaseCells!C2:C999, C243,CaseCells!D2:D999, D243,CaseCells!E2:E999, "B")</f>
        <v>750</v>
      </c>
      <c r="M243" s="5">
        <f>SUMIFS(CaseCells!G2:G999,CaseCells!C2:C999, C243,CaseCells!D2:D999, D243,CaseCells!E2:E999, "B")</f>
        <v>1000</v>
      </c>
      <c r="N243" s="3">
        <f>IF(M243 = 0, "", L243 / M243)</f>
        <v>0.75</v>
      </c>
      <c r="O243" s="3" t="str">
        <f>IF(K243 &gt; N243, "A", "B")</f>
        <v>A</v>
      </c>
      <c r="P243" s="5">
        <f>SUMIFS(CaseCells!G2:G999,CaseCells!C2:C999, C243)</f>
        <v>4000</v>
      </c>
      <c r="Q243" s="5">
        <f>SUMIFS(CaseCells!G2:G999,CaseCells!C2:C999, C243,CaseCells!D2:D999, D243)</f>
        <v>2000</v>
      </c>
      <c r="R243" s="3">
        <f>IF(P243 = 0, "", Q243 / P243)</f>
        <v>0.5</v>
      </c>
      <c r="S243" s="3">
        <f>IF(R243 = "", "", R243 * H243)</f>
        <v>0.375</v>
      </c>
      <c r="T243" s="5">
        <f>SUMIFS(CaseCells!G2:G999,CaseCells!C2:C999, C243,CaseCells!D2:D999, D243,CaseCells!E2:E999, "A")</f>
        <v>1000</v>
      </c>
      <c r="U243" s="5">
        <f>SUMIFS(CaseCells!G2:G999,CaseCells!C2:C999, C243,CaseCells!D2:D999, D243,CaseCells!E2:E999, "B")</f>
        <v>1000</v>
      </c>
      <c r="V243" s="5">
        <f>SUMIFS(CaseCells!G2:G999,CaseCells!C2:C999, C243,CaseCells!E2:E999, "A")</f>
        <v>2000</v>
      </c>
      <c r="W243" s="5">
        <f>SUMIFS(CaseCells!G2:G999,CaseCells!C2:C999, C243,CaseCells!E2:E999, "B")</f>
        <v>2000</v>
      </c>
      <c r="X243" s="3">
        <f>IF(V243 = 0, "", T243 / V243)</f>
        <v>0.5</v>
      </c>
      <c r="Y243" s="3">
        <f>IF(W243 = 0, "", U243 / W243)</f>
        <v>0.5</v>
      </c>
      <c r="Z243" s="3">
        <f>IF(X243 = "", "", X243 - Y243)</f>
        <v>0</v>
      </c>
      <c r="AA243" s="3">
        <f>IF(K243 = "", "", K243 - N243)</f>
        <v>0.06999999999999995</v>
      </c>
      <c r="AB243" s="3">
        <f>IF(AA243 = "", "", AA243 * R243)</f>
        <v>0.034999999999999976</v>
      </c>
    </row>
    <row r="244">
      <c r="A244" s="2" t="s">
        <v>2021</v>
      </c>
      <c r="B244" s="3" t="str">
        <f>A244</f>
        <v>flu-vaccine-elderly-mortality-under-75-A</v>
      </c>
      <c r="C244" s="2" t="s">
        <v>605</v>
      </c>
      <c r="D244" s="2" t="s">
        <v>1503</v>
      </c>
      <c r="E244" s="2" t="s">
        <v>792</v>
      </c>
      <c r="F244" s="5">
        <f>SUMIFS(CaseCells!F2:F999,CaseCells!C2:C999, C244,CaseCells!D2:D999, D244,CaseCells!E2:E999, E244)</f>
        <v>89979</v>
      </c>
      <c r="G244" s="5">
        <f>SUMIFS(CaseCells!G2:G999,CaseCells!C2:C999, C244,CaseCells!D2:D999, D244,CaseCells!E2:E999, E244)</f>
        <v>90000</v>
      </c>
      <c r="H244" s="3">
        <f>IF(G244 = 0, "", F244 / G244)</f>
        <v>0.9997666666666667</v>
      </c>
      <c r="I244" s="5">
        <f>SUMIFS(CaseCells!F2:F999,CaseCells!C2:C999, C244,CaseCells!D2:D999, D244,CaseCells!E2:E999, "A")</f>
        <v>89979</v>
      </c>
      <c r="J244" s="5">
        <f>SUMIFS(CaseCells!G2:G999,CaseCells!C2:C999, C244,CaseCells!D2:D999, D244,CaseCells!E2:E999, "A")</f>
        <v>90000</v>
      </c>
      <c r="K244" s="3">
        <f>IF(J244 = 0, "", I244 / J244)</f>
        <v>0.9997666666666667</v>
      </c>
      <c r="L244" s="5">
        <f>SUMIFS(CaseCells!F2:F999,CaseCells!C2:C999, C244,CaseCells!D2:D999, D244,CaseCells!E2:E999, "B")</f>
        <v>149952</v>
      </c>
      <c r="M244" s="5">
        <f>SUMIFS(CaseCells!G2:G999,CaseCells!C2:C999, C244,CaseCells!D2:D999, D244,CaseCells!E2:E999, "B")</f>
        <v>150000</v>
      </c>
      <c r="N244" s="3">
        <f>IF(M244 = 0, "", L244 / M244)</f>
        <v>0.99968</v>
      </c>
      <c r="O244" s="3" t="str">
        <f>IF(K244 &gt; N244, "A", "B")</f>
        <v>A</v>
      </c>
      <c r="P244" s="5">
        <f>SUMIFS(CaseCells!G2:G999,CaseCells!C2:C999, C244)</f>
        <v>248000</v>
      </c>
      <c r="Q244" s="5">
        <f>SUMIFS(CaseCells!G2:G999,CaseCells!C2:C999, C244,CaseCells!D2:D999, D244)</f>
        <v>240000</v>
      </c>
      <c r="R244" s="3">
        <f>IF(P244 = 0, "", Q244 / P244)</f>
        <v>0.967741935483871</v>
      </c>
      <c r="S244" s="3">
        <f>IF(R244 = "", "", R244 * H244)</f>
        <v>0.9675161290322581</v>
      </c>
      <c r="T244" s="5">
        <f>SUMIFS(CaseCells!G2:G999,CaseCells!C2:C999, C244,CaseCells!D2:D999, D244,CaseCells!E2:E999, "A")</f>
        <v>90000</v>
      </c>
      <c r="U244" s="5">
        <f>SUMIFS(CaseCells!G2:G999,CaseCells!C2:C999, C244,CaseCells!D2:D999, D244,CaseCells!E2:E999, "B")</f>
        <v>150000</v>
      </c>
      <c r="V244" s="5">
        <f>SUMIFS(CaseCells!G2:G999,CaseCells!C2:C999, C244,CaseCells!E2:E999, "A")</f>
        <v>95000</v>
      </c>
      <c r="W244" s="5">
        <f>SUMIFS(CaseCells!G2:G999,CaseCells!C2:C999, C244,CaseCells!E2:E999, "B")</f>
        <v>153000</v>
      </c>
      <c r="X244" s="3">
        <f>IF(V244 = 0, "", T244 / V244)</f>
        <v>0.9473684210526315</v>
      </c>
      <c r="Y244" s="3">
        <f>IF(W244 = 0, "", U244 / W244)</f>
        <v>0.9803921568627451</v>
      </c>
      <c r="Z244" s="3">
        <f>IF(X244 = "", "", X244 - Y244)</f>
        <v>-0.03302373581011353</v>
      </c>
      <c r="AA244" s="3">
        <f>IF(K244 = "", "", K244 - N244)</f>
        <v>8.666666666667933E-05</v>
      </c>
      <c r="AB244" s="3">
        <f>IF(AA244 = "", "", AA244 * R244)</f>
        <v>8.387096774194774E-05</v>
      </c>
    </row>
    <row r="245">
      <c r="A245" s="2" t="s">
        <v>2022</v>
      </c>
      <c r="B245" s="3" t="str">
        <f>A245</f>
        <v>flu-vaccine-elderly-mortality-under-75-B</v>
      </c>
      <c r="C245" s="2" t="s">
        <v>605</v>
      </c>
      <c r="D245" s="2" t="s">
        <v>1503</v>
      </c>
      <c r="E245" s="2" t="s">
        <v>795</v>
      </c>
      <c r="F245" s="5">
        <f>SUMIFS(CaseCells!F2:F999,CaseCells!C2:C999, C245,CaseCells!D2:D999, D245,CaseCells!E2:E999, E245)</f>
        <v>149952</v>
      </c>
      <c r="G245" s="5">
        <f>SUMIFS(CaseCells!G2:G999,CaseCells!C2:C999, C245,CaseCells!D2:D999, D245,CaseCells!E2:E999, E245)</f>
        <v>150000</v>
      </c>
      <c r="H245" s="3">
        <f>IF(G245 = 0, "", F245 / G245)</f>
        <v>0.99968</v>
      </c>
      <c r="I245" s="5">
        <f>SUMIFS(CaseCells!F2:F999,CaseCells!C2:C999, C245,CaseCells!D2:D999, D245,CaseCells!E2:E999, "A")</f>
        <v>89979</v>
      </c>
      <c r="J245" s="5">
        <f>SUMIFS(CaseCells!G2:G999,CaseCells!C2:C999, C245,CaseCells!D2:D999, D245,CaseCells!E2:E999, "A")</f>
        <v>90000</v>
      </c>
      <c r="K245" s="3">
        <f>IF(J245 = 0, "", I245 / J245)</f>
        <v>0.9997666666666667</v>
      </c>
      <c r="L245" s="5">
        <f>SUMIFS(CaseCells!F2:F999,CaseCells!C2:C999, C245,CaseCells!D2:D999, D245,CaseCells!E2:E999, "B")</f>
        <v>149952</v>
      </c>
      <c r="M245" s="5">
        <f>SUMIFS(CaseCells!G2:G999,CaseCells!C2:C999, C245,CaseCells!D2:D999, D245,CaseCells!E2:E999, "B")</f>
        <v>150000</v>
      </c>
      <c r="N245" s="3">
        <f>IF(M245 = 0, "", L245 / M245)</f>
        <v>0.99968</v>
      </c>
      <c r="O245" s="3" t="str">
        <f>IF(K245 &gt; N245, "A", "B")</f>
        <v>A</v>
      </c>
      <c r="P245" s="5">
        <f>SUMIFS(CaseCells!G2:G999,CaseCells!C2:C999, C245)</f>
        <v>248000</v>
      </c>
      <c r="Q245" s="5">
        <f>SUMIFS(CaseCells!G2:G999,CaseCells!C2:C999, C245,CaseCells!D2:D999, D245)</f>
        <v>240000</v>
      </c>
      <c r="R245" s="3">
        <f>IF(P245 = 0, "", Q245 / P245)</f>
        <v>0.967741935483871</v>
      </c>
      <c r="S245" s="3">
        <f>IF(R245 = "", "", R245 * H245)</f>
        <v>0.9674322580645162</v>
      </c>
      <c r="T245" s="5">
        <f>SUMIFS(CaseCells!G2:G999,CaseCells!C2:C999, C245,CaseCells!D2:D999, D245,CaseCells!E2:E999, "A")</f>
        <v>90000</v>
      </c>
      <c r="U245" s="5">
        <f>SUMIFS(CaseCells!G2:G999,CaseCells!C2:C999, C245,CaseCells!D2:D999, D245,CaseCells!E2:E999, "B")</f>
        <v>150000</v>
      </c>
      <c r="V245" s="5">
        <f>SUMIFS(CaseCells!G2:G999,CaseCells!C2:C999, C245,CaseCells!E2:E999, "A")</f>
        <v>95000</v>
      </c>
      <c r="W245" s="5">
        <f>SUMIFS(CaseCells!G2:G999,CaseCells!C2:C999, C245,CaseCells!E2:E999, "B")</f>
        <v>153000</v>
      </c>
      <c r="X245" s="3">
        <f>IF(V245 = 0, "", T245 / V245)</f>
        <v>0.9473684210526315</v>
      </c>
      <c r="Y245" s="3">
        <f>IF(W245 = 0, "", U245 / W245)</f>
        <v>0.9803921568627451</v>
      </c>
      <c r="Z245" s="3">
        <f>IF(X245 = "", "", X245 - Y245)</f>
        <v>-0.03302373581011353</v>
      </c>
      <c r="AA245" s="3">
        <f>IF(K245 = "", "", K245 - N245)</f>
        <v>8.666666666667933E-05</v>
      </c>
      <c r="AB245" s="3">
        <f>IF(AA245 = "", "", AA245 * R245)</f>
        <v>8.387096774194774E-05</v>
      </c>
    </row>
    <row r="246">
      <c r="A246" s="2" t="s">
        <v>2023</v>
      </c>
      <c r="B246" s="3" t="str">
        <f>A246</f>
        <v>flu-vaccine-elderly-mortality-75-plus-A</v>
      </c>
      <c r="C246" s="2" t="s">
        <v>605</v>
      </c>
      <c r="D246" s="2" t="s">
        <v>1506</v>
      </c>
      <c r="E246" s="2" t="s">
        <v>792</v>
      </c>
      <c r="F246" s="5">
        <f>SUMIFS(CaseCells!F2:F999,CaseCells!C2:C999, C246,CaseCells!D2:D999, D246,CaseCells!E2:E999, E246)</f>
        <v>4600</v>
      </c>
      <c r="G246" s="5">
        <f>SUMIFS(CaseCells!G2:G999,CaseCells!C2:C999, C246,CaseCells!D2:D999, D246,CaseCells!E2:E999, E246)</f>
        <v>5000</v>
      </c>
      <c r="H246" s="3">
        <f>IF(G246 = 0, "", F246 / G246)</f>
        <v>0.92</v>
      </c>
      <c r="I246" s="5">
        <f>SUMIFS(CaseCells!F2:F999,CaseCells!C2:C999, C246,CaseCells!D2:D999, D246,CaseCells!E2:E999, "A")</f>
        <v>4600</v>
      </c>
      <c r="J246" s="5">
        <f>SUMIFS(CaseCells!G2:G999,CaseCells!C2:C999, C246,CaseCells!D2:D999, D246,CaseCells!E2:E999, "A")</f>
        <v>5000</v>
      </c>
      <c r="K246" s="3">
        <f>IF(J246 = 0, "", I246 / J246)</f>
        <v>0.92</v>
      </c>
      <c r="L246" s="5">
        <f>SUMIFS(CaseCells!F2:F999,CaseCells!C2:C999, C246,CaseCells!D2:D999, D246,CaseCells!E2:E999, "B")</f>
        <v>2500</v>
      </c>
      <c r="M246" s="5">
        <f>SUMIFS(CaseCells!G2:G999,CaseCells!C2:C999, C246,CaseCells!D2:D999, D246,CaseCells!E2:E999, "B")</f>
        <v>3000</v>
      </c>
      <c r="N246" s="3">
        <f>IF(M246 = 0, "", L246 / M246)</f>
        <v>0.8333333333333334</v>
      </c>
      <c r="O246" s="3" t="str">
        <f>IF(K246 &gt; N246, "A", "B")</f>
        <v>A</v>
      </c>
      <c r="P246" s="5">
        <f>SUMIFS(CaseCells!G2:G999,CaseCells!C2:C999, C246)</f>
        <v>248000</v>
      </c>
      <c r="Q246" s="5">
        <f>SUMIFS(CaseCells!G2:G999,CaseCells!C2:C999, C246,CaseCells!D2:D999, D246)</f>
        <v>8000</v>
      </c>
      <c r="R246" s="3">
        <f>IF(P246 = 0, "", Q246 / P246)</f>
        <v>0.03225806451612903</v>
      </c>
      <c r="S246" s="3">
        <f>IF(R246 = "", "", R246 * H246)</f>
        <v>0.02967741935483871</v>
      </c>
      <c r="T246" s="5">
        <f>SUMIFS(CaseCells!G2:G999,CaseCells!C2:C999, C246,CaseCells!D2:D999, D246,CaseCells!E2:E999, "A")</f>
        <v>5000</v>
      </c>
      <c r="U246" s="5">
        <f>SUMIFS(CaseCells!G2:G999,CaseCells!C2:C999, C246,CaseCells!D2:D999, D246,CaseCells!E2:E999, "B")</f>
        <v>3000</v>
      </c>
      <c r="V246" s="5">
        <f>SUMIFS(CaseCells!G2:G999,CaseCells!C2:C999, C246,CaseCells!E2:E999, "A")</f>
        <v>95000</v>
      </c>
      <c r="W246" s="5">
        <f>SUMIFS(CaseCells!G2:G999,CaseCells!C2:C999, C246,CaseCells!E2:E999, "B")</f>
        <v>153000</v>
      </c>
      <c r="X246" s="3">
        <f>IF(V246 = 0, "", T246 / V246)</f>
        <v>0.05263157894736842</v>
      </c>
      <c r="Y246" s="3">
        <f>IF(W246 = 0, "", U246 / W246)</f>
        <v>0.0196078431372549</v>
      </c>
      <c r="Z246" s="3">
        <f>IF(X246 = "", "", X246 - Y246)</f>
        <v>0.033023735810113516</v>
      </c>
      <c r="AA246" s="3">
        <f>IF(K246 = "", "", K246 - N246)</f>
        <v>0.08666666666666667</v>
      </c>
      <c r="AB246" s="3">
        <f>IF(AA246 = "", "", AA246 * R246)</f>
        <v>0.002795698924731183</v>
      </c>
    </row>
    <row r="247">
      <c r="A247" s="2" t="s">
        <v>2024</v>
      </c>
      <c r="B247" s="3" t="str">
        <f>A247</f>
        <v>flu-vaccine-elderly-mortality-75-plus-B</v>
      </c>
      <c r="C247" s="2" t="s">
        <v>605</v>
      </c>
      <c r="D247" s="2" t="s">
        <v>1506</v>
      </c>
      <c r="E247" s="2" t="s">
        <v>795</v>
      </c>
      <c r="F247" s="5">
        <f>SUMIFS(CaseCells!F2:F999,CaseCells!C2:C999, C247,CaseCells!D2:D999, D247,CaseCells!E2:E999, E247)</f>
        <v>2500</v>
      </c>
      <c r="G247" s="5">
        <f>SUMIFS(CaseCells!G2:G999,CaseCells!C2:C999, C247,CaseCells!D2:D999, D247,CaseCells!E2:E999, E247)</f>
        <v>3000</v>
      </c>
      <c r="H247" s="3">
        <f>IF(G247 = 0, "", F247 / G247)</f>
        <v>0.8333333333333334</v>
      </c>
      <c r="I247" s="5">
        <f>SUMIFS(CaseCells!F2:F999,CaseCells!C2:C999, C247,CaseCells!D2:D999, D247,CaseCells!E2:E999, "A")</f>
        <v>4600</v>
      </c>
      <c r="J247" s="5">
        <f>SUMIFS(CaseCells!G2:G999,CaseCells!C2:C999, C247,CaseCells!D2:D999, D247,CaseCells!E2:E999, "A")</f>
        <v>5000</v>
      </c>
      <c r="K247" s="3">
        <f>IF(J247 = 0, "", I247 / J247)</f>
        <v>0.92</v>
      </c>
      <c r="L247" s="5">
        <f>SUMIFS(CaseCells!F2:F999,CaseCells!C2:C999, C247,CaseCells!D2:D999, D247,CaseCells!E2:E999, "B")</f>
        <v>2500</v>
      </c>
      <c r="M247" s="5">
        <f>SUMIFS(CaseCells!G2:G999,CaseCells!C2:C999, C247,CaseCells!D2:D999, D247,CaseCells!E2:E999, "B")</f>
        <v>3000</v>
      </c>
      <c r="N247" s="3">
        <f>IF(M247 = 0, "", L247 / M247)</f>
        <v>0.8333333333333334</v>
      </c>
      <c r="O247" s="3" t="str">
        <f>IF(K247 &gt; N247, "A", "B")</f>
        <v>A</v>
      </c>
      <c r="P247" s="5">
        <f>SUMIFS(CaseCells!G2:G999,CaseCells!C2:C999, C247)</f>
        <v>248000</v>
      </c>
      <c r="Q247" s="5">
        <f>SUMIFS(CaseCells!G2:G999,CaseCells!C2:C999, C247,CaseCells!D2:D999, D247)</f>
        <v>8000</v>
      </c>
      <c r="R247" s="3">
        <f>IF(P247 = 0, "", Q247 / P247)</f>
        <v>0.03225806451612903</v>
      </c>
      <c r="S247" s="3">
        <f>IF(R247 = "", "", R247 * H247)</f>
        <v>0.026881720430107527</v>
      </c>
      <c r="T247" s="5">
        <f>SUMIFS(CaseCells!G2:G999,CaseCells!C2:C999, C247,CaseCells!D2:D999, D247,CaseCells!E2:E999, "A")</f>
        <v>5000</v>
      </c>
      <c r="U247" s="5">
        <f>SUMIFS(CaseCells!G2:G999,CaseCells!C2:C999, C247,CaseCells!D2:D999, D247,CaseCells!E2:E999, "B")</f>
        <v>3000</v>
      </c>
      <c r="V247" s="5">
        <f>SUMIFS(CaseCells!G2:G999,CaseCells!C2:C999, C247,CaseCells!E2:E999, "A")</f>
        <v>95000</v>
      </c>
      <c r="W247" s="5">
        <f>SUMIFS(CaseCells!G2:G999,CaseCells!C2:C999, C247,CaseCells!E2:E999, "B")</f>
        <v>153000</v>
      </c>
      <c r="X247" s="3">
        <f>IF(V247 = 0, "", T247 / V247)</f>
        <v>0.05263157894736842</v>
      </c>
      <c r="Y247" s="3">
        <f>IF(W247 = 0, "", U247 / W247)</f>
        <v>0.0196078431372549</v>
      </c>
      <c r="Z247" s="3">
        <f>IF(X247 = "", "", X247 - Y247)</f>
        <v>0.033023735810113516</v>
      </c>
      <c r="AA247" s="3">
        <f>IF(K247 = "", "", K247 - N247)</f>
        <v>0.08666666666666667</v>
      </c>
      <c r="AB247" s="3">
        <f>IF(AA247 = "", "", AA247 * R247)</f>
        <v>0.002795698924731183</v>
      </c>
    </row>
    <row r="248">
      <c r="A248" s="2" t="s">
        <v>2025</v>
      </c>
      <c r="B248" s="3" t="str">
        <f>A248</f>
        <v>covid-italy-china-cfr-2020-under-60-A</v>
      </c>
      <c r="C248" s="2" t="s">
        <v>609</v>
      </c>
      <c r="D248" s="2" t="s">
        <v>1509</v>
      </c>
      <c r="E248" s="2" t="s">
        <v>792</v>
      </c>
      <c r="F248" s="5">
        <f>SUMIFS(CaseCells!F2:F999,CaseCells!C2:C999, C248,CaseCells!D2:D999, D248,CaseCells!E2:E999, E248)</f>
        <v>990</v>
      </c>
      <c r="G248" s="5">
        <f>SUMIFS(CaseCells!G2:G999,CaseCells!C2:C999, C248,CaseCells!D2:D999, D248,CaseCells!E2:E999, E248)</f>
        <v>1000</v>
      </c>
      <c r="H248" s="3">
        <f>IF(G248 = 0, "", F248 / G248)</f>
        <v>0.99</v>
      </c>
      <c r="I248" s="5">
        <f>SUMIFS(CaseCells!F2:F999,CaseCells!C2:C999, C248,CaseCells!D2:D999, D248,CaseCells!E2:E999, "A")</f>
        <v>990</v>
      </c>
      <c r="J248" s="5">
        <f>SUMIFS(CaseCells!G2:G999,CaseCells!C2:C999, C248,CaseCells!D2:D999, D248,CaseCells!E2:E999, "A")</f>
        <v>1000</v>
      </c>
      <c r="K248" s="3">
        <f>IF(J248 = 0, "", I248 / J248)</f>
        <v>0.99</v>
      </c>
      <c r="L248" s="5">
        <f>SUMIFS(CaseCells!F2:F999,CaseCells!C2:C999, C248,CaseCells!D2:D999, D248,CaseCells!E2:E999, "B")</f>
        <v>49000</v>
      </c>
      <c r="M248" s="5">
        <f>SUMIFS(CaseCells!G2:G999,CaseCells!C2:C999, C248,CaseCells!D2:D999, D248,CaseCells!E2:E999, "B")</f>
        <v>50000</v>
      </c>
      <c r="N248" s="3">
        <f>IF(M248 = 0, "", L248 / M248)</f>
        <v>0.98</v>
      </c>
      <c r="O248" s="3" t="str">
        <f>IF(K248 &gt; N248, "A", "B")</f>
        <v>A</v>
      </c>
      <c r="P248" s="5">
        <f>SUMIFS(CaseCells!G2:G999,CaseCells!C2:C999, C248)</f>
        <v>53400</v>
      </c>
      <c r="Q248" s="5">
        <f>SUMIFS(CaseCells!G2:G999,CaseCells!C2:C999, C248,CaseCells!D2:D999, D248)</f>
        <v>51000</v>
      </c>
      <c r="R248" s="3">
        <f>IF(P248 = 0, "", Q248 / P248)</f>
        <v>0.9550561797752809</v>
      </c>
      <c r="S248" s="3">
        <f>IF(R248 = "", "", R248 * H248)</f>
        <v>0.9455056179775281</v>
      </c>
      <c r="T248" s="5">
        <f>SUMIFS(CaseCells!G2:G999,CaseCells!C2:C999, C248,CaseCells!D2:D999, D248,CaseCells!E2:E999, "A")</f>
        <v>1000</v>
      </c>
      <c r="U248" s="5">
        <f>SUMIFS(CaseCells!G2:G999,CaseCells!C2:C999, C248,CaseCells!D2:D999, D248,CaseCells!E2:E999, "B")</f>
        <v>50000</v>
      </c>
      <c r="V248" s="5">
        <f>SUMIFS(CaseCells!G2:G999,CaseCells!C2:C999, C248,CaseCells!E2:E999, "A")</f>
        <v>3000</v>
      </c>
      <c r="W248" s="5">
        <f>SUMIFS(CaseCells!G2:G999,CaseCells!C2:C999, C248,CaseCells!E2:E999, "B")</f>
        <v>50400</v>
      </c>
      <c r="X248" s="3">
        <f>IF(V248 = 0, "", T248 / V248)</f>
        <v>0.3333333333333333</v>
      </c>
      <c r="Y248" s="3">
        <f>IF(W248 = 0, "", U248 / W248)</f>
        <v>0.9920634920634921</v>
      </c>
      <c r="Z248" s="3">
        <f>IF(X248 = "", "", X248 - Y248)</f>
        <v>-0.6587301587301588</v>
      </c>
      <c r="AA248" s="3">
        <f>IF(K248 = "", "", K248 - N248)</f>
        <v>0.010000000000000009</v>
      </c>
      <c r="AB248" s="3">
        <f>IF(AA248 = "", "", AA248 * R248)</f>
        <v>0.009550561797752818</v>
      </c>
    </row>
    <row r="249">
      <c r="A249" s="2" t="s">
        <v>2026</v>
      </c>
      <c r="B249" s="3" t="str">
        <f>A249</f>
        <v>covid-italy-china-cfr-2020-under-60-B</v>
      </c>
      <c r="C249" s="2" t="s">
        <v>609</v>
      </c>
      <c r="D249" s="2" t="s">
        <v>1509</v>
      </c>
      <c r="E249" s="2" t="s">
        <v>795</v>
      </c>
      <c r="F249" s="5">
        <f>SUMIFS(CaseCells!F2:F999,CaseCells!C2:C999, C249,CaseCells!D2:D999, D249,CaseCells!E2:E999, E249)</f>
        <v>49000</v>
      </c>
      <c r="G249" s="5">
        <f>SUMIFS(CaseCells!G2:G999,CaseCells!C2:C999, C249,CaseCells!D2:D999, D249,CaseCells!E2:E999, E249)</f>
        <v>50000</v>
      </c>
      <c r="H249" s="3">
        <f>IF(G249 = 0, "", F249 / G249)</f>
        <v>0.98</v>
      </c>
      <c r="I249" s="5">
        <f>SUMIFS(CaseCells!F2:F999,CaseCells!C2:C999, C249,CaseCells!D2:D999, D249,CaseCells!E2:E999, "A")</f>
        <v>990</v>
      </c>
      <c r="J249" s="5">
        <f>SUMIFS(CaseCells!G2:G999,CaseCells!C2:C999, C249,CaseCells!D2:D999, D249,CaseCells!E2:E999, "A")</f>
        <v>1000</v>
      </c>
      <c r="K249" s="3">
        <f>IF(J249 = 0, "", I249 / J249)</f>
        <v>0.99</v>
      </c>
      <c r="L249" s="5">
        <f>SUMIFS(CaseCells!F2:F999,CaseCells!C2:C999, C249,CaseCells!D2:D999, D249,CaseCells!E2:E999, "B")</f>
        <v>49000</v>
      </c>
      <c r="M249" s="5">
        <f>SUMIFS(CaseCells!G2:G999,CaseCells!C2:C999, C249,CaseCells!D2:D999, D249,CaseCells!E2:E999, "B")</f>
        <v>50000</v>
      </c>
      <c r="N249" s="3">
        <f>IF(M249 = 0, "", L249 / M249)</f>
        <v>0.98</v>
      </c>
      <c r="O249" s="3" t="str">
        <f>IF(K249 &gt; N249, "A", "B")</f>
        <v>A</v>
      </c>
      <c r="P249" s="5">
        <f>SUMIFS(CaseCells!G2:G999,CaseCells!C2:C999, C249)</f>
        <v>53400</v>
      </c>
      <c r="Q249" s="5">
        <f>SUMIFS(CaseCells!G2:G999,CaseCells!C2:C999, C249,CaseCells!D2:D999, D249)</f>
        <v>51000</v>
      </c>
      <c r="R249" s="3">
        <f>IF(P249 = 0, "", Q249 / P249)</f>
        <v>0.9550561797752809</v>
      </c>
      <c r="S249" s="3">
        <f>IF(R249 = "", "", R249 * H249)</f>
        <v>0.9359550561797753</v>
      </c>
      <c r="T249" s="5">
        <f>SUMIFS(CaseCells!G2:G999,CaseCells!C2:C999, C249,CaseCells!D2:D999, D249,CaseCells!E2:E999, "A")</f>
        <v>1000</v>
      </c>
      <c r="U249" s="5">
        <f>SUMIFS(CaseCells!G2:G999,CaseCells!C2:C999, C249,CaseCells!D2:D999, D249,CaseCells!E2:E999, "B")</f>
        <v>50000</v>
      </c>
      <c r="V249" s="5">
        <f>SUMIFS(CaseCells!G2:G999,CaseCells!C2:C999, C249,CaseCells!E2:E999, "A")</f>
        <v>3000</v>
      </c>
      <c r="W249" s="5">
        <f>SUMIFS(CaseCells!G2:G999,CaseCells!C2:C999, C249,CaseCells!E2:E999, "B")</f>
        <v>50400</v>
      </c>
      <c r="X249" s="3">
        <f>IF(V249 = 0, "", T249 / V249)</f>
        <v>0.3333333333333333</v>
      </c>
      <c r="Y249" s="3">
        <f>IF(W249 = 0, "", U249 / W249)</f>
        <v>0.9920634920634921</v>
      </c>
      <c r="Z249" s="3">
        <f>IF(X249 = "", "", X249 - Y249)</f>
        <v>-0.6587301587301588</v>
      </c>
      <c r="AA249" s="3">
        <f>IF(K249 = "", "", K249 - N249)</f>
        <v>0.010000000000000009</v>
      </c>
      <c r="AB249" s="3">
        <f>IF(AA249 = "", "", AA249 * R249)</f>
        <v>0.009550561797752818</v>
      </c>
    </row>
    <row r="250">
      <c r="A250" s="2" t="s">
        <v>2027</v>
      </c>
      <c r="B250" s="3" t="str">
        <f>A250</f>
        <v>covid-italy-china-cfr-2020-60-plus-A</v>
      </c>
      <c r="C250" s="2" t="s">
        <v>609</v>
      </c>
      <c r="D250" s="2" t="s">
        <v>1512</v>
      </c>
      <c r="E250" s="2" t="s">
        <v>792</v>
      </c>
      <c r="F250" s="5">
        <f>SUMIFS(CaseCells!F2:F999,CaseCells!C2:C999, C250,CaseCells!D2:D999, D250,CaseCells!E2:E999, E250)</f>
        <v>300</v>
      </c>
      <c r="G250" s="5">
        <f>SUMIFS(CaseCells!G2:G999,CaseCells!C2:C999, C250,CaseCells!D2:D999, D250,CaseCells!E2:E999, E250)</f>
        <v>2000</v>
      </c>
      <c r="H250" s="3">
        <f>IF(G250 = 0, "", F250 / G250)</f>
        <v>0.15</v>
      </c>
      <c r="I250" s="5">
        <f>SUMIFS(CaseCells!F2:F999,CaseCells!C2:C999, C250,CaseCells!D2:D999, D250,CaseCells!E2:E999, "A")</f>
        <v>300</v>
      </c>
      <c r="J250" s="5">
        <f>SUMIFS(CaseCells!G2:G999,CaseCells!C2:C999, C250,CaseCells!D2:D999, D250,CaseCells!E2:E999, "A")</f>
        <v>2000</v>
      </c>
      <c r="K250" s="3">
        <f>IF(J250 = 0, "", I250 / J250)</f>
        <v>0.15</v>
      </c>
      <c r="L250" s="5">
        <f>SUMIFS(CaseCells!F2:F999,CaseCells!C2:C999, C250,CaseCells!D2:D999, D250,CaseCells!E2:E999, "B")</f>
        <v>320</v>
      </c>
      <c r="M250" s="5">
        <f>SUMIFS(CaseCells!G2:G999,CaseCells!C2:C999, C250,CaseCells!D2:D999, D250,CaseCells!E2:E999, "B")</f>
        <v>400</v>
      </c>
      <c r="N250" s="3">
        <f>IF(M250 = 0, "", L250 / M250)</f>
        <v>0.8</v>
      </c>
      <c r="O250" s="3" t="str">
        <f>IF(K250 &gt; N250, "A", "B")</f>
        <v>B</v>
      </c>
      <c r="P250" s="5">
        <f>SUMIFS(CaseCells!G2:G999,CaseCells!C2:C999, C250)</f>
        <v>53400</v>
      </c>
      <c r="Q250" s="5">
        <f>SUMIFS(CaseCells!G2:G999,CaseCells!C2:C999, C250,CaseCells!D2:D999, D250)</f>
        <v>2400</v>
      </c>
      <c r="R250" s="3">
        <f>IF(P250 = 0, "", Q250 / P250)</f>
        <v>0.0449438202247191</v>
      </c>
      <c r="S250" s="3">
        <f>IF(R250 = "", "", R250 * H250)</f>
        <v>0.0067415730337078645</v>
      </c>
      <c r="T250" s="5">
        <f>SUMIFS(CaseCells!G2:G999,CaseCells!C2:C999, C250,CaseCells!D2:D999, D250,CaseCells!E2:E999, "A")</f>
        <v>2000</v>
      </c>
      <c r="U250" s="5">
        <f>SUMIFS(CaseCells!G2:G999,CaseCells!C2:C999, C250,CaseCells!D2:D999, D250,CaseCells!E2:E999, "B")</f>
        <v>400</v>
      </c>
      <c r="V250" s="5">
        <f>SUMIFS(CaseCells!G2:G999,CaseCells!C2:C999, C250,CaseCells!E2:E999, "A")</f>
        <v>3000</v>
      </c>
      <c r="W250" s="5">
        <f>SUMIFS(CaseCells!G2:G999,CaseCells!C2:C999, C250,CaseCells!E2:E999, "B")</f>
        <v>50400</v>
      </c>
      <c r="X250" s="3">
        <f>IF(V250 = 0, "", T250 / V250)</f>
        <v>0.6666666666666666</v>
      </c>
      <c r="Y250" s="3">
        <f>IF(W250 = 0, "", U250 / W250)</f>
        <v>0.007936507936507936</v>
      </c>
      <c r="Z250" s="3">
        <f>IF(X250 = "", "", X250 - Y250)</f>
        <v>0.6587301587301587</v>
      </c>
      <c r="AA250" s="3">
        <f>IF(K250 = "", "", K250 - N250)</f>
        <v>-0.65</v>
      </c>
      <c r="AB250" s="3">
        <f>IF(AA250 = "", "", AA250 * R250)</f>
        <v>-0.029213483146067417</v>
      </c>
    </row>
    <row r="251">
      <c r="A251" s="2" t="s">
        <v>2028</v>
      </c>
      <c r="B251" s="3" t="str">
        <f>A251</f>
        <v>covid-italy-china-cfr-2020-60-plus-B</v>
      </c>
      <c r="C251" s="2" t="s">
        <v>609</v>
      </c>
      <c r="D251" s="2" t="s">
        <v>1512</v>
      </c>
      <c r="E251" s="2" t="s">
        <v>795</v>
      </c>
      <c r="F251" s="5">
        <f>SUMIFS(CaseCells!F2:F999,CaseCells!C2:C999, C251,CaseCells!D2:D999, D251,CaseCells!E2:E999, E251)</f>
        <v>320</v>
      </c>
      <c r="G251" s="5">
        <f>SUMIFS(CaseCells!G2:G999,CaseCells!C2:C999, C251,CaseCells!D2:D999, D251,CaseCells!E2:E999, E251)</f>
        <v>400</v>
      </c>
      <c r="H251" s="3">
        <f>IF(G251 = 0, "", F251 / G251)</f>
        <v>0.8</v>
      </c>
      <c r="I251" s="5">
        <f>SUMIFS(CaseCells!F2:F999,CaseCells!C2:C999, C251,CaseCells!D2:D999, D251,CaseCells!E2:E999, "A")</f>
        <v>300</v>
      </c>
      <c r="J251" s="5">
        <f>SUMIFS(CaseCells!G2:G999,CaseCells!C2:C999, C251,CaseCells!D2:D999, D251,CaseCells!E2:E999, "A")</f>
        <v>2000</v>
      </c>
      <c r="K251" s="3">
        <f>IF(J251 = 0, "", I251 / J251)</f>
        <v>0.15</v>
      </c>
      <c r="L251" s="5">
        <f>SUMIFS(CaseCells!F2:F999,CaseCells!C2:C999, C251,CaseCells!D2:D999, D251,CaseCells!E2:E999, "B")</f>
        <v>320</v>
      </c>
      <c r="M251" s="5">
        <f>SUMIFS(CaseCells!G2:G999,CaseCells!C2:C999, C251,CaseCells!D2:D999, D251,CaseCells!E2:E999, "B")</f>
        <v>400</v>
      </c>
      <c r="N251" s="3">
        <f>IF(M251 = 0, "", L251 / M251)</f>
        <v>0.8</v>
      </c>
      <c r="O251" s="3" t="str">
        <f>IF(K251 &gt; N251, "A", "B")</f>
        <v>B</v>
      </c>
      <c r="P251" s="5">
        <f>SUMIFS(CaseCells!G2:G999,CaseCells!C2:C999, C251)</f>
        <v>53400</v>
      </c>
      <c r="Q251" s="5">
        <f>SUMIFS(CaseCells!G2:G999,CaseCells!C2:C999, C251,CaseCells!D2:D999, D251)</f>
        <v>2400</v>
      </c>
      <c r="R251" s="3">
        <f>IF(P251 = 0, "", Q251 / P251)</f>
        <v>0.0449438202247191</v>
      </c>
      <c r="S251" s="3">
        <f>IF(R251 = "", "", R251 * H251)</f>
        <v>0.035955056179775284</v>
      </c>
      <c r="T251" s="5">
        <f>SUMIFS(CaseCells!G2:G999,CaseCells!C2:C999, C251,CaseCells!D2:D999, D251,CaseCells!E2:E999, "A")</f>
        <v>2000</v>
      </c>
      <c r="U251" s="5">
        <f>SUMIFS(CaseCells!G2:G999,CaseCells!C2:C999, C251,CaseCells!D2:D999, D251,CaseCells!E2:E999, "B")</f>
        <v>400</v>
      </c>
      <c r="V251" s="5">
        <f>SUMIFS(CaseCells!G2:G999,CaseCells!C2:C999, C251,CaseCells!E2:E999, "A")</f>
        <v>3000</v>
      </c>
      <c r="W251" s="5">
        <f>SUMIFS(CaseCells!G2:G999,CaseCells!C2:C999, C251,CaseCells!E2:E999, "B")</f>
        <v>50400</v>
      </c>
      <c r="X251" s="3">
        <f>IF(V251 = 0, "", T251 / V251)</f>
        <v>0.6666666666666666</v>
      </c>
      <c r="Y251" s="3">
        <f>IF(W251 = 0, "", U251 / W251)</f>
        <v>0.007936507936507936</v>
      </c>
      <c r="Z251" s="3">
        <f>IF(X251 = "", "", X251 - Y251)</f>
        <v>0.6587301587301587</v>
      </c>
      <c r="AA251" s="3">
        <f>IF(K251 = "", "", K251 - N251)</f>
        <v>-0.65</v>
      </c>
      <c r="AB251" s="3">
        <f>IF(AA251 = "", "", AA251 * R251)</f>
        <v>-0.029213483146067417</v>
      </c>
    </row>
    <row r="252">
      <c r="A252" s="2" t="s">
        <v>2029</v>
      </c>
      <c r="B252" s="3" t="str">
        <f>A252</f>
        <v>israel-covid-severe-2021-under-50-A</v>
      </c>
      <c r="C252" s="2" t="s">
        <v>613</v>
      </c>
      <c r="D252" s="2" t="s">
        <v>1515</v>
      </c>
      <c r="E252" s="2" t="s">
        <v>792</v>
      </c>
      <c r="F252" s="5">
        <f>SUMIFS(CaseCells!F2:F999,CaseCells!C2:C999, C252,CaseCells!D2:D999, D252,CaseCells!E2:E999, E252)</f>
        <v>25</v>
      </c>
      <c r="G252" s="5">
        <f>SUMIFS(CaseCells!G2:G999,CaseCells!C2:C999, C252,CaseCells!D2:D999, D252,CaseCells!E2:E999, E252)</f>
        <v>1000</v>
      </c>
      <c r="H252" s="3">
        <f>IF(G252 = 0, "", F252 / G252)</f>
        <v>0.025</v>
      </c>
      <c r="I252" s="5">
        <f>SUMIFS(CaseCells!F2:F999,CaseCells!C2:C999, C252,CaseCells!D2:D999, D252,CaseCells!E2:E999, "A")</f>
        <v>25</v>
      </c>
      <c r="J252" s="5">
        <f>SUMIFS(CaseCells!G2:G999,CaseCells!C2:C999, C252,CaseCells!D2:D999, D252,CaseCells!E2:E999, "A")</f>
        <v>1000</v>
      </c>
      <c r="K252" s="3">
        <f>IF(J252 = 0, "", I252 / J252)</f>
        <v>0.025</v>
      </c>
      <c r="L252" s="5">
        <f>SUMIFS(CaseCells!F2:F999,CaseCells!C2:C999, C252,CaseCells!D2:D999, D252,CaseCells!E2:E999, "B")</f>
        <v>50</v>
      </c>
      <c r="M252" s="5">
        <f>SUMIFS(CaseCells!G2:G999,CaseCells!C2:C999, C252,CaseCells!D2:D999, D252,CaseCells!E2:E999, "B")</f>
        <v>151200</v>
      </c>
      <c r="N252" s="3">
        <f>IF(M252 = 0, "", L252 / M252)</f>
        <v>0.00033068783068783067</v>
      </c>
      <c r="O252" s="3" t="str">
        <f>IF(K252 &gt; N252, "A", "B")</f>
        <v>A</v>
      </c>
      <c r="P252" s="5">
        <f>SUMIFS(CaseCells!G2:G999,CaseCells!C2:C999, C252)</f>
        <v>163000</v>
      </c>
      <c r="Q252" s="5">
        <f>SUMIFS(CaseCells!G2:G999,CaseCells!C2:C999, C252,CaseCells!D2:D999, D252)</f>
        <v>152200</v>
      </c>
      <c r="R252" s="3">
        <f>IF(P252 = 0, "", Q252 / P252)</f>
        <v>0.9337423312883436</v>
      </c>
      <c r="S252" s="3">
        <f>IF(R252 = "", "", R252 * H252)</f>
        <v>0.02334355828220859</v>
      </c>
      <c r="T252" s="5">
        <f>SUMIFS(CaseCells!G2:G999,CaseCells!C2:C999, C252,CaseCells!D2:D999, D252,CaseCells!E2:E999, "A")</f>
        <v>1000</v>
      </c>
      <c r="U252" s="5">
        <f>SUMIFS(CaseCells!G2:G999,CaseCells!C2:C999, C252,CaseCells!D2:D999, D252,CaseCells!E2:E999, "B")</f>
        <v>151200</v>
      </c>
      <c r="V252" s="5">
        <f>SUMIFS(CaseCells!G2:G999,CaseCells!C2:C999, C252,CaseCells!E2:E999, "A")</f>
        <v>11000</v>
      </c>
      <c r="W252" s="5">
        <f>SUMIFS(CaseCells!G2:G999,CaseCells!C2:C999, C252,CaseCells!E2:E999, "B")</f>
        <v>152000</v>
      </c>
      <c r="X252" s="3">
        <f>IF(V252 = 0, "", T252 / V252)</f>
        <v>0.09090909090909091</v>
      </c>
      <c r="Y252" s="3">
        <f>IF(W252 = 0, "", U252 / W252)</f>
        <v>0.9947368421052631</v>
      </c>
      <c r="Z252" s="3">
        <f>IF(X252 = "", "", X252 - Y252)</f>
        <v>-0.9038277511961722</v>
      </c>
      <c r="AA252" s="3">
        <f>IF(K252 = "", "", K252 - N252)</f>
        <v>0.02466931216931217</v>
      </c>
      <c r="AB252" s="3">
        <f>IF(AA252 = "", "", AA252 * R252)</f>
        <v>0.02303478105625345</v>
      </c>
    </row>
    <row r="253">
      <c r="A253" s="2" t="s">
        <v>2030</v>
      </c>
      <c r="B253" s="3" t="str">
        <f>A253</f>
        <v>israel-covid-severe-2021-under-50-B</v>
      </c>
      <c r="C253" s="2" t="s">
        <v>613</v>
      </c>
      <c r="D253" s="2" t="s">
        <v>1515</v>
      </c>
      <c r="E253" s="2" t="s">
        <v>795</v>
      </c>
      <c r="F253" s="5">
        <f>SUMIFS(CaseCells!F2:F999,CaseCells!C2:C999, C253,CaseCells!D2:D999, D253,CaseCells!E2:E999, E253)</f>
        <v>50</v>
      </c>
      <c r="G253" s="5">
        <f>SUMIFS(CaseCells!G2:G999,CaseCells!C2:C999, C253,CaseCells!D2:D999, D253,CaseCells!E2:E999, E253)</f>
        <v>151200</v>
      </c>
      <c r="H253" s="3">
        <f>IF(G253 = 0, "", F253 / G253)</f>
        <v>0.00033068783068783067</v>
      </c>
      <c r="I253" s="5">
        <f>SUMIFS(CaseCells!F2:F999,CaseCells!C2:C999, C253,CaseCells!D2:D999, D253,CaseCells!E2:E999, "A")</f>
        <v>25</v>
      </c>
      <c r="J253" s="5">
        <f>SUMIFS(CaseCells!G2:G999,CaseCells!C2:C999, C253,CaseCells!D2:D999, D253,CaseCells!E2:E999, "A")</f>
        <v>1000</v>
      </c>
      <c r="K253" s="3">
        <f>IF(J253 = 0, "", I253 / J253)</f>
        <v>0.025</v>
      </c>
      <c r="L253" s="5">
        <f>SUMIFS(CaseCells!F2:F999,CaseCells!C2:C999, C253,CaseCells!D2:D999, D253,CaseCells!E2:E999, "B")</f>
        <v>50</v>
      </c>
      <c r="M253" s="5">
        <f>SUMIFS(CaseCells!G2:G999,CaseCells!C2:C999, C253,CaseCells!D2:D999, D253,CaseCells!E2:E999, "B")</f>
        <v>151200</v>
      </c>
      <c r="N253" s="3">
        <f>IF(M253 = 0, "", L253 / M253)</f>
        <v>0.00033068783068783067</v>
      </c>
      <c r="O253" s="3" t="str">
        <f>IF(K253 &gt; N253, "A", "B")</f>
        <v>A</v>
      </c>
      <c r="P253" s="5">
        <f>SUMIFS(CaseCells!G2:G999,CaseCells!C2:C999, C253)</f>
        <v>163000</v>
      </c>
      <c r="Q253" s="5">
        <f>SUMIFS(CaseCells!G2:G999,CaseCells!C2:C999, C253,CaseCells!D2:D999, D253)</f>
        <v>152200</v>
      </c>
      <c r="R253" s="3">
        <f>IF(P253 = 0, "", Q253 / P253)</f>
        <v>0.9337423312883436</v>
      </c>
      <c r="S253" s="3">
        <f>IF(R253 = "", "", R253 * H253)</f>
        <v>0.00030877722595514006</v>
      </c>
      <c r="T253" s="5">
        <f>SUMIFS(CaseCells!G2:G999,CaseCells!C2:C999, C253,CaseCells!D2:D999, D253,CaseCells!E2:E999, "A")</f>
        <v>1000</v>
      </c>
      <c r="U253" s="5">
        <f>SUMIFS(CaseCells!G2:G999,CaseCells!C2:C999, C253,CaseCells!D2:D999, D253,CaseCells!E2:E999, "B")</f>
        <v>151200</v>
      </c>
      <c r="V253" s="5">
        <f>SUMIFS(CaseCells!G2:G999,CaseCells!C2:C999, C253,CaseCells!E2:E999, "A")</f>
        <v>11000</v>
      </c>
      <c r="W253" s="5">
        <f>SUMIFS(CaseCells!G2:G999,CaseCells!C2:C999, C253,CaseCells!E2:E999, "B")</f>
        <v>152000</v>
      </c>
      <c r="X253" s="3">
        <f>IF(V253 = 0, "", T253 / V253)</f>
        <v>0.09090909090909091</v>
      </c>
      <c r="Y253" s="3">
        <f>IF(W253 = 0, "", U253 / W253)</f>
        <v>0.9947368421052631</v>
      </c>
      <c r="Z253" s="3">
        <f>IF(X253 = "", "", X253 - Y253)</f>
        <v>-0.9038277511961722</v>
      </c>
      <c r="AA253" s="3">
        <f>IF(K253 = "", "", K253 - N253)</f>
        <v>0.02466931216931217</v>
      </c>
      <c r="AB253" s="3">
        <f>IF(AA253 = "", "", AA253 * R253)</f>
        <v>0.02303478105625345</v>
      </c>
    </row>
    <row r="254">
      <c r="A254" s="2" t="s">
        <v>2031</v>
      </c>
      <c r="B254" s="3" t="str">
        <f>A254</f>
        <v>israel-covid-severe-2021-50-plus-A</v>
      </c>
      <c r="C254" s="2" t="s">
        <v>613</v>
      </c>
      <c r="D254" s="2" t="s">
        <v>1518</v>
      </c>
      <c r="E254" s="2" t="s">
        <v>792</v>
      </c>
      <c r="F254" s="5">
        <f>SUMIFS(CaseCells!F2:F999,CaseCells!C2:C999, C254,CaseCells!D2:D999, D254,CaseCells!E2:E999, E254)</f>
        <v>400</v>
      </c>
      <c r="G254" s="5">
        <f>SUMIFS(CaseCells!G2:G999,CaseCells!C2:C999, C254,CaseCells!D2:D999, D254,CaseCells!E2:E999, E254)</f>
        <v>10000</v>
      </c>
      <c r="H254" s="3">
        <f>IF(G254 = 0, "", F254 / G254)</f>
        <v>0.04</v>
      </c>
      <c r="I254" s="5">
        <f>SUMIFS(CaseCells!F2:F999,CaseCells!C2:C999, C254,CaseCells!D2:D999, D254,CaseCells!E2:E999, "A")</f>
        <v>400</v>
      </c>
      <c r="J254" s="5">
        <f>SUMIFS(CaseCells!G2:G999,CaseCells!C2:C999, C254,CaseCells!D2:D999, D254,CaseCells!E2:E999, "A")</f>
        <v>10000</v>
      </c>
      <c r="K254" s="3">
        <f>IF(J254 = 0, "", I254 / J254)</f>
        <v>0.04</v>
      </c>
      <c r="L254" s="5">
        <f>SUMIFS(CaseCells!F2:F999,CaseCells!C2:C999, C254,CaseCells!D2:D999, D254,CaseCells!E2:E999, "B")</f>
        <v>180</v>
      </c>
      <c r="M254" s="5">
        <f>SUMIFS(CaseCells!G2:G999,CaseCells!C2:C999, C254,CaseCells!D2:D999, D254,CaseCells!E2:E999, "B")</f>
        <v>800</v>
      </c>
      <c r="N254" s="3">
        <f>IF(M254 = 0, "", L254 / M254)</f>
        <v>0.225</v>
      </c>
      <c r="O254" s="3" t="str">
        <f>IF(K254 &gt; N254, "A", "B")</f>
        <v>B</v>
      </c>
      <c r="P254" s="5">
        <f>SUMIFS(CaseCells!G2:G999,CaseCells!C2:C999, C254)</f>
        <v>163000</v>
      </c>
      <c r="Q254" s="5">
        <f>SUMIFS(CaseCells!G2:G999,CaseCells!C2:C999, C254,CaseCells!D2:D999, D254)</f>
        <v>10800</v>
      </c>
      <c r="R254" s="3">
        <f>IF(P254 = 0, "", Q254 / P254)</f>
        <v>0.06625766871165645</v>
      </c>
      <c r="S254" s="3">
        <f>IF(R254 = "", "", R254 * H254)</f>
        <v>0.002650306748466258</v>
      </c>
      <c r="T254" s="5">
        <f>SUMIFS(CaseCells!G2:G999,CaseCells!C2:C999, C254,CaseCells!D2:D999, D254,CaseCells!E2:E999, "A")</f>
        <v>10000</v>
      </c>
      <c r="U254" s="5">
        <f>SUMIFS(CaseCells!G2:G999,CaseCells!C2:C999, C254,CaseCells!D2:D999, D254,CaseCells!E2:E999, "B")</f>
        <v>800</v>
      </c>
      <c r="V254" s="5">
        <f>SUMIFS(CaseCells!G2:G999,CaseCells!C2:C999, C254,CaseCells!E2:E999, "A")</f>
        <v>11000</v>
      </c>
      <c r="W254" s="5">
        <f>SUMIFS(CaseCells!G2:G999,CaseCells!C2:C999, C254,CaseCells!E2:E999, "B")</f>
        <v>152000</v>
      </c>
      <c r="X254" s="3">
        <f>IF(V254 = 0, "", T254 / V254)</f>
        <v>0.9090909090909091</v>
      </c>
      <c r="Y254" s="3">
        <f>IF(W254 = 0, "", U254 / W254)</f>
        <v>0.005263157894736842</v>
      </c>
      <c r="Z254" s="3">
        <f>IF(X254 = "", "", X254 - Y254)</f>
        <v>0.9038277511961722</v>
      </c>
      <c r="AA254" s="3">
        <f>IF(K254 = "", "", K254 - N254)</f>
        <v>-0.185</v>
      </c>
      <c r="AB254" s="3">
        <f>IF(AA254 = "", "", AA254 * R254)</f>
        <v>-0.012257668711656443</v>
      </c>
    </row>
    <row r="255">
      <c r="A255" s="2" t="s">
        <v>2032</v>
      </c>
      <c r="B255" s="3" t="str">
        <f>A255</f>
        <v>israel-covid-severe-2021-50-plus-B</v>
      </c>
      <c r="C255" s="2" t="s">
        <v>613</v>
      </c>
      <c r="D255" s="2" t="s">
        <v>1518</v>
      </c>
      <c r="E255" s="2" t="s">
        <v>795</v>
      </c>
      <c r="F255" s="5">
        <f>SUMIFS(CaseCells!F2:F999,CaseCells!C2:C999, C255,CaseCells!D2:D999, D255,CaseCells!E2:E999, E255)</f>
        <v>180</v>
      </c>
      <c r="G255" s="5">
        <f>SUMIFS(CaseCells!G2:G999,CaseCells!C2:C999, C255,CaseCells!D2:D999, D255,CaseCells!E2:E999, E255)</f>
        <v>800</v>
      </c>
      <c r="H255" s="3">
        <f>IF(G255 = 0, "", F255 / G255)</f>
        <v>0.225</v>
      </c>
      <c r="I255" s="5">
        <f>SUMIFS(CaseCells!F2:F999,CaseCells!C2:C999, C255,CaseCells!D2:D999, D255,CaseCells!E2:E999, "A")</f>
        <v>400</v>
      </c>
      <c r="J255" s="5">
        <f>SUMIFS(CaseCells!G2:G999,CaseCells!C2:C999, C255,CaseCells!D2:D999, D255,CaseCells!E2:E999, "A")</f>
        <v>10000</v>
      </c>
      <c r="K255" s="3">
        <f>IF(J255 = 0, "", I255 / J255)</f>
        <v>0.04</v>
      </c>
      <c r="L255" s="5">
        <f>SUMIFS(CaseCells!F2:F999,CaseCells!C2:C999, C255,CaseCells!D2:D999, D255,CaseCells!E2:E999, "B")</f>
        <v>180</v>
      </c>
      <c r="M255" s="5">
        <f>SUMIFS(CaseCells!G2:G999,CaseCells!C2:C999, C255,CaseCells!D2:D999, D255,CaseCells!E2:E999, "B")</f>
        <v>800</v>
      </c>
      <c r="N255" s="3">
        <f>IF(M255 = 0, "", L255 / M255)</f>
        <v>0.225</v>
      </c>
      <c r="O255" s="3" t="str">
        <f>IF(K255 &gt; N255, "A", "B")</f>
        <v>B</v>
      </c>
      <c r="P255" s="5">
        <f>SUMIFS(CaseCells!G2:G999,CaseCells!C2:C999, C255)</f>
        <v>163000</v>
      </c>
      <c r="Q255" s="5">
        <f>SUMIFS(CaseCells!G2:G999,CaseCells!C2:C999, C255,CaseCells!D2:D999, D255)</f>
        <v>10800</v>
      </c>
      <c r="R255" s="3">
        <f>IF(P255 = 0, "", Q255 / P255)</f>
        <v>0.06625766871165645</v>
      </c>
      <c r="S255" s="3">
        <f>IF(R255 = "", "", R255 * H255)</f>
        <v>0.0149079754601227</v>
      </c>
      <c r="T255" s="5">
        <f>SUMIFS(CaseCells!G2:G999,CaseCells!C2:C999, C255,CaseCells!D2:D999, D255,CaseCells!E2:E999, "A")</f>
        <v>10000</v>
      </c>
      <c r="U255" s="5">
        <f>SUMIFS(CaseCells!G2:G999,CaseCells!C2:C999, C255,CaseCells!D2:D999, D255,CaseCells!E2:E999, "B")</f>
        <v>800</v>
      </c>
      <c r="V255" s="5">
        <f>SUMIFS(CaseCells!G2:G999,CaseCells!C2:C999, C255,CaseCells!E2:E999, "A")</f>
        <v>11000</v>
      </c>
      <c r="W255" s="5">
        <f>SUMIFS(CaseCells!G2:G999,CaseCells!C2:C999, C255,CaseCells!E2:E999, "B")</f>
        <v>152000</v>
      </c>
      <c r="X255" s="3">
        <f>IF(V255 = 0, "", T255 / V255)</f>
        <v>0.9090909090909091</v>
      </c>
      <c r="Y255" s="3">
        <f>IF(W255 = 0, "", U255 / W255)</f>
        <v>0.005263157894736842</v>
      </c>
      <c r="Z255" s="3">
        <f>IF(X255 = "", "", X255 - Y255)</f>
        <v>0.9038277511961722</v>
      </c>
      <c r="AA255" s="3">
        <f>IF(K255 = "", "", K255 - N255)</f>
        <v>-0.185</v>
      </c>
      <c r="AB255" s="3">
        <f>IF(AA255 = "", "", AA255 * R255)</f>
        <v>-0.012257668711656443</v>
      </c>
    </row>
    <row r="256">
      <c r="A256" s="2" t="s">
        <v>2033</v>
      </c>
      <c r="B256" s="3" t="str">
        <f>A256</f>
        <v>cochran-smoking-1968-under-65-A</v>
      </c>
      <c r="C256" s="2" t="s">
        <v>617</v>
      </c>
      <c r="D256" s="2" t="s">
        <v>1331</v>
      </c>
      <c r="E256" s="2" t="s">
        <v>792</v>
      </c>
      <c r="F256" s="5">
        <f>SUMIFS(CaseCells!F2:F999,CaseCells!C2:C999, C256,CaseCells!D2:D999, D256,CaseCells!E2:E999, E256)</f>
        <v>8500</v>
      </c>
      <c r="G256" s="5">
        <f>SUMIFS(CaseCells!G2:G999,CaseCells!C2:C999, C256,CaseCells!D2:D999, D256,CaseCells!E2:E999, E256)</f>
        <v>10000</v>
      </c>
      <c r="H256" s="3">
        <f>IF(G256 = 0, "", F256 / G256)</f>
        <v>0.85</v>
      </c>
      <c r="I256" s="5">
        <f>SUMIFS(CaseCells!F2:F999,CaseCells!C2:C999, C256,CaseCells!D2:D999, D256,CaseCells!E2:E999, "A")</f>
        <v>8500</v>
      </c>
      <c r="J256" s="5">
        <f>SUMIFS(CaseCells!G2:G999,CaseCells!C2:C999, C256,CaseCells!D2:D999, D256,CaseCells!E2:E999, "A")</f>
        <v>10000</v>
      </c>
      <c r="K256" s="3">
        <f>IF(J256 = 0, "", I256 / J256)</f>
        <v>0.85</v>
      </c>
      <c r="L256" s="5">
        <f>SUMIFS(CaseCells!F2:F999,CaseCells!C2:C999, C256,CaseCells!D2:D999, D256,CaseCells!E2:E999, "B")</f>
        <v>900</v>
      </c>
      <c r="M256" s="5">
        <f>SUMIFS(CaseCells!G2:G999,CaseCells!C2:C999, C256,CaseCells!D2:D999, D256,CaseCells!E2:E999, "B")</f>
        <v>1000</v>
      </c>
      <c r="N256" s="3">
        <f>IF(M256 = 0, "", L256 / M256)</f>
        <v>0.9</v>
      </c>
      <c r="O256" s="3" t="str">
        <f>IF(K256 &gt; N256, "A", "B")</f>
        <v>B</v>
      </c>
      <c r="P256" s="5">
        <f>SUMIFS(CaseCells!G2:G999,CaseCells!C2:C999, C256)</f>
        <v>13000</v>
      </c>
      <c r="Q256" s="5">
        <f>SUMIFS(CaseCells!G2:G999,CaseCells!C2:C999, C256,CaseCells!D2:D999, D256)</f>
        <v>11000</v>
      </c>
      <c r="R256" s="3">
        <f>IF(P256 = 0, "", Q256 / P256)</f>
        <v>0.8461538461538461</v>
      </c>
      <c r="S256" s="3">
        <f>IF(R256 = "", "", R256 * H256)</f>
        <v>0.7192307692307692</v>
      </c>
      <c r="T256" s="5">
        <f>SUMIFS(CaseCells!G2:G999,CaseCells!C2:C999, C256,CaseCells!D2:D999, D256,CaseCells!E2:E999, "A")</f>
        <v>10000</v>
      </c>
      <c r="U256" s="5">
        <f>SUMIFS(CaseCells!G2:G999,CaseCells!C2:C999, C256,CaseCells!D2:D999, D256,CaseCells!E2:E999, "B")</f>
        <v>1000</v>
      </c>
      <c r="V256" s="5">
        <f>SUMIFS(CaseCells!G2:G999,CaseCells!C2:C999, C256,CaseCells!E2:E999, "A")</f>
        <v>11000</v>
      </c>
      <c r="W256" s="5">
        <f>SUMIFS(CaseCells!G2:G999,CaseCells!C2:C999, C256,CaseCells!E2:E999, "B")</f>
        <v>2000</v>
      </c>
      <c r="X256" s="3">
        <f>IF(V256 = 0, "", T256 / V256)</f>
        <v>0.9090909090909091</v>
      </c>
      <c r="Y256" s="3">
        <f>IF(W256 = 0, "", U256 / W256)</f>
        <v>0.5</v>
      </c>
      <c r="Z256" s="3">
        <f>IF(X256 = "", "", X256 - Y256)</f>
        <v>0.40909090909090906</v>
      </c>
      <c r="AA256" s="3">
        <f>IF(K256 = "", "", K256 - N256)</f>
        <v>-0.050000000000000044</v>
      </c>
      <c r="AB256" s="3">
        <f>IF(AA256 = "", "", AA256 * R256)</f>
        <v>-0.042307692307692345</v>
      </c>
    </row>
    <row r="257">
      <c r="A257" s="2" t="s">
        <v>2034</v>
      </c>
      <c r="B257" s="3" t="str">
        <f>A257</f>
        <v>cochran-smoking-1968-under-65-B</v>
      </c>
      <c r="C257" s="2" t="s">
        <v>617</v>
      </c>
      <c r="D257" s="2" t="s">
        <v>1331</v>
      </c>
      <c r="E257" s="2" t="s">
        <v>795</v>
      </c>
      <c r="F257" s="5">
        <f>SUMIFS(CaseCells!F2:F999,CaseCells!C2:C999, C257,CaseCells!D2:D999, D257,CaseCells!E2:E999, E257)</f>
        <v>900</v>
      </c>
      <c r="G257" s="5">
        <f>SUMIFS(CaseCells!G2:G999,CaseCells!C2:C999, C257,CaseCells!D2:D999, D257,CaseCells!E2:E999, E257)</f>
        <v>1000</v>
      </c>
      <c r="H257" s="3">
        <f>IF(G257 = 0, "", F257 / G257)</f>
        <v>0.9</v>
      </c>
      <c r="I257" s="5">
        <f>SUMIFS(CaseCells!F2:F999,CaseCells!C2:C999, C257,CaseCells!D2:D999, D257,CaseCells!E2:E999, "A")</f>
        <v>8500</v>
      </c>
      <c r="J257" s="5">
        <f>SUMIFS(CaseCells!G2:G999,CaseCells!C2:C999, C257,CaseCells!D2:D999, D257,CaseCells!E2:E999, "A")</f>
        <v>10000</v>
      </c>
      <c r="K257" s="3">
        <f>IF(J257 = 0, "", I257 / J257)</f>
        <v>0.85</v>
      </c>
      <c r="L257" s="5">
        <f>SUMIFS(CaseCells!F2:F999,CaseCells!C2:C999, C257,CaseCells!D2:D999, D257,CaseCells!E2:E999, "B")</f>
        <v>900</v>
      </c>
      <c r="M257" s="5">
        <f>SUMIFS(CaseCells!G2:G999,CaseCells!C2:C999, C257,CaseCells!D2:D999, D257,CaseCells!E2:E999, "B")</f>
        <v>1000</v>
      </c>
      <c r="N257" s="3">
        <f>IF(M257 = 0, "", L257 / M257)</f>
        <v>0.9</v>
      </c>
      <c r="O257" s="3" t="str">
        <f>IF(K257 &gt; N257, "A", "B")</f>
        <v>B</v>
      </c>
      <c r="P257" s="5">
        <f>SUMIFS(CaseCells!G2:G999,CaseCells!C2:C999, C257)</f>
        <v>13000</v>
      </c>
      <c r="Q257" s="5">
        <f>SUMIFS(CaseCells!G2:G999,CaseCells!C2:C999, C257,CaseCells!D2:D999, D257)</f>
        <v>11000</v>
      </c>
      <c r="R257" s="3">
        <f>IF(P257 = 0, "", Q257 / P257)</f>
        <v>0.8461538461538461</v>
      </c>
      <c r="S257" s="3">
        <f>IF(R257 = "", "", R257 * H257)</f>
        <v>0.7615384615384615</v>
      </c>
      <c r="T257" s="5">
        <f>SUMIFS(CaseCells!G2:G999,CaseCells!C2:C999, C257,CaseCells!D2:D999, D257,CaseCells!E2:E999, "A")</f>
        <v>10000</v>
      </c>
      <c r="U257" s="5">
        <f>SUMIFS(CaseCells!G2:G999,CaseCells!C2:C999, C257,CaseCells!D2:D999, D257,CaseCells!E2:E999, "B")</f>
        <v>1000</v>
      </c>
      <c r="V257" s="5">
        <f>SUMIFS(CaseCells!G2:G999,CaseCells!C2:C999, C257,CaseCells!E2:E999, "A")</f>
        <v>11000</v>
      </c>
      <c r="W257" s="5">
        <f>SUMIFS(CaseCells!G2:G999,CaseCells!C2:C999, C257,CaseCells!E2:E999, "B")</f>
        <v>2000</v>
      </c>
      <c r="X257" s="3">
        <f>IF(V257 = 0, "", T257 / V257)</f>
        <v>0.9090909090909091</v>
      </c>
      <c r="Y257" s="3">
        <f>IF(W257 = 0, "", U257 / W257)</f>
        <v>0.5</v>
      </c>
      <c r="Z257" s="3">
        <f>IF(X257 = "", "", X257 - Y257)</f>
        <v>0.40909090909090906</v>
      </c>
      <c r="AA257" s="3">
        <f>IF(K257 = "", "", K257 - N257)</f>
        <v>-0.050000000000000044</v>
      </c>
      <c r="AB257" s="3">
        <f>IF(AA257 = "", "", AA257 * R257)</f>
        <v>-0.042307692307692345</v>
      </c>
    </row>
    <row r="258">
      <c r="A258" s="2" t="s">
        <v>2035</v>
      </c>
      <c r="B258" s="3" t="str">
        <f>A258</f>
        <v>cochran-smoking-1968-65-plus-A</v>
      </c>
      <c r="C258" s="2" t="s">
        <v>617</v>
      </c>
      <c r="D258" s="2" t="s">
        <v>1523</v>
      </c>
      <c r="E258" s="2" t="s">
        <v>792</v>
      </c>
      <c r="F258" s="5">
        <f>SUMIFS(CaseCells!F2:F999,CaseCells!C2:C999, C258,CaseCells!D2:D999, D258,CaseCells!E2:E999, E258)</f>
        <v>400</v>
      </c>
      <c r="G258" s="5">
        <f>SUMIFS(CaseCells!G2:G999,CaseCells!C2:C999, C258,CaseCells!D2:D999, D258,CaseCells!E2:E999, E258)</f>
        <v>1000</v>
      </c>
      <c r="H258" s="3">
        <f>IF(G258 = 0, "", F258 / G258)</f>
        <v>0.4</v>
      </c>
      <c r="I258" s="5">
        <f>SUMIFS(CaseCells!F2:F999,CaseCells!C2:C999, C258,CaseCells!D2:D999, D258,CaseCells!E2:E999, "A")</f>
        <v>400</v>
      </c>
      <c r="J258" s="5">
        <f>SUMIFS(CaseCells!G2:G999,CaseCells!C2:C999, C258,CaseCells!D2:D999, D258,CaseCells!E2:E999, "A")</f>
        <v>1000</v>
      </c>
      <c r="K258" s="3">
        <f>IF(J258 = 0, "", I258 / J258)</f>
        <v>0.4</v>
      </c>
      <c r="L258" s="5">
        <f>SUMIFS(CaseCells!F2:F999,CaseCells!C2:C999, C258,CaseCells!D2:D999, D258,CaseCells!E2:E999, "B")</f>
        <v>500</v>
      </c>
      <c r="M258" s="5">
        <f>SUMIFS(CaseCells!G2:G999,CaseCells!C2:C999, C258,CaseCells!D2:D999, D258,CaseCells!E2:E999, "B")</f>
        <v>1000</v>
      </c>
      <c r="N258" s="3">
        <f>IF(M258 = 0, "", L258 / M258)</f>
        <v>0.5</v>
      </c>
      <c r="O258" s="3" t="str">
        <f>IF(K258 &gt; N258, "A", "B")</f>
        <v>B</v>
      </c>
      <c r="P258" s="5">
        <f>SUMIFS(CaseCells!G2:G999,CaseCells!C2:C999, C258)</f>
        <v>13000</v>
      </c>
      <c r="Q258" s="5">
        <f>SUMIFS(CaseCells!G2:G999,CaseCells!C2:C999, C258,CaseCells!D2:D999, D258)</f>
        <v>2000</v>
      </c>
      <c r="R258" s="3">
        <f>IF(P258 = 0, "", Q258 / P258)</f>
        <v>0.15384615384615385</v>
      </c>
      <c r="S258" s="3">
        <f>IF(R258 = "", "", R258 * H258)</f>
        <v>0.06153846153846154</v>
      </c>
      <c r="T258" s="5">
        <f>SUMIFS(CaseCells!G2:G999,CaseCells!C2:C999, C258,CaseCells!D2:D999, D258,CaseCells!E2:E999, "A")</f>
        <v>1000</v>
      </c>
      <c r="U258" s="5">
        <f>SUMIFS(CaseCells!G2:G999,CaseCells!C2:C999, C258,CaseCells!D2:D999, D258,CaseCells!E2:E999, "B")</f>
        <v>1000</v>
      </c>
      <c r="V258" s="5">
        <f>SUMIFS(CaseCells!G2:G999,CaseCells!C2:C999, C258,CaseCells!E2:E999, "A")</f>
        <v>11000</v>
      </c>
      <c r="W258" s="5">
        <f>SUMIFS(CaseCells!G2:G999,CaseCells!C2:C999, C258,CaseCells!E2:E999, "B")</f>
        <v>2000</v>
      </c>
      <c r="X258" s="3">
        <f>IF(V258 = 0, "", T258 / V258)</f>
        <v>0.09090909090909091</v>
      </c>
      <c r="Y258" s="3">
        <f>IF(W258 = 0, "", U258 / W258)</f>
        <v>0.5</v>
      </c>
      <c r="Z258" s="3">
        <f>IF(X258 = "", "", X258 - Y258)</f>
        <v>-0.40909090909090906</v>
      </c>
      <c r="AA258" s="3">
        <f>IF(K258 = "", "", K258 - N258)</f>
        <v>-0.09999999999999998</v>
      </c>
      <c r="AB258" s="3">
        <f>IF(AA258 = "", "", AA258 * R258)</f>
        <v>-0.015384615384615382</v>
      </c>
    </row>
    <row r="259">
      <c r="A259" s="2" t="s">
        <v>2036</v>
      </c>
      <c r="B259" s="3" t="str">
        <f>A259</f>
        <v>cochran-smoking-1968-65-plus-B</v>
      </c>
      <c r="C259" s="2" t="s">
        <v>617</v>
      </c>
      <c r="D259" s="2" t="s">
        <v>1523</v>
      </c>
      <c r="E259" s="2" t="s">
        <v>795</v>
      </c>
      <c r="F259" s="5">
        <f>SUMIFS(CaseCells!F2:F999,CaseCells!C2:C999, C259,CaseCells!D2:D999, D259,CaseCells!E2:E999, E259)</f>
        <v>500</v>
      </c>
      <c r="G259" s="5">
        <f>SUMIFS(CaseCells!G2:G999,CaseCells!C2:C999, C259,CaseCells!D2:D999, D259,CaseCells!E2:E999, E259)</f>
        <v>1000</v>
      </c>
      <c r="H259" s="3">
        <f>IF(G259 = 0, "", F259 / G259)</f>
        <v>0.5</v>
      </c>
      <c r="I259" s="5">
        <f>SUMIFS(CaseCells!F2:F999,CaseCells!C2:C999, C259,CaseCells!D2:D999, D259,CaseCells!E2:E999, "A")</f>
        <v>400</v>
      </c>
      <c r="J259" s="5">
        <f>SUMIFS(CaseCells!G2:G999,CaseCells!C2:C999, C259,CaseCells!D2:D999, D259,CaseCells!E2:E999, "A")</f>
        <v>1000</v>
      </c>
      <c r="K259" s="3">
        <f>IF(J259 = 0, "", I259 / J259)</f>
        <v>0.4</v>
      </c>
      <c r="L259" s="5">
        <f>SUMIFS(CaseCells!F2:F999,CaseCells!C2:C999, C259,CaseCells!D2:D999, D259,CaseCells!E2:E999, "B")</f>
        <v>500</v>
      </c>
      <c r="M259" s="5">
        <f>SUMIFS(CaseCells!G2:G999,CaseCells!C2:C999, C259,CaseCells!D2:D999, D259,CaseCells!E2:E999, "B")</f>
        <v>1000</v>
      </c>
      <c r="N259" s="3">
        <f>IF(M259 = 0, "", L259 / M259)</f>
        <v>0.5</v>
      </c>
      <c r="O259" s="3" t="str">
        <f>IF(K259 &gt; N259, "A", "B")</f>
        <v>B</v>
      </c>
      <c r="P259" s="5">
        <f>SUMIFS(CaseCells!G2:G999,CaseCells!C2:C999, C259)</f>
        <v>13000</v>
      </c>
      <c r="Q259" s="5">
        <f>SUMIFS(CaseCells!G2:G999,CaseCells!C2:C999, C259,CaseCells!D2:D999, D259)</f>
        <v>2000</v>
      </c>
      <c r="R259" s="3">
        <f>IF(P259 = 0, "", Q259 / P259)</f>
        <v>0.15384615384615385</v>
      </c>
      <c r="S259" s="3">
        <f>IF(R259 = "", "", R259 * H259)</f>
        <v>0.07692307692307693</v>
      </c>
      <c r="T259" s="5">
        <f>SUMIFS(CaseCells!G2:G999,CaseCells!C2:C999, C259,CaseCells!D2:D999, D259,CaseCells!E2:E999, "A")</f>
        <v>1000</v>
      </c>
      <c r="U259" s="5">
        <f>SUMIFS(CaseCells!G2:G999,CaseCells!C2:C999, C259,CaseCells!D2:D999, D259,CaseCells!E2:E999, "B")</f>
        <v>1000</v>
      </c>
      <c r="V259" s="5">
        <f>SUMIFS(CaseCells!G2:G999,CaseCells!C2:C999, C259,CaseCells!E2:E999, "A")</f>
        <v>11000</v>
      </c>
      <c r="W259" s="5">
        <f>SUMIFS(CaseCells!G2:G999,CaseCells!C2:C999, C259,CaseCells!E2:E999, "B")</f>
        <v>2000</v>
      </c>
      <c r="X259" s="3">
        <f>IF(V259 = 0, "", T259 / V259)</f>
        <v>0.09090909090909091</v>
      </c>
      <c r="Y259" s="3">
        <f>IF(W259 = 0, "", U259 / W259)</f>
        <v>0.5</v>
      </c>
      <c r="Z259" s="3">
        <f>IF(X259 = "", "", X259 - Y259)</f>
        <v>-0.40909090909090906</v>
      </c>
      <c r="AA259" s="3">
        <f>IF(K259 = "", "", K259 - N259)</f>
        <v>-0.09999999999999998</v>
      </c>
      <c r="AB259" s="3">
        <f>IF(AA259 = "", "", AA259 * R259)</f>
        <v>-0.015384615384615382</v>
      </c>
    </row>
    <row r="260">
      <c r="A260" s="2" t="s">
        <v>2037</v>
      </c>
      <c r="B260" s="3" t="str">
        <f>A260</f>
        <v>healthy-worker-mortality-low-hazard-occupations-A</v>
      </c>
      <c r="C260" s="2" t="s">
        <v>621</v>
      </c>
      <c r="D260" s="2" t="s">
        <v>1526</v>
      </c>
      <c r="E260" s="2" t="s">
        <v>792</v>
      </c>
      <c r="F260" s="5">
        <f>SUMIFS(CaseCells!F2:F999,CaseCells!C2:C999, C260,CaseCells!D2:D999, D260,CaseCells!E2:E999, E260)</f>
        <v>950</v>
      </c>
      <c r="G260" s="5">
        <f>SUMIFS(CaseCells!G2:G999,CaseCells!C2:C999, C260,CaseCells!D2:D999, D260,CaseCells!E2:E999, E260)</f>
        <v>1000</v>
      </c>
      <c r="H260" s="3">
        <f>IF(G260 = 0, "", F260 / G260)</f>
        <v>0.95</v>
      </c>
      <c r="I260" s="5">
        <f>SUMIFS(CaseCells!F2:F999,CaseCells!C2:C999, C260,CaseCells!D2:D999, D260,CaseCells!E2:E999, "A")</f>
        <v>950</v>
      </c>
      <c r="J260" s="5">
        <f>SUMIFS(CaseCells!G2:G999,CaseCells!C2:C999, C260,CaseCells!D2:D999, D260,CaseCells!E2:E999, "A")</f>
        <v>1000</v>
      </c>
      <c r="K260" s="3">
        <f>IF(J260 = 0, "", I260 / J260)</f>
        <v>0.95</v>
      </c>
      <c r="L260" s="5">
        <f>SUMIFS(CaseCells!F2:F999,CaseCells!C2:C999, C260,CaseCells!D2:D999, D260,CaseCells!E2:E999, "B")</f>
        <v>900</v>
      </c>
      <c r="M260" s="5">
        <f>SUMIFS(CaseCells!G2:G999,CaseCells!C2:C999, C260,CaseCells!D2:D999, D260,CaseCells!E2:E999, "B")</f>
        <v>1000</v>
      </c>
      <c r="N260" s="3">
        <f>IF(M260 = 0, "", L260 / M260)</f>
        <v>0.9</v>
      </c>
      <c r="O260" s="3" t="str">
        <f>IF(K260 &gt; N260, "A", "B")</f>
        <v>A</v>
      </c>
      <c r="P260" s="5">
        <f>SUMIFS(CaseCells!G2:G999,CaseCells!C2:C999, C260)</f>
        <v>4000</v>
      </c>
      <c r="Q260" s="5">
        <f>SUMIFS(CaseCells!G2:G999,CaseCells!C2:C999, C260,CaseCells!D2:D999, D260)</f>
        <v>2000</v>
      </c>
      <c r="R260" s="3">
        <f>IF(P260 = 0, "", Q260 / P260)</f>
        <v>0.5</v>
      </c>
      <c r="S260" s="3">
        <f>IF(R260 = "", "", R260 * H260)</f>
        <v>0.475</v>
      </c>
      <c r="T260" s="5">
        <f>SUMIFS(CaseCells!G2:G999,CaseCells!C2:C999, C260,CaseCells!D2:D999, D260,CaseCells!E2:E999, "A")</f>
        <v>1000</v>
      </c>
      <c r="U260" s="5">
        <f>SUMIFS(CaseCells!G2:G999,CaseCells!C2:C999, C260,CaseCells!D2:D999, D260,CaseCells!E2:E999, "B")</f>
        <v>1000</v>
      </c>
      <c r="V260" s="5">
        <f>SUMIFS(CaseCells!G2:G999,CaseCells!C2:C999, C260,CaseCells!E2:E999, "A")</f>
        <v>2000</v>
      </c>
      <c r="W260" s="5">
        <f>SUMIFS(CaseCells!G2:G999,CaseCells!C2:C999, C260,CaseCells!E2:E999, "B")</f>
        <v>2000</v>
      </c>
      <c r="X260" s="3">
        <f>IF(V260 = 0, "", T260 / V260)</f>
        <v>0.5</v>
      </c>
      <c r="Y260" s="3">
        <f>IF(W260 = 0, "", U260 / W260)</f>
        <v>0.5</v>
      </c>
      <c r="Z260" s="3">
        <f>IF(X260 = "", "", X260 - Y260)</f>
        <v>0</v>
      </c>
      <c r="AA260" s="3">
        <f>IF(K260 = "", "", K260 - N260)</f>
        <v>0.04999999999999993</v>
      </c>
      <c r="AB260" s="3">
        <f>IF(AA260 = "", "", AA260 * R260)</f>
        <v>0.024999999999999967</v>
      </c>
    </row>
    <row r="261">
      <c r="A261" s="2" t="s">
        <v>2038</v>
      </c>
      <c r="B261" s="3" t="str">
        <f>A261</f>
        <v>healthy-worker-mortality-low-hazard-occupations-B</v>
      </c>
      <c r="C261" s="2" t="s">
        <v>621</v>
      </c>
      <c r="D261" s="2" t="s">
        <v>1526</v>
      </c>
      <c r="E261" s="2" t="s">
        <v>795</v>
      </c>
      <c r="F261" s="5">
        <f>SUMIFS(CaseCells!F2:F999,CaseCells!C2:C999, C261,CaseCells!D2:D999, D261,CaseCells!E2:E999, E261)</f>
        <v>900</v>
      </c>
      <c r="G261" s="5">
        <f>SUMIFS(CaseCells!G2:G999,CaseCells!C2:C999, C261,CaseCells!D2:D999, D261,CaseCells!E2:E999, E261)</f>
        <v>1000</v>
      </c>
      <c r="H261" s="3">
        <f>IF(G261 = 0, "", F261 / G261)</f>
        <v>0.9</v>
      </c>
      <c r="I261" s="5">
        <f>SUMIFS(CaseCells!F2:F999,CaseCells!C2:C999, C261,CaseCells!D2:D999, D261,CaseCells!E2:E999, "A")</f>
        <v>950</v>
      </c>
      <c r="J261" s="5">
        <f>SUMIFS(CaseCells!G2:G999,CaseCells!C2:C999, C261,CaseCells!D2:D999, D261,CaseCells!E2:E999, "A")</f>
        <v>1000</v>
      </c>
      <c r="K261" s="3">
        <f>IF(J261 = 0, "", I261 / J261)</f>
        <v>0.95</v>
      </c>
      <c r="L261" s="5">
        <f>SUMIFS(CaseCells!F2:F999,CaseCells!C2:C999, C261,CaseCells!D2:D999, D261,CaseCells!E2:E999, "B")</f>
        <v>900</v>
      </c>
      <c r="M261" s="5">
        <f>SUMIFS(CaseCells!G2:G999,CaseCells!C2:C999, C261,CaseCells!D2:D999, D261,CaseCells!E2:E999, "B")</f>
        <v>1000</v>
      </c>
      <c r="N261" s="3">
        <f>IF(M261 = 0, "", L261 / M261)</f>
        <v>0.9</v>
      </c>
      <c r="O261" s="3" t="str">
        <f>IF(K261 &gt; N261, "A", "B")</f>
        <v>A</v>
      </c>
      <c r="P261" s="5">
        <f>SUMIFS(CaseCells!G2:G999,CaseCells!C2:C999, C261)</f>
        <v>4000</v>
      </c>
      <c r="Q261" s="5">
        <f>SUMIFS(CaseCells!G2:G999,CaseCells!C2:C999, C261,CaseCells!D2:D999, D261)</f>
        <v>2000</v>
      </c>
      <c r="R261" s="3">
        <f>IF(P261 = 0, "", Q261 / P261)</f>
        <v>0.5</v>
      </c>
      <c r="S261" s="3">
        <f>IF(R261 = "", "", R261 * H261)</f>
        <v>0.45</v>
      </c>
      <c r="T261" s="5">
        <f>SUMIFS(CaseCells!G2:G999,CaseCells!C2:C999, C261,CaseCells!D2:D999, D261,CaseCells!E2:E999, "A")</f>
        <v>1000</v>
      </c>
      <c r="U261" s="5">
        <f>SUMIFS(CaseCells!G2:G999,CaseCells!C2:C999, C261,CaseCells!D2:D999, D261,CaseCells!E2:E999, "B")</f>
        <v>1000</v>
      </c>
      <c r="V261" s="5">
        <f>SUMIFS(CaseCells!G2:G999,CaseCells!C2:C999, C261,CaseCells!E2:E999, "A")</f>
        <v>2000</v>
      </c>
      <c r="W261" s="5">
        <f>SUMIFS(CaseCells!G2:G999,CaseCells!C2:C999, C261,CaseCells!E2:E999, "B")</f>
        <v>2000</v>
      </c>
      <c r="X261" s="3">
        <f>IF(V261 = 0, "", T261 / V261)</f>
        <v>0.5</v>
      </c>
      <c r="Y261" s="3">
        <f>IF(W261 = 0, "", U261 / W261)</f>
        <v>0.5</v>
      </c>
      <c r="Z261" s="3">
        <f>IF(X261 = "", "", X261 - Y261)</f>
        <v>0</v>
      </c>
      <c r="AA261" s="3">
        <f>IF(K261 = "", "", K261 - N261)</f>
        <v>0.04999999999999993</v>
      </c>
      <c r="AB261" s="3">
        <f>IF(AA261 = "", "", AA261 * R261)</f>
        <v>0.024999999999999967</v>
      </c>
    </row>
    <row r="262">
      <c r="A262" s="2" t="s">
        <v>2039</v>
      </c>
      <c r="B262" s="3" t="str">
        <f>A262</f>
        <v>healthy-worker-mortality-high-hazard-occupations-A</v>
      </c>
      <c r="C262" s="2" t="s">
        <v>621</v>
      </c>
      <c r="D262" s="2" t="s">
        <v>1529</v>
      </c>
      <c r="E262" s="2" t="s">
        <v>792</v>
      </c>
      <c r="F262" s="5">
        <f>SUMIFS(CaseCells!F2:F999,CaseCells!C2:C999, C262,CaseCells!D2:D999, D262,CaseCells!E2:E999, E262)</f>
        <v>850</v>
      </c>
      <c r="G262" s="5">
        <f>SUMIFS(CaseCells!G2:G999,CaseCells!C2:C999, C262,CaseCells!D2:D999, D262,CaseCells!E2:E999, E262)</f>
        <v>1000</v>
      </c>
      <c r="H262" s="3">
        <f>IF(G262 = 0, "", F262 / G262)</f>
        <v>0.85</v>
      </c>
      <c r="I262" s="5">
        <f>SUMIFS(CaseCells!F2:F999,CaseCells!C2:C999, C262,CaseCells!D2:D999, D262,CaseCells!E2:E999, "A")</f>
        <v>850</v>
      </c>
      <c r="J262" s="5">
        <f>SUMIFS(CaseCells!G2:G999,CaseCells!C2:C999, C262,CaseCells!D2:D999, D262,CaseCells!E2:E999, "A")</f>
        <v>1000</v>
      </c>
      <c r="K262" s="3">
        <f>IF(J262 = 0, "", I262 / J262)</f>
        <v>0.85</v>
      </c>
      <c r="L262" s="5">
        <f>SUMIFS(CaseCells!F2:F999,CaseCells!C2:C999, C262,CaseCells!D2:D999, D262,CaseCells!E2:E999, "B")</f>
        <v>800</v>
      </c>
      <c r="M262" s="5">
        <f>SUMIFS(CaseCells!G2:G999,CaseCells!C2:C999, C262,CaseCells!D2:D999, D262,CaseCells!E2:E999, "B")</f>
        <v>1000</v>
      </c>
      <c r="N262" s="3">
        <f>IF(M262 = 0, "", L262 / M262)</f>
        <v>0.8</v>
      </c>
      <c r="O262" s="3" t="str">
        <f>IF(K262 &gt; N262, "A", "B")</f>
        <v>A</v>
      </c>
      <c r="P262" s="5">
        <f>SUMIFS(CaseCells!G2:G999,CaseCells!C2:C999, C262)</f>
        <v>4000</v>
      </c>
      <c r="Q262" s="5">
        <f>SUMIFS(CaseCells!G2:G999,CaseCells!C2:C999, C262,CaseCells!D2:D999, D262)</f>
        <v>2000</v>
      </c>
      <c r="R262" s="3">
        <f>IF(P262 = 0, "", Q262 / P262)</f>
        <v>0.5</v>
      </c>
      <c r="S262" s="3">
        <f>IF(R262 = "", "", R262 * H262)</f>
        <v>0.425</v>
      </c>
      <c r="T262" s="5">
        <f>SUMIFS(CaseCells!G2:G999,CaseCells!C2:C999, C262,CaseCells!D2:D999, D262,CaseCells!E2:E999, "A")</f>
        <v>1000</v>
      </c>
      <c r="U262" s="5">
        <f>SUMIFS(CaseCells!G2:G999,CaseCells!C2:C999, C262,CaseCells!D2:D999, D262,CaseCells!E2:E999, "B")</f>
        <v>1000</v>
      </c>
      <c r="V262" s="5">
        <f>SUMIFS(CaseCells!G2:G999,CaseCells!C2:C999, C262,CaseCells!E2:E999, "A")</f>
        <v>2000</v>
      </c>
      <c r="W262" s="5">
        <f>SUMIFS(CaseCells!G2:G999,CaseCells!C2:C999, C262,CaseCells!E2:E999, "B")</f>
        <v>2000</v>
      </c>
      <c r="X262" s="3">
        <f>IF(V262 = 0, "", T262 / V262)</f>
        <v>0.5</v>
      </c>
      <c r="Y262" s="3">
        <f>IF(W262 = 0, "", U262 / W262)</f>
        <v>0.5</v>
      </c>
      <c r="Z262" s="3">
        <f>IF(X262 = "", "", X262 - Y262)</f>
        <v>0</v>
      </c>
      <c r="AA262" s="3">
        <f>IF(K262 = "", "", K262 - N262)</f>
        <v>0.04999999999999993</v>
      </c>
      <c r="AB262" s="3">
        <f>IF(AA262 = "", "", AA262 * R262)</f>
        <v>0.024999999999999967</v>
      </c>
    </row>
    <row r="263">
      <c r="A263" s="2" t="s">
        <v>2040</v>
      </c>
      <c r="B263" s="3" t="str">
        <f>A263</f>
        <v>healthy-worker-mortality-high-hazard-occupations-B</v>
      </c>
      <c r="C263" s="2" t="s">
        <v>621</v>
      </c>
      <c r="D263" s="2" t="s">
        <v>1529</v>
      </c>
      <c r="E263" s="2" t="s">
        <v>795</v>
      </c>
      <c r="F263" s="5">
        <f>SUMIFS(CaseCells!F2:F999,CaseCells!C2:C999, C263,CaseCells!D2:D999, D263,CaseCells!E2:E999, E263)</f>
        <v>800</v>
      </c>
      <c r="G263" s="5">
        <f>SUMIFS(CaseCells!G2:G999,CaseCells!C2:C999, C263,CaseCells!D2:D999, D263,CaseCells!E2:E999, E263)</f>
        <v>1000</v>
      </c>
      <c r="H263" s="3">
        <f>IF(G263 = 0, "", F263 / G263)</f>
        <v>0.8</v>
      </c>
      <c r="I263" s="5">
        <f>SUMIFS(CaseCells!F2:F999,CaseCells!C2:C999, C263,CaseCells!D2:D999, D263,CaseCells!E2:E999, "A")</f>
        <v>850</v>
      </c>
      <c r="J263" s="5">
        <f>SUMIFS(CaseCells!G2:G999,CaseCells!C2:C999, C263,CaseCells!D2:D999, D263,CaseCells!E2:E999, "A")</f>
        <v>1000</v>
      </c>
      <c r="K263" s="3">
        <f>IF(J263 = 0, "", I263 / J263)</f>
        <v>0.85</v>
      </c>
      <c r="L263" s="5">
        <f>SUMIFS(CaseCells!F2:F999,CaseCells!C2:C999, C263,CaseCells!D2:D999, D263,CaseCells!E2:E999, "B")</f>
        <v>800</v>
      </c>
      <c r="M263" s="5">
        <f>SUMIFS(CaseCells!G2:G999,CaseCells!C2:C999, C263,CaseCells!D2:D999, D263,CaseCells!E2:E999, "B")</f>
        <v>1000</v>
      </c>
      <c r="N263" s="3">
        <f>IF(M263 = 0, "", L263 / M263)</f>
        <v>0.8</v>
      </c>
      <c r="O263" s="3" t="str">
        <f>IF(K263 &gt; N263, "A", "B")</f>
        <v>A</v>
      </c>
      <c r="P263" s="5">
        <f>SUMIFS(CaseCells!G2:G999,CaseCells!C2:C999, C263)</f>
        <v>4000</v>
      </c>
      <c r="Q263" s="5">
        <f>SUMIFS(CaseCells!G2:G999,CaseCells!C2:C999, C263,CaseCells!D2:D999, D263)</f>
        <v>2000</v>
      </c>
      <c r="R263" s="3">
        <f>IF(P263 = 0, "", Q263 / P263)</f>
        <v>0.5</v>
      </c>
      <c r="S263" s="3">
        <f>IF(R263 = "", "", R263 * H263)</f>
        <v>0.4</v>
      </c>
      <c r="T263" s="5">
        <f>SUMIFS(CaseCells!G2:G999,CaseCells!C2:C999, C263,CaseCells!D2:D999, D263,CaseCells!E2:E999, "A")</f>
        <v>1000</v>
      </c>
      <c r="U263" s="5">
        <f>SUMIFS(CaseCells!G2:G999,CaseCells!C2:C999, C263,CaseCells!D2:D999, D263,CaseCells!E2:E999, "B")</f>
        <v>1000</v>
      </c>
      <c r="V263" s="5">
        <f>SUMIFS(CaseCells!G2:G999,CaseCells!C2:C999, C263,CaseCells!E2:E999, "A")</f>
        <v>2000</v>
      </c>
      <c r="W263" s="5">
        <f>SUMIFS(CaseCells!G2:G999,CaseCells!C2:C999, C263,CaseCells!E2:E999, "B")</f>
        <v>2000</v>
      </c>
      <c r="X263" s="3">
        <f>IF(V263 = 0, "", T263 / V263)</f>
        <v>0.5</v>
      </c>
      <c r="Y263" s="3">
        <f>IF(W263 = 0, "", U263 / W263)</f>
        <v>0.5</v>
      </c>
      <c r="Z263" s="3">
        <f>IF(X263 = "", "", X263 - Y263)</f>
        <v>0</v>
      </c>
      <c r="AA263" s="3">
        <f>IF(K263 = "", "", K263 - N263)</f>
        <v>0.04999999999999993</v>
      </c>
      <c r="AB263" s="3">
        <f>IF(AA263 = "", "", AA263 * R263)</f>
        <v>0.024999999999999967</v>
      </c>
    </row>
    <row r="264">
      <c r="A264" s="2" t="s">
        <v>2041</v>
      </c>
      <c r="B264" s="3" t="str">
        <f>A264</f>
        <v>compas-recidivism-base-low-prevalence-group-A</v>
      </c>
      <c r="C264" s="2" t="s">
        <v>624</v>
      </c>
      <c r="D264" s="2" t="s">
        <v>1532</v>
      </c>
      <c r="E264" s="2" t="s">
        <v>792</v>
      </c>
      <c r="F264" s="5">
        <f>SUMIFS(CaseCells!F2:F999,CaseCells!C2:C999, C264,CaseCells!D2:D999, D264,CaseCells!E2:E999, E264)</f>
        <v>700</v>
      </c>
      <c r="G264" s="5">
        <f>SUMIFS(CaseCells!G2:G999,CaseCells!C2:C999, C264,CaseCells!D2:D999, D264,CaseCells!E2:E999, E264)</f>
        <v>1000</v>
      </c>
      <c r="H264" s="3">
        <f>IF(G264 = 0, "", F264 / G264)</f>
        <v>0.7</v>
      </c>
      <c r="I264" s="5">
        <f>SUMIFS(CaseCells!F2:F999,CaseCells!C2:C999, C264,CaseCells!D2:D999, D264,CaseCells!E2:E999, "A")</f>
        <v>700</v>
      </c>
      <c r="J264" s="5">
        <f>SUMIFS(CaseCells!G2:G999,CaseCells!C2:C999, C264,CaseCells!D2:D999, D264,CaseCells!E2:E999, "A")</f>
        <v>1000</v>
      </c>
      <c r="K264" s="3">
        <f>IF(J264 = 0, "", I264 / J264)</f>
        <v>0.7</v>
      </c>
      <c r="L264" s="5">
        <f>SUMIFS(CaseCells!F2:F999,CaseCells!C2:C999, C264,CaseCells!D2:D999, D264,CaseCells!E2:E999, "B")</f>
        <v>750</v>
      </c>
      <c r="M264" s="5">
        <f>SUMIFS(CaseCells!G2:G999,CaseCells!C2:C999, C264,CaseCells!D2:D999, D264,CaseCells!E2:E999, "B")</f>
        <v>1000</v>
      </c>
      <c r="N264" s="3">
        <f>IF(M264 = 0, "", L264 / M264)</f>
        <v>0.75</v>
      </c>
      <c r="O264" s="3" t="str">
        <f>IF(K264 &gt; N264, "A", "B")</f>
        <v>B</v>
      </c>
      <c r="P264" s="5">
        <f>SUMIFS(CaseCells!G2:G999,CaseCells!C2:C999, C264)</f>
        <v>4000</v>
      </c>
      <c r="Q264" s="5">
        <f>SUMIFS(CaseCells!G2:G999,CaseCells!C2:C999, C264,CaseCells!D2:D999, D264)</f>
        <v>2000</v>
      </c>
      <c r="R264" s="3">
        <f>IF(P264 = 0, "", Q264 / P264)</f>
        <v>0.5</v>
      </c>
      <c r="S264" s="3">
        <f>IF(R264 = "", "", R264 * H264)</f>
        <v>0.35</v>
      </c>
      <c r="T264" s="5">
        <f>SUMIFS(CaseCells!G2:G999,CaseCells!C2:C999, C264,CaseCells!D2:D999, D264,CaseCells!E2:E999, "A")</f>
        <v>1000</v>
      </c>
      <c r="U264" s="5">
        <f>SUMIFS(CaseCells!G2:G999,CaseCells!C2:C999, C264,CaseCells!D2:D999, D264,CaseCells!E2:E999, "B")</f>
        <v>1000</v>
      </c>
      <c r="V264" s="5">
        <f>SUMIFS(CaseCells!G2:G999,CaseCells!C2:C999, C264,CaseCells!E2:E999, "A")</f>
        <v>2000</v>
      </c>
      <c r="W264" s="5">
        <f>SUMIFS(CaseCells!G2:G999,CaseCells!C2:C999, C264,CaseCells!E2:E999, "B")</f>
        <v>2000</v>
      </c>
      <c r="X264" s="3">
        <f>IF(V264 = 0, "", T264 / V264)</f>
        <v>0.5</v>
      </c>
      <c r="Y264" s="3">
        <f>IF(W264 = 0, "", U264 / W264)</f>
        <v>0.5</v>
      </c>
      <c r="Z264" s="3">
        <f>IF(X264 = "", "", X264 - Y264)</f>
        <v>0</v>
      </c>
      <c r="AA264" s="3">
        <f>IF(K264 = "", "", K264 - N264)</f>
        <v>-0.050000000000000044</v>
      </c>
      <c r="AB264" s="3">
        <f>IF(AA264 = "", "", AA264 * R264)</f>
        <v>-0.025000000000000022</v>
      </c>
    </row>
    <row r="265">
      <c r="A265" s="2" t="s">
        <v>2042</v>
      </c>
      <c r="B265" s="3" t="str">
        <f>A265</f>
        <v>compas-recidivism-base-low-prevalence-group-B</v>
      </c>
      <c r="C265" s="2" t="s">
        <v>624</v>
      </c>
      <c r="D265" s="2" t="s">
        <v>1532</v>
      </c>
      <c r="E265" s="2" t="s">
        <v>795</v>
      </c>
      <c r="F265" s="5">
        <f>SUMIFS(CaseCells!F2:F999,CaseCells!C2:C999, C265,CaseCells!D2:D999, D265,CaseCells!E2:E999, E265)</f>
        <v>750</v>
      </c>
      <c r="G265" s="5">
        <f>SUMIFS(CaseCells!G2:G999,CaseCells!C2:C999, C265,CaseCells!D2:D999, D265,CaseCells!E2:E999, E265)</f>
        <v>1000</v>
      </c>
      <c r="H265" s="3">
        <f>IF(G265 = 0, "", F265 / G265)</f>
        <v>0.75</v>
      </c>
      <c r="I265" s="5">
        <f>SUMIFS(CaseCells!F2:F999,CaseCells!C2:C999, C265,CaseCells!D2:D999, D265,CaseCells!E2:E999, "A")</f>
        <v>700</v>
      </c>
      <c r="J265" s="5">
        <f>SUMIFS(CaseCells!G2:G999,CaseCells!C2:C999, C265,CaseCells!D2:D999, D265,CaseCells!E2:E999, "A")</f>
        <v>1000</v>
      </c>
      <c r="K265" s="3">
        <f>IF(J265 = 0, "", I265 / J265)</f>
        <v>0.7</v>
      </c>
      <c r="L265" s="5">
        <f>SUMIFS(CaseCells!F2:F999,CaseCells!C2:C999, C265,CaseCells!D2:D999, D265,CaseCells!E2:E999, "B")</f>
        <v>750</v>
      </c>
      <c r="M265" s="5">
        <f>SUMIFS(CaseCells!G2:G999,CaseCells!C2:C999, C265,CaseCells!D2:D999, D265,CaseCells!E2:E999, "B")</f>
        <v>1000</v>
      </c>
      <c r="N265" s="3">
        <f>IF(M265 = 0, "", L265 / M265)</f>
        <v>0.75</v>
      </c>
      <c r="O265" s="3" t="str">
        <f>IF(K265 &gt; N265, "A", "B")</f>
        <v>B</v>
      </c>
      <c r="P265" s="5">
        <f>SUMIFS(CaseCells!G2:G999,CaseCells!C2:C999, C265)</f>
        <v>4000</v>
      </c>
      <c r="Q265" s="5">
        <f>SUMIFS(CaseCells!G2:G999,CaseCells!C2:C999, C265,CaseCells!D2:D999, D265)</f>
        <v>2000</v>
      </c>
      <c r="R265" s="3">
        <f>IF(P265 = 0, "", Q265 / P265)</f>
        <v>0.5</v>
      </c>
      <c r="S265" s="3">
        <f>IF(R265 = "", "", R265 * H265)</f>
        <v>0.375</v>
      </c>
      <c r="T265" s="5">
        <f>SUMIFS(CaseCells!G2:G999,CaseCells!C2:C999, C265,CaseCells!D2:D999, D265,CaseCells!E2:E999, "A")</f>
        <v>1000</v>
      </c>
      <c r="U265" s="5">
        <f>SUMIFS(CaseCells!G2:G999,CaseCells!C2:C999, C265,CaseCells!D2:D999, D265,CaseCells!E2:E999, "B")</f>
        <v>1000</v>
      </c>
      <c r="V265" s="5">
        <f>SUMIFS(CaseCells!G2:G999,CaseCells!C2:C999, C265,CaseCells!E2:E999, "A")</f>
        <v>2000</v>
      </c>
      <c r="W265" s="5">
        <f>SUMIFS(CaseCells!G2:G999,CaseCells!C2:C999, C265,CaseCells!E2:E999, "B")</f>
        <v>2000</v>
      </c>
      <c r="X265" s="3">
        <f>IF(V265 = 0, "", T265 / V265)</f>
        <v>0.5</v>
      </c>
      <c r="Y265" s="3">
        <f>IF(W265 = 0, "", U265 / W265)</f>
        <v>0.5</v>
      </c>
      <c r="Z265" s="3">
        <f>IF(X265 = "", "", X265 - Y265)</f>
        <v>0</v>
      </c>
      <c r="AA265" s="3">
        <f>IF(K265 = "", "", K265 - N265)</f>
        <v>-0.050000000000000044</v>
      </c>
      <c r="AB265" s="3">
        <f>IF(AA265 = "", "", AA265 * R265)</f>
        <v>-0.025000000000000022</v>
      </c>
    </row>
    <row r="266">
      <c r="A266" s="2" t="s">
        <v>2043</v>
      </c>
      <c r="B266" s="3" t="str">
        <f>A266</f>
        <v>compas-recidivism-base-high-prevalence-group-A</v>
      </c>
      <c r="C266" s="2" t="s">
        <v>624</v>
      </c>
      <c r="D266" s="2" t="s">
        <v>1535</v>
      </c>
      <c r="E266" s="2" t="s">
        <v>792</v>
      </c>
      <c r="F266" s="5">
        <f>SUMIFS(CaseCells!F2:F999,CaseCells!C2:C999, C266,CaseCells!D2:D999, D266,CaseCells!E2:E999, E266)</f>
        <v>450</v>
      </c>
      <c r="G266" s="5">
        <f>SUMIFS(CaseCells!G2:G999,CaseCells!C2:C999, C266,CaseCells!D2:D999, D266,CaseCells!E2:E999, E266)</f>
        <v>1000</v>
      </c>
      <c r="H266" s="3">
        <f>IF(G266 = 0, "", F266 / G266)</f>
        <v>0.45</v>
      </c>
      <c r="I266" s="5">
        <f>SUMIFS(CaseCells!F2:F999,CaseCells!C2:C999, C266,CaseCells!D2:D999, D266,CaseCells!E2:E999, "A")</f>
        <v>450</v>
      </c>
      <c r="J266" s="5">
        <f>SUMIFS(CaseCells!G2:G999,CaseCells!C2:C999, C266,CaseCells!D2:D999, D266,CaseCells!E2:E999, "A")</f>
        <v>1000</v>
      </c>
      <c r="K266" s="3">
        <f>IF(J266 = 0, "", I266 / J266)</f>
        <v>0.45</v>
      </c>
      <c r="L266" s="5">
        <f>SUMIFS(CaseCells!F2:F999,CaseCells!C2:C999, C266,CaseCells!D2:D999, D266,CaseCells!E2:E999, "B")</f>
        <v>500</v>
      </c>
      <c r="M266" s="5">
        <f>SUMIFS(CaseCells!G2:G999,CaseCells!C2:C999, C266,CaseCells!D2:D999, D266,CaseCells!E2:E999, "B")</f>
        <v>1000</v>
      </c>
      <c r="N266" s="3">
        <f>IF(M266 = 0, "", L266 / M266)</f>
        <v>0.5</v>
      </c>
      <c r="O266" s="3" t="str">
        <f>IF(K266 &gt; N266, "A", "B")</f>
        <v>B</v>
      </c>
      <c r="P266" s="5">
        <f>SUMIFS(CaseCells!G2:G999,CaseCells!C2:C999, C266)</f>
        <v>4000</v>
      </c>
      <c r="Q266" s="5">
        <f>SUMIFS(CaseCells!G2:G999,CaseCells!C2:C999, C266,CaseCells!D2:D999, D266)</f>
        <v>2000</v>
      </c>
      <c r="R266" s="3">
        <f>IF(P266 = 0, "", Q266 / P266)</f>
        <v>0.5</v>
      </c>
      <c r="S266" s="3">
        <f>IF(R266 = "", "", R266 * H266)</f>
        <v>0.225</v>
      </c>
      <c r="T266" s="5">
        <f>SUMIFS(CaseCells!G2:G999,CaseCells!C2:C999, C266,CaseCells!D2:D999, D266,CaseCells!E2:E999, "A")</f>
        <v>1000</v>
      </c>
      <c r="U266" s="5">
        <f>SUMIFS(CaseCells!G2:G999,CaseCells!C2:C999, C266,CaseCells!D2:D999, D266,CaseCells!E2:E999, "B")</f>
        <v>1000</v>
      </c>
      <c r="V266" s="5">
        <f>SUMIFS(CaseCells!G2:G999,CaseCells!C2:C999, C266,CaseCells!E2:E999, "A")</f>
        <v>2000</v>
      </c>
      <c r="W266" s="5">
        <f>SUMIFS(CaseCells!G2:G999,CaseCells!C2:C999, C266,CaseCells!E2:E999, "B")</f>
        <v>2000</v>
      </c>
      <c r="X266" s="3">
        <f>IF(V266 = 0, "", T266 / V266)</f>
        <v>0.5</v>
      </c>
      <c r="Y266" s="3">
        <f>IF(W266 = 0, "", U266 / W266)</f>
        <v>0.5</v>
      </c>
      <c r="Z266" s="3">
        <f>IF(X266 = "", "", X266 - Y266)</f>
        <v>0</v>
      </c>
      <c r="AA266" s="3">
        <f>IF(K266 = "", "", K266 - N266)</f>
        <v>-0.04999999999999999</v>
      </c>
      <c r="AB266" s="3">
        <f>IF(AA266 = "", "", AA266 * R266)</f>
        <v>-0.024999999999999994</v>
      </c>
    </row>
    <row r="267">
      <c r="A267" s="2" t="s">
        <v>2044</v>
      </c>
      <c r="B267" s="3" t="str">
        <f>A267</f>
        <v>compas-recidivism-base-high-prevalence-group-B</v>
      </c>
      <c r="C267" s="2" t="s">
        <v>624</v>
      </c>
      <c r="D267" s="2" t="s">
        <v>1535</v>
      </c>
      <c r="E267" s="2" t="s">
        <v>795</v>
      </c>
      <c r="F267" s="5">
        <f>SUMIFS(CaseCells!F2:F999,CaseCells!C2:C999, C267,CaseCells!D2:D999, D267,CaseCells!E2:E999, E267)</f>
        <v>500</v>
      </c>
      <c r="G267" s="5">
        <f>SUMIFS(CaseCells!G2:G999,CaseCells!C2:C999, C267,CaseCells!D2:D999, D267,CaseCells!E2:E999, E267)</f>
        <v>1000</v>
      </c>
      <c r="H267" s="3">
        <f>IF(G267 = 0, "", F267 / G267)</f>
        <v>0.5</v>
      </c>
      <c r="I267" s="5">
        <f>SUMIFS(CaseCells!F2:F999,CaseCells!C2:C999, C267,CaseCells!D2:D999, D267,CaseCells!E2:E999, "A")</f>
        <v>450</v>
      </c>
      <c r="J267" s="5">
        <f>SUMIFS(CaseCells!G2:G999,CaseCells!C2:C999, C267,CaseCells!D2:D999, D267,CaseCells!E2:E999, "A")</f>
        <v>1000</v>
      </c>
      <c r="K267" s="3">
        <f>IF(J267 = 0, "", I267 / J267)</f>
        <v>0.45</v>
      </c>
      <c r="L267" s="5">
        <f>SUMIFS(CaseCells!F2:F999,CaseCells!C2:C999, C267,CaseCells!D2:D999, D267,CaseCells!E2:E999, "B")</f>
        <v>500</v>
      </c>
      <c r="M267" s="5">
        <f>SUMIFS(CaseCells!G2:G999,CaseCells!C2:C999, C267,CaseCells!D2:D999, D267,CaseCells!E2:E999, "B")</f>
        <v>1000</v>
      </c>
      <c r="N267" s="3">
        <f>IF(M267 = 0, "", L267 / M267)</f>
        <v>0.5</v>
      </c>
      <c r="O267" s="3" t="str">
        <f>IF(K267 &gt; N267, "A", "B")</f>
        <v>B</v>
      </c>
      <c r="P267" s="5">
        <f>SUMIFS(CaseCells!G2:G999,CaseCells!C2:C999, C267)</f>
        <v>4000</v>
      </c>
      <c r="Q267" s="5">
        <f>SUMIFS(CaseCells!G2:G999,CaseCells!C2:C999, C267,CaseCells!D2:D999, D267)</f>
        <v>2000</v>
      </c>
      <c r="R267" s="3">
        <f>IF(P267 = 0, "", Q267 / P267)</f>
        <v>0.5</v>
      </c>
      <c r="S267" s="3">
        <f>IF(R267 = "", "", R267 * H267)</f>
        <v>0.25</v>
      </c>
      <c r="T267" s="5">
        <f>SUMIFS(CaseCells!G2:G999,CaseCells!C2:C999, C267,CaseCells!D2:D999, D267,CaseCells!E2:E999, "A")</f>
        <v>1000</v>
      </c>
      <c r="U267" s="5">
        <f>SUMIFS(CaseCells!G2:G999,CaseCells!C2:C999, C267,CaseCells!D2:D999, D267,CaseCells!E2:E999, "B")</f>
        <v>1000</v>
      </c>
      <c r="V267" s="5">
        <f>SUMIFS(CaseCells!G2:G999,CaseCells!C2:C999, C267,CaseCells!E2:E999, "A")</f>
        <v>2000</v>
      </c>
      <c r="W267" s="5">
        <f>SUMIFS(CaseCells!G2:G999,CaseCells!C2:C999, C267,CaseCells!E2:E999, "B")</f>
        <v>2000</v>
      </c>
      <c r="X267" s="3">
        <f>IF(V267 = 0, "", T267 / V267)</f>
        <v>0.5</v>
      </c>
      <c r="Y267" s="3">
        <f>IF(W267 = 0, "", U267 / W267)</f>
        <v>0.5</v>
      </c>
      <c r="Z267" s="3">
        <f>IF(X267 = "", "", X267 - Y267)</f>
        <v>0</v>
      </c>
      <c r="AA267" s="3">
        <f>IF(K267 = "", "", K267 - N267)</f>
        <v>-0.04999999999999999</v>
      </c>
      <c r="AB267" s="3">
        <f>IF(AA267 = "", "", AA267 * R267)</f>
        <v>-0.024999999999999994</v>
      </c>
    </row>
    <row r="268">
      <c r="A268" s="2" t="s">
        <v>2045</v>
      </c>
      <c r="B268" s="3" t="str">
        <f>A268</f>
        <v>us-wage-composition-stagnation-college-educated-A</v>
      </c>
      <c r="C268" s="2" t="s">
        <v>629</v>
      </c>
      <c r="D268" s="2" t="s">
        <v>1538</v>
      </c>
      <c r="E268" s="2" t="s">
        <v>792</v>
      </c>
      <c r="F268" s="5">
        <f>SUMIFS(CaseCells!F2:F999,CaseCells!C2:C999, C268,CaseCells!D2:D999, D268,CaseCells!E2:E999, E268)</f>
        <v>5500</v>
      </c>
      <c r="G268" s="5">
        <f>SUMIFS(CaseCells!G2:G999,CaseCells!C2:C999, C268,CaseCells!D2:D999, D268,CaseCells!E2:E999, E268)</f>
        <v>10000</v>
      </c>
      <c r="H268" s="3">
        <f>IF(G268 = 0, "", F268 / G268)</f>
        <v>0.55</v>
      </c>
      <c r="I268" s="5">
        <f>SUMIFS(CaseCells!F2:F999,CaseCells!C2:C999, C268,CaseCells!D2:D999, D268,CaseCells!E2:E999, "A")</f>
        <v>5500</v>
      </c>
      <c r="J268" s="5">
        <f>SUMIFS(CaseCells!G2:G999,CaseCells!C2:C999, C268,CaseCells!D2:D999, D268,CaseCells!E2:E999, "A")</f>
        <v>10000</v>
      </c>
      <c r="K268" s="3">
        <f>IF(J268 = 0, "", I268 / J268)</f>
        <v>0.55</v>
      </c>
      <c r="L268" s="5">
        <f>SUMIFS(CaseCells!F2:F999,CaseCells!C2:C999, C268,CaseCells!D2:D999, D268,CaseCells!E2:E999, "B")</f>
        <v>5000</v>
      </c>
      <c r="M268" s="5">
        <f>SUMIFS(CaseCells!G2:G999,CaseCells!C2:C999, C268,CaseCells!D2:D999, D268,CaseCells!E2:E999, "B")</f>
        <v>10000</v>
      </c>
      <c r="N268" s="3">
        <f>IF(M268 = 0, "", L268 / M268)</f>
        <v>0.5</v>
      </c>
      <c r="O268" s="3" t="str">
        <f>IF(K268 &gt; N268, "A", "B")</f>
        <v>A</v>
      </c>
      <c r="P268" s="5">
        <f>SUMIFS(CaseCells!G2:G999,CaseCells!C2:C999, C268)</f>
        <v>31000</v>
      </c>
      <c r="Q268" s="5">
        <f>SUMIFS(CaseCells!G2:G999,CaseCells!C2:C999, C268,CaseCells!D2:D999, D268)</f>
        <v>20000</v>
      </c>
      <c r="R268" s="3">
        <f>IF(P268 = 0, "", Q268 / P268)</f>
        <v>0.6451612903225806</v>
      </c>
      <c r="S268" s="3">
        <f>IF(R268 = "", "", R268 * H268)</f>
        <v>0.3548387096774194</v>
      </c>
      <c r="T268" s="5">
        <f>SUMIFS(CaseCells!G2:G999,CaseCells!C2:C999, C268,CaseCells!D2:D999, D268,CaseCells!E2:E999, "A")</f>
        <v>10000</v>
      </c>
      <c r="U268" s="5">
        <f>SUMIFS(CaseCells!G2:G999,CaseCells!C2:C999, C268,CaseCells!D2:D999, D268,CaseCells!E2:E999, "B")</f>
        <v>10000</v>
      </c>
      <c r="V268" s="5">
        <f>SUMIFS(CaseCells!G2:G999,CaseCells!C2:C999, C268,CaseCells!E2:E999, "A")</f>
        <v>17000</v>
      </c>
      <c r="W268" s="5">
        <f>SUMIFS(CaseCells!G2:G999,CaseCells!C2:C999, C268,CaseCells!E2:E999, "B")</f>
        <v>14000</v>
      </c>
      <c r="X268" s="3">
        <f>IF(V268 = 0, "", T268 / V268)</f>
        <v>0.5882352941176471</v>
      </c>
      <c r="Y268" s="3">
        <f>IF(W268 = 0, "", U268 / W268)</f>
        <v>0.7142857142857143</v>
      </c>
      <c r="Z268" s="3">
        <f>IF(X268 = "", "", X268 - Y268)</f>
        <v>-0.12605042016806722</v>
      </c>
      <c r="AA268" s="3">
        <f>IF(K268 = "", "", K268 - N268)</f>
        <v>0.050000000000000044</v>
      </c>
      <c r="AB268" s="3">
        <f>IF(AA268 = "", "", AA268 * R268)</f>
        <v>0.03225806451612906</v>
      </c>
    </row>
    <row r="269">
      <c r="A269" s="2" t="s">
        <v>2046</v>
      </c>
      <c r="B269" s="3" t="str">
        <f>A269</f>
        <v>us-wage-composition-stagnation-college-educated-B</v>
      </c>
      <c r="C269" s="2" t="s">
        <v>629</v>
      </c>
      <c r="D269" s="2" t="s">
        <v>1538</v>
      </c>
      <c r="E269" s="2" t="s">
        <v>795</v>
      </c>
      <c r="F269" s="5">
        <f>SUMIFS(CaseCells!F2:F999,CaseCells!C2:C999, C269,CaseCells!D2:D999, D269,CaseCells!E2:E999, E269)</f>
        <v>5000</v>
      </c>
      <c r="G269" s="5">
        <f>SUMIFS(CaseCells!G2:G999,CaseCells!C2:C999, C269,CaseCells!D2:D999, D269,CaseCells!E2:E999, E269)</f>
        <v>10000</v>
      </c>
      <c r="H269" s="3">
        <f>IF(G269 = 0, "", F269 / G269)</f>
        <v>0.5</v>
      </c>
      <c r="I269" s="5">
        <f>SUMIFS(CaseCells!F2:F999,CaseCells!C2:C999, C269,CaseCells!D2:D999, D269,CaseCells!E2:E999, "A")</f>
        <v>5500</v>
      </c>
      <c r="J269" s="5">
        <f>SUMIFS(CaseCells!G2:G999,CaseCells!C2:C999, C269,CaseCells!D2:D999, D269,CaseCells!E2:E999, "A")</f>
        <v>10000</v>
      </c>
      <c r="K269" s="3">
        <f>IF(J269 = 0, "", I269 / J269)</f>
        <v>0.55</v>
      </c>
      <c r="L269" s="5">
        <f>SUMIFS(CaseCells!F2:F999,CaseCells!C2:C999, C269,CaseCells!D2:D999, D269,CaseCells!E2:E999, "B")</f>
        <v>5000</v>
      </c>
      <c r="M269" s="5">
        <f>SUMIFS(CaseCells!G2:G999,CaseCells!C2:C999, C269,CaseCells!D2:D999, D269,CaseCells!E2:E999, "B")</f>
        <v>10000</v>
      </c>
      <c r="N269" s="3">
        <f>IF(M269 = 0, "", L269 / M269)</f>
        <v>0.5</v>
      </c>
      <c r="O269" s="3" t="str">
        <f>IF(K269 &gt; N269, "A", "B")</f>
        <v>A</v>
      </c>
      <c r="P269" s="5">
        <f>SUMIFS(CaseCells!G2:G999,CaseCells!C2:C999, C269)</f>
        <v>31000</v>
      </c>
      <c r="Q269" s="5">
        <f>SUMIFS(CaseCells!G2:G999,CaseCells!C2:C999, C269,CaseCells!D2:D999, D269)</f>
        <v>20000</v>
      </c>
      <c r="R269" s="3">
        <f>IF(P269 = 0, "", Q269 / P269)</f>
        <v>0.6451612903225806</v>
      </c>
      <c r="S269" s="3">
        <f>IF(R269 = "", "", R269 * H269)</f>
        <v>0.3225806451612903</v>
      </c>
      <c r="T269" s="5">
        <f>SUMIFS(CaseCells!G2:G999,CaseCells!C2:C999, C269,CaseCells!D2:D999, D269,CaseCells!E2:E999, "A")</f>
        <v>10000</v>
      </c>
      <c r="U269" s="5">
        <f>SUMIFS(CaseCells!G2:G999,CaseCells!C2:C999, C269,CaseCells!D2:D999, D269,CaseCells!E2:E999, "B")</f>
        <v>10000</v>
      </c>
      <c r="V269" s="5">
        <f>SUMIFS(CaseCells!G2:G999,CaseCells!C2:C999, C269,CaseCells!E2:E999, "A")</f>
        <v>17000</v>
      </c>
      <c r="W269" s="5">
        <f>SUMIFS(CaseCells!G2:G999,CaseCells!C2:C999, C269,CaseCells!E2:E999, "B")</f>
        <v>14000</v>
      </c>
      <c r="X269" s="3">
        <f>IF(V269 = 0, "", T269 / V269)</f>
        <v>0.5882352941176471</v>
      </c>
      <c r="Y269" s="3">
        <f>IF(W269 = 0, "", U269 / W269)</f>
        <v>0.7142857142857143</v>
      </c>
      <c r="Z269" s="3">
        <f>IF(X269 = "", "", X269 - Y269)</f>
        <v>-0.12605042016806722</v>
      </c>
      <c r="AA269" s="3">
        <f>IF(K269 = "", "", K269 - N269)</f>
        <v>0.050000000000000044</v>
      </c>
      <c r="AB269" s="3">
        <f>IF(AA269 = "", "", AA269 * R269)</f>
        <v>0.03225806451612906</v>
      </c>
    </row>
    <row r="270">
      <c r="A270" s="2" t="s">
        <v>2047</v>
      </c>
      <c r="B270" s="3" t="str">
        <f>A270</f>
        <v>us-wage-composition-stagnation-non-college-A</v>
      </c>
      <c r="C270" s="2" t="s">
        <v>629</v>
      </c>
      <c r="D270" s="2" t="s">
        <v>1541</v>
      </c>
      <c r="E270" s="2" t="s">
        <v>792</v>
      </c>
      <c r="F270" s="5">
        <f>SUMIFS(CaseCells!F2:F999,CaseCells!C2:C999, C270,CaseCells!D2:D999, D270,CaseCells!E2:E999, E270)</f>
        <v>2800</v>
      </c>
      <c r="G270" s="5">
        <f>SUMIFS(CaseCells!G2:G999,CaseCells!C2:C999, C270,CaseCells!D2:D999, D270,CaseCells!E2:E999, E270)</f>
        <v>7000</v>
      </c>
      <c r="H270" s="3">
        <f>IF(G270 = 0, "", F270 / G270)</f>
        <v>0.4</v>
      </c>
      <c r="I270" s="5">
        <f>SUMIFS(CaseCells!F2:F999,CaseCells!C2:C999, C270,CaseCells!D2:D999, D270,CaseCells!E2:E999, "A")</f>
        <v>2800</v>
      </c>
      <c r="J270" s="5">
        <f>SUMIFS(CaseCells!G2:G999,CaseCells!C2:C999, C270,CaseCells!D2:D999, D270,CaseCells!E2:E999, "A")</f>
        <v>7000</v>
      </c>
      <c r="K270" s="3">
        <f>IF(J270 = 0, "", I270 / J270)</f>
        <v>0.4</v>
      </c>
      <c r="L270" s="5">
        <f>SUMIFS(CaseCells!F2:F999,CaseCells!C2:C999, C270,CaseCells!D2:D999, D270,CaseCells!E2:E999, "B")</f>
        <v>1520</v>
      </c>
      <c r="M270" s="5">
        <f>SUMIFS(CaseCells!G2:G999,CaseCells!C2:C999, C270,CaseCells!D2:D999, D270,CaseCells!E2:E999, "B")</f>
        <v>4000</v>
      </c>
      <c r="N270" s="3">
        <f>IF(M270 = 0, "", L270 / M270)</f>
        <v>0.38</v>
      </c>
      <c r="O270" s="3" t="str">
        <f>IF(K270 &gt; N270, "A", "B")</f>
        <v>A</v>
      </c>
      <c r="P270" s="5">
        <f>SUMIFS(CaseCells!G2:G999,CaseCells!C2:C999, C270)</f>
        <v>31000</v>
      </c>
      <c r="Q270" s="5">
        <f>SUMIFS(CaseCells!G2:G999,CaseCells!C2:C999, C270,CaseCells!D2:D999, D270)</f>
        <v>11000</v>
      </c>
      <c r="R270" s="3">
        <f>IF(P270 = 0, "", Q270 / P270)</f>
        <v>0.3548387096774194</v>
      </c>
      <c r="S270" s="3">
        <f>IF(R270 = "", "", R270 * H270)</f>
        <v>0.14193548387096774</v>
      </c>
      <c r="T270" s="5">
        <f>SUMIFS(CaseCells!G2:G999,CaseCells!C2:C999, C270,CaseCells!D2:D999, D270,CaseCells!E2:E999, "A")</f>
        <v>7000</v>
      </c>
      <c r="U270" s="5">
        <f>SUMIFS(CaseCells!G2:G999,CaseCells!C2:C999, C270,CaseCells!D2:D999, D270,CaseCells!E2:E999, "B")</f>
        <v>4000</v>
      </c>
      <c r="V270" s="5">
        <f>SUMIFS(CaseCells!G2:G999,CaseCells!C2:C999, C270,CaseCells!E2:E999, "A")</f>
        <v>17000</v>
      </c>
      <c r="W270" s="5">
        <f>SUMIFS(CaseCells!G2:G999,CaseCells!C2:C999, C270,CaseCells!E2:E999, "B")</f>
        <v>14000</v>
      </c>
      <c r="X270" s="3">
        <f>IF(V270 = 0, "", T270 / V270)</f>
        <v>0.4117647058823529</v>
      </c>
      <c r="Y270" s="3">
        <f>IF(W270 = 0, "", U270 / W270)</f>
        <v>0.2857142857142857</v>
      </c>
      <c r="Z270" s="3">
        <f>IF(X270 = "", "", X270 - Y270)</f>
        <v>0.12605042016806722</v>
      </c>
      <c r="AA270" s="3">
        <f>IF(K270 = "", "", K270 - N270)</f>
        <v>0.020000000000000018</v>
      </c>
      <c r="AB270" s="3">
        <f>IF(AA270 = "", "", AA270 * R270)</f>
        <v>0.007096774193548394</v>
      </c>
    </row>
    <row r="271">
      <c r="A271" s="2" t="s">
        <v>2048</v>
      </c>
      <c r="B271" s="3" t="str">
        <f>A271</f>
        <v>us-wage-composition-stagnation-non-college-B</v>
      </c>
      <c r="C271" s="2" t="s">
        <v>629</v>
      </c>
      <c r="D271" s="2" t="s">
        <v>1541</v>
      </c>
      <c r="E271" s="2" t="s">
        <v>795</v>
      </c>
      <c r="F271" s="5">
        <f>SUMIFS(CaseCells!F2:F999,CaseCells!C2:C999, C271,CaseCells!D2:D999, D271,CaseCells!E2:E999, E271)</f>
        <v>1520</v>
      </c>
      <c r="G271" s="5">
        <f>SUMIFS(CaseCells!G2:G999,CaseCells!C2:C999, C271,CaseCells!D2:D999, D271,CaseCells!E2:E999, E271)</f>
        <v>4000</v>
      </c>
      <c r="H271" s="3">
        <f>IF(G271 = 0, "", F271 / G271)</f>
        <v>0.38</v>
      </c>
      <c r="I271" s="5">
        <f>SUMIFS(CaseCells!F2:F999,CaseCells!C2:C999, C271,CaseCells!D2:D999, D271,CaseCells!E2:E999, "A")</f>
        <v>2800</v>
      </c>
      <c r="J271" s="5">
        <f>SUMIFS(CaseCells!G2:G999,CaseCells!C2:C999, C271,CaseCells!D2:D999, D271,CaseCells!E2:E999, "A")</f>
        <v>7000</v>
      </c>
      <c r="K271" s="3">
        <f>IF(J271 = 0, "", I271 / J271)</f>
        <v>0.4</v>
      </c>
      <c r="L271" s="5">
        <f>SUMIFS(CaseCells!F2:F999,CaseCells!C2:C999, C271,CaseCells!D2:D999, D271,CaseCells!E2:E999, "B")</f>
        <v>1520</v>
      </c>
      <c r="M271" s="5">
        <f>SUMIFS(CaseCells!G2:G999,CaseCells!C2:C999, C271,CaseCells!D2:D999, D271,CaseCells!E2:E999, "B")</f>
        <v>4000</v>
      </c>
      <c r="N271" s="3">
        <f>IF(M271 = 0, "", L271 / M271)</f>
        <v>0.38</v>
      </c>
      <c r="O271" s="3" t="str">
        <f>IF(K271 &gt; N271, "A", "B")</f>
        <v>A</v>
      </c>
      <c r="P271" s="5">
        <f>SUMIFS(CaseCells!G2:G999,CaseCells!C2:C999, C271)</f>
        <v>31000</v>
      </c>
      <c r="Q271" s="5">
        <f>SUMIFS(CaseCells!G2:G999,CaseCells!C2:C999, C271,CaseCells!D2:D999, D271)</f>
        <v>11000</v>
      </c>
      <c r="R271" s="3">
        <f>IF(P271 = 0, "", Q271 / P271)</f>
        <v>0.3548387096774194</v>
      </c>
      <c r="S271" s="3">
        <f>IF(R271 = "", "", R271 * H271)</f>
        <v>0.13483870967741937</v>
      </c>
      <c r="T271" s="5">
        <f>SUMIFS(CaseCells!G2:G999,CaseCells!C2:C999, C271,CaseCells!D2:D999, D271,CaseCells!E2:E999, "A")</f>
        <v>7000</v>
      </c>
      <c r="U271" s="5">
        <f>SUMIFS(CaseCells!G2:G999,CaseCells!C2:C999, C271,CaseCells!D2:D999, D271,CaseCells!E2:E999, "B")</f>
        <v>4000</v>
      </c>
      <c r="V271" s="5">
        <f>SUMIFS(CaseCells!G2:G999,CaseCells!C2:C999, C271,CaseCells!E2:E999, "A")</f>
        <v>17000</v>
      </c>
      <c r="W271" s="5">
        <f>SUMIFS(CaseCells!G2:G999,CaseCells!C2:C999, C271,CaseCells!E2:E999, "B")</f>
        <v>14000</v>
      </c>
      <c r="X271" s="3">
        <f>IF(V271 = 0, "", T271 / V271)</f>
        <v>0.4117647058823529</v>
      </c>
      <c r="Y271" s="3">
        <f>IF(W271 = 0, "", U271 / W271)</f>
        <v>0.2857142857142857</v>
      </c>
      <c r="Z271" s="3">
        <f>IF(X271 = "", "", X271 - Y271)</f>
        <v>0.12605042016806722</v>
      </c>
      <c r="AA271" s="3">
        <f>IF(K271 = "", "", K271 - N271)</f>
        <v>0.020000000000000018</v>
      </c>
      <c r="AB271" s="3">
        <f>IF(AA271 = "", "", AA271 * R271)</f>
        <v>0.007096774193548394</v>
      </c>
    </row>
    <row r="272">
      <c r="A272" s="2" t="s">
        <v>2049</v>
      </c>
      <c r="B272" s="3" t="str">
        <f>A272</f>
        <v>borjas-immigrant-cohort-recent-arrivals-A</v>
      </c>
      <c r="C272" s="2" t="s">
        <v>633</v>
      </c>
      <c r="D272" s="2" t="s">
        <v>1544</v>
      </c>
      <c r="E272" s="2" t="s">
        <v>792</v>
      </c>
      <c r="F272" s="5">
        <f>SUMIFS(CaseCells!F2:F999,CaseCells!C2:C999, C272,CaseCells!D2:D999, D272,CaseCells!E2:E999, E272)</f>
        <v>400</v>
      </c>
      <c r="G272" s="5">
        <f>SUMIFS(CaseCells!G2:G999,CaseCells!C2:C999, C272,CaseCells!D2:D999, D272,CaseCells!E2:E999, E272)</f>
        <v>1000</v>
      </c>
      <c r="H272" s="3">
        <f>IF(G272 = 0, "", F272 / G272)</f>
        <v>0.4</v>
      </c>
      <c r="I272" s="5">
        <f>SUMIFS(CaseCells!F2:F999,CaseCells!C2:C999, C272,CaseCells!D2:D999, D272,CaseCells!E2:E999, "A")</f>
        <v>400</v>
      </c>
      <c r="J272" s="5">
        <f>SUMIFS(CaseCells!G2:G999,CaseCells!C2:C999, C272,CaseCells!D2:D999, D272,CaseCells!E2:E999, "A")</f>
        <v>1000</v>
      </c>
      <c r="K272" s="3">
        <f>IF(J272 = 0, "", I272 / J272)</f>
        <v>0.4</v>
      </c>
      <c r="L272" s="5">
        <f>SUMIFS(CaseCells!F2:F999,CaseCells!C2:C999, C272,CaseCells!D2:D999, D272,CaseCells!E2:E999, "B")</f>
        <v>450</v>
      </c>
      <c r="M272" s="5">
        <f>SUMIFS(CaseCells!G2:G999,CaseCells!C2:C999, C272,CaseCells!D2:D999, D272,CaseCells!E2:E999, "B")</f>
        <v>1000</v>
      </c>
      <c r="N272" s="3">
        <f>IF(M272 = 0, "", L272 / M272)</f>
        <v>0.45</v>
      </c>
      <c r="O272" s="3" t="str">
        <f>IF(K272 &gt; N272, "A", "B")</f>
        <v>B</v>
      </c>
      <c r="P272" s="5">
        <f>SUMIFS(CaseCells!G2:G999,CaseCells!C2:C999, C272)</f>
        <v>4000</v>
      </c>
      <c r="Q272" s="5">
        <f>SUMIFS(CaseCells!G2:G999,CaseCells!C2:C999, C272,CaseCells!D2:D999, D272)</f>
        <v>2000</v>
      </c>
      <c r="R272" s="3">
        <f>IF(P272 = 0, "", Q272 / P272)</f>
        <v>0.5</v>
      </c>
      <c r="S272" s="3">
        <f>IF(R272 = "", "", R272 * H272)</f>
        <v>0.2</v>
      </c>
      <c r="T272" s="5">
        <f>SUMIFS(CaseCells!G2:G999,CaseCells!C2:C999, C272,CaseCells!D2:D999, D272,CaseCells!E2:E999, "A")</f>
        <v>1000</v>
      </c>
      <c r="U272" s="5">
        <f>SUMIFS(CaseCells!G2:G999,CaseCells!C2:C999, C272,CaseCells!D2:D999, D272,CaseCells!E2:E999, "B")</f>
        <v>1000</v>
      </c>
      <c r="V272" s="5">
        <f>SUMIFS(CaseCells!G2:G999,CaseCells!C2:C999, C272,CaseCells!E2:E999, "A")</f>
        <v>2000</v>
      </c>
      <c r="W272" s="5">
        <f>SUMIFS(CaseCells!G2:G999,CaseCells!C2:C999, C272,CaseCells!E2:E999, "B")</f>
        <v>2000</v>
      </c>
      <c r="X272" s="3">
        <f>IF(V272 = 0, "", T272 / V272)</f>
        <v>0.5</v>
      </c>
      <c r="Y272" s="3">
        <f>IF(W272 = 0, "", U272 / W272)</f>
        <v>0.5</v>
      </c>
      <c r="Z272" s="3">
        <f>IF(X272 = "", "", X272 - Y272)</f>
        <v>0</v>
      </c>
      <c r="AA272" s="3">
        <f>IF(K272 = "", "", K272 - N272)</f>
        <v>-0.04999999999999999</v>
      </c>
      <c r="AB272" s="3">
        <f>IF(AA272 = "", "", AA272 * R272)</f>
        <v>-0.024999999999999994</v>
      </c>
    </row>
    <row r="273">
      <c r="A273" s="2" t="s">
        <v>2050</v>
      </c>
      <c r="B273" s="3" t="str">
        <f>A273</f>
        <v>borjas-immigrant-cohort-recent-arrivals-B</v>
      </c>
      <c r="C273" s="2" t="s">
        <v>633</v>
      </c>
      <c r="D273" s="2" t="s">
        <v>1544</v>
      </c>
      <c r="E273" s="2" t="s">
        <v>795</v>
      </c>
      <c r="F273" s="5">
        <f>SUMIFS(CaseCells!F2:F999,CaseCells!C2:C999, C273,CaseCells!D2:D999, D273,CaseCells!E2:E999, E273)</f>
        <v>450</v>
      </c>
      <c r="G273" s="5">
        <f>SUMIFS(CaseCells!G2:G999,CaseCells!C2:C999, C273,CaseCells!D2:D999, D273,CaseCells!E2:E999, E273)</f>
        <v>1000</v>
      </c>
      <c r="H273" s="3">
        <f>IF(G273 = 0, "", F273 / G273)</f>
        <v>0.45</v>
      </c>
      <c r="I273" s="5">
        <f>SUMIFS(CaseCells!F2:F999,CaseCells!C2:C999, C273,CaseCells!D2:D999, D273,CaseCells!E2:E999, "A")</f>
        <v>400</v>
      </c>
      <c r="J273" s="5">
        <f>SUMIFS(CaseCells!G2:G999,CaseCells!C2:C999, C273,CaseCells!D2:D999, D273,CaseCells!E2:E999, "A")</f>
        <v>1000</v>
      </c>
      <c r="K273" s="3">
        <f>IF(J273 = 0, "", I273 / J273)</f>
        <v>0.4</v>
      </c>
      <c r="L273" s="5">
        <f>SUMIFS(CaseCells!F2:F999,CaseCells!C2:C999, C273,CaseCells!D2:D999, D273,CaseCells!E2:E999, "B")</f>
        <v>450</v>
      </c>
      <c r="M273" s="5">
        <f>SUMIFS(CaseCells!G2:G999,CaseCells!C2:C999, C273,CaseCells!D2:D999, D273,CaseCells!E2:E999, "B")</f>
        <v>1000</v>
      </c>
      <c r="N273" s="3">
        <f>IF(M273 = 0, "", L273 / M273)</f>
        <v>0.45</v>
      </c>
      <c r="O273" s="3" t="str">
        <f>IF(K273 &gt; N273, "A", "B")</f>
        <v>B</v>
      </c>
      <c r="P273" s="5">
        <f>SUMIFS(CaseCells!G2:G999,CaseCells!C2:C999, C273)</f>
        <v>4000</v>
      </c>
      <c r="Q273" s="5">
        <f>SUMIFS(CaseCells!G2:G999,CaseCells!C2:C999, C273,CaseCells!D2:D999, D273)</f>
        <v>2000</v>
      </c>
      <c r="R273" s="3">
        <f>IF(P273 = 0, "", Q273 / P273)</f>
        <v>0.5</v>
      </c>
      <c r="S273" s="3">
        <f>IF(R273 = "", "", R273 * H273)</f>
        <v>0.225</v>
      </c>
      <c r="T273" s="5">
        <f>SUMIFS(CaseCells!G2:G999,CaseCells!C2:C999, C273,CaseCells!D2:D999, D273,CaseCells!E2:E999, "A")</f>
        <v>1000</v>
      </c>
      <c r="U273" s="5">
        <f>SUMIFS(CaseCells!G2:G999,CaseCells!C2:C999, C273,CaseCells!D2:D999, D273,CaseCells!E2:E999, "B")</f>
        <v>1000</v>
      </c>
      <c r="V273" s="5">
        <f>SUMIFS(CaseCells!G2:G999,CaseCells!C2:C999, C273,CaseCells!E2:E999, "A")</f>
        <v>2000</v>
      </c>
      <c r="W273" s="5">
        <f>SUMIFS(CaseCells!G2:G999,CaseCells!C2:C999, C273,CaseCells!E2:E999, "B")</f>
        <v>2000</v>
      </c>
      <c r="X273" s="3">
        <f>IF(V273 = 0, "", T273 / V273)</f>
        <v>0.5</v>
      </c>
      <c r="Y273" s="3">
        <f>IF(W273 = 0, "", U273 / W273)</f>
        <v>0.5</v>
      </c>
      <c r="Z273" s="3">
        <f>IF(X273 = "", "", X273 - Y273)</f>
        <v>0</v>
      </c>
      <c r="AA273" s="3">
        <f>IF(K273 = "", "", K273 - N273)</f>
        <v>-0.04999999999999999</v>
      </c>
      <c r="AB273" s="3">
        <f>IF(AA273 = "", "", AA273 * R273)</f>
        <v>-0.024999999999999994</v>
      </c>
    </row>
    <row r="274">
      <c r="A274" s="2" t="s">
        <v>2051</v>
      </c>
      <c r="B274" s="3" t="str">
        <f>A274</f>
        <v>borjas-immigrant-cohort-established-immigrants-A</v>
      </c>
      <c r="C274" s="2" t="s">
        <v>633</v>
      </c>
      <c r="D274" s="2" t="s">
        <v>1547</v>
      </c>
      <c r="E274" s="2" t="s">
        <v>792</v>
      </c>
      <c r="F274" s="5">
        <f>SUMIFS(CaseCells!F2:F999,CaseCells!C2:C999, C274,CaseCells!D2:D999, D274,CaseCells!E2:E999, E274)</f>
        <v>550</v>
      </c>
      <c r="G274" s="5">
        <f>SUMIFS(CaseCells!G2:G999,CaseCells!C2:C999, C274,CaseCells!D2:D999, D274,CaseCells!E2:E999, E274)</f>
        <v>1000</v>
      </c>
      <c r="H274" s="3">
        <f>IF(G274 = 0, "", F274 / G274)</f>
        <v>0.55</v>
      </c>
      <c r="I274" s="5">
        <f>SUMIFS(CaseCells!F2:F999,CaseCells!C2:C999, C274,CaseCells!D2:D999, D274,CaseCells!E2:E999, "A")</f>
        <v>550</v>
      </c>
      <c r="J274" s="5">
        <f>SUMIFS(CaseCells!G2:G999,CaseCells!C2:C999, C274,CaseCells!D2:D999, D274,CaseCells!E2:E999, "A")</f>
        <v>1000</v>
      </c>
      <c r="K274" s="3">
        <f>IF(J274 = 0, "", I274 / J274)</f>
        <v>0.55</v>
      </c>
      <c r="L274" s="5">
        <f>SUMIFS(CaseCells!F2:F999,CaseCells!C2:C999, C274,CaseCells!D2:D999, D274,CaseCells!E2:E999, "B")</f>
        <v>520</v>
      </c>
      <c r="M274" s="5">
        <f>SUMIFS(CaseCells!G2:G999,CaseCells!C2:C999, C274,CaseCells!D2:D999, D274,CaseCells!E2:E999, "B")</f>
        <v>1000</v>
      </c>
      <c r="N274" s="3">
        <f>IF(M274 = 0, "", L274 / M274)</f>
        <v>0.52</v>
      </c>
      <c r="O274" s="3" t="str">
        <f>IF(K274 &gt; N274, "A", "B")</f>
        <v>A</v>
      </c>
      <c r="P274" s="5">
        <f>SUMIFS(CaseCells!G2:G999,CaseCells!C2:C999, C274)</f>
        <v>4000</v>
      </c>
      <c r="Q274" s="5">
        <f>SUMIFS(CaseCells!G2:G999,CaseCells!C2:C999, C274,CaseCells!D2:D999, D274)</f>
        <v>2000</v>
      </c>
      <c r="R274" s="3">
        <f>IF(P274 = 0, "", Q274 / P274)</f>
        <v>0.5</v>
      </c>
      <c r="S274" s="3">
        <f>IF(R274 = "", "", R274 * H274)</f>
        <v>0.275</v>
      </c>
      <c r="T274" s="5">
        <f>SUMIFS(CaseCells!G2:G999,CaseCells!C2:C999, C274,CaseCells!D2:D999, D274,CaseCells!E2:E999, "A")</f>
        <v>1000</v>
      </c>
      <c r="U274" s="5">
        <f>SUMIFS(CaseCells!G2:G999,CaseCells!C2:C999, C274,CaseCells!D2:D999, D274,CaseCells!E2:E999, "B")</f>
        <v>1000</v>
      </c>
      <c r="V274" s="5">
        <f>SUMIFS(CaseCells!G2:G999,CaseCells!C2:C999, C274,CaseCells!E2:E999, "A")</f>
        <v>2000</v>
      </c>
      <c r="W274" s="5">
        <f>SUMIFS(CaseCells!G2:G999,CaseCells!C2:C999, C274,CaseCells!E2:E999, "B")</f>
        <v>2000</v>
      </c>
      <c r="X274" s="3">
        <f>IF(V274 = 0, "", T274 / V274)</f>
        <v>0.5</v>
      </c>
      <c r="Y274" s="3">
        <f>IF(W274 = 0, "", U274 / W274)</f>
        <v>0.5</v>
      </c>
      <c r="Z274" s="3">
        <f>IF(X274 = "", "", X274 - Y274)</f>
        <v>0</v>
      </c>
      <c r="AA274" s="3">
        <f>IF(K274 = "", "", K274 - N274)</f>
        <v>0.030000000000000027</v>
      </c>
      <c r="AB274" s="3">
        <f>IF(AA274 = "", "", AA274 * R274)</f>
        <v>0.015000000000000013</v>
      </c>
    </row>
    <row r="275">
      <c r="A275" s="2" t="s">
        <v>2052</v>
      </c>
      <c r="B275" s="3" t="str">
        <f>A275</f>
        <v>borjas-immigrant-cohort-established-immigrants-B</v>
      </c>
      <c r="C275" s="2" t="s">
        <v>633</v>
      </c>
      <c r="D275" s="2" t="s">
        <v>1547</v>
      </c>
      <c r="E275" s="2" t="s">
        <v>795</v>
      </c>
      <c r="F275" s="5">
        <f>SUMIFS(CaseCells!F2:F999,CaseCells!C2:C999, C275,CaseCells!D2:D999, D275,CaseCells!E2:E999, E275)</f>
        <v>520</v>
      </c>
      <c r="G275" s="5">
        <f>SUMIFS(CaseCells!G2:G999,CaseCells!C2:C999, C275,CaseCells!D2:D999, D275,CaseCells!E2:E999, E275)</f>
        <v>1000</v>
      </c>
      <c r="H275" s="3">
        <f>IF(G275 = 0, "", F275 / G275)</f>
        <v>0.52</v>
      </c>
      <c r="I275" s="5">
        <f>SUMIFS(CaseCells!F2:F999,CaseCells!C2:C999, C275,CaseCells!D2:D999, D275,CaseCells!E2:E999, "A")</f>
        <v>550</v>
      </c>
      <c r="J275" s="5">
        <f>SUMIFS(CaseCells!G2:G999,CaseCells!C2:C999, C275,CaseCells!D2:D999, D275,CaseCells!E2:E999, "A")</f>
        <v>1000</v>
      </c>
      <c r="K275" s="3">
        <f>IF(J275 = 0, "", I275 / J275)</f>
        <v>0.55</v>
      </c>
      <c r="L275" s="5">
        <f>SUMIFS(CaseCells!F2:F999,CaseCells!C2:C999, C275,CaseCells!D2:D999, D275,CaseCells!E2:E999, "B")</f>
        <v>520</v>
      </c>
      <c r="M275" s="5">
        <f>SUMIFS(CaseCells!G2:G999,CaseCells!C2:C999, C275,CaseCells!D2:D999, D275,CaseCells!E2:E999, "B")</f>
        <v>1000</v>
      </c>
      <c r="N275" s="3">
        <f>IF(M275 = 0, "", L275 / M275)</f>
        <v>0.52</v>
      </c>
      <c r="O275" s="3" t="str">
        <f>IF(K275 &gt; N275, "A", "B")</f>
        <v>A</v>
      </c>
      <c r="P275" s="5">
        <f>SUMIFS(CaseCells!G2:G999,CaseCells!C2:C999, C275)</f>
        <v>4000</v>
      </c>
      <c r="Q275" s="5">
        <f>SUMIFS(CaseCells!G2:G999,CaseCells!C2:C999, C275,CaseCells!D2:D999, D275)</f>
        <v>2000</v>
      </c>
      <c r="R275" s="3">
        <f>IF(P275 = 0, "", Q275 / P275)</f>
        <v>0.5</v>
      </c>
      <c r="S275" s="3">
        <f>IF(R275 = "", "", R275 * H275)</f>
        <v>0.26</v>
      </c>
      <c r="T275" s="5">
        <f>SUMIFS(CaseCells!G2:G999,CaseCells!C2:C999, C275,CaseCells!D2:D999, D275,CaseCells!E2:E999, "A")</f>
        <v>1000</v>
      </c>
      <c r="U275" s="5">
        <f>SUMIFS(CaseCells!G2:G999,CaseCells!C2:C999, C275,CaseCells!D2:D999, D275,CaseCells!E2:E999, "B")</f>
        <v>1000</v>
      </c>
      <c r="V275" s="5">
        <f>SUMIFS(CaseCells!G2:G999,CaseCells!C2:C999, C275,CaseCells!E2:E999, "A")</f>
        <v>2000</v>
      </c>
      <c r="W275" s="5">
        <f>SUMIFS(CaseCells!G2:G999,CaseCells!C2:C999, C275,CaseCells!E2:E999, "B")</f>
        <v>2000</v>
      </c>
      <c r="X275" s="3">
        <f>IF(V275 = 0, "", T275 / V275)</f>
        <v>0.5</v>
      </c>
      <c r="Y275" s="3">
        <f>IF(W275 = 0, "", U275 / W275)</f>
        <v>0.5</v>
      </c>
      <c r="Z275" s="3">
        <f>IF(X275 = "", "", X275 - Y275)</f>
        <v>0</v>
      </c>
      <c r="AA275" s="3">
        <f>IF(K275 = "", "", K275 - N275)</f>
        <v>0.030000000000000027</v>
      </c>
      <c r="AB275" s="3">
        <f>IF(AA275 = "", "", AA275 * R275)</f>
        <v>0.015000000000000013</v>
      </c>
    </row>
    <row r="276">
      <c r="A276" s="2" t="s">
        <v>2053</v>
      </c>
      <c r="B276" s="3" t="str">
        <f>A276</f>
        <v>robinson-1950-literacy-high-literacy-states-A</v>
      </c>
      <c r="C276" s="2" t="s">
        <v>637</v>
      </c>
      <c r="D276" s="2" t="s">
        <v>1550</v>
      </c>
      <c r="E276" s="2" t="s">
        <v>792</v>
      </c>
      <c r="F276" s="5">
        <f>SUMIFS(CaseCells!F2:F999,CaseCells!C2:C999, C276,CaseCells!D2:D999, D276,CaseCells!E2:E999, E276)</f>
        <v>900</v>
      </c>
      <c r="G276" s="5">
        <f>SUMIFS(CaseCells!G2:G999,CaseCells!C2:C999, C276,CaseCells!D2:D999, D276,CaseCells!E2:E999, E276)</f>
        <v>1000</v>
      </c>
      <c r="H276" s="3">
        <f>IF(G276 = 0, "", F276 / G276)</f>
        <v>0.9</v>
      </c>
      <c r="I276" s="5">
        <f>SUMIFS(CaseCells!F2:F999,CaseCells!C2:C999, C276,CaseCells!D2:D999, D276,CaseCells!E2:E999, "A")</f>
        <v>900</v>
      </c>
      <c r="J276" s="5">
        <f>SUMIFS(CaseCells!G2:G999,CaseCells!C2:C999, C276,CaseCells!D2:D999, D276,CaseCells!E2:E999, "A")</f>
        <v>1000</v>
      </c>
      <c r="K276" s="3">
        <f>IF(J276 = 0, "", I276 / J276)</f>
        <v>0.9</v>
      </c>
      <c r="L276" s="5">
        <f>SUMIFS(CaseCells!F2:F999,CaseCells!C2:C999, C276,CaseCells!D2:D999, D276,CaseCells!E2:E999, "B")</f>
        <v>9500</v>
      </c>
      <c r="M276" s="5">
        <f>SUMIFS(CaseCells!G2:G999,CaseCells!C2:C999, C276,CaseCells!D2:D999, D276,CaseCells!E2:E999, "B")</f>
        <v>10000</v>
      </c>
      <c r="N276" s="3">
        <f>IF(M276 = 0, "", L276 / M276)</f>
        <v>0.95</v>
      </c>
      <c r="O276" s="3" t="str">
        <f>IF(K276 &gt; N276, "A", "B")</f>
        <v>B</v>
      </c>
      <c r="P276" s="5">
        <f>SUMIFS(CaseCells!G2:G999,CaseCells!C2:C999, C276)</f>
        <v>14000</v>
      </c>
      <c r="Q276" s="5">
        <f>SUMIFS(CaseCells!G2:G999,CaseCells!C2:C999, C276,CaseCells!D2:D999, D276)</f>
        <v>11000</v>
      </c>
      <c r="R276" s="3">
        <f>IF(P276 = 0, "", Q276 / P276)</f>
        <v>0.7857142857142857</v>
      </c>
      <c r="S276" s="3">
        <f>IF(R276 = "", "", R276 * H276)</f>
        <v>0.7071428571428572</v>
      </c>
      <c r="T276" s="5">
        <f>SUMIFS(CaseCells!G2:G999,CaseCells!C2:C999, C276,CaseCells!D2:D999, D276,CaseCells!E2:E999, "A")</f>
        <v>1000</v>
      </c>
      <c r="U276" s="5">
        <f>SUMIFS(CaseCells!G2:G999,CaseCells!C2:C999, C276,CaseCells!D2:D999, D276,CaseCells!E2:E999, "B")</f>
        <v>10000</v>
      </c>
      <c r="V276" s="5">
        <f>SUMIFS(CaseCells!G2:G999,CaseCells!C2:C999, C276,CaseCells!E2:E999, "A")</f>
        <v>2000</v>
      </c>
      <c r="W276" s="5">
        <f>SUMIFS(CaseCells!G2:G999,CaseCells!C2:C999, C276,CaseCells!E2:E999, "B")</f>
        <v>12000</v>
      </c>
      <c r="X276" s="3">
        <f>IF(V276 = 0, "", T276 / V276)</f>
        <v>0.5</v>
      </c>
      <c r="Y276" s="3">
        <f>IF(W276 = 0, "", U276 / W276)</f>
        <v>0.8333333333333334</v>
      </c>
      <c r="Z276" s="3">
        <f>IF(X276 = "", "", X276 - Y276)</f>
        <v>-0.33333333333333337</v>
      </c>
      <c r="AA276" s="3">
        <f>IF(K276 = "", "", K276 - N276)</f>
        <v>-0.04999999999999993</v>
      </c>
      <c r="AB276" s="3">
        <f>IF(AA276 = "", "", AA276 * R276)</f>
        <v>-0.03928571428571423</v>
      </c>
    </row>
    <row r="277">
      <c r="A277" s="2" t="s">
        <v>2054</v>
      </c>
      <c r="B277" s="3" t="str">
        <f>A277</f>
        <v>robinson-1950-literacy-high-literacy-states-B</v>
      </c>
      <c r="C277" s="2" t="s">
        <v>637</v>
      </c>
      <c r="D277" s="2" t="s">
        <v>1550</v>
      </c>
      <c r="E277" s="2" t="s">
        <v>795</v>
      </c>
      <c r="F277" s="5">
        <f>SUMIFS(CaseCells!F2:F999,CaseCells!C2:C999, C277,CaseCells!D2:D999, D277,CaseCells!E2:E999, E277)</f>
        <v>9500</v>
      </c>
      <c r="G277" s="5">
        <f>SUMIFS(CaseCells!G2:G999,CaseCells!C2:C999, C277,CaseCells!D2:D999, D277,CaseCells!E2:E999, E277)</f>
        <v>10000</v>
      </c>
      <c r="H277" s="3">
        <f>IF(G277 = 0, "", F277 / G277)</f>
        <v>0.95</v>
      </c>
      <c r="I277" s="5">
        <f>SUMIFS(CaseCells!F2:F999,CaseCells!C2:C999, C277,CaseCells!D2:D999, D277,CaseCells!E2:E999, "A")</f>
        <v>900</v>
      </c>
      <c r="J277" s="5">
        <f>SUMIFS(CaseCells!G2:G999,CaseCells!C2:C999, C277,CaseCells!D2:D999, D277,CaseCells!E2:E999, "A")</f>
        <v>1000</v>
      </c>
      <c r="K277" s="3">
        <f>IF(J277 = 0, "", I277 / J277)</f>
        <v>0.9</v>
      </c>
      <c r="L277" s="5">
        <f>SUMIFS(CaseCells!F2:F999,CaseCells!C2:C999, C277,CaseCells!D2:D999, D277,CaseCells!E2:E999, "B")</f>
        <v>9500</v>
      </c>
      <c r="M277" s="5">
        <f>SUMIFS(CaseCells!G2:G999,CaseCells!C2:C999, C277,CaseCells!D2:D999, D277,CaseCells!E2:E999, "B")</f>
        <v>10000</v>
      </c>
      <c r="N277" s="3">
        <f>IF(M277 = 0, "", L277 / M277)</f>
        <v>0.95</v>
      </c>
      <c r="O277" s="3" t="str">
        <f>IF(K277 &gt; N277, "A", "B")</f>
        <v>B</v>
      </c>
      <c r="P277" s="5">
        <f>SUMIFS(CaseCells!G2:G999,CaseCells!C2:C999, C277)</f>
        <v>14000</v>
      </c>
      <c r="Q277" s="5">
        <f>SUMIFS(CaseCells!G2:G999,CaseCells!C2:C999, C277,CaseCells!D2:D999, D277)</f>
        <v>11000</v>
      </c>
      <c r="R277" s="3">
        <f>IF(P277 = 0, "", Q277 / P277)</f>
        <v>0.7857142857142857</v>
      </c>
      <c r="S277" s="3">
        <f>IF(R277 = "", "", R277 * H277)</f>
        <v>0.7464285714285713</v>
      </c>
      <c r="T277" s="5">
        <f>SUMIFS(CaseCells!G2:G999,CaseCells!C2:C999, C277,CaseCells!D2:D999, D277,CaseCells!E2:E999, "A")</f>
        <v>1000</v>
      </c>
      <c r="U277" s="5">
        <f>SUMIFS(CaseCells!G2:G999,CaseCells!C2:C999, C277,CaseCells!D2:D999, D277,CaseCells!E2:E999, "B")</f>
        <v>10000</v>
      </c>
      <c r="V277" s="5">
        <f>SUMIFS(CaseCells!G2:G999,CaseCells!C2:C999, C277,CaseCells!E2:E999, "A")</f>
        <v>2000</v>
      </c>
      <c r="W277" s="5">
        <f>SUMIFS(CaseCells!G2:G999,CaseCells!C2:C999, C277,CaseCells!E2:E999, "B")</f>
        <v>12000</v>
      </c>
      <c r="X277" s="3">
        <f>IF(V277 = 0, "", T277 / V277)</f>
        <v>0.5</v>
      </c>
      <c r="Y277" s="3">
        <f>IF(W277 = 0, "", U277 / W277)</f>
        <v>0.8333333333333334</v>
      </c>
      <c r="Z277" s="3">
        <f>IF(X277 = "", "", X277 - Y277)</f>
        <v>-0.33333333333333337</v>
      </c>
      <c r="AA277" s="3">
        <f>IF(K277 = "", "", K277 - N277)</f>
        <v>-0.04999999999999993</v>
      </c>
      <c r="AB277" s="3">
        <f>IF(AA277 = "", "", AA277 * R277)</f>
        <v>-0.03928571428571423</v>
      </c>
    </row>
    <row r="278">
      <c r="A278" s="2" t="s">
        <v>2055</v>
      </c>
      <c r="B278" s="3" t="str">
        <f>A278</f>
        <v>robinson-1950-literacy-low-literacy-states-A</v>
      </c>
      <c r="C278" s="2" t="s">
        <v>637</v>
      </c>
      <c r="D278" s="2" t="s">
        <v>1553</v>
      </c>
      <c r="E278" s="2" t="s">
        <v>792</v>
      </c>
      <c r="F278" s="5">
        <f>SUMIFS(CaseCells!F2:F999,CaseCells!C2:C999, C278,CaseCells!D2:D999, D278,CaseCells!E2:E999, E278)</f>
        <v>800</v>
      </c>
      <c r="G278" s="5">
        <f>SUMIFS(CaseCells!G2:G999,CaseCells!C2:C999, C278,CaseCells!D2:D999, D278,CaseCells!E2:E999, E278)</f>
        <v>1000</v>
      </c>
      <c r="H278" s="3">
        <f>IF(G278 = 0, "", F278 / G278)</f>
        <v>0.8</v>
      </c>
      <c r="I278" s="5">
        <f>SUMIFS(CaseCells!F2:F999,CaseCells!C2:C999, C278,CaseCells!D2:D999, D278,CaseCells!E2:E999, "A")</f>
        <v>800</v>
      </c>
      <c r="J278" s="5">
        <f>SUMIFS(CaseCells!G2:G999,CaseCells!C2:C999, C278,CaseCells!D2:D999, D278,CaseCells!E2:E999, "A")</f>
        <v>1000</v>
      </c>
      <c r="K278" s="3">
        <f>IF(J278 = 0, "", I278 / J278)</f>
        <v>0.8</v>
      </c>
      <c r="L278" s="5">
        <f>SUMIFS(CaseCells!F2:F999,CaseCells!C2:C999, C278,CaseCells!D2:D999, D278,CaseCells!E2:E999, "B")</f>
        <v>1400</v>
      </c>
      <c r="M278" s="5">
        <f>SUMIFS(CaseCells!G2:G999,CaseCells!C2:C999, C278,CaseCells!D2:D999, D278,CaseCells!E2:E999, "B")</f>
        <v>2000</v>
      </c>
      <c r="N278" s="3">
        <f>IF(M278 = 0, "", L278 / M278)</f>
        <v>0.7</v>
      </c>
      <c r="O278" s="3" t="str">
        <f>IF(K278 &gt; N278, "A", "B")</f>
        <v>A</v>
      </c>
      <c r="P278" s="5">
        <f>SUMIFS(CaseCells!G2:G999,CaseCells!C2:C999, C278)</f>
        <v>14000</v>
      </c>
      <c r="Q278" s="5">
        <f>SUMIFS(CaseCells!G2:G999,CaseCells!C2:C999, C278,CaseCells!D2:D999, D278)</f>
        <v>3000</v>
      </c>
      <c r="R278" s="3">
        <f>IF(P278 = 0, "", Q278 / P278)</f>
        <v>0.21428571428571427</v>
      </c>
      <c r="S278" s="3">
        <f>IF(R278 = "", "", R278 * H278)</f>
        <v>0.17142857142857143</v>
      </c>
      <c r="T278" s="5">
        <f>SUMIFS(CaseCells!G2:G999,CaseCells!C2:C999, C278,CaseCells!D2:D999, D278,CaseCells!E2:E999, "A")</f>
        <v>1000</v>
      </c>
      <c r="U278" s="5">
        <f>SUMIFS(CaseCells!G2:G999,CaseCells!C2:C999, C278,CaseCells!D2:D999, D278,CaseCells!E2:E999, "B")</f>
        <v>2000</v>
      </c>
      <c r="V278" s="5">
        <f>SUMIFS(CaseCells!G2:G999,CaseCells!C2:C999, C278,CaseCells!E2:E999, "A")</f>
        <v>2000</v>
      </c>
      <c r="W278" s="5">
        <f>SUMIFS(CaseCells!G2:G999,CaseCells!C2:C999, C278,CaseCells!E2:E999, "B")</f>
        <v>12000</v>
      </c>
      <c r="X278" s="3">
        <f>IF(V278 = 0, "", T278 / V278)</f>
        <v>0.5</v>
      </c>
      <c r="Y278" s="3">
        <f>IF(W278 = 0, "", U278 / W278)</f>
        <v>0.16666666666666666</v>
      </c>
      <c r="Z278" s="3">
        <f>IF(X278 = "", "", X278 - Y278)</f>
        <v>0.33333333333333337</v>
      </c>
      <c r="AA278" s="3">
        <f>IF(K278 = "", "", K278 - N278)</f>
        <v>0.10000000000000009</v>
      </c>
      <c r="AB278" s="3">
        <f>IF(AA278 = "", "", AA278 * R278)</f>
        <v>0.021428571428571446</v>
      </c>
    </row>
    <row r="279">
      <c r="A279" s="2" t="s">
        <v>2056</v>
      </c>
      <c r="B279" s="3" t="str">
        <f>A279</f>
        <v>robinson-1950-literacy-low-literacy-states-B</v>
      </c>
      <c r="C279" s="2" t="s">
        <v>637</v>
      </c>
      <c r="D279" s="2" t="s">
        <v>1553</v>
      </c>
      <c r="E279" s="2" t="s">
        <v>795</v>
      </c>
      <c r="F279" s="5">
        <f>SUMIFS(CaseCells!F2:F999,CaseCells!C2:C999, C279,CaseCells!D2:D999, D279,CaseCells!E2:E999, E279)</f>
        <v>1400</v>
      </c>
      <c r="G279" s="5">
        <f>SUMIFS(CaseCells!G2:G999,CaseCells!C2:C999, C279,CaseCells!D2:D999, D279,CaseCells!E2:E999, E279)</f>
        <v>2000</v>
      </c>
      <c r="H279" s="3">
        <f>IF(G279 = 0, "", F279 / G279)</f>
        <v>0.7</v>
      </c>
      <c r="I279" s="5">
        <f>SUMIFS(CaseCells!F2:F999,CaseCells!C2:C999, C279,CaseCells!D2:D999, D279,CaseCells!E2:E999, "A")</f>
        <v>800</v>
      </c>
      <c r="J279" s="5">
        <f>SUMIFS(CaseCells!G2:G999,CaseCells!C2:C999, C279,CaseCells!D2:D999, D279,CaseCells!E2:E999, "A")</f>
        <v>1000</v>
      </c>
      <c r="K279" s="3">
        <f>IF(J279 = 0, "", I279 / J279)</f>
        <v>0.8</v>
      </c>
      <c r="L279" s="5">
        <f>SUMIFS(CaseCells!F2:F999,CaseCells!C2:C999, C279,CaseCells!D2:D999, D279,CaseCells!E2:E999, "B")</f>
        <v>1400</v>
      </c>
      <c r="M279" s="5">
        <f>SUMIFS(CaseCells!G2:G999,CaseCells!C2:C999, C279,CaseCells!D2:D999, D279,CaseCells!E2:E999, "B")</f>
        <v>2000</v>
      </c>
      <c r="N279" s="3">
        <f>IF(M279 = 0, "", L279 / M279)</f>
        <v>0.7</v>
      </c>
      <c r="O279" s="3" t="str">
        <f>IF(K279 &gt; N279, "A", "B")</f>
        <v>A</v>
      </c>
      <c r="P279" s="5">
        <f>SUMIFS(CaseCells!G2:G999,CaseCells!C2:C999, C279)</f>
        <v>14000</v>
      </c>
      <c r="Q279" s="5">
        <f>SUMIFS(CaseCells!G2:G999,CaseCells!C2:C999, C279,CaseCells!D2:D999, D279)</f>
        <v>3000</v>
      </c>
      <c r="R279" s="3">
        <f>IF(P279 = 0, "", Q279 / P279)</f>
        <v>0.21428571428571427</v>
      </c>
      <c r="S279" s="3">
        <f>IF(R279 = "", "", R279 * H279)</f>
        <v>0.15</v>
      </c>
      <c r="T279" s="5">
        <f>SUMIFS(CaseCells!G2:G999,CaseCells!C2:C999, C279,CaseCells!D2:D999, D279,CaseCells!E2:E999, "A")</f>
        <v>1000</v>
      </c>
      <c r="U279" s="5">
        <f>SUMIFS(CaseCells!G2:G999,CaseCells!C2:C999, C279,CaseCells!D2:D999, D279,CaseCells!E2:E999, "B")</f>
        <v>2000</v>
      </c>
      <c r="V279" s="5">
        <f>SUMIFS(CaseCells!G2:G999,CaseCells!C2:C999, C279,CaseCells!E2:E999, "A")</f>
        <v>2000</v>
      </c>
      <c r="W279" s="5">
        <f>SUMIFS(CaseCells!G2:G999,CaseCells!C2:C999, C279,CaseCells!E2:E999, "B")</f>
        <v>12000</v>
      </c>
      <c r="X279" s="3">
        <f>IF(V279 = 0, "", T279 / V279)</f>
        <v>0.5</v>
      </c>
      <c r="Y279" s="3">
        <f>IF(W279 = 0, "", U279 / W279)</f>
        <v>0.16666666666666666</v>
      </c>
      <c r="Z279" s="3">
        <f>IF(X279 = "", "", X279 - Y279)</f>
        <v>0.33333333333333337</v>
      </c>
      <c r="AA279" s="3">
        <f>IF(K279 = "", "", K279 - N279)</f>
        <v>0.10000000000000009</v>
      </c>
      <c r="AB279" s="3">
        <f>IF(AA279 = "", "", AA279 * R279)</f>
        <v>0.021428571428571446</v>
      </c>
    </row>
    <row r="280">
      <c r="A280" s="2" t="s">
        <v>2057</v>
      </c>
      <c r="B280" s="3" t="str">
        <f>A280</f>
        <v>ab-test-traffic-mix-week1-young-users-A</v>
      </c>
      <c r="C280" s="2" t="s">
        <v>641</v>
      </c>
      <c r="D280" s="2" t="s">
        <v>1556</v>
      </c>
      <c r="E280" s="2" t="s">
        <v>792</v>
      </c>
      <c r="F280" s="5">
        <f>SUMIFS(CaseCells!F2:F999,CaseCells!C2:C999, C280,CaseCells!D2:D999, D280,CaseCells!E2:E999, E280)</f>
        <v>8000</v>
      </c>
      <c r="G280" s="5">
        <f>SUMIFS(CaseCells!G2:G999,CaseCells!C2:C999, C280,CaseCells!D2:D999, D280,CaseCells!E2:E999, E280)</f>
        <v>10000</v>
      </c>
      <c r="H280" s="3">
        <f>IF(G280 = 0, "", F280 / G280)</f>
        <v>0.8</v>
      </c>
      <c r="I280" s="5">
        <f>SUMIFS(CaseCells!F2:F999,CaseCells!C2:C999, C280,CaseCells!D2:D999, D280,CaseCells!E2:E999, "A")</f>
        <v>8000</v>
      </c>
      <c r="J280" s="5">
        <f>SUMIFS(CaseCells!G2:G999,CaseCells!C2:C999, C280,CaseCells!D2:D999, D280,CaseCells!E2:E999, "A")</f>
        <v>10000</v>
      </c>
      <c r="K280" s="3">
        <f>IF(J280 = 0, "", I280 / J280)</f>
        <v>0.8</v>
      </c>
      <c r="L280" s="5">
        <f>SUMIFS(CaseCells!F2:F999,CaseCells!C2:C999, C280,CaseCells!D2:D999, D280,CaseCells!E2:E999, "B")</f>
        <v>7500</v>
      </c>
      <c r="M280" s="5">
        <f>SUMIFS(CaseCells!G2:G999,CaseCells!C2:C999, C280,CaseCells!D2:D999, D280,CaseCells!E2:E999, "B")</f>
        <v>10000</v>
      </c>
      <c r="N280" s="3">
        <f>IF(M280 = 0, "", L280 / M280)</f>
        <v>0.75</v>
      </c>
      <c r="O280" s="3" t="str">
        <f>IF(K280 &gt; N280, "A", "B")</f>
        <v>A</v>
      </c>
      <c r="P280" s="5">
        <f>SUMIFS(CaseCells!G2:G999,CaseCells!C2:C999, C280)</f>
        <v>24000</v>
      </c>
      <c r="Q280" s="5">
        <f>SUMIFS(CaseCells!G2:G999,CaseCells!C2:C999, C280,CaseCells!D2:D999, D280)</f>
        <v>20000</v>
      </c>
      <c r="R280" s="3">
        <f>IF(P280 = 0, "", Q280 / P280)</f>
        <v>0.8333333333333334</v>
      </c>
      <c r="S280" s="3">
        <f>IF(R280 = "", "", R280 * H280)</f>
        <v>0.6666666666666667</v>
      </c>
      <c r="T280" s="5">
        <f>SUMIFS(CaseCells!G2:G999,CaseCells!C2:C999, C280,CaseCells!D2:D999, D280,CaseCells!E2:E999, "A")</f>
        <v>10000</v>
      </c>
      <c r="U280" s="5">
        <f>SUMIFS(CaseCells!G2:G999,CaseCells!C2:C999, C280,CaseCells!D2:D999, D280,CaseCells!E2:E999, "B")</f>
        <v>10000</v>
      </c>
      <c r="V280" s="5">
        <f>SUMIFS(CaseCells!G2:G999,CaseCells!C2:C999, C280,CaseCells!E2:E999, "A")</f>
        <v>12000</v>
      </c>
      <c r="W280" s="5">
        <f>SUMIFS(CaseCells!G2:G999,CaseCells!C2:C999, C280,CaseCells!E2:E999, "B")</f>
        <v>12000</v>
      </c>
      <c r="X280" s="3">
        <f>IF(V280 = 0, "", T280 / V280)</f>
        <v>0.8333333333333334</v>
      </c>
      <c r="Y280" s="3">
        <f>IF(W280 = 0, "", U280 / W280)</f>
        <v>0.8333333333333334</v>
      </c>
      <c r="Z280" s="3">
        <f>IF(X280 = "", "", X280 - Y280)</f>
        <v>0</v>
      </c>
      <c r="AA280" s="3">
        <f>IF(K280 = "", "", K280 - N280)</f>
        <v>0.050000000000000044</v>
      </c>
      <c r="AB280" s="3">
        <f>IF(AA280 = "", "", AA280 * R280)</f>
        <v>0.041666666666666706</v>
      </c>
    </row>
    <row r="281">
      <c r="A281" s="2" t="s">
        <v>2058</v>
      </c>
      <c r="B281" s="3" t="str">
        <f>A281</f>
        <v>ab-test-traffic-mix-week1-young-users-B</v>
      </c>
      <c r="C281" s="2" t="s">
        <v>641</v>
      </c>
      <c r="D281" s="2" t="s">
        <v>1556</v>
      </c>
      <c r="E281" s="2" t="s">
        <v>795</v>
      </c>
      <c r="F281" s="5">
        <f>SUMIFS(CaseCells!F2:F999,CaseCells!C2:C999, C281,CaseCells!D2:D999, D281,CaseCells!E2:E999, E281)</f>
        <v>7500</v>
      </c>
      <c r="G281" s="5">
        <f>SUMIFS(CaseCells!G2:G999,CaseCells!C2:C999, C281,CaseCells!D2:D999, D281,CaseCells!E2:E999, E281)</f>
        <v>10000</v>
      </c>
      <c r="H281" s="3">
        <f>IF(G281 = 0, "", F281 / G281)</f>
        <v>0.75</v>
      </c>
      <c r="I281" s="5">
        <f>SUMIFS(CaseCells!F2:F999,CaseCells!C2:C999, C281,CaseCells!D2:D999, D281,CaseCells!E2:E999, "A")</f>
        <v>8000</v>
      </c>
      <c r="J281" s="5">
        <f>SUMIFS(CaseCells!G2:G999,CaseCells!C2:C999, C281,CaseCells!D2:D999, D281,CaseCells!E2:E999, "A")</f>
        <v>10000</v>
      </c>
      <c r="K281" s="3">
        <f>IF(J281 = 0, "", I281 / J281)</f>
        <v>0.8</v>
      </c>
      <c r="L281" s="5">
        <f>SUMIFS(CaseCells!F2:F999,CaseCells!C2:C999, C281,CaseCells!D2:D999, D281,CaseCells!E2:E999, "B")</f>
        <v>7500</v>
      </c>
      <c r="M281" s="5">
        <f>SUMIFS(CaseCells!G2:G999,CaseCells!C2:C999, C281,CaseCells!D2:D999, D281,CaseCells!E2:E999, "B")</f>
        <v>10000</v>
      </c>
      <c r="N281" s="3">
        <f>IF(M281 = 0, "", L281 / M281)</f>
        <v>0.75</v>
      </c>
      <c r="O281" s="3" t="str">
        <f>IF(K281 &gt; N281, "A", "B")</f>
        <v>A</v>
      </c>
      <c r="P281" s="5">
        <f>SUMIFS(CaseCells!G2:G999,CaseCells!C2:C999, C281)</f>
        <v>24000</v>
      </c>
      <c r="Q281" s="5">
        <f>SUMIFS(CaseCells!G2:G999,CaseCells!C2:C999, C281,CaseCells!D2:D999, D281)</f>
        <v>20000</v>
      </c>
      <c r="R281" s="3">
        <f>IF(P281 = 0, "", Q281 / P281)</f>
        <v>0.8333333333333334</v>
      </c>
      <c r="S281" s="3">
        <f>IF(R281 = "", "", R281 * H281)</f>
        <v>0.625</v>
      </c>
      <c r="T281" s="5">
        <f>SUMIFS(CaseCells!G2:G999,CaseCells!C2:C999, C281,CaseCells!D2:D999, D281,CaseCells!E2:E999, "A")</f>
        <v>10000</v>
      </c>
      <c r="U281" s="5">
        <f>SUMIFS(CaseCells!G2:G999,CaseCells!C2:C999, C281,CaseCells!D2:D999, D281,CaseCells!E2:E999, "B")</f>
        <v>10000</v>
      </c>
      <c r="V281" s="5">
        <f>SUMIFS(CaseCells!G2:G999,CaseCells!C2:C999, C281,CaseCells!E2:E999, "A")</f>
        <v>12000</v>
      </c>
      <c r="W281" s="5">
        <f>SUMIFS(CaseCells!G2:G999,CaseCells!C2:C999, C281,CaseCells!E2:E999, "B")</f>
        <v>12000</v>
      </c>
      <c r="X281" s="3">
        <f>IF(V281 = 0, "", T281 / V281)</f>
        <v>0.8333333333333334</v>
      </c>
      <c r="Y281" s="3">
        <f>IF(W281 = 0, "", U281 / W281)</f>
        <v>0.8333333333333334</v>
      </c>
      <c r="Z281" s="3">
        <f>IF(X281 = "", "", X281 - Y281)</f>
        <v>0</v>
      </c>
      <c r="AA281" s="3">
        <f>IF(K281 = "", "", K281 - N281)</f>
        <v>0.050000000000000044</v>
      </c>
      <c r="AB281" s="3">
        <f>IF(AA281 = "", "", AA281 * R281)</f>
        <v>0.041666666666666706</v>
      </c>
    </row>
    <row r="282">
      <c r="A282" s="2" t="s">
        <v>2059</v>
      </c>
      <c r="B282" s="3" t="str">
        <f>A282</f>
        <v>ab-test-traffic-mix-week2-old-users-A</v>
      </c>
      <c r="C282" s="2" t="s">
        <v>641</v>
      </c>
      <c r="D282" s="2" t="s">
        <v>1559</v>
      </c>
      <c r="E282" s="2" t="s">
        <v>792</v>
      </c>
      <c r="F282" s="5">
        <f>SUMIFS(CaseCells!F2:F999,CaseCells!C2:C999, C282,CaseCells!D2:D999, D282,CaseCells!E2:E999, E282)</f>
        <v>1100</v>
      </c>
      <c r="G282" s="5">
        <f>SUMIFS(CaseCells!G2:G999,CaseCells!C2:C999, C282,CaseCells!D2:D999, D282,CaseCells!E2:E999, E282)</f>
        <v>2000</v>
      </c>
      <c r="H282" s="3">
        <f>IF(G282 = 0, "", F282 / G282)</f>
        <v>0.55</v>
      </c>
      <c r="I282" s="5">
        <f>SUMIFS(CaseCells!F2:F999,CaseCells!C2:C999, C282,CaseCells!D2:D999, D282,CaseCells!E2:E999, "A")</f>
        <v>1100</v>
      </c>
      <c r="J282" s="5">
        <f>SUMIFS(CaseCells!G2:G999,CaseCells!C2:C999, C282,CaseCells!D2:D999, D282,CaseCells!E2:E999, "A")</f>
        <v>2000</v>
      </c>
      <c r="K282" s="3">
        <f>IF(J282 = 0, "", I282 / J282)</f>
        <v>0.55</v>
      </c>
      <c r="L282" s="5">
        <f>SUMIFS(CaseCells!F2:F999,CaseCells!C2:C999, C282,CaseCells!D2:D999, D282,CaseCells!E2:E999, "B")</f>
        <v>1300</v>
      </c>
      <c r="M282" s="5">
        <f>SUMIFS(CaseCells!G2:G999,CaseCells!C2:C999, C282,CaseCells!D2:D999, D282,CaseCells!E2:E999, "B")</f>
        <v>2000</v>
      </c>
      <c r="N282" s="3">
        <f>IF(M282 = 0, "", L282 / M282)</f>
        <v>0.65</v>
      </c>
      <c r="O282" s="3" t="str">
        <f>IF(K282 &gt; N282, "A", "B")</f>
        <v>B</v>
      </c>
      <c r="P282" s="5">
        <f>SUMIFS(CaseCells!G2:G999,CaseCells!C2:C999, C282)</f>
        <v>24000</v>
      </c>
      <c r="Q282" s="5">
        <f>SUMIFS(CaseCells!G2:G999,CaseCells!C2:C999, C282,CaseCells!D2:D999, D282)</f>
        <v>4000</v>
      </c>
      <c r="R282" s="3">
        <f>IF(P282 = 0, "", Q282 / P282)</f>
        <v>0.16666666666666666</v>
      </c>
      <c r="S282" s="3">
        <f>IF(R282 = "", "", R282 * H282)</f>
        <v>0.09166666666666667</v>
      </c>
      <c r="T282" s="5">
        <f>SUMIFS(CaseCells!G2:G999,CaseCells!C2:C999, C282,CaseCells!D2:D999, D282,CaseCells!E2:E999, "A")</f>
        <v>2000</v>
      </c>
      <c r="U282" s="5">
        <f>SUMIFS(CaseCells!G2:G999,CaseCells!C2:C999, C282,CaseCells!D2:D999, D282,CaseCells!E2:E999, "B")</f>
        <v>2000</v>
      </c>
      <c r="V282" s="5">
        <f>SUMIFS(CaseCells!G2:G999,CaseCells!C2:C999, C282,CaseCells!E2:E999, "A")</f>
        <v>12000</v>
      </c>
      <c r="W282" s="5">
        <f>SUMIFS(CaseCells!G2:G999,CaseCells!C2:C999, C282,CaseCells!E2:E999, "B")</f>
        <v>12000</v>
      </c>
      <c r="X282" s="3">
        <f>IF(V282 = 0, "", T282 / V282)</f>
        <v>0.16666666666666666</v>
      </c>
      <c r="Y282" s="3">
        <f>IF(W282 = 0, "", U282 / W282)</f>
        <v>0.16666666666666666</v>
      </c>
      <c r="Z282" s="3">
        <f>IF(X282 = "", "", X282 - Y282)</f>
        <v>0</v>
      </c>
      <c r="AA282" s="3">
        <f>IF(K282 = "", "", K282 - N282)</f>
        <v>-0.09999999999999998</v>
      </c>
      <c r="AB282" s="3">
        <f>IF(AA282 = "", "", AA282 * R282)</f>
        <v>-0.016666666666666663</v>
      </c>
    </row>
    <row r="283">
      <c r="A283" s="2" t="s">
        <v>2060</v>
      </c>
      <c r="B283" s="3" t="str">
        <f>A283</f>
        <v>ab-test-traffic-mix-week2-old-users-B</v>
      </c>
      <c r="C283" s="2" t="s">
        <v>641</v>
      </c>
      <c r="D283" s="2" t="s">
        <v>1559</v>
      </c>
      <c r="E283" s="2" t="s">
        <v>795</v>
      </c>
      <c r="F283" s="5">
        <f>SUMIFS(CaseCells!F2:F999,CaseCells!C2:C999, C283,CaseCells!D2:D999, D283,CaseCells!E2:E999, E283)</f>
        <v>1300</v>
      </c>
      <c r="G283" s="5">
        <f>SUMIFS(CaseCells!G2:G999,CaseCells!C2:C999, C283,CaseCells!D2:D999, D283,CaseCells!E2:E999, E283)</f>
        <v>2000</v>
      </c>
      <c r="H283" s="3">
        <f>IF(G283 = 0, "", F283 / G283)</f>
        <v>0.65</v>
      </c>
      <c r="I283" s="5">
        <f>SUMIFS(CaseCells!F2:F999,CaseCells!C2:C999, C283,CaseCells!D2:D999, D283,CaseCells!E2:E999, "A")</f>
        <v>1100</v>
      </c>
      <c r="J283" s="5">
        <f>SUMIFS(CaseCells!G2:G999,CaseCells!C2:C999, C283,CaseCells!D2:D999, D283,CaseCells!E2:E999, "A")</f>
        <v>2000</v>
      </c>
      <c r="K283" s="3">
        <f>IF(J283 = 0, "", I283 / J283)</f>
        <v>0.55</v>
      </c>
      <c r="L283" s="5">
        <f>SUMIFS(CaseCells!F2:F999,CaseCells!C2:C999, C283,CaseCells!D2:D999, D283,CaseCells!E2:E999, "B")</f>
        <v>1300</v>
      </c>
      <c r="M283" s="5">
        <f>SUMIFS(CaseCells!G2:G999,CaseCells!C2:C999, C283,CaseCells!D2:D999, D283,CaseCells!E2:E999, "B")</f>
        <v>2000</v>
      </c>
      <c r="N283" s="3">
        <f>IF(M283 = 0, "", L283 / M283)</f>
        <v>0.65</v>
      </c>
      <c r="O283" s="3" t="str">
        <f>IF(K283 &gt; N283, "A", "B")</f>
        <v>B</v>
      </c>
      <c r="P283" s="5">
        <f>SUMIFS(CaseCells!G2:G999,CaseCells!C2:C999, C283)</f>
        <v>24000</v>
      </c>
      <c r="Q283" s="5">
        <f>SUMIFS(CaseCells!G2:G999,CaseCells!C2:C999, C283,CaseCells!D2:D999, D283)</f>
        <v>4000</v>
      </c>
      <c r="R283" s="3">
        <f>IF(P283 = 0, "", Q283 / P283)</f>
        <v>0.16666666666666666</v>
      </c>
      <c r="S283" s="3">
        <f>IF(R283 = "", "", R283 * H283)</f>
        <v>0.10833333333333334</v>
      </c>
      <c r="T283" s="5">
        <f>SUMIFS(CaseCells!G2:G999,CaseCells!C2:C999, C283,CaseCells!D2:D999, D283,CaseCells!E2:E999, "A")</f>
        <v>2000</v>
      </c>
      <c r="U283" s="5">
        <f>SUMIFS(CaseCells!G2:G999,CaseCells!C2:C999, C283,CaseCells!D2:D999, D283,CaseCells!E2:E999, "B")</f>
        <v>2000</v>
      </c>
      <c r="V283" s="5">
        <f>SUMIFS(CaseCells!G2:G999,CaseCells!C2:C999, C283,CaseCells!E2:E999, "A")</f>
        <v>12000</v>
      </c>
      <c r="W283" s="5">
        <f>SUMIFS(CaseCells!G2:G999,CaseCells!C2:C999, C283,CaseCells!E2:E999, "B")</f>
        <v>12000</v>
      </c>
      <c r="X283" s="3">
        <f>IF(V283 = 0, "", T283 / V283)</f>
        <v>0.16666666666666666</v>
      </c>
      <c r="Y283" s="3">
        <f>IF(W283 = 0, "", U283 / W283)</f>
        <v>0.16666666666666666</v>
      </c>
      <c r="Z283" s="3">
        <f>IF(X283 = "", "", X283 - Y283)</f>
        <v>0</v>
      </c>
      <c r="AA283" s="3">
        <f>IF(K283 = "", "", K283 - N283)</f>
        <v>-0.09999999999999998</v>
      </c>
      <c r="AB283" s="3">
        <f>IF(AA283 = "", "", AA283 * R283)</f>
        <v>-0.016666666666666663</v>
      </c>
    </row>
    <row r="284">
      <c r="A284" s="2" t="s">
        <v>2061</v>
      </c>
      <c r="B284" s="3" t="str">
        <f>A284</f>
        <v>recsys-offline-eval-head-items-A</v>
      </c>
      <c r="C284" s="2" t="s">
        <v>645</v>
      </c>
      <c r="D284" s="2" t="s">
        <v>1562</v>
      </c>
      <c r="E284" s="2" t="s">
        <v>792</v>
      </c>
      <c r="F284" s="5">
        <f>SUMIFS(CaseCells!F2:F999,CaseCells!C2:C999, C284,CaseCells!D2:D999, D284,CaseCells!E2:E999, E284)</f>
        <v>850</v>
      </c>
      <c r="G284" s="5">
        <f>SUMIFS(CaseCells!G2:G999,CaseCells!C2:C999, C284,CaseCells!D2:D999, D284,CaseCells!E2:E999, E284)</f>
        <v>1000</v>
      </c>
      <c r="H284" s="3">
        <f>IF(G284 = 0, "", F284 / G284)</f>
        <v>0.85</v>
      </c>
      <c r="I284" s="5">
        <f>SUMIFS(CaseCells!F2:F999,CaseCells!C2:C999, C284,CaseCells!D2:D999, D284,CaseCells!E2:E999, "A")</f>
        <v>850</v>
      </c>
      <c r="J284" s="5">
        <f>SUMIFS(CaseCells!G2:G999,CaseCells!C2:C999, C284,CaseCells!D2:D999, D284,CaseCells!E2:E999, "A")</f>
        <v>1000</v>
      </c>
      <c r="K284" s="3">
        <f>IF(J284 = 0, "", I284 / J284)</f>
        <v>0.85</v>
      </c>
      <c r="L284" s="5">
        <f>SUMIFS(CaseCells!F2:F999,CaseCells!C2:C999, C284,CaseCells!D2:D999, D284,CaseCells!E2:E999, "B")</f>
        <v>800</v>
      </c>
      <c r="M284" s="5">
        <f>SUMIFS(CaseCells!G2:G999,CaseCells!C2:C999, C284,CaseCells!D2:D999, D284,CaseCells!E2:E999, "B")</f>
        <v>1000</v>
      </c>
      <c r="N284" s="3">
        <f>IF(M284 = 0, "", L284 / M284)</f>
        <v>0.8</v>
      </c>
      <c r="O284" s="3" t="str">
        <f>IF(K284 &gt; N284, "A", "B")</f>
        <v>A</v>
      </c>
      <c r="P284" s="5">
        <f>SUMIFS(CaseCells!G2:G999,CaseCells!C2:C999, C284)</f>
        <v>4000</v>
      </c>
      <c r="Q284" s="5">
        <f>SUMIFS(CaseCells!G2:G999,CaseCells!C2:C999, C284,CaseCells!D2:D999, D284)</f>
        <v>2000</v>
      </c>
      <c r="R284" s="3">
        <f>IF(P284 = 0, "", Q284 / P284)</f>
        <v>0.5</v>
      </c>
      <c r="S284" s="3">
        <f>IF(R284 = "", "", R284 * H284)</f>
        <v>0.425</v>
      </c>
      <c r="T284" s="5">
        <f>SUMIFS(CaseCells!G2:G999,CaseCells!C2:C999, C284,CaseCells!D2:D999, D284,CaseCells!E2:E999, "A")</f>
        <v>1000</v>
      </c>
      <c r="U284" s="5">
        <f>SUMIFS(CaseCells!G2:G999,CaseCells!C2:C999, C284,CaseCells!D2:D999, D284,CaseCells!E2:E999, "B")</f>
        <v>1000</v>
      </c>
      <c r="V284" s="5">
        <f>SUMIFS(CaseCells!G2:G999,CaseCells!C2:C999, C284,CaseCells!E2:E999, "A")</f>
        <v>2000</v>
      </c>
      <c r="W284" s="5">
        <f>SUMIFS(CaseCells!G2:G999,CaseCells!C2:C999, C284,CaseCells!E2:E999, "B")</f>
        <v>2000</v>
      </c>
      <c r="X284" s="3">
        <f>IF(V284 = 0, "", T284 / V284)</f>
        <v>0.5</v>
      </c>
      <c r="Y284" s="3">
        <f>IF(W284 = 0, "", U284 / W284)</f>
        <v>0.5</v>
      </c>
      <c r="Z284" s="3">
        <f>IF(X284 = "", "", X284 - Y284)</f>
        <v>0</v>
      </c>
      <c r="AA284" s="3">
        <f>IF(K284 = "", "", K284 - N284)</f>
        <v>0.04999999999999993</v>
      </c>
      <c r="AB284" s="3">
        <f>IF(AA284 = "", "", AA284 * R284)</f>
        <v>0.024999999999999967</v>
      </c>
    </row>
    <row r="285">
      <c r="A285" s="2" t="s">
        <v>2062</v>
      </c>
      <c r="B285" s="3" t="str">
        <f>A285</f>
        <v>recsys-offline-eval-head-items-B</v>
      </c>
      <c r="C285" s="2" t="s">
        <v>645</v>
      </c>
      <c r="D285" s="2" t="s">
        <v>1562</v>
      </c>
      <c r="E285" s="2" t="s">
        <v>795</v>
      </c>
      <c r="F285" s="5">
        <f>SUMIFS(CaseCells!F2:F999,CaseCells!C2:C999, C285,CaseCells!D2:D999, D285,CaseCells!E2:E999, E285)</f>
        <v>800</v>
      </c>
      <c r="G285" s="5">
        <f>SUMIFS(CaseCells!G2:G999,CaseCells!C2:C999, C285,CaseCells!D2:D999, D285,CaseCells!E2:E999, E285)</f>
        <v>1000</v>
      </c>
      <c r="H285" s="3">
        <f>IF(G285 = 0, "", F285 / G285)</f>
        <v>0.8</v>
      </c>
      <c r="I285" s="5">
        <f>SUMIFS(CaseCells!F2:F999,CaseCells!C2:C999, C285,CaseCells!D2:D999, D285,CaseCells!E2:E999, "A")</f>
        <v>850</v>
      </c>
      <c r="J285" s="5">
        <f>SUMIFS(CaseCells!G2:G999,CaseCells!C2:C999, C285,CaseCells!D2:D999, D285,CaseCells!E2:E999, "A")</f>
        <v>1000</v>
      </c>
      <c r="K285" s="3">
        <f>IF(J285 = 0, "", I285 / J285)</f>
        <v>0.85</v>
      </c>
      <c r="L285" s="5">
        <f>SUMIFS(CaseCells!F2:F999,CaseCells!C2:C999, C285,CaseCells!D2:D999, D285,CaseCells!E2:E999, "B")</f>
        <v>800</v>
      </c>
      <c r="M285" s="5">
        <f>SUMIFS(CaseCells!G2:G999,CaseCells!C2:C999, C285,CaseCells!D2:D999, D285,CaseCells!E2:E999, "B")</f>
        <v>1000</v>
      </c>
      <c r="N285" s="3">
        <f>IF(M285 = 0, "", L285 / M285)</f>
        <v>0.8</v>
      </c>
      <c r="O285" s="3" t="str">
        <f>IF(K285 &gt; N285, "A", "B")</f>
        <v>A</v>
      </c>
      <c r="P285" s="5">
        <f>SUMIFS(CaseCells!G2:G999,CaseCells!C2:C999, C285)</f>
        <v>4000</v>
      </c>
      <c r="Q285" s="5">
        <f>SUMIFS(CaseCells!G2:G999,CaseCells!C2:C999, C285,CaseCells!D2:D999, D285)</f>
        <v>2000</v>
      </c>
      <c r="R285" s="3">
        <f>IF(P285 = 0, "", Q285 / P285)</f>
        <v>0.5</v>
      </c>
      <c r="S285" s="3">
        <f>IF(R285 = "", "", R285 * H285)</f>
        <v>0.4</v>
      </c>
      <c r="T285" s="5">
        <f>SUMIFS(CaseCells!G2:G999,CaseCells!C2:C999, C285,CaseCells!D2:D999, D285,CaseCells!E2:E999, "A")</f>
        <v>1000</v>
      </c>
      <c r="U285" s="5">
        <f>SUMIFS(CaseCells!G2:G999,CaseCells!C2:C999, C285,CaseCells!D2:D999, D285,CaseCells!E2:E999, "B")</f>
        <v>1000</v>
      </c>
      <c r="V285" s="5">
        <f>SUMIFS(CaseCells!G2:G999,CaseCells!C2:C999, C285,CaseCells!E2:E999, "A")</f>
        <v>2000</v>
      </c>
      <c r="W285" s="5">
        <f>SUMIFS(CaseCells!G2:G999,CaseCells!C2:C999, C285,CaseCells!E2:E999, "B")</f>
        <v>2000</v>
      </c>
      <c r="X285" s="3">
        <f>IF(V285 = 0, "", T285 / V285)</f>
        <v>0.5</v>
      </c>
      <c r="Y285" s="3">
        <f>IF(W285 = 0, "", U285 / W285)</f>
        <v>0.5</v>
      </c>
      <c r="Z285" s="3">
        <f>IF(X285 = "", "", X285 - Y285)</f>
        <v>0</v>
      </c>
      <c r="AA285" s="3">
        <f>IF(K285 = "", "", K285 - N285)</f>
        <v>0.04999999999999993</v>
      </c>
      <c r="AB285" s="3">
        <f>IF(AA285 = "", "", AA285 * R285)</f>
        <v>0.024999999999999967</v>
      </c>
    </row>
    <row r="286">
      <c r="A286" s="2" t="s">
        <v>2063</v>
      </c>
      <c r="B286" s="3" t="str">
        <f>A286</f>
        <v>recsys-offline-eval-tail-items-A</v>
      </c>
      <c r="C286" s="2" t="s">
        <v>645</v>
      </c>
      <c r="D286" s="2" t="s">
        <v>1565</v>
      </c>
      <c r="E286" s="2" t="s">
        <v>792</v>
      </c>
      <c r="F286" s="5">
        <f>SUMIFS(CaseCells!F2:F999,CaseCells!C2:C999, C286,CaseCells!D2:D999, D286,CaseCells!E2:E999, E286)</f>
        <v>300</v>
      </c>
      <c r="G286" s="5">
        <f>SUMIFS(CaseCells!G2:G999,CaseCells!C2:C999, C286,CaseCells!D2:D999, D286,CaseCells!E2:E999, E286)</f>
        <v>1000</v>
      </c>
      <c r="H286" s="3">
        <f>IF(G286 = 0, "", F286 / G286)</f>
        <v>0.3</v>
      </c>
      <c r="I286" s="5">
        <f>SUMIFS(CaseCells!F2:F999,CaseCells!C2:C999, C286,CaseCells!D2:D999, D286,CaseCells!E2:E999, "A")</f>
        <v>300</v>
      </c>
      <c r="J286" s="5">
        <f>SUMIFS(CaseCells!G2:G999,CaseCells!C2:C999, C286,CaseCells!D2:D999, D286,CaseCells!E2:E999, "A")</f>
        <v>1000</v>
      </c>
      <c r="K286" s="3">
        <f>IF(J286 = 0, "", I286 / J286)</f>
        <v>0.3</v>
      </c>
      <c r="L286" s="5">
        <f>SUMIFS(CaseCells!F2:F999,CaseCells!C2:C999, C286,CaseCells!D2:D999, D286,CaseCells!E2:E999, "B")</f>
        <v>350</v>
      </c>
      <c r="M286" s="5">
        <f>SUMIFS(CaseCells!G2:G999,CaseCells!C2:C999, C286,CaseCells!D2:D999, D286,CaseCells!E2:E999, "B")</f>
        <v>1000</v>
      </c>
      <c r="N286" s="3">
        <f>IF(M286 = 0, "", L286 / M286)</f>
        <v>0.35</v>
      </c>
      <c r="O286" s="3" t="str">
        <f>IF(K286 &gt; N286, "A", "B")</f>
        <v>B</v>
      </c>
      <c r="P286" s="5">
        <f>SUMIFS(CaseCells!G2:G999,CaseCells!C2:C999, C286)</f>
        <v>4000</v>
      </c>
      <c r="Q286" s="5">
        <f>SUMIFS(CaseCells!G2:G999,CaseCells!C2:C999, C286,CaseCells!D2:D999, D286)</f>
        <v>2000</v>
      </c>
      <c r="R286" s="3">
        <f>IF(P286 = 0, "", Q286 / P286)</f>
        <v>0.5</v>
      </c>
      <c r="S286" s="3">
        <f>IF(R286 = "", "", R286 * H286)</f>
        <v>0.15</v>
      </c>
      <c r="T286" s="5">
        <f>SUMIFS(CaseCells!G2:G999,CaseCells!C2:C999, C286,CaseCells!D2:D999, D286,CaseCells!E2:E999, "A")</f>
        <v>1000</v>
      </c>
      <c r="U286" s="5">
        <f>SUMIFS(CaseCells!G2:G999,CaseCells!C2:C999, C286,CaseCells!D2:D999, D286,CaseCells!E2:E999, "B")</f>
        <v>1000</v>
      </c>
      <c r="V286" s="5">
        <f>SUMIFS(CaseCells!G2:G999,CaseCells!C2:C999, C286,CaseCells!E2:E999, "A")</f>
        <v>2000</v>
      </c>
      <c r="W286" s="5">
        <f>SUMIFS(CaseCells!G2:G999,CaseCells!C2:C999, C286,CaseCells!E2:E999, "B")</f>
        <v>2000</v>
      </c>
      <c r="X286" s="3">
        <f>IF(V286 = 0, "", T286 / V286)</f>
        <v>0.5</v>
      </c>
      <c r="Y286" s="3">
        <f>IF(W286 = 0, "", U286 / W286)</f>
        <v>0.5</v>
      </c>
      <c r="Z286" s="3">
        <f>IF(X286 = "", "", X286 - Y286)</f>
        <v>0</v>
      </c>
      <c r="AA286" s="3">
        <f>IF(K286 = "", "", K286 - N286)</f>
        <v>-0.04999999999999999</v>
      </c>
      <c r="AB286" s="3">
        <f>IF(AA286 = "", "", AA286 * R286)</f>
        <v>-0.024999999999999994</v>
      </c>
    </row>
    <row r="287">
      <c r="A287" s="2" t="s">
        <v>2064</v>
      </c>
      <c r="B287" s="3" t="str">
        <f>A287</f>
        <v>recsys-offline-eval-tail-items-B</v>
      </c>
      <c r="C287" s="2" t="s">
        <v>645</v>
      </c>
      <c r="D287" s="2" t="s">
        <v>1565</v>
      </c>
      <c r="E287" s="2" t="s">
        <v>795</v>
      </c>
      <c r="F287" s="5">
        <f>SUMIFS(CaseCells!F2:F999,CaseCells!C2:C999, C287,CaseCells!D2:D999, D287,CaseCells!E2:E999, E287)</f>
        <v>350</v>
      </c>
      <c r="G287" s="5">
        <f>SUMIFS(CaseCells!G2:G999,CaseCells!C2:C999, C287,CaseCells!D2:D999, D287,CaseCells!E2:E999, E287)</f>
        <v>1000</v>
      </c>
      <c r="H287" s="3">
        <f>IF(G287 = 0, "", F287 / G287)</f>
        <v>0.35</v>
      </c>
      <c r="I287" s="5">
        <f>SUMIFS(CaseCells!F2:F999,CaseCells!C2:C999, C287,CaseCells!D2:D999, D287,CaseCells!E2:E999, "A")</f>
        <v>300</v>
      </c>
      <c r="J287" s="5">
        <f>SUMIFS(CaseCells!G2:G999,CaseCells!C2:C999, C287,CaseCells!D2:D999, D287,CaseCells!E2:E999, "A")</f>
        <v>1000</v>
      </c>
      <c r="K287" s="3">
        <f>IF(J287 = 0, "", I287 / J287)</f>
        <v>0.3</v>
      </c>
      <c r="L287" s="5">
        <f>SUMIFS(CaseCells!F2:F999,CaseCells!C2:C999, C287,CaseCells!D2:D999, D287,CaseCells!E2:E999, "B")</f>
        <v>350</v>
      </c>
      <c r="M287" s="5">
        <f>SUMIFS(CaseCells!G2:G999,CaseCells!C2:C999, C287,CaseCells!D2:D999, D287,CaseCells!E2:E999, "B")</f>
        <v>1000</v>
      </c>
      <c r="N287" s="3">
        <f>IF(M287 = 0, "", L287 / M287)</f>
        <v>0.35</v>
      </c>
      <c r="O287" s="3" t="str">
        <f>IF(K287 &gt; N287, "A", "B")</f>
        <v>B</v>
      </c>
      <c r="P287" s="5">
        <f>SUMIFS(CaseCells!G2:G999,CaseCells!C2:C999, C287)</f>
        <v>4000</v>
      </c>
      <c r="Q287" s="5">
        <f>SUMIFS(CaseCells!G2:G999,CaseCells!C2:C999, C287,CaseCells!D2:D999, D287)</f>
        <v>2000</v>
      </c>
      <c r="R287" s="3">
        <f>IF(P287 = 0, "", Q287 / P287)</f>
        <v>0.5</v>
      </c>
      <c r="S287" s="3">
        <f>IF(R287 = "", "", R287 * H287)</f>
        <v>0.175</v>
      </c>
      <c r="T287" s="5">
        <f>SUMIFS(CaseCells!G2:G999,CaseCells!C2:C999, C287,CaseCells!D2:D999, D287,CaseCells!E2:E999, "A")</f>
        <v>1000</v>
      </c>
      <c r="U287" s="5">
        <f>SUMIFS(CaseCells!G2:G999,CaseCells!C2:C999, C287,CaseCells!D2:D999, D287,CaseCells!E2:E999, "B")</f>
        <v>1000</v>
      </c>
      <c r="V287" s="5">
        <f>SUMIFS(CaseCells!G2:G999,CaseCells!C2:C999, C287,CaseCells!E2:E999, "A")</f>
        <v>2000</v>
      </c>
      <c r="W287" s="5">
        <f>SUMIFS(CaseCells!G2:G999,CaseCells!C2:C999, C287,CaseCells!E2:E999, "B")</f>
        <v>2000</v>
      </c>
      <c r="X287" s="3">
        <f>IF(V287 = 0, "", T287 / V287)</f>
        <v>0.5</v>
      </c>
      <c r="Y287" s="3">
        <f>IF(W287 = 0, "", U287 / W287)</f>
        <v>0.5</v>
      </c>
      <c r="Z287" s="3">
        <f>IF(X287 = "", "", X287 - Y287)</f>
        <v>0</v>
      </c>
      <c r="AA287" s="3">
        <f>IF(K287 = "", "", K287 - N287)</f>
        <v>-0.04999999999999999</v>
      </c>
      <c r="AB287" s="3">
        <f>IF(AA287 = "", "", AA287 * R287)</f>
        <v>-0.024999999999999994</v>
      </c>
    </row>
    <row r="288">
      <c r="A288" s="2" t="s">
        <v>2065</v>
      </c>
      <c r="B288" s="3" t="str">
        <f>A288</f>
        <v>collider-only-synthetic-conditioned-in-A</v>
      </c>
      <c r="C288" s="2" t="s">
        <v>649</v>
      </c>
      <c r="D288" s="2" t="s">
        <v>1568</v>
      </c>
      <c r="E288" s="2" t="s">
        <v>792</v>
      </c>
      <c r="F288" s="5">
        <f>SUMIFS(CaseCells!F2:F999,CaseCells!C2:C999, C288,CaseCells!D2:D999, D288,CaseCells!E2:E999, E288)</f>
        <v>85</v>
      </c>
      <c r="G288" s="5">
        <f>SUMIFS(CaseCells!G2:G999,CaseCells!C2:C999, C288,CaseCells!D2:D999, D288,CaseCells!E2:E999, E288)</f>
        <v>100</v>
      </c>
      <c r="H288" s="3">
        <f>IF(G288 = 0, "", F288 / G288)</f>
        <v>0.85</v>
      </c>
      <c r="I288" s="5">
        <f>SUMIFS(CaseCells!F2:F999,CaseCells!C2:C999, C288,CaseCells!D2:D999, D288,CaseCells!E2:E999, "A")</f>
        <v>85</v>
      </c>
      <c r="J288" s="5">
        <f>SUMIFS(CaseCells!G2:G999,CaseCells!C2:C999, C288,CaseCells!D2:D999, D288,CaseCells!E2:E999, "A")</f>
        <v>100</v>
      </c>
      <c r="K288" s="3">
        <f>IF(J288 = 0, "", I288 / J288)</f>
        <v>0.85</v>
      </c>
      <c r="L288" s="5">
        <f>SUMIFS(CaseCells!F2:F999,CaseCells!C2:C999, C288,CaseCells!D2:D999, D288,CaseCells!E2:E999, "B")</f>
        <v>70</v>
      </c>
      <c r="M288" s="5">
        <f>SUMIFS(CaseCells!G2:G999,CaseCells!C2:C999, C288,CaseCells!D2:D999, D288,CaseCells!E2:E999, "B")</f>
        <v>100</v>
      </c>
      <c r="N288" s="3">
        <f>IF(M288 = 0, "", L288 / M288)</f>
        <v>0.7</v>
      </c>
      <c r="O288" s="3" t="str">
        <f>IF(K288 &gt; N288, "A", "B")</f>
        <v>A</v>
      </c>
      <c r="P288" s="5">
        <f>SUMIFS(CaseCells!G2:G999,CaseCells!C2:C999, C288)</f>
        <v>2000</v>
      </c>
      <c r="Q288" s="5">
        <f>SUMIFS(CaseCells!G2:G999,CaseCells!C2:C999, C288,CaseCells!D2:D999, D288)</f>
        <v>200</v>
      </c>
      <c r="R288" s="3">
        <f>IF(P288 = 0, "", Q288 / P288)</f>
        <v>0.1</v>
      </c>
      <c r="S288" s="3">
        <f>IF(R288 = "", "", R288 * H288)</f>
        <v>0.085</v>
      </c>
      <c r="T288" s="5">
        <f>SUMIFS(CaseCells!G2:G999,CaseCells!C2:C999, C288,CaseCells!D2:D999, D288,CaseCells!E2:E999, "A")</f>
        <v>100</v>
      </c>
      <c r="U288" s="5">
        <f>SUMIFS(CaseCells!G2:G999,CaseCells!C2:C999, C288,CaseCells!D2:D999, D288,CaseCells!E2:E999, "B")</f>
        <v>100</v>
      </c>
      <c r="V288" s="5">
        <f>SUMIFS(CaseCells!G2:G999,CaseCells!C2:C999, C288,CaseCells!E2:E999, "A")</f>
        <v>1000</v>
      </c>
      <c r="W288" s="5">
        <f>SUMIFS(CaseCells!G2:G999,CaseCells!C2:C999, C288,CaseCells!E2:E999, "B")</f>
        <v>1000</v>
      </c>
      <c r="X288" s="3">
        <f>IF(V288 = 0, "", T288 / V288)</f>
        <v>0.1</v>
      </c>
      <c r="Y288" s="3">
        <f>IF(W288 = 0, "", U288 / W288)</f>
        <v>0.1</v>
      </c>
      <c r="Z288" s="3">
        <f>IF(X288 = "", "", X288 - Y288)</f>
        <v>0</v>
      </c>
      <c r="AA288" s="3">
        <f>IF(K288 = "", "", K288 - N288)</f>
        <v>0.15000000000000002</v>
      </c>
      <c r="AB288" s="3">
        <f>IF(AA288 = "", "", AA288 * R288)</f>
        <v>0.015000000000000003</v>
      </c>
    </row>
    <row r="289">
      <c r="A289" s="2" t="s">
        <v>2066</v>
      </c>
      <c r="B289" s="3" t="str">
        <f>A289</f>
        <v>collider-only-synthetic-conditioned-in-B</v>
      </c>
      <c r="C289" s="2" t="s">
        <v>649</v>
      </c>
      <c r="D289" s="2" t="s">
        <v>1568</v>
      </c>
      <c r="E289" s="2" t="s">
        <v>795</v>
      </c>
      <c r="F289" s="5">
        <f>SUMIFS(CaseCells!F2:F999,CaseCells!C2:C999, C289,CaseCells!D2:D999, D289,CaseCells!E2:E999, E289)</f>
        <v>70</v>
      </c>
      <c r="G289" s="5">
        <f>SUMIFS(CaseCells!G2:G999,CaseCells!C2:C999, C289,CaseCells!D2:D999, D289,CaseCells!E2:E999, E289)</f>
        <v>100</v>
      </c>
      <c r="H289" s="3">
        <f>IF(G289 = 0, "", F289 / G289)</f>
        <v>0.7</v>
      </c>
      <c r="I289" s="5">
        <f>SUMIFS(CaseCells!F2:F999,CaseCells!C2:C999, C289,CaseCells!D2:D999, D289,CaseCells!E2:E999, "A")</f>
        <v>85</v>
      </c>
      <c r="J289" s="5">
        <f>SUMIFS(CaseCells!G2:G999,CaseCells!C2:C999, C289,CaseCells!D2:D999, D289,CaseCells!E2:E999, "A")</f>
        <v>100</v>
      </c>
      <c r="K289" s="3">
        <f>IF(J289 = 0, "", I289 / J289)</f>
        <v>0.85</v>
      </c>
      <c r="L289" s="5">
        <f>SUMIFS(CaseCells!F2:F999,CaseCells!C2:C999, C289,CaseCells!D2:D999, D289,CaseCells!E2:E999, "B")</f>
        <v>70</v>
      </c>
      <c r="M289" s="5">
        <f>SUMIFS(CaseCells!G2:G999,CaseCells!C2:C999, C289,CaseCells!D2:D999, D289,CaseCells!E2:E999, "B")</f>
        <v>100</v>
      </c>
      <c r="N289" s="3">
        <f>IF(M289 = 0, "", L289 / M289)</f>
        <v>0.7</v>
      </c>
      <c r="O289" s="3" t="str">
        <f>IF(K289 &gt; N289, "A", "B")</f>
        <v>A</v>
      </c>
      <c r="P289" s="5">
        <f>SUMIFS(CaseCells!G2:G999,CaseCells!C2:C999, C289)</f>
        <v>2000</v>
      </c>
      <c r="Q289" s="5">
        <f>SUMIFS(CaseCells!G2:G999,CaseCells!C2:C999, C289,CaseCells!D2:D999, D289)</f>
        <v>200</v>
      </c>
      <c r="R289" s="3">
        <f>IF(P289 = 0, "", Q289 / P289)</f>
        <v>0.1</v>
      </c>
      <c r="S289" s="3">
        <f>IF(R289 = "", "", R289 * H289)</f>
        <v>0.06999999999999999</v>
      </c>
      <c r="T289" s="5">
        <f>SUMIFS(CaseCells!G2:G999,CaseCells!C2:C999, C289,CaseCells!D2:D999, D289,CaseCells!E2:E999, "A")</f>
        <v>100</v>
      </c>
      <c r="U289" s="5">
        <f>SUMIFS(CaseCells!G2:G999,CaseCells!C2:C999, C289,CaseCells!D2:D999, D289,CaseCells!E2:E999, "B")</f>
        <v>100</v>
      </c>
      <c r="V289" s="5">
        <f>SUMIFS(CaseCells!G2:G999,CaseCells!C2:C999, C289,CaseCells!E2:E999, "A")</f>
        <v>1000</v>
      </c>
      <c r="W289" s="5">
        <f>SUMIFS(CaseCells!G2:G999,CaseCells!C2:C999, C289,CaseCells!E2:E999, "B")</f>
        <v>1000</v>
      </c>
      <c r="X289" s="3">
        <f>IF(V289 = 0, "", T289 / V289)</f>
        <v>0.1</v>
      </c>
      <c r="Y289" s="3">
        <f>IF(W289 = 0, "", U289 / W289)</f>
        <v>0.1</v>
      </c>
      <c r="Z289" s="3">
        <f>IF(X289 = "", "", X289 - Y289)</f>
        <v>0</v>
      </c>
      <c r="AA289" s="3">
        <f>IF(K289 = "", "", K289 - N289)</f>
        <v>0.15000000000000002</v>
      </c>
      <c r="AB289" s="3">
        <f>IF(AA289 = "", "", AA289 * R289)</f>
        <v>0.015000000000000003</v>
      </c>
    </row>
    <row r="290">
      <c r="A290" s="2" t="s">
        <v>2067</v>
      </c>
      <c r="B290" s="3" t="str">
        <f>A290</f>
        <v>collider-only-synthetic-conditioned-out-A</v>
      </c>
      <c r="C290" s="2" t="s">
        <v>649</v>
      </c>
      <c r="D290" s="2" t="s">
        <v>1571</v>
      </c>
      <c r="E290" s="2" t="s">
        <v>792</v>
      </c>
      <c r="F290" s="5">
        <f>SUMIFS(CaseCells!F2:F999,CaseCells!C2:C999, C290,CaseCells!D2:D999, D290,CaseCells!E2:E999, E290)</f>
        <v>150</v>
      </c>
      <c r="G290" s="5">
        <f>SUMIFS(CaseCells!G2:G999,CaseCells!C2:C999, C290,CaseCells!D2:D999, D290,CaseCells!E2:E999, E290)</f>
        <v>900</v>
      </c>
      <c r="H290" s="3">
        <f>IF(G290 = 0, "", F290 / G290)</f>
        <v>0.16666666666666666</v>
      </c>
      <c r="I290" s="5">
        <f>SUMIFS(CaseCells!F2:F999,CaseCells!C2:C999, C290,CaseCells!D2:D999, D290,CaseCells!E2:E999, "A")</f>
        <v>150</v>
      </c>
      <c r="J290" s="5">
        <f>SUMIFS(CaseCells!G2:G999,CaseCells!C2:C999, C290,CaseCells!D2:D999, D290,CaseCells!E2:E999, "A")</f>
        <v>900</v>
      </c>
      <c r="K290" s="3">
        <f>IF(J290 = 0, "", I290 / J290)</f>
        <v>0.16666666666666666</v>
      </c>
      <c r="L290" s="5">
        <f>SUMIFS(CaseCells!F2:F999,CaseCells!C2:C999, C290,CaseCells!D2:D999, D290,CaseCells!E2:E999, "B")</f>
        <v>270</v>
      </c>
      <c r="M290" s="5">
        <f>SUMIFS(CaseCells!G2:G999,CaseCells!C2:C999, C290,CaseCells!D2:D999, D290,CaseCells!E2:E999, "B")</f>
        <v>900</v>
      </c>
      <c r="N290" s="3">
        <f>IF(M290 = 0, "", L290 / M290)</f>
        <v>0.3</v>
      </c>
      <c r="O290" s="3" t="str">
        <f>IF(K290 &gt; N290, "A", "B")</f>
        <v>B</v>
      </c>
      <c r="P290" s="5">
        <f>SUMIFS(CaseCells!G2:G999,CaseCells!C2:C999, C290)</f>
        <v>2000</v>
      </c>
      <c r="Q290" s="5">
        <f>SUMIFS(CaseCells!G2:G999,CaseCells!C2:C999, C290,CaseCells!D2:D999, D290)</f>
        <v>1800</v>
      </c>
      <c r="R290" s="3">
        <f>IF(P290 = 0, "", Q290 / P290)</f>
        <v>0.9</v>
      </c>
      <c r="S290" s="3">
        <f>IF(R290 = "", "", R290 * H290)</f>
        <v>0.15</v>
      </c>
      <c r="T290" s="5">
        <f>SUMIFS(CaseCells!G2:G999,CaseCells!C2:C999, C290,CaseCells!D2:D999, D290,CaseCells!E2:E999, "A")</f>
        <v>900</v>
      </c>
      <c r="U290" s="5">
        <f>SUMIFS(CaseCells!G2:G999,CaseCells!C2:C999, C290,CaseCells!D2:D999, D290,CaseCells!E2:E999, "B")</f>
        <v>900</v>
      </c>
      <c r="V290" s="5">
        <f>SUMIFS(CaseCells!G2:G999,CaseCells!C2:C999, C290,CaseCells!E2:E999, "A")</f>
        <v>1000</v>
      </c>
      <c r="W290" s="5">
        <f>SUMIFS(CaseCells!G2:G999,CaseCells!C2:C999, C290,CaseCells!E2:E999, "B")</f>
        <v>1000</v>
      </c>
      <c r="X290" s="3">
        <f>IF(V290 = 0, "", T290 / V290)</f>
        <v>0.9</v>
      </c>
      <c r="Y290" s="3">
        <f>IF(W290 = 0, "", U290 / W290)</f>
        <v>0.9</v>
      </c>
      <c r="Z290" s="3">
        <f>IF(X290 = "", "", X290 - Y290)</f>
        <v>0</v>
      </c>
      <c r="AA290" s="3">
        <f>IF(K290 = "", "", K290 - N290)</f>
        <v>-0.13333333333333333</v>
      </c>
      <c r="AB290" s="3">
        <f>IF(AA290 = "", "", AA290 * R290)</f>
        <v>-0.12</v>
      </c>
    </row>
    <row r="291">
      <c r="A291" s="2" t="s">
        <v>2068</v>
      </c>
      <c r="B291" s="3" t="str">
        <f>A291</f>
        <v>collider-only-synthetic-conditioned-out-B</v>
      </c>
      <c r="C291" s="2" t="s">
        <v>649</v>
      </c>
      <c r="D291" s="2" t="s">
        <v>1571</v>
      </c>
      <c r="E291" s="2" t="s">
        <v>795</v>
      </c>
      <c r="F291" s="5">
        <f>SUMIFS(CaseCells!F2:F999,CaseCells!C2:C999, C291,CaseCells!D2:D999, D291,CaseCells!E2:E999, E291)</f>
        <v>270</v>
      </c>
      <c r="G291" s="5">
        <f>SUMIFS(CaseCells!G2:G999,CaseCells!C2:C999, C291,CaseCells!D2:D999, D291,CaseCells!E2:E999, E291)</f>
        <v>900</v>
      </c>
      <c r="H291" s="3">
        <f>IF(G291 = 0, "", F291 / G291)</f>
        <v>0.3</v>
      </c>
      <c r="I291" s="5">
        <f>SUMIFS(CaseCells!F2:F999,CaseCells!C2:C999, C291,CaseCells!D2:D999, D291,CaseCells!E2:E999, "A")</f>
        <v>150</v>
      </c>
      <c r="J291" s="5">
        <f>SUMIFS(CaseCells!G2:G999,CaseCells!C2:C999, C291,CaseCells!D2:D999, D291,CaseCells!E2:E999, "A")</f>
        <v>900</v>
      </c>
      <c r="K291" s="3">
        <f>IF(J291 = 0, "", I291 / J291)</f>
        <v>0.16666666666666666</v>
      </c>
      <c r="L291" s="5">
        <f>SUMIFS(CaseCells!F2:F999,CaseCells!C2:C999, C291,CaseCells!D2:D999, D291,CaseCells!E2:E999, "B")</f>
        <v>270</v>
      </c>
      <c r="M291" s="5">
        <f>SUMIFS(CaseCells!G2:G999,CaseCells!C2:C999, C291,CaseCells!D2:D999, D291,CaseCells!E2:E999, "B")</f>
        <v>900</v>
      </c>
      <c r="N291" s="3">
        <f>IF(M291 = 0, "", L291 / M291)</f>
        <v>0.3</v>
      </c>
      <c r="O291" s="3" t="str">
        <f>IF(K291 &gt; N291, "A", "B")</f>
        <v>B</v>
      </c>
      <c r="P291" s="5">
        <f>SUMIFS(CaseCells!G2:G999,CaseCells!C2:C999, C291)</f>
        <v>2000</v>
      </c>
      <c r="Q291" s="5">
        <f>SUMIFS(CaseCells!G2:G999,CaseCells!C2:C999, C291,CaseCells!D2:D999, D291)</f>
        <v>1800</v>
      </c>
      <c r="R291" s="3">
        <f>IF(P291 = 0, "", Q291 / P291)</f>
        <v>0.9</v>
      </c>
      <c r="S291" s="3">
        <f>IF(R291 = "", "", R291 * H291)</f>
        <v>0.27</v>
      </c>
      <c r="T291" s="5">
        <f>SUMIFS(CaseCells!G2:G999,CaseCells!C2:C999, C291,CaseCells!D2:D999, D291,CaseCells!E2:E999, "A")</f>
        <v>900</v>
      </c>
      <c r="U291" s="5">
        <f>SUMIFS(CaseCells!G2:G999,CaseCells!C2:C999, C291,CaseCells!D2:D999, D291,CaseCells!E2:E999, "B")</f>
        <v>900</v>
      </c>
      <c r="V291" s="5">
        <f>SUMIFS(CaseCells!G2:G999,CaseCells!C2:C999, C291,CaseCells!E2:E999, "A")</f>
        <v>1000</v>
      </c>
      <c r="W291" s="5">
        <f>SUMIFS(CaseCells!G2:G999,CaseCells!C2:C999, C291,CaseCells!E2:E999, "B")</f>
        <v>1000</v>
      </c>
      <c r="X291" s="3">
        <f>IF(V291 = 0, "", T291 / V291)</f>
        <v>0.9</v>
      </c>
      <c r="Y291" s="3">
        <f>IF(W291 = 0, "", U291 / W291)</f>
        <v>0.9</v>
      </c>
      <c r="Z291" s="3">
        <f>IF(X291 = "", "", X291 - Y291)</f>
        <v>0</v>
      </c>
      <c r="AA291" s="3">
        <f>IF(K291 = "", "", K291 - N291)</f>
        <v>-0.13333333333333333</v>
      </c>
      <c r="AB291" s="3">
        <f>IF(AA291 = "", "", AA291 * R291)</f>
        <v>-0.12</v>
      </c>
    </row>
    <row r="292">
      <c r="A292" s="2" t="s">
        <v>2069</v>
      </c>
      <c r="B292" s="3" t="str">
        <f>A292</f>
        <v>noncollapsibility-or-synthetic-low-prevalence-A</v>
      </c>
      <c r="C292" s="2" t="s">
        <v>652</v>
      </c>
      <c r="D292" s="2" t="s">
        <v>1574</v>
      </c>
      <c r="E292" s="2" t="s">
        <v>792</v>
      </c>
      <c r="F292" s="5">
        <f>SUMIFS(CaseCells!F2:F999,CaseCells!C2:C999, C292,CaseCells!D2:D999, D292,CaseCells!E2:E999, E292)</f>
        <v>40</v>
      </c>
      <c r="G292" s="5">
        <f>SUMIFS(CaseCells!G2:G999,CaseCells!C2:C999, C292,CaseCells!D2:D999, D292,CaseCells!E2:E999, E292)</f>
        <v>100</v>
      </c>
      <c r="H292" s="3">
        <f>IF(G292 = 0, "", F292 / G292)</f>
        <v>0.4</v>
      </c>
      <c r="I292" s="5">
        <f>SUMIFS(CaseCells!F2:F999,CaseCells!C2:C999, C292,CaseCells!D2:D999, D292,CaseCells!E2:E999, "A")</f>
        <v>40</v>
      </c>
      <c r="J292" s="5">
        <f>SUMIFS(CaseCells!G2:G999,CaseCells!C2:C999, C292,CaseCells!D2:D999, D292,CaseCells!E2:E999, "A")</f>
        <v>100</v>
      </c>
      <c r="K292" s="3">
        <f>IF(J292 = 0, "", I292 / J292)</f>
        <v>0.4</v>
      </c>
      <c r="L292" s="5">
        <f>SUMIFS(CaseCells!F2:F999,CaseCells!C2:C999, C292,CaseCells!D2:D999, D292,CaseCells!E2:E999, "B")</f>
        <v>30</v>
      </c>
      <c r="M292" s="5">
        <f>SUMIFS(CaseCells!G2:G999,CaseCells!C2:C999, C292,CaseCells!D2:D999, D292,CaseCells!E2:E999, "B")</f>
        <v>100</v>
      </c>
      <c r="N292" s="3">
        <f>IF(M292 = 0, "", L292 / M292)</f>
        <v>0.3</v>
      </c>
      <c r="O292" s="3" t="str">
        <f>IF(K292 &gt; N292, "A", "B")</f>
        <v>A</v>
      </c>
      <c r="P292" s="5">
        <f>SUMIFS(CaseCells!G2:G999,CaseCells!C2:C999, C292)</f>
        <v>2200</v>
      </c>
      <c r="Q292" s="5">
        <f>SUMIFS(CaseCells!G2:G999,CaseCells!C2:C999, C292,CaseCells!D2:D999, D292)</f>
        <v>200</v>
      </c>
      <c r="R292" s="3">
        <f>IF(P292 = 0, "", Q292 / P292)</f>
        <v>0.09090909090909091</v>
      </c>
      <c r="S292" s="3">
        <f>IF(R292 = "", "", R292 * H292)</f>
        <v>0.03636363636363637</v>
      </c>
      <c r="T292" s="5">
        <f>SUMIFS(CaseCells!G2:G999,CaseCells!C2:C999, C292,CaseCells!D2:D999, D292,CaseCells!E2:E999, "A")</f>
        <v>100</v>
      </c>
      <c r="U292" s="5">
        <f>SUMIFS(CaseCells!G2:G999,CaseCells!C2:C999, C292,CaseCells!D2:D999, D292,CaseCells!E2:E999, "B")</f>
        <v>100</v>
      </c>
      <c r="V292" s="5">
        <f>SUMIFS(CaseCells!G2:G999,CaseCells!C2:C999, C292,CaseCells!E2:E999, "A")</f>
        <v>1100</v>
      </c>
      <c r="W292" s="5">
        <f>SUMIFS(CaseCells!G2:G999,CaseCells!C2:C999, C292,CaseCells!E2:E999, "B")</f>
        <v>1100</v>
      </c>
      <c r="X292" s="3">
        <f>IF(V292 = 0, "", T292 / V292)</f>
        <v>0.09090909090909091</v>
      </c>
      <c r="Y292" s="3">
        <f>IF(W292 = 0, "", U292 / W292)</f>
        <v>0.09090909090909091</v>
      </c>
      <c r="Z292" s="3">
        <f>IF(X292 = "", "", X292 - Y292)</f>
        <v>0</v>
      </c>
      <c r="AA292" s="3">
        <f>IF(K292 = "", "", K292 - N292)</f>
        <v>0.10000000000000003</v>
      </c>
      <c r="AB292" s="3">
        <f>IF(AA292 = "", "", AA292 * R292)</f>
        <v>0.009090909090909094</v>
      </c>
    </row>
    <row r="293">
      <c r="A293" s="2" t="s">
        <v>2070</v>
      </c>
      <c r="B293" s="3" t="str">
        <f>A293</f>
        <v>noncollapsibility-or-synthetic-low-prevalence-B</v>
      </c>
      <c r="C293" s="2" t="s">
        <v>652</v>
      </c>
      <c r="D293" s="2" t="s">
        <v>1574</v>
      </c>
      <c r="E293" s="2" t="s">
        <v>795</v>
      </c>
      <c r="F293" s="5">
        <f>SUMIFS(CaseCells!F2:F999,CaseCells!C2:C999, C293,CaseCells!D2:D999, D293,CaseCells!E2:E999, E293)</f>
        <v>30</v>
      </c>
      <c r="G293" s="5">
        <f>SUMIFS(CaseCells!G2:G999,CaseCells!C2:C999, C293,CaseCells!D2:D999, D293,CaseCells!E2:E999, E293)</f>
        <v>100</v>
      </c>
      <c r="H293" s="3">
        <f>IF(G293 = 0, "", F293 / G293)</f>
        <v>0.3</v>
      </c>
      <c r="I293" s="5">
        <f>SUMIFS(CaseCells!F2:F999,CaseCells!C2:C999, C293,CaseCells!D2:D999, D293,CaseCells!E2:E999, "A")</f>
        <v>40</v>
      </c>
      <c r="J293" s="5">
        <f>SUMIFS(CaseCells!G2:G999,CaseCells!C2:C999, C293,CaseCells!D2:D999, D293,CaseCells!E2:E999, "A")</f>
        <v>100</v>
      </c>
      <c r="K293" s="3">
        <f>IF(J293 = 0, "", I293 / J293)</f>
        <v>0.4</v>
      </c>
      <c r="L293" s="5">
        <f>SUMIFS(CaseCells!F2:F999,CaseCells!C2:C999, C293,CaseCells!D2:D999, D293,CaseCells!E2:E999, "B")</f>
        <v>30</v>
      </c>
      <c r="M293" s="5">
        <f>SUMIFS(CaseCells!G2:G999,CaseCells!C2:C999, C293,CaseCells!D2:D999, D293,CaseCells!E2:E999, "B")</f>
        <v>100</v>
      </c>
      <c r="N293" s="3">
        <f>IF(M293 = 0, "", L293 / M293)</f>
        <v>0.3</v>
      </c>
      <c r="O293" s="3" t="str">
        <f>IF(K293 &gt; N293, "A", "B")</f>
        <v>A</v>
      </c>
      <c r="P293" s="5">
        <f>SUMIFS(CaseCells!G2:G999,CaseCells!C2:C999, C293)</f>
        <v>2200</v>
      </c>
      <c r="Q293" s="5">
        <f>SUMIFS(CaseCells!G2:G999,CaseCells!C2:C999, C293,CaseCells!D2:D999, D293)</f>
        <v>200</v>
      </c>
      <c r="R293" s="3">
        <f>IF(P293 = 0, "", Q293 / P293)</f>
        <v>0.09090909090909091</v>
      </c>
      <c r="S293" s="3">
        <f>IF(R293 = "", "", R293 * H293)</f>
        <v>0.02727272727272727</v>
      </c>
      <c r="T293" s="5">
        <f>SUMIFS(CaseCells!G2:G999,CaseCells!C2:C999, C293,CaseCells!D2:D999, D293,CaseCells!E2:E999, "A")</f>
        <v>100</v>
      </c>
      <c r="U293" s="5">
        <f>SUMIFS(CaseCells!G2:G999,CaseCells!C2:C999, C293,CaseCells!D2:D999, D293,CaseCells!E2:E999, "B")</f>
        <v>100</v>
      </c>
      <c r="V293" s="5">
        <f>SUMIFS(CaseCells!G2:G999,CaseCells!C2:C999, C293,CaseCells!E2:E999, "A")</f>
        <v>1100</v>
      </c>
      <c r="W293" s="5">
        <f>SUMIFS(CaseCells!G2:G999,CaseCells!C2:C999, C293,CaseCells!E2:E999, "B")</f>
        <v>1100</v>
      </c>
      <c r="X293" s="3">
        <f>IF(V293 = 0, "", T293 / V293)</f>
        <v>0.09090909090909091</v>
      </c>
      <c r="Y293" s="3">
        <f>IF(W293 = 0, "", U293 / W293)</f>
        <v>0.09090909090909091</v>
      </c>
      <c r="Z293" s="3">
        <f>IF(X293 = "", "", X293 - Y293)</f>
        <v>0</v>
      </c>
      <c r="AA293" s="3">
        <f>IF(K293 = "", "", K293 - N293)</f>
        <v>0.10000000000000003</v>
      </c>
      <c r="AB293" s="3">
        <f>IF(AA293 = "", "", AA293 * R293)</f>
        <v>0.009090909090909094</v>
      </c>
    </row>
    <row r="294">
      <c r="A294" s="2" t="s">
        <v>2071</v>
      </c>
      <c r="B294" s="3" t="str">
        <f>A294</f>
        <v>noncollapsibility-or-synthetic-high-prevalence-A</v>
      </c>
      <c r="C294" s="2" t="s">
        <v>652</v>
      </c>
      <c r="D294" s="2" t="s">
        <v>1577</v>
      </c>
      <c r="E294" s="2" t="s">
        <v>792</v>
      </c>
      <c r="F294" s="5">
        <f>SUMIFS(CaseCells!F2:F999,CaseCells!C2:C999, C294,CaseCells!D2:D999, D294,CaseCells!E2:E999, E294)</f>
        <v>400</v>
      </c>
      <c r="G294" s="5">
        <f>SUMIFS(CaseCells!G2:G999,CaseCells!C2:C999, C294,CaseCells!D2:D999, D294,CaseCells!E2:E999, E294)</f>
        <v>1000</v>
      </c>
      <c r="H294" s="3">
        <f>IF(G294 = 0, "", F294 / G294)</f>
        <v>0.4</v>
      </c>
      <c r="I294" s="5">
        <f>SUMIFS(CaseCells!F2:F999,CaseCells!C2:C999, C294,CaseCells!D2:D999, D294,CaseCells!E2:E999, "A")</f>
        <v>400</v>
      </c>
      <c r="J294" s="5">
        <f>SUMIFS(CaseCells!G2:G999,CaseCells!C2:C999, C294,CaseCells!D2:D999, D294,CaseCells!E2:E999, "A")</f>
        <v>1000</v>
      </c>
      <c r="K294" s="3">
        <f>IF(J294 = 0, "", I294 / J294)</f>
        <v>0.4</v>
      </c>
      <c r="L294" s="5">
        <f>SUMIFS(CaseCells!F2:F999,CaseCells!C2:C999, C294,CaseCells!D2:D999, D294,CaseCells!E2:E999, "B")</f>
        <v>300</v>
      </c>
      <c r="M294" s="5">
        <f>SUMIFS(CaseCells!G2:G999,CaseCells!C2:C999, C294,CaseCells!D2:D999, D294,CaseCells!E2:E999, "B")</f>
        <v>1000</v>
      </c>
      <c r="N294" s="3">
        <f>IF(M294 = 0, "", L294 / M294)</f>
        <v>0.3</v>
      </c>
      <c r="O294" s="3" t="str">
        <f>IF(K294 &gt; N294, "A", "B")</f>
        <v>A</v>
      </c>
      <c r="P294" s="5">
        <f>SUMIFS(CaseCells!G2:G999,CaseCells!C2:C999, C294)</f>
        <v>2200</v>
      </c>
      <c r="Q294" s="5">
        <f>SUMIFS(CaseCells!G2:G999,CaseCells!C2:C999, C294,CaseCells!D2:D999, D294)</f>
        <v>2000</v>
      </c>
      <c r="R294" s="3">
        <f>IF(P294 = 0, "", Q294 / P294)</f>
        <v>0.9090909090909091</v>
      </c>
      <c r="S294" s="3">
        <f>IF(R294 = "", "", R294 * H294)</f>
        <v>0.36363636363636365</v>
      </c>
      <c r="T294" s="5">
        <f>SUMIFS(CaseCells!G2:G999,CaseCells!C2:C999, C294,CaseCells!D2:D999, D294,CaseCells!E2:E999, "A")</f>
        <v>1000</v>
      </c>
      <c r="U294" s="5">
        <f>SUMIFS(CaseCells!G2:G999,CaseCells!C2:C999, C294,CaseCells!D2:D999, D294,CaseCells!E2:E999, "B")</f>
        <v>1000</v>
      </c>
      <c r="V294" s="5">
        <f>SUMIFS(CaseCells!G2:G999,CaseCells!C2:C999, C294,CaseCells!E2:E999, "A")</f>
        <v>1100</v>
      </c>
      <c r="W294" s="5">
        <f>SUMIFS(CaseCells!G2:G999,CaseCells!C2:C999, C294,CaseCells!E2:E999, "B")</f>
        <v>1100</v>
      </c>
      <c r="X294" s="3">
        <f>IF(V294 = 0, "", T294 / V294)</f>
        <v>0.9090909090909091</v>
      </c>
      <c r="Y294" s="3">
        <f>IF(W294 = 0, "", U294 / W294)</f>
        <v>0.9090909090909091</v>
      </c>
      <c r="Z294" s="3">
        <f>IF(X294 = "", "", X294 - Y294)</f>
        <v>0</v>
      </c>
      <c r="AA294" s="3">
        <f>IF(K294 = "", "", K294 - N294)</f>
        <v>0.10000000000000003</v>
      </c>
      <c r="AB294" s="3">
        <f>IF(AA294 = "", "", AA294 * R294)</f>
        <v>0.09090909090909094</v>
      </c>
    </row>
    <row r="295">
      <c r="A295" s="2" t="s">
        <v>2072</v>
      </c>
      <c r="B295" s="3" t="str">
        <f>A295</f>
        <v>noncollapsibility-or-synthetic-high-prevalence-B</v>
      </c>
      <c r="C295" s="2" t="s">
        <v>652</v>
      </c>
      <c r="D295" s="2" t="s">
        <v>1577</v>
      </c>
      <c r="E295" s="2" t="s">
        <v>795</v>
      </c>
      <c r="F295" s="5">
        <f>SUMIFS(CaseCells!F2:F999,CaseCells!C2:C999, C295,CaseCells!D2:D999, D295,CaseCells!E2:E999, E295)</f>
        <v>300</v>
      </c>
      <c r="G295" s="5">
        <f>SUMIFS(CaseCells!G2:G999,CaseCells!C2:C999, C295,CaseCells!D2:D999, D295,CaseCells!E2:E999, E295)</f>
        <v>1000</v>
      </c>
      <c r="H295" s="3">
        <f>IF(G295 = 0, "", F295 / G295)</f>
        <v>0.3</v>
      </c>
      <c r="I295" s="5">
        <f>SUMIFS(CaseCells!F2:F999,CaseCells!C2:C999, C295,CaseCells!D2:D999, D295,CaseCells!E2:E999, "A")</f>
        <v>400</v>
      </c>
      <c r="J295" s="5">
        <f>SUMIFS(CaseCells!G2:G999,CaseCells!C2:C999, C295,CaseCells!D2:D999, D295,CaseCells!E2:E999, "A")</f>
        <v>1000</v>
      </c>
      <c r="K295" s="3">
        <f>IF(J295 = 0, "", I295 / J295)</f>
        <v>0.4</v>
      </c>
      <c r="L295" s="5">
        <f>SUMIFS(CaseCells!F2:F999,CaseCells!C2:C999, C295,CaseCells!D2:D999, D295,CaseCells!E2:E999, "B")</f>
        <v>300</v>
      </c>
      <c r="M295" s="5">
        <f>SUMIFS(CaseCells!G2:G999,CaseCells!C2:C999, C295,CaseCells!D2:D999, D295,CaseCells!E2:E999, "B")</f>
        <v>1000</v>
      </c>
      <c r="N295" s="3">
        <f>IF(M295 = 0, "", L295 / M295)</f>
        <v>0.3</v>
      </c>
      <c r="O295" s="3" t="str">
        <f>IF(K295 &gt; N295, "A", "B")</f>
        <v>A</v>
      </c>
      <c r="P295" s="5">
        <f>SUMIFS(CaseCells!G2:G999,CaseCells!C2:C999, C295)</f>
        <v>2200</v>
      </c>
      <c r="Q295" s="5">
        <f>SUMIFS(CaseCells!G2:G999,CaseCells!C2:C999, C295,CaseCells!D2:D999, D295)</f>
        <v>2000</v>
      </c>
      <c r="R295" s="3">
        <f>IF(P295 = 0, "", Q295 / P295)</f>
        <v>0.9090909090909091</v>
      </c>
      <c r="S295" s="3">
        <f>IF(R295 = "", "", R295 * H295)</f>
        <v>0.2727272727272727</v>
      </c>
      <c r="T295" s="5">
        <f>SUMIFS(CaseCells!G2:G999,CaseCells!C2:C999, C295,CaseCells!D2:D999, D295,CaseCells!E2:E999, "A")</f>
        <v>1000</v>
      </c>
      <c r="U295" s="5">
        <f>SUMIFS(CaseCells!G2:G999,CaseCells!C2:C999, C295,CaseCells!D2:D999, D295,CaseCells!E2:E999, "B")</f>
        <v>1000</v>
      </c>
      <c r="V295" s="5">
        <f>SUMIFS(CaseCells!G2:G999,CaseCells!C2:C999, C295,CaseCells!E2:E999, "A")</f>
        <v>1100</v>
      </c>
      <c r="W295" s="5">
        <f>SUMIFS(CaseCells!G2:G999,CaseCells!C2:C999, C295,CaseCells!E2:E999, "B")</f>
        <v>1100</v>
      </c>
      <c r="X295" s="3">
        <f>IF(V295 = 0, "", T295 / V295)</f>
        <v>0.9090909090909091</v>
      </c>
      <c r="Y295" s="3">
        <f>IF(W295 = 0, "", U295 / W295)</f>
        <v>0.9090909090909091</v>
      </c>
      <c r="Z295" s="3">
        <f>IF(X295 = "", "", X295 - Y295)</f>
        <v>0</v>
      </c>
      <c r="AA295" s="3">
        <f>IF(K295 = "", "", K295 - N295)</f>
        <v>0.10000000000000003</v>
      </c>
      <c r="AB295" s="3">
        <f>IF(AA295 = "", "", AA295 * R295)</f>
        <v>0.09090909090909094</v>
      </c>
    </row>
    <row r="296">
      <c r="A296" s="2" t="s">
        <v>2073</v>
      </c>
      <c r="B296" s="3" t="str">
        <f>A296</f>
        <v>trauma-center-mortality-mild-injury-A</v>
      </c>
      <c r="C296" s="2" t="s">
        <v>655</v>
      </c>
      <c r="D296" s="2" t="s">
        <v>1580</v>
      </c>
      <c r="E296" s="2" t="s">
        <v>792</v>
      </c>
      <c r="F296" s="5">
        <f>SUMIFS(CaseCells!F2:F999,CaseCells!C2:C999, C296,CaseCells!D2:D999, D296,CaseCells!E2:E999, E296)</f>
        <v>950</v>
      </c>
      <c r="G296" s="5">
        <f>SUMIFS(CaseCells!G2:G999,CaseCells!C2:C999, C296,CaseCells!D2:D999, D296,CaseCells!E2:E999, E296)</f>
        <v>1000</v>
      </c>
      <c r="H296" s="3">
        <f>IF(G296 = 0, "", F296 / G296)</f>
        <v>0.95</v>
      </c>
      <c r="I296" s="5">
        <f>SUMIFS(CaseCells!F2:F999,CaseCells!C2:C999, C296,CaseCells!D2:D999, D296,CaseCells!E2:E999, "A")</f>
        <v>950</v>
      </c>
      <c r="J296" s="5">
        <f>SUMIFS(CaseCells!G2:G999,CaseCells!C2:C999, C296,CaseCells!D2:D999, D296,CaseCells!E2:E999, "A")</f>
        <v>1000</v>
      </c>
      <c r="K296" s="3">
        <f>IF(J296 = 0, "", I296 / J296)</f>
        <v>0.95</v>
      </c>
      <c r="L296" s="5">
        <f>SUMIFS(CaseCells!F2:F999,CaseCells!C2:C999, C296,CaseCells!D2:D999, D296,CaseCells!E2:E999, "B")</f>
        <v>960</v>
      </c>
      <c r="M296" s="5">
        <f>SUMIFS(CaseCells!G2:G999,CaseCells!C2:C999, C296,CaseCells!D2:D999, D296,CaseCells!E2:E999, "B")</f>
        <v>1000</v>
      </c>
      <c r="N296" s="3">
        <f>IF(M296 = 0, "", L296 / M296)</f>
        <v>0.96</v>
      </c>
      <c r="O296" s="3" t="str">
        <f>IF(K296 &gt; N296, "A", "B")</f>
        <v>B</v>
      </c>
      <c r="P296" s="5">
        <f>SUMIFS(CaseCells!G2:G999,CaseCells!C2:C999, C296)</f>
        <v>4000</v>
      </c>
      <c r="Q296" s="5">
        <f>SUMIFS(CaseCells!G2:G999,CaseCells!C2:C999, C296,CaseCells!D2:D999, D296)</f>
        <v>2000</v>
      </c>
      <c r="R296" s="3">
        <f>IF(P296 = 0, "", Q296 / P296)</f>
        <v>0.5</v>
      </c>
      <c r="S296" s="3">
        <f>IF(R296 = "", "", R296 * H296)</f>
        <v>0.475</v>
      </c>
      <c r="T296" s="5">
        <f>SUMIFS(CaseCells!G2:G999,CaseCells!C2:C999, C296,CaseCells!D2:D999, D296,CaseCells!E2:E999, "A")</f>
        <v>1000</v>
      </c>
      <c r="U296" s="5">
        <f>SUMIFS(CaseCells!G2:G999,CaseCells!C2:C999, C296,CaseCells!D2:D999, D296,CaseCells!E2:E999, "B")</f>
        <v>1000</v>
      </c>
      <c r="V296" s="5">
        <f>SUMIFS(CaseCells!G2:G999,CaseCells!C2:C999, C296,CaseCells!E2:E999, "A")</f>
        <v>2000</v>
      </c>
      <c r="W296" s="5">
        <f>SUMIFS(CaseCells!G2:G999,CaseCells!C2:C999, C296,CaseCells!E2:E999, "B")</f>
        <v>2000</v>
      </c>
      <c r="X296" s="3">
        <f>IF(V296 = 0, "", T296 / V296)</f>
        <v>0.5</v>
      </c>
      <c r="Y296" s="3">
        <f>IF(W296 = 0, "", U296 / W296)</f>
        <v>0.5</v>
      </c>
      <c r="Z296" s="3">
        <f>IF(X296 = "", "", X296 - Y296)</f>
        <v>0</v>
      </c>
      <c r="AA296" s="3">
        <f>IF(K296 = "", "", K296 - N296)</f>
        <v>-0.010000000000000009</v>
      </c>
      <c r="AB296" s="3">
        <f>IF(AA296 = "", "", AA296 * R296)</f>
        <v>-0.0050000000000000044</v>
      </c>
    </row>
    <row r="297">
      <c r="A297" s="2" t="s">
        <v>2074</v>
      </c>
      <c r="B297" s="3" t="str">
        <f>A297</f>
        <v>trauma-center-mortality-mild-injury-B</v>
      </c>
      <c r="C297" s="2" t="s">
        <v>655</v>
      </c>
      <c r="D297" s="2" t="s">
        <v>1580</v>
      </c>
      <c r="E297" s="2" t="s">
        <v>795</v>
      </c>
      <c r="F297" s="5">
        <f>SUMIFS(CaseCells!F2:F999,CaseCells!C2:C999, C297,CaseCells!D2:D999, D297,CaseCells!E2:E999, E297)</f>
        <v>960</v>
      </c>
      <c r="G297" s="5">
        <f>SUMIFS(CaseCells!G2:G999,CaseCells!C2:C999, C297,CaseCells!D2:D999, D297,CaseCells!E2:E999, E297)</f>
        <v>1000</v>
      </c>
      <c r="H297" s="3">
        <f>IF(G297 = 0, "", F297 / G297)</f>
        <v>0.96</v>
      </c>
      <c r="I297" s="5">
        <f>SUMIFS(CaseCells!F2:F999,CaseCells!C2:C999, C297,CaseCells!D2:D999, D297,CaseCells!E2:E999, "A")</f>
        <v>950</v>
      </c>
      <c r="J297" s="5">
        <f>SUMIFS(CaseCells!G2:G999,CaseCells!C2:C999, C297,CaseCells!D2:D999, D297,CaseCells!E2:E999, "A")</f>
        <v>1000</v>
      </c>
      <c r="K297" s="3">
        <f>IF(J297 = 0, "", I297 / J297)</f>
        <v>0.95</v>
      </c>
      <c r="L297" s="5">
        <f>SUMIFS(CaseCells!F2:F999,CaseCells!C2:C999, C297,CaseCells!D2:D999, D297,CaseCells!E2:E999, "B")</f>
        <v>960</v>
      </c>
      <c r="M297" s="5">
        <f>SUMIFS(CaseCells!G2:G999,CaseCells!C2:C999, C297,CaseCells!D2:D999, D297,CaseCells!E2:E999, "B")</f>
        <v>1000</v>
      </c>
      <c r="N297" s="3">
        <f>IF(M297 = 0, "", L297 / M297)</f>
        <v>0.96</v>
      </c>
      <c r="O297" s="3" t="str">
        <f>IF(K297 &gt; N297, "A", "B")</f>
        <v>B</v>
      </c>
      <c r="P297" s="5">
        <f>SUMIFS(CaseCells!G2:G999,CaseCells!C2:C999, C297)</f>
        <v>4000</v>
      </c>
      <c r="Q297" s="5">
        <f>SUMIFS(CaseCells!G2:G999,CaseCells!C2:C999, C297,CaseCells!D2:D999, D297)</f>
        <v>2000</v>
      </c>
      <c r="R297" s="3">
        <f>IF(P297 = 0, "", Q297 / P297)</f>
        <v>0.5</v>
      </c>
      <c r="S297" s="3">
        <f>IF(R297 = "", "", R297 * H297)</f>
        <v>0.48</v>
      </c>
      <c r="T297" s="5">
        <f>SUMIFS(CaseCells!G2:G999,CaseCells!C2:C999, C297,CaseCells!D2:D999, D297,CaseCells!E2:E999, "A")</f>
        <v>1000</v>
      </c>
      <c r="U297" s="5">
        <f>SUMIFS(CaseCells!G2:G999,CaseCells!C2:C999, C297,CaseCells!D2:D999, D297,CaseCells!E2:E999, "B")</f>
        <v>1000</v>
      </c>
      <c r="V297" s="5">
        <f>SUMIFS(CaseCells!G2:G999,CaseCells!C2:C999, C297,CaseCells!E2:E999, "A")</f>
        <v>2000</v>
      </c>
      <c r="W297" s="5">
        <f>SUMIFS(CaseCells!G2:G999,CaseCells!C2:C999, C297,CaseCells!E2:E999, "B")</f>
        <v>2000</v>
      </c>
      <c r="X297" s="3">
        <f>IF(V297 = 0, "", T297 / V297)</f>
        <v>0.5</v>
      </c>
      <c r="Y297" s="3">
        <f>IF(W297 = 0, "", U297 / W297)</f>
        <v>0.5</v>
      </c>
      <c r="Z297" s="3">
        <f>IF(X297 = "", "", X297 - Y297)</f>
        <v>0</v>
      </c>
      <c r="AA297" s="3">
        <f>IF(K297 = "", "", K297 - N297)</f>
        <v>-0.010000000000000009</v>
      </c>
      <c r="AB297" s="3">
        <f>IF(AA297 = "", "", AA297 * R297)</f>
        <v>-0.0050000000000000044</v>
      </c>
    </row>
    <row r="298">
      <c r="A298" s="2" t="s">
        <v>2075</v>
      </c>
      <c r="B298" s="3" t="str">
        <f>A298</f>
        <v>trauma-center-mortality-severe-injury-A</v>
      </c>
      <c r="C298" s="2" t="s">
        <v>655</v>
      </c>
      <c r="D298" s="2" t="s">
        <v>1583</v>
      </c>
      <c r="E298" s="2" t="s">
        <v>792</v>
      </c>
      <c r="F298" s="5">
        <f>SUMIFS(CaseCells!F2:F999,CaseCells!C2:C999, C298,CaseCells!D2:D999, D298,CaseCells!E2:E999, E298)</f>
        <v>600</v>
      </c>
      <c r="G298" s="5">
        <f>SUMIFS(CaseCells!G2:G999,CaseCells!C2:C999, C298,CaseCells!D2:D999, D298,CaseCells!E2:E999, E298)</f>
        <v>1000</v>
      </c>
      <c r="H298" s="3">
        <f>IF(G298 = 0, "", F298 / G298)</f>
        <v>0.6</v>
      </c>
      <c r="I298" s="5">
        <f>SUMIFS(CaseCells!F2:F999,CaseCells!C2:C999, C298,CaseCells!D2:D999, D298,CaseCells!E2:E999, "A")</f>
        <v>600</v>
      </c>
      <c r="J298" s="5">
        <f>SUMIFS(CaseCells!G2:G999,CaseCells!C2:C999, C298,CaseCells!D2:D999, D298,CaseCells!E2:E999, "A")</f>
        <v>1000</v>
      </c>
      <c r="K298" s="3">
        <f>IF(J298 = 0, "", I298 / J298)</f>
        <v>0.6</v>
      </c>
      <c r="L298" s="5">
        <f>SUMIFS(CaseCells!F2:F999,CaseCells!C2:C999, C298,CaseCells!D2:D999, D298,CaseCells!E2:E999, "B")</f>
        <v>680</v>
      </c>
      <c r="M298" s="5">
        <f>SUMIFS(CaseCells!G2:G999,CaseCells!C2:C999, C298,CaseCells!D2:D999, D298,CaseCells!E2:E999, "B")</f>
        <v>1000</v>
      </c>
      <c r="N298" s="3">
        <f>IF(M298 = 0, "", L298 / M298)</f>
        <v>0.68</v>
      </c>
      <c r="O298" s="3" t="str">
        <f>IF(K298 &gt; N298, "A", "B")</f>
        <v>B</v>
      </c>
      <c r="P298" s="5">
        <f>SUMIFS(CaseCells!G2:G999,CaseCells!C2:C999, C298)</f>
        <v>4000</v>
      </c>
      <c r="Q298" s="5">
        <f>SUMIFS(CaseCells!G2:G999,CaseCells!C2:C999, C298,CaseCells!D2:D999, D298)</f>
        <v>2000</v>
      </c>
      <c r="R298" s="3">
        <f>IF(P298 = 0, "", Q298 / P298)</f>
        <v>0.5</v>
      </c>
      <c r="S298" s="3">
        <f>IF(R298 = "", "", R298 * H298)</f>
        <v>0.3</v>
      </c>
      <c r="T298" s="5">
        <f>SUMIFS(CaseCells!G2:G999,CaseCells!C2:C999, C298,CaseCells!D2:D999, D298,CaseCells!E2:E999, "A")</f>
        <v>1000</v>
      </c>
      <c r="U298" s="5">
        <f>SUMIFS(CaseCells!G2:G999,CaseCells!C2:C999, C298,CaseCells!D2:D999, D298,CaseCells!E2:E999, "B")</f>
        <v>1000</v>
      </c>
      <c r="V298" s="5">
        <f>SUMIFS(CaseCells!G2:G999,CaseCells!C2:C999, C298,CaseCells!E2:E999, "A")</f>
        <v>2000</v>
      </c>
      <c r="W298" s="5">
        <f>SUMIFS(CaseCells!G2:G999,CaseCells!C2:C999, C298,CaseCells!E2:E999, "B")</f>
        <v>2000</v>
      </c>
      <c r="X298" s="3">
        <f>IF(V298 = 0, "", T298 / V298)</f>
        <v>0.5</v>
      </c>
      <c r="Y298" s="3">
        <f>IF(W298 = 0, "", U298 / W298)</f>
        <v>0.5</v>
      </c>
      <c r="Z298" s="3">
        <f>IF(X298 = "", "", X298 - Y298)</f>
        <v>0</v>
      </c>
      <c r="AA298" s="3">
        <f>IF(K298 = "", "", K298 - N298)</f>
        <v>-0.08000000000000007</v>
      </c>
      <c r="AB298" s="3">
        <f>IF(AA298 = "", "", AA298 * R298)</f>
        <v>-0.040000000000000036</v>
      </c>
    </row>
    <row r="299">
      <c r="A299" s="2" t="s">
        <v>2076</v>
      </c>
      <c r="B299" s="3" t="str">
        <f>A299</f>
        <v>trauma-center-mortality-severe-injury-B</v>
      </c>
      <c r="C299" s="2" t="s">
        <v>655</v>
      </c>
      <c r="D299" s="2" t="s">
        <v>1583</v>
      </c>
      <c r="E299" s="2" t="s">
        <v>795</v>
      </c>
      <c r="F299" s="5">
        <f>SUMIFS(CaseCells!F2:F999,CaseCells!C2:C999, C299,CaseCells!D2:D999, D299,CaseCells!E2:E999, E299)</f>
        <v>680</v>
      </c>
      <c r="G299" s="5">
        <f>SUMIFS(CaseCells!G2:G999,CaseCells!C2:C999, C299,CaseCells!D2:D999, D299,CaseCells!E2:E999, E299)</f>
        <v>1000</v>
      </c>
      <c r="H299" s="3">
        <f>IF(G299 = 0, "", F299 / G299)</f>
        <v>0.68</v>
      </c>
      <c r="I299" s="5">
        <f>SUMIFS(CaseCells!F2:F999,CaseCells!C2:C999, C299,CaseCells!D2:D999, D299,CaseCells!E2:E999, "A")</f>
        <v>600</v>
      </c>
      <c r="J299" s="5">
        <f>SUMIFS(CaseCells!G2:G999,CaseCells!C2:C999, C299,CaseCells!D2:D999, D299,CaseCells!E2:E999, "A")</f>
        <v>1000</v>
      </c>
      <c r="K299" s="3">
        <f>IF(J299 = 0, "", I299 / J299)</f>
        <v>0.6</v>
      </c>
      <c r="L299" s="5">
        <f>SUMIFS(CaseCells!F2:F999,CaseCells!C2:C999, C299,CaseCells!D2:D999, D299,CaseCells!E2:E999, "B")</f>
        <v>680</v>
      </c>
      <c r="M299" s="5">
        <f>SUMIFS(CaseCells!G2:G999,CaseCells!C2:C999, C299,CaseCells!D2:D999, D299,CaseCells!E2:E999, "B")</f>
        <v>1000</v>
      </c>
      <c r="N299" s="3">
        <f>IF(M299 = 0, "", L299 / M299)</f>
        <v>0.68</v>
      </c>
      <c r="O299" s="3" t="str">
        <f>IF(K299 &gt; N299, "A", "B")</f>
        <v>B</v>
      </c>
      <c r="P299" s="5">
        <f>SUMIFS(CaseCells!G2:G999,CaseCells!C2:C999, C299)</f>
        <v>4000</v>
      </c>
      <c r="Q299" s="5">
        <f>SUMIFS(CaseCells!G2:G999,CaseCells!C2:C999, C299,CaseCells!D2:D999, D299)</f>
        <v>2000</v>
      </c>
      <c r="R299" s="3">
        <f>IF(P299 = 0, "", Q299 / P299)</f>
        <v>0.5</v>
      </c>
      <c r="S299" s="3">
        <f>IF(R299 = "", "", R299 * H299)</f>
        <v>0.34</v>
      </c>
      <c r="T299" s="5">
        <f>SUMIFS(CaseCells!G2:G999,CaseCells!C2:C999, C299,CaseCells!D2:D999, D299,CaseCells!E2:E999, "A")</f>
        <v>1000</v>
      </c>
      <c r="U299" s="5">
        <f>SUMIFS(CaseCells!G2:G999,CaseCells!C2:C999, C299,CaseCells!D2:D999, D299,CaseCells!E2:E999, "B")</f>
        <v>1000</v>
      </c>
      <c r="V299" s="5">
        <f>SUMIFS(CaseCells!G2:G999,CaseCells!C2:C999, C299,CaseCells!E2:E999, "A")</f>
        <v>2000</v>
      </c>
      <c r="W299" s="5">
        <f>SUMIFS(CaseCells!G2:G999,CaseCells!C2:C999, C299,CaseCells!E2:E999, "B")</f>
        <v>2000</v>
      </c>
      <c r="X299" s="3">
        <f>IF(V299 = 0, "", T299 / V299)</f>
        <v>0.5</v>
      </c>
      <c r="Y299" s="3">
        <f>IF(W299 = 0, "", U299 / W299)</f>
        <v>0.5</v>
      </c>
      <c r="Z299" s="3">
        <f>IF(X299 = "", "", X299 - Y299)</f>
        <v>0</v>
      </c>
      <c r="AA299" s="3">
        <f>IF(K299 = "", "", K299 - N299)</f>
        <v>-0.08000000000000007</v>
      </c>
      <c r="AB299" s="3">
        <f>IF(AA299 = "", "", AA299 * R299)</f>
        <v>-0.040000000000000036</v>
      </c>
    </row>
    <row r="300">
      <c r="A300" s="2" t="s">
        <v>2077</v>
      </c>
      <c r="B300" s="3" t="str">
        <f>A300</f>
        <v>surgeon-volume-mortality-low-risk-A</v>
      </c>
      <c r="C300" s="2" t="s">
        <v>659</v>
      </c>
      <c r="D300" s="2" t="s">
        <v>1235</v>
      </c>
      <c r="E300" s="2" t="s">
        <v>792</v>
      </c>
      <c r="F300" s="5">
        <f>SUMIFS(CaseCells!F2:F999,CaseCells!C2:C999, C300,CaseCells!D2:D999, D300,CaseCells!E2:E999, E300)</f>
        <v>980</v>
      </c>
      <c r="G300" s="5">
        <f>SUMIFS(CaseCells!G2:G999,CaseCells!C2:C999, C300,CaseCells!D2:D999, D300,CaseCells!E2:E999, E300)</f>
        <v>1000</v>
      </c>
      <c r="H300" s="3">
        <f>IF(G300 = 0, "", F300 / G300)</f>
        <v>0.98</v>
      </c>
      <c r="I300" s="5">
        <f>SUMIFS(CaseCells!F2:F999,CaseCells!C2:C999, C300,CaseCells!D2:D999, D300,CaseCells!E2:E999, "A")</f>
        <v>980</v>
      </c>
      <c r="J300" s="5">
        <f>SUMIFS(CaseCells!G2:G999,CaseCells!C2:C999, C300,CaseCells!D2:D999, D300,CaseCells!E2:E999, "A")</f>
        <v>1000</v>
      </c>
      <c r="K300" s="3">
        <f>IF(J300 = 0, "", I300 / J300)</f>
        <v>0.98</v>
      </c>
      <c r="L300" s="5">
        <f>SUMIFS(CaseCells!F2:F999,CaseCells!C2:C999, C300,CaseCells!D2:D999, D300,CaseCells!E2:E999, "B")</f>
        <v>975</v>
      </c>
      <c r="M300" s="5">
        <f>SUMIFS(CaseCells!G2:G999,CaseCells!C2:C999, C300,CaseCells!D2:D999, D300,CaseCells!E2:E999, "B")</f>
        <v>1000</v>
      </c>
      <c r="N300" s="3">
        <f>IF(M300 = 0, "", L300 / M300)</f>
        <v>0.975</v>
      </c>
      <c r="O300" s="3" t="str">
        <f>IF(K300 &gt; N300, "A", "B")</f>
        <v>A</v>
      </c>
      <c r="P300" s="5">
        <f>SUMIFS(CaseCells!G2:G999,CaseCells!C2:C999, C300)</f>
        <v>4000</v>
      </c>
      <c r="Q300" s="5">
        <f>SUMIFS(CaseCells!G2:G999,CaseCells!C2:C999, C300,CaseCells!D2:D999, D300)</f>
        <v>2000</v>
      </c>
      <c r="R300" s="3">
        <f>IF(P300 = 0, "", Q300 / P300)</f>
        <v>0.5</v>
      </c>
      <c r="S300" s="3">
        <f>IF(R300 = "", "", R300 * H300)</f>
        <v>0.49</v>
      </c>
      <c r="T300" s="5">
        <f>SUMIFS(CaseCells!G2:G999,CaseCells!C2:C999, C300,CaseCells!D2:D999, D300,CaseCells!E2:E999, "A")</f>
        <v>1000</v>
      </c>
      <c r="U300" s="5">
        <f>SUMIFS(CaseCells!G2:G999,CaseCells!C2:C999, C300,CaseCells!D2:D999, D300,CaseCells!E2:E999, "B")</f>
        <v>1000</v>
      </c>
      <c r="V300" s="5">
        <f>SUMIFS(CaseCells!G2:G999,CaseCells!C2:C999, C300,CaseCells!E2:E999, "A")</f>
        <v>2000</v>
      </c>
      <c r="W300" s="5">
        <f>SUMIFS(CaseCells!G2:G999,CaseCells!C2:C999, C300,CaseCells!E2:E999, "B")</f>
        <v>2000</v>
      </c>
      <c r="X300" s="3">
        <f>IF(V300 = 0, "", T300 / V300)</f>
        <v>0.5</v>
      </c>
      <c r="Y300" s="3">
        <f>IF(W300 = 0, "", U300 / W300)</f>
        <v>0.5</v>
      </c>
      <c r="Z300" s="3">
        <f>IF(X300 = "", "", X300 - Y300)</f>
        <v>0</v>
      </c>
      <c r="AA300" s="3">
        <f>IF(K300 = "", "", K300 - N300)</f>
        <v>0.0050000000000000044</v>
      </c>
      <c r="AB300" s="3">
        <f>IF(AA300 = "", "", AA300 * R300)</f>
        <v>0.0025000000000000022</v>
      </c>
    </row>
    <row r="301">
      <c r="A301" s="2" t="s">
        <v>2078</v>
      </c>
      <c r="B301" s="3" t="str">
        <f>A301</f>
        <v>surgeon-volume-mortality-low-risk-B</v>
      </c>
      <c r="C301" s="2" t="s">
        <v>659</v>
      </c>
      <c r="D301" s="2" t="s">
        <v>1235</v>
      </c>
      <c r="E301" s="2" t="s">
        <v>795</v>
      </c>
      <c r="F301" s="5">
        <f>SUMIFS(CaseCells!F2:F999,CaseCells!C2:C999, C301,CaseCells!D2:D999, D301,CaseCells!E2:E999, E301)</f>
        <v>975</v>
      </c>
      <c r="G301" s="5">
        <f>SUMIFS(CaseCells!G2:G999,CaseCells!C2:C999, C301,CaseCells!D2:D999, D301,CaseCells!E2:E999, E301)</f>
        <v>1000</v>
      </c>
      <c r="H301" s="3">
        <f>IF(G301 = 0, "", F301 / G301)</f>
        <v>0.975</v>
      </c>
      <c r="I301" s="5">
        <f>SUMIFS(CaseCells!F2:F999,CaseCells!C2:C999, C301,CaseCells!D2:D999, D301,CaseCells!E2:E999, "A")</f>
        <v>980</v>
      </c>
      <c r="J301" s="5">
        <f>SUMIFS(CaseCells!G2:G999,CaseCells!C2:C999, C301,CaseCells!D2:D999, D301,CaseCells!E2:E999, "A")</f>
        <v>1000</v>
      </c>
      <c r="K301" s="3">
        <f>IF(J301 = 0, "", I301 / J301)</f>
        <v>0.98</v>
      </c>
      <c r="L301" s="5">
        <f>SUMIFS(CaseCells!F2:F999,CaseCells!C2:C999, C301,CaseCells!D2:D999, D301,CaseCells!E2:E999, "B")</f>
        <v>975</v>
      </c>
      <c r="M301" s="5">
        <f>SUMIFS(CaseCells!G2:G999,CaseCells!C2:C999, C301,CaseCells!D2:D999, D301,CaseCells!E2:E999, "B")</f>
        <v>1000</v>
      </c>
      <c r="N301" s="3">
        <f>IF(M301 = 0, "", L301 / M301)</f>
        <v>0.975</v>
      </c>
      <c r="O301" s="3" t="str">
        <f>IF(K301 &gt; N301, "A", "B")</f>
        <v>A</v>
      </c>
      <c r="P301" s="5">
        <f>SUMIFS(CaseCells!G2:G999,CaseCells!C2:C999, C301)</f>
        <v>4000</v>
      </c>
      <c r="Q301" s="5">
        <f>SUMIFS(CaseCells!G2:G999,CaseCells!C2:C999, C301,CaseCells!D2:D999, D301)</f>
        <v>2000</v>
      </c>
      <c r="R301" s="3">
        <f>IF(P301 = 0, "", Q301 / P301)</f>
        <v>0.5</v>
      </c>
      <c r="S301" s="3">
        <f>IF(R301 = "", "", R301 * H301)</f>
        <v>0.4875</v>
      </c>
      <c r="T301" s="5">
        <f>SUMIFS(CaseCells!G2:G999,CaseCells!C2:C999, C301,CaseCells!D2:D999, D301,CaseCells!E2:E999, "A")</f>
        <v>1000</v>
      </c>
      <c r="U301" s="5">
        <f>SUMIFS(CaseCells!G2:G999,CaseCells!C2:C999, C301,CaseCells!D2:D999, D301,CaseCells!E2:E999, "B")</f>
        <v>1000</v>
      </c>
      <c r="V301" s="5">
        <f>SUMIFS(CaseCells!G2:G999,CaseCells!C2:C999, C301,CaseCells!E2:E999, "A")</f>
        <v>2000</v>
      </c>
      <c r="W301" s="5">
        <f>SUMIFS(CaseCells!G2:G999,CaseCells!C2:C999, C301,CaseCells!E2:E999, "B")</f>
        <v>2000</v>
      </c>
      <c r="X301" s="3">
        <f>IF(V301 = 0, "", T301 / V301)</f>
        <v>0.5</v>
      </c>
      <c r="Y301" s="3">
        <f>IF(W301 = 0, "", U301 / W301)</f>
        <v>0.5</v>
      </c>
      <c r="Z301" s="3">
        <f>IF(X301 = "", "", X301 - Y301)</f>
        <v>0</v>
      </c>
      <c r="AA301" s="3">
        <f>IF(K301 = "", "", K301 - N301)</f>
        <v>0.0050000000000000044</v>
      </c>
      <c r="AB301" s="3">
        <f>IF(AA301 = "", "", AA301 * R301)</f>
        <v>0.0025000000000000022</v>
      </c>
    </row>
    <row r="302">
      <c r="A302" s="2" t="s">
        <v>2079</v>
      </c>
      <c r="B302" s="3" t="str">
        <f>A302</f>
        <v>surgeon-volume-mortality-high-risk-A</v>
      </c>
      <c r="C302" s="2" t="s">
        <v>659</v>
      </c>
      <c r="D302" s="2" t="s">
        <v>1232</v>
      </c>
      <c r="E302" s="2" t="s">
        <v>792</v>
      </c>
      <c r="F302" s="5">
        <f>SUMIFS(CaseCells!F2:F999,CaseCells!C2:C999, C302,CaseCells!D2:D999, D302,CaseCells!E2:E999, E302)</f>
        <v>820</v>
      </c>
      <c r="G302" s="5">
        <f>SUMIFS(CaseCells!G2:G999,CaseCells!C2:C999, C302,CaseCells!D2:D999, D302,CaseCells!E2:E999, E302)</f>
        <v>1000</v>
      </c>
      <c r="H302" s="3">
        <f>IF(G302 = 0, "", F302 / G302)</f>
        <v>0.82</v>
      </c>
      <c r="I302" s="5">
        <f>SUMIFS(CaseCells!F2:F999,CaseCells!C2:C999, C302,CaseCells!D2:D999, D302,CaseCells!E2:E999, "A")</f>
        <v>820</v>
      </c>
      <c r="J302" s="5">
        <f>SUMIFS(CaseCells!G2:G999,CaseCells!C2:C999, C302,CaseCells!D2:D999, D302,CaseCells!E2:E999, "A")</f>
        <v>1000</v>
      </c>
      <c r="K302" s="3">
        <f>IF(J302 = 0, "", I302 / J302)</f>
        <v>0.82</v>
      </c>
      <c r="L302" s="5">
        <f>SUMIFS(CaseCells!F2:F999,CaseCells!C2:C999, C302,CaseCells!D2:D999, D302,CaseCells!E2:E999, "B")</f>
        <v>860</v>
      </c>
      <c r="M302" s="5">
        <f>SUMIFS(CaseCells!G2:G999,CaseCells!C2:C999, C302,CaseCells!D2:D999, D302,CaseCells!E2:E999, "B")</f>
        <v>1000</v>
      </c>
      <c r="N302" s="3">
        <f>IF(M302 = 0, "", L302 / M302)</f>
        <v>0.86</v>
      </c>
      <c r="O302" s="3" t="str">
        <f>IF(K302 &gt; N302, "A", "B")</f>
        <v>B</v>
      </c>
      <c r="P302" s="5">
        <f>SUMIFS(CaseCells!G2:G999,CaseCells!C2:C999, C302)</f>
        <v>4000</v>
      </c>
      <c r="Q302" s="5">
        <f>SUMIFS(CaseCells!G2:G999,CaseCells!C2:C999, C302,CaseCells!D2:D999, D302)</f>
        <v>2000</v>
      </c>
      <c r="R302" s="3">
        <f>IF(P302 = 0, "", Q302 / P302)</f>
        <v>0.5</v>
      </c>
      <c r="S302" s="3">
        <f>IF(R302 = "", "", R302 * H302)</f>
        <v>0.41</v>
      </c>
      <c r="T302" s="5">
        <f>SUMIFS(CaseCells!G2:G999,CaseCells!C2:C999, C302,CaseCells!D2:D999, D302,CaseCells!E2:E999, "A")</f>
        <v>1000</v>
      </c>
      <c r="U302" s="5">
        <f>SUMIFS(CaseCells!G2:G999,CaseCells!C2:C999, C302,CaseCells!D2:D999, D302,CaseCells!E2:E999, "B")</f>
        <v>1000</v>
      </c>
      <c r="V302" s="5">
        <f>SUMIFS(CaseCells!G2:G999,CaseCells!C2:C999, C302,CaseCells!E2:E999, "A")</f>
        <v>2000</v>
      </c>
      <c r="W302" s="5">
        <f>SUMIFS(CaseCells!G2:G999,CaseCells!C2:C999, C302,CaseCells!E2:E999, "B")</f>
        <v>2000</v>
      </c>
      <c r="X302" s="3">
        <f>IF(V302 = 0, "", T302 / V302)</f>
        <v>0.5</v>
      </c>
      <c r="Y302" s="3">
        <f>IF(W302 = 0, "", U302 / W302)</f>
        <v>0.5</v>
      </c>
      <c r="Z302" s="3">
        <f>IF(X302 = "", "", X302 - Y302)</f>
        <v>0</v>
      </c>
      <c r="AA302" s="3">
        <f>IF(K302 = "", "", K302 - N302)</f>
        <v>-0.040000000000000036</v>
      </c>
      <c r="AB302" s="3">
        <f>IF(AA302 = "", "", AA302 * R302)</f>
        <v>-0.020000000000000018</v>
      </c>
    </row>
    <row r="303">
      <c r="A303" s="2" t="s">
        <v>2080</v>
      </c>
      <c r="B303" s="3" t="str">
        <f>A303</f>
        <v>surgeon-volume-mortality-high-risk-B</v>
      </c>
      <c r="C303" s="2" t="s">
        <v>659</v>
      </c>
      <c r="D303" s="2" t="s">
        <v>1232</v>
      </c>
      <c r="E303" s="2" t="s">
        <v>795</v>
      </c>
      <c r="F303" s="5">
        <f>SUMIFS(CaseCells!F2:F999,CaseCells!C2:C999, C303,CaseCells!D2:D999, D303,CaseCells!E2:E999, E303)</f>
        <v>860</v>
      </c>
      <c r="G303" s="5">
        <f>SUMIFS(CaseCells!G2:G999,CaseCells!C2:C999, C303,CaseCells!D2:D999, D303,CaseCells!E2:E999, E303)</f>
        <v>1000</v>
      </c>
      <c r="H303" s="3">
        <f>IF(G303 = 0, "", F303 / G303)</f>
        <v>0.86</v>
      </c>
      <c r="I303" s="5">
        <f>SUMIFS(CaseCells!F2:F999,CaseCells!C2:C999, C303,CaseCells!D2:D999, D303,CaseCells!E2:E999, "A")</f>
        <v>820</v>
      </c>
      <c r="J303" s="5">
        <f>SUMIFS(CaseCells!G2:G999,CaseCells!C2:C999, C303,CaseCells!D2:D999, D303,CaseCells!E2:E999, "A")</f>
        <v>1000</v>
      </c>
      <c r="K303" s="3">
        <f>IF(J303 = 0, "", I303 / J303)</f>
        <v>0.82</v>
      </c>
      <c r="L303" s="5">
        <f>SUMIFS(CaseCells!F2:F999,CaseCells!C2:C999, C303,CaseCells!D2:D999, D303,CaseCells!E2:E999, "B")</f>
        <v>860</v>
      </c>
      <c r="M303" s="5">
        <f>SUMIFS(CaseCells!G2:G999,CaseCells!C2:C999, C303,CaseCells!D2:D999, D303,CaseCells!E2:E999, "B")</f>
        <v>1000</v>
      </c>
      <c r="N303" s="3">
        <f>IF(M303 = 0, "", L303 / M303)</f>
        <v>0.86</v>
      </c>
      <c r="O303" s="3" t="str">
        <f>IF(K303 &gt; N303, "A", "B")</f>
        <v>B</v>
      </c>
      <c r="P303" s="5">
        <f>SUMIFS(CaseCells!G2:G999,CaseCells!C2:C999, C303)</f>
        <v>4000</v>
      </c>
      <c r="Q303" s="5">
        <f>SUMIFS(CaseCells!G2:G999,CaseCells!C2:C999, C303,CaseCells!D2:D999, D303)</f>
        <v>2000</v>
      </c>
      <c r="R303" s="3">
        <f>IF(P303 = 0, "", Q303 / P303)</f>
        <v>0.5</v>
      </c>
      <c r="S303" s="3">
        <f>IF(R303 = "", "", R303 * H303)</f>
        <v>0.43</v>
      </c>
      <c r="T303" s="5">
        <f>SUMIFS(CaseCells!G2:G999,CaseCells!C2:C999, C303,CaseCells!D2:D999, D303,CaseCells!E2:E999, "A")</f>
        <v>1000</v>
      </c>
      <c r="U303" s="5">
        <f>SUMIFS(CaseCells!G2:G999,CaseCells!C2:C999, C303,CaseCells!D2:D999, D303,CaseCells!E2:E999, "B")</f>
        <v>1000</v>
      </c>
      <c r="V303" s="5">
        <f>SUMIFS(CaseCells!G2:G999,CaseCells!C2:C999, C303,CaseCells!E2:E999, "A")</f>
        <v>2000</v>
      </c>
      <c r="W303" s="5">
        <f>SUMIFS(CaseCells!G2:G999,CaseCells!C2:C999, C303,CaseCells!E2:E999, "B")</f>
        <v>2000</v>
      </c>
      <c r="X303" s="3">
        <f>IF(V303 = 0, "", T303 / V303)</f>
        <v>0.5</v>
      </c>
      <c r="Y303" s="3">
        <f>IF(W303 = 0, "", U303 / W303)</f>
        <v>0.5</v>
      </c>
      <c r="Z303" s="3">
        <f>IF(X303 = "", "", X303 - Y303)</f>
        <v>0</v>
      </c>
      <c r="AA303" s="3">
        <f>IF(K303 = "", "", K303 - N303)</f>
        <v>-0.040000000000000036</v>
      </c>
      <c r="AB303" s="3">
        <f>IF(AA303 = "", "", AA303 * R303)</f>
        <v>-0.020000000000000018</v>
      </c>
    </row>
    <row r="304">
      <c r="A304" s="2" t="s">
        <v>2081</v>
      </c>
      <c r="B304" s="3" t="str">
        <f>A304</f>
        <v>mammography-length-bias-slow-growing-A</v>
      </c>
      <c r="C304" s="2" t="s">
        <v>663</v>
      </c>
      <c r="D304" s="2" t="s">
        <v>1590</v>
      </c>
      <c r="E304" s="2" t="s">
        <v>792</v>
      </c>
      <c r="F304" s="5">
        <f>SUMIFS(CaseCells!F2:F999,CaseCells!C2:C999, C304,CaseCells!D2:D999, D304,CaseCells!E2:E999, E304)</f>
        <v>920</v>
      </c>
      <c r="G304" s="5">
        <f>SUMIFS(CaseCells!G2:G999,CaseCells!C2:C999, C304,CaseCells!D2:D999, D304,CaseCells!E2:E999, E304)</f>
        <v>1000</v>
      </c>
      <c r="H304" s="3">
        <f>IF(G304 = 0, "", F304 / G304)</f>
        <v>0.92</v>
      </c>
      <c r="I304" s="5">
        <f>SUMIFS(CaseCells!F2:F999,CaseCells!C2:C999, C304,CaseCells!D2:D999, D304,CaseCells!E2:E999, "A")</f>
        <v>920</v>
      </c>
      <c r="J304" s="5">
        <f>SUMIFS(CaseCells!G2:G999,CaseCells!C2:C999, C304,CaseCells!D2:D999, D304,CaseCells!E2:E999, "A")</f>
        <v>1000</v>
      </c>
      <c r="K304" s="3">
        <f>IF(J304 = 0, "", I304 / J304)</f>
        <v>0.92</v>
      </c>
      <c r="L304" s="5">
        <f>SUMIFS(CaseCells!F2:F999,CaseCells!C2:C999, C304,CaseCells!D2:D999, D304,CaseCells!E2:E999, "B")</f>
        <v>700</v>
      </c>
      <c r="M304" s="5">
        <f>SUMIFS(CaseCells!G2:G999,CaseCells!C2:C999, C304,CaseCells!D2:D999, D304,CaseCells!E2:E999, "B")</f>
        <v>1000</v>
      </c>
      <c r="N304" s="3">
        <f>IF(M304 = 0, "", L304 / M304)</f>
        <v>0.7</v>
      </c>
      <c r="O304" s="3" t="str">
        <f>IF(K304 &gt; N304, "A", "B")</f>
        <v>A</v>
      </c>
      <c r="P304" s="5">
        <f>SUMIFS(CaseCells!G2:G999,CaseCells!C2:C999, C304)</f>
        <v>4000</v>
      </c>
      <c r="Q304" s="5">
        <f>SUMIFS(CaseCells!G2:G999,CaseCells!C2:C999, C304,CaseCells!D2:D999, D304)</f>
        <v>2000</v>
      </c>
      <c r="R304" s="3">
        <f>IF(P304 = 0, "", Q304 / P304)</f>
        <v>0.5</v>
      </c>
      <c r="S304" s="3">
        <f>IF(R304 = "", "", R304 * H304)</f>
        <v>0.46</v>
      </c>
      <c r="T304" s="5">
        <f>SUMIFS(CaseCells!G2:G999,CaseCells!C2:C999, C304,CaseCells!D2:D999, D304,CaseCells!E2:E999, "A")</f>
        <v>1000</v>
      </c>
      <c r="U304" s="5">
        <f>SUMIFS(CaseCells!G2:G999,CaseCells!C2:C999, C304,CaseCells!D2:D999, D304,CaseCells!E2:E999, "B")</f>
        <v>1000</v>
      </c>
      <c r="V304" s="5">
        <f>SUMIFS(CaseCells!G2:G999,CaseCells!C2:C999, C304,CaseCells!E2:E999, "A")</f>
        <v>2000</v>
      </c>
      <c r="W304" s="5">
        <f>SUMIFS(CaseCells!G2:G999,CaseCells!C2:C999, C304,CaseCells!E2:E999, "B")</f>
        <v>2000</v>
      </c>
      <c r="X304" s="3">
        <f>IF(V304 = 0, "", T304 / V304)</f>
        <v>0.5</v>
      </c>
      <c r="Y304" s="3">
        <f>IF(W304 = 0, "", U304 / W304)</f>
        <v>0.5</v>
      </c>
      <c r="Z304" s="3">
        <f>IF(X304 = "", "", X304 - Y304)</f>
        <v>0</v>
      </c>
      <c r="AA304" s="3">
        <f>IF(K304 = "", "", K304 - N304)</f>
        <v>0.22000000000000008</v>
      </c>
      <c r="AB304" s="3">
        <f>IF(AA304 = "", "", AA304 * R304)</f>
        <v>0.11000000000000004</v>
      </c>
    </row>
    <row r="305">
      <c r="A305" s="2" t="s">
        <v>2082</v>
      </c>
      <c r="B305" s="3" t="str">
        <f>A305</f>
        <v>mammography-length-bias-slow-growing-B</v>
      </c>
      <c r="C305" s="2" t="s">
        <v>663</v>
      </c>
      <c r="D305" s="2" t="s">
        <v>1590</v>
      </c>
      <c r="E305" s="2" t="s">
        <v>795</v>
      </c>
      <c r="F305" s="5">
        <f>SUMIFS(CaseCells!F2:F999,CaseCells!C2:C999, C305,CaseCells!D2:D999, D305,CaseCells!E2:E999, E305)</f>
        <v>700</v>
      </c>
      <c r="G305" s="5">
        <f>SUMIFS(CaseCells!G2:G999,CaseCells!C2:C999, C305,CaseCells!D2:D999, D305,CaseCells!E2:E999, E305)</f>
        <v>1000</v>
      </c>
      <c r="H305" s="3">
        <f>IF(G305 = 0, "", F305 / G305)</f>
        <v>0.7</v>
      </c>
      <c r="I305" s="5">
        <f>SUMIFS(CaseCells!F2:F999,CaseCells!C2:C999, C305,CaseCells!D2:D999, D305,CaseCells!E2:E999, "A")</f>
        <v>920</v>
      </c>
      <c r="J305" s="5">
        <f>SUMIFS(CaseCells!G2:G999,CaseCells!C2:C999, C305,CaseCells!D2:D999, D305,CaseCells!E2:E999, "A")</f>
        <v>1000</v>
      </c>
      <c r="K305" s="3">
        <f>IF(J305 = 0, "", I305 / J305)</f>
        <v>0.92</v>
      </c>
      <c r="L305" s="5">
        <f>SUMIFS(CaseCells!F2:F999,CaseCells!C2:C999, C305,CaseCells!D2:D999, D305,CaseCells!E2:E999, "B")</f>
        <v>700</v>
      </c>
      <c r="M305" s="5">
        <f>SUMIFS(CaseCells!G2:G999,CaseCells!C2:C999, C305,CaseCells!D2:D999, D305,CaseCells!E2:E999, "B")</f>
        <v>1000</v>
      </c>
      <c r="N305" s="3">
        <f>IF(M305 = 0, "", L305 / M305)</f>
        <v>0.7</v>
      </c>
      <c r="O305" s="3" t="str">
        <f>IF(K305 &gt; N305, "A", "B")</f>
        <v>A</v>
      </c>
      <c r="P305" s="5">
        <f>SUMIFS(CaseCells!G2:G999,CaseCells!C2:C999, C305)</f>
        <v>4000</v>
      </c>
      <c r="Q305" s="5">
        <f>SUMIFS(CaseCells!G2:G999,CaseCells!C2:C999, C305,CaseCells!D2:D999, D305)</f>
        <v>2000</v>
      </c>
      <c r="R305" s="3">
        <f>IF(P305 = 0, "", Q305 / P305)</f>
        <v>0.5</v>
      </c>
      <c r="S305" s="3">
        <f>IF(R305 = "", "", R305 * H305)</f>
        <v>0.35</v>
      </c>
      <c r="T305" s="5">
        <f>SUMIFS(CaseCells!G2:G999,CaseCells!C2:C999, C305,CaseCells!D2:D999, D305,CaseCells!E2:E999, "A")</f>
        <v>1000</v>
      </c>
      <c r="U305" s="5">
        <f>SUMIFS(CaseCells!G2:G999,CaseCells!C2:C999, C305,CaseCells!D2:D999, D305,CaseCells!E2:E999, "B")</f>
        <v>1000</v>
      </c>
      <c r="V305" s="5">
        <f>SUMIFS(CaseCells!G2:G999,CaseCells!C2:C999, C305,CaseCells!E2:E999, "A")</f>
        <v>2000</v>
      </c>
      <c r="W305" s="5">
        <f>SUMIFS(CaseCells!G2:G999,CaseCells!C2:C999, C305,CaseCells!E2:E999, "B")</f>
        <v>2000</v>
      </c>
      <c r="X305" s="3">
        <f>IF(V305 = 0, "", T305 / V305)</f>
        <v>0.5</v>
      </c>
      <c r="Y305" s="3">
        <f>IF(W305 = 0, "", U305 / W305)</f>
        <v>0.5</v>
      </c>
      <c r="Z305" s="3">
        <f>IF(X305 = "", "", X305 - Y305)</f>
        <v>0</v>
      </c>
      <c r="AA305" s="3">
        <f>IF(K305 = "", "", K305 - N305)</f>
        <v>0.22000000000000008</v>
      </c>
      <c r="AB305" s="3">
        <f>IF(AA305 = "", "", AA305 * R305)</f>
        <v>0.11000000000000004</v>
      </c>
    </row>
    <row r="306">
      <c r="A306" s="2" t="s">
        <v>2083</v>
      </c>
      <c r="B306" s="3" t="str">
        <f>A306</f>
        <v>mammography-length-bias-aggressive-A</v>
      </c>
      <c r="C306" s="2" t="s">
        <v>663</v>
      </c>
      <c r="D306" s="2" t="s">
        <v>1593</v>
      </c>
      <c r="E306" s="2" t="s">
        <v>792</v>
      </c>
      <c r="F306" s="5">
        <f>SUMIFS(CaseCells!F2:F999,CaseCells!C2:C999, C306,CaseCells!D2:D999, D306,CaseCells!E2:E999, E306)</f>
        <v>400</v>
      </c>
      <c r="G306" s="5">
        <f>SUMIFS(CaseCells!G2:G999,CaseCells!C2:C999, C306,CaseCells!D2:D999, D306,CaseCells!E2:E999, E306)</f>
        <v>1000</v>
      </c>
      <c r="H306" s="3">
        <f>IF(G306 = 0, "", F306 / G306)</f>
        <v>0.4</v>
      </c>
      <c r="I306" s="5">
        <f>SUMIFS(CaseCells!F2:F999,CaseCells!C2:C999, C306,CaseCells!D2:D999, D306,CaseCells!E2:E999, "A")</f>
        <v>400</v>
      </c>
      <c r="J306" s="5">
        <f>SUMIFS(CaseCells!G2:G999,CaseCells!C2:C999, C306,CaseCells!D2:D999, D306,CaseCells!E2:E999, "A")</f>
        <v>1000</v>
      </c>
      <c r="K306" s="3">
        <f>IF(J306 = 0, "", I306 / J306)</f>
        <v>0.4</v>
      </c>
      <c r="L306" s="5">
        <f>SUMIFS(CaseCells!F2:F999,CaseCells!C2:C999, C306,CaseCells!D2:D999, D306,CaseCells!E2:E999, "B")</f>
        <v>350</v>
      </c>
      <c r="M306" s="5">
        <f>SUMIFS(CaseCells!G2:G999,CaseCells!C2:C999, C306,CaseCells!D2:D999, D306,CaseCells!E2:E999, "B")</f>
        <v>1000</v>
      </c>
      <c r="N306" s="3">
        <f>IF(M306 = 0, "", L306 / M306)</f>
        <v>0.35</v>
      </c>
      <c r="O306" s="3" t="str">
        <f>IF(K306 &gt; N306, "A", "B")</f>
        <v>A</v>
      </c>
      <c r="P306" s="5">
        <f>SUMIFS(CaseCells!G2:G999,CaseCells!C2:C999, C306)</f>
        <v>4000</v>
      </c>
      <c r="Q306" s="5">
        <f>SUMIFS(CaseCells!G2:G999,CaseCells!C2:C999, C306,CaseCells!D2:D999, D306)</f>
        <v>2000</v>
      </c>
      <c r="R306" s="3">
        <f>IF(P306 = 0, "", Q306 / P306)</f>
        <v>0.5</v>
      </c>
      <c r="S306" s="3">
        <f>IF(R306 = "", "", R306 * H306)</f>
        <v>0.2</v>
      </c>
      <c r="T306" s="5">
        <f>SUMIFS(CaseCells!G2:G999,CaseCells!C2:C999, C306,CaseCells!D2:D999, D306,CaseCells!E2:E999, "A")</f>
        <v>1000</v>
      </c>
      <c r="U306" s="5">
        <f>SUMIFS(CaseCells!G2:G999,CaseCells!C2:C999, C306,CaseCells!D2:D999, D306,CaseCells!E2:E999, "B")</f>
        <v>1000</v>
      </c>
      <c r="V306" s="5">
        <f>SUMIFS(CaseCells!G2:G999,CaseCells!C2:C999, C306,CaseCells!E2:E999, "A")</f>
        <v>2000</v>
      </c>
      <c r="W306" s="5">
        <f>SUMIFS(CaseCells!G2:G999,CaseCells!C2:C999, C306,CaseCells!E2:E999, "B")</f>
        <v>2000</v>
      </c>
      <c r="X306" s="3">
        <f>IF(V306 = 0, "", T306 / V306)</f>
        <v>0.5</v>
      </c>
      <c r="Y306" s="3">
        <f>IF(W306 = 0, "", U306 / W306)</f>
        <v>0.5</v>
      </c>
      <c r="Z306" s="3">
        <f>IF(X306 = "", "", X306 - Y306)</f>
        <v>0</v>
      </c>
      <c r="AA306" s="3">
        <f>IF(K306 = "", "", K306 - N306)</f>
        <v>0.050000000000000044</v>
      </c>
      <c r="AB306" s="3">
        <f>IF(AA306 = "", "", AA306 * R306)</f>
        <v>0.025000000000000022</v>
      </c>
    </row>
    <row r="307">
      <c r="A307" s="2" t="s">
        <v>2084</v>
      </c>
      <c r="B307" s="3" t="str">
        <f>A307</f>
        <v>mammography-length-bias-aggressive-B</v>
      </c>
      <c r="C307" s="2" t="s">
        <v>663</v>
      </c>
      <c r="D307" s="2" t="s">
        <v>1593</v>
      </c>
      <c r="E307" s="2" t="s">
        <v>795</v>
      </c>
      <c r="F307" s="5">
        <f>SUMIFS(CaseCells!F2:F999,CaseCells!C2:C999, C307,CaseCells!D2:D999, D307,CaseCells!E2:E999, E307)</f>
        <v>350</v>
      </c>
      <c r="G307" s="5">
        <f>SUMIFS(CaseCells!G2:G999,CaseCells!C2:C999, C307,CaseCells!D2:D999, D307,CaseCells!E2:E999, E307)</f>
        <v>1000</v>
      </c>
      <c r="H307" s="3">
        <f>IF(G307 = 0, "", F307 / G307)</f>
        <v>0.35</v>
      </c>
      <c r="I307" s="5">
        <f>SUMIFS(CaseCells!F2:F999,CaseCells!C2:C999, C307,CaseCells!D2:D999, D307,CaseCells!E2:E999, "A")</f>
        <v>400</v>
      </c>
      <c r="J307" s="5">
        <f>SUMIFS(CaseCells!G2:G999,CaseCells!C2:C999, C307,CaseCells!D2:D999, D307,CaseCells!E2:E999, "A")</f>
        <v>1000</v>
      </c>
      <c r="K307" s="3">
        <f>IF(J307 = 0, "", I307 / J307)</f>
        <v>0.4</v>
      </c>
      <c r="L307" s="5">
        <f>SUMIFS(CaseCells!F2:F999,CaseCells!C2:C999, C307,CaseCells!D2:D999, D307,CaseCells!E2:E999, "B")</f>
        <v>350</v>
      </c>
      <c r="M307" s="5">
        <f>SUMIFS(CaseCells!G2:G999,CaseCells!C2:C999, C307,CaseCells!D2:D999, D307,CaseCells!E2:E999, "B")</f>
        <v>1000</v>
      </c>
      <c r="N307" s="3">
        <f>IF(M307 = 0, "", L307 / M307)</f>
        <v>0.35</v>
      </c>
      <c r="O307" s="3" t="str">
        <f>IF(K307 &gt; N307, "A", "B")</f>
        <v>A</v>
      </c>
      <c r="P307" s="5">
        <f>SUMIFS(CaseCells!G2:G999,CaseCells!C2:C999, C307)</f>
        <v>4000</v>
      </c>
      <c r="Q307" s="5">
        <f>SUMIFS(CaseCells!G2:G999,CaseCells!C2:C999, C307,CaseCells!D2:D999, D307)</f>
        <v>2000</v>
      </c>
      <c r="R307" s="3">
        <f>IF(P307 = 0, "", Q307 / P307)</f>
        <v>0.5</v>
      </c>
      <c r="S307" s="3">
        <f>IF(R307 = "", "", R307 * H307)</f>
        <v>0.175</v>
      </c>
      <c r="T307" s="5">
        <f>SUMIFS(CaseCells!G2:G999,CaseCells!C2:C999, C307,CaseCells!D2:D999, D307,CaseCells!E2:E999, "A")</f>
        <v>1000</v>
      </c>
      <c r="U307" s="5">
        <f>SUMIFS(CaseCells!G2:G999,CaseCells!C2:C999, C307,CaseCells!D2:D999, D307,CaseCells!E2:E999, "B")</f>
        <v>1000</v>
      </c>
      <c r="V307" s="5">
        <f>SUMIFS(CaseCells!G2:G999,CaseCells!C2:C999, C307,CaseCells!E2:E999, "A")</f>
        <v>2000</v>
      </c>
      <c r="W307" s="5">
        <f>SUMIFS(CaseCells!G2:G999,CaseCells!C2:C999, C307,CaseCells!E2:E999, "B")</f>
        <v>2000</v>
      </c>
      <c r="X307" s="3">
        <f>IF(V307 = 0, "", T307 / V307)</f>
        <v>0.5</v>
      </c>
      <c r="Y307" s="3">
        <f>IF(W307 = 0, "", U307 / W307)</f>
        <v>0.5</v>
      </c>
      <c r="Z307" s="3">
        <f>IF(X307 = "", "", X307 - Y307)</f>
        <v>0</v>
      </c>
      <c r="AA307" s="3">
        <f>IF(K307 = "", "", K307 - N307)</f>
        <v>0.050000000000000044</v>
      </c>
      <c r="AB307" s="3">
        <f>IF(AA307 = "", "", AA307 * R307)</f>
        <v>0.025000000000000022</v>
      </c>
    </row>
    <row r="308">
      <c r="A308" s="2" t="s">
        <v>2085</v>
      </c>
      <c r="B308" s="3" t="str">
        <f>A308</f>
        <v>cabg-vs-pci-severity-multivessel-A</v>
      </c>
      <c r="C308" s="2" t="s">
        <v>667</v>
      </c>
      <c r="D308" s="2" t="s">
        <v>1596</v>
      </c>
      <c r="E308" s="2" t="s">
        <v>792</v>
      </c>
      <c r="F308" s="5">
        <f>SUMIFS(CaseCells!F2:F999,CaseCells!C2:C999, C308,CaseCells!D2:D999, D308,CaseCells!E2:E999, E308)</f>
        <v>920</v>
      </c>
      <c r="G308" s="5">
        <f>SUMIFS(CaseCells!G2:G999,CaseCells!C2:C999, C308,CaseCells!D2:D999, D308,CaseCells!E2:E999, E308)</f>
        <v>1000</v>
      </c>
      <c r="H308" s="3">
        <f>IF(G308 = 0, "", F308 / G308)</f>
        <v>0.92</v>
      </c>
      <c r="I308" s="5">
        <f>SUMIFS(CaseCells!F2:F999,CaseCells!C2:C999, C308,CaseCells!D2:D999, D308,CaseCells!E2:E999, "A")</f>
        <v>920</v>
      </c>
      <c r="J308" s="5">
        <f>SUMIFS(CaseCells!G2:G999,CaseCells!C2:C999, C308,CaseCells!D2:D999, D308,CaseCells!E2:E999, "A")</f>
        <v>1000</v>
      </c>
      <c r="K308" s="3">
        <f>IF(J308 = 0, "", I308 / J308)</f>
        <v>0.92</v>
      </c>
      <c r="L308" s="5">
        <f>SUMIFS(CaseCells!F2:F999,CaseCells!C2:C999, C308,CaseCells!D2:D999, D308,CaseCells!E2:E999, "B")</f>
        <v>880</v>
      </c>
      <c r="M308" s="5">
        <f>SUMIFS(CaseCells!G2:G999,CaseCells!C2:C999, C308,CaseCells!D2:D999, D308,CaseCells!E2:E999, "B")</f>
        <v>1000</v>
      </c>
      <c r="N308" s="3">
        <f>IF(M308 = 0, "", L308 / M308)</f>
        <v>0.88</v>
      </c>
      <c r="O308" s="3" t="str">
        <f>IF(K308 &gt; N308, "A", "B")</f>
        <v>A</v>
      </c>
      <c r="P308" s="5">
        <f>SUMIFS(CaseCells!G2:G999,CaseCells!C2:C999, C308)</f>
        <v>4000</v>
      </c>
      <c r="Q308" s="5">
        <f>SUMIFS(CaseCells!G2:G999,CaseCells!C2:C999, C308,CaseCells!D2:D999, D308)</f>
        <v>2000</v>
      </c>
      <c r="R308" s="3">
        <f>IF(P308 = 0, "", Q308 / P308)</f>
        <v>0.5</v>
      </c>
      <c r="S308" s="3">
        <f>IF(R308 = "", "", R308 * H308)</f>
        <v>0.46</v>
      </c>
      <c r="T308" s="5">
        <f>SUMIFS(CaseCells!G2:G999,CaseCells!C2:C999, C308,CaseCells!D2:D999, D308,CaseCells!E2:E999, "A")</f>
        <v>1000</v>
      </c>
      <c r="U308" s="5">
        <f>SUMIFS(CaseCells!G2:G999,CaseCells!C2:C999, C308,CaseCells!D2:D999, D308,CaseCells!E2:E999, "B")</f>
        <v>1000</v>
      </c>
      <c r="V308" s="5">
        <f>SUMIFS(CaseCells!G2:G999,CaseCells!C2:C999, C308,CaseCells!E2:E999, "A")</f>
        <v>2000</v>
      </c>
      <c r="W308" s="5">
        <f>SUMIFS(CaseCells!G2:G999,CaseCells!C2:C999, C308,CaseCells!E2:E999, "B")</f>
        <v>2000</v>
      </c>
      <c r="X308" s="3">
        <f>IF(V308 = 0, "", T308 / V308)</f>
        <v>0.5</v>
      </c>
      <c r="Y308" s="3">
        <f>IF(W308 = 0, "", U308 / W308)</f>
        <v>0.5</v>
      </c>
      <c r="Z308" s="3">
        <f>IF(X308 = "", "", X308 - Y308)</f>
        <v>0</v>
      </c>
      <c r="AA308" s="3">
        <f>IF(K308 = "", "", K308 - N308)</f>
        <v>0.040000000000000036</v>
      </c>
      <c r="AB308" s="3">
        <f>IF(AA308 = "", "", AA308 * R308)</f>
        <v>0.020000000000000018</v>
      </c>
    </row>
    <row r="309">
      <c r="A309" s="2" t="s">
        <v>2086</v>
      </c>
      <c r="B309" s="3" t="str">
        <f>A309</f>
        <v>cabg-vs-pci-severity-multivessel-B</v>
      </c>
      <c r="C309" s="2" t="s">
        <v>667</v>
      </c>
      <c r="D309" s="2" t="s">
        <v>1596</v>
      </c>
      <c r="E309" s="2" t="s">
        <v>795</v>
      </c>
      <c r="F309" s="5">
        <f>SUMIFS(CaseCells!F2:F999,CaseCells!C2:C999, C309,CaseCells!D2:D999, D309,CaseCells!E2:E999, E309)</f>
        <v>880</v>
      </c>
      <c r="G309" s="5">
        <f>SUMIFS(CaseCells!G2:G999,CaseCells!C2:C999, C309,CaseCells!D2:D999, D309,CaseCells!E2:E999, E309)</f>
        <v>1000</v>
      </c>
      <c r="H309" s="3">
        <f>IF(G309 = 0, "", F309 / G309)</f>
        <v>0.88</v>
      </c>
      <c r="I309" s="5">
        <f>SUMIFS(CaseCells!F2:F999,CaseCells!C2:C999, C309,CaseCells!D2:D999, D309,CaseCells!E2:E999, "A")</f>
        <v>920</v>
      </c>
      <c r="J309" s="5">
        <f>SUMIFS(CaseCells!G2:G999,CaseCells!C2:C999, C309,CaseCells!D2:D999, D309,CaseCells!E2:E999, "A")</f>
        <v>1000</v>
      </c>
      <c r="K309" s="3">
        <f>IF(J309 = 0, "", I309 / J309)</f>
        <v>0.92</v>
      </c>
      <c r="L309" s="5">
        <f>SUMIFS(CaseCells!F2:F999,CaseCells!C2:C999, C309,CaseCells!D2:D999, D309,CaseCells!E2:E999, "B")</f>
        <v>880</v>
      </c>
      <c r="M309" s="5">
        <f>SUMIFS(CaseCells!G2:G999,CaseCells!C2:C999, C309,CaseCells!D2:D999, D309,CaseCells!E2:E999, "B")</f>
        <v>1000</v>
      </c>
      <c r="N309" s="3">
        <f>IF(M309 = 0, "", L309 / M309)</f>
        <v>0.88</v>
      </c>
      <c r="O309" s="3" t="str">
        <f>IF(K309 &gt; N309, "A", "B")</f>
        <v>A</v>
      </c>
      <c r="P309" s="5">
        <f>SUMIFS(CaseCells!G2:G999,CaseCells!C2:C999, C309)</f>
        <v>4000</v>
      </c>
      <c r="Q309" s="5">
        <f>SUMIFS(CaseCells!G2:G999,CaseCells!C2:C999, C309,CaseCells!D2:D999, D309)</f>
        <v>2000</v>
      </c>
      <c r="R309" s="3">
        <f>IF(P309 = 0, "", Q309 / P309)</f>
        <v>0.5</v>
      </c>
      <c r="S309" s="3">
        <f>IF(R309 = "", "", R309 * H309)</f>
        <v>0.44</v>
      </c>
      <c r="T309" s="5">
        <f>SUMIFS(CaseCells!G2:G999,CaseCells!C2:C999, C309,CaseCells!D2:D999, D309,CaseCells!E2:E999, "A")</f>
        <v>1000</v>
      </c>
      <c r="U309" s="5">
        <f>SUMIFS(CaseCells!G2:G999,CaseCells!C2:C999, C309,CaseCells!D2:D999, D309,CaseCells!E2:E999, "B")</f>
        <v>1000</v>
      </c>
      <c r="V309" s="5">
        <f>SUMIFS(CaseCells!G2:G999,CaseCells!C2:C999, C309,CaseCells!E2:E999, "A")</f>
        <v>2000</v>
      </c>
      <c r="W309" s="5">
        <f>SUMIFS(CaseCells!G2:G999,CaseCells!C2:C999, C309,CaseCells!E2:E999, "B")</f>
        <v>2000</v>
      </c>
      <c r="X309" s="3">
        <f>IF(V309 = 0, "", T309 / V309)</f>
        <v>0.5</v>
      </c>
      <c r="Y309" s="3">
        <f>IF(W309 = 0, "", U309 / W309)</f>
        <v>0.5</v>
      </c>
      <c r="Z309" s="3">
        <f>IF(X309 = "", "", X309 - Y309)</f>
        <v>0</v>
      </c>
      <c r="AA309" s="3">
        <f>IF(K309 = "", "", K309 - N309)</f>
        <v>0.040000000000000036</v>
      </c>
      <c r="AB309" s="3">
        <f>IF(AA309 = "", "", AA309 * R309)</f>
        <v>0.020000000000000018</v>
      </c>
    </row>
    <row r="310">
      <c r="A310" s="2" t="s">
        <v>2087</v>
      </c>
      <c r="B310" s="3" t="str">
        <f>A310</f>
        <v>cabg-vs-pci-severity-single-vessel-A</v>
      </c>
      <c r="C310" s="2" t="s">
        <v>667</v>
      </c>
      <c r="D310" s="2" t="s">
        <v>1599</v>
      </c>
      <c r="E310" s="2" t="s">
        <v>792</v>
      </c>
      <c r="F310" s="5">
        <f>SUMIFS(CaseCells!F2:F999,CaseCells!C2:C999, C310,CaseCells!D2:D999, D310,CaseCells!E2:E999, E310)</f>
        <v>980</v>
      </c>
      <c r="G310" s="5">
        <f>SUMIFS(CaseCells!G2:G999,CaseCells!C2:C999, C310,CaseCells!D2:D999, D310,CaseCells!E2:E999, E310)</f>
        <v>1000</v>
      </c>
      <c r="H310" s="3">
        <f>IF(G310 = 0, "", F310 / G310)</f>
        <v>0.98</v>
      </c>
      <c r="I310" s="5">
        <f>SUMIFS(CaseCells!F2:F999,CaseCells!C2:C999, C310,CaseCells!D2:D999, D310,CaseCells!E2:E999, "A")</f>
        <v>980</v>
      </c>
      <c r="J310" s="5">
        <f>SUMIFS(CaseCells!G2:G999,CaseCells!C2:C999, C310,CaseCells!D2:D999, D310,CaseCells!E2:E999, "A")</f>
        <v>1000</v>
      </c>
      <c r="K310" s="3">
        <f>IF(J310 = 0, "", I310 / J310)</f>
        <v>0.98</v>
      </c>
      <c r="L310" s="5">
        <f>SUMIFS(CaseCells!F2:F999,CaseCells!C2:C999, C310,CaseCells!D2:D999, D310,CaseCells!E2:E999, "B")</f>
        <v>975</v>
      </c>
      <c r="M310" s="5">
        <f>SUMIFS(CaseCells!G2:G999,CaseCells!C2:C999, C310,CaseCells!D2:D999, D310,CaseCells!E2:E999, "B")</f>
        <v>1000</v>
      </c>
      <c r="N310" s="3">
        <f>IF(M310 = 0, "", L310 / M310)</f>
        <v>0.975</v>
      </c>
      <c r="O310" s="3" t="str">
        <f>IF(K310 &gt; N310, "A", "B")</f>
        <v>A</v>
      </c>
      <c r="P310" s="5">
        <f>SUMIFS(CaseCells!G2:G999,CaseCells!C2:C999, C310)</f>
        <v>4000</v>
      </c>
      <c r="Q310" s="5">
        <f>SUMIFS(CaseCells!G2:G999,CaseCells!C2:C999, C310,CaseCells!D2:D999, D310)</f>
        <v>2000</v>
      </c>
      <c r="R310" s="3">
        <f>IF(P310 = 0, "", Q310 / P310)</f>
        <v>0.5</v>
      </c>
      <c r="S310" s="3">
        <f>IF(R310 = "", "", R310 * H310)</f>
        <v>0.49</v>
      </c>
      <c r="T310" s="5">
        <f>SUMIFS(CaseCells!G2:G999,CaseCells!C2:C999, C310,CaseCells!D2:D999, D310,CaseCells!E2:E999, "A")</f>
        <v>1000</v>
      </c>
      <c r="U310" s="5">
        <f>SUMIFS(CaseCells!G2:G999,CaseCells!C2:C999, C310,CaseCells!D2:D999, D310,CaseCells!E2:E999, "B")</f>
        <v>1000</v>
      </c>
      <c r="V310" s="5">
        <f>SUMIFS(CaseCells!G2:G999,CaseCells!C2:C999, C310,CaseCells!E2:E999, "A")</f>
        <v>2000</v>
      </c>
      <c r="W310" s="5">
        <f>SUMIFS(CaseCells!G2:G999,CaseCells!C2:C999, C310,CaseCells!E2:E999, "B")</f>
        <v>2000</v>
      </c>
      <c r="X310" s="3">
        <f>IF(V310 = 0, "", T310 / V310)</f>
        <v>0.5</v>
      </c>
      <c r="Y310" s="3">
        <f>IF(W310 = 0, "", U310 / W310)</f>
        <v>0.5</v>
      </c>
      <c r="Z310" s="3">
        <f>IF(X310 = "", "", X310 - Y310)</f>
        <v>0</v>
      </c>
      <c r="AA310" s="3">
        <f>IF(K310 = "", "", K310 - N310)</f>
        <v>0.0050000000000000044</v>
      </c>
      <c r="AB310" s="3">
        <f>IF(AA310 = "", "", AA310 * R310)</f>
        <v>0.0025000000000000022</v>
      </c>
    </row>
    <row r="311">
      <c r="A311" s="2" t="s">
        <v>2088</v>
      </c>
      <c r="B311" s="3" t="str">
        <f>A311</f>
        <v>cabg-vs-pci-severity-single-vessel-B</v>
      </c>
      <c r="C311" s="2" t="s">
        <v>667</v>
      </c>
      <c r="D311" s="2" t="s">
        <v>1599</v>
      </c>
      <c r="E311" s="2" t="s">
        <v>795</v>
      </c>
      <c r="F311" s="5">
        <f>SUMIFS(CaseCells!F2:F999,CaseCells!C2:C999, C311,CaseCells!D2:D999, D311,CaseCells!E2:E999, E311)</f>
        <v>975</v>
      </c>
      <c r="G311" s="5">
        <f>SUMIFS(CaseCells!G2:G999,CaseCells!C2:C999, C311,CaseCells!D2:D999, D311,CaseCells!E2:E999, E311)</f>
        <v>1000</v>
      </c>
      <c r="H311" s="3">
        <f>IF(G311 = 0, "", F311 / G311)</f>
        <v>0.975</v>
      </c>
      <c r="I311" s="5">
        <f>SUMIFS(CaseCells!F2:F999,CaseCells!C2:C999, C311,CaseCells!D2:D999, D311,CaseCells!E2:E999, "A")</f>
        <v>980</v>
      </c>
      <c r="J311" s="5">
        <f>SUMIFS(CaseCells!G2:G999,CaseCells!C2:C999, C311,CaseCells!D2:D999, D311,CaseCells!E2:E999, "A")</f>
        <v>1000</v>
      </c>
      <c r="K311" s="3">
        <f>IF(J311 = 0, "", I311 / J311)</f>
        <v>0.98</v>
      </c>
      <c r="L311" s="5">
        <f>SUMIFS(CaseCells!F2:F999,CaseCells!C2:C999, C311,CaseCells!D2:D999, D311,CaseCells!E2:E999, "B")</f>
        <v>975</v>
      </c>
      <c r="M311" s="5">
        <f>SUMIFS(CaseCells!G2:G999,CaseCells!C2:C999, C311,CaseCells!D2:D999, D311,CaseCells!E2:E999, "B")</f>
        <v>1000</v>
      </c>
      <c r="N311" s="3">
        <f>IF(M311 = 0, "", L311 / M311)</f>
        <v>0.975</v>
      </c>
      <c r="O311" s="3" t="str">
        <f>IF(K311 &gt; N311, "A", "B")</f>
        <v>A</v>
      </c>
      <c r="P311" s="5">
        <f>SUMIFS(CaseCells!G2:G999,CaseCells!C2:C999, C311)</f>
        <v>4000</v>
      </c>
      <c r="Q311" s="5">
        <f>SUMIFS(CaseCells!G2:G999,CaseCells!C2:C999, C311,CaseCells!D2:D999, D311)</f>
        <v>2000</v>
      </c>
      <c r="R311" s="3">
        <f>IF(P311 = 0, "", Q311 / P311)</f>
        <v>0.5</v>
      </c>
      <c r="S311" s="3">
        <f>IF(R311 = "", "", R311 * H311)</f>
        <v>0.4875</v>
      </c>
      <c r="T311" s="5">
        <f>SUMIFS(CaseCells!G2:G999,CaseCells!C2:C999, C311,CaseCells!D2:D999, D311,CaseCells!E2:E999, "A")</f>
        <v>1000</v>
      </c>
      <c r="U311" s="5">
        <f>SUMIFS(CaseCells!G2:G999,CaseCells!C2:C999, C311,CaseCells!D2:D999, D311,CaseCells!E2:E999, "B")</f>
        <v>1000</v>
      </c>
      <c r="V311" s="5">
        <f>SUMIFS(CaseCells!G2:G999,CaseCells!C2:C999, C311,CaseCells!E2:E999, "A")</f>
        <v>2000</v>
      </c>
      <c r="W311" s="5">
        <f>SUMIFS(CaseCells!G2:G999,CaseCells!C2:C999, C311,CaseCells!E2:E999, "B")</f>
        <v>2000</v>
      </c>
      <c r="X311" s="3">
        <f>IF(V311 = 0, "", T311 / V311)</f>
        <v>0.5</v>
      </c>
      <c r="Y311" s="3">
        <f>IF(W311 = 0, "", U311 / W311)</f>
        <v>0.5</v>
      </c>
      <c r="Z311" s="3">
        <f>IF(X311 = "", "", X311 - Y311)</f>
        <v>0</v>
      </c>
      <c r="AA311" s="3">
        <f>IF(K311 = "", "", K311 - N311)</f>
        <v>0.0050000000000000044</v>
      </c>
      <c r="AB311" s="3">
        <f>IF(AA311 = "", "", AA311 * R311)</f>
        <v>0.0025000000000000022</v>
      </c>
    </row>
    <row r="312">
      <c r="A312" s="2" t="s">
        <v>2089</v>
      </c>
      <c r="B312" s="3" t="str">
        <f>A312</f>
        <v>tolbutamide-ugdp-1970-low-risk-centers-A</v>
      </c>
      <c r="C312" s="2" t="s">
        <v>671</v>
      </c>
      <c r="D312" s="2" t="s">
        <v>1602</v>
      </c>
      <c r="E312" s="2" t="s">
        <v>792</v>
      </c>
      <c r="F312" s="5">
        <f>SUMIFS(CaseCells!F2:F999,CaseCells!C2:C999, C312,CaseCells!D2:D999, D312,CaseCells!E2:E999, E312)</f>
        <v>920</v>
      </c>
      <c r="G312" s="5">
        <f>SUMIFS(CaseCells!G2:G999,CaseCells!C2:C999, C312,CaseCells!D2:D999, D312,CaseCells!E2:E999, E312)</f>
        <v>1000</v>
      </c>
      <c r="H312" s="3">
        <f>IF(G312 = 0, "", F312 / G312)</f>
        <v>0.92</v>
      </c>
      <c r="I312" s="5">
        <f>SUMIFS(CaseCells!F2:F999,CaseCells!C2:C999, C312,CaseCells!D2:D999, D312,CaseCells!E2:E999, "A")</f>
        <v>920</v>
      </c>
      <c r="J312" s="5">
        <f>SUMIFS(CaseCells!G2:G999,CaseCells!C2:C999, C312,CaseCells!D2:D999, D312,CaseCells!E2:E999, "A")</f>
        <v>1000</v>
      </c>
      <c r="K312" s="3">
        <f>IF(J312 = 0, "", I312 / J312)</f>
        <v>0.92</v>
      </c>
      <c r="L312" s="5">
        <f>SUMIFS(CaseCells!F2:F999,CaseCells!C2:C999, C312,CaseCells!D2:D999, D312,CaseCells!E2:E999, "B")</f>
        <v>910</v>
      </c>
      <c r="M312" s="5">
        <f>SUMIFS(CaseCells!G2:G999,CaseCells!C2:C999, C312,CaseCells!D2:D999, D312,CaseCells!E2:E999, "B")</f>
        <v>1000</v>
      </c>
      <c r="N312" s="3">
        <f>IF(M312 = 0, "", L312 / M312)</f>
        <v>0.91</v>
      </c>
      <c r="O312" s="3" t="str">
        <f>IF(K312 &gt; N312, "A", "B")</f>
        <v>A</v>
      </c>
      <c r="P312" s="5">
        <f>SUMIFS(CaseCells!G2:G999,CaseCells!C2:C999, C312)</f>
        <v>4000</v>
      </c>
      <c r="Q312" s="5">
        <f>SUMIFS(CaseCells!G2:G999,CaseCells!C2:C999, C312,CaseCells!D2:D999, D312)</f>
        <v>2000</v>
      </c>
      <c r="R312" s="3">
        <f>IF(P312 = 0, "", Q312 / P312)</f>
        <v>0.5</v>
      </c>
      <c r="S312" s="3">
        <f>IF(R312 = "", "", R312 * H312)</f>
        <v>0.46</v>
      </c>
      <c r="T312" s="5">
        <f>SUMIFS(CaseCells!G2:G999,CaseCells!C2:C999, C312,CaseCells!D2:D999, D312,CaseCells!E2:E999, "A")</f>
        <v>1000</v>
      </c>
      <c r="U312" s="5">
        <f>SUMIFS(CaseCells!G2:G999,CaseCells!C2:C999, C312,CaseCells!D2:D999, D312,CaseCells!E2:E999, "B")</f>
        <v>1000</v>
      </c>
      <c r="V312" s="5">
        <f>SUMIFS(CaseCells!G2:G999,CaseCells!C2:C999, C312,CaseCells!E2:E999, "A")</f>
        <v>2000</v>
      </c>
      <c r="W312" s="5">
        <f>SUMIFS(CaseCells!G2:G999,CaseCells!C2:C999, C312,CaseCells!E2:E999, "B")</f>
        <v>2000</v>
      </c>
      <c r="X312" s="3">
        <f>IF(V312 = 0, "", T312 / V312)</f>
        <v>0.5</v>
      </c>
      <c r="Y312" s="3">
        <f>IF(W312 = 0, "", U312 / W312)</f>
        <v>0.5</v>
      </c>
      <c r="Z312" s="3">
        <f>IF(X312 = "", "", X312 - Y312)</f>
        <v>0</v>
      </c>
      <c r="AA312" s="3">
        <f>IF(K312 = "", "", K312 - N312)</f>
        <v>0.010000000000000009</v>
      </c>
      <c r="AB312" s="3">
        <f>IF(AA312 = "", "", AA312 * R312)</f>
        <v>0.0050000000000000044</v>
      </c>
    </row>
    <row r="313">
      <c r="A313" s="2" t="s">
        <v>2090</v>
      </c>
      <c r="B313" s="3" t="str">
        <f>A313</f>
        <v>tolbutamide-ugdp-1970-low-risk-centers-B</v>
      </c>
      <c r="C313" s="2" t="s">
        <v>671</v>
      </c>
      <c r="D313" s="2" t="s">
        <v>1602</v>
      </c>
      <c r="E313" s="2" t="s">
        <v>795</v>
      </c>
      <c r="F313" s="5">
        <f>SUMIFS(CaseCells!F2:F999,CaseCells!C2:C999, C313,CaseCells!D2:D999, D313,CaseCells!E2:E999, E313)</f>
        <v>910</v>
      </c>
      <c r="G313" s="5">
        <f>SUMIFS(CaseCells!G2:G999,CaseCells!C2:C999, C313,CaseCells!D2:D999, D313,CaseCells!E2:E999, E313)</f>
        <v>1000</v>
      </c>
      <c r="H313" s="3">
        <f>IF(G313 = 0, "", F313 / G313)</f>
        <v>0.91</v>
      </c>
      <c r="I313" s="5">
        <f>SUMIFS(CaseCells!F2:F999,CaseCells!C2:C999, C313,CaseCells!D2:D999, D313,CaseCells!E2:E999, "A")</f>
        <v>920</v>
      </c>
      <c r="J313" s="5">
        <f>SUMIFS(CaseCells!G2:G999,CaseCells!C2:C999, C313,CaseCells!D2:D999, D313,CaseCells!E2:E999, "A")</f>
        <v>1000</v>
      </c>
      <c r="K313" s="3">
        <f>IF(J313 = 0, "", I313 / J313)</f>
        <v>0.92</v>
      </c>
      <c r="L313" s="5">
        <f>SUMIFS(CaseCells!F2:F999,CaseCells!C2:C999, C313,CaseCells!D2:D999, D313,CaseCells!E2:E999, "B")</f>
        <v>910</v>
      </c>
      <c r="M313" s="5">
        <f>SUMIFS(CaseCells!G2:G999,CaseCells!C2:C999, C313,CaseCells!D2:D999, D313,CaseCells!E2:E999, "B")</f>
        <v>1000</v>
      </c>
      <c r="N313" s="3">
        <f>IF(M313 = 0, "", L313 / M313)</f>
        <v>0.91</v>
      </c>
      <c r="O313" s="3" t="str">
        <f>IF(K313 &gt; N313, "A", "B")</f>
        <v>A</v>
      </c>
      <c r="P313" s="5">
        <f>SUMIFS(CaseCells!G2:G999,CaseCells!C2:C999, C313)</f>
        <v>4000</v>
      </c>
      <c r="Q313" s="5">
        <f>SUMIFS(CaseCells!G2:G999,CaseCells!C2:C999, C313,CaseCells!D2:D999, D313)</f>
        <v>2000</v>
      </c>
      <c r="R313" s="3">
        <f>IF(P313 = 0, "", Q313 / P313)</f>
        <v>0.5</v>
      </c>
      <c r="S313" s="3">
        <f>IF(R313 = "", "", R313 * H313)</f>
        <v>0.455</v>
      </c>
      <c r="T313" s="5">
        <f>SUMIFS(CaseCells!G2:G999,CaseCells!C2:C999, C313,CaseCells!D2:D999, D313,CaseCells!E2:E999, "A")</f>
        <v>1000</v>
      </c>
      <c r="U313" s="5">
        <f>SUMIFS(CaseCells!G2:G999,CaseCells!C2:C999, C313,CaseCells!D2:D999, D313,CaseCells!E2:E999, "B")</f>
        <v>1000</v>
      </c>
      <c r="V313" s="5">
        <f>SUMIFS(CaseCells!G2:G999,CaseCells!C2:C999, C313,CaseCells!E2:E999, "A")</f>
        <v>2000</v>
      </c>
      <c r="W313" s="5">
        <f>SUMIFS(CaseCells!G2:G999,CaseCells!C2:C999, C313,CaseCells!E2:E999, "B")</f>
        <v>2000</v>
      </c>
      <c r="X313" s="3">
        <f>IF(V313 = 0, "", T313 / V313)</f>
        <v>0.5</v>
      </c>
      <c r="Y313" s="3">
        <f>IF(W313 = 0, "", U313 / W313)</f>
        <v>0.5</v>
      </c>
      <c r="Z313" s="3">
        <f>IF(X313 = "", "", X313 - Y313)</f>
        <v>0</v>
      </c>
      <c r="AA313" s="3">
        <f>IF(K313 = "", "", K313 - N313)</f>
        <v>0.010000000000000009</v>
      </c>
      <c r="AB313" s="3">
        <f>IF(AA313 = "", "", AA313 * R313)</f>
        <v>0.0050000000000000044</v>
      </c>
    </row>
    <row r="314">
      <c r="A314" s="2" t="s">
        <v>2091</v>
      </c>
      <c r="B314" s="3" t="str">
        <f>A314</f>
        <v>tolbutamide-ugdp-1970-high-risk-centers-A</v>
      </c>
      <c r="C314" s="2" t="s">
        <v>671</v>
      </c>
      <c r="D314" s="2" t="s">
        <v>1605</v>
      </c>
      <c r="E314" s="2" t="s">
        <v>792</v>
      </c>
      <c r="F314" s="5">
        <f>SUMIFS(CaseCells!F2:F999,CaseCells!C2:C999, C314,CaseCells!D2:D999, D314,CaseCells!E2:E999, E314)</f>
        <v>780</v>
      </c>
      <c r="G314" s="5">
        <f>SUMIFS(CaseCells!G2:G999,CaseCells!C2:C999, C314,CaseCells!D2:D999, D314,CaseCells!E2:E999, E314)</f>
        <v>1000</v>
      </c>
      <c r="H314" s="3">
        <f>IF(G314 = 0, "", F314 / G314)</f>
        <v>0.78</v>
      </c>
      <c r="I314" s="5">
        <f>SUMIFS(CaseCells!F2:F999,CaseCells!C2:C999, C314,CaseCells!D2:D999, D314,CaseCells!E2:E999, "A")</f>
        <v>780</v>
      </c>
      <c r="J314" s="5">
        <f>SUMIFS(CaseCells!G2:G999,CaseCells!C2:C999, C314,CaseCells!D2:D999, D314,CaseCells!E2:E999, "A")</f>
        <v>1000</v>
      </c>
      <c r="K314" s="3">
        <f>IF(J314 = 0, "", I314 / J314)</f>
        <v>0.78</v>
      </c>
      <c r="L314" s="5">
        <f>SUMIFS(CaseCells!F2:F999,CaseCells!C2:C999, C314,CaseCells!D2:D999, D314,CaseCells!E2:E999, "B")</f>
        <v>820</v>
      </c>
      <c r="M314" s="5">
        <f>SUMIFS(CaseCells!G2:G999,CaseCells!C2:C999, C314,CaseCells!D2:D999, D314,CaseCells!E2:E999, "B")</f>
        <v>1000</v>
      </c>
      <c r="N314" s="3">
        <f>IF(M314 = 0, "", L314 / M314)</f>
        <v>0.82</v>
      </c>
      <c r="O314" s="3" t="str">
        <f>IF(K314 &gt; N314, "A", "B")</f>
        <v>B</v>
      </c>
      <c r="P314" s="5">
        <f>SUMIFS(CaseCells!G2:G999,CaseCells!C2:C999, C314)</f>
        <v>4000</v>
      </c>
      <c r="Q314" s="5">
        <f>SUMIFS(CaseCells!G2:G999,CaseCells!C2:C999, C314,CaseCells!D2:D999, D314)</f>
        <v>2000</v>
      </c>
      <c r="R314" s="3">
        <f>IF(P314 = 0, "", Q314 / P314)</f>
        <v>0.5</v>
      </c>
      <c r="S314" s="3">
        <f>IF(R314 = "", "", R314 * H314)</f>
        <v>0.39</v>
      </c>
      <c r="T314" s="5">
        <f>SUMIFS(CaseCells!G2:G999,CaseCells!C2:C999, C314,CaseCells!D2:D999, D314,CaseCells!E2:E999, "A")</f>
        <v>1000</v>
      </c>
      <c r="U314" s="5">
        <f>SUMIFS(CaseCells!G2:G999,CaseCells!C2:C999, C314,CaseCells!D2:D999, D314,CaseCells!E2:E999, "B")</f>
        <v>1000</v>
      </c>
      <c r="V314" s="5">
        <f>SUMIFS(CaseCells!G2:G999,CaseCells!C2:C999, C314,CaseCells!E2:E999, "A")</f>
        <v>2000</v>
      </c>
      <c r="W314" s="5">
        <f>SUMIFS(CaseCells!G2:G999,CaseCells!C2:C999, C314,CaseCells!E2:E999, "B")</f>
        <v>2000</v>
      </c>
      <c r="X314" s="3">
        <f>IF(V314 = 0, "", T314 / V314)</f>
        <v>0.5</v>
      </c>
      <c r="Y314" s="3">
        <f>IF(W314 = 0, "", U314 / W314)</f>
        <v>0.5</v>
      </c>
      <c r="Z314" s="3">
        <f>IF(X314 = "", "", X314 - Y314)</f>
        <v>0</v>
      </c>
      <c r="AA314" s="3">
        <f>IF(K314 = "", "", K314 - N314)</f>
        <v>-0.039999999999999925</v>
      </c>
      <c r="AB314" s="3">
        <f>IF(AA314 = "", "", AA314 * R314)</f>
        <v>-0.019999999999999962</v>
      </c>
    </row>
    <row r="315">
      <c r="A315" s="2" t="s">
        <v>2092</v>
      </c>
      <c r="B315" s="3" t="str">
        <f>A315</f>
        <v>tolbutamide-ugdp-1970-high-risk-centers-B</v>
      </c>
      <c r="C315" s="2" t="s">
        <v>671</v>
      </c>
      <c r="D315" s="2" t="s">
        <v>1605</v>
      </c>
      <c r="E315" s="2" t="s">
        <v>795</v>
      </c>
      <c r="F315" s="5">
        <f>SUMIFS(CaseCells!F2:F999,CaseCells!C2:C999, C315,CaseCells!D2:D999, D315,CaseCells!E2:E999, E315)</f>
        <v>820</v>
      </c>
      <c r="G315" s="5">
        <f>SUMIFS(CaseCells!G2:G999,CaseCells!C2:C999, C315,CaseCells!D2:D999, D315,CaseCells!E2:E999, E315)</f>
        <v>1000</v>
      </c>
      <c r="H315" s="3">
        <f>IF(G315 = 0, "", F315 / G315)</f>
        <v>0.82</v>
      </c>
      <c r="I315" s="5">
        <f>SUMIFS(CaseCells!F2:F999,CaseCells!C2:C999, C315,CaseCells!D2:D999, D315,CaseCells!E2:E999, "A")</f>
        <v>780</v>
      </c>
      <c r="J315" s="5">
        <f>SUMIFS(CaseCells!G2:G999,CaseCells!C2:C999, C315,CaseCells!D2:D999, D315,CaseCells!E2:E999, "A")</f>
        <v>1000</v>
      </c>
      <c r="K315" s="3">
        <f>IF(J315 = 0, "", I315 / J315)</f>
        <v>0.78</v>
      </c>
      <c r="L315" s="5">
        <f>SUMIFS(CaseCells!F2:F999,CaseCells!C2:C999, C315,CaseCells!D2:D999, D315,CaseCells!E2:E999, "B")</f>
        <v>820</v>
      </c>
      <c r="M315" s="5">
        <f>SUMIFS(CaseCells!G2:G999,CaseCells!C2:C999, C315,CaseCells!D2:D999, D315,CaseCells!E2:E999, "B")</f>
        <v>1000</v>
      </c>
      <c r="N315" s="3">
        <f>IF(M315 = 0, "", L315 / M315)</f>
        <v>0.82</v>
      </c>
      <c r="O315" s="3" t="str">
        <f>IF(K315 &gt; N315, "A", "B")</f>
        <v>B</v>
      </c>
      <c r="P315" s="5">
        <f>SUMIFS(CaseCells!G2:G999,CaseCells!C2:C999, C315)</f>
        <v>4000</v>
      </c>
      <c r="Q315" s="5">
        <f>SUMIFS(CaseCells!G2:G999,CaseCells!C2:C999, C315,CaseCells!D2:D999, D315)</f>
        <v>2000</v>
      </c>
      <c r="R315" s="3">
        <f>IF(P315 = 0, "", Q315 / P315)</f>
        <v>0.5</v>
      </c>
      <c r="S315" s="3">
        <f>IF(R315 = "", "", R315 * H315)</f>
        <v>0.41</v>
      </c>
      <c r="T315" s="5">
        <f>SUMIFS(CaseCells!G2:G999,CaseCells!C2:C999, C315,CaseCells!D2:D999, D315,CaseCells!E2:E999, "A")</f>
        <v>1000</v>
      </c>
      <c r="U315" s="5">
        <f>SUMIFS(CaseCells!G2:G999,CaseCells!C2:C999, C315,CaseCells!D2:D999, D315,CaseCells!E2:E999, "B")</f>
        <v>1000</v>
      </c>
      <c r="V315" s="5">
        <f>SUMIFS(CaseCells!G2:G999,CaseCells!C2:C999, C315,CaseCells!E2:E999, "A")</f>
        <v>2000</v>
      </c>
      <c r="W315" s="5">
        <f>SUMIFS(CaseCells!G2:G999,CaseCells!C2:C999, C315,CaseCells!E2:E999, "B")</f>
        <v>2000</v>
      </c>
      <c r="X315" s="3">
        <f>IF(V315 = 0, "", T315 / V315)</f>
        <v>0.5</v>
      </c>
      <c r="Y315" s="3">
        <f>IF(W315 = 0, "", U315 / W315)</f>
        <v>0.5</v>
      </c>
      <c r="Z315" s="3">
        <f>IF(X315 = "", "", X315 - Y315)</f>
        <v>0</v>
      </c>
      <c r="AA315" s="3">
        <f>IF(K315 = "", "", K315 - N315)</f>
        <v>-0.039999999999999925</v>
      </c>
      <c r="AB315" s="3">
        <f>IF(AA315 = "", "", AA315 * R315)</f>
        <v>-0.019999999999999962</v>
      </c>
    </row>
    <row r="316">
      <c r="A316" s="2" t="s">
        <v>2093</v>
      </c>
      <c r="B316" s="3" t="str">
        <f>A316</f>
        <v>snow-cholera-water-1855-high-exposure-district-A</v>
      </c>
      <c r="C316" s="2" t="s">
        <v>675</v>
      </c>
      <c r="D316" s="2" t="s">
        <v>1608</v>
      </c>
      <c r="E316" s="2" t="s">
        <v>792</v>
      </c>
      <c r="F316" s="5">
        <f>SUMIFS(CaseCells!F2:F999,CaseCells!C2:C999, C316,CaseCells!D2:D999, D316,CaseCells!E2:E999, E316)</f>
        <v>902</v>
      </c>
      <c r="G316" s="5">
        <f>SUMIFS(CaseCells!G2:G999,CaseCells!C2:C999, C316,CaseCells!D2:D999, D316,CaseCells!E2:E999, E316)</f>
        <v>1000</v>
      </c>
      <c r="H316" s="3">
        <f>IF(G316 = 0, "", F316 / G316)</f>
        <v>0.902</v>
      </c>
      <c r="I316" s="5">
        <f>SUMIFS(CaseCells!F2:F999,CaseCells!C2:C999, C316,CaseCells!D2:D999, D316,CaseCells!E2:E999, "A")</f>
        <v>902</v>
      </c>
      <c r="J316" s="5">
        <f>SUMIFS(CaseCells!G2:G999,CaseCells!C2:C999, C316,CaseCells!D2:D999, D316,CaseCells!E2:E999, "A")</f>
        <v>1000</v>
      </c>
      <c r="K316" s="3">
        <f>IF(J316 = 0, "", I316 / J316)</f>
        <v>0.902</v>
      </c>
      <c r="L316" s="5">
        <f>SUMIFS(CaseCells!F2:F999,CaseCells!C2:C999, C316,CaseCells!D2:D999, D316,CaseCells!E2:E999, "B")</f>
        <v>960</v>
      </c>
      <c r="M316" s="5">
        <f>SUMIFS(CaseCells!G2:G999,CaseCells!C2:C999, C316,CaseCells!D2:D999, D316,CaseCells!E2:E999, "B")</f>
        <v>1000</v>
      </c>
      <c r="N316" s="3">
        <f>IF(M316 = 0, "", L316 / M316)</f>
        <v>0.96</v>
      </c>
      <c r="O316" s="3" t="str">
        <f>IF(K316 &gt; N316, "A", "B")</f>
        <v>B</v>
      </c>
      <c r="P316" s="5">
        <f>SUMIFS(CaseCells!G2:G999,CaseCells!C2:C999, C316)</f>
        <v>4000</v>
      </c>
      <c r="Q316" s="5">
        <f>SUMIFS(CaseCells!G2:G999,CaseCells!C2:C999, C316,CaseCells!D2:D999, D316)</f>
        <v>2000</v>
      </c>
      <c r="R316" s="3">
        <f>IF(P316 = 0, "", Q316 / P316)</f>
        <v>0.5</v>
      </c>
      <c r="S316" s="3">
        <f>IF(R316 = "", "", R316 * H316)</f>
        <v>0.451</v>
      </c>
      <c r="T316" s="5">
        <f>SUMIFS(CaseCells!G2:G999,CaseCells!C2:C999, C316,CaseCells!D2:D999, D316,CaseCells!E2:E999, "A")</f>
        <v>1000</v>
      </c>
      <c r="U316" s="5">
        <f>SUMIFS(CaseCells!G2:G999,CaseCells!C2:C999, C316,CaseCells!D2:D999, D316,CaseCells!E2:E999, "B")</f>
        <v>1000</v>
      </c>
      <c r="V316" s="5">
        <f>SUMIFS(CaseCells!G2:G999,CaseCells!C2:C999, C316,CaseCells!E2:E999, "A")</f>
        <v>2000</v>
      </c>
      <c r="W316" s="5">
        <f>SUMIFS(CaseCells!G2:G999,CaseCells!C2:C999, C316,CaseCells!E2:E999, "B")</f>
        <v>2000</v>
      </c>
      <c r="X316" s="3">
        <f>IF(V316 = 0, "", T316 / V316)</f>
        <v>0.5</v>
      </c>
      <c r="Y316" s="3">
        <f>IF(W316 = 0, "", U316 / W316)</f>
        <v>0.5</v>
      </c>
      <c r="Z316" s="3">
        <f>IF(X316 = "", "", X316 - Y316)</f>
        <v>0</v>
      </c>
      <c r="AA316" s="3">
        <f>IF(K316 = "", "", K316 - N316)</f>
        <v>-0.05799999999999994</v>
      </c>
      <c r="AB316" s="3">
        <f>IF(AA316 = "", "", AA316 * R316)</f>
        <v>-0.02899999999999997</v>
      </c>
    </row>
    <row r="317">
      <c r="A317" s="2" t="s">
        <v>2094</v>
      </c>
      <c r="B317" s="3" t="str">
        <f>A317</f>
        <v>snow-cholera-water-1855-high-exposure-district-B</v>
      </c>
      <c r="C317" s="2" t="s">
        <v>675</v>
      </c>
      <c r="D317" s="2" t="s">
        <v>1608</v>
      </c>
      <c r="E317" s="2" t="s">
        <v>795</v>
      </c>
      <c r="F317" s="5">
        <f>SUMIFS(CaseCells!F2:F999,CaseCells!C2:C999, C317,CaseCells!D2:D999, D317,CaseCells!E2:E999, E317)</f>
        <v>960</v>
      </c>
      <c r="G317" s="5">
        <f>SUMIFS(CaseCells!G2:G999,CaseCells!C2:C999, C317,CaseCells!D2:D999, D317,CaseCells!E2:E999, E317)</f>
        <v>1000</v>
      </c>
      <c r="H317" s="3">
        <f>IF(G317 = 0, "", F317 / G317)</f>
        <v>0.96</v>
      </c>
      <c r="I317" s="5">
        <f>SUMIFS(CaseCells!F2:F999,CaseCells!C2:C999, C317,CaseCells!D2:D999, D317,CaseCells!E2:E999, "A")</f>
        <v>902</v>
      </c>
      <c r="J317" s="5">
        <f>SUMIFS(CaseCells!G2:G999,CaseCells!C2:C999, C317,CaseCells!D2:D999, D317,CaseCells!E2:E999, "A")</f>
        <v>1000</v>
      </c>
      <c r="K317" s="3">
        <f>IF(J317 = 0, "", I317 / J317)</f>
        <v>0.902</v>
      </c>
      <c r="L317" s="5">
        <f>SUMIFS(CaseCells!F2:F999,CaseCells!C2:C999, C317,CaseCells!D2:D999, D317,CaseCells!E2:E999, "B")</f>
        <v>960</v>
      </c>
      <c r="M317" s="5">
        <f>SUMIFS(CaseCells!G2:G999,CaseCells!C2:C999, C317,CaseCells!D2:D999, D317,CaseCells!E2:E999, "B")</f>
        <v>1000</v>
      </c>
      <c r="N317" s="3">
        <f>IF(M317 = 0, "", L317 / M317)</f>
        <v>0.96</v>
      </c>
      <c r="O317" s="3" t="str">
        <f>IF(K317 &gt; N317, "A", "B")</f>
        <v>B</v>
      </c>
      <c r="P317" s="5">
        <f>SUMIFS(CaseCells!G2:G999,CaseCells!C2:C999, C317)</f>
        <v>4000</v>
      </c>
      <c r="Q317" s="5">
        <f>SUMIFS(CaseCells!G2:G999,CaseCells!C2:C999, C317,CaseCells!D2:D999, D317)</f>
        <v>2000</v>
      </c>
      <c r="R317" s="3">
        <f>IF(P317 = 0, "", Q317 / P317)</f>
        <v>0.5</v>
      </c>
      <c r="S317" s="3">
        <f>IF(R317 = "", "", R317 * H317)</f>
        <v>0.48</v>
      </c>
      <c r="T317" s="5">
        <f>SUMIFS(CaseCells!G2:G999,CaseCells!C2:C999, C317,CaseCells!D2:D999, D317,CaseCells!E2:E999, "A")</f>
        <v>1000</v>
      </c>
      <c r="U317" s="5">
        <f>SUMIFS(CaseCells!G2:G999,CaseCells!C2:C999, C317,CaseCells!D2:D999, D317,CaseCells!E2:E999, "B")</f>
        <v>1000</v>
      </c>
      <c r="V317" s="5">
        <f>SUMIFS(CaseCells!G2:G999,CaseCells!C2:C999, C317,CaseCells!E2:E999, "A")</f>
        <v>2000</v>
      </c>
      <c r="W317" s="5">
        <f>SUMIFS(CaseCells!G2:G999,CaseCells!C2:C999, C317,CaseCells!E2:E999, "B")</f>
        <v>2000</v>
      </c>
      <c r="X317" s="3">
        <f>IF(V317 = 0, "", T317 / V317)</f>
        <v>0.5</v>
      </c>
      <c r="Y317" s="3">
        <f>IF(W317 = 0, "", U317 / W317)</f>
        <v>0.5</v>
      </c>
      <c r="Z317" s="3">
        <f>IF(X317 = "", "", X317 - Y317)</f>
        <v>0</v>
      </c>
      <c r="AA317" s="3">
        <f>IF(K317 = "", "", K317 - N317)</f>
        <v>-0.05799999999999994</v>
      </c>
      <c r="AB317" s="3">
        <f>IF(AA317 = "", "", AA317 * R317)</f>
        <v>-0.02899999999999997</v>
      </c>
    </row>
    <row r="318">
      <c r="A318" s="2" t="s">
        <v>2095</v>
      </c>
      <c r="B318" s="3" t="str">
        <f>A318</f>
        <v>snow-cholera-water-1855-mixed-supply-district-A</v>
      </c>
      <c r="C318" s="2" t="s">
        <v>675</v>
      </c>
      <c r="D318" s="2" t="s">
        <v>1611</v>
      </c>
      <c r="E318" s="2" t="s">
        <v>792</v>
      </c>
      <c r="F318" s="5">
        <f>SUMIFS(CaseCells!F2:F999,CaseCells!C2:C999, C318,CaseCells!D2:D999, D318,CaseCells!E2:E999, E318)</f>
        <v>940</v>
      </c>
      <c r="G318" s="5">
        <f>SUMIFS(CaseCells!G2:G999,CaseCells!C2:C999, C318,CaseCells!D2:D999, D318,CaseCells!E2:E999, E318)</f>
        <v>1000</v>
      </c>
      <c r="H318" s="3">
        <f>IF(G318 = 0, "", F318 / G318)</f>
        <v>0.94</v>
      </c>
      <c r="I318" s="5">
        <f>SUMIFS(CaseCells!F2:F999,CaseCells!C2:C999, C318,CaseCells!D2:D999, D318,CaseCells!E2:E999, "A")</f>
        <v>940</v>
      </c>
      <c r="J318" s="5">
        <f>SUMIFS(CaseCells!G2:G999,CaseCells!C2:C999, C318,CaseCells!D2:D999, D318,CaseCells!E2:E999, "A")</f>
        <v>1000</v>
      </c>
      <c r="K318" s="3">
        <f>IF(J318 = 0, "", I318 / J318)</f>
        <v>0.94</v>
      </c>
      <c r="L318" s="5">
        <f>SUMIFS(CaseCells!F2:F999,CaseCells!C2:C999, C318,CaseCells!D2:D999, D318,CaseCells!E2:E999, "B")</f>
        <v>970</v>
      </c>
      <c r="M318" s="5">
        <f>SUMIFS(CaseCells!G2:G999,CaseCells!C2:C999, C318,CaseCells!D2:D999, D318,CaseCells!E2:E999, "B")</f>
        <v>1000</v>
      </c>
      <c r="N318" s="3">
        <f>IF(M318 = 0, "", L318 / M318)</f>
        <v>0.97</v>
      </c>
      <c r="O318" s="3" t="str">
        <f>IF(K318 &gt; N318, "A", "B")</f>
        <v>B</v>
      </c>
      <c r="P318" s="5">
        <f>SUMIFS(CaseCells!G2:G999,CaseCells!C2:C999, C318)</f>
        <v>4000</v>
      </c>
      <c r="Q318" s="5">
        <f>SUMIFS(CaseCells!G2:G999,CaseCells!C2:C999, C318,CaseCells!D2:D999, D318)</f>
        <v>2000</v>
      </c>
      <c r="R318" s="3">
        <f>IF(P318 = 0, "", Q318 / P318)</f>
        <v>0.5</v>
      </c>
      <c r="S318" s="3">
        <f>IF(R318 = "", "", R318 * H318)</f>
        <v>0.47</v>
      </c>
      <c r="T318" s="5">
        <f>SUMIFS(CaseCells!G2:G999,CaseCells!C2:C999, C318,CaseCells!D2:D999, D318,CaseCells!E2:E999, "A")</f>
        <v>1000</v>
      </c>
      <c r="U318" s="5">
        <f>SUMIFS(CaseCells!G2:G999,CaseCells!C2:C999, C318,CaseCells!D2:D999, D318,CaseCells!E2:E999, "B")</f>
        <v>1000</v>
      </c>
      <c r="V318" s="5">
        <f>SUMIFS(CaseCells!G2:G999,CaseCells!C2:C999, C318,CaseCells!E2:E999, "A")</f>
        <v>2000</v>
      </c>
      <c r="W318" s="5">
        <f>SUMIFS(CaseCells!G2:G999,CaseCells!C2:C999, C318,CaseCells!E2:E999, "B")</f>
        <v>2000</v>
      </c>
      <c r="X318" s="3">
        <f>IF(V318 = 0, "", T318 / V318)</f>
        <v>0.5</v>
      </c>
      <c r="Y318" s="3">
        <f>IF(W318 = 0, "", U318 / W318)</f>
        <v>0.5</v>
      </c>
      <c r="Z318" s="3">
        <f>IF(X318 = "", "", X318 - Y318)</f>
        <v>0</v>
      </c>
      <c r="AA318" s="3">
        <f>IF(K318 = "", "", K318 - N318)</f>
        <v>-0.030000000000000027</v>
      </c>
      <c r="AB318" s="3">
        <f>IF(AA318 = "", "", AA318 * R318)</f>
        <v>-0.015000000000000013</v>
      </c>
    </row>
    <row r="319">
      <c r="A319" s="2" t="s">
        <v>2096</v>
      </c>
      <c r="B319" s="3" t="str">
        <f>A319</f>
        <v>snow-cholera-water-1855-mixed-supply-district-B</v>
      </c>
      <c r="C319" s="2" t="s">
        <v>675</v>
      </c>
      <c r="D319" s="2" t="s">
        <v>1611</v>
      </c>
      <c r="E319" s="2" t="s">
        <v>795</v>
      </c>
      <c r="F319" s="5">
        <f>SUMIFS(CaseCells!F2:F999,CaseCells!C2:C999, C319,CaseCells!D2:D999, D319,CaseCells!E2:E999, E319)</f>
        <v>970</v>
      </c>
      <c r="G319" s="5">
        <f>SUMIFS(CaseCells!G2:G999,CaseCells!C2:C999, C319,CaseCells!D2:D999, D319,CaseCells!E2:E999, E319)</f>
        <v>1000</v>
      </c>
      <c r="H319" s="3">
        <f>IF(G319 = 0, "", F319 / G319)</f>
        <v>0.97</v>
      </c>
      <c r="I319" s="5">
        <f>SUMIFS(CaseCells!F2:F999,CaseCells!C2:C999, C319,CaseCells!D2:D999, D319,CaseCells!E2:E999, "A")</f>
        <v>940</v>
      </c>
      <c r="J319" s="5">
        <f>SUMIFS(CaseCells!G2:G999,CaseCells!C2:C999, C319,CaseCells!D2:D999, D319,CaseCells!E2:E999, "A")</f>
        <v>1000</v>
      </c>
      <c r="K319" s="3">
        <f>IF(J319 = 0, "", I319 / J319)</f>
        <v>0.94</v>
      </c>
      <c r="L319" s="5">
        <f>SUMIFS(CaseCells!F2:F999,CaseCells!C2:C999, C319,CaseCells!D2:D999, D319,CaseCells!E2:E999, "B")</f>
        <v>970</v>
      </c>
      <c r="M319" s="5">
        <f>SUMIFS(CaseCells!G2:G999,CaseCells!C2:C999, C319,CaseCells!D2:D999, D319,CaseCells!E2:E999, "B")</f>
        <v>1000</v>
      </c>
      <c r="N319" s="3">
        <f>IF(M319 = 0, "", L319 / M319)</f>
        <v>0.97</v>
      </c>
      <c r="O319" s="3" t="str">
        <f>IF(K319 &gt; N319, "A", "B")</f>
        <v>B</v>
      </c>
      <c r="P319" s="5">
        <f>SUMIFS(CaseCells!G2:G999,CaseCells!C2:C999, C319)</f>
        <v>4000</v>
      </c>
      <c r="Q319" s="5">
        <f>SUMIFS(CaseCells!G2:G999,CaseCells!C2:C999, C319,CaseCells!D2:D999, D319)</f>
        <v>2000</v>
      </c>
      <c r="R319" s="3">
        <f>IF(P319 = 0, "", Q319 / P319)</f>
        <v>0.5</v>
      </c>
      <c r="S319" s="3">
        <f>IF(R319 = "", "", R319 * H319)</f>
        <v>0.485</v>
      </c>
      <c r="T319" s="5">
        <f>SUMIFS(CaseCells!G2:G999,CaseCells!C2:C999, C319,CaseCells!D2:D999, D319,CaseCells!E2:E999, "A")</f>
        <v>1000</v>
      </c>
      <c r="U319" s="5">
        <f>SUMIFS(CaseCells!G2:G999,CaseCells!C2:C999, C319,CaseCells!D2:D999, D319,CaseCells!E2:E999, "B")</f>
        <v>1000</v>
      </c>
      <c r="V319" s="5">
        <f>SUMIFS(CaseCells!G2:G999,CaseCells!C2:C999, C319,CaseCells!E2:E999, "A")</f>
        <v>2000</v>
      </c>
      <c r="W319" s="5">
        <f>SUMIFS(CaseCells!G2:G999,CaseCells!C2:C999, C319,CaseCells!E2:E999, "B")</f>
        <v>2000</v>
      </c>
      <c r="X319" s="3">
        <f>IF(V319 = 0, "", T319 / V319)</f>
        <v>0.5</v>
      </c>
      <c r="Y319" s="3">
        <f>IF(W319 = 0, "", U319 / W319)</f>
        <v>0.5</v>
      </c>
      <c r="Z319" s="3">
        <f>IF(X319 = "", "", X319 - Y319)</f>
        <v>0</v>
      </c>
      <c r="AA319" s="3">
        <f>IF(K319 = "", "", K319 - N319)</f>
        <v>-0.030000000000000027</v>
      </c>
      <c r="AB319" s="3">
        <f>IF(AA319 = "", "", AA319 * R319)</f>
        <v>-0.015000000000000013</v>
      </c>
    </row>
    <row r="320">
      <c r="A320" s="2" t="s">
        <v>2097</v>
      </c>
      <c r="B320" s="3" t="str">
        <f>A320</f>
        <v>seatbelt-crash-severity-minor-crash-A</v>
      </c>
      <c r="C320" s="2" t="s">
        <v>679</v>
      </c>
      <c r="D320" s="2" t="s">
        <v>1614</v>
      </c>
      <c r="E320" s="2" t="s">
        <v>792</v>
      </c>
      <c r="F320" s="5">
        <f>SUMIFS(CaseCells!F2:F999,CaseCells!C2:C999, C320,CaseCells!D2:D999, D320,CaseCells!E2:E999, E320)</f>
        <v>980</v>
      </c>
      <c r="G320" s="5">
        <f>SUMIFS(CaseCells!G2:G999,CaseCells!C2:C999, C320,CaseCells!D2:D999, D320,CaseCells!E2:E999, E320)</f>
        <v>1000</v>
      </c>
      <c r="H320" s="3">
        <f>IF(G320 = 0, "", F320 / G320)</f>
        <v>0.98</v>
      </c>
      <c r="I320" s="5">
        <f>SUMIFS(CaseCells!F2:F999,CaseCells!C2:C999, C320,CaseCells!D2:D999, D320,CaseCells!E2:E999, "A")</f>
        <v>980</v>
      </c>
      <c r="J320" s="5">
        <f>SUMIFS(CaseCells!G2:G999,CaseCells!C2:C999, C320,CaseCells!D2:D999, D320,CaseCells!E2:E999, "A")</f>
        <v>1000</v>
      </c>
      <c r="K320" s="3">
        <f>IF(J320 = 0, "", I320 / J320)</f>
        <v>0.98</v>
      </c>
      <c r="L320" s="5">
        <f>SUMIFS(CaseCells!F2:F999,CaseCells!C2:C999, C320,CaseCells!D2:D999, D320,CaseCells!E2:E999, "B")</f>
        <v>970</v>
      </c>
      <c r="M320" s="5">
        <f>SUMIFS(CaseCells!G2:G999,CaseCells!C2:C999, C320,CaseCells!D2:D999, D320,CaseCells!E2:E999, "B")</f>
        <v>1000</v>
      </c>
      <c r="N320" s="3">
        <f>IF(M320 = 0, "", L320 / M320)</f>
        <v>0.97</v>
      </c>
      <c r="O320" s="3" t="str">
        <f>IF(K320 &gt; N320, "A", "B")</f>
        <v>A</v>
      </c>
      <c r="P320" s="5">
        <f>SUMIFS(CaseCells!G2:G999,CaseCells!C2:C999, C320)</f>
        <v>4000</v>
      </c>
      <c r="Q320" s="5">
        <f>SUMIFS(CaseCells!G2:G999,CaseCells!C2:C999, C320,CaseCells!D2:D999, D320)</f>
        <v>2000</v>
      </c>
      <c r="R320" s="3">
        <f>IF(P320 = 0, "", Q320 / P320)</f>
        <v>0.5</v>
      </c>
      <c r="S320" s="3">
        <f>IF(R320 = "", "", R320 * H320)</f>
        <v>0.49</v>
      </c>
      <c r="T320" s="5">
        <f>SUMIFS(CaseCells!G2:G999,CaseCells!C2:C999, C320,CaseCells!D2:D999, D320,CaseCells!E2:E999, "A")</f>
        <v>1000</v>
      </c>
      <c r="U320" s="5">
        <f>SUMIFS(CaseCells!G2:G999,CaseCells!C2:C999, C320,CaseCells!D2:D999, D320,CaseCells!E2:E999, "B")</f>
        <v>1000</v>
      </c>
      <c r="V320" s="5">
        <f>SUMIFS(CaseCells!G2:G999,CaseCells!C2:C999, C320,CaseCells!E2:E999, "A")</f>
        <v>2000</v>
      </c>
      <c r="W320" s="5">
        <f>SUMIFS(CaseCells!G2:G999,CaseCells!C2:C999, C320,CaseCells!E2:E999, "B")</f>
        <v>2000</v>
      </c>
      <c r="X320" s="3">
        <f>IF(V320 = 0, "", T320 / V320)</f>
        <v>0.5</v>
      </c>
      <c r="Y320" s="3">
        <f>IF(W320 = 0, "", U320 / W320)</f>
        <v>0.5</v>
      </c>
      <c r="Z320" s="3">
        <f>IF(X320 = "", "", X320 - Y320)</f>
        <v>0</v>
      </c>
      <c r="AA320" s="3">
        <f>IF(K320 = "", "", K320 - N320)</f>
        <v>0.010000000000000009</v>
      </c>
      <c r="AB320" s="3">
        <f>IF(AA320 = "", "", AA320 * R320)</f>
        <v>0.0050000000000000044</v>
      </c>
    </row>
    <row r="321">
      <c r="A321" s="2" t="s">
        <v>2098</v>
      </c>
      <c r="B321" s="3" t="str">
        <f>A321</f>
        <v>seatbelt-crash-severity-minor-crash-B</v>
      </c>
      <c r="C321" s="2" t="s">
        <v>679</v>
      </c>
      <c r="D321" s="2" t="s">
        <v>1614</v>
      </c>
      <c r="E321" s="2" t="s">
        <v>795</v>
      </c>
      <c r="F321" s="5">
        <f>SUMIFS(CaseCells!F2:F999,CaseCells!C2:C999, C321,CaseCells!D2:D999, D321,CaseCells!E2:E999, E321)</f>
        <v>970</v>
      </c>
      <c r="G321" s="5">
        <f>SUMIFS(CaseCells!G2:G999,CaseCells!C2:C999, C321,CaseCells!D2:D999, D321,CaseCells!E2:E999, E321)</f>
        <v>1000</v>
      </c>
      <c r="H321" s="3">
        <f>IF(G321 = 0, "", F321 / G321)</f>
        <v>0.97</v>
      </c>
      <c r="I321" s="5">
        <f>SUMIFS(CaseCells!F2:F999,CaseCells!C2:C999, C321,CaseCells!D2:D999, D321,CaseCells!E2:E999, "A")</f>
        <v>980</v>
      </c>
      <c r="J321" s="5">
        <f>SUMIFS(CaseCells!G2:G999,CaseCells!C2:C999, C321,CaseCells!D2:D999, D321,CaseCells!E2:E999, "A")</f>
        <v>1000</v>
      </c>
      <c r="K321" s="3">
        <f>IF(J321 = 0, "", I321 / J321)</f>
        <v>0.98</v>
      </c>
      <c r="L321" s="5">
        <f>SUMIFS(CaseCells!F2:F999,CaseCells!C2:C999, C321,CaseCells!D2:D999, D321,CaseCells!E2:E999, "B")</f>
        <v>970</v>
      </c>
      <c r="M321" s="5">
        <f>SUMIFS(CaseCells!G2:G999,CaseCells!C2:C999, C321,CaseCells!D2:D999, D321,CaseCells!E2:E999, "B")</f>
        <v>1000</v>
      </c>
      <c r="N321" s="3">
        <f>IF(M321 = 0, "", L321 / M321)</f>
        <v>0.97</v>
      </c>
      <c r="O321" s="3" t="str">
        <f>IF(K321 &gt; N321, "A", "B")</f>
        <v>A</v>
      </c>
      <c r="P321" s="5">
        <f>SUMIFS(CaseCells!G2:G999,CaseCells!C2:C999, C321)</f>
        <v>4000</v>
      </c>
      <c r="Q321" s="5">
        <f>SUMIFS(CaseCells!G2:G999,CaseCells!C2:C999, C321,CaseCells!D2:D999, D321)</f>
        <v>2000</v>
      </c>
      <c r="R321" s="3">
        <f>IF(P321 = 0, "", Q321 / P321)</f>
        <v>0.5</v>
      </c>
      <c r="S321" s="3">
        <f>IF(R321 = "", "", R321 * H321)</f>
        <v>0.485</v>
      </c>
      <c r="T321" s="5">
        <f>SUMIFS(CaseCells!G2:G999,CaseCells!C2:C999, C321,CaseCells!D2:D999, D321,CaseCells!E2:E999, "A")</f>
        <v>1000</v>
      </c>
      <c r="U321" s="5">
        <f>SUMIFS(CaseCells!G2:G999,CaseCells!C2:C999, C321,CaseCells!D2:D999, D321,CaseCells!E2:E999, "B")</f>
        <v>1000</v>
      </c>
      <c r="V321" s="5">
        <f>SUMIFS(CaseCells!G2:G999,CaseCells!C2:C999, C321,CaseCells!E2:E999, "A")</f>
        <v>2000</v>
      </c>
      <c r="W321" s="5">
        <f>SUMIFS(CaseCells!G2:G999,CaseCells!C2:C999, C321,CaseCells!E2:E999, "B")</f>
        <v>2000</v>
      </c>
      <c r="X321" s="3">
        <f>IF(V321 = 0, "", T321 / V321)</f>
        <v>0.5</v>
      </c>
      <c r="Y321" s="3">
        <f>IF(W321 = 0, "", U321 / W321)</f>
        <v>0.5</v>
      </c>
      <c r="Z321" s="3">
        <f>IF(X321 = "", "", X321 - Y321)</f>
        <v>0</v>
      </c>
      <c r="AA321" s="3">
        <f>IF(K321 = "", "", K321 - N321)</f>
        <v>0.010000000000000009</v>
      </c>
      <c r="AB321" s="3">
        <f>IF(AA321 = "", "", AA321 * R321)</f>
        <v>0.0050000000000000044</v>
      </c>
    </row>
    <row r="322">
      <c r="A322" s="2" t="s">
        <v>2099</v>
      </c>
      <c r="B322" s="3" t="str">
        <f>A322</f>
        <v>seatbelt-crash-severity-severe-crash-A</v>
      </c>
      <c r="C322" s="2" t="s">
        <v>679</v>
      </c>
      <c r="D322" s="2" t="s">
        <v>1617</v>
      </c>
      <c r="E322" s="2" t="s">
        <v>792</v>
      </c>
      <c r="F322" s="5">
        <f>SUMIFS(CaseCells!F2:F999,CaseCells!C2:C999, C322,CaseCells!D2:D999, D322,CaseCells!E2:E999, E322)</f>
        <v>700</v>
      </c>
      <c r="G322" s="5">
        <f>SUMIFS(CaseCells!G2:G999,CaseCells!C2:C999, C322,CaseCells!D2:D999, D322,CaseCells!E2:E999, E322)</f>
        <v>1000</v>
      </c>
      <c r="H322" s="3">
        <f>IF(G322 = 0, "", F322 / G322)</f>
        <v>0.7</v>
      </c>
      <c r="I322" s="5">
        <f>SUMIFS(CaseCells!F2:F999,CaseCells!C2:C999, C322,CaseCells!D2:D999, D322,CaseCells!E2:E999, "A")</f>
        <v>700</v>
      </c>
      <c r="J322" s="5">
        <f>SUMIFS(CaseCells!G2:G999,CaseCells!C2:C999, C322,CaseCells!D2:D999, D322,CaseCells!E2:E999, "A")</f>
        <v>1000</v>
      </c>
      <c r="K322" s="3">
        <f>IF(J322 = 0, "", I322 / J322)</f>
        <v>0.7</v>
      </c>
      <c r="L322" s="5">
        <f>SUMIFS(CaseCells!F2:F999,CaseCells!C2:C999, C322,CaseCells!D2:D999, D322,CaseCells!E2:E999, "B")</f>
        <v>600</v>
      </c>
      <c r="M322" s="5">
        <f>SUMIFS(CaseCells!G2:G999,CaseCells!C2:C999, C322,CaseCells!D2:D999, D322,CaseCells!E2:E999, "B")</f>
        <v>1000</v>
      </c>
      <c r="N322" s="3">
        <f>IF(M322 = 0, "", L322 / M322)</f>
        <v>0.6</v>
      </c>
      <c r="O322" s="3" t="str">
        <f>IF(K322 &gt; N322, "A", "B")</f>
        <v>A</v>
      </c>
      <c r="P322" s="5">
        <f>SUMIFS(CaseCells!G2:G999,CaseCells!C2:C999, C322)</f>
        <v>4000</v>
      </c>
      <c r="Q322" s="5">
        <f>SUMIFS(CaseCells!G2:G999,CaseCells!C2:C999, C322,CaseCells!D2:D999, D322)</f>
        <v>2000</v>
      </c>
      <c r="R322" s="3">
        <f>IF(P322 = 0, "", Q322 / P322)</f>
        <v>0.5</v>
      </c>
      <c r="S322" s="3">
        <f>IF(R322 = "", "", R322 * H322)</f>
        <v>0.35</v>
      </c>
      <c r="T322" s="5">
        <f>SUMIFS(CaseCells!G2:G999,CaseCells!C2:C999, C322,CaseCells!D2:D999, D322,CaseCells!E2:E999, "A")</f>
        <v>1000</v>
      </c>
      <c r="U322" s="5">
        <f>SUMIFS(CaseCells!G2:G999,CaseCells!C2:C999, C322,CaseCells!D2:D999, D322,CaseCells!E2:E999, "B")</f>
        <v>1000</v>
      </c>
      <c r="V322" s="5">
        <f>SUMIFS(CaseCells!G2:G999,CaseCells!C2:C999, C322,CaseCells!E2:E999, "A")</f>
        <v>2000</v>
      </c>
      <c r="W322" s="5">
        <f>SUMIFS(CaseCells!G2:G999,CaseCells!C2:C999, C322,CaseCells!E2:E999, "B")</f>
        <v>2000</v>
      </c>
      <c r="X322" s="3">
        <f>IF(V322 = 0, "", T322 / V322)</f>
        <v>0.5</v>
      </c>
      <c r="Y322" s="3">
        <f>IF(W322 = 0, "", U322 / W322)</f>
        <v>0.5</v>
      </c>
      <c r="Z322" s="3">
        <f>IF(X322 = "", "", X322 - Y322)</f>
        <v>0</v>
      </c>
      <c r="AA322" s="3">
        <f>IF(K322 = "", "", K322 - N322)</f>
        <v>0.09999999999999998</v>
      </c>
      <c r="AB322" s="3">
        <f>IF(AA322 = "", "", AA322 * R322)</f>
        <v>0.04999999999999999</v>
      </c>
    </row>
    <row r="323">
      <c r="A323" s="2" t="s">
        <v>2100</v>
      </c>
      <c r="B323" s="3" t="str">
        <f>A323</f>
        <v>seatbelt-crash-severity-severe-crash-B</v>
      </c>
      <c r="C323" s="2" t="s">
        <v>679</v>
      </c>
      <c r="D323" s="2" t="s">
        <v>1617</v>
      </c>
      <c r="E323" s="2" t="s">
        <v>795</v>
      </c>
      <c r="F323" s="5">
        <f>SUMIFS(CaseCells!F2:F999,CaseCells!C2:C999, C323,CaseCells!D2:D999, D323,CaseCells!E2:E999, E323)</f>
        <v>600</v>
      </c>
      <c r="G323" s="5">
        <f>SUMIFS(CaseCells!G2:G999,CaseCells!C2:C999, C323,CaseCells!D2:D999, D323,CaseCells!E2:E999, E323)</f>
        <v>1000</v>
      </c>
      <c r="H323" s="3">
        <f>IF(G323 = 0, "", F323 / G323)</f>
        <v>0.6</v>
      </c>
      <c r="I323" s="5">
        <f>SUMIFS(CaseCells!F2:F999,CaseCells!C2:C999, C323,CaseCells!D2:D999, D323,CaseCells!E2:E999, "A")</f>
        <v>700</v>
      </c>
      <c r="J323" s="5">
        <f>SUMIFS(CaseCells!G2:G999,CaseCells!C2:C999, C323,CaseCells!D2:D999, D323,CaseCells!E2:E999, "A")</f>
        <v>1000</v>
      </c>
      <c r="K323" s="3">
        <f>IF(J323 = 0, "", I323 / J323)</f>
        <v>0.7</v>
      </c>
      <c r="L323" s="5">
        <f>SUMIFS(CaseCells!F2:F999,CaseCells!C2:C999, C323,CaseCells!D2:D999, D323,CaseCells!E2:E999, "B")</f>
        <v>600</v>
      </c>
      <c r="M323" s="5">
        <f>SUMIFS(CaseCells!G2:G999,CaseCells!C2:C999, C323,CaseCells!D2:D999, D323,CaseCells!E2:E999, "B")</f>
        <v>1000</v>
      </c>
      <c r="N323" s="3">
        <f>IF(M323 = 0, "", L323 / M323)</f>
        <v>0.6</v>
      </c>
      <c r="O323" s="3" t="str">
        <f>IF(K323 &gt; N323, "A", "B")</f>
        <v>A</v>
      </c>
      <c r="P323" s="5">
        <f>SUMIFS(CaseCells!G2:G999,CaseCells!C2:C999, C323)</f>
        <v>4000</v>
      </c>
      <c r="Q323" s="5">
        <f>SUMIFS(CaseCells!G2:G999,CaseCells!C2:C999, C323,CaseCells!D2:D999, D323)</f>
        <v>2000</v>
      </c>
      <c r="R323" s="3">
        <f>IF(P323 = 0, "", Q323 / P323)</f>
        <v>0.5</v>
      </c>
      <c r="S323" s="3">
        <f>IF(R323 = "", "", R323 * H323)</f>
        <v>0.3</v>
      </c>
      <c r="T323" s="5">
        <f>SUMIFS(CaseCells!G2:G999,CaseCells!C2:C999, C323,CaseCells!D2:D999, D323,CaseCells!E2:E999, "A")</f>
        <v>1000</v>
      </c>
      <c r="U323" s="5">
        <f>SUMIFS(CaseCells!G2:G999,CaseCells!C2:C999, C323,CaseCells!D2:D999, D323,CaseCells!E2:E999, "B")</f>
        <v>1000</v>
      </c>
      <c r="V323" s="5">
        <f>SUMIFS(CaseCells!G2:G999,CaseCells!C2:C999, C323,CaseCells!E2:E999, "A")</f>
        <v>2000</v>
      </c>
      <c r="W323" s="5">
        <f>SUMIFS(CaseCells!G2:G999,CaseCells!C2:C999, C323,CaseCells!E2:E999, "B")</f>
        <v>2000</v>
      </c>
      <c r="X323" s="3">
        <f>IF(V323 = 0, "", T323 / V323)</f>
        <v>0.5</v>
      </c>
      <c r="Y323" s="3">
        <f>IF(W323 = 0, "", U323 / W323)</f>
        <v>0.5</v>
      </c>
      <c r="Z323" s="3">
        <f>IF(X323 = "", "", X323 - Y323)</f>
        <v>0</v>
      </c>
      <c r="AA323" s="3">
        <f>IF(K323 = "", "", K323 - N323)</f>
        <v>0.09999999999999998</v>
      </c>
      <c r="AB323" s="3">
        <f>IF(AA323 = "", "", AA323 * R323)</f>
        <v>0.04999999999999999</v>
      </c>
    </row>
    <row r="324">
      <c r="A324" s="2" t="s">
        <v>2101</v>
      </c>
      <c r="B324" s="3" t="str">
        <f>A324</f>
        <v>measles-outbreak-vaccinated-high-coverage-setting-A</v>
      </c>
      <c r="C324" s="2" t="s">
        <v>683</v>
      </c>
      <c r="D324" s="2" t="s">
        <v>1620</v>
      </c>
      <c r="E324" s="2" t="s">
        <v>792</v>
      </c>
      <c r="F324" s="5">
        <f>SUMIFS(CaseCells!F2:F999,CaseCells!C2:C999, C324,CaseCells!D2:D999, D324,CaseCells!E2:E999, E324)</f>
        <v>100</v>
      </c>
      <c r="G324" s="5">
        <f>SUMIFS(CaseCells!G2:G999,CaseCells!C2:C999, C324,CaseCells!D2:D999, D324,CaseCells!E2:E999, E324)</f>
        <v>9000</v>
      </c>
      <c r="H324" s="3">
        <f>IF(G324 = 0, "", F324 / G324)</f>
        <v>0.011111111111111112</v>
      </c>
      <c r="I324" s="5">
        <f>SUMIFS(CaseCells!F2:F999,CaseCells!C2:C999, C324,CaseCells!D2:D999, D324,CaseCells!E2:E999, "A")</f>
        <v>100</v>
      </c>
      <c r="J324" s="5">
        <f>SUMIFS(CaseCells!G2:G999,CaseCells!C2:C999, C324,CaseCells!D2:D999, D324,CaseCells!E2:E999, "A")</f>
        <v>9000</v>
      </c>
      <c r="K324" s="3">
        <f>IF(J324 = 0, "", I324 / J324)</f>
        <v>0.011111111111111112</v>
      </c>
      <c r="L324" s="5">
        <f>SUMIFS(CaseCells!F2:F999,CaseCells!C2:C999, C324,CaseCells!D2:D999, D324,CaseCells!E2:E999, "B")</f>
        <v>44</v>
      </c>
      <c r="M324" s="5">
        <f>SUMIFS(CaseCells!G2:G999,CaseCells!C2:C999, C324,CaseCells!D2:D999, D324,CaseCells!E2:E999, "B")</f>
        <v>1000</v>
      </c>
      <c r="N324" s="3">
        <f>IF(M324 = 0, "", L324 / M324)</f>
        <v>0.044</v>
      </c>
      <c r="O324" s="3" t="str">
        <f>IF(K324 &gt; N324, "A", "B")</f>
        <v>B</v>
      </c>
      <c r="P324" s="5">
        <f>SUMIFS(CaseCells!G2:G999,CaseCells!C2:C999, C324)</f>
        <v>12500</v>
      </c>
      <c r="Q324" s="5">
        <f>SUMIFS(CaseCells!G2:G999,CaseCells!C2:C999, C324,CaseCells!D2:D999, D324)</f>
        <v>10000</v>
      </c>
      <c r="R324" s="3">
        <f>IF(P324 = 0, "", Q324 / P324)</f>
        <v>0.8</v>
      </c>
      <c r="S324" s="3">
        <f>IF(R324 = "", "", R324 * H324)</f>
        <v>0.008888888888888889</v>
      </c>
      <c r="T324" s="5">
        <f>SUMIFS(CaseCells!G2:G999,CaseCells!C2:C999, C324,CaseCells!D2:D999, D324,CaseCells!E2:E999, "A")</f>
        <v>9000</v>
      </c>
      <c r="U324" s="5">
        <f>SUMIFS(CaseCells!G2:G999,CaseCells!C2:C999, C324,CaseCells!D2:D999, D324,CaseCells!E2:E999, "B")</f>
        <v>1000</v>
      </c>
      <c r="V324" s="5">
        <f>SUMIFS(CaseCells!G2:G999,CaseCells!C2:C999, C324,CaseCells!E2:E999, "A")</f>
        <v>11000</v>
      </c>
      <c r="W324" s="5">
        <f>SUMIFS(CaseCells!G2:G999,CaseCells!C2:C999, C324,CaseCells!E2:E999, "B")</f>
        <v>1500</v>
      </c>
      <c r="X324" s="3">
        <f>IF(V324 = 0, "", T324 / V324)</f>
        <v>0.8181818181818182</v>
      </c>
      <c r="Y324" s="3">
        <f>IF(W324 = 0, "", U324 / W324)</f>
        <v>0.6666666666666666</v>
      </c>
      <c r="Z324" s="3">
        <f>IF(X324 = "", "", X324 - Y324)</f>
        <v>0.1515151515151516</v>
      </c>
      <c r="AA324" s="3">
        <f>IF(K324 = "", "", K324 - N324)</f>
        <v>-0.032888888888888884</v>
      </c>
      <c r="AB324" s="3">
        <f>IF(AA324 = "", "", AA324 * R324)</f>
        <v>-0.026311111111111108</v>
      </c>
    </row>
    <row r="325">
      <c r="A325" s="2" t="s">
        <v>2102</v>
      </c>
      <c r="B325" s="3" t="str">
        <f>A325</f>
        <v>measles-outbreak-vaccinated-high-coverage-setting-B</v>
      </c>
      <c r="C325" s="2" t="s">
        <v>683</v>
      </c>
      <c r="D325" s="2" t="s">
        <v>1620</v>
      </c>
      <c r="E325" s="2" t="s">
        <v>795</v>
      </c>
      <c r="F325" s="5">
        <f>SUMIFS(CaseCells!F2:F999,CaseCells!C2:C999, C325,CaseCells!D2:D999, D325,CaseCells!E2:E999, E325)</f>
        <v>44</v>
      </c>
      <c r="G325" s="5">
        <f>SUMIFS(CaseCells!G2:G999,CaseCells!C2:C999, C325,CaseCells!D2:D999, D325,CaseCells!E2:E999, E325)</f>
        <v>1000</v>
      </c>
      <c r="H325" s="3">
        <f>IF(G325 = 0, "", F325 / G325)</f>
        <v>0.044</v>
      </c>
      <c r="I325" s="5">
        <f>SUMIFS(CaseCells!F2:F999,CaseCells!C2:C999, C325,CaseCells!D2:D999, D325,CaseCells!E2:E999, "A")</f>
        <v>100</v>
      </c>
      <c r="J325" s="5">
        <f>SUMIFS(CaseCells!G2:G999,CaseCells!C2:C999, C325,CaseCells!D2:D999, D325,CaseCells!E2:E999, "A")</f>
        <v>9000</v>
      </c>
      <c r="K325" s="3">
        <f>IF(J325 = 0, "", I325 / J325)</f>
        <v>0.011111111111111112</v>
      </c>
      <c r="L325" s="5">
        <f>SUMIFS(CaseCells!F2:F999,CaseCells!C2:C999, C325,CaseCells!D2:D999, D325,CaseCells!E2:E999, "B")</f>
        <v>44</v>
      </c>
      <c r="M325" s="5">
        <f>SUMIFS(CaseCells!G2:G999,CaseCells!C2:C999, C325,CaseCells!D2:D999, D325,CaseCells!E2:E999, "B")</f>
        <v>1000</v>
      </c>
      <c r="N325" s="3">
        <f>IF(M325 = 0, "", L325 / M325)</f>
        <v>0.044</v>
      </c>
      <c r="O325" s="3" t="str">
        <f>IF(K325 &gt; N325, "A", "B")</f>
        <v>B</v>
      </c>
      <c r="P325" s="5">
        <f>SUMIFS(CaseCells!G2:G999,CaseCells!C2:C999, C325)</f>
        <v>12500</v>
      </c>
      <c r="Q325" s="5">
        <f>SUMIFS(CaseCells!G2:G999,CaseCells!C2:C999, C325,CaseCells!D2:D999, D325)</f>
        <v>10000</v>
      </c>
      <c r="R325" s="3">
        <f>IF(P325 = 0, "", Q325 / P325)</f>
        <v>0.8</v>
      </c>
      <c r="S325" s="3">
        <f>IF(R325 = "", "", R325 * H325)</f>
        <v>0.0352</v>
      </c>
      <c r="T325" s="5">
        <f>SUMIFS(CaseCells!G2:G999,CaseCells!C2:C999, C325,CaseCells!D2:D999, D325,CaseCells!E2:E999, "A")</f>
        <v>9000</v>
      </c>
      <c r="U325" s="5">
        <f>SUMIFS(CaseCells!G2:G999,CaseCells!C2:C999, C325,CaseCells!D2:D999, D325,CaseCells!E2:E999, "B")</f>
        <v>1000</v>
      </c>
      <c r="V325" s="5">
        <f>SUMIFS(CaseCells!G2:G999,CaseCells!C2:C999, C325,CaseCells!E2:E999, "A")</f>
        <v>11000</v>
      </c>
      <c r="W325" s="5">
        <f>SUMIFS(CaseCells!G2:G999,CaseCells!C2:C999, C325,CaseCells!E2:E999, "B")</f>
        <v>1500</v>
      </c>
      <c r="X325" s="3">
        <f>IF(V325 = 0, "", T325 / V325)</f>
        <v>0.8181818181818182</v>
      </c>
      <c r="Y325" s="3">
        <f>IF(W325 = 0, "", U325 / W325)</f>
        <v>0.6666666666666666</v>
      </c>
      <c r="Z325" s="3">
        <f>IF(X325 = "", "", X325 - Y325)</f>
        <v>0.1515151515151516</v>
      </c>
      <c r="AA325" s="3">
        <f>IF(K325 = "", "", K325 - N325)</f>
        <v>-0.032888888888888884</v>
      </c>
      <c r="AB325" s="3">
        <f>IF(AA325 = "", "", AA325 * R325)</f>
        <v>-0.026311111111111108</v>
      </c>
    </row>
    <row r="326">
      <c r="A326" s="2" t="s">
        <v>2103</v>
      </c>
      <c r="B326" s="3" t="str">
        <f>A326</f>
        <v>measles-outbreak-vaccinated-lower-coverage-setting-A</v>
      </c>
      <c r="C326" s="2" t="s">
        <v>683</v>
      </c>
      <c r="D326" s="2" t="s">
        <v>1623</v>
      </c>
      <c r="E326" s="2" t="s">
        <v>792</v>
      </c>
      <c r="F326" s="5">
        <f>SUMIFS(CaseCells!F2:F999,CaseCells!C2:C999, C326,CaseCells!D2:D999, D326,CaseCells!E2:E999, E326)</f>
        <v>15</v>
      </c>
      <c r="G326" s="5">
        <f>SUMIFS(CaseCells!G2:G999,CaseCells!C2:C999, C326,CaseCells!D2:D999, D326,CaseCells!E2:E999, E326)</f>
        <v>2000</v>
      </c>
      <c r="H326" s="3">
        <f>IF(G326 = 0, "", F326 / G326)</f>
        <v>0.0075</v>
      </c>
      <c r="I326" s="5">
        <f>SUMIFS(CaseCells!F2:F999,CaseCells!C2:C999, C326,CaseCells!D2:D999, D326,CaseCells!E2:E999, "A")</f>
        <v>15</v>
      </c>
      <c r="J326" s="5">
        <f>SUMIFS(CaseCells!G2:G999,CaseCells!C2:C999, C326,CaseCells!D2:D999, D326,CaseCells!E2:E999, "A")</f>
        <v>2000</v>
      </c>
      <c r="K326" s="3">
        <f>IF(J326 = 0, "", I326 / J326)</f>
        <v>0.0075</v>
      </c>
      <c r="L326" s="5">
        <f>SUMIFS(CaseCells!F2:F999,CaseCells!C2:C999, C326,CaseCells!D2:D999, D326,CaseCells!E2:E999, "B")</f>
        <v>35</v>
      </c>
      <c r="M326" s="5">
        <f>SUMIFS(CaseCells!G2:G999,CaseCells!C2:C999, C326,CaseCells!D2:D999, D326,CaseCells!E2:E999, "B")</f>
        <v>500</v>
      </c>
      <c r="N326" s="3">
        <f>IF(M326 = 0, "", L326 / M326)</f>
        <v>0.07</v>
      </c>
      <c r="O326" s="3" t="str">
        <f>IF(K326 &gt; N326, "A", "B")</f>
        <v>B</v>
      </c>
      <c r="P326" s="5">
        <f>SUMIFS(CaseCells!G2:G999,CaseCells!C2:C999, C326)</f>
        <v>12500</v>
      </c>
      <c r="Q326" s="5">
        <f>SUMIFS(CaseCells!G2:G999,CaseCells!C2:C999, C326,CaseCells!D2:D999, D326)</f>
        <v>2500</v>
      </c>
      <c r="R326" s="3">
        <f>IF(P326 = 0, "", Q326 / P326)</f>
        <v>0.2</v>
      </c>
      <c r="S326" s="3">
        <f>IF(R326 = "", "", R326 * H326)</f>
        <v>0.0015</v>
      </c>
      <c r="T326" s="5">
        <f>SUMIFS(CaseCells!G2:G999,CaseCells!C2:C999, C326,CaseCells!D2:D999, D326,CaseCells!E2:E999, "A")</f>
        <v>2000</v>
      </c>
      <c r="U326" s="5">
        <f>SUMIFS(CaseCells!G2:G999,CaseCells!C2:C999, C326,CaseCells!D2:D999, D326,CaseCells!E2:E999, "B")</f>
        <v>500</v>
      </c>
      <c r="V326" s="5">
        <f>SUMIFS(CaseCells!G2:G999,CaseCells!C2:C999, C326,CaseCells!E2:E999, "A")</f>
        <v>11000</v>
      </c>
      <c r="W326" s="5">
        <f>SUMIFS(CaseCells!G2:G999,CaseCells!C2:C999, C326,CaseCells!E2:E999, "B")</f>
        <v>1500</v>
      </c>
      <c r="X326" s="3">
        <f>IF(V326 = 0, "", T326 / V326)</f>
        <v>0.18181818181818182</v>
      </c>
      <c r="Y326" s="3">
        <f>IF(W326 = 0, "", U326 / W326)</f>
        <v>0.3333333333333333</v>
      </c>
      <c r="Z326" s="3">
        <f>IF(X326 = "", "", X326 - Y326)</f>
        <v>-0.1515151515151515</v>
      </c>
      <c r="AA326" s="3">
        <f>IF(K326 = "", "", K326 - N326)</f>
        <v>-0.0625</v>
      </c>
      <c r="AB326" s="3">
        <f>IF(AA326 = "", "", AA326 * R326)</f>
        <v>-0.0125</v>
      </c>
    </row>
    <row r="327">
      <c r="A327" s="2" t="s">
        <v>2104</v>
      </c>
      <c r="B327" s="3" t="str">
        <f>A327</f>
        <v>measles-outbreak-vaccinated-lower-coverage-setting-B</v>
      </c>
      <c r="C327" s="2" t="s">
        <v>683</v>
      </c>
      <c r="D327" s="2" t="s">
        <v>1623</v>
      </c>
      <c r="E327" s="2" t="s">
        <v>795</v>
      </c>
      <c r="F327" s="5">
        <f>SUMIFS(CaseCells!F2:F999,CaseCells!C2:C999, C327,CaseCells!D2:D999, D327,CaseCells!E2:E999, E327)</f>
        <v>35</v>
      </c>
      <c r="G327" s="5">
        <f>SUMIFS(CaseCells!G2:G999,CaseCells!C2:C999, C327,CaseCells!D2:D999, D327,CaseCells!E2:E999, E327)</f>
        <v>500</v>
      </c>
      <c r="H327" s="3">
        <f>IF(G327 = 0, "", F327 / G327)</f>
        <v>0.07</v>
      </c>
      <c r="I327" s="5">
        <f>SUMIFS(CaseCells!F2:F999,CaseCells!C2:C999, C327,CaseCells!D2:D999, D327,CaseCells!E2:E999, "A")</f>
        <v>15</v>
      </c>
      <c r="J327" s="5">
        <f>SUMIFS(CaseCells!G2:G999,CaseCells!C2:C999, C327,CaseCells!D2:D999, D327,CaseCells!E2:E999, "A")</f>
        <v>2000</v>
      </c>
      <c r="K327" s="3">
        <f>IF(J327 = 0, "", I327 / J327)</f>
        <v>0.0075</v>
      </c>
      <c r="L327" s="5">
        <f>SUMIFS(CaseCells!F2:F999,CaseCells!C2:C999, C327,CaseCells!D2:D999, D327,CaseCells!E2:E999, "B")</f>
        <v>35</v>
      </c>
      <c r="M327" s="5">
        <f>SUMIFS(CaseCells!G2:G999,CaseCells!C2:C999, C327,CaseCells!D2:D999, D327,CaseCells!E2:E999, "B")</f>
        <v>500</v>
      </c>
      <c r="N327" s="3">
        <f>IF(M327 = 0, "", L327 / M327)</f>
        <v>0.07</v>
      </c>
      <c r="O327" s="3" t="str">
        <f>IF(K327 &gt; N327, "A", "B")</f>
        <v>B</v>
      </c>
      <c r="P327" s="5">
        <f>SUMIFS(CaseCells!G2:G999,CaseCells!C2:C999, C327)</f>
        <v>12500</v>
      </c>
      <c r="Q327" s="5">
        <f>SUMIFS(CaseCells!G2:G999,CaseCells!C2:C999, C327,CaseCells!D2:D999, D327)</f>
        <v>2500</v>
      </c>
      <c r="R327" s="3">
        <f>IF(P327 = 0, "", Q327 / P327)</f>
        <v>0.2</v>
      </c>
      <c r="S327" s="3">
        <f>IF(R327 = "", "", R327 * H327)</f>
        <v>0.014000000000000002</v>
      </c>
      <c r="T327" s="5">
        <f>SUMIFS(CaseCells!G2:G999,CaseCells!C2:C999, C327,CaseCells!D2:D999, D327,CaseCells!E2:E999, "A")</f>
        <v>2000</v>
      </c>
      <c r="U327" s="5">
        <f>SUMIFS(CaseCells!G2:G999,CaseCells!C2:C999, C327,CaseCells!D2:D999, D327,CaseCells!E2:E999, "B")</f>
        <v>500</v>
      </c>
      <c r="V327" s="5">
        <f>SUMIFS(CaseCells!G2:G999,CaseCells!C2:C999, C327,CaseCells!E2:E999, "A")</f>
        <v>11000</v>
      </c>
      <c r="W327" s="5">
        <f>SUMIFS(CaseCells!G2:G999,CaseCells!C2:C999, C327,CaseCells!E2:E999, "B")</f>
        <v>1500</v>
      </c>
      <c r="X327" s="3">
        <f>IF(V327 = 0, "", T327 / V327)</f>
        <v>0.18181818181818182</v>
      </c>
      <c r="Y327" s="3">
        <f>IF(W327 = 0, "", U327 / W327)</f>
        <v>0.3333333333333333</v>
      </c>
      <c r="Z327" s="3">
        <f>IF(X327 = "", "", X327 - Y327)</f>
        <v>-0.1515151515151515</v>
      </c>
      <c r="AA327" s="3">
        <f>IF(K327 = "", "", K327 - N327)</f>
        <v>-0.0625</v>
      </c>
      <c r="AB327" s="3">
        <f>IF(AA327 = "", "", AA327 * R327)</f>
        <v>-0.0125</v>
      </c>
    </row>
    <row r="328">
      <c r="A328" s="2" t="s">
        <v>2105</v>
      </c>
      <c r="B328" s="3" t="str">
        <f>A328</f>
        <v>air-pollution-mortality-city-younger-population-city-A</v>
      </c>
      <c r="C328" s="2" t="s">
        <v>687</v>
      </c>
      <c r="D328" s="2" t="s">
        <v>1626</v>
      </c>
      <c r="E328" s="2" t="s">
        <v>792</v>
      </c>
      <c r="F328" s="5">
        <f>SUMIFS(CaseCells!F2:F999,CaseCells!C2:C999, C328,CaseCells!D2:D999, D328,CaseCells!E2:E999, E328)</f>
        <v>980</v>
      </c>
      <c r="G328" s="5">
        <f>SUMIFS(CaseCells!G2:G999,CaseCells!C2:C999, C328,CaseCells!D2:D999, D328,CaseCells!E2:E999, E328)</f>
        <v>1000</v>
      </c>
      <c r="H328" s="3">
        <f>IF(G328 = 0, "", F328 / G328)</f>
        <v>0.98</v>
      </c>
      <c r="I328" s="5">
        <f>SUMIFS(CaseCells!F2:F999,CaseCells!C2:C999, C328,CaseCells!D2:D999, D328,CaseCells!E2:E999, "A")</f>
        <v>980</v>
      </c>
      <c r="J328" s="5">
        <f>SUMIFS(CaseCells!G2:G999,CaseCells!C2:C999, C328,CaseCells!D2:D999, D328,CaseCells!E2:E999, "A")</f>
        <v>1000</v>
      </c>
      <c r="K328" s="3">
        <f>IF(J328 = 0, "", I328 / J328)</f>
        <v>0.98</v>
      </c>
      <c r="L328" s="5">
        <f>SUMIFS(CaseCells!F2:F999,CaseCells!C2:C999, C328,CaseCells!D2:D999, D328,CaseCells!E2:E999, "B")</f>
        <v>985</v>
      </c>
      <c r="M328" s="5">
        <f>SUMIFS(CaseCells!G2:G999,CaseCells!C2:C999, C328,CaseCells!D2:D999, D328,CaseCells!E2:E999, "B")</f>
        <v>1000</v>
      </c>
      <c r="N328" s="3">
        <f>IF(M328 = 0, "", L328 / M328)</f>
        <v>0.985</v>
      </c>
      <c r="O328" s="3" t="str">
        <f>IF(K328 &gt; N328, "A", "B")</f>
        <v>B</v>
      </c>
      <c r="P328" s="5">
        <f>SUMIFS(CaseCells!G2:G999,CaseCells!C2:C999, C328)</f>
        <v>4000</v>
      </c>
      <c r="Q328" s="5">
        <f>SUMIFS(CaseCells!G2:G999,CaseCells!C2:C999, C328,CaseCells!D2:D999, D328)</f>
        <v>2000</v>
      </c>
      <c r="R328" s="3">
        <f>IF(P328 = 0, "", Q328 / P328)</f>
        <v>0.5</v>
      </c>
      <c r="S328" s="3">
        <f>IF(R328 = "", "", R328 * H328)</f>
        <v>0.49</v>
      </c>
      <c r="T328" s="5">
        <f>SUMIFS(CaseCells!G2:G999,CaseCells!C2:C999, C328,CaseCells!D2:D999, D328,CaseCells!E2:E999, "A")</f>
        <v>1000</v>
      </c>
      <c r="U328" s="5">
        <f>SUMIFS(CaseCells!G2:G999,CaseCells!C2:C999, C328,CaseCells!D2:D999, D328,CaseCells!E2:E999, "B")</f>
        <v>1000</v>
      </c>
      <c r="V328" s="5">
        <f>SUMIFS(CaseCells!G2:G999,CaseCells!C2:C999, C328,CaseCells!E2:E999, "A")</f>
        <v>2000</v>
      </c>
      <c r="W328" s="5">
        <f>SUMIFS(CaseCells!G2:G999,CaseCells!C2:C999, C328,CaseCells!E2:E999, "B")</f>
        <v>2000</v>
      </c>
      <c r="X328" s="3">
        <f>IF(V328 = 0, "", T328 / V328)</f>
        <v>0.5</v>
      </c>
      <c r="Y328" s="3">
        <f>IF(W328 = 0, "", U328 / W328)</f>
        <v>0.5</v>
      </c>
      <c r="Z328" s="3">
        <f>IF(X328 = "", "", X328 - Y328)</f>
        <v>0</v>
      </c>
      <c r="AA328" s="3">
        <f>IF(K328 = "", "", K328 - N328)</f>
        <v>-0.0050000000000000044</v>
      </c>
      <c r="AB328" s="3">
        <f>IF(AA328 = "", "", AA328 * R328)</f>
        <v>-0.0025000000000000022</v>
      </c>
    </row>
    <row r="329">
      <c r="A329" s="2" t="s">
        <v>2106</v>
      </c>
      <c r="B329" s="3" t="str">
        <f>A329</f>
        <v>air-pollution-mortality-city-younger-population-city-B</v>
      </c>
      <c r="C329" s="2" t="s">
        <v>687</v>
      </c>
      <c r="D329" s="2" t="s">
        <v>1626</v>
      </c>
      <c r="E329" s="2" t="s">
        <v>795</v>
      </c>
      <c r="F329" s="5">
        <f>SUMIFS(CaseCells!F2:F999,CaseCells!C2:C999, C329,CaseCells!D2:D999, D329,CaseCells!E2:E999, E329)</f>
        <v>985</v>
      </c>
      <c r="G329" s="5">
        <f>SUMIFS(CaseCells!G2:G999,CaseCells!C2:C999, C329,CaseCells!D2:D999, D329,CaseCells!E2:E999, E329)</f>
        <v>1000</v>
      </c>
      <c r="H329" s="3">
        <f>IF(G329 = 0, "", F329 / G329)</f>
        <v>0.985</v>
      </c>
      <c r="I329" s="5">
        <f>SUMIFS(CaseCells!F2:F999,CaseCells!C2:C999, C329,CaseCells!D2:D999, D329,CaseCells!E2:E999, "A")</f>
        <v>980</v>
      </c>
      <c r="J329" s="5">
        <f>SUMIFS(CaseCells!G2:G999,CaseCells!C2:C999, C329,CaseCells!D2:D999, D329,CaseCells!E2:E999, "A")</f>
        <v>1000</v>
      </c>
      <c r="K329" s="3">
        <f>IF(J329 = 0, "", I329 / J329)</f>
        <v>0.98</v>
      </c>
      <c r="L329" s="5">
        <f>SUMIFS(CaseCells!F2:F999,CaseCells!C2:C999, C329,CaseCells!D2:D999, D329,CaseCells!E2:E999, "B")</f>
        <v>985</v>
      </c>
      <c r="M329" s="5">
        <f>SUMIFS(CaseCells!G2:G999,CaseCells!C2:C999, C329,CaseCells!D2:D999, D329,CaseCells!E2:E999, "B")</f>
        <v>1000</v>
      </c>
      <c r="N329" s="3">
        <f>IF(M329 = 0, "", L329 / M329)</f>
        <v>0.985</v>
      </c>
      <c r="O329" s="3" t="str">
        <f>IF(K329 &gt; N329, "A", "B")</f>
        <v>B</v>
      </c>
      <c r="P329" s="5">
        <f>SUMIFS(CaseCells!G2:G999,CaseCells!C2:C999, C329)</f>
        <v>4000</v>
      </c>
      <c r="Q329" s="5">
        <f>SUMIFS(CaseCells!G2:G999,CaseCells!C2:C999, C329,CaseCells!D2:D999, D329)</f>
        <v>2000</v>
      </c>
      <c r="R329" s="3">
        <f>IF(P329 = 0, "", Q329 / P329)</f>
        <v>0.5</v>
      </c>
      <c r="S329" s="3">
        <f>IF(R329 = "", "", R329 * H329)</f>
        <v>0.4925</v>
      </c>
      <c r="T329" s="5">
        <f>SUMIFS(CaseCells!G2:G999,CaseCells!C2:C999, C329,CaseCells!D2:D999, D329,CaseCells!E2:E999, "A")</f>
        <v>1000</v>
      </c>
      <c r="U329" s="5">
        <f>SUMIFS(CaseCells!G2:G999,CaseCells!C2:C999, C329,CaseCells!D2:D999, D329,CaseCells!E2:E999, "B")</f>
        <v>1000</v>
      </c>
      <c r="V329" s="5">
        <f>SUMIFS(CaseCells!G2:G999,CaseCells!C2:C999, C329,CaseCells!E2:E999, "A")</f>
        <v>2000</v>
      </c>
      <c r="W329" s="5">
        <f>SUMIFS(CaseCells!G2:G999,CaseCells!C2:C999, C329,CaseCells!E2:E999, "B")</f>
        <v>2000</v>
      </c>
      <c r="X329" s="3">
        <f>IF(V329 = 0, "", T329 / V329)</f>
        <v>0.5</v>
      </c>
      <c r="Y329" s="3">
        <f>IF(W329 = 0, "", U329 / W329)</f>
        <v>0.5</v>
      </c>
      <c r="Z329" s="3">
        <f>IF(X329 = "", "", X329 - Y329)</f>
        <v>0</v>
      </c>
      <c r="AA329" s="3">
        <f>IF(K329 = "", "", K329 - N329)</f>
        <v>-0.0050000000000000044</v>
      </c>
      <c r="AB329" s="3">
        <f>IF(AA329 = "", "", AA329 * R329)</f>
        <v>-0.0025000000000000022</v>
      </c>
    </row>
    <row r="330">
      <c r="A330" s="2" t="s">
        <v>2107</v>
      </c>
      <c r="B330" s="3" t="str">
        <f>A330</f>
        <v>air-pollution-mortality-city-older-population-city-A</v>
      </c>
      <c r="C330" s="2" t="s">
        <v>687</v>
      </c>
      <c r="D330" s="2" t="s">
        <v>1629</v>
      </c>
      <c r="E330" s="2" t="s">
        <v>792</v>
      </c>
      <c r="F330" s="5">
        <f>SUMIFS(CaseCells!F2:F999,CaseCells!C2:C999, C330,CaseCells!D2:D999, D330,CaseCells!E2:E999, E330)</f>
        <v>920</v>
      </c>
      <c r="G330" s="5">
        <f>SUMIFS(CaseCells!G2:G999,CaseCells!C2:C999, C330,CaseCells!D2:D999, D330,CaseCells!E2:E999, E330)</f>
        <v>1000</v>
      </c>
      <c r="H330" s="3">
        <f>IF(G330 = 0, "", F330 / G330)</f>
        <v>0.92</v>
      </c>
      <c r="I330" s="5">
        <f>SUMIFS(CaseCells!F2:F999,CaseCells!C2:C999, C330,CaseCells!D2:D999, D330,CaseCells!E2:E999, "A")</f>
        <v>920</v>
      </c>
      <c r="J330" s="5">
        <f>SUMIFS(CaseCells!G2:G999,CaseCells!C2:C999, C330,CaseCells!D2:D999, D330,CaseCells!E2:E999, "A")</f>
        <v>1000</v>
      </c>
      <c r="K330" s="3">
        <f>IF(J330 = 0, "", I330 / J330)</f>
        <v>0.92</v>
      </c>
      <c r="L330" s="5">
        <f>SUMIFS(CaseCells!F2:F999,CaseCells!C2:C999, C330,CaseCells!D2:D999, D330,CaseCells!E2:E999, "B")</f>
        <v>940</v>
      </c>
      <c r="M330" s="5">
        <f>SUMIFS(CaseCells!G2:G999,CaseCells!C2:C999, C330,CaseCells!D2:D999, D330,CaseCells!E2:E999, "B")</f>
        <v>1000</v>
      </c>
      <c r="N330" s="3">
        <f>IF(M330 = 0, "", L330 / M330)</f>
        <v>0.94</v>
      </c>
      <c r="O330" s="3" t="str">
        <f>IF(K330 &gt; N330, "A", "B")</f>
        <v>B</v>
      </c>
      <c r="P330" s="5">
        <f>SUMIFS(CaseCells!G2:G999,CaseCells!C2:C999, C330)</f>
        <v>4000</v>
      </c>
      <c r="Q330" s="5">
        <f>SUMIFS(CaseCells!G2:G999,CaseCells!C2:C999, C330,CaseCells!D2:D999, D330)</f>
        <v>2000</v>
      </c>
      <c r="R330" s="3">
        <f>IF(P330 = 0, "", Q330 / P330)</f>
        <v>0.5</v>
      </c>
      <c r="S330" s="3">
        <f>IF(R330 = "", "", R330 * H330)</f>
        <v>0.46</v>
      </c>
      <c r="T330" s="5">
        <f>SUMIFS(CaseCells!G2:G999,CaseCells!C2:C999, C330,CaseCells!D2:D999, D330,CaseCells!E2:E999, "A")</f>
        <v>1000</v>
      </c>
      <c r="U330" s="5">
        <f>SUMIFS(CaseCells!G2:G999,CaseCells!C2:C999, C330,CaseCells!D2:D999, D330,CaseCells!E2:E999, "B")</f>
        <v>1000</v>
      </c>
      <c r="V330" s="5">
        <f>SUMIFS(CaseCells!G2:G999,CaseCells!C2:C999, C330,CaseCells!E2:E999, "A")</f>
        <v>2000</v>
      </c>
      <c r="W330" s="5">
        <f>SUMIFS(CaseCells!G2:G999,CaseCells!C2:C999, C330,CaseCells!E2:E999, "B")</f>
        <v>2000</v>
      </c>
      <c r="X330" s="3">
        <f>IF(V330 = 0, "", T330 / V330)</f>
        <v>0.5</v>
      </c>
      <c r="Y330" s="3">
        <f>IF(W330 = 0, "", U330 / W330)</f>
        <v>0.5</v>
      </c>
      <c r="Z330" s="3">
        <f>IF(X330 = "", "", X330 - Y330)</f>
        <v>0</v>
      </c>
      <c r="AA330" s="3">
        <f>IF(K330 = "", "", K330 - N330)</f>
        <v>-0.019999999999999907</v>
      </c>
      <c r="AB330" s="3">
        <f>IF(AA330 = "", "", AA330 * R330)</f>
        <v>-0.009999999999999953</v>
      </c>
    </row>
    <row r="331">
      <c r="A331" s="2" t="s">
        <v>2108</v>
      </c>
      <c r="B331" s="3" t="str">
        <f>A331</f>
        <v>air-pollution-mortality-city-older-population-city-B</v>
      </c>
      <c r="C331" s="2" t="s">
        <v>687</v>
      </c>
      <c r="D331" s="2" t="s">
        <v>1629</v>
      </c>
      <c r="E331" s="2" t="s">
        <v>795</v>
      </c>
      <c r="F331" s="5">
        <f>SUMIFS(CaseCells!F2:F999,CaseCells!C2:C999, C331,CaseCells!D2:D999, D331,CaseCells!E2:E999, E331)</f>
        <v>940</v>
      </c>
      <c r="G331" s="5">
        <f>SUMIFS(CaseCells!G2:G999,CaseCells!C2:C999, C331,CaseCells!D2:D999, D331,CaseCells!E2:E999, E331)</f>
        <v>1000</v>
      </c>
      <c r="H331" s="3">
        <f>IF(G331 = 0, "", F331 / G331)</f>
        <v>0.94</v>
      </c>
      <c r="I331" s="5">
        <f>SUMIFS(CaseCells!F2:F999,CaseCells!C2:C999, C331,CaseCells!D2:D999, D331,CaseCells!E2:E999, "A")</f>
        <v>920</v>
      </c>
      <c r="J331" s="5">
        <f>SUMIFS(CaseCells!G2:G999,CaseCells!C2:C999, C331,CaseCells!D2:D999, D331,CaseCells!E2:E999, "A")</f>
        <v>1000</v>
      </c>
      <c r="K331" s="3">
        <f>IF(J331 = 0, "", I331 / J331)</f>
        <v>0.92</v>
      </c>
      <c r="L331" s="5">
        <f>SUMIFS(CaseCells!F2:F999,CaseCells!C2:C999, C331,CaseCells!D2:D999, D331,CaseCells!E2:E999, "B")</f>
        <v>940</v>
      </c>
      <c r="M331" s="5">
        <f>SUMIFS(CaseCells!G2:G999,CaseCells!C2:C999, C331,CaseCells!D2:D999, D331,CaseCells!E2:E999, "B")</f>
        <v>1000</v>
      </c>
      <c r="N331" s="3">
        <f>IF(M331 = 0, "", L331 / M331)</f>
        <v>0.94</v>
      </c>
      <c r="O331" s="3" t="str">
        <f>IF(K331 &gt; N331, "A", "B")</f>
        <v>B</v>
      </c>
      <c r="P331" s="5">
        <f>SUMIFS(CaseCells!G2:G999,CaseCells!C2:C999, C331)</f>
        <v>4000</v>
      </c>
      <c r="Q331" s="5">
        <f>SUMIFS(CaseCells!G2:G999,CaseCells!C2:C999, C331,CaseCells!D2:D999, D331)</f>
        <v>2000</v>
      </c>
      <c r="R331" s="3">
        <f>IF(P331 = 0, "", Q331 / P331)</f>
        <v>0.5</v>
      </c>
      <c r="S331" s="3">
        <f>IF(R331 = "", "", R331 * H331)</f>
        <v>0.47</v>
      </c>
      <c r="T331" s="5">
        <f>SUMIFS(CaseCells!G2:G999,CaseCells!C2:C999, C331,CaseCells!D2:D999, D331,CaseCells!E2:E999, "A")</f>
        <v>1000</v>
      </c>
      <c r="U331" s="5">
        <f>SUMIFS(CaseCells!G2:G999,CaseCells!C2:C999, C331,CaseCells!D2:D999, D331,CaseCells!E2:E999, "B")</f>
        <v>1000</v>
      </c>
      <c r="V331" s="5">
        <f>SUMIFS(CaseCells!G2:G999,CaseCells!C2:C999, C331,CaseCells!E2:E999, "A")</f>
        <v>2000</v>
      </c>
      <c r="W331" s="5">
        <f>SUMIFS(CaseCells!G2:G999,CaseCells!C2:C999, C331,CaseCells!E2:E999, "B")</f>
        <v>2000</v>
      </c>
      <c r="X331" s="3">
        <f>IF(V331 = 0, "", T331 / V331)</f>
        <v>0.5</v>
      </c>
      <c r="Y331" s="3">
        <f>IF(W331 = 0, "", U331 / W331)</f>
        <v>0.5</v>
      </c>
      <c r="Z331" s="3">
        <f>IF(X331 = "", "", X331 - Y331)</f>
        <v>0</v>
      </c>
      <c r="AA331" s="3">
        <f>IF(K331 = "", "", K331 - N331)</f>
        <v>-0.019999999999999907</v>
      </c>
      <c r="AB331" s="3">
        <f>IF(AA331 = "", "", AA331 * R331)</f>
        <v>-0.009999999999999953</v>
      </c>
    </row>
    <row r="332">
      <c r="A332" s="2" t="s">
        <v>2109</v>
      </c>
      <c r="B332" s="3" t="str">
        <f>A332</f>
        <v>tb-treatment-resistance-drug-sensitive-A</v>
      </c>
      <c r="C332" s="2" t="s">
        <v>691</v>
      </c>
      <c r="D332" s="2" t="s">
        <v>1632</v>
      </c>
      <c r="E332" s="2" t="s">
        <v>792</v>
      </c>
      <c r="F332" s="5">
        <f>SUMIFS(CaseCells!F2:F999,CaseCells!C2:C999, C332,CaseCells!D2:D999, D332,CaseCells!E2:E999, E332)</f>
        <v>920</v>
      </c>
      <c r="G332" s="5">
        <f>SUMIFS(CaseCells!G2:G999,CaseCells!C2:C999, C332,CaseCells!D2:D999, D332,CaseCells!E2:E999, E332)</f>
        <v>1000</v>
      </c>
      <c r="H332" s="3">
        <f>IF(G332 = 0, "", F332 / G332)</f>
        <v>0.92</v>
      </c>
      <c r="I332" s="5">
        <f>SUMIFS(CaseCells!F2:F999,CaseCells!C2:C999, C332,CaseCells!D2:D999, D332,CaseCells!E2:E999, "A")</f>
        <v>920</v>
      </c>
      <c r="J332" s="5">
        <f>SUMIFS(CaseCells!G2:G999,CaseCells!C2:C999, C332,CaseCells!D2:D999, D332,CaseCells!E2:E999, "A")</f>
        <v>1000</v>
      </c>
      <c r="K332" s="3">
        <f>IF(J332 = 0, "", I332 / J332)</f>
        <v>0.92</v>
      </c>
      <c r="L332" s="5">
        <f>SUMIFS(CaseCells!F2:F999,CaseCells!C2:C999, C332,CaseCells!D2:D999, D332,CaseCells!E2:E999, "B")</f>
        <v>910</v>
      </c>
      <c r="M332" s="5">
        <f>SUMIFS(CaseCells!G2:G999,CaseCells!C2:C999, C332,CaseCells!D2:D999, D332,CaseCells!E2:E999, "B")</f>
        <v>1000</v>
      </c>
      <c r="N332" s="3">
        <f>IF(M332 = 0, "", L332 / M332)</f>
        <v>0.91</v>
      </c>
      <c r="O332" s="3" t="str">
        <f>IF(K332 &gt; N332, "A", "B")</f>
        <v>A</v>
      </c>
      <c r="P332" s="5">
        <f>SUMIFS(CaseCells!G2:G999,CaseCells!C2:C999, C332)</f>
        <v>4000</v>
      </c>
      <c r="Q332" s="5">
        <f>SUMIFS(CaseCells!G2:G999,CaseCells!C2:C999, C332,CaseCells!D2:D999, D332)</f>
        <v>2000</v>
      </c>
      <c r="R332" s="3">
        <f>IF(P332 = 0, "", Q332 / P332)</f>
        <v>0.5</v>
      </c>
      <c r="S332" s="3">
        <f>IF(R332 = "", "", R332 * H332)</f>
        <v>0.46</v>
      </c>
      <c r="T332" s="5">
        <f>SUMIFS(CaseCells!G2:G999,CaseCells!C2:C999, C332,CaseCells!D2:D999, D332,CaseCells!E2:E999, "A")</f>
        <v>1000</v>
      </c>
      <c r="U332" s="5">
        <f>SUMIFS(CaseCells!G2:G999,CaseCells!C2:C999, C332,CaseCells!D2:D999, D332,CaseCells!E2:E999, "B")</f>
        <v>1000</v>
      </c>
      <c r="V332" s="5">
        <f>SUMIFS(CaseCells!G2:G999,CaseCells!C2:C999, C332,CaseCells!E2:E999, "A")</f>
        <v>2000</v>
      </c>
      <c r="W332" s="5">
        <f>SUMIFS(CaseCells!G2:G999,CaseCells!C2:C999, C332,CaseCells!E2:E999, "B")</f>
        <v>2000</v>
      </c>
      <c r="X332" s="3">
        <f>IF(V332 = 0, "", T332 / V332)</f>
        <v>0.5</v>
      </c>
      <c r="Y332" s="3">
        <f>IF(W332 = 0, "", U332 / W332)</f>
        <v>0.5</v>
      </c>
      <c r="Z332" s="3">
        <f>IF(X332 = "", "", X332 - Y332)</f>
        <v>0</v>
      </c>
      <c r="AA332" s="3">
        <f>IF(K332 = "", "", K332 - N332)</f>
        <v>0.010000000000000009</v>
      </c>
      <c r="AB332" s="3">
        <f>IF(AA332 = "", "", AA332 * R332)</f>
        <v>0.0050000000000000044</v>
      </c>
    </row>
    <row r="333">
      <c r="A333" s="2" t="s">
        <v>2110</v>
      </c>
      <c r="B333" s="3" t="str">
        <f>A333</f>
        <v>tb-treatment-resistance-drug-sensitive-B</v>
      </c>
      <c r="C333" s="2" t="s">
        <v>691</v>
      </c>
      <c r="D333" s="2" t="s">
        <v>1632</v>
      </c>
      <c r="E333" s="2" t="s">
        <v>795</v>
      </c>
      <c r="F333" s="5">
        <f>SUMIFS(CaseCells!F2:F999,CaseCells!C2:C999, C333,CaseCells!D2:D999, D333,CaseCells!E2:E999, E333)</f>
        <v>910</v>
      </c>
      <c r="G333" s="5">
        <f>SUMIFS(CaseCells!G2:G999,CaseCells!C2:C999, C333,CaseCells!D2:D999, D333,CaseCells!E2:E999, E333)</f>
        <v>1000</v>
      </c>
      <c r="H333" s="3">
        <f>IF(G333 = 0, "", F333 / G333)</f>
        <v>0.91</v>
      </c>
      <c r="I333" s="5">
        <f>SUMIFS(CaseCells!F2:F999,CaseCells!C2:C999, C333,CaseCells!D2:D999, D333,CaseCells!E2:E999, "A")</f>
        <v>920</v>
      </c>
      <c r="J333" s="5">
        <f>SUMIFS(CaseCells!G2:G999,CaseCells!C2:C999, C333,CaseCells!D2:D999, D333,CaseCells!E2:E999, "A")</f>
        <v>1000</v>
      </c>
      <c r="K333" s="3">
        <f>IF(J333 = 0, "", I333 / J333)</f>
        <v>0.92</v>
      </c>
      <c r="L333" s="5">
        <f>SUMIFS(CaseCells!F2:F999,CaseCells!C2:C999, C333,CaseCells!D2:D999, D333,CaseCells!E2:E999, "B")</f>
        <v>910</v>
      </c>
      <c r="M333" s="5">
        <f>SUMIFS(CaseCells!G2:G999,CaseCells!C2:C999, C333,CaseCells!D2:D999, D333,CaseCells!E2:E999, "B")</f>
        <v>1000</v>
      </c>
      <c r="N333" s="3">
        <f>IF(M333 = 0, "", L333 / M333)</f>
        <v>0.91</v>
      </c>
      <c r="O333" s="3" t="str">
        <f>IF(K333 &gt; N333, "A", "B")</f>
        <v>A</v>
      </c>
      <c r="P333" s="5">
        <f>SUMIFS(CaseCells!G2:G999,CaseCells!C2:C999, C333)</f>
        <v>4000</v>
      </c>
      <c r="Q333" s="5">
        <f>SUMIFS(CaseCells!G2:G999,CaseCells!C2:C999, C333,CaseCells!D2:D999, D333)</f>
        <v>2000</v>
      </c>
      <c r="R333" s="3">
        <f>IF(P333 = 0, "", Q333 / P333)</f>
        <v>0.5</v>
      </c>
      <c r="S333" s="3">
        <f>IF(R333 = "", "", R333 * H333)</f>
        <v>0.455</v>
      </c>
      <c r="T333" s="5">
        <f>SUMIFS(CaseCells!G2:G999,CaseCells!C2:C999, C333,CaseCells!D2:D999, D333,CaseCells!E2:E999, "A")</f>
        <v>1000</v>
      </c>
      <c r="U333" s="5">
        <f>SUMIFS(CaseCells!G2:G999,CaseCells!C2:C999, C333,CaseCells!D2:D999, D333,CaseCells!E2:E999, "B")</f>
        <v>1000</v>
      </c>
      <c r="V333" s="5">
        <f>SUMIFS(CaseCells!G2:G999,CaseCells!C2:C999, C333,CaseCells!E2:E999, "A")</f>
        <v>2000</v>
      </c>
      <c r="W333" s="5">
        <f>SUMIFS(CaseCells!G2:G999,CaseCells!C2:C999, C333,CaseCells!E2:E999, "B")</f>
        <v>2000</v>
      </c>
      <c r="X333" s="3">
        <f>IF(V333 = 0, "", T333 / V333)</f>
        <v>0.5</v>
      </c>
      <c r="Y333" s="3">
        <f>IF(W333 = 0, "", U333 / W333)</f>
        <v>0.5</v>
      </c>
      <c r="Z333" s="3">
        <f>IF(X333 = "", "", X333 - Y333)</f>
        <v>0</v>
      </c>
      <c r="AA333" s="3">
        <f>IF(K333 = "", "", K333 - N333)</f>
        <v>0.010000000000000009</v>
      </c>
      <c r="AB333" s="3">
        <f>IF(AA333 = "", "", AA333 * R333)</f>
        <v>0.0050000000000000044</v>
      </c>
    </row>
    <row r="334">
      <c r="A334" s="2" t="s">
        <v>2111</v>
      </c>
      <c r="B334" s="3" t="str">
        <f>A334</f>
        <v>tb-treatment-resistance-drug-resistant-A</v>
      </c>
      <c r="C334" s="2" t="s">
        <v>691</v>
      </c>
      <c r="D334" s="2" t="s">
        <v>1635</v>
      </c>
      <c r="E334" s="2" t="s">
        <v>792</v>
      </c>
      <c r="F334" s="5">
        <f>SUMIFS(CaseCells!F2:F999,CaseCells!C2:C999, C334,CaseCells!D2:D999, D334,CaseCells!E2:E999, E334)</f>
        <v>650</v>
      </c>
      <c r="G334" s="5">
        <f>SUMIFS(CaseCells!G2:G999,CaseCells!C2:C999, C334,CaseCells!D2:D999, D334,CaseCells!E2:E999, E334)</f>
        <v>1000</v>
      </c>
      <c r="H334" s="3">
        <f>IF(G334 = 0, "", F334 / G334)</f>
        <v>0.65</v>
      </c>
      <c r="I334" s="5">
        <f>SUMIFS(CaseCells!F2:F999,CaseCells!C2:C999, C334,CaseCells!D2:D999, D334,CaseCells!E2:E999, "A")</f>
        <v>650</v>
      </c>
      <c r="J334" s="5">
        <f>SUMIFS(CaseCells!G2:G999,CaseCells!C2:C999, C334,CaseCells!D2:D999, D334,CaseCells!E2:E999, "A")</f>
        <v>1000</v>
      </c>
      <c r="K334" s="3">
        <f>IF(J334 = 0, "", I334 / J334)</f>
        <v>0.65</v>
      </c>
      <c r="L334" s="5">
        <f>SUMIFS(CaseCells!F2:F999,CaseCells!C2:C999, C334,CaseCells!D2:D999, D334,CaseCells!E2:E999, "B")</f>
        <v>720</v>
      </c>
      <c r="M334" s="5">
        <f>SUMIFS(CaseCells!G2:G999,CaseCells!C2:C999, C334,CaseCells!D2:D999, D334,CaseCells!E2:E999, "B")</f>
        <v>1000</v>
      </c>
      <c r="N334" s="3">
        <f>IF(M334 = 0, "", L334 / M334)</f>
        <v>0.72</v>
      </c>
      <c r="O334" s="3" t="str">
        <f>IF(K334 &gt; N334, "A", "B")</f>
        <v>B</v>
      </c>
      <c r="P334" s="5">
        <f>SUMIFS(CaseCells!G2:G999,CaseCells!C2:C999, C334)</f>
        <v>4000</v>
      </c>
      <c r="Q334" s="5">
        <f>SUMIFS(CaseCells!G2:G999,CaseCells!C2:C999, C334,CaseCells!D2:D999, D334)</f>
        <v>2000</v>
      </c>
      <c r="R334" s="3">
        <f>IF(P334 = 0, "", Q334 / P334)</f>
        <v>0.5</v>
      </c>
      <c r="S334" s="3">
        <f>IF(R334 = "", "", R334 * H334)</f>
        <v>0.325</v>
      </c>
      <c r="T334" s="5">
        <f>SUMIFS(CaseCells!G2:G999,CaseCells!C2:C999, C334,CaseCells!D2:D999, D334,CaseCells!E2:E999, "A")</f>
        <v>1000</v>
      </c>
      <c r="U334" s="5">
        <f>SUMIFS(CaseCells!G2:G999,CaseCells!C2:C999, C334,CaseCells!D2:D999, D334,CaseCells!E2:E999, "B")</f>
        <v>1000</v>
      </c>
      <c r="V334" s="5">
        <f>SUMIFS(CaseCells!G2:G999,CaseCells!C2:C999, C334,CaseCells!E2:E999, "A")</f>
        <v>2000</v>
      </c>
      <c r="W334" s="5">
        <f>SUMIFS(CaseCells!G2:G999,CaseCells!C2:C999, C334,CaseCells!E2:E999, "B")</f>
        <v>2000</v>
      </c>
      <c r="X334" s="3">
        <f>IF(V334 = 0, "", T334 / V334)</f>
        <v>0.5</v>
      </c>
      <c r="Y334" s="3">
        <f>IF(W334 = 0, "", U334 / W334)</f>
        <v>0.5</v>
      </c>
      <c r="Z334" s="3">
        <f>IF(X334 = "", "", X334 - Y334)</f>
        <v>0</v>
      </c>
      <c r="AA334" s="3">
        <f>IF(K334 = "", "", K334 - N334)</f>
        <v>-0.06999999999999995</v>
      </c>
      <c r="AB334" s="3">
        <f>IF(AA334 = "", "", AA334 * R334)</f>
        <v>-0.034999999999999976</v>
      </c>
    </row>
    <row r="335">
      <c r="A335" s="2" t="s">
        <v>2112</v>
      </c>
      <c r="B335" s="3" t="str">
        <f>A335</f>
        <v>tb-treatment-resistance-drug-resistant-B</v>
      </c>
      <c r="C335" s="2" t="s">
        <v>691</v>
      </c>
      <c r="D335" s="2" t="s">
        <v>1635</v>
      </c>
      <c r="E335" s="2" t="s">
        <v>795</v>
      </c>
      <c r="F335" s="5">
        <f>SUMIFS(CaseCells!F2:F999,CaseCells!C2:C999, C335,CaseCells!D2:D999, D335,CaseCells!E2:E999, E335)</f>
        <v>720</v>
      </c>
      <c r="G335" s="5">
        <f>SUMIFS(CaseCells!G2:G999,CaseCells!C2:C999, C335,CaseCells!D2:D999, D335,CaseCells!E2:E999, E335)</f>
        <v>1000</v>
      </c>
      <c r="H335" s="3">
        <f>IF(G335 = 0, "", F335 / G335)</f>
        <v>0.72</v>
      </c>
      <c r="I335" s="5">
        <f>SUMIFS(CaseCells!F2:F999,CaseCells!C2:C999, C335,CaseCells!D2:D999, D335,CaseCells!E2:E999, "A")</f>
        <v>650</v>
      </c>
      <c r="J335" s="5">
        <f>SUMIFS(CaseCells!G2:G999,CaseCells!C2:C999, C335,CaseCells!D2:D999, D335,CaseCells!E2:E999, "A")</f>
        <v>1000</v>
      </c>
      <c r="K335" s="3">
        <f>IF(J335 = 0, "", I335 / J335)</f>
        <v>0.65</v>
      </c>
      <c r="L335" s="5">
        <f>SUMIFS(CaseCells!F2:F999,CaseCells!C2:C999, C335,CaseCells!D2:D999, D335,CaseCells!E2:E999, "B")</f>
        <v>720</v>
      </c>
      <c r="M335" s="5">
        <f>SUMIFS(CaseCells!G2:G999,CaseCells!C2:C999, C335,CaseCells!D2:D999, D335,CaseCells!E2:E999, "B")</f>
        <v>1000</v>
      </c>
      <c r="N335" s="3">
        <f>IF(M335 = 0, "", L335 / M335)</f>
        <v>0.72</v>
      </c>
      <c r="O335" s="3" t="str">
        <f>IF(K335 &gt; N335, "A", "B")</f>
        <v>B</v>
      </c>
      <c r="P335" s="5">
        <f>SUMIFS(CaseCells!G2:G999,CaseCells!C2:C999, C335)</f>
        <v>4000</v>
      </c>
      <c r="Q335" s="5">
        <f>SUMIFS(CaseCells!G2:G999,CaseCells!C2:C999, C335,CaseCells!D2:D999, D335)</f>
        <v>2000</v>
      </c>
      <c r="R335" s="3">
        <f>IF(P335 = 0, "", Q335 / P335)</f>
        <v>0.5</v>
      </c>
      <c r="S335" s="3">
        <f>IF(R335 = "", "", R335 * H335)</f>
        <v>0.36</v>
      </c>
      <c r="T335" s="5">
        <f>SUMIFS(CaseCells!G2:G999,CaseCells!C2:C999, C335,CaseCells!D2:D999, D335,CaseCells!E2:E999, "A")</f>
        <v>1000</v>
      </c>
      <c r="U335" s="5">
        <f>SUMIFS(CaseCells!G2:G999,CaseCells!C2:C999, C335,CaseCells!D2:D999, D335,CaseCells!E2:E999, "B")</f>
        <v>1000</v>
      </c>
      <c r="V335" s="5">
        <f>SUMIFS(CaseCells!G2:G999,CaseCells!C2:C999, C335,CaseCells!E2:E999, "A")</f>
        <v>2000</v>
      </c>
      <c r="W335" s="5">
        <f>SUMIFS(CaseCells!G2:G999,CaseCells!C2:C999, C335,CaseCells!E2:E999, "B")</f>
        <v>2000</v>
      </c>
      <c r="X335" s="3">
        <f>IF(V335 = 0, "", T335 / V335)</f>
        <v>0.5</v>
      </c>
      <c r="Y335" s="3">
        <f>IF(W335 = 0, "", U335 / W335)</f>
        <v>0.5</v>
      </c>
      <c r="Z335" s="3">
        <f>IF(X335 = "", "", X335 - Y335)</f>
        <v>0</v>
      </c>
      <c r="AA335" s="3">
        <f>IF(K335 = "", "", K335 - N335)</f>
        <v>-0.06999999999999995</v>
      </c>
      <c r="AB335" s="3">
        <f>IF(AA335 = "", "", AA335 * R335)</f>
        <v>-0.034999999999999976</v>
      </c>
    </row>
    <row r="336">
      <c r="A336" s="2" t="s">
        <v>2113</v>
      </c>
      <c r="B336" s="3" t="str">
        <f>A336</f>
        <v>hospital-mortality-readmission-high-comorbidity-A</v>
      </c>
      <c r="C336" s="2" t="s">
        <v>695</v>
      </c>
      <c r="D336" s="2" t="s">
        <v>1638</v>
      </c>
      <c r="E336" s="2" t="s">
        <v>792</v>
      </c>
      <c r="F336" s="5">
        <f>SUMIFS(CaseCells!F2:F999,CaseCells!C2:C999, C336,CaseCells!D2:D999, D336,CaseCells!E2:E999, E336)</f>
        <v>850</v>
      </c>
      <c r="G336" s="5">
        <f>SUMIFS(CaseCells!G2:G999,CaseCells!C2:C999, C336,CaseCells!D2:D999, D336,CaseCells!E2:E999, E336)</f>
        <v>1000</v>
      </c>
      <c r="H336" s="3">
        <f>IF(G336 = 0, "", F336 / G336)</f>
        <v>0.85</v>
      </c>
      <c r="I336" s="5">
        <f>SUMIFS(CaseCells!F2:F999,CaseCells!C2:C999, C336,CaseCells!D2:D999, D336,CaseCells!E2:E999, "A")</f>
        <v>850</v>
      </c>
      <c r="J336" s="5">
        <f>SUMIFS(CaseCells!G2:G999,CaseCells!C2:C999, C336,CaseCells!D2:D999, D336,CaseCells!E2:E999, "A")</f>
        <v>1000</v>
      </c>
      <c r="K336" s="3">
        <f>IF(J336 = 0, "", I336 / J336)</f>
        <v>0.85</v>
      </c>
      <c r="L336" s="5">
        <f>SUMIFS(CaseCells!F2:F999,CaseCells!C2:C999, C336,CaseCells!D2:D999, D336,CaseCells!E2:E999, "B")</f>
        <v>880</v>
      </c>
      <c r="M336" s="5">
        <f>SUMIFS(CaseCells!G2:G999,CaseCells!C2:C999, C336,CaseCells!D2:D999, D336,CaseCells!E2:E999, "B")</f>
        <v>1000</v>
      </c>
      <c r="N336" s="3">
        <f>IF(M336 = 0, "", L336 / M336)</f>
        <v>0.88</v>
      </c>
      <c r="O336" s="3" t="str">
        <f>IF(K336 &gt; N336, "A", "B")</f>
        <v>B</v>
      </c>
      <c r="P336" s="5">
        <f>SUMIFS(CaseCells!G2:G999,CaseCells!C2:C999, C336)</f>
        <v>4000</v>
      </c>
      <c r="Q336" s="5">
        <f>SUMIFS(CaseCells!G2:G999,CaseCells!C2:C999, C336,CaseCells!D2:D999, D336)</f>
        <v>2000</v>
      </c>
      <c r="R336" s="3">
        <f>IF(P336 = 0, "", Q336 / P336)</f>
        <v>0.5</v>
      </c>
      <c r="S336" s="3">
        <f>IF(R336 = "", "", R336 * H336)</f>
        <v>0.425</v>
      </c>
      <c r="T336" s="5">
        <f>SUMIFS(CaseCells!G2:G999,CaseCells!C2:C999, C336,CaseCells!D2:D999, D336,CaseCells!E2:E999, "A")</f>
        <v>1000</v>
      </c>
      <c r="U336" s="5">
        <f>SUMIFS(CaseCells!G2:G999,CaseCells!C2:C999, C336,CaseCells!D2:D999, D336,CaseCells!E2:E999, "B")</f>
        <v>1000</v>
      </c>
      <c r="V336" s="5">
        <f>SUMIFS(CaseCells!G2:G999,CaseCells!C2:C999, C336,CaseCells!E2:E999, "A")</f>
        <v>2000</v>
      </c>
      <c r="W336" s="5">
        <f>SUMIFS(CaseCells!G2:G999,CaseCells!C2:C999, C336,CaseCells!E2:E999, "B")</f>
        <v>2000</v>
      </c>
      <c r="X336" s="3">
        <f>IF(V336 = 0, "", T336 / V336)</f>
        <v>0.5</v>
      </c>
      <c r="Y336" s="3">
        <f>IF(W336 = 0, "", U336 / W336)</f>
        <v>0.5</v>
      </c>
      <c r="Z336" s="3">
        <f>IF(X336 = "", "", X336 - Y336)</f>
        <v>0</v>
      </c>
      <c r="AA336" s="3">
        <f>IF(K336 = "", "", K336 - N336)</f>
        <v>-0.030000000000000027</v>
      </c>
      <c r="AB336" s="3">
        <f>IF(AA336 = "", "", AA336 * R336)</f>
        <v>-0.015000000000000013</v>
      </c>
    </row>
    <row r="337">
      <c r="A337" s="2" t="s">
        <v>2114</v>
      </c>
      <c r="B337" s="3" t="str">
        <f>A337</f>
        <v>hospital-mortality-readmission-high-comorbidity-B</v>
      </c>
      <c r="C337" s="2" t="s">
        <v>695</v>
      </c>
      <c r="D337" s="2" t="s">
        <v>1638</v>
      </c>
      <c r="E337" s="2" t="s">
        <v>795</v>
      </c>
      <c r="F337" s="5">
        <f>SUMIFS(CaseCells!F2:F999,CaseCells!C2:C999, C337,CaseCells!D2:D999, D337,CaseCells!E2:E999, E337)</f>
        <v>880</v>
      </c>
      <c r="G337" s="5">
        <f>SUMIFS(CaseCells!G2:G999,CaseCells!C2:C999, C337,CaseCells!D2:D999, D337,CaseCells!E2:E999, E337)</f>
        <v>1000</v>
      </c>
      <c r="H337" s="3">
        <f>IF(G337 = 0, "", F337 / G337)</f>
        <v>0.88</v>
      </c>
      <c r="I337" s="5">
        <f>SUMIFS(CaseCells!F2:F999,CaseCells!C2:C999, C337,CaseCells!D2:D999, D337,CaseCells!E2:E999, "A")</f>
        <v>850</v>
      </c>
      <c r="J337" s="5">
        <f>SUMIFS(CaseCells!G2:G999,CaseCells!C2:C999, C337,CaseCells!D2:D999, D337,CaseCells!E2:E999, "A")</f>
        <v>1000</v>
      </c>
      <c r="K337" s="3">
        <f>IF(J337 = 0, "", I337 / J337)</f>
        <v>0.85</v>
      </c>
      <c r="L337" s="5">
        <f>SUMIFS(CaseCells!F2:F999,CaseCells!C2:C999, C337,CaseCells!D2:D999, D337,CaseCells!E2:E999, "B")</f>
        <v>880</v>
      </c>
      <c r="M337" s="5">
        <f>SUMIFS(CaseCells!G2:G999,CaseCells!C2:C999, C337,CaseCells!D2:D999, D337,CaseCells!E2:E999, "B")</f>
        <v>1000</v>
      </c>
      <c r="N337" s="3">
        <f>IF(M337 = 0, "", L337 / M337)</f>
        <v>0.88</v>
      </c>
      <c r="O337" s="3" t="str">
        <f>IF(K337 &gt; N337, "A", "B")</f>
        <v>B</v>
      </c>
      <c r="P337" s="5">
        <f>SUMIFS(CaseCells!G2:G999,CaseCells!C2:C999, C337)</f>
        <v>4000</v>
      </c>
      <c r="Q337" s="5">
        <f>SUMIFS(CaseCells!G2:G999,CaseCells!C2:C999, C337,CaseCells!D2:D999, D337)</f>
        <v>2000</v>
      </c>
      <c r="R337" s="3">
        <f>IF(P337 = 0, "", Q337 / P337)</f>
        <v>0.5</v>
      </c>
      <c r="S337" s="3">
        <f>IF(R337 = "", "", R337 * H337)</f>
        <v>0.44</v>
      </c>
      <c r="T337" s="5">
        <f>SUMIFS(CaseCells!G2:G999,CaseCells!C2:C999, C337,CaseCells!D2:D999, D337,CaseCells!E2:E999, "A")</f>
        <v>1000</v>
      </c>
      <c r="U337" s="5">
        <f>SUMIFS(CaseCells!G2:G999,CaseCells!C2:C999, C337,CaseCells!D2:D999, D337,CaseCells!E2:E999, "B")</f>
        <v>1000</v>
      </c>
      <c r="V337" s="5">
        <f>SUMIFS(CaseCells!G2:G999,CaseCells!C2:C999, C337,CaseCells!E2:E999, "A")</f>
        <v>2000</v>
      </c>
      <c r="W337" s="5">
        <f>SUMIFS(CaseCells!G2:G999,CaseCells!C2:C999, C337,CaseCells!E2:E999, "B")</f>
        <v>2000</v>
      </c>
      <c r="X337" s="3">
        <f>IF(V337 = 0, "", T337 / V337)</f>
        <v>0.5</v>
      </c>
      <c r="Y337" s="3">
        <f>IF(W337 = 0, "", U337 / W337)</f>
        <v>0.5</v>
      </c>
      <c r="Z337" s="3">
        <f>IF(X337 = "", "", X337 - Y337)</f>
        <v>0</v>
      </c>
      <c r="AA337" s="3">
        <f>IF(K337 = "", "", K337 - N337)</f>
        <v>-0.030000000000000027</v>
      </c>
      <c r="AB337" s="3">
        <f>IF(AA337 = "", "", AA337 * R337)</f>
        <v>-0.015000000000000013</v>
      </c>
    </row>
    <row r="338">
      <c r="A338" s="2" t="s">
        <v>2115</v>
      </c>
      <c r="B338" s="3" t="str">
        <f>A338</f>
        <v>hospital-mortality-readmission-low-comorbidity-A</v>
      </c>
      <c r="C338" s="2" t="s">
        <v>695</v>
      </c>
      <c r="D338" s="2" t="s">
        <v>1641</v>
      </c>
      <c r="E338" s="2" t="s">
        <v>792</v>
      </c>
      <c r="F338" s="5">
        <f>SUMIFS(CaseCells!F2:F999,CaseCells!C2:C999, C338,CaseCells!D2:D999, D338,CaseCells!E2:E999, E338)</f>
        <v>970</v>
      </c>
      <c r="G338" s="5">
        <f>SUMIFS(CaseCells!G2:G999,CaseCells!C2:C999, C338,CaseCells!D2:D999, D338,CaseCells!E2:E999, E338)</f>
        <v>1000</v>
      </c>
      <c r="H338" s="3">
        <f>IF(G338 = 0, "", F338 / G338)</f>
        <v>0.97</v>
      </c>
      <c r="I338" s="5">
        <f>SUMIFS(CaseCells!F2:F999,CaseCells!C2:C999, C338,CaseCells!D2:D999, D338,CaseCells!E2:E999, "A")</f>
        <v>970</v>
      </c>
      <c r="J338" s="5">
        <f>SUMIFS(CaseCells!G2:G999,CaseCells!C2:C999, C338,CaseCells!D2:D999, D338,CaseCells!E2:E999, "A")</f>
        <v>1000</v>
      </c>
      <c r="K338" s="3">
        <f>IF(J338 = 0, "", I338 / J338)</f>
        <v>0.97</v>
      </c>
      <c r="L338" s="5">
        <f>SUMIFS(CaseCells!F2:F999,CaseCells!C2:C999, C338,CaseCells!D2:D999, D338,CaseCells!E2:E999, "B")</f>
        <v>975</v>
      </c>
      <c r="M338" s="5">
        <f>SUMIFS(CaseCells!G2:G999,CaseCells!C2:C999, C338,CaseCells!D2:D999, D338,CaseCells!E2:E999, "B")</f>
        <v>1000</v>
      </c>
      <c r="N338" s="3">
        <f>IF(M338 = 0, "", L338 / M338)</f>
        <v>0.975</v>
      </c>
      <c r="O338" s="3" t="str">
        <f>IF(K338 &gt; N338, "A", "B")</f>
        <v>B</v>
      </c>
      <c r="P338" s="5">
        <f>SUMIFS(CaseCells!G2:G999,CaseCells!C2:C999, C338)</f>
        <v>4000</v>
      </c>
      <c r="Q338" s="5">
        <f>SUMIFS(CaseCells!G2:G999,CaseCells!C2:C999, C338,CaseCells!D2:D999, D338)</f>
        <v>2000</v>
      </c>
      <c r="R338" s="3">
        <f>IF(P338 = 0, "", Q338 / P338)</f>
        <v>0.5</v>
      </c>
      <c r="S338" s="3">
        <f>IF(R338 = "", "", R338 * H338)</f>
        <v>0.485</v>
      </c>
      <c r="T338" s="5">
        <f>SUMIFS(CaseCells!G2:G999,CaseCells!C2:C999, C338,CaseCells!D2:D999, D338,CaseCells!E2:E999, "A")</f>
        <v>1000</v>
      </c>
      <c r="U338" s="5">
        <f>SUMIFS(CaseCells!G2:G999,CaseCells!C2:C999, C338,CaseCells!D2:D999, D338,CaseCells!E2:E999, "B")</f>
        <v>1000</v>
      </c>
      <c r="V338" s="5">
        <f>SUMIFS(CaseCells!G2:G999,CaseCells!C2:C999, C338,CaseCells!E2:E999, "A")</f>
        <v>2000</v>
      </c>
      <c r="W338" s="5">
        <f>SUMIFS(CaseCells!G2:G999,CaseCells!C2:C999, C338,CaseCells!E2:E999, "B")</f>
        <v>2000</v>
      </c>
      <c r="X338" s="3">
        <f>IF(V338 = 0, "", T338 / V338)</f>
        <v>0.5</v>
      </c>
      <c r="Y338" s="3">
        <f>IF(W338 = 0, "", U338 / W338)</f>
        <v>0.5</v>
      </c>
      <c r="Z338" s="3">
        <f>IF(X338 = "", "", X338 - Y338)</f>
        <v>0</v>
      </c>
      <c r="AA338" s="3">
        <f>IF(K338 = "", "", K338 - N338)</f>
        <v>-0.0050000000000000044</v>
      </c>
      <c r="AB338" s="3">
        <f>IF(AA338 = "", "", AA338 * R338)</f>
        <v>-0.0025000000000000022</v>
      </c>
    </row>
    <row r="339">
      <c r="A339" s="2" t="s">
        <v>2116</v>
      </c>
      <c r="B339" s="3" t="str">
        <f>A339</f>
        <v>hospital-mortality-readmission-low-comorbidity-B</v>
      </c>
      <c r="C339" s="2" t="s">
        <v>695</v>
      </c>
      <c r="D339" s="2" t="s">
        <v>1641</v>
      </c>
      <c r="E339" s="2" t="s">
        <v>795</v>
      </c>
      <c r="F339" s="5">
        <f>SUMIFS(CaseCells!F2:F999,CaseCells!C2:C999, C339,CaseCells!D2:D999, D339,CaseCells!E2:E999, E339)</f>
        <v>975</v>
      </c>
      <c r="G339" s="5">
        <f>SUMIFS(CaseCells!G2:G999,CaseCells!C2:C999, C339,CaseCells!D2:D999, D339,CaseCells!E2:E999, E339)</f>
        <v>1000</v>
      </c>
      <c r="H339" s="3">
        <f>IF(G339 = 0, "", F339 / G339)</f>
        <v>0.975</v>
      </c>
      <c r="I339" s="5">
        <f>SUMIFS(CaseCells!F2:F999,CaseCells!C2:C999, C339,CaseCells!D2:D999, D339,CaseCells!E2:E999, "A")</f>
        <v>970</v>
      </c>
      <c r="J339" s="5">
        <f>SUMIFS(CaseCells!G2:G999,CaseCells!C2:C999, C339,CaseCells!D2:D999, D339,CaseCells!E2:E999, "A")</f>
        <v>1000</v>
      </c>
      <c r="K339" s="3">
        <f>IF(J339 = 0, "", I339 / J339)</f>
        <v>0.97</v>
      </c>
      <c r="L339" s="5">
        <f>SUMIFS(CaseCells!F2:F999,CaseCells!C2:C999, C339,CaseCells!D2:D999, D339,CaseCells!E2:E999, "B")</f>
        <v>975</v>
      </c>
      <c r="M339" s="5">
        <f>SUMIFS(CaseCells!G2:G999,CaseCells!C2:C999, C339,CaseCells!D2:D999, D339,CaseCells!E2:E999, "B")</f>
        <v>1000</v>
      </c>
      <c r="N339" s="3">
        <f>IF(M339 = 0, "", L339 / M339)</f>
        <v>0.975</v>
      </c>
      <c r="O339" s="3" t="str">
        <f>IF(K339 &gt; N339, "A", "B")</f>
        <v>B</v>
      </c>
      <c r="P339" s="5">
        <f>SUMIFS(CaseCells!G2:G999,CaseCells!C2:C999, C339)</f>
        <v>4000</v>
      </c>
      <c r="Q339" s="5">
        <f>SUMIFS(CaseCells!G2:G999,CaseCells!C2:C999, C339,CaseCells!D2:D999, D339)</f>
        <v>2000</v>
      </c>
      <c r="R339" s="3">
        <f>IF(P339 = 0, "", Q339 / P339)</f>
        <v>0.5</v>
      </c>
      <c r="S339" s="3">
        <f>IF(R339 = "", "", R339 * H339)</f>
        <v>0.4875</v>
      </c>
      <c r="T339" s="5">
        <f>SUMIFS(CaseCells!G2:G999,CaseCells!C2:C999, C339,CaseCells!D2:D999, D339,CaseCells!E2:E999, "A")</f>
        <v>1000</v>
      </c>
      <c r="U339" s="5">
        <f>SUMIFS(CaseCells!G2:G999,CaseCells!C2:C999, C339,CaseCells!D2:D999, D339,CaseCells!E2:E999, "B")</f>
        <v>1000</v>
      </c>
      <c r="V339" s="5">
        <f>SUMIFS(CaseCells!G2:G999,CaseCells!C2:C999, C339,CaseCells!E2:E999, "A")</f>
        <v>2000</v>
      </c>
      <c r="W339" s="5">
        <f>SUMIFS(CaseCells!G2:G999,CaseCells!C2:C999, C339,CaseCells!E2:E999, "B")</f>
        <v>2000</v>
      </c>
      <c r="X339" s="3">
        <f>IF(V339 = 0, "", T339 / V339)</f>
        <v>0.5</v>
      </c>
      <c r="Y339" s="3">
        <f>IF(W339 = 0, "", U339 / W339)</f>
        <v>0.5</v>
      </c>
      <c r="Z339" s="3">
        <f>IF(X339 = "", "", X339 - Y339)</f>
        <v>0</v>
      </c>
      <c r="AA339" s="3">
        <f>IF(K339 = "", "", K339 - N339)</f>
        <v>-0.0050000000000000044</v>
      </c>
      <c r="AB339" s="3">
        <f>IF(AA339 = "", "", AA339 * R339)</f>
        <v>-0.0025000000000000022</v>
      </c>
    </row>
    <row r="340">
      <c r="A340" s="2" t="s">
        <v>2117</v>
      </c>
      <c r="B340" s="3" t="str">
        <f>A340</f>
        <v>nypd-stop-frisk-hitrate-high-crime-precincts-A</v>
      </c>
      <c r="C340" s="2" t="s">
        <v>699</v>
      </c>
      <c r="D340" s="2" t="s">
        <v>1644</v>
      </c>
      <c r="E340" s="2" t="s">
        <v>792</v>
      </c>
      <c r="F340" s="5">
        <f>SUMIFS(CaseCells!F2:F999,CaseCells!C2:C999, C340,CaseCells!D2:D999, D340,CaseCells!E2:E999, E340)</f>
        <v>320</v>
      </c>
      <c r="G340" s="5">
        <f>SUMIFS(CaseCells!G2:G999,CaseCells!C2:C999, C340,CaseCells!D2:D999, D340,CaseCells!E2:E999, E340)</f>
        <v>8000</v>
      </c>
      <c r="H340" s="3">
        <f>IF(G340 = 0, "", F340 / G340)</f>
        <v>0.04</v>
      </c>
      <c r="I340" s="5">
        <f>SUMIFS(CaseCells!F2:F999,CaseCells!C2:C999, C340,CaseCells!D2:D999, D340,CaseCells!E2:E999, "A")</f>
        <v>320</v>
      </c>
      <c r="J340" s="5">
        <f>SUMIFS(CaseCells!G2:G999,CaseCells!C2:C999, C340,CaseCells!D2:D999, D340,CaseCells!E2:E999, "A")</f>
        <v>8000</v>
      </c>
      <c r="K340" s="3">
        <f>IF(J340 = 0, "", I340 / J340)</f>
        <v>0.04</v>
      </c>
      <c r="L340" s="5">
        <f>SUMIFS(CaseCells!F2:F999,CaseCells!C2:C999, C340,CaseCells!D2:D999, D340,CaseCells!E2:E999, "B")</f>
        <v>280</v>
      </c>
      <c r="M340" s="5">
        <f>SUMIFS(CaseCells!G2:G999,CaseCells!C2:C999, C340,CaseCells!D2:D999, D340,CaseCells!E2:E999, "B")</f>
        <v>7000</v>
      </c>
      <c r="N340" s="3">
        <f>IF(M340 = 0, "", L340 / M340)</f>
        <v>0.04</v>
      </c>
      <c r="O340" s="3" t="str">
        <f>IF(K340 &gt; N340, "A", "B")</f>
        <v>B</v>
      </c>
      <c r="P340" s="5">
        <f>SUMIFS(CaseCells!G2:G999,CaseCells!C2:C999, C340)</f>
        <v>18500</v>
      </c>
      <c r="Q340" s="5">
        <f>SUMIFS(CaseCells!G2:G999,CaseCells!C2:C999, C340,CaseCells!D2:D999, D340)</f>
        <v>15000</v>
      </c>
      <c r="R340" s="3">
        <f>IF(P340 = 0, "", Q340 / P340)</f>
        <v>0.8108108108108109</v>
      </c>
      <c r="S340" s="3">
        <f>IF(R340 = "", "", R340 * H340)</f>
        <v>0.032432432432432434</v>
      </c>
      <c r="T340" s="5">
        <f>SUMIFS(CaseCells!G2:G999,CaseCells!C2:C999, C340,CaseCells!D2:D999, D340,CaseCells!E2:E999, "A")</f>
        <v>8000</v>
      </c>
      <c r="U340" s="5">
        <f>SUMIFS(CaseCells!G2:G999,CaseCells!C2:C999, C340,CaseCells!D2:D999, D340,CaseCells!E2:E999, "B")</f>
        <v>7000</v>
      </c>
      <c r="V340" s="5">
        <f>SUMIFS(CaseCells!G2:G999,CaseCells!C2:C999, C340,CaseCells!E2:E999, "A")</f>
        <v>10000</v>
      </c>
      <c r="W340" s="5">
        <f>SUMIFS(CaseCells!G2:G999,CaseCells!C2:C999, C340,CaseCells!E2:E999, "B")</f>
        <v>8500</v>
      </c>
      <c r="X340" s="3">
        <f>IF(V340 = 0, "", T340 / V340)</f>
        <v>0.8</v>
      </c>
      <c r="Y340" s="3">
        <f>IF(W340 = 0, "", U340 / W340)</f>
        <v>0.8235294117647058</v>
      </c>
      <c r="Z340" s="3">
        <f>IF(X340 = "", "", X340 - Y340)</f>
        <v>-0.0235294117647058</v>
      </c>
      <c r="AA340" s="3">
        <f>IF(K340 = "", "", K340 - N340)</f>
        <v>0</v>
      </c>
      <c r="AB340" s="3">
        <f>IF(AA340 = "", "", AA340 * R340)</f>
        <v>0</v>
      </c>
    </row>
    <row r="341">
      <c r="A341" s="2" t="s">
        <v>2118</v>
      </c>
      <c r="B341" s="3" t="str">
        <f>A341</f>
        <v>nypd-stop-frisk-hitrate-high-crime-precincts-B</v>
      </c>
      <c r="C341" s="2" t="s">
        <v>699</v>
      </c>
      <c r="D341" s="2" t="s">
        <v>1644</v>
      </c>
      <c r="E341" s="2" t="s">
        <v>795</v>
      </c>
      <c r="F341" s="5">
        <f>SUMIFS(CaseCells!F2:F999,CaseCells!C2:C999, C341,CaseCells!D2:D999, D341,CaseCells!E2:E999, E341)</f>
        <v>280</v>
      </c>
      <c r="G341" s="5">
        <f>SUMIFS(CaseCells!G2:G999,CaseCells!C2:C999, C341,CaseCells!D2:D999, D341,CaseCells!E2:E999, E341)</f>
        <v>7000</v>
      </c>
      <c r="H341" s="3">
        <f>IF(G341 = 0, "", F341 / G341)</f>
        <v>0.04</v>
      </c>
      <c r="I341" s="5">
        <f>SUMIFS(CaseCells!F2:F999,CaseCells!C2:C999, C341,CaseCells!D2:D999, D341,CaseCells!E2:E999, "A")</f>
        <v>320</v>
      </c>
      <c r="J341" s="5">
        <f>SUMIFS(CaseCells!G2:G999,CaseCells!C2:C999, C341,CaseCells!D2:D999, D341,CaseCells!E2:E999, "A")</f>
        <v>8000</v>
      </c>
      <c r="K341" s="3">
        <f>IF(J341 = 0, "", I341 / J341)</f>
        <v>0.04</v>
      </c>
      <c r="L341" s="5">
        <f>SUMIFS(CaseCells!F2:F999,CaseCells!C2:C999, C341,CaseCells!D2:D999, D341,CaseCells!E2:E999, "B")</f>
        <v>280</v>
      </c>
      <c r="M341" s="5">
        <f>SUMIFS(CaseCells!G2:G999,CaseCells!C2:C999, C341,CaseCells!D2:D999, D341,CaseCells!E2:E999, "B")</f>
        <v>7000</v>
      </c>
      <c r="N341" s="3">
        <f>IF(M341 = 0, "", L341 / M341)</f>
        <v>0.04</v>
      </c>
      <c r="O341" s="3" t="str">
        <f>IF(K341 &gt; N341, "A", "B")</f>
        <v>B</v>
      </c>
      <c r="P341" s="5">
        <f>SUMIFS(CaseCells!G2:G999,CaseCells!C2:C999, C341)</f>
        <v>18500</v>
      </c>
      <c r="Q341" s="5">
        <f>SUMIFS(CaseCells!G2:G999,CaseCells!C2:C999, C341,CaseCells!D2:D999, D341)</f>
        <v>15000</v>
      </c>
      <c r="R341" s="3">
        <f>IF(P341 = 0, "", Q341 / P341)</f>
        <v>0.8108108108108109</v>
      </c>
      <c r="S341" s="3">
        <f>IF(R341 = "", "", R341 * H341)</f>
        <v>0.032432432432432434</v>
      </c>
      <c r="T341" s="5">
        <f>SUMIFS(CaseCells!G2:G999,CaseCells!C2:C999, C341,CaseCells!D2:D999, D341,CaseCells!E2:E999, "A")</f>
        <v>8000</v>
      </c>
      <c r="U341" s="5">
        <f>SUMIFS(CaseCells!G2:G999,CaseCells!C2:C999, C341,CaseCells!D2:D999, D341,CaseCells!E2:E999, "B")</f>
        <v>7000</v>
      </c>
      <c r="V341" s="5">
        <f>SUMIFS(CaseCells!G2:G999,CaseCells!C2:C999, C341,CaseCells!E2:E999, "A")</f>
        <v>10000</v>
      </c>
      <c r="W341" s="5">
        <f>SUMIFS(CaseCells!G2:G999,CaseCells!C2:C999, C341,CaseCells!E2:E999, "B")</f>
        <v>8500</v>
      </c>
      <c r="X341" s="3">
        <f>IF(V341 = 0, "", T341 / V341)</f>
        <v>0.8</v>
      </c>
      <c r="Y341" s="3">
        <f>IF(W341 = 0, "", U341 / W341)</f>
        <v>0.8235294117647058</v>
      </c>
      <c r="Z341" s="3">
        <f>IF(X341 = "", "", X341 - Y341)</f>
        <v>-0.0235294117647058</v>
      </c>
      <c r="AA341" s="3">
        <f>IF(K341 = "", "", K341 - N341)</f>
        <v>0</v>
      </c>
      <c r="AB341" s="3">
        <f>IF(AA341 = "", "", AA341 * R341)</f>
        <v>0</v>
      </c>
    </row>
    <row r="342">
      <c r="A342" s="2" t="s">
        <v>2119</v>
      </c>
      <c r="B342" s="3" t="str">
        <f>A342</f>
        <v>nypd-stop-frisk-hitrate-low-crime-precincts-A</v>
      </c>
      <c r="C342" s="2" t="s">
        <v>699</v>
      </c>
      <c r="D342" s="2" t="s">
        <v>1647</v>
      </c>
      <c r="E342" s="2" t="s">
        <v>792</v>
      </c>
      <c r="F342" s="5">
        <f>SUMIFS(CaseCells!F2:F999,CaseCells!C2:C999, C342,CaseCells!D2:D999, D342,CaseCells!E2:E999, E342)</f>
        <v>45</v>
      </c>
      <c r="G342" s="5">
        <f>SUMIFS(CaseCells!G2:G999,CaseCells!C2:C999, C342,CaseCells!D2:D999, D342,CaseCells!E2:E999, E342)</f>
        <v>2000</v>
      </c>
      <c r="H342" s="3">
        <f>IF(G342 = 0, "", F342 / G342)</f>
        <v>0.0225</v>
      </c>
      <c r="I342" s="5">
        <f>SUMIFS(CaseCells!F2:F999,CaseCells!C2:C999, C342,CaseCells!D2:D999, D342,CaseCells!E2:E999, "A")</f>
        <v>45</v>
      </c>
      <c r="J342" s="5">
        <f>SUMIFS(CaseCells!G2:G999,CaseCells!C2:C999, C342,CaseCells!D2:D999, D342,CaseCells!E2:E999, "A")</f>
        <v>2000</v>
      </c>
      <c r="K342" s="3">
        <f>IF(J342 = 0, "", I342 / J342)</f>
        <v>0.0225</v>
      </c>
      <c r="L342" s="5">
        <f>SUMIFS(CaseCells!F2:F999,CaseCells!C2:C999, C342,CaseCells!D2:D999, D342,CaseCells!E2:E999, "B")</f>
        <v>72</v>
      </c>
      <c r="M342" s="5">
        <f>SUMIFS(CaseCells!G2:G999,CaseCells!C2:C999, C342,CaseCells!D2:D999, D342,CaseCells!E2:E999, "B")</f>
        <v>1500</v>
      </c>
      <c r="N342" s="3">
        <f>IF(M342 = 0, "", L342 / M342)</f>
        <v>0.048</v>
      </c>
      <c r="O342" s="3" t="str">
        <f>IF(K342 &gt; N342, "A", "B")</f>
        <v>B</v>
      </c>
      <c r="P342" s="5">
        <f>SUMIFS(CaseCells!G2:G999,CaseCells!C2:C999, C342)</f>
        <v>18500</v>
      </c>
      <c r="Q342" s="5">
        <f>SUMIFS(CaseCells!G2:G999,CaseCells!C2:C999, C342,CaseCells!D2:D999, D342)</f>
        <v>3500</v>
      </c>
      <c r="R342" s="3">
        <f>IF(P342 = 0, "", Q342 / P342)</f>
        <v>0.1891891891891892</v>
      </c>
      <c r="S342" s="3">
        <f>IF(R342 = "", "", R342 * H342)</f>
        <v>0.004256756756756757</v>
      </c>
      <c r="T342" s="5">
        <f>SUMIFS(CaseCells!G2:G999,CaseCells!C2:C999, C342,CaseCells!D2:D999, D342,CaseCells!E2:E999, "A")</f>
        <v>2000</v>
      </c>
      <c r="U342" s="5">
        <f>SUMIFS(CaseCells!G2:G999,CaseCells!C2:C999, C342,CaseCells!D2:D999, D342,CaseCells!E2:E999, "B")</f>
        <v>1500</v>
      </c>
      <c r="V342" s="5">
        <f>SUMIFS(CaseCells!G2:G999,CaseCells!C2:C999, C342,CaseCells!E2:E999, "A")</f>
        <v>10000</v>
      </c>
      <c r="W342" s="5">
        <f>SUMIFS(CaseCells!G2:G999,CaseCells!C2:C999, C342,CaseCells!E2:E999, "B")</f>
        <v>8500</v>
      </c>
      <c r="X342" s="3">
        <f>IF(V342 = 0, "", T342 / V342)</f>
        <v>0.2</v>
      </c>
      <c r="Y342" s="3">
        <f>IF(W342 = 0, "", U342 / W342)</f>
        <v>0.17647058823529413</v>
      </c>
      <c r="Z342" s="3">
        <f>IF(X342 = "", "", X342 - Y342)</f>
        <v>0.023529411764705882</v>
      </c>
      <c r="AA342" s="3">
        <f>IF(K342 = "", "", K342 - N342)</f>
        <v>-0.025500000000000002</v>
      </c>
      <c r="AB342" s="3">
        <f>IF(AA342 = "", "", AA342 * R342)</f>
        <v>-0.004824324324324325</v>
      </c>
    </row>
    <row r="343">
      <c r="A343" s="2" t="s">
        <v>2120</v>
      </c>
      <c r="B343" s="3" t="str">
        <f>A343</f>
        <v>nypd-stop-frisk-hitrate-low-crime-precincts-B</v>
      </c>
      <c r="C343" s="2" t="s">
        <v>699</v>
      </c>
      <c r="D343" s="2" t="s">
        <v>1647</v>
      </c>
      <c r="E343" s="2" t="s">
        <v>795</v>
      </c>
      <c r="F343" s="5">
        <f>SUMIFS(CaseCells!F2:F999,CaseCells!C2:C999, C343,CaseCells!D2:D999, D343,CaseCells!E2:E999, E343)</f>
        <v>72</v>
      </c>
      <c r="G343" s="5">
        <f>SUMIFS(CaseCells!G2:G999,CaseCells!C2:C999, C343,CaseCells!D2:D999, D343,CaseCells!E2:E999, E343)</f>
        <v>1500</v>
      </c>
      <c r="H343" s="3">
        <f>IF(G343 = 0, "", F343 / G343)</f>
        <v>0.048</v>
      </c>
      <c r="I343" s="5">
        <f>SUMIFS(CaseCells!F2:F999,CaseCells!C2:C999, C343,CaseCells!D2:D999, D343,CaseCells!E2:E999, "A")</f>
        <v>45</v>
      </c>
      <c r="J343" s="5">
        <f>SUMIFS(CaseCells!G2:G999,CaseCells!C2:C999, C343,CaseCells!D2:D999, D343,CaseCells!E2:E999, "A")</f>
        <v>2000</v>
      </c>
      <c r="K343" s="3">
        <f>IF(J343 = 0, "", I343 / J343)</f>
        <v>0.0225</v>
      </c>
      <c r="L343" s="5">
        <f>SUMIFS(CaseCells!F2:F999,CaseCells!C2:C999, C343,CaseCells!D2:D999, D343,CaseCells!E2:E999, "B")</f>
        <v>72</v>
      </c>
      <c r="M343" s="5">
        <f>SUMIFS(CaseCells!G2:G999,CaseCells!C2:C999, C343,CaseCells!D2:D999, D343,CaseCells!E2:E999, "B")</f>
        <v>1500</v>
      </c>
      <c r="N343" s="3">
        <f>IF(M343 = 0, "", L343 / M343)</f>
        <v>0.048</v>
      </c>
      <c r="O343" s="3" t="str">
        <f>IF(K343 &gt; N343, "A", "B")</f>
        <v>B</v>
      </c>
      <c r="P343" s="5">
        <f>SUMIFS(CaseCells!G2:G999,CaseCells!C2:C999, C343)</f>
        <v>18500</v>
      </c>
      <c r="Q343" s="5">
        <f>SUMIFS(CaseCells!G2:G999,CaseCells!C2:C999, C343,CaseCells!D2:D999, D343)</f>
        <v>3500</v>
      </c>
      <c r="R343" s="3">
        <f>IF(P343 = 0, "", Q343 / P343)</f>
        <v>0.1891891891891892</v>
      </c>
      <c r="S343" s="3">
        <f>IF(R343 = "", "", R343 * H343)</f>
        <v>0.009081081081081082</v>
      </c>
      <c r="T343" s="5">
        <f>SUMIFS(CaseCells!G2:G999,CaseCells!C2:C999, C343,CaseCells!D2:D999, D343,CaseCells!E2:E999, "A")</f>
        <v>2000</v>
      </c>
      <c r="U343" s="5">
        <f>SUMIFS(CaseCells!G2:G999,CaseCells!C2:C999, C343,CaseCells!D2:D999, D343,CaseCells!E2:E999, "B")</f>
        <v>1500</v>
      </c>
      <c r="V343" s="5">
        <f>SUMIFS(CaseCells!G2:G999,CaseCells!C2:C999, C343,CaseCells!E2:E999, "A")</f>
        <v>10000</v>
      </c>
      <c r="W343" s="5">
        <f>SUMIFS(CaseCells!G2:G999,CaseCells!C2:C999, C343,CaseCells!E2:E999, "B")</f>
        <v>8500</v>
      </c>
      <c r="X343" s="3">
        <f>IF(V343 = 0, "", T343 / V343)</f>
        <v>0.2</v>
      </c>
      <c r="Y343" s="3">
        <f>IF(W343 = 0, "", U343 / W343)</f>
        <v>0.17647058823529413</v>
      </c>
      <c r="Z343" s="3">
        <f>IF(X343 = "", "", X343 - Y343)</f>
        <v>0.023529411764705882</v>
      </c>
      <c r="AA343" s="3">
        <f>IF(K343 = "", "", K343 - N343)</f>
        <v>-0.025500000000000002</v>
      </c>
      <c r="AB343" s="3">
        <f>IF(AA343 = "", "", AA343 * R343)</f>
        <v>-0.004824324324324325</v>
      </c>
    </row>
    <row r="344">
      <c r="A344" s="2" t="s">
        <v>2121</v>
      </c>
      <c r="B344" s="3" t="str">
        <f>A344</f>
        <v>sentencing-offense-type-violent-offenses-A</v>
      </c>
      <c r="C344" s="2" t="s">
        <v>703</v>
      </c>
      <c r="D344" s="2" t="s">
        <v>1650</v>
      </c>
      <c r="E344" s="2" t="s">
        <v>792</v>
      </c>
      <c r="F344" s="5">
        <f>SUMIFS(CaseCells!F2:F999,CaseCells!C2:C999, C344,CaseCells!D2:D999, D344,CaseCells!E2:E999, E344)</f>
        <v>800</v>
      </c>
      <c r="G344" s="5">
        <f>SUMIFS(CaseCells!G2:G999,CaseCells!C2:C999, C344,CaseCells!D2:D999, D344,CaseCells!E2:E999, E344)</f>
        <v>1000</v>
      </c>
      <c r="H344" s="3">
        <f>IF(G344 = 0, "", F344 / G344)</f>
        <v>0.8</v>
      </c>
      <c r="I344" s="5">
        <f>SUMIFS(CaseCells!F2:F999,CaseCells!C2:C999, C344,CaseCells!D2:D999, D344,CaseCells!E2:E999, "A")</f>
        <v>800</v>
      </c>
      <c r="J344" s="5">
        <f>SUMIFS(CaseCells!G2:G999,CaseCells!C2:C999, C344,CaseCells!D2:D999, D344,CaseCells!E2:E999, "A")</f>
        <v>1000</v>
      </c>
      <c r="K344" s="3">
        <f>IF(J344 = 0, "", I344 / J344)</f>
        <v>0.8</v>
      </c>
      <c r="L344" s="5">
        <f>SUMIFS(CaseCells!F2:F999,CaseCells!C2:C999, C344,CaseCells!D2:D999, D344,CaseCells!E2:E999, "B")</f>
        <v>750</v>
      </c>
      <c r="M344" s="5">
        <f>SUMIFS(CaseCells!G2:G999,CaseCells!C2:C999, C344,CaseCells!D2:D999, D344,CaseCells!E2:E999, "B")</f>
        <v>1000</v>
      </c>
      <c r="N344" s="3">
        <f>IF(M344 = 0, "", L344 / M344)</f>
        <v>0.75</v>
      </c>
      <c r="O344" s="3" t="str">
        <f>IF(K344 &gt; N344, "A", "B")</f>
        <v>A</v>
      </c>
      <c r="P344" s="5">
        <f>SUMIFS(CaseCells!G2:G999,CaseCells!C2:C999, C344)</f>
        <v>4000</v>
      </c>
      <c r="Q344" s="5">
        <f>SUMIFS(CaseCells!G2:G999,CaseCells!C2:C999, C344,CaseCells!D2:D999, D344)</f>
        <v>2000</v>
      </c>
      <c r="R344" s="3">
        <f>IF(P344 = 0, "", Q344 / P344)</f>
        <v>0.5</v>
      </c>
      <c r="S344" s="3">
        <f>IF(R344 = "", "", R344 * H344)</f>
        <v>0.4</v>
      </c>
      <c r="T344" s="5">
        <f>SUMIFS(CaseCells!G2:G999,CaseCells!C2:C999, C344,CaseCells!D2:D999, D344,CaseCells!E2:E999, "A")</f>
        <v>1000</v>
      </c>
      <c r="U344" s="5">
        <f>SUMIFS(CaseCells!G2:G999,CaseCells!C2:C999, C344,CaseCells!D2:D999, D344,CaseCells!E2:E999, "B")</f>
        <v>1000</v>
      </c>
      <c r="V344" s="5">
        <f>SUMIFS(CaseCells!G2:G999,CaseCells!C2:C999, C344,CaseCells!E2:E999, "A")</f>
        <v>2000</v>
      </c>
      <c r="W344" s="5">
        <f>SUMIFS(CaseCells!G2:G999,CaseCells!C2:C999, C344,CaseCells!E2:E999, "B")</f>
        <v>2000</v>
      </c>
      <c r="X344" s="3">
        <f>IF(V344 = 0, "", T344 / V344)</f>
        <v>0.5</v>
      </c>
      <c r="Y344" s="3">
        <f>IF(W344 = 0, "", U344 / W344)</f>
        <v>0.5</v>
      </c>
      <c r="Z344" s="3">
        <f>IF(X344 = "", "", X344 - Y344)</f>
        <v>0</v>
      </c>
      <c r="AA344" s="3">
        <f>IF(K344 = "", "", K344 - N344)</f>
        <v>0.050000000000000044</v>
      </c>
      <c r="AB344" s="3">
        <f>IF(AA344 = "", "", AA344 * R344)</f>
        <v>0.025000000000000022</v>
      </c>
    </row>
    <row r="345">
      <c r="A345" s="2" t="s">
        <v>2122</v>
      </c>
      <c r="B345" s="3" t="str">
        <f>A345</f>
        <v>sentencing-offense-type-violent-offenses-B</v>
      </c>
      <c r="C345" s="2" t="s">
        <v>703</v>
      </c>
      <c r="D345" s="2" t="s">
        <v>1650</v>
      </c>
      <c r="E345" s="2" t="s">
        <v>795</v>
      </c>
      <c r="F345" s="5">
        <f>SUMIFS(CaseCells!F2:F999,CaseCells!C2:C999, C345,CaseCells!D2:D999, D345,CaseCells!E2:E999, E345)</f>
        <v>750</v>
      </c>
      <c r="G345" s="5">
        <f>SUMIFS(CaseCells!G2:G999,CaseCells!C2:C999, C345,CaseCells!D2:D999, D345,CaseCells!E2:E999, E345)</f>
        <v>1000</v>
      </c>
      <c r="H345" s="3">
        <f>IF(G345 = 0, "", F345 / G345)</f>
        <v>0.75</v>
      </c>
      <c r="I345" s="5">
        <f>SUMIFS(CaseCells!F2:F999,CaseCells!C2:C999, C345,CaseCells!D2:D999, D345,CaseCells!E2:E999, "A")</f>
        <v>800</v>
      </c>
      <c r="J345" s="5">
        <f>SUMIFS(CaseCells!G2:G999,CaseCells!C2:C999, C345,CaseCells!D2:D999, D345,CaseCells!E2:E999, "A")</f>
        <v>1000</v>
      </c>
      <c r="K345" s="3">
        <f>IF(J345 = 0, "", I345 / J345)</f>
        <v>0.8</v>
      </c>
      <c r="L345" s="5">
        <f>SUMIFS(CaseCells!F2:F999,CaseCells!C2:C999, C345,CaseCells!D2:D999, D345,CaseCells!E2:E999, "B")</f>
        <v>750</v>
      </c>
      <c r="M345" s="5">
        <f>SUMIFS(CaseCells!G2:G999,CaseCells!C2:C999, C345,CaseCells!D2:D999, D345,CaseCells!E2:E999, "B")</f>
        <v>1000</v>
      </c>
      <c r="N345" s="3">
        <f>IF(M345 = 0, "", L345 / M345)</f>
        <v>0.75</v>
      </c>
      <c r="O345" s="3" t="str">
        <f>IF(K345 &gt; N345, "A", "B")</f>
        <v>A</v>
      </c>
      <c r="P345" s="5">
        <f>SUMIFS(CaseCells!G2:G999,CaseCells!C2:C999, C345)</f>
        <v>4000</v>
      </c>
      <c r="Q345" s="5">
        <f>SUMIFS(CaseCells!G2:G999,CaseCells!C2:C999, C345,CaseCells!D2:D999, D345)</f>
        <v>2000</v>
      </c>
      <c r="R345" s="3">
        <f>IF(P345 = 0, "", Q345 / P345)</f>
        <v>0.5</v>
      </c>
      <c r="S345" s="3">
        <f>IF(R345 = "", "", R345 * H345)</f>
        <v>0.375</v>
      </c>
      <c r="T345" s="5">
        <f>SUMIFS(CaseCells!G2:G999,CaseCells!C2:C999, C345,CaseCells!D2:D999, D345,CaseCells!E2:E999, "A")</f>
        <v>1000</v>
      </c>
      <c r="U345" s="5">
        <f>SUMIFS(CaseCells!G2:G999,CaseCells!C2:C999, C345,CaseCells!D2:D999, D345,CaseCells!E2:E999, "B")</f>
        <v>1000</v>
      </c>
      <c r="V345" s="5">
        <f>SUMIFS(CaseCells!G2:G999,CaseCells!C2:C999, C345,CaseCells!E2:E999, "A")</f>
        <v>2000</v>
      </c>
      <c r="W345" s="5">
        <f>SUMIFS(CaseCells!G2:G999,CaseCells!C2:C999, C345,CaseCells!E2:E999, "B")</f>
        <v>2000</v>
      </c>
      <c r="X345" s="3">
        <f>IF(V345 = 0, "", T345 / V345)</f>
        <v>0.5</v>
      </c>
      <c r="Y345" s="3">
        <f>IF(W345 = 0, "", U345 / W345)</f>
        <v>0.5</v>
      </c>
      <c r="Z345" s="3">
        <f>IF(X345 = "", "", X345 - Y345)</f>
        <v>0</v>
      </c>
      <c r="AA345" s="3">
        <f>IF(K345 = "", "", K345 - N345)</f>
        <v>0.050000000000000044</v>
      </c>
      <c r="AB345" s="3">
        <f>IF(AA345 = "", "", AA345 * R345)</f>
        <v>0.025000000000000022</v>
      </c>
    </row>
    <row r="346">
      <c r="A346" s="2" t="s">
        <v>2123</v>
      </c>
      <c r="B346" s="3" t="str">
        <f>A346</f>
        <v>sentencing-offense-type-nonviolent-offenses-A</v>
      </c>
      <c r="C346" s="2" t="s">
        <v>703</v>
      </c>
      <c r="D346" s="2" t="s">
        <v>1653</v>
      </c>
      <c r="E346" s="2" t="s">
        <v>792</v>
      </c>
      <c r="F346" s="5">
        <f>SUMIFS(CaseCells!F2:F999,CaseCells!C2:C999, C346,CaseCells!D2:D999, D346,CaseCells!E2:E999, E346)</f>
        <v>400</v>
      </c>
      <c r="G346" s="5">
        <f>SUMIFS(CaseCells!G2:G999,CaseCells!C2:C999, C346,CaseCells!D2:D999, D346,CaseCells!E2:E999, E346)</f>
        <v>1000</v>
      </c>
      <c r="H346" s="3">
        <f>IF(G346 = 0, "", F346 / G346)</f>
        <v>0.4</v>
      </c>
      <c r="I346" s="5">
        <f>SUMIFS(CaseCells!F2:F999,CaseCells!C2:C999, C346,CaseCells!D2:D999, D346,CaseCells!E2:E999, "A")</f>
        <v>400</v>
      </c>
      <c r="J346" s="5">
        <f>SUMIFS(CaseCells!G2:G999,CaseCells!C2:C999, C346,CaseCells!D2:D999, D346,CaseCells!E2:E999, "A")</f>
        <v>1000</v>
      </c>
      <c r="K346" s="3">
        <f>IF(J346 = 0, "", I346 / J346)</f>
        <v>0.4</v>
      </c>
      <c r="L346" s="5">
        <f>SUMIFS(CaseCells!F2:F999,CaseCells!C2:C999, C346,CaseCells!D2:D999, D346,CaseCells!E2:E999, "B")</f>
        <v>420</v>
      </c>
      <c r="M346" s="5">
        <f>SUMIFS(CaseCells!G2:G999,CaseCells!C2:C999, C346,CaseCells!D2:D999, D346,CaseCells!E2:E999, "B")</f>
        <v>1000</v>
      </c>
      <c r="N346" s="3">
        <f>IF(M346 = 0, "", L346 / M346)</f>
        <v>0.42</v>
      </c>
      <c r="O346" s="3" t="str">
        <f>IF(K346 &gt; N346, "A", "B")</f>
        <v>B</v>
      </c>
      <c r="P346" s="5">
        <f>SUMIFS(CaseCells!G2:G999,CaseCells!C2:C999, C346)</f>
        <v>4000</v>
      </c>
      <c r="Q346" s="5">
        <f>SUMIFS(CaseCells!G2:G999,CaseCells!C2:C999, C346,CaseCells!D2:D999, D346)</f>
        <v>2000</v>
      </c>
      <c r="R346" s="3">
        <f>IF(P346 = 0, "", Q346 / P346)</f>
        <v>0.5</v>
      </c>
      <c r="S346" s="3">
        <f>IF(R346 = "", "", R346 * H346)</f>
        <v>0.2</v>
      </c>
      <c r="T346" s="5">
        <f>SUMIFS(CaseCells!G2:G999,CaseCells!C2:C999, C346,CaseCells!D2:D999, D346,CaseCells!E2:E999, "A")</f>
        <v>1000</v>
      </c>
      <c r="U346" s="5">
        <f>SUMIFS(CaseCells!G2:G999,CaseCells!C2:C999, C346,CaseCells!D2:D999, D346,CaseCells!E2:E999, "B")</f>
        <v>1000</v>
      </c>
      <c r="V346" s="5">
        <f>SUMIFS(CaseCells!G2:G999,CaseCells!C2:C999, C346,CaseCells!E2:E999, "A")</f>
        <v>2000</v>
      </c>
      <c r="W346" s="5">
        <f>SUMIFS(CaseCells!G2:G999,CaseCells!C2:C999, C346,CaseCells!E2:E999, "B")</f>
        <v>2000</v>
      </c>
      <c r="X346" s="3">
        <f>IF(V346 = 0, "", T346 / V346)</f>
        <v>0.5</v>
      </c>
      <c r="Y346" s="3">
        <f>IF(W346 = 0, "", U346 / W346)</f>
        <v>0.5</v>
      </c>
      <c r="Z346" s="3">
        <f>IF(X346 = "", "", X346 - Y346)</f>
        <v>0</v>
      </c>
      <c r="AA346" s="3">
        <f>IF(K346 = "", "", K346 - N346)</f>
        <v>-0.019999999999999962</v>
      </c>
      <c r="AB346" s="3">
        <f>IF(AA346 = "", "", AA346 * R346)</f>
        <v>-0.009999999999999981</v>
      </c>
    </row>
    <row r="347">
      <c r="A347" s="2" t="s">
        <v>2124</v>
      </c>
      <c r="B347" s="3" t="str">
        <f>A347</f>
        <v>sentencing-offense-type-nonviolent-offenses-B</v>
      </c>
      <c r="C347" s="2" t="s">
        <v>703</v>
      </c>
      <c r="D347" s="2" t="s">
        <v>1653</v>
      </c>
      <c r="E347" s="2" t="s">
        <v>795</v>
      </c>
      <c r="F347" s="5">
        <f>SUMIFS(CaseCells!F2:F999,CaseCells!C2:C999, C347,CaseCells!D2:D999, D347,CaseCells!E2:E999, E347)</f>
        <v>420</v>
      </c>
      <c r="G347" s="5">
        <f>SUMIFS(CaseCells!G2:G999,CaseCells!C2:C999, C347,CaseCells!D2:D999, D347,CaseCells!E2:E999, E347)</f>
        <v>1000</v>
      </c>
      <c r="H347" s="3">
        <f>IF(G347 = 0, "", F347 / G347)</f>
        <v>0.42</v>
      </c>
      <c r="I347" s="5">
        <f>SUMIFS(CaseCells!F2:F999,CaseCells!C2:C999, C347,CaseCells!D2:D999, D347,CaseCells!E2:E999, "A")</f>
        <v>400</v>
      </c>
      <c r="J347" s="5">
        <f>SUMIFS(CaseCells!G2:G999,CaseCells!C2:C999, C347,CaseCells!D2:D999, D347,CaseCells!E2:E999, "A")</f>
        <v>1000</v>
      </c>
      <c r="K347" s="3">
        <f>IF(J347 = 0, "", I347 / J347)</f>
        <v>0.4</v>
      </c>
      <c r="L347" s="5">
        <f>SUMIFS(CaseCells!F2:F999,CaseCells!C2:C999, C347,CaseCells!D2:D999, D347,CaseCells!E2:E999, "B")</f>
        <v>420</v>
      </c>
      <c r="M347" s="5">
        <f>SUMIFS(CaseCells!G2:G999,CaseCells!C2:C999, C347,CaseCells!D2:D999, D347,CaseCells!E2:E999, "B")</f>
        <v>1000</v>
      </c>
      <c r="N347" s="3">
        <f>IF(M347 = 0, "", L347 / M347)</f>
        <v>0.42</v>
      </c>
      <c r="O347" s="3" t="str">
        <f>IF(K347 &gt; N347, "A", "B")</f>
        <v>B</v>
      </c>
      <c r="P347" s="5">
        <f>SUMIFS(CaseCells!G2:G999,CaseCells!C2:C999, C347)</f>
        <v>4000</v>
      </c>
      <c r="Q347" s="5">
        <f>SUMIFS(CaseCells!G2:G999,CaseCells!C2:C999, C347,CaseCells!D2:D999, D347)</f>
        <v>2000</v>
      </c>
      <c r="R347" s="3">
        <f>IF(P347 = 0, "", Q347 / P347)</f>
        <v>0.5</v>
      </c>
      <c r="S347" s="3">
        <f>IF(R347 = "", "", R347 * H347)</f>
        <v>0.21</v>
      </c>
      <c r="T347" s="5">
        <f>SUMIFS(CaseCells!G2:G999,CaseCells!C2:C999, C347,CaseCells!D2:D999, D347,CaseCells!E2:E999, "A")</f>
        <v>1000</v>
      </c>
      <c r="U347" s="5">
        <f>SUMIFS(CaseCells!G2:G999,CaseCells!C2:C999, C347,CaseCells!D2:D999, D347,CaseCells!E2:E999, "B")</f>
        <v>1000</v>
      </c>
      <c r="V347" s="5">
        <f>SUMIFS(CaseCells!G2:G999,CaseCells!C2:C999, C347,CaseCells!E2:E999, "A")</f>
        <v>2000</v>
      </c>
      <c r="W347" s="5">
        <f>SUMIFS(CaseCells!G2:G999,CaseCells!C2:C999, C347,CaseCells!E2:E999, "B")</f>
        <v>2000</v>
      </c>
      <c r="X347" s="3">
        <f>IF(V347 = 0, "", T347 / V347)</f>
        <v>0.5</v>
      </c>
      <c r="Y347" s="3">
        <f>IF(W347 = 0, "", U347 / W347)</f>
        <v>0.5</v>
      </c>
      <c r="Z347" s="3">
        <f>IF(X347 = "", "", X347 - Y347)</f>
        <v>0</v>
      </c>
      <c r="AA347" s="3">
        <f>IF(K347 = "", "", K347 - N347)</f>
        <v>-0.019999999999999962</v>
      </c>
      <c r="AB347" s="3">
        <f>IF(AA347 = "", "", AA347 * R347)</f>
        <v>-0.009999999999999981</v>
      </c>
    </row>
    <row r="348">
      <c r="A348" s="2" t="s">
        <v>2125</v>
      </c>
      <c r="B348" s="3" t="str">
        <f>A348</f>
        <v>bail-risk-score-high-risk-tier-A</v>
      </c>
      <c r="C348" s="2" t="s">
        <v>707</v>
      </c>
      <c r="D348" s="2" t="s">
        <v>1656</v>
      </c>
      <c r="E348" s="2" t="s">
        <v>792</v>
      </c>
      <c r="F348" s="5">
        <f>SUMIFS(CaseCells!F2:F999,CaseCells!C2:C999, C348,CaseCells!D2:D999, D348,CaseCells!E2:E999, E348)</f>
        <v>450</v>
      </c>
      <c r="G348" s="5">
        <f>SUMIFS(CaseCells!G2:G999,CaseCells!C2:C999, C348,CaseCells!D2:D999, D348,CaseCells!E2:E999, E348)</f>
        <v>1000</v>
      </c>
      <c r="H348" s="3">
        <f>IF(G348 = 0, "", F348 / G348)</f>
        <v>0.45</v>
      </c>
      <c r="I348" s="5">
        <f>SUMIFS(CaseCells!F2:F999,CaseCells!C2:C999, C348,CaseCells!D2:D999, D348,CaseCells!E2:E999, "A")</f>
        <v>450</v>
      </c>
      <c r="J348" s="5">
        <f>SUMIFS(CaseCells!G2:G999,CaseCells!C2:C999, C348,CaseCells!D2:D999, D348,CaseCells!E2:E999, "A")</f>
        <v>1000</v>
      </c>
      <c r="K348" s="3">
        <f>IF(J348 = 0, "", I348 / J348)</f>
        <v>0.45</v>
      </c>
      <c r="L348" s="5">
        <f>SUMIFS(CaseCells!F2:F999,CaseCells!C2:C999, C348,CaseCells!D2:D999, D348,CaseCells!E2:E999, "B")</f>
        <v>520</v>
      </c>
      <c r="M348" s="5">
        <f>SUMIFS(CaseCells!G2:G999,CaseCells!C2:C999, C348,CaseCells!D2:D999, D348,CaseCells!E2:E999, "B")</f>
        <v>1000</v>
      </c>
      <c r="N348" s="3">
        <f>IF(M348 = 0, "", L348 / M348)</f>
        <v>0.52</v>
      </c>
      <c r="O348" s="3" t="str">
        <f>IF(K348 &gt; N348, "A", "B")</f>
        <v>B</v>
      </c>
      <c r="P348" s="5">
        <f>SUMIFS(CaseCells!G2:G999,CaseCells!C2:C999, C348)</f>
        <v>4000</v>
      </c>
      <c r="Q348" s="5">
        <f>SUMIFS(CaseCells!G2:G999,CaseCells!C2:C999, C348,CaseCells!D2:D999, D348)</f>
        <v>2000</v>
      </c>
      <c r="R348" s="3">
        <f>IF(P348 = 0, "", Q348 / P348)</f>
        <v>0.5</v>
      </c>
      <c r="S348" s="3">
        <f>IF(R348 = "", "", R348 * H348)</f>
        <v>0.225</v>
      </c>
      <c r="T348" s="5">
        <f>SUMIFS(CaseCells!G2:G999,CaseCells!C2:C999, C348,CaseCells!D2:D999, D348,CaseCells!E2:E999, "A")</f>
        <v>1000</v>
      </c>
      <c r="U348" s="5">
        <f>SUMIFS(CaseCells!G2:G999,CaseCells!C2:C999, C348,CaseCells!D2:D999, D348,CaseCells!E2:E999, "B")</f>
        <v>1000</v>
      </c>
      <c r="V348" s="5">
        <f>SUMIFS(CaseCells!G2:G999,CaseCells!C2:C999, C348,CaseCells!E2:E999, "A")</f>
        <v>2000</v>
      </c>
      <c r="W348" s="5">
        <f>SUMIFS(CaseCells!G2:G999,CaseCells!C2:C999, C348,CaseCells!E2:E999, "B")</f>
        <v>2000</v>
      </c>
      <c r="X348" s="3">
        <f>IF(V348 = 0, "", T348 / V348)</f>
        <v>0.5</v>
      </c>
      <c r="Y348" s="3">
        <f>IF(W348 = 0, "", U348 / W348)</f>
        <v>0.5</v>
      </c>
      <c r="Z348" s="3">
        <f>IF(X348 = "", "", X348 - Y348)</f>
        <v>0</v>
      </c>
      <c r="AA348" s="3">
        <f>IF(K348 = "", "", K348 - N348)</f>
        <v>-0.07</v>
      </c>
      <c r="AB348" s="3">
        <f>IF(AA348 = "", "", AA348 * R348)</f>
        <v>-0.035</v>
      </c>
    </row>
    <row r="349">
      <c r="A349" s="2" t="s">
        <v>2126</v>
      </c>
      <c r="B349" s="3" t="str">
        <f>A349</f>
        <v>bail-risk-score-high-risk-tier-B</v>
      </c>
      <c r="C349" s="2" t="s">
        <v>707</v>
      </c>
      <c r="D349" s="2" t="s">
        <v>1656</v>
      </c>
      <c r="E349" s="2" t="s">
        <v>795</v>
      </c>
      <c r="F349" s="5">
        <f>SUMIFS(CaseCells!F2:F999,CaseCells!C2:C999, C349,CaseCells!D2:D999, D349,CaseCells!E2:E999, E349)</f>
        <v>520</v>
      </c>
      <c r="G349" s="5">
        <f>SUMIFS(CaseCells!G2:G999,CaseCells!C2:C999, C349,CaseCells!D2:D999, D349,CaseCells!E2:E999, E349)</f>
        <v>1000</v>
      </c>
      <c r="H349" s="3">
        <f>IF(G349 = 0, "", F349 / G349)</f>
        <v>0.52</v>
      </c>
      <c r="I349" s="5">
        <f>SUMIFS(CaseCells!F2:F999,CaseCells!C2:C999, C349,CaseCells!D2:D999, D349,CaseCells!E2:E999, "A")</f>
        <v>450</v>
      </c>
      <c r="J349" s="5">
        <f>SUMIFS(CaseCells!G2:G999,CaseCells!C2:C999, C349,CaseCells!D2:D999, D349,CaseCells!E2:E999, "A")</f>
        <v>1000</v>
      </c>
      <c r="K349" s="3">
        <f>IF(J349 = 0, "", I349 / J349)</f>
        <v>0.45</v>
      </c>
      <c r="L349" s="5">
        <f>SUMIFS(CaseCells!F2:F999,CaseCells!C2:C999, C349,CaseCells!D2:D999, D349,CaseCells!E2:E999, "B")</f>
        <v>520</v>
      </c>
      <c r="M349" s="5">
        <f>SUMIFS(CaseCells!G2:G999,CaseCells!C2:C999, C349,CaseCells!D2:D999, D349,CaseCells!E2:E999, "B")</f>
        <v>1000</v>
      </c>
      <c r="N349" s="3">
        <f>IF(M349 = 0, "", L349 / M349)</f>
        <v>0.52</v>
      </c>
      <c r="O349" s="3" t="str">
        <f>IF(K349 &gt; N349, "A", "B")</f>
        <v>B</v>
      </c>
      <c r="P349" s="5">
        <f>SUMIFS(CaseCells!G2:G999,CaseCells!C2:C999, C349)</f>
        <v>4000</v>
      </c>
      <c r="Q349" s="5">
        <f>SUMIFS(CaseCells!G2:G999,CaseCells!C2:C999, C349,CaseCells!D2:D999, D349)</f>
        <v>2000</v>
      </c>
      <c r="R349" s="3">
        <f>IF(P349 = 0, "", Q349 / P349)</f>
        <v>0.5</v>
      </c>
      <c r="S349" s="3">
        <f>IF(R349 = "", "", R349 * H349)</f>
        <v>0.26</v>
      </c>
      <c r="T349" s="5">
        <f>SUMIFS(CaseCells!G2:G999,CaseCells!C2:C999, C349,CaseCells!D2:D999, D349,CaseCells!E2:E999, "A")</f>
        <v>1000</v>
      </c>
      <c r="U349" s="5">
        <f>SUMIFS(CaseCells!G2:G999,CaseCells!C2:C999, C349,CaseCells!D2:D999, D349,CaseCells!E2:E999, "B")</f>
        <v>1000</v>
      </c>
      <c r="V349" s="5">
        <f>SUMIFS(CaseCells!G2:G999,CaseCells!C2:C999, C349,CaseCells!E2:E999, "A")</f>
        <v>2000</v>
      </c>
      <c r="W349" s="5">
        <f>SUMIFS(CaseCells!G2:G999,CaseCells!C2:C999, C349,CaseCells!E2:E999, "B")</f>
        <v>2000</v>
      </c>
      <c r="X349" s="3">
        <f>IF(V349 = 0, "", T349 / V349)</f>
        <v>0.5</v>
      </c>
      <c r="Y349" s="3">
        <f>IF(W349 = 0, "", U349 / W349)</f>
        <v>0.5</v>
      </c>
      <c r="Z349" s="3">
        <f>IF(X349 = "", "", X349 - Y349)</f>
        <v>0</v>
      </c>
      <c r="AA349" s="3">
        <f>IF(K349 = "", "", K349 - N349)</f>
        <v>-0.07</v>
      </c>
      <c r="AB349" s="3">
        <f>IF(AA349 = "", "", AA349 * R349)</f>
        <v>-0.035</v>
      </c>
    </row>
    <row r="350">
      <c r="A350" s="2" t="s">
        <v>2127</v>
      </c>
      <c r="B350" s="3" t="str">
        <f>A350</f>
        <v>bail-risk-score-low-risk-tier-A</v>
      </c>
      <c r="C350" s="2" t="s">
        <v>707</v>
      </c>
      <c r="D350" s="2" t="s">
        <v>1659</v>
      </c>
      <c r="E350" s="2" t="s">
        <v>792</v>
      </c>
      <c r="F350" s="5">
        <f>SUMIFS(CaseCells!F2:F999,CaseCells!C2:C999, C350,CaseCells!D2:D999, D350,CaseCells!E2:E999, E350)</f>
        <v>120</v>
      </c>
      <c r="G350" s="5">
        <f>SUMIFS(CaseCells!G2:G999,CaseCells!C2:C999, C350,CaseCells!D2:D999, D350,CaseCells!E2:E999, E350)</f>
        <v>1000</v>
      </c>
      <c r="H350" s="3">
        <f>IF(G350 = 0, "", F350 / G350)</f>
        <v>0.12</v>
      </c>
      <c r="I350" s="5">
        <f>SUMIFS(CaseCells!F2:F999,CaseCells!C2:C999, C350,CaseCells!D2:D999, D350,CaseCells!E2:E999, "A")</f>
        <v>120</v>
      </c>
      <c r="J350" s="5">
        <f>SUMIFS(CaseCells!G2:G999,CaseCells!C2:C999, C350,CaseCells!D2:D999, D350,CaseCells!E2:E999, "A")</f>
        <v>1000</v>
      </c>
      <c r="K350" s="3">
        <f>IF(J350 = 0, "", I350 / J350)</f>
        <v>0.12</v>
      </c>
      <c r="L350" s="5">
        <f>SUMIFS(CaseCells!F2:F999,CaseCells!C2:C999, C350,CaseCells!D2:D999, D350,CaseCells!E2:E999, "B")</f>
        <v>150</v>
      </c>
      <c r="M350" s="5">
        <f>SUMIFS(CaseCells!G2:G999,CaseCells!C2:C999, C350,CaseCells!D2:D999, D350,CaseCells!E2:E999, "B")</f>
        <v>1000</v>
      </c>
      <c r="N350" s="3">
        <f>IF(M350 = 0, "", L350 / M350)</f>
        <v>0.15</v>
      </c>
      <c r="O350" s="3" t="str">
        <f>IF(K350 &gt; N350, "A", "B")</f>
        <v>B</v>
      </c>
      <c r="P350" s="5">
        <f>SUMIFS(CaseCells!G2:G999,CaseCells!C2:C999, C350)</f>
        <v>4000</v>
      </c>
      <c r="Q350" s="5">
        <f>SUMIFS(CaseCells!G2:G999,CaseCells!C2:C999, C350,CaseCells!D2:D999, D350)</f>
        <v>2000</v>
      </c>
      <c r="R350" s="3">
        <f>IF(P350 = 0, "", Q350 / P350)</f>
        <v>0.5</v>
      </c>
      <c r="S350" s="3">
        <f>IF(R350 = "", "", R350 * H350)</f>
        <v>0.06</v>
      </c>
      <c r="T350" s="5">
        <f>SUMIFS(CaseCells!G2:G999,CaseCells!C2:C999, C350,CaseCells!D2:D999, D350,CaseCells!E2:E999, "A")</f>
        <v>1000</v>
      </c>
      <c r="U350" s="5">
        <f>SUMIFS(CaseCells!G2:G999,CaseCells!C2:C999, C350,CaseCells!D2:D999, D350,CaseCells!E2:E999, "B")</f>
        <v>1000</v>
      </c>
      <c r="V350" s="5">
        <f>SUMIFS(CaseCells!G2:G999,CaseCells!C2:C999, C350,CaseCells!E2:E999, "A")</f>
        <v>2000</v>
      </c>
      <c r="W350" s="5">
        <f>SUMIFS(CaseCells!G2:G999,CaseCells!C2:C999, C350,CaseCells!E2:E999, "B")</f>
        <v>2000</v>
      </c>
      <c r="X350" s="3">
        <f>IF(V350 = 0, "", T350 / V350)</f>
        <v>0.5</v>
      </c>
      <c r="Y350" s="3">
        <f>IF(W350 = 0, "", U350 / W350)</f>
        <v>0.5</v>
      </c>
      <c r="Z350" s="3">
        <f>IF(X350 = "", "", X350 - Y350)</f>
        <v>0</v>
      </c>
      <c r="AA350" s="3">
        <f>IF(K350 = "", "", K350 - N350)</f>
        <v>-0.03</v>
      </c>
      <c r="AB350" s="3">
        <f>IF(AA350 = "", "", AA350 * R350)</f>
        <v>-0.015</v>
      </c>
    </row>
    <row r="351">
      <c r="A351" s="2" t="s">
        <v>2128</v>
      </c>
      <c r="B351" s="3" t="str">
        <f>A351</f>
        <v>bail-risk-score-low-risk-tier-B</v>
      </c>
      <c r="C351" s="2" t="s">
        <v>707</v>
      </c>
      <c r="D351" s="2" t="s">
        <v>1659</v>
      </c>
      <c r="E351" s="2" t="s">
        <v>795</v>
      </c>
      <c r="F351" s="5">
        <f>SUMIFS(CaseCells!F2:F999,CaseCells!C2:C999, C351,CaseCells!D2:D999, D351,CaseCells!E2:E999, E351)</f>
        <v>150</v>
      </c>
      <c r="G351" s="5">
        <f>SUMIFS(CaseCells!G2:G999,CaseCells!C2:C999, C351,CaseCells!D2:D999, D351,CaseCells!E2:E999, E351)</f>
        <v>1000</v>
      </c>
      <c r="H351" s="3">
        <f>IF(G351 = 0, "", F351 / G351)</f>
        <v>0.15</v>
      </c>
      <c r="I351" s="5">
        <f>SUMIFS(CaseCells!F2:F999,CaseCells!C2:C999, C351,CaseCells!D2:D999, D351,CaseCells!E2:E999, "A")</f>
        <v>120</v>
      </c>
      <c r="J351" s="5">
        <f>SUMIFS(CaseCells!G2:G999,CaseCells!C2:C999, C351,CaseCells!D2:D999, D351,CaseCells!E2:E999, "A")</f>
        <v>1000</v>
      </c>
      <c r="K351" s="3">
        <f>IF(J351 = 0, "", I351 / J351)</f>
        <v>0.12</v>
      </c>
      <c r="L351" s="5">
        <f>SUMIFS(CaseCells!F2:F999,CaseCells!C2:C999, C351,CaseCells!D2:D999, D351,CaseCells!E2:E999, "B")</f>
        <v>150</v>
      </c>
      <c r="M351" s="5">
        <f>SUMIFS(CaseCells!G2:G999,CaseCells!C2:C999, C351,CaseCells!D2:D999, D351,CaseCells!E2:E999, "B")</f>
        <v>1000</v>
      </c>
      <c r="N351" s="3">
        <f>IF(M351 = 0, "", L351 / M351)</f>
        <v>0.15</v>
      </c>
      <c r="O351" s="3" t="str">
        <f>IF(K351 &gt; N351, "A", "B")</f>
        <v>B</v>
      </c>
      <c r="P351" s="5">
        <f>SUMIFS(CaseCells!G2:G999,CaseCells!C2:C999, C351)</f>
        <v>4000</v>
      </c>
      <c r="Q351" s="5">
        <f>SUMIFS(CaseCells!G2:G999,CaseCells!C2:C999, C351,CaseCells!D2:D999, D351)</f>
        <v>2000</v>
      </c>
      <c r="R351" s="3">
        <f>IF(P351 = 0, "", Q351 / P351)</f>
        <v>0.5</v>
      </c>
      <c r="S351" s="3">
        <f>IF(R351 = "", "", R351 * H351)</f>
        <v>0.075</v>
      </c>
      <c r="T351" s="5">
        <f>SUMIFS(CaseCells!G2:G999,CaseCells!C2:C999, C351,CaseCells!D2:D999, D351,CaseCells!E2:E999, "A")</f>
        <v>1000</v>
      </c>
      <c r="U351" s="5">
        <f>SUMIFS(CaseCells!G2:G999,CaseCells!C2:C999, C351,CaseCells!D2:D999, D351,CaseCells!E2:E999, "B")</f>
        <v>1000</v>
      </c>
      <c r="V351" s="5">
        <f>SUMIFS(CaseCells!G2:G999,CaseCells!C2:C999, C351,CaseCells!E2:E999, "A")</f>
        <v>2000</v>
      </c>
      <c r="W351" s="5">
        <f>SUMIFS(CaseCells!G2:G999,CaseCells!C2:C999, C351,CaseCells!E2:E999, "B")</f>
        <v>2000</v>
      </c>
      <c r="X351" s="3">
        <f>IF(V351 = 0, "", T351 / V351)</f>
        <v>0.5</v>
      </c>
      <c r="Y351" s="3">
        <f>IF(W351 = 0, "", U351 / W351)</f>
        <v>0.5</v>
      </c>
      <c r="Z351" s="3">
        <f>IF(X351 = "", "", X351 - Y351)</f>
        <v>0</v>
      </c>
      <c r="AA351" s="3">
        <f>IF(K351 = "", "", K351 - N351)</f>
        <v>-0.03</v>
      </c>
      <c r="AB351" s="3">
        <f>IF(AA351 = "", "", AA351 * R351)</f>
        <v>-0.015</v>
      </c>
    </row>
    <row r="352">
      <c r="A352" s="2" t="s">
        <v>2129</v>
      </c>
      <c r="B352" s="3" t="str">
        <f>A352</f>
        <v>police-force-encounter-discretionary-stop-A</v>
      </c>
      <c r="C352" s="2" t="s">
        <v>711</v>
      </c>
      <c r="D352" s="2" t="s">
        <v>1662</v>
      </c>
      <c r="E352" s="2" t="s">
        <v>792</v>
      </c>
      <c r="F352" s="5">
        <f>SUMIFS(CaseCells!F2:F999,CaseCells!C2:C999, C352,CaseCells!D2:D999, D352,CaseCells!E2:E999, E352)</f>
        <v>180</v>
      </c>
      <c r="G352" s="5">
        <f>SUMIFS(CaseCells!G2:G999,CaseCells!C2:C999, C352,CaseCells!D2:D999, D352,CaseCells!E2:E999, E352)</f>
        <v>1000</v>
      </c>
      <c r="H352" s="3">
        <f>IF(G352 = 0, "", F352 / G352)</f>
        <v>0.18</v>
      </c>
      <c r="I352" s="5">
        <f>SUMIFS(CaseCells!F2:F999,CaseCells!C2:C999, C352,CaseCells!D2:D999, D352,CaseCells!E2:E999, "A")</f>
        <v>180</v>
      </c>
      <c r="J352" s="5">
        <f>SUMIFS(CaseCells!G2:G999,CaseCells!C2:C999, C352,CaseCells!D2:D999, D352,CaseCells!E2:E999, "A")</f>
        <v>1000</v>
      </c>
      <c r="K352" s="3">
        <f>IF(J352 = 0, "", I352 / J352)</f>
        <v>0.18</v>
      </c>
      <c r="L352" s="5">
        <f>SUMIFS(CaseCells!F2:F999,CaseCells!C2:C999, C352,CaseCells!D2:D999, D352,CaseCells!E2:E999, "B")</f>
        <v>50</v>
      </c>
      <c r="M352" s="5">
        <f>SUMIFS(CaseCells!G2:G999,CaseCells!C2:C999, C352,CaseCells!D2:D999, D352,CaseCells!E2:E999, "B")</f>
        <v>1000</v>
      </c>
      <c r="N352" s="3">
        <f>IF(M352 = 0, "", L352 / M352)</f>
        <v>0.05</v>
      </c>
      <c r="O352" s="3" t="str">
        <f>IF(K352 &gt; N352, "A", "B")</f>
        <v>A</v>
      </c>
      <c r="P352" s="5">
        <f>SUMIFS(CaseCells!G2:G999,CaseCells!C2:C999, C352)</f>
        <v>4000</v>
      </c>
      <c r="Q352" s="5">
        <f>SUMIFS(CaseCells!G2:G999,CaseCells!C2:C999, C352,CaseCells!D2:D999, D352)</f>
        <v>2000</v>
      </c>
      <c r="R352" s="3">
        <f>IF(P352 = 0, "", Q352 / P352)</f>
        <v>0.5</v>
      </c>
      <c r="S352" s="3">
        <f>IF(R352 = "", "", R352 * H352)</f>
        <v>0.09</v>
      </c>
      <c r="T352" s="5">
        <f>SUMIFS(CaseCells!G2:G999,CaseCells!C2:C999, C352,CaseCells!D2:D999, D352,CaseCells!E2:E999, "A")</f>
        <v>1000</v>
      </c>
      <c r="U352" s="5">
        <f>SUMIFS(CaseCells!G2:G999,CaseCells!C2:C999, C352,CaseCells!D2:D999, D352,CaseCells!E2:E999, "B")</f>
        <v>1000</v>
      </c>
      <c r="V352" s="5">
        <f>SUMIFS(CaseCells!G2:G999,CaseCells!C2:C999, C352,CaseCells!E2:E999, "A")</f>
        <v>2000</v>
      </c>
      <c r="W352" s="5">
        <f>SUMIFS(CaseCells!G2:G999,CaseCells!C2:C999, C352,CaseCells!E2:E999, "B")</f>
        <v>2000</v>
      </c>
      <c r="X352" s="3">
        <f>IF(V352 = 0, "", T352 / V352)</f>
        <v>0.5</v>
      </c>
      <c r="Y352" s="3">
        <f>IF(W352 = 0, "", U352 / W352)</f>
        <v>0.5</v>
      </c>
      <c r="Z352" s="3">
        <f>IF(X352 = "", "", X352 - Y352)</f>
        <v>0</v>
      </c>
      <c r="AA352" s="3">
        <f>IF(K352 = "", "", K352 - N352)</f>
        <v>0.13</v>
      </c>
      <c r="AB352" s="3">
        <f>IF(AA352 = "", "", AA352 * R352)</f>
        <v>0.065</v>
      </c>
    </row>
    <row r="353">
      <c r="A353" s="2" t="s">
        <v>2130</v>
      </c>
      <c r="B353" s="3" t="str">
        <f>A353</f>
        <v>police-force-encounter-discretionary-stop-B</v>
      </c>
      <c r="C353" s="2" t="s">
        <v>711</v>
      </c>
      <c r="D353" s="2" t="s">
        <v>1662</v>
      </c>
      <c r="E353" s="2" t="s">
        <v>795</v>
      </c>
      <c r="F353" s="5">
        <f>SUMIFS(CaseCells!F2:F999,CaseCells!C2:C999, C353,CaseCells!D2:D999, D353,CaseCells!E2:E999, E353)</f>
        <v>50</v>
      </c>
      <c r="G353" s="5">
        <f>SUMIFS(CaseCells!G2:G999,CaseCells!C2:C999, C353,CaseCells!D2:D999, D353,CaseCells!E2:E999, E353)</f>
        <v>1000</v>
      </c>
      <c r="H353" s="3">
        <f>IF(G353 = 0, "", F353 / G353)</f>
        <v>0.05</v>
      </c>
      <c r="I353" s="5">
        <f>SUMIFS(CaseCells!F2:F999,CaseCells!C2:C999, C353,CaseCells!D2:D999, D353,CaseCells!E2:E999, "A")</f>
        <v>180</v>
      </c>
      <c r="J353" s="5">
        <f>SUMIFS(CaseCells!G2:G999,CaseCells!C2:C999, C353,CaseCells!D2:D999, D353,CaseCells!E2:E999, "A")</f>
        <v>1000</v>
      </c>
      <c r="K353" s="3">
        <f>IF(J353 = 0, "", I353 / J353)</f>
        <v>0.18</v>
      </c>
      <c r="L353" s="5">
        <f>SUMIFS(CaseCells!F2:F999,CaseCells!C2:C999, C353,CaseCells!D2:D999, D353,CaseCells!E2:E999, "B")</f>
        <v>50</v>
      </c>
      <c r="M353" s="5">
        <f>SUMIFS(CaseCells!G2:G999,CaseCells!C2:C999, C353,CaseCells!D2:D999, D353,CaseCells!E2:E999, "B")</f>
        <v>1000</v>
      </c>
      <c r="N353" s="3">
        <f>IF(M353 = 0, "", L353 / M353)</f>
        <v>0.05</v>
      </c>
      <c r="O353" s="3" t="str">
        <f>IF(K353 &gt; N353, "A", "B")</f>
        <v>A</v>
      </c>
      <c r="P353" s="5">
        <f>SUMIFS(CaseCells!G2:G999,CaseCells!C2:C999, C353)</f>
        <v>4000</v>
      </c>
      <c r="Q353" s="5">
        <f>SUMIFS(CaseCells!G2:G999,CaseCells!C2:C999, C353,CaseCells!D2:D999, D353)</f>
        <v>2000</v>
      </c>
      <c r="R353" s="3">
        <f>IF(P353 = 0, "", Q353 / P353)</f>
        <v>0.5</v>
      </c>
      <c r="S353" s="3">
        <f>IF(R353 = "", "", R353 * H353)</f>
        <v>0.025</v>
      </c>
      <c r="T353" s="5">
        <f>SUMIFS(CaseCells!G2:G999,CaseCells!C2:C999, C353,CaseCells!D2:D999, D353,CaseCells!E2:E999, "A")</f>
        <v>1000</v>
      </c>
      <c r="U353" s="5">
        <f>SUMIFS(CaseCells!G2:G999,CaseCells!C2:C999, C353,CaseCells!D2:D999, D353,CaseCells!E2:E999, "B")</f>
        <v>1000</v>
      </c>
      <c r="V353" s="5">
        <f>SUMIFS(CaseCells!G2:G999,CaseCells!C2:C999, C353,CaseCells!E2:E999, "A")</f>
        <v>2000</v>
      </c>
      <c r="W353" s="5">
        <f>SUMIFS(CaseCells!G2:G999,CaseCells!C2:C999, C353,CaseCells!E2:E999, "B")</f>
        <v>2000</v>
      </c>
      <c r="X353" s="3">
        <f>IF(V353 = 0, "", T353 / V353)</f>
        <v>0.5</v>
      </c>
      <c r="Y353" s="3">
        <f>IF(W353 = 0, "", U353 / W353)</f>
        <v>0.5</v>
      </c>
      <c r="Z353" s="3">
        <f>IF(X353 = "", "", X353 - Y353)</f>
        <v>0</v>
      </c>
      <c r="AA353" s="3">
        <f>IF(K353 = "", "", K353 - N353)</f>
        <v>0.13</v>
      </c>
      <c r="AB353" s="3">
        <f>IF(AA353 = "", "", AA353 * R353)</f>
        <v>0.065</v>
      </c>
    </row>
    <row r="354">
      <c r="A354" s="2" t="s">
        <v>2131</v>
      </c>
      <c r="B354" s="3" t="str">
        <f>A354</f>
        <v>police-force-encounter-high-risk-call-A</v>
      </c>
      <c r="C354" s="2" t="s">
        <v>711</v>
      </c>
      <c r="D354" s="2" t="s">
        <v>1665</v>
      </c>
      <c r="E354" s="2" t="s">
        <v>792</v>
      </c>
      <c r="F354" s="5">
        <f>SUMIFS(CaseCells!F2:F999,CaseCells!C2:C999, C354,CaseCells!D2:D999, D354,CaseCells!E2:E999, E354)</f>
        <v>400</v>
      </c>
      <c r="G354" s="5">
        <f>SUMIFS(CaseCells!G2:G999,CaseCells!C2:C999, C354,CaseCells!D2:D999, D354,CaseCells!E2:E999, E354)</f>
        <v>1000</v>
      </c>
      <c r="H354" s="3">
        <f>IF(G354 = 0, "", F354 / G354)</f>
        <v>0.4</v>
      </c>
      <c r="I354" s="5">
        <f>SUMIFS(CaseCells!F2:F999,CaseCells!C2:C999, C354,CaseCells!D2:D999, D354,CaseCells!E2:E999, "A")</f>
        <v>400</v>
      </c>
      <c r="J354" s="5">
        <f>SUMIFS(CaseCells!G2:G999,CaseCells!C2:C999, C354,CaseCells!D2:D999, D354,CaseCells!E2:E999, "A")</f>
        <v>1000</v>
      </c>
      <c r="K354" s="3">
        <f>IF(J354 = 0, "", I354 / J354)</f>
        <v>0.4</v>
      </c>
      <c r="L354" s="5">
        <f>SUMIFS(CaseCells!F2:F999,CaseCells!C2:C999, C354,CaseCells!D2:D999, D354,CaseCells!E2:E999, "B")</f>
        <v>120</v>
      </c>
      <c r="M354" s="5">
        <f>SUMIFS(CaseCells!G2:G999,CaseCells!C2:C999, C354,CaseCells!D2:D999, D354,CaseCells!E2:E999, "B")</f>
        <v>1000</v>
      </c>
      <c r="N354" s="3">
        <f>IF(M354 = 0, "", L354 / M354)</f>
        <v>0.12</v>
      </c>
      <c r="O354" s="3" t="str">
        <f>IF(K354 &gt; N354, "A", "B")</f>
        <v>A</v>
      </c>
      <c r="P354" s="5">
        <f>SUMIFS(CaseCells!G2:G999,CaseCells!C2:C999, C354)</f>
        <v>4000</v>
      </c>
      <c r="Q354" s="5">
        <f>SUMIFS(CaseCells!G2:G999,CaseCells!C2:C999, C354,CaseCells!D2:D999, D354)</f>
        <v>2000</v>
      </c>
      <c r="R354" s="3">
        <f>IF(P354 = 0, "", Q354 / P354)</f>
        <v>0.5</v>
      </c>
      <c r="S354" s="3">
        <f>IF(R354 = "", "", R354 * H354)</f>
        <v>0.2</v>
      </c>
      <c r="T354" s="5">
        <f>SUMIFS(CaseCells!G2:G999,CaseCells!C2:C999, C354,CaseCells!D2:D999, D354,CaseCells!E2:E999, "A")</f>
        <v>1000</v>
      </c>
      <c r="U354" s="5">
        <f>SUMIFS(CaseCells!G2:G999,CaseCells!C2:C999, C354,CaseCells!D2:D999, D354,CaseCells!E2:E999, "B")</f>
        <v>1000</v>
      </c>
      <c r="V354" s="5">
        <f>SUMIFS(CaseCells!G2:G999,CaseCells!C2:C999, C354,CaseCells!E2:E999, "A")</f>
        <v>2000</v>
      </c>
      <c r="W354" s="5">
        <f>SUMIFS(CaseCells!G2:G999,CaseCells!C2:C999, C354,CaseCells!E2:E999, "B")</f>
        <v>2000</v>
      </c>
      <c r="X354" s="3">
        <f>IF(V354 = 0, "", T354 / V354)</f>
        <v>0.5</v>
      </c>
      <c r="Y354" s="3">
        <f>IF(W354 = 0, "", U354 / W354)</f>
        <v>0.5</v>
      </c>
      <c r="Z354" s="3">
        <f>IF(X354 = "", "", X354 - Y354)</f>
        <v>0</v>
      </c>
      <c r="AA354" s="3">
        <f>IF(K354 = "", "", K354 - N354)</f>
        <v>0.28</v>
      </c>
      <c r="AB354" s="3">
        <f>IF(AA354 = "", "", AA354 * R354)</f>
        <v>0.14</v>
      </c>
    </row>
    <row r="355">
      <c r="A355" s="2" t="s">
        <v>2132</v>
      </c>
      <c r="B355" s="3" t="str">
        <f>A355</f>
        <v>police-force-encounter-high-risk-call-B</v>
      </c>
      <c r="C355" s="2" t="s">
        <v>711</v>
      </c>
      <c r="D355" s="2" t="s">
        <v>1665</v>
      </c>
      <c r="E355" s="2" t="s">
        <v>795</v>
      </c>
      <c r="F355" s="5">
        <f>SUMIFS(CaseCells!F2:F999,CaseCells!C2:C999, C355,CaseCells!D2:D999, D355,CaseCells!E2:E999, E355)</f>
        <v>120</v>
      </c>
      <c r="G355" s="5">
        <f>SUMIFS(CaseCells!G2:G999,CaseCells!C2:C999, C355,CaseCells!D2:D999, D355,CaseCells!E2:E999, E355)</f>
        <v>1000</v>
      </c>
      <c r="H355" s="3">
        <f>IF(G355 = 0, "", F355 / G355)</f>
        <v>0.12</v>
      </c>
      <c r="I355" s="5">
        <f>SUMIFS(CaseCells!F2:F999,CaseCells!C2:C999, C355,CaseCells!D2:D999, D355,CaseCells!E2:E999, "A")</f>
        <v>400</v>
      </c>
      <c r="J355" s="5">
        <f>SUMIFS(CaseCells!G2:G999,CaseCells!C2:C999, C355,CaseCells!D2:D999, D355,CaseCells!E2:E999, "A")</f>
        <v>1000</v>
      </c>
      <c r="K355" s="3">
        <f>IF(J355 = 0, "", I355 / J355)</f>
        <v>0.4</v>
      </c>
      <c r="L355" s="5">
        <f>SUMIFS(CaseCells!F2:F999,CaseCells!C2:C999, C355,CaseCells!D2:D999, D355,CaseCells!E2:E999, "B")</f>
        <v>120</v>
      </c>
      <c r="M355" s="5">
        <f>SUMIFS(CaseCells!G2:G999,CaseCells!C2:C999, C355,CaseCells!D2:D999, D355,CaseCells!E2:E999, "B")</f>
        <v>1000</v>
      </c>
      <c r="N355" s="3">
        <f>IF(M355 = 0, "", L355 / M355)</f>
        <v>0.12</v>
      </c>
      <c r="O355" s="3" t="str">
        <f>IF(K355 &gt; N355, "A", "B")</f>
        <v>A</v>
      </c>
      <c r="P355" s="5">
        <f>SUMIFS(CaseCells!G2:G999,CaseCells!C2:C999, C355)</f>
        <v>4000</v>
      </c>
      <c r="Q355" s="5">
        <f>SUMIFS(CaseCells!G2:G999,CaseCells!C2:C999, C355,CaseCells!D2:D999, D355)</f>
        <v>2000</v>
      </c>
      <c r="R355" s="3">
        <f>IF(P355 = 0, "", Q355 / P355)</f>
        <v>0.5</v>
      </c>
      <c r="S355" s="3">
        <f>IF(R355 = "", "", R355 * H355)</f>
        <v>0.06</v>
      </c>
      <c r="T355" s="5">
        <f>SUMIFS(CaseCells!G2:G999,CaseCells!C2:C999, C355,CaseCells!D2:D999, D355,CaseCells!E2:E999, "A")</f>
        <v>1000</v>
      </c>
      <c r="U355" s="5">
        <f>SUMIFS(CaseCells!G2:G999,CaseCells!C2:C999, C355,CaseCells!D2:D999, D355,CaseCells!E2:E999, "B")</f>
        <v>1000</v>
      </c>
      <c r="V355" s="5">
        <f>SUMIFS(CaseCells!G2:G999,CaseCells!C2:C999, C355,CaseCells!E2:E999, "A")</f>
        <v>2000</v>
      </c>
      <c r="W355" s="5">
        <f>SUMIFS(CaseCells!G2:G999,CaseCells!C2:C999, C355,CaseCells!E2:E999, "B")</f>
        <v>2000</v>
      </c>
      <c r="X355" s="3">
        <f>IF(V355 = 0, "", T355 / V355)</f>
        <v>0.5</v>
      </c>
      <c r="Y355" s="3">
        <f>IF(W355 = 0, "", U355 / W355)</f>
        <v>0.5</v>
      </c>
      <c r="Z355" s="3">
        <f>IF(X355 = "", "", X355 - Y355)</f>
        <v>0</v>
      </c>
      <c r="AA355" s="3">
        <f>IF(K355 = "", "", K355 - N355)</f>
        <v>0.28</v>
      </c>
      <c r="AB355" s="3">
        <f>IF(AA355 = "", "", AA355 * R355)</f>
        <v>0.14</v>
      </c>
    </row>
    <row r="356">
      <c r="A356" s="2" t="s">
        <v>2133</v>
      </c>
      <c r="B356" s="3" t="str">
        <f>A356</f>
        <v>uc-systemwide-admissions-high-selectivity-major-A</v>
      </c>
      <c r="C356" s="2" t="s">
        <v>715</v>
      </c>
      <c r="D356" s="2" t="s">
        <v>1668</v>
      </c>
      <c r="E356" s="2" t="s">
        <v>792</v>
      </c>
      <c r="F356" s="5">
        <f>SUMIFS(CaseCells!F2:F999,CaseCells!C2:C999, C356,CaseCells!D2:D999, D356,CaseCells!E2:E999, E356)</f>
        <v>120</v>
      </c>
      <c r="G356" s="5">
        <f>SUMIFS(CaseCells!G2:G999,CaseCells!C2:C999, C356,CaseCells!D2:D999, D356,CaseCells!E2:E999, E356)</f>
        <v>1000</v>
      </c>
      <c r="H356" s="3">
        <f>IF(G356 = 0, "", F356 / G356)</f>
        <v>0.12</v>
      </c>
      <c r="I356" s="5">
        <f>SUMIFS(CaseCells!F2:F999,CaseCells!C2:C999, C356,CaseCells!D2:D999, D356,CaseCells!E2:E999, "A")</f>
        <v>120</v>
      </c>
      <c r="J356" s="5">
        <f>SUMIFS(CaseCells!G2:G999,CaseCells!C2:C999, C356,CaseCells!D2:D999, D356,CaseCells!E2:E999, "A")</f>
        <v>1000</v>
      </c>
      <c r="K356" s="3">
        <f>IF(J356 = 0, "", I356 / J356)</f>
        <v>0.12</v>
      </c>
      <c r="L356" s="5">
        <f>SUMIFS(CaseCells!F2:F999,CaseCells!C2:C999, C356,CaseCells!D2:D999, D356,CaseCells!E2:E999, "B")</f>
        <v>140</v>
      </c>
      <c r="M356" s="5">
        <f>SUMIFS(CaseCells!G2:G999,CaseCells!C2:C999, C356,CaseCells!D2:D999, D356,CaseCells!E2:E999, "B")</f>
        <v>1000</v>
      </c>
      <c r="N356" s="3">
        <f>IF(M356 = 0, "", L356 / M356)</f>
        <v>0.14</v>
      </c>
      <c r="O356" s="3" t="str">
        <f>IF(K356 &gt; N356, "A", "B")</f>
        <v>B</v>
      </c>
      <c r="P356" s="5">
        <f>SUMIFS(CaseCells!G2:G999,CaseCells!C2:C999, C356)</f>
        <v>4000</v>
      </c>
      <c r="Q356" s="5">
        <f>SUMIFS(CaseCells!G2:G999,CaseCells!C2:C999, C356,CaseCells!D2:D999, D356)</f>
        <v>2000</v>
      </c>
      <c r="R356" s="3">
        <f>IF(P356 = 0, "", Q356 / P356)</f>
        <v>0.5</v>
      </c>
      <c r="S356" s="3">
        <f>IF(R356 = "", "", R356 * H356)</f>
        <v>0.06</v>
      </c>
      <c r="T356" s="5">
        <f>SUMIFS(CaseCells!G2:G999,CaseCells!C2:C999, C356,CaseCells!D2:D999, D356,CaseCells!E2:E999, "A")</f>
        <v>1000</v>
      </c>
      <c r="U356" s="5">
        <f>SUMIFS(CaseCells!G2:G999,CaseCells!C2:C999, C356,CaseCells!D2:D999, D356,CaseCells!E2:E999, "B")</f>
        <v>1000</v>
      </c>
      <c r="V356" s="5">
        <f>SUMIFS(CaseCells!G2:G999,CaseCells!C2:C999, C356,CaseCells!E2:E999, "A")</f>
        <v>2000</v>
      </c>
      <c r="W356" s="5">
        <f>SUMIFS(CaseCells!G2:G999,CaseCells!C2:C999, C356,CaseCells!E2:E999, "B")</f>
        <v>2000</v>
      </c>
      <c r="X356" s="3">
        <f>IF(V356 = 0, "", T356 / V356)</f>
        <v>0.5</v>
      </c>
      <c r="Y356" s="3">
        <f>IF(W356 = 0, "", U356 / W356)</f>
        <v>0.5</v>
      </c>
      <c r="Z356" s="3">
        <f>IF(X356 = "", "", X356 - Y356)</f>
        <v>0</v>
      </c>
      <c r="AA356" s="3">
        <f>IF(K356 = "", "", K356 - N356)</f>
        <v>-0.020000000000000018</v>
      </c>
      <c r="AB356" s="3">
        <f>IF(AA356 = "", "", AA356 * R356)</f>
        <v>-0.010000000000000009</v>
      </c>
    </row>
    <row r="357">
      <c r="A357" s="2" t="s">
        <v>2134</v>
      </c>
      <c r="B357" s="3" t="str">
        <f>A357</f>
        <v>uc-systemwide-admissions-high-selectivity-major-B</v>
      </c>
      <c r="C357" s="2" t="s">
        <v>715</v>
      </c>
      <c r="D357" s="2" t="s">
        <v>1668</v>
      </c>
      <c r="E357" s="2" t="s">
        <v>795</v>
      </c>
      <c r="F357" s="5">
        <f>SUMIFS(CaseCells!F2:F999,CaseCells!C2:C999, C357,CaseCells!D2:D999, D357,CaseCells!E2:E999, E357)</f>
        <v>140</v>
      </c>
      <c r="G357" s="5">
        <f>SUMIFS(CaseCells!G2:G999,CaseCells!C2:C999, C357,CaseCells!D2:D999, D357,CaseCells!E2:E999, E357)</f>
        <v>1000</v>
      </c>
      <c r="H357" s="3">
        <f>IF(G357 = 0, "", F357 / G357)</f>
        <v>0.14</v>
      </c>
      <c r="I357" s="5">
        <f>SUMIFS(CaseCells!F2:F999,CaseCells!C2:C999, C357,CaseCells!D2:D999, D357,CaseCells!E2:E999, "A")</f>
        <v>120</v>
      </c>
      <c r="J357" s="5">
        <f>SUMIFS(CaseCells!G2:G999,CaseCells!C2:C999, C357,CaseCells!D2:D999, D357,CaseCells!E2:E999, "A")</f>
        <v>1000</v>
      </c>
      <c r="K357" s="3">
        <f>IF(J357 = 0, "", I357 / J357)</f>
        <v>0.12</v>
      </c>
      <c r="L357" s="5">
        <f>SUMIFS(CaseCells!F2:F999,CaseCells!C2:C999, C357,CaseCells!D2:D999, D357,CaseCells!E2:E999, "B")</f>
        <v>140</v>
      </c>
      <c r="M357" s="5">
        <f>SUMIFS(CaseCells!G2:G999,CaseCells!C2:C999, C357,CaseCells!D2:D999, D357,CaseCells!E2:E999, "B")</f>
        <v>1000</v>
      </c>
      <c r="N357" s="3">
        <f>IF(M357 = 0, "", L357 / M357)</f>
        <v>0.14</v>
      </c>
      <c r="O357" s="3" t="str">
        <f>IF(K357 &gt; N357, "A", "B")</f>
        <v>B</v>
      </c>
      <c r="P357" s="5">
        <f>SUMIFS(CaseCells!G2:G999,CaseCells!C2:C999, C357)</f>
        <v>4000</v>
      </c>
      <c r="Q357" s="5">
        <f>SUMIFS(CaseCells!G2:G999,CaseCells!C2:C999, C357,CaseCells!D2:D999, D357)</f>
        <v>2000</v>
      </c>
      <c r="R357" s="3">
        <f>IF(P357 = 0, "", Q357 / P357)</f>
        <v>0.5</v>
      </c>
      <c r="S357" s="3">
        <f>IF(R357 = "", "", R357 * H357)</f>
        <v>0.07</v>
      </c>
      <c r="T357" s="5">
        <f>SUMIFS(CaseCells!G2:G999,CaseCells!C2:C999, C357,CaseCells!D2:D999, D357,CaseCells!E2:E999, "A")</f>
        <v>1000</v>
      </c>
      <c r="U357" s="5">
        <f>SUMIFS(CaseCells!G2:G999,CaseCells!C2:C999, C357,CaseCells!D2:D999, D357,CaseCells!E2:E999, "B")</f>
        <v>1000</v>
      </c>
      <c r="V357" s="5">
        <f>SUMIFS(CaseCells!G2:G999,CaseCells!C2:C999, C357,CaseCells!E2:E999, "A")</f>
        <v>2000</v>
      </c>
      <c r="W357" s="5">
        <f>SUMIFS(CaseCells!G2:G999,CaseCells!C2:C999, C357,CaseCells!E2:E999, "B")</f>
        <v>2000</v>
      </c>
      <c r="X357" s="3">
        <f>IF(V357 = 0, "", T357 / V357)</f>
        <v>0.5</v>
      </c>
      <c r="Y357" s="3">
        <f>IF(W357 = 0, "", U357 / W357)</f>
        <v>0.5</v>
      </c>
      <c r="Z357" s="3">
        <f>IF(X357 = "", "", X357 - Y357)</f>
        <v>0</v>
      </c>
      <c r="AA357" s="3">
        <f>IF(K357 = "", "", K357 - N357)</f>
        <v>-0.020000000000000018</v>
      </c>
      <c r="AB357" s="3">
        <f>IF(AA357 = "", "", AA357 * R357)</f>
        <v>-0.010000000000000009</v>
      </c>
    </row>
    <row r="358">
      <c r="A358" s="2" t="s">
        <v>2135</v>
      </c>
      <c r="B358" s="3" t="str">
        <f>A358</f>
        <v>uc-systemwide-admissions-lower-selectivity-major-A</v>
      </c>
      <c r="C358" s="2" t="s">
        <v>715</v>
      </c>
      <c r="D358" s="2" t="s">
        <v>1671</v>
      </c>
      <c r="E358" s="2" t="s">
        <v>792</v>
      </c>
      <c r="F358" s="5">
        <f>SUMIFS(CaseCells!F2:F999,CaseCells!C2:C999, C358,CaseCells!D2:D999, D358,CaseCells!E2:E999, E358)</f>
        <v>650</v>
      </c>
      <c r="G358" s="5">
        <f>SUMIFS(CaseCells!G2:G999,CaseCells!C2:C999, C358,CaseCells!D2:D999, D358,CaseCells!E2:E999, E358)</f>
        <v>1000</v>
      </c>
      <c r="H358" s="3">
        <f>IF(G358 = 0, "", F358 / G358)</f>
        <v>0.65</v>
      </c>
      <c r="I358" s="5">
        <f>SUMIFS(CaseCells!F2:F999,CaseCells!C2:C999, C358,CaseCells!D2:D999, D358,CaseCells!E2:E999, "A")</f>
        <v>650</v>
      </c>
      <c r="J358" s="5">
        <f>SUMIFS(CaseCells!G2:G999,CaseCells!C2:C999, C358,CaseCells!D2:D999, D358,CaseCells!E2:E999, "A")</f>
        <v>1000</v>
      </c>
      <c r="K358" s="3">
        <f>IF(J358 = 0, "", I358 / J358)</f>
        <v>0.65</v>
      </c>
      <c r="L358" s="5">
        <f>SUMIFS(CaseCells!F2:F999,CaseCells!C2:C999, C358,CaseCells!D2:D999, D358,CaseCells!E2:E999, "B")</f>
        <v>600</v>
      </c>
      <c r="M358" s="5">
        <f>SUMIFS(CaseCells!G2:G999,CaseCells!C2:C999, C358,CaseCells!D2:D999, D358,CaseCells!E2:E999, "B")</f>
        <v>1000</v>
      </c>
      <c r="N358" s="3">
        <f>IF(M358 = 0, "", L358 / M358)</f>
        <v>0.6</v>
      </c>
      <c r="O358" s="3" t="str">
        <f>IF(K358 &gt; N358, "A", "B")</f>
        <v>A</v>
      </c>
      <c r="P358" s="5">
        <f>SUMIFS(CaseCells!G2:G999,CaseCells!C2:C999, C358)</f>
        <v>4000</v>
      </c>
      <c r="Q358" s="5">
        <f>SUMIFS(CaseCells!G2:G999,CaseCells!C2:C999, C358,CaseCells!D2:D999, D358)</f>
        <v>2000</v>
      </c>
      <c r="R358" s="3">
        <f>IF(P358 = 0, "", Q358 / P358)</f>
        <v>0.5</v>
      </c>
      <c r="S358" s="3">
        <f>IF(R358 = "", "", R358 * H358)</f>
        <v>0.325</v>
      </c>
      <c r="T358" s="5">
        <f>SUMIFS(CaseCells!G2:G999,CaseCells!C2:C999, C358,CaseCells!D2:D999, D358,CaseCells!E2:E999, "A")</f>
        <v>1000</v>
      </c>
      <c r="U358" s="5">
        <f>SUMIFS(CaseCells!G2:G999,CaseCells!C2:C999, C358,CaseCells!D2:D999, D358,CaseCells!E2:E999, "B")</f>
        <v>1000</v>
      </c>
      <c r="V358" s="5">
        <f>SUMIFS(CaseCells!G2:G999,CaseCells!C2:C999, C358,CaseCells!E2:E999, "A")</f>
        <v>2000</v>
      </c>
      <c r="W358" s="5">
        <f>SUMIFS(CaseCells!G2:G999,CaseCells!C2:C999, C358,CaseCells!E2:E999, "B")</f>
        <v>2000</v>
      </c>
      <c r="X358" s="3">
        <f>IF(V358 = 0, "", T358 / V358)</f>
        <v>0.5</v>
      </c>
      <c r="Y358" s="3">
        <f>IF(W358 = 0, "", U358 / W358)</f>
        <v>0.5</v>
      </c>
      <c r="Z358" s="3">
        <f>IF(X358 = "", "", X358 - Y358)</f>
        <v>0</v>
      </c>
      <c r="AA358" s="3">
        <f>IF(K358 = "", "", K358 - N358)</f>
        <v>0.050000000000000044</v>
      </c>
      <c r="AB358" s="3">
        <f>IF(AA358 = "", "", AA358 * R358)</f>
        <v>0.025000000000000022</v>
      </c>
    </row>
    <row r="359">
      <c r="A359" s="2" t="s">
        <v>2136</v>
      </c>
      <c r="B359" s="3" t="str">
        <f>A359</f>
        <v>uc-systemwide-admissions-lower-selectivity-major-B</v>
      </c>
      <c r="C359" s="2" t="s">
        <v>715</v>
      </c>
      <c r="D359" s="2" t="s">
        <v>1671</v>
      </c>
      <c r="E359" s="2" t="s">
        <v>795</v>
      </c>
      <c r="F359" s="5">
        <f>SUMIFS(CaseCells!F2:F999,CaseCells!C2:C999, C359,CaseCells!D2:D999, D359,CaseCells!E2:E999, E359)</f>
        <v>600</v>
      </c>
      <c r="G359" s="5">
        <f>SUMIFS(CaseCells!G2:G999,CaseCells!C2:C999, C359,CaseCells!D2:D999, D359,CaseCells!E2:E999, E359)</f>
        <v>1000</v>
      </c>
      <c r="H359" s="3">
        <f>IF(G359 = 0, "", F359 / G359)</f>
        <v>0.6</v>
      </c>
      <c r="I359" s="5">
        <f>SUMIFS(CaseCells!F2:F999,CaseCells!C2:C999, C359,CaseCells!D2:D999, D359,CaseCells!E2:E999, "A")</f>
        <v>650</v>
      </c>
      <c r="J359" s="5">
        <f>SUMIFS(CaseCells!G2:G999,CaseCells!C2:C999, C359,CaseCells!D2:D999, D359,CaseCells!E2:E999, "A")</f>
        <v>1000</v>
      </c>
      <c r="K359" s="3">
        <f>IF(J359 = 0, "", I359 / J359)</f>
        <v>0.65</v>
      </c>
      <c r="L359" s="5">
        <f>SUMIFS(CaseCells!F2:F999,CaseCells!C2:C999, C359,CaseCells!D2:D999, D359,CaseCells!E2:E999, "B")</f>
        <v>600</v>
      </c>
      <c r="M359" s="5">
        <f>SUMIFS(CaseCells!G2:G999,CaseCells!C2:C999, C359,CaseCells!D2:D999, D359,CaseCells!E2:E999, "B")</f>
        <v>1000</v>
      </c>
      <c r="N359" s="3">
        <f>IF(M359 = 0, "", L359 / M359)</f>
        <v>0.6</v>
      </c>
      <c r="O359" s="3" t="str">
        <f>IF(K359 &gt; N359, "A", "B")</f>
        <v>A</v>
      </c>
      <c r="P359" s="5">
        <f>SUMIFS(CaseCells!G2:G999,CaseCells!C2:C999, C359)</f>
        <v>4000</v>
      </c>
      <c r="Q359" s="5">
        <f>SUMIFS(CaseCells!G2:G999,CaseCells!C2:C999, C359,CaseCells!D2:D999, D359)</f>
        <v>2000</v>
      </c>
      <c r="R359" s="3">
        <f>IF(P359 = 0, "", Q359 / P359)</f>
        <v>0.5</v>
      </c>
      <c r="S359" s="3">
        <f>IF(R359 = "", "", R359 * H359)</f>
        <v>0.3</v>
      </c>
      <c r="T359" s="5">
        <f>SUMIFS(CaseCells!G2:G999,CaseCells!C2:C999, C359,CaseCells!D2:D999, D359,CaseCells!E2:E999, "A")</f>
        <v>1000</v>
      </c>
      <c r="U359" s="5">
        <f>SUMIFS(CaseCells!G2:G999,CaseCells!C2:C999, C359,CaseCells!D2:D999, D359,CaseCells!E2:E999, "B")</f>
        <v>1000</v>
      </c>
      <c r="V359" s="5">
        <f>SUMIFS(CaseCells!G2:G999,CaseCells!C2:C999, C359,CaseCells!E2:E999, "A")</f>
        <v>2000</v>
      </c>
      <c r="W359" s="5">
        <f>SUMIFS(CaseCells!G2:G999,CaseCells!C2:C999, C359,CaseCells!E2:E999, "B")</f>
        <v>2000</v>
      </c>
      <c r="X359" s="3">
        <f>IF(V359 = 0, "", T359 / V359)</f>
        <v>0.5</v>
      </c>
      <c r="Y359" s="3">
        <f>IF(W359 = 0, "", U359 / W359)</f>
        <v>0.5</v>
      </c>
      <c r="Z359" s="3">
        <f>IF(X359 = "", "", X359 - Y359)</f>
        <v>0</v>
      </c>
      <c r="AA359" s="3">
        <f>IF(K359 = "", "", K359 - N359)</f>
        <v>0.050000000000000044</v>
      </c>
      <c r="AB359" s="3">
        <f>IF(AA359 = "", "", AA359 * R359)</f>
        <v>0.025000000000000022</v>
      </c>
    </row>
    <row r="360">
      <c r="A360" s="2" t="s">
        <v>2137</v>
      </c>
      <c r="B360" s="3" t="str">
        <f>A360</f>
        <v>teacher-vam-prior-achievement-high-prior-achievement-A</v>
      </c>
      <c r="C360" s="2" t="s">
        <v>719</v>
      </c>
      <c r="D360" s="2" t="s">
        <v>1674</v>
      </c>
      <c r="E360" s="2" t="s">
        <v>792</v>
      </c>
      <c r="F360" s="5">
        <f>SUMIFS(CaseCells!F2:F999,CaseCells!C2:C999, C360,CaseCells!D2:D999, D360,CaseCells!E2:E999, E360)</f>
        <v>850</v>
      </c>
      <c r="G360" s="5">
        <f>SUMIFS(CaseCells!G2:G999,CaseCells!C2:C999, C360,CaseCells!D2:D999, D360,CaseCells!E2:E999, E360)</f>
        <v>1000</v>
      </c>
      <c r="H360" s="3">
        <f>IF(G360 = 0, "", F360 / G360)</f>
        <v>0.85</v>
      </c>
      <c r="I360" s="5">
        <f>SUMIFS(CaseCells!F2:F999,CaseCells!C2:C999, C360,CaseCells!D2:D999, D360,CaseCells!E2:E999, "A")</f>
        <v>850</v>
      </c>
      <c r="J360" s="5">
        <f>SUMIFS(CaseCells!G2:G999,CaseCells!C2:C999, C360,CaseCells!D2:D999, D360,CaseCells!E2:E999, "A")</f>
        <v>1000</v>
      </c>
      <c r="K360" s="3">
        <f>IF(J360 = 0, "", I360 / J360)</f>
        <v>0.85</v>
      </c>
      <c r="L360" s="5">
        <f>SUMIFS(CaseCells!F2:F999,CaseCells!C2:C999, C360,CaseCells!D2:D999, D360,CaseCells!E2:E999, "B")</f>
        <v>820</v>
      </c>
      <c r="M360" s="5">
        <f>SUMIFS(CaseCells!G2:G999,CaseCells!C2:C999, C360,CaseCells!D2:D999, D360,CaseCells!E2:E999, "B")</f>
        <v>1000</v>
      </c>
      <c r="N360" s="3">
        <f>IF(M360 = 0, "", L360 / M360)</f>
        <v>0.82</v>
      </c>
      <c r="O360" s="3" t="str">
        <f>IF(K360 &gt; N360, "A", "B")</f>
        <v>A</v>
      </c>
      <c r="P360" s="5">
        <f>SUMIFS(CaseCells!G2:G999,CaseCells!C2:C999, C360)</f>
        <v>4000</v>
      </c>
      <c r="Q360" s="5">
        <f>SUMIFS(CaseCells!G2:G999,CaseCells!C2:C999, C360,CaseCells!D2:D999, D360)</f>
        <v>2000</v>
      </c>
      <c r="R360" s="3">
        <f>IF(P360 = 0, "", Q360 / P360)</f>
        <v>0.5</v>
      </c>
      <c r="S360" s="3">
        <f>IF(R360 = "", "", R360 * H360)</f>
        <v>0.425</v>
      </c>
      <c r="T360" s="5">
        <f>SUMIFS(CaseCells!G2:G999,CaseCells!C2:C999, C360,CaseCells!D2:D999, D360,CaseCells!E2:E999, "A")</f>
        <v>1000</v>
      </c>
      <c r="U360" s="5">
        <f>SUMIFS(CaseCells!G2:G999,CaseCells!C2:C999, C360,CaseCells!D2:D999, D360,CaseCells!E2:E999, "B")</f>
        <v>1000</v>
      </c>
      <c r="V360" s="5">
        <f>SUMIFS(CaseCells!G2:G999,CaseCells!C2:C999, C360,CaseCells!E2:E999, "A")</f>
        <v>2000</v>
      </c>
      <c r="W360" s="5">
        <f>SUMIFS(CaseCells!G2:G999,CaseCells!C2:C999, C360,CaseCells!E2:E999, "B")</f>
        <v>2000</v>
      </c>
      <c r="X360" s="3">
        <f>IF(V360 = 0, "", T360 / V360)</f>
        <v>0.5</v>
      </c>
      <c r="Y360" s="3">
        <f>IF(W360 = 0, "", U360 / W360)</f>
        <v>0.5</v>
      </c>
      <c r="Z360" s="3">
        <f>IF(X360 = "", "", X360 - Y360)</f>
        <v>0</v>
      </c>
      <c r="AA360" s="3">
        <f>IF(K360 = "", "", K360 - N360)</f>
        <v>0.030000000000000027</v>
      </c>
      <c r="AB360" s="3">
        <f>IF(AA360 = "", "", AA360 * R360)</f>
        <v>0.015000000000000013</v>
      </c>
    </row>
    <row r="361">
      <c r="A361" s="2" t="s">
        <v>2138</v>
      </c>
      <c r="B361" s="3" t="str">
        <f>A361</f>
        <v>teacher-vam-prior-achievement-high-prior-achievement-B</v>
      </c>
      <c r="C361" s="2" t="s">
        <v>719</v>
      </c>
      <c r="D361" s="2" t="s">
        <v>1674</v>
      </c>
      <c r="E361" s="2" t="s">
        <v>795</v>
      </c>
      <c r="F361" s="5">
        <f>SUMIFS(CaseCells!F2:F999,CaseCells!C2:C999, C361,CaseCells!D2:D999, D361,CaseCells!E2:E999, E361)</f>
        <v>820</v>
      </c>
      <c r="G361" s="5">
        <f>SUMIFS(CaseCells!G2:G999,CaseCells!C2:C999, C361,CaseCells!D2:D999, D361,CaseCells!E2:E999, E361)</f>
        <v>1000</v>
      </c>
      <c r="H361" s="3">
        <f>IF(G361 = 0, "", F361 / G361)</f>
        <v>0.82</v>
      </c>
      <c r="I361" s="5">
        <f>SUMIFS(CaseCells!F2:F999,CaseCells!C2:C999, C361,CaseCells!D2:D999, D361,CaseCells!E2:E999, "A")</f>
        <v>850</v>
      </c>
      <c r="J361" s="5">
        <f>SUMIFS(CaseCells!G2:G999,CaseCells!C2:C999, C361,CaseCells!D2:D999, D361,CaseCells!E2:E999, "A")</f>
        <v>1000</v>
      </c>
      <c r="K361" s="3">
        <f>IF(J361 = 0, "", I361 / J361)</f>
        <v>0.85</v>
      </c>
      <c r="L361" s="5">
        <f>SUMIFS(CaseCells!F2:F999,CaseCells!C2:C999, C361,CaseCells!D2:D999, D361,CaseCells!E2:E999, "B")</f>
        <v>820</v>
      </c>
      <c r="M361" s="5">
        <f>SUMIFS(CaseCells!G2:G999,CaseCells!C2:C999, C361,CaseCells!D2:D999, D361,CaseCells!E2:E999, "B")</f>
        <v>1000</v>
      </c>
      <c r="N361" s="3">
        <f>IF(M361 = 0, "", L361 / M361)</f>
        <v>0.82</v>
      </c>
      <c r="O361" s="3" t="str">
        <f>IF(K361 &gt; N361, "A", "B")</f>
        <v>A</v>
      </c>
      <c r="P361" s="5">
        <f>SUMIFS(CaseCells!G2:G999,CaseCells!C2:C999, C361)</f>
        <v>4000</v>
      </c>
      <c r="Q361" s="5">
        <f>SUMIFS(CaseCells!G2:G999,CaseCells!C2:C999, C361,CaseCells!D2:D999, D361)</f>
        <v>2000</v>
      </c>
      <c r="R361" s="3">
        <f>IF(P361 = 0, "", Q361 / P361)</f>
        <v>0.5</v>
      </c>
      <c r="S361" s="3">
        <f>IF(R361 = "", "", R361 * H361)</f>
        <v>0.41</v>
      </c>
      <c r="T361" s="5">
        <f>SUMIFS(CaseCells!G2:G999,CaseCells!C2:C999, C361,CaseCells!D2:D999, D361,CaseCells!E2:E999, "A")</f>
        <v>1000</v>
      </c>
      <c r="U361" s="5">
        <f>SUMIFS(CaseCells!G2:G999,CaseCells!C2:C999, C361,CaseCells!D2:D999, D361,CaseCells!E2:E999, "B")</f>
        <v>1000</v>
      </c>
      <c r="V361" s="5">
        <f>SUMIFS(CaseCells!G2:G999,CaseCells!C2:C999, C361,CaseCells!E2:E999, "A")</f>
        <v>2000</v>
      </c>
      <c r="W361" s="5">
        <f>SUMIFS(CaseCells!G2:G999,CaseCells!C2:C999, C361,CaseCells!E2:E999, "B")</f>
        <v>2000</v>
      </c>
      <c r="X361" s="3">
        <f>IF(V361 = 0, "", T361 / V361)</f>
        <v>0.5</v>
      </c>
      <c r="Y361" s="3">
        <f>IF(W361 = 0, "", U361 / W361)</f>
        <v>0.5</v>
      </c>
      <c r="Z361" s="3">
        <f>IF(X361 = "", "", X361 - Y361)</f>
        <v>0</v>
      </c>
      <c r="AA361" s="3">
        <f>IF(K361 = "", "", K361 - N361)</f>
        <v>0.030000000000000027</v>
      </c>
      <c r="AB361" s="3">
        <f>IF(AA361 = "", "", AA361 * R361)</f>
        <v>0.015000000000000013</v>
      </c>
    </row>
    <row r="362">
      <c r="A362" s="2" t="s">
        <v>2139</v>
      </c>
      <c r="B362" s="3" t="str">
        <f>A362</f>
        <v>teacher-vam-prior-achievement-low-prior-achievement-A</v>
      </c>
      <c r="C362" s="2" t="s">
        <v>719</v>
      </c>
      <c r="D362" s="2" t="s">
        <v>1677</v>
      </c>
      <c r="E362" s="2" t="s">
        <v>792</v>
      </c>
      <c r="F362" s="5">
        <f>SUMIFS(CaseCells!F2:F999,CaseCells!C2:C999, C362,CaseCells!D2:D999, D362,CaseCells!E2:E999, E362)</f>
        <v>520</v>
      </c>
      <c r="G362" s="5">
        <f>SUMIFS(CaseCells!G2:G999,CaseCells!C2:C999, C362,CaseCells!D2:D999, D362,CaseCells!E2:E999, E362)</f>
        <v>1000</v>
      </c>
      <c r="H362" s="3">
        <f>IF(G362 = 0, "", F362 / G362)</f>
        <v>0.52</v>
      </c>
      <c r="I362" s="5">
        <f>SUMIFS(CaseCells!F2:F999,CaseCells!C2:C999, C362,CaseCells!D2:D999, D362,CaseCells!E2:E999, "A")</f>
        <v>520</v>
      </c>
      <c r="J362" s="5">
        <f>SUMIFS(CaseCells!G2:G999,CaseCells!C2:C999, C362,CaseCells!D2:D999, D362,CaseCells!E2:E999, "A")</f>
        <v>1000</v>
      </c>
      <c r="K362" s="3">
        <f>IF(J362 = 0, "", I362 / J362)</f>
        <v>0.52</v>
      </c>
      <c r="L362" s="5">
        <f>SUMIFS(CaseCells!F2:F999,CaseCells!C2:C999, C362,CaseCells!D2:D999, D362,CaseCells!E2:E999, "B")</f>
        <v>560</v>
      </c>
      <c r="M362" s="5">
        <f>SUMIFS(CaseCells!G2:G999,CaseCells!C2:C999, C362,CaseCells!D2:D999, D362,CaseCells!E2:E999, "B")</f>
        <v>1000</v>
      </c>
      <c r="N362" s="3">
        <f>IF(M362 = 0, "", L362 / M362)</f>
        <v>0.56</v>
      </c>
      <c r="O362" s="3" t="str">
        <f>IF(K362 &gt; N362, "A", "B")</f>
        <v>B</v>
      </c>
      <c r="P362" s="5">
        <f>SUMIFS(CaseCells!G2:G999,CaseCells!C2:C999, C362)</f>
        <v>4000</v>
      </c>
      <c r="Q362" s="5">
        <f>SUMIFS(CaseCells!G2:G999,CaseCells!C2:C999, C362,CaseCells!D2:D999, D362)</f>
        <v>2000</v>
      </c>
      <c r="R362" s="3">
        <f>IF(P362 = 0, "", Q362 / P362)</f>
        <v>0.5</v>
      </c>
      <c r="S362" s="3">
        <f>IF(R362 = "", "", R362 * H362)</f>
        <v>0.26</v>
      </c>
      <c r="T362" s="5">
        <f>SUMIFS(CaseCells!G2:G999,CaseCells!C2:C999, C362,CaseCells!D2:D999, D362,CaseCells!E2:E999, "A")</f>
        <v>1000</v>
      </c>
      <c r="U362" s="5">
        <f>SUMIFS(CaseCells!G2:G999,CaseCells!C2:C999, C362,CaseCells!D2:D999, D362,CaseCells!E2:E999, "B")</f>
        <v>1000</v>
      </c>
      <c r="V362" s="5">
        <f>SUMIFS(CaseCells!G2:G999,CaseCells!C2:C999, C362,CaseCells!E2:E999, "A")</f>
        <v>2000</v>
      </c>
      <c r="W362" s="5">
        <f>SUMIFS(CaseCells!G2:G999,CaseCells!C2:C999, C362,CaseCells!E2:E999, "B")</f>
        <v>2000</v>
      </c>
      <c r="X362" s="3">
        <f>IF(V362 = 0, "", T362 / V362)</f>
        <v>0.5</v>
      </c>
      <c r="Y362" s="3">
        <f>IF(W362 = 0, "", U362 / W362)</f>
        <v>0.5</v>
      </c>
      <c r="Z362" s="3">
        <f>IF(X362 = "", "", X362 - Y362)</f>
        <v>0</v>
      </c>
      <c r="AA362" s="3">
        <f>IF(K362 = "", "", K362 - N362)</f>
        <v>-0.040000000000000036</v>
      </c>
      <c r="AB362" s="3">
        <f>IF(AA362 = "", "", AA362 * R362)</f>
        <v>-0.020000000000000018</v>
      </c>
    </row>
    <row r="363">
      <c r="A363" s="2" t="s">
        <v>2140</v>
      </c>
      <c r="B363" s="3" t="str">
        <f>A363</f>
        <v>teacher-vam-prior-achievement-low-prior-achievement-B</v>
      </c>
      <c r="C363" s="2" t="s">
        <v>719</v>
      </c>
      <c r="D363" s="2" t="s">
        <v>1677</v>
      </c>
      <c r="E363" s="2" t="s">
        <v>795</v>
      </c>
      <c r="F363" s="5">
        <f>SUMIFS(CaseCells!F2:F999,CaseCells!C2:C999, C363,CaseCells!D2:D999, D363,CaseCells!E2:E999, E363)</f>
        <v>560</v>
      </c>
      <c r="G363" s="5">
        <f>SUMIFS(CaseCells!G2:G999,CaseCells!C2:C999, C363,CaseCells!D2:D999, D363,CaseCells!E2:E999, E363)</f>
        <v>1000</v>
      </c>
      <c r="H363" s="3">
        <f>IF(G363 = 0, "", F363 / G363)</f>
        <v>0.56</v>
      </c>
      <c r="I363" s="5">
        <f>SUMIFS(CaseCells!F2:F999,CaseCells!C2:C999, C363,CaseCells!D2:D999, D363,CaseCells!E2:E999, "A")</f>
        <v>520</v>
      </c>
      <c r="J363" s="5">
        <f>SUMIFS(CaseCells!G2:G999,CaseCells!C2:C999, C363,CaseCells!D2:D999, D363,CaseCells!E2:E999, "A")</f>
        <v>1000</v>
      </c>
      <c r="K363" s="3">
        <f>IF(J363 = 0, "", I363 / J363)</f>
        <v>0.52</v>
      </c>
      <c r="L363" s="5">
        <f>SUMIFS(CaseCells!F2:F999,CaseCells!C2:C999, C363,CaseCells!D2:D999, D363,CaseCells!E2:E999, "B")</f>
        <v>560</v>
      </c>
      <c r="M363" s="5">
        <f>SUMIFS(CaseCells!G2:G999,CaseCells!C2:C999, C363,CaseCells!D2:D999, D363,CaseCells!E2:E999, "B")</f>
        <v>1000</v>
      </c>
      <c r="N363" s="3">
        <f>IF(M363 = 0, "", L363 / M363)</f>
        <v>0.56</v>
      </c>
      <c r="O363" s="3" t="str">
        <f>IF(K363 &gt; N363, "A", "B")</f>
        <v>B</v>
      </c>
      <c r="P363" s="5">
        <f>SUMIFS(CaseCells!G2:G999,CaseCells!C2:C999, C363)</f>
        <v>4000</v>
      </c>
      <c r="Q363" s="5">
        <f>SUMIFS(CaseCells!G2:G999,CaseCells!C2:C999, C363,CaseCells!D2:D999, D363)</f>
        <v>2000</v>
      </c>
      <c r="R363" s="3">
        <f>IF(P363 = 0, "", Q363 / P363)</f>
        <v>0.5</v>
      </c>
      <c r="S363" s="3">
        <f>IF(R363 = "", "", R363 * H363)</f>
        <v>0.28</v>
      </c>
      <c r="T363" s="5">
        <f>SUMIFS(CaseCells!G2:G999,CaseCells!C2:C999, C363,CaseCells!D2:D999, D363,CaseCells!E2:E999, "A")</f>
        <v>1000</v>
      </c>
      <c r="U363" s="5">
        <f>SUMIFS(CaseCells!G2:G999,CaseCells!C2:C999, C363,CaseCells!D2:D999, D363,CaseCells!E2:E999, "B")</f>
        <v>1000</v>
      </c>
      <c r="V363" s="5">
        <f>SUMIFS(CaseCells!G2:G999,CaseCells!C2:C999, C363,CaseCells!E2:E999, "A")</f>
        <v>2000</v>
      </c>
      <c r="W363" s="5">
        <f>SUMIFS(CaseCells!G2:G999,CaseCells!C2:C999, C363,CaseCells!E2:E999, "B")</f>
        <v>2000</v>
      </c>
      <c r="X363" s="3">
        <f>IF(V363 = 0, "", T363 / V363)</f>
        <v>0.5</v>
      </c>
      <c r="Y363" s="3">
        <f>IF(W363 = 0, "", U363 / W363)</f>
        <v>0.5</v>
      </c>
      <c r="Z363" s="3">
        <f>IF(X363 = "", "", X363 - Y363)</f>
        <v>0</v>
      </c>
      <c r="AA363" s="3">
        <f>IF(K363 = "", "", K363 - N363)</f>
        <v>-0.040000000000000036</v>
      </c>
      <c r="AB363" s="3">
        <f>IF(AA363 = "", "", AA363 * R363)</f>
        <v>-0.020000000000000018</v>
      </c>
    </row>
    <row r="364">
      <c r="A364" s="2" t="s">
        <v>2141</v>
      </c>
      <c r="B364" s="3" t="str">
        <f>A364</f>
        <v>naep-state-demographics-high-poverty-states-A</v>
      </c>
      <c r="C364" s="2" t="s">
        <v>723</v>
      </c>
      <c r="D364" s="2" t="s">
        <v>1680</v>
      </c>
      <c r="E364" s="2" t="s">
        <v>792</v>
      </c>
      <c r="F364" s="5">
        <f>SUMIFS(CaseCells!F2:F999,CaseCells!C2:C999, C364,CaseCells!D2:D999, D364,CaseCells!E2:E999, E364)</f>
        <v>280</v>
      </c>
      <c r="G364" s="5">
        <f>SUMIFS(CaseCells!G2:G999,CaseCells!C2:C999, C364,CaseCells!D2:D999, D364,CaseCells!E2:E999, E364)</f>
        <v>1000</v>
      </c>
      <c r="H364" s="3">
        <f>IF(G364 = 0, "", F364 / G364)</f>
        <v>0.28</v>
      </c>
      <c r="I364" s="5">
        <f>SUMIFS(CaseCells!F2:F999,CaseCells!C2:C999, C364,CaseCells!D2:D999, D364,CaseCells!E2:E999, "A")</f>
        <v>280</v>
      </c>
      <c r="J364" s="5">
        <f>SUMIFS(CaseCells!G2:G999,CaseCells!C2:C999, C364,CaseCells!D2:D999, D364,CaseCells!E2:E999, "A")</f>
        <v>1000</v>
      </c>
      <c r="K364" s="3">
        <f>IF(J364 = 0, "", I364 / J364)</f>
        <v>0.28</v>
      </c>
      <c r="L364" s="5">
        <f>SUMIFS(CaseCells!F2:F999,CaseCells!C2:C999, C364,CaseCells!D2:D999, D364,CaseCells!E2:E999, "B")</f>
        <v>320</v>
      </c>
      <c r="M364" s="5">
        <f>SUMIFS(CaseCells!G2:G999,CaseCells!C2:C999, C364,CaseCells!D2:D999, D364,CaseCells!E2:E999, "B")</f>
        <v>1000</v>
      </c>
      <c r="N364" s="3">
        <f>IF(M364 = 0, "", L364 / M364)</f>
        <v>0.32</v>
      </c>
      <c r="O364" s="3" t="str">
        <f>IF(K364 &gt; N364, "A", "B")</f>
        <v>B</v>
      </c>
      <c r="P364" s="5">
        <f>SUMIFS(CaseCells!G2:G999,CaseCells!C2:C999, C364)</f>
        <v>4000</v>
      </c>
      <c r="Q364" s="5">
        <f>SUMIFS(CaseCells!G2:G999,CaseCells!C2:C999, C364,CaseCells!D2:D999, D364)</f>
        <v>2000</v>
      </c>
      <c r="R364" s="3">
        <f>IF(P364 = 0, "", Q364 / P364)</f>
        <v>0.5</v>
      </c>
      <c r="S364" s="3">
        <f>IF(R364 = "", "", R364 * H364)</f>
        <v>0.14</v>
      </c>
      <c r="T364" s="5">
        <f>SUMIFS(CaseCells!G2:G999,CaseCells!C2:C999, C364,CaseCells!D2:D999, D364,CaseCells!E2:E999, "A")</f>
        <v>1000</v>
      </c>
      <c r="U364" s="5">
        <f>SUMIFS(CaseCells!G2:G999,CaseCells!C2:C999, C364,CaseCells!D2:D999, D364,CaseCells!E2:E999, "B")</f>
        <v>1000</v>
      </c>
      <c r="V364" s="5">
        <f>SUMIFS(CaseCells!G2:G999,CaseCells!C2:C999, C364,CaseCells!E2:E999, "A")</f>
        <v>2000</v>
      </c>
      <c r="W364" s="5">
        <f>SUMIFS(CaseCells!G2:G999,CaseCells!C2:C999, C364,CaseCells!E2:E999, "B")</f>
        <v>2000</v>
      </c>
      <c r="X364" s="3">
        <f>IF(V364 = 0, "", T364 / V364)</f>
        <v>0.5</v>
      </c>
      <c r="Y364" s="3">
        <f>IF(W364 = 0, "", U364 / W364)</f>
        <v>0.5</v>
      </c>
      <c r="Z364" s="3">
        <f>IF(X364 = "", "", X364 - Y364)</f>
        <v>0</v>
      </c>
      <c r="AA364" s="3">
        <f>IF(K364 = "", "", K364 - N364)</f>
        <v>-0.03999999999999998</v>
      </c>
      <c r="AB364" s="3">
        <f>IF(AA364 = "", "", AA364 * R364)</f>
        <v>-0.01999999999999999</v>
      </c>
    </row>
    <row r="365">
      <c r="A365" s="2" t="s">
        <v>2142</v>
      </c>
      <c r="B365" s="3" t="str">
        <f>A365</f>
        <v>naep-state-demographics-high-poverty-states-B</v>
      </c>
      <c r="C365" s="2" t="s">
        <v>723</v>
      </c>
      <c r="D365" s="2" t="s">
        <v>1680</v>
      </c>
      <c r="E365" s="2" t="s">
        <v>795</v>
      </c>
      <c r="F365" s="5">
        <f>SUMIFS(CaseCells!F2:F999,CaseCells!C2:C999, C365,CaseCells!D2:D999, D365,CaseCells!E2:E999, E365)</f>
        <v>320</v>
      </c>
      <c r="G365" s="5">
        <f>SUMIFS(CaseCells!G2:G999,CaseCells!C2:C999, C365,CaseCells!D2:D999, D365,CaseCells!E2:E999, E365)</f>
        <v>1000</v>
      </c>
      <c r="H365" s="3">
        <f>IF(G365 = 0, "", F365 / G365)</f>
        <v>0.32</v>
      </c>
      <c r="I365" s="5">
        <f>SUMIFS(CaseCells!F2:F999,CaseCells!C2:C999, C365,CaseCells!D2:D999, D365,CaseCells!E2:E999, "A")</f>
        <v>280</v>
      </c>
      <c r="J365" s="5">
        <f>SUMIFS(CaseCells!G2:G999,CaseCells!C2:C999, C365,CaseCells!D2:D999, D365,CaseCells!E2:E999, "A")</f>
        <v>1000</v>
      </c>
      <c r="K365" s="3">
        <f>IF(J365 = 0, "", I365 / J365)</f>
        <v>0.28</v>
      </c>
      <c r="L365" s="5">
        <f>SUMIFS(CaseCells!F2:F999,CaseCells!C2:C999, C365,CaseCells!D2:D999, D365,CaseCells!E2:E999, "B")</f>
        <v>320</v>
      </c>
      <c r="M365" s="5">
        <f>SUMIFS(CaseCells!G2:G999,CaseCells!C2:C999, C365,CaseCells!D2:D999, D365,CaseCells!E2:E999, "B")</f>
        <v>1000</v>
      </c>
      <c r="N365" s="3">
        <f>IF(M365 = 0, "", L365 / M365)</f>
        <v>0.32</v>
      </c>
      <c r="O365" s="3" t="str">
        <f>IF(K365 &gt; N365, "A", "B")</f>
        <v>B</v>
      </c>
      <c r="P365" s="5">
        <f>SUMIFS(CaseCells!G2:G999,CaseCells!C2:C999, C365)</f>
        <v>4000</v>
      </c>
      <c r="Q365" s="5">
        <f>SUMIFS(CaseCells!G2:G999,CaseCells!C2:C999, C365,CaseCells!D2:D999, D365)</f>
        <v>2000</v>
      </c>
      <c r="R365" s="3">
        <f>IF(P365 = 0, "", Q365 / P365)</f>
        <v>0.5</v>
      </c>
      <c r="S365" s="3">
        <f>IF(R365 = "", "", R365 * H365)</f>
        <v>0.16</v>
      </c>
      <c r="T365" s="5">
        <f>SUMIFS(CaseCells!G2:G999,CaseCells!C2:C999, C365,CaseCells!D2:D999, D365,CaseCells!E2:E999, "A")</f>
        <v>1000</v>
      </c>
      <c r="U365" s="5">
        <f>SUMIFS(CaseCells!G2:G999,CaseCells!C2:C999, C365,CaseCells!D2:D999, D365,CaseCells!E2:E999, "B")</f>
        <v>1000</v>
      </c>
      <c r="V365" s="5">
        <f>SUMIFS(CaseCells!G2:G999,CaseCells!C2:C999, C365,CaseCells!E2:E999, "A")</f>
        <v>2000</v>
      </c>
      <c r="W365" s="5">
        <f>SUMIFS(CaseCells!G2:G999,CaseCells!C2:C999, C365,CaseCells!E2:E999, "B")</f>
        <v>2000</v>
      </c>
      <c r="X365" s="3">
        <f>IF(V365 = 0, "", T365 / V365)</f>
        <v>0.5</v>
      </c>
      <c r="Y365" s="3">
        <f>IF(W365 = 0, "", U365 / W365)</f>
        <v>0.5</v>
      </c>
      <c r="Z365" s="3">
        <f>IF(X365 = "", "", X365 - Y365)</f>
        <v>0</v>
      </c>
      <c r="AA365" s="3">
        <f>IF(K365 = "", "", K365 - N365)</f>
        <v>-0.03999999999999998</v>
      </c>
      <c r="AB365" s="3">
        <f>IF(AA365 = "", "", AA365 * R365)</f>
        <v>-0.01999999999999999</v>
      </c>
    </row>
    <row r="366">
      <c r="A366" s="2" t="s">
        <v>2143</v>
      </c>
      <c r="B366" s="3" t="str">
        <f>A366</f>
        <v>naep-state-demographics-low-poverty-states-A</v>
      </c>
      <c r="C366" s="2" t="s">
        <v>723</v>
      </c>
      <c r="D366" s="2" t="s">
        <v>1683</v>
      </c>
      <c r="E366" s="2" t="s">
        <v>792</v>
      </c>
      <c r="F366" s="5">
        <f>SUMIFS(CaseCells!F2:F999,CaseCells!C2:C999, C366,CaseCells!D2:D999, D366,CaseCells!E2:E999, E366)</f>
        <v>450</v>
      </c>
      <c r="G366" s="5">
        <f>SUMIFS(CaseCells!G2:G999,CaseCells!C2:C999, C366,CaseCells!D2:D999, D366,CaseCells!E2:E999, E366)</f>
        <v>1000</v>
      </c>
      <c r="H366" s="3">
        <f>IF(G366 = 0, "", F366 / G366)</f>
        <v>0.45</v>
      </c>
      <c r="I366" s="5">
        <f>SUMIFS(CaseCells!F2:F999,CaseCells!C2:C999, C366,CaseCells!D2:D999, D366,CaseCells!E2:E999, "A")</f>
        <v>450</v>
      </c>
      <c r="J366" s="5">
        <f>SUMIFS(CaseCells!G2:G999,CaseCells!C2:C999, C366,CaseCells!D2:D999, D366,CaseCells!E2:E999, "A")</f>
        <v>1000</v>
      </c>
      <c r="K366" s="3">
        <f>IF(J366 = 0, "", I366 / J366)</f>
        <v>0.45</v>
      </c>
      <c r="L366" s="5">
        <f>SUMIFS(CaseCells!F2:F999,CaseCells!C2:C999, C366,CaseCells!D2:D999, D366,CaseCells!E2:E999, "B")</f>
        <v>420</v>
      </c>
      <c r="M366" s="5">
        <f>SUMIFS(CaseCells!G2:G999,CaseCells!C2:C999, C366,CaseCells!D2:D999, D366,CaseCells!E2:E999, "B")</f>
        <v>1000</v>
      </c>
      <c r="N366" s="3">
        <f>IF(M366 = 0, "", L366 / M366)</f>
        <v>0.42</v>
      </c>
      <c r="O366" s="3" t="str">
        <f>IF(K366 &gt; N366, "A", "B")</f>
        <v>A</v>
      </c>
      <c r="P366" s="5">
        <f>SUMIFS(CaseCells!G2:G999,CaseCells!C2:C999, C366)</f>
        <v>4000</v>
      </c>
      <c r="Q366" s="5">
        <f>SUMIFS(CaseCells!G2:G999,CaseCells!C2:C999, C366,CaseCells!D2:D999, D366)</f>
        <v>2000</v>
      </c>
      <c r="R366" s="3">
        <f>IF(P366 = 0, "", Q366 / P366)</f>
        <v>0.5</v>
      </c>
      <c r="S366" s="3">
        <f>IF(R366 = "", "", R366 * H366)</f>
        <v>0.225</v>
      </c>
      <c r="T366" s="5">
        <f>SUMIFS(CaseCells!G2:G999,CaseCells!C2:C999, C366,CaseCells!D2:D999, D366,CaseCells!E2:E999, "A")</f>
        <v>1000</v>
      </c>
      <c r="U366" s="5">
        <f>SUMIFS(CaseCells!G2:G999,CaseCells!C2:C999, C366,CaseCells!D2:D999, D366,CaseCells!E2:E999, "B")</f>
        <v>1000</v>
      </c>
      <c r="V366" s="5">
        <f>SUMIFS(CaseCells!G2:G999,CaseCells!C2:C999, C366,CaseCells!E2:E999, "A")</f>
        <v>2000</v>
      </c>
      <c r="W366" s="5">
        <f>SUMIFS(CaseCells!G2:G999,CaseCells!C2:C999, C366,CaseCells!E2:E999, "B")</f>
        <v>2000</v>
      </c>
      <c r="X366" s="3">
        <f>IF(V366 = 0, "", T366 / V366)</f>
        <v>0.5</v>
      </c>
      <c r="Y366" s="3">
        <f>IF(W366 = 0, "", U366 / W366)</f>
        <v>0.5</v>
      </c>
      <c r="Z366" s="3">
        <f>IF(X366 = "", "", X366 - Y366)</f>
        <v>0</v>
      </c>
      <c r="AA366" s="3">
        <f>IF(K366 = "", "", K366 - N366)</f>
        <v>0.030000000000000027</v>
      </c>
      <c r="AB366" s="3">
        <f>IF(AA366 = "", "", AA366 * R366)</f>
        <v>0.015000000000000013</v>
      </c>
    </row>
    <row r="367">
      <c r="A367" s="2" t="s">
        <v>2144</v>
      </c>
      <c r="B367" s="3" t="str">
        <f>A367</f>
        <v>naep-state-demographics-low-poverty-states-B</v>
      </c>
      <c r="C367" s="2" t="s">
        <v>723</v>
      </c>
      <c r="D367" s="2" t="s">
        <v>1683</v>
      </c>
      <c r="E367" s="2" t="s">
        <v>795</v>
      </c>
      <c r="F367" s="5">
        <f>SUMIFS(CaseCells!F2:F999,CaseCells!C2:C999, C367,CaseCells!D2:D999, D367,CaseCells!E2:E999, E367)</f>
        <v>420</v>
      </c>
      <c r="G367" s="5">
        <f>SUMIFS(CaseCells!G2:G999,CaseCells!C2:C999, C367,CaseCells!D2:D999, D367,CaseCells!E2:E999, E367)</f>
        <v>1000</v>
      </c>
      <c r="H367" s="3">
        <f>IF(G367 = 0, "", F367 / G367)</f>
        <v>0.42</v>
      </c>
      <c r="I367" s="5">
        <f>SUMIFS(CaseCells!F2:F999,CaseCells!C2:C999, C367,CaseCells!D2:D999, D367,CaseCells!E2:E999, "A")</f>
        <v>450</v>
      </c>
      <c r="J367" s="5">
        <f>SUMIFS(CaseCells!G2:G999,CaseCells!C2:C999, C367,CaseCells!D2:D999, D367,CaseCells!E2:E999, "A")</f>
        <v>1000</v>
      </c>
      <c r="K367" s="3">
        <f>IF(J367 = 0, "", I367 / J367)</f>
        <v>0.45</v>
      </c>
      <c r="L367" s="5">
        <f>SUMIFS(CaseCells!F2:F999,CaseCells!C2:C999, C367,CaseCells!D2:D999, D367,CaseCells!E2:E999, "B")</f>
        <v>420</v>
      </c>
      <c r="M367" s="5">
        <f>SUMIFS(CaseCells!G2:G999,CaseCells!C2:C999, C367,CaseCells!D2:D999, D367,CaseCells!E2:E999, "B")</f>
        <v>1000</v>
      </c>
      <c r="N367" s="3">
        <f>IF(M367 = 0, "", L367 / M367)</f>
        <v>0.42</v>
      </c>
      <c r="O367" s="3" t="str">
        <f>IF(K367 &gt; N367, "A", "B")</f>
        <v>A</v>
      </c>
      <c r="P367" s="5">
        <f>SUMIFS(CaseCells!G2:G999,CaseCells!C2:C999, C367)</f>
        <v>4000</v>
      </c>
      <c r="Q367" s="5">
        <f>SUMIFS(CaseCells!G2:G999,CaseCells!C2:C999, C367,CaseCells!D2:D999, D367)</f>
        <v>2000</v>
      </c>
      <c r="R367" s="3">
        <f>IF(P367 = 0, "", Q367 / P367)</f>
        <v>0.5</v>
      </c>
      <c r="S367" s="3">
        <f>IF(R367 = "", "", R367 * H367)</f>
        <v>0.21</v>
      </c>
      <c r="T367" s="5">
        <f>SUMIFS(CaseCells!G2:G999,CaseCells!C2:C999, C367,CaseCells!D2:D999, D367,CaseCells!E2:E999, "A")</f>
        <v>1000</v>
      </c>
      <c r="U367" s="5">
        <f>SUMIFS(CaseCells!G2:G999,CaseCells!C2:C999, C367,CaseCells!D2:D999, D367,CaseCells!E2:E999, "B")</f>
        <v>1000</v>
      </c>
      <c r="V367" s="5">
        <f>SUMIFS(CaseCells!G2:G999,CaseCells!C2:C999, C367,CaseCells!E2:E999, "A")</f>
        <v>2000</v>
      </c>
      <c r="W367" s="5">
        <f>SUMIFS(CaseCells!G2:G999,CaseCells!C2:C999, C367,CaseCells!E2:E999, "B")</f>
        <v>2000</v>
      </c>
      <c r="X367" s="3">
        <f>IF(V367 = 0, "", T367 / V367)</f>
        <v>0.5</v>
      </c>
      <c r="Y367" s="3">
        <f>IF(W367 = 0, "", U367 / W367)</f>
        <v>0.5</v>
      </c>
      <c r="Z367" s="3">
        <f>IF(X367 = "", "", X367 - Y367)</f>
        <v>0</v>
      </c>
      <c r="AA367" s="3">
        <f>IF(K367 = "", "", K367 - N367)</f>
        <v>0.030000000000000027</v>
      </c>
      <c r="AB367" s="3">
        <f>IF(AA367 = "", "", AA367 * R367)</f>
        <v>0.015000000000000013</v>
      </c>
    </row>
    <row r="368">
      <c r="A368" s="2" t="s">
        <v>2145</v>
      </c>
      <c r="B368" s="3" t="str">
        <f>A368</f>
        <v>college-grad-rate-selectivity-well-prepared-intake-A</v>
      </c>
      <c r="C368" s="2" t="s">
        <v>727</v>
      </c>
      <c r="D368" s="2" t="s">
        <v>1686</v>
      </c>
      <c r="E368" s="2" t="s">
        <v>792</v>
      </c>
      <c r="F368" s="5">
        <f>SUMIFS(CaseCells!F2:F999,CaseCells!C2:C999, C368,CaseCells!D2:D999, D368,CaseCells!E2:E999, E368)</f>
        <v>920</v>
      </c>
      <c r="G368" s="5">
        <f>SUMIFS(CaseCells!G2:G999,CaseCells!C2:C999, C368,CaseCells!D2:D999, D368,CaseCells!E2:E999, E368)</f>
        <v>1000</v>
      </c>
      <c r="H368" s="3">
        <f>IF(G368 = 0, "", F368 / G368)</f>
        <v>0.92</v>
      </c>
      <c r="I368" s="5">
        <f>SUMIFS(CaseCells!F2:F999,CaseCells!C2:C999, C368,CaseCells!D2:D999, D368,CaseCells!E2:E999, "A")</f>
        <v>920</v>
      </c>
      <c r="J368" s="5">
        <f>SUMIFS(CaseCells!G2:G999,CaseCells!C2:C999, C368,CaseCells!D2:D999, D368,CaseCells!E2:E999, "A")</f>
        <v>1000</v>
      </c>
      <c r="K368" s="3">
        <f>IF(J368 = 0, "", I368 / J368)</f>
        <v>0.92</v>
      </c>
      <c r="L368" s="5">
        <f>SUMIFS(CaseCells!F2:F999,CaseCells!C2:C999, C368,CaseCells!D2:D999, D368,CaseCells!E2:E999, "B")</f>
        <v>880</v>
      </c>
      <c r="M368" s="5">
        <f>SUMIFS(CaseCells!G2:G999,CaseCells!C2:C999, C368,CaseCells!D2:D999, D368,CaseCells!E2:E999, "B")</f>
        <v>1000</v>
      </c>
      <c r="N368" s="3">
        <f>IF(M368 = 0, "", L368 / M368)</f>
        <v>0.88</v>
      </c>
      <c r="O368" s="3" t="str">
        <f>IF(K368 &gt; N368, "A", "B")</f>
        <v>A</v>
      </c>
      <c r="P368" s="5">
        <f>SUMIFS(CaseCells!G2:G999,CaseCells!C2:C999, C368)</f>
        <v>4000</v>
      </c>
      <c r="Q368" s="5">
        <f>SUMIFS(CaseCells!G2:G999,CaseCells!C2:C999, C368,CaseCells!D2:D999, D368)</f>
        <v>2000</v>
      </c>
      <c r="R368" s="3">
        <f>IF(P368 = 0, "", Q368 / P368)</f>
        <v>0.5</v>
      </c>
      <c r="S368" s="3">
        <f>IF(R368 = "", "", R368 * H368)</f>
        <v>0.46</v>
      </c>
      <c r="T368" s="5">
        <f>SUMIFS(CaseCells!G2:G999,CaseCells!C2:C999, C368,CaseCells!D2:D999, D368,CaseCells!E2:E999, "A")</f>
        <v>1000</v>
      </c>
      <c r="U368" s="5">
        <f>SUMIFS(CaseCells!G2:G999,CaseCells!C2:C999, C368,CaseCells!D2:D999, D368,CaseCells!E2:E999, "B")</f>
        <v>1000</v>
      </c>
      <c r="V368" s="5">
        <f>SUMIFS(CaseCells!G2:G999,CaseCells!C2:C999, C368,CaseCells!E2:E999, "A")</f>
        <v>2000</v>
      </c>
      <c r="W368" s="5">
        <f>SUMIFS(CaseCells!G2:G999,CaseCells!C2:C999, C368,CaseCells!E2:E999, "B")</f>
        <v>2000</v>
      </c>
      <c r="X368" s="3">
        <f>IF(V368 = 0, "", T368 / V368)</f>
        <v>0.5</v>
      </c>
      <c r="Y368" s="3">
        <f>IF(W368 = 0, "", U368 / W368)</f>
        <v>0.5</v>
      </c>
      <c r="Z368" s="3">
        <f>IF(X368 = "", "", X368 - Y368)</f>
        <v>0</v>
      </c>
      <c r="AA368" s="3">
        <f>IF(K368 = "", "", K368 - N368)</f>
        <v>0.040000000000000036</v>
      </c>
      <c r="AB368" s="3">
        <f>IF(AA368 = "", "", AA368 * R368)</f>
        <v>0.020000000000000018</v>
      </c>
    </row>
    <row r="369">
      <c r="A369" s="2" t="s">
        <v>2146</v>
      </c>
      <c r="B369" s="3" t="str">
        <f>A369</f>
        <v>college-grad-rate-selectivity-well-prepared-intake-B</v>
      </c>
      <c r="C369" s="2" t="s">
        <v>727</v>
      </c>
      <c r="D369" s="2" t="s">
        <v>1686</v>
      </c>
      <c r="E369" s="2" t="s">
        <v>795</v>
      </c>
      <c r="F369" s="5">
        <f>SUMIFS(CaseCells!F2:F999,CaseCells!C2:C999, C369,CaseCells!D2:D999, D369,CaseCells!E2:E999, E369)</f>
        <v>880</v>
      </c>
      <c r="G369" s="5">
        <f>SUMIFS(CaseCells!G2:G999,CaseCells!C2:C999, C369,CaseCells!D2:D999, D369,CaseCells!E2:E999, E369)</f>
        <v>1000</v>
      </c>
      <c r="H369" s="3">
        <f>IF(G369 = 0, "", F369 / G369)</f>
        <v>0.88</v>
      </c>
      <c r="I369" s="5">
        <f>SUMIFS(CaseCells!F2:F999,CaseCells!C2:C999, C369,CaseCells!D2:D999, D369,CaseCells!E2:E999, "A")</f>
        <v>920</v>
      </c>
      <c r="J369" s="5">
        <f>SUMIFS(CaseCells!G2:G999,CaseCells!C2:C999, C369,CaseCells!D2:D999, D369,CaseCells!E2:E999, "A")</f>
        <v>1000</v>
      </c>
      <c r="K369" s="3">
        <f>IF(J369 = 0, "", I369 / J369)</f>
        <v>0.92</v>
      </c>
      <c r="L369" s="5">
        <f>SUMIFS(CaseCells!F2:F999,CaseCells!C2:C999, C369,CaseCells!D2:D999, D369,CaseCells!E2:E999, "B")</f>
        <v>880</v>
      </c>
      <c r="M369" s="5">
        <f>SUMIFS(CaseCells!G2:G999,CaseCells!C2:C999, C369,CaseCells!D2:D999, D369,CaseCells!E2:E999, "B")</f>
        <v>1000</v>
      </c>
      <c r="N369" s="3">
        <f>IF(M369 = 0, "", L369 / M369)</f>
        <v>0.88</v>
      </c>
      <c r="O369" s="3" t="str">
        <f>IF(K369 &gt; N369, "A", "B")</f>
        <v>A</v>
      </c>
      <c r="P369" s="5">
        <f>SUMIFS(CaseCells!G2:G999,CaseCells!C2:C999, C369)</f>
        <v>4000</v>
      </c>
      <c r="Q369" s="5">
        <f>SUMIFS(CaseCells!G2:G999,CaseCells!C2:C999, C369,CaseCells!D2:D999, D369)</f>
        <v>2000</v>
      </c>
      <c r="R369" s="3">
        <f>IF(P369 = 0, "", Q369 / P369)</f>
        <v>0.5</v>
      </c>
      <c r="S369" s="3">
        <f>IF(R369 = "", "", R369 * H369)</f>
        <v>0.44</v>
      </c>
      <c r="T369" s="5">
        <f>SUMIFS(CaseCells!G2:G999,CaseCells!C2:C999, C369,CaseCells!D2:D999, D369,CaseCells!E2:E999, "A")</f>
        <v>1000</v>
      </c>
      <c r="U369" s="5">
        <f>SUMIFS(CaseCells!G2:G999,CaseCells!C2:C999, C369,CaseCells!D2:D999, D369,CaseCells!E2:E999, "B")</f>
        <v>1000</v>
      </c>
      <c r="V369" s="5">
        <f>SUMIFS(CaseCells!G2:G999,CaseCells!C2:C999, C369,CaseCells!E2:E999, "A")</f>
        <v>2000</v>
      </c>
      <c r="W369" s="5">
        <f>SUMIFS(CaseCells!G2:G999,CaseCells!C2:C999, C369,CaseCells!E2:E999, "B")</f>
        <v>2000</v>
      </c>
      <c r="X369" s="3">
        <f>IF(V369 = 0, "", T369 / V369)</f>
        <v>0.5</v>
      </c>
      <c r="Y369" s="3">
        <f>IF(W369 = 0, "", U369 / W369)</f>
        <v>0.5</v>
      </c>
      <c r="Z369" s="3">
        <f>IF(X369 = "", "", X369 - Y369)</f>
        <v>0</v>
      </c>
      <c r="AA369" s="3">
        <f>IF(K369 = "", "", K369 - N369)</f>
        <v>0.040000000000000036</v>
      </c>
      <c r="AB369" s="3">
        <f>IF(AA369 = "", "", AA369 * R369)</f>
        <v>0.020000000000000018</v>
      </c>
    </row>
    <row r="370">
      <c r="A370" s="2" t="s">
        <v>2147</v>
      </c>
      <c r="B370" s="3" t="str">
        <f>A370</f>
        <v>college-grad-rate-selectivity-under-prepared-intake-A</v>
      </c>
      <c r="C370" s="2" t="s">
        <v>727</v>
      </c>
      <c r="D370" s="2" t="s">
        <v>1689</v>
      </c>
      <c r="E370" s="2" t="s">
        <v>792</v>
      </c>
      <c r="F370" s="5">
        <f>SUMIFS(CaseCells!F2:F999,CaseCells!C2:C999, C370,CaseCells!D2:D999, D370,CaseCells!E2:E999, E370)</f>
        <v>550</v>
      </c>
      <c r="G370" s="5">
        <f>SUMIFS(CaseCells!G2:G999,CaseCells!C2:C999, C370,CaseCells!D2:D999, D370,CaseCells!E2:E999, E370)</f>
        <v>1000</v>
      </c>
      <c r="H370" s="3">
        <f>IF(G370 = 0, "", F370 / G370)</f>
        <v>0.55</v>
      </c>
      <c r="I370" s="5">
        <f>SUMIFS(CaseCells!F2:F999,CaseCells!C2:C999, C370,CaseCells!D2:D999, D370,CaseCells!E2:E999, "A")</f>
        <v>550</v>
      </c>
      <c r="J370" s="5">
        <f>SUMIFS(CaseCells!G2:G999,CaseCells!C2:C999, C370,CaseCells!D2:D999, D370,CaseCells!E2:E999, "A")</f>
        <v>1000</v>
      </c>
      <c r="K370" s="3">
        <f>IF(J370 = 0, "", I370 / J370)</f>
        <v>0.55</v>
      </c>
      <c r="L370" s="5">
        <f>SUMIFS(CaseCells!F2:F999,CaseCells!C2:C999, C370,CaseCells!D2:D999, D370,CaseCells!E2:E999, "B")</f>
        <v>620</v>
      </c>
      <c r="M370" s="5">
        <f>SUMIFS(CaseCells!G2:G999,CaseCells!C2:C999, C370,CaseCells!D2:D999, D370,CaseCells!E2:E999, "B")</f>
        <v>1000</v>
      </c>
      <c r="N370" s="3">
        <f>IF(M370 = 0, "", L370 / M370)</f>
        <v>0.62</v>
      </c>
      <c r="O370" s="3" t="str">
        <f>IF(K370 &gt; N370, "A", "B")</f>
        <v>B</v>
      </c>
      <c r="P370" s="5">
        <f>SUMIFS(CaseCells!G2:G999,CaseCells!C2:C999, C370)</f>
        <v>4000</v>
      </c>
      <c r="Q370" s="5">
        <f>SUMIFS(CaseCells!G2:G999,CaseCells!C2:C999, C370,CaseCells!D2:D999, D370)</f>
        <v>2000</v>
      </c>
      <c r="R370" s="3">
        <f>IF(P370 = 0, "", Q370 / P370)</f>
        <v>0.5</v>
      </c>
      <c r="S370" s="3">
        <f>IF(R370 = "", "", R370 * H370)</f>
        <v>0.275</v>
      </c>
      <c r="T370" s="5">
        <f>SUMIFS(CaseCells!G2:G999,CaseCells!C2:C999, C370,CaseCells!D2:D999, D370,CaseCells!E2:E999, "A")</f>
        <v>1000</v>
      </c>
      <c r="U370" s="5">
        <f>SUMIFS(CaseCells!G2:G999,CaseCells!C2:C999, C370,CaseCells!D2:D999, D370,CaseCells!E2:E999, "B")</f>
        <v>1000</v>
      </c>
      <c r="V370" s="5">
        <f>SUMIFS(CaseCells!G2:G999,CaseCells!C2:C999, C370,CaseCells!E2:E999, "A")</f>
        <v>2000</v>
      </c>
      <c r="W370" s="5">
        <f>SUMIFS(CaseCells!G2:G999,CaseCells!C2:C999, C370,CaseCells!E2:E999, "B")</f>
        <v>2000</v>
      </c>
      <c r="X370" s="3">
        <f>IF(V370 = 0, "", T370 / V370)</f>
        <v>0.5</v>
      </c>
      <c r="Y370" s="3">
        <f>IF(W370 = 0, "", U370 / W370)</f>
        <v>0.5</v>
      </c>
      <c r="Z370" s="3">
        <f>IF(X370 = "", "", X370 - Y370)</f>
        <v>0</v>
      </c>
      <c r="AA370" s="3">
        <f>IF(K370 = "", "", K370 - N370)</f>
        <v>-0.06999999999999995</v>
      </c>
      <c r="AB370" s="3">
        <f>IF(AA370 = "", "", AA370 * R370)</f>
        <v>-0.034999999999999976</v>
      </c>
    </row>
    <row r="371">
      <c r="A371" s="2" t="s">
        <v>2148</v>
      </c>
      <c r="B371" s="3" t="str">
        <f>A371</f>
        <v>college-grad-rate-selectivity-under-prepared-intake-B</v>
      </c>
      <c r="C371" s="2" t="s">
        <v>727</v>
      </c>
      <c r="D371" s="2" t="s">
        <v>1689</v>
      </c>
      <c r="E371" s="2" t="s">
        <v>795</v>
      </c>
      <c r="F371" s="5">
        <f>SUMIFS(CaseCells!F2:F999,CaseCells!C2:C999, C371,CaseCells!D2:D999, D371,CaseCells!E2:E999, E371)</f>
        <v>620</v>
      </c>
      <c r="G371" s="5">
        <f>SUMIFS(CaseCells!G2:G999,CaseCells!C2:C999, C371,CaseCells!D2:D999, D371,CaseCells!E2:E999, E371)</f>
        <v>1000</v>
      </c>
      <c r="H371" s="3">
        <f>IF(G371 = 0, "", F371 / G371)</f>
        <v>0.62</v>
      </c>
      <c r="I371" s="5">
        <f>SUMIFS(CaseCells!F2:F999,CaseCells!C2:C999, C371,CaseCells!D2:D999, D371,CaseCells!E2:E999, "A")</f>
        <v>550</v>
      </c>
      <c r="J371" s="5">
        <f>SUMIFS(CaseCells!G2:G999,CaseCells!C2:C999, C371,CaseCells!D2:D999, D371,CaseCells!E2:E999, "A")</f>
        <v>1000</v>
      </c>
      <c r="K371" s="3">
        <f>IF(J371 = 0, "", I371 / J371)</f>
        <v>0.55</v>
      </c>
      <c r="L371" s="5">
        <f>SUMIFS(CaseCells!F2:F999,CaseCells!C2:C999, C371,CaseCells!D2:D999, D371,CaseCells!E2:E999, "B")</f>
        <v>620</v>
      </c>
      <c r="M371" s="5">
        <f>SUMIFS(CaseCells!G2:G999,CaseCells!C2:C999, C371,CaseCells!D2:D999, D371,CaseCells!E2:E999, "B")</f>
        <v>1000</v>
      </c>
      <c r="N371" s="3">
        <f>IF(M371 = 0, "", L371 / M371)</f>
        <v>0.62</v>
      </c>
      <c r="O371" s="3" t="str">
        <f>IF(K371 &gt; N371, "A", "B")</f>
        <v>B</v>
      </c>
      <c r="P371" s="5">
        <f>SUMIFS(CaseCells!G2:G999,CaseCells!C2:C999, C371)</f>
        <v>4000</v>
      </c>
      <c r="Q371" s="5">
        <f>SUMIFS(CaseCells!G2:G999,CaseCells!C2:C999, C371,CaseCells!D2:D999, D371)</f>
        <v>2000</v>
      </c>
      <c r="R371" s="3">
        <f>IF(P371 = 0, "", Q371 / P371)</f>
        <v>0.5</v>
      </c>
      <c r="S371" s="3">
        <f>IF(R371 = "", "", R371 * H371)</f>
        <v>0.31</v>
      </c>
      <c r="T371" s="5">
        <f>SUMIFS(CaseCells!G2:G999,CaseCells!C2:C999, C371,CaseCells!D2:D999, D371,CaseCells!E2:E999, "A")</f>
        <v>1000</v>
      </c>
      <c r="U371" s="5">
        <f>SUMIFS(CaseCells!G2:G999,CaseCells!C2:C999, C371,CaseCells!D2:D999, D371,CaseCells!E2:E999, "B")</f>
        <v>1000</v>
      </c>
      <c r="V371" s="5">
        <f>SUMIFS(CaseCells!G2:G999,CaseCells!C2:C999, C371,CaseCells!E2:E999, "A")</f>
        <v>2000</v>
      </c>
      <c r="W371" s="5">
        <f>SUMIFS(CaseCells!G2:G999,CaseCells!C2:C999, C371,CaseCells!E2:E999, "B")</f>
        <v>2000</v>
      </c>
      <c r="X371" s="3">
        <f>IF(V371 = 0, "", T371 / V371)</f>
        <v>0.5</v>
      </c>
      <c r="Y371" s="3">
        <f>IF(W371 = 0, "", U371 / W371)</f>
        <v>0.5</v>
      </c>
      <c r="Z371" s="3">
        <f>IF(X371 = "", "", X371 - Y371)</f>
        <v>0</v>
      </c>
      <c r="AA371" s="3">
        <f>IF(K371 = "", "", K371 - N371)</f>
        <v>-0.06999999999999995</v>
      </c>
      <c r="AB371" s="3">
        <f>IF(AA371 = "", "", AA371 * R371)</f>
        <v>-0.034999999999999976</v>
      </c>
    </row>
    <row r="372">
      <c r="A372" s="2" t="s">
        <v>2149</v>
      </c>
      <c r="B372" s="3" t="str">
        <f>A372</f>
        <v>star-class-size-inner-city-schools-A</v>
      </c>
      <c r="C372" s="2" t="s">
        <v>731</v>
      </c>
      <c r="D372" s="2" t="s">
        <v>1692</v>
      </c>
      <c r="E372" s="2" t="s">
        <v>792</v>
      </c>
      <c r="F372" s="5">
        <f>SUMIFS(CaseCells!F2:F999,CaseCells!C2:C999, C372,CaseCells!D2:D999, D372,CaseCells!E2:E999, E372)</f>
        <v>820</v>
      </c>
      <c r="G372" s="5">
        <f>SUMIFS(CaseCells!G2:G999,CaseCells!C2:C999, C372,CaseCells!D2:D999, D372,CaseCells!E2:E999, E372)</f>
        <v>1000</v>
      </c>
      <c r="H372" s="3">
        <f>IF(G372 = 0, "", F372 / G372)</f>
        <v>0.82</v>
      </c>
      <c r="I372" s="5">
        <f>SUMIFS(CaseCells!F2:F999,CaseCells!C2:C999, C372,CaseCells!D2:D999, D372,CaseCells!E2:E999, "A")</f>
        <v>820</v>
      </c>
      <c r="J372" s="5">
        <f>SUMIFS(CaseCells!G2:G999,CaseCells!C2:C999, C372,CaseCells!D2:D999, D372,CaseCells!E2:E999, "A")</f>
        <v>1000</v>
      </c>
      <c r="K372" s="3">
        <f>IF(J372 = 0, "", I372 / J372)</f>
        <v>0.82</v>
      </c>
      <c r="L372" s="5">
        <f>SUMIFS(CaseCells!F2:F999,CaseCells!C2:C999, C372,CaseCells!D2:D999, D372,CaseCells!E2:E999, "B")</f>
        <v>800</v>
      </c>
      <c r="M372" s="5">
        <f>SUMIFS(CaseCells!G2:G999,CaseCells!C2:C999, C372,CaseCells!D2:D999, D372,CaseCells!E2:E999, "B")</f>
        <v>1000</v>
      </c>
      <c r="N372" s="3">
        <f>IF(M372 = 0, "", L372 / M372)</f>
        <v>0.8</v>
      </c>
      <c r="O372" s="3" t="str">
        <f>IF(K372 &gt; N372, "A", "B")</f>
        <v>A</v>
      </c>
      <c r="P372" s="5">
        <f>SUMIFS(CaseCells!G2:G999,CaseCells!C2:C999, C372)</f>
        <v>4000</v>
      </c>
      <c r="Q372" s="5">
        <f>SUMIFS(CaseCells!G2:G999,CaseCells!C2:C999, C372,CaseCells!D2:D999, D372)</f>
        <v>2000</v>
      </c>
      <c r="R372" s="3">
        <f>IF(P372 = 0, "", Q372 / P372)</f>
        <v>0.5</v>
      </c>
      <c r="S372" s="3">
        <f>IF(R372 = "", "", R372 * H372)</f>
        <v>0.41</v>
      </c>
      <c r="T372" s="5">
        <f>SUMIFS(CaseCells!G2:G999,CaseCells!C2:C999, C372,CaseCells!D2:D999, D372,CaseCells!E2:E999, "A")</f>
        <v>1000</v>
      </c>
      <c r="U372" s="5">
        <f>SUMIFS(CaseCells!G2:G999,CaseCells!C2:C999, C372,CaseCells!D2:D999, D372,CaseCells!E2:E999, "B")</f>
        <v>1000</v>
      </c>
      <c r="V372" s="5">
        <f>SUMIFS(CaseCells!G2:G999,CaseCells!C2:C999, C372,CaseCells!E2:E999, "A")</f>
        <v>2000</v>
      </c>
      <c r="W372" s="5">
        <f>SUMIFS(CaseCells!G2:G999,CaseCells!C2:C999, C372,CaseCells!E2:E999, "B")</f>
        <v>2000</v>
      </c>
      <c r="X372" s="3">
        <f>IF(V372 = 0, "", T372 / V372)</f>
        <v>0.5</v>
      </c>
      <c r="Y372" s="3">
        <f>IF(W372 = 0, "", U372 / W372)</f>
        <v>0.5</v>
      </c>
      <c r="Z372" s="3">
        <f>IF(X372 = "", "", X372 - Y372)</f>
        <v>0</v>
      </c>
      <c r="AA372" s="3">
        <f>IF(K372 = "", "", K372 - N372)</f>
        <v>0.019999999999999907</v>
      </c>
      <c r="AB372" s="3">
        <f>IF(AA372 = "", "", AA372 * R372)</f>
        <v>0.009999999999999953</v>
      </c>
    </row>
    <row r="373">
      <c r="A373" s="2" t="s">
        <v>2150</v>
      </c>
      <c r="B373" s="3" t="str">
        <f>A373</f>
        <v>star-class-size-inner-city-schools-B</v>
      </c>
      <c r="C373" s="2" t="s">
        <v>731</v>
      </c>
      <c r="D373" s="2" t="s">
        <v>1692</v>
      </c>
      <c r="E373" s="2" t="s">
        <v>795</v>
      </c>
      <c r="F373" s="5">
        <f>SUMIFS(CaseCells!F2:F999,CaseCells!C2:C999, C373,CaseCells!D2:D999, D373,CaseCells!E2:E999, E373)</f>
        <v>800</v>
      </c>
      <c r="G373" s="5">
        <f>SUMIFS(CaseCells!G2:G999,CaseCells!C2:C999, C373,CaseCells!D2:D999, D373,CaseCells!E2:E999, E373)</f>
        <v>1000</v>
      </c>
      <c r="H373" s="3">
        <f>IF(G373 = 0, "", F373 / G373)</f>
        <v>0.8</v>
      </c>
      <c r="I373" s="5">
        <f>SUMIFS(CaseCells!F2:F999,CaseCells!C2:C999, C373,CaseCells!D2:D999, D373,CaseCells!E2:E999, "A")</f>
        <v>820</v>
      </c>
      <c r="J373" s="5">
        <f>SUMIFS(CaseCells!G2:G999,CaseCells!C2:C999, C373,CaseCells!D2:D999, D373,CaseCells!E2:E999, "A")</f>
        <v>1000</v>
      </c>
      <c r="K373" s="3">
        <f>IF(J373 = 0, "", I373 / J373)</f>
        <v>0.82</v>
      </c>
      <c r="L373" s="5">
        <f>SUMIFS(CaseCells!F2:F999,CaseCells!C2:C999, C373,CaseCells!D2:D999, D373,CaseCells!E2:E999, "B")</f>
        <v>800</v>
      </c>
      <c r="M373" s="5">
        <f>SUMIFS(CaseCells!G2:G999,CaseCells!C2:C999, C373,CaseCells!D2:D999, D373,CaseCells!E2:E999, "B")</f>
        <v>1000</v>
      </c>
      <c r="N373" s="3">
        <f>IF(M373 = 0, "", L373 / M373)</f>
        <v>0.8</v>
      </c>
      <c r="O373" s="3" t="str">
        <f>IF(K373 &gt; N373, "A", "B")</f>
        <v>A</v>
      </c>
      <c r="P373" s="5">
        <f>SUMIFS(CaseCells!G2:G999,CaseCells!C2:C999, C373)</f>
        <v>4000</v>
      </c>
      <c r="Q373" s="5">
        <f>SUMIFS(CaseCells!G2:G999,CaseCells!C2:C999, C373,CaseCells!D2:D999, D373)</f>
        <v>2000</v>
      </c>
      <c r="R373" s="3">
        <f>IF(P373 = 0, "", Q373 / P373)</f>
        <v>0.5</v>
      </c>
      <c r="S373" s="3">
        <f>IF(R373 = "", "", R373 * H373)</f>
        <v>0.4</v>
      </c>
      <c r="T373" s="5">
        <f>SUMIFS(CaseCells!G2:G999,CaseCells!C2:C999, C373,CaseCells!D2:D999, D373,CaseCells!E2:E999, "A")</f>
        <v>1000</v>
      </c>
      <c r="U373" s="5">
        <f>SUMIFS(CaseCells!G2:G999,CaseCells!C2:C999, C373,CaseCells!D2:D999, D373,CaseCells!E2:E999, "B")</f>
        <v>1000</v>
      </c>
      <c r="V373" s="5">
        <f>SUMIFS(CaseCells!G2:G999,CaseCells!C2:C999, C373,CaseCells!E2:E999, "A")</f>
        <v>2000</v>
      </c>
      <c r="W373" s="5">
        <f>SUMIFS(CaseCells!G2:G999,CaseCells!C2:C999, C373,CaseCells!E2:E999, "B")</f>
        <v>2000</v>
      </c>
      <c r="X373" s="3">
        <f>IF(V373 = 0, "", T373 / V373)</f>
        <v>0.5</v>
      </c>
      <c r="Y373" s="3">
        <f>IF(W373 = 0, "", U373 / W373)</f>
        <v>0.5</v>
      </c>
      <c r="Z373" s="3">
        <f>IF(X373 = "", "", X373 - Y373)</f>
        <v>0</v>
      </c>
      <c r="AA373" s="3">
        <f>IF(K373 = "", "", K373 - N373)</f>
        <v>0.019999999999999907</v>
      </c>
      <c r="AB373" s="3">
        <f>IF(AA373 = "", "", AA373 * R373)</f>
        <v>0.009999999999999953</v>
      </c>
    </row>
    <row r="374">
      <c r="A374" s="2" t="s">
        <v>2151</v>
      </c>
      <c r="B374" s="3" t="str">
        <f>A374</f>
        <v>star-class-size-suburban-schools-A</v>
      </c>
      <c r="C374" s="2" t="s">
        <v>731</v>
      </c>
      <c r="D374" s="2" t="s">
        <v>1695</v>
      </c>
      <c r="E374" s="2" t="s">
        <v>792</v>
      </c>
      <c r="F374" s="5">
        <f>SUMIFS(CaseCells!F2:F999,CaseCells!C2:C999, C374,CaseCells!D2:D999, D374,CaseCells!E2:E999, E374)</f>
        <v>910</v>
      </c>
      <c r="G374" s="5">
        <f>SUMIFS(CaseCells!G2:G999,CaseCells!C2:C999, C374,CaseCells!D2:D999, D374,CaseCells!E2:E999, E374)</f>
        <v>1000</v>
      </c>
      <c r="H374" s="3">
        <f>IF(G374 = 0, "", F374 / G374)</f>
        <v>0.91</v>
      </c>
      <c r="I374" s="5">
        <f>SUMIFS(CaseCells!F2:F999,CaseCells!C2:C999, C374,CaseCells!D2:D999, D374,CaseCells!E2:E999, "A")</f>
        <v>910</v>
      </c>
      <c r="J374" s="5">
        <f>SUMIFS(CaseCells!G2:G999,CaseCells!C2:C999, C374,CaseCells!D2:D999, D374,CaseCells!E2:E999, "A")</f>
        <v>1000</v>
      </c>
      <c r="K374" s="3">
        <f>IF(J374 = 0, "", I374 / J374)</f>
        <v>0.91</v>
      </c>
      <c r="L374" s="5">
        <f>SUMIFS(CaseCells!F2:F999,CaseCells!C2:C999, C374,CaseCells!D2:D999, D374,CaseCells!E2:E999, "B")</f>
        <v>900</v>
      </c>
      <c r="M374" s="5">
        <f>SUMIFS(CaseCells!G2:G999,CaseCells!C2:C999, C374,CaseCells!D2:D999, D374,CaseCells!E2:E999, "B")</f>
        <v>1000</v>
      </c>
      <c r="N374" s="3">
        <f>IF(M374 = 0, "", L374 / M374)</f>
        <v>0.9</v>
      </c>
      <c r="O374" s="3" t="str">
        <f>IF(K374 &gt; N374, "A", "B")</f>
        <v>A</v>
      </c>
      <c r="P374" s="5">
        <f>SUMIFS(CaseCells!G2:G999,CaseCells!C2:C999, C374)</f>
        <v>4000</v>
      </c>
      <c r="Q374" s="5">
        <f>SUMIFS(CaseCells!G2:G999,CaseCells!C2:C999, C374,CaseCells!D2:D999, D374)</f>
        <v>2000</v>
      </c>
      <c r="R374" s="3">
        <f>IF(P374 = 0, "", Q374 / P374)</f>
        <v>0.5</v>
      </c>
      <c r="S374" s="3">
        <f>IF(R374 = "", "", R374 * H374)</f>
        <v>0.455</v>
      </c>
      <c r="T374" s="5">
        <f>SUMIFS(CaseCells!G2:G999,CaseCells!C2:C999, C374,CaseCells!D2:D999, D374,CaseCells!E2:E999, "A")</f>
        <v>1000</v>
      </c>
      <c r="U374" s="5">
        <f>SUMIFS(CaseCells!G2:G999,CaseCells!C2:C999, C374,CaseCells!D2:D999, D374,CaseCells!E2:E999, "B")</f>
        <v>1000</v>
      </c>
      <c r="V374" s="5">
        <f>SUMIFS(CaseCells!G2:G999,CaseCells!C2:C999, C374,CaseCells!E2:E999, "A")</f>
        <v>2000</v>
      </c>
      <c r="W374" s="5">
        <f>SUMIFS(CaseCells!G2:G999,CaseCells!C2:C999, C374,CaseCells!E2:E999, "B")</f>
        <v>2000</v>
      </c>
      <c r="X374" s="3">
        <f>IF(V374 = 0, "", T374 / V374)</f>
        <v>0.5</v>
      </c>
      <c r="Y374" s="3">
        <f>IF(W374 = 0, "", U374 / W374)</f>
        <v>0.5</v>
      </c>
      <c r="Z374" s="3">
        <f>IF(X374 = "", "", X374 - Y374)</f>
        <v>0</v>
      </c>
      <c r="AA374" s="3">
        <f>IF(K374 = "", "", K374 - N374)</f>
        <v>0.010000000000000009</v>
      </c>
      <c r="AB374" s="3">
        <f>IF(AA374 = "", "", AA374 * R374)</f>
        <v>0.0050000000000000044</v>
      </c>
    </row>
    <row r="375">
      <c r="A375" s="2" t="s">
        <v>2152</v>
      </c>
      <c r="B375" s="3" t="str">
        <f>A375</f>
        <v>star-class-size-suburban-schools-B</v>
      </c>
      <c r="C375" s="2" t="s">
        <v>731</v>
      </c>
      <c r="D375" s="2" t="s">
        <v>1695</v>
      </c>
      <c r="E375" s="2" t="s">
        <v>795</v>
      </c>
      <c r="F375" s="5">
        <f>SUMIFS(CaseCells!F2:F999,CaseCells!C2:C999, C375,CaseCells!D2:D999, D375,CaseCells!E2:E999, E375)</f>
        <v>900</v>
      </c>
      <c r="G375" s="5">
        <f>SUMIFS(CaseCells!G2:G999,CaseCells!C2:C999, C375,CaseCells!D2:D999, D375,CaseCells!E2:E999, E375)</f>
        <v>1000</v>
      </c>
      <c r="H375" s="3">
        <f>IF(G375 = 0, "", F375 / G375)</f>
        <v>0.9</v>
      </c>
      <c r="I375" s="5">
        <f>SUMIFS(CaseCells!F2:F999,CaseCells!C2:C999, C375,CaseCells!D2:D999, D375,CaseCells!E2:E999, "A")</f>
        <v>910</v>
      </c>
      <c r="J375" s="5">
        <f>SUMIFS(CaseCells!G2:G999,CaseCells!C2:C999, C375,CaseCells!D2:D999, D375,CaseCells!E2:E999, "A")</f>
        <v>1000</v>
      </c>
      <c r="K375" s="3">
        <f>IF(J375 = 0, "", I375 / J375)</f>
        <v>0.91</v>
      </c>
      <c r="L375" s="5">
        <f>SUMIFS(CaseCells!F2:F999,CaseCells!C2:C999, C375,CaseCells!D2:D999, D375,CaseCells!E2:E999, "B")</f>
        <v>900</v>
      </c>
      <c r="M375" s="5">
        <f>SUMIFS(CaseCells!G2:G999,CaseCells!C2:C999, C375,CaseCells!D2:D999, D375,CaseCells!E2:E999, "B")</f>
        <v>1000</v>
      </c>
      <c r="N375" s="3">
        <f>IF(M375 = 0, "", L375 / M375)</f>
        <v>0.9</v>
      </c>
      <c r="O375" s="3" t="str">
        <f>IF(K375 &gt; N375, "A", "B")</f>
        <v>A</v>
      </c>
      <c r="P375" s="5">
        <f>SUMIFS(CaseCells!G2:G999,CaseCells!C2:C999, C375)</f>
        <v>4000</v>
      </c>
      <c r="Q375" s="5">
        <f>SUMIFS(CaseCells!G2:G999,CaseCells!C2:C999, C375,CaseCells!D2:D999, D375)</f>
        <v>2000</v>
      </c>
      <c r="R375" s="3">
        <f>IF(P375 = 0, "", Q375 / P375)</f>
        <v>0.5</v>
      </c>
      <c r="S375" s="3">
        <f>IF(R375 = "", "", R375 * H375)</f>
        <v>0.45</v>
      </c>
      <c r="T375" s="5">
        <f>SUMIFS(CaseCells!G2:G999,CaseCells!C2:C999, C375,CaseCells!D2:D999, D375,CaseCells!E2:E999, "A")</f>
        <v>1000</v>
      </c>
      <c r="U375" s="5">
        <f>SUMIFS(CaseCells!G2:G999,CaseCells!C2:C999, C375,CaseCells!D2:D999, D375,CaseCells!E2:E999, "B")</f>
        <v>1000</v>
      </c>
      <c r="V375" s="5">
        <f>SUMIFS(CaseCells!G2:G999,CaseCells!C2:C999, C375,CaseCells!E2:E999, "A")</f>
        <v>2000</v>
      </c>
      <c r="W375" s="5">
        <f>SUMIFS(CaseCells!G2:G999,CaseCells!C2:C999, C375,CaseCells!E2:E999, "B")</f>
        <v>2000</v>
      </c>
      <c r="X375" s="3">
        <f>IF(V375 = 0, "", T375 / V375)</f>
        <v>0.5</v>
      </c>
      <c r="Y375" s="3">
        <f>IF(W375 = 0, "", U375 / W375)</f>
        <v>0.5</v>
      </c>
      <c r="Z375" s="3">
        <f>IF(X375 = "", "", X375 - Y375)</f>
        <v>0</v>
      </c>
      <c r="AA375" s="3">
        <f>IF(K375 = "", "", K375 - N375)</f>
        <v>0.010000000000000009</v>
      </c>
      <c r="AB375" s="3">
        <f>IF(AA375 = "", "", AA375 * R375)</f>
        <v>0.0050000000000000044</v>
      </c>
    </row>
    <row r="376">
      <c r="A376" s="2" t="s">
        <v>2153</v>
      </c>
      <c r="B376" s="3" t="str">
        <f>A376</f>
        <v>nba-shooting-shot-mix-two-point-attempts-A</v>
      </c>
      <c r="C376" s="2" t="s">
        <v>735</v>
      </c>
      <c r="D376" s="2" t="s">
        <v>1698</v>
      </c>
      <c r="E376" s="2" t="s">
        <v>792</v>
      </c>
      <c r="F376" s="5">
        <f>SUMIFS(CaseCells!F2:F999,CaseCells!C2:C999, C376,CaseCells!D2:D999, D376,CaseCells!E2:E999, E376)</f>
        <v>480</v>
      </c>
      <c r="G376" s="5">
        <f>SUMIFS(CaseCells!G2:G999,CaseCells!C2:C999, C376,CaseCells!D2:D999, D376,CaseCells!E2:E999, E376)</f>
        <v>1000</v>
      </c>
      <c r="H376" s="3">
        <f>IF(G376 = 0, "", F376 / G376)</f>
        <v>0.48</v>
      </c>
      <c r="I376" s="5">
        <f>SUMIFS(CaseCells!F2:F999,CaseCells!C2:C999, C376,CaseCells!D2:D999, D376,CaseCells!E2:E999, "A")</f>
        <v>480</v>
      </c>
      <c r="J376" s="5">
        <f>SUMIFS(CaseCells!G2:G999,CaseCells!C2:C999, C376,CaseCells!D2:D999, D376,CaseCells!E2:E999, "A")</f>
        <v>1000</v>
      </c>
      <c r="K376" s="3">
        <f>IF(J376 = 0, "", I376 / J376)</f>
        <v>0.48</v>
      </c>
      <c r="L376" s="5">
        <f>SUMIFS(CaseCells!F2:F999,CaseCells!C2:C999, C376,CaseCells!D2:D999, D376,CaseCells!E2:E999, "B")</f>
        <v>440</v>
      </c>
      <c r="M376" s="5">
        <f>SUMIFS(CaseCells!G2:G999,CaseCells!C2:C999, C376,CaseCells!D2:D999, D376,CaseCells!E2:E999, "B")</f>
        <v>1000</v>
      </c>
      <c r="N376" s="3">
        <f>IF(M376 = 0, "", L376 / M376)</f>
        <v>0.44</v>
      </c>
      <c r="O376" s="3" t="str">
        <f>IF(K376 &gt; N376, "A", "B")</f>
        <v>A</v>
      </c>
      <c r="P376" s="5">
        <f>SUMIFS(CaseCells!G2:G999,CaseCells!C2:C999, C376)</f>
        <v>3500</v>
      </c>
      <c r="Q376" s="5">
        <f>SUMIFS(CaseCells!G2:G999,CaseCells!C2:C999, C376,CaseCells!D2:D999, D376)</f>
        <v>2000</v>
      </c>
      <c r="R376" s="3">
        <f>IF(P376 = 0, "", Q376 / P376)</f>
        <v>0.5714285714285714</v>
      </c>
      <c r="S376" s="3">
        <f>IF(R376 = "", "", R376 * H376)</f>
        <v>0.27428571428571424</v>
      </c>
      <c r="T376" s="5">
        <f>SUMIFS(CaseCells!G2:G999,CaseCells!C2:C999, C376,CaseCells!D2:D999, D376,CaseCells!E2:E999, "A")</f>
        <v>1000</v>
      </c>
      <c r="U376" s="5">
        <f>SUMIFS(CaseCells!G2:G999,CaseCells!C2:C999, C376,CaseCells!D2:D999, D376,CaseCells!E2:E999, "B")</f>
        <v>1000</v>
      </c>
      <c r="V376" s="5">
        <f>SUMIFS(CaseCells!G2:G999,CaseCells!C2:C999, C376,CaseCells!E2:E999, "A")</f>
        <v>2000</v>
      </c>
      <c r="W376" s="5">
        <f>SUMIFS(CaseCells!G2:G999,CaseCells!C2:C999, C376,CaseCells!E2:E999, "B")</f>
        <v>1500</v>
      </c>
      <c r="X376" s="3">
        <f>IF(V376 = 0, "", T376 / V376)</f>
        <v>0.5</v>
      </c>
      <c r="Y376" s="3">
        <f>IF(W376 = 0, "", U376 / W376)</f>
        <v>0.6666666666666666</v>
      </c>
      <c r="Z376" s="3">
        <f>IF(X376 = "", "", X376 - Y376)</f>
        <v>-0.16666666666666663</v>
      </c>
      <c r="AA376" s="3">
        <f>IF(K376 = "", "", K376 - N376)</f>
        <v>0.03999999999999998</v>
      </c>
      <c r="AB376" s="3">
        <f>IF(AA376 = "", "", AA376 * R376)</f>
        <v>0.022857142857142843</v>
      </c>
    </row>
    <row r="377">
      <c r="A377" s="2" t="s">
        <v>2154</v>
      </c>
      <c r="B377" s="3" t="str">
        <f>A377</f>
        <v>nba-shooting-shot-mix-two-point-attempts-B</v>
      </c>
      <c r="C377" s="2" t="s">
        <v>735</v>
      </c>
      <c r="D377" s="2" t="s">
        <v>1698</v>
      </c>
      <c r="E377" s="2" t="s">
        <v>795</v>
      </c>
      <c r="F377" s="5">
        <f>SUMIFS(CaseCells!F2:F999,CaseCells!C2:C999, C377,CaseCells!D2:D999, D377,CaseCells!E2:E999, E377)</f>
        <v>440</v>
      </c>
      <c r="G377" s="5">
        <f>SUMIFS(CaseCells!G2:G999,CaseCells!C2:C999, C377,CaseCells!D2:D999, D377,CaseCells!E2:E999, E377)</f>
        <v>1000</v>
      </c>
      <c r="H377" s="3">
        <f>IF(G377 = 0, "", F377 / G377)</f>
        <v>0.44</v>
      </c>
      <c r="I377" s="5">
        <f>SUMIFS(CaseCells!F2:F999,CaseCells!C2:C999, C377,CaseCells!D2:D999, D377,CaseCells!E2:E999, "A")</f>
        <v>480</v>
      </c>
      <c r="J377" s="5">
        <f>SUMIFS(CaseCells!G2:G999,CaseCells!C2:C999, C377,CaseCells!D2:D999, D377,CaseCells!E2:E999, "A")</f>
        <v>1000</v>
      </c>
      <c r="K377" s="3">
        <f>IF(J377 = 0, "", I377 / J377)</f>
        <v>0.48</v>
      </c>
      <c r="L377" s="5">
        <f>SUMIFS(CaseCells!F2:F999,CaseCells!C2:C999, C377,CaseCells!D2:D999, D377,CaseCells!E2:E999, "B")</f>
        <v>440</v>
      </c>
      <c r="M377" s="5">
        <f>SUMIFS(CaseCells!G2:G999,CaseCells!C2:C999, C377,CaseCells!D2:D999, D377,CaseCells!E2:E999, "B")</f>
        <v>1000</v>
      </c>
      <c r="N377" s="3">
        <f>IF(M377 = 0, "", L377 / M377)</f>
        <v>0.44</v>
      </c>
      <c r="O377" s="3" t="str">
        <f>IF(K377 &gt; N377, "A", "B")</f>
        <v>A</v>
      </c>
      <c r="P377" s="5">
        <f>SUMIFS(CaseCells!G2:G999,CaseCells!C2:C999, C377)</f>
        <v>3500</v>
      </c>
      <c r="Q377" s="5">
        <f>SUMIFS(CaseCells!G2:G999,CaseCells!C2:C999, C377,CaseCells!D2:D999, D377)</f>
        <v>2000</v>
      </c>
      <c r="R377" s="3">
        <f>IF(P377 = 0, "", Q377 / P377)</f>
        <v>0.5714285714285714</v>
      </c>
      <c r="S377" s="3">
        <f>IF(R377 = "", "", R377 * H377)</f>
        <v>0.2514285714285714</v>
      </c>
      <c r="T377" s="5">
        <f>SUMIFS(CaseCells!G2:G999,CaseCells!C2:C999, C377,CaseCells!D2:D999, D377,CaseCells!E2:E999, "A")</f>
        <v>1000</v>
      </c>
      <c r="U377" s="5">
        <f>SUMIFS(CaseCells!G2:G999,CaseCells!C2:C999, C377,CaseCells!D2:D999, D377,CaseCells!E2:E999, "B")</f>
        <v>1000</v>
      </c>
      <c r="V377" s="5">
        <f>SUMIFS(CaseCells!G2:G999,CaseCells!C2:C999, C377,CaseCells!E2:E999, "A")</f>
        <v>2000</v>
      </c>
      <c r="W377" s="5">
        <f>SUMIFS(CaseCells!G2:G999,CaseCells!C2:C999, C377,CaseCells!E2:E999, "B")</f>
        <v>1500</v>
      </c>
      <c r="X377" s="3">
        <f>IF(V377 = 0, "", T377 / V377)</f>
        <v>0.5</v>
      </c>
      <c r="Y377" s="3">
        <f>IF(W377 = 0, "", U377 / W377)</f>
        <v>0.6666666666666666</v>
      </c>
      <c r="Z377" s="3">
        <f>IF(X377 = "", "", X377 - Y377)</f>
        <v>-0.16666666666666663</v>
      </c>
      <c r="AA377" s="3">
        <f>IF(K377 = "", "", K377 - N377)</f>
        <v>0.03999999999999998</v>
      </c>
      <c r="AB377" s="3">
        <f>IF(AA377 = "", "", AA377 * R377)</f>
        <v>0.022857142857142843</v>
      </c>
    </row>
    <row r="378">
      <c r="A378" s="2" t="s">
        <v>2155</v>
      </c>
      <c r="B378" s="3" t="str">
        <f>A378</f>
        <v>nba-shooting-shot-mix-three-point-attempts-A</v>
      </c>
      <c r="C378" s="2" t="s">
        <v>735</v>
      </c>
      <c r="D378" s="2" t="s">
        <v>1701</v>
      </c>
      <c r="E378" s="2" t="s">
        <v>792</v>
      </c>
      <c r="F378" s="5">
        <f>SUMIFS(CaseCells!F2:F999,CaseCells!C2:C999, C378,CaseCells!D2:D999, D378,CaseCells!E2:E999, E378)</f>
        <v>360</v>
      </c>
      <c r="G378" s="5">
        <f>SUMIFS(CaseCells!G2:G999,CaseCells!C2:C999, C378,CaseCells!D2:D999, D378,CaseCells!E2:E999, E378)</f>
        <v>1000</v>
      </c>
      <c r="H378" s="3">
        <f>IF(G378 = 0, "", F378 / G378)</f>
        <v>0.36</v>
      </c>
      <c r="I378" s="5">
        <f>SUMIFS(CaseCells!F2:F999,CaseCells!C2:C999, C378,CaseCells!D2:D999, D378,CaseCells!E2:E999, "A")</f>
        <v>360</v>
      </c>
      <c r="J378" s="5">
        <f>SUMIFS(CaseCells!G2:G999,CaseCells!C2:C999, C378,CaseCells!D2:D999, D378,CaseCells!E2:E999, "A")</f>
        <v>1000</v>
      </c>
      <c r="K378" s="3">
        <f>IF(J378 = 0, "", I378 / J378)</f>
        <v>0.36</v>
      </c>
      <c r="L378" s="5">
        <f>SUMIFS(CaseCells!F2:F999,CaseCells!C2:C999, C378,CaseCells!D2:D999, D378,CaseCells!E2:E999, "B")</f>
        <v>150</v>
      </c>
      <c r="M378" s="5">
        <f>SUMIFS(CaseCells!G2:G999,CaseCells!C2:C999, C378,CaseCells!D2:D999, D378,CaseCells!E2:E999, "B")</f>
        <v>500</v>
      </c>
      <c r="N378" s="3">
        <f>IF(M378 = 0, "", L378 / M378)</f>
        <v>0.3</v>
      </c>
      <c r="O378" s="3" t="str">
        <f>IF(K378 &gt; N378, "A", "B")</f>
        <v>A</v>
      </c>
      <c r="P378" s="5">
        <f>SUMIFS(CaseCells!G2:G999,CaseCells!C2:C999, C378)</f>
        <v>3500</v>
      </c>
      <c r="Q378" s="5">
        <f>SUMIFS(CaseCells!G2:G999,CaseCells!C2:C999, C378,CaseCells!D2:D999, D378)</f>
        <v>1500</v>
      </c>
      <c r="R378" s="3">
        <f>IF(P378 = 0, "", Q378 / P378)</f>
        <v>0.42857142857142855</v>
      </c>
      <c r="S378" s="3">
        <f>IF(R378 = "", "", R378 * H378)</f>
        <v>0.15428571428571428</v>
      </c>
      <c r="T378" s="5">
        <f>SUMIFS(CaseCells!G2:G999,CaseCells!C2:C999, C378,CaseCells!D2:D999, D378,CaseCells!E2:E999, "A")</f>
        <v>1000</v>
      </c>
      <c r="U378" s="5">
        <f>SUMIFS(CaseCells!G2:G999,CaseCells!C2:C999, C378,CaseCells!D2:D999, D378,CaseCells!E2:E999, "B")</f>
        <v>500</v>
      </c>
      <c r="V378" s="5">
        <f>SUMIFS(CaseCells!G2:G999,CaseCells!C2:C999, C378,CaseCells!E2:E999, "A")</f>
        <v>2000</v>
      </c>
      <c r="W378" s="5">
        <f>SUMIFS(CaseCells!G2:G999,CaseCells!C2:C999, C378,CaseCells!E2:E999, "B")</f>
        <v>1500</v>
      </c>
      <c r="X378" s="3">
        <f>IF(V378 = 0, "", T378 / V378)</f>
        <v>0.5</v>
      </c>
      <c r="Y378" s="3">
        <f>IF(W378 = 0, "", U378 / W378)</f>
        <v>0.3333333333333333</v>
      </c>
      <c r="Z378" s="3">
        <f>IF(X378 = "", "", X378 - Y378)</f>
        <v>0.16666666666666669</v>
      </c>
      <c r="AA378" s="3">
        <f>IF(K378 = "", "", K378 - N378)</f>
        <v>0.06</v>
      </c>
      <c r="AB378" s="3">
        <f>IF(AA378 = "", "", AA378 * R378)</f>
        <v>0.02571428571428571</v>
      </c>
    </row>
    <row r="379">
      <c r="A379" s="2" t="s">
        <v>2156</v>
      </c>
      <c r="B379" s="3" t="str">
        <f>A379</f>
        <v>nba-shooting-shot-mix-three-point-attempts-B</v>
      </c>
      <c r="C379" s="2" t="s">
        <v>735</v>
      </c>
      <c r="D379" s="2" t="s">
        <v>1701</v>
      </c>
      <c r="E379" s="2" t="s">
        <v>795</v>
      </c>
      <c r="F379" s="5">
        <f>SUMIFS(CaseCells!F2:F999,CaseCells!C2:C999, C379,CaseCells!D2:D999, D379,CaseCells!E2:E999, E379)</f>
        <v>150</v>
      </c>
      <c r="G379" s="5">
        <f>SUMIFS(CaseCells!G2:G999,CaseCells!C2:C999, C379,CaseCells!D2:D999, D379,CaseCells!E2:E999, E379)</f>
        <v>500</v>
      </c>
      <c r="H379" s="3">
        <f>IF(G379 = 0, "", F379 / G379)</f>
        <v>0.3</v>
      </c>
      <c r="I379" s="5">
        <f>SUMIFS(CaseCells!F2:F999,CaseCells!C2:C999, C379,CaseCells!D2:D999, D379,CaseCells!E2:E999, "A")</f>
        <v>360</v>
      </c>
      <c r="J379" s="5">
        <f>SUMIFS(CaseCells!G2:G999,CaseCells!C2:C999, C379,CaseCells!D2:D999, D379,CaseCells!E2:E999, "A")</f>
        <v>1000</v>
      </c>
      <c r="K379" s="3">
        <f>IF(J379 = 0, "", I379 / J379)</f>
        <v>0.36</v>
      </c>
      <c r="L379" s="5">
        <f>SUMIFS(CaseCells!F2:F999,CaseCells!C2:C999, C379,CaseCells!D2:D999, D379,CaseCells!E2:E999, "B")</f>
        <v>150</v>
      </c>
      <c r="M379" s="5">
        <f>SUMIFS(CaseCells!G2:G999,CaseCells!C2:C999, C379,CaseCells!D2:D999, D379,CaseCells!E2:E999, "B")</f>
        <v>500</v>
      </c>
      <c r="N379" s="3">
        <f>IF(M379 = 0, "", L379 / M379)</f>
        <v>0.3</v>
      </c>
      <c r="O379" s="3" t="str">
        <f>IF(K379 &gt; N379, "A", "B")</f>
        <v>A</v>
      </c>
      <c r="P379" s="5">
        <f>SUMIFS(CaseCells!G2:G999,CaseCells!C2:C999, C379)</f>
        <v>3500</v>
      </c>
      <c r="Q379" s="5">
        <f>SUMIFS(CaseCells!G2:G999,CaseCells!C2:C999, C379,CaseCells!D2:D999, D379)</f>
        <v>1500</v>
      </c>
      <c r="R379" s="3">
        <f>IF(P379 = 0, "", Q379 / P379)</f>
        <v>0.42857142857142855</v>
      </c>
      <c r="S379" s="3">
        <f>IF(R379 = "", "", R379 * H379)</f>
        <v>0.12857142857142856</v>
      </c>
      <c r="T379" s="5">
        <f>SUMIFS(CaseCells!G2:G999,CaseCells!C2:C999, C379,CaseCells!D2:D999, D379,CaseCells!E2:E999, "A")</f>
        <v>1000</v>
      </c>
      <c r="U379" s="5">
        <f>SUMIFS(CaseCells!G2:G999,CaseCells!C2:C999, C379,CaseCells!D2:D999, D379,CaseCells!E2:E999, "B")</f>
        <v>500</v>
      </c>
      <c r="V379" s="5">
        <f>SUMIFS(CaseCells!G2:G999,CaseCells!C2:C999, C379,CaseCells!E2:E999, "A")</f>
        <v>2000</v>
      </c>
      <c r="W379" s="5">
        <f>SUMIFS(CaseCells!G2:G999,CaseCells!C2:C999, C379,CaseCells!E2:E999, "B")</f>
        <v>1500</v>
      </c>
      <c r="X379" s="3">
        <f>IF(V379 = 0, "", T379 / V379)</f>
        <v>0.5</v>
      </c>
      <c r="Y379" s="3">
        <f>IF(W379 = 0, "", U379 / W379)</f>
        <v>0.3333333333333333</v>
      </c>
      <c r="Z379" s="3">
        <f>IF(X379 = "", "", X379 - Y379)</f>
        <v>0.16666666666666669</v>
      </c>
      <c r="AA379" s="3">
        <f>IF(K379 = "", "", K379 - N379)</f>
        <v>0.06</v>
      </c>
      <c r="AB379" s="3">
        <f>IF(AA379 = "", "", AA379 * R379)</f>
        <v>0.02571428571428571</v>
      </c>
    </row>
    <row r="380">
      <c r="A380" s="2" t="s">
        <v>2157</v>
      </c>
      <c r="B380" s="3" t="str">
        <f>A380</f>
        <v>pitcher-era-ballpark-pitcher-friendly-park-A</v>
      </c>
      <c r="C380" s="2" t="s">
        <v>739</v>
      </c>
      <c r="D380" s="2" t="s">
        <v>1704</v>
      </c>
      <c r="E380" s="2" t="s">
        <v>792</v>
      </c>
      <c r="F380" s="5">
        <f>SUMIFS(CaseCells!F2:F999,CaseCells!C2:C999, C380,CaseCells!D2:D999, D380,CaseCells!E2:E999, E380)</f>
        <v>650</v>
      </c>
      <c r="G380" s="5">
        <f>SUMIFS(CaseCells!G2:G999,CaseCells!C2:C999, C380,CaseCells!D2:D999, D380,CaseCells!E2:E999, E380)</f>
        <v>1000</v>
      </c>
      <c r="H380" s="3">
        <f>IF(G380 = 0, "", F380 / G380)</f>
        <v>0.65</v>
      </c>
      <c r="I380" s="5">
        <f>SUMIFS(CaseCells!F2:F999,CaseCells!C2:C999, C380,CaseCells!D2:D999, D380,CaseCells!E2:E999, "A")</f>
        <v>650</v>
      </c>
      <c r="J380" s="5">
        <f>SUMIFS(CaseCells!G2:G999,CaseCells!C2:C999, C380,CaseCells!D2:D999, D380,CaseCells!E2:E999, "A")</f>
        <v>1000</v>
      </c>
      <c r="K380" s="3">
        <f>IF(J380 = 0, "", I380 / J380)</f>
        <v>0.65</v>
      </c>
      <c r="L380" s="5">
        <f>SUMIFS(CaseCells!F2:F999,CaseCells!C2:C999, C380,CaseCells!D2:D999, D380,CaseCells!E2:E999, "B")</f>
        <v>620</v>
      </c>
      <c r="M380" s="5">
        <f>SUMIFS(CaseCells!G2:G999,CaseCells!C2:C999, C380,CaseCells!D2:D999, D380,CaseCells!E2:E999, "B")</f>
        <v>1000</v>
      </c>
      <c r="N380" s="3">
        <f>IF(M380 = 0, "", L380 / M380)</f>
        <v>0.62</v>
      </c>
      <c r="O380" s="3" t="str">
        <f>IF(K380 &gt; N380, "A", "B")</f>
        <v>A</v>
      </c>
      <c r="P380" s="5">
        <f>SUMIFS(CaseCells!G2:G999,CaseCells!C2:C999, C380)</f>
        <v>4000</v>
      </c>
      <c r="Q380" s="5">
        <f>SUMIFS(CaseCells!G2:G999,CaseCells!C2:C999, C380,CaseCells!D2:D999, D380)</f>
        <v>2000</v>
      </c>
      <c r="R380" s="3">
        <f>IF(P380 = 0, "", Q380 / P380)</f>
        <v>0.5</v>
      </c>
      <c r="S380" s="3">
        <f>IF(R380 = "", "", R380 * H380)</f>
        <v>0.325</v>
      </c>
      <c r="T380" s="5">
        <f>SUMIFS(CaseCells!G2:G999,CaseCells!C2:C999, C380,CaseCells!D2:D999, D380,CaseCells!E2:E999, "A")</f>
        <v>1000</v>
      </c>
      <c r="U380" s="5">
        <f>SUMIFS(CaseCells!G2:G999,CaseCells!C2:C999, C380,CaseCells!D2:D999, D380,CaseCells!E2:E999, "B")</f>
        <v>1000</v>
      </c>
      <c r="V380" s="5">
        <f>SUMIFS(CaseCells!G2:G999,CaseCells!C2:C999, C380,CaseCells!E2:E999, "A")</f>
        <v>2000</v>
      </c>
      <c r="W380" s="5">
        <f>SUMIFS(CaseCells!G2:G999,CaseCells!C2:C999, C380,CaseCells!E2:E999, "B")</f>
        <v>2000</v>
      </c>
      <c r="X380" s="3">
        <f>IF(V380 = 0, "", T380 / V380)</f>
        <v>0.5</v>
      </c>
      <c r="Y380" s="3">
        <f>IF(W380 = 0, "", U380 / W380)</f>
        <v>0.5</v>
      </c>
      <c r="Z380" s="3">
        <f>IF(X380 = "", "", X380 - Y380)</f>
        <v>0</v>
      </c>
      <c r="AA380" s="3">
        <f>IF(K380 = "", "", K380 - N380)</f>
        <v>0.030000000000000027</v>
      </c>
      <c r="AB380" s="3">
        <f>IF(AA380 = "", "", AA380 * R380)</f>
        <v>0.015000000000000013</v>
      </c>
    </row>
    <row r="381">
      <c r="A381" s="2" t="s">
        <v>2158</v>
      </c>
      <c r="B381" s="3" t="str">
        <f>A381</f>
        <v>pitcher-era-ballpark-pitcher-friendly-park-B</v>
      </c>
      <c r="C381" s="2" t="s">
        <v>739</v>
      </c>
      <c r="D381" s="2" t="s">
        <v>1704</v>
      </c>
      <c r="E381" s="2" t="s">
        <v>795</v>
      </c>
      <c r="F381" s="5">
        <f>SUMIFS(CaseCells!F2:F999,CaseCells!C2:C999, C381,CaseCells!D2:D999, D381,CaseCells!E2:E999, E381)</f>
        <v>620</v>
      </c>
      <c r="G381" s="5">
        <f>SUMIFS(CaseCells!G2:G999,CaseCells!C2:C999, C381,CaseCells!D2:D999, D381,CaseCells!E2:E999, E381)</f>
        <v>1000</v>
      </c>
      <c r="H381" s="3">
        <f>IF(G381 = 0, "", F381 / G381)</f>
        <v>0.62</v>
      </c>
      <c r="I381" s="5">
        <f>SUMIFS(CaseCells!F2:F999,CaseCells!C2:C999, C381,CaseCells!D2:D999, D381,CaseCells!E2:E999, "A")</f>
        <v>650</v>
      </c>
      <c r="J381" s="5">
        <f>SUMIFS(CaseCells!G2:G999,CaseCells!C2:C999, C381,CaseCells!D2:D999, D381,CaseCells!E2:E999, "A")</f>
        <v>1000</v>
      </c>
      <c r="K381" s="3">
        <f>IF(J381 = 0, "", I381 / J381)</f>
        <v>0.65</v>
      </c>
      <c r="L381" s="5">
        <f>SUMIFS(CaseCells!F2:F999,CaseCells!C2:C999, C381,CaseCells!D2:D999, D381,CaseCells!E2:E999, "B")</f>
        <v>620</v>
      </c>
      <c r="M381" s="5">
        <f>SUMIFS(CaseCells!G2:G999,CaseCells!C2:C999, C381,CaseCells!D2:D999, D381,CaseCells!E2:E999, "B")</f>
        <v>1000</v>
      </c>
      <c r="N381" s="3">
        <f>IF(M381 = 0, "", L381 / M381)</f>
        <v>0.62</v>
      </c>
      <c r="O381" s="3" t="str">
        <f>IF(K381 &gt; N381, "A", "B")</f>
        <v>A</v>
      </c>
      <c r="P381" s="5">
        <f>SUMIFS(CaseCells!G2:G999,CaseCells!C2:C999, C381)</f>
        <v>4000</v>
      </c>
      <c r="Q381" s="5">
        <f>SUMIFS(CaseCells!G2:G999,CaseCells!C2:C999, C381,CaseCells!D2:D999, D381)</f>
        <v>2000</v>
      </c>
      <c r="R381" s="3">
        <f>IF(P381 = 0, "", Q381 / P381)</f>
        <v>0.5</v>
      </c>
      <c r="S381" s="3">
        <f>IF(R381 = "", "", R381 * H381)</f>
        <v>0.31</v>
      </c>
      <c r="T381" s="5">
        <f>SUMIFS(CaseCells!G2:G999,CaseCells!C2:C999, C381,CaseCells!D2:D999, D381,CaseCells!E2:E999, "A")</f>
        <v>1000</v>
      </c>
      <c r="U381" s="5">
        <f>SUMIFS(CaseCells!G2:G999,CaseCells!C2:C999, C381,CaseCells!D2:D999, D381,CaseCells!E2:E999, "B")</f>
        <v>1000</v>
      </c>
      <c r="V381" s="5">
        <f>SUMIFS(CaseCells!G2:G999,CaseCells!C2:C999, C381,CaseCells!E2:E999, "A")</f>
        <v>2000</v>
      </c>
      <c r="W381" s="5">
        <f>SUMIFS(CaseCells!G2:G999,CaseCells!C2:C999, C381,CaseCells!E2:E999, "B")</f>
        <v>2000</v>
      </c>
      <c r="X381" s="3">
        <f>IF(V381 = 0, "", T381 / V381)</f>
        <v>0.5</v>
      </c>
      <c r="Y381" s="3">
        <f>IF(W381 = 0, "", U381 / W381)</f>
        <v>0.5</v>
      </c>
      <c r="Z381" s="3">
        <f>IF(X381 = "", "", X381 - Y381)</f>
        <v>0</v>
      </c>
      <c r="AA381" s="3">
        <f>IF(K381 = "", "", K381 - N381)</f>
        <v>0.030000000000000027</v>
      </c>
      <c r="AB381" s="3">
        <f>IF(AA381 = "", "", AA381 * R381)</f>
        <v>0.015000000000000013</v>
      </c>
    </row>
    <row r="382">
      <c r="A382" s="2" t="s">
        <v>2159</v>
      </c>
      <c r="B382" s="3" t="str">
        <f>A382</f>
        <v>pitcher-era-ballpark-hitter-friendly-park-A</v>
      </c>
      <c r="C382" s="2" t="s">
        <v>739</v>
      </c>
      <c r="D382" s="2" t="s">
        <v>1707</v>
      </c>
      <c r="E382" s="2" t="s">
        <v>792</v>
      </c>
      <c r="F382" s="5">
        <f>SUMIFS(CaseCells!F2:F999,CaseCells!C2:C999, C382,CaseCells!D2:D999, D382,CaseCells!E2:E999, E382)</f>
        <v>520</v>
      </c>
      <c r="G382" s="5">
        <f>SUMIFS(CaseCells!G2:G999,CaseCells!C2:C999, C382,CaseCells!D2:D999, D382,CaseCells!E2:E999, E382)</f>
        <v>1000</v>
      </c>
      <c r="H382" s="3">
        <f>IF(G382 = 0, "", F382 / G382)</f>
        <v>0.52</v>
      </c>
      <c r="I382" s="5">
        <f>SUMIFS(CaseCells!F2:F999,CaseCells!C2:C999, C382,CaseCells!D2:D999, D382,CaseCells!E2:E999, "A")</f>
        <v>520</v>
      </c>
      <c r="J382" s="5">
        <f>SUMIFS(CaseCells!G2:G999,CaseCells!C2:C999, C382,CaseCells!D2:D999, D382,CaseCells!E2:E999, "A")</f>
        <v>1000</v>
      </c>
      <c r="K382" s="3">
        <f>IF(J382 = 0, "", I382 / J382)</f>
        <v>0.52</v>
      </c>
      <c r="L382" s="5">
        <f>SUMIFS(CaseCells!F2:F999,CaseCells!C2:C999, C382,CaseCells!D2:D999, D382,CaseCells!E2:E999, "B")</f>
        <v>540</v>
      </c>
      <c r="M382" s="5">
        <f>SUMIFS(CaseCells!G2:G999,CaseCells!C2:C999, C382,CaseCells!D2:D999, D382,CaseCells!E2:E999, "B")</f>
        <v>1000</v>
      </c>
      <c r="N382" s="3">
        <f>IF(M382 = 0, "", L382 / M382)</f>
        <v>0.54</v>
      </c>
      <c r="O382" s="3" t="str">
        <f>IF(K382 &gt; N382, "A", "B")</f>
        <v>B</v>
      </c>
      <c r="P382" s="5">
        <f>SUMIFS(CaseCells!G2:G999,CaseCells!C2:C999, C382)</f>
        <v>4000</v>
      </c>
      <c r="Q382" s="5">
        <f>SUMIFS(CaseCells!G2:G999,CaseCells!C2:C999, C382,CaseCells!D2:D999, D382)</f>
        <v>2000</v>
      </c>
      <c r="R382" s="3">
        <f>IF(P382 = 0, "", Q382 / P382)</f>
        <v>0.5</v>
      </c>
      <c r="S382" s="3">
        <f>IF(R382 = "", "", R382 * H382)</f>
        <v>0.26</v>
      </c>
      <c r="T382" s="5">
        <f>SUMIFS(CaseCells!G2:G999,CaseCells!C2:C999, C382,CaseCells!D2:D999, D382,CaseCells!E2:E999, "A")</f>
        <v>1000</v>
      </c>
      <c r="U382" s="5">
        <f>SUMIFS(CaseCells!G2:G999,CaseCells!C2:C999, C382,CaseCells!D2:D999, D382,CaseCells!E2:E999, "B")</f>
        <v>1000</v>
      </c>
      <c r="V382" s="5">
        <f>SUMIFS(CaseCells!G2:G999,CaseCells!C2:C999, C382,CaseCells!E2:E999, "A")</f>
        <v>2000</v>
      </c>
      <c r="W382" s="5">
        <f>SUMIFS(CaseCells!G2:G999,CaseCells!C2:C999, C382,CaseCells!E2:E999, "B")</f>
        <v>2000</v>
      </c>
      <c r="X382" s="3">
        <f>IF(V382 = 0, "", T382 / V382)</f>
        <v>0.5</v>
      </c>
      <c r="Y382" s="3">
        <f>IF(W382 = 0, "", U382 / W382)</f>
        <v>0.5</v>
      </c>
      <c r="Z382" s="3">
        <f>IF(X382 = "", "", X382 - Y382)</f>
        <v>0</v>
      </c>
      <c r="AA382" s="3">
        <f>IF(K382 = "", "", K382 - N382)</f>
        <v>-0.020000000000000018</v>
      </c>
      <c r="AB382" s="3">
        <f>IF(AA382 = "", "", AA382 * R382)</f>
        <v>-0.010000000000000009</v>
      </c>
    </row>
    <row r="383">
      <c r="A383" s="2" t="s">
        <v>2160</v>
      </c>
      <c r="B383" s="3" t="str">
        <f>A383</f>
        <v>pitcher-era-ballpark-hitter-friendly-park-B</v>
      </c>
      <c r="C383" s="2" t="s">
        <v>739</v>
      </c>
      <c r="D383" s="2" t="s">
        <v>1707</v>
      </c>
      <c r="E383" s="2" t="s">
        <v>795</v>
      </c>
      <c r="F383" s="5">
        <f>SUMIFS(CaseCells!F2:F999,CaseCells!C2:C999, C383,CaseCells!D2:D999, D383,CaseCells!E2:E999, E383)</f>
        <v>540</v>
      </c>
      <c r="G383" s="5">
        <f>SUMIFS(CaseCells!G2:G999,CaseCells!C2:C999, C383,CaseCells!D2:D999, D383,CaseCells!E2:E999, E383)</f>
        <v>1000</v>
      </c>
      <c r="H383" s="3">
        <f>IF(G383 = 0, "", F383 / G383)</f>
        <v>0.54</v>
      </c>
      <c r="I383" s="5">
        <f>SUMIFS(CaseCells!F2:F999,CaseCells!C2:C999, C383,CaseCells!D2:D999, D383,CaseCells!E2:E999, "A")</f>
        <v>520</v>
      </c>
      <c r="J383" s="5">
        <f>SUMIFS(CaseCells!G2:G999,CaseCells!C2:C999, C383,CaseCells!D2:D999, D383,CaseCells!E2:E999, "A")</f>
        <v>1000</v>
      </c>
      <c r="K383" s="3">
        <f>IF(J383 = 0, "", I383 / J383)</f>
        <v>0.52</v>
      </c>
      <c r="L383" s="5">
        <f>SUMIFS(CaseCells!F2:F999,CaseCells!C2:C999, C383,CaseCells!D2:D999, D383,CaseCells!E2:E999, "B")</f>
        <v>540</v>
      </c>
      <c r="M383" s="5">
        <f>SUMIFS(CaseCells!G2:G999,CaseCells!C2:C999, C383,CaseCells!D2:D999, D383,CaseCells!E2:E999, "B")</f>
        <v>1000</v>
      </c>
      <c r="N383" s="3">
        <f>IF(M383 = 0, "", L383 / M383)</f>
        <v>0.54</v>
      </c>
      <c r="O383" s="3" t="str">
        <f>IF(K383 &gt; N383, "A", "B")</f>
        <v>B</v>
      </c>
      <c r="P383" s="5">
        <f>SUMIFS(CaseCells!G2:G999,CaseCells!C2:C999, C383)</f>
        <v>4000</v>
      </c>
      <c r="Q383" s="5">
        <f>SUMIFS(CaseCells!G2:G999,CaseCells!C2:C999, C383,CaseCells!D2:D999, D383)</f>
        <v>2000</v>
      </c>
      <c r="R383" s="3">
        <f>IF(P383 = 0, "", Q383 / P383)</f>
        <v>0.5</v>
      </c>
      <c r="S383" s="3">
        <f>IF(R383 = "", "", R383 * H383)</f>
        <v>0.27</v>
      </c>
      <c r="T383" s="5">
        <f>SUMIFS(CaseCells!G2:G999,CaseCells!C2:C999, C383,CaseCells!D2:D999, D383,CaseCells!E2:E999, "A")</f>
        <v>1000</v>
      </c>
      <c r="U383" s="5">
        <f>SUMIFS(CaseCells!G2:G999,CaseCells!C2:C999, C383,CaseCells!D2:D999, D383,CaseCells!E2:E999, "B")</f>
        <v>1000</v>
      </c>
      <c r="V383" s="5">
        <f>SUMIFS(CaseCells!G2:G999,CaseCells!C2:C999, C383,CaseCells!E2:E999, "A")</f>
        <v>2000</v>
      </c>
      <c r="W383" s="5">
        <f>SUMIFS(CaseCells!G2:G999,CaseCells!C2:C999, C383,CaseCells!E2:E999, "B")</f>
        <v>2000</v>
      </c>
      <c r="X383" s="3">
        <f>IF(V383 = 0, "", T383 / V383)</f>
        <v>0.5</v>
      </c>
      <c r="Y383" s="3">
        <f>IF(W383 = 0, "", U383 / W383)</f>
        <v>0.5</v>
      </c>
      <c r="Z383" s="3">
        <f>IF(X383 = "", "", X383 - Y383)</f>
        <v>0</v>
      </c>
      <c r="AA383" s="3">
        <f>IF(K383 = "", "", K383 - N383)</f>
        <v>-0.020000000000000018</v>
      </c>
      <c r="AB383" s="3">
        <f>IF(AA383 = "", "", AA383 * R383)</f>
        <v>-0.010000000000000009</v>
      </c>
    </row>
    <row r="384">
      <c r="A384" s="2" t="s">
        <v>2161</v>
      </c>
      <c r="B384" s="3" t="str">
        <f>A384</f>
        <v>nfl-completion-depth-short-pass-A</v>
      </c>
      <c r="C384" s="2" t="s">
        <v>743</v>
      </c>
      <c r="D384" s="2" t="s">
        <v>1710</v>
      </c>
      <c r="E384" s="2" t="s">
        <v>792</v>
      </c>
      <c r="F384" s="5">
        <f>SUMIFS(CaseCells!F2:F999,CaseCells!C2:C999, C384,CaseCells!D2:D999, D384,CaseCells!E2:E999, E384)</f>
        <v>720</v>
      </c>
      <c r="G384" s="5">
        <f>SUMIFS(CaseCells!G2:G999,CaseCells!C2:C999, C384,CaseCells!D2:D999, D384,CaseCells!E2:E999, E384)</f>
        <v>800</v>
      </c>
      <c r="H384" s="3">
        <f>IF(G384 = 0, "", F384 / G384)</f>
        <v>0.9</v>
      </c>
      <c r="I384" s="5">
        <f>SUMIFS(CaseCells!F2:F999,CaseCells!C2:C999, C384,CaseCells!D2:D999, D384,CaseCells!E2:E999, "A")</f>
        <v>720</v>
      </c>
      <c r="J384" s="5">
        <f>SUMIFS(CaseCells!G2:G999,CaseCells!C2:C999, C384,CaseCells!D2:D999, D384,CaseCells!E2:E999, "A")</f>
        <v>800</v>
      </c>
      <c r="K384" s="3">
        <f>IF(J384 = 0, "", I384 / J384)</f>
        <v>0.9</v>
      </c>
      <c r="L384" s="5">
        <f>SUMIFS(CaseCells!F2:F999,CaseCells!C2:C999, C384,CaseCells!D2:D999, D384,CaseCells!E2:E999, "B")</f>
        <v>700</v>
      </c>
      <c r="M384" s="5">
        <f>SUMIFS(CaseCells!G2:G999,CaseCells!C2:C999, C384,CaseCells!D2:D999, D384,CaseCells!E2:E999, "B")</f>
        <v>800</v>
      </c>
      <c r="N384" s="3">
        <f>IF(M384 = 0, "", L384 / M384)</f>
        <v>0.875</v>
      </c>
      <c r="O384" s="3" t="str">
        <f>IF(K384 &gt; N384, "A", "B")</f>
        <v>A</v>
      </c>
      <c r="P384" s="5">
        <f>SUMIFS(CaseCells!G2:G999,CaseCells!C2:C999, C384)</f>
        <v>2000</v>
      </c>
      <c r="Q384" s="5">
        <f>SUMIFS(CaseCells!G2:G999,CaseCells!C2:C999, C384,CaseCells!D2:D999, D384)</f>
        <v>1600</v>
      </c>
      <c r="R384" s="3">
        <f>IF(P384 = 0, "", Q384 / P384)</f>
        <v>0.8</v>
      </c>
      <c r="S384" s="3">
        <f>IF(R384 = "", "", R384 * H384)</f>
        <v>0.7200000000000001</v>
      </c>
      <c r="T384" s="5">
        <f>SUMIFS(CaseCells!G2:G999,CaseCells!C2:C999, C384,CaseCells!D2:D999, D384,CaseCells!E2:E999, "A")</f>
        <v>800</v>
      </c>
      <c r="U384" s="5">
        <f>SUMIFS(CaseCells!G2:G999,CaseCells!C2:C999, C384,CaseCells!D2:D999, D384,CaseCells!E2:E999, "B")</f>
        <v>800</v>
      </c>
      <c r="V384" s="5">
        <f>SUMIFS(CaseCells!G2:G999,CaseCells!C2:C999, C384,CaseCells!E2:E999, "A")</f>
        <v>1000</v>
      </c>
      <c r="W384" s="5">
        <f>SUMIFS(CaseCells!G2:G999,CaseCells!C2:C999, C384,CaseCells!E2:E999, "B")</f>
        <v>1000</v>
      </c>
      <c r="X384" s="3">
        <f>IF(V384 = 0, "", T384 / V384)</f>
        <v>0.8</v>
      </c>
      <c r="Y384" s="3">
        <f>IF(W384 = 0, "", U384 / W384)</f>
        <v>0.8</v>
      </c>
      <c r="Z384" s="3">
        <f>IF(X384 = "", "", X384 - Y384)</f>
        <v>0</v>
      </c>
      <c r="AA384" s="3">
        <f>IF(K384 = "", "", K384 - N384)</f>
        <v>0.025000000000000022</v>
      </c>
      <c r="AB384" s="3">
        <f>IF(AA384 = "", "", AA384 * R384)</f>
        <v>0.020000000000000018</v>
      </c>
    </row>
    <row r="385">
      <c r="A385" s="2" t="s">
        <v>2162</v>
      </c>
      <c r="B385" s="3" t="str">
        <f>A385</f>
        <v>nfl-completion-depth-short-pass-B</v>
      </c>
      <c r="C385" s="2" t="s">
        <v>743</v>
      </c>
      <c r="D385" s="2" t="s">
        <v>1710</v>
      </c>
      <c r="E385" s="2" t="s">
        <v>795</v>
      </c>
      <c r="F385" s="5">
        <f>SUMIFS(CaseCells!F2:F999,CaseCells!C2:C999, C385,CaseCells!D2:D999, D385,CaseCells!E2:E999, E385)</f>
        <v>700</v>
      </c>
      <c r="G385" s="5">
        <f>SUMIFS(CaseCells!G2:G999,CaseCells!C2:C999, C385,CaseCells!D2:D999, D385,CaseCells!E2:E999, E385)</f>
        <v>800</v>
      </c>
      <c r="H385" s="3">
        <f>IF(G385 = 0, "", F385 / G385)</f>
        <v>0.875</v>
      </c>
      <c r="I385" s="5">
        <f>SUMIFS(CaseCells!F2:F999,CaseCells!C2:C999, C385,CaseCells!D2:D999, D385,CaseCells!E2:E999, "A")</f>
        <v>720</v>
      </c>
      <c r="J385" s="5">
        <f>SUMIFS(CaseCells!G2:G999,CaseCells!C2:C999, C385,CaseCells!D2:D999, D385,CaseCells!E2:E999, "A")</f>
        <v>800</v>
      </c>
      <c r="K385" s="3">
        <f>IF(J385 = 0, "", I385 / J385)</f>
        <v>0.9</v>
      </c>
      <c r="L385" s="5">
        <f>SUMIFS(CaseCells!F2:F999,CaseCells!C2:C999, C385,CaseCells!D2:D999, D385,CaseCells!E2:E999, "B")</f>
        <v>700</v>
      </c>
      <c r="M385" s="5">
        <f>SUMIFS(CaseCells!G2:G999,CaseCells!C2:C999, C385,CaseCells!D2:D999, D385,CaseCells!E2:E999, "B")</f>
        <v>800</v>
      </c>
      <c r="N385" s="3">
        <f>IF(M385 = 0, "", L385 / M385)</f>
        <v>0.875</v>
      </c>
      <c r="O385" s="3" t="str">
        <f>IF(K385 &gt; N385, "A", "B")</f>
        <v>A</v>
      </c>
      <c r="P385" s="5">
        <f>SUMIFS(CaseCells!G2:G999,CaseCells!C2:C999, C385)</f>
        <v>2000</v>
      </c>
      <c r="Q385" s="5">
        <f>SUMIFS(CaseCells!G2:G999,CaseCells!C2:C999, C385,CaseCells!D2:D999, D385)</f>
        <v>1600</v>
      </c>
      <c r="R385" s="3">
        <f>IF(P385 = 0, "", Q385 / P385)</f>
        <v>0.8</v>
      </c>
      <c r="S385" s="3">
        <f>IF(R385 = "", "", R385 * H385)</f>
        <v>0.7000000000000001</v>
      </c>
      <c r="T385" s="5">
        <f>SUMIFS(CaseCells!G2:G999,CaseCells!C2:C999, C385,CaseCells!D2:D999, D385,CaseCells!E2:E999, "A")</f>
        <v>800</v>
      </c>
      <c r="U385" s="5">
        <f>SUMIFS(CaseCells!G2:G999,CaseCells!C2:C999, C385,CaseCells!D2:D999, D385,CaseCells!E2:E999, "B")</f>
        <v>800</v>
      </c>
      <c r="V385" s="5">
        <f>SUMIFS(CaseCells!G2:G999,CaseCells!C2:C999, C385,CaseCells!E2:E999, "A")</f>
        <v>1000</v>
      </c>
      <c r="W385" s="5">
        <f>SUMIFS(CaseCells!G2:G999,CaseCells!C2:C999, C385,CaseCells!E2:E999, "B")</f>
        <v>1000</v>
      </c>
      <c r="X385" s="3">
        <f>IF(V385 = 0, "", T385 / V385)</f>
        <v>0.8</v>
      </c>
      <c r="Y385" s="3">
        <f>IF(W385 = 0, "", U385 / W385)</f>
        <v>0.8</v>
      </c>
      <c r="Z385" s="3">
        <f>IF(X385 = "", "", X385 - Y385)</f>
        <v>0</v>
      </c>
      <c r="AA385" s="3">
        <f>IF(K385 = "", "", K385 - N385)</f>
        <v>0.025000000000000022</v>
      </c>
      <c r="AB385" s="3">
        <f>IF(AA385 = "", "", AA385 * R385)</f>
        <v>0.020000000000000018</v>
      </c>
    </row>
    <row r="386">
      <c r="A386" s="2" t="s">
        <v>2163</v>
      </c>
      <c r="B386" s="3" t="str">
        <f>A386</f>
        <v>nfl-completion-depth-deep-pass-A</v>
      </c>
      <c r="C386" s="2" t="s">
        <v>743</v>
      </c>
      <c r="D386" s="2" t="s">
        <v>1713</v>
      </c>
      <c r="E386" s="2" t="s">
        <v>792</v>
      </c>
      <c r="F386" s="5">
        <f>SUMIFS(CaseCells!F2:F999,CaseCells!C2:C999, C386,CaseCells!D2:D999, D386,CaseCells!E2:E999, E386)</f>
        <v>90</v>
      </c>
      <c r="G386" s="5">
        <f>SUMIFS(CaseCells!G2:G999,CaseCells!C2:C999, C386,CaseCells!D2:D999, D386,CaseCells!E2:E999, E386)</f>
        <v>200</v>
      </c>
      <c r="H386" s="3">
        <f>IF(G386 = 0, "", F386 / G386)</f>
        <v>0.45</v>
      </c>
      <c r="I386" s="5">
        <f>SUMIFS(CaseCells!F2:F999,CaseCells!C2:C999, C386,CaseCells!D2:D999, D386,CaseCells!E2:E999, "A")</f>
        <v>90</v>
      </c>
      <c r="J386" s="5">
        <f>SUMIFS(CaseCells!G2:G999,CaseCells!C2:C999, C386,CaseCells!D2:D999, D386,CaseCells!E2:E999, "A")</f>
        <v>200</v>
      </c>
      <c r="K386" s="3">
        <f>IF(J386 = 0, "", I386 / J386)</f>
        <v>0.45</v>
      </c>
      <c r="L386" s="5">
        <f>SUMIFS(CaseCells!F2:F999,CaseCells!C2:C999, C386,CaseCells!D2:D999, D386,CaseCells!E2:E999, "B")</f>
        <v>110</v>
      </c>
      <c r="M386" s="5">
        <f>SUMIFS(CaseCells!G2:G999,CaseCells!C2:C999, C386,CaseCells!D2:D999, D386,CaseCells!E2:E999, "B")</f>
        <v>200</v>
      </c>
      <c r="N386" s="3">
        <f>IF(M386 = 0, "", L386 / M386)</f>
        <v>0.55</v>
      </c>
      <c r="O386" s="3" t="str">
        <f>IF(K386 &gt; N386, "A", "B")</f>
        <v>B</v>
      </c>
      <c r="P386" s="5">
        <f>SUMIFS(CaseCells!G2:G999,CaseCells!C2:C999, C386)</f>
        <v>2000</v>
      </c>
      <c r="Q386" s="5">
        <f>SUMIFS(CaseCells!G2:G999,CaseCells!C2:C999, C386,CaseCells!D2:D999, D386)</f>
        <v>400</v>
      </c>
      <c r="R386" s="3">
        <f>IF(P386 = 0, "", Q386 / P386)</f>
        <v>0.2</v>
      </c>
      <c r="S386" s="3">
        <f>IF(R386 = "", "", R386 * H386)</f>
        <v>0.09000000000000001</v>
      </c>
      <c r="T386" s="5">
        <f>SUMIFS(CaseCells!G2:G999,CaseCells!C2:C999, C386,CaseCells!D2:D999, D386,CaseCells!E2:E999, "A")</f>
        <v>200</v>
      </c>
      <c r="U386" s="5">
        <f>SUMIFS(CaseCells!G2:G999,CaseCells!C2:C999, C386,CaseCells!D2:D999, D386,CaseCells!E2:E999, "B")</f>
        <v>200</v>
      </c>
      <c r="V386" s="5">
        <f>SUMIFS(CaseCells!G2:G999,CaseCells!C2:C999, C386,CaseCells!E2:E999, "A")</f>
        <v>1000</v>
      </c>
      <c r="W386" s="5">
        <f>SUMIFS(CaseCells!G2:G999,CaseCells!C2:C999, C386,CaseCells!E2:E999, "B")</f>
        <v>1000</v>
      </c>
      <c r="X386" s="3">
        <f>IF(V386 = 0, "", T386 / V386)</f>
        <v>0.2</v>
      </c>
      <c r="Y386" s="3">
        <f>IF(W386 = 0, "", U386 / W386)</f>
        <v>0.2</v>
      </c>
      <c r="Z386" s="3">
        <f>IF(X386 = "", "", X386 - Y386)</f>
        <v>0</v>
      </c>
      <c r="AA386" s="3">
        <f>IF(K386 = "", "", K386 - N386)</f>
        <v>-0.10000000000000003</v>
      </c>
      <c r="AB386" s="3">
        <f>IF(AA386 = "", "", AA386 * R386)</f>
        <v>-0.020000000000000007</v>
      </c>
    </row>
    <row r="387">
      <c r="A387" s="2" t="s">
        <v>2164</v>
      </c>
      <c r="B387" s="3" t="str">
        <f>A387</f>
        <v>nfl-completion-depth-deep-pass-B</v>
      </c>
      <c r="C387" s="2" t="s">
        <v>743</v>
      </c>
      <c r="D387" s="2" t="s">
        <v>1713</v>
      </c>
      <c r="E387" s="2" t="s">
        <v>795</v>
      </c>
      <c r="F387" s="5">
        <f>SUMIFS(CaseCells!F2:F999,CaseCells!C2:C999, C387,CaseCells!D2:D999, D387,CaseCells!E2:E999, E387)</f>
        <v>110</v>
      </c>
      <c r="G387" s="5">
        <f>SUMIFS(CaseCells!G2:G999,CaseCells!C2:C999, C387,CaseCells!D2:D999, D387,CaseCells!E2:E999, E387)</f>
        <v>200</v>
      </c>
      <c r="H387" s="3">
        <f>IF(G387 = 0, "", F387 / G387)</f>
        <v>0.55</v>
      </c>
      <c r="I387" s="5">
        <f>SUMIFS(CaseCells!F2:F999,CaseCells!C2:C999, C387,CaseCells!D2:D999, D387,CaseCells!E2:E999, "A")</f>
        <v>90</v>
      </c>
      <c r="J387" s="5">
        <f>SUMIFS(CaseCells!G2:G999,CaseCells!C2:C999, C387,CaseCells!D2:D999, D387,CaseCells!E2:E999, "A")</f>
        <v>200</v>
      </c>
      <c r="K387" s="3">
        <f>IF(J387 = 0, "", I387 / J387)</f>
        <v>0.45</v>
      </c>
      <c r="L387" s="5">
        <f>SUMIFS(CaseCells!F2:F999,CaseCells!C2:C999, C387,CaseCells!D2:D999, D387,CaseCells!E2:E999, "B")</f>
        <v>110</v>
      </c>
      <c r="M387" s="5">
        <f>SUMIFS(CaseCells!G2:G999,CaseCells!C2:C999, C387,CaseCells!D2:D999, D387,CaseCells!E2:E999, "B")</f>
        <v>200</v>
      </c>
      <c r="N387" s="3">
        <f>IF(M387 = 0, "", L387 / M387)</f>
        <v>0.55</v>
      </c>
      <c r="O387" s="3" t="str">
        <f>IF(K387 &gt; N387, "A", "B")</f>
        <v>B</v>
      </c>
      <c r="P387" s="5">
        <f>SUMIFS(CaseCells!G2:G999,CaseCells!C2:C999, C387)</f>
        <v>2000</v>
      </c>
      <c r="Q387" s="5">
        <f>SUMIFS(CaseCells!G2:G999,CaseCells!C2:C999, C387,CaseCells!D2:D999, D387)</f>
        <v>400</v>
      </c>
      <c r="R387" s="3">
        <f>IF(P387 = 0, "", Q387 / P387)</f>
        <v>0.2</v>
      </c>
      <c r="S387" s="3">
        <f>IF(R387 = "", "", R387 * H387)</f>
        <v>0.11000000000000001</v>
      </c>
      <c r="T387" s="5">
        <f>SUMIFS(CaseCells!G2:G999,CaseCells!C2:C999, C387,CaseCells!D2:D999, D387,CaseCells!E2:E999, "A")</f>
        <v>200</v>
      </c>
      <c r="U387" s="5">
        <f>SUMIFS(CaseCells!G2:G999,CaseCells!C2:C999, C387,CaseCells!D2:D999, D387,CaseCells!E2:E999, "B")</f>
        <v>200</v>
      </c>
      <c r="V387" s="5">
        <f>SUMIFS(CaseCells!G2:G999,CaseCells!C2:C999, C387,CaseCells!E2:E999, "A")</f>
        <v>1000</v>
      </c>
      <c r="W387" s="5">
        <f>SUMIFS(CaseCells!G2:G999,CaseCells!C2:C999, C387,CaseCells!E2:E999, "B")</f>
        <v>1000</v>
      </c>
      <c r="X387" s="3">
        <f>IF(V387 = 0, "", T387 / V387)</f>
        <v>0.2</v>
      </c>
      <c r="Y387" s="3">
        <f>IF(W387 = 0, "", U387 / W387)</f>
        <v>0.2</v>
      </c>
      <c r="Z387" s="3">
        <f>IF(X387 = "", "", X387 - Y387)</f>
        <v>0</v>
      </c>
      <c r="AA387" s="3">
        <f>IF(K387 = "", "", K387 - N387)</f>
        <v>-0.10000000000000003</v>
      </c>
      <c r="AB387" s="3">
        <f>IF(AA387 = "", "", AA387 * R387)</f>
        <v>-0.020000000000000007</v>
      </c>
    </row>
    <row r="388">
      <c r="A388" s="2" t="s">
        <v>2165</v>
      </c>
      <c r="B388" s="3" t="str">
        <f>A388</f>
        <v>field-goal-distance-short-fg-A</v>
      </c>
      <c r="C388" s="2" t="s">
        <v>747</v>
      </c>
      <c r="D388" s="2" t="s">
        <v>1716</v>
      </c>
      <c r="E388" s="2" t="s">
        <v>792</v>
      </c>
      <c r="F388" s="5">
        <f>SUMIFS(CaseCells!F2:F999,CaseCells!C2:C999, C388,CaseCells!D2:D999, D388,CaseCells!E2:E999, E388)</f>
        <v>950</v>
      </c>
      <c r="G388" s="5">
        <f>SUMIFS(CaseCells!G2:G999,CaseCells!C2:C999, C388,CaseCells!D2:D999, D388,CaseCells!E2:E999, E388)</f>
        <v>1000</v>
      </c>
      <c r="H388" s="3">
        <f>IF(G388 = 0, "", F388 / G388)</f>
        <v>0.95</v>
      </c>
      <c r="I388" s="5">
        <f>SUMIFS(CaseCells!F2:F999,CaseCells!C2:C999, C388,CaseCells!D2:D999, D388,CaseCells!E2:E999, "A")</f>
        <v>950</v>
      </c>
      <c r="J388" s="5">
        <f>SUMIFS(CaseCells!G2:G999,CaseCells!C2:C999, C388,CaseCells!D2:D999, D388,CaseCells!E2:E999, "A")</f>
        <v>1000</v>
      </c>
      <c r="K388" s="3">
        <f>IF(J388 = 0, "", I388 / J388)</f>
        <v>0.95</v>
      </c>
      <c r="L388" s="5">
        <f>SUMIFS(CaseCells!F2:F999,CaseCells!C2:C999, C388,CaseCells!D2:D999, D388,CaseCells!E2:E999, "B")</f>
        <v>940</v>
      </c>
      <c r="M388" s="5">
        <f>SUMIFS(CaseCells!G2:G999,CaseCells!C2:C999, C388,CaseCells!D2:D999, D388,CaseCells!E2:E999, "B")</f>
        <v>1000</v>
      </c>
      <c r="N388" s="3">
        <f>IF(M388 = 0, "", L388 / M388)</f>
        <v>0.94</v>
      </c>
      <c r="O388" s="3" t="str">
        <f>IF(K388 &gt; N388, "A", "B")</f>
        <v>A</v>
      </c>
      <c r="P388" s="5">
        <f>SUMIFS(CaseCells!G2:G999,CaseCells!C2:C999, C388)</f>
        <v>4000</v>
      </c>
      <c r="Q388" s="5">
        <f>SUMIFS(CaseCells!G2:G999,CaseCells!C2:C999, C388,CaseCells!D2:D999, D388)</f>
        <v>2000</v>
      </c>
      <c r="R388" s="3">
        <f>IF(P388 = 0, "", Q388 / P388)</f>
        <v>0.5</v>
      </c>
      <c r="S388" s="3">
        <f>IF(R388 = "", "", R388 * H388)</f>
        <v>0.475</v>
      </c>
      <c r="T388" s="5">
        <f>SUMIFS(CaseCells!G2:G999,CaseCells!C2:C999, C388,CaseCells!D2:D999, D388,CaseCells!E2:E999, "A")</f>
        <v>1000</v>
      </c>
      <c r="U388" s="5">
        <f>SUMIFS(CaseCells!G2:G999,CaseCells!C2:C999, C388,CaseCells!D2:D999, D388,CaseCells!E2:E999, "B")</f>
        <v>1000</v>
      </c>
      <c r="V388" s="5">
        <f>SUMIFS(CaseCells!G2:G999,CaseCells!C2:C999, C388,CaseCells!E2:E999, "A")</f>
        <v>2000</v>
      </c>
      <c r="W388" s="5">
        <f>SUMIFS(CaseCells!G2:G999,CaseCells!C2:C999, C388,CaseCells!E2:E999, "B")</f>
        <v>2000</v>
      </c>
      <c r="X388" s="3">
        <f>IF(V388 = 0, "", T388 / V388)</f>
        <v>0.5</v>
      </c>
      <c r="Y388" s="3">
        <f>IF(W388 = 0, "", U388 / W388)</f>
        <v>0.5</v>
      </c>
      <c r="Z388" s="3">
        <f>IF(X388 = "", "", X388 - Y388)</f>
        <v>0</v>
      </c>
      <c r="AA388" s="3">
        <f>IF(K388 = "", "", K388 - N388)</f>
        <v>0.010000000000000009</v>
      </c>
      <c r="AB388" s="3">
        <f>IF(AA388 = "", "", AA388 * R388)</f>
        <v>0.0050000000000000044</v>
      </c>
    </row>
    <row r="389">
      <c r="A389" s="2" t="s">
        <v>2166</v>
      </c>
      <c r="B389" s="3" t="str">
        <f>A389</f>
        <v>field-goal-distance-short-fg-B</v>
      </c>
      <c r="C389" s="2" t="s">
        <v>747</v>
      </c>
      <c r="D389" s="2" t="s">
        <v>1716</v>
      </c>
      <c r="E389" s="2" t="s">
        <v>795</v>
      </c>
      <c r="F389" s="5">
        <f>SUMIFS(CaseCells!F2:F999,CaseCells!C2:C999, C389,CaseCells!D2:D999, D389,CaseCells!E2:E999, E389)</f>
        <v>940</v>
      </c>
      <c r="G389" s="5">
        <f>SUMIFS(CaseCells!G2:G999,CaseCells!C2:C999, C389,CaseCells!D2:D999, D389,CaseCells!E2:E999, E389)</f>
        <v>1000</v>
      </c>
      <c r="H389" s="3">
        <f>IF(G389 = 0, "", F389 / G389)</f>
        <v>0.94</v>
      </c>
      <c r="I389" s="5">
        <f>SUMIFS(CaseCells!F2:F999,CaseCells!C2:C999, C389,CaseCells!D2:D999, D389,CaseCells!E2:E999, "A")</f>
        <v>950</v>
      </c>
      <c r="J389" s="5">
        <f>SUMIFS(CaseCells!G2:G999,CaseCells!C2:C999, C389,CaseCells!D2:D999, D389,CaseCells!E2:E999, "A")</f>
        <v>1000</v>
      </c>
      <c r="K389" s="3">
        <f>IF(J389 = 0, "", I389 / J389)</f>
        <v>0.95</v>
      </c>
      <c r="L389" s="5">
        <f>SUMIFS(CaseCells!F2:F999,CaseCells!C2:C999, C389,CaseCells!D2:D999, D389,CaseCells!E2:E999, "B")</f>
        <v>940</v>
      </c>
      <c r="M389" s="5">
        <f>SUMIFS(CaseCells!G2:G999,CaseCells!C2:C999, C389,CaseCells!D2:D999, D389,CaseCells!E2:E999, "B")</f>
        <v>1000</v>
      </c>
      <c r="N389" s="3">
        <f>IF(M389 = 0, "", L389 / M389)</f>
        <v>0.94</v>
      </c>
      <c r="O389" s="3" t="str">
        <f>IF(K389 &gt; N389, "A", "B")</f>
        <v>A</v>
      </c>
      <c r="P389" s="5">
        <f>SUMIFS(CaseCells!G2:G999,CaseCells!C2:C999, C389)</f>
        <v>4000</v>
      </c>
      <c r="Q389" s="5">
        <f>SUMIFS(CaseCells!G2:G999,CaseCells!C2:C999, C389,CaseCells!D2:D999, D389)</f>
        <v>2000</v>
      </c>
      <c r="R389" s="3">
        <f>IF(P389 = 0, "", Q389 / P389)</f>
        <v>0.5</v>
      </c>
      <c r="S389" s="3">
        <f>IF(R389 = "", "", R389 * H389)</f>
        <v>0.47</v>
      </c>
      <c r="T389" s="5">
        <f>SUMIFS(CaseCells!G2:G999,CaseCells!C2:C999, C389,CaseCells!D2:D999, D389,CaseCells!E2:E999, "A")</f>
        <v>1000</v>
      </c>
      <c r="U389" s="5">
        <f>SUMIFS(CaseCells!G2:G999,CaseCells!C2:C999, C389,CaseCells!D2:D999, D389,CaseCells!E2:E999, "B")</f>
        <v>1000</v>
      </c>
      <c r="V389" s="5">
        <f>SUMIFS(CaseCells!G2:G999,CaseCells!C2:C999, C389,CaseCells!E2:E999, "A")</f>
        <v>2000</v>
      </c>
      <c r="W389" s="5">
        <f>SUMIFS(CaseCells!G2:G999,CaseCells!C2:C999, C389,CaseCells!E2:E999, "B")</f>
        <v>2000</v>
      </c>
      <c r="X389" s="3">
        <f>IF(V389 = 0, "", T389 / V389)</f>
        <v>0.5</v>
      </c>
      <c r="Y389" s="3">
        <f>IF(W389 = 0, "", U389 / W389)</f>
        <v>0.5</v>
      </c>
      <c r="Z389" s="3">
        <f>IF(X389 = "", "", X389 - Y389)</f>
        <v>0</v>
      </c>
      <c r="AA389" s="3">
        <f>IF(K389 = "", "", K389 - N389)</f>
        <v>0.010000000000000009</v>
      </c>
      <c r="AB389" s="3">
        <f>IF(AA389 = "", "", AA389 * R389)</f>
        <v>0.0050000000000000044</v>
      </c>
    </row>
    <row r="390">
      <c r="A390" s="2" t="s">
        <v>2167</v>
      </c>
      <c r="B390" s="3" t="str">
        <f>A390</f>
        <v>field-goal-distance-long-fg-A</v>
      </c>
      <c r="C390" s="2" t="s">
        <v>747</v>
      </c>
      <c r="D390" s="2" t="s">
        <v>1719</v>
      </c>
      <c r="E390" s="2" t="s">
        <v>792</v>
      </c>
      <c r="F390" s="5">
        <f>SUMIFS(CaseCells!F2:F999,CaseCells!C2:C999, C390,CaseCells!D2:D999, D390,CaseCells!E2:E999, E390)</f>
        <v>600</v>
      </c>
      <c r="G390" s="5">
        <f>SUMIFS(CaseCells!G2:G999,CaseCells!C2:C999, C390,CaseCells!D2:D999, D390,CaseCells!E2:E999, E390)</f>
        <v>1000</v>
      </c>
      <c r="H390" s="3">
        <f>IF(G390 = 0, "", F390 / G390)</f>
        <v>0.6</v>
      </c>
      <c r="I390" s="5">
        <f>SUMIFS(CaseCells!F2:F999,CaseCells!C2:C999, C390,CaseCells!D2:D999, D390,CaseCells!E2:E999, "A")</f>
        <v>600</v>
      </c>
      <c r="J390" s="5">
        <f>SUMIFS(CaseCells!G2:G999,CaseCells!C2:C999, C390,CaseCells!D2:D999, D390,CaseCells!E2:E999, "A")</f>
        <v>1000</v>
      </c>
      <c r="K390" s="3">
        <f>IF(J390 = 0, "", I390 / J390)</f>
        <v>0.6</v>
      </c>
      <c r="L390" s="5">
        <f>SUMIFS(CaseCells!F2:F999,CaseCells!C2:C999, C390,CaseCells!D2:D999, D390,CaseCells!E2:E999, "B")</f>
        <v>650</v>
      </c>
      <c r="M390" s="5">
        <f>SUMIFS(CaseCells!G2:G999,CaseCells!C2:C999, C390,CaseCells!D2:D999, D390,CaseCells!E2:E999, "B")</f>
        <v>1000</v>
      </c>
      <c r="N390" s="3">
        <f>IF(M390 = 0, "", L390 / M390)</f>
        <v>0.65</v>
      </c>
      <c r="O390" s="3" t="str">
        <f>IF(K390 &gt; N390, "A", "B")</f>
        <v>B</v>
      </c>
      <c r="P390" s="5">
        <f>SUMIFS(CaseCells!G2:G999,CaseCells!C2:C999, C390)</f>
        <v>4000</v>
      </c>
      <c r="Q390" s="5">
        <f>SUMIFS(CaseCells!G2:G999,CaseCells!C2:C999, C390,CaseCells!D2:D999, D390)</f>
        <v>2000</v>
      </c>
      <c r="R390" s="3">
        <f>IF(P390 = 0, "", Q390 / P390)</f>
        <v>0.5</v>
      </c>
      <c r="S390" s="3">
        <f>IF(R390 = "", "", R390 * H390)</f>
        <v>0.3</v>
      </c>
      <c r="T390" s="5">
        <f>SUMIFS(CaseCells!G2:G999,CaseCells!C2:C999, C390,CaseCells!D2:D999, D390,CaseCells!E2:E999, "A")</f>
        <v>1000</v>
      </c>
      <c r="U390" s="5">
        <f>SUMIFS(CaseCells!G2:G999,CaseCells!C2:C999, C390,CaseCells!D2:D999, D390,CaseCells!E2:E999, "B")</f>
        <v>1000</v>
      </c>
      <c r="V390" s="5">
        <f>SUMIFS(CaseCells!G2:G999,CaseCells!C2:C999, C390,CaseCells!E2:E999, "A")</f>
        <v>2000</v>
      </c>
      <c r="W390" s="5">
        <f>SUMIFS(CaseCells!G2:G999,CaseCells!C2:C999, C390,CaseCells!E2:E999, "B")</f>
        <v>2000</v>
      </c>
      <c r="X390" s="3">
        <f>IF(V390 = 0, "", T390 / V390)</f>
        <v>0.5</v>
      </c>
      <c r="Y390" s="3">
        <f>IF(W390 = 0, "", U390 / W390)</f>
        <v>0.5</v>
      </c>
      <c r="Z390" s="3">
        <f>IF(X390 = "", "", X390 - Y390)</f>
        <v>0</v>
      </c>
      <c r="AA390" s="3">
        <f>IF(K390 = "", "", K390 - N390)</f>
        <v>-0.050000000000000044</v>
      </c>
      <c r="AB390" s="3">
        <f>IF(AA390 = "", "", AA390 * R390)</f>
        <v>-0.025000000000000022</v>
      </c>
    </row>
    <row r="391">
      <c r="A391" s="2" t="s">
        <v>2168</v>
      </c>
      <c r="B391" s="3" t="str">
        <f>A391</f>
        <v>field-goal-distance-long-fg-B</v>
      </c>
      <c r="C391" s="2" t="s">
        <v>747</v>
      </c>
      <c r="D391" s="2" t="s">
        <v>1719</v>
      </c>
      <c r="E391" s="2" t="s">
        <v>795</v>
      </c>
      <c r="F391" s="5">
        <f>SUMIFS(CaseCells!F2:F999,CaseCells!C2:C999, C391,CaseCells!D2:D999, D391,CaseCells!E2:E999, E391)</f>
        <v>650</v>
      </c>
      <c r="G391" s="5">
        <f>SUMIFS(CaseCells!G2:G999,CaseCells!C2:C999, C391,CaseCells!D2:D999, D391,CaseCells!E2:E999, E391)</f>
        <v>1000</v>
      </c>
      <c r="H391" s="3">
        <f>IF(G391 = 0, "", F391 / G391)</f>
        <v>0.65</v>
      </c>
      <c r="I391" s="5">
        <f>SUMIFS(CaseCells!F2:F999,CaseCells!C2:C999, C391,CaseCells!D2:D999, D391,CaseCells!E2:E999, "A")</f>
        <v>600</v>
      </c>
      <c r="J391" s="5">
        <f>SUMIFS(CaseCells!G2:G999,CaseCells!C2:C999, C391,CaseCells!D2:D999, D391,CaseCells!E2:E999, "A")</f>
        <v>1000</v>
      </c>
      <c r="K391" s="3">
        <f>IF(J391 = 0, "", I391 / J391)</f>
        <v>0.6</v>
      </c>
      <c r="L391" s="5">
        <f>SUMIFS(CaseCells!F2:F999,CaseCells!C2:C999, C391,CaseCells!D2:D999, D391,CaseCells!E2:E999, "B")</f>
        <v>650</v>
      </c>
      <c r="M391" s="5">
        <f>SUMIFS(CaseCells!G2:G999,CaseCells!C2:C999, C391,CaseCells!D2:D999, D391,CaseCells!E2:E999, "B")</f>
        <v>1000</v>
      </c>
      <c r="N391" s="3">
        <f>IF(M391 = 0, "", L391 / M391)</f>
        <v>0.65</v>
      </c>
      <c r="O391" s="3" t="str">
        <f>IF(K391 &gt; N391, "A", "B")</f>
        <v>B</v>
      </c>
      <c r="P391" s="5">
        <f>SUMIFS(CaseCells!G2:G999,CaseCells!C2:C999, C391)</f>
        <v>4000</v>
      </c>
      <c r="Q391" s="5">
        <f>SUMIFS(CaseCells!G2:G999,CaseCells!C2:C999, C391,CaseCells!D2:D999, D391)</f>
        <v>2000</v>
      </c>
      <c r="R391" s="3">
        <f>IF(P391 = 0, "", Q391 / P391)</f>
        <v>0.5</v>
      </c>
      <c r="S391" s="3">
        <f>IF(R391 = "", "", R391 * H391)</f>
        <v>0.325</v>
      </c>
      <c r="T391" s="5">
        <f>SUMIFS(CaseCells!G2:G999,CaseCells!C2:C999, C391,CaseCells!D2:D999, D391,CaseCells!E2:E999, "A")</f>
        <v>1000</v>
      </c>
      <c r="U391" s="5">
        <f>SUMIFS(CaseCells!G2:G999,CaseCells!C2:C999, C391,CaseCells!D2:D999, D391,CaseCells!E2:E999, "B")</f>
        <v>1000</v>
      </c>
      <c r="V391" s="5">
        <f>SUMIFS(CaseCells!G2:G999,CaseCells!C2:C999, C391,CaseCells!E2:E999, "A")</f>
        <v>2000</v>
      </c>
      <c r="W391" s="5">
        <f>SUMIFS(CaseCells!G2:G999,CaseCells!C2:C999, C391,CaseCells!E2:E999, "B")</f>
        <v>2000</v>
      </c>
      <c r="X391" s="3">
        <f>IF(V391 = 0, "", T391 / V391)</f>
        <v>0.5</v>
      </c>
      <c r="Y391" s="3">
        <f>IF(W391 = 0, "", U391 / W391)</f>
        <v>0.5</v>
      </c>
      <c r="Z391" s="3">
        <f>IF(X391 = "", "", X391 - Y391)</f>
        <v>0</v>
      </c>
      <c r="AA391" s="3">
        <f>IF(K391 = "", "", K391 - N391)</f>
        <v>-0.050000000000000044</v>
      </c>
      <c r="AB391" s="3">
        <f>IF(AA391 = "", "", AA391 * R391)</f>
        <v>-0.025000000000000022</v>
      </c>
    </row>
    <row r="392">
      <c r="A392" s="2" t="s">
        <v>2169</v>
      </c>
      <c r="B392" s="3" t="str">
        <f>A392</f>
        <v>golf-scoring-course-easy-course-A</v>
      </c>
      <c r="C392" s="2" t="s">
        <v>751</v>
      </c>
      <c r="D392" s="2" t="s">
        <v>1722</v>
      </c>
      <c r="E392" s="2" t="s">
        <v>792</v>
      </c>
      <c r="F392" s="5">
        <f>SUMIFS(CaseCells!F2:F999,CaseCells!C2:C999, C392,CaseCells!D2:D999, D392,CaseCells!E2:E999, E392)</f>
        <v>650</v>
      </c>
      <c r="G392" s="5">
        <f>SUMIFS(CaseCells!G2:G999,CaseCells!C2:C999, C392,CaseCells!D2:D999, D392,CaseCells!E2:E999, E392)</f>
        <v>1000</v>
      </c>
      <c r="H392" s="3">
        <f>IF(G392 = 0, "", F392 / G392)</f>
        <v>0.65</v>
      </c>
      <c r="I392" s="5">
        <f>SUMIFS(CaseCells!F2:F999,CaseCells!C2:C999, C392,CaseCells!D2:D999, D392,CaseCells!E2:E999, "A")</f>
        <v>650</v>
      </c>
      <c r="J392" s="5">
        <f>SUMIFS(CaseCells!G2:G999,CaseCells!C2:C999, C392,CaseCells!D2:D999, D392,CaseCells!E2:E999, "A")</f>
        <v>1000</v>
      </c>
      <c r="K392" s="3">
        <f>IF(J392 = 0, "", I392 / J392)</f>
        <v>0.65</v>
      </c>
      <c r="L392" s="5">
        <f>SUMIFS(CaseCells!F2:F999,CaseCells!C2:C999, C392,CaseCells!D2:D999, D392,CaseCells!E2:E999, "B")</f>
        <v>620</v>
      </c>
      <c r="M392" s="5">
        <f>SUMIFS(CaseCells!G2:G999,CaseCells!C2:C999, C392,CaseCells!D2:D999, D392,CaseCells!E2:E999, "B")</f>
        <v>1000</v>
      </c>
      <c r="N392" s="3">
        <f>IF(M392 = 0, "", L392 / M392)</f>
        <v>0.62</v>
      </c>
      <c r="O392" s="3" t="str">
        <f>IF(K392 &gt; N392, "A", "B")</f>
        <v>A</v>
      </c>
      <c r="P392" s="5">
        <f>SUMIFS(CaseCells!G2:G999,CaseCells!C2:C999, C392)</f>
        <v>4000</v>
      </c>
      <c r="Q392" s="5">
        <f>SUMIFS(CaseCells!G2:G999,CaseCells!C2:C999, C392,CaseCells!D2:D999, D392)</f>
        <v>2000</v>
      </c>
      <c r="R392" s="3">
        <f>IF(P392 = 0, "", Q392 / P392)</f>
        <v>0.5</v>
      </c>
      <c r="S392" s="3">
        <f>IF(R392 = "", "", R392 * H392)</f>
        <v>0.325</v>
      </c>
      <c r="T392" s="5">
        <f>SUMIFS(CaseCells!G2:G999,CaseCells!C2:C999, C392,CaseCells!D2:D999, D392,CaseCells!E2:E999, "A")</f>
        <v>1000</v>
      </c>
      <c r="U392" s="5">
        <f>SUMIFS(CaseCells!G2:G999,CaseCells!C2:C999, C392,CaseCells!D2:D999, D392,CaseCells!E2:E999, "B")</f>
        <v>1000</v>
      </c>
      <c r="V392" s="5">
        <f>SUMIFS(CaseCells!G2:G999,CaseCells!C2:C999, C392,CaseCells!E2:E999, "A")</f>
        <v>2000</v>
      </c>
      <c r="W392" s="5">
        <f>SUMIFS(CaseCells!G2:G999,CaseCells!C2:C999, C392,CaseCells!E2:E999, "B")</f>
        <v>2000</v>
      </c>
      <c r="X392" s="3">
        <f>IF(V392 = 0, "", T392 / V392)</f>
        <v>0.5</v>
      </c>
      <c r="Y392" s="3">
        <f>IF(W392 = 0, "", U392 / W392)</f>
        <v>0.5</v>
      </c>
      <c r="Z392" s="3">
        <f>IF(X392 = "", "", X392 - Y392)</f>
        <v>0</v>
      </c>
      <c r="AA392" s="3">
        <f>IF(K392 = "", "", K392 - N392)</f>
        <v>0.030000000000000027</v>
      </c>
      <c r="AB392" s="3">
        <f>IF(AA392 = "", "", AA392 * R392)</f>
        <v>0.015000000000000013</v>
      </c>
    </row>
    <row r="393">
      <c r="A393" s="2" t="s">
        <v>2170</v>
      </c>
      <c r="B393" s="3" t="str">
        <f>A393</f>
        <v>golf-scoring-course-easy-course-B</v>
      </c>
      <c r="C393" s="2" t="s">
        <v>751</v>
      </c>
      <c r="D393" s="2" t="s">
        <v>1722</v>
      </c>
      <c r="E393" s="2" t="s">
        <v>795</v>
      </c>
      <c r="F393" s="5">
        <f>SUMIFS(CaseCells!F2:F999,CaseCells!C2:C999, C393,CaseCells!D2:D999, D393,CaseCells!E2:E999, E393)</f>
        <v>620</v>
      </c>
      <c r="G393" s="5">
        <f>SUMIFS(CaseCells!G2:G999,CaseCells!C2:C999, C393,CaseCells!D2:D999, D393,CaseCells!E2:E999, E393)</f>
        <v>1000</v>
      </c>
      <c r="H393" s="3">
        <f>IF(G393 = 0, "", F393 / G393)</f>
        <v>0.62</v>
      </c>
      <c r="I393" s="5">
        <f>SUMIFS(CaseCells!F2:F999,CaseCells!C2:C999, C393,CaseCells!D2:D999, D393,CaseCells!E2:E999, "A")</f>
        <v>650</v>
      </c>
      <c r="J393" s="5">
        <f>SUMIFS(CaseCells!G2:G999,CaseCells!C2:C999, C393,CaseCells!D2:D999, D393,CaseCells!E2:E999, "A")</f>
        <v>1000</v>
      </c>
      <c r="K393" s="3">
        <f>IF(J393 = 0, "", I393 / J393)</f>
        <v>0.65</v>
      </c>
      <c r="L393" s="5">
        <f>SUMIFS(CaseCells!F2:F999,CaseCells!C2:C999, C393,CaseCells!D2:D999, D393,CaseCells!E2:E999, "B")</f>
        <v>620</v>
      </c>
      <c r="M393" s="5">
        <f>SUMIFS(CaseCells!G2:G999,CaseCells!C2:C999, C393,CaseCells!D2:D999, D393,CaseCells!E2:E999, "B")</f>
        <v>1000</v>
      </c>
      <c r="N393" s="3">
        <f>IF(M393 = 0, "", L393 / M393)</f>
        <v>0.62</v>
      </c>
      <c r="O393" s="3" t="str">
        <f>IF(K393 &gt; N393, "A", "B")</f>
        <v>A</v>
      </c>
      <c r="P393" s="5">
        <f>SUMIFS(CaseCells!G2:G999,CaseCells!C2:C999, C393)</f>
        <v>4000</v>
      </c>
      <c r="Q393" s="5">
        <f>SUMIFS(CaseCells!G2:G999,CaseCells!C2:C999, C393,CaseCells!D2:D999, D393)</f>
        <v>2000</v>
      </c>
      <c r="R393" s="3">
        <f>IF(P393 = 0, "", Q393 / P393)</f>
        <v>0.5</v>
      </c>
      <c r="S393" s="3">
        <f>IF(R393 = "", "", R393 * H393)</f>
        <v>0.31</v>
      </c>
      <c r="T393" s="5">
        <f>SUMIFS(CaseCells!G2:G999,CaseCells!C2:C999, C393,CaseCells!D2:D999, D393,CaseCells!E2:E999, "A")</f>
        <v>1000</v>
      </c>
      <c r="U393" s="5">
        <f>SUMIFS(CaseCells!G2:G999,CaseCells!C2:C999, C393,CaseCells!D2:D999, D393,CaseCells!E2:E999, "B")</f>
        <v>1000</v>
      </c>
      <c r="V393" s="5">
        <f>SUMIFS(CaseCells!G2:G999,CaseCells!C2:C999, C393,CaseCells!E2:E999, "A")</f>
        <v>2000</v>
      </c>
      <c r="W393" s="5">
        <f>SUMIFS(CaseCells!G2:G999,CaseCells!C2:C999, C393,CaseCells!E2:E999, "B")</f>
        <v>2000</v>
      </c>
      <c r="X393" s="3">
        <f>IF(V393 = 0, "", T393 / V393)</f>
        <v>0.5</v>
      </c>
      <c r="Y393" s="3">
        <f>IF(W393 = 0, "", U393 / W393)</f>
        <v>0.5</v>
      </c>
      <c r="Z393" s="3">
        <f>IF(X393 = "", "", X393 - Y393)</f>
        <v>0</v>
      </c>
      <c r="AA393" s="3">
        <f>IF(K393 = "", "", K393 - N393)</f>
        <v>0.030000000000000027</v>
      </c>
      <c r="AB393" s="3">
        <f>IF(AA393 = "", "", AA393 * R393)</f>
        <v>0.015000000000000013</v>
      </c>
    </row>
    <row r="394">
      <c r="A394" s="2" t="s">
        <v>2171</v>
      </c>
      <c r="B394" s="3" t="str">
        <f>A394</f>
        <v>golf-scoring-course-difficult-course-A</v>
      </c>
      <c r="C394" s="2" t="s">
        <v>751</v>
      </c>
      <c r="D394" s="2" t="s">
        <v>1725</v>
      </c>
      <c r="E394" s="2" t="s">
        <v>792</v>
      </c>
      <c r="F394" s="5">
        <f>SUMIFS(CaseCells!F2:F999,CaseCells!C2:C999, C394,CaseCells!D2:D999, D394,CaseCells!E2:E999, E394)</f>
        <v>350</v>
      </c>
      <c r="G394" s="5">
        <f>SUMIFS(CaseCells!G2:G999,CaseCells!C2:C999, C394,CaseCells!D2:D999, D394,CaseCells!E2:E999, E394)</f>
        <v>1000</v>
      </c>
      <c r="H394" s="3">
        <f>IF(G394 = 0, "", F394 / G394)</f>
        <v>0.35</v>
      </c>
      <c r="I394" s="5">
        <f>SUMIFS(CaseCells!F2:F999,CaseCells!C2:C999, C394,CaseCells!D2:D999, D394,CaseCells!E2:E999, "A")</f>
        <v>350</v>
      </c>
      <c r="J394" s="5">
        <f>SUMIFS(CaseCells!G2:G999,CaseCells!C2:C999, C394,CaseCells!D2:D999, D394,CaseCells!E2:E999, "A")</f>
        <v>1000</v>
      </c>
      <c r="K394" s="3">
        <f>IF(J394 = 0, "", I394 / J394)</f>
        <v>0.35</v>
      </c>
      <c r="L394" s="5">
        <f>SUMIFS(CaseCells!F2:F999,CaseCells!C2:C999, C394,CaseCells!D2:D999, D394,CaseCells!E2:E999, "B")</f>
        <v>380</v>
      </c>
      <c r="M394" s="5">
        <f>SUMIFS(CaseCells!G2:G999,CaseCells!C2:C999, C394,CaseCells!D2:D999, D394,CaseCells!E2:E999, "B")</f>
        <v>1000</v>
      </c>
      <c r="N394" s="3">
        <f>IF(M394 = 0, "", L394 / M394)</f>
        <v>0.38</v>
      </c>
      <c r="O394" s="3" t="str">
        <f>IF(K394 &gt; N394, "A", "B")</f>
        <v>B</v>
      </c>
      <c r="P394" s="5">
        <f>SUMIFS(CaseCells!G2:G999,CaseCells!C2:C999, C394)</f>
        <v>4000</v>
      </c>
      <c r="Q394" s="5">
        <f>SUMIFS(CaseCells!G2:G999,CaseCells!C2:C999, C394,CaseCells!D2:D999, D394)</f>
        <v>2000</v>
      </c>
      <c r="R394" s="3">
        <f>IF(P394 = 0, "", Q394 / P394)</f>
        <v>0.5</v>
      </c>
      <c r="S394" s="3">
        <f>IF(R394 = "", "", R394 * H394)</f>
        <v>0.175</v>
      </c>
      <c r="T394" s="5">
        <f>SUMIFS(CaseCells!G2:G999,CaseCells!C2:C999, C394,CaseCells!D2:D999, D394,CaseCells!E2:E999, "A")</f>
        <v>1000</v>
      </c>
      <c r="U394" s="5">
        <f>SUMIFS(CaseCells!G2:G999,CaseCells!C2:C999, C394,CaseCells!D2:D999, D394,CaseCells!E2:E999, "B")</f>
        <v>1000</v>
      </c>
      <c r="V394" s="5">
        <f>SUMIFS(CaseCells!G2:G999,CaseCells!C2:C999, C394,CaseCells!E2:E999, "A")</f>
        <v>2000</v>
      </c>
      <c r="W394" s="5">
        <f>SUMIFS(CaseCells!G2:G999,CaseCells!C2:C999, C394,CaseCells!E2:E999, "B")</f>
        <v>2000</v>
      </c>
      <c r="X394" s="3">
        <f>IF(V394 = 0, "", T394 / V394)</f>
        <v>0.5</v>
      </c>
      <c r="Y394" s="3">
        <f>IF(W394 = 0, "", U394 / W394)</f>
        <v>0.5</v>
      </c>
      <c r="Z394" s="3">
        <f>IF(X394 = "", "", X394 - Y394)</f>
        <v>0</v>
      </c>
      <c r="AA394" s="3">
        <f>IF(K394 = "", "", K394 - N394)</f>
        <v>-0.030000000000000027</v>
      </c>
      <c r="AB394" s="3">
        <f>IF(AA394 = "", "", AA394 * R394)</f>
        <v>-0.015000000000000013</v>
      </c>
    </row>
    <row r="395">
      <c r="A395" s="2" t="s">
        <v>2172</v>
      </c>
      <c r="B395" s="3" t="str">
        <f>A395</f>
        <v>golf-scoring-course-difficult-course-B</v>
      </c>
      <c r="C395" s="2" t="s">
        <v>751</v>
      </c>
      <c r="D395" s="2" t="s">
        <v>1725</v>
      </c>
      <c r="E395" s="2" t="s">
        <v>795</v>
      </c>
      <c r="F395" s="5">
        <f>SUMIFS(CaseCells!F2:F999,CaseCells!C2:C999, C395,CaseCells!D2:D999, D395,CaseCells!E2:E999, E395)</f>
        <v>380</v>
      </c>
      <c r="G395" s="5">
        <f>SUMIFS(CaseCells!G2:G999,CaseCells!C2:C999, C395,CaseCells!D2:D999, D395,CaseCells!E2:E999, E395)</f>
        <v>1000</v>
      </c>
      <c r="H395" s="3">
        <f>IF(G395 = 0, "", F395 / G395)</f>
        <v>0.38</v>
      </c>
      <c r="I395" s="5">
        <f>SUMIFS(CaseCells!F2:F999,CaseCells!C2:C999, C395,CaseCells!D2:D999, D395,CaseCells!E2:E999, "A")</f>
        <v>350</v>
      </c>
      <c r="J395" s="5">
        <f>SUMIFS(CaseCells!G2:G999,CaseCells!C2:C999, C395,CaseCells!D2:D999, D395,CaseCells!E2:E999, "A")</f>
        <v>1000</v>
      </c>
      <c r="K395" s="3">
        <f>IF(J395 = 0, "", I395 / J395)</f>
        <v>0.35</v>
      </c>
      <c r="L395" s="5">
        <f>SUMIFS(CaseCells!F2:F999,CaseCells!C2:C999, C395,CaseCells!D2:D999, D395,CaseCells!E2:E999, "B")</f>
        <v>380</v>
      </c>
      <c r="M395" s="5">
        <f>SUMIFS(CaseCells!G2:G999,CaseCells!C2:C999, C395,CaseCells!D2:D999, D395,CaseCells!E2:E999, "B")</f>
        <v>1000</v>
      </c>
      <c r="N395" s="3">
        <f>IF(M395 = 0, "", L395 / M395)</f>
        <v>0.38</v>
      </c>
      <c r="O395" s="3" t="str">
        <f>IF(K395 &gt; N395, "A", "B")</f>
        <v>B</v>
      </c>
      <c r="P395" s="5">
        <f>SUMIFS(CaseCells!G2:G999,CaseCells!C2:C999, C395)</f>
        <v>4000</v>
      </c>
      <c r="Q395" s="5">
        <f>SUMIFS(CaseCells!G2:G999,CaseCells!C2:C999, C395,CaseCells!D2:D999, D395)</f>
        <v>2000</v>
      </c>
      <c r="R395" s="3">
        <f>IF(P395 = 0, "", Q395 / P395)</f>
        <v>0.5</v>
      </c>
      <c r="S395" s="3">
        <f>IF(R395 = "", "", R395 * H395)</f>
        <v>0.19</v>
      </c>
      <c r="T395" s="5">
        <f>SUMIFS(CaseCells!G2:G999,CaseCells!C2:C999, C395,CaseCells!D2:D999, D395,CaseCells!E2:E999, "A")</f>
        <v>1000</v>
      </c>
      <c r="U395" s="5">
        <f>SUMIFS(CaseCells!G2:G999,CaseCells!C2:C999, C395,CaseCells!D2:D999, D395,CaseCells!E2:E999, "B")</f>
        <v>1000</v>
      </c>
      <c r="V395" s="5">
        <f>SUMIFS(CaseCells!G2:G999,CaseCells!C2:C999, C395,CaseCells!E2:E999, "A")</f>
        <v>2000</v>
      </c>
      <c r="W395" s="5">
        <f>SUMIFS(CaseCells!G2:G999,CaseCells!C2:C999, C395,CaseCells!E2:E999, "B")</f>
        <v>2000</v>
      </c>
      <c r="X395" s="3">
        <f>IF(V395 = 0, "", T395 / V395)</f>
        <v>0.5</v>
      </c>
      <c r="Y395" s="3">
        <f>IF(W395 = 0, "", U395 / W395)</f>
        <v>0.5</v>
      </c>
      <c r="Z395" s="3">
        <f>IF(X395 = "", "", X395 - Y395)</f>
        <v>0</v>
      </c>
      <c r="AA395" s="3">
        <f>IF(K395 = "", "", K395 - N395)</f>
        <v>-0.030000000000000027</v>
      </c>
      <c r="AB395" s="3">
        <f>IF(AA395 = "", "", AA395 * R395)</f>
        <v>-0.015000000000000013</v>
      </c>
    </row>
    <row r="396">
      <c r="A396" s="2" t="s">
        <v>2173</v>
      </c>
      <c r="B396" s="3" t="str">
        <f>A396</f>
        <v>minimum-wage-region-tight-labor-market-A</v>
      </c>
      <c r="C396" s="2" t="s">
        <v>755</v>
      </c>
      <c r="D396" s="2" t="s">
        <v>1728</v>
      </c>
      <c r="E396" s="2" t="s">
        <v>792</v>
      </c>
      <c r="F396" s="5">
        <f>SUMIFS(CaseCells!F2:F999,CaseCells!C2:C999, C396,CaseCells!D2:D999, D396,CaseCells!E2:E999, E396)</f>
        <v>920</v>
      </c>
      <c r="G396" s="5">
        <f>SUMIFS(CaseCells!G2:G999,CaseCells!C2:C999, C396,CaseCells!D2:D999, D396,CaseCells!E2:E999, E396)</f>
        <v>1000</v>
      </c>
      <c r="H396" s="3">
        <f>IF(G396 = 0, "", F396 / G396)</f>
        <v>0.92</v>
      </c>
      <c r="I396" s="5">
        <f>SUMIFS(CaseCells!F2:F999,CaseCells!C2:C999, C396,CaseCells!D2:D999, D396,CaseCells!E2:E999, "A")</f>
        <v>920</v>
      </c>
      <c r="J396" s="5">
        <f>SUMIFS(CaseCells!G2:G999,CaseCells!C2:C999, C396,CaseCells!D2:D999, D396,CaseCells!E2:E999, "A")</f>
        <v>1000</v>
      </c>
      <c r="K396" s="3">
        <f>IF(J396 = 0, "", I396 / J396)</f>
        <v>0.92</v>
      </c>
      <c r="L396" s="5">
        <f>SUMIFS(CaseCells!F2:F999,CaseCells!C2:C999, C396,CaseCells!D2:D999, D396,CaseCells!E2:E999, "B")</f>
        <v>910</v>
      </c>
      <c r="M396" s="5">
        <f>SUMIFS(CaseCells!G2:G999,CaseCells!C2:C999, C396,CaseCells!D2:D999, D396,CaseCells!E2:E999, "B")</f>
        <v>1000</v>
      </c>
      <c r="N396" s="3">
        <f>IF(M396 = 0, "", L396 / M396)</f>
        <v>0.91</v>
      </c>
      <c r="O396" s="3" t="str">
        <f>IF(K396 &gt; N396, "A", "B")</f>
        <v>A</v>
      </c>
      <c r="P396" s="5">
        <f>SUMIFS(CaseCells!G2:G999,CaseCells!C2:C999, C396)</f>
        <v>4000</v>
      </c>
      <c r="Q396" s="5">
        <f>SUMIFS(CaseCells!G2:G999,CaseCells!C2:C999, C396,CaseCells!D2:D999, D396)</f>
        <v>2000</v>
      </c>
      <c r="R396" s="3">
        <f>IF(P396 = 0, "", Q396 / P396)</f>
        <v>0.5</v>
      </c>
      <c r="S396" s="3">
        <f>IF(R396 = "", "", R396 * H396)</f>
        <v>0.46</v>
      </c>
      <c r="T396" s="5">
        <f>SUMIFS(CaseCells!G2:G999,CaseCells!C2:C999, C396,CaseCells!D2:D999, D396,CaseCells!E2:E999, "A")</f>
        <v>1000</v>
      </c>
      <c r="U396" s="5">
        <f>SUMIFS(CaseCells!G2:G999,CaseCells!C2:C999, C396,CaseCells!D2:D999, D396,CaseCells!E2:E999, "B")</f>
        <v>1000</v>
      </c>
      <c r="V396" s="5">
        <f>SUMIFS(CaseCells!G2:G999,CaseCells!C2:C999, C396,CaseCells!E2:E999, "A")</f>
        <v>2000</v>
      </c>
      <c r="W396" s="5">
        <f>SUMIFS(CaseCells!G2:G999,CaseCells!C2:C999, C396,CaseCells!E2:E999, "B")</f>
        <v>2000</v>
      </c>
      <c r="X396" s="3">
        <f>IF(V396 = 0, "", T396 / V396)</f>
        <v>0.5</v>
      </c>
      <c r="Y396" s="3">
        <f>IF(W396 = 0, "", U396 / W396)</f>
        <v>0.5</v>
      </c>
      <c r="Z396" s="3">
        <f>IF(X396 = "", "", X396 - Y396)</f>
        <v>0</v>
      </c>
      <c r="AA396" s="3">
        <f>IF(K396 = "", "", K396 - N396)</f>
        <v>0.010000000000000009</v>
      </c>
      <c r="AB396" s="3">
        <f>IF(AA396 = "", "", AA396 * R396)</f>
        <v>0.0050000000000000044</v>
      </c>
    </row>
    <row r="397">
      <c r="A397" s="2" t="s">
        <v>2174</v>
      </c>
      <c r="B397" s="3" t="str">
        <f>A397</f>
        <v>minimum-wage-region-tight-labor-market-B</v>
      </c>
      <c r="C397" s="2" t="s">
        <v>755</v>
      </c>
      <c r="D397" s="2" t="s">
        <v>1728</v>
      </c>
      <c r="E397" s="2" t="s">
        <v>795</v>
      </c>
      <c r="F397" s="5">
        <f>SUMIFS(CaseCells!F2:F999,CaseCells!C2:C999, C397,CaseCells!D2:D999, D397,CaseCells!E2:E999, E397)</f>
        <v>910</v>
      </c>
      <c r="G397" s="5">
        <f>SUMIFS(CaseCells!G2:G999,CaseCells!C2:C999, C397,CaseCells!D2:D999, D397,CaseCells!E2:E999, E397)</f>
        <v>1000</v>
      </c>
      <c r="H397" s="3">
        <f>IF(G397 = 0, "", F397 / G397)</f>
        <v>0.91</v>
      </c>
      <c r="I397" s="5">
        <f>SUMIFS(CaseCells!F2:F999,CaseCells!C2:C999, C397,CaseCells!D2:D999, D397,CaseCells!E2:E999, "A")</f>
        <v>920</v>
      </c>
      <c r="J397" s="5">
        <f>SUMIFS(CaseCells!G2:G999,CaseCells!C2:C999, C397,CaseCells!D2:D999, D397,CaseCells!E2:E999, "A")</f>
        <v>1000</v>
      </c>
      <c r="K397" s="3">
        <f>IF(J397 = 0, "", I397 / J397)</f>
        <v>0.92</v>
      </c>
      <c r="L397" s="5">
        <f>SUMIFS(CaseCells!F2:F999,CaseCells!C2:C999, C397,CaseCells!D2:D999, D397,CaseCells!E2:E999, "B")</f>
        <v>910</v>
      </c>
      <c r="M397" s="5">
        <f>SUMIFS(CaseCells!G2:G999,CaseCells!C2:C999, C397,CaseCells!D2:D999, D397,CaseCells!E2:E999, "B")</f>
        <v>1000</v>
      </c>
      <c r="N397" s="3">
        <f>IF(M397 = 0, "", L397 / M397)</f>
        <v>0.91</v>
      </c>
      <c r="O397" s="3" t="str">
        <f>IF(K397 &gt; N397, "A", "B")</f>
        <v>A</v>
      </c>
      <c r="P397" s="5">
        <f>SUMIFS(CaseCells!G2:G999,CaseCells!C2:C999, C397)</f>
        <v>4000</v>
      </c>
      <c r="Q397" s="5">
        <f>SUMIFS(CaseCells!G2:G999,CaseCells!C2:C999, C397,CaseCells!D2:D999, D397)</f>
        <v>2000</v>
      </c>
      <c r="R397" s="3">
        <f>IF(P397 = 0, "", Q397 / P397)</f>
        <v>0.5</v>
      </c>
      <c r="S397" s="3">
        <f>IF(R397 = "", "", R397 * H397)</f>
        <v>0.455</v>
      </c>
      <c r="T397" s="5">
        <f>SUMIFS(CaseCells!G2:G999,CaseCells!C2:C999, C397,CaseCells!D2:D999, D397,CaseCells!E2:E999, "A")</f>
        <v>1000</v>
      </c>
      <c r="U397" s="5">
        <f>SUMIFS(CaseCells!G2:G999,CaseCells!C2:C999, C397,CaseCells!D2:D999, D397,CaseCells!E2:E999, "B")</f>
        <v>1000</v>
      </c>
      <c r="V397" s="5">
        <f>SUMIFS(CaseCells!G2:G999,CaseCells!C2:C999, C397,CaseCells!E2:E999, "A")</f>
        <v>2000</v>
      </c>
      <c r="W397" s="5">
        <f>SUMIFS(CaseCells!G2:G999,CaseCells!C2:C999, C397,CaseCells!E2:E999, "B")</f>
        <v>2000</v>
      </c>
      <c r="X397" s="3">
        <f>IF(V397 = 0, "", T397 / V397)</f>
        <v>0.5</v>
      </c>
      <c r="Y397" s="3">
        <f>IF(W397 = 0, "", U397 / W397)</f>
        <v>0.5</v>
      </c>
      <c r="Z397" s="3">
        <f>IF(X397 = "", "", X397 - Y397)</f>
        <v>0</v>
      </c>
      <c r="AA397" s="3">
        <f>IF(K397 = "", "", K397 - N397)</f>
        <v>0.010000000000000009</v>
      </c>
      <c r="AB397" s="3">
        <f>IF(AA397 = "", "", AA397 * R397)</f>
        <v>0.0050000000000000044</v>
      </c>
    </row>
    <row r="398">
      <c r="A398" s="2" t="s">
        <v>2175</v>
      </c>
      <c r="B398" s="3" t="str">
        <f>A398</f>
        <v>minimum-wage-region-slack-labor-market-A</v>
      </c>
      <c r="C398" s="2" t="s">
        <v>755</v>
      </c>
      <c r="D398" s="2" t="s">
        <v>1731</v>
      </c>
      <c r="E398" s="2" t="s">
        <v>792</v>
      </c>
      <c r="F398" s="5">
        <f>SUMIFS(CaseCells!F2:F999,CaseCells!C2:C999, C398,CaseCells!D2:D999, D398,CaseCells!E2:E999, E398)</f>
        <v>780</v>
      </c>
      <c r="G398" s="5">
        <f>SUMIFS(CaseCells!G2:G999,CaseCells!C2:C999, C398,CaseCells!D2:D999, D398,CaseCells!E2:E999, E398)</f>
        <v>1000</v>
      </c>
      <c r="H398" s="3">
        <f>IF(G398 = 0, "", F398 / G398)</f>
        <v>0.78</v>
      </c>
      <c r="I398" s="5">
        <f>SUMIFS(CaseCells!F2:F999,CaseCells!C2:C999, C398,CaseCells!D2:D999, D398,CaseCells!E2:E999, "A")</f>
        <v>780</v>
      </c>
      <c r="J398" s="5">
        <f>SUMIFS(CaseCells!G2:G999,CaseCells!C2:C999, C398,CaseCells!D2:D999, D398,CaseCells!E2:E999, "A")</f>
        <v>1000</v>
      </c>
      <c r="K398" s="3">
        <f>IF(J398 = 0, "", I398 / J398)</f>
        <v>0.78</v>
      </c>
      <c r="L398" s="5">
        <f>SUMIFS(CaseCells!F2:F999,CaseCells!C2:C999, C398,CaseCells!D2:D999, D398,CaseCells!E2:E999, "B")</f>
        <v>820</v>
      </c>
      <c r="M398" s="5">
        <f>SUMIFS(CaseCells!G2:G999,CaseCells!C2:C999, C398,CaseCells!D2:D999, D398,CaseCells!E2:E999, "B")</f>
        <v>1000</v>
      </c>
      <c r="N398" s="3">
        <f>IF(M398 = 0, "", L398 / M398)</f>
        <v>0.82</v>
      </c>
      <c r="O398" s="3" t="str">
        <f>IF(K398 &gt; N398, "A", "B")</f>
        <v>B</v>
      </c>
      <c r="P398" s="5">
        <f>SUMIFS(CaseCells!G2:G999,CaseCells!C2:C999, C398)</f>
        <v>4000</v>
      </c>
      <c r="Q398" s="5">
        <f>SUMIFS(CaseCells!G2:G999,CaseCells!C2:C999, C398,CaseCells!D2:D999, D398)</f>
        <v>2000</v>
      </c>
      <c r="R398" s="3">
        <f>IF(P398 = 0, "", Q398 / P398)</f>
        <v>0.5</v>
      </c>
      <c r="S398" s="3">
        <f>IF(R398 = "", "", R398 * H398)</f>
        <v>0.39</v>
      </c>
      <c r="T398" s="5">
        <f>SUMIFS(CaseCells!G2:G999,CaseCells!C2:C999, C398,CaseCells!D2:D999, D398,CaseCells!E2:E999, "A")</f>
        <v>1000</v>
      </c>
      <c r="U398" s="5">
        <f>SUMIFS(CaseCells!G2:G999,CaseCells!C2:C999, C398,CaseCells!D2:D999, D398,CaseCells!E2:E999, "B")</f>
        <v>1000</v>
      </c>
      <c r="V398" s="5">
        <f>SUMIFS(CaseCells!G2:G999,CaseCells!C2:C999, C398,CaseCells!E2:E999, "A")</f>
        <v>2000</v>
      </c>
      <c r="W398" s="5">
        <f>SUMIFS(CaseCells!G2:G999,CaseCells!C2:C999, C398,CaseCells!E2:E999, "B")</f>
        <v>2000</v>
      </c>
      <c r="X398" s="3">
        <f>IF(V398 = 0, "", T398 / V398)</f>
        <v>0.5</v>
      </c>
      <c r="Y398" s="3">
        <f>IF(W398 = 0, "", U398 / W398)</f>
        <v>0.5</v>
      </c>
      <c r="Z398" s="3">
        <f>IF(X398 = "", "", X398 - Y398)</f>
        <v>0</v>
      </c>
      <c r="AA398" s="3">
        <f>IF(K398 = "", "", K398 - N398)</f>
        <v>-0.039999999999999925</v>
      </c>
      <c r="AB398" s="3">
        <f>IF(AA398 = "", "", AA398 * R398)</f>
        <v>-0.019999999999999962</v>
      </c>
    </row>
    <row r="399">
      <c r="A399" s="2" t="s">
        <v>2176</v>
      </c>
      <c r="B399" s="3" t="str">
        <f>A399</f>
        <v>minimum-wage-region-slack-labor-market-B</v>
      </c>
      <c r="C399" s="2" t="s">
        <v>755</v>
      </c>
      <c r="D399" s="2" t="s">
        <v>1731</v>
      </c>
      <c r="E399" s="2" t="s">
        <v>795</v>
      </c>
      <c r="F399" s="5">
        <f>SUMIFS(CaseCells!F2:F999,CaseCells!C2:C999, C399,CaseCells!D2:D999, D399,CaseCells!E2:E999, E399)</f>
        <v>820</v>
      </c>
      <c r="G399" s="5">
        <f>SUMIFS(CaseCells!G2:G999,CaseCells!C2:C999, C399,CaseCells!D2:D999, D399,CaseCells!E2:E999, E399)</f>
        <v>1000</v>
      </c>
      <c r="H399" s="3">
        <f>IF(G399 = 0, "", F399 / G399)</f>
        <v>0.82</v>
      </c>
      <c r="I399" s="5">
        <f>SUMIFS(CaseCells!F2:F999,CaseCells!C2:C999, C399,CaseCells!D2:D999, D399,CaseCells!E2:E999, "A")</f>
        <v>780</v>
      </c>
      <c r="J399" s="5">
        <f>SUMIFS(CaseCells!G2:G999,CaseCells!C2:C999, C399,CaseCells!D2:D999, D399,CaseCells!E2:E999, "A")</f>
        <v>1000</v>
      </c>
      <c r="K399" s="3">
        <f>IF(J399 = 0, "", I399 / J399)</f>
        <v>0.78</v>
      </c>
      <c r="L399" s="5">
        <f>SUMIFS(CaseCells!F2:F999,CaseCells!C2:C999, C399,CaseCells!D2:D999, D399,CaseCells!E2:E999, "B")</f>
        <v>820</v>
      </c>
      <c r="M399" s="5">
        <f>SUMIFS(CaseCells!G2:G999,CaseCells!C2:C999, C399,CaseCells!D2:D999, D399,CaseCells!E2:E999, "B")</f>
        <v>1000</v>
      </c>
      <c r="N399" s="3">
        <f>IF(M399 = 0, "", L399 / M399)</f>
        <v>0.82</v>
      </c>
      <c r="O399" s="3" t="str">
        <f>IF(K399 &gt; N399, "A", "B")</f>
        <v>B</v>
      </c>
      <c r="P399" s="5">
        <f>SUMIFS(CaseCells!G2:G999,CaseCells!C2:C999, C399)</f>
        <v>4000</v>
      </c>
      <c r="Q399" s="5">
        <f>SUMIFS(CaseCells!G2:G999,CaseCells!C2:C999, C399,CaseCells!D2:D999, D399)</f>
        <v>2000</v>
      </c>
      <c r="R399" s="3">
        <f>IF(P399 = 0, "", Q399 / P399)</f>
        <v>0.5</v>
      </c>
      <c r="S399" s="3">
        <f>IF(R399 = "", "", R399 * H399)</f>
        <v>0.41</v>
      </c>
      <c r="T399" s="5">
        <f>SUMIFS(CaseCells!G2:G999,CaseCells!C2:C999, C399,CaseCells!D2:D999, D399,CaseCells!E2:E999, "A")</f>
        <v>1000</v>
      </c>
      <c r="U399" s="5">
        <f>SUMIFS(CaseCells!G2:G999,CaseCells!C2:C999, C399,CaseCells!D2:D999, D399,CaseCells!E2:E999, "B")</f>
        <v>1000</v>
      </c>
      <c r="V399" s="5">
        <f>SUMIFS(CaseCells!G2:G999,CaseCells!C2:C999, C399,CaseCells!E2:E999, "A")</f>
        <v>2000</v>
      </c>
      <c r="W399" s="5">
        <f>SUMIFS(CaseCells!G2:G999,CaseCells!C2:C999, C399,CaseCells!E2:E999, "B")</f>
        <v>2000</v>
      </c>
      <c r="X399" s="3">
        <f>IF(V399 = 0, "", T399 / V399)</f>
        <v>0.5</v>
      </c>
      <c r="Y399" s="3">
        <f>IF(W399 = 0, "", U399 / W399)</f>
        <v>0.5</v>
      </c>
      <c r="Z399" s="3">
        <f>IF(X399 = "", "", X399 - Y399)</f>
        <v>0</v>
      </c>
      <c r="AA399" s="3">
        <f>IF(K399 = "", "", K399 - N399)</f>
        <v>-0.039999999999999925</v>
      </c>
      <c r="AB399" s="3">
        <f>IF(AA399 = "", "", AA399 * R399)</f>
        <v>-0.019999999999999962</v>
      </c>
    </row>
    <row r="400">
      <c r="A400" s="2" t="s">
        <v>2177</v>
      </c>
      <c r="B400" s="3" t="str">
        <f>A400</f>
        <v>returns-to-education-field-stem-fields-A</v>
      </c>
      <c r="C400" s="2" t="s">
        <v>759</v>
      </c>
      <c r="D400" s="2" t="s">
        <v>1734</v>
      </c>
      <c r="E400" s="2" t="s">
        <v>792</v>
      </c>
      <c r="F400" s="5">
        <f>SUMIFS(CaseCells!F2:F999,CaseCells!C2:C999, C400,CaseCells!D2:D999, D400,CaseCells!E2:E999, E400)</f>
        <v>720</v>
      </c>
      <c r="G400" s="5">
        <f>SUMIFS(CaseCells!G2:G999,CaseCells!C2:C999, C400,CaseCells!D2:D999, D400,CaseCells!E2:E999, E400)</f>
        <v>1000</v>
      </c>
      <c r="H400" s="3">
        <f>IF(G400 = 0, "", F400 / G400)</f>
        <v>0.72</v>
      </c>
      <c r="I400" s="5">
        <f>SUMIFS(CaseCells!F2:F999,CaseCells!C2:C999, C400,CaseCells!D2:D999, D400,CaseCells!E2:E999, "A")</f>
        <v>720</v>
      </c>
      <c r="J400" s="5">
        <f>SUMIFS(CaseCells!G2:G999,CaseCells!C2:C999, C400,CaseCells!D2:D999, D400,CaseCells!E2:E999, "A")</f>
        <v>1000</v>
      </c>
      <c r="K400" s="3">
        <f>IF(J400 = 0, "", I400 / J400)</f>
        <v>0.72</v>
      </c>
      <c r="L400" s="5">
        <f>SUMIFS(CaseCells!F2:F999,CaseCells!C2:C999, C400,CaseCells!D2:D999, D400,CaseCells!E2:E999, "B")</f>
        <v>350</v>
      </c>
      <c r="M400" s="5">
        <f>SUMIFS(CaseCells!G2:G999,CaseCells!C2:C999, C400,CaseCells!D2:D999, D400,CaseCells!E2:E999, "B")</f>
        <v>1000</v>
      </c>
      <c r="N400" s="3">
        <f>IF(M400 = 0, "", L400 / M400)</f>
        <v>0.35</v>
      </c>
      <c r="O400" s="3" t="str">
        <f>IF(K400 &gt; N400, "A", "B")</f>
        <v>A</v>
      </c>
      <c r="P400" s="5">
        <f>SUMIFS(CaseCells!G2:G999,CaseCells!C2:C999, C400)</f>
        <v>4000</v>
      </c>
      <c r="Q400" s="5">
        <f>SUMIFS(CaseCells!G2:G999,CaseCells!C2:C999, C400,CaseCells!D2:D999, D400)</f>
        <v>2000</v>
      </c>
      <c r="R400" s="3">
        <f>IF(P400 = 0, "", Q400 / P400)</f>
        <v>0.5</v>
      </c>
      <c r="S400" s="3">
        <f>IF(R400 = "", "", R400 * H400)</f>
        <v>0.36</v>
      </c>
      <c r="T400" s="5">
        <f>SUMIFS(CaseCells!G2:G999,CaseCells!C2:C999, C400,CaseCells!D2:D999, D400,CaseCells!E2:E999, "A")</f>
        <v>1000</v>
      </c>
      <c r="U400" s="5">
        <f>SUMIFS(CaseCells!G2:G999,CaseCells!C2:C999, C400,CaseCells!D2:D999, D400,CaseCells!E2:E999, "B")</f>
        <v>1000</v>
      </c>
      <c r="V400" s="5">
        <f>SUMIFS(CaseCells!G2:G999,CaseCells!C2:C999, C400,CaseCells!E2:E999, "A")</f>
        <v>2000</v>
      </c>
      <c r="W400" s="5">
        <f>SUMIFS(CaseCells!G2:G999,CaseCells!C2:C999, C400,CaseCells!E2:E999, "B")</f>
        <v>2000</v>
      </c>
      <c r="X400" s="3">
        <f>IF(V400 = 0, "", T400 / V400)</f>
        <v>0.5</v>
      </c>
      <c r="Y400" s="3">
        <f>IF(W400 = 0, "", U400 / W400)</f>
        <v>0.5</v>
      </c>
      <c r="Z400" s="3">
        <f>IF(X400 = "", "", X400 - Y400)</f>
        <v>0</v>
      </c>
      <c r="AA400" s="3">
        <f>IF(K400 = "", "", K400 - N400)</f>
        <v>0.37</v>
      </c>
      <c r="AB400" s="3">
        <f>IF(AA400 = "", "", AA400 * R400)</f>
        <v>0.185</v>
      </c>
    </row>
    <row r="401">
      <c r="A401" s="2" t="s">
        <v>2178</v>
      </c>
      <c r="B401" s="3" t="str">
        <f>A401</f>
        <v>returns-to-education-field-stem-fields-B</v>
      </c>
      <c r="C401" s="2" t="s">
        <v>759</v>
      </c>
      <c r="D401" s="2" t="s">
        <v>1734</v>
      </c>
      <c r="E401" s="2" t="s">
        <v>795</v>
      </c>
      <c r="F401" s="5">
        <f>SUMIFS(CaseCells!F2:F999,CaseCells!C2:C999, C401,CaseCells!D2:D999, D401,CaseCells!E2:E999, E401)</f>
        <v>350</v>
      </c>
      <c r="G401" s="5">
        <f>SUMIFS(CaseCells!G2:G999,CaseCells!C2:C999, C401,CaseCells!D2:D999, D401,CaseCells!E2:E999, E401)</f>
        <v>1000</v>
      </c>
      <c r="H401" s="3">
        <f>IF(G401 = 0, "", F401 / G401)</f>
        <v>0.35</v>
      </c>
      <c r="I401" s="5">
        <f>SUMIFS(CaseCells!F2:F999,CaseCells!C2:C999, C401,CaseCells!D2:D999, D401,CaseCells!E2:E999, "A")</f>
        <v>720</v>
      </c>
      <c r="J401" s="5">
        <f>SUMIFS(CaseCells!G2:G999,CaseCells!C2:C999, C401,CaseCells!D2:D999, D401,CaseCells!E2:E999, "A")</f>
        <v>1000</v>
      </c>
      <c r="K401" s="3">
        <f>IF(J401 = 0, "", I401 / J401)</f>
        <v>0.72</v>
      </c>
      <c r="L401" s="5">
        <f>SUMIFS(CaseCells!F2:F999,CaseCells!C2:C999, C401,CaseCells!D2:D999, D401,CaseCells!E2:E999, "B")</f>
        <v>350</v>
      </c>
      <c r="M401" s="5">
        <f>SUMIFS(CaseCells!G2:G999,CaseCells!C2:C999, C401,CaseCells!D2:D999, D401,CaseCells!E2:E999, "B")</f>
        <v>1000</v>
      </c>
      <c r="N401" s="3">
        <f>IF(M401 = 0, "", L401 / M401)</f>
        <v>0.35</v>
      </c>
      <c r="O401" s="3" t="str">
        <f>IF(K401 &gt; N401, "A", "B")</f>
        <v>A</v>
      </c>
      <c r="P401" s="5">
        <f>SUMIFS(CaseCells!G2:G999,CaseCells!C2:C999, C401)</f>
        <v>4000</v>
      </c>
      <c r="Q401" s="5">
        <f>SUMIFS(CaseCells!G2:G999,CaseCells!C2:C999, C401,CaseCells!D2:D999, D401)</f>
        <v>2000</v>
      </c>
      <c r="R401" s="3">
        <f>IF(P401 = 0, "", Q401 / P401)</f>
        <v>0.5</v>
      </c>
      <c r="S401" s="3">
        <f>IF(R401 = "", "", R401 * H401)</f>
        <v>0.175</v>
      </c>
      <c r="T401" s="5">
        <f>SUMIFS(CaseCells!G2:G999,CaseCells!C2:C999, C401,CaseCells!D2:D999, D401,CaseCells!E2:E999, "A")</f>
        <v>1000</v>
      </c>
      <c r="U401" s="5">
        <f>SUMIFS(CaseCells!G2:G999,CaseCells!C2:C999, C401,CaseCells!D2:D999, D401,CaseCells!E2:E999, "B")</f>
        <v>1000</v>
      </c>
      <c r="V401" s="5">
        <f>SUMIFS(CaseCells!G2:G999,CaseCells!C2:C999, C401,CaseCells!E2:E999, "A")</f>
        <v>2000</v>
      </c>
      <c r="W401" s="5">
        <f>SUMIFS(CaseCells!G2:G999,CaseCells!C2:C999, C401,CaseCells!E2:E999, "B")</f>
        <v>2000</v>
      </c>
      <c r="X401" s="3">
        <f>IF(V401 = 0, "", T401 / V401)</f>
        <v>0.5</v>
      </c>
      <c r="Y401" s="3">
        <f>IF(W401 = 0, "", U401 / W401)</f>
        <v>0.5</v>
      </c>
      <c r="Z401" s="3">
        <f>IF(X401 = "", "", X401 - Y401)</f>
        <v>0</v>
      </c>
      <c r="AA401" s="3">
        <f>IF(K401 = "", "", K401 - N401)</f>
        <v>0.37</v>
      </c>
      <c r="AB401" s="3">
        <f>IF(AA401 = "", "", AA401 * R401)</f>
        <v>0.185</v>
      </c>
    </row>
    <row r="402">
      <c r="A402" s="2" t="s">
        <v>2179</v>
      </c>
      <c r="B402" s="3" t="str">
        <f>A402</f>
        <v>returns-to-education-field-non-stem-fields-A</v>
      </c>
      <c r="C402" s="2" t="s">
        <v>759</v>
      </c>
      <c r="D402" s="2" t="s">
        <v>1737</v>
      </c>
      <c r="E402" s="2" t="s">
        <v>792</v>
      </c>
      <c r="F402" s="5">
        <f>SUMIFS(CaseCells!F2:F999,CaseCells!C2:C999, C402,CaseCells!D2:D999, D402,CaseCells!E2:E999, E402)</f>
        <v>520</v>
      </c>
      <c r="G402" s="5">
        <f>SUMIFS(CaseCells!G2:G999,CaseCells!C2:C999, C402,CaseCells!D2:D999, D402,CaseCells!E2:E999, E402)</f>
        <v>1000</v>
      </c>
      <c r="H402" s="3">
        <f>IF(G402 = 0, "", F402 / G402)</f>
        <v>0.52</v>
      </c>
      <c r="I402" s="5">
        <f>SUMIFS(CaseCells!F2:F999,CaseCells!C2:C999, C402,CaseCells!D2:D999, D402,CaseCells!E2:E999, "A")</f>
        <v>520</v>
      </c>
      <c r="J402" s="5">
        <f>SUMIFS(CaseCells!G2:G999,CaseCells!C2:C999, C402,CaseCells!D2:D999, D402,CaseCells!E2:E999, "A")</f>
        <v>1000</v>
      </c>
      <c r="K402" s="3">
        <f>IF(J402 = 0, "", I402 / J402)</f>
        <v>0.52</v>
      </c>
      <c r="L402" s="5">
        <f>SUMIFS(CaseCells!F2:F999,CaseCells!C2:C999, C402,CaseCells!D2:D999, D402,CaseCells!E2:E999, "B")</f>
        <v>380</v>
      </c>
      <c r="M402" s="5">
        <f>SUMIFS(CaseCells!G2:G999,CaseCells!C2:C999, C402,CaseCells!D2:D999, D402,CaseCells!E2:E999, "B")</f>
        <v>1000</v>
      </c>
      <c r="N402" s="3">
        <f>IF(M402 = 0, "", L402 / M402)</f>
        <v>0.38</v>
      </c>
      <c r="O402" s="3" t="str">
        <f>IF(K402 &gt; N402, "A", "B")</f>
        <v>A</v>
      </c>
      <c r="P402" s="5">
        <f>SUMIFS(CaseCells!G2:G999,CaseCells!C2:C999, C402)</f>
        <v>4000</v>
      </c>
      <c r="Q402" s="5">
        <f>SUMIFS(CaseCells!G2:G999,CaseCells!C2:C999, C402,CaseCells!D2:D999, D402)</f>
        <v>2000</v>
      </c>
      <c r="R402" s="3">
        <f>IF(P402 = 0, "", Q402 / P402)</f>
        <v>0.5</v>
      </c>
      <c r="S402" s="3">
        <f>IF(R402 = "", "", R402 * H402)</f>
        <v>0.26</v>
      </c>
      <c r="T402" s="5">
        <f>SUMIFS(CaseCells!G2:G999,CaseCells!C2:C999, C402,CaseCells!D2:D999, D402,CaseCells!E2:E999, "A")</f>
        <v>1000</v>
      </c>
      <c r="U402" s="5">
        <f>SUMIFS(CaseCells!G2:G999,CaseCells!C2:C999, C402,CaseCells!D2:D999, D402,CaseCells!E2:E999, "B")</f>
        <v>1000</v>
      </c>
      <c r="V402" s="5">
        <f>SUMIFS(CaseCells!G2:G999,CaseCells!C2:C999, C402,CaseCells!E2:E999, "A")</f>
        <v>2000</v>
      </c>
      <c r="W402" s="5">
        <f>SUMIFS(CaseCells!G2:G999,CaseCells!C2:C999, C402,CaseCells!E2:E999, "B")</f>
        <v>2000</v>
      </c>
      <c r="X402" s="3">
        <f>IF(V402 = 0, "", T402 / V402)</f>
        <v>0.5</v>
      </c>
      <c r="Y402" s="3">
        <f>IF(W402 = 0, "", U402 / W402)</f>
        <v>0.5</v>
      </c>
      <c r="Z402" s="3">
        <f>IF(X402 = "", "", X402 - Y402)</f>
        <v>0</v>
      </c>
      <c r="AA402" s="3">
        <f>IF(K402 = "", "", K402 - N402)</f>
        <v>0.14</v>
      </c>
      <c r="AB402" s="3">
        <f>IF(AA402 = "", "", AA402 * R402)</f>
        <v>0.07</v>
      </c>
    </row>
    <row r="403">
      <c r="A403" s="2" t="s">
        <v>2180</v>
      </c>
      <c r="B403" s="3" t="str">
        <f>A403</f>
        <v>returns-to-education-field-non-stem-fields-B</v>
      </c>
      <c r="C403" s="2" t="s">
        <v>759</v>
      </c>
      <c r="D403" s="2" t="s">
        <v>1737</v>
      </c>
      <c r="E403" s="2" t="s">
        <v>795</v>
      </c>
      <c r="F403" s="5">
        <f>SUMIFS(CaseCells!F2:F999,CaseCells!C2:C999, C403,CaseCells!D2:D999, D403,CaseCells!E2:E999, E403)</f>
        <v>380</v>
      </c>
      <c r="G403" s="5">
        <f>SUMIFS(CaseCells!G2:G999,CaseCells!C2:C999, C403,CaseCells!D2:D999, D403,CaseCells!E2:E999, E403)</f>
        <v>1000</v>
      </c>
      <c r="H403" s="3">
        <f>IF(G403 = 0, "", F403 / G403)</f>
        <v>0.38</v>
      </c>
      <c r="I403" s="5">
        <f>SUMIFS(CaseCells!F2:F999,CaseCells!C2:C999, C403,CaseCells!D2:D999, D403,CaseCells!E2:E999, "A")</f>
        <v>520</v>
      </c>
      <c r="J403" s="5">
        <f>SUMIFS(CaseCells!G2:G999,CaseCells!C2:C999, C403,CaseCells!D2:D999, D403,CaseCells!E2:E999, "A")</f>
        <v>1000</v>
      </c>
      <c r="K403" s="3">
        <f>IF(J403 = 0, "", I403 / J403)</f>
        <v>0.52</v>
      </c>
      <c r="L403" s="5">
        <f>SUMIFS(CaseCells!F2:F999,CaseCells!C2:C999, C403,CaseCells!D2:D999, D403,CaseCells!E2:E999, "B")</f>
        <v>380</v>
      </c>
      <c r="M403" s="5">
        <f>SUMIFS(CaseCells!G2:G999,CaseCells!C2:C999, C403,CaseCells!D2:D999, D403,CaseCells!E2:E999, "B")</f>
        <v>1000</v>
      </c>
      <c r="N403" s="3">
        <f>IF(M403 = 0, "", L403 / M403)</f>
        <v>0.38</v>
      </c>
      <c r="O403" s="3" t="str">
        <f>IF(K403 &gt; N403, "A", "B")</f>
        <v>A</v>
      </c>
      <c r="P403" s="5">
        <f>SUMIFS(CaseCells!G2:G999,CaseCells!C2:C999, C403)</f>
        <v>4000</v>
      </c>
      <c r="Q403" s="5">
        <f>SUMIFS(CaseCells!G2:G999,CaseCells!C2:C999, C403,CaseCells!D2:D999, D403)</f>
        <v>2000</v>
      </c>
      <c r="R403" s="3">
        <f>IF(P403 = 0, "", Q403 / P403)</f>
        <v>0.5</v>
      </c>
      <c r="S403" s="3">
        <f>IF(R403 = "", "", R403 * H403)</f>
        <v>0.19</v>
      </c>
      <c r="T403" s="5">
        <f>SUMIFS(CaseCells!G2:G999,CaseCells!C2:C999, C403,CaseCells!D2:D999, D403,CaseCells!E2:E999, "A")</f>
        <v>1000</v>
      </c>
      <c r="U403" s="5">
        <f>SUMIFS(CaseCells!G2:G999,CaseCells!C2:C999, C403,CaseCells!D2:D999, D403,CaseCells!E2:E999, "B")</f>
        <v>1000</v>
      </c>
      <c r="V403" s="5">
        <f>SUMIFS(CaseCells!G2:G999,CaseCells!C2:C999, C403,CaseCells!E2:E999, "A")</f>
        <v>2000</v>
      </c>
      <c r="W403" s="5">
        <f>SUMIFS(CaseCells!G2:G999,CaseCells!C2:C999, C403,CaseCells!E2:E999, "B")</f>
        <v>2000</v>
      </c>
      <c r="X403" s="3">
        <f>IF(V403 = 0, "", T403 / V403)</f>
        <v>0.5</v>
      </c>
      <c r="Y403" s="3">
        <f>IF(W403 = 0, "", U403 / W403)</f>
        <v>0.5</v>
      </c>
      <c r="Z403" s="3">
        <f>IF(X403 = "", "", X403 - Y403)</f>
        <v>0</v>
      </c>
      <c r="AA403" s="3">
        <f>IF(K403 = "", "", K403 - N403)</f>
        <v>0.14</v>
      </c>
      <c r="AB403" s="3">
        <f>IF(AA403 = "", "", AA403 * R403)</f>
        <v>0.07</v>
      </c>
    </row>
    <row r="404">
      <c r="A404" s="2" t="s">
        <v>2181</v>
      </c>
      <c r="B404" s="3" t="str">
        <f>A404</f>
        <v>unemployment-education-cycle-college-educated-share-A</v>
      </c>
      <c r="C404" s="2" t="s">
        <v>763</v>
      </c>
      <c r="D404" s="2" t="s">
        <v>1740</v>
      </c>
      <c r="E404" s="2" t="s">
        <v>792</v>
      </c>
      <c r="F404" s="5">
        <f>SUMIFS(CaseCells!F2:F999,CaseCells!C2:C999, C404,CaseCells!D2:D999, D404,CaseCells!E2:E999, E404)</f>
        <v>950</v>
      </c>
      <c r="G404" s="5">
        <f>SUMIFS(CaseCells!G2:G999,CaseCells!C2:C999, C404,CaseCells!D2:D999, D404,CaseCells!E2:E999, E404)</f>
        <v>1000</v>
      </c>
      <c r="H404" s="3">
        <f>IF(G404 = 0, "", F404 / G404)</f>
        <v>0.95</v>
      </c>
      <c r="I404" s="5">
        <f>SUMIFS(CaseCells!F2:F999,CaseCells!C2:C999, C404,CaseCells!D2:D999, D404,CaseCells!E2:E999, "A")</f>
        <v>950</v>
      </c>
      <c r="J404" s="5">
        <f>SUMIFS(CaseCells!G2:G999,CaseCells!C2:C999, C404,CaseCells!D2:D999, D404,CaseCells!E2:E999, "A")</f>
        <v>1000</v>
      </c>
      <c r="K404" s="3">
        <f>IF(J404 = 0, "", I404 / J404)</f>
        <v>0.95</v>
      </c>
      <c r="L404" s="5">
        <f>SUMIFS(CaseCells!F2:F999,CaseCells!C2:C999, C404,CaseCells!D2:D999, D404,CaseCells!E2:E999, "B")</f>
        <v>940</v>
      </c>
      <c r="M404" s="5">
        <f>SUMIFS(CaseCells!G2:G999,CaseCells!C2:C999, C404,CaseCells!D2:D999, D404,CaseCells!E2:E999, "B")</f>
        <v>1000</v>
      </c>
      <c r="N404" s="3">
        <f>IF(M404 = 0, "", L404 / M404)</f>
        <v>0.94</v>
      </c>
      <c r="O404" s="3" t="str">
        <f>IF(K404 &gt; N404, "A", "B")</f>
        <v>A</v>
      </c>
      <c r="P404" s="5">
        <f>SUMIFS(CaseCells!G2:G999,CaseCells!C2:C999, C404)</f>
        <v>4000</v>
      </c>
      <c r="Q404" s="5">
        <f>SUMIFS(CaseCells!G2:G999,CaseCells!C2:C999, C404,CaseCells!D2:D999, D404)</f>
        <v>2000</v>
      </c>
      <c r="R404" s="3">
        <f>IF(P404 = 0, "", Q404 / P404)</f>
        <v>0.5</v>
      </c>
      <c r="S404" s="3">
        <f>IF(R404 = "", "", R404 * H404)</f>
        <v>0.475</v>
      </c>
      <c r="T404" s="5">
        <f>SUMIFS(CaseCells!G2:G999,CaseCells!C2:C999, C404,CaseCells!D2:D999, D404,CaseCells!E2:E999, "A")</f>
        <v>1000</v>
      </c>
      <c r="U404" s="5">
        <f>SUMIFS(CaseCells!G2:G999,CaseCells!C2:C999, C404,CaseCells!D2:D999, D404,CaseCells!E2:E999, "B")</f>
        <v>1000</v>
      </c>
      <c r="V404" s="5">
        <f>SUMIFS(CaseCells!G2:G999,CaseCells!C2:C999, C404,CaseCells!E2:E999, "A")</f>
        <v>2000</v>
      </c>
      <c r="W404" s="5">
        <f>SUMIFS(CaseCells!G2:G999,CaseCells!C2:C999, C404,CaseCells!E2:E999, "B")</f>
        <v>2000</v>
      </c>
      <c r="X404" s="3">
        <f>IF(V404 = 0, "", T404 / V404)</f>
        <v>0.5</v>
      </c>
      <c r="Y404" s="3">
        <f>IF(W404 = 0, "", U404 / W404)</f>
        <v>0.5</v>
      </c>
      <c r="Z404" s="3">
        <f>IF(X404 = "", "", X404 - Y404)</f>
        <v>0</v>
      </c>
      <c r="AA404" s="3">
        <f>IF(K404 = "", "", K404 - N404)</f>
        <v>0.010000000000000009</v>
      </c>
      <c r="AB404" s="3">
        <f>IF(AA404 = "", "", AA404 * R404)</f>
        <v>0.0050000000000000044</v>
      </c>
    </row>
    <row r="405">
      <c r="A405" s="2" t="s">
        <v>2182</v>
      </c>
      <c r="B405" s="3" t="str">
        <f>A405</f>
        <v>unemployment-education-cycle-college-educated-share-B</v>
      </c>
      <c r="C405" s="2" t="s">
        <v>763</v>
      </c>
      <c r="D405" s="2" t="s">
        <v>1740</v>
      </c>
      <c r="E405" s="2" t="s">
        <v>795</v>
      </c>
      <c r="F405" s="5">
        <f>SUMIFS(CaseCells!F2:F999,CaseCells!C2:C999, C405,CaseCells!D2:D999, D405,CaseCells!E2:E999, E405)</f>
        <v>940</v>
      </c>
      <c r="G405" s="5">
        <f>SUMIFS(CaseCells!G2:G999,CaseCells!C2:C999, C405,CaseCells!D2:D999, D405,CaseCells!E2:E999, E405)</f>
        <v>1000</v>
      </c>
      <c r="H405" s="3">
        <f>IF(G405 = 0, "", F405 / G405)</f>
        <v>0.94</v>
      </c>
      <c r="I405" s="5">
        <f>SUMIFS(CaseCells!F2:F999,CaseCells!C2:C999, C405,CaseCells!D2:D999, D405,CaseCells!E2:E999, "A")</f>
        <v>950</v>
      </c>
      <c r="J405" s="5">
        <f>SUMIFS(CaseCells!G2:G999,CaseCells!C2:C999, C405,CaseCells!D2:D999, D405,CaseCells!E2:E999, "A")</f>
        <v>1000</v>
      </c>
      <c r="K405" s="3">
        <f>IF(J405 = 0, "", I405 / J405)</f>
        <v>0.95</v>
      </c>
      <c r="L405" s="5">
        <f>SUMIFS(CaseCells!F2:F999,CaseCells!C2:C999, C405,CaseCells!D2:D999, D405,CaseCells!E2:E999, "B")</f>
        <v>940</v>
      </c>
      <c r="M405" s="5">
        <f>SUMIFS(CaseCells!G2:G999,CaseCells!C2:C999, C405,CaseCells!D2:D999, D405,CaseCells!E2:E999, "B")</f>
        <v>1000</v>
      </c>
      <c r="N405" s="3">
        <f>IF(M405 = 0, "", L405 / M405)</f>
        <v>0.94</v>
      </c>
      <c r="O405" s="3" t="str">
        <f>IF(K405 &gt; N405, "A", "B")</f>
        <v>A</v>
      </c>
      <c r="P405" s="5">
        <f>SUMIFS(CaseCells!G2:G999,CaseCells!C2:C999, C405)</f>
        <v>4000</v>
      </c>
      <c r="Q405" s="5">
        <f>SUMIFS(CaseCells!G2:G999,CaseCells!C2:C999, C405,CaseCells!D2:D999, D405)</f>
        <v>2000</v>
      </c>
      <c r="R405" s="3">
        <f>IF(P405 = 0, "", Q405 / P405)</f>
        <v>0.5</v>
      </c>
      <c r="S405" s="3">
        <f>IF(R405 = "", "", R405 * H405)</f>
        <v>0.47</v>
      </c>
      <c r="T405" s="5">
        <f>SUMIFS(CaseCells!G2:G999,CaseCells!C2:C999, C405,CaseCells!D2:D999, D405,CaseCells!E2:E999, "A")</f>
        <v>1000</v>
      </c>
      <c r="U405" s="5">
        <f>SUMIFS(CaseCells!G2:G999,CaseCells!C2:C999, C405,CaseCells!D2:D999, D405,CaseCells!E2:E999, "B")</f>
        <v>1000</v>
      </c>
      <c r="V405" s="5">
        <f>SUMIFS(CaseCells!G2:G999,CaseCells!C2:C999, C405,CaseCells!E2:E999, "A")</f>
        <v>2000</v>
      </c>
      <c r="W405" s="5">
        <f>SUMIFS(CaseCells!G2:G999,CaseCells!C2:C999, C405,CaseCells!E2:E999, "B")</f>
        <v>2000</v>
      </c>
      <c r="X405" s="3">
        <f>IF(V405 = 0, "", T405 / V405)</f>
        <v>0.5</v>
      </c>
      <c r="Y405" s="3">
        <f>IF(W405 = 0, "", U405 / W405)</f>
        <v>0.5</v>
      </c>
      <c r="Z405" s="3">
        <f>IF(X405 = "", "", X405 - Y405)</f>
        <v>0</v>
      </c>
      <c r="AA405" s="3">
        <f>IF(K405 = "", "", K405 - N405)</f>
        <v>0.010000000000000009</v>
      </c>
      <c r="AB405" s="3">
        <f>IF(AA405 = "", "", AA405 * R405)</f>
        <v>0.0050000000000000044</v>
      </c>
    </row>
    <row r="406">
      <c r="A406" s="2" t="s">
        <v>2183</v>
      </c>
      <c r="B406" s="3" t="str">
        <f>A406</f>
        <v>unemployment-education-cycle-non-college-share-A</v>
      </c>
      <c r="C406" s="2" t="s">
        <v>763</v>
      </c>
      <c r="D406" s="2" t="s">
        <v>1743</v>
      </c>
      <c r="E406" s="2" t="s">
        <v>792</v>
      </c>
      <c r="F406" s="5">
        <f>SUMIFS(CaseCells!F2:F999,CaseCells!C2:C999, C406,CaseCells!D2:D999, D406,CaseCells!E2:E999, E406)</f>
        <v>820</v>
      </c>
      <c r="G406" s="5">
        <f>SUMIFS(CaseCells!G2:G999,CaseCells!C2:C999, C406,CaseCells!D2:D999, D406,CaseCells!E2:E999, E406)</f>
        <v>1000</v>
      </c>
      <c r="H406" s="3">
        <f>IF(G406 = 0, "", F406 / G406)</f>
        <v>0.82</v>
      </c>
      <c r="I406" s="5">
        <f>SUMIFS(CaseCells!F2:F999,CaseCells!C2:C999, C406,CaseCells!D2:D999, D406,CaseCells!E2:E999, "A")</f>
        <v>820</v>
      </c>
      <c r="J406" s="5">
        <f>SUMIFS(CaseCells!G2:G999,CaseCells!C2:C999, C406,CaseCells!D2:D999, D406,CaseCells!E2:E999, "A")</f>
        <v>1000</v>
      </c>
      <c r="K406" s="3">
        <f>IF(J406 = 0, "", I406 / J406)</f>
        <v>0.82</v>
      </c>
      <c r="L406" s="5">
        <f>SUMIFS(CaseCells!F2:F999,CaseCells!C2:C999, C406,CaseCells!D2:D999, D406,CaseCells!E2:E999, "B")</f>
        <v>850</v>
      </c>
      <c r="M406" s="5">
        <f>SUMIFS(CaseCells!G2:G999,CaseCells!C2:C999, C406,CaseCells!D2:D999, D406,CaseCells!E2:E999, "B")</f>
        <v>1000</v>
      </c>
      <c r="N406" s="3">
        <f>IF(M406 = 0, "", L406 / M406)</f>
        <v>0.85</v>
      </c>
      <c r="O406" s="3" t="str">
        <f>IF(K406 &gt; N406, "A", "B")</f>
        <v>B</v>
      </c>
      <c r="P406" s="5">
        <f>SUMIFS(CaseCells!G2:G999,CaseCells!C2:C999, C406)</f>
        <v>4000</v>
      </c>
      <c r="Q406" s="5">
        <f>SUMIFS(CaseCells!G2:G999,CaseCells!C2:C999, C406,CaseCells!D2:D999, D406)</f>
        <v>2000</v>
      </c>
      <c r="R406" s="3">
        <f>IF(P406 = 0, "", Q406 / P406)</f>
        <v>0.5</v>
      </c>
      <c r="S406" s="3">
        <f>IF(R406 = "", "", R406 * H406)</f>
        <v>0.41</v>
      </c>
      <c r="T406" s="5">
        <f>SUMIFS(CaseCells!G2:G999,CaseCells!C2:C999, C406,CaseCells!D2:D999, D406,CaseCells!E2:E999, "A")</f>
        <v>1000</v>
      </c>
      <c r="U406" s="5">
        <f>SUMIFS(CaseCells!G2:G999,CaseCells!C2:C999, C406,CaseCells!D2:D999, D406,CaseCells!E2:E999, "B")</f>
        <v>1000</v>
      </c>
      <c r="V406" s="5">
        <f>SUMIFS(CaseCells!G2:G999,CaseCells!C2:C999, C406,CaseCells!E2:E999, "A")</f>
        <v>2000</v>
      </c>
      <c r="W406" s="5">
        <f>SUMIFS(CaseCells!G2:G999,CaseCells!C2:C999, C406,CaseCells!E2:E999, "B")</f>
        <v>2000</v>
      </c>
      <c r="X406" s="3">
        <f>IF(V406 = 0, "", T406 / V406)</f>
        <v>0.5</v>
      </c>
      <c r="Y406" s="3">
        <f>IF(W406 = 0, "", U406 / W406)</f>
        <v>0.5</v>
      </c>
      <c r="Z406" s="3">
        <f>IF(X406 = "", "", X406 - Y406)</f>
        <v>0</v>
      </c>
      <c r="AA406" s="3">
        <f>IF(K406 = "", "", K406 - N406)</f>
        <v>-0.030000000000000027</v>
      </c>
      <c r="AB406" s="3">
        <f>IF(AA406 = "", "", AA406 * R406)</f>
        <v>-0.015000000000000013</v>
      </c>
    </row>
    <row r="407">
      <c r="A407" s="2" t="s">
        <v>2184</v>
      </c>
      <c r="B407" s="3" t="str">
        <f>A407</f>
        <v>unemployment-education-cycle-non-college-share-B</v>
      </c>
      <c r="C407" s="2" t="s">
        <v>763</v>
      </c>
      <c r="D407" s="2" t="s">
        <v>1743</v>
      </c>
      <c r="E407" s="2" t="s">
        <v>795</v>
      </c>
      <c r="F407" s="5">
        <f>SUMIFS(CaseCells!F2:F999,CaseCells!C2:C999, C407,CaseCells!D2:D999, D407,CaseCells!E2:E999, E407)</f>
        <v>850</v>
      </c>
      <c r="G407" s="5">
        <f>SUMIFS(CaseCells!G2:G999,CaseCells!C2:C999, C407,CaseCells!D2:D999, D407,CaseCells!E2:E999, E407)</f>
        <v>1000</v>
      </c>
      <c r="H407" s="3">
        <f>IF(G407 = 0, "", F407 / G407)</f>
        <v>0.85</v>
      </c>
      <c r="I407" s="5">
        <f>SUMIFS(CaseCells!F2:F999,CaseCells!C2:C999, C407,CaseCells!D2:D999, D407,CaseCells!E2:E999, "A")</f>
        <v>820</v>
      </c>
      <c r="J407" s="5">
        <f>SUMIFS(CaseCells!G2:G999,CaseCells!C2:C999, C407,CaseCells!D2:D999, D407,CaseCells!E2:E999, "A")</f>
        <v>1000</v>
      </c>
      <c r="K407" s="3">
        <f>IF(J407 = 0, "", I407 / J407)</f>
        <v>0.82</v>
      </c>
      <c r="L407" s="5">
        <f>SUMIFS(CaseCells!F2:F999,CaseCells!C2:C999, C407,CaseCells!D2:D999, D407,CaseCells!E2:E999, "B")</f>
        <v>850</v>
      </c>
      <c r="M407" s="5">
        <f>SUMIFS(CaseCells!G2:G999,CaseCells!C2:C999, C407,CaseCells!D2:D999, D407,CaseCells!E2:E999, "B")</f>
        <v>1000</v>
      </c>
      <c r="N407" s="3">
        <f>IF(M407 = 0, "", L407 / M407)</f>
        <v>0.85</v>
      </c>
      <c r="O407" s="3" t="str">
        <f>IF(K407 &gt; N407, "A", "B")</f>
        <v>B</v>
      </c>
      <c r="P407" s="5">
        <f>SUMIFS(CaseCells!G2:G999,CaseCells!C2:C999, C407)</f>
        <v>4000</v>
      </c>
      <c r="Q407" s="5">
        <f>SUMIFS(CaseCells!G2:G999,CaseCells!C2:C999, C407,CaseCells!D2:D999, D407)</f>
        <v>2000</v>
      </c>
      <c r="R407" s="3">
        <f>IF(P407 = 0, "", Q407 / P407)</f>
        <v>0.5</v>
      </c>
      <c r="S407" s="3">
        <f>IF(R407 = "", "", R407 * H407)</f>
        <v>0.425</v>
      </c>
      <c r="T407" s="5">
        <f>SUMIFS(CaseCells!G2:G999,CaseCells!C2:C999, C407,CaseCells!D2:D999, D407,CaseCells!E2:E999, "A")</f>
        <v>1000</v>
      </c>
      <c r="U407" s="5">
        <f>SUMIFS(CaseCells!G2:G999,CaseCells!C2:C999, C407,CaseCells!D2:D999, D407,CaseCells!E2:E999, "B")</f>
        <v>1000</v>
      </c>
      <c r="V407" s="5">
        <f>SUMIFS(CaseCells!G2:G999,CaseCells!C2:C999, C407,CaseCells!E2:E999, "A")</f>
        <v>2000</v>
      </c>
      <c r="W407" s="5">
        <f>SUMIFS(CaseCells!G2:G999,CaseCells!C2:C999, C407,CaseCells!E2:E999, "B")</f>
        <v>2000</v>
      </c>
      <c r="X407" s="3">
        <f>IF(V407 = 0, "", T407 / V407)</f>
        <v>0.5</v>
      </c>
      <c r="Y407" s="3">
        <f>IF(W407 = 0, "", U407 / W407)</f>
        <v>0.5</v>
      </c>
      <c r="Z407" s="3">
        <f>IF(X407 = "", "", X407 - Y407)</f>
        <v>0</v>
      </c>
      <c r="AA407" s="3">
        <f>IF(K407 = "", "", K407 - N407)</f>
        <v>-0.030000000000000027</v>
      </c>
      <c r="AB407" s="3">
        <f>IF(AA407 = "", "", AA407 * R407)</f>
        <v>-0.015000000000000013</v>
      </c>
    </row>
    <row r="408">
      <c r="A408" s="2" t="s">
        <v>2185</v>
      </c>
      <c r="B408" s="3" t="str">
        <f>A408</f>
        <v>costa-rica-us-life-expectancy-under-65-A</v>
      </c>
      <c r="C408" s="2" t="s">
        <v>766</v>
      </c>
      <c r="D408" s="2" t="s">
        <v>1331</v>
      </c>
      <c r="E408" s="2" t="s">
        <v>792</v>
      </c>
      <c r="F408" s="5">
        <f>SUMIFS(CaseCells!F2:F999,CaseCells!C2:C999, C408,CaseCells!D2:D999, D408,CaseCells!E2:E999, E408)</f>
        <v>990</v>
      </c>
      <c r="G408" s="5">
        <f>SUMIFS(CaseCells!G2:G999,CaseCells!C2:C999, C408,CaseCells!D2:D999, D408,CaseCells!E2:E999, E408)</f>
        <v>1000</v>
      </c>
      <c r="H408" s="3">
        <f>IF(G408 = 0, "", F408 / G408)</f>
        <v>0.99</v>
      </c>
      <c r="I408" s="5">
        <f>SUMIFS(CaseCells!F2:F999,CaseCells!C2:C999, C408,CaseCells!D2:D999, D408,CaseCells!E2:E999, "A")</f>
        <v>990</v>
      </c>
      <c r="J408" s="5">
        <f>SUMIFS(CaseCells!G2:G999,CaseCells!C2:C999, C408,CaseCells!D2:D999, D408,CaseCells!E2:E999, "A")</f>
        <v>1000</v>
      </c>
      <c r="K408" s="3">
        <f>IF(J408 = 0, "", I408 / J408)</f>
        <v>0.99</v>
      </c>
      <c r="L408" s="5">
        <f>SUMIFS(CaseCells!F2:F999,CaseCells!C2:C999, C408,CaseCells!D2:D999, D408,CaseCells!E2:E999, "B")</f>
        <v>985</v>
      </c>
      <c r="M408" s="5">
        <f>SUMIFS(CaseCells!G2:G999,CaseCells!C2:C999, C408,CaseCells!D2:D999, D408,CaseCells!E2:E999, "B")</f>
        <v>1000</v>
      </c>
      <c r="N408" s="3">
        <f>IF(M408 = 0, "", L408 / M408)</f>
        <v>0.985</v>
      </c>
      <c r="O408" s="3" t="str">
        <f>IF(K408 &gt; N408, "A", "B")</f>
        <v>A</v>
      </c>
      <c r="P408" s="5">
        <f>SUMIFS(CaseCells!G2:G999,CaseCells!C2:C999, C408)</f>
        <v>4000</v>
      </c>
      <c r="Q408" s="5">
        <f>SUMIFS(CaseCells!G2:G999,CaseCells!C2:C999, C408,CaseCells!D2:D999, D408)</f>
        <v>2000</v>
      </c>
      <c r="R408" s="3">
        <f>IF(P408 = 0, "", Q408 / P408)</f>
        <v>0.5</v>
      </c>
      <c r="S408" s="3">
        <f>IF(R408 = "", "", R408 * H408)</f>
        <v>0.495</v>
      </c>
      <c r="T408" s="5">
        <f>SUMIFS(CaseCells!G2:G999,CaseCells!C2:C999, C408,CaseCells!D2:D999, D408,CaseCells!E2:E999, "A")</f>
        <v>1000</v>
      </c>
      <c r="U408" s="5">
        <f>SUMIFS(CaseCells!G2:G999,CaseCells!C2:C999, C408,CaseCells!D2:D999, D408,CaseCells!E2:E999, "B")</f>
        <v>1000</v>
      </c>
      <c r="V408" s="5">
        <f>SUMIFS(CaseCells!G2:G999,CaseCells!C2:C999, C408,CaseCells!E2:E999, "A")</f>
        <v>2000</v>
      </c>
      <c r="W408" s="5">
        <f>SUMIFS(CaseCells!G2:G999,CaseCells!C2:C999, C408,CaseCells!E2:E999, "B")</f>
        <v>2000</v>
      </c>
      <c r="X408" s="3">
        <f>IF(V408 = 0, "", T408 / V408)</f>
        <v>0.5</v>
      </c>
      <c r="Y408" s="3">
        <f>IF(W408 = 0, "", U408 / W408)</f>
        <v>0.5</v>
      </c>
      <c r="Z408" s="3">
        <f>IF(X408 = "", "", X408 - Y408)</f>
        <v>0</v>
      </c>
      <c r="AA408" s="3">
        <f>IF(K408 = "", "", K408 - N408)</f>
        <v>0.0050000000000000044</v>
      </c>
      <c r="AB408" s="3">
        <f>IF(AA408 = "", "", AA408 * R408)</f>
        <v>0.0025000000000000022</v>
      </c>
    </row>
    <row r="409">
      <c r="A409" s="2" t="s">
        <v>2186</v>
      </c>
      <c r="B409" s="3" t="str">
        <f>A409</f>
        <v>costa-rica-us-life-expectancy-under-65-B</v>
      </c>
      <c r="C409" s="2" t="s">
        <v>766</v>
      </c>
      <c r="D409" s="2" t="s">
        <v>1331</v>
      </c>
      <c r="E409" s="2" t="s">
        <v>795</v>
      </c>
      <c r="F409" s="5">
        <f>SUMIFS(CaseCells!F2:F999,CaseCells!C2:C999, C409,CaseCells!D2:D999, D409,CaseCells!E2:E999, E409)</f>
        <v>985</v>
      </c>
      <c r="G409" s="5">
        <f>SUMIFS(CaseCells!G2:G999,CaseCells!C2:C999, C409,CaseCells!D2:D999, D409,CaseCells!E2:E999, E409)</f>
        <v>1000</v>
      </c>
      <c r="H409" s="3">
        <f>IF(G409 = 0, "", F409 / G409)</f>
        <v>0.985</v>
      </c>
      <c r="I409" s="5">
        <f>SUMIFS(CaseCells!F2:F999,CaseCells!C2:C999, C409,CaseCells!D2:D999, D409,CaseCells!E2:E999, "A")</f>
        <v>990</v>
      </c>
      <c r="J409" s="5">
        <f>SUMIFS(CaseCells!G2:G999,CaseCells!C2:C999, C409,CaseCells!D2:D999, D409,CaseCells!E2:E999, "A")</f>
        <v>1000</v>
      </c>
      <c r="K409" s="3">
        <f>IF(J409 = 0, "", I409 / J409)</f>
        <v>0.99</v>
      </c>
      <c r="L409" s="5">
        <f>SUMIFS(CaseCells!F2:F999,CaseCells!C2:C999, C409,CaseCells!D2:D999, D409,CaseCells!E2:E999, "B")</f>
        <v>985</v>
      </c>
      <c r="M409" s="5">
        <f>SUMIFS(CaseCells!G2:G999,CaseCells!C2:C999, C409,CaseCells!D2:D999, D409,CaseCells!E2:E999, "B")</f>
        <v>1000</v>
      </c>
      <c r="N409" s="3">
        <f>IF(M409 = 0, "", L409 / M409)</f>
        <v>0.985</v>
      </c>
      <c r="O409" s="3" t="str">
        <f>IF(K409 &gt; N409, "A", "B")</f>
        <v>A</v>
      </c>
      <c r="P409" s="5">
        <f>SUMIFS(CaseCells!G2:G999,CaseCells!C2:C999, C409)</f>
        <v>4000</v>
      </c>
      <c r="Q409" s="5">
        <f>SUMIFS(CaseCells!G2:G999,CaseCells!C2:C999, C409,CaseCells!D2:D999, D409)</f>
        <v>2000</v>
      </c>
      <c r="R409" s="3">
        <f>IF(P409 = 0, "", Q409 / P409)</f>
        <v>0.5</v>
      </c>
      <c r="S409" s="3">
        <f>IF(R409 = "", "", R409 * H409)</f>
        <v>0.4925</v>
      </c>
      <c r="T409" s="5">
        <f>SUMIFS(CaseCells!G2:G999,CaseCells!C2:C999, C409,CaseCells!D2:D999, D409,CaseCells!E2:E999, "A")</f>
        <v>1000</v>
      </c>
      <c r="U409" s="5">
        <f>SUMIFS(CaseCells!G2:G999,CaseCells!C2:C999, C409,CaseCells!D2:D999, D409,CaseCells!E2:E999, "B")</f>
        <v>1000</v>
      </c>
      <c r="V409" s="5">
        <f>SUMIFS(CaseCells!G2:G999,CaseCells!C2:C999, C409,CaseCells!E2:E999, "A")</f>
        <v>2000</v>
      </c>
      <c r="W409" s="5">
        <f>SUMIFS(CaseCells!G2:G999,CaseCells!C2:C999, C409,CaseCells!E2:E999, "B")</f>
        <v>2000</v>
      </c>
      <c r="X409" s="3">
        <f>IF(V409 = 0, "", T409 / V409)</f>
        <v>0.5</v>
      </c>
      <c r="Y409" s="3">
        <f>IF(W409 = 0, "", U409 / W409)</f>
        <v>0.5</v>
      </c>
      <c r="Z409" s="3">
        <f>IF(X409 = "", "", X409 - Y409)</f>
        <v>0</v>
      </c>
      <c r="AA409" s="3">
        <f>IF(K409 = "", "", K409 - N409)</f>
        <v>0.0050000000000000044</v>
      </c>
      <c r="AB409" s="3">
        <f>IF(AA409 = "", "", AA409 * R409)</f>
        <v>0.0025000000000000022</v>
      </c>
    </row>
    <row r="410">
      <c r="A410" s="2" t="s">
        <v>2187</v>
      </c>
      <c r="B410" s="3" t="str">
        <f>A410</f>
        <v>costa-rica-us-life-expectancy-65-plus-A</v>
      </c>
      <c r="C410" s="2" t="s">
        <v>766</v>
      </c>
      <c r="D410" s="2" t="s">
        <v>1523</v>
      </c>
      <c r="E410" s="2" t="s">
        <v>792</v>
      </c>
      <c r="F410" s="5">
        <f>SUMIFS(CaseCells!F2:F999,CaseCells!C2:C999, C410,CaseCells!D2:D999, D410,CaseCells!E2:E999, E410)</f>
        <v>850</v>
      </c>
      <c r="G410" s="5">
        <f>SUMIFS(CaseCells!G2:G999,CaseCells!C2:C999, C410,CaseCells!D2:D999, D410,CaseCells!E2:E999, E410)</f>
        <v>1000</v>
      </c>
      <c r="H410" s="3">
        <f>IF(G410 = 0, "", F410 / G410)</f>
        <v>0.85</v>
      </c>
      <c r="I410" s="5">
        <f>SUMIFS(CaseCells!F2:F999,CaseCells!C2:C999, C410,CaseCells!D2:D999, D410,CaseCells!E2:E999, "A")</f>
        <v>850</v>
      </c>
      <c r="J410" s="5">
        <f>SUMIFS(CaseCells!G2:G999,CaseCells!C2:C999, C410,CaseCells!D2:D999, D410,CaseCells!E2:E999, "A")</f>
        <v>1000</v>
      </c>
      <c r="K410" s="3">
        <f>IF(J410 = 0, "", I410 / J410)</f>
        <v>0.85</v>
      </c>
      <c r="L410" s="5">
        <f>SUMIFS(CaseCells!F2:F999,CaseCells!C2:C999, C410,CaseCells!D2:D999, D410,CaseCells!E2:E999, "B")</f>
        <v>900</v>
      </c>
      <c r="M410" s="5">
        <f>SUMIFS(CaseCells!G2:G999,CaseCells!C2:C999, C410,CaseCells!D2:D999, D410,CaseCells!E2:E999, "B")</f>
        <v>1000</v>
      </c>
      <c r="N410" s="3">
        <f>IF(M410 = 0, "", L410 / M410)</f>
        <v>0.9</v>
      </c>
      <c r="O410" s="3" t="str">
        <f>IF(K410 &gt; N410, "A", "B")</f>
        <v>B</v>
      </c>
      <c r="P410" s="5">
        <f>SUMIFS(CaseCells!G2:G999,CaseCells!C2:C999, C410)</f>
        <v>4000</v>
      </c>
      <c r="Q410" s="5">
        <f>SUMIFS(CaseCells!G2:G999,CaseCells!C2:C999, C410,CaseCells!D2:D999, D410)</f>
        <v>2000</v>
      </c>
      <c r="R410" s="3">
        <f>IF(P410 = 0, "", Q410 / P410)</f>
        <v>0.5</v>
      </c>
      <c r="S410" s="3">
        <f>IF(R410 = "", "", R410 * H410)</f>
        <v>0.425</v>
      </c>
      <c r="T410" s="5">
        <f>SUMIFS(CaseCells!G2:G999,CaseCells!C2:C999, C410,CaseCells!D2:D999, D410,CaseCells!E2:E999, "A")</f>
        <v>1000</v>
      </c>
      <c r="U410" s="5">
        <f>SUMIFS(CaseCells!G2:G999,CaseCells!C2:C999, C410,CaseCells!D2:D999, D410,CaseCells!E2:E999, "B")</f>
        <v>1000</v>
      </c>
      <c r="V410" s="5">
        <f>SUMIFS(CaseCells!G2:G999,CaseCells!C2:C999, C410,CaseCells!E2:E999, "A")</f>
        <v>2000</v>
      </c>
      <c r="W410" s="5">
        <f>SUMIFS(CaseCells!G2:G999,CaseCells!C2:C999, C410,CaseCells!E2:E999, "B")</f>
        <v>2000</v>
      </c>
      <c r="X410" s="3">
        <f>IF(V410 = 0, "", T410 / V410)</f>
        <v>0.5</v>
      </c>
      <c r="Y410" s="3">
        <f>IF(W410 = 0, "", U410 / W410)</f>
        <v>0.5</v>
      </c>
      <c r="Z410" s="3">
        <f>IF(X410 = "", "", X410 - Y410)</f>
        <v>0</v>
      </c>
      <c r="AA410" s="3">
        <f>IF(K410 = "", "", K410 - N410)</f>
        <v>-0.050000000000000044</v>
      </c>
      <c r="AB410" s="3">
        <f>IF(AA410 = "", "", AA410 * R410)</f>
        <v>-0.025000000000000022</v>
      </c>
    </row>
    <row r="411">
      <c r="A411" s="2" t="s">
        <v>2188</v>
      </c>
      <c r="B411" s="3" t="str">
        <f>A411</f>
        <v>costa-rica-us-life-expectancy-65-plus-B</v>
      </c>
      <c r="C411" s="2" t="s">
        <v>766</v>
      </c>
      <c r="D411" s="2" t="s">
        <v>1523</v>
      </c>
      <c r="E411" s="2" t="s">
        <v>795</v>
      </c>
      <c r="F411" s="5">
        <f>SUMIFS(CaseCells!F2:F999,CaseCells!C2:C999, C411,CaseCells!D2:D999, D411,CaseCells!E2:E999, E411)</f>
        <v>900</v>
      </c>
      <c r="G411" s="5">
        <f>SUMIFS(CaseCells!G2:G999,CaseCells!C2:C999, C411,CaseCells!D2:D999, D411,CaseCells!E2:E999, E411)</f>
        <v>1000</v>
      </c>
      <c r="H411" s="3">
        <f>IF(G411 = 0, "", F411 / G411)</f>
        <v>0.9</v>
      </c>
      <c r="I411" s="5">
        <f>SUMIFS(CaseCells!F2:F999,CaseCells!C2:C999, C411,CaseCells!D2:D999, D411,CaseCells!E2:E999, "A")</f>
        <v>850</v>
      </c>
      <c r="J411" s="5">
        <f>SUMIFS(CaseCells!G2:G999,CaseCells!C2:C999, C411,CaseCells!D2:D999, D411,CaseCells!E2:E999, "A")</f>
        <v>1000</v>
      </c>
      <c r="K411" s="3">
        <f>IF(J411 = 0, "", I411 / J411)</f>
        <v>0.85</v>
      </c>
      <c r="L411" s="5">
        <f>SUMIFS(CaseCells!F2:F999,CaseCells!C2:C999, C411,CaseCells!D2:D999, D411,CaseCells!E2:E999, "B")</f>
        <v>900</v>
      </c>
      <c r="M411" s="5">
        <f>SUMIFS(CaseCells!G2:G999,CaseCells!C2:C999, C411,CaseCells!D2:D999, D411,CaseCells!E2:E999, "B")</f>
        <v>1000</v>
      </c>
      <c r="N411" s="3">
        <f>IF(M411 = 0, "", L411 / M411)</f>
        <v>0.9</v>
      </c>
      <c r="O411" s="3" t="str">
        <f>IF(K411 &gt; N411, "A", "B")</f>
        <v>B</v>
      </c>
      <c r="P411" s="5">
        <f>SUMIFS(CaseCells!G2:G999,CaseCells!C2:C999, C411)</f>
        <v>4000</v>
      </c>
      <c r="Q411" s="5">
        <f>SUMIFS(CaseCells!G2:G999,CaseCells!C2:C999, C411,CaseCells!D2:D999, D411)</f>
        <v>2000</v>
      </c>
      <c r="R411" s="3">
        <f>IF(P411 = 0, "", Q411 / P411)</f>
        <v>0.5</v>
      </c>
      <c r="S411" s="3">
        <f>IF(R411 = "", "", R411 * H411)</f>
        <v>0.45</v>
      </c>
      <c r="T411" s="5">
        <f>SUMIFS(CaseCells!G2:G999,CaseCells!C2:C999, C411,CaseCells!D2:D999, D411,CaseCells!E2:E999, "A")</f>
        <v>1000</v>
      </c>
      <c r="U411" s="5">
        <f>SUMIFS(CaseCells!G2:G999,CaseCells!C2:C999, C411,CaseCells!D2:D999, D411,CaseCells!E2:E999, "B")</f>
        <v>1000</v>
      </c>
      <c r="V411" s="5">
        <f>SUMIFS(CaseCells!G2:G999,CaseCells!C2:C999, C411,CaseCells!E2:E999, "A")</f>
        <v>2000</v>
      </c>
      <c r="W411" s="5">
        <f>SUMIFS(CaseCells!G2:G999,CaseCells!C2:C999, C411,CaseCells!E2:E999, "B")</f>
        <v>2000</v>
      </c>
      <c r="X411" s="3">
        <f>IF(V411 = 0, "", T411 / V411)</f>
        <v>0.5</v>
      </c>
      <c r="Y411" s="3">
        <f>IF(W411 = 0, "", U411 / W411)</f>
        <v>0.5</v>
      </c>
      <c r="Z411" s="3">
        <f>IF(X411 = "", "", X411 - Y411)</f>
        <v>0</v>
      </c>
      <c r="AA411" s="3">
        <f>IF(K411 = "", "", K411 - N411)</f>
        <v>-0.050000000000000044</v>
      </c>
      <c r="AB411" s="3">
        <f>IF(AA411 = "", "", AA411 * R411)</f>
        <v>-0.025000000000000022</v>
      </c>
    </row>
    <row r="412">
      <c r="A412" s="2" t="s">
        <v>2189</v>
      </c>
      <c r="B412" s="3" t="str">
        <f>A412</f>
        <v>fertility-income-country-high-income-countries-A</v>
      </c>
      <c r="C412" s="2" t="s">
        <v>770</v>
      </c>
      <c r="D412" s="2" t="s">
        <v>1750</v>
      </c>
      <c r="E412" s="2" t="s">
        <v>792</v>
      </c>
      <c r="F412" s="5">
        <f>SUMIFS(CaseCells!F2:F999,CaseCells!C2:C999, C412,CaseCells!D2:D999, D412,CaseCells!E2:E999, E412)</f>
        <v>450</v>
      </c>
      <c r="G412" s="5">
        <f>SUMIFS(CaseCells!G2:G999,CaseCells!C2:C999, C412,CaseCells!D2:D999, D412,CaseCells!E2:E999, E412)</f>
        <v>1000</v>
      </c>
      <c r="H412" s="3">
        <f>IF(G412 = 0, "", F412 / G412)</f>
        <v>0.45</v>
      </c>
      <c r="I412" s="5">
        <f>SUMIFS(CaseCells!F2:F999,CaseCells!C2:C999, C412,CaseCells!D2:D999, D412,CaseCells!E2:E999, "A")</f>
        <v>450</v>
      </c>
      <c r="J412" s="5">
        <f>SUMIFS(CaseCells!G2:G999,CaseCells!C2:C999, C412,CaseCells!D2:D999, D412,CaseCells!E2:E999, "A")</f>
        <v>1000</v>
      </c>
      <c r="K412" s="3">
        <f>IF(J412 = 0, "", I412 / J412)</f>
        <v>0.45</v>
      </c>
      <c r="L412" s="5">
        <f>SUMIFS(CaseCells!F2:F999,CaseCells!C2:C999, C412,CaseCells!D2:D999, D412,CaseCells!E2:E999, "B")</f>
        <v>520</v>
      </c>
      <c r="M412" s="5">
        <f>SUMIFS(CaseCells!G2:G999,CaseCells!C2:C999, C412,CaseCells!D2:D999, D412,CaseCells!E2:E999, "B")</f>
        <v>1000</v>
      </c>
      <c r="N412" s="3">
        <f>IF(M412 = 0, "", L412 / M412)</f>
        <v>0.52</v>
      </c>
      <c r="O412" s="3" t="str">
        <f>IF(K412 &gt; N412, "A", "B")</f>
        <v>B</v>
      </c>
      <c r="P412" s="5">
        <f>SUMIFS(CaseCells!G2:G999,CaseCells!C2:C999, C412)</f>
        <v>4000</v>
      </c>
      <c r="Q412" s="5">
        <f>SUMIFS(CaseCells!G2:G999,CaseCells!C2:C999, C412,CaseCells!D2:D999, D412)</f>
        <v>2000</v>
      </c>
      <c r="R412" s="3">
        <f>IF(P412 = 0, "", Q412 / P412)</f>
        <v>0.5</v>
      </c>
      <c r="S412" s="3">
        <f>IF(R412 = "", "", R412 * H412)</f>
        <v>0.225</v>
      </c>
      <c r="T412" s="5">
        <f>SUMIFS(CaseCells!G2:G999,CaseCells!C2:C999, C412,CaseCells!D2:D999, D412,CaseCells!E2:E999, "A")</f>
        <v>1000</v>
      </c>
      <c r="U412" s="5">
        <f>SUMIFS(CaseCells!G2:G999,CaseCells!C2:C999, C412,CaseCells!D2:D999, D412,CaseCells!E2:E999, "B")</f>
        <v>1000</v>
      </c>
      <c r="V412" s="5">
        <f>SUMIFS(CaseCells!G2:G999,CaseCells!C2:C999, C412,CaseCells!E2:E999, "A")</f>
        <v>2000</v>
      </c>
      <c r="W412" s="5">
        <f>SUMIFS(CaseCells!G2:G999,CaseCells!C2:C999, C412,CaseCells!E2:E999, "B")</f>
        <v>2000</v>
      </c>
      <c r="X412" s="3">
        <f>IF(V412 = 0, "", T412 / V412)</f>
        <v>0.5</v>
      </c>
      <c r="Y412" s="3">
        <f>IF(W412 = 0, "", U412 / W412)</f>
        <v>0.5</v>
      </c>
      <c r="Z412" s="3">
        <f>IF(X412 = "", "", X412 - Y412)</f>
        <v>0</v>
      </c>
      <c r="AA412" s="3">
        <f>IF(K412 = "", "", K412 - N412)</f>
        <v>-0.07</v>
      </c>
      <c r="AB412" s="3">
        <f>IF(AA412 = "", "", AA412 * R412)</f>
        <v>-0.035</v>
      </c>
    </row>
    <row r="413">
      <c r="A413" s="2" t="s">
        <v>2190</v>
      </c>
      <c r="B413" s="3" t="str">
        <f>A413</f>
        <v>fertility-income-country-high-income-countries-B</v>
      </c>
      <c r="C413" s="2" t="s">
        <v>770</v>
      </c>
      <c r="D413" s="2" t="s">
        <v>1750</v>
      </c>
      <c r="E413" s="2" t="s">
        <v>795</v>
      </c>
      <c r="F413" s="5">
        <f>SUMIFS(CaseCells!F2:F999,CaseCells!C2:C999, C413,CaseCells!D2:D999, D413,CaseCells!E2:E999, E413)</f>
        <v>520</v>
      </c>
      <c r="G413" s="5">
        <f>SUMIFS(CaseCells!G2:G999,CaseCells!C2:C999, C413,CaseCells!D2:D999, D413,CaseCells!E2:E999, E413)</f>
        <v>1000</v>
      </c>
      <c r="H413" s="3">
        <f>IF(G413 = 0, "", F413 / G413)</f>
        <v>0.52</v>
      </c>
      <c r="I413" s="5">
        <f>SUMIFS(CaseCells!F2:F999,CaseCells!C2:C999, C413,CaseCells!D2:D999, D413,CaseCells!E2:E999, "A")</f>
        <v>450</v>
      </c>
      <c r="J413" s="5">
        <f>SUMIFS(CaseCells!G2:G999,CaseCells!C2:C999, C413,CaseCells!D2:D999, D413,CaseCells!E2:E999, "A")</f>
        <v>1000</v>
      </c>
      <c r="K413" s="3">
        <f>IF(J413 = 0, "", I413 / J413)</f>
        <v>0.45</v>
      </c>
      <c r="L413" s="5">
        <f>SUMIFS(CaseCells!F2:F999,CaseCells!C2:C999, C413,CaseCells!D2:D999, D413,CaseCells!E2:E999, "B")</f>
        <v>520</v>
      </c>
      <c r="M413" s="5">
        <f>SUMIFS(CaseCells!G2:G999,CaseCells!C2:C999, C413,CaseCells!D2:D999, D413,CaseCells!E2:E999, "B")</f>
        <v>1000</v>
      </c>
      <c r="N413" s="3">
        <f>IF(M413 = 0, "", L413 / M413)</f>
        <v>0.52</v>
      </c>
      <c r="O413" s="3" t="str">
        <f>IF(K413 &gt; N413, "A", "B")</f>
        <v>B</v>
      </c>
      <c r="P413" s="5">
        <f>SUMIFS(CaseCells!G2:G999,CaseCells!C2:C999, C413)</f>
        <v>4000</v>
      </c>
      <c r="Q413" s="5">
        <f>SUMIFS(CaseCells!G2:G999,CaseCells!C2:C999, C413,CaseCells!D2:D999, D413)</f>
        <v>2000</v>
      </c>
      <c r="R413" s="3">
        <f>IF(P413 = 0, "", Q413 / P413)</f>
        <v>0.5</v>
      </c>
      <c r="S413" s="3">
        <f>IF(R413 = "", "", R413 * H413)</f>
        <v>0.26</v>
      </c>
      <c r="T413" s="5">
        <f>SUMIFS(CaseCells!G2:G999,CaseCells!C2:C999, C413,CaseCells!D2:D999, D413,CaseCells!E2:E999, "A")</f>
        <v>1000</v>
      </c>
      <c r="U413" s="5">
        <f>SUMIFS(CaseCells!G2:G999,CaseCells!C2:C999, C413,CaseCells!D2:D999, D413,CaseCells!E2:E999, "B")</f>
        <v>1000</v>
      </c>
      <c r="V413" s="5">
        <f>SUMIFS(CaseCells!G2:G999,CaseCells!C2:C999, C413,CaseCells!E2:E999, "A")</f>
        <v>2000</v>
      </c>
      <c r="W413" s="5">
        <f>SUMIFS(CaseCells!G2:G999,CaseCells!C2:C999, C413,CaseCells!E2:E999, "B")</f>
        <v>2000</v>
      </c>
      <c r="X413" s="3">
        <f>IF(V413 = 0, "", T413 / V413)</f>
        <v>0.5</v>
      </c>
      <c r="Y413" s="3">
        <f>IF(W413 = 0, "", U413 / W413)</f>
        <v>0.5</v>
      </c>
      <c r="Z413" s="3">
        <f>IF(X413 = "", "", X413 - Y413)</f>
        <v>0</v>
      </c>
      <c r="AA413" s="3">
        <f>IF(K413 = "", "", K413 - N413)</f>
        <v>-0.07</v>
      </c>
      <c r="AB413" s="3">
        <f>IF(AA413 = "", "", AA413 * R413)</f>
        <v>-0.035</v>
      </c>
    </row>
    <row r="414">
      <c r="A414" s="2" t="s">
        <v>2191</v>
      </c>
      <c r="B414" s="3" t="str">
        <f>A414</f>
        <v>fertility-income-country-middle-income-countries-A</v>
      </c>
      <c r="C414" s="2" t="s">
        <v>770</v>
      </c>
      <c r="D414" s="2" t="s">
        <v>1753</v>
      </c>
      <c r="E414" s="2" t="s">
        <v>792</v>
      </c>
      <c r="F414" s="5">
        <f>SUMIFS(CaseCells!F2:F999,CaseCells!C2:C999, C414,CaseCells!D2:D999, D414,CaseCells!E2:E999, E414)</f>
        <v>380</v>
      </c>
      <c r="G414" s="5">
        <f>SUMIFS(CaseCells!G2:G999,CaseCells!C2:C999, C414,CaseCells!D2:D999, D414,CaseCells!E2:E999, E414)</f>
        <v>1000</v>
      </c>
      <c r="H414" s="3">
        <f>IF(G414 = 0, "", F414 / G414)</f>
        <v>0.38</v>
      </c>
      <c r="I414" s="5">
        <f>SUMIFS(CaseCells!F2:F999,CaseCells!C2:C999, C414,CaseCells!D2:D999, D414,CaseCells!E2:E999, "A")</f>
        <v>380</v>
      </c>
      <c r="J414" s="5">
        <f>SUMIFS(CaseCells!G2:G999,CaseCells!C2:C999, C414,CaseCells!D2:D999, D414,CaseCells!E2:E999, "A")</f>
        <v>1000</v>
      </c>
      <c r="K414" s="3">
        <f>IF(J414 = 0, "", I414 / J414)</f>
        <v>0.38</v>
      </c>
      <c r="L414" s="5">
        <f>SUMIFS(CaseCells!F2:F999,CaseCells!C2:C999, C414,CaseCells!D2:D999, D414,CaseCells!E2:E999, "B")</f>
        <v>350</v>
      </c>
      <c r="M414" s="5">
        <f>SUMIFS(CaseCells!G2:G999,CaseCells!C2:C999, C414,CaseCells!D2:D999, D414,CaseCells!E2:E999, "B")</f>
        <v>1000</v>
      </c>
      <c r="N414" s="3">
        <f>IF(M414 = 0, "", L414 / M414)</f>
        <v>0.35</v>
      </c>
      <c r="O414" s="3" t="str">
        <f>IF(K414 &gt; N414, "A", "B")</f>
        <v>A</v>
      </c>
      <c r="P414" s="5">
        <f>SUMIFS(CaseCells!G2:G999,CaseCells!C2:C999, C414)</f>
        <v>4000</v>
      </c>
      <c r="Q414" s="5">
        <f>SUMIFS(CaseCells!G2:G999,CaseCells!C2:C999, C414,CaseCells!D2:D999, D414)</f>
        <v>2000</v>
      </c>
      <c r="R414" s="3">
        <f>IF(P414 = 0, "", Q414 / P414)</f>
        <v>0.5</v>
      </c>
      <c r="S414" s="3">
        <f>IF(R414 = "", "", R414 * H414)</f>
        <v>0.19</v>
      </c>
      <c r="T414" s="5">
        <f>SUMIFS(CaseCells!G2:G999,CaseCells!C2:C999, C414,CaseCells!D2:D999, D414,CaseCells!E2:E999, "A")</f>
        <v>1000</v>
      </c>
      <c r="U414" s="5">
        <f>SUMIFS(CaseCells!G2:G999,CaseCells!C2:C999, C414,CaseCells!D2:D999, D414,CaseCells!E2:E999, "B")</f>
        <v>1000</v>
      </c>
      <c r="V414" s="5">
        <f>SUMIFS(CaseCells!G2:G999,CaseCells!C2:C999, C414,CaseCells!E2:E999, "A")</f>
        <v>2000</v>
      </c>
      <c r="W414" s="5">
        <f>SUMIFS(CaseCells!G2:G999,CaseCells!C2:C999, C414,CaseCells!E2:E999, "B")</f>
        <v>2000</v>
      </c>
      <c r="X414" s="3">
        <f>IF(V414 = 0, "", T414 / V414)</f>
        <v>0.5</v>
      </c>
      <c r="Y414" s="3">
        <f>IF(W414 = 0, "", U414 / W414)</f>
        <v>0.5</v>
      </c>
      <c r="Z414" s="3">
        <f>IF(X414 = "", "", X414 - Y414)</f>
        <v>0</v>
      </c>
      <c r="AA414" s="3">
        <f>IF(K414 = "", "", K414 - N414)</f>
        <v>0.030000000000000027</v>
      </c>
      <c r="AB414" s="3">
        <f>IF(AA414 = "", "", AA414 * R414)</f>
        <v>0.015000000000000013</v>
      </c>
    </row>
    <row r="415">
      <c r="A415" s="2" t="s">
        <v>2192</v>
      </c>
      <c r="B415" s="3" t="str">
        <f>A415</f>
        <v>fertility-income-country-middle-income-countries-B</v>
      </c>
      <c r="C415" s="2" t="s">
        <v>770</v>
      </c>
      <c r="D415" s="2" t="s">
        <v>1753</v>
      </c>
      <c r="E415" s="2" t="s">
        <v>795</v>
      </c>
      <c r="F415" s="5">
        <f>SUMIFS(CaseCells!F2:F999,CaseCells!C2:C999, C415,CaseCells!D2:D999, D415,CaseCells!E2:E999, E415)</f>
        <v>350</v>
      </c>
      <c r="G415" s="5">
        <f>SUMIFS(CaseCells!G2:G999,CaseCells!C2:C999, C415,CaseCells!D2:D999, D415,CaseCells!E2:E999, E415)</f>
        <v>1000</v>
      </c>
      <c r="H415" s="3">
        <f>IF(G415 = 0, "", F415 / G415)</f>
        <v>0.35</v>
      </c>
      <c r="I415" s="5">
        <f>SUMIFS(CaseCells!F2:F999,CaseCells!C2:C999, C415,CaseCells!D2:D999, D415,CaseCells!E2:E999, "A")</f>
        <v>380</v>
      </c>
      <c r="J415" s="5">
        <f>SUMIFS(CaseCells!G2:G999,CaseCells!C2:C999, C415,CaseCells!D2:D999, D415,CaseCells!E2:E999, "A")</f>
        <v>1000</v>
      </c>
      <c r="K415" s="3">
        <f>IF(J415 = 0, "", I415 / J415)</f>
        <v>0.38</v>
      </c>
      <c r="L415" s="5">
        <f>SUMIFS(CaseCells!F2:F999,CaseCells!C2:C999, C415,CaseCells!D2:D999, D415,CaseCells!E2:E999, "B")</f>
        <v>350</v>
      </c>
      <c r="M415" s="5">
        <f>SUMIFS(CaseCells!G2:G999,CaseCells!C2:C999, C415,CaseCells!D2:D999, D415,CaseCells!E2:E999, "B")</f>
        <v>1000</v>
      </c>
      <c r="N415" s="3">
        <f>IF(M415 = 0, "", L415 / M415)</f>
        <v>0.35</v>
      </c>
      <c r="O415" s="3" t="str">
        <f>IF(K415 &gt; N415, "A", "B")</f>
        <v>A</v>
      </c>
      <c r="P415" s="5">
        <f>SUMIFS(CaseCells!G2:G999,CaseCells!C2:C999, C415)</f>
        <v>4000</v>
      </c>
      <c r="Q415" s="5">
        <f>SUMIFS(CaseCells!G2:G999,CaseCells!C2:C999, C415,CaseCells!D2:D999, D415)</f>
        <v>2000</v>
      </c>
      <c r="R415" s="3">
        <f>IF(P415 = 0, "", Q415 / P415)</f>
        <v>0.5</v>
      </c>
      <c r="S415" s="3">
        <f>IF(R415 = "", "", R415 * H415)</f>
        <v>0.175</v>
      </c>
      <c r="T415" s="5">
        <f>SUMIFS(CaseCells!G2:G999,CaseCells!C2:C999, C415,CaseCells!D2:D999, D415,CaseCells!E2:E999, "A")</f>
        <v>1000</v>
      </c>
      <c r="U415" s="5">
        <f>SUMIFS(CaseCells!G2:G999,CaseCells!C2:C999, C415,CaseCells!D2:D999, D415,CaseCells!E2:E999, "B")</f>
        <v>1000</v>
      </c>
      <c r="V415" s="5">
        <f>SUMIFS(CaseCells!G2:G999,CaseCells!C2:C999, C415,CaseCells!E2:E999, "A")</f>
        <v>2000</v>
      </c>
      <c r="W415" s="5">
        <f>SUMIFS(CaseCells!G2:G999,CaseCells!C2:C999, C415,CaseCells!E2:E999, "B")</f>
        <v>2000</v>
      </c>
      <c r="X415" s="3">
        <f>IF(V415 = 0, "", T415 / V415)</f>
        <v>0.5</v>
      </c>
      <c r="Y415" s="3">
        <f>IF(W415 = 0, "", U415 / W415)</f>
        <v>0.5</v>
      </c>
      <c r="Z415" s="3">
        <f>IF(X415 = "", "", X415 - Y415)</f>
        <v>0</v>
      </c>
      <c r="AA415" s="3">
        <f>IF(K415 = "", "", K415 - N415)</f>
        <v>0.030000000000000027</v>
      </c>
      <c r="AB415" s="3">
        <f>IF(AA415 = "", "", AA415 * R415)</f>
        <v>0.015000000000000013</v>
      </c>
    </row>
    <row r="416">
      <c r="A416" s="2" t="s">
        <v>2193</v>
      </c>
      <c r="B416" s="3" t="str">
        <f>A416</f>
        <v>religiosity-happiness-country-high-gdp-countries-A</v>
      </c>
      <c r="C416" s="2" t="s">
        <v>774</v>
      </c>
      <c r="D416" s="2" t="s">
        <v>1756</v>
      </c>
      <c r="E416" s="2" t="s">
        <v>792</v>
      </c>
      <c r="F416" s="5">
        <f>SUMIFS(CaseCells!F2:F999,CaseCells!C2:C999, C416,CaseCells!D2:D999, D416,CaseCells!E2:E999, E416)</f>
        <v>750</v>
      </c>
      <c r="G416" s="5">
        <f>SUMIFS(CaseCells!G2:G999,CaseCells!C2:C999, C416,CaseCells!D2:D999, D416,CaseCells!E2:E999, E416)</f>
        <v>1000</v>
      </c>
      <c r="H416" s="3">
        <f>IF(G416 = 0, "", F416 / G416)</f>
        <v>0.75</v>
      </c>
      <c r="I416" s="5">
        <f>SUMIFS(CaseCells!F2:F999,CaseCells!C2:C999, C416,CaseCells!D2:D999, D416,CaseCells!E2:E999, "A")</f>
        <v>750</v>
      </c>
      <c r="J416" s="5">
        <f>SUMIFS(CaseCells!G2:G999,CaseCells!C2:C999, C416,CaseCells!D2:D999, D416,CaseCells!E2:E999, "A")</f>
        <v>1000</v>
      </c>
      <c r="K416" s="3">
        <f>IF(J416 = 0, "", I416 / J416)</f>
        <v>0.75</v>
      </c>
      <c r="L416" s="5">
        <f>SUMIFS(CaseCells!F2:F999,CaseCells!C2:C999, C416,CaseCells!D2:D999, D416,CaseCells!E2:E999, "B")</f>
        <v>780</v>
      </c>
      <c r="M416" s="5">
        <f>SUMIFS(CaseCells!G2:G999,CaseCells!C2:C999, C416,CaseCells!D2:D999, D416,CaseCells!E2:E999, "B")</f>
        <v>1000</v>
      </c>
      <c r="N416" s="3">
        <f>IF(M416 = 0, "", L416 / M416)</f>
        <v>0.78</v>
      </c>
      <c r="O416" s="3" t="str">
        <f>IF(K416 &gt; N416, "A", "B")</f>
        <v>B</v>
      </c>
      <c r="P416" s="5">
        <f>SUMIFS(CaseCells!G2:G999,CaseCells!C2:C999, C416)</f>
        <v>4000</v>
      </c>
      <c r="Q416" s="5">
        <f>SUMIFS(CaseCells!G2:G999,CaseCells!C2:C999, C416,CaseCells!D2:D999, D416)</f>
        <v>2000</v>
      </c>
      <c r="R416" s="3">
        <f>IF(P416 = 0, "", Q416 / P416)</f>
        <v>0.5</v>
      </c>
      <c r="S416" s="3">
        <f>IF(R416 = "", "", R416 * H416)</f>
        <v>0.375</v>
      </c>
      <c r="T416" s="5">
        <f>SUMIFS(CaseCells!G2:G999,CaseCells!C2:C999, C416,CaseCells!D2:D999, D416,CaseCells!E2:E999, "A")</f>
        <v>1000</v>
      </c>
      <c r="U416" s="5">
        <f>SUMIFS(CaseCells!G2:G999,CaseCells!C2:C999, C416,CaseCells!D2:D999, D416,CaseCells!E2:E999, "B")</f>
        <v>1000</v>
      </c>
      <c r="V416" s="5">
        <f>SUMIFS(CaseCells!G2:G999,CaseCells!C2:C999, C416,CaseCells!E2:E999, "A")</f>
        <v>2000</v>
      </c>
      <c r="W416" s="5">
        <f>SUMIFS(CaseCells!G2:G999,CaseCells!C2:C999, C416,CaseCells!E2:E999, "B")</f>
        <v>2000</v>
      </c>
      <c r="X416" s="3">
        <f>IF(V416 = 0, "", T416 / V416)</f>
        <v>0.5</v>
      </c>
      <c r="Y416" s="3">
        <f>IF(W416 = 0, "", U416 / W416)</f>
        <v>0.5</v>
      </c>
      <c r="Z416" s="3">
        <f>IF(X416 = "", "", X416 - Y416)</f>
        <v>0</v>
      </c>
      <c r="AA416" s="3">
        <f>IF(K416 = "", "", K416 - N416)</f>
        <v>-0.030000000000000027</v>
      </c>
      <c r="AB416" s="3">
        <f>IF(AA416 = "", "", AA416 * R416)</f>
        <v>-0.015000000000000013</v>
      </c>
    </row>
    <row r="417">
      <c r="A417" s="2" t="s">
        <v>2194</v>
      </c>
      <c r="B417" s="3" t="str">
        <f>A417</f>
        <v>religiosity-happiness-country-high-gdp-countries-B</v>
      </c>
      <c r="C417" s="2" t="s">
        <v>774</v>
      </c>
      <c r="D417" s="2" t="s">
        <v>1756</v>
      </c>
      <c r="E417" s="2" t="s">
        <v>795</v>
      </c>
      <c r="F417" s="5">
        <f>SUMIFS(CaseCells!F2:F999,CaseCells!C2:C999, C417,CaseCells!D2:D999, D417,CaseCells!E2:E999, E417)</f>
        <v>780</v>
      </c>
      <c r="G417" s="5">
        <f>SUMIFS(CaseCells!G2:G999,CaseCells!C2:C999, C417,CaseCells!D2:D999, D417,CaseCells!E2:E999, E417)</f>
        <v>1000</v>
      </c>
      <c r="H417" s="3">
        <f>IF(G417 = 0, "", F417 / G417)</f>
        <v>0.78</v>
      </c>
      <c r="I417" s="5">
        <f>SUMIFS(CaseCells!F2:F999,CaseCells!C2:C999, C417,CaseCells!D2:D999, D417,CaseCells!E2:E999, "A")</f>
        <v>750</v>
      </c>
      <c r="J417" s="5">
        <f>SUMIFS(CaseCells!G2:G999,CaseCells!C2:C999, C417,CaseCells!D2:D999, D417,CaseCells!E2:E999, "A")</f>
        <v>1000</v>
      </c>
      <c r="K417" s="3">
        <f>IF(J417 = 0, "", I417 / J417)</f>
        <v>0.75</v>
      </c>
      <c r="L417" s="5">
        <f>SUMIFS(CaseCells!F2:F999,CaseCells!C2:C999, C417,CaseCells!D2:D999, D417,CaseCells!E2:E999, "B")</f>
        <v>780</v>
      </c>
      <c r="M417" s="5">
        <f>SUMIFS(CaseCells!G2:G999,CaseCells!C2:C999, C417,CaseCells!D2:D999, D417,CaseCells!E2:E999, "B")</f>
        <v>1000</v>
      </c>
      <c r="N417" s="3">
        <f>IF(M417 = 0, "", L417 / M417)</f>
        <v>0.78</v>
      </c>
      <c r="O417" s="3" t="str">
        <f>IF(K417 &gt; N417, "A", "B")</f>
        <v>B</v>
      </c>
      <c r="P417" s="5">
        <f>SUMIFS(CaseCells!G2:G999,CaseCells!C2:C999, C417)</f>
        <v>4000</v>
      </c>
      <c r="Q417" s="5">
        <f>SUMIFS(CaseCells!G2:G999,CaseCells!C2:C999, C417,CaseCells!D2:D999, D417)</f>
        <v>2000</v>
      </c>
      <c r="R417" s="3">
        <f>IF(P417 = 0, "", Q417 / P417)</f>
        <v>0.5</v>
      </c>
      <c r="S417" s="3">
        <f>IF(R417 = "", "", R417 * H417)</f>
        <v>0.39</v>
      </c>
      <c r="T417" s="5">
        <f>SUMIFS(CaseCells!G2:G999,CaseCells!C2:C999, C417,CaseCells!D2:D999, D417,CaseCells!E2:E999, "A")</f>
        <v>1000</v>
      </c>
      <c r="U417" s="5">
        <f>SUMIFS(CaseCells!G2:G999,CaseCells!C2:C999, C417,CaseCells!D2:D999, D417,CaseCells!E2:E999, "B")</f>
        <v>1000</v>
      </c>
      <c r="V417" s="5">
        <f>SUMIFS(CaseCells!G2:G999,CaseCells!C2:C999, C417,CaseCells!E2:E999, "A")</f>
        <v>2000</v>
      </c>
      <c r="W417" s="5">
        <f>SUMIFS(CaseCells!G2:G999,CaseCells!C2:C999, C417,CaseCells!E2:E999, "B")</f>
        <v>2000</v>
      </c>
      <c r="X417" s="3">
        <f>IF(V417 = 0, "", T417 / V417)</f>
        <v>0.5</v>
      </c>
      <c r="Y417" s="3">
        <f>IF(W417 = 0, "", U417 / W417)</f>
        <v>0.5</v>
      </c>
      <c r="Z417" s="3">
        <f>IF(X417 = "", "", X417 - Y417)</f>
        <v>0</v>
      </c>
      <c r="AA417" s="3">
        <f>IF(K417 = "", "", K417 - N417)</f>
        <v>-0.030000000000000027</v>
      </c>
      <c r="AB417" s="3">
        <f>IF(AA417 = "", "", AA417 * R417)</f>
        <v>-0.015000000000000013</v>
      </c>
    </row>
    <row r="418">
      <c r="A418" s="2" t="s">
        <v>2195</v>
      </c>
      <c r="B418" s="3" t="str">
        <f>A418</f>
        <v>religiosity-happiness-country-lower-gdp-countries-A</v>
      </c>
      <c r="C418" s="2" t="s">
        <v>774</v>
      </c>
      <c r="D418" s="2" t="s">
        <v>1759</v>
      </c>
      <c r="E418" s="2" t="s">
        <v>792</v>
      </c>
      <c r="F418" s="5">
        <f>SUMIFS(CaseCells!F2:F999,CaseCells!C2:C999, C418,CaseCells!D2:D999, D418,CaseCells!E2:E999, E418)</f>
        <v>620</v>
      </c>
      <c r="G418" s="5">
        <f>SUMIFS(CaseCells!G2:G999,CaseCells!C2:C999, C418,CaseCells!D2:D999, D418,CaseCells!E2:E999, E418)</f>
        <v>1000</v>
      </c>
      <c r="H418" s="3">
        <f>IF(G418 = 0, "", F418 / G418)</f>
        <v>0.62</v>
      </c>
      <c r="I418" s="5">
        <f>SUMIFS(CaseCells!F2:F999,CaseCells!C2:C999, C418,CaseCells!D2:D999, D418,CaseCells!E2:E999, "A")</f>
        <v>620</v>
      </c>
      <c r="J418" s="5">
        <f>SUMIFS(CaseCells!G2:G999,CaseCells!C2:C999, C418,CaseCells!D2:D999, D418,CaseCells!E2:E999, "A")</f>
        <v>1000</v>
      </c>
      <c r="K418" s="3">
        <f>IF(J418 = 0, "", I418 / J418)</f>
        <v>0.62</v>
      </c>
      <c r="L418" s="5">
        <f>SUMIFS(CaseCells!F2:F999,CaseCells!C2:C999, C418,CaseCells!D2:D999, D418,CaseCells!E2:E999, "B")</f>
        <v>580</v>
      </c>
      <c r="M418" s="5">
        <f>SUMIFS(CaseCells!G2:G999,CaseCells!C2:C999, C418,CaseCells!D2:D999, D418,CaseCells!E2:E999, "B")</f>
        <v>1000</v>
      </c>
      <c r="N418" s="3">
        <f>IF(M418 = 0, "", L418 / M418)</f>
        <v>0.58</v>
      </c>
      <c r="O418" s="3" t="str">
        <f>IF(K418 &gt; N418, "A", "B")</f>
        <v>A</v>
      </c>
      <c r="P418" s="5">
        <f>SUMIFS(CaseCells!G2:G999,CaseCells!C2:C999, C418)</f>
        <v>4000</v>
      </c>
      <c r="Q418" s="5">
        <f>SUMIFS(CaseCells!G2:G999,CaseCells!C2:C999, C418,CaseCells!D2:D999, D418)</f>
        <v>2000</v>
      </c>
      <c r="R418" s="3">
        <f>IF(P418 = 0, "", Q418 / P418)</f>
        <v>0.5</v>
      </c>
      <c r="S418" s="3">
        <f>IF(R418 = "", "", R418 * H418)</f>
        <v>0.31</v>
      </c>
      <c r="T418" s="5">
        <f>SUMIFS(CaseCells!G2:G999,CaseCells!C2:C999, C418,CaseCells!D2:D999, D418,CaseCells!E2:E999, "A")</f>
        <v>1000</v>
      </c>
      <c r="U418" s="5">
        <f>SUMIFS(CaseCells!G2:G999,CaseCells!C2:C999, C418,CaseCells!D2:D999, D418,CaseCells!E2:E999, "B")</f>
        <v>1000</v>
      </c>
      <c r="V418" s="5">
        <f>SUMIFS(CaseCells!G2:G999,CaseCells!C2:C999, C418,CaseCells!E2:E999, "A")</f>
        <v>2000</v>
      </c>
      <c r="W418" s="5">
        <f>SUMIFS(CaseCells!G2:G999,CaseCells!C2:C999, C418,CaseCells!E2:E999, "B")</f>
        <v>2000</v>
      </c>
      <c r="X418" s="3">
        <f>IF(V418 = 0, "", T418 / V418)</f>
        <v>0.5</v>
      </c>
      <c r="Y418" s="3">
        <f>IF(W418 = 0, "", U418 / W418)</f>
        <v>0.5</v>
      </c>
      <c r="Z418" s="3">
        <f>IF(X418 = "", "", X418 - Y418)</f>
        <v>0</v>
      </c>
      <c r="AA418" s="3">
        <f>IF(K418 = "", "", K418 - N418)</f>
        <v>0.040000000000000036</v>
      </c>
      <c r="AB418" s="3">
        <f>IF(AA418 = "", "", AA418 * R418)</f>
        <v>0.020000000000000018</v>
      </c>
    </row>
    <row r="419">
      <c r="A419" s="2" t="s">
        <v>2196</v>
      </c>
      <c r="B419" s="3" t="str">
        <f>A419</f>
        <v>religiosity-happiness-country-lower-gdp-countries-B</v>
      </c>
      <c r="C419" s="2" t="s">
        <v>774</v>
      </c>
      <c r="D419" s="2" t="s">
        <v>1759</v>
      </c>
      <c r="E419" s="2" t="s">
        <v>795</v>
      </c>
      <c r="F419" s="5">
        <f>SUMIFS(CaseCells!F2:F999,CaseCells!C2:C999, C419,CaseCells!D2:D999, D419,CaseCells!E2:E999, E419)</f>
        <v>580</v>
      </c>
      <c r="G419" s="5">
        <f>SUMIFS(CaseCells!G2:G999,CaseCells!C2:C999, C419,CaseCells!D2:D999, D419,CaseCells!E2:E999, E419)</f>
        <v>1000</v>
      </c>
      <c r="H419" s="3">
        <f>IF(G419 = 0, "", F419 / G419)</f>
        <v>0.58</v>
      </c>
      <c r="I419" s="5">
        <f>SUMIFS(CaseCells!F2:F999,CaseCells!C2:C999, C419,CaseCells!D2:D999, D419,CaseCells!E2:E999, "A")</f>
        <v>620</v>
      </c>
      <c r="J419" s="5">
        <f>SUMIFS(CaseCells!G2:G999,CaseCells!C2:C999, C419,CaseCells!D2:D999, D419,CaseCells!E2:E999, "A")</f>
        <v>1000</v>
      </c>
      <c r="K419" s="3">
        <f>IF(J419 = 0, "", I419 / J419)</f>
        <v>0.62</v>
      </c>
      <c r="L419" s="5">
        <f>SUMIFS(CaseCells!F2:F999,CaseCells!C2:C999, C419,CaseCells!D2:D999, D419,CaseCells!E2:E999, "B")</f>
        <v>580</v>
      </c>
      <c r="M419" s="5">
        <f>SUMIFS(CaseCells!G2:G999,CaseCells!C2:C999, C419,CaseCells!D2:D999, D419,CaseCells!E2:E999, "B")</f>
        <v>1000</v>
      </c>
      <c r="N419" s="3">
        <f>IF(M419 = 0, "", L419 / M419)</f>
        <v>0.58</v>
      </c>
      <c r="O419" s="3" t="str">
        <f>IF(K419 &gt; N419, "A", "B")</f>
        <v>A</v>
      </c>
      <c r="P419" s="5">
        <f>SUMIFS(CaseCells!G2:G999,CaseCells!C2:C999, C419)</f>
        <v>4000</v>
      </c>
      <c r="Q419" s="5">
        <f>SUMIFS(CaseCells!G2:G999,CaseCells!C2:C999, C419,CaseCells!D2:D999, D419)</f>
        <v>2000</v>
      </c>
      <c r="R419" s="3">
        <f>IF(P419 = 0, "", Q419 / P419)</f>
        <v>0.5</v>
      </c>
      <c r="S419" s="3">
        <f>IF(R419 = "", "", R419 * H419)</f>
        <v>0.29</v>
      </c>
      <c r="T419" s="5">
        <f>SUMIFS(CaseCells!G2:G999,CaseCells!C2:C999, C419,CaseCells!D2:D999, D419,CaseCells!E2:E999, "A")</f>
        <v>1000</v>
      </c>
      <c r="U419" s="5">
        <f>SUMIFS(CaseCells!G2:G999,CaseCells!C2:C999, C419,CaseCells!D2:D999, D419,CaseCells!E2:E999, "B")</f>
        <v>1000</v>
      </c>
      <c r="V419" s="5">
        <f>SUMIFS(CaseCells!G2:G999,CaseCells!C2:C999, C419,CaseCells!E2:E999, "A")</f>
        <v>2000</v>
      </c>
      <c r="W419" s="5">
        <f>SUMIFS(CaseCells!G2:G999,CaseCells!C2:C999, C419,CaseCells!E2:E999, "B")</f>
        <v>2000</v>
      </c>
      <c r="X419" s="3">
        <f>IF(V419 = 0, "", T419 / V419)</f>
        <v>0.5</v>
      </c>
      <c r="Y419" s="3">
        <f>IF(W419 = 0, "", U419 / W419)</f>
        <v>0.5</v>
      </c>
      <c r="Z419" s="3">
        <f>IF(X419 = "", "", X419 - Y419)</f>
        <v>0</v>
      </c>
      <c r="AA419" s="3">
        <f>IF(K419 = "", "", K419 - N419)</f>
        <v>0.040000000000000036</v>
      </c>
      <c r="AB419" s="3">
        <f>IF(AA419 = "", "", AA419 * R419)</f>
        <v>0.020000000000000018</v>
      </c>
    </row>
    <row r="420">
      <c r="A420" s="2" t="s">
        <v>2197</v>
      </c>
      <c r="B420" s="3" t="str">
        <f>A420</f>
        <v>voter-turnout-education-state-high-education-states-A</v>
      </c>
      <c r="C420" s="2" t="s">
        <v>778</v>
      </c>
      <c r="D420" s="2" t="s">
        <v>1389</v>
      </c>
      <c r="E420" s="2" t="s">
        <v>792</v>
      </c>
      <c r="F420" s="5">
        <f>SUMIFS(CaseCells!F2:F999,CaseCells!C2:C999, C420,CaseCells!D2:D999, D420,CaseCells!E2:E999, E420)</f>
        <v>780</v>
      </c>
      <c r="G420" s="5">
        <f>SUMIFS(CaseCells!G2:G999,CaseCells!C2:C999, C420,CaseCells!D2:D999, D420,CaseCells!E2:E999, E420)</f>
        <v>1000</v>
      </c>
      <c r="H420" s="3">
        <f>IF(G420 = 0, "", F420 / G420)</f>
        <v>0.78</v>
      </c>
      <c r="I420" s="5">
        <f>SUMIFS(CaseCells!F2:F999,CaseCells!C2:C999, C420,CaseCells!D2:D999, D420,CaseCells!E2:E999, "A")</f>
        <v>780</v>
      </c>
      <c r="J420" s="5">
        <f>SUMIFS(CaseCells!G2:G999,CaseCells!C2:C999, C420,CaseCells!D2:D999, D420,CaseCells!E2:E999, "A")</f>
        <v>1000</v>
      </c>
      <c r="K420" s="3">
        <f>IF(J420 = 0, "", I420 / J420)</f>
        <v>0.78</v>
      </c>
      <c r="L420" s="5">
        <f>SUMIFS(CaseCells!F2:F999,CaseCells!C2:C999, C420,CaseCells!D2:D999, D420,CaseCells!E2:E999, "B")</f>
        <v>520</v>
      </c>
      <c r="M420" s="5">
        <f>SUMIFS(CaseCells!G2:G999,CaseCells!C2:C999, C420,CaseCells!D2:D999, D420,CaseCells!E2:E999, "B")</f>
        <v>1000</v>
      </c>
      <c r="N420" s="3">
        <f>IF(M420 = 0, "", L420 / M420)</f>
        <v>0.52</v>
      </c>
      <c r="O420" s="3" t="str">
        <f>IF(K420 &gt; N420, "A", "B")</f>
        <v>A</v>
      </c>
      <c r="P420" s="5">
        <f>SUMIFS(CaseCells!G2:G999,CaseCells!C2:C999, C420)</f>
        <v>4000</v>
      </c>
      <c r="Q420" s="5">
        <f>SUMIFS(CaseCells!G2:G999,CaseCells!C2:C999, C420,CaseCells!D2:D999, D420)</f>
        <v>2000</v>
      </c>
      <c r="R420" s="3">
        <f>IF(P420 = 0, "", Q420 / P420)</f>
        <v>0.5</v>
      </c>
      <c r="S420" s="3">
        <f>IF(R420 = "", "", R420 * H420)</f>
        <v>0.39</v>
      </c>
      <c r="T420" s="5">
        <f>SUMIFS(CaseCells!G2:G999,CaseCells!C2:C999, C420,CaseCells!D2:D999, D420,CaseCells!E2:E999, "A")</f>
        <v>1000</v>
      </c>
      <c r="U420" s="5">
        <f>SUMIFS(CaseCells!G2:G999,CaseCells!C2:C999, C420,CaseCells!D2:D999, D420,CaseCells!E2:E999, "B")</f>
        <v>1000</v>
      </c>
      <c r="V420" s="5">
        <f>SUMIFS(CaseCells!G2:G999,CaseCells!C2:C999, C420,CaseCells!E2:E999, "A")</f>
        <v>2000</v>
      </c>
      <c r="W420" s="5">
        <f>SUMIFS(CaseCells!G2:G999,CaseCells!C2:C999, C420,CaseCells!E2:E999, "B")</f>
        <v>2000</v>
      </c>
      <c r="X420" s="3">
        <f>IF(V420 = 0, "", T420 / V420)</f>
        <v>0.5</v>
      </c>
      <c r="Y420" s="3">
        <f>IF(W420 = 0, "", U420 / W420)</f>
        <v>0.5</v>
      </c>
      <c r="Z420" s="3">
        <f>IF(X420 = "", "", X420 - Y420)</f>
        <v>0</v>
      </c>
      <c r="AA420" s="3">
        <f>IF(K420 = "", "", K420 - N420)</f>
        <v>0.26</v>
      </c>
      <c r="AB420" s="3">
        <f>IF(AA420 = "", "", AA420 * R420)</f>
        <v>0.13</v>
      </c>
    </row>
    <row r="421">
      <c r="A421" s="2" t="s">
        <v>2198</v>
      </c>
      <c r="B421" s="3" t="str">
        <f>A421</f>
        <v>voter-turnout-education-state-high-education-states-B</v>
      </c>
      <c r="C421" s="2" t="s">
        <v>778</v>
      </c>
      <c r="D421" s="2" t="s">
        <v>1389</v>
      </c>
      <c r="E421" s="2" t="s">
        <v>795</v>
      </c>
      <c r="F421" s="5">
        <f>SUMIFS(CaseCells!F2:F999,CaseCells!C2:C999, C421,CaseCells!D2:D999, D421,CaseCells!E2:E999, E421)</f>
        <v>520</v>
      </c>
      <c r="G421" s="5">
        <f>SUMIFS(CaseCells!G2:G999,CaseCells!C2:C999, C421,CaseCells!D2:D999, D421,CaseCells!E2:E999, E421)</f>
        <v>1000</v>
      </c>
      <c r="H421" s="3">
        <f>IF(G421 = 0, "", F421 / G421)</f>
        <v>0.52</v>
      </c>
      <c r="I421" s="5">
        <f>SUMIFS(CaseCells!F2:F999,CaseCells!C2:C999, C421,CaseCells!D2:D999, D421,CaseCells!E2:E999, "A")</f>
        <v>780</v>
      </c>
      <c r="J421" s="5">
        <f>SUMIFS(CaseCells!G2:G999,CaseCells!C2:C999, C421,CaseCells!D2:D999, D421,CaseCells!E2:E999, "A")</f>
        <v>1000</v>
      </c>
      <c r="K421" s="3">
        <f>IF(J421 = 0, "", I421 / J421)</f>
        <v>0.78</v>
      </c>
      <c r="L421" s="5">
        <f>SUMIFS(CaseCells!F2:F999,CaseCells!C2:C999, C421,CaseCells!D2:D999, D421,CaseCells!E2:E999, "B")</f>
        <v>520</v>
      </c>
      <c r="M421" s="5">
        <f>SUMIFS(CaseCells!G2:G999,CaseCells!C2:C999, C421,CaseCells!D2:D999, D421,CaseCells!E2:E999, "B")</f>
        <v>1000</v>
      </c>
      <c r="N421" s="3">
        <f>IF(M421 = 0, "", L421 / M421)</f>
        <v>0.52</v>
      </c>
      <c r="O421" s="3" t="str">
        <f>IF(K421 &gt; N421, "A", "B")</f>
        <v>A</v>
      </c>
      <c r="P421" s="5">
        <f>SUMIFS(CaseCells!G2:G999,CaseCells!C2:C999, C421)</f>
        <v>4000</v>
      </c>
      <c r="Q421" s="5">
        <f>SUMIFS(CaseCells!G2:G999,CaseCells!C2:C999, C421,CaseCells!D2:D999, D421)</f>
        <v>2000</v>
      </c>
      <c r="R421" s="3">
        <f>IF(P421 = 0, "", Q421 / P421)</f>
        <v>0.5</v>
      </c>
      <c r="S421" s="3">
        <f>IF(R421 = "", "", R421 * H421)</f>
        <v>0.26</v>
      </c>
      <c r="T421" s="5">
        <f>SUMIFS(CaseCells!G2:G999,CaseCells!C2:C999, C421,CaseCells!D2:D999, D421,CaseCells!E2:E999, "A")</f>
        <v>1000</v>
      </c>
      <c r="U421" s="5">
        <f>SUMIFS(CaseCells!G2:G999,CaseCells!C2:C999, C421,CaseCells!D2:D999, D421,CaseCells!E2:E999, "B")</f>
        <v>1000</v>
      </c>
      <c r="V421" s="5">
        <f>SUMIFS(CaseCells!G2:G999,CaseCells!C2:C999, C421,CaseCells!E2:E999, "A")</f>
        <v>2000</v>
      </c>
      <c r="W421" s="5">
        <f>SUMIFS(CaseCells!G2:G999,CaseCells!C2:C999, C421,CaseCells!E2:E999, "B")</f>
        <v>2000</v>
      </c>
      <c r="X421" s="3">
        <f>IF(V421 = 0, "", T421 / V421)</f>
        <v>0.5</v>
      </c>
      <c r="Y421" s="3">
        <f>IF(W421 = 0, "", U421 / W421)</f>
        <v>0.5</v>
      </c>
      <c r="Z421" s="3">
        <f>IF(X421 = "", "", X421 - Y421)</f>
        <v>0</v>
      </c>
      <c r="AA421" s="3">
        <f>IF(K421 = "", "", K421 - N421)</f>
        <v>0.26</v>
      </c>
      <c r="AB421" s="3">
        <f>IF(AA421 = "", "", AA421 * R421)</f>
        <v>0.13</v>
      </c>
    </row>
    <row r="422">
      <c r="A422" s="2" t="s">
        <v>2199</v>
      </c>
      <c r="B422" s="3" t="str">
        <f>A422</f>
        <v>voter-turnout-education-state-lower-education-states-A</v>
      </c>
      <c r="C422" s="2" t="s">
        <v>778</v>
      </c>
      <c r="D422" s="2" t="s">
        <v>1764</v>
      </c>
      <c r="E422" s="2" t="s">
        <v>792</v>
      </c>
      <c r="F422" s="5">
        <f>SUMIFS(CaseCells!F2:F999,CaseCells!C2:C999, C422,CaseCells!D2:D999, D422,CaseCells!E2:E999, E422)</f>
        <v>650</v>
      </c>
      <c r="G422" s="5">
        <f>SUMIFS(CaseCells!G2:G999,CaseCells!C2:C999, C422,CaseCells!D2:D999, D422,CaseCells!E2:E999, E422)</f>
        <v>1000</v>
      </c>
      <c r="H422" s="3">
        <f>IF(G422 = 0, "", F422 / G422)</f>
        <v>0.65</v>
      </c>
      <c r="I422" s="5">
        <f>SUMIFS(CaseCells!F2:F999,CaseCells!C2:C999, C422,CaseCells!D2:D999, D422,CaseCells!E2:E999, "A")</f>
        <v>650</v>
      </c>
      <c r="J422" s="5">
        <f>SUMIFS(CaseCells!G2:G999,CaseCells!C2:C999, C422,CaseCells!D2:D999, D422,CaseCells!E2:E999, "A")</f>
        <v>1000</v>
      </c>
      <c r="K422" s="3">
        <f>IF(J422 = 0, "", I422 / J422)</f>
        <v>0.65</v>
      </c>
      <c r="L422" s="5">
        <f>SUMIFS(CaseCells!F2:F999,CaseCells!C2:C999, C422,CaseCells!D2:D999, D422,CaseCells!E2:E999, "B")</f>
        <v>480</v>
      </c>
      <c r="M422" s="5">
        <f>SUMIFS(CaseCells!G2:G999,CaseCells!C2:C999, C422,CaseCells!D2:D999, D422,CaseCells!E2:E999, "B")</f>
        <v>1000</v>
      </c>
      <c r="N422" s="3">
        <f>IF(M422 = 0, "", L422 / M422)</f>
        <v>0.48</v>
      </c>
      <c r="O422" s="3" t="str">
        <f>IF(K422 &gt; N422, "A", "B")</f>
        <v>A</v>
      </c>
      <c r="P422" s="5">
        <f>SUMIFS(CaseCells!G2:G999,CaseCells!C2:C999, C422)</f>
        <v>4000</v>
      </c>
      <c r="Q422" s="5">
        <f>SUMIFS(CaseCells!G2:G999,CaseCells!C2:C999, C422,CaseCells!D2:D999, D422)</f>
        <v>2000</v>
      </c>
      <c r="R422" s="3">
        <f>IF(P422 = 0, "", Q422 / P422)</f>
        <v>0.5</v>
      </c>
      <c r="S422" s="3">
        <f>IF(R422 = "", "", R422 * H422)</f>
        <v>0.325</v>
      </c>
      <c r="T422" s="5">
        <f>SUMIFS(CaseCells!G2:G999,CaseCells!C2:C999, C422,CaseCells!D2:D999, D422,CaseCells!E2:E999, "A")</f>
        <v>1000</v>
      </c>
      <c r="U422" s="5">
        <f>SUMIFS(CaseCells!G2:G999,CaseCells!C2:C999, C422,CaseCells!D2:D999, D422,CaseCells!E2:E999, "B")</f>
        <v>1000</v>
      </c>
      <c r="V422" s="5">
        <f>SUMIFS(CaseCells!G2:G999,CaseCells!C2:C999, C422,CaseCells!E2:E999, "A")</f>
        <v>2000</v>
      </c>
      <c r="W422" s="5">
        <f>SUMIFS(CaseCells!G2:G999,CaseCells!C2:C999, C422,CaseCells!E2:E999, "B")</f>
        <v>2000</v>
      </c>
      <c r="X422" s="3">
        <f>IF(V422 = 0, "", T422 / V422)</f>
        <v>0.5</v>
      </c>
      <c r="Y422" s="3">
        <f>IF(W422 = 0, "", U422 / W422)</f>
        <v>0.5</v>
      </c>
      <c r="Z422" s="3">
        <f>IF(X422 = "", "", X422 - Y422)</f>
        <v>0</v>
      </c>
      <c r="AA422" s="3">
        <f>IF(K422 = "", "", K422 - N422)</f>
        <v>0.17000000000000004</v>
      </c>
      <c r="AB422" s="3">
        <f>IF(AA422 = "", "", AA422 * R422)</f>
        <v>0.08500000000000002</v>
      </c>
    </row>
    <row r="423">
      <c r="A423" s="2" t="s">
        <v>2200</v>
      </c>
      <c r="B423" s="3" t="str">
        <f>A423</f>
        <v>voter-turnout-education-state-lower-education-states-B</v>
      </c>
      <c r="C423" s="2" t="s">
        <v>778</v>
      </c>
      <c r="D423" s="2" t="s">
        <v>1764</v>
      </c>
      <c r="E423" s="2" t="s">
        <v>795</v>
      </c>
      <c r="F423" s="5">
        <f>SUMIFS(CaseCells!F2:F999,CaseCells!C2:C999, C423,CaseCells!D2:D999, D423,CaseCells!E2:E999, E423)</f>
        <v>480</v>
      </c>
      <c r="G423" s="5">
        <f>SUMIFS(CaseCells!G2:G999,CaseCells!C2:C999, C423,CaseCells!D2:D999, D423,CaseCells!E2:E999, E423)</f>
        <v>1000</v>
      </c>
      <c r="H423" s="3">
        <f>IF(G423 = 0, "", F423 / G423)</f>
        <v>0.48</v>
      </c>
      <c r="I423" s="5">
        <f>SUMIFS(CaseCells!F2:F999,CaseCells!C2:C999, C423,CaseCells!D2:D999, D423,CaseCells!E2:E999, "A")</f>
        <v>650</v>
      </c>
      <c r="J423" s="5">
        <f>SUMIFS(CaseCells!G2:G999,CaseCells!C2:C999, C423,CaseCells!D2:D999, D423,CaseCells!E2:E999, "A")</f>
        <v>1000</v>
      </c>
      <c r="K423" s="3">
        <f>IF(J423 = 0, "", I423 / J423)</f>
        <v>0.65</v>
      </c>
      <c r="L423" s="5">
        <f>SUMIFS(CaseCells!F2:F999,CaseCells!C2:C999, C423,CaseCells!D2:D999, D423,CaseCells!E2:E999, "B")</f>
        <v>480</v>
      </c>
      <c r="M423" s="5">
        <f>SUMIFS(CaseCells!G2:G999,CaseCells!C2:C999, C423,CaseCells!D2:D999, D423,CaseCells!E2:E999, "B")</f>
        <v>1000</v>
      </c>
      <c r="N423" s="3">
        <f>IF(M423 = 0, "", L423 / M423)</f>
        <v>0.48</v>
      </c>
      <c r="O423" s="3" t="str">
        <f>IF(K423 &gt; N423, "A", "B")</f>
        <v>A</v>
      </c>
      <c r="P423" s="5">
        <f>SUMIFS(CaseCells!G2:G999,CaseCells!C2:C999, C423)</f>
        <v>4000</v>
      </c>
      <c r="Q423" s="5">
        <f>SUMIFS(CaseCells!G2:G999,CaseCells!C2:C999, C423,CaseCells!D2:D999, D423)</f>
        <v>2000</v>
      </c>
      <c r="R423" s="3">
        <f>IF(P423 = 0, "", Q423 / P423)</f>
        <v>0.5</v>
      </c>
      <c r="S423" s="3">
        <f>IF(R423 = "", "", R423 * H423)</f>
        <v>0.24</v>
      </c>
      <c r="T423" s="5">
        <f>SUMIFS(CaseCells!G2:G999,CaseCells!C2:C999, C423,CaseCells!D2:D999, D423,CaseCells!E2:E999, "A")</f>
        <v>1000</v>
      </c>
      <c r="U423" s="5">
        <f>SUMIFS(CaseCells!G2:G999,CaseCells!C2:C999, C423,CaseCells!D2:D999, D423,CaseCells!E2:E999, "B")</f>
        <v>1000</v>
      </c>
      <c r="V423" s="5">
        <f>SUMIFS(CaseCells!G2:G999,CaseCells!C2:C999, C423,CaseCells!E2:E999, "A")</f>
        <v>2000</v>
      </c>
      <c r="W423" s="5">
        <f>SUMIFS(CaseCells!G2:G999,CaseCells!C2:C999, C423,CaseCells!E2:E999, "B")</f>
        <v>2000</v>
      </c>
      <c r="X423" s="3">
        <f>IF(V423 = 0, "", T423 / V423)</f>
        <v>0.5</v>
      </c>
      <c r="Y423" s="3">
        <f>IF(W423 = 0, "", U423 / W423)</f>
        <v>0.5</v>
      </c>
      <c r="Z423" s="3">
        <f>IF(X423 = "", "", X423 - Y423)</f>
        <v>0</v>
      </c>
      <c r="AA423" s="3">
        <f>IF(K423 = "", "", K423 - N423)</f>
        <v>0.17000000000000004</v>
      </c>
      <c r="AB423" s="3">
        <f>IF(AA423 = "", "", AA423 * R423)</f>
        <v>0.08500000000000002</v>
      </c>
    </row>
    <row r="424">
      <c r="A424" s="2" t="s">
        <v>2201</v>
      </c>
      <c r="B424" s="3" t="str">
        <f>A424</f>
        <v>ad-ctr-platform-mix-mobile-traffic-A</v>
      </c>
      <c r="C424" s="2" t="s">
        <v>782</v>
      </c>
      <c r="D424" s="2" t="s">
        <v>1767</v>
      </c>
      <c r="E424" s="2" t="s">
        <v>792</v>
      </c>
      <c r="F424" s="5">
        <f>SUMIFS(CaseCells!F2:F999,CaseCells!C2:C999, C424,CaseCells!D2:D999, D424,CaseCells!E2:E999, E424)</f>
        <v>80</v>
      </c>
      <c r="G424" s="5">
        <f>SUMIFS(CaseCells!G2:G999,CaseCells!C2:C999, C424,CaseCells!D2:D999, D424,CaseCells!E2:E999, E424)</f>
        <v>1000</v>
      </c>
      <c r="H424" s="3">
        <f>IF(G424 = 0, "", F424 / G424)</f>
        <v>0.08</v>
      </c>
      <c r="I424" s="5">
        <f>SUMIFS(CaseCells!F2:F999,CaseCells!C2:C999, C424,CaseCells!D2:D999, D424,CaseCells!E2:E999, "A")</f>
        <v>80</v>
      </c>
      <c r="J424" s="5">
        <f>SUMIFS(CaseCells!G2:G999,CaseCells!C2:C999, C424,CaseCells!D2:D999, D424,CaseCells!E2:E999, "A")</f>
        <v>1000</v>
      </c>
      <c r="K424" s="3">
        <f>IF(J424 = 0, "", I424 / J424)</f>
        <v>0.08</v>
      </c>
      <c r="L424" s="5">
        <f>SUMIFS(CaseCells!F2:F999,CaseCells!C2:C999, C424,CaseCells!D2:D999, D424,CaseCells!E2:E999, "B")</f>
        <v>75</v>
      </c>
      <c r="M424" s="5">
        <f>SUMIFS(CaseCells!G2:G999,CaseCells!C2:C999, C424,CaseCells!D2:D999, D424,CaseCells!E2:E999, "B")</f>
        <v>1000</v>
      </c>
      <c r="N424" s="3">
        <f>IF(M424 = 0, "", L424 / M424)</f>
        <v>0.075</v>
      </c>
      <c r="O424" s="3" t="str">
        <f>IF(K424 &gt; N424, "A", "B")</f>
        <v>A</v>
      </c>
      <c r="P424" s="5">
        <f>SUMIFS(CaseCells!G2:G999,CaseCells!C2:C999, C424)</f>
        <v>4000</v>
      </c>
      <c r="Q424" s="5">
        <f>SUMIFS(CaseCells!G2:G999,CaseCells!C2:C999, C424,CaseCells!D2:D999, D424)</f>
        <v>2000</v>
      </c>
      <c r="R424" s="3">
        <f>IF(P424 = 0, "", Q424 / P424)</f>
        <v>0.5</v>
      </c>
      <c r="S424" s="3">
        <f>IF(R424 = "", "", R424 * H424)</f>
        <v>0.04</v>
      </c>
      <c r="T424" s="5">
        <f>SUMIFS(CaseCells!G2:G999,CaseCells!C2:C999, C424,CaseCells!D2:D999, D424,CaseCells!E2:E999, "A")</f>
        <v>1000</v>
      </c>
      <c r="U424" s="5">
        <f>SUMIFS(CaseCells!G2:G999,CaseCells!C2:C999, C424,CaseCells!D2:D999, D424,CaseCells!E2:E999, "B")</f>
        <v>1000</v>
      </c>
      <c r="V424" s="5">
        <f>SUMIFS(CaseCells!G2:G999,CaseCells!C2:C999, C424,CaseCells!E2:E999, "A")</f>
        <v>2000</v>
      </c>
      <c r="W424" s="5">
        <f>SUMIFS(CaseCells!G2:G999,CaseCells!C2:C999, C424,CaseCells!E2:E999, "B")</f>
        <v>2000</v>
      </c>
      <c r="X424" s="3">
        <f>IF(V424 = 0, "", T424 / V424)</f>
        <v>0.5</v>
      </c>
      <c r="Y424" s="3">
        <f>IF(W424 = 0, "", U424 / W424)</f>
        <v>0.5</v>
      </c>
      <c r="Z424" s="3">
        <f>IF(X424 = "", "", X424 - Y424)</f>
        <v>0</v>
      </c>
      <c r="AA424" s="3">
        <f>IF(K424 = "", "", K424 - N424)</f>
        <v>0.0050000000000000044</v>
      </c>
      <c r="AB424" s="3">
        <f>IF(AA424 = "", "", AA424 * R424)</f>
        <v>0.0025000000000000022</v>
      </c>
    </row>
    <row r="425">
      <c r="A425" s="2" t="s">
        <v>2202</v>
      </c>
      <c r="B425" s="3" t="str">
        <f>A425</f>
        <v>ad-ctr-platform-mix-mobile-traffic-B</v>
      </c>
      <c r="C425" s="2" t="s">
        <v>782</v>
      </c>
      <c r="D425" s="2" t="s">
        <v>1767</v>
      </c>
      <c r="E425" s="2" t="s">
        <v>795</v>
      </c>
      <c r="F425" s="5">
        <f>SUMIFS(CaseCells!F2:F999,CaseCells!C2:C999, C425,CaseCells!D2:D999, D425,CaseCells!E2:E999, E425)</f>
        <v>75</v>
      </c>
      <c r="G425" s="5">
        <f>SUMIFS(CaseCells!G2:G999,CaseCells!C2:C999, C425,CaseCells!D2:D999, D425,CaseCells!E2:E999, E425)</f>
        <v>1000</v>
      </c>
      <c r="H425" s="3">
        <f>IF(G425 = 0, "", F425 / G425)</f>
        <v>0.075</v>
      </c>
      <c r="I425" s="5">
        <f>SUMIFS(CaseCells!F2:F999,CaseCells!C2:C999, C425,CaseCells!D2:D999, D425,CaseCells!E2:E999, "A")</f>
        <v>80</v>
      </c>
      <c r="J425" s="5">
        <f>SUMIFS(CaseCells!G2:G999,CaseCells!C2:C999, C425,CaseCells!D2:D999, D425,CaseCells!E2:E999, "A")</f>
        <v>1000</v>
      </c>
      <c r="K425" s="3">
        <f>IF(J425 = 0, "", I425 / J425)</f>
        <v>0.08</v>
      </c>
      <c r="L425" s="5">
        <f>SUMIFS(CaseCells!F2:F999,CaseCells!C2:C999, C425,CaseCells!D2:D999, D425,CaseCells!E2:E999, "B")</f>
        <v>75</v>
      </c>
      <c r="M425" s="5">
        <f>SUMIFS(CaseCells!G2:G999,CaseCells!C2:C999, C425,CaseCells!D2:D999, D425,CaseCells!E2:E999, "B")</f>
        <v>1000</v>
      </c>
      <c r="N425" s="3">
        <f>IF(M425 = 0, "", L425 / M425)</f>
        <v>0.075</v>
      </c>
      <c r="O425" s="3" t="str">
        <f>IF(K425 &gt; N425, "A", "B")</f>
        <v>A</v>
      </c>
      <c r="P425" s="5">
        <f>SUMIFS(CaseCells!G2:G999,CaseCells!C2:C999, C425)</f>
        <v>4000</v>
      </c>
      <c r="Q425" s="5">
        <f>SUMIFS(CaseCells!G2:G999,CaseCells!C2:C999, C425,CaseCells!D2:D999, D425)</f>
        <v>2000</v>
      </c>
      <c r="R425" s="3">
        <f>IF(P425 = 0, "", Q425 / P425)</f>
        <v>0.5</v>
      </c>
      <c r="S425" s="3">
        <f>IF(R425 = "", "", R425 * H425)</f>
        <v>0.0375</v>
      </c>
      <c r="T425" s="5">
        <f>SUMIFS(CaseCells!G2:G999,CaseCells!C2:C999, C425,CaseCells!D2:D999, D425,CaseCells!E2:E999, "A")</f>
        <v>1000</v>
      </c>
      <c r="U425" s="5">
        <f>SUMIFS(CaseCells!G2:G999,CaseCells!C2:C999, C425,CaseCells!D2:D999, D425,CaseCells!E2:E999, "B")</f>
        <v>1000</v>
      </c>
      <c r="V425" s="5">
        <f>SUMIFS(CaseCells!G2:G999,CaseCells!C2:C999, C425,CaseCells!E2:E999, "A")</f>
        <v>2000</v>
      </c>
      <c r="W425" s="5">
        <f>SUMIFS(CaseCells!G2:G999,CaseCells!C2:C999, C425,CaseCells!E2:E999, "B")</f>
        <v>2000</v>
      </c>
      <c r="X425" s="3">
        <f>IF(V425 = 0, "", T425 / V425)</f>
        <v>0.5</v>
      </c>
      <c r="Y425" s="3">
        <f>IF(W425 = 0, "", U425 / W425)</f>
        <v>0.5</v>
      </c>
      <c r="Z425" s="3">
        <f>IF(X425 = "", "", X425 - Y425)</f>
        <v>0</v>
      </c>
      <c r="AA425" s="3">
        <f>IF(K425 = "", "", K425 - N425)</f>
        <v>0.0050000000000000044</v>
      </c>
      <c r="AB425" s="3">
        <f>IF(AA425 = "", "", AA425 * R425)</f>
        <v>0.0025000000000000022</v>
      </c>
    </row>
    <row r="426">
      <c r="A426" s="2" t="s">
        <v>2203</v>
      </c>
      <c r="B426" s="3" t="str">
        <f>A426</f>
        <v>ad-ctr-platform-mix-desktop-traffic-A</v>
      </c>
      <c r="C426" s="2" t="s">
        <v>782</v>
      </c>
      <c r="D426" s="2" t="s">
        <v>1770</v>
      </c>
      <c r="E426" s="2" t="s">
        <v>792</v>
      </c>
      <c r="F426" s="5">
        <f>SUMIFS(CaseCells!F2:F999,CaseCells!C2:C999, C426,CaseCells!D2:D999, D426,CaseCells!E2:E999, E426)</f>
        <v>45</v>
      </c>
      <c r="G426" s="5">
        <f>SUMIFS(CaseCells!G2:G999,CaseCells!C2:C999, C426,CaseCells!D2:D999, D426,CaseCells!E2:E999, E426)</f>
        <v>1000</v>
      </c>
      <c r="H426" s="3">
        <f>IF(G426 = 0, "", F426 / G426)</f>
        <v>0.045</v>
      </c>
      <c r="I426" s="5">
        <f>SUMIFS(CaseCells!F2:F999,CaseCells!C2:C999, C426,CaseCells!D2:D999, D426,CaseCells!E2:E999, "A")</f>
        <v>45</v>
      </c>
      <c r="J426" s="5">
        <f>SUMIFS(CaseCells!G2:G999,CaseCells!C2:C999, C426,CaseCells!D2:D999, D426,CaseCells!E2:E999, "A")</f>
        <v>1000</v>
      </c>
      <c r="K426" s="3">
        <f>IF(J426 = 0, "", I426 / J426)</f>
        <v>0.045</v>
      </c>
      <c r="L426" s="5">
        <f>SUMIFS(CaseCells!F2:F999,CaseCells!C2:C999, C426,CaseCells!D2:D999, D426,CaseCells!E2:E999, "B")</f>
        <v>50</v>
      </c>
      <c r="M426" s="5">
        <f>SUMIFS(CaseCells!G2:G999,CaseCells!C2:C999, C426,CaseCells!D2:D999, D426,CaseCells!E2:E999, "B")</f>
        <v>1000</v>
      </c>
      <c r="N426" s="3">
        <f>IF(M426 = 0, "", L426 / M426)</f>
        <v>0.05</v>
      </c>
      <c r="O426" s="3" t="str">
        <f>IF(K426 &gt; N426, "A", "B")</f>
        <v>B</v>
      </c>
      <c r="P426" s="5">
        <f>SUMIFS(CaseCells!G2:G999,CaseCells!C2:C999, C426)</f>
        <v>4000</v>
      </c>
      <c r="Q426" s="5">
        <f>SUMIFS(CaseCells!G2:G999,CaseCells!C2:C999, C426,CaseCells!D2:D999, D426)</f>
        <v>2000</v>
      </c>
      <c r="R426" s="3">
        <f>IF(P426 = 0, "", Q426 / P426)</f>
        <v>0.5</v>
      </c>
      <c r="S426" s="3">
        <f>IF(R426 = "", "", R426 * H426)</f>
        <v>0.0225</v>
      </c>
      <c r="T426" s="5">
        <f>SUMIFS(CaseCells!G2:G999,CaseCells!C2:C999, C426,CaseCells!D2:D999, D426,CaseCells!E2:E999, "A")</f>
        <v>1000</v>
      </c>
      <c r="U426" s="5">
        <f>SUMIFS(CaseCells!G2:G999,CaseCells!C2:C999, C426,CaseCells!D2:D999, D426,CaseCells!E2:E999, "B")</f>
        <v>1000</v>
      </c>
      <c r="V426" s="5">
        <f>SUMIFS(CaseCells!G2:G999,CaseCells!C2:C999, C426,CaseCells!E2:E999, "A")</f>
        <v>2000</v>
      </c>
      <c r="W426" s="5">
        <f>SUMIFS(CaseCells!G2:G999,CaseCells!C2:C999, C426,CaseCells!E2:E999, "B")</f>
        <v>2000</v>
      </c>
      <c r="X426" s="3">
        <f>IF(V426 = 0, "", T426 / V426)</f>
        <v>0.5</v>
      </c>
      <c r="Y426" s="3">
        <f>IF(W426 = 0, "", U426 / W426)</f>
        <v>0.5</v>
      </c>
      <c r="Z426" s="3">
        <f>IF(X426 = "", "", X426 - Y426)</f>
        <v>0</v>
      </c>
      <c r="AA426" s="3">
        <f>IF(K426 = "", "", K426 - N426)</f>
        <v>-0.0050000000000000044</v>
      </c>
      <c r="AB426" s="3">
        <f>IF(AA426 = "", "", AA426 * R426)</f>
        <v>-0.0025000000000000022</v>
      </c>
    </row>
    <row r="427">
      <c r="A427" s="2" t="s">
        <v>2204</v>
      </c>
      <c r="B427" s="3" t="str">
        <f>A427</f>
        <v>ad-ctr-platform-mix-desktop-traffic-B</v>
      </c>
      <c r="C427" s="2" t="s">
        <v>782</v>
      </c>
      <c r="D427" s="2" t="s">
        <v>1770</v>
      </c>
      <c r="E427" s="2" t="s">
        <v>795</v>
      </c>
      <c r="F427" s="5">
        <f>SUMIFS(CaseCells!F2:F999,CaseCells!C2:C999, C427,CaseCells!D2:D999, D427,CaseCells!E2:E999, E427)</f>
        <v>50</v>
      </c>
      <c r="G427" s="5">
        <f>SUMIFS(CaseCells!G2:G999,CaseCells!C2:C999, C427,CaseCells!D2:D999, D427,CaseCells!E2:E999, E427)</f>
        <v>1000</v>
      </c>
      <c r="H427" s="3">
        <f>IF(G427 = 0, "", F427 / G427)</f>
        <v>0.05</v>
      </c>
      <c r="I427" s="5">
        <f>SUMIFS(CaseCells!F2:F999,CaseCells!C2:C999, C427,CaseCells!D2:D999, D427,CaseCells!E2:E999, "A")</f>
        <v>45</v>
      </c>
      <c r="J427" s="5">
        <f>SUMIFS(CaseCells!G2:G999,CaseCells!C2:C999, C427,CaseCells!D2:D999, D427,CaseCells!E2:E999, "A")</f>
        <v>1000</v>
      </c>
      <c r="K427" s="3">
        <f>IF(J427 = 0, "", I427 / J427)</f>
        <v>0.045</v>
      </c>
      <c r="L427" s="5">
        <f>SUMIFS(CaseCells!F2:F999,CaseCells!C2:C999, C427,CaseCells!D2:D999, D427,CaseCells!E2:E999, "B")</f>
        <v>50</v>
      </c>
      <c r="M427" s="5">
        <f>SUMIFS(CaseCells!G2:G999,CaseCells!C2:C999, C427,CaseCells!D2:D999, D427,CaseCells!E2:E999, "B")</f>
        <v>1000</v>
      </c>
      <c r="N427" s="3">
        <f>IF(M427 = 0, "", L427 / M427)</f>
        <v>0.05</v>
      </c>
      <c r="O427" s="3" t="str">
        <f>IF(K427 &gt; N427, "A", "B")</f>
        <v>B</v>
      </c>
      <c r="P427" s="5">
        <f>SUMIFS(CaseCells!G2:G999,CaseCells!C2:C999, C427)</f>
        <v>4000</v>
      </c>
      <c r="Q427" s="5">
        <f>SUMIFS(CaseCells!G2:G999,CaseCells!C2:C999, C427,CaseCells!D2:D999, D427)</f>
        <v>2000</v>
      </c>
      <c r="R427" s="3">
        <f>IF(P427 = 0, "", Q427 / P427)</f>
        <v>0.5</v>
      </c>
      <c r="S427" s="3">
        <f>IF(R427 = "", "", R427 * H427)</f>
        <v>0.025</v>
      </c>
      <c r="T427" s="5">
        <f>SUMIFS(CaseCells!G2:G999,CaseCells!C2:C999, C427,CaseCells!D2:D999, D427,CaseCells!E2:E999, "A")</f>
        <v>1000</v>
      </c>
      <c r="U427" s="5">
        <f>SUMIFS(CaseCells!G2:G999,CaseCells!C2:C999, C427,CaseCells!D2:D999, D427,CaseCells!E2:E999, "B")</f>
        <v>1000</v>
      </c>
      <c r="V427" s="5">
        <f>SUMIFS(CaseCells!G2:G999,CaseCells!C2:C999, C427,CaseCells!E2:E999, "A")</f>
        <v>2000</v>
      </c>
      <c r="W427" s="5">
        <f>SUMIFS(CaseCells!G2:G999,CaseCells!C2:C999, C427,CaseCells!E2:E999, "B")</f>
        <v>2000</v>
      </c>
      <c r="X427" s="3">
        <f>IF(V427 = 0, "", T427 / V427)</f>
        <v>0.5</v>
      </c>
      <c r="Y427" s="3">
        <f>IF(W427 = 0, "", U427 / W427)</f>
        <v>0.5</v>
      </c>
      <c r="Z427" s="3">
        <f>IF(X427 = "", "", X427 - Y427)</f>
        <v>0</v>
      </c>
      <c r="AA427" s="3">
        <f>IF(K427 = "", "", K427 - N427)</f>
        <v>-0.0050000000000000044</v>
      </c>
      <c r="AB427" s="3">
        <f>IF(AA427 = "", "", AA427 * R427)</f>
        <v>-0.0025000000000000022</v>
      </c>
    </row>
  </sheetData>
  <autoFilter ref="A1:AB1"/>
  <headerFooter/>
  <legacyDrawing r:id="rId1"/>
</worksheet>
</file>

<file path=xl/worksheets/sheet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Y2"/>
  <sheetViews>
    <sheetView workbookViewId="0">
      <pane ySplit="1" topLeftCell="A2" state="frozen" activePane="bottomLeft"/>
      <selection pane="bottomLeft" activeCell="A1" sqref="A1"/>
    </sheetView>
  </sheetViews>
  <sheetFormatPr defaultRowHeight="15"/>
  <cols>
    <col min="1" max="1" width="21.28789710998535" customWidth="1"/>
    <col min="2" max="2" width="21.28789710998535" customWidth="1"/>
    <col min="3" max="3" width="17.443378448486328" customWidth="1"/>
    <col min="4" max="4" width="19.021623611450195" customWidth="1"/>
    <col min="5" max="5" width="17.443378448486328" customWidth="1"/>
    <col min="6" max="6" width="17.443378448486328" customWidth="1"/>
    <col min="7" max="7" width="22.167236328125" customWidth="1"/>
    <col min="8" max="8" width="21.0560359954834" customWidth="1"/>
    <col min="9" max="9" width="17.443378448486328" customWidth="1"/>
    <col min="10" max="10" width="17.443378448486328" customWidth="1"/>
    <col min="11" max="11" width="17.443378448486328" customWidth="1"/>
    <col min="12" max="12" width="17.443378448486328" customWidth="1"/>
    <col min="13" max="13" width="28.994104385375977" customWidth="1"/>
    <col min="14" max="14" width="20.59304428100586" customWidth="1"/>
    <col min="15" max="15" width="20.207996368408203" customWidth="1"/>
    <col min="16" max="16" width="20.49842643737793" customWidth="1"/>
    <col min="17" max="17" width="17.443378448486328" customWidth="1"/>
    <col min="18" max="18" width="24.4102725982666" customWidth="1"/>
    <col min="19" max="19" width="23.91794204711914" customWidth="1"/>
    <col min="20" max="20" width="26.449399948120117" customWidth="1"/>
    <col min="21" max="21" width="23.870744705200195" customWidth="1"/>
    <col min="22" max="22" width="17.443378448486328" customWidth="1"/>
    <col min="23" max="23" width="24.05291748046875" customWidth="1"/>
    <col min="24" max="24" width="27.70039939880371" customWidth="1"/>
    <col min="25" max="25" width="17.443378448486328" customWidth="1"/>
    <col min="26" max="26" width="20.674259185791016" customWidth="1"/>
    <col min="27" max="27" width="24.996841430664062" customWidth="1"/>
    <col min="28" max="28" width="24.949966430664062" customWidth="1"/>
    <col min="29" max="29" width="21.353242874145508" customWidth="1"/>
    <col min="30" max="30" width="21.36005973815918" customWidth="1"/>
    <col min="31" max="31" width="23.66544532775879" customWidth="1"/>
    <col min="32" max="32" width="25.67598533630371" customWidth="1"/>
    <col min="33" max="33" width="27.825746536254883" customWidth="1"/>
    <col min="34" max="34" width="30.736207962036133" customWidth="1"/>
    <col min="35" max="35" width="22.16853904724121" customWidth="1"/>
    <col min="36" max="36" width="19.20380210876465" customWidth="1"/>
    <col min="37" max="37" width="21.31484031677246" customWidth="1"/>
    <col min="38" max="38" width="22.327119827270508" customWidth="1"/>
    <col min="39" max="39" width="21.05513572692871" customWidth="1"/>
    <col min="40" max="40" width="20.286527633666992" customWidth="1"/>
    <col min="41" max="41" width="19.15234375" customWidth="1"/>
    <col min="42" max="42" width="19.022369384765625" customWidth="1"/>
    <col min="43" max="43" width="21.100011825561523" customWidth="1"/>
    <col min="44" max="44" width="17.443378448486328" customWidth="1"/>
    <col min="45" max="45" width="23.683393478393555" customWidth="1"/>
    <col min="46" max="46" width="24.26016616821289" customWidth="1"/>
    <col min="47" max="47" width="22.6212100982666" customWidth="1"/>
    <col min="48" max="48" width="22.495878219604492" customWidth="1"/>
    <col min="49" max="49" width="26.585424423217773" customWidth="1"/>
    <col min="50" max="50" width="23.516162872314453" customWidth="1"/>
    <col min="51" max="51" width="80.12660217285156" customWidth="1"/>
  </cols>
  <sheetData>
    <row r="1">
      <c r="A1" s="1" t="s">
        <v>2245</v>
      </c>
      <c r="B1" s="1" t="s">
        <v>1</v>
      </c>
      <c r="C1" s="1" t="s">
        <v>2246</v>
      </c>
      <c r="D1" s="1" t="s">
        <v>2247</v>
      </c>
      <c r="E1" s="1" t="s">
        <v>2248</v>
      </c>
      <c r="F1" s="1" t="s">
        <v>2249</v>
      </c>
      <c r="G1" s="1" t="s">
        <v>2250</v>
      </c>
      <c r="H1" s="1" t="s">
        <v>2251</v>
      </c>
      <c r="I1" s="1" t="s">
        <v>2252</v>
      </c>
      <c r="J1" s="1" t="s">
        <v>2253</v>
      </c>
      <c r="K1" s="1" t="s">
        <v>2254</v>
      </c>
      <c r="L1" s="1" t="s">
        <v>2255</v>
      </c>
      <c r="M1" s="1" t="s">
        <v>2256</v>
      </c>
      <c r="N1" s="1" t="s">
        <v>2257</v>
      </c>
      <c r="O1" s="1" t="s">
        <v>2258</v>
      </c>
      <c r="P1" s="1" t="s">
        <v>2259</v>
      </c>
      <c r="Q1" s="1" t="s">
        <v>2260</v>
      </c>
      <c r="R1" s="1" t="s">
        <v>2261</v>
      </c>
      <c r="S1" s="1" t="s">
        <v>2262</v>
      </c>
      <c r="T1" s="1" t="s">
        <v>2263</v>
      </c>
      <c r="U1" s="1" t="s">
        <v>2264</v>
      </c>
      <c r="V1" s="1" t="s">
        <v>2265</v>
      </c>
      <c r="W1" s="1" t="s">
        <v>2266</v>
      </c>
      <c r="X1" s="1" t="s">
        <v>2267</v>
      </c>
      <c r="Y1" s="1" t="s">
        <v>2268</v>
      </c>
      <c r="Z1" s="1" t="s">
        <v>2269</v>
      </c>
      <c r="AA1" s="1" t="s">
        <v>2270</v>
      </c>
      <c r="AB1" s="1" t="s">
        <v>2271</v>
      </c>
      <c r="AC1" s="1" t="s">
        <v>2272</v>
      </c>
      <c r="AD1" s="1" t="s">
        <v>2273</v>
      </c>
      <c r="AE1" s="1" t="s">
        <v>2274</v>
      </c>
      <c r="AF1" s="1" t="s">
        <v>2275</v>
      </c>
      <c r="AG1" s="1" t="s">
        <v>2276</v>
      </c>
      <c r="AH1" s="1" t="s">
        <v>2277</v>
      </c>
      <c r="AI1" s="1" t="s">
        <v>2278</v>
      </c>
      <c r="AJ1" s="1" t="s">
        <v>2279</v>
      </c>
      <c r="AK1" s="1" t="s">
        <v>2280</v>
      </c>
      <c r="AL1" s="1" t="s">
        <v>2281</v>
      </c>
      <c r="AM1" s="1" t="s">
        <v>2282</v>
      </c>
      <c r="AN1" s="1" t="s">
        <v>2283</v>
      </c>
      <c r="AO1" s="1" t="s">
        <v>2284</v>
      </c>
      <c r="AP1" s="1" t="s">
        <v>2285</v>
      </c>
      <c r="AQ1" s="1" t="s">
        <v>2286</v>
      </c>
      <c r="AR1" s="1" t="s">
        <v>2287</v>
      </c>
      <c r="AS1" s="1" t="s">
        <v>2288</v>
      </c>
      <c r="AT1" s="1" t="s">
        <v>2289</v>
      </c>
      <c r="AU1" s="1" t="s">
        <v>2290</v>
      </c>
      <c r="AV1" s="1" t="s">
        <v>2291</v>
      </c>
      <c r="AW1" s="1" t="s">
        <v>2292</v>
      </c>
      <c r="AX1" s="1" t="s">
        <v>2293</v>
      </c>
      <c r="AY1" s="1" t="s">
        <v>2294</v>
      </c>
    </row>
    <row r="2">
      <c r="A2" s="2" t="s">
        <v>2295</v>
      </c>
      <c r="B2" s="3" t="str">
        <f>A2</f>
        <v>simpsons-paradox-v1</v>
      </c>
      <c r="C2" s="5">
        <f>COUNTIFS(TreatmentRankings!Q2:Q999, TRUE())</f>
        <v>18</v>
      </c>
      <c r="D2" s="5">
        <f>COUNTIFS(TreatmentRankings!Q2:Q999, FALSE())</f>
        <v>78</v>
      </c>
      <c r="E2" s="5">
        <f>C2 + D2</f>
        <v>96</v>
      </c>
      <c r="F2" s="5">
        <f>COUNTIFS(TreatmentRankings!S2:S999, TRUE())</f>
        <v>15</v>
      </c>
      <c r="G2" s="3">
        <f>SUMIFS(TreatmentRankings!V2:V999,TreatmentRankings!D2:D999, "A")</f>
        <v>1.5032474460116838</v>
      </c>
      <c r="H2" s="3">
        <f>IF(E2 = 0, "", G2 / E2)</f>
        <v>0.015658827562621706</v>
      </c>
      <c r="I2" s="5">
        <f>COUNTIFS(TreatmentRankings!AE2:AE999, "A")</f>
        <v>7</v>
      </c>
      <c r="J2" s="5">
        <f>COUNTIFS(TreatmentRankings!AE2:AE999, "B")</f>
        <v>11</v>
      </c>
      <c r="K2" s="5">
        <f>COUNTIFS(TreatmentRankings!AE2:AE999, "D")</f>
        <v>64</v>
      </c>
      <c r="L2" s="3">
        <f>IF(E2 = 0, "", I2 / E2)</f>
        <v>0.07291666666666667</v>
      </c>
      <c r="M2" s="3" t="str">
        <f>_xlfn.CONCAT("A:", I2, " B:", J2, " C+:", O2, " C-:", P2, " D:", K2)</f>
        <v>A:7 B:11 C+:8 C-:6 D:64</v>
      </c>
      <c r="N2" s="5">
        <f>O2 + P2</f>
        <v>14</v>
      </c>
      <c r="O2" s="5">
        <f>COUNTIFS(TreatmentRankings!AE2:AE999, "C+")</f>
        <v>8</v>
      </c>
      <c r="P2" s="5">
        <f>COUNTIFS(TreatmentRankings!AE2:AE999, "C-")</f>
        <v>6</v>
      </c>
      <c r="Q2" s="3">
        <f>SUMIFS(TreatmentRankings!AL2:AL999,TreatmentRankings!C2:C999, "&lt;&gt;") / COUNTIFS(TreatmentRankings!C2:C999, "&lt;&gt;")</f>
        <v>0.7766975794575766</v>
      </c>
      <c r="R2" s="3">
        <f>_xlfn.MAXIFS(AllocationSweep!R2:R999,AllocationSweep!C2:C999, "kidney-1986")</f>
        <v>0</v>
      </c>
      <c r="S2" s="3">
        <f>_xlfn.MINIFS(AllocationSweep!R2:R999,AllocationSweep!C2:C999, "kidney-1986")</f>
        <v>0</v>
      </c>
      <c r="T2" s="3">
        <f>IF(R2 = "", "", R2 - S2)</f>
        <v>0</v>
      </c>
      <c r="U2" s="3">
        <f>_xlfn.MAXIFS(AllocationSweep!Q2:Q999,AllocationSweep!C2:C999, "kidney-1986") - _xlfn.MINIFS(AllocationSweep!Q2:Q999,AllocationSweep!C2:C999, "kidney-1986")</f>
        <v>0</v>
      </c>
      <c r="V2" s="2"/>
      <c r="W2" s="2"/>
      <c r="X2" s="2"/>
      <c r="Y2" s="2"/>
      <c r="Z2" s="2"/>
      <c r="AA2" s="2"/>
      <c r="AB2" s="2"/>
      <c r="AC2" s="2"/>
      <c r="AD2" s="4"/>
      <c r="AE2" s="2"/>
      <c r="AF2" s="2"/>
      <c r="AG2" s="5">
        <f>COUNTIFS(IngestionProtocol!A2:A999, "&lt;&gt;")</f>
        <v>17</v>
      </c>
      <c r="AH2" s="3" t="e">
        <f>LOOKUP("ingestion-v1", IngestionSummary[IngestionSummaryId], IngestionSummary[IngestionContractPasses])</f>
        <v>#VALUE!</v>
      </c>
      <c r="AI2" s="3" t="e">
        <f>LOOKUP("ingestion-v1", IngestionSummary[IngestionSummaryId], IngestionSummary[IngestionWitnessNote])</f>
        <v>#VALUE!</v>
      </c>
      <c r="AJ2" s="5" t="e">
        <f>LOOKUP("catalog-v1", CorpusCatalogSummary[CatalogSummaryId], CorpusCatalogSummary[TotalCatalogEntries])</f>
        <v>#VALUE!</v>
      </c>
      <c r="AK2" s="5" t="e">
        <f>LOOKUP("catalog-v1", CorpusCatalogSummary[CatalogSummaryId], CorpusCatalogSummary[CandidateCount])</f>
        <v>#VALUE!</v>
      </c>
      <c r="AL2" s="5" t="e">
        <f>LOOKUP("catalog-v1", CorpusCatalogSummary[CatalogSummaryId], CorpusCatalogSummary[ReadyToEncodeCount])</f>
        <v>#VALUE!</v>
      </c>
      <c r="AM2" s="3" t="e">
        <f>LOOKUP("catalog-v1", CorpusCatalogSummary[CatalogSummaryId], CorpusCatalogSummary[ImportSessionReady])</f>
        <v>#VALUE!</v>
      </c>
      <c r="AN2" s="3" t="e">
        <f>LOOKUP("catalog-v1", CorpusCatalogSummary[CatalogSummaryId], CorpusCatalogSummary[CatalogWitnessNote])</f>
        <v>#VALUE!</v>
      </c>
      <c r="AO2" s="3">
        <f>COUNTIFS(TreatmentRankings!AO2:AO999, TRUE())</f>
        <v>0</v>
      </c>
      <c r="AP2" s="3">
        <f>COUNTIFS(TreatmentRankings!AE2:AE999, "D",TreatmentRankings!AO2:AO999, FALSE())</f>
        <v>0</v>
      </c>
      <c r="AQ2" s="3">
        <f>IF(K2 = 0, "", AO2 / K2)</f>
        <v>0</v>
      </c>
      <c r="AR2" s="3">
        <f>COUNTIFS(TreatmentRankings!AM2:AM999, TRUE())</f>
        <v>0</v>
      </c>
      <c r="AS2" s="3">
        <f>_xlfn.MAXIFS(TreatmentRankings!AL2:AL999,TreatmentRankings!AC2:AC999, TRUE())</f>
        <v>0.4827404019389511</v>
      </c>
      <c r="AT2" s="3">
        <f>COUNTIFS(TreatmentRankings!AQ2:AQ999, "economics",TreatmentRankings!AC2:AC999, TRUE())</f>
        <v>0</v>
      </c>
      <c r="AU2" s="3" t="str">
        <f>IF(AO2 = 0, "", AVERAGEIFS(TreatmentRankings!T2:T999,TreatmentRankings!AO2:AO999, TRUE()))</f>
      </c>
      <c r="AV2" s="3" t="str">
        <f>IF(AP2 = 0, "", AVERAGEIFS(TreatmentRankings!T2:T999,TreatmentRankings!AE2:AE999, "D",TreatmentRankings!AO2:AO999, FALSE()))</f>
      </c>
      <c r="AW2" s="3" t="e">
        <f>AVERAGEIFS(TreatmentRankings!AD2:AD999,TreatmentRankings!AQ2:AQ999, "epidemiology")</f>
        <v>#DIV/0!</v>
      </c>
      <c r="AX2" s="3" t="e">
        <f>AVERAGEIFS(TreatmentRankings!AD2:AD999,TreatmentRankings!AQ2:AQ999, "education")</f>
        <v>#DIV/0!</v>
      </c>
      <c r="AY2" s="3" t="str">
        <f>_xlfn.CONCAT("LatentTypeD=", AO2, "/", K2, "; SignFlipMaxPurity=", AS2, "; stableD=", AV2, " latentD=", AU2)</f>
        <v>LatentTypeD=0/64; SignFlipMaxPurity=0.4827404019389511; stableD= latentD=</v>
      </c>
    </row>
  </sheetData>
  <autoFilter ref="A1:AY1"/>
  <headerFooter/>
  <legacyDrawing r:id="rId1"/>
</worksheet>
</file>

<file path=xl/worksheets/sheet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J97"/>
  <sheetViews>
    <sheetView workbookViewId="0">
      <pane ySplit="1" topLeftCell="A2" state="frozen" activePane="bottomLeft"/>
      <selection pane="bottomLeft" activeCell="A1" sqref="A1"/>
    </sheetView>
  </sheetViews>
  <sheetFormatPr defaultRowHeight="15"/>
  <cols>
    <col min="1" max="1" width="54.06037521362305" customWidth="1"/>
    <col min="2" max="2" width="54.06037521362305" customWidth="1"/>
    <col min="3" max="3" width="33.19231414794922" customWidth="1"/>
    <col min="4" max="4" width="24.01918601989746" customWidth="1"/>
    <col min="5" max="5" width="17.443378448486328" customWidth="1"/>
    <col min="6" max="6" width="27.940765380859375" customWidth="1"/>
    <col min="7" max="7" width="17.443378448486328" customWidth="1"/>
    <col min="8" max="8" width="17.443378448486328" customWidth="1"/>
    <col min="9" max="9" width="256" customWidth="1"/>
    <col min="10" max="10" width="17.443378448486328" customWidth="1"/>
  </cols>
  <sheetData>
    <row r="1">
      <c r="A1" s="1" t="s">
        <v>2296</v>
      </c>
      <c r="B1" s="1" t="s">
        <v>1</v>
      </c>
      <c r="C1" s="1" t="s">
        <v>786</v>
      </c>
      <c r="D1" s="1" t="s">
        <v>2297</v>
      </c>
      <c r="E1" s="1" t="s">
        <v>411</v>
      </c>
      <c r="F1" s="1" t="s">
        <v>2298</v>
      </c>
      <c r="G1" s="1" t="s">
        <v>2299</v>
      </c>
      <c r="H1" s="1" t="s">
        <v>2300</v>
      </c>
      <c r="I1" s="1" t="s">
        <v>2301</v>
      </c>
      <c r="J1" s="1" t="s">
        <v>2302</v>
      </c>
    </row>
    <row r="2">
      <c r="A2" s="2" t="s">
        <v>2303</v>
      </c>
      <c r="B2" s="3" t="str">
        <f>A2</f>
        <v>kidney-1986-stone-size</v>
      </c>
      <c r="C2" s="2" t="s">
        <v>414</v>
      </c>
      <c r="D2" s="2" t="s">
        <v>2304</v>
      </c>
      <c r="E2" s="2" t="s">
        <v>2305</v>
      </c>
      <c r="F2" s="2" t="b">
        <v>1</v>
      </c>
      <c r="G2" s="2" t="b">
        <v>1</v>
      </c>
      <c r="H2" s="3" t="b">
        <f>AND(F2, G2, E2 = "confounder")</f>
        <v>1</v>
      </c>
      <c r="I2" s="2" t="s">
        <v>2306</v>
      </c>
      <c r="J2" s="2" t="s">
        <v>2305</v>
      </c>
    </row>
    <row r="3">
      <c r="A3" s="2" t="s">
        <v>2307</v>
      </c>
      <c r="B3" s="3" t="str">
        <f>A3</f>
        <v>berkeley-1973-department</v>
      </c>
      <c r="C3" s="2" t="s">
        <v>428</v>
      </c>
      <c r="D3" s="2" t="s">
        <v>2308</v>
      </c>
      <c r="E3" s="2" t="s">
        <v>2309</v>
      </c>
      <c r="F3" s="2" t="b">
        <v>1</v>
      </c>
      <c r="G3" s="2" t="b">
        <v>1</v>
      </c>
      <c r="H3" s="3" t="b">
        <f>AND(F3, G3, E3 = "confounder")</f>
        <v>0</v>
      </c>
      <c r="I3" s="2" t="s">
        <v>2310</v>
      </c>
      <c r="J3" s="2" t="s">
        <v>2305</v>
      </c>
    </row>
    <row r="4">
      <c r="A4" s="2" t="s">
        <v>2311</v>
      </c>
      <c r="B4" s="3" t="str">
        <f>A4</f>
        <v>kidney-balanced-stone-size</v>
      </c>
      <c r="C4" s="2" t="s">
        <v>425</v>
      </c>
      <c r="D4" s="2" t="s">
        <v>2304</v>
      </c>
      <c r="E4" s="2" t="s">
        <v>2305</v>
      </c>
      <c r="F4" s="2" t="b">
        <v>0</v>
      </c>
      <c r="G4" s="2" t="b">
        <v>1</v>
      </c>
      <c r="H4" s="3" t="b">
        <f>AND(F4, G4, E4 = "confounder")</f>
        <v>0</v>
      </c>
      <c r="I4" s="2" t="s">
        <v>2312</v>
      </c>
      <c r="J4" s="2" t="s">
        <v>2305</v>
      </c>
    </row>
    <row r="5">
      <c r="A5" s="2" t="s">
        <v>2313</v>
      </c>
      <c r="B5" s="3" t="str">
        <f>A5</f>
        <v>balanced-synthetic-stratum</v>
      </c>
      <c r="C5" s="2" t="s">
        <v>420</v>
      </c>
      <c r="D5" s="2" t="s">
        <v>2314</v>
      </c>
      <c r="E5" s="2" t="s">
        <v>2315</v>
      </c>
      <c r="F5" s="2" t="b">
        <v>0</v>
      </c>
      <c r="G5" s="2" t="b">
        <v>1</v>
      </c>
      <c r="H5" s="3" t="b">
        <f>AND(F5, G5, E5 = "confounder")</f>
        <v>0</v>
      </c>
      <c r="I5" s="2" t="s">
        <v>2316</v>
      </c>
      <c r="J5" s="2" t="s">
        <v>2317</v>
      </c>
    </row>
    <row r="6">
      <c r="A6" s="2" t="s">
        <v>2318</v>
      </c>
      <c r="B6" s="3" t="str">
        <f>A6</f>
        <v>compressed-synthetic-stratum</v>
      </c>
      <c r="C6" s="2" t="s">
        <v>434</v>
      </c>
      <c r="D6" s="2" t="s">
        <v>2319</v>
      </c>
      <c r="E6" s="2" t="s">
        <v>2305</v>
      </c>
      <c r="F6" s="2" t="b">
        <v>1</v>
      </c>
      <c r="G6" s="2" t="b">
        <v>1</v>
      </c>
      <c r="H6" s="3" t="b">
        <f>AND(F6, G6, E6 = "confounder")</f>
        <v>1</v>
      </c>
      <c r="I6" s="2" t="s">
        <v>2320</v>
      </c>
      <c r="J6" s="2" t="s">
        <v>2305</v>
      </c>
    </row>
    <row r="7">
      <c r="A7" s="2" t="s">
        <v>2321</v>
      </c>
      <c r="B7" s="3" t="str">
        <f>A7</f>
        <v>reintjes-2000-hospital-incidence</v>
      </c>
      <c r="C7" s="2" t="s">
        <v>437</v>
      </c>
      <c r="D7" s="2" t="s">
        <v>2322</v>
      </c>
      <c r="E7" s="2" t="s">
        <v>2305</v>
      </c>
      <c r="F7" s="2" t="b">
        <v>1</v>
      </c>
      <c r="G7" s="2" t="b">
        <v>1</v>
      </c>
      <c r="H7" s="3" t="b">
        <f>AND(F7, G7, E7 = "confounder")</f>
        <v>1</v>
      </c>
      <c r="I7" s="2" t="s">
        <v>2323</v>
      </c>
      <c r="J7" s="2" t="s">
        <v>2305</v>
      </c>
    </row>
    <row r="8">
      <c r="A8" s="2" t="s">
        <v>2324</v>
      </c>
      <c r="B8" s="3" t="str">
        <f>A8</f>
        <v>radelet-1981-victim-race</v>
      </c>
      <c r="C8" s="2" t="s">
        <v>442</v>
      </c>
      <c r="D8" s="2" t="s">
        <v>2325</v>
      </c>
      <c r="E8" s="2" t="s">
        <v>2305</v>
      </c>
      <c r="F8" s="2" t="b">
        <v>1</v>
      </c>
      <c r="G8" s="2" t="b">
        <v>1</v>
      </c>
      <c r="H8" s="3" t="b">
        <f>AND(F8, G8, E8 = "confounder")</f>
        <v>1</v>
      </c>
      <c r="I8" s="2" t="s">
        <v>2326</v>
      </c>
      <c r="J8" s="2" t="s">
        <v>2305</v>
      </c>
    </row>
    <row r="9">
      <c r="A9" s="2" t="s">
        <v>2327</v>
      </c>
      <c r="B9" s="3" t="str">
        <f>A9</f>
        <v>jeter-justice-1997-season</v>
      </c>
      <c r="C9" s="2" t="s">
        <v>448</v>
      </c>
      <c r="D9" s="2" t="s">
        <v>2328</v>
      </c>
      <c r="E9" s="2" t="s">
        <v>2305</v>
      </c>
      <c r="F9" s="2" t="b">
        <v>1</v>
      </c>
      <c r="G9" s="2" t="b">
        <v>1</v>
      </c>
      <c r="H9" s="3" t="b">
        <f>AND(F9, G9, E9 = "confounder")</f>
        <v>1</v>
      </c>
      <c r="I9" s="2" t="s">
        <v>2329</v>
      </c>
      <c r="J9" s="2" t="s">
        <v>2305</v>
      </c>
    </row>
    <row r="10">
      <c r="A10" s="2" t="s">
        <v>2330</v>
      </c>
      <c r="B10" s="3" t="str">
        <f>A10</f>
        <v>appleton-1996-age</v>
      </c>
      <c r="C10" s="2" t="s">
        <v>453</v>
      </c>
      <c r="D10" s="2" t="s">
        <v>2331</v>
      </c>
      <c r="E10" s="2" t="s">
        <v>2305</v>
      </c>
      <c r="F10" s="2" t="b">
        <v>1</v>
      </c>
      <c r="G10" s="2" t="b">
        <v>1</v>
      </c>
      <c r="H10" s="3" t="b">
        <f>AND(F10, G10, E10 = "confounder")</f>
        <v>1</v>
      </c>
      <c r="I10" s="2" t="s">
        <v>2332</v>
      </c>
      <c r="J10" s="2" t="s">
        <v>2305</v>
      </c>
    </row>
    <row r="11">
      <c r="A11" s="2" t="s">
        <v>2333</v>
      </c>
      <c r="B11" s="3" t="str">
        <f>A11</f>
        <v>phe-covid-2021-age</v>
      </c>
      <c r="C11" s="2" t="s">
        <v>457</v>
      </c>
      <c r="D11" s="2" t="s">
        <v>2334</v>
      </c>
      <c r="E11" s="2" t="s">
        <v>2305</v>
      </c>
      <c r="F11" s="2" t="b">
        <v>1</v>
      </c>
      <c r="G11" s="2" t="b">
        <v>1</v>
      </c>
      <c r="H11" s="3" t="b">
        <f>AND(F11, G11, E11 = "confounder")</f>
        <v>1</v>
      </c>
      <c r="I11" s="2" t="s">
        <v>2335</v>
      </c>
      <c r="J11" s="2" t="s">
        <v>2305</v>
      </c>
    </row>
    <row r="12">
      <c r="A12" s="2" t="s">
        <v>2336</v>
      </c>
      <c r="B12" s="3" t="str">
        <f>A12</f>
        <v>hannan-1994-patient-risk</v>
      </c>
      <c r="C12" s="2" t="s">
        <v>462</v>
      </c>
      <c r="D12" s="2" t="s">
        <v>2337</v>
      </c>
      <c r="E12" s="2" t="s">
        <v>2305</v>
      </c>
      <c r="F12" s="2" t="b">
        <v>1</v>
      </c>
      <c r="G12" s="2" t="b">
        <v>1</v>
      </c>
      <c r="H12" s="3" t="b">
        <f>AND(F12, G12, E12 = "confounder")</f>
        <v>1</v>
      </c>
      <c r="I12" s="2" t="s">
        <v>2338</v>
      </c>
      <c r="J12" s="2" t="s">
        <v>2305</v>
      </c>
    </row>
    <row r="13">
      <c r="A13" s="2" t="s">
        <v>2339</v>
      </c>
      <c r="B13" s="3" t="str">
        <f>A13</f>
        <v>titanic-1912-sex</v>
      </c>
      <c r="C13" s="2" t="s">
        <v>466</v>
      </c>
      <c r="D13" s="2" t="s">
        <v>2340</v>
      </c>
      <c r="E13" s="2" t="s">
        <v>2305</v>
      </c>
      <c r="F13" s="2" t="b">
        <v>1</v>
      </c>
      <c r="G13" s="2" t="b">
        <v>1</v>
      </c>
      <c r="H13" s="3" t="b">
        <f>AND(F13, G13, E13 = "confounder")</f>
        <v>1</v>
      </c>
      <c r="I13" s="2" t="s">
        <v>2341</v>
      </c>
      <c r="J13" s="2" t="s">
        <v>2305</v>
      </c>
    </row>
    <row r="14">
      <c r="A14" s="2" t="s">
        <v>2342</v>
      </c>
      <c r="B14" s="3" t="str">
        <f>A14</f>
        <v>bwp-weight-class</v>
      </c>
      <c r="C14" s="2" t="s">
        <v>470</v>
      </c>
      <c r="D14" s="2" t="s">
        <v>2343</v>
      </c>
      <c r="E14" s="2" t="s">
        <v>2344</v>
      </c>
      <c r="F14" s="2" t="b">
        <v>1</v>
      </c>
      <c r="G14" s="2" t="b">
        <v>1</v>
      </c>
      <c r="H14" s="3" t="b">
        <f>AND(F14, G14, E14 = "confounder")</f>
        <v>0</v>
      </c>
      <c r="I14" s="2" t="s">
        <v>2345</v>
      </c>
      <c r="J14" s="2" t="s">
        <v>2344</v>
      </c>
    </row>
    <row r="15">
      <c r="A15" s="2" t="s">
        <v>2346</v>
      </c>
      <c r="B15" s="3" t="str">
        <f>A15</f>
        <v>melanoma-sex</v>
      </c>
      <c r="C15" s="2" t="s">
        <v>475</v>
      </c>
      <c r="D15" s="2" t="s">
        <v>2347</v>
      </c>
      <c r="E15" s="2" t="s">
        <v>2305</v>
      </c>
      <c r="F15" s="2" t="b">
        <v>1</v>
      </c>
      <c r="G15" s="2" t="b">
        <v>1</v>
      </c>
      <c r="H15" s="3" t="b">
        <f>AND(F15, G15, E15 = "confounder")</f>
        <v>1</v>
      </c>
      <c r="I15" s="2" t="s">
        <v>2348</v>
      </c>
      <c r="J15" s="2" t="s">
        <v>2305</v>
      </c>
    </row>
    <row r="16">
      <c r="A16" s="2" t="s">
        <v>2349</v>
      </c>
      <c r="B16" s="3" t="str">
        <f>A16</f>
        <v>coffee-smoking</v>
      </c>
      <c r="C16" s="2" t="s">
        <v>479</v>
      </c>
      <c r="D16" s="2" t="s">
        <v>2350</v>
      </c>
      <c r="E16" s="2" t="s">
        <v>2305</v>
      </c>
      <c r="F16" s="2" t="b">
        <v>0</v>
      </c>
      <c r="G16" s="2" t="b">
        <v>1</v>
      </c>
      <c r="H16" s="3" t="b">
        <f>AND(F16, G16, E16 = "confounder")</f>
        <v>0</v>
      </c>
      <c r="I16" s="2" t="s">
        <v>2351</v>
      </c>
      <c r="J16" s="2" t="s">
        <v>2305</v>
      </c>
    </row>
    <row r="17">
      <c r="A17" s="2" t="s">
        <v>2352</v>
      </c>
      <c r="B17" s="3" t="str">
        <f>A17</f>
        <v>sat-school-spending</v>
      </c>
      <c r="C17" s="2" t="s">
        <v>483</v>
      </c>
      <c r="D17" s="2" t="s">
        <v>2353</v>
      </c>
      <c r="E17" s="2" t="s">
        <v>2305</v>
      </c>
      <c r="F17" s="2" t="b">
        <v>1</v>
      </c>
      <c r="G17" s="2" t="b">
        <v>1</v>
      </c>
      <c r="H17" s="3" t="b">
        <f>AND(F17, G17, E17 = "confounder")</f>
        <v>1</v>
      </c>
      <c r="I17" s="2" t="s">
        <v>2354</v>
      </c>
      <c r="J17" s="2" t="s">
        <v>2355</v>
      </c>
    </row>
    <row r="18">
      <c r="A18" s="2" t="s">
        <v>2356</v>
      </c>
      <c r="B18" s="3" t="str">
        <f>A18</f>
        <v>rogers-nicewander-1988-position_group</v>
      </c>
      <c r="C18" s="2" t="s">
        <v>488</v>
      </c>
      <c r="D18" s="2" t="s">
        <v>2357</v>
      </c>
      <c r="E18" s="2" t="s">
        <v>2305</v>
      </c>
      <c r="F18" s="2" t="b">
        <v>1</v>
      </c>
      <c r="G18" s="2" t="b">
        <v>1</v>
      </c>
      <c r="H18" s="3" t="b">
        <f>AND(F18, G18, E18 = "confounder")</f>
        <v>1</v>
      </c>
      <c r="I18" s="2" t="s">
        <v>2358</v>
      </c>
      <c r="J18" s="2" t="s">
        <v>2305</v>
      </c>
    </row>
    <row r="19">
      <c r="A19" s="2" t="s">
        <v>2359</v>
      </c>
      <c r="B19" s="3" t="str">
        <f>A19</f>
        <v>lucente-baseball-1995-month_half</v>
      </c>
      <c r="C19" s="2" t="s">
        <v>492</v>
      </c>
      <c r="D19" s="2" t="s">
        <v>2360</v>
      </c>
      <c r="E19" s="2" t="s">
        <v>2305</v>
      </c>
      <c r="F19" s="2" t="b">
        <v>1</v>
      </c>
      <c r="G19" s="2" t="b">
        <v>1</v>
      </c>
      <c r="H19" s="3" t="b">
        <f>AND(F19, G19, E19 = "confounder")</f>
        <v>1</v>
      </c>
      <c r="I19" s="2" t="s">
        <v>2361</v>
      </c>
      <c r="J19" s="2" t="s">
        <v>2305</v>
      </c>
    </row>
    <row r="20">
      <c r="A20" s="2" t="s">
        <v>2362</v>
      </c>
      <c r="B20" s="3" t="str">
        <f>A20</f>
        <v>wilson-batting-2000-inning_half</v>
      </c>
      <c r="C20" s="2" t="s">
        <v>495</v>
      </c>
      <c r="D20" s="2" t="s">
        <v>2363</v>
      </c>
      <c r="E20" s="2" t="s">
        <v>2305</v>
      </c>
      <c r="F20" s="2" t="b">
        <v>1</v>
      </c>
      <c r="G20" s="2" t="b">
        <v>1</v>
      </c>
      <c r="H20" s="3" t="b">
        <f>AND(F20, G20, E20 = "confounder")</f>
        <v>1</v>
      </c>
      <c r="I20" s="2" t="s">
        <v>2364</v>
      </c>
      <c r="J20" s="2" t="s">
        <v>2305</v>
      </c>
    </row>
    <row r="21">
      <c r="A21" s="2" t="s">
        <v>2365</v>
      </c>
      <c r="B21" s="3" t="str">
        <f>A21</f>
        <v>clemens-bly-1998-home_away</v>
      </c>
      <c r="C21" s="2" t="s">
        <v>498</v>
      </c>
      <c r="D21" s="2" t="s">
        <v>2366</v>
      </c>
      <c r="E21" s="2" t="s">
        <v>2305</v>
      </c>
      <c r="F21" s="2" t="b">
        <v>1</v>
      </c>
      <c r="G21" s="2" t="b">
        <v>1</v>
      </c>
      <c r="H21" s="3" t="b">
        <f>AND(F21, G21, E21 = "confounder")</f>
        <v>1</v>
      </c>
      <c r="I21" s="2" t="s">
        <v>2367</v>
      </c>
      <c r="J21" s="2" t="s">
        <v>2305</v>
      </c>
    </row>
    <row r="22">
      <c r="A22" s="2" t="s">
        <v>2368</v>
      </c>
      <c r="B22" s="3" t="str">
        <f>A22</f>
        <v>open-university-1975-age_band</v>
      </c>
      <c r="C22" s="2" t="s">
        <v>501</v>
      </c>
      <c r="D22" s="2" t="s">
        <v>2369</v>
      </c>
      <c r="E22" s="2" t="s">
        <v>2305</v>
      </c>
      <c r="F22" s="2" t="b">
        <v>1</v>
      </c>
      <c r="G22" s="2" t="b">
        <v>1</v>
      </c>
      <c r="H22" s="3" t="b">
        <f>AND(F22, G22, E22 = "confounder")</f>
        <v>1</v>
      </c>
      <c r="I22" s="2" t="s">
        <v>2370</v>
      </c>
      <c r="J22" s="2" t="s">
        <v>2305</v>
      </c>
    </row>
    <row r="23">
      <c r="A23" s="2" t="s">
        <v>2371</v>
      </c>
      <c r="B23" s="3" t="str">
        <f>A23</f>
        <v>pisa-immigration-2015-country</v>
      </c>
      <c r="C23" s="2" t="s">
        <v>504</v>
      </c>
      <c r="D23" s="2" t="s">
        <v>2372</v>
      </c>
      <c r="E23" s="2" t="s">
        <v>2305</v>
      </c>
      <c r="F23" s="2" t="b">
        <v>1</v>
      </c>
      <c r="G23" s="2" t="b">
        <v>1</v>
      </c>
      <c r="H23" s="3" t="b">
        <f>AND(F23, G23, E23 = "confounder")</f>
        <v>1</v>
      </c>
      <c r="I23" s="2" t="s">
        <v>2373</v>
      </c>
      <c r="J23" s="2" t="s">
        <v>2305</v>
      </c>
    </row>
    <row r="24">
      <c r="A24" s="2" t="s">
        <v>2374</v>
      </c>
      <c r="B24" s="3" t="str">
        <f>A24</f>
        <v>wainer-sat-states-1992-region</v>
      </c>
      <c r="C24" s="2" t="s">
        <v>508</v>
      </c>
      <c r="D24" s="2" t="s">
        <v>2375</v>
      </c>
      <c r="E24" s="2" t="s">
        <v>2305</v>
      </c>
      <c r="F24" s="2" t="b">
        <v>1</v>
      </c>
      <c r="G24" s="2" t="b">
        <v>1</v>
      </c>
      <c r="H24" s="3" t="b">
        <f>AND(F24, G24, E24 = "confounder")</f>
        <v>1</v>
      </c>
      <c r="I24" s="2" t="s">
        <v>2376</v>
      </c>
      <c r="J24" s="2" t="s">
        <v>2305</v>
      </c>
    </row>
    <row r="25">
      <c r="A25" s="2" t="s">
        <v>2377</v>
      </c>
      <c r="B25" s="3" t="str">
        <f>A25</f>
        <v>folic-acid-neural-tube-1991-maternal_age</v>
      </c>
      <c r="C25" s="2" t="s">
        <v>511</v>
      </c>
      <c r="D25" s="2" t="s">
        <v>2378</v>
      </c>
      <c r="E25" s="2" t="s">
        <v>2305</v>
      </c>
      <c r="F25" s="2" t="b">
        <v>1</v>
      </c>
      <c r="G25" s="2" t="b">
        <v>1</v>
      </c>
      <c r="H25" s="3" t="b">
        <f>AND(F25, G25, E25 = "confounder")</f>
        <v>1</v>
      </c>
      <c r="I25" s="2" t="s">
        <v>2379</v>
      </c>
      <c r="J25" s="2" t="s">
        <v>2305</v>
      </c>
    </row>
    <row r="26">
      <c r="A26" s="2" t="s">
        <v>2380</v>
      </c>
      <c r="B26" s="3" t="str">
        <f>A26</f>
        <v>steroid-asthma-severity-disease_severity</v>
      </c>
      <c r="C26" s="2" t="s">
        <v>515</v>
      </c>
      <c r="D26" s="2" t="s">
        <v>2381</v>
      </c>
      <c r="E26" s="2" t="s">
        <v>2305</v>
      </c>
      <c r="F26" s="2" t="b">
        <v>1</v>
      </c>
      <c r="G26" s="2" t="b">
        <v>1</v>
      </c>
      <c r="H26" s="3" t="b">
        <f>AND(F26, G26, E26 = "confounder")</f>
        <v>1</v>
      </c>
      <c r="I26" s="2" t="s">
        <v>2382</v>
      </c>
      <c r="J26" s="2" t="s">
        <v>2305</v>
      </c>
    </row>
    <row r="27">
      <c r="A27" s="2" t="s">
        <v>2383</v>
      </c>
      <c r="B27" s="3" t="str">
        <f>A27</f>
        <v>kidney-dialysis-facility-1990-case_mix</v>
      </c>
      <c r="C27" s="2" t="s">
        <v>518</v>
      </c>
      <c r="D27" s="2" t="s">
        <v>2384</v>
      </c>
      <c r="E27" s="2" t="s">
        <v>2305</v>
      </c>
      <c r="F27" s="2" t="b">
        <v>1</v>
      </c>
      <c r="G27" s="2" t="b">
        <v>1</v>
      </c>
      <c r="H27" s="3" t="b">
        <f>AND(F27, G27, E27 = "confounder")</f>
        <v>1</v>
      </c>
      <c r="I27" s="2" t="s">
        <v>2385</v>
      </c>
      <c r="J27" s="2" t="s">
        <v>2305</v>
      </c>
    </row>
    <row r="28">
      <c r="A28" s="2" t="s">
        <v>2386</v>
      </c>
      <c r="B28" s="3" t="str">
        <f>A28</f>
        <v>warfarin-bleeding-age-age_group</v>
      </c>
      <c r="C28" s="2" t="s">
        <v>521</v>
      </c>
      <c r="D28" s="2" t="s">
        <v>2334</v>
      </c>
      <c r="E28" s="2" t="s">
        <v>2305</v>
      </c>
      <c r="F28" s="2" t="b">
        <v>1</v>
      </c>
      <c r="G28" s="2" t="b">
        <v>1</v>
      </c>
      <c r="H28" s="3" t="b">
        <f>AND(F28, G28, E28 = "confounder")</f>
        <v>1</v>
      </c>
      <c r="I28" s="2" t="s">
        <v>2387</v>
      </c>
      <c r="J28" s="2" t="s">
        <v>2305</v>
      </c>
    </row>
    <row r="29">
      <c r="A29" s="2" t="s">
        <v>2388</v>
      </c>
      <c r="B29" s="3" t="str">
        <f>A29</f>
        <v>diabetes-metformin-bmi-bmi_category</v>
      </c>
      <c r="C29" s="2" t="s">
        <v>524</v>
      </c>
      <c r="D29" s="2" t="s">
        <v>2389</v>
      </c>
      <c r="E29" s="2" t="s">
        <v>2305</v>
      </c>
      <c r="F29" s="2" t="b">
        <v>1</v>
      </c>
      <c r="G29" s="2" t="b">
        <v>1</v>
      </c>
      <c r="H29" s="3" t="b">
        <f>AND(F29, G29, E29 = "confounder")</f>
        <v>1</v>
      </c>
      <c r="I29" s="2" t="s">
        <v>2390</v>
      </c>
      <c r="J29" s="2" t="s">
        <v>2305</v>
      </c>
    </row>
    <row r="30">
      <c r="A30" s="2" t="s">
        <v>2391</v>
      </c>
      <c r="B30" s="3" t="str">
        <f>A30</f>
        <v>oncology-trial-stage-cancer_stage</v>
      </c>
      <c r="C30" s="2" t="s">
        <v>527</v>
      </c>
      <c r="D30" s="2" t="s">
        <v>2392</v>
      </c>
      <c r="E30" s="2" t="s">
        <v>2305</v>
      </c>
      <c r="F30" s="2" t="b">
        <v>1</v>
      </c>
      <c r="G30" s="2" t="b">
        <v>1</v>
      </c>
      <c r="H30" s="3" t="b">
        <f>AND(F30, G30, E30 = "confounder")</f>
        <v>1</v>
      </c>
      <c r="I30" s="2" t="s">
        <v>2393</v>
      </c>
      <c r="J30" s="2" t="s">
        <v>2305</v>
      </c>
    </row>
    <row r="31">
      <c r="A31" s="2" t="s">
        <v>2394</v>
      </c>
      <c r="B31" s="3" t="str">
        <f>A31</f>
        <v>exercise-cholesterol-age-age_group</v>
      </c>
      <c r="C31" s="2" t="s">
        <v>530</v>
      </c>
      <c r="D31" s="2" t="s">
        <v>2334</v>
      </c>
      <c r="E31" s="2" t="s">
        <v>2305</v>
      </c>
      <c r="F31" s="2" t="b">
        <v>1</v>
      </c>
      <c r="G31" s="2" t="b">
        <v>1</v>
      </c>
      <c r="H31" s="3" t="b">
        <f>AND(F31, G31, E31 = "confounder")</f>
        <v>1</v>
      </c>
      <c r="I31" s="2" t="s">
        <v>2395</v>
      </c>
      <c r="J31" s="2" t="s">
        <v>2305</v>
      </c>
    </row>
    <row r="32">
      <c r="A32" s="2" t="s">
        <v>2396</v>
      </c>
      <c r="B32" s="3" t="str">
        <f>A32</f>
        <v>red-meat-colorectal-bmi-bmi_category</v>
      </c>
      <c r="C32" s="2" t="s">
        <v>533</v>
      </c>
      <c r="D32" s="2" t="s">
        <v>2389</v>
      </c>
      <c r="E32" s="2" t="s">
        <v>2305</v>
      </c>
      <c r="F32" s="2" t="b">
        <v>1</v>
      </c>
      <c r="G32" s="2" t="b">
        <v>1</v>
      </c>
      <c r="H32" s="3" t="b">
        <f>AND(F32, G32, E32 = "confounder")</f>
        <v>1</v>
      </c>
      <c r="I32" s="2" t="s">
        <v>2397</v>
      </c>
      <c r="J32" s="2" t="s">
        <v>2305</v>
      </c>
    </row>
    <row r="33">
      <c r="A33" s="2" t="s">
        <v>2398</v>
      </c>
      <c r="B33" s="3" t="str">
        <f>A33</f>
        <v>folic-fortification-2000-region</v>
      </c>
      <c r="C33" s="2" t="s">
        <v>536</v>
      </c>
      <c r="D33" s="2" t="s">
        <v>2375</v>
      </c>
      <c r="E33" s="2" t="s">
        <v>2305</v>
      </c>
      <c r="F33" s="2" t="b">
        <v>1</v>
      </c>
      <c r="G33" s="2" t="b">
        <v>1</v>
      </c>
      <c r="H33" s="3" t="b">
        <f>AND(F33, G33, E33 = "confounder")</f>
        <v>1</v>
      </c>
      <c r="I33" s="2" t="s">
        <v>2399</v>
      </c>
      <c r="J33" s="2" t="s">
        <v>2305</v>
      </c>
    </row>
    <row r="34">
      <c r="A34" s="2" t="s">
        <v>2400</v>
      </c>
      <c r="B34" s="3" t="str">
        <f>A34</f>
        <v>north-carolina-death-penalty-1990-victim_race</v>
      </c>
      <c r="C34" s="2" t="s">
        <v>539</v>
      </c>
      <c r="D34" s="2" t="s">
        <v>2325</v>
      </c>
      <c r="E34" s="2" t="s">
        <v>2305</v>
      </c>
      <c r="F34" s="2" t="b">
        <v>1</v>
      </c>
      <c r="G34" s="2" t="b">
        <v>1</v>
      </c>
      <c r="H34" s="3" t="b">
        <f>AND(F34, G34, E34 = "confounder")</f>
        <v>1</v>
      </c>
      <c r="I34" s="2" t="s">
        <v>2401</v>
      </c>
      <c r="J34" s="2" t="s">
        <v>2305</v>
      </c>
    </row>
    <row r="35">
      <c r="A35" s="2" t="s">
        <v>2402</v>
      </c>
      <c r="B35" s="3" t="str">
        <f>A35</f>
        <v>housing-discrimination-audit-neighborhood_income</v>
      </c>
      <c r="C35" s="2" t="s">
        <v>542</v>
      </c>
      <c r="D35" s="2" t="s">
        <v>2403</v>
      </c>
      <c r="E35" s="2" t="s">
        <v>2305</v>
      </c>
      <c r="F35" s="2" t="b">
        <v>1</v>
      </c>
      <c r="G35" s="2" t="b">
        <v>1</v>
      </c>
      <c r="H35" s="3" t="b">
        <f>AND(F35, G35, E35 = "confounder")</f>
        <v>1</v>
      </c>
      <c r="I35" s="2" t="s">
        <v>2404</v>
      </c>
      <c r="J35" s="2" t="s">
        <v>2305</v>
      </c>
    </row>
    <row r="36">
      <c r="A36" s="2" t="s">
        <v>2405</v>
      </c>
      <c r="B36" s="3" t="str">
        <f>A36</f>
        <v>gender-pay-gap-industry-industry_sector</v>
      </c>
      <c r="C36" s="2" t="s">
        <v>547</v>
      </c>
      <c r="D36" s="2" t="s">
        <v>2406</v>
      </c>
      <c r="E36" s="2" t="s">
        <v>2305</v>
      </c>
      <c r="F36" s="2" t="b">
        <v>1</v>
      </c>
      <c r="G36" s="2" t="b">
        <v>1</v>
      </c>
      <c r="H36" s="3" t="b">
        <f>AND(F36, G36, E36 = "confounder")</f>
        <v>1</v>
      </c>
      <c r="I36" s="2" t="s">
        <v>2407</v>
      </c>
      <c r="J36" s="2" t="s">
        <v>2305</v>
      </c>
    </row>
    <row r="37">
      <c r="A37" s="2" t="s">
        <v>2408</v>
      </c>
      <c r="B37" s="3" t="str">
        <f>A37</f>
        <v>income-education-state-state</v>
      </c>
      <c r="C37" s="2" t="s">
        <v>551</v>
      </c>
      <c r="D37" s="2" t="s">
        <v>2409</v>
      </c>
      <c r="E37" s="2" t="s">
        <v>2305</v>
      </c>
      <c r="F37" s="2" t="b">
        <v>1</v>
      </c>
      <c r="G37" s="2" t="b">
        <v>1</v>
      </c>
      <c r="H37" s="3" t="b">
        <f>AND(F37, G37, E37 = "confounder")</f>
        <v>1</v>
      </c>
      <c r="I37" s="2" t="s">
        <v>2410</v>
      </c>
      <c r="J37" s="2" t="s">
        <v>2305</v>
      </c>
    </row>
    <row r="38">
      <c r="A38" s="2" t="s">
        <v>2411</v>
      </c>
      <c r="B38" s="3" t="str">
        <f>A38</f>
        <v>florida-reef-fish-1994-gear_type</v>
      </c>
      <c r="C38" s="2" t="s">
        <v>555</v>
      </c>
      <c r="D38" s="2" t="s">
        <v>2412</v>
      </c>
      <c r="E38" s="2" t="s">
        <v>2305</v>
      </c>
      <c r="F38" s="2" t="b">
        <v>1</v>
      </c>
      <c r="G38" s="2" t="b">
        <v>1</v>
      </c>
      <c r="H38" s="3" t="b">
        <f>AND(F38, G38, E38 = "confounder")</f>
        <v>1</v>
      </c>
      <c r="I38" s="2" t="s">
        <v>2413</v>
      </c>
      <c r="J38" s="2" t="s">
        <v>2305</v>
      </c>
    </row>
    <row r="39">
      <c r="A39" s="2" t="s">
        <v>2414</v>
      </c>
      <c r="B39" s="3" t="str">
        <f>A39</f>
        <v>uc-irvine-admissions-1985-department</v>
      </c>
      <c r="C39" s="2" t="s">
        <v>558</v>
      </c>
      <c r="D39" s="2" t="s">
        <v>2308</v>
      </c>
      <c r="E39" s="2" t="s">
        <v>2309</v>
      </c>
      <c r="F39" s="2" t="b">
        <v>1</v>
      </c>
      <c r="G39" s="2" t="b">
        <v>1</v>
      </c>
      <c r="H39" s="3" t="b">
        <f>AND(F39, G39, E39 = "confounder")</f>
        <v>0</v>
      </c>
      <c r="I39" s="2" t="s">
        <v>2415</v>
      </c>
      <c r="J39" s="2" t="s">
        <v>2305</v>
      </c>
    </row>
    <row r="40">
      <c r="A40" s="2" t="s">
        <v>2416</v>
      </c>
      <c r="B40" s="3" t="str">
        <f>A40</f>
        <v>cesarean-birth-weight-2006-birth_weight</v>
      </c>
      <c r="C40" s="2" t="s">
        <v>561</v>
      </c>
      <c r="D40" s="2" t="s">
        <v>2417</v>
      </c>
      <c r="E40" s="2" t="s">
        <v>2305</v>
      </c>
      <c r="F40" s="2" t="b">
        <v>1</v>
      </c>
      <c r="G40" s="2" t="b">
        <v>1</v>
      </c>
      <c r="H40" s="3" t="b">
        <f>AND(F40, G40, E40 = "confounder")</f>
        <v>1</v>
      </c>
      <c r="I40" s="2" t="s">
        <v>2418</v>
      </c>
      <c r="J40" s="2" t="s">
        <v>2305</v>
      </c>
    </row>
    <row r="41">
      <c r="A41" s="2" t="s">
        <v>2419</v>
      </c>
      <c r="B41" s="3" t="str">
        <f>A41</f>
        <v>schizophrenia-antipsychotic-illness_severity</v>
      </c>
      <c r="C41" s="2" t="s">
        <v>565</v>
      </c>
      <c r="D41" s="2" t="s">
        <v>2420</v>
      </c>
      <c r="E41" s="2" t="s">
        <v>2305</v>
      </c>
      <c r="F41" s="2" t="b">
        <v>1</v>
      </c>
      <c r="G41" s="2" t="b">
        <v>1</v>
      </c>
      <c r="H41" s="3" t="b">
        <f>AND(F41, G41, E41 = "confounder")</f>
        <v>1</v>
      </c>
      <c r="I41" s="2" t="s">
        <v>2421</v>
      </c>
      <c r="J41" s="2" t="s">
        <v>2305</v>
      </c>
    </row>
    <row r="42">
      <c r="A42" s="2" t="s">
        <v>2422</v>
      </c>
      <c r="B42" s="3" t="str">
        <f>A42</f>
        <v>berkeley-six-dept-1973-department</v>
      </c>
      <c r="C42" s="2" t="s">
        <v>568</v>
      </c>
      <c r="D42" s="2" t="s">
        <v>2308</v>
      </c>
      <c r="E42" s="2" t="s">
        <v>2309</v>
      </c>
      <c r="F42" s="2" t="b">
        <v>1</v>
      </c>
      <c r="G42" s="2" t="b">
        <v>1</v>
      </c>
      <c r="H42" s="3" t="b">
        <f>AND(F42, G42, E42 = "confounder")</f>
        <v>0</v>
      </c>
      <c r="I42" s="2" t="s">
        <v>2423</v>
      </c>
      <c r="J42" s="2" t="s">
        <v>2305</v>
      </c>
    </row>
    <row r="43">
      <c r="A43" s="2" t="s">
        <v>2424</v>
      </c>
      <c r="B43" s="3" t="str">
        <f>A43</f>
        <v>rosiglitazone-mi-pool-2007-trial_allocation_profile</v>
      </c>
      <c r="C43" s="2" t="s">
        <v>572</v>
      </c>
      <c r="D43" s="2" t="s">
        <v>2425</v>
      </c>
      <c r="E43" s="2" t="s">
        <v>2305</v>
      </c>
      <c r="F43" s="2" t="b">
        <v>1</v>
      </c>
      <c r="G43" s="2" t="b">
        <v>1</v>
      </c>
      <c r="H43" s="3" t="b">
        <f>AND(F43, G43, E43 = "confounder")</f>
        <v>1</v>
      </c>
      <c r="I43" s="2" t="s">
        <v>2426</v>
      </c>
      <c r="J43" s="2" t="s">
        <v>2305</v>
      </c>
    </row>
    <row r="44">
      <c r="A44" s="2" t="s">
        <v>2427</v>
      </c>
      <c r="B44" s="3" t="str">
        <f>A44</f>
        <v>ironman-gender-age-2010-age_cohort</v>
      </c>
      <c r="C44" s="2" t="s">
        <v>576</v>
      </c>
      <c r="D44" s="2" t="s">
        <v>2428</v>
      </c>
      <c r="E44" s="2" t="s">
        <v>2305</v>
      </c>
      <c r="F44" s="2" t="b">
        <v>1</v>
      </c>
      <c r="G44" s="2" t="b">
        <v>1</v>
      </c>
      <c r="H44" s="3" t="b">
        <f>AND(F44, G44, E44 = "confounder")</f>
        <v>1</v>
      </c>
      <c r="I44" s="2" t="s">
        <v>2429</v>
      </c>
      <c r="J44" s="2" t="s">
        <v>2305</v>
      </c>
    </row>
    <row r="45">
      <c r="A45" s="2" t="s">
        <v>2430</v>
      </c>
      <c r="B45" s="3" t="str">
        <f>A45</f>
        <v>hanley-power-lines-2000-source_study</v>
      </c>
      <c r="C45" s="2" t="s">
        <v>579</v>
      </c>
      <c r="D45" s="2" t="s">
        <v>2431</v>
      </c>
      <c r="E45" s="2" t="s">
        <v>2305</v>
      </c>
      <c r="F45" s="2" t="b">
        <v>1</v>
      </c>
      <c r="G45" s="2" t="b">
        <v>1</v>
      </c>
      <c r="H45" s="3" t="b">
        <f>AND(F45, G45, E45 = "confounder")</f>
        <v>1</v>
      </c>
      <c r="I45" s="2" t="s">
        <v>2432</v>
      </c>
      <c r="J45" s="2" t="s">
        <v>2305</v>
      </c>
    </row>
    <row r="46">
      <c r="A46" s="2" t="s">
        <v>2433</v>
      </c>
      <c r="B46" s="3" t="str">
        <f>A46</f>
        <v>coffee-smoking-lung-1968-smoking_status</v>
      </c>
      <c r="C46" s="2" t="s">
        <v>583</v>
      </c>
      <c r="D46" s="2" t="s">
        <v>2350</v>
      </c>
      <c r="E46" s="2" t="s">
        <v>2305</v>
      </c>
      <c r="F46" s="2" t="b">
        <v>1</v>
      </c>
      <c r="G46" s="2" t="b">
        <v>1</v>
      </c>
      <c r="H46" s="3" t="b">
        <f>AND(F46, G46, E46 = "confounder")</f>
        <v>1</v>
      </c>
      <c r="I46" s="2" t="s">
        <v>2434</v>
      </c>
      <c r="J46" s="2" t="s">
        <v>2305</v>
      </c>
    </row>
    <row r="47">
      <c r="A47" s="2" t="s">
        <v>2435</v>
      </c>
      <c r="B47" s="3" t="str">
        <f>A47</f>
        <v>panama-sweden-mortality-1975-age_group</v>
      </c>
      <c r="C47" s="2" t="s">
        <v>586</v>
      </c>
      <c r="D47" s="2" t="s">
        <v>2334</v>
      </c>
      <c r="E47" s="2" t="s">
        <v>2305</v>
      </c>
      <c r="F47" s="2" t="b">
        <v>1</v>
      </c>
      <c r="G47" s="2" t="b">
        <v>1</v>
      </c>
      <c r="H47" s="3" t="b">
        <f>AND(F47, G47, E47 = "confounder")</f>
        <v>1</v>
      </c>
      <c r="I47" s="2" t="s">
        <v>2436</v>
      </c>
      <c r="J47" s="2" t="s">
        <v>2305</v>
      </c>
    </row>
    <row r="48">
      <c r="A48" s="2" t="s">
        <v>2437</v>
      </c>
      <c r="B48" s="3" t="str">
        <f>A48</f>
        <v>hrt-whi-2002-study_design</v>
      </c>
      <c r="C48" s="2" t="s">
        <v>589</v>
      </c>
      <c r="D48" s="2" t="s">
        <v>2438</v>
      </c>
      <c r="E48" s="2" t="s">
        <v>2309</v>
      </c>
      <c r="F48" s="2" t="b">
        <v>1</v>
      </c>
      <c r="G48" s="2" t="b">
        <v>1</v>
      </c>
      <c r="H48" s="3" t="b">
        <f>AND(F48, G48, E48 = "confounder")</f>
        <v>0</v>
      </c>
      <c r="I48" s="2" t="s">
        <v>2439</v>
      </c>
      <c r="J48" s="2" t="s">
        <v>2305</v>
      </c>
    </row>
    <row r="49">
      <c r="A49" s="2" t="s">
        <v>2440</v>
      </c>
      <c r="B49" s="3" t="str">
        <f>A49</f>
        <v>obesity-paradox-hf-heart_failure_status</v>
      </c>
      <c r="C49" s="2" t="s">
        <v>593</v>
      </c>
      <c r="D49" s="2" t="s">
        <v>2441</v>
      </c>
      <c r="E49" s="2" t="s">
        <v>2442</v>
      </c>
      <c r="F49" s="2" t="b">
        <v>1</v>
      </c>
      <c r="G49" s="2" t="b">
        <v>1</v>
      </c>
      <c r="H49" s="3" t="b">
        <f>AND(F49, G49, E49 = "confounder")</f>
        <v>0</v>
      </c>
      <c r="I49" s="2" t="s">
        <v>2443</v>
      </c>
      <c r="J49" s="2" t="s">
        <v>2442</v>
      </c>
    </row>
    <row r="50">
      <c r="A50" s="2" t="s">
        <v>2444</v>
      </c>
      <c r="B50" s="3" t="str">
        <f>A50</f>
        <v>dialysis-bmi-survival-esrd_status</v>
      </c>
      <c r="C50" s="2" t="s">
        <v>597</v>
      </c>
      <c r="D50" s="2" t="s">
        <v>2445</v>
      </c>
      <c r="E50" s="2" t="s">
        <v>2442</v>
      </c>
      <c r="F50" s="2" t="b">
        <v>1</v>
      </c>
      <c r="G50" s="2" t="b">
        <v>1</v>
      </c>
      <c r="H50" s="3" t="b">
        <f>AND(F50, G50, E50 = "confounder")</f>
        <v>0</v>
      </c>
      <c r="I50" s="2" t="s">
        <v>2446</v>
      </c>
      <c r="J50" s="2" t="s">
        <v>2442</v>
      </c>
    </row>
    <row r="51">
      <c r="A51" s="2" t="s">
        <v>2447</v>
      </c>
      <c r="B51" s="3" t="str">
        <f>A51</f>
        <v>sick-quitter-alcohol-abstainer_composition</v>
      </c>
      <c r="C51" s="2" t="s">
        <v>601</v>
      </c>
      <c r="D51" s="2" t="s">
        <v>2448</v>
      </c>
      <c r="E51" s="2" t="s">
        <v>2309</v>
      </c>
      <c r="F51" s="2" t="b">
        <v>1</v>
      </c>
      <c r="G51" s="2" t="b">
        <v>1</v>
      </c>
      <c r="H51" s="3" t="b">
        <f>AND(F51, G51, E51 = "confounder")</f>
        <v>0</v>
      </c>
      <c r="I51" s="2" t="s">
        <v>2449</v>
      </c>
      <c r="J51" s="2" t="s">
        <v>2305</v>
      </c>
    </row>
    <row r="52">
      <c r="A52" s="2" t="s">
        <v>2450</v>
      </c>
      <c r="B52" s="3" t="str">
        <f>A52</f>
        <v>flu-vaccine-elderly-mortality-age_group</v>
      </c>
      <c r="C52" s="2" t="s">
        <v>605</v>
      </c>
      <c r="D52" s="2" t="s">
        <v>2334</v>
      </c>
      <c r="E52" s="2" t="s">
        <v>2305</v>
      </c>
      <c r="F52" s="2" t="b">
        <v>1</v>
      </c>
      <c r="G52" s="2" t="b">
        <v>1</v>
      </c>
      <c r="H52" s="3" t="b">
        <f>AND(F52, G52, E52 = "confounder")</f>
        <v>1</v>
      </c>
      <c r="I52" s="2" t="s">
        <v>2451</v>
      </c>
      <c r="J52" s="2" t="s">
        <v>2305</v>
      </c>
    </row>
    <row r="53">
      <c r="A53" s="2" t="s">
        <v>2452</v>
      </c>
      <c r="B53" s="3" t="str">
        <f>A53</f>
        <v>covid-italy-china-cfr-2020-age_group</v>
      </c>
      <c r="C53" s="2" t="s">
        <v>609</v>
      </c>
      <c r="D53" s="2" t="s">
        <v>2334</v>
      </c>
      <c r="E53" s="2" t="s">
        <v>2305</v>
      </c>
      <c r="F53" s="2" t="b">
        <v>1</v>
      </c>
      <c r="G53" s="2" t="b">
        <v>1</v>
      </c>
      <c r="H53" s="3" t="b">
        <f>AND(F53, G53, E53 = "confounder")</f>
        <v>1</v>
      </c>
      <c r="I53" s="2" t="s">
        <v>2453</v>
      </c>
      <c r="J53" s="2" t="s">
        <v>2305</v>
      </c>
    </row>
    <row r="54">
      <c r="A54" s="2" t="s">
        <v>2454</v>
      </c>
      <c r="B54" s="3" t="str">
        <f>A54</f>
        <v>israel-covid-severe-2021-age_group</v>
      </c>
      <c r="C54" s="2" t="s">
        <v>613</v>
      </c>
      <c r="D54" s="2" t="s">
        <v>2334</v>
      </c>
      <c r="E54" s="2" t="s">
        <v>2305</v>
      </c>
      <c r="F54" s="2" t="b">
        <v>1</v>
      </c>
      <c r="G54" s="2" t="b">
        <v>1</v>
      </c>
      <c r="H54" s="3" t="b">
        <f>AND(F54, G54, E54 = "confounder")</f>
        <v>1</v>
      </c>
      <c r="I54" s="2" t="s">
        <v>2455</v>
      </c>
      <c r="J54" s="2" t="s">
        <v>2305</v>
      </c>
    </row>
    <row r="55">
      <c r="A55" s="2" t="s">
        <v>2456</v>
      </c>
      <c r="B55" s="3" t="str">
        <f>A55</f>
        <v>cochran-smoking-1968-age_group</v>
      </c>
      <c r="C55" s="2" t="s">
        <v>617</v>
      </c>
      <c r="D55" s="2" t="s">
        <v>2334</v>
      </c>
      <c r="E55" s="2" t="s">
        <v>2305</v>
      </c>
      <c r="F55" s="2" t="b">
        <v>1</v>
      </c>
      <c r="G55" s="2" t="b">
        <v>1</v>
      </c>
      <c r="H55" s="3" t="b">
        <f>AND(F55, G55, E55 = "confounder")</f>
        <v>1</v>
      </c>
      <c r="I55" s="2" t="s">
        <v>2457</v>
      </c>
      <c r="J55" s="2" t="s">
        <v>2305</v>
      </c>
    </row>
    <row r="56">
      <c r="A56" s="2" t="s">
        <v>2458</v>
      </c>
      <c r="B56" s="3" t="str">
        <f>A56</f>
        <v>healthy-worker-mortality-employment_status</v>
      </c>
      <c r="C56" s="2" t="s">
        <v>621</v>
      </c>
      <c r="D56" s="2" t="s">
        <v>2459</v>
      </c>
      <c r="E56" s="2" t="s">
        <v>2460</v>
      </c>
      <c r="F56" s="2" t="b">
        <v>1</v>
      </c>
      <c r="G56" s="2" t="b">
        <v>1</v>
      </c>
      <c r="H56" s="3" t="b">
        <f>AND(F56, G56, E56 = "confounder")</f>
        <v>0</v>
      </c>
      <c r="I56" s="2" t="s">
        <v>2461</v>
      </c>
      <c r="J56" s="2" t="s">
        <v>2442</v>
      </c>
    </row>
    <row r="57">
      <c r="A57" s="2" t="s">
        <v>2462</v>
      </c>
      <c r="B57" s="3" t="str">
        <f>A57</f>
        <v>compas-recidivism-base-group_base_rate</v>
      </c>
      <c r="C57" s="2" t="s">
        <v>624</v>
      </c>
      <c r="D57" s="2" t="s">
        <v>2463</v>
      </c>
      <c r="E57" s="2" t="s">
        <v>2305</v>
      </c>
      <c r="F57" s="2" t="b">
        <v>1</v>
      </c>
      <c r="G57" s="2" t="b">
        <v>1</v>
      </c>
      <c r="H57" s="3" t="b">
        <f>AND(F57, G57, E57 = "confounder")</f>
        <v>1</v>
      </c>
      <c r="I57" s="2" t="s">
        <v>2464</v>
      </c>
      <c r="J57" s="2" t="s">
        <v>2305</v>
      </c>
    </row>
    <row r="58">
      <c r="A58" s="2" t="s">
        <v>2465</v>
      </c>
      <c r="B58" s="3" t="str">
        <f>A58</f>
        <v>us-wage-composition-stagnation-workforce_composition</v>
      </c>
      <c r="C58" s="2" t="s">
        <v>629</v>
      </c>
      <c r="D58" s="2" t="s">
        <v>2466</v>
      </c>
      <c r="E58" s="2" t="s">
        <v>2305</v>
      </c>
      <c r="F58" s="2" t="b">
        <v>1</v>
      </c>
      <c r="G58" s="2" t="b">
        <v>1</v>
      </c>
      <c r="H58" s="3" t="b">
        <f>AND(F58, G58, E58 = "confounder")</f>
        <v>1</v>
      </c>
      <c r="I58" s="2" t="s">
        <v>2467</v>
      </c>
      <c r="J58" s="2" t="s">
        <v>2305</v>
      </c>
    </row>
    <row r="59">
      <c r="A59" s="2" t="s">
        <v>2468</v>
      </c>
      <c r="B59" s="3" t="str">
        <f>A59</f>
        <v>borjas-immigrant-cohort-arrival_cohort</v>
      </c>
      <c r="C59" s="2" t="s">
        <v>633</v>
      </c>
      <c r="D59" s="2" t="s">
        <v>2469</v>
      </c>
      <c r="E59" s="2" t="s">
        <v>2305</v>
      </c>
      <c r="F59" s="2" t="b">
        <v>1</v>
      </c>
      <c r="G59" s="2" t="b">
        <v>1</v>
      </c>
      <c r="H59" s="3" t="b">
        <f>AND(F59, G59, E59 = "confounder")</f>
        <v>1</v>
      </c>
      <c r="I59" s="2" t="s">
        <v>2470</v>
      </c>
      <c r="J59" s="2" t="s">
        <v>2305</v>
      </c>
    </row>
    <row r="60">
      <c r="A60" s="2" t="s">
        <v>2471</v>
      </c>
      <c r="B60" s="3" t="str">
        <f>A60</f>
        <v>robinson-1950-literacy-state_aggregation</v>
      </c>
      <c r="C60" s="2" t="s">
        <v>637</v>
      </c>
      <c r="D60" s="2" t="s">
        <v>2472</v>
      </c>
      <c r="E60" s="2" t="s">
        <v>2305</v>
      </c>
      <c r="F60" s="2" t="b">
        <v>1</v>
      </c>
      <c r="G60" s="2" t="b">
        <v>1</v>
      </c>
      <c r="H60" s="3" t="b">
        <f>AND(F60, G60, E60 = "confounder")</f>
        <v>1</v>
      </c>
      <c r="I60" s="2" t="s">
        <v>2473</v>
      </c>
      <c r="J60" s="2" t="s">
        <v>2305</v>
      </c>
    </row>
    <row r="61">
      <c r="A61" s="2" t="s">
        <v>2474</v>
      </c>
      <c r="B61" s="3" t="str">
        <f>A61</f>
        <v>ab-test-traffic-mix-time_varying_segment</v>
      </c>
      <c r="C61" s="2" t="s">
        <v>641</v>
      </c>
      <c r="D61" s="2" t="s">
        <v>2475</v>
      </c>
      <c r="E61" s="2" t="s">
        <v>2305</v>
      </c>
      <c r="F61" s="2" t="b">
        <v>1</v>
      </c>
      <c r="G61" s="2" t="b">
        <v>1</v>
      </c>
      <c r="H61" s="3" t="b">
        <f>AND(F61, G61, E61 = "confounder")</f>
        <v>1</v>
      </c>
      <c r="I61" s="2" t="s">
        <v>2476</v>
      </c>
      <c r="J61" s="2" t="s">
        <v>2305</v>
      </c>
    </row>
    <row r="62">
      <c r="A62" s="2" t="s">
        <v>2477</v>
      </c>
      <c r="B62" s="3" t="str">
        <f>A62</f>
        <v>recsys-offline-eval-exposure_popularity</v>
      </c>
      <c r="C62" s="2" t="s">
        <v>645</v>
      </c>
      <c r="D62" s="2" t="s">
        <v>2478</v>
      </c>
      <c r="E62" s="2" t="s">
        <v>2305</v>
      </c>
      <c r="F62" s="2" t="b">
        <v>1</v>
      </c>
      <c r="G62" s="2" t="b">
        <v>1</v>
      </c>
      <c r="H62" s="3" t="b">
        <f>AND(F62, G62, E62 = "confounder")</f>
        <v>1</v>
      </c>
      <c r="I62" s="2" t="s">
        <v>2479</v>
      </c>
      <c r="J62" s="2" t="s">
        <v>2305</v>
      </c>
    </row>
    <row r="63">
      <c r="A63" s="2" t="s">
        <v>2480</v>
      </c>
      <c r="B63" s="3" t="str">
        <f>A63</f>
        <v>collider-only-synthetic-constructed_collider</v>
      </c>
      <c r="C63" s="2" t="s">
        <v>649</v>
      </c>
      <c r="D63" s="2" t="s">
        <v>2481</v>
      </c>
      <c r="E63" s="2" t="s">
        <v>2442</v>
      </c>
      <c r="F63" s="2" t="b">
        <v>1</v>
      </c>
      <c r="G63" s="2" t="b">
        <v>1</v>
      </c>
      <c r="H63" s="3" t="b">
        <f>AND(F63, G63, E63 = "confounder")</f>
        <v>0</v>
      </c>
      <c r="I63" s="2" t="s">
        <v>2482</v>
      </c>
      <c r="J63" s="2" t="s">
        <v>2442</v>
      </c>
    </row>
    <row r="64">
      <c r="A64" s="2" t="s">
        <v>2483</v>
      </c>
      <c r="B64" s="3" t="str">
        <f>A64</f>
        <v>noncollapsibility-or-synthetic-noncollapsible_measure</v>
      </c>
      <c r="C64" s="2" t="s">
        <v>652</v>
      </c>
      <c r="D64" s="2" t="s">
        <v>2484</v>
      </c>
      <c r="E64" s="2" t="s">
        <v>2305</v>
      </c>
      <c r="F64" s="2" t="b">
        <v>1</v>
      </c>
      <c r="G64" s="2" t="b">
        <v>1</v>
      </c>
      <c r="H64" s="3" t="b">
        <f>AND(F64, G64, E64 = "confounder")</f>
        <v>1</v>
      </c>
      <c r="I64" s="2" t="s">
        <v>2485</v>
      </c>
      <c r="J64" s="2" t="s">
        <v>2305</v>
      </c>
    </row>
    <row r="65">
      <c r="A65" s="2" t="s">
        <v>2486</v>
      </c>
      <c r="B65" s="3" t="str">
        <f>A65</f>
        <v>trauma-center-mortality-injury_severity</v>
      </c>
      <c r="C65" s="2" t="s">
        <v>655</v>
      </c>
      <c r="D65" s="2" t="s">
        <v>2487</v>
      </c>
      <c r="E65" s="2" t="s">
        <v>2305</v>
      </c>
      <c r="F65" s="2" t="b">
        <v>1</v>
      </c>
      <c r="G65" s="2" t="b">
        <v>1</v>
      </c>
      <c r="H65" s="3" t="b">
        <f>AND(F65, G65, E65 = "confounder")</f>
        <v>1</v>
      </c>
      <c r="I65" s="2" t="s">
        <v>2488</v>
      </c>
      <c r="J65" s="2" t="s">
        <v>2305</v>
      </c>
    </row>
    <row r="66">
      <c r="A66" s="2" t="s">
        <v>2489</v>
      </c>
      <c r="B66" s="3" t="str">
        <f>A66</f>
        <v>surgeon-volume-mortality-baseline_risk</v>
      </c>
      <c r="C66" s="2" t="s">
        <v>659</v>
      </c>
      <c r="D66" s="2" t="s">
        <v>2490</v>
      </c>
      <c r="E66" s="2" t="s">
        <v>2305</v>
      </c>
      <c r="F66" s="2" t="b">
        <v>1</v>
      </c>
      <c r="G66" s="2" t="b">
        <v>1</v>
      </c>
      <c r="H66" s="3" t="b">
        <f>AND(F66, G66, E66 = "confounder")</f>
        <v>1</v>
      </c>
      <c r="I66" s="2" t="s">
        <v>2491</v>
      </c>
      <c r="J66" s="2" t="s">
        <v>2305</v>
      </c>
    </row>
    <row r="67">
      <c r="A67" s="2" t="s">
        <v>2492</v>
      </c>
      <c r="B67" s="3" t="str">
        <f>A67</f>
        <v>mammography-length-bias-detection_mode</v>
      </c>
      <c r="C67" s="2" t="s">
        <v>663</v>
      </c>
      <c r="D67" s="2" t="s">
        <v>2493</v>
      </c>
      <c r="E67" s="2" t="s">
        <v>2460</v>
      </c>
      <c r="F67" s="2" t="b">
        <v>1</v>
      </c>
      <c r="G67" s="2" t="b">
        <v>1</v>
      </c>
      <c r="H67" s="3" t="b">
        <f>AND(F67, G67, E67 = "confounder")</f>
        <v>0</v>
      </c>
      <c r="I67" s="2" t="s">
        <v>2494</v>
      </c>
      <c r="J67" s="2" t="s">
        <v>2442</v>
      </c>
    </row>
    <row r="68">
      <c r="A68" s="2" t="s">
        <v>2495</v>
      </c>
      <c r="B68" s="3" t="str">
        <f>A68</f>
        <v>cabg-vs-pci-severity-coronary_severity</v>
      </c>
      <c r="C68" s="2" t="s">
        <v>667</v>
      </c>
      <c r="D68" s="2" t="s">
        <v>2496</v>
      </c>
      <c r="E68" s="2" t="s">
        <v>2305</v>
      </c>
      <c r="F68" s="2" t="b">
        <v>1</v>
      </c>
      <c r="G68" s="2" t="b">
        <v>1</v>
      </c>
      <c r="H68" s="3" t="b">
        <f>AND(F68, G68, E68 = "confounder")</f>
        <v>1</v>
      </c>
      <c r="I68" s="2" t="s">
        <v>2497</v>
      </c>
      <c r="J68" s="2" t="s">
        <v>2305</v>
      </c>
    </row>
    <row r="69">
      <c r="A69" s="2" t="s">
        <v>2498</v>
      </c>
      <c r="B69" s="3" t="str">
        <f>A69</f>
        <v>tolbutamide-ugdp-1970-center_baseline_risk</v>
      </c>
      <c r="C69" s="2" t="s">
        <v>671</v>
      </c>
      <c r="D69" s="2" t="s">
        <v>2499</v>
      </c>
      <c r="E69" s="2" t="s">
        <v>2309</v>
      </c>
      <c r="F69" s="2" t="b">
        <v>1</v>
      </c>
      <c r="G69" s="2" t="b">
        <v>1</v>
      </c>
      <c r="H69" s="3" t="b">
        <f>AND(F69, G69, E69 = "confounder")</f>
        <v>0</v>
      </c>
      <c r="I69" s="2" t="s">
        <v>2500</v>
      </c>
      <c r="J69" s="2" t="s">
        <v>2305</v>
      </c>
    </row>
    <row r="70">
      <c r="A70" s="2" t="s">
        <v>2501</v>
      </c>
      <c r="B70" s="3" t="str">
        <f>A70</f>
        <v>snow-cholera-water-1855-water_company</v>
      </c>
      <c r="C70" s="2" t="s">
        <v>675</v>
      </c>
      <c r="D70" s="2" t="s">
        <v>2502</v>
      </c>
      <c r="E70" s="2" t="s">
        <v>2305</v>
      </c>
      <c r="F70" s="2" t="b">
        <v>1</v>
      </c>
      <c r="G70" s="2" t="b">
        <v>1</v>
      </c>
      <c r="H70" s="3" t="b">
        <f>AND(F70, G70, E70 = "confounder")</f>
        <v>1</v>
      </c>
      <c r="I70" s="2" t="s">
        <v>2503</v>
      </c>
      <c r="J70" s="2" t="s">
        <v>2305</v>
      </c>
    </row>
    <row r="71">
      <c r="A71" s="2" t="s">
        <v>2504</v>
      </c>
      <c r="B71" s="3" t="str">
        <f>A71</f>
        <v>seatbelt-crash-severity-crash_occurrence</v>
      </c>
      <c r="C71" s="2" t="s">
        <v>679</v>
      </c>
      <c r="D71" s="2" t="s">
        <v>2505</v>
      </c>
      <c r="E71" s="2" t="s">
        <v>2442</v>
      </c>
      <c r="F71" s="2" t="b">
        <v>1</v>
      </c>
      <c r="G71" s="2" t="b">
        <v>1</v>
      </c>
      <c r="H71" s="3" t="b">
        <f>AND(F71, G71, E71 = "confounder")</f>
        <v>0</v>
      </c>
      <c r="I71" s="2" t="s">
        <v>2506</v>
      </c>
      <c r="J71" s="2" t="s">
        <v>2442</v>
      </c>
    </row>
    <row r="72">
      <c r="A72" s="2" t="s">
        <v>2507</v>
      </c>
      <c r="B72" s="3" t="str">
        <f>A72</f>
        <v>measles-outbreak-vaccinated-vaccination_base_rate</v>
      </c>
      <c r="C72" s="2" t="s">
        <v>683</v>
      </c>
      <c r="D72" s="2" t="s">
        <v>2508</v>
      </c>
      <c r="E72" s="2" t="s">
        <v>2305</v>
      </c>
      <c r="F72" s="2" t="b">
        <v>1</v>
      </c>
      <c r="G72" s="2" t="b">
        <v>1</v>
      </c>
      <c r="H72" s="3" t="b">
        <f>AND(F72, G72, E72 = "confounder")</f>
        <v>1</v>
      </c>
      <c r="I72" s="2" t="s">
        <v>2509</v>
      </c>
      <c r="J72" s="2" t="s">
        <v>2305</v>
      </c>
    </row>
    <row r="73">
      <c r="A73" s="2" t="s">
        <v>2510</v>
      </c>
      <c r="B73" s="3" t="str">
        <f>A73</f>
        <v>air-pollution-mortality-city-city</v>
      </c>
      <c r="C73" s="2" t="s">
        <v>687</v>
      </c>
      <c r="D73" s="2" t="s">
        <v>2511</v>
      </c>
      <c r="E73" s="2" t="s">
        <v>2305</v>
      </c>
      <c r="F73" s="2" t="b">
        <v>1</v>
      </c>
      <c r="G73" s="2" t="b">
        <v>1</v>
      </c>
      <c r="H73" s="3" t="b">
        <f>AND(F73, G73, E73 = "confounder")</f>
        <v>1</v>
      </c>
      <c r="I73" s="2" t="s">
        <v>2512</v>
      </c>
      <c r="J73" s="2" t="s">
        <v>2305</v>
      </c>
    </row>
    <row r="74">
      <c r="A74" s="2" t="s">
        <v>2513</v>
      </c>
      <c r="B74" s="3" t="str">
        <f>A74</f>
        <v>tb-treatment-resistance-drug_resistance</v>
      </c>
      <c r="C74" s="2" t="s">
        <v>691</v>
      </c>
      <c r="D74" s="2" t="s">
        <v>2514</v>
      </c>
      <c r="E74" s="2" t="s">
        <v>2305</v>
      </c>
      <c r="F74" s="2" t="b">
        <v>1</v>
      </c>
      <c r="G74" s="2" t="b">
        <v>1</v>
      </c>
      <c r="H74" s="3" t="b">
        <f>AND(F74, G74, E74 = "confounder")</f>
        <v>1</v>
      </c>
      <c r="I74" s="2" t="s">
        <v>2515</v>
      </c>
      <c r="J74" s="2" t="s">
        <v>2305</v>
      </c>
    </row>
    <row r="75">
      <c r="A75" s="2" t="s">
        <v>2516</v>
      </c>
      <c r="B75" s="3" t="str">
        <f>A75</f>
        <v>hospital-mortality-readmission-case_mix</v>
      </c>
      <c r="C75" s="2" t="s">
        <v>695</v>
      </c>
      <c r="D75" s="2" t="s">
        <v>2384</v>
      </c>
      <c r="E75" s="2" t="s">
        <v>2305</v>
      </c>
      <c r="F75" s="2" t="b">
        <v>1</v>
      </c>
      <c r="G75" s="2" t="b">
        <v>1</v>
      </c>
      <c r="H75" s="3" t="b">
        <f>AND(F75, G75, E75 = "confounder")</f>
        <v>1</v>
      </c>
      <c r="I75" s="2" t="s">
        <v>2517</v>
      </c>
      <c r="J75" s="2" t="s">
        <v>2305</v>
      </c>
    </row>
    <row r="76">
      <c r="A76" s="2" t="s">
        <v>2518</v>
      </c>
      <c r="B76" s="3" t="str">
        <f>A76</f>
        <v>nypd-stop-frisk-hitrate-precinct_base_rate</v>
      </c>
      <c r="C76" s="2" t="s">
        <v>699</v>
      </c>
      <c r="D76" s="2" t="s">
        <v>2519</v>
      </c>
      <c r="E76" s="2" t="s">
        <v>2305</v>
      </c>
      <c r="F76" s="2" t="b">
        <v>1</v>
      </c>
      <c r="G76" s="2" t="b">
        <v>1</v>
      </c>
      <c r="H76" s="3" t="b">
        <f>AND(F76, G76, E76 = "confounder")</f>
        <v>1</v>
      </c>
      <c r="I76" s="2" t="s">
        <v>2520</v>
      </c>
      <c r="J76" s="2" t="s">
        <v>2305</v>
      </c>
    </row>
    <row r="77">
      <c r="A77" s="2" t="s">
        <v>2521</v>
      </c>
      <c r="B77" s="3" t="str">
        <f>A77</f>
        <v>sentencing-offense-type-offense_category</v>
      </c>
      <c r="C77" s="2" t="s">
        <v>703</v>
      </c>
      <c r="D77" s="2" t="s">
        <v>2522</v>
      </c>
      <c r="E77" s="2" t="s">
        <v>2305</v>
      </c>
      <c r="F77" s="2" t="b">
        <v>1</v>
      </c>
      <c r="G77" s="2" t="b">
        <v>1</v>
      </c>
      <c r="H77" s="3" t="b">
        <f>AND(F77, G77, E77 = "confounder")</f>
        <v>1</v>
      </c>
      <c r="I77" s="2" t="s">
        <v>2523</v>
      </c>
      <c r="J77" s="2" t="s">
        <v>2305</v>
      </c>
    </row>
    <row r="78">
      <c r="A78" s="2" t="s">
        <v>2524</v>
      </c>
      <c r="B78" s="3" t="str">
        <f>A78</f>
        <v>bail-risk-score-pretrial_risk_tier</v>
      </c>
      <c r="C78" s="2" t="s">
        <v>707</v>
      </c>
      <c r="D78" s="2" t="s">
        <v>2525</v>
      </c>
      <c r="E78" s="2" t="s">
        <v>2305</v>
      </c>
      <c r="F78" s="2" t="b">
        <v>1</v>
      </c>
      <c r="G78" s="2" t="b">
        <v>1</v>
      </c>
      <c r="H78" s="3" t="b">
        <f>AND(F78, G78, E78 = "confounder")</f>
        <v>1</v>
      </c>
      <c r="I78" s="2" t="s">
        <v>2526</v>
      </c>
      <c r="J78" s="2" t="s">
        <v>2305</v>
      </c>
    </row>
    <row r="79">
      <c r="A79" s="2" t="s">
        <v>2527</v>
      </c>
      <c r="B79" s="3" t="str">
        <f>A79</f>
        <v>police-force-encounter-encounter_conditioning</v>
      </c>
      <c r="C79" s="2" t="s">
        <v>711</v>
      </c>
      <c r="D79" s="2" t="s">
        <v>2528</v>
      </c>
      <c r="E79" s="2" t="s">
        <v>2442</v>
      </c>
      <c r="F79" s="2" t="b">
        <v>1</v>
      </c>
      <c r="G79" s="2" t="b">
        <v>1</v>
      </c>
      <c r="H79" s="3" t="b">
        <f>AND(F79, G79, E79 = "confounder")</f>
        <v>0</v>
      </c>
      <c r="I79" s="2" t="s">
        <v>2529</v>
      </c>
      <c r="J79" s="2" t="s">
        <v>2442</v>
      </c>
    </row>
    <row r="80">
      <c r="A80" s="2" t="s">
        <v>2530</v>
      </c>
      <c r="B80" s="3" t="str">
        <f>A80</f>
        <v>uc-systemwide-admissions-major_campus</v>
      </c>
      <c r="C80" s="2" t="s">
        <v>715</v>
      </c>
      <c r="D80" s="2" t="s">
        <v>2531</v>
      </c>
      <c r="E80" s="2" t="s">
        <v>2309</v>
      </c>
      <c r="F80" s="2" t="b">
        <v>1</v>
      </c>
      <c r="G80" s="2" t="b">
        <v>1</v>
      </c>
      <c r="H80" s="3" t="b">
        <f>AND(F80, G80, E80 = "confounder")</f>
        <v>0</v>
      </c>
      <c r="I80" s="2" t="s">
        <v>2532</v>
      </c>
      <c r="J80" s="2" t="s">
        <v>2305</v>
      </c>
    </row>
    <row r="81">
      <c r="A81" s="2" t="s">
        <v>2533</v>
      </c>
      <c r="B81" s="3" t="str">
        <f>A81</f>
        <v>teacher-vam-prior-achievement-incoming_achievement</v>
      </c>
      <c r="C81" s="2" t="s">
        <v>719</v>
      </c>
      <c r="D81" s="2" t="s">
        <v>2534</v>
      </c>
      <c r="E81" s="2" t="s">
        <v>2305</v>
      </c>
      <c r="F81" s="2" t="b">
        <v>1</v>
      </c>
      <c r="G81" s="2" t="b">
        <v>1</v>
      </c>
      <c r="H81" s="3" t="b">
        <f>AND(F81, G81, E81 = "confounder")</f>
        <v>1</v>
      </c>
      <c r="I81" s="2" t="s">
        <v>2535</v>
      </c>
      <c r="J81" s="2" t="s">
        <v>2305</v>
      </c>
    </row>
    <row r="82">
      <c r="A82" s="2" t="s">
        <v>2536</v>
      </c>
      <c r="B82" s="3" t="str">
        <f>A82</f>
        <v>naep-state-demographics-state_composition</v>
      </c>
      <c r="C82" s="2" t="s">
        <v>723</v>
      </c>
      <c r="D82" s="2" t="s">
        <v>2537</v>
      </c>
      <c r="E82" s="2" t="s">
        <v>2305</v>
      </c>
      <c r="F82" s="2" t="b">
        <v>1</v>
      </c>
      <c r="G82" s="2" t="b">
        <v>1</v>
      </c>
      <c r="H82" s="3" t="b">
        <f>AND(F82, G82, E82 = "confounder")</f>
        <v>1</v>
      </c>
      <c r="I82" s="2" t="s">
        <v>2538</v>
      </c>
      <c r="J82" s="2" t="s">
        <v>2305</v>
      </c>
    </row>
    <row r="83">
      <c r="A83" s="2" t="s">
        <v>2539</v>
      </c>
      <c r="B83" s="3" t="str">
        <f>A83</f>
        <v>college-grad-rate-selectivity-incoming_preparation</v>
      </c>
      <c r="C83" s="2" t="s">
        <v>727</v>
      </c>
      <c r="D83" s="2" t="s">
        <v>2540</v>
      </c>
      <c r="E83" s="2" t="s">
        <v>2305</v>
      </c>
      <c r="F83" s="2" t="b">
        <v>1</v>
      </c>
      <c r="G83" s="2" t="b">
        <v>1</v>
      </c>
      <c r="H83" s="3" t="b">
        <f>AND(F83, G83, E83 = "confounder")</f>
        <v>1</v>
      </c>
      <c r="I83" s="2" t="s">
        <v>2541</v>
      </c>
      <c r="J83" s="2" t="s">
        <v>2305</v>
      </c>
    </row>
    <row r="84">
      <c r="A84" s="2" t="s">
        <v>2542</v>
      </c>
      <c r="B84" s="3" t="str">
        <f>A84</f>
        <v>star-class-size-school</v>
      </c>
      <c r="C84" s="2" t="s">
        <v>731</v>
      </c>
      <c r="D84" s="2" t="s">
        <v>2543</v>
      </c>
      <c r="E84" s="2" t="s">
        <v>2305</v>
      </c>
      <c r="F84" s="2" t="b">
        <v>1</v>
      </c>
      <c r="G84" s="2" t="b">
        <v>1</v>
      </c>
      <c r="H84" s="3" t="b">
        <f>AND(F84, G84, E84 = "confounder")</f>
        <v>1</v>
      </c>
      <c r="I84" s="2" t="s">
        <v>2544</v>
      </c>
      <c r="J84" s="2" t="s">
        <v>2305</v>
      </c>
    </row>
    <row r="85">
      <c r="A85" s="2" t="s">
        <v>2545</v>
      </c>
      <c r="B85" s="3" t="str">
        <f>A85</f>
        <v>nba-shooting-shot-mix-shot_type</v>
      </c>
      <c r="C85" s="2" t="s">
        <v>735</v>
      </c>
      <c r="D85" s="2" t="s">
        <v>2546</v>
      </c>
      <c r="E85" s="2" t="s">
        <v>2305</v>
      </c>
      <c r="F85" s="2" t="b">
        <v>1</v>
      </c>
      <c r="G85" s="2" t="b">
        <v>1</v>
      </c>
      <c r="H85" s="3" t="b">
        <f>AND(F85, G85, E85 = "confounder")</f>
        <v>1</v>
      </c>
      <c r="I85" s="2" t="s">
        <v>2547</v>
      </c>
      <c r="J85" s="2" t="s">
        <v>2305</v>
      </c>
    </row>
    <row r="86">
      <c r="A86" s="2" t="s">
        <v>2548</v>
      </c>
      <c r="B86" s="3" t="str">
        <f>A86</f>
        <v>pitcher-era-ballpark-ballpark</v>
      </c>
      <c r="C86" s="2" t="s">
        <v>739</v>
      </c>
      <c r="D86" s="2" t="s">
        <v>2549</v>
      </c>
      <c r="E86" s="2" t="s">
        <v>2305</v>
      </c>
      <c r="F86" s="2" t="b">
        <v>1</v>
      </c>
      <c r="G86" s="2" t="b">
        <v>1</v>
      </c>
      <c r="H86" s="3" t="b">
        <f>AND(F86, G86, E86 = "confounder")</f>
        <v>1</v>
      </c>
      <c r="I86" s="2" t="s">
        <v>2550</v>
      </c>
      <c r="J86" s="2" t="s">
        <v>2305</v>
      </c>
    </row>
    <row r="87">
      <c r="A87" s="2" t="s">
        <v>2551</v>
      </c>
      <c r="B87" s="3" t="str">
        <f>A87</f>
        <v>nfl-completion-depth-pass_depth</v>
      </c>
      <c r="C87" s="2" t="s">
        <v>743</v>
      </c>
      <c r="D87" s="2" t="s">
        <v>2552</v>
      </c>
      <c r="E87" s="2" t="s">
        <v>2305</v>
      </c>
      <c r="F87" s="2" t="b">
        <v>1</v>
      </c>
      <c r="G87" s="2" t="b">
        <v>1</v>
      </c>
      <c r="H87" s="3" t="b">
        <f>AND(F87, G87, E87 = "confounder")</f>
        <v>1</v>
      </c>
      <c r="I87" s="2" t="s">
        <v>2553</v>
      </c>
      <c r="J87" s="2" t="s">
        <v>2305</v>
      </c>
    </row>
    <row r="88">
      <c r="A88" s="2" t="s">
        <v>2554</v>
      </c>
      <c r="B88" s="3" t="str">
        <f>A88</f>
        <v>field-goal-distance-kick_distance</v>
      </c>
      <c r="C88" s="2" t="s">
        <v>747</v>
      </c>
      <c r="D88" s="2" t="s">
        <v>2555</v>
      </c>
      <c r="E88" s="2" t="s">
        <v>2305</v>
      </c>
      <c r="F88" s="2" t="b">
        <v>1</v>
      </c>
      <c r="G88" s="2" t="b">
        <v>1</v>
      </c>
      <c r="H88" s="3" t="b">
        <f>AND(F88, G88, E88 = "confounder")</f>
        <v>1</v>
      </c>
      <c r="I88" s="2" t="s">
        <v>2556</v>
      </c>
      <c r="J88" s="2" t="s">
        <v>2305</v>
      </c>
    </row>
    <row r="89">
      <c r="A89" s="2" t="s">
        <v>2557</v>
      </c>
      <c r="B89" s="3" t="str">
        <f>A89</f>
        <v>golf-scoring-course-course_difficulty</v>
      </c>
      <c r="C89" s="2" t="s">
        <v>751</v>
      </c>
      <c r="D89" s="2" t="s">
        <v>2558</v>
      </c>
      <c r="E89" s="2" t="s">
        <v>2305</v>
      </c>
      <c r="F89" s="2" t="b">
        <v>1</v>
      </c>
      <c r="G89" s="2" t="b">
        <v>1</v>
      </c>
      <c r="H89" s="3" t="b">
        <f>AND(F89, G89, E89 = "confounder")</f>
        <v>1</v>
      </c>
      <c r="I89" s="2" t="s">
        <v>2559</v>
      </c>
      <c r="J89" s="2" t="s">
        <v>2305</v>
      </c>
    </row>
    <row r="90">
      <c r="A90" s="2" t="s">
        <v>2560</v>
      </c>
      <c r="B90" s="3" t="str">
        <f>A90</f>
        <v>minimum-wage-region-region</v>
      </c>
      <c r="C90" s="2" t="s">
        <v>755</v>
      </c>
      <c r="D90" s="2" t="s">
        <v>2375</v>
      </c>
      <c r="E90" s="2" t="s">
        <v>2305</v>
      </c>
      <c r="F90" s="2" t="b">
        <v>1</v>
      </c>
      <c r="G90" s="2" t="b">
        <v>1</v>
      </c>
      <c r="H90" s="3" t="b">
        <f>AND(F90, G90, E90 = "confounder")</f>
        <v>1</v>
      </c>
      <c r="I90" s="2" t="s">
        <v>2561</v>
      </c>
      <c r="J90" s="2" t="s">
        <v>2305</v>
      </c>
    </row>
    <row r="91">
      <c r="A91" s="2" t="s">
        <v>2562</v>
      </c>
      <c r="B91" s="3" t="str">
        <f>A91</f>
        <v>returns-to-education-field-field_of_study</v>
      </c>
      <c r="C91" s="2" t="s">
        <v>759</v>
      </c>
      <c r="D91" s="2" t="s">
        <v>2563</v>
      </c>
      <c r="E91" s="2" t="s">
        <v>2309</v>
      </c>
      <c r="F91" s="2" t="b">
        <v>1</v>
      </c>
      <c r="G91" s="2" t="b">
        <v>1</v>
      </c>
      <c r="H91" s="3" t="b">
        <f>AND(F91, G91, E91 = "confounder")</f>
        <v>0</v>
      </c>
      <c r="I91" s="2" t="s">
        <v>2564</v>
      </c>
      <c r="J91" s="2" t="s">
        <v>2305</v>
      </c>
    </row>
    <row r="92">
      <c r="A92" s="2" t="s">
        <v>2565</v>
      </c>
      <c r="B92" s="3" t="str">
        <f>A92</f>
        <v>unemployment-education-cycle-education_composition</v>
      </c>
      <c r="C92" s="2" t="s">
        <v>763</v>
      </c>
      <c r="D92" s="2" t="s">
        <v>2566</v>
      </c>
      <c r="E92" s="2" t="s">
        <v>2305</v>
      </c>
      <c r="F92" s="2" t="b">
        <v>1</v>
      </c>
      <c r="G92" s="2" t="b">
        <v>1</v>
      </c>
      <c r="H92" s="3" t="b">
        <f>AND(F92, G92, E92 = "confounder")</f>
        <v>1</v>
      </c>
      <c r="I92" s="2" t="s">
        <v>2567</v>
      </c>
      <c r="J92" s="2" t="s">
        <v>2305</v>
      </c>
    </row>
    <row r="93">
      <c r="A93" s="2" t="s">
        <v>2568</v>
      </c>
      <c r="B93" s="3" t="str">
        <f>A93</f>
        <v>costa-rica-us-life-expectancy-age_group</v>
      </c>
      <c r="C93" s="2" t="s">
        <v>766</v>
      </c>
      <c r="D93" s="2" t="s">
        <v>2334</v>
      </c>
      <c r="E93" s="2" t="s">
        <v>2305</v>
      </c>
      <c r="F93" s="2" t="b">
        <v>1</v>
      </c>
      <c r="G93" s="2" t="b">
        <v>1</v>
      </c>
      <c r="H93" s="3" t="b">
        <f>AND(F93, G93, E93 = "confounder")</f>
        <v>1</v>
      </c>
      <c r="I93" s="2" t="s">
        <v>2569</v>
      </c>
      <c r="J93" s="2" t="s">
        <v>2305</v>
      </c>
    </row>
    <row r="94">
      <c r="A94" s="2" t="s">
        <v>2570</v>
      </c>
      <c r="B94" s="3" t="str">
        <f>A94</f>
        <v>fertility-income-country-country</v>
      </c>
      <c r="C94" s="2" t="s">
        <v>770</v>
      </c>
      <c r="D94" s="2" t="s">
        <v>2372</v>
      </c>
      <c r="E94" s="2" t="s">
        <v>2305</v>
      </c>
      <c r="F94" s="2" t="b">
        <v>1</v>
      </c>
      <c r="G94" s="2" t="b">
        <v>1</v>
      </c>
      <c r="H94" s="3" t="b">
        <f>AND(F94, G94, E94 = "confounder")</f>
        <v>1</v>
      </c>
      <c r="I94" s="2" t="s">
        <v>2571</v>
      </c>
      <c r="J94" s="2" t="s">
        <v>2305</v>
      </c>
    </row>
    <row r="95">
      <c r="A95" s="2" t="s">
        <v>2572</v>
      </c>
      <c r="B95" s="3" t="str">
        <f>A95</f>
        <v>religiosity-happiness-country-national_wealth</v>
      </c>
      <c r="C95" s="2" t="s">
        <v>774</v>
      </c>
      <c r="D95" s="2" t="s">
        <v>2573</v>
      </c>
      <c r="E95" s="2" t="s">
        <v>2305</v>
      </c>
      <c r="F95" s="2" t="b">
        <v>1</v>
      </c>
      <c r="G95" s="2" t="b">
        <v>1</v>
      </c>
      <c r="H95" s="3" t="b">
        <f>AND(F95, G95, E95 = "confounder")</f>
        <v>1</v>
      </c>
      <c r="I95" s="2" t="s">
        <v>2574</v>
      </c>
      <c r="J95" s="2" t="s">
        <v>2305</v>
      </c>
    </row>
    <row r="96">
      <c r="A96" s="2" t="s">
        <v>2575</v>
      </c>
      <c r="B96" s="3" t="str">
        <f>A96</f>
        <v>voter-turnout-education-state-state</v>
      </c>
      <c r="C96" s="2" t="s">
        <v>778</v>
      </c>
      <c r="D96" s="2" t="s">
        <v>2409</v>
      </c>
      <c r="E96" s="2" t="s">
        <v>2305</v>
      </c>
      <c r="F96" s="2" t="b">
        <v>1</v>
      </c>
      <c r="G96" s="2" t="b">
        <v>1</v>
      </c>
      <c r="H96" s="3" t="b">
        <f>AND(F96, G96, E96 = "confounder")</f>
        <v>1</v>
      </c>
      <c r="I96" s="2" t="s">
        <v>2576</v>
      </c>
      <c r="J96" s="2" t="s">
        <v>2305</v>
      </c>
    </row>
    <row r="97">
      <c r="A97" s="2" t="s">
        <v>2577</v>
      </c>
      <c r="B97" s="3" t="str">
        <f>A97</f>
        <v>ad-ctr-platform-mix-platform</v>
      </c>
      <c r="C97" s="2" t="s">
        <v>782</v>
      </c>
      <c r="D97" s="2" t="s">
        <v>2578</v>
      </c>
      <c r="E97" s="2" t="s">
        <v>2305</v>
      </c>
      <c r="F97" s="2" t="b">
        <v>1</v>
      </c>
      <c r="G97" s="2" t="b">
        <v>1</v>
      </c>
      <c r="H97" s="3" t="b">
        <f>AND(F97, G97, E97 = "confounder")</f>
        <v>1</v>
      </c>
      <c r="I97" s="2" t="s">
        <v>2579</v>
      </c>
      <c r="J97" s="2" t="s">
        <v>2305</v>
      </c>
    </row>
  </sheetData>
  <autoFilter ref="A1:J1"/>
  <headerFooter/>
  <legacyDrawing r:id="rId1"/>
</worksheet>
</file>

<file path=xl/worksheets/sheet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X97"/>
  <sheetViews>
    <sheetView workbookViewId="0">
      <pane ySplit="1" topLeftCell="A2" state="frozen" activePane="bottomLeft"/>
      <selection pane="bottomLeft" activeCell="A1" sqref="A1"/>
    </sheetView>
  </sheetViews>
  <sheetFormatPr defaultRowHeight="15"/>
  <cols>
    <col min="1" max="1" width="40.154441833496094" customWidth="1"/>
    <col min="2" max="2" width="40.154441833496094" customWidth="1"/>
    <col min="3" max="3" width="33.19231414794922" customWidth="1"/>
    <col min="4" max="4" width="17.443378448486328" customWidth="1"/>
    <col min="5" max="5" width="17.443378448486328" customWidth="1"/>
    <col min="6" max="6" width="17.443378448486328" customWidth="1"/>
    <col min="7" max="7" width="17.443378448486328" customWidth="1"/>
    <col min="8" max="8" width="18.152408599853516" customWidth="1"/>
    <col min="9" max="9" width="17.443378448486328" customWidth="1"/>
    <col min="10" max="10" width="17.443378448486328" customWidth="1"/>
    <col min="11" max="11" width="18.152408599853516" customWidth="1"/>
    <col min="12" max="12" width="17.443378448486328" customWidth="1"/>
    <col min="13" max="13" width="17.443378448486328" customWidth="1"/>
    <col min="14" max="14" width="17.443378448486328" customWidth="1"/>
    <col min="15" max="15" width="17.443378448486328" customWidth="1"/>
    <col min="16" max="16" width="18.89305305480957" customWidth="1"/>
    <col min="17" max="17" width="17.443378448486328" customWidth="1"/>
    <col min="18" max="18" width="21.187231063842773" customWidth="1"/>
    <col min="19" max="19" width="20.15395736694336" customWidth="1"/>
    <col min="20" max="20" width="18.152408599853516" customWidth="1"/>
    <col min="21" max="21" width="19.022674560546875" customWidth="1"/>
    <col min="22" max="22" width="18.152408599853516" customWidth="1"/>
    <col min="23" max="23" width="25.605257034301758" customWidth="1"/>
    <col min="24" max="24" width="25.605257034301758" customWidth="1"/>
    <col min="25" max="25" width="17.754831314086914" customWidth="1"/>
    <col min="26" max="26" width="17.443378448486328" customWidth="1"/>
    <col min="27" max="27" width="18.934141159057617" customWidth="1"/>
    <col min="28" max="28" width="25.68146324157715" customWidth="1"/>
    <col min="29" max="29" width="17.443378448486328" customWidth="1"/>
    <col min="30" max="30" width="19.737957000732422" customWidth="1"/>
    <col min="31" max="31" width="17.443378448486328" customWidth="1"/>
    <col min="32" max="32" width="26.75480842590332" customWidth="1"/>
    <col min="33" max="33" width="19.740009307861328" customWidth="1"/>
    <col min="34" max="34" width="17.443378448486328" customWidth="1"/>
    <col min="35" max="35" width="28.996129989624023" customWidth="1"/>
    <col min="36" max="36" width="33.063907623291016" customWidth="1"/>
    <col min="37" max="37" width="18.90704345703125" customWidth="1"/>
    <col min="38" max="38" width="17.443378448486328" customWidth="1"/>
    <col min="39" max="39" width="23.295568466186523" customWidth="1"/>
    <col min="40" max="40" width="23.870744705200195" customWidth="1"/>
    <col min="41" max="41" width="18.774311065673828" customWidth="1"/>
    <col min="42" max="42" width="17.85445213317871" customWidth="1"/>
    <col min="43" max="43" width="17.443378448486328" customWidth="1"/>
    <col min="44" max="44" width="26.661638259887695" customWidth="1"/>
    <col min="45" max="45" width="19.203449249267578" customWidth="1"/>
    <col min="46" max="46" width="23.967615127563477" customWidth="1"/>
    <col min="47" max="47" width="25.971088409423828" customWidth="1"/>
    <col min="48" max="48" width="18.415151596069336" customWidth="1"/>
    <col min="49" max="49" width="23.21965980529785" customWidth="1"/>
    <col min="50" max="50" width="256" customWidth="1"/>
  </cols>
  <sheetData>
    <row r="1">
      <c r="A1" s="1" t="s">
        <v>2580</v>
      </c>
      <c r="B1" s="1" t="s">
        <v>1</v>
      </c>
      <c r="C1" s="1" t="s">
        <v>786</v>
      </c>
      <c r="D1" s="1" t="s">
        <v>2581</v>
      </c>
      <c r="E1" s="1" t="s">
        <v>2582</v>
      </c>
      <c r="F1" s="1" t="s">
        <v>2583</v>
      </c>
      <c r="G1" s="1" t="s">
        <v>2584</v>
      </c>
      <c r="H1" s="1" t="s">
        <v>2585</v>
      </c>
      <c r="I1" s="1" t="s">
        <v>2586</v>
      </c>
      <c r="J1" s="1" t="s">
        <v>2587</v>
      </c>
      <c r="K1" s="1" t="s">
        <v>2588</v>
      </c>
      <c r="L1" s="1" t="s">
        <v>2589</v>
      </c>
      <c r="M1" s="1" t="s">
        <v>2590</v>
      </c>
      <c r="N1" s="1" t="s">
        <v>2591</v>
      </c>
      <c r="O1" s="1" t="s">
        <v>2592</v>
      </c>
      <c r="P1" s="1" t="s">
        <v>2593</v>
      </c>
      <c r="Q1" s="1" t="s">
        <v>2594</v>
      </c>
      <c r="R1" s="1" t="s">
        <v>2595</v>
      </c>
      <c r="S1" s="1" t="s">
        <v>2596</v>
      </c>
      <c r="T1" s="1" t="s">
        <v>2597</v>
      </c>
      <c r="U1" s="1" t="s">
        <v>2598</v>
      </c>
      <c r="V1" s="1" t="s">
        <v>2599</v>
      </c>
      <c r="W1" s="1" t="s">
        <v>2600</v>
      </c>
      <c r="X1" s="1" t="s">
        <v>2601</v>
      </c>
      <c r="Y1" s="1" t="s">
        <v>2602</v>
      </c>
      <c r="Z1" s="1" t="s">
        <v>2603</v>
      </c>
      <c r="AA1" s="1" t="s">
        <v>2604</v>
      </c>
      <c r="AB1" s="1" t="s">
        <v>2605</v>
      </c>
      <c r="AC1" s="1" t="s">
        <v>408</v>
      </c>
      <c r="AD1" s="1" t="s">
        <v>406</v>
      </c>
      <c r="AE1" s="1" t="s">
        <v>404</v>
      </c>
      <c r="AF1" s="1" t="s">
        <v>405</v>
      </c>
      <c r="AG1" s="1" t="s">
        <v>2606</v>
      </c>
      <c r="AH1" s="1" t="s">
        <v>409</v>
      </c>
      <c r="AI1" s="1" t="s">
        <v>2607</v>
      </c>
      <c r="AJ1" s="1" t="s">
        <v>2608</v>
      </c>
      <c r="AK1" s="1" t="s">
        <v>2609</v>
      </c>
      <c r="AL1" s="1" t="s">
        <v>407</v>
      </c>
      <c r="AM1" s="1" t="s">
        <v>2610</v>
      </c>
      <c r="AN1" s="1" t="s">
        <v>2264</v>
      </c>
      <c r="AO1" s="1" t="s">
        <v>2611</v>
      </c>
      <c r="AP1" s="1" t="s">
        <v>2612</v>
      </c>
      <c r="AQ1" s="1" t="s">
        <v>2613</v>
      </c>
      <c r="AR1" s="1" t="s">
        <v>2614</v>
      </c>
      <c r="AS1" s="1" t="s">
        <v>2615</v>
      </c>
      <c r="AT1" s="1" t="s">
        <v>2616</v>
      </c>
      <c r="AU1" s="1" t="s">
        <v>2617</v>
      </c>
      <c r="AV1" s="1" t="s">
        <v>2618</v>
      </c>
      <c r="AW1" s="1" t="s">
        <v>2619</v>
      </c>
      <c r="AX1" s="1" t="s">
        <v>2620</v>
      </c>
    </row>
    <row r="2">
      <c r="A2" s="2" t="s">
        <v>2621</v>
      </c>
      <c r="B2" s="3" t="str">
        <f>A2</f>
        <v>kidney-1986-A-vs-B</v>
      </c>
      <c r="C2" s="2" t="s">
        <v>414</v>
      </c>
      <c r="D2" s="2" t="s">
        <v>792</v>
      </c>
      <c r="E2" s="2" t="s">
        <v>795</v>
      </c>
      <c r="F2" s="5">
        <f>SUMIFS(CaseCells!G2:G999,CaseCells!C2:C999, C2,CaseCells!E2:E999, D2)</f>
        <v>350</v>
      </c>
      <c r="G2" s="5">
        <f>SUMIFS(CaseCells!F2:F999,CaseCells!C2:C999, C2,CaseCells!E2:E999, D2)</f>
        <v>273</v>
      </c>
      <c r="H2" s="3">
        <f>IF(F2 = 0, "", G2 / F2)</f>
        <v>0.78</v>
      </c>
      <c r="I2" s="5">
        <f>SUMIFS(CaseCells!G2:G999,CaseCells!C2:C999, C2,CaseCells!E2:E999, E2)</f>
        <v>350</v>
      </c>
      <c r="J2" s="5">
        <f>SUMIFS(CaseCells!F2:F999,CaseCells!C2:C999, C2,CaseCells!E2:E999, E2)</f>
        <v>289</v>
      </c>
      <c r="K2" s="3">
        <f>IF(I2 = 0, "", J2 / I2)</f>
        <v>0.8257142857142857</v>
      </c>
      <c r="L2" s="3" t="str">
        <f>IF(OR(H2 = "", K2 = ""), "", IF(ABS(H2 - K2) &lt; 0.0000001, "tie", IF(H2 &gt; K2, D2, E2)))</f>
        <v>B</v>
      </c>
      <c r="M2" s="5">
        <f>COUNTIFS(StratumSummaries!C2:C999, C2,StratumSummaries!E2:E999, D2)</f>
        <v>2</v>
      </c>
      <c r="N2" s="5">
        <f>COUNTIFS(StratumSummaries!C2:C999, C2,StratumSummaries!E2:E999, D2,StratumSummaries!O2:O999, D2)</f>
        <v>2</v>
      </c>
      <c r="O2" s="5">
        <f>COUNTIFS(StratumSummaries!C2:C999, C2,StratumSummaries!E2:E999, D2,StratumSummaries!O2:O999, E2)</f>
        <v>0</v>
      </c>
      <c r="P2" s="3" t="str">
        <f>IF(N2 = M2, D2, IF(O2 = M2, E2, "none"))</f>
        <v>A</v>
      </c>
      <c r="Q2" s="3" t="b">
        <f>IF(AC2 = "", "", AC2)</f>
        <v>1</v>
      </c>
      <c r="R2" s="5">
        <f>COUNTIFS(StratumVariables!C2:C999, C2,StratumVariables!H2:H999, TRUE())</f>
        <v>1</v>
      </c>
      <c r="S2" s="3" t="b">
        <f>AND(Q2, R2 &gt; 0)</f>
        <v>1</v>
      </c>
      <c r="T2" s="3">
        <f>IF(H2 = "", "", ABS(H2 - K2))</f>
        <v>0.04571428571428571</v>
      </c>
      <c r="U2" s="5">
        <f>IF(L2 = D2, O2, N2)</f>
        <v>2</v>
      </c>
      <c r="V2" s="3">
        <f>IF(M2 = 0, "", T2 * (U2 / M2))</f>
        <v>0.04571428571428571</v>
      </c>
      <c r="W2" s="3">
        <f>SUMIFS(StratumSummaries!S2:S999,StratumSummaries!C2:C999, C2,StratumSummaries!E2:E999, D2)</f>
        <v>0.8325462173856037</v>
      </c>
      <c r="X2" s="3">
        <f>SUMIFS(StratumSummaries!S2:S999,StratumSummaries!C2:C999, C2,StratumSummaries!E2:E999, E2)</f>
        <v>0.778875</v>
      </c>
      <c r="Y2" s="3">
        <f>IF(M2 = 0, "", U2 / M2)</f>
        <v>1</v>
      </c>
      <c r="Z2" s="3">
        <f>IF(M2 = 0, "", Y2 - 0.5)</f>
        <v>0.5</v>
      </c>
      <c r="AA2" s="3">
        <f>IF(H2 = "", "", H2 - K2)</f>
        <v>-0.04571428571428571</v>
      </c>
      <c r="AB2" s="3">
        <f>SUMIFS(StratumSummaries!AB2:AB999,StratumSummaries!C2:C999, C2,StratumSummaries!E2:E999, D2)</f>
        <v>0.053671217385603764</v>
      </c>
      <c r="AC2" s="3" t="b">
        <f>IF(AB2 = "", "", IF(AB2 &gt; 0, AA2 &lt; 0, AA2 &gt; 0))</f>
        <v>1</v>
      </c>
      <c r="AD2" s="3">
        <f>IF(AB2 = "", "", ABS(AB2 - AA2))</f>
        <v>0.09938550309988947</v>
      </c>
      <c r="AE2" s="3" t="str">
        <f>IF(AD2 = "", "", IF(AC2, IF(AND(AB2 &lt;&gt; 0, AA2 / AB2 &lt; -1), "B", IF(AND(AB2 &lt;&gt; 0, AA2 / AB2 &lt; 0), "A", IF(Y2 = 1, "A", "B"))), IF(AND(NOT(AC2), AD2 &gt; 0.01, ABS(AA2) &gt; ABS(AG2) + 0.001), "C+", IF(AND(NOT(AC2), AD2 &gt; 0.01, ABS(AA2) &lt; ABS(AG2) - 0.001), "C-", "D"))))</f>
        <v>A</v>
      </c>
      <c r="AF2" s="3" t="str">
        <f>IF(AE2 = "", "", IF(AE2 = "A", "stratify-immediately", IF(AE2 = "B", "investigate-confounder", IF(OR(AE2 = "C+", AE2 = "C-"), "check-allocation-bias", "pooled-analysis-trustworthy"))))</f>
        <v>stratify-immediately</v>
      </c>
      <c r="AG2" s="3">
        <f>AB2</f>
        <v>0.053671217385603764</v>
      </c>
      <c r="AH2" s="3" t="str">
        <f>IF(AG2 = "", "", IF(ABS(AG2) &lt; 0.0001, "tie", IF(AG2 &gt; 0, D2, IF(AG2 &lt; 0, E2, "tie"))))</f>
        <v>A</v>
      </c>
      <c r="AI2" s="3" t="b">
        <f>IF(AH2 = "", "", AH2 = L2)</f>
        <v>0</v>
      </c>
      <c r="AJ2" s="3" t="str">
        <f>IF(AE2 = "", "", IF(AE2 = "A", "use-corrected-winner", IF(AE2 = "B", "use-corrected-winner-with-caution", IF(OR(AE2 = "C+", AE2 = "C-"), "check-allocation-bias", "pooled-analysis-trustworthy"))))</f>
        <v>use-corrected-winner</v>
      </c>
      <c r="AK2" s="3" t="str">
        <f>IF(AG2 = "", "", IF(AC2, "reversal", IF(ABS(AA2) &gt; ABS(AG2) + 0.001, "amplification", IF(ABS(AA2) &lt; ABS(AG2) - 0.001, "compression", "neutral"))))</f>
        <v>reversal</v>
      </c>
      <c r="AL2" s="3">
        <f>IF(AG2 = "", "", IF(ABS(AG2) + AD2 = 0, 1, ABS(AG2) / (ABS(AG2) + AD2)))</f>
        <v>0.35066227223057966</v>
      </c>
      <c r="AM2" s="3" t="e">
        <f>LOOKUP(C2, SweepStudySummary[SweepStudyId], SweepStudySummary[PooledGapCrossesZero])</f>
        <v>#VALUE!</v>
      </c>
      <c r="AN2" s="3" t="e">
        <f>LOOKUP(C2, SweepStudySummary[SweepStudyId], SweepStudySummary[SweepPooledGapRange])</f>
        <v>#VALUE!</v>
      </c>
      <c r="AO2" s="3" t="e">
        <f>IF(AE2 = "", "", AND(AE2 = "D", AM2 = TRUE))</f>
        <v>#VALUE!</v>
      </c>
      <c r="AP2" s="3" t="e">
        <f>IF(OR(AN2 = "", T2 = "", T2 = 0), "", AN2 / ABS(T2))</f>
        <v>#VALUE!</v>
      </c>
      <c r="AQ2" s="3" t="e">
        <f>LOOKUP(C2, Studies[StudyId], Studies[Domain])</f>
        <v>#VALUE!</v>
      </c>
      <c r="AR2" s="5">
        <f>COUNTIFS(StratumVariables!C2:C999, C2,StratumVariables!E2:E999, "confounder")</f>
        <v>1</v>
      </c>
      <c r="AS2" s="5">
        <f>COUNTIFS(StratumVariables!C2:C999, C2,StratumVariables!J2:J999, "mediator") + COUNTIFS(StratumVariables!C2:C999, C2,StratumVariables!J2:J999, "collider")</f>
        <v>0</v>
      </c>
      <c r="AT2" s="5">
        <f>COUNTIFS(StratumVariables!C2:C999, C2,StratumVariables!E2:E999, "contested")</f>
        <v>0</v>
      </c>
      <c r="AU2" s="5">
        <f>COUNTIFS(StratumVariables!C2:C999, C2,StratumVariables!E2:E999, "unknown")</f>
        <v>0</v>
      </c>
      <c r="AV2" s="3" t="str">
        <f>IF(AT2 &gt; 0, "contested", IF(AU2 &gt; 0, "geometric-only", IF(AR2 &gt; 0, "established", "geometric-only")))</f>
        <v>established</v>
      </c>
      <c r="AW2" s="3" t="b">
        <f>AND(AS2 = 0, AV2 = "established")</f>
        <v>1</v>
      </c>
      <c r="AX2" s="2" t="s">
        <v>2622</v>
      </c>
    </row>
    <row r="3">
      <c r="A3" s="2" t="s">
        <v>2623</v>
      </c>
      <c r="B3" s="3" t="str">
        <f>A3</f>
        <v>kidney-balanced-A-vs-B</v>
      </c>
      <c r="C3" s="2" t="s">
        <v>425</v>
      </c>
      <c r="D3" s="2" t="s">
        <v>792</v>
      </c>
      <c r="E3" s="2" t="s">
        <v>795</v>
      </c>
      <c r="F3" s="5">
        <f>SUMIFS(CaseCells!G2:G999,CaseCells!C2:C999, C3,CaseCells!E2:E999, D3)</f>
        <v>350</v>
      </c>
      <c r="G3" s="5">
        <f>SUMIFS(CaseCells!F2:F999,CaseCells!C2:C999, C3,CaseCells!E2:E999, D3)</f>
        <v>291</v>
      </c>
      <c r="H3" s="3">
        <f>IF(F3 = 0, "", G3 / F3)</f>
        <v>0.8314285714285714</v>
      </c>
      <c r="I3" s="5">
        <f>SUMIFS(CaseCells!G2:G999,CaseCells!C2:C999, C3,CaseCells!E2:E999, E3)</f>
        <v>350</v>
      </c>
      <c r="J3" s="5">
        <f>SUMIFS(CaseCells!F2:F999,CaseCells!C2:C999, C3,CaseCells!E2:E999, E3)</f>
        <v>272</v>
      </c>
      <c r="K3" s="3">
        <f>IF(I3 = 0, "", J3 / I3)</f>
        <v>0.7771428571428571</v>
      </c>
      <c r="L3" s="3" t="str">
        <f>IF(OR(H3 = "", K3 = ""), "", IF(ABS(H3 - K3) &lt; 0.0000001, "tie", IF(H3 &gt; K3, D3, E3)))</f>
        <v>A</v>
      </c>
      <c r="M3" s="5">
        <f>COUNTIFS(StratumSummaries!C2:C999, C3,StratumSummaries!E2:E999, D3)</f>
        <v>2</v>
      </c>
      <c r="N3" s="5">
        <f>COUNTIFS(StratumSummaries!C2:C999, C3,StratumSummaries!E2:E999, D3,StratumSummaries!O2:O999, D3)</f>
        <v>2</v>
      </c>
      <c r="O3" s="5">
        <f>COUNTIFS(StratumSummaries!C2:C999, C3,StratumSummaries!E2:E999, D3,StratumSummaries!O2:O999, E3)</f>
        <v>0</v>
      </c>
      <c r="P3" s="3" t="str">
        <f>IF(N3 = M3, D3, IF(O3 = M3, E3, "none"))</f>
        <v>A</v>
      </c>
      <c r="Q3" s="3" t="b">
        <f>IF(AC3 = "", "", AC3)</f>
        <v>0</v>
      </c>
      <c r="R3" s="5">
        <f>COUNTIFS(StratumVariables!C2:C999, C3,StratumVariables!H2:H999, TRUE())</f>
        <v>0</v>
      </c>
      <c r="S3" s="3" t="b">
        <f>AND(Q3, R3 &gt; 0)</f>
        <v>0</v>
      </c>
      <c r="T3" s="3">
        <f>IF(H3 = "", "", ABS(H3 - K3))</f>
        <v>0.05428571428571427</v>
      </c>
      <c r="U3" s="5">
        <f>IF(L3 = D3, O3, N3)</f>
        <v>0</v>
      </c>
      <c r="V3" s="3">
        <f>IF(M3 = 0, "", T3 * (U3 / M3))</f>
        <v>0</v>
      </c>
      <c r="W3" s="3">
        <f>SUMIFS(StratumSummaries!S2:S999,StratumSummaries!C2:C999, C3,StratumSummaries!E2:E999, D3)</f>
        <v>0.8314285714285714</v>
      </c>
      <c r="X3" s="3">
        <f>SUMIFS(StratumSummaries!S2:S999,StratumSummaries!C2:C999, C3,StratumSummaries!E2:E999, E3)</f>
        <v>0.7771428571428571</v>
      </c>
      <c r="Y3" s="3">
        <f>IF(M3 = 0, "", U3 / M3)</f>
        <v>0</v>
      </c>
      <c r="Z3" s="3">
        <f>IF(M3 = 0, "", Y3 - 0.5)</f>
        <v>-0.5</v>
      </c>
      <c r="AA3" s="3">
        <f>IF(H3 = "", "", H3 - K3)</f>
        <v>0.05428571428571427</v>
      </c>
      <c r="AB3" s="3">
        <f>SUMIFS(StratumSummaries!AB2:AB999,StratumSummaries!C2:C999, C3,StratumSummaries!E2:E999, D3)</f>
        <v>0.05428571428571427</v>
      </c>
      <c r="AC3" s="3" t="b">
        <f>IF(AB3 = "", "", IF(AB3 &gt; 0, AA3 &lt; 0, AA3 &gt; 0))</f>
        <v>0</v>
      </c>
      <c r="AD3" s="3">
        <f>IF(AB3 = "", "", ABS(AB3 - AA3))</f>
        <v>0</v>
      </c>
      <c r="AE3" s="3" t="str">
        <f>IF(AD3 = "", "", IF(AC3, IF(AND(AB3 &lt;&gt; 0, AA3 / AB3 &lt; -1), "B", IF(AND(AB3 &lt;&gt; 0, AA3 / AB3 &lt; 0), "A", IF(Y3 = 1, "A", "B"))), IF(AND(NOT(AC3), AD3 &gt; 0.01, ABS(AA3) &gt; ABS(AG3) + 0.001), "C+", IF(AND(NOT(AC3), AD3 &gt; 0.01, ABS(AA3) &lt; ABS(AG3) - 0.001), "C-", "D"))))</f>
        <v>D</v>
      </c>
      <c r="AF3" s="3" t="str">
        <f>IF(AE3 = "", "", IF(AE3 = "A", "stratify-immediately", IF(AE3 = "B", "investigate-confounder", IF(OR(AE3 = "C+", AE3 = "C-"), "check-allocation-bias", "pooled-analysis-trustworthy"))))</f>
        <v>pooled-analysis-trustworthy</v>
      </c>
      <c r="AG3" s="3">
        <f>AB3</f>
        <v>0.05428571428571427</v>
      </c>
      <c r="AH3" s="3" t="str">
        <f>IF(AG3 = "", "", IF(ABS(AG3) &lt; 0.0001, "tie", IF(AG3 &gt; 0, D3, IF(AG3 &lt; 0, E3, "tie"))))</f>
        <v>A</v>
      </c>
      <c r="AI3" s="3" t="b">
        <f>IF(AH3 = "", "", AH3 = L3)</f>
        <v>1</v>
      </c>
      <c r="AJ3" s="3" t="str">
        <f>IF(AE3 = "", "", IF(AE3 = "A", "use-corrected-winner", IF(AE3 = "B", "use-corrected-winner-with-caution", IF(OR(AE3 = "C+", AE3 = "C-"), "check-allocation-bias", "pooled-analysis-trustworthy"))))</f>
        <v>pooled-analysis-trustworthy</v>
      </c>
      <c r="AK3" s="3" t="str">
        <f>IF(AG3 = "", "", IF(AC3, "reversal", IF(ABS(AA3) &gt; ABS(AG3) + 0.001, "amplification", IF(ABS(AA3) &lt; ABS(AG3) - 0.001, "compression", "neutral"))))</f>
        <v>neutral</v>
      </c>
      <c r="AL3" s="3">
        <f>IF(AG3 = "", "", IF(ABS(AG3) + AD3 = 0, 1, ABS(AG3) / (ABS(AG3) + AD3)))</f>
        <v>1</v>
      </c>
      <c r="AM3" s="3" t="e">
        <f>LOOKUP(C3, SweepStudySummary[SweepStudyId], SweepStudySummary[PooledGapCrossesZero])</f>
        <v>#VALUE!</v>
      </c>
      <c r="AN3" s="3" t="e">
        <f>LOOKUP(C3, SweepStudySummary[SweepStudyId], SweepStudySummary[SweepPooledGapRange])</f>
        <v>#VALUE!</v>
      </c>
      <c r="AO3" s="3" t="e">
        <f>IF(AE3 = "", "", AND(AE3 = "D", AM3 = TRUE))</f>
        <v>#VALUE!</v>
      </c>
      <c r="AP3" s="3" t="e">
        <f>IF(OR(AN3 = "", T3 = "", T3 = 0), "", AN3 / ABS(T3))</f>
        <v>#VALUE!</v>
      </c>
      <c r="AQ3" s="3" t="e">
        <f>LOOKUP(C3, Studies[StudyId], Studies[Domain])</f>
        <v>#VALUE!</v>
      </c>
      <c r="AR3" s="5">
        <f>COUNTIFS(StratumVariables!C2:C999, C3,StratumVariables!E2:E999, "confounder")</f>
        <v>1</v>
      </c>
      <c r="AS3" s="5">
        <f>COUNTIFS(StratumVariables!C2:C999, C3,StratumVariables!J2:J999, "mediator") + COUNTIFS(StratumVariables!C2:C999, C3,StratumVariables!J2:J999, "collider")</f>
        <v>0</v>
      </c>
      <c r="AT3" s="5">
        <f>COUNTIFS(StratumVariables!C2:C999, C3,StratumVariables!E2:E999, "contested")</f>
        <v>0</v>
      </c>
      <c r="AU3" s="5">
        <f>COUNTIFS(StratumVariables!C2:C999, C3,StratumVariables!E2:E999, "unknown")</f>
        <v>0</v>
      </c>
      <c r="AV3" s="3" t="str">
        <f>IF(AT3 &gt; 0, "contested", IF(AU3 &gt; 0, "geometric-only", IF(AR3 &gt; 0, "established", "geometric-only")))</f>
        <v>established</v>
      </c>
      <c r="AW3" s="3" t="b">
        <f>AND(AS3 = 0, AV3 = "established")</f>
        <v>1</v>
      </c>
      <c r="AX3" s="2" t="s">
        <v>2624</v>
      </c>
    </row>
    <row r="4">
      <c r="A4" s="2" t="s">
        <v>2625</v>
      </c>
      <c r="B4" s="3" t="str">
        <f>A4</f>
        <v>balanced-synthetic-A-vs-B</v>
      </c>
      <c r="C4" s="2" t="s">
        <v>420</v>
      </c>
      <c r="D4" s="2" t="s">
        <v>792</v>
      </c>
      <c r="E4" s="2" t="s">
        <v>795</v>
      </c>
      <c r="F4" s="5">
        <f>SUMIFS(CaseCells!G2:G999,CaseCells!C2:C999, C4,CaseCells!E2:E999, D4)</f>
        <v>200</v>
      </c>
      <c r="G4" s="5">
        <f>SUMIFS(CaseCells!F2:F999,CaseCells!C2:C999, C4,CaseCells!E2:E999, D4)</f>
        <v>120</v>
      </c>
      <c r="H4" s="3">
        <f>IF(F4 = 0, "", G4 / F4)</f>
        <v>0.6</v>
      </c>
      <c r="I4" s="5">
        <f>SUMIFS(CaseCells!G2:G999,CaseCells!C2:C999, C4,CaseCells!E2:E999, E4)</f>
        <v>200</v>
      </c>
      <c r="J4" s="5">
        <f>SUMIFS(CaseCells!F2:F999,CaseCells!C2:C999, C4,CaseCells!E2:E999, E4)</f>
        <v>100</v>
      </c>
      <c r="K4" s="3">
        <f>IF(I4 = 0, "", J4 / I4)</f>
        <v>0.5</v>
      </c>
      <c r="L4" s="3" t="str">
        <f>IF(OR(H4 = "", K4 = ""), "", IF(ABS(H4 - K4) &lt; 0.0000001, "tie", IF(H4 &gt; K4, D4, E4)))</f>
        <v>A</v>
      </c>
      <c r="M4" s="5">
        <f>COUNTIFS(StratumSummaries!C2:C999, C4,StratumSummaries!E2:E999, D4)</f>
        <v>2</v>
      </c>
      <c r="N4" s="5">
        <f>COUNTIFS(StratumSummaries!C2:C999, C4,StratumSummaries!E2:E999, D4,StratumSummaries!O2:O999, D4)</f>
        <v>2</v>
      </c>
      <c r="O4" s="5">
        <f>COUNTIFS(StratumSummaries!C2:C999, C4,StratumSummaries!E2:E999, D4,StratumSummaries!O2:O999, E4)</f>
        <v>0</v>
      </c>
      <c r="P4" s="3" t="str">
        <f>IF(N4 = M4, D4, IF(O4 = M4, E4, "none"))</f>
        <v>A</v>
      </c>
      <c r="Q4" s="3" t="b">
        <f>IF(AC4 = "", "", AC4)</f>
        <v>0</v>
      </c>
      <c r="R4" s="5">
        <f>COUNTIFS(StratumVariables!C2:C999, C4,StratumVariables!H2:H999, TRUE())</f>
        <v>0</v>
      </c>
      <c r="S4" s="3" t="b">
        <f>AND(Q4, R4 &gt; 0)</f>
        <v>0</v>
      </c>
      <c r="T4" s="3">
        <f>IF(H4 = "", "", ABS(H4 - K4))</f>
        <v>0.09999999999999998</v>
      </c>
      <c r="U4" s="5">
        <f>IF(L4 = D4, O4, N4)</f>
        <v>0</v>
      </c>
      <c r="V4" s="3">
        <f>IF(M4 = 0, "", T4 * (U4 / M4))</f>
        <v>0</v>
      </c>
      <c r="W4" s="3">
        <f>SUMIFS(StratumSummaries!S2:S999,StratumSummaries!C2:C999, C4,StratumSummaries!E2:E999, D4)</f>
        <v>0.6</v>
      </c>
      <c r="X4" s="3">
        <f>SUMIFS(StratumSummaries!S2:S999,StratumSummaries!C2:C999, C4,StratumSummaries!E2:E999, E4)</f>
        <v>0.5</v>
      </c>
      <c r="Y4" s="3">
        <f>IF(M4 = 0, "", U4 / M4)</f>
        <v>0</v>
      </c>
      <c r="Z4" s="3">
        <f>IF(M4 = 0, "", Y4 - 0.5)</f>
        <v>-0.5</v>
      </c>
      <c r="AA4" s="3">
        <f>IF(H4 = "", "", H4 - K4)</f>
        <v>0.09999999999999998</v>
      </c>
      <c r="AB4" s="3">
        <f>SUMIFS(StratumSummaries!AB2:AB999,StratumSummaries!C2:C999, C4,StratumSummaries!E2:E999, D4)</f>
        <v>0.09999999999999998</v>
      </c>
      <c r="AC4" s="3" t="b">
        <f>IF(AB4 = "", "", IF(AB4 &gt; 0, AA4 &lt; 0, AA4 &gt; 0))</f>
        <v>0</v>
      </c>
      <c r="AD4" s="3">
        <f>IF(AB4 = "", "", ABS(AB4 - AA4))</f>
        <v>0</v>
      </c>
      <c r="AE4" s="3" t="str">
        <f>IF(AD4 = "", "", IF(AC4, IF(AND(AB4 &lt;&gt; 0, AA4 / AB4 &lt; -1), "B", IF(AND(AB4 &lt;&gt; 0, AA4 / AB4 &lt; 0), "A", IF(Y4 = 1, "A", "B"))), IF(AND(NOT(AC4), AD4 &gt; 0.01, ABS(AA4) &gt; ABS(AG4) + 0.001), "C+", IF(AND(NOT(AC4), AD4 &gt; 0.01, ABS(AA4) &lt; ABS(AG4) - 0.001), "C-", "D"))))</f>
        <v>D</v>
      </c>
      <c r="AF4" s="3" t="str">
        <f>IF(AE4 = "", "", IF(AE4 = "A", "stratify-immediately", IF(AE4 = "B", "investigate-confounder", IF(OR(AE4 = "C+", AE4 = "C-"), "check-allocation-bias", "pooled-analysis-trustworthy"))))</f>
        <v>pooled-analysis-trustworthy</v>
      </c>
      <c r="AG4" s="3">
        <f>AB4</f>
        <v>0.09999999999999998</v>
      </c>
      <c r="AH4" s="3" t="str">
        <f>IF(AG4 = "", "", IF(ABS(AG4) &lt; 0.0001, "tie", IF(AG4 &gt; 0, D4, IF(AG4 &lt; 0, E4, "tie"))))</f>
        <v>A</v>
      </c>
      <c r="AI4" s="3" t="b">
        <f>IF(AH4 = "", "", AH4 = L4)</f>
        <v>1</v>
      </c>
      <c r="AJ4" s="3" t="str">
        <f>IF(AE4 = "", "", IF(AE4 = "A", "use-corrected-winner", IF(AE4 = "B", "use-corrected-winner-with-caution", IF(OR(AE4 = "C+", AE4 = "C-"), "check-allocation-bias", "pooled-analysis-trustworthy"))))</f>
        <v>pooled-analysis-trustworthy</v>
      </c>
      <c r="AK4" s="3" t="str">
        <f>IF(AG4 = "", "", IF(AC4, "reversal", IF(ABS(AA4) &gt; ABS(AG4) + 0.001, "amplification", IF(ABS(AA4) &lt; ABS(AG4) - 0.001, "compression", "neutral"))))</f>
        <v>neutral</v>
      </c>
      <c r="AL4" s="3">
        <f>IF(AG4 = "", "", IF(ABS(AG4) + AD4 = 0, 1, ABS(AG4) / (ABS(AG4) + AD4)))</f>
        <v>1</v>
      </c>
      <c r="AM4" s="3" t="e">
        <f>LOOKUP(C4, SweepStudySummary[SweepStudyId], SweepStudySummary[PooledGapCrossesZero])</f>
        <v>#VALUE!</v>
      </c>
      <c r="AN4" s="3" t="e">
        <f>LOOKUP(C4, SweepStudySummary[SweepStudyId], SweepStudySummary[SweepPooledGapRange])</f>
        <v>#VALUE!</v>
      </c>
      <c r="AO4" s="3" t="e">
        <f>IF(AE4 = "", "", AND(AE4 = "D", AM4 = TRUE))</f>
        <v>#VALUE!</v>
      </c>
      <c r="AP4" s="3" t="e">
        <f>IF(OR(AN4 = "", T4 = "", T4 = 0), "", AN4 / ABS(T4))</f>
        <v>#VALUE!</v>
      </c>
      <c r="AQ4" s="3" t="e">
        <f>LOOKUP(C4, Studies[StudyId], Studies[Domain])</f>
        <v>#VALUE!</v>
      </c>
      <c r="AR4" s="5">
        <f>COUNTIFS(StratumVariables!C2:C999, C4,StratumVariables!E2:E999, "confounder")</f>
        <v>0</v>
      </c>
      <c r="AS4" s="5">
        <f>COUNTIFS(StratumVariables!C2:C999, C4,StratumVariables!J2:J999, "mediator") + COUNTIFS(StratumVariables!C2:C999, C4,StratumVariables!J2:J999, "collider")</f>
        <v>0</v>
      </c>
      <c r="AT4" s="5">
        <f>COUNTIFS(StratumVariables!C2:C999, C4,StratumVariables!E2:E999, "contested")</f>
        <v>0</v>
      </c>
      <c r="AU4" s="5">
        <f>COUNTIFS(StratumVariables!C2:C999, C4,StratumVariables!E2:E999, "unknown")</f>
        <v>1</v>
      </c>
      <c r="AV4" s="3" t="str">
        <f>IF(AT4 &gt; 0, "contested", IF(AU4 &gt; 0, "geometric-only", IF(AR4 &gt; 0, "established", "geometric-only")))</f>
        <v>geometric-only</v>
      </c>
      <c r="AW4" s="3" t="b">
        <f>AND(AS4 = 0, AV4 = "established")</f>
        <v>0</v>
      </c>
      <c r="AX4" s="2" t="s">
        <v>2626</v>
      </c>
    </row>
    <row r="5">
      <c r="A5" s="2" t="s">
        <v>2627</v>
      </c>
      <c r="B5" s="3" t="str">
        <f>A5</f>
        <v>berkeley-1973-A-vs-B</v>
      </c>
      <c r="C5" s="2" t="s">
        <v>428</v>
      </c>
      <c r="D5" s="2" t="s">
        <v>792</v>
      </c>
      <c r="E5" s="2" t="s">
        <v>795</v>
      </c>
      <c r="F5" s="5">
        <f>SUMIFS(CaseCells!G2:G999,CaseCells!C2:C999, C5,CaseCells!E2:E999, D5)</f>
        <v>2127</v>
      </c>
      <c r="G5" s="5">
        <f>SUMIFS(CaseCells!F2:F999,CaseCells!C2:C999, C5,CaseCells!E2:E999, D5)</f>
        <v>1123</v>
      </c>
      <c r="H5" s="3">
        <f>IF(F5 = 0, "", G5 / F5)</f>
        <v>0.5279736718382698</v>
      </c>
      <c r="I5" s="5">
        <f>SUMIFS(CaseCells!G2:G999,CaseCells!C2:C999, C5,CaseCells!E2:E999, E5)</f>
        <v>1101</v>
      </c>
      <c r="J5" s="5">
        <f>SUMIFS(CaseCells!F2:F999,CaseCells!C2:C999, C5,CaseCells!E2:E999, E5)</f>
        <v>439</v>
      </c>
      <c r="K5" s="3">
        <f>IF(I5 = 0, "", J5 / I5)</f>
        <v>0.39872842870118075</v>
      </c>
      <c r="L5" s="3" t="str">
        <f>IF(OR(H5 = "", K5 = ""), "", IF(ABS(H5 - K5) &lt; 0.0000001, "tie", IF(H5 &gt; K5, D5, E5)))</f>
        <v>A</v>
      </c>
      <c r="M5" s="5">
        <f>COUNTIFS(StratumSummaries!C2:C999, C5,StratumSummaries!E2:E999, D5)</f>
        <v>4</v>
      </c>
      <c r="N5" s="5">
        <f>COUNTIFS(StratumSummaries!C2:C999, C5,StratumSummaries!E2:E999, D5,StratumSummaries!O2:O999, D5)</f>
        <v>1</v>
      </c>
      <c r="O5" s="5">
        <f>COUNTIFS(StratumSummaries!C2:C999, C5,StratumSummaries!E2:E999, D5,StratumSummaries!O2:O999, E5)</f>
        <v>3</v>
      </c>
      <c r="P5" s="3" t="str">
        <f>IF(N5 = M5, D5, IF(O5 = M5, E5, "none"))</f>
        <v>none</v>
      </c>
      <c r="Q5" s="3" t="b">
        <f>IF(AC5 = "", "", AC5)</f>
        <v>1</v>
      </c>
      <c r="R5" s="5">
        <f>COUNTIFS(StratumVariables!C2:C999, C5,StratumVariables!H2:H999, TRUE())</f>
        <v>0</v>
      </c>
      <c r="S5" s="3" t="b">
        <f>AND(Q5, R5 &gt; 0)</f>
        <v>0</v>
      </c>
      <c r="T5" s="3">
        <f>IF(H5 = "", "", ABS(H5 - K5))</f>
        <v>0.12924524313708907</v>
      </c>
      <c r="U5" s="5">
        <f>IF(L5 = D5, O5, N5)</f>
        <v>3</v>
      </c>
      <c r="V5" s="3">
        <f>IF(M5 = 0, "", T5 * (U5 / M5))</f>
        <v>0.0969339323528168</v>
      </c>
      <c r="W5" s="3">
        <f>SUMIFS(StratumSummaries!S2:S999,StratumSummaries!C2:C999, C5,StratumSummaries!E2:E999, D5)</f>
        <v>0.4798138007110253</v>
      </c>
      <c r="X5" s="3">
        <f>SUMIFS(StratumSummaries!S2:S999,StratumSummaries!C2:C999, C5,StratumSummaries!E2:E999, E5)</f>
        <v>0.5440029040211435</v>
      </c>
      <c r="Y5" s="3">
        <f>IF(M5 = 0, "", U5 / M5)</f>
        <v>0.75</v>
      </c>
      <c r="Z5" s="3">
        <f>IF(M5 = 0, "", Y5 - 0.5)</f>
        <v>0.25</v>
      </c>
      <c r="AA5" s="3">
        <f>IF(H5 = "", "", H5 - K5)</f>
        <v>0.12924524313708907</v>
      </c>
      <c r="AB5" s="3">
        <f>SUMIFS(StratumSummaries!AB2:AB999,StratumSummaries!C2:C999, C5,StratumSummaries!E2:E999, D5)</f>
        <v>-0.06418910331011815</v>
      </c>
      <c r="AC5" s="3" t="b">
        <f>IF(AB5 = "", "", IF(AB5 &gt; 0, AA5 &lt; 0, AA5 &gt; 0))</f>
        <v>1</v>
      </c>
      <c r="AD5" s="3">
        <f>IF(AB5 = "", "", ABS(AB5 - AA5))</f>
        <v>0.19343434644720722</v>
      </c>
      <c r="AE5" s="3" t="str">
        <f>IF(AD5 = "", "", IF(AC5, IF(AND(AB5 &lt;&gt; 0, AA5 / AB5 &lt; -1), "B", IF(AND(AB5 &lt;&gt; 0, AA5 / AB5 &lt; 0), "A", IF(Y5 = 1, "A", "B"))), IF(AND(NOT(AC5), AD5 &gt; 0.01, ABS(AA5) &gt; ABS(AG5) + 0.001), "C+", IF(AND(NOT(AC5), AD5 &gt; 0.01, ABS(AA5) &lt; ABS(AG5) - 0.001), "C-", "D"))))</f>
        <v>B</v>
      </c>
      <c r="AF5" s="3" t="str">
        <f>IF(AE5 = "", "", IF(AE5 = "A", "stratify-immediately", IF(AE5 = "B", "investigate-confounder", IF(OR(AE5 = "C+", AE5 = "C-"), "check-allocation-bias", "pooled-analysis-trustworthy"))))</f>
        <v>investigate-confounder</v>
      </c>
      <c r="AG5" s="3">
        <f>AB5</f>
        <v>-0.06418910331011815</v>
      </c>
      <c r="AH5" s="3" t="str">
        <f>IF(AG5 = "", "", IF(ABS(AG5) &lt; 0.0001, "tie", IF(AG5 &gt; 0, D5, IF(AG5 &lt; 0, E5, "tie"))))</f>
        <v>B</v>
      </c>
      <c r="AI5" s="3" t="b">
        <f>IF(AH5 = "", "", AH5 = L5)</f>
        <v>0</v>
      </c>
      <c r="AJ5" s="3" t="str">
        <f>IF(AE5 = "", "", IF(AE5 = "A", "use-corrected-winner", IF(AE5 = "B", "use-corrected-winner-with-caution", IF(OR(AE5 = "C+", AE5 = "C-"), "check-allocation-bias", "pooled-analysis-trustworthy"))))</f>
        <v>use-corrected-winner-with-caution</v>
      </c>
      <c r="AK5" s="3" t="str">
        <f>IF(AG5 = "", "", IF(AC5, "reversal", IF(ABS(AA5) &gt; ABS(AG5) + 0.001, "amplification", IF(ABS(AA5) &lt; ABS(AG5) - 0.001, "compression", "neutral"))))</f>
        <v>reversal</v>
      </c>
      <c r="AL5" s="3">
        <f>IF(AG5 = "", "", IF(ABS(AG5) + AD5 = 0, 1, ABS(AG5) / (ABS(AG5) + AD5)))</f>
        <v>0.24915862034524663</v>
      </c>
      <c r="AM5" s="3" t="e">
        <f>LOOKUP(C5, SweepStudySummary[SweepStudyId], SweepStudySummary[PooledGapCrossesZero])</f>
        <v>#VALUE!</v>
      </c>
      <c r="AN5" s="3" t="e">
        <f>LOOKUP(C5, SweepStudySummary[SweepStudyId], SweepStudySummary[SweepPooledGapRange])</f>
        <v>#VALUE!</v>
      </c>
      <c r="AO5" s="3" t="e">
        <f>IF(AE5 = "", "", AND(AE5 = "D", AM5 = TRUE))</f>
        <v>#VALUE!</v>
      </c>
      <c r="AP5" s="3" t="e">
        <f>IF(OR(AN5 = "", T5 = "", T5 = 0), "", AN5 / ABS(T5))</f>
        <v>#VALUE!</v>
      </c>
      <c r="AQ5" s="3" t="e">
        <f>LOOKUP(C5, Studies[StudyId], Studies[Domain])</f>
        <v>#VALUE!</v>
      </c>
      <c r="AR5" s="5">
        <f>COUNTIFS(StratumVariables!C2:C999, C5,StratumVariables!E2:E999, "confounder")</f>
        <v>0</v>
      </c>
      <c r="AS5" s="5">
        <f>COUNTIFS(StratumVariables!C2:C999, C5,StratumVariables!J2:J999, "mediator") + COUNTIFS(StratumVariables!C2:C999, C5,StratumVariables!J2:J999, "collider")</f>
        <v>0</v>
      </c>
      <c r="AT5" s="5">
        <f>COUNTIFS(StratumVariables!C2:C999, C5,StratumVariables!E2:E999, "contested")</f>
        <v>1</v>
      </c>
      <c r="AU5" s="5">
        <f>COUNTIFS(StratumVariables!C2:C999, C5,StratumVariables!E2:E999, "unknown")</f>
        <v>0</v>
      </c>
      <c r="AV5" s="3" t="str">
        <f>IF(AT5 &gt; 0, "contested", IF(AU5 &gt; 0, "geometric-only", IF(AR5 &gt; 0, "established", "geometric-only")))</f>
        <v>contested</v>
      </c>
      <c r="AW5" s="3" t="b">
        <f>AND(AS5 = 0, AV5 = "established")</f>
        <v>0</v>
      </c>
      <c r="AX5" s="2" t="s">
        <v>2628</v>
      </c>
    </row>
    <row r="6">
      <c r="A6" s="2" t="s">
        <v>2629</v>
      </c>
      <c r="B6" s="3" t="str">
        <f>A6</f>
        <v>compressed-synthetic-A-vs-B</v>
      </c>
      <c r="C6" s="2" t="s">
        <v>434</v>
      </c>
      <c r="D6" s="2" t="s">
        <v>792</v>
      </c>
      <c r="E6" s="2" t="s">
        <v>795</v>
      </c>
      <c r="F6" s="5">
        <f>SUMIFS(CaseCells!G2:G999,CaseCells!C2:C999, C6,CaseCells!E2:E999, D6)</f>
        <v>200</v>
      </c>
      <c r="G6" s="5">
        <f>SUMIFS(CaseCells!F2:F999,CaseCells!C2:C999, C6,CaseCells!E2:E999, D6)</f>
        <v>156</v>
      </c>
      <c r="H6" s="3">
        <f>IF(F6 = 0, "", G6 / F6)</f>
        <v>0.78</v>
      </c>
      <c r="I6" s="5">
        <f>SUMIFS(CaseCells!G2:G999,CaseCells!C2:C999, C6,CaseCells!E2:E999, E6)</f>
        <v>200</v>
      </c>
      <c r="J6" s="5">
        <f>SUMIFS(CaseCells!F2:F999,CaseCells!C2:C999, C6,CaseCells!E2:E999, E6)</f>
        <v>144</v>
      </c>
      <c r="K6" s="3">
        <f>IF(I6 = 0, "", J6 / I6)</f>
        <v>0.72</v>
      </c>
      <c r="L6" s="3" t="str">
        <f>IF(OR(H6 = "", K6 = ""), "", IF(ABS(H6 - K6) &lt; 0.0000001, "tie", IF(H6 &gt; K6, D6, E6)))</f>
        <v>A</v>
      </c>
      <c r="M6" s="5">
        <f>COUNTIFS(StratumSummaries!C2:C999, C6,StratumSummaries!E2:E999, D6)</f>
        <v>2</v>
      </c>
      <c r="N6" s="5">
        <f>COUNTIFS(StratumSummaries!C2:C999, C6,StratumSummaries!E2:E999, D6,StratumSummaries!O2:O999, D6)</f>
        <v>2</v>
      </c>
      <c r="O6" s="5">
        <f>COUNTIFS(StratumSummaries!C2:C999, C6,StratumSummaries!E2:E999, D6,StratumSummaries!O2:O999, E6)</f>
        <v>0</v>
      </c>
      <c r="P6" s="3" t="str">
        <f>IF(N6 = M6, D6, IF(O6 = M6, E6, "none"))</f>
        <v>A</v>
      </c>
      <c r="Q6" s="3" t="b">
        <f>IF(AC6 = "", "", AC6)</f>
        <v>0</v>
      </c>
      <c r="R6" s="5">
        <f>COUNTIFS(StratumVariables!C2:C999, C6,StratumVariables!H2:H999, TRUE())</f>
        <v>1</v>
      </c>
      <c r="S6" s="3" t="b">
        <f>AND(Q6, R6 &gt; 0)</f>
        <v>0</v>
      </c>
      <c r="T6" s="3">
        <f>IF(H6 = "", "", ABS(H6 - K6))</f>
        <v>0.06000000000000005</v>
      </c>
      <c r="U6" s="5">
        <f>IF(L6 = D6, O6, N6)</f>
        <v>0</v>
      </c>
      <c r="V6" s="3">
        <f>IF(M6 = 0, "", T6 * (U6 / M6))</f>
        <v>0</v>
      </c>
      <c r="W6" s="3">
        <f>SUMIFS(StratumSummaries!S2:S999,StratumSummaries!C2:C999, C6,StratumSummaries!E2:E999, D6)</f>
        <v>0.8</v>
      </c>
      <c r="X6" s="3">
        <f>SUMIFS(StratumSummaries!S2:S999,StratumSummaries!C2:C999, C6,StratumSummaries!E2:E999, E6)</f>
        <v>0.7</v>
      </c>
      <c r="Y6" s="3">
        <f>IF(M6 = 0, "", U6 / M6)</f>
        <v>0</v>
      </c>
      <c r="Z6" s="3">
        <f>IF(M6 = 0, "", Y6 - 0.5)</f>
        <v>-0.5</v>
      </c>
      <c r="AA6" s="3">
        <f>IF(H6 = "", "", H6 - K6)</f>
        <v>0.06000000000000005</v>
      </c>
      <c r="AB6" s="3">
        <f>SUMIFS(StratumSummaries!AB2:AB999,StratumSummaries!C2:C999, C6,StratumSummaries!E2:E999, D6)</f>
        <v>0.09999999999999998</v>
      </c>
      <c r="AC6" s="3" t="b">
        <f>IF(AB6 = "", "", IF(AB6 &gt; 0, AA6 &lt; 0, AA6 &gt; 0))</f>
        <v>0</v>
      </c>
      <c r="AD6" s="3">
        <f>IF(AB6 = "", "", ABS(AB6 - AA6))</f>
        <v>0.039999999999999925</v>
      </c>
      <c r="AE6" s="3" t="str">
        <f>IF(AD6 = "", "", IF(AC6, IF(AND(AB6 &lt;&gt; 0, AA6 / AB6 &lt; -1), "B", IF(AND(AB6 &lt;&gt; 0, AA6 / AB6 &lt; 0), "A", IF(Y6 = 1, "A", "B"))), IF(AND(NOT(AC6), AD6 &gt; 0.01, ABS(AA6) &gt; ABS(AG6) + 0.001), "C+", IF(AND(NOT(AC6), AD6 &gt; 0.01, ABS(AA6) &lt; ABS(AG6) - 0.001), "C-", "D"))))</f>
        <v>C-</v>
      </c>
      <c r="AF6" s="3" t="str">
        <f>IF(AE6 = "", "", IF(AE6 = "A", "stratify-immediately", IF(AE6 = "B", "investigate-confounder", IF(OR(AE6 = "C+", AE6 = "C-"), "check-allocation-bias", "pooled-analysis-trustworthy"))))</f>
        <v>check-allocation-bias</v>
      </c>
      <c r="AG6" s="3">
        <f>AB6</f>
        <v>0.09999999999999998</v>
      </c>
      <c r="AH6" s="3" t="str">
        <f>IF(AG6 = "", "", IF(ABS(AG6) &lt; 0.0001, "tie", IF(AG6 &gt; 0, D6, IF(AG6 &lt; 0, E6, "tie"))))</f>
        <v>A</v>
      </c>
      <c r="AI6" s="3" t="b">
        <f>IF(AH6 = "", "", AH6 = L6)</f>
        <v>1</v>
      </c>
      <c r="AJ6" s="3" t="str">
        <f>IF(AE6 = "", "", IF(AE6 = "A", "use-corrected-winner", IF(AE6 = "B", "use-corrected-winner-with-caution", IF(OR(AE6 = "C+", AE6 = "C-"), "check-allocation-bias", "pooled-analysis-trustworthy"))))</f>
        <v>check-allocation-bias</v>
      </c>
      <c r="AK6" s="3" t="str">
        <f>IF(AG6 = "", "", IF(AC6, "reversal", IF(ABS(AA6) &gt; ABS(AG6) + 0.001, "amplification", IF(ABS(AA6) &lt; ABS(AG6) - 0.001, "compression", "neutral"))))</f>
        <v>compression</v>
      </c>
      <c r="AL6" s="3">
        <f>IF(AG6 = "", "", IF(ABS(AG6) + AD6 = 0, 1, ABS(AG6) / (ABS(AG6) + AD6)))</f>
        <v>0.7142857142857146</v>
      </c>
      <c r="AM6" s="3" t="e">
        <f>LOOKUP(C6, SweepStudySummary[SweepStudyId], SweepStudySummary[PooledGapCrossesZero])</f>
        <v>#VALUE!</v>
      </c>
      <c r="AN6" s="3" t="e">
        <f>LOOKUP(C6, SweepStudySummary[SweepStudyId], SweepStudySummary[SweepPooledGapRange])</f>
        <v>#VALUE!</v>
      </c>
      <c r="AO6" s="3" t="e">
        <f>IF(AE6 = "", "", AND(AE6 = "D", AM6 = TRUE))</f>
        <v>#VALUE!</v>
      </c>
      <c r="AP6" s="3" t="e">
        <f>IF(OR(AN6 = "", T6 = "", T6 = 0), "", AN6 / ABS(T6))</f>
        <v>#VALUE!</v>
      </c>
      <c r="AQ6" s="3" t="e">
        <f>LOOKUP(C6, Studies[StudyId], Studies[Domain])</f>
        <v>#VALUE!</v>
      </c>
      <c r="AR6" s="5">
        <f>COUNTIFS(StratumVariables!C2:C999, C6,StratumVariables!E2:E999, "confounder")</f>
        <v>1</v>
      </c>
      <c r="AS6" s="5">
        <f>COUNTIFS(StratumVariables!C2:C999, C6,StratumVariables!J2:J999, "mediator") + COUNTIFS(StratumVariables!C2:C999, C6,StratumVariables!J2:J999, "collider")</f>
        <v>0</v>
      </c>
      <c r="AT6" s="5">
        <f>COUNTIFS(StratumVariables!C2:C999, C6,StratumVariables!E2:E999, "contested")</f>
        <v>0</v>
      </c>
      <c r="AU6" s="5">
        <f>COUNTIFS(StratumVariables!C2:C999, C6,StratumVariables!E2:E999, "unknown")</f>
        <v>0</v>
      </c>
      <c r="AV6" s="3" t="str">
        <f>IF(AT6 &gt; 0, "contested", IF(AU6 &gt; 0, "geometric-only", IF(AR6 &gt; 0, "established", "geometric-only")))</f>
        <v>established</v>
      </c>
      <c r="AW6" s="3" t="b">
        <f>AND(AS6 = 0, AV6 = "established")</f>
        <v>1</v>
      </c>
      <c r="AX6" s="2" t="s">
        <v>2630</v>
      </c>
    </row>
    <row r="7">
      <c r="A7" s="2" t="s">
        <v>2631</v>
      </c>
      <c r="B7" s="3" t="str">
        <f>A7</f>
        <v>reintjes-2000-A-vs-B</v>
      </c>
      <c r="C7" s="2" t="s">
        <v>437</v>
      </c>
      <c r="D7" s="2" t="s">
        <v>792</v>
      </c>
      <c r="E7" s="2" t="s">
        <v>795</v>
      </c>
      <c r="F7" s="5">
        <f>SUMIFS(CaseCells!G2:G999,CaseCells!C2:C999, C7,CaseCells!E2:E999, D7)</f>
        <v>1279</v>
      </c>
      <c r="G7" s="5">
        <f>SUMIFS(CaseCells!F2:F999,CaseCells!C2:C999, C7,CaseCells!E2:E999, D7)</f>
        <v>42</v>
      </c>
      <c r="H7" s="3">
        <f>IF(F7 = 0, "", G7 / F7)</f>
        <v>0.0328381548084441</v>
      </c>
      <c r="I7" s="5">
        <f>SUMIFS(CaseCells!G2:G999,CaseCells!C2:C999, C7,CaseCells!E2:E999, E7)</f>
        <v>2240</v>
      </c>
      <c r="J7" s="5">
        <f>SUMIFS(CaseCells!F2:F999,CaseCells!C2:C999, C7,CaseCells!E2:E999, E7)</f>
        <v>104</v>
      </c>
      <c r="K7" s="3">
        <f>IF(I7 = 0, "", J7 / I7)</f>
        <v>0.04642857142857143</v>
      </c>
      <c r="L7" s="3" t="str">
        <f>IF(OR(H7 = "", K7 = ""), "", IF(ABS(H7 - K7) &lt; 0.0000001, "tie", IF(H7 &gt; K7, D7, E7)))</f>
        <v>B</v>
      </c>
      <c r="M7" s="5">
        <f>COUNTIFS(StratumSummaries!C2:C999, C7,StratumSummaries!E2:E999, D7)</f>
        <v>2</v>
      </c>
      <c r="N7" s="5">
        <f>COUNTIFS(StratumSummaries!C2:C999, C7,StratumSummaries!E2:E999, D7,StratumSummaries!O2:O999, D7)</f>
        <v>2</v>
      </c>
      <c r="O7" s="5">
        <f>COUNTIFS(StratumSummaries!C2:C999, C7,StratumSummaries!E2:E999, D7,StratumSummaries!O2:O999, E7)</f>
        <v>0</v>
      </c>
      <c r="P7" s="3" t="str">
        <f>IF(N7 = M7, D7, IF(O7 = M7, E7, "none"))</f>
        <v>A</v>
      </c>
      <c r="Q7" s="3" t="b">
        <f>IF(AC7 = "", "", AC7)</f>
        <v>1</v>
      </c>
      <c r="R7" s="5">
        <f>COUNTIFS(StratumVariables!C2:C999, C7,StratumVariables!H2:H999, TRUE())</f>
        <v>1</v>
      </c>
      <c r="S7" s="3" t="b">
        <f>AND(Q7, R7 &gt; 0)</f>
        <v>1</v>
      </c>
      <c r="T7" s="3">
        <f>IF(H7 = "", "", ABS(H7 - K7))</f>
        <v>0.013590416620127332</v>
      </c>
      <c r="U7" s="5">
        <f>IF(L7 = D7, O7, N7)</f>
        <v>2</v>
      </c>
      <c r="V7" s="3">
        <f>IF(M7 = 0, "", T7 * (U7 / M7))</f>
        <v>0.013590416620127332</v>
      </c>
      <c r="W7" s="3">
        <f>SUMIFS(StratumSummaries!S2:S999,StratumSummaries!C2:C999, C7,StratumSummaries!E2:E999, D7)</f>
        <v>0.07285700156958388</v>
      </c>
      <c r="X7" s="3">
        <f>SUMIFS(StratumSummaries!S2:S999,StratumSummaries!C2:C999, C7,StratumSummaries!E2:E999, E7)</f>
        <v>0.03482267938957937</v>
      </c>
      <c r="Y7" s="3">
        <f>IF(M7 = 0, "", U7 / M7)</f>
        <v>1</v>
      </c>
      <c r="Z7" s="3">
        <f>IF(M7 = 0, "", Y7 - 0.5)</f>
        <v>0.5</v>
      </c>
      <c r="AA7" s="3">
        <f>IF(H7 = "", "", H7 - K7)</f>
        <v>-0.013590416620127332</v>
      </c>
      <c r="AB7" s="3">
        <f>SUMIFS(StratumSummaries!AB2:AB999,StratumSummaries!C2:C999, C7,StratumSummaries!E2:E999, D7)</f>
        <v>0.03803432218000452</v>
      </c>
      <c r="AC7" s="3" t="b">
        <f>IF(AB7 = "", "", IF(AB7 &gt; 0, AA7 &lt; 0, AA7 &gt; 0))</f>
        <v>1</v>
      </c>
      <c r="AD7" s="3">
        <f>IF(AB7 = "", "", ABS(AB7 - AA7))</f>
        <v>0.05162473880013185</v>
      </c>
      <c r="AE7" s="3" t="str">
        <f>IF(AD7 = "", "", IF(AC7, IF(AND(AB7 &lt;&gt; 0, AA7 / AB7 &lt; -1), "B", IF(AND(AB7 &lt;&gt; 0, AA7 / AB7 &lt; 0), "A", IF(Y7 = 1, "A", "B"))), IF(AND(NOT(AC7), AD7 &gt; 0.01, ABS(AA7) &gt; ABS(AG7) + 0.001), "C+", IF(AND(NOT(AC7), AD7 &gt; 0.01, ABS(AA7) &lt; ABS(AG7) - 0.001), "C-", "D"))))</f>
        <v>A</v>
      </c>
      <c r="AF7" s="3" t="str">
        <f>IF(AE7 = "", "", IF(AE7 = "A", "stratify-immediately", IF(AE7 = "B", "investigate-confounder", IF(OR(AE7 = "C+", AE7 = "C-"), "check-allocation-bias", "pooled-analysis-trustworthy"))))</f>
        <v>stratify-immediately</v>
      </c>
      <c r="AG7" s="3">
        <f>AB7</f>
        <v>0.03803432218000452</v>
      </c>
      <c r="AH7" s="3" t="str">
        <f>IF(AG7 = "", "", IF(ABS(AG7) &lt; 0.0001, "tie", IF(AG7 &gt; 0, D7, IF(AG7 &lt; 0, E7, "tie"))))</f>
        <v>A</v>
      </c>
      <c r="AI7" s="3" t="b">
        <f>IF(AH7 = "", "", AH7 = L7)</f>
        <v>0</v>
      </c>
      <c r="AJ7" s="3" t="str">
        <f>IF(AE7 = "", "", IF(AE7 = "A", "use-corrected-winner", IF(AE7 = "B", "use-corrected-winner-with-caution", IF(OR(AE7 = "C+", AE7 = "C-"), "check-allocation-bias", "pooled-analysis-trustworthy"))))</f>
        <v>use-corrected-winner</v>
      </c>
      <c r="AK7" s="3" t="str">
        <f>IF(AG7 = "", "", IF(AC7, "reversal", IF(ABS(AA7) &gt; ABS(AG7) + 0.001, "amplification", IF(ABS(AA7) &lt; ABS(AG7) - 0.001, "compression", "neutral"))))</f>
        <v>reversal</v>
      </c>
      <c r="AL7" s="3">
        <f>IF(AG7 = "", "", IF(ABS(AG7) + AD7 = 0, 1, ABS(AG7) / (ABS(AG7) + AD7)))</f>
        <v>0.4242105791006542</v>
      </c>
      <c r="AM7" s="3" t="e">
        <f>LOOKUP(C7, SweepStudySummary[SweepStudyId], SweepStudySummary[PooledGapCrossesZero])</f>
        <v>#VALUE!</v>
      </c>
      <c r="AN7" s="3" t="e">
        <f>LOOKUP(C7, SweepStudySummary[SweepStudyId], SweepStudySummary[SweepPooledGapRange])</f>
        <v>#VALUE!</v>
      </c>
      <c r="AO7" s="3" t="e">
        <f>IF(AE7 = "", "", AND(AE7 = "D", AM7 = TRUE))</f>
        <v>#VALUE!</v>
      </c>
      <c r="AP7" s="3" t="e">
        <f>IF(OR(AN7 = "", T7 = "", T7 = 0), "", AN7 / ABS(T7))</f>
        <v>#VALUE!</v>
      </c>
      <c r="AQ7" s="3" t="e">
        <f>LOOKUP(C7, Studies[StudyId], Studies[Domain])</f>
        <v>#VALUE!</v>
      </c>
      <c r="AR7" s="5">
        <f>COUNTIFS(StratumVariables!C2:C999, C7,StratumVariables!E2:E999, "confounder")</f>
        <v>1</v>
      </c>
      <c r="AS7" s="5">
        <f>COUNTIFS(StratumVariables!C2:C999, C7,StratumVariables!J2:J999, "mediator") + COUNTIFS(StratumVariables!C2:C999, C7,StratumVariables!J2:J999, "collider")</f>
        <v>0</v>
      </c>
      <c r="AT7" s="5">
        <f>COUNTIFS(StratumVariables!C2:C999, C7,StratumVariables!E2:E999, "contested")</f>
        <v>0</v>
      </c>
      <c r="AU7" s="5">
        <f>COUNTIFS(StratumVariables!C2:C999, C7,StratumVariables!E2:E999, "unknown")</f>
        <v>0</v>
      </c>
      <c r="AV7" s="3" t="str">
        <f>IF(AT7 &gt; 0, "contested", IF(AU7 &gt; 0, "geometric-only", IF(AR7 &gt; 0, "established", "geometric-only")))</f>
        <v>established</v>
      </c>
      <c r="AW7" s="3" t="b">
        <f>AND(AS7 = 0, AV7 = "established")</f>
        <v>1</v>
      </c>
      <c r="AX7" s="2" t="s">
        <v>2632</v>
      </c>
    </row>
    <row r="8">
      <c r="A8" s="2" t="s">
        <v>2633</v>
      </c>
      <c r="B8" s="3" t="str">
        <f>A8</f>
        <v>radelet-1981-A-vs-B</v>
      </c>
      <c r="C8" s="2" t="s">
        <v>442</v>
      </c>
      <c r="D8" s="2" t="s">
        <v>792</v>
      </c>
      <c r="E8" s="2" t="s">
        <v>795</v>
      </c>
      <c r="F8" s="5">
        <f>SUMIFS(CaseCells!G2:G999,CaseCells!C2:C999, C8,CaseCells!E2:E999, D8)</f>
        <v>160</v>
      </c>
      <c r="G8" s="5">
        <f>SUMIFS(CaseCells!F2:F999,CaseCells!C2:C999, C8,CaseCells!E2:E999, D8)</f>
        <v>19</v>
      </c>
      <c r="H8" s="3">
        <f>IF(F8 = 0, "", G8 / F8)</f>
        <v>0.11875</v>
      </c>
      <c r="I8" s="5">
        <f>SUMIFS(CaseCells!G2:G999,CaseCells!C2:C999, C8,CaseCells!E2:E999, E8)</f>
        <v>166</v>
      </c>
      <c r="J8" s="5">
        <f>SUMIFS(CaseCells!F2:F999,CaseCells!C2:C999, C8,CaseCells!E2:E999, E8)</f>
        <v>17</v>
      </c>
      <c r="K8" s="3">
        <f>IF(I8 = 0, "", J8 / I8)</f>
        <v>0.10240963855421686</v>
      </c>
      <c r="L8" s="3" t="str">
        <f>IF(OR(H8 = "", K8 = ""), "", IF(ABS(H8 - K8) &lt; 0.0000001, "tie", IF(H8 &gt; K8, D8, E8)))</f>
        <v>A</v>
      </c>
      <c r="M8" s="5">
        <f>COUNTIFS(StratumSummaries!C2:C999, C8,StratumSummaries!E2:E999, D8)</f>
        <v>2</v>
      </c>
      <c r="N8" s="5">
        <f>COUNTIFS(StratumSummaries!C2:C999, C8,StratumSummaries!E2:E999, D8,StratumSummaries!O2:O999, D8)</f>
        <v>0</v>
      </c>
      <c r="O8" s="5">
        <f>COUNTIFS(StratumSummaries!C2:C999, C8,StratumSummaries!E2:E999, D8,StratumSummaries!O2:O999, E8)</f>
        <v>2</v>
      </c>
      <c r="P8" s="3" t="str">
        <f>IF(N8 = M8, D8, IF(O8 = M8, E8, "none"))</f>
        <v>B</v>
      </c>
      <c r="Q8" s="3" t="b">
        <f>IF(AC8 = "", "", AC8)</f>
        <v>1</v>
      </c>
      <c r="R8" s="5">
        <f>COUNTIFS(StratumVariables!C2:C999, C8,StratumVariables!H2:H999, TRUE())</f>
        <v>1</v>
      </c>
      <c r="S8" s="3" t="b">
        <f>AND(Q8, R8 &gt; 0)</f>
        <v>1</v>
      </c>
      <c r="T8" s="3">
        <f>IF(H8 = "", "", ABS(H8 - K8))</f>
        <v>0.01634036144578313</v>
      </c>
      <c r="U8" s="5">
        <f>IF(L8 = D8, O8, N8)</f>
        <v>2</v>
      </c>
      <c r="V8" s="3">
        <f>IF(M8 = 0, "", T8 * (U8 / M8))</f>
        <v>0.01634036144578313</v>
      </c>
      <c r="W8" s="3">
        <f>SUMIFS(StratumSummaries!S2:S999,StratumSummaries!C2:C999, C8,StratumSummaries!E2:E999, D8)</f>
        <v>0.08259862674196562</v>
      </c>
      <c r="X8" s="3">
        <f>SUMIFS(StratumSummaries!S2:S999,StratumSummaries!C2:C999, C8,StratumSummaries!E2:E999, E8)</f>
        <v>0.13462991168631766</v>
      </c>
      <c r="Y8" s="3">
        <f>IF(M8 = 0, "", U8 / M8)</f>
        <v>1</v>
      </c>
      <c r="Z8" s="3">
        <f>IF(M8 = 0, "", Y8 - 0.5)</f>
        <v>0.5</v>
      </c>
      <c r="AA8" s="3">
        <f>IF(H8 = "", "", H8 - K8)</f>
        <v>0.01634036144578313</v>
      </c>
      <c r="AB8" s="3">
        <f>SUMIFS(StratumSummaries!AB2:AB999,StratumSummaries!C2:C999, C8,StratumSummaries!E2:E999, D8)</f>
        <v>-0.052031284944352024</v>
      </c>
      <c r="AC8" s="3" t="b">
        <f>IF(AB8 = "", "", IF(AB8 &gt; 0, AA8 &lt; 0, AA8 &gt; 0))</f>
        <v>1</v>
      </c>
      <c r="AD8" s="3">
        <f>IF(AB8 = "", "", ABS(AB8 - AA8))</f>
        <v>0.06837164639013515</v>
      </c>
      <c r="AE8" s="3" t="str">
        <f>IF(AD8 = "", "", IF(AC8, IF(AND(AB8 &lt;&gt; 0, AA8 / AB8 &lt; -1), "B", IF(AND(AB8 &lt;&gt; 0, AA8 / AB8 &lt; 0), "A", IF(Y8 = 1, "A", "B"))), IF(AND(NOT(AC8), AD8 &gt; 0.01, ABS(AA8) &gt; ABS(AG8) + 0.001), "C+", IF(AND(NOT(AC8), AD8 &gt; 0.01, ABS(AA8) &lt; ABS(AG8) - 0.001), "C-", "D"))))</f>
        <v>A</v>
      </c>
      <c r="AF8" s="3" t="str">
        <f>IF(AE8 = "", "", IF(AE8 = "A", "stratify-immediately", IF(AE8 = "B", "investigate-confounder", IF(OR(AE8 = "C+", AE8 = "C-"), "check-allocation-bias", "pooled-analysis-trustworthy"))))</f>
        <v>stratify-immediately</v>
      </c>
      <c r="AG8" s="3">
        <f>AB8</f>
        <v>-0.052031284944352024</v>
      </c>
      <c r="AH8" s="3" t="str">
        <f>IF(AG8 = "", "", IF(ABS(AG8) &lt; 0.0001, "tie", IF(AG8 &gt; 0, D8, IF(AG8 &lt; 0, E8, "tie"))))</f>
        <v>B</v>
      </c>
      <c r="AI8" s="3" t="b">
        <f>IF(AH8 = "", "", AH8 = L8)</f>
        <v>0</v>
      </c>
      <c r="AJ8" s="3" t="str">
        <f>IF(AE8 = "", "", IF(AE8 = "A", "use-corrected-winner", IF(AE8 = "B", "use-corrected-winner-with-caution", IF(OR(AE8 = "C+", AE8 = "C-"), "check-allocation-bias", "pooled-analysis-trustworthy"))))</f>
        <v>use-corrected-winner</v>
      </c>
      <c r="AK8" s="3" t="str">
        <f>IF(AG8 = "", "", IF(AC8, "reversal", IF(ABS(AA8) &gt; ABS(AG8) + 0.001, "amplification", IF(ABS(AA8) &lt; ABS(AG8) - 0.001, "compression", "neutral"))))</f>
        <v>reversal</v>
      </c>
      <c r="AL8" s="3">
        <f>IF(AG8 = "", "", IF(ABS(AG8) + AD8 = 0, 1, ABS(AG8) / (ABS(AG8) + AD8)))</f>
        <v>0.43214300821136764</v>
      </c>
      <c r="AM8" s="3" t="e">
        <f>LOOKUP(C8, SweepStudySummary[SweepStudyId], SweepStudySummary[PooledGapCrossesZero])</f>
        <v>#VALUE!</v>
      </c>
      <c r="AN8" s="3" t="e">
        <f>LOOKUP(C8, SweepStudySummary[SweepStudyId], SweepStudySummary[SweepPooledGapRange])</f>
        <v>#VALUE!</v>
      </c>
      <c r="AO8" s="3" t="e">
        <f>IF(AE8 = "", "", AND(AE8 = "D", AM8 = TRUE))</f>
        <v>#VALUE!</v>
      </c>
      <c r="AP8" s="3" t="e">
        <f>IF(OR(AN8 = "", T8 = "", T8 = 0), "", AN8 / ABS(T8))</f>
        <v>#VALUE!</v>
      </c>
      <c r="AQ8" s="3" t="e">
        <f>LOOKUP(C8, Studies[StudyId], Studies[Domain])</f>
        <v>#VALUE!</v>
      </c>
      <c r="AR8" s="5">
        <f>COUNTIFS(StratumVariables!C2:C999, C8,StratumVariables!E2:E999, "confounder")</f>
        <v>1</v>
      </c>
      <c r="AS8" s="5">
        <f>COUNTIFS(StratumVariables!C2:C999, C8,StratumVariables!J2:J999, "mediator") + COUNTIFS(StratumVariables!C2:C999, C8,StratumVariables!J2:J999, "collider")</f>
        <v>0</v>
      </c>
      <c r="AT8" s="5">
        <f>COUNTIFS(StratumVariables!C2:C999, C8,StratumVariables!E2:E999, "contested")</f>
        <v>0</v>
      </c>
      <c r="AU8" s="5">
        <f>COUNTIFS(StratumVariables!C2:C999, C8,StratumVariables!E2:E999, "unknown")</f>
        <v>0</v>
      </c>
      <c r="AV8" s="3" t="str">
        <f>IF(AT8 &gt; 0, "contested", IF(AU8 &gt; 0, "geometric-only", IF(AR8 &gt; 0, "established", "geometric-only")))</f>
        <v>established</v>
      </c>
      <c r="AW8" s="3" t="b">
        <f>AND(AS8 = 0, AV8 = "established")</f>
        <v>1</v>
      </c>
      <c r="AX8" s="2" t="s">
        <v>2634</v>
      </c>
    </row>
    <row r="9">
      <c r="A9" s="2" t="s">
        <v>2635</v>
      </c>
      <c r="B9" s="3" t="str">
        <f>A9</f>
        <v>jeter-justice-1997-A-vs-B</v>
      </c>
      <c r="C9" s="2" t="s">
        <v>448</v>
      </c>
      <c r="D9" s="2" t="s">
        <v>792</v>
      </c>
      <c r="E9" s="2" t="s">
        <v>795</v>
      </c>
      <c r="F9" s="5">
        <f>SUMIFS(CaseCells!G2:G999,CaseCells!C2:C999, C9,CaseCells!E2:E999, D9)</f>
        <v>1284</v>
      </c>
      <c r="G9" s="5">
        <f>SUMIFS(CaseCells!F2:F999,CaseCells!C2:C999, C9,CaseCells!E2:E999, D9)</f>
        <v>385</v>
      </c>
      <c r="H9" s="3">
        <f>IF(F9 = 0, "", G9 / F9)</f>
        <v>0.2998442367601246</v>
      </c>
      <c r="I9" s="5">
        <f>SUMIFS(CaseCells!G2:G999,CaseCells!C2:C999, C9,CaseCells!E2:E999, E9)</f>
        <v>1046</v>
      </c>
      <c r="J9" s="5">
        <f>SUMIFS(CaseCells!F2:F999,CaseCells!C2:C999, C9,CaseCells!E2:E999, E9)</f>
        <v>312</v>
      </c>
      <c r="K9" s="3">
        <f>IF(I9 = 0, "", J9 / I9)</f>
        <v>0.2982791586998088</v>
      </c>
      <c r="L9" s="3" t="str">
        <f>IF(OR(H9 = "", K9 = ""), "", IF(ABS(H9 - K9) &lt; 0.0000001, "tie", IF(H9 &gt; K9, D9, E9)))</f>
        <v>A</v>
      </c>
      <c r="M9" s="5">
        <f>COUNTIFS(StratumSummaries!C2:C999, C9,StratumSummaries!E2:E999, D9)</f>
        <v>3</v>
      </c>
      <c r="N9" s="5">
        <f>COUNTIFS(StratumSummaries!C2:C999, C9,StratumSummaries!E2:E999, D9,StratumSummaries!O2:O999, D9)</f>
        <v>0</v>
      </c>
      <c r="O9" s="5">
        <f>COUNTIFS(StratumSummaries!C2:C999, C9,StratumSummaries!E2:E999, D9,StratumSummaries!O2:O999, E9)</f>
        <v>3</v>
      </c>
      <c r="P9" s="3" t="str">
        <f>IF(N9 = M9, D9, IF(O9 = M9, E9, "none"))</f>
        <v>B</v>
      </c>
      <c r="Q9" s="3" t="b">
        <f>IF(AC9 = "", "", AC9)</f>
        <v>1</v>
      </c>
      <c r="R9" s="5">
        <f>COUNTIFS(StratumVariables!C2:C999, C9,StratumVariables!H2:H999, TRUE())</f>
        <v>1</v>
      </c>
      <c r="S9" s="3" t="b">
        <f>AND(Q9, R9 &gt; 0)</f>
        <v>1</v>
      </c>
      <c r="T9" s="3">
        <f>IF(H9 = "", "", ABS(H9 - K9))</f>
        <v>0.0015650780603158054</v>
      </c>
      <c r="U9" s="5">
        <f>IF(L9 = D9, O9, N9)</f>
        <v>3</v>
      </c>
      <c r="V9" s="3">
        <f>IF(M9 = 0, "", T9 * (U9 / M9))</f>
        <v>0.0015650780603158054</v>
      </c>
      <c r="W9" s="3">
        <f>SUMIFS(StratumSummaries!S2:S999,StratumSummaries!C2:C999, C9,StratumSummaries!E2:E999, D9)</f>
        <v>0.28994762146190656</v>
      </c>
      <c r="X9" s="3">
        <f>SUMIFS(StratumSummaries!S2:S999,StratumSummaries!C2:C999, C9,StratumSummaries!E2:E999, E9)</f>
        <v>0.3118347595409718</v>
      </c>
      <c r="Y9" s="3">
        <f>IF(M9 = 0, "", U9 / M9)</f>
        <v>1</v>
      </c>
      <c r="Z9" s="3">
        <f>IF(M9 = 0, "", Y9 - 0.5)</f>
        <v>0.5</v>
      </c>
      <c r="AA9" s="3">
        <f>IF(H9 = "", "", H9 - K9)</f>
        <v>0.0015650780603158054</v>
      </c>
      <c r="AB9" s="3">
        <f>SUMIFS(StratumSummaries!AB2:AB999,StratumSummaries!C2:C999, C9,StratumSummaries!E2:E999, D9)</f>
        <v>-0.021887138079065203</v>
      </c>
      <c r="AC9" s="3" t="b">
        <f>IF(AB9 = "", "", IF(AB9 &gt; 0, AA9 &lt; 0, AA9 &gt; 0))</f>
        <v>1</v>
      </c>
      <c r="AD9" s="3">
        <f>IF(AB9 = "", "", ABS(AB9 - AA9))</f>
        <v>0.023452216139381008</v>
      </c>
      <c r="AE9" s="3" t="str">
        <f>IF(AD9 = "", "", IF(AC9, IF(AND(AB9 &lt;&gt; 0, AA9 / AB9 &lt; -1), "B", IF(AND(AB9 &lt;&gt; 0, AA9 / AB9 &lt; 0), "A", IF(Y9 = 1, "A", "B"))), IF(AND(NOT(AC9), AD9 &gt; 0.01, ABS(AA9) &gt; ABS(AG9) + 0.001), "C+", IF(AND(NOT(AC9), AD9 &gt; 0.01, ABS(AA9) &lt; ABS(AG9) - 0.001), "C-", "D"))))</f>
        <v>A</v>
      </c>
      <c r="AF9" s="3" t="str">
        <f>IF(AE9 = "", "", IF(AE9 = "A", "stratify-immediately", IF(AE9 = "B", "investigate-confounder", IF(OR(AE9 = "C+", AE9 = "C-"), "check-allocation-bias", "pooled-analysis-trustworthy"))))</f>
        <v>stratify-immediately</v>
      </c>
      <c r="AG9" s="3">
        <f>AB9</f>
        <v>-0.021887138079065203</v>
      </c>
      <c r="AH9" s="3" t="str">
        <f>IF(AG9 = "", "", IF(ABS(AG9) &lt; 0.0001, "tie", IF(AG9 &gt; 0, D9, IF(AG9 &lt; 0, E9, "tie"))))</f>
        <v>B</v>
      </c>
      <c r="AI9" s="3" t="b">
        <f>IF(AH9 = "", "", AH9 = L9)</f>
        <v>0</v>
      </c>
      <c r="AJ9" s="3" t="str">
        <f>IF(AE9 = "", "", IF(AE9 = "A", "use-corrected-winner", IF(AE9 = "B", "use-corrected-winner-with-caution", IF(OR(AE9 = "C+", AE9 = "C-"), "check-allocation-bias", "pooled-analysis-trustworthy"))))</f>
        <v>use-corrected-winner</v>
      </c>
      <c r="AK9" s="3" t="str">
        <f>IF(AG9 = "", "", IF(AC9, "reversal", IF(ABS(AA9) &gt; ABS(AG9) + 0.001, "amplification", IF(ABS(AA9) &lt; ABS(AG9) - 0.001, "compression", "neutral"))))</f>
        <v>reversal</v>
      </c>
      <c r="AL9" s="3">
        <f>IF(AG9 = "", "", IF(ABS(AG9) + AD9 = 0, 1, ABS(AG9) / (ABS(AG9) + AD9)))</f>
        <v>0.4827404019389511</v>
      </c>
      <c r="AM9" s="3" t="e">
        <f>LOOKUP(C9, SweepStudySummary[SweepStudyId], SweepStudySummary[PooledGapCrossesZero])</f>
        <v>#VALUE!</v>
      </c>
      <c r="AN9" s="3" t="e">
        <f>LOOKUP(C9, SweepStudySummary[SweepStudyId], SweepStudySummary[SweepPooledGapRange])</f>
        <v>#VALUE!</v>
      </c>
      <c r="AO9" s="3" t="e">
        <f>IF(AE9 = "", "", AND(AE9 = "D", AM9 = TRUE))</f>
        <v>#VALUE!</v>
      </c>
      <c r="AP9" s="3" t="e">
        <f>IF(OR(AN9 = "", T9 = "", T9 = 0), "", AN9 / ABS(T9))</f>
        <v>#VALUE!</v>
      </c>
      <c r="AQ9" s="3" t="e">
        <f>LOOKUP(C9, Studies[StudyId], Studies[Domain])</f>
        <v>#VALUE!</v>
      </c>
      <c r="AR9" s="5">
        <f>COUNTIFS(StratumVariables!C2:C999, C9,StratumVariables!E2:E999, "confounder")</f>
        <v>1</v>
      </c>
      <c r="AS9" s="5">
        <f>COUNTIFS(StratumVariables!C2:C999, C9,StratumVariables!J2:J999, "mediator") + COUNTIFS(StratumVariables!C2:C999, C9,StratumVariables!J2:J999, "collider")</f>
        <v>0</v>
      </c>
      <c r="AT9" s="5">
        <f>COUNTIFS(StratumVariables!C2:C999, C9,StratumVariables!E2:E999, "contested")</f>
        <v>0</v>
      </c>
      <c r="AU9" s="5">
        <f>COUNTIFS(StratumVariables!C2:C999, C9,StratumVariables!E2:E999, "unknown")</f>
        <v>0</v>
      </c>
      <c r="AV9" s="3" t="str">
        <f>IF(AT9 &gt; 0, "contested", IF(AU9 &gt; 0, "geometric-only", IF(AR9 &gt; 0, "established", "geometric-only")))</f>
        <v>established</v>
      </c>
      <c r="AW9" s="3" t="b">
        <f>AND(AS9 = 0, AV9 = "established")</f>
        <v>1</v>
      </c>
      <c r="AX9" s="2" t="s">
        <v>2636</v>
      </c>
    </row>
    <row r="10">
      <c r="A10" s="2" t="s">
        <v>2637</v>
      </c>
      <c r="B10" s="3" t="str">
        <f>A10</f>
        <v>appleton-1996-A-vs-B</v>
      </c>
      <c r="C10" s="2" t="s">
        <v>453</v>
      </c>
      <c r="D10" s="2" t="s">
        <v>792</v>
      </c>
      <c r="E10" s="2" t="s">
        <v>795</v>
      </c>
      <c r="F10" s="5">
        <f>SUMIFS(CaseCells!G2:G999,CaseCells!C2:C999, C10,CaseCells!E2:E999, D10)</f>
        <v>582</v>
      </c>
      <c r="G10" s="5">
        <f>SUMIFS(CaseCells!F2:F999,CaseCells!C2:C999, C10,CaseCells!E2:E999, D10)</f>
        <v>139</v>
      </c>
      <c r="H10" s="3">
        <f>IF(F10 = 0, "", G10 / F10)</f>
        <v>0.23883161512027493</v>
      </c>
      <c r="I10" s="5">
        <f>SUMIFS(CaseCells!G2:G999,CaseCells!C2:C999, C10,CaseCells!E2:E999, E10)</f>
        <v>732</v>
      </c>
      <c r="J10" s="5">
        <f>SUMIFS(CaseCells!F2:F999,CaseCells!C2:C999, C10,CaseCells!E2:E999, E10)</f>
        <v>230</v>
      </c>
      <c r="K10" s="3">
        <f>IF(I10 = 0, "", J10 / I10)</f>
        <v>0.31420765027322406</v>
      </c>
      <c r="L10" s="3" t="str">
        <f>IF(OR(H10 = "", K10 = ""), "", IF(ABS(H10 - K10) &lt; 0.0000001, "tie", IF(H10 &gt; K10, D10, E10)))</f>
        <v>B</v>
      </c>
      <c r="M10" s="5">
        <f>COUNTIFS(StratumSummaries!C2:C999, C10,StratumSummaries!E2:E999, D10)</f>
        <v>7</v>
      </c>
      <c r="N10" s="5">
        <f>COUNTIFS(StratumSummaries!C2:C999, C10,StratumSummaries!E2:E999, D10,StratumSummaries!O2:O999, D10)</f>
        <v>5</v>
      </c>
      <c r="O10" s="5">
        <f>COUNTIFS(StratumSummaries!C2:C999, C10,StratumSummaries!E2:E999, D10,StratumSummaries!O2:O999, E10)</f>
        <v>2</v>
      </c>
      <c r="P10" s="3" t="str">
        <f>IF(N10 = M10, D10, IF(O10 = M10, E10, "none"))</f>
        <v>none</v>
      </c>
      <c r="Q10" s="3" t="b">
        <f>IF(AC10 = "", "", AC10)</f>
        <v>1</v>
      </c>
      <c r="R10" s="5">
        <f>COUNTIFS(StratumVariables!C2:C999, C10,StratumVariables!H2:H999, TRUE())</f>
        <v>1</v>
      </c>
      <c r="S10" s="3" t="b">
        <f>AND(Q10, R10 &gt; 0)</f>
        <v>1</v>
      </c>
      <c r="T10" s="3">
        <f>IF(H10 = "", "", ABS(H10 - K10))</f>
        <v>0.07537603515294913</v>
      </c>
      <c r="U10" s="5">
        <f>IF(L10 = D10, O10, N10)</f>
        <v>5</v>
      </c>
      <c r="V10" s="3">
        <f>IF(M10 = 0, "", T10 * (U10 / M10))</f>
        <v>0.05384002510924938</v>
      </c>
      <c r="W10" s="3">
        <f>SUMIFS(StratumSummaries!S2:S999,StratumSummaries!C2:C999, C10,StratumSummaries!E2:E999, D10)</f>
        <v>0.30393919510524814</v>
      </c>
      <c r="X10" s="3">
        <f>SUMIFS(StratumSummaries!S2:S999,StratumSummaries!C2:C999, C10,StratumSummaries!E2:E999, E10)</f>
        <v>0.26004344267498014</v>
      </c>
      <c r="Y10" s="3">
        <f>IF(M10 = 0, "", U10 / M10)</f>
        <v>0.7142857142857143</v>
      </c>
      <c r="Z10" s="3">
        <f>IF(M10 = 0, "", Y10 - 0.5)</f>
        <v>0.2142857142857143</v>
      </c>
      <c r="AA10" s="3">
        <f>IF(H10 = "", "", H10 - K10)</f>
        <v>-0.07537603515294913</v>
      </c>
      <c r="AB10" s="3">
        <f>SUMIFS(StratumSummaries!AB2:AB999,StratumSummaries!C2:C999, C10,StratumSummaries!E2:E999, D10)</f>
        <v>0.04389575243026802</v>
      </c>
      <c r="AC10" s="3" t="b">
        <f>IF(AB10 = "", "", IF(AB10 &gt; 0, AA10 &lt; 0, AA10 &gt; 0))</f>
        <v>1</v>
      </c>
      <c r="AD10" s="3">
        <f>IF(AB10 = "", "", ABS(AB10 - AA10))</f>
        <v>0.11927178758321716</v>
      </c>
      <c r="AE10" s="3" t="str">
        <f>IF(AD10 = "", "", IF(AC10, IF(AND(AB10 &lt;&gt; 0, AA10 / AB10 &lt; -1), "B", IF(AND(AB10 &lt;&gt; 0, AA10 / AB10 &lt; 0), "A", IF(Y10 = 1, "A", "B"))), IF(AND(NOT(AC10), AD10 &gt; 0.01, ABS(AA10) &gt; ABS(AG10) + 0.001), "C+", IF(AND(NOT(AC10), AD10 &gt; 0.01, ABS(AA10) &lt; ABS(AG10) - 0.001), "C-", "D"))))</f>
        <v>B</v>
      </c>
      <c r="AF10" s="3" t="str">
        <f>IF(AE10 = "", "", IF(AE10 = "A", "stratify-immediately", IF(AE10 = "B", "investigate-confounder", IF(OR(AE10 = "C+", AE10 = "C-"), "check-allocation-bias", "pooled-analysis-trustworthy"))))</f>
        <v>investigate-confounder</v>
      </c>
      <c r="AG10" s="3">
        <f>AB10</f>
        <v>0.04389575243026802</v>
      </c>
      <c r="AH10" s="3" t="str">
        <f>IF(AG10 = "", "", IF(ABS(AG10) &lt; 0.0001, "tie", IF(AG10 &gt; 0, D10, IF(AG10 &lt; 0, E10, "tie"))))</f>
        <v>A</v>
      </c>
      <c r="AI10" s="3" t="b">
        <f>IF(AH10 = "", "", AH10 = L10)</f>
        <v>0</v>
      </c>
      <c r="AJ10" s="3" t="str">
        <f>IF(AE10 = "", "", IF(AE10 = "A", "use-corrected-winner", IF(AE10 = "B", "use-corrected-winner-with-caution", IF(OR(AE10 = "C+", AE10 = "C-"), "check-allocation-bias", "pooled-analysis-trustworthy"))))</f>
        <v>use-corrected-winner-with-caution</v>
      </c>
      <c r="AK10" s="3" t="str">
        <f>IF(AG10 = "", "", IF(AC10, "reversal", IF(ABS(AA10) &gt; ABS(AG10) + 0.001, "amplification", IF(ABS(AA10) &lt; ABS(AG10) - 0.001, "compression", "neutral"))))</f>
        <v>reversal</v>
      </c>
      <c r="AL10" s="3">
        <f>IF(AG10 = "", "", IF(ABS(AG10) + AD10 = 0, 1, ABS(AG10) / (ABS(AG10) + AD10)))</f>
        <v>0.26902257904139637</v>
      </c>
      <c r="AM10" s="3" t="e">
        <f>LOOKUP(C10, SweepStudySummary[SweepStudyId], SweepStudySummary[PooledGapCrossesZero])</f>
        <v>#VALUE!</v>
      </c>
      <c r="AN10" s="3" t="e">
        <f>LOOKUP(C10, SweepStudySummary[SweepStudyId], SweepStudySummary[SweepPooledGapRange])</f>
        <v>#VALUE!</v>
      </c>
      <c r="AO10" s="3" t="e">
        <f>IF(AE10 = "", "", AND(AE10 = "D", AM10 = TRUE))</f>
        <v>#VALUE!</v>
      </c>
      <c r="AP10" s="3" t="e">
        <f>IF(OR(AN10 = "", T10 = "", T10 = 0), "", AN10 / ABS(T10))</f>
        <v>#VALUE!</v>
      </c>
      <c r="AQ10" s="3" t="e">
        <f>LOOKUP(C10, Studies[StudyId], Studies[Domain])</f>
        <v>#VALUE!</v>
      </c>
      <c r="AR10" s="5">
        <f>COUNTIFS(StratumVariables!C2:C999, C10,StratumVariables!E2:E999, "confounder")</f>
        <v>1</v>
      </c>
      <c r="AS10" s="5">
        <f>COUNTIFS(StratumVariables!C2:C999, C10,StratumVariables!J2:J999, "mediator") + COUNTIFS(StratumVariables!C2:C999, C10,StratumVariables!J2:J999, "collider")</f>
        <v>0</v>
      </c>
      <c r="AT10" s="5">
        <f>COUNTIFS(StratumVariables!C2:C999, C10,StratumVariables!E2:E999, "contested")</f>
        <v>0</v>
      </c>
      <c r="AU10" s="5">
        <f>COUNTIFS(StratumVariables!C2:C999, C10,StratumVariables!E2:E999, "unknown")</f>
        <v>0</v>
      </c>
      <c r="AV10" s="3" t="str">
        <f>IF(AT10 &gt; 0, "contested", IF(AU10 &gt; 0, "geometric-only", IF(AR10 &gt; 0, "established", "geometric-only")))</f>
        <v>established</v>
      </c>
      <c r="AW10" s="3" t="b">
        <f>AND(AS10 = 0, AV10 = "established")</f>
        <v>1</v>
      </c>
      <c r="AX10" s="2" t="s">
        <v>2638</v>
      </c>
    </row>
    <row r="11">
      <c r="A11" s="2" t="s">
        <v>2639</v>
      </c>
      <c r="B11" s="3" t="str">
        <f>A11</f>
        <v>phe-covid-2021-A-vs-B</v>
      </c>
      <c r="C11" s="2" t="s">
        <v>457</v>
      </c>
      <c r="D11" s="2" t="s">
        <v>792</v>
      </c>
      <c r="E11" s="2" t="s">
        <v>795</v>
      </c>
      <c r="F11" s="5">
        <f>SUMIFS(CaseCells!G2:G999,CaseCells!C2:C999, C11,CaseCells!E2:E999, D11)</f>
        <v>117114</v>
      </c>
      <c r="G11" s="5">
        <f>SUMIFS(CaseCells!F2:F999,CaseCells!C2:C999, C11,CaseCells!E2:E999, D11)</f>
        <v>481</v>
      </c>
      <c r="H11" s="3">
        <f>IF(F11 = 0, "", G11 / F11)</f>
        <v>0.004107109312294004</v>
      </c>
      <c r="I11" s="5">
        <f>SUMIFS(CaseCells!G2:G999,CaseCells!C2:C999, C11,CaseCells!E2:E999, E11)</f>
        <v>151052</v>
      </c>
      <c r="J11" s="5">
        <f>SUMIFS(CaseCells!F2:F999,CaseCells!C2:C999, C11,CaseCells!E2:E999, E11)</f>
        <v>253</v>
      </c>
      <c r="K11" s="3">
        <f>IF(I11 = 0, "", J11 / I11)</f>
        <v>0.0016749198951354501</v>
      </c>
      <c r="L11" s="3" t="str">
        <f>IF(OR(H11 = "", K11 = ""), "", IF(ABS(H11 - K11) &lt; 0.0000001, "tie", IF(H11 &gt; K11, D11, E11)))</f>
        <v>A</v>
      </c>
      <c r="M11" s="5">
        <f>COUNTIFS(StratumSummaries!C2:C999, C11,StratumSummaries!E2:E999, D11)</f>
        <v>2</v>
      </c>
      <c r="N11" s="5">
        <f>COUNTIFS(StratumSummaries!C2:C999, C11,StratumSummaries!E2:E999, D11,StratumSummaries!O2:O999, D11)</f>
        <v>0</v>
      </c>
      <c r="O11" s="5">
        <f>COUNTIFS(StratumSummaries!C2:C999, C11,StratumSummaries!E2:E999, D11,StratumSummaries!O2:O999, E11)</f>
        <v>2</v>
      </c>
      <c r="P11" s="3" t="str">
        <f>IF(N11 = M11, D11, IF(O11 = M11, E11, "none"))</f>
        <v>B</v>
      </c>
      <c r="Q11" s="3" t="b">
        <f>IF(AC11 = "", "", AC11)</f>
        <v>1</v>
      </c>
      <c r="R11" s="5">
        <f>COUNTIFS(StratumVariables!C2:C999, C11,StratumVariables!H2:H999, TRUE())</f>
        <v>1</v>
      </c>
      <c r="S11" s="3" t="b">
        <f>AND(Q11, R11 &gt; 0)</f>
        <v>1</v>
      </c>
      <c r="T11" s="3">
        <f>IF(H11 = "", "", ABS(H11 - K11))</f>
        <v>0.002432189417158554</v>
      </c>
      <c r="U11" s="5">
        <f>IF(L11 = D11, O11, N11)</f>
        <v>2</v>
      </c>
      <c r="V11" s="3">
        <f>IF(M11 = 0, "", T11 * (U11 / M11))</f>
        <v>0.002432189417158554</v>
      </c>
      <c r="W11" s="3">
        <f>SUMIFS(StratumSummaries!S2:S999,StratumSummaries!C2:C999, C11,StratumSummaries!E2:E999, D11)</f>
        <v>0.0021384714347542806</v>
      </c>
      <c r="X11" s="3">
        <f>SUMIFS(StratumSummaries!S2:S999,StratumSummaries!C2:C999, C11,StratumSummaries!E2:E999, E11)</f>
        <v>0.007120626180282423</v>
      </c>
      <c r="Y11" s="3">
        <f>IF(M11 = 0, "", U11 / M11)</f>
        <v>1</v>
      </c>
      <c r="Z11" s="3">
        <f>IF(M11 = 0, "", Y11 - 0.5)</f>
        <v>0.5</v>
      </c>
      <c r="AA11" s="3">
        <f>IF(H11 = "", "", H11 - K11)</f>
        <v>0.002432189417158554</v>
      </c>
      <c r="AB11" s="3">
        <f>SUMIFS(StratumSummaries!AB2:AB999,StratumSummaries!C2:C999, C11,StratumSummaries!E2:E999, D11)</f>
        <v>-0.004982154745528142</v>
      </c>
      <c r="AC11" s="3" t="b">
        <f>IF(AB11 = "", "", IF(AB11 &gt; 0, AA11 &lt; 0, AA11 &gt; 0))</f>
        <v>1</v>
      </c>
      <c r="AD11" s="3">
        <f>IF(AB11 = "", "", ABS(AB11 - AA11))</f>
        <v>0.0074143441626866955</v>
      </c>
      <c r="AE11" s="3" t="str">
        <f>IF(AD11 = "", "", IF(AC11, IF(AND(AB11 &lt;&gt; 0, AA11 / AB11 &lt; -1), "B", IF(AND(AB11 &lt;&gt; 0, AA11 / AB11 &lt; 0), "A", IF(Y11 = 1, "A", "B"))), IF(AND(NOT(AC11), AD11 &gt; 0.01, ABS(AA11) &gt; ABS(AG11) + 0.001), "C+", IF(AND(NOT(AC11), AD11 &gt; 0.01, ABS(AA11) &lt; ABS(AG11) - 0.001), "C-", "D"))))</f>
        <v>A</v>
      </c>
      <c r="AF11" s="3" t="str">
        <f>IF(AE11 = "", "", IF(AE11 = "A", "stratify-immediately", IF(AE11 = "B", "investigate-confounder", IF(OR(AE11 = "C+", AE11 = "C-"), "check-allocation-bias", "pooled-analysis-trustworthy"))))</f>
        <v>stratify-immediately</v>
      </c>
      <c r="AG11" s="3">
        <f>AB11</f>
        <v>-0.004982154745528142</v>
      </c>
      <c r="AH11" s="3" t="str">
        <f>IF(AG11 = "", "", IF(ABS(AG11) &lt; 0.0001, "tie", IF(AG11 &gt; 0, D11, IF(AG11 &lt; 0, E11, "tie"))))</f>
        <v>B</v>
      </c>
      <c r="AI11" s="3" t="b">
        <f>IF(AH11 = "", "", AH11 = L11)</f>
        <v>0</v>
      </c>
      <c r="AJ11" s="3" t="str">
        <f>IF(AE11 = "", "", IF(AE11 = "A", "use-corrected-winner", IF(AE11 = "B", "use-corrected-winner-with-caution", IF(OR(AE11 = "C+", AE11 = "C-"), "check-allocation-bias", "pooled-analysis-trustworthy"))))</f>
        <v>use-corrected-winner</v>
      </c>
      <c r="AK11" s="3" t="str">
        <f>IF(AG11 = "", "", IF(AC11, "reversal", IF(ABS(AA11) &gt; ABS(AG11) + 0.001, "amplification", IF(ABS(AA11) &lt; ABS(AG11) - 0.001, "compression", "neutral"))))</f>
        <v>reversal</v>
      </c>
      <c r="AL11" s="3">
        <f>IF(AG11 = "", "", IF(ABS(AG11) + AD11 = 0, 1, ABS(AG11) / (ABS(AG11) + AD11)))</f>
        <v>0.40190014797053686</v>
      </c>
      <c r="AM11" s="3" t="e">
        <f>LOOKUP(C11, SweepStudySummary[SweepStudyId], SweepStudySummary[PooledGapCrossesZero])</f>
        <v>#VALUE!</v>
      </c>
      <c r="AN11" s="3" t="e">
        <f>LOOKUP(C11, SweepStudySummary[SweepStudyId], SweepStudySummary[SweepPooledGapRange])</f>
        <v>#VALUE!</v>
      </c>
      <c r="AO11" s="3" t="e">
        <f>IF(AE11 = "", "", AND(AE11 = "D", AM11 = TRUE))</f>
        <v>#VALUE!</v>
      </c>
      <c r="AP11" s="3" t="e">
        <f>IF(OR(AN11 = "", T11 = "", T11 = 0), "", AN11 / ABS(T11))</f>
        <v>#VALUE!</v>
      </c>
      <c r="AQ11" s="3" t="e">
        <f>LOOKUP(C11, Studies[StudyId], Studies[Domain])</f>
        <v>#VALUE!</v>
      </c>
      <c r="AR11" s="5">
        <f>COUNTIFS(StratumVariables!C2:C999, C11,StratumVariables!E2:E999, "confounder")</f>
        <v>1</v>
      </c>
      <c r="AS11" s="5">
        <f>COUNTIFS(StratumVariables!C2:C999, C11,StratumVariables!J2:J999, "mediator") + COUNTIFS(StratumVariables!C2:C999, C11,StratumVariables!J2:J999, "collider")</f>
        <v>0</v>
      </c>
      <c r="AT11" s="5">
        <f>COUNTIFS(StratumVariables!C2:C999, C11,StratumVariables!E2:E999, "contested")</f>
        <v>0</v>
      </c>
      <c r="AU11" s="5">
        <f>COUNTIFS(StratumVariables!C2:C999, C11,StratumVariables!E2:E999, "unknown")</f>
        <v>0</v>
      </c>
      <c r="AV11" s="3" t="str">
        <f>IF(AT11 &gt; 0, "contested", IF(AU11 &gt; 0, "geometric-only", IF(AR11 &gt; 0, "established", "geometric-only")))</f>
        <v>established</v>
      </c>
      <c r="AW11" s="3" t="b">
        <f>AND(AS11 = 0, AV11 = "established")</f>
        <v>1</v>
      </c>
      <c r="AX11" s="2" t="s">
        <v>2640</v>
      </c>
    </row>
    <row r="12">
      <c r="A12" s="2" t="s">
        <v>2641</v>
      </c>
      <c r="B12" s="3" t="str">
        <f>A12</f>
        <v>hannan-1994-A-vs-B</v>
      </c>
      <c r="C12" s="2" t="s">
        <v>462</v>
      </c>
      <c r="D12" s="2" t="s">
        <v>792</v>
      </c>
      <c r="E12" s="2" t="s">
        <v>795</v>
      </c>
      <c r="F12" s="5">
        <f>SUMIFS(CaseCells!G2:G999,CaseCells!C2:C999, C12,CaseCells!E2:E999, D12)</f>
        <v>700</v>
      </c>
      <c r="G12" s="5">
        <f>SUMIFS(CaseCells!F2:F999,CaseCells!C2:C999, C12,CaseCells!E2:E999, D12)</f>
        <v>674</v>
      </c>
      <c r="H12" s="3">
        <f>IF(F12 = 0, "", G12 / F12)</f>
        <v>0.9628571428571429</v>
      </c>
      <c r="I12" s="5">
        <f>SUMIFS(CaseCells!G2:G999,CaseCells!C2:C999, C12,CaseCells!E2:E999, E12)</f>
        <v>400</v>
      </c>
      <c r="J12" s="5">
        <f>SUMIFS(CaseCells!F2:F999,CaseCells!C2:C999, C12,CaseCells!E2:E999, E12)</f>
        <v>374</v>
      </c>
      <c r="K12" s="3">
        <f>IF(I12 = 0, "", J12 / I12)</f>
        <v>0.935</v>
      </c>
      <c r="L12" s="3" t="str">
        <f>IF(OR(H12 = "", K12 = ""), "", IF(ABS(H12 - K12) &lt; 0.0000001, "tie", IF(H12 &gt; K12, D12, E12)))</f>
        <v>A</v>
      </c>
      <c r="M12" s="5">
        <f>COUNTIFS(StratumSummaries!C2:C999, C12,StratumSummaries!E2:E999, D12)</f>
        <v>2</v>
      </c>
      <c r="N12" s="5">
        <f>COUNTIFS(StratumSummaries!C2:C999, C12,StratumSummaries!E2:E999, D12,StratumSummaries!O2:O999, D12)</f>
        <v>2</v>
      </c>
      <c r="O12" s="5">
        <f>COUNTIFS(StratumSummaries!C2:C999, C12,StratumSummaries!E2:E999, D12,StratumSummaries!O2:O999, E12)</f>
        <v>0</v>
      </c>
      <c r="P12" s="3" t="str">
        <f>IF(N12 = M12, D12, IF(O12 = M12, E12, "none"))</f>
        <v>A</v>
      </c>
      <c r="Q12" s="3" t="b">
        <f>IF(AC12 = "", "", AC12)</f>
        <v>0</v>
      </c>
      <c r="R12" s="5">
        <f>COUNTIFS(StratumVariables!C2:C999, C12,StratumVariables!H2:H999, TRUE())</f>
        <v>1</v>
      </c>
      <c r="S12" s="3" t="b">
        <f>AND(Q12, R12 &gt; 0)</f>
        <v>0</v>
      </c>
      <c r="T12" s="3">
        <f>IF(H12 = "", "", ABS(H12 - K12))</f>
        <v>0.027857142857142803</v>
      </c>
      <c r="U12" s="5">
        <f>IF(L12 = D12, O12, N12)</f>
        <v>0</v>
      </c>
      <c r="V12" s="3">
        <f>IF(M12 = 0, "", T12 * (U12 / M12))</f>
        <v>0</v>
      </c>
      <c r="W12" s="3">
        <f>SUMIFS(StratumSummaries!S2:S999,StratumSummaries!C2:C999, C12,StratumSummaries!E2:E999, D12)</f>
        <v>0.9700309214594929</v>
      </c>
      <c r="X12" s="3">
        <f>SUMIFS(StratumSummaries!S2:S999,StratumSummaries!C2:C999, C12,StratumSummaries!E2:E999, E12)</f>
        <v>0.8813068181818182</v>
      </c>
      <c r="Y12" s="3">
        <f>IF(M12 = 0, "", U12 / M12)</f>
        <v>0</v>
      </c>
      <c r="Z12" s="3">
        <f>IF(M12 = 0, "", Y12 - 0.5)</f>
        <v>-0.5</v>
      </c>
      <c r="AA12" s="3">
        <f>IF(H12 = "", "", H12 - K12)</f>
        <v>0.027857142857142803</v>
      </c>
      <c r="AB12" s="3">
        <f>SUMIFS(StratumSummaries!AB2:AB999,StratumSummaries!C2:C999, C12,StratumSummaries!E2:E999, D12)</f>
        <v>0.08872410327767469</v>
      </c>
      <c r="AC12" s="3" t="b">
        <f>IF(AB12 = "", "", IF(AB12 &gt; 0, AA12 &lt; 0, AA12 &gt; 0))</f>
        <v>0</v>
      </c>
      <c r="AD12" s="3">
        <f>IF(AB12 = "", "", ABS(AB12 - AA12))</f>
        <v>0.060866960420531885</v>
      </c>
      <c r="AE12" s="3" t="str">
        <f>IF(AD12 = "", "", IF(AC12, IF(AND(AB12 &lt;&gt; 0, AA12 / AB12 &lt; -1), "B", IF(AND(AB12 &lt;&gt; 0, AA12 / AB12 &lt; 0), "A", IF(Y12 = 1, "A", "B"))), IF(AND(NOT(AC12), AD12 &gt; 0.01, ABS(AA12) &gt; ABS(AG12) + 0.001), "C+", IF(AND(NOT(AC12), AD12 &gt; 0.01, ABS(AA12) &lt; ABS(AG12) - 0.001), "C-", "D"))))</f>
        <v>C-</v>
      </c>
      <c r="AF12" s="3" t="str">
        <f>IF(AE12 = "", "", IF(AE12 = "A", "stratify-immediately", IF(AE12 = "B", "investigate-confounder", IF(OR(AE12 = "C+", AE12 = "C-"), "check-allocation-bias", "pooled-analysis-trustworthy"))))</f>
        <v>check-allocation-bias</v>
      </c>
      <c r="AG12" s="3">
        <f>AB12</f>
        <v>0.08872410327767469</v>
      </c>
      <c r="AH12" s="3" t="str">
        <f>IF(AG12 = "", "", IF(ABS(AG12) &lt; 0.0001, "tie", IF(AG12 &gt; 0, D12, IF(AG12 &lt; 0, E12, "tie"))))</f>
        <v>A</v>
      </c>
      <c r="AI12" s="3" t="b">
        <f>IF(AH12 = "", "", AH12 = L12)</f>
        <v>1</v>
      </c>
      <c r="AJ12" s="3" t="str">
        <f>IF(AE12 = "", "", IF(AE12 = "A", "use-corrected-winner", IF(AE12 = "B", "use-corrected-winner-with-caution", IF(OR(AE12 = "C+", AE12 = "C-"), "check-allocation-bias", "pooled-analysis-trustworthy"))))</f>
        <v>check-allocation-bias</v>
      </c>
      <c r="AK12" s="3" t="str">
        <f>IF(AG12 = "", "", IF(AC12, "reversal", IF(ABS(AA12) &gt; ABS(AG12) + 0.001, "amplification", IF(ABS(AA12) &lt; ABS(AG12) - 0.001, "compression", "neutral"))))</f>
        <v>compression</v>
      </c>
      <c r="AL12" s="3">
        <f>IF(AG12 = "", "", IF(ABS(AG12) + AD12 = 0, 1, ABS(AG12) / (ABS(AG12) + AD12)))</f>
        <v>0.5931109859387836</v>
      </c>
      <c r="AM12" s="3" t="e">
        <f>LOOKUP(C12, SweepStudySummary[SweepStudyId], SweepStudySummary[PooledGapCrossesZero])</f>
        <v>#VALUE!</v>
      </c>
      <c r="AN12" s="3" t="e">
        <f>LOOKUP(C12, SweepStudySummary[SweepStudyId], SweepStudySummary[SweepPooledGapRange])</f>
        <v>#VALUE!</v>
      </c>
      <c r="AO12" s="3" t="e">
        <f>IF(AE12 = "", "", AND(AE12 = "D", AM12 = TRUE))</f>
        <v>#VALUE!</v>
      </c>
      <c r="AP12" s="3" t="e">
        <f>IF(OR(AN12 = "", T12 = "", T12 = 0), "", AN12 / ABS(T12))</f>
        <v>#VALUE!</v>
      </c>
      <c r="AQ12" s="3" t="e">
        <f>LOOKUP(C12, Studies[StudyId], Studies[Domain])</f>
        <v>#VALUE!</v>
      </c>
      <c r="AR12" s="5">
        <f>COUNTIFS(StratumVariables!C2:C999, C12,StratumVariables!E2:E999, "confounder")</f>
        <v>1</v>
      </c>
      <c r="AS12" s="5">
        <f>COUNTIFS(StratumVariables!C2:C999, C12,StratumVariables!J2:J999, "mediator") + COUNTIFS(StratumVariables!C2:C999, C12,StratumVariables!J2:J999, "collider")</f>
        <v>0</v>
      </c>
      <c r="AT12" s="5">
        <f>COUNTIFS(StratumVariables!C2:C999, C12,StratumVariables!E2:E999, "contested")</f>
        <v>0</v>
      </c>
      <c r="AU12" s="5">
        <f>COUNTIFS(StratumVariables!C2:C999, C12,StratumVariables!E2:E999, "unknown")</f>
        <v>0</v>
      </c>
      <c r="AV12" s="3" t="str">
        <f>IF(AT12 &gt; 0, "contested", IF(AU12 &gt; 0, "geometric-only", IF(AR12 &gt; 0, "established", "geometric-only")))</f>
        <v>established</v>
      </c>
      <c r="AW12" s="3" t="b">
        <f>AND(AS12 = 0, AV12 = "established")</f>
        <v>1</v>
      </c>
      <c r="AX12" s="2" t="s">
        <v>2642</v>
      </c>
    </row>
    <row r="13">
      <c r="A13" s="2" t="s">
        <v>2643</v>
      </c>
      <c r="B13" s="3" t="str">
        <f>A13</f>
        <v>titanic-1912-A-vs-B</v>
      </c>
      <c r="C13" s="2" t="s">
        <v>466</v>
      </c>
      <c r="D13" s="2" t="s">
        <v>792</v>
      </c>
      <c r="E13" s="2" t="s">
        <v>795</v>
      </c>
      <c r="F13" s="5">
        <f>SUMIFS(CaseCells!G2:G999,CaseCells!C2:C999, C13,CaseCells!E2:E999, D13)</f>
        <v>319</v>
      </c>
      <c r="G13" s="5">
        <f>SUMIFS(CaseCells!F2:F999,CaseCells!C2:C999, C13,CaseCells!E2:E999, D13)</f>
        <v>196</v>
      </c>
      <c r="H13" s="3">
        <f>IF(F13 = 0, "", G13 / F13)</f>
        <v>0.6144200626959248</v>
      </c>
      <c r="I13" s="5">
        <f>SUMIFS(CaseCells!G2:G999,CaseCells!C2:C999, C13,CaseCells!E2:E999, E13)</f>
        <v>627</v>
      </c>
      <c r="J13" s="5">
        <f>SUMIFS(CaseCells!F2:F999,CaseCells!C2:C999, C13,CaseCells!E2:E999, E13)</f>
        <v>151</v>
      </c>
      <c r="K13" s="3">
        <f>IF(I13 = 0, "", J13 / I13)</f>
        <v>0.24082934609250398</v>
      </c>
      <c r="L13" s="3" t="str">
        <f>IF(OR(H13 = "", K13 = ""), "", IF(ABS(H13 - K13) &lt; 0.0000001, "tie", IF(H13 &gt; K13, D13, E13)))</f>
        <v>A</v>
      </c>
      <c r="M13" s="5">
        <f>COUNTIFS(StratumSummaries!C2:C999, C13,StratumSummaries!E2:E999, D13)</f>
        <v>2</v>
      </c>
      <c r="N13" s="5">
        <f>COUNTIFS(StratumSummaries!C2:C999, C13,StratumSummaries!E2:E999, D13,StratumSummaries!O2:O999, D13)</f>
        <v>2</v>
      </c>
      <c r="O13" s="5">
        <f>COUNTIFS(StratumSummaries!C2:C999, C13,StratumSummaries!E2:E999, D13,StratumSummaries!O2:O999, E13)</f>
        <v>0</v>
      </c>
      <c r="P13" s="3" t="str">
        <f>IF(N13 = M13, D13, IF(O13 = M13, E13, "none"))</f>
        <v>A</v>
      </c>
      <c r="Q13" s="3" t="b">
        <f>IF(AC13 = "", "", AC13)</f>
        <v>0</v>
      </c>
      <c r="R13" s="5">
        <f>COUNTIFS(StratumVariables!C2:C999, C13,StratumVariables!H2:H999, TRUE())</f>
        <v>1</v>
      </c>
      <c r="S13" s="3" t="b">
        <f>AND(Q13, R13 &gt; 0)</f>
        <v>0</v>
      </c>
      <c r="T13" s="3">
        <f>IF(H13 = "", "", ABS(H13 - K13))</f>
        <v>0.3735907166034208</v>
      </c>
      <c r="U13" s="5">
        <f>IF(L13 = D13, O13, N13)</f>
        <v>0</v>
      </c>
      <c r="V13" s="3">
        <f>IF(M13 = 0, "", T13 * (U13 / M13))</f>
        <v>0</v>
      </c>
      <c r="W13" s="3">
        <f>SUMIFS(StratumSummaries!S2:S999,StratumSummaries!C2:C999, C13,StratumSummaries!E2:E999, D13)</f>
        <v>0.5346203312191684</v>
      </c>
      <c r="X13" s="3">
        <f>SUMIFS(StratumSummaries!S2:S999,StratumSummaries!C2:C999, C13,StratumSummaries!E2:E999, E13)</f>
        <v>0.25976359792427445</v>
      </c>
      <c r="Y13" s="3">
        <f>IF(M13 = 0, "", U13 / M13)</f>
        <v>0</v>
      </c>
      <c r="Z13" s="3">
        <f>IF(M13 = 0, "", Y13 - 0.5)</f>
        <v>-0.5</v>
      </c>
      <c r="AA13" s="3">
        <f>IF(H13 = "", "", H13 - K13)</f>
        <v>0.3735907166034208</v>
      </c>
      <c r="AB13" s="3">
        <f>SUMIFS(StratumSummaries!AB2:AB999,StratumSummaries!C2:C999, C13,StratumSummaries!E2:E999, D13)</f>
        <v>0.274856733294894</v>
      </c>
      <c r="AC13" s="3" t="b">
        <f>IF(AB13 = "", "", IF(AB13 &gt; 0, AA13 &lt; 0, AA13 &gt; 0))</f>
        <v>0</v>
      </c>
      <c r="AD13" s="3">
        <f>IF(AB13 = "", "", ABS(AB13 - AA13))</f>
        <v>0.09873398330852678</v>
      </c>
      <c r="AE13" s="3" t="str">
        <f>IF(AD13 = "", "", IF(AC13, IF(AND(AB13 &lt;&gt; 0, AA13 / AB13 &lt; -1), "B", IF(AND(AB13 &lt;&gt; 0, AA13 / AB13 &lt; 0), "A", IF(Y13 = 1, "A", "B"))), IF(AND(NOT(AC13), AD13 &gt; 0.01, ABS(AA13) &gt; ABS(AG13) + 0.001), "C+", IF(AND(NOT(AC13), AD13 &gt; 0.01, ABS(AA13) &lt; ABS(AG13) - 0.001), "C-", "D"))))</f>
        <v>C+</v>
      </c>
      <c r="AF13" s="3" t="str">
        <f>IF(AE13 = "", "", IF(AE13 = "A", "stratify-immediately", IF(AE13 = "B", "investigate-confounder", IF(OR(AE13 = "C+", AE13 = "C-"), "check-allocation-bias", "pooled-analysis-trustworthy"))))</f>
        <v>check-allocation-bias</v>
      </c>
      <c r="AG13" s="3">
        <f>AB13</f>
        <v>0.274856733294894</v>
      </c>
      <c r="AH13" s="3" t="str">
        <f>IF(AG13 = "", "", IF(ABS(AG13) &lt; 0.0001, "tie", IF(AG13 &gt; 0, D13, IF(AG13 &lt; 0, E13, "tie"))))</f>
        <v>A</v>
      </c>
      <c r="AI13" s="3" t="b">
        <f>IF(AH13 = "", "", AH13 = L13)</f>
        <v>1</v>
      </c>
      <c r="AJ13" s="3" t="str">
        <f>IF(AE13 = "", "", IF(AE13 = "A", "use-corrected-winner", IF(AE13 = "B", "use-corrected-winner-with-caution", IF(OR(AE13 = "C+", AE13 = "C-"), "check-allocation-bias", "pooled-analysis-trustworthy"))))</f>
        <v>check-allocation-bias</v>
      </c>
      <c r="AK13" s="3" t="str">
        <f>IF(AG13 = "", "", IF(AC13, "reversal", IF(ABS(AA13) &gt; ABS(AG13) + 0.001, "amplification", IF(ABS(AA13) &lt; ABS(AG13) - 0.001, "compression", "neutral"))))</f>
        <v>amplification</v>
      </c>
      <c r="AL13" s="3">
        <f>IF(AG13 = "", "", IF(ABS(AG13) + AD13 = 0, 1, ABS(AG13) / (ABS(AG13) + AD13)))</f>
        <v>0.7357161756957247</v>
      </c>
      <c r="AM13" s="3" t="e">
        <f>LOOKUP(C13, SweepStudySummary[SweepStudyId], SweepStudySummary[PooledGapCrossesZero])</f>
        <v>#VALUE!</v>
      </c>
      <c r="AN13" s="3" t="e">
        <f>LOOKUP(C13, SweepStudySummary[SweepStudyId], SweepStudySummary[SweepPooledGapRange])</f>
        <v>#VALUE!</v>
      </c>
      <c r="AO13" s="3" t="e">
        <f>IF(AE13 = "", "", AND(AE13 = "D", AM13 = TRUE))</f>
        <v>#VALUE!</v>
      </c>
      <c r="AP13" s="3" t="e">
        <f>IF(OR(AN13 = "", T13 = "", T13 = 0), "", AN13 / ABS(T13))</f>
        <v>#VALUE!</v>
      </c>
      <c r="AQ13" s="3" t="e">
        <f>LOOKUP(C13, Studies[StudyId], Studies[Domain])</f>
        <v>#VALUE!</v>
      </c>
      <c r="AR13" s="5">
        <f>COUNTIFS(StratumVariables!C2:C999, C13,StratumVariables!E2:E999, "confounder")</f>
        <v>1</v>
      </c>
      <c r="AS13" s="5">
        <f>COUNTIFS(StratumVariables!C2:C999, C13,StratumVariables!J2:J999, "mediator") + COUNTIFS(StratumVariables!C2:C999, C13,StratumVariables!J2:J999, "collider")</f>
        <v>0</v>
      </c>
      <c r="AT13" s="5">
        <f>COUNTIFS(StratumVariables!C2:C999, C13,StratumVariables!E2:E999, "contested")</f>
        <v>0</v>
      </c>
      <c r="AU13" s="5">
        <f>COUNTIFS(StratumVariables!C2:C999, C13,StratumVariables!E2:E999, "unknown")</f>
        <v>0</v>
      </c>
      <c r="AV13" s="3" t="str">
        <f>IF(AT13 &gt; 0, "contested", IF(AU13 &gt; 0, "geometric-only", IF(AR13 &gt; 0, "established", "geometric-only")))</f>
        <v>established</v>
      </c>
      <c r="AW13" s="3" t="b">
        <f>AND(AS13 = 0, AV13 = "established")</f>
        <v>1</v>
      </c>
      <c r="AX13" s="2" t="s">
        <v>2644</v>
      </c>
    </row>
    <row r="14">
      <c r="A14" s="2" t="s">
        <v>2645</v>
      </c>
      <c r="B14" s="3" t="str">
        <f>A14</f>
        <v>birth-weight-paradox-A-vs-B</v>
      </c>
      <c r="C14" s="2" t="s">
        <v>470</v>
      </c>
      <c r="D14" s="2" t="s">
        <v>792</v>
      </c>
      <c r="E14" s="2" t="s">
        <v>795</v>
      </c>
      <c r="F14" s="5">
        <f>SUMIFS(CaseCells!G2:G999,CaseCells!C2:C999, C14,CaseCells!E2:E999, D14)</f>
        <v>2000</v>
      </c>
      <c r="G14" s="5">
        <f>SUMIFS(CaseCells!F2:F999,CaseCells!C2:C999, C14,CaseCells!E2:E999, D14)</f>
        <v>1955</v>
      </c>
      <c r="H14" s="3">
        <f>IF(F14 = 0, "", G14 / F14)</f>
        <v>0.9775</v>
      </c>
      <c r="I14" s="5">
        <f>SUMIFS(CaseCells!G2:G999,CaseCells!C2:C999, C14,CaseCells!E2:E999, E14)</f>
        <v>5500</v>
      </c>
      <c r="J14" s="5">
        <f>SUMIFS(CaseCells!F2:F999,CaseCells!C2:C999, C14,CaseCells!E2:E999, E14)</f>
        <v>5450</v>
      </c>
      <c r="K14" s="3">
        <f>IF(I14 = 0, "", J14 / I14)</f>
        <v>0.990909090909091</v>
      </c>
      <c r="L14" s="3" t="str">
        <f>IF(OR(H14 = "", K14 = ""), "", IF(ABS(H14 - K14) &lt; 0.0000001, "tie", IF(H14 &gt; K14, D14, E14)))</f>
        <v>B</v>
      </c>
      <c r="M14" s="5">
        <f>COUNTIFS(StratumSummaries!C2:C999, C14,StratumSummaries!E2:E999, D14)</f>
        <v>2</v>
      </c>
      <c r="N14" s="5">
        <f>COUNTIFS(StratumSummaries!C2:C999, C14,StratumSummaries!E2:E999, D14,StratumSummaries!O2:O999, D14)</f>
        <v>1</v>
      </c>
      <c r="O14" s="5">
        <f>COUNTIFS(StratumSummaries!C2:C999, C14,StratumSummaries!E2:E999, D14,StratumSummaries!O2:O999, E14)</f>
        <v>1</v>
      </c>
      <c r="P14" s="3" t="str">
        <f>IF(N14 = M14, D14, IF(O14 = M14, E14, "none"))</f>
        <v>none</v>
      </c>
      <c r="Q14" s="3" t="b">
        <f>IF(AC14 = "", "", AC14)</f>
        <v>1</v>
      </c>
      <c r="R14" s="5">
        <f>COUNTIFS(StratumVariables!C2:C999, C14,StratumVariables!H2:H999, TRUE())</f>
        <v>0</v>
      </c>
      <c r="S14" s="3" t="b">
        <f>AND(Q14, R14 &gt; 0)</f>
        <v>0</v>
      </c>
      <c r="T14" s="3">
        <f>IF(H14 = "", "", ABS(H14 - K14))</f>
        <v>0.013409090909090926</v>
      </c>
      <c r="U14" s="5">
        <f>IF(L14 = D14, O14, N14)</f>
        <v>1</v>
      </c>
      <c r="V14" s="3">
        <f>IF(M14 = 0, "", T14 * (U14 / M14))</f>
        <v>0.006704545454545463</v>
      </c>
      <c r="W14" s="3">
        <f>SUMIFS(StratumSummaries!S2:S999,StratumSummaries!C2:C999, C14,StratumSummaries!E2:E999, D14)</f>
        <v>0.988</v>
      </c>
      <c r="X14" s="3">
        <f>SUMIFS(StratumSummaries!S2:S999,StratumSummaries!C2:C999, C14,StratumSummaries!E2:E999, E14)</f>
        <v>0.9848000000000001</v>
      </c>
      <c r="Y14" s="3">
        <f>IF(M14 = 0, "", U14 / M14)</f>
        <v>0.5</v>
      </c>
      <c r="Z14" s="3">
        <f>IF(M14 = 0, "", Y14 - 0.5)</f>
        <v>0</v>
      </c>
      <c r="AA14" s="3">
        <f>IF(H14 = "", "", H14 - K14)</f>
        <v>-0.013409090909090926</v>
      </c>
      <c r="AB14" s="3">
        <f>SUMIFS(StratumSummaries!AB2:AB999,StratumSummaries!C2:C999, C14,StratumSummaries!E2:E999, D14)</f>
        <v>0.0032000000000000028</v>
      </c>
      <c r="AC14" s="3" t="b">
        <f>IF(AB14 = "", "", IF(AB14 &gt; 0, AA14 &lt; 0, AA14 &gt; 0))</f>
        <v>1</v>
      </c>
      <c r="AD14" s="3">
        <f>IF(AB14 = "", "", ABS(AB14 - AA14))</f>
        <v>0.016609090909090928</v>
      </c>
      <c r="AE14" s="3" t="str">
        <f>IF(AD14 = "", "", IF(AC14, IF(AND(AB14 &lt;&gt; 0, AA14 / AB14 &lt; -1), "B", IF(AND(AB14 &lt;&gt; 0, AA14 / AB14 &lt; 0), "A", IF(Y14 = 1, "A", "B"))), IF(AND(NOT(AC14), AD14 &gt; 0.01, ABS(AA14) &gt; ABS(AG14) + 0.001), "C+", IF(AND(NOT(AC14), AD14 &gt; 0.01, ABS(AA14) &lt; ABS(AG14) - 0.001), "C-", "D"))))</f>
        <v>B</v>
      </c>
      <c r="AF14" s="3" t="str">
        <f>IF(AE14 = "", "", IF(AE14 = "A", "stratify-immediately", IF(AE14 = "B", "investigate-confounder", IF(OR(AE14 = "C+", AE14 = "C-"), "check-allocation-bias", "pooled-analysis-trustworthy"))))</f>
        <v>investigate-confounder</v>
      </c>
      <c r="AG14" s="3">
        <f>AB14</f>
        <v>0.0032000000000000028</v>
      </c>
      <c r="AH14" s="3" t="str">
        <f>IF(AG14 = "", "", IF(ABS(AG14) &lt; 0.0001, "tie", IF(AG14 &gt; 0, D14, IF(AG14 &lt; 0, E14, "tie"))))</f>
        <v>A</v>
      </c>
      <c r="AI14" s="3" t="b">
        <f>IF(AH14 = "", "", AH14 = L14)</f>
        <v>0</v>
      </c>
      <c r="AJ14" s="3" t="str">
        <f>IF(AE14 = "", "", IF(AE14 = "A", "use-corrected-winner", IF(AE14 = "B", "use-corrected-winner-with-caution", IF(OR(AE14 = "C+", AE14 = "C-"), "check-allocation-bias", "pooled-analysis-trustworthy"))))</f>
        <v>use-corrected-winner-with-caution</v>
      </c>
      <c r="AK14" s="3" t="str">
        <f>IF(AG14 = "", "", IF(AC14, "reversal", IF(ABS(AA14) &gt; ABS(AG14) + 0.001, "amplification", IF(ABS(AA14) &lt; ABS(AG14) - 0.001, "compression", "neutral"))))</f>
        <v>reversal</v>
      </c>
      <c r="AL14" s="3">
        <f>IF(AG14 = "", "", IF(ABS(AG14) + AD14 = 0, 1, ABS(AG14) / (ABS(AG14) + AD14)))</f>
        <v>0.16154199173932995</v>
      </c>
      <c r="AM14" s="3" t="e">
        <f>LOOKUP(C14, SweepStudySummary[SweepStudyId], SweepStudySummary[PooledGapCrossesZero])</f>
        <v>#VALUE!</v>
      </c>
      <c r="AN14" s="3" t="e">
        <f>LOOKUP(C14, SweepStudySummary[SweepStudyId], SweepStudySummary[SweepPooledGapRange])</f>
        <v>#VALUE!</v>
      </c>
      <c r="AO14" s="3" t="e">
        <f>IF(AE14 = "", "", AND(AE14 = "D", AM14 = TRUE))</f>
        <v>#VALUE!</v>
      </c>
      <c r="AP14" s="3" t="e">
        <f>IF(OR(AN14 = "", T14 = "", T14 = 0), "", AN14 / ABS(T14))</f>
        <v>#VALUE!</v>
      </c>
      <c r="AQ14" s="3" t="e">
        <f>LOOKUP(C14, Studies[StudyId], Studies[Domain])</f>
        <v>#VALUE!</v>
      </c>
      <c r="AR14" s="5">
        <f>COUNTIFS(StratumVariables!C2:C999, C14,StratumVariables!E2:E999, "confounder")</f>
        <v>0</v>
      </c>
      <c r="AS14" s="5">
        <f>COUNTIFS(StratumVariables!C2:C999, C14,StratumVariables!J2:J999, "mediator") + COUNTIFS(StratumVariables!C2:C999, C14,StratumVariables!J2:J999, "collider")</f>
        <v>1</v>
      </c>
      <c r="AT14" s="5">
        <f>COUNTIFS(StratumVariables!C2:C999, C14,StratumVariables!E2:E999, "contested")</f>
        <v>0</v>
      </c>
      <c r="AU14" s="5">
        <f>COUNTIFS(StratumVariables!C2:C999, C14,StratumVariables!E2:E999, "unknown")</f>
        <v>0</v>
      </c>
      <c r="AV14" s="3" t="str">
        <f>IF(AT14 &gt; 0, "contested", IF(AU14 &gt; 0, "geometric-only", IF(AR14 &gt; 0, "established", "geometric-only")))</f>
        <v>geometric-only</v>
      </c>
      <c r="AW14" s="3" t="b">
        <f>AND(AS14 = 0, AV14 = "established")</f>
        <v>0</v>
      </c>
      <c r="AX14" s="2" t="s">
        <v>2646</v>
      </c>
    </row>
    <row r="15">
      <c r="A15" s="2" t="s">
        <v>2647</v>
      </c>
      <c r="B15" s="3" t="str">
        <f>A15</f>
        <v>melanoma-altman-1991-A-vs-B</v>
      </c>
      <c r="C15" s="2" t="s">
        <v>475</v>
      </c>
      <c r="D15" s="2" t="s">
        <v>792</v>
      </c>
      <c r="E15" s="2" t="s">
        <v>795</v>
      </c>
      <c r="F15" s="5">
        <f>SUMIFS(CaseCells!G2:G999,CaseCells!C2:C999, C15,CaseCells!E2:E999, D15)</f>
        <v>200</v>
      </c>
      <c r="G15" s="5">
        <f>SUMIFS(CaseCells!F2:F999,CaseCells!C2:C999, C15,CaseCells!E2:E999, D15)</f>
        <v>172</v>
      </c>
      <c r="H15" s="3">
        <f>IF(F15 = 0, "", G15 / F15)</f>
        <v>0.86</v>
      </c>
      <c r="I15" s="5">
        <f>SUMIFS(CaseCells!G2:G999,CaseCells!C2:C999, C15,CaseCells!E2:E999, E15)</f>
        <v>200</v>
      </c>
      <c r="J15" s="5">
        <f>SUMIFS(CaseCells!F2:F999,CaseCells!C2:C999, C15,CaseCells!E2:E999, E15)</f>
        <v>136</v>
      </c>
      <c r="K15" s="3">
        <f>IF(I15 = 0, "", J15 / I15)</f>
        <v>0.68</v>
      </c>
      <c r="L15" s="3" t="str">
        <f>IF(OR(H15 = "", K15 = ""), "", IF(ABS(H15 - K15) &lt; 0.0000001, "tie", IF(H15 &gt; K15, D15, E15)))</f>
        <v>A</v>
      </c>
      <c r="M15" s="5">
        <f>COUNTIFS(StratumSummaries!C2:C999, C15,StratumSummaries!E2:E999, D15)</f>
        <v>2</v>
      </c>
      <c r="N15" s="5">
        <f>COUNTIFS(StratumSummaries!C2:C999, C15,StratumSummaries!E2:E999, D15,StratumSummaries!O2:O999, D15)</f>
        <v>2</v>
      </c>
      <c r="O15" s="5">
        <f>COUNTIFS(StratumSummaries!C2:C999, C15,StratumSummaries!E2:E999, D15,StratumSummaries!O2:O999, E15)</f>
        <v>0</v>
      </c>
      <c r="P15" s="3" t="str">
        <f>IF(N15 = M15, D15, IF(O15 = M15, E15, "none"))</f>
        <v>A</v>
      </c>
      <c r="Q15" s="3" t="b">
        <f>IF(AC15 = "", "", AC15)</f>
        <v>0</v>
      </c>
      <c r="R15" s="5">
        <f>COUNTIFS(StratumVariables!C2:C999, C15,StratumVariables!H2:H999, TRUE())</f>
        <v>1</v>
      </c>
      <c r="S15" s="3" t="b">
        <f>AND(Q15, R15 &gt; 0)</f>
        <v>0</v>
      </c>
      <c r="T15" s="3">
        <f>IF(H15 = "", "", ABS(H15 - K15))</f>
        <v>0.17999999999999994</v>
      </c>
      <c r="U15" s="5">
        <f>IF(L15 = D15, O15, N15)</f>
        <v>0</v>
      </c>
      <c r="V15" s="3">
        <f>IF(M15 = 0, "", T15 * (U15 / M15))</f>
        <v>0</v>
      </c>
      <c r="W15" s="3">
        <f>SUMIFS(StratumSummaries!S2:S999,StratumSummaries!C2:C999, C15,StratumSummaries!E2:E999, D15)</f>
        <v>0.815</v>
      </c>
      <c r="X15" s="3">
        <f>SUMIFS(StratumSummaries!S2:S999,StratumSummaries!C2:C999, C15,StratumSummaries!E2:E999, E15)</f>
        <v>0.7287500000000001</v>
      </c>
      <c r="Y15" s="3">
        <f>IF(M15 = 0, "", U15 / M15)</f>
        <v>0</v>
      </c>
      <c r="Z15" s="3">
        <f>IF(M15 = 0, "", Y15 - 0.5)</f>
        <v>-0.5</v>
      </c>
      <c r="AA15" s="3">
        <f>IF(H15 = "", "", H15 - K15)</f>
        <v>0.17999999999999994</v>
      </c>
      <c r="AB15" s="3">
        <f>SUMIFS(StratumSummaries!AB2:AB999,StratumSummaries!C2:C999, C15,StratumSummaries!E2:E999, D15)</f>
        <v>0.08624999999999997</v>
      </c>
      <c r="AC15" s="3" t="b">
        <f>IF(AB15 = "", "", IF(AB15 &gt; 0, AA15 &lt; 0, AA15 &gt; 0))</f>
        <v>0</v>
      </c>
      <c r="AD15" s="3">
        <f>IF(AB15 = "", "", ABS(AB15 - AA15))</f>
        <v>0.09374999999999997</v>
      </c>
      <c r="AE15" s="3" t="str">
        <f>IF(AD15 = "", "", IF(AC15, IF(AND(AB15 &lt;&gt; 0, AA15 / AB15 &lt; -1), "B", IF(AND(AB15 &lt;&gt; 0, AA15 / AB15 &lt; 0), "A", IF(Y15 = 1, "A", "B"))), IF(AND(NOT(AC15), AD15 &gt; 0.01, ABS(AA15) &gt; ABS(AG15) + 0.001), "C+", IF(AND(NOT(AC15), AD15 &gt; 0.01, ABS(AA15) &lt; ABS(AG15) - 0.001), "C-", "D"))))</f>
        <v>C+</v>
      </c>
      <c r="AF15" s="3" t="str">
        <f>IF(AE15 = "", "", IF(AE15 = "A", "stratify-immediately", IF(AE15 = "B", "investigate-confounder", IF(OR(AE15 = "C+", AE15 = "C-"), "check-allocation-bias", "pooled-analysis-trustworthy"))))</f>
        <v>check-allocation-bias</v>
      </c>
      <c r="AG15" s="3">
        <f>AB15</f>
        <v>0.08624999999999997</v>
      </c>
      <c r="AH15" s="3" t="str">
        <f>IF(AG15 = "", "", IF(ABS(AG15) &lt; 0.0001, "tie", IF(AG15 &gt; 0, D15, IF(AG15 &lt; 0, E15, "tie"))))</f>
        <v>A</v>
      </c>
      <c r="AI15" s="3" t="b">
        <f>IF(AH15 = "", "", AH15 = L15)</f>
        <v>1</v>
      </c>
      <c r="AJ15" s="3" t="str">
        <f>IF(AE15 = "", "", IF(AE15 = "A", "use-corrected-winner", IF(AE15 = "B", "use-corrected-winner-with-caution", IF(OR(AE15 = "C+", AE15 = "C-"), "check-allocation-bias", "pooled-analysis-trustworthy"))))</f>
        <v>check-allocation-bias</v>
      </c>
      <c r="AK15" s="3" t="str">
        <f>IF(AG15 = "", "", IF(AC15, "reversal", IF(ABS(AA15) &gt; ABS(AG15) + 0.001, "amplification", IF(ABS(AA15) &lt; ABS(AG15) - 0.001, "compression", "neutral"))))</f>
        <v>amplification</v>
      </c>
      <c r="AL15" s="3">
        <f>IF(AG15 = "", "", IF(ABS(AG15) + AD15 = 0, 1, ABS(AG15) / (ABS(AG15) + AD15)))</f>
        <v>0.47916666666666663</v>
      </c>
      <c r="AM15" s="3" t="e">
        <f>LOOKUP(C15, SweepStudySummary[SweepStudyId], SweepStudySummary[PooledGapCrossesZero])</f>
        <v>#VALUE!</v>
      </c>
      <c r="AN15" s="3" t="e">
        <f>LOOKUP(C15, SweepStudySummary[SweepStudyId], SweepStudySummary[SweepPooledGapRange])</f>
        <v>#VALUE!</v>
      </c>
      <c r="AO15" s="3" t="e">
        <f>IF(AE15 = "", "", AND(AE15 = "D", AM15 = TRUE))</f>
        <v>#VALUE!</v>
      </c>
      <c r="AP15" s="3" t="e">
        <f>IF(OR(AN15 = "", T15 = "", T15 = 0), "", AN15 / ABS(T15))</f>
        <v>#VALUE!</v>
      </c>
      <c r="AQ15" s="3" t="e">
        <f>LOOKUP(C15, Studies[StudyId], Studies[Domain])</f>
        <v>#VALUE!</v>
      </c>
      <c r="AR15" s="5">
        <f>COUNTIFS(StratumVariables!C2:C999, C15,StratumVariables!E2:E999, "confounder")</f>
        <v>1</v>
      </c>
      <c r="AS15" s="5">
        <f>COUNTIFS(StratumVariables!C2:C999, C15,StratumVariables!J2:J999, "mediator") + COUNTIFS(StratumVariables!C2:C999, C15,StratumVariables!J2:J999, "collider")</f>
        <v>0</v>
      </c>
      <c r="AT15" s="5">
        <f>COUNTIFS(StratumVariables!C2:C999, C15,StratumVariables!E2:E999, "contested")</f>
        <v>0</v>
      </c>
      <c r="AU15" s="5">
        <f>COUNTIFS(StratumVariables!C2:C999, C15,StratumVariables!E2:E999, "unknown")</f>
        <v>0</v>
      </c>
      <c r="AV15" s="3" t="str">
        <f>IF(AT15 &gt; 0, "contested", IF(AU15 &gt; 0, "geometric-only", IF(AR15 &gt; 0, "established", "geometric-only")))</f>
        <v>established</v>
      </c>
      <c r="AW15" s="3" t="b">
        <f>AND(AS15 = 0, AV15 = "established")</f>
        <v>1</v>
      </c>
      <c r="AX15" s="2" t="s">
        <v>2648</v>
      </c>
    </row>
    <row r="16">
      <c r="A16" s="2" t="s">
        <v>2649</v>
      </c>
      <c r="B16" s="3" t="str">
        <f>A16</f>
        <v>coffee-tverdal-2020-A-vs-B</v>
      </c>
      <c r="C16" s="2" t="s">
        <v>479</v>
      </c>
      <c r="D16" s="2" t="s">
        <v>792</v>
      </c>
      <c r="E16" s="2" t="s">
        <v>795</v>
      </c>
      <c r="F16" s="5">
        <f>SUMIFS(CaseCells!G2:G999,CaseCells!C2:C999, C16,CaseCells!E2:E999, D16)</f>
        <v>2000</v>
      </c>
      <c r="G16" s="5">
        <f>SUMIFS(CaseCells!F2:F999,CaseCells!C2:C999, C16,CaseCells!E2:E999, D16)</f>
        <v>1740</v>
      </c>
      <c r="H16" s="3">
        <f>IF(F16 = 0, "", G16 / F16)</f>
        <v>0.87</v>
      </c>
      <c r="I16" s="5">
        <f>SUMIFS(CaseCells!G2:G999,CaseCells!C2:C999, C16,CaseCells!E2:E999, E16)</f>
        <v>2000</v>
      </c>
      <c r="J16" s="5">
        <f>SUMIFS(CaseCells!F2:F999,CaseCells!C2:C999, C16,CaseCells!E2:E999, E16)</f>
        <v>1690</v>
      </c>
      <c r="K16" s="3">
        <f>IF(I16 = 0, "", J16 / I16)</f>
        <v>0.845</v>
      </c>
      <c r="L16" s="3" t="str">
        <f>IF(OR(H16 = "", K16 = ""), "", IF(ABS(H16 - K16) &lt; 0.0000001, "tie", IF(H16 &gt; K16, D16, E16)))</f>
        <v>A</v>
      </c>
      <c r="M16" s="5">
        <f>COUNTIFS(StratumSummaries!C2:C999, C16,StratumSummaries!E2:E999, D16)</f>
        <v>2</v>
      </c>
      <c r="N16" s="5">
        <f>COUNTIFS(StratumSummaries!C2:C999, C16,StratumSummaries!E2:E999, D16,StratumSummaries!O2:O999, D16)</f>
        <v>2</v>
      </c>
      <c r="O16" s="5">
        <f>COUNTIFS(StratumSummaries!C2:C999, C16,StratumSummaries!E2:E999, D16,StratumSummaries!O2:O999, E16)</f>
        <v>0</v>
      </c>
      <c r="P16" s="3" t="str">
        <f>IF(N16 = M16, D16, IF(O16 = M16, E16, "none"))</f>
        <v>A</v>
      </c>
      <c r="Q16" s="3" t="b">
        <f>IF(AC16 = "", "", AC16)</f>
        <v>0</v>
      </c>
      <c r="R16" s="5">
        <f>COUNTIFS(StratumVariables!C2:C999, C16,StratumVariables!H2:H999, TRUE())</f>
        <v>0</v>
      </c>
      <c r="S16" s="3" t="b">
        <f>AND(Q16, R16 &gt; 0)</f>
        <v>0</v>
      </c>
      <c r="T16" s="3">
        <f>IF(H16 = "", "", ABS(H16 - K16))</f>
        <v>0.025000000000000022</v>
      </c>
      <c r="U16" s="5">
        <f>IF(L16 = D16, O16, N16)</f>
        <v>0</v>
      </c>
      <c r="V16" s="3">
        <f>IF(M16 = 0, "", T16 * (U16 / M16))</f>
        <v>0</v>
      </c>
      <c r="W16" s="3">
        <f>SUMIFS(StratumSummaries!S2:S999,StratumSummaries!C2:C999, C16,StratumSummaries!E2:E999, D16)</f>
        <v>0.87</v>
      </c>
      <c r="X16" s="3">
        <f>SUMIFS(StratumSummaries!S2:S999,StratumSummaries!C2:C999, C16,StratumSummaries!E2:E999, E16)</f>
        <v>0.845</v>
      </c>
      <c r="Y16" s="3">
        <f>IF(M16 = 0, "", U16 / M16)</f>
        <v>0</v>
      </c>
      <c r="Z16" s="3">
        <f>IF(M16 = 0, "", Y16 - 0.5)</f>
        <v>-0.5</v>
      </c>
      <c r="AA16" s="3">
        <f>IF(H16 = "", "", H16 - K16)</f>
        <v>0.025000000000000022</v>
      </c>
      <c r="AB16" s="3">
        <f>SUMIFS(StratumSummaries!AB2:AB999,StratumSummaries!C2:C999, C16,StratumSummaries!E2:E999, D16)</f>
        <v>0.024999999999999967</v>
      </c>
      <c r="AC16" s="3" t="b">
        <f>IF(AB16 = "", "", IF(AB16 &gt; 0, AA16 &lt; 0, AA16 &gt; 0))</f>
        <v>0</v>
      </c>
      <c r="AD16" s="3">
        <f>IF(AB16 = "", "", ABS(AB16 - AA16))</f>
        <v>5.551115123125783E-17</v>
      </c>
      <c r="AE16" s="3" t="str">
        <f>IF(AD16 = "", "", IF(AC16, IF(AND(AB16 &lt;&gt; 0, AA16 / AB16 &lt; -1), "B", IF(AND(AB16 &lt;&gt; 0, AA16 / AB16 &lt; 0), "A", IF(Y16 = 1, "A", "B"))), IF(AND(NOT(AC16), AD16 &gt; 0.01, ABS(AA16) &gt; ABS(AG16) + 0.001), "C+", IF(AND(NOT(AC16), AD16 &gt; 0.01, ABS(AA16) &lt; ABS(AG16) - 0.001), "C-", "D"))))</f>
        <v>D</v>
      </c>
      <c r="AF16" s="3" t="str">
        <f>IF(AE16 = "", "", IF(AE16 = "A", "stratify-immediately", IF(AE16 = "B", "investigate-confounder", IF(OR(AE16 = "C+", AE16 = "C-"), "check-allocation-bias", "pooled-analysis-trustworthy"))))</f>
        <v>pooled-analysis-trustworthy</v>
      </c>
      <c r="AG16" s="3">
        <f>AB16</f>
        <v>0.024999999999999967</v>
      </c>
      <c r="AH16" s="3" t="str">
        <f>IF(AG16 = "", "", IF(ABS(AG16) &lt; 0.0001, "tie", IF(AG16 &gt; 0, D16, IF(AG16 &lt; 0, E16, "tie"))))</f>
        <v>A</v>
      </c>
      <c r="AI16" s="3" t="b">
        <f>IF(AH16 = "", "", AH16 = L16)</f>
        <v>1</v>
      </c>
      <c r="AJ16" s="3" t="str">
        <f>IF(AE16 = "", "", IF(AE16 = "A", "use-corrected-winner", IF(AE16 = "B", "use-corrected-winner-with-caution", IF(OR(AE16 = "C+", AE16 = "C-"), "check-allocation-bias", "pooled-analysis-trustworthy"))))</f>
        <v>pooled-analysis-trustworthy</v>
      </c>
      <c r="AK16" s="3" t="str">
        <f>IF(AG16 = "", "", IF(AC16, "reversal", IF(ABS(AA16) &gt; ABS(AG16) + 0.001, "amplification", IF(ABS(AA16) &lt; ABS(AG16) - 0.001, "compression", "neutral"))))</f>
        <v>neutral</v>
      </c>
      <c r="AL16" s="3">
        <f>IF(AG16 = "", "", IF(ABS(AG16) + AD16 = 0, 1, ABS(AG16) / (ABS(AG16) + AD16)))</f>
        <v>0.9999999999999978</v>
      </c>
      <c r="AM16" s="3" t="e">
        <f>LOOKUP(C16, SweepStudySummary[SweepStudyId], SweepStudySummary[PooledGapCrossesZero])</f>
        <v>#VALUE!</v>
      </c>
      <c r="AN16" s="3" t="e">
        <f>LOOKUP(C16, SweepStudySummary[SweepStudyId], SweepStudySummary[SweepPooledGapRange])</f>
        <v>#VALUE!</v>
      </c>
      <c r="AO16" s="3" t="e">
        <f>IF(AE16 = "", "", AND(AE16 = "D", AM16 = TRUE))</f>
        <v>#VALUE!</v>
      </c>
      <c r="AP16" s="3" t="e">
        <f>IF(OR(AN16 = "", T16 = "", T16 = 0), "", AN16 / ABS(T16))</f>
        <v>#VALUE!</v>
      </c>
      <c r="AQ16" s="3" t="e">
        <f>LOOKUP(C16, Studies[StudyId], Studies[Domain])</f>
        <v>#VALUE!</v>
      </c>
      <c r="AR16" s="5">
        <f>COUNTIFS(StratumVariables!C2:C999, C16,StratumVariables!E2:E999, "confounder")</f>
        <v>1</v>
      </c>
      <c r="AS16" s="5">
        <f>COUNTIFS(StratumVariables!C2:C999, C16,StratumVariables!J2:J999, "mediator") + COUNTIFS(StratumVariables!C2:C999, C16,StratumVariables!J2:J999, "collider")</f>
        <v>0</v>
      </c>
      <c r="AT16" s="5">
        <f>COUNTIFS(StratumVariables!C2:C999, C16,StratumVariables!E2:E999, "contested")</f>
        <v>0</v>
      </c>
      <c r="AU16" s="5">
        <f>COUNTIFS(StratumVariables!C2:C999, C16,StratumVariables!E2:E999, "unknown")</f>
        <v>0</v>
      </c>
      <c r="AV16" s="3" t="str">
        <f>IF(AT16 &gt; 0, "contested", IF(AU16 &gt; 0, "geometric-only", IF(AR16 &gt; 0, "established", "geometric-only")))</f>
        <v>established</v>
      </c>
      <c r="AW16" s="3" t="b">
        <f>AND(AS16 = 0, AV16 = "established")</f>
        <v>1</v>
      </c>
      <c r="AX16" s="2" t="s">
        <v>2650</v>
      </c>
    </row>
    <row r="17">
      <c r="A17" s="2" t="s">
        <v>2651</v>
      </c>
      <c r="B17" s="3" t="str">
        <f>A17</f>
        <v>sat-wainer-1986-A-vs-B</v>
      </c>
      <c r="C17" s="2" t="s">
        <v>483</v>
      </c>
      <c r="D17" s="2" t="s">
        <v>792</v>
      </c>
      <c r="E17" s="2" t="s">
        <v>795</v>
      </c>
      <c r="F17" s="5">
        <f>SUMIFS(CaseCells!G2:G999,CaseCells!C2:C999, C17,CaseCells!E2:E999, D17)</f>
        <v>1000</v>
      </c>
      <c r="G17" s="5">
        <f>SUMIFS(CaseCells!F2:F999,CaseCells!C2:C999, C17,CaseCells!E2:E999, D17)</f>
        <v>520</v>
      </c>
      <c r="H17" s="3">
        <f>IF(F17 = 0, "", G17 / F17)</f>
        <v>0.52</v>
      </c>
      <c r="I17" s="5">
        <f>SUMIFS(CaseCells!G2:G999,CaseCells!C2:C999, C17,CaseCells!E2:E999, E17)</f>
        <v>150</v>
      </c>
      <c r="J17" s="5">
        <f>SUMIFS(CaseCells!F2:F999,CaseCells!C2:C999, C17,CaseCells!E2:E999, E17)</f>
        <v>75</v>
      </c>
      <c r="K17" s="3">
        <f>IF(I17 = 0, "", J17 / I17)</f>
        <v>0.5</v>
      </c>
      <c r="L17" s="3" t="str">
        <f>IF(OR(H17 = "", K17 = ""), "", IF(ABS(H17 - K17) &lt; 0.0000001, "tie", IF(H17 &gt; K17, D17, E17)))</f>
        <v>A</v>
      </c>
      <c r="M17" s="5">
        <f>COUNTIFS(StratumSummaries!C2:C999, C17,StratumSummaries!E2:E999, D17)</f>
        <v>2</v>
      </c>
      <c r="N17" s="5">
        <f>COUNTIFS(StratumSummaries!C2:C999, C17,StratumSummaries!E2:E999, D17,StratumSummaries!O2:O999, D17)</f>
        <v>1</v>
      </c>
      <c r="O17" s="5">
        <f>COUNTIFS(StratumSummaries!C2:C999, C17,StratumSummaries!E2:E999, D17,StratumSummaries!O2:O999, E17)</f>
        <v>1</v>
      </c>
      <c r="P17" s="3" t="str">
        <f>IF(N17 = M17, D17, IF(O17 = M17, E17, "none"))</f>
        <v>none</v>
      </c>
      <c r="Q17" s="3" t="b">
        <f>IF(AC17 = "", "", AC17)</f>
        <v>1</v>
      </c>
      <c r="R17" s="5">
        <f>COUNTIFS(StratumVariables!C2:C999, C17,StratumVariables!H2:H999, TRUE())</f>
        <v>1</v>
      </c>
      <c r="S17" s="3" t="b">
        <f>AND(Q17, R17 &gt; 0)</f>
        <v>1</v>
      </c>
      <c r="T17" s="3">
        <f>IF(H17 = "", "", ABS(H17 - K17))</f>
        <v>0.020000000000000018</v>
      </c>
      <c r="U17" s="5">
        <f>IF(L17 = D17, O17, N17)</f>
        <v>1</v>
      </c>
      <c r="V17" s="3">
        <f>IF(M17 = 0, "", T17 * (U17 / M17))</f>
        <v>0.010000000000000009</v>
      </c>
      <c r="W17" s="3">
        <f>SUMIFS(StratumSummaries!S2:S999,StratumSummaries!C2:C999, C17,StratumSummaries!E2:E999, D17)</f>
        <v>0.5173913043478261</v>
      </c>
      <c r="X17" s="3">
        <f>SUMIFS(StratumSummaries!S2:S999,StratumSummaries!C2:C999, C17,StratumSummaries!E2:E999, E17)</f>
        <v>0.5260869565217392</v>
      </c>
      <c r="Y17" s="3">
        <f>IF(M17 = 0, "", U17 / M17)</f>
        <v>0.5</v>
      </c>
      <c r="Z17" s="3">
        <f>IF(M17 = 0, "", Y17 - 0.5)</f>
        <v>0</v>
      </c>
      <c r="AA17" s="3">
        <f>IF(H17 = "", "", H17 - K17)</f>
        <v>0.020000000000000018</v>
      </c>
      <c r="AB17" s="3">
        <f>SUMIFS(StratumSummaries!AB2:AB999,StratumSummaries!C2:C999, C17,StratumSummaries!E2:E999, D17)</f>
        <v>-0.008695652173913052</v>
      </c>
      <c r="AC17" s="3" t="b">
        <f>IF(AB17 = "", "", IF(AB17 &gt; 0, AA17 &lt; 0, AA17 &gt; 0))</f>
        <v>1</v>
      </c>
      <c r="AD17" s="3">
        <f>IF(AB17 = "", "", ABS(AB17 - AA17))</f>
        <v>0.02869565217391307</v>
      </c>
      <c r="AE17" s="3" t="str">
        <f>IF(AD17 = "", "", IF(AC17, IF(AND(AB17 &lt;&gt; 0, AA17 / AB17 &lt; -1), "B", IF(AND(AB17 &lt;&gt; 0, AA17 / AB17 &lt; 0), "A", IF(Y17 = 1, "A", "B"))), IF(AND(NOT(AC17), AD17 &gt; 0.01, ABS(AA17) &gt; ABS(AG17) + 0.001), "C+", IF(AND(NOT(AC17), AD17 &gt; 0.01, ABS(AA17) &lt; ABS(AG17) - 0.001), "C-", "D"))))</f>
        <v>B</v>
      </c>
      <c r="AF17" s="3" t="str">
        <f>IF(AE17 = "", "", IF(AE17 = "A", "stratify-immediately", IF(AE17 = "B", "investigate-confounder", IF(OR(AE17 = "C+", AE17 = "C-"), "check-allocation-bias", "pooled-analysis-trustworthy"))))</f>
        <v>investigate-confounder</v>
      </c>
      <c r="AG17" s="3">
        <f>AB17</f>
        <v>-0.008695652173913052</v>
      </c>
      <c r="AH17" s="3" t="str">
        <f>IF(AG17 = "", "", IF(ABS(AG17) &lt; 0.0001, "tie", IF(AG17 &gt; 0, D17, IF(AG17 &lt; 0, E17, "tie"))))</f>
        <v>B</v>
      </c>
      <c r="AI17" s="3" t="b">
        <f>IF(AH17 = "", "", AH17 = L17)</f>
        <v>0</v>
      </c>
      <c r="AJ17" s="3" t="str">
        <f>IF(AE17 = "", "", IF(AE17 = "A", "use-corrected-winner", IF(AE17 = "B", "use-corrected-winner-with-caution", IF(OR(AE17 = "C+", AE17 = "C-"), "check-allocation-bias", "pooled-analysis-trustworthy"))))</f>
        <v>use-corrected-winner-with-caution</v>
      </c>
      <c r="AK17" s="3" t="str">
        <f>IF(AG17 = "", "", IF(AC17, "reversal", IF(ABS(AA17) &gt; ABS(AG17) + 0.001, "amplification", IF(ABS(AA17) &lt; ABS(AG17) - 0.001, "compression", "neutral"))))</f>
        <v>reversal</v>
      </c>
      <c r="AL17" s="3">
        <f>IF(AG17 = "", "", IF(ABS(AG17) + AD17 = 0, 1, ABS(AG17) / (ABS(AG17) + AD17)))</f>
        <v>0.23255813953488375</v>
      </c>
      <c r="AM17" s="3" t="e">
        <f>LOOKUP(C17, SweepStudySummary[SweepStudyId], SweepStudySummary[PooledGapCrossesZero])</f>
        <v>#VALUE!</v>
      </c>
      <c r="AN17" s="3" t="e">
        <f>LOOKUP(C17, SweepStudySummary[SweepStudyId], SweepStudySummary[SweepPooledGapRange])</f>
        <v>#VALUE!</v>
      </c>
      <c r="AO17" s="3" t="e">
        <f>IF(AE17 = "", "", AND(AE17 = "D", AM17 = TRUE))</f>
        <v>#VALUE!</v>
      </c>
      <c r="AP17" s="3" t="e">
        <f>IF(OR(AN17 = "", T17 = "", T17 = 0), "", AN17 / ABS(T17))</f>
        <v>#VALUE!</v>
      </c>
      <c r="AQ17" s="3" t="e">
        <f>LOOKUP(C17, Studies[StudyId], Studies[Domain])</f>
        <v>#VALUE!</v>
      </c>
      <c r="AR17" s="5">
        <f>COUNTIFS(StratumVariables!C2:C999, C17,StratumVariables!E2:E999, "confounder")</f>
        <v>1</v>
      </c>
      <c r="AS17" s="5">
        <f>COUNTIFS(StratumVariables!C2:C999, C17,StratumVariables!J2:J999, "mediator") + COUNTIFS(StratumVariables!C2:C999, C17,StratumVariables!J2:J999, "collider")</f>
        <v>0</v>
      </c>
      <c r="AT17" s="5">
        <f>COUNTIFS(StratumVariables!C2:C999, C17,StratumVariables!E2:E999, "contested")</f>
        <v>0</v>
      </c>
      <c r="AU17" s="5">
        <f>COUNTIFS(StratumVariables!C2:C999, C17,StratumVariables!E2:E999, "unknown")</f>
        <v>0</v>
      </c>
      <c r="AV17" s="3" t="str">
        <f>IF(AT17 &gt; 0, "contested", IF(AU17 &gt; 0, "geometric-only", IF(AR17 &gt; 0, "established", "geometric-only")))</f>
        <v>established</v>
      </c>
      <c r="AW17" s="3" t="b">
        <f>AND(AS17 = 0, AV17 = "established")</f>
        <v>1</v>
      </c>
      <c r="AX17" s="2" t="s">
        <v>2652</v>
      </c>
    </row>
    <row r="18">
      <c r="A18" s="2" t="s">
        <v>2653</v>
      </c>
      <c r="B18" s="3" t="str">
        <f>A18</f>
        <v>rogers-nicewander-1988-A-vs-B</v>
      </c>
      <c r="C18" s="2" t="s">
        <v>488</v>
      </c>
      <c r="D18" s="2" t="s">
        <v>792</v>
      </c>
      <c r="E18" s="2" t="s">
        <v>795</v>
      </c>
      <c r="F18" s="5">
        <f>SUMIFS(CaseCells!G2:G999,CaseCells!C2:C999, C18,CaseCells!E2:E999, D18)</f>
        <v>36</v>
      </c>
      <c r="G18" s="5">
        <f>SUMIFS(CaseCells!F2:F999,CaseCells!C2:C999, C18,CaseCells!E2:E999, D18)</f>
        <v>12</v>
      </c>
      <c r="H18" s="3">
        <f>IF(F18 = 0, "", G18 / F18)</f>
        <v>0.3333333333333333</v>
      </c>
      <c r="I18" s="5">
        <f>SUMIFS(CaseCells!G2:G999,CaseCells!C2:C999, C18,CaseCells!E2:E999, E18)</f>
        <v>22</v>
      </c>
      <c r="J18" s="5">
        <f>SUMIFS(CaseCells!F2:F999,CaseCells!C2:C999, C18,CaseCells!E2:E999, E18)</f>
        <v>6</v>
      </c>
      <c r="K18" s="3">
        <f>IF(I18 = 0, "", J18 / I18)</f>
        <v>0.2727272727272727</v>
      </c>
      <c r="L18" s="3" t="str">
        <f>IF(OR(H18 = "", K18 = ""), "", IF(ABS(H18 - K18) &lt; 0.0000001, "tie", IF(H18 &gt; K18, D18, E18)))</f>
        <v>A</v>
      </c>
      <c r="M18" s="5">
        <f>COUNTIFS(StratumSummaries!C2:C999, C18,StratumSummaries!E2:E999, D18)</f>
        <v>2</v>
      </c>
      <c r="N18" s="5">
        <f>COUNTIFS(StratumSummaries!C2:C999, C18,StratumSummaries!E2:E999, D18,StratumSummaries!O2:O999, D18)</f>
        <v>0</v>
      </c>
      <c r="O18" s="5">
        <f>COUNTIFS(StratumSummaries!C2:C999, C18,StratumSummaries!E2:E999, D18,StratumSummaries!O2:O999, E18)</f>
        <v>2</v>
      </c>
      <c r="P18" s="3" t="str">
        <f>IF(N18 = M18, D18, IF(O18 = M18, E18, "none"))</f>
        <v>B</v>
      </c>
      <c r="Q18" s="3" t="b">
        <f>IF(AC18 = "", "", AC18)</f>
        <v>1</v>
      </c>
      <c r="R18" s="5">
        <f>COUNTIFS(StratumVariables!C2:C999, C18,StratumVariables!H2:H999, TRUE())</f>
        <v>1</v>
      </c>
      <c r="S18" s="3" t="b">
        <f>AND(Q18, R18 &gt; 0)</f>
        <v>1</v>
      </c>
      <c r="T18" s="3">
        <f>IF(H18 = "", "", ABS(H18 - K18))</f>
        <v>0.06060606060606061</v>
      </c>
      <c r="U18" s="5">
        <f>IF(L18 = D18, O18, N18)</f>
        <v>2</v>
      </c>
      <c r="V18" s="3">
        <f>IF(M18 = 0, "", T18 * (U18 / M18))</f>
        <v>0.06060606060606061</v>
      </c>
      <c r="W18" s="3">
        <f>SUMIFS(StratumSummaries!S2:S999,StratumSummaries!C2:C999, C18,StratumSummaries!E2:E999, D18)</f>
        <v>0.3018515372855444</v>
      </c>
      <c r="X18" s="3">
        <f>SUMIFS(StratumSummaries!S2:S999,StratumSummaries!C2:C999, C18,StratumSummaries!E2:E999, E18)</f>
        <v>0.32356321839080465</v>
      </c>
      <c r="Y18" s="3">
        <f>IF(M18 = 0, "", U18 / M18)</f>
        <v>1</v>
      </c>
      <c r="Z18" s="3">
        <f>IF(M18 = 0, "", Y18 - 0.5)</f>
        <v>0.5</v>
      </c>
      <c r="AA18" s="3">
        <f>IF(H18 = "", "", H18 - K18)</f>
        <v>0.06060606060606061</v>
      </c>
      <c r="AB18" s="3">
        <f>SUMIFS(StratumSummaries!AB2:AB999,StratumSummaries!C2:C999, C18,StratumSummaries!E2:E999, D18)</f>
        <v>-0.021711681105260207</v>
      </c>
      <c r="AC18" s="3" t="b">
        <f>IF(AB18 = "", "", IF(AB18 &gt; 0, AA18 &lt; 0, AA18 &gt; 0))</f>
        <v>1</v>
      </c>
      <c r="AD18" s="3">
        <f>IF(AB18 = "", "", ABS(AB18 - AA18))</f>
        <v>0.08231774171132081</v>
      </c>
      <c r="AE18" s="3" t="str">
        <f>IF(AD18 = "", "", IF(AC18, IF(AND(AB18 &lt;&gt; 0, AA18 / AB18 &lt; -1), "B", IF(AND(AB18 &lt;&gt; 0, AA18 / AB18 &lt; 0), "A", IF(Y18 = 1, "A", "B"))), IF(AND(NOT(AC18), AD18 &gt; 0.01, ABS(AA18) &gt; ABS(AG18) + 0.001), "C+", IF(AND(NOT(AC18), AD18 &gt; 0.01, ABS(AA18) &lt; ABS(AG18) - 0.001), "C-", "D"))))</f>
        <v>B</v>
      </c>
      <c r="AF18" s="3" t="str">
        <f>IF(AE18 = "", "", IF(AE18 = "A", "stratify-immediately", IF(AE18 = "B", "investigate-confounder", IF(OR(AE18 = "C+", AE18 = "C-"), "check-allocation-bias", "pooled-analysis-trustworthy"))))</f>
        <v>investigate-confounder</v>
      </c>
      <c r="AG18" s="3">
        <f>AB18</f>
        <v>-0.021711681105260207</v>
      </c>
      <c r="AH18" s="3" t="str">
        <f>IF(AG18 = "", "", IF(ABS(AG18) &lt; 0.0001, "tie", IF(AG18 &gt; 0, D18, IF(AG18 &lt; 0, E18, "tie"))))</f>
        <v>B</v>
      </c>
      <c r="AI18" s="3" t="b">
        <f>IF(AH18 = "", "", AH18 = L18)</f>
        <v>0</v>
      </c>
      <c r="AJ18" s="3" t="str">
        <f>IF(AE18 = "", "", IF(AE18 = "A", "use-corrected-winner", IF(AE18 = "B", "use-corrected-winner-with-caution", IF(OR(AE18 = "C+", AE18 = "C-"), "check-allocation-bias", "pooled-analysis-trustworthy"))))</f>
        <v>use-corrected-winner-with-caution</v>
      </c>
      <c r="AK18" s="3" t="str">
        <f>IF(AG18 = "", "", IF(AC18, "reversal", IF(ABS(AA18) &gt; ABS(AG18) + 0.001, "amplification", IF(ABS(AA18) &lt; ABS(AG18) - 0.001, "compression", "neutral"))))</f>
        <v>reversal</v>
      </c>
      <c r="AL18" s="3">
        <f>IF(AG18 = "", "", IF(ABS(AG18) + AD18 = 0, 1, ABS(AG18) / (ABS(AG18) + AD18)))</f>
        <v>0.2087071187883168</v>
      </c>
      <c r="AM18" s="3" t="e">
        <f>LOOKUP(C18, SweepStudySummary[SweepStudyId], SweepStudySummary[PooledGapCrossesZero])</f>
        <v>#VALUE!</v>
      </c>
      <c r="AN18" s="3" t="e">
        <f>LOOKUP(C18, SweepStudySummary[SweepStudyId], SweepStudySummary[SweepPooledGapRange])</f>
        <v>#VALUE!</v>
      </c>
      <c r="AO18" s="3" t="e">
        <f>IF(AE18 = "", "", AND(AE18 = "D", AM18 = TRUE))</f>
        <v>#VALUE!</v>
      </c>
      <c r="AP18" s="3" t="e">
        <f>IF(OR(AN18 = "", T18 = "", T18 = 0), "", AN18 / ABS(T18))</f>
        <v>#VALUE!</v>
      </c>
      <c r="AQ18" s="3" t="e">
        <f>LOOKUP(C18, Studies[StudyId], Studies[Domain])</f>
        <v>#VALUE!</v>
      </c>
      <c r="AR18" s="5">
        <f>COUNTIFS(StratumVariables!C2:C999, C18,StratumVariables!E2:E999, "confounder")</f>
        <v>1</v>
      </c>
      <c r="AS18" s="5">
        <f>COUNTIFS(StratumVariables!C2:C999, C18,StratumVariables!J2:J999, "mediator") + COUNTIFS(StratumVariables!C2:C999, C18,StratumVariables!J2:J999, "collider")</f>
        <v>0</v>
      </c>
      <c r="AT18" s="5">
        <f>COUNTIFS(StratumVariables!C2:C999, C18,StratumVariables!E2:E999, "contested")</f>
        <v>0</v>
      </c>
      <c r="AU18" s="5">
        <f>COUNTIFS(StratumVariables!C2:C999, C18,StratumVariables!E2:E999, "unknown")</f>
        <v>0</v>
      </c>
      <c r="AV18" s="3" t="str">
        <f>IF(AT18 &gt; 0, "contested", IF(AU18 &gt; 0, "geometric-only", IF(AR18 &gt; 0, "established", "geometric-only")))</f>
        <v>established</v>
      </c>
      <c r="AW18" s="3" t="b">
        <f>AND(AS18 = 0, AV18 = "established")</f>
        <v>1</v>
      </c>
      <c r="AX18" s="2" t="s">
        <v>2654</v>
      </c>
    </row>
    <row r="19">
      <c r="A19" s="2" t="s">
        <v>2655</v>
      </c>
      <c r="B19" s="3" t="str">
        <f>A19</f>
        <v>lucente-baseball-1995-A-vs-B</v>
      </c>
      <c r="C19" s="2" t="s">
        <v>492</v>
      </c>
      <c r="D19" s="2" t="s">
        <v>792</v>
      </c>
      <c r="E19" s="2" t="s">
        <v>795</v>
      </c>
      <c r="F19" s="5">
        <f>SUMIFS(CaseCells!G2:G999,CaseCells!C2:C999, C19,CaseCells!E2:E999, D19)</f>
        <v>330</v>
      </c>
      <c r="G19" s="5">
        <f>SUMIFS(CaseCells!F2:F999,CaseCells!C2:C999, C19,CaseCells!E2:E999, D19)</f>
        <v>97</v>
      </c>
      <c r="H19" s="3">
        <f>IF(F19 = 0, "", G19 / F19)</f>
        <v>0.29393939393939394</v>
      </c>
      <c r="I19" s="5">
        <f>SUMIFS(CaseCells!G2:G999,CaseCells!C2:C999, C19,CaseCells!E2:E999, E19)</f>
        <v>360</v>
      </c>
      <c r="J19" s="5">
        <f>SUMIFS(CaseCells!F2:F999,CaseCells!C2:C999, C19,CaseCells!E2:E999, E19)</f>
        <v>103</v>
      </c>
      <c r="K19" s="3">
        <f>IF(I19 = 0, "", J19 / I19)</f>
        <v>0.2861111111111111</v>
      </c>
      <c r="L19" s="3" t="str">
        <f>IF(OR(H19 = "", K19 = ""), "", IF(ABS(H19 - K19) &lt; 0.0000001, "tie", IF(H19 &gt; K19, D19, E19)))</f>
        <v>A</v>
      </c>
      <c r="M19" s="5">
        <f>COUNTIFS(StratumSummaries!C2:C999, C19,StratumSummaries!E2:E999, D19)</f>
        <v>2</v>
      </c>
      <c r="N19" s="5">
        <f>COUNTIFS(StratumSummaries!C2:C999, C19,StratumSummaries!E2:E999, D19,StratumSummaries!O2:O999, D19)</f>
        <v>1</v>
      </c>
      <c r="O19" s="5">
        <f>COUNTIFS(StratumSummaries!C2:C999, C19,StratumSummaries!E2:E999, D19,StratumSummaries!O2:O999, E19)</f>
        <v>1</v>
      </c>
      <c r="P19" s="3" t="str">
        <f>IF(N19 = M19, D19, IF(O19 = M19, E19, "none"))</f>
        <v>none</v>
      </c>
      <c r="Q19" s="3" t="b">
        <f>IF(AC19 = "", "", AC19)</f>
        <v>0</v>
      </c>
      <c r="R19" s="5">
        <f>COUNTIFS(StratumVariables!C2:C999, C19,StratumVariables!H2:H999, TRUE())</f>
        <v>1</v>
      </c>
      <c r="S19" s="3" t="b">
        <f>AND(Q19, R19 &gt; 0)</f>
        <v>0</v>
      </c>
      <c r="T19" s="3">
        <f>IF(H19 = "", "", ABS(H19 - K19))</f>
        <v>0.007828282828282851</v>
      </c>
      <c r="U19" s="5">
        <f>IF(L19 = D19, O19, N19)</f>
        <v>1</v>
      </c>
      <c r="V19" s="3">
        <f>IF(M19 = 0, "", T19 * (U19 / M19))</f>
        <v>0.0039141414141414255</v>
      </c>
      <c r="W19" s="3">
        <f>SUMIFS(StratumSummaries!S2:S999,StratumSummaries!C2:C999, C19,StratumSummaries!E2:E999, D19)</f>
        <v>0.29452495974235104</v>
      </c>
      <c r="X19" s="3">
        <f>SUMIFS(StratumSummaries!S2:S999,StratumSummaries!C2:C999, C19,StratumSummaries!E2:E999, E19)</f>
        <v>0.28731884057971013</v>
      </c>
      <c r="Y19" s="3">
        <f>IF(M19 = 0, "", U19 / M19)</f>
        <v>0.5</v>
      </c>
      <c r="Z19" s="3">
        <f>IF(M19 = 0, "", Y19 - 0.5)</f>
        <v>0</v>
      </c>
      <c r="AA19" s="3">
        <f>IF(H19 = "", "", H19 - K19)</f>
        <v>0.007828282828282851</v>
      </c>
      <c r="AB19" s="3">
        <f>SUMIFS(StratumSummaries!AB2:AB999,StratumSummaries!C2:C999, C19,StratumSummaries!E2:E999, D19)</f>
        <v>0.007206119162640877</v>
      </c>
      <c r="AC19" s="3" t="b">
        <f>IF(AB19 = "", "", IF(AB19 &gt; 0, AA19 &lt; 0, AA19 &gt; 0))</f>
        <v>0</v>
      </c>
      <c r="AD19" s="3">
        <f>IF(AB19 = "", "", ABS(AB19 - AA19))</f>
        <v>0.0006221636656419741</v>
      </c>
      <c r="AE19" s="3" t="str">
        <f>IF(AD19 = "", "", IF(AC19, IF(AND(AB19 &lt;&gt; 0, AA19 / AB19 &lt; -1), "B", IF(AND(AB19 &lt;&gt; 0, AA19 / AB19 &lt; 0), "A", IF(Y19 = 1, "A", "B"))), IF(AND(NOT(AC19), AD19 &gt; 0.01, ABS(AA19) &gt; ABS(AG19) + 0.001), "C+", IF(AND(NOT(AC19), AD19 &gt; 0.01, ABS(AA19) &lt; ABS(AG19) - 0.001), "C-", "D"))))</f>
        <v>D</v>
      </c>
      <c r="AF19" s="3" t="str">
        <f>IF(AE19 = "", "", IF(AE19 = "A", "stratify-immediately", IF(AE19 = "B", "investigate-confounder", IF(OR(AE19 = "C+", AE19 = "C-"), "check-allocation-bias", "pooled-analysis-trustworthy"))))</f>
        <v>pooled-analysis-trustworthy</v>
      </c>
      <c r="AG19" s="3">
        <f>AB19</f>
        <v>0.007206119162640877</v>
      </c>
      <c r="AH19" s="3" t="str">
        <f>IF(AG19 = "", "", IF(ABS(AG19) &lt; 0.0001, "tie", IF(AG19 &gt; 0, D19, IF(AG19 &lt; 0, E19, "tie"))))</f>
        <v>A</v>
      </c>
      <c r="AI19" s="3" t="b">
        <f>IF(AH19 = "", "", AH19 = L19)</f>
        <v>1</v>
      </c>
      <c r="AJ19" s="3" t="str">
        <f>IF(AE19 = "", "", IF(AE19 = "A", "use-corrected-winner", IF(AE19 = "B", "use-corrected-winner-with-caution", IF(OR(AE19 = "C+", AE19 = "C-"), "check-allocation-bias", "pooled-analysis-trustworthy"))))</f>
        <v>pooled-analysis-trustworthy</v>
      </c>
      <c r="AK19" s="3" t="str">
        <f>IF(AG19 = "", "", IF(AC19, "reversal", IF(ABS(AA19) &gt; ABS(AG19) + 0.001, "amplification", IF(ABS(AA19) &lt; ABS(AG19) - 0.001, "compression", "neutral"))))</f>
        <v>neutral</v>
      </c>
      <c r="AL19" s="3">
        <f>IF(AG19 = "", "", IF(ABS(AG19) + AD19 = 0, 1, ABS(AG19) / (ABS(AG19) + AD19)))</f>
        <v>0.9205236091631546</v>
      </c>
      <c r="AM19" s="3" t="e">
        <f>LOOKUP(C19, SweepStudySummary[SweepStudyId], SweepStudySummary[PooledGapCrossesZero])</f>
        <v>#VALUE!</v>
      </c>
      <c r="AN19" s="3" t="e">
        <f>LOOKUP(C19, SweepStudySummary[SweepStudyId], SweepStudySummary[SweepPooledGapRange])</f>
        <v>#VALUE!</v>
      </c>
      <c r="AO19" s="3" t="e">
        <f>IF(AE19 = "", "", AND(AE19 = "D", AM19 = TRUE))</f>
        <v>#VALUE!</v>
      </c>
      <c r="AP19" s="3" t="e">
        <f>IF(OR(AN19 = "", T19 = "", T19 = 0), "", AN19 / ABS(T19))</f>
        <v>#VALUE!</v>
      </c>
      <c r="AQ19" s="3" t="e">
        <f>LOOKUP(C19, Studies[StudyId], Studies[Domain])</f>
        <v>#VALUE!</v>
      </c>
      <c r="AR19" s="5">
        <f>COUNTIFS(StratumVariables!C2:C999, C19,StratumVariables!E2:E999, "confounder")</f>
        <v>1</v>
      </c>
      <c r="AS19" s="5">
        <f>COUNTIFS(StratumVariables!C2:C999, C19,StratumVariables!J2:J999, "mediator") + COUNTIFS(StratumVariables!C2:C999, C19,StratumVariables!J2:J999, "collider")</f>
        <v>0</v>
      </c>
      <c r="AT19" s="5">
        <f>COUNTIFS(StratumVariables!C2:C999, C19,StratumVariables!E2:E999, "contested")</f>
        <v>0</v>
      </c>
      <c r="AU19" s="5">
        <f>COUNTIFS(StratumVariables!C2:C999, C19,StratumVariables!E2:E999, "unknown")</f>
        <v>0</v>
      </c>
      <c r="AV19" s="3" t="str">
        <f>IF(AT19 &gt; 0, "contested", IF(AU19 &gt; 0, "geometric-only", IF(AR19 &gt; 0, "established", "geometric-only")))</f>
        <v>established</v>
      </c>
      <c r="AW19" s="3" t="b">
        <f>AND(AS19 = 0, AV19 = "established")</f>
        <v>1</v>
      </c>
      <c r="AX19" s="2" t="s">
        <v>2654</v>
      </c>
    </row>
    <row r="20">
      <c r="A20" s="2" t="s">
        <v>2656</v>
      </c>
      <c r="B20" s="3" t="str">
        <f>A20</f>
        <v>wilson-batting-2000-A-vs-B</v>
      </c>
      <c r="C20" s="2" t="s">
        <v>495</v>
      </c>
      <c r="D20" s="2" t="s">
        <v>792</v>
      </c>
      <c r="E20" s="2" t="s">
        <v>795</v>
      </c>
      <c r="F20" s="5">
        <f>SUMIFS(CaseCells!G2:G999,CaseCells!C2:C999, C20,CaseCells!E2:E999, D20)</f>
        <v>180</v>
      </c>
      <c r="G20" s="5">
        <f>SUMIFS(CaseCells!F2:F999,CaseCells!C2:C999, C20,CaseCells!E2:E999, D20)</f>
        <v>53</v>
      </c>
      <c r="H20" s="3">
        <f>IF(F20 = 0, "", G20 / F20)</f>
        <v>0.29444444444444445</v>
      </c>
      <c r="I20" s="5">
        <f>SUMIFS(CaseCells!G2:G999,CaseCells!C2:C999, C20,CaseCells!E2:E999, E20)</f>
        <v>200</v>
      </c>
      <c r="J20" s="5">
        <f>SUMIFS(CaseCells!F2:F999,CaseCells!C2:C999, C20,CaseCells!E2:E999, E20)</f>
        <v>60</v>
      </c>
      <c r="K20" s="3">
        <f>IF(I20 = 0, "", J20 / I20)</f>
        <v>0.3</v>
      </c>
      <c r="L20" s="3" t="str">
        <f>IF(OR(H20 = "", K20 = ""), "", IF(ABS(H20 - K20) &lt; 0.0000001, "tie", IF(H20 &gt; K20, D20, E20)))</f>
        <v>B</v>
      </c>
      <c r="M20" s="5">
        <f>COUNTIFS(StratumSummaries!C2:C999, C20,StratumSummaries!E2:E999, D20)</f>
        <v>2</v>
      </c>
      <c r="N20" s="5">
        <f>COUNTIFS(StratumSummaries!C2:C999, C20,StratumSummaries!E2:E999, D20,StratumSummaries!O2:O999, D20)</f>
        <v>0</v>
      </c>
      <c r="O20" s="5">
        <f>COUNTIFS(StratumSummaries!C2:C999, C20,StratumSummaries!E2:E999, D20,StratumSummaries!O2:O999, E20)</f>
        <v>2</v>
      </c>
      <c r="P20" s="3" t="str">
        <f>IF(N20 = M20, D20, IF(O20 = M20, E20, "none"))</f>
        <v>B</v>
      </c>
      <c r="Q20" s="3" t="b">
        <f>IF(AC20 = "", "", AC20)</f>
        <v>0</v>
      </c>
      <c r="R20" s="5">
        <f>COUNTIFS(StratumVariables!C2:C999, C20,StratumVariables!H2:H999, TRUE())</f>
        <v>1</v>
      </c>
      <c r="S20" s="3" t="b">
        <f>AND(Q20, R20 &gt; 0)</f>
        <v>0</v>
      </c>
      <c r="T20" s="3">
        <f>IF(H20 = "", "", ABS(H20 - K20))</f>
        <v>0.005555555555555536</v>
      </c>
      <c r="U20" s="5">
        <f>IF(L20 = D20, O20, N20)</f>
        <v>0</v>
      </c>
      <c r="V20" s="3">
        <f>IF(M20 = 0, "", T20 * (U20 / M20))</f>
        <v>0</v>
      </c>
      <c r="W20" s="3">
        <f>SUMIFS(StratumSummaries!S2:S999,StratumSummaries!C2:C999, C20,StratumSummaries!E2:E999, D20)</f>
        <v>0.29385964912280704</v>
      </c>
      <c r="X20" s="3">
        <f>SUMIFS(StratumSummaries!S2:S999,StratumSummaries!C2:C999, C20,StratumSummaries!E2:E999, E20)</f>
        <v>0.3005205320994795</v>
      </c>
      <c r="Y20" s="3">
        <f>IF(M20 = 0, "", U20 / M20)</f>
        <v>0</v>
      </c>
      <c r="Z20" s="3">
        <f>IF(M20 = 0, "", Y20 - 0.5)</f>
        <v>-0.5</v>
      </c>
      <c r="AA20" s="3">
        <f>IF(H20 = "", "", H20 - K20)</f>
        <v>-0.005555555555555536</v>
      </c>
      <c r="AB20" s="3">
        <f>SUMIFS(StratumSummaries!AB2:AB999,StratumSummaries!C2:C999, C20,StratumSummaries!E2:E999, D20)</f>
        <v>-0.006660882976672463</v>
      </c>
      <c r="AC20" s="3" t="b">
        <f>IF(AB20 = "", "", IF(AB20 &gt; 0, AA20 &lt; 0, AA20 &gt; 0))</f>
        <v>0</v>
      </c>
      <c r="AD20" s="3">
        <f>IF(AB20 = "", "", ABS(AB20 - AA20))</f>
        <v>0.0011053274211169275</v>
      </c>
      <c r="AE20" s="3" t="str">
        <f>IF(AD20 = "", "", IF(AC20, IF(AND(AB20 &lt;&gt; 0, AA20 / AB20 &lt; -1), "B", IF(AND(AB20 &lt;&gt; 0, AA20 / AB20 &lt; 0), "A", IF(Y20 = 1, "A", "B"))), IF(AND(NOT(AC20), AD20 &gt; 0.01, ABS(AA20) &gt; ABS(AG20) + 0.001), "C+", IF(AND(NOT(AC20), AD20 &gt; 0.01, ABS(AA20) &lt; ABS(AG20) - 0.001), "C-", "D"))))</f>
        <v>D</v>
      </c>
      <c r="AF20" s="3" t="str">
        <f>IF(AE20 = "", "", IF(AE20 = "A", "stratify-immediately", IF(AE20 = "B", "investigate-confounder", IF(OR(AE20 = "C+", AE20 = "C-"), "check-allocation-bias", "pooled-analysis-trustworthy"))))</f>
        <v>pooled-analysis-trustworthy</v>
      </c>
      <c r="AG20" s="3">
        <f>AB20</f>
        <v>-0.006660882976672463</v>
      </c>
      <c r="AH20" s="3" t="str">
        <f>IF(AG20 = "", "", IF(ABS(AG20) &lt; 0.0001, "tie", IF(AG20 &gt; 0, D20, IF(AG20 &lt; 0, E20, "tie"))))</f>
        <v>B</v>
      </c>
      <c r="AI20" s="3" t="b">
        <f>IF(AH20 = "", "", AH20 = L20)</f>
        <v>1</v>
      </c>
      <c r="AJ20" s="3" t="str">
        <f>IF(AE20 = "", "", IF(AE20 = "A", "use-corrected-winner", IF(AE20 = "B", "use-corrected-winner-with-caution", IF(OR(AE20 = "C+", AE20 = "C-"), "check-allocation-bias", "pooled-analysis-trustworthy"))))</f>
        <v>pooled-analysis-trustworthy</v>
      </c>
      <c r="AK20" s="3" t="str">
        <f>IF(AG20 = "", "", IF(AC20, "reversal", IF(ABS(AA20) &gt; ABS(AG20) + 0.001, "amplification", IF(ABS(AA20) &lt; ABS(AG20) - 0.001, "compression", "neutral"))))</f>
        <v>compression</v>
      </c>
      <c r="AL20" s="3">
        <f>IF(AG20 = "", "", IF(ABS(AG20) + AD20 = 0, 1, ABS(AG20) / (ABS(AG20) + AD20)))</f>
        <v>0.8576748034753794</v>
      </c>
      <c r="AM20" s="3" t="e">
        <f>LOOKUP(C20, SweepStudySummary[SweepStudyId], SweepStudySummary[PooledGapCrossesZero])</f>
        <v>#VALUE!</v>
      </c>
      <c r="AN20" s="3" t="e">
        <f>LOOKUP(C20, SweepStudySummary[SweepStudyId], SweepStudySummary[SweepPooledGapRange])</f>
        <v>#VALUE!</v>
      </c>
      <c r="AO20" s="3" t="e">
        <f>IF(AE20 = "", "", AND(AE20 = "D", AM20 = TRUE))</f>
        <v>#VALUE!</v>
      </c>
      <c r="AP20" s="3" t="e">
        <f>IF(OR(AN20 = "", T20 = "", T20 = 0), "", AN20 / ABS(T20))</f>
        <v>#VALUE!</v>
      </c>
      <c r="AQ20" s="3" t="e">
        <f>LOOKUP(C20, Studies[StudyId], Studies[Domain])</f>
        <v>#VALUE!</v>
      </c>
      <c r="AR20" s="5">
        <f>COUNTIFS(StratumVariables!C2:C999, C20,StratumVariables!E2:E999, "confounder")</f>
        <v>1</v>
      </c>
      <c r="AS20" s="5">
        <f>COUNTIFS(StratumVariables!C2:C999, C20,StratumVariables!J2:J999, "mediator") + COUNTIFS(StratumVariables!C2:C999, C20,StratumVariables!J2:J999, "collider")</f>
        <v>0</v>
      </c>
      <c r="AT20" s="5">
        <f>COUNTIFS(StratumVariables!C2:C999, C20,StratumVariables!E2:E999, "contested")</f>
        <v>0</v>
      </c>
      <c r="AU20" s="5">
        <f>COUNTIFS(StratumVariables!C2:C999, C20,StratumVariables!E2:E999, "unknown")</f>
        <v>0</v>
      </c>
      <c r="AV20" s="3" t="str">
        <f>IF(AT20 &gt; 0, "contested", IF(AU20 &gt; 0, "geometric-only", IF(AR20 &gt; 0, "established", "geometric-only")))</f>
        <v>established</v>
      </c>
      <c r="AW20" s="3" t="b">
        <f>AND(AS20 = 0, AV20 = "established")</f>
        <v>1</v>
      </c>
      <c r="AX20" s="2" t="s">
        <v>2654</v>
      </c>
    </row>
    <row r="21">
      <c r="A21" s="2" t="s">
        <v>2657</v>
      </c>
      <c r="B21" s="3" t="str">
        <f>A21</f>
        <v>clemens-bly-1998-A-vs-B</v>
      </c>
      <c r="C21" s="2" t="s">
        <v>498</v>
      </c>
      <c r="D21" s="2" t="s">
        <v>792</v>
      </c>
      <c r="E21" s="2" t="s">
        <v>795</v>
      </c>
      <c r="F21" s="5">
        <f>SUMIFS(CaseCells!G2:G999,CaseCells!C2:C999, C21,CaseCells!E2:E999, D21)</f>
        <v>140</v>
      </c>
      <c r="G21" s="5">
        <f>SUMIFS(CaseCells!F2:F999,CaseCells!C2:C999, C21,CaseCells!E2:E999, D21)</f>
        <v>40</v>
      </c>
      <c r="H21" s="3">
        <f>IF(F21 = 0, "", G21 / F21)</f>
        <v>0.2857142857142857</v>
      </c>
      <c r="I21" s="5">
        <f>SUMIFS(CaseCells!G2:G999,CaseCells!C2:C999, C21,CaseCells!E2:E999, E21)</f>
        <v>155</v>
      </c>
      <c r="J21" s="5">
        <f>SUMIFS(CaseCells!F2:F999,CaseCells!C2:C999, C21,CaseCells!E2:E999, E21)</f>
        <v>46</v>
      </c>
      <c r="K21" s="3">
        <f>IF(I21 = 0, "", J21 / I21)</f>
        <v>0.2967741935483871</v>
      </c>
      <c r="L21" s="3" t="str">
        <f>IF(OR(H21 = "", K21 = ""), "", IF(ABS(H21 - K21) &lt; 0.0000001, "tie", IF(H21 &gt; K21, D21, E21)))</f>
        <v>B</v>
      </c>
      <c r="M21" s="5">
        <f>COUNTIFS(StratumSummaries!C2:C999, C21,StratumSummaries!E2:E999, D21)</f>
        <v>2</v>
      </c>
      <c r="N21" s="5">
        <f>COUNTIFS(StratumSummaries!C2:C999, C21,StratumSummaries!E2:E999, D21,StratumSummaries!O2:O999, D21)</f>
        <v>0</v>
      </c>
      <c r="O21" s="5">
        <f>COUNTIFS(StratumSummaries!C2:C999, C21,StratumSummaries!E2:E999, D21,StratumSummaries!O2:O999, E21)</f>
        <v>2</v>
      </c>
      <c r="P21" s="3" t="str">
        <f>IF(N21 = M21, D21, IF(O21 = M21, E21, "none"))</f>
        <v>B</v>
      </c>
      <c r="Q21" s="3" t="b">
        <f>IF(AC21 = "", "", AC21)</f>
        <v>0</v>
      </c>
      <c r="R21" s="5">
        <f>COUNTIFS(StratumVariables!C2:C999, C21,StratumVariables!H2:H999, TRUE())</f>
        <v>1</v>
      </c>
      <c r="S21" s="3" t="b">
        <f>AND(Q21, R21 &gt; 0)</f>
        <v>0</v>
      </c>
      <c r="T21" s="3">
        <f>IF(H21 = "", "", ABS(H21 - K21))</f>
        <v>0.011059907834101379</v>
      </c>
      <c r="U21" s="5">
        <f>IF(L21 = D21, O21, N21)</f>
        <v>0</v>
      </c>
      <c r="V21" s="3">
        <f>IF(M21 = 0, "", T21 * (U21 / M21))</f>
        <v>0</v>
      </c>
      <c r="W21" s="3">
        <f>SUMIFS(StratumSummaries!S2:S999,StratumSummaries!C2:C999, C21,StratumSummaries!E2:E999, D21)</f>
        <v>0.28580037664783425</v>
      </c>
      <c r="X21" s="3">
        <f>SUMIFS(StratumSummaries!S2:S999,StratumSummaries!C2:C999, C21,StratumSummaries!E2:E999, E21)</f>
        <v>0.29670261941448384</v>
      </c>
      <c r="Y21" s="3">
        <f>IF(M21 = 0, "", U21 / M21)</f>
        <v>0</v>
      </c>
      <c r="Z21" s="3">
        <f>IF(M21 = 0, "", Y21 - 0.5)</f>
        <v>-0.5</v>
      </c>
      <c r="AA21" s="3">
        <f>IF(H21 = "", "", H21 - K21)</f>
        <v>-0.011059907834101379</v>
      </c>
      <c r="AB21" s="3">
        <f>SUMIFS(StratumSummaries!AB2:AB999,StratumSummaries!C2:C999, C21,StratumSummaries!E2:E999, D21)</f>
        <v>-0.010902242766649542</v>
      </c>
      <c r="AC21" s="3" t="b">
        <f>IF(AB21 = "", "", IF(AB21 &gt; 0, AA21 &lt; 0, AA21 &gt; 0))</f>
        <v>0</v>
      </c>
      <c r="AD21" s="3">
        <f>IF(AB21 = "", "", ABS(AB21 - AA21))</f>
        <v>0.00015766506745183706</v>
      </c>
      <c r="AE21" s="3" t="str">
        <f>IF(AD21 = "", "", IF(AC21, IF(AND(AB21 &lt;&gt; 0, AA21 / AB21 &lt; -1), "B", IF(AND(AB21 &lt;&gt; 0, AA21 / AB21 &lt; 0), "A", IF(Y21 = 1, "A", "B"))), IF(AND(NOT(AC21), AD21 &gt; 0.01, ABS(AA21) &gt; ABS(AG21) + 0.001), "C+", IF(AND(NOT(AC21), AD21 &gt; 0.01, ABS(AA21) &lt; ABS(AG21) - 0.001), "C-", "D"))))</f>
        <v>D</v>
      </c>
      <c r="AF21" s="3" t="str">
        <f>IF(AE21 = "", "", IF(AE21 = "A", "stratify-immediately", IF(AE21 = "B", "investigate-confounder", IF(OR(AE21 = "C+", AE21 = "C-"), "check-allocation-bias", "pooled-analysis-trustworthy"))))</f>
        <v>pooled-analysis-trustworthy</v>
      </c>
      <c r="AG21" s="3">
        <f>AB21</f>
        <v>-0.010902242766649542</v>
      </c>
      <c r="AH21" s="3" t="str">
        <f>IF(AG21 = "", "", IF(ABS(AG21) &lt; 0.0001, "tie", IF(AG21 &gt; 0, D21, IF(AG21 &lt; 0, E21, "tie"))))</f>
        <v>B</v>
      </c>
      <c r="AI21" s="3" t="b">
        <f>IF(AH21 = "", "", AH21 = L21)</f>
        <v>1</v>
      </c>
      <c r="AJ21" s="3" t="str">
        <f>IF(AE21 = "", "", IF(AE21 = "A", "use-corrected-winner", IF(AE21 = "B", "use-corrected-winner-with-caution", IF(OR(AE21 = "C+", AE21 = "C-"), "check-allocation-bias", "pooled-analysis-trustworthy"))))</f>
        <v>pooled-analysis-trustworthy</v>
      </c>
      <c r="AK21" s="3" t="str">
        <f>IF(AG21 = "", "", IF(AC21, "reversal", IF(ABS(AA21) &gt; ABS(AG21) + 0.001, "amplification", IF(ABS(AA21) &lt; ABS(AG21) - 0.001, "compression", "neutral"))))</f>
        <v>neutral</v>
      </c>
      <c r="AL21" s="3">
        <f>IF(AG21 = "", "", IF(ABS(AG21) + AD21 = 0, 1, ABS(AG21) / (ABS(AG21) + AD21)))</f>
        <v>0.9857444501512297</v>
      </c>
      <c r="AM21" s="3" t="e">
        <f>LOOKUP(C21, SweepStudySummary[SweepStudyId], SweepStudySummary[PooledGapCrossesZero])</f>
        <v>#VALUE!</v>
      </c>
      <c r="AN21" s="3" t="e">
        <f>LOOKUP(C21, SweepStudySummary[SweepStudyId], SweepStudySummary[SweepPooledGapRange])</f>
        <v>#VALUE!</v>
      </c>
      <c r="AO21" s="3" t="e">
        <f>IF(AE21 = "", "", AND(AE21 = "D", AM21 = TRUE))</f>
        <v>#VALUE!</v>
      </c>
      <c r="AP21" s="3" t="e">
        <f>IF(OR(AN21 = "", T21 = "", T21 = 0), "", AN21 / ABS(T21))</f>
        <v>#VALUE!</v>
      </c>
      <c r="AQ21" s="3" t="e">
        <f>LOOKUP(C21, Studies[StudyId], Studies[Domain])</f>
        <v>#VALUE!</v>
      </c>
      <c r="AR21" s="5">
        <f>COUNTIFS(StratumVariables!C2:C999, C21,StratumVariables!E2:E999, "confounder")</f>
        <v>1</v>
      </c>
      <c r="AS21" s="5">
        <f>COUNTIFS(StratumVariables!C2:C999, C21,StratumVariables!J2:J999, "mediator") + COUNTIFS(StratumVariables!C2:C999, C21,StratumVariables!J2:J999, "collider")</f>
        <v>0</v>
      </c>
      <c r="AT21" s="5">
        <f>COUNTIFS(StratumVariables!C2:C999, C21,StratumVariables!E2:E999, "contested")</f>
        <v>0</v>
      </c>
      <c r="AU21" s="5">
        <f>COUNTIFS(StratumVariables!C2:C999, C21,StratumVariables!E2:E999, "unknown")</f>
        <v>0</v>
      </c>
      <c r="AV21" s="3" t="str">
        <f>IF(AT21 &gt; 0, "contested", IF(AU21 &gt; 0, "geometric-only", IF(AR21 &gt; 0, "established", "geometric-only")))</f>
        <v>established</v>
      </c>
      <c r="AW21" s="3" t="b">
        <f>AND(AS21 = 0, AV21 = "established")</f>
        <v>1</v>
      </c>
      <c r="AX21" s="2" t="s">
        <v>2654</v>
      </c>
    </row>
    <row r="22">
      <c r="A22" s="2" t="s">
        <v>2658</v>
      </c>
      <c r="B22" s="3" t="str">
        <f>A22</f>
        <v>open-university-1975-A-vs-B</v>
      </c>
      <c r="C22" s="2" t="s">
        <v>501</v>
      </c>
      <c r="D22" s="2" t="s">
        <v>792</v>
      </c>
      <c r="E22" s="2" t="s">
        <v>795</v>
      </c>
      <c r="F22" s="5">
        <f>SUMIFS(CaseCells!G2:G999,CaseCells!C2:C999, C22,CaseCells!E2:E999, D22)</f>
        <v>1484</v>
      </c>
      <c r="G22" s="5">
        <f>SUMIFS(CaseCells!F2:F999,CaseCells!C2:C999, C22,CaseCells!E2:E999, D22)</f>
        <v>1063</v>
      </c>
      <c r="H22" s="3">
        <f>IF(F22 = 0, "", G22 / F22)</f>
        <v>0.7163072776280324</v>
      </c>
      <c r="I22" s="5">
        <f>SUMIFS(CaseCells!G2:G999,CaseCells!C2:C999, C22,CaseCells!E2:E999, E22)</f>
        <v>1039</v>
      </c>
      <c r="J22" s="5">
        <f>SUMIFS(CaseCells!F2:F999,CaseCells!C2:C999, C22,CaseCells!E2:E999, E22)</f>
        <v>737</v>
      </c>
      <c r="K22" s="3">
        <f>IF(I22 = 0, "", J22 / I22)</f>
        <v>0.7093358999037536</v>
      </c>
      <c r="L22" s="3" t="str">
        <f>IF(OR(H22 = "", K22 = ""), "", IF(ABS(H22 - K22) &lt; 0.0000001, "tie", IF(H22 &gt; K22, D22, E22)))</f>
        <v>A</v>
      </c>
      <c r="M22" s="5">
        <f>COUNTIFS(StratumSummaries!C2:C999, C22,StratumSummaries!E2:E999, D22)</f>
        <v>3</v>
      </c>
      <c r="N22" s="5">
        <f>COUNTIFS(StratumSummaries!C2:C999, C22,StratumSummaries!E2:E999, D22,StratumSummaries!O2:O999, D22)</f>
        <v>1</v>
      </c>
      <c r="O22" s="5">
        <f>COUNTIFS(StratumSummaries!C2:C999, C22,StratumSummaries!E2:E999, D22,StratumSummaries!O2:O999, E22)</f>
        <v>2</v>
      </c>
      <c r="P22" s="3" t="str">
        <f>IF(N22 = M22, D22, IF(O22 = M22, E22, "none"))</f>
        <v>none</v>
      </c>
      <c r="Q22" s="3" t="b">
        <f>IF(AC22 = "", "", AC22)</f>
        <v>0</v>
      </c>
      <c r="R22" s="5">
        <f>COUNTIFS(StratumVariables!C2:C999, C22,StratumVariables!H2:H999, TRUE())</f>
        <v>1</v>
      </c>
      <c r="S22" s="3" t="b">
        <f>AND(Q22, R22 &gt; 0)</f>
        <v>0</v>
      </c>
      <c r="T22" s="3">
        <f>IF(H22 = "", "", ABS(H22 - K22))</f>
        <v>0.006971377724278804</v>
      </c>
      <c r="U22" s="5">
        <f>IF(L22 = D22, O22, N22)</f>
        <v>2</v>
      </c>
      <c r="V22" s="3">
        <f>IF(M22 = 0, "", T22 * (U22 / M22))</f>
        <v>0.004647585149519203</v>
      </c>
      <c r="W22" s="3">
        <f>SUMIFS(StratumSummaries!S2:S999,StratumSummaries!C2:C999, C22,StratumSummaries!E2:E999, D22)</f>
        <v>0.7116849422058827</v>
      </c>
      <c r="X22" s="3">
        <f>SUMIFS(StratumSummaries!S2:S999,StratumSummaries!C2:C999, C22,StratumSummaries!E2:E999, E22)</f>
        <v>0.708362227442905</v>
      </c>
      <c r="Y22" s="3">
        <f>IF(M22 = 0, "", U22 / M22)</f>
        <v>0.6666666666666666</v>
      </c>
      <c r="Z22" s="3">
        <f>IF(M22 = 0, "", Y22 - 0.5)</f>
        <v>0.16666666666666663</v>
      </c>
      <c r="AA22" s="3">
        <f>IF(H22 = "", "", H22 - K22)</f>
        <v>0.006971377724278804</v>
      </c>
      <c r="AB22" s="3">
        <f>SUMIFS(StratumSummaries!AB2:AB999,StratumSummaries!C2:C999, C22,StratumSummaries!E2:E999, D22)</f>
        <v>0.0033227147629777435</v>
      </c>
      <c r="AC22" s="3" t="b">
        <f>IF(AB22 = "", "", IF(AB22 &gt; 0, AA22 &lt; 0, AA22 &gt; 0))</f>
        <v>0</v>
      </c>
      <c r="AD22" s="3">
        <f>IF(AB22 = "", "", ABS(AB22 - AA22))</f>
        <v>0.003648662961301061</v>
      </c>
      <c r="AE22" s="3" t="str">
        <f>IF(AD22 = "", "", IF(AC22, IF(AND(AB22 &lt;&gt; 0, AA22 / AB22 &lt; -1), "B", IF(AND(AB22 &lt;&gt; 0, AA22 / AB22 &lt; 0), "A", IF(Y22 = 1, "A", "B"))), IF(AND(NOT(AC22), AD22 &gt; 0.01, ABS(AA22) &gt; ABS(AG22) + 0.001), "C+", IF(AND(NOT(AC22), AD22 &gt; 0.01, ABS(AA22) &lt; ABS(AG22) - 0.001), "C-", "D"))))</f>
        <v>D</v>
      </c>
      <c r="AF22" s="3" t="str">
        <f>IF(AE22 = "", "", IF(AE22 = "A", "stratify-immediately", IF(AE22 = "B", "investigate-confounder", IF(OR(AE22 = "C+", AE22 = "C-"), "check-allocation-bias", "pooled-analysis-trustworthy"))))</f>
        <v>pooled-analysis-trustworthy</v>
      </c>
      <c r="AG22" s="3">
        <f>AB22</f>
        <v>0.0033227147629777435</v>
      </c>
      <c r="AH22" s="3" t="str">
        <f>IF(AG22 = "", "", IF(ABS(AG22) &lt; 0.0001, "tie", IF(AG22 &gt; 0, D22, IF(AG22 &lt; 0, E22, "tie"))))</f>
        <v>A</v>
      </c>
      <c r="AI22" s="3" t="b">
        <f>IF(AH22 = "", "", AH22 = L22)</f>
        <v>1</v>
      </c>
      <c r="AJ22" s="3" t="str">
        <f>IF(AE22 = "", "", IF(AE22 = "A", "use-corrected-winner", IF(AE22 = "B", "use-corrected-winner-with-caution", IF(OR(AE22 = "C+", AE22 = "C-"), "check-allocation-bias", "pooled-analysis-trustworthy"))))</f>
        <v>pooled-analysis-trustworthy</v>
      </c>
      <c r="AK22" s="3" t="str">
        <f>IF(AG22 = "", "", IF(AC22, "reversal", IF(ABS(AA22) &gt; ABS(AG22) + 0.001, "amplification", IF(ABS(AA22) &lt; ABS(AG22) - 0.001, "compression", "neutral"))))</f>
        <v>amplification</v>
      </c>
      <c r="AL22" s="3">
        <f>IF(AG22 = "", "", IF(ABS(AG22) + AD22 = 0, 1, ABS(AG22) / (ABS(AG22) + AD22)))</f>
        <v>0.4766223972351866</v>
      </c>
      <c r="AM22" s="3" t="e">
        <f>LOOKUP(C22, SweepStudySummary[SweepStudyId], SweepStudySummary[PooledGapCrossesZero])</f>
        <v>#VALUE!</v>
      </c>
      <c r="AN22" s="3" t="e">
        <f>LOOKUP(C22, SweepStudySummary[SweepStudyId], SweepStudySummary[SweepPooledGapRange])</f>
        <v>#VALUE!</v>
      </c>
      <c r="AO22" s="3" t="e">
        <f>IF(AE22 = "", "", AND(AE22 = "D", AM22 = TRUE))</f>
        <v>#VALUE!</v>
      </c>
      <c r="AP22" s="3" t="e">
        <f>IF(OR(AN22 = "", T22 = "", T22 = 0), "", AN22 / ABS(T22))</f>
        <v>#VALUE!</v>
      </c>
      <c r="AQ22" s="3" t="e">
        <f>LOOKUP(C22, Studies[StudyId], Studies[Domain])</f>
        <v>#VALUE!</v>
      </c>
      <c r="AR22" s="5">
        <f>COUNTIFS(StratumVariables!C2:C999, C22,StratumVariables!E2:E999, "confounder")</f>
        <v>1</v>
      </c>
      <c r="AS22" s="5">
        <f>COUNTIFS(StratumVariables!C2:C999, C22,StratumVariables!J2:J999, "mediator") + COUNTIFS(StratumVariables!C2:C999, C22,StratumVariables!J2:J999, "collider")</f>
        <v>0</v>
      </c>
      <c r="AT22" s="5">
        <f>COUNTIFS(StratumVariables!C2:C999, C22,StratumVariables!E2:E999, "contested")</f>
        <v>0</v>
      </c>
      <c r="AU22" s="5">
        <f>COUNTIFS(StratumVariables!C2:C999, C22,StratumVariables!E2:E999, "unknown")</f>
        <v>0</v>
      </c>
      <c r="AV22" s="3" t="str">
        <f>IF(AT22 &gt; 0, "contested", IF(AU22 &gt; 0, "geometric-only", IF(AR22 &gt; 0, "established", "geometric-only")))</f>
        <v>established</v>
      </c>
      <c r="AW22" s="3" t="b">
        <f>AND(AS22 = 0, AV22 = "established")</f>
        <v>1</v>
      </c>
      <c r="AX22" s="2" t="s">
        <v>2654</v>
      </c>
    </row>
    <row r="23">
      <c r="A23" s="2" t="s">
        <v>2659</v>
      </c>
      <c r="B23" s="3" t="str">
        <f>A23</f>
        <v>pisa-immigration-2015-A-vs-B</v>
      </c>
      <c r="C23" s="2" t="s">
        <v>504</v>
      </c>
      <c r="D23" s="2" t="s">
        <v>792</v>
      </c>
      <c r="E23" s="2" t="s">
        <v>795</v>
      </c>
      <c r="F23" s="5">
        <f>SUMIFS(CaseCells!G2:G999,CaseCells!C2:C999, C23,CaseCells!E2:E999, D23)</f>
        <v>900</v>
      </c>
      <c r="G23" s="5">
        <f>SUMIFS(CaseCells!F2:F999,CaseCells!C2:C999, C23,CaseCells!E2:E999, D23)</f>
        <v>700</v>
      </c>
      <c r="H23" s="3">
        <f>IF(F23 = 0, "", G23 / F23)</f>
        <v>0.7777777777777778</v>
      </c>
      <c r="I23" s="5">
        <f>SUMIFS(CaseCells!G2:G999,CaseCells!C2:C999, C23,CaseCells!E2:E999, E23)</f>
        <v>320</v>
      </c>
      <c r="J23" s="5">
        <f>SUMIFS(CaseCells!F2:F999,CaseCells!C2:C999, C23,CaseCells!E2:E999, E23)</f>
        <v>230</v>
      </c>
      <c r="K23" s="3">
        <f>IF(I23 = 0, "", J23 / I23)</f>
        <v>0.71875</v>
      </c>
      <c r="L23" s="3" t="str">
        <f>IF(OR(H23 = "", K23 = ""), "", IF(ABS(H23 - K23) &lt; 0.0000001, "tie", IF(H23 &gt; K23, D23, E23)))</f>
        <v>A</v>
      </c>
      <c r="M23" s="5">
        <f>COUNTIFS(StratumSummaries!C2:C999, C23,StratumSummaries!E2:E999, D23)</f>
        <v>2</v>
      </c>
      <c r="N23" s="5">
        <f>COUNTIFS(StratumSummaries!C2:C999, C23,StratumSummaries!E2:E999, D23,StratumSummaries!O2:O999, D23)</f>
        <v>1</v>
      </c>
      <c r="O23" s="5">
        <f>COUNTIFS(StratumSummaries!C2:C999, C23,StratumSummaries!E2:E999, D23,StratumSummaries!O2:O999, E23)</f>
        <v>1</v>
      </c>
      <c r="P23" s="3" t="str">
        <f>IF(N23 = M23, D23, IF(O23 = M23, E23, "none"))</f>
        <v>none</v>
      </c>
      <c r="Q23" s="3" t="b">
        <f>IF(AC23 = "", "", AC23)</f>
        <v>0</v>
      </c>
      <c r="R23" s="5">
        <f>COUNTIFS(StratumVariables!C2:C999, C23,StratumVariables!H2:H999, TRUE())</f>
        <v>1</v>
      </c>
      <c r="S23" s="3" t="b">
        <f>AND(Q23, R23 &gt; 0)</f>
        <v>0</v>
      </c>
      <c r="T23" s="3">
        <f>IF(H23 = "", "", ABS(H23 - K23))</f>
        <v>0.05902777777777779</v>
      </c>
      <c r="U23" s="5">
        <f>IF(L23 = D23, O23, N23)</f>
        <v>1</v>
      </c>
      <c r="V23" s="3">
        <f>IF(M23 = 0, "", T23 * (U23 / M23))</f>
        <v>0.029513888888888895</v>
      </c>
      <c r="W23" s="3">
        <f>SUMIFS(StratumSummaries!S2:S999,StratumSummaries!C2:C999, C23,StratumSummaries!E2:E999, D23)</f>
        <v>0.7711475409836066</v>
      </c>
      <c r="X23" s="3">
        <f>SUMIFS(StratumSummaries!S2:S999,StratumSummaries!C2:C999, C23,StratumSummaries!E2:E999, E23)</f>
        <v>0.7076502732240437</v>
      </c>
      <c r="Y23" s="3">
        <f>IF(M23 = 0, "", U23 / M23)</f>
        <v>0.5</v>
      </c>
      <c r="Z23" s="3">
        <f>IF(M23 = 0, "", Y23 - 0.5)</f>
        <v>0</v>
      </c>
      <c r="AA23" s="3">
        <f>IF(H23 = "", "", H23 - K23)</f>
        <v>0.05902777777777779</v>
      </c>
      <c r="AB23" s="3">
        <f>SUMIFS(StratumSummaries!AB2:AB999,StratumSummaries!C2:C999, C23,StratumSummaries!E2:E999, D23)</f>
        <v>0.06349726775956283</v>
      </c>
      <c r="AC23" s="3" t="b">
        <f>IF(AB23 = "", "", IF(AB23 &gt; 0, AA23 &lt; 0, AA23 &gt; 0))</f>
        <v>0</v>
      </c>
      <c r="AD23" s="3">
        <f>IF(AB23 = "", "", ABS(AB23 - AA23))</f>
        <v>0.004469489981785035</v>
      </c>
      <c r="AE23" s="3" t="str">
        <f>IF(AD23 = "", "", IF(AC23, IF(AND(AB23 &lt;&gt; 0, AA23 / AB23 &lt; -1), "B", IF(AND(AB23 &lt;&gt; 0, AA23 / AB23 &lt; 0), "A", IF(Y23 = 1, "A", "B"))), IF(AND(NOT(AC23), AD23 &gt; 0.01, ABS(AA23) &gt; ABS(AG23) + 0.001), "C+", IF(AND(NOT(AC23), AD23 &gt; 0.01, ABS(AA23) &lt; ABS(AG23) - 0.001), "C-", "D"))))</f>
        <v>D</v>
      </c>
      <c r="AF23" s="3" t="str">
        <f>IF(AE23 = "", "", IF(AE23 = "A", "stratify-immediately", IF(AE23 = "B", "investigate-confounder", IF(OR(AE23 = "C+", AE23 = "C-"), "check-allocation-bias", "pooled-analysis-trustworthy"))))</f>
        <v>pooled-analysis-trustworthy</v>
      </c>
      <c r="AG23" s="3">
        <f>AB23</f>
        <v>0.06349726775956283</v>
      </c>
      <c r="AH23" s="3" t="str">
        <f>IF(AG23 = "", "", IF(ABS(AG23) &lt; 0.0001, "tie", IF(AG23 &gt; 0, D23, IF(AG23 &lt; 0, E23, "tie"))))</f>
        <v>A</v>
      </c>
      <c r="AI23" s="3" t="b">
        <f>IF(AH23 = "", "", AH23 = L23)</f>
        <v>1</v>
      </c>
      <c r="AJ23" s="3" t="str">
        <f>IF(AE23 = "", "", IF(AE23 = "A", "use-corrected-winner", IF(AE23 = "B", "use-corrected-winner-with-caution", IF(OR(AE23 = "C+", AE23 = "C-"), "check-allocation-bias", "pooled-analysis-trustworthy"))))</f>
        <v>pooled-analysis-trustworthy</v>
      </c>
      <c r="AK23" s="3" t="str">
        <f>IF(AG23 = "", "", IF(AC23, "reversal", IF(ABS(AA23) &gt; ABS(AG23) + 0.001, "amplification", IF(ABS(AA23) &lt; ABS(AG23) - 0.001, "compression", "neutral"))))</f>
        <v>compression</v>
      </c>
      <c r="AL23" s="3">
        <f>IF(AG23 = "", "", IF(ABS(AG23) + AD23 = 0, 1, ABS(AG23) / (ABS(AG23) + AD23)))</f>
        <v>0.9342400589594992</v>
      </c>
      <c r="AM23" s="3" t="e">
        <f>LOOKUP(C23, SweepStudySummary[SweepStudyId], SweepStudySummary[PooledGapCrossesZero])</f>
        <v>#VALUE!</v>
      </c>
      <c r="AN23" s="3" t="e">
        <f>LOOKUP(C23, SweepStudySummary[SweepStudyId], SweepStudySummary[SweepPooledGapRange])</f>
        <v>#VALUE!</v>
      </c>
      <c r="AO23" s="3" t="e">
        <f>IF(AE23 = "", "", AND(AE23 = "D", AM23 = TRUE))</f>
        <v>#VALUE!</v>
      </c>
      <c r="AP23" s="3" t="e">
        <f>IF(OR(AN23 = "", T23 = "", T23 = 0), "", AN23 / ABS(T23))</f>
        <v>#VALUE!</v>
      </c>
      <c r="AQ23" s="3" t="e">
        <f>LOOKUP(C23, Studies[StudyId], Studies[Domain])</f>
        <v>#VALUE!</v>
      </c>
      <c r="AR23" s="5">
        <f>COUNTIFS(StratumVariables!C2:C999, C23,StratumVariables!E2:E999, "confounder")</f>
        <v>1</v>
      </c>
      <c r="AS23" s="5">
        <f>COUNTIFS(StratumVariables!C2:C999, C23,StratumVariables!J2:J999, "mediator") + COUNTIFS(StratumVariables!C2:C999, C23,StratumVariables!J2:J999, "collider")</f>
        <v>0</v>
      </c>
      <c r="AT23" s="5">
        <f>COUNTIFS(StratumVariables!C2:C999, C23,StratumVariables!E2:E999, "contested")</f>
        <v>0</v>
      </c>
      <c r="AU23" s="5">
        <f>COUNTIFS(StratumVariables!C2:C999, C23,StratumVariables!E2:E999, "unknown")</f>
        <v>0</v>
      </c>
      <c r="AV23" s="3" t="str">
        <f>IF(AT23 &gt; 0, "contested", IF(AU23 &gt; 0, "geometric-only", IF(AR23 &gt; 0, "established", "geometric-only")))</f>
        <v>established</v>
      </c>
      <c r="AW23" s="3" t="b">
        <f>AND(AS23 = 0, AV23 = "established")</f>
        <v>1</v>
      </c>
      <c r="AX23" s="2" t="s">
        <v>2654</v>
      </c>
    </row>
    <row r="24">
      <c r="A24" s="2" t="s">
        <v>2660</v>
      </c>
      <c r="B24" s="3" t="str">
        <f>A24</f>
        <v>wainer-sat-states-1992-A-vs-B</v>
      </c>
      <c r="C24" s="2" t="s">
        <v>508</v>
      </c>
      <c r="D24" s="2" t="s">
        <v>792</v>
      </c>
      <c r="E24" s="2" t="s">
        <v>795</v>
      </c>
      <c r="F24" s="5">
        <f>SUMIFS(CaseCells!G2:G999,CaseCells!C2:C999, C24,CaseCells!E2:E999, D24)</f>
        <v>900</v>
      </c>
      <c r="G24" s="5">
        <f>SUMIFS(CaseCells!F2:F999,CaseCells!C2:C999, C24,CaseCells!E2:E999, D24)</f>
        <v>520</v>
      </c>
      <c r="H24" s="3">
        <f>IF(F24 = 0, "", G24 / F24)</f>
        <v>0.5777777777777777</v>
      </c>
      <c r="I24" s="5">
        <f>SUMIFS(CaseCells!G2:G999,CaseCells!C2:C999, C24,CaseCells!E2:E999, E24)</f>
        <v>450</v>
      </c>
      <c r="J24" s="5">
        <f>SUMIFS(CaseCells!F2:F999,CaseCells!C2:C999, C24,CaseCells!E2:E999, E24)</f>
        <v>330</v>
      </c>
      <c r="K24" s="3">
        <f>IF(I24 = 0, "", J24 / I24)</f>
        <v>0.7333333333333333</v>
      </c>
      <c r="L24" s="3" t="str">
        <f>IF(OR(H24 = "", K24 = ""), "", IF(ABS(H24 - K24) &lt; 0.0000001, "tie", IF(H24 &gt; K24, D24, E24)))</f>
        <v>B</v>
      </c>
      <c r="M24" s="5">
        <f>COUNTIFS(StratumSummaries!C2:C999, C24,StratumSummaries!E2:E999, D24)</f>
        <v>2</v>
      </c>
      <c r="N24" s="5">
        <f>COUNTIFS(StratumSummaries!C2:C999, C24,StratumSummaries!E2:E999, D24,StratumSummaries!O2:O999, D24)</f>
        <v>0</v>
      </c>
      <c r="O24" s="5">
        <f>COUNTIFS(StratumSummaries!C2:C999, C24,StratumSummaries!E2:E999, D24,StratumSummaries!O2:O999, E24)</f>
        <v>2</v>
      </c>
      <c r="P24" s="3" t="str">
        <f>IF(N24 = M24, D24, IF(O24 = M24, E24, "none"))</f>
        <v>B</v>
      </c>
      <c r="Q24" s="3" t="b">
        <f>IF(AC24 = "", "", AC24)</f>
        <v>0</v>
      </c>
      <c r="R24" s="5">
        <f>COUNTIFS(StratumVariables!C2:C999, C24,StratumVariables!H2:H999, TRUE())</f>
        <v>1</v>
      </c>
      <c r="S24" s="3" t="b">
        <f>AND(Q24, R24 &gt; 0)</f>
        <v>0</v>
      </c>
      <c r="T24" s="3">
        <f>IF(H24 = "", "", ABS(H24 - K24))</f>
        <v>0.15555555555555556</v>
      </c>
      <c r="U24" s="5">
        <f>IF(L24 = D24, O24, N24)</f>
        <v>0</v>
      </c>
      <c r="V24" s="3">
        <f>IF(M24 = 0, "", T24 * (U24 / M24))</f>
        <v>0</v>
      </c>
      <c r="W24" s="3">
        <f>SUMIFS(StratumSummaries!S2:S999,StratumSummaries!C2:C999, C24,StratumSummaries!E2:E999, D24)</f>
        <v>0.5777777777777777</v>
      </c>
      <c r="X24" s="3">
        <f>SUMIFS(StratumSummaries!S2:S999,StratumSummaries!C2:C999, C24,StratumSummaries!E2:E999, E24)</f>
        <v>0.7333333333333334</v>
      </c>
      <c r="Y24" s="3">
        <f>IF(M24 = 0, "", U24 / M24)</f>
        <v>0</v>
      </c>
      <c r="Z24" s="3">
        <f>IF(M24 = 0, "", Y24 - 0.5)</f>
        <v>-0.5</v>
      </c>
      <c r="AA24" s="3">
        <f>IF(H24 = "", "", H24 - K24)</f>
        <v>-0.15555555555555556</v>
      </c>
      <c r="AB24" s="3">
        <f>SUMIFS(StratumSummaries!AB2:AB999,StratumSummaries!C2:C999, C24,StratumSummaries!E2:E999, D24)</f>
        <v>-0.15555555555555553</v>
      </c>
      <c r="AC24" s="3" t="b">
        <f>IF(AB24 = "", "", IF(AB24 &gt; 0, AA24 &lt; 0, AA24 &gt; 0))</f>
        <v>0</v>
      </c>
      <c r="AD24" s="3">
        <f>IF(AB24 = "", "", ABS(AB24 - AA24))</f>
        <v>2.7755575615628914E-17</v>
      </c>
      <c r="AE24" s="3" t="str">
        <f>IF(AD24 = "", "", IF(AC24, IF(AND(AB24 &lt;&gt; 0, AA24 / AB24 &lt; -1), "B", IF(AND(AB24 &lt;&gt; 0, AA24 / AB24 &lt; 0), "A", IF(Y24 = 1, "A", "B"))), IF(AND(NOT(AC24), AD24 &gt; 0.01, ABS(AA24) &gt; ABS(AG24) + 0.001), "C+", IF(AND(NOT(AC24), AD24 &gt; 0.01, ABS(AA24) &lt; ABS(AG24) - 0.001), "C-", "D"))))</f>
        <v>D</v>
      </c>
      <c r="AF24" s="3" t="str">
        <f>IF(AE24 = "", "", IF(AE24 = "A", "stratify-immediately", IF(AE24 = "B", "investigate-confounder", IF(OR(AE24 = "C+", AE24 = "C-"), "check-allocation-bias", "pooled-analysis-trustworthy"))))</f>
        <v>pooled-analysis-trustworthy</v>
      </c>
      <c r="AG24" s="3">
        <f>AB24</f>
        <v>-0.15555555555555553</v>
      </c>
      <c r="AH24" s="3" t="str">
        <f>IF(AG24 = "", "", IF(ABS(AG24) &lt; 0.0001, "tie", IF(AG24 &gt; 0, D24, IF(AG24 &lt; 0, E24, "tie"))))</f>
        <v>B</v>
      </c>
      <c r="AI24" s="3" t="b">
        <f>IF(AH24 = "", "", AH24 = L24)</f>
        <v>1</v>
      </c>
      <c r="AJ24" s="3" t="str">
        <f>IF(AE24 = "", "", IF(AE24 = "A", "use-corrected-winner", IF(AE24 = "B", "use-corrected-winner-with-caution", IF(OR(AE24 = "C+", AE24 = "C-"), "check-allocation-bias", "pooled-analysis-trustworthy"))))</f>
        <v>pooled-analysis-trustworthy</v>
      </c>
      <c r="AK24" s="3" t="str">
        <f>IF(AG24 = "", "", IF(AC24, "reversal", IF(ABS(AA24) &gt; ABS(AG24) + 0.001, "amplification", IF(ABS(AA24) &lt; ABS(AG24) - 0.001, "compression", "neutral"))))</f>
        <v>neutral</v>
      </c>
      <c r="AL24" s="3">
        <f>IF(AG24 = "", "", IF(ABS(AG24) + AD24 = 0, 1, ABS(AG24) / (ABS(AG24) + AD24)))</f>
        <v>0.9999999999999998</v>
      </c>
      <c r="AM24" s="3" t="e">
        <f>LOOKUP(C24, SweepStudySummary[SweepStudyId], SweepStudySummary[PooledGapCrossesZero])</f>
        <v>#VALUE!</v>
      </c>
      <c r="AN24" s="3" t="e">
        <f>LOOKUP(C24, SweepStudySummary[SweepStudyId], SweepStudySummary[SweepPooledGapRange])</f>
        <v>#VALUE!</v>
      </c>
      <c r="AO24" s="3" t="e">
        <f>IF(AE24 = "", "", AND(AE24 = "D", AM24 = TRUE))</f>
        <v>#VALUE!</v>
      </c>
      <c r="AP24" s="3" t="e">
        <f>IF(OR(AN24 = "", T24 = "", T24 = 0), "", AN24 / ABS(T24))</f>
        <v>#VALUE!</v>
      </c>
      <c r="AQ24" s="3" t="e">
        <f>LOOKUP(C24, Studies[StudyId], Studies[Domain])</f>
        <v>#VALUE!</v>
      </c>
      <c r="AR24" s="5">
        <f>COUNTIFS(StratumVariables!C2:C999, C24,StratumVariables!E2:E999, "confounder")</f>
        <v>1</v>
      </c>
      <c r="AS24" s="5">
        <f>COUNTIFS(StratumVariables!C2:C999, C24,StratumVariables!J2:J999, "mediator") + COUNTIFS(StratumVariables!C2:C999, C24,StratumVariables!J2:J999, "collider")</f>
        <v>0</v>
      </c>
      <c r="AT24" s="5">
        <f>COUNTIFS(StratumVariables!C2:C999, C24,StratumVariables!E2:E999, "contested")</f>
        <v>0</v>
      </c>
      <c r="AU24" s="5">
        <f>COUNTIFS(StratumVariables!C2:C999, C24,StratumVariables!E2:E999, "unknown")</f>
        <v>0</v>
      </c>
      <c r="AV24" s="3" t="str">
        <f>IF(AT24 &gt; 0, "contested", IF(AU24 &gt; 0, "geometric-only", IF(AR24 &gt; 0, "established", "geometric-only")))</f>
        <v>established</v>
      </c>
      <c r="AW24" s="3" t="b">
        <f>AND(AS24 = 0, AV24 = "established")</f>
        <v>1</v>
      </c>
      <c r="AX24" s="2" t="s">
        <v>2654</v>
      </c>
    </row>
    <row r="25">
      <c r="A25" s="2" t="s">
        <v>2661</v>
      </c>
      <c r="B25" s="3" t="str">
        <f>A25</f>
        <v>folic-acid-neural-tube-1991-A-vs-B</v>
      </c>
      <c r="C25" s="2" t="s">
        <v>511</v>
      </c>
      <c r="D25" s="2" t="s">
        <v>792</v>
      </c>
      <c r="E25" s="2" t="s">
        <v>795</v>
      </c>
      <c r="F25" s="5">
        <f>SUMIFS(CaseCells!G2:G999,CaseCells!C2:C999, C25,CaseCells!E2:E999, D25)</f>
        <v>2104</v>
      </c>
      <c r="G25" s="5">
        <f>SUMIFS(CaseCells!F2:F999,CaseCells!C2:C999, C25,CaseCells!E2:E999, D25)</f>
        <v>0</v>
      </c>
      <c r="H25" s="3">
        <f>IF(F25 = 0, "", G25 / F25)</f>
        <v>0</v>
      </c>
      <c r="I25" s="5">
        <f>SUMIFS(CaseCells!G2:G999,CaseCells!C2:C999, C25,CaseCells!E2:E999, E25)</f>
        <v>2052</v>
      </c>
      <c r="J25" s="5">
        <f>SUMIFS(CaseCells!F2:F999,CaseCells!C2:C999, C25,CaseCells!E2:E999, E25)</f>
        <v>6</v>
      </c>
      <c r="K25" s="3">
        <f>IF(I25 = 0, "", J25 / I25)</f>
        <v>0.0029239766081871343</v>
      </c>
      <c r="L25" s="3" t="str">
        <f>IF(OR(H25 = "", K25 = ""), "", IF(ABS(H25 - K25) &lt; 0.0000001, "tie", IF(H25 &gt; K25, D25, E25)))</f>
        <v>B</v>
      </c>
      <c r="M25" s="5">
        <f>COUNTIFS(StratumSummaries!C2:C999, C25,StratumSummaries!E2:E999, D25)</f>
        <v>2</v>
      </c>
      <c r="N25" s="5">
        <f>COUNTIFS(StratumSummaries!C2:C999, C25,StratumSummaries!E2:E999, D25,StratumSummaries!O2:O999, D25)</f>
        <v>0</v>
      </c>
      <c r="O25" s="5">
        <f>COUNTIFS(StratumSummaries!C2:C999, C25,StratumSummaries!E2:E999, D25,StratumSummaries!O2:O999, E25)</f>
        <v>2</v>
      </c>
      <c r="P25" s="3" t="str">
        <f>IF(N25 = M25, D25, IF(O25 = M25, E25, "none"))</f>
        <v>B</v>
      </c>
      <c r="Q25" s="3" t="b">
        <f>IF(AC25 = "", "", AC25)</f>
        <v>0</v>
      </c>
      <c r="R25" s="5">
        <f>COUNTIFS(StratumVariables!C2:C999, C25,StratumVariables!H2:H999, TRUE())</f>
        <v>1</v>
      </c>
      <c r="S25" s="3" t="b">
        <f>AND(Q25, R25 &gt; 0)</f>
        <v>0</v>
      </c>
      <c r="T25" s="3">
        <f>IF(H25 = "", "", ABS(H25 - K25))</f>
        <v>0.0029239766081871343</v>
      </c>
      <c r="U25" s="5">
        <f>IF(L25 = D25, O25, N25)</f>
        <v>0</v>
      </c>
      <c r="V25" s="3">
        <f>IF(M25 = 0, "", T25 * (U25 / M25))</f>
        <v>0</v>
      </c>
      <c r="W25" s="3">
        <f>SUMIFS(StratumSummaries!S2:S999,StratumSummaries!C2:C999, C25,StratumSummaries!E2:E999, D25)</f>
        <v>0</v>
      </c>
      <c r="X25" s="3">
        <f>SUMIFS(StratumSummaries!S2:S999,StratumSummaries!C2:C999, C25,StratumSummaries!E2:E999, E25)</f>
        <v>0.0028629756989677533</v>
      </c>
      <c r="Y25" s="3">
        <f>IF(M25 = 0, "", U25 / M25)</f>
        <v>0</v>
      </c>
      <c r="Z25" s="3">
        <f>IF(M25 = 0, "", Y25 - 0.5)</f>
        <v>-0.5</v>
      </c>
      <c r="AA25" s="3">
        <f>IF(H25 = "", "", H25 - K25)</f>
        <v>-0.0029239766081871343</v>
      </c>
      <c r="AB25" s="3">
        <f>SUMIFS(StratumSummaries!AB2:AB999,StratumSummaries!C2:C999, C25,StratumSummaries!E2:E999, D25)</f>
        <v>-0.0028629756989677533</v>
      </c>
      <c r="AC25" s="3" t="b">
        <f>IF(AB25 = "", "", IF(AB25 &gt; 0, AA25 &lt; 0, AA25 &gt; 0))</f>
        <v>0</v>
      </c>
      <c r="AD25" s="3">
        <f>IF(AB25 = "", "", ABS(AB25 - AA25))</f>
        <v>6.1000909219381064E-05</v>
      </c>
      <c r="AE25" s="3" t="str">
        <f>IF(AD25 = "", "", IF(AC25, IF(AND(AB25 &lt;&gt; 0, AA25 / AB25 &lt; -1), "B", IF(AND(AB25 &lt;&gt; 0, AA25 / AB25 &lt; 0), "A", IF(Y25 = 1, "A", "B"))), IF(AND(NOT(AC25), AD25 &gt; 0.01, ABS(AA25) &gt; ABS(AG25) + 0.001), "C+", IF(AND(NOT(AC25), AD25 &gt; 0.01, ABS(AA25) &lt; ABS(AG25) - 0.001), "C-", "D"))))</f>
        <v>D</v>
      </c>
      <c r="AF25" s="3" t="str">
        <f>IF(AE25 = "", "", IF(AE25 = "A", "stratify-immediately", IF(AE25 = "B", "investigate-confounder", IF(OR(AE25 = "C+", AE25 = "C-"), "check-allocation-bias", "pooled-analysis-trustworthy"))))</f>
        <v>pooled-analysis-trustworthy</v>
      </c>
      <c r="AG25" s="3">
        <f>AB25</f>
        <v>-0.0028629756989677533</v>
      </c>
      <c r="AH25" s="3" t="str">
        <f>IF(AG25 = "", "", IF(ABS(AG25) &lt; 0.0001, "tie", IF(AG25 &gt; 0, D25, IF(AG25 &lt; 0, E25, "tie"))))</f>
        <v>B</v>
      </c>
      <c r="AI25" s="3" t="b">
        <f>IF(AH25 = "", "", AH25 = L25)</f>
        <v>1</v>
      </c>
      <c r="AJ25" s="3" t="str">
        <f>IF(AE25 = "", "", IF(AE25 = "A", "use-corrected-winner", IF(AE25 = "B", "use-corrected-winner-with-caution", IF(OR(AE25 = "C+", AE25 = "C-"), "check-allocation-bias", "pooled-analysis-trustworthy"))))</f>
        <v>pooled-analysis-trustworthy</v>
      </c>
      <c r="AK25" s="3" t="str">
        <f>IF(AG25 = "", "", IF(AC25, "reversal", IF(ABS(AA25) &gt; ABS(AG25) + 0.001, "amplification", IF(ABS(AA25) &lt; ABS(AG25) - 0.001, "compression", "neutral"))))</f>
        <v>neutral</v>
      </c>
      <c r="AL25" s="3">
        <f>IF(AG25 = "", "", IF(ABS(AG25) + AD25 = 0, 1, ABS(AG25) / (ABS(AG25) + AD25)))</f>
        <v>0.9791376890469716</v>
      </c>
      <c r="AM25" s="3" t="e">
        <f>LOOKUP(C25, SweepStudySummary[SweepStudyId], SweepStudySummary[PooledGapCrossesZero])</f>
        <v>#VALUE!</v>
      </c>
      <c r="AN25" s="3" t="e">
        <f>LOOKUP(C25, SweepStudySummary[SweepStudyId], SweepStudySummary[SweepPooledGapRange])</f>
        <v>#VALUE!</v>
      </c>
      <c r="AO25" s="3" t="e">
        <f>IF(AE25 = "", "", AND(AE25 = "D", AM25 = TRUE))</f>
        <v>#VALUE!</v>
      </c>
      <c r="AP25" s="3" t="e">
        <f>IF(OR(AN25 = "", T25 = "", T25 = 0), "", AN25 / ABS(T25))</f>
        <v>#VALUE!</v>
      </c>
      <c r="AQ25" s="3" t="e">
        <f>LOOKUP(C25, Studies[StudyId], Studies[Domain])</f>
        <v>#VALUE!</v>
      </c>
      <c r="AR25" s="5">
        <f>COUNTIFS(StratumVariables!C2:C999, C25,StratumVariables!E2:E999, "confounder")</f>
        <v>1</v>
      </c>
      <c r="AS25" s="5">
        <f>COUNTIFS(StratumVariables!C2:C999, C25,StratumVariables!J2:J999, "mediator") + COUNTIFS(StratumVariables!C2:C999, C25,StratumVariables!J2:J999, "collider")</f>
        <v>0</v>
      </c>
      <c r="AT25" s="5">
        <f>COUNTIFS(StratumVariables!C2:C999, C25,StratumVariables!E2:E999, "contested")</f>
        <v>0</v>
      </c>
      <c r="AU25" s="5">
        <f>COUNTIFS(StratumVariables!C2:C999, C25,StratumVariables!E2:E999, "unknown")</f>
        <v>0</v>
      </c>
      <c r="AV25" s="3" t="str">
        <f>IF(AT25 &gt; 0, "contested", IF(AU25 &gt; 0, "geometric-only", IF(AR25 &gt; 0, "established", "geometric-only")))</f>
        <v>established</v>
      </c>
      <c r="AW25" s="3" t="b">
        <f>AND(AS25 = 0, AV25 = "established")</f>
        <v>1</v>
      </c>
      <c r="AX25" s="2" t="s">
        <v>2654</v>
      </c>
    </row>
    <row r="26">
      <c r="A26" s="2" t="s">
        <v>2662</v>
      </c>
      <c r="B26" s="3" t="str">
        <f>A26</f>
        <v>steroid-asthma-severity-A-vs-B</v>
      </c>
      <c r="C26" s="2" t="s">
        <v>515</v>
      </c>
      <c r="D26" s="2" t="s">
        <v>792</v>
      </c>
      <c r="E26" s="2" t="s">
        <v>795</v>
      </c>
      <c r="F26" s="5">
        <f>SUMIFS(CaseCells!G2:G999,CaseCells!C2:C999, C26,CaseCells!E2:E999, D26)</f>
        <v>320</v>
      </c>
      <c r="G26" s="5">
        <f>SUMIFS(CaseCells!F2:F999,CaseCells!C2:C999, C26,CaseCells!E2:E999, D26)</f>
        <v>240</v>
      </c>
      <c r="H26" s="3">
        <f>IF(F26 = 0, "", G26 / F26)</f>
        <v>0.75</v>
      </c>
      <c r="I26" s="5">
        <f>SUMIFS(CaseCells!G2:G999,CaseCells!C2:C999, C26,CaseCells!E2:E999, E26)</f>
        <v>330</v>
      </c>
      <c r="J26" s="5">
        <f>SUMIFS(CaseCells!F2:F999,CaseCells!C2:C999, C26,CaseCells!E2:E999, E26)</f>
        <v>240</v>
      </c>
      <c r="K26" s="3">
        <f>IF(I26 = 0, "", J26 / I26)</f>
        <v>0.7272727272727273</v>
      </c>
      <c r="L26" s="3" t="str">
        <f>IF(OR(H26 = "", K26 = ""), "", IF(ABS(H26 - K26) &lt; 0.0000001, "tie", IF(H26 &gt; K26, D26, E26)))</f>
        <v>A</v>
      </c>
      <c r="M26" s="5">
        <f>COUNTIFS(StratumSummaries!C2:C999, C26,StratumSummaries!E2:E999, D26)</f>
        <v>2</v>
      </c>
      <c r="N26" s="5">
        <f>COUNTIFS(StratumSummaries!C2:C999, C26,StratumSummaries!E2:E999, D26,StratumSummaries!O2:O999, D26)</f>
        <v>1</v>
      </c>
      <c r="O26" s="5">
        <f>COUNTIFS(StratumSummaries!C2:C999, C26,StratumSummaries!E2:E999, D26,StratumSummaries!O2:O999, E26)</f>
        <v>1</v>
      </c>
      <c r="P26" s="3" t="str">
        <f>IF(N26 = M26, D26, IF(O26 = M26, E26, "none"))</f>
        <v>none</v>
      </c>
      <c r="Q26" s="3" t="b">
        <f>IF(AC26 = "", "", AC26)</f>
        <v>1</v>
      </c>
      <c r="R26" s="5">
        <f>COUNTIFS(StratumVariables!C2:C999, C26,StratumVariables!H2:H999, TRUE())</f>
        <v>1</v>
      </c>
      <c r="S26" s="3" t="b">
        <f>AND(Q26, R26 &gt; 0)</f>
        <v>1</v>
      </c>
      <c r="T26" s="3">
        <f>IF(H26 = "", "", ABS(H26 - K26))</f>
        <v>0.022727272727272707</v>
      </c>
      <c r="U26" s="5">
        <f>IF(L26 = D26, O26, N26)</f>
        <v>1</v>
      </c>
      <c r="V26" s="3">
        <f>IF(M26 = 0, "", T26 * (U26 / M26))</f>
        <v>0.011363636363636354</v>
      </c>
      <c r="W26" s="3">
        <f>SUMIFS(StratumSummaries!S2:S999,StratumSummaries!C2:C999, C26,StratumSummaries!E2:E999, D26)</f>
        <v>0.7338461538461539</v>
      </c>
      <c r="X26" s="3">
        <f>SUMIFS(StratumSummaries!S2:S999,StratumSummaries!C2:C999, C26,StratumSummaries!E2:E999, E26)</f>
        <v>0.7364102564102565</v>
      </c>
      <c r="Y26" s="3">
        <f>IF(M26 = 0, "", U26 / M26)</f>
        <v>0.5</v>
      </c>
      <c r="Z26" s="3">
        <f>IF(M26 = 0, "", Y26 - 0.5)</f>
        <v>0</v>
      </c>
      <c r="AA26" s="3">
        <f>IF(H26 = "", "", H26 - K26)</f>
        <v>0.022727272727272707</v>
      </c>
      <c r="AB26" s="3">
        <f>SUMIFS(StratumSummaries!AB2:AB999,StratumSummaries!C2:C999, C26,StratumSummaries!E2:E999, D26)</f>
        <v>-0.002564102564102562</v>
      </c>
      <c r="AC26" s="3" t="b">
        <f>IF(AB26 = "", "", IF(AB26 &gt; 0, AA26 &lt; 0, AA26 &gt; 0))</f>
        <v>1</v>
      </c>
      <c r="AD26" s="3">
        <f>IF(AB26 = "", "", ABS(AB26 - AA26))</f>
        <v>0.02529137529137527</v>
      </c>
      <c r="AE26" s="3" t="str">
        <f>IF(AD26 = "", "", IF(AC26, IF(AND(AB26 &lt;&gt; 0, AA26 / AB26 &lt; -1), "B", IF(AND(AB26 &lt;&gt; 0, AA26 / AB26 &lt; 0), "A", IF(Y26 = 1, "A", "B"))), IF(AND(NOT(AC26), AD26 &gt; 0.01, ABS(AA26) &gt; ABS(AG26) + 0.001), "C+", IF(AND(NOT(AC26), AD26 &gt; 0.01, ABS(AA26) &lt; ABS(AG26) - 0.001), "C-", "D"))))</f>
        <v>B</v>
      </c>
      <c r="AF26" s="3" t="str">
        <f>IF(AE26 = "", "", IF(AE26 = "A", "stratify-immediately", IF(AE26 = "B", "investigate-confounder", IF(OR(AE26 = "C+", AE26 = "C-"), "check-allocation-bias", "pooled-analysis-trustworthy"))))</f>
        <v>investigate-confounder</v>
      </c>
      <c r="AG26" s="3">
        <f>AB26</f>
        <v>-0.002564102564102562</v>
      </c>
      <c r="AH26" s="3" t="str">
        <f>IF(AG26 = "", "", IF(ABS(AG26) &lt; 0.0001, "tie", IF(AG26 &gt; 0, D26, IF(AG26 &lt; 0, E26, "tie"))))</f>
        <v>B</v>
      </c>
      <c r="AI26" s="3" t="b">
        <f>IF(AH26 = "", "", AH26 = L26)</f>
        <v>0</v>
      </c>
      <c r="AJ26" s="3" t="str">
        <f>IF(AE26 = "", "", IF(AE26 = "A", "use-corrected-winner", IF(AE26 = "B", "use-corrected-winner-with-caution", IF(OR(AE26 = "C+", AE26 = "C-"), "check-allocation-bias", "pooled-analysis-trustworthy"))))</f>
        <v>use-corrected-winner-with-caution</v>
      </c>
      <c r="AK26" s="3" t="str">
        <f>IF(AG26 = "", "", IF(AC26, "reversal", IF(ABS(AA26) &gt; ABS(AG26) + 0.001, "amplification", IF(ABS(AA26) &lt; ABS(AG26) - 0.001, "compression", "neutral"))))</f>
        <v>reversal</v>
      </c>
      <c r="AL26" s="3">
        <f>IF(AG26 = "", "", IF(ABS(AG26) + AD26 = 0, 1, ABS(AG26) / (ABS(AG26) + AD26)))</f>
        <v>0.09205020920502092</v>
      </c>
      <c r="AM26" s="3" t="e">
        <f>LOOKUP(C26, SweepStudySummary[SweepStudyId], SweepStudySummary[PooledGapCrossesZero])</f>
        <v>#VALUE!</v>
      </c>
      <c r="AN26" s="3" t="e">
        <f>LOOKUP(C26, SweepStudySummary[SweepStudyId], SweepStudySummary[SweepPooledGapRange])</f>
        <v>#VALUE!</v>
      </c>
      <c r="AO26" s="3" t="e">
        <f>IF(AE26 = "", "", AND(AE26 = "D", AM26 = TRUE))</f>
        <v>#VALUE!</v>
      </c>
      <c r="AP26" s="3" t="e">
        <f>IF(OR(AN26 = "", T26 = "", T26 = 0), "", AN26 / ABS(T26))</f>
        <v>#VALUE!</v>
      </c>
      <c r="AQ26" s="3" t="e">
        <f>LOOKUP(C26, Studies[StudyId], Studies[Domain])</f>
        <v>#VALUE!</v>
      </c>
      <c r="AR26" s="5">
        <f>COUNTIFS(StratumVariables!C2:C999, C26,StratumVariables!E2:E999, "confounder")</f>
        <v>1</v>
      </c>
      <c r="AS26" s="5">
        <f>COUNTIFS(StratumVariables!C2:C999, C26,StratumVariables!J2:J999, "mediator") + COUNTIFS(StratumVariables!C2:C999, C26,StratumVariables!J2:J999, "collider")</f>
        <v>0</v>
      </c>
      <c r="AT26" s="5">
        <f>COUNTIFS(StratumVariables!C2:C999, C26,StratumVariables!E2:E999, "contested")</f>
        <v>0</v>
      </c>
      <c r="AU26" s="5">
        <f>COUNTIFS(StratumVariables!C2:C999, C26,StratumVariables!E2:E999, "unknown")</f>
        <v>0</v>
      </c>
      <c r="AV26" s="3" t="str">
        <f>IF(AT26 &gt; 0, "contested", IF(AU26 &gt; 0, "geometric-only", IF(AR26 &gt; 0, "established", "geometric-only")))</f>
        <v>established</v>
      </c>
      <c r="AW26" s="3" t="b">
        <f>AND(AS26 = 0, AV26 = "established")</f>
        <v>1</v>
      </c>
      <c r="AX26" s="2" t="s">
        <v>2654</v>
      </c>
    </row>
    <row r="27">
      <c r="A27" s="2" t="s">
        <v>2663</v>
      </c>
      <c r="B27" s="3" t="str">
        <f>A27</f>
        <v>kidney-dialysis-facility-1990-A-vs-B</v>
      </c>
      <c r="C27" s="2" t="s">
        <v>518</v>
      </c>
      <c r="D27" s="2" t="s">
        <v>792</v>
      </c>
      <c r="E27" s="2" t="s">
        <v>795</v>
      </c>
      <c r="F27" s="5">
        <f>SUMIFS(CaseCells!G2:G999,CaseCells!C2:C999, C27,CaseCells!E2:E999, D27)</f>
        <v>200</v>
      </c>
      <c r="G27" s="5">
        <f>SUMIFS(CaseCells!F2:F999,CaseCells!C2:C999, C27,CaseCells!E2:E999, D27)</f>
        <v>177</v>
      </c>
      <c r="H27" s="3">
        <f>IF(F27 = 0, "", G27 / F27)</f>
        <v>0.885</v>
      </c>
      <c r="I27" s="5">
        <f>SUMIFS(CaseCells!G2:G999,CaseCells!C2:C999, C27,CaseCells!E2:E999, E27)</f>
        <v>200</v>
      </c>
      <c r="J27" s="5">
        <f>SUMIFS(CaseCells!F2:F999,CaseCells!C2:C999, C27,CaseCells!E2:E999, E27)</f>
        <v>158</v>
      </c>
      <c r="K27" s="3">
        <f>IF(I27 = 0, "", J27 / I27)</f>
        <v>0.79</v>
      </c>
      <c r="L27" s="3" t="str">
        <f>IF(OR(H27 = "", K27 = ""), "", IF(ABS(H27 - K27) &lt; 0.0000001, "tie", IF(H27 &gt; K27, D27, E27)))</f>
        <v>A</v>
      </c>
      <c r="M27" s="5">
        <f>COUNTIFS(StratumSummaries!C2:C999, C27,StratumSummaries!E2:E999, D27)</f>
        <v>2</v>
      </c>
      <c r="N27" s="5">
        <f>COUNTIFS(StratumSummaries!C2:C999, C27,StratumSummaries!E2:E999, D27,StratumSummaries!O2:O999, D27)</f>
        <v>2</v>
      </c>
      <c r="O27" s="5">
        <f>COUNTIFS(StratumSummaries!C2:C999, C27,StratumSummaries!E2:E999, D27,StratumSummaries!O2:O999, E27)</f>
        <v>0</v>
      </c>
      <c r="P27" s="3" t="str">
        <f>IF(N27 = M27, D27, IF(O27 = M27, E27, "none"))</f>
        <v>A</v>
      </c>
      <c r="Q27" s="3" t="b">
        <f>IF(AC27 = "", "", AC27)</f>
        <v>0</v>
      </c>
      <c r="R27" s="5">
        <f>COUNTIFS(StratumVariables!C2:C999, C27,StratumVariables!H2:H999, TRUE())</f>
        <v>1</v>
      </c>
      <c r="S27" s="3" t="b">
        <f>AND(Q27, R27 &gt; 0)</f>
        <v>0</v>
      </c>
      <c r="T27" s="3">
        <f>IF(H27 = "", "", ABS(H27 - K27))</f>
        <v>0.09499999999999997</v>
      </c>
      <c r="U27" s="5">
        <f>IF(L27 = D27, O27, N27)</f>
        <v>0</v>
      </c>
      <c r="V27" s="3">
        <f>IF(M27 = 0, "", T27 * (U27 / M27))</f>
        <v>0</v>
      </c>
      <c r="W27" s="3">
        <f>SUMIFS(StratumSummaries!S2:S999,StratumSummaries!C2:C999, C27,StratumSummaries!E2:E999, D27)</f>
        <v>0.885</v>
      </c>
      <c r="X27" s="3">
        <f>SUMIFS(StratumSummaries!S2:S999,StratumSummaries!C2:C999, C27,StratumSummaries!E2:E999, E27)</f>
        <v>0.79</v>
      </c>
      <c r="Y27" s="3">
        <f>IF(M27 = 0, "", U27 / M27)</f>
        <v>0</v>
      </c>
      <c r="Z27" s="3">
        <f>IF(M27 = 0, "", Y27 - 0.5)</f>
        <v>-0.5</v>
      </c>
      <c r="AA27" s="3">
        <f>IF(H27 = "", "", H27 - K27)</f>
        <v>0.09499999999999997</v>
      </c>
      <c r="AB27" s="3">
        <f>SUMIFS(StratumSummaries!AB2:AB999,StratumSummaries!C2:C999, C27,StratumSummaries!E2:E999, D27)</f>
        <v>0.09500000000000003</v>
      </c>
      <c r="AC27" s="3" t="b">
        <f>IF(AB27 = "", "", IF(AB27 &gt; 0, AA27 &lt; 0, AA27 &gt; 0))</f>
        <v>0</v>
      </c>
      <c r="AD27" s="3">
        <f>IF(AB27 = "", "", ABS(AB27 - AA27))</f>
        <v>5.551115123125783E-17</v>
      </c>
      <c r="AE27" s="3" t="str">
        <f>IF(AD27 = "", "", IF(AC27, IF(AND(AB27 &lt;&gt; 0, AA27 / AB27 &lt; -1), "B", IF(AND(AB27 &lt;&gt; 0, AA27 / AB27 &lt; 0), "A", IF(Y27 = 1, "A", "B"))), IF(AND(NOT(AC27), AD27 &gt; 0.01, ABS(AA27) &gt; ABS(AG27) + 0.001), "C+", IF(AND(NOT(AC27), AD27 &gt; 0.01, ABS(AA27) &lt; ABS(AG27) - 0.001), "C-", "D"))))</f>
        <v>D</v>
      </c>
      <c r="AF27" s="3" t="str">
        <f>IF(AE27 = "", "", IF(AE27 = "A", "stratify-immediately", IF(AE27 = "B", "investigate-confounder", IF(OR(AE27 = "C+", AE27 = "C-"), "check-allocation-bias", "pooled-analysis-trustworthy"))))</f>
        <v>pooled-analysis-trustworthy</v>
      </c>
      <c r="AG27" s="3">
        <f>AB27</f>
        <v>0.09500000000000003</v>
      </c>
      <c r="AH27" s="3" t="str">
        <f>IF(AG27 = "", "", IF(ABS(AG27) &lt; 0.0001, "tie", IF(AG27 &gt; 0, D27, IF(AG27 &lt; 0, E27, "tie"))))</f>
        <v>A</v>
      </c>
      <c r="AI27" s="3" t="b">
        <f>IF(AH27 = "", "", AH27 = L27)</f>
        <v>1</v>
      </c>
      <c r="AJ27" s="3" t="str">
        <f>IF(AE27 = "", "", IF(AE27 = "A", "use-corrected-winner", IF(AE27 = "B", "use-corrected-winner-with-caution", IF(OR(AE27 = "C+", AE27 = "C-"), "check-allocation-bias", "pooled-analysis-trustworthy"))))</f>
        <v>pooled-analysis-trustworthy</v>
      </c>
      <c r="AK27" s="3" t="str">
        <f>IF(AG27 = "", "", IF(AC27, "reversal", IF(ABS(AA27) &gt; ABS(AG27) + 0.001, "amplification", IF(ABS(AA27) &lt; ABS(AG27) - 0.001, "compression", "neutral"))))</f>
        <v>neutral</v>
      </c>
      <c r="AL27" s="3">
        <f>IF(AG27 = "", "", IF(ABS(AG27) + AD27 = 0, 1, ABS(AG27) / (ABS(AG27) + AD27)))</f>
        <v>0.9999999999999994</v>
      </c>
      <c r="AM27" s="3" t="e">
        <f>LOOKUP(C27, SweepStudySummary[SweepStudyId], SweepStudySummary[PooledGapCrossesZero])</f>
        <v>#VALUE!</v>
      </c>
      <c r="AN27" s="3" t="e">
        <f>LOOKUP(C27, SweepStudySummary[SweepStudyId], SweepStudySummary[SweepPooledGapRange])</f>
        <v>#VALUE!</v>
      </c>
      <c r="AO27" s="3" t="e">
        <f>IF(AE27 = "", "", AND(AE27 = "D", AM27 = TRUE))</f>
        <v>#VALUE!</v>
      </c>
      <c r="AP27" s="3" t="e">
        <f>IF(OR(AN27 = "", T27 = "", T27 = 0), "", AN27 / ABS(T27))</f>
        <v>#VALUE!</v>
      </c>
      <c r="AQ27" s="3" t="e">
        <f>LOOKUP(C27, Studies[StudyId], Studies[Domain])</f>
        <v>#VALUE!</v>
      </c>
      <c r="AR27" s="5">
        <f>COUNTIFS(StratumVariables!C2:C999, C27,StratumVariables!E2:E999, "confounder")</f>
        <v>1</v>
      </c>
      <c r="AS27" s="5">
        <f>COUNTIFS(StratumVariables!C2:C999, C27,StratumVariables!J2:J999, "mediator") + COUNTIFS(StratumVariables!C2:C999, C27,StratumVariables!J2:J999, "collider")</f>
        <v>0</v>
      </c>
      <c r="AT27" s="5">
        <f>COUNTIFS(StratumVariables!C2:C999, C27,StratumVariables!E2:E999, "contested")</f>
        <v>0</v>
      </c>
      <c r="AU27" s="5">
        <f>COUNTIFS(StratumVariables!C2:C999, C27,StratumVariables!E2:E999, "unknown")</f>
        <v>0</v>
      </c>
      <c r="AV27" s="3" t="str">
        <f>IF(AT27 &gt; 0, "contested", IF(AU27 &gt; 0, "geometric-only", IF(AR27 &gt; 0, "established", "geometric-only")))</f>
        <v>established</v>
      </c>
      <c r="AW27" s="3" t="b">
        <f>AND(AS27 = 0, AV27 = "established")</f>
        <v>1</v>
      </c>
      <c r="AX27" s="2" t="s">
        <v>2654</v>
      </c>
    </row>
    <row r="28">
      <c r="A28" s="2" t="s">
        <v>2664</v>
      </c>
      <c r="B28" s="3" t="str">
        <f>A28</f>
        <v>warfarin-bleeding-age-A-vs-B</v>
      </c>
      <c r="C28" s="2" t="s">
        <v>521</v>
      </c>
      <c r="D28" s="2" t="s">
        <v>792</v>
      </c>
      <c r="E28" s="2" t="s">
        <v>795</v>
      </c>
      <c r="F28" s="5">
        <f>SUMIFS(CaseCells!G2:G999,CaseCells!C2:C999, C28,CaseCells!E2:E999, D28)</f>
        <v>800</v>
      </c>
      <c r="G28" s="5">
        <f>SUMIFS(CaseCells!F2:F999,CaseCells!C2:C999, C28,CaseCells!E2:E999, D28)</f>
        <v>70</v>
      </c>
      <c r="H28" s="3">
        <f>IF(F28 = 0, "", G28 / F28)</f>
        <v>0.0875</v>
      </c>
      <c r="I28" s="5">
        <f>SUMIFS(CaseCells!G2:G999,CaseCells!C2:C999, C28,CaseCells!E2:E999, E28)</f>
        <v>600</v>
      </c>
      <c r="J28" s="5">
        <f>SUMIFS(CaseCells!F2:F999,CaseCells!C2:C999, C28,CaseCells!E2:E999, E28)</f>
        <v>35</v>
      </c>
      <c r="K28" s="3">
        <f>IF(I28 = 0, "", J28 / I28)</f>
        <v>0.058333333333333334</v>
      </c>
      <c r="L28" s="3" t="str">
        <f>IF(OR(H28 = "", K28 = ""), "", IF(ABS(H28 - K28) &lt; 0.0000001, "tie", IF(H28 &gt; K28, D28, E28)))</f>
        <v>A</v>
      </c>
      <c r="M28" s="5">
        <f>COUNTIFS(StratumSummaries!C2:C999, C28,StratumSummaries!E2:E999, D28)</f>
        <v>2</v>
      </c>
      <c r="N28" s="5">
        <f>COUNTIFS(StratumSummaries!C2:C999, C28,StratumSummaries!E2:E999, D28,StratumSummaries!O2:O999, D28)</f>
        <v>2</v>
      </c>
      <c r="O28" s="5">
        <f>COUNTIFS(StratumSummaries!C2:C999, C28,StratumSummaries!E2:E999, D28,StratumSummaries!O2:O999, E28)</f>
        <v>0</v>
      </c>
      <c r="P28" s="3" t="str">
        <f>IF(N28 = M28, D28, IF(O28 = M28, E28, "none"))</f>
        <v>A</v>
      </c>
      <c r="Q28" s="3" t="b">
        <f>IF(AC28 = "", "", AC28)</f>
        <v>0</v>
      </c>
      <c r="R28" s="5">
        <f>COUNTIFS(StratumVariables!C2:C999, C28,StratumVariables!H2:H999, TRUE())</f>
        <v>1</v>
      </c>
      <c r="S28" s="3" t="b">
        <f>AND(Q28, R28 &gt; 0)</f>
        <v>0</v>
      </c>
      <c r="T28" s="3">
        <f>IF(H28 = "", "", ABS(H28 - K28))</f>
        <v>0.02916666666666666</v>
      </c>
      <c r="U28" s="5">
        <f>IF(L28 = D28, O28, N28)</f>
        <v>0</v>
      </c>
      <c r="V28" s="3">
        <f>IF(M28 = 0, "", T28 * (U28 / M28))</f>
        <v>0</v>
      </c>
      <c r="W28" s="3">
        <f>SUMIFS(StratumSummaries!S2:S999,StratumSummaries!C2:C999, C28,StratumSummaries!E2:E999, D28)</f>
        <v>0.08571428571428572</v>
      </c>
      <c r="X28" s="3">
        <f>SUMIFS(StratumSummaries!S2:S999,StratumSummaries!C2:C999, C28,StratumSummaries!E2:E999, E28)</f>
        <v>0.05982142857142858</v>
      </c>
      <c r="Y28" s="3">
        <f>IF(M28 = 0, "", U28 / M28)</f>
        <v>0</v>
      </c>
      <c r="Z28" s="3">
        <f>IF(M28 = 0, "", Y28 - 0.5)</f>
        <v>-0.5</v>
      </c>
      <c r="AA28" s="3">
        <f>IF(H28 = "", "", H28 - K28)</f>
        <v>0.02916666666666666</v>
      </c>
      <c r="AB28" s="3">
        <f>SUMIFS(StratumSummaries!AB2:AB999,StratumSummaries!C2:C999, C28,StratumSummaries!E2:E999, D28)</f>
        <v>0.02589285714285714</v>
      </c>
      <c r="AC28" s="3" t="b">
        <f>IF(AB28 = "", "", IF(AB28 &gt; 0, AA28 &lt; 0, AA28 &gt; 0))</f>
        <v>0</v>
      </c>
      <c r="AD28" s="3">
        <f>IF(AB28 = "", "", ABS(AB28 - AA28))</f>
        <v>0.003273809523809519</v>
      </c>
      <c r="AE28" s="3" t="str">
        <f>IF(AD28 = "", "", IF(AC28, IF(AND(AB28 &lt;&gt; 0, AA28 / AB28 &lt; -1), "B", IF(AND(AB28 &lt;&gt; 0, AA28 / AB28 &lt; 0), "A", IF(Y28 = 1, "A", "B"))), IF(AND(NOT(AC28), AD28 &gt; 0.01, ABS(AA28) &gt; ABS(AG28) + 0.001), "C+", IF(AND(NOT(AC28), AD28 &gt; 0.01, ABS(AA28) &lt; ABS(AG28) - 0.001), "C-", "D"))))</f>
        <v>D</v>
      </c>
      <c r="AF28" s="3" t="str">
        <f>IF(AE28 = "", "", IF(AE28 = "A", "stratify-immediately", IF(AE28 = "B", "investigate-confounder", IF(OR(AE28 = "C+", AE28 = "C-"), "check-allocation-bias", "pooled-analysis-trustworthy"))))</f>
        <v>pooled-analysis-trustworthy</v>
      </c>
      <c r="AG28" s="3">
        <f>AB28</f>
        <v>0.02589285714285714</v>
      </c>
      <c r="AH28" s="3" t="str">
        <f>IF(AG28 = "", "", IF(ABS(AG28) &lt; 0.0001, "tie", IF(AG28 &gt; 0, D28, IF(AG28 &lt; 0, E28, "tie"))))</f>
        <v>A</v>
      </c>
      <c r="AI28" s="3" t="b">
        <f>IF(AH28 = "", "", AH28 = L28)</f>
        <v>1</v>
      </c>
      <c r="AJ28" s="3" t="str">
        <f>IF(AE28 = "", "", IF(AE28 = "A", "use-corrected-winner", IF(AE28 = "B", "use-corrected-winner-with-caution", IF(OR(AE28 = "C+", AE28 = "C-"), "check-allocation-bias", "pooled-analysis-trustworthy"))))</f>
        <v>pooled-analysis-trustworthy</v>
      </c>
      <c r="AK28" s="3" t="str">
        <f>IF(AG28 = "", "", IF(AC28, "reversal", IF(ABS(AA28) &gt; ABS(AG28) + 0.001, "amplification", IF(ABS(AA28) &lt; ABS(AG28) - 0.001, "compression", "neutral"))))</f>
        <v>amplification</v>
      </c>
      <c r="AL28" s="3">
        <f>IF(AG28 = "", "", IF(ABS(AG28) + AD28 = 0, 1, ABS(AG28) / (ABS(AG28) + AD28)))</f>
        <v>0.8877551020408164</v>
      </c>
      <c r="AM28" s="3" t="e">
        <f>LOOKUP(C28, SweepStudySummary[SweepStudyId], SweepStudySummary[PooledGapCrossesZero])</f>
        <v>#VALUE!</v>
      </c>
      <c r="AN28" s="3" t="e">
        <f>LOOKUP(C28, SweepStudySummary[SweepStudyId], SweepStudySummary[SweepPooledGapRange])</f>
        <v>#VALUE!</v>
      </c>
      <c r="AO28" s="3" t="e">
        <f>IF(AE28 = "", "", AND(AE28 = "D", AM28 = TRUE))</f>
        <v>#VALUE!</v>
      </c>
      <c r="AP28" s="3" t="e">
        <f>IF(OR(AN28 = "", T28 = "", T28 = 0), "", AN28 / ABS(T28))</f>
        <v>#VALUE!</v>
      </c>
      <c r="AQ28" s="3" t="e">
        <f>LOOKUP(C28, Studies[StudyId], Studies[Domain])</f>
        <v>#VALUE!</v>
      </c>
      <c r="AR28" s="5">
        <f>COUNTIFS(StratumVariables!C2:C999, C28,StratumVariables!E2:E999, "confounder")</f>
        <v>1</v>
      </c>
      <c r="AS28" s="5">
        <f>COUNTIFS(StratumVariables!C2:C999, C28,StratumVariables!J2:J999, "mediator") + COUNTIFS(StratumVariables!C2:C999, C28,StratumVariables!J2:J999, "collider")</f>
        <v>0</v>
      </c>
      <c r="AT28" s="5">
        <f>COUNTIFS(StratumVariables!C2:C999, C28,StratumVariables!E2:E999, "contested")</f>
        <v>0</v>
      </c>
      <c r="AU28" s="5">
        <f>COUNTIFS(StratumVariables!C2:C999, C28,StratumVariables!E2:E999, "unknown")</f>
        <v>0</v>
      </c>
      <c r="AV28" s="3" t="str">
        <f>IF(AT28 &gt; 0, "contested", IF(AU28 &gt; 0, "geometric-only", IF(AR28 &gt; 0, "established", "geometric-only")))</f>
        <v>established</v>
      </c>
      <c r="AW28" s="3" t="b">
        <f>AND(AS28 = 0, AV28 = "established")</f>
        <v>1</v>
      </c>
      <c r="AX28" s="2" t="s">
        <v>2654</v>
      </c>
    </row>
    <row r="29">
      <c r="A29" s="2" t="s">
        <v>2665</v>
      </c>
      <c r="B29" s="3" t="str">
        <f>A29</f>
        <v>diabetes-metformin-bmi-A-vs-B</v>
      </c>
      <c r="C29" s="2" t="s">
        <v>524</v>
      </c>
      <c r="D29" s="2" t="s">
        <v>792</v>
      </c>
      <c r="E29" s="2" t="s">
        <v>795</v>
      </c>
      <c r="F29" s="5">
        <f>SUMIFS(CaseCells!G2:G999,CaseCells!C2:C999, C29,CaseCells!E2:E999, D29)</f>
        <v>450</v>
      </c>
      <c r="G29" s="5">
        <f>SUMIFS(CaseCells!F2:F999,CaseCells!C2:C999, C29,CaseCells!E2:E999, D29)</f>
        <v>300</v>
      </c>
      <c r="H29" s="3">
        <f>IF(F29 = 0, "", G29 / F29)</f>
        <v>0.6666666666666666</v>
      </c>
      <c r="I29" s="5">
        <f>SUMIFS(CaseCells!G2:G999,CaseCells!C2:C999, C29,CaseCells!E2:E999, E29)</f>
        <v>450</v>
      </c>
      <c r="J29" s="5">
        <f>SUMIFS(CaseCells!F2:F999,CaseCells!C2:C999, C29,CaseCells!E2:E999, E29)</f>
        <v>270</v>
      </c>
      <c r="K29" s="3">
        <f>IF(I29 = 0, "", J29 / I29)</f>
        <v>0.6</v>
      </c>
      <c r="L29" s="3" t="str">
        <f>IF(OR(H29 = "", K29 = ""), "", IF(ABS(H29 - K29) &lt; 0.0000001, "tie", IF(H29 &gt; K29, D29, E29)))</f>
        <v>A</v>
      </c>
      <c r="M29" s="5">
        <f>COUNTIFS(StratumSummaries!C2:C999, C29,StratumSummaries!E2:E999, D29)</f>
        <v>2</v>
      </c>
      <c r="N29" s="5">
        <f>COUNTIFS(StratumSummaries!C2:C999, C29,StratumSummaries!E2:E999, D29,StratumSummaries!O2:O999, D29)</f>
        <v>1</v>
      </c>
      <c r="O29" s="5">
        <f>COUNTIFS(StratumSummaries!C2:C999, C29,StratumSummaries!E2:E999, D29,StratumSummaries!O2:O999, E29)</f>
        <v>1</v>
      </c>
      <c r="P29" s="3" t="str">
        <f>IF(N29 = M29, D29, IF(O29 = M29, E29, "none"))</f>
        <v>none</v>
      </c>
      <c r="Q29" s="3" t="b">
        <f>IF(AC29 = "", "", AC29)</f>
        <v>0</v>
      </c>
      <c r="R29" s="5">
        <f>COUNTIFS(StratumVariables!C2:C999, C29,StratumVariables!H2:H999, TRUE())</f>
        <v>1</v>
      </c>
      <c r="S29" s="3" t="b">
        <f>AND(Q29, R29 &gt; 0)</f>
        <v>0</v>
      </c>
      <c r="T29" s="3">
        <f>IF(H29 = "", "", ABS(H29 - K29))</f>
        <v>0.06666666666666665</v>
      </c>
      <c r="U29" s="5">
        <f>IF(L29 = D29, O29, N29)</f>
        <v>1</v>
      </c>
      <c r="V29" s="3">
        <f>IF(M29 = 0, "", T29 * (U29 / M29))</f>
        <v>0.033333333333333326</v>
      </c>
      <c r="W29" s="3">
        <f>SUMIFS(StratumSummaries!S2:S999,StratumSummaries!C2:C999, C29,StratumSummaries!E2:E999, D29)</f>
        <v>0.6666666666666667</v>
      </c>
      <c r="X29" s="3">
        <f>SUMIFS(StratumSummaries!S2:S999,StratumSummaries!C2:C999, C29,StratumSummaries!E2:E999, E29)</f>
        <v>0.6000000000000001</v>
      </c>
      <c r="Y29" s="3">
        <f>IF(M29 = 0, "", U29 / M29)</f>
        <v>0.5</v>
      </c>
      <c r="Z29" s="3">
        <f>IF(M29 = 0, "", Y29 - 0.5)</f>
        <v>0</v>
      </c>
      <c r="AA29" s="3">
        <f>IF(H29 = "", "", H29 - K29)</f>
        <v>0.06666666666666665</v>
      </c>
      <c r="AB29" s="3">
        <f>SUMIFS(StratumSummaries!AB2:AB999,StratumSummaries!C2:C999, C29,StratumSummaries!E2:E999, D29)</f>
        <v>0.06666666666666661</v>
      </c>
      <c r="AC29" s="3" t="b">
        <f>IF(AB29 = "", "", IF(AB29 &gt; 0, AA29 &lt; 0, AA29 &gt; 0))</f>
        <v>0</v>
      </c>
      <c r="AD29" s="3">
        <f>IF(AB29 = "", "", ABS(AB29 - AA29))</f>
        <v>4.163336342344337E-17</v>
      </c>
      <c r="AE29" s="3" t="str">
        <f>IF(AD29 = "", "", IF(AC29, IF(AND(AB29 &lt;&gt; 0, AA29 / AB29 &lt; -1), "B", IF(AND(AB29 &lt;&gt; 0, AA29 / AB29 &lt; 0), "A", IF(Y29 = 1, "A", "B"))), IF(AND(NOT(AC29), AD29 &gt; 0.01, ABS(AA29) &gt; ABS(AG29) + 0.001), "C+", IF(AND(NOT(AC29), AD29 &gt; 0.01, ABS(AA29) &lt; ABS(AG29) - 0.001), "C-", "D"))))</f>
        <v>D</v>
      </c>
      <c r="AF29" s="3" t="str">
        <f>IF(AE29 = "", "", IF(AE29 = "A", "stratify-immediately", IF(AE29 = "B", "investigate-confounder", IF(OR(AE29 = "C+", AE29 = "C-"), "check-allocation-bias", "pooled-analysis-trustworthy"))))</f>
        <v>pooled-analysis-trustworthy</v>
      </c>
      <c r="AG29" s="3">
        <f>AB29</f>
        <v>0.06666666666666661</v>
      </c>
      <c r="AH29" s="3" t="str">
        <f>IF(AG29 = "", "", IF(ABS(AG29) &lt; 0.0001, "tie", IF(AG29 &gt; 0, D29, IF(AG29 &lt; 0, E29, "tie"))))</f>
        <v>A</v>
      </c>
      <c r="AI29" s="3" t="b">
        <f>IF(AH29 = "", "", AH29 = L29)</f>
        <v>1</v>
      </c>
      <c r="AJ29" s="3" t="str">
        <f>IF(AE29 = "", "", IF(AE29 = "A", "use-corrected-winner", IF(AE29 = "B", "use-corrected-winner-with-caution", IF(OR(AE29 = "C+", AE29 = "C-"), "check-allocation-bias", "pooled-analysis-trustworthy"))))</f>
        <v>pooled-analysis-trustworthy</v>
      </c>
      <c r="AK29" s="3" t="str">
        <f>IF(AG29 = "", "", IF(AC29, "reversal", IF(ABS(AA29) &gt; ABS(AG29) + 0.001, "amplification", IF(ABS(AA29) &lt; ABS(AG29) - 0.001, "compression", "neutral"))))</f>
        <v>neutral</v>
      </c>
      <c r="AL29" s="3">
        <f>IF(AG29 = "", "", IF(ABS(AG29) + AD29 = 0, 1, ABS(AG29) / (ABS(AG29) + AD29)))</f>
        <v>0.9999999999999993</v>
      </c>
      <c r="AM29" s="3" t="e">
        <f>LOOKUP(C29, SweepStudySummary[SweepStudyId], SweepStudySummary[PooledGapCrossesZero])</f>
        <v>#VALUE!</v>
      </c>
      <c r="AN29" s="3" t="e">
        <f>LOOKUP(C29, SweepStudySummary[SweepStudyId], SweepStudySummary[SweepPooledGapRange])</f>
        <v>#VALUE!</v>
      </c>
      <c r="AO29" s="3" t="e">
        <f>IF(AE29 = "", "", AND(AE29 = "D", AM29 = TRUE))</f>
        <v>#VALUE!</v>
      </c>
      <c r="AP29" s="3" t="e">
        <f>IF(OR(AN29 = "", T29 = "", T29 = 0), "", AN29 / ABS(T29))</f>
        <v>#VALUE!</v>
      </c>
      <c r="AQ29" s="3" t="e">
        <f>LOOKUP(C29, Studies[StudyId], Studies[Domain])</f>
        <v>#VALUE!</v>
      </c>
      <c r="AR29" s="5">
        <f>COUNTIFS(StratumVariables!C2:C999, C29,StratumVariables!E2:E999, "confounder")</f>
        <v>1</v>
      </c>
      <c r="AS29" s="5">
        <f>COUNTIFS(StratumVariables!C2:C999, C29,StratumVariables!J2:J999, "mediator") + COUNTIFS(StratumVariables!C2:C999, C29,StratumVariables!J2:J999, "collider")</f>
        <v>0</v>
      </c>
      <c r="AT29" s="5">
        <f>COUNTIFS(StratumVariables!C2:C999, C29,StratumVariables!E2:E999, "contested")</f>
        <v>0</v>
      </c>
      <c r="AU29" s="5">
        <f>COUNTIFS(StratumVariables!C2:C999, C29,StratumVariables!E2:E999, "unknown")</f>
        <v>0</v>
      </c>
      <c r="AV29" s="3" t="str">
        <f>IF(AT29 &gt; 0, "contested", IF(AU29 &gt; 0, "geometric-only", IF(AR29 &gt; 0, "established", "geometric-only")))</f>
        <v>established</v>
      </c>
      <c r="AW29" s="3" t="b">
        <f>AND(AS29 = 0, AV29 = "established")</f>
        <v>1</v>
      </c>
      <c r="AX29" s="2" t="s">
        <v>2654</v>
      </c>
    </row>
    <row r="30">
      <c r="A30" s="2" t="s">
        <v>2666</v>
      </c>
      <c r="B30" s="3" t="str">
        <f>A30</f>
        <v>oncology-trial-stage-A-vs-B</v>
      </c>
      <c r="C30" s="2" t="s">
        <v>527</v>
      </c>
      <c r="D30" s="2" t="s">
        <v>792</v>
      </c>
      <c r="E30" s="2" t="s">
        <v>795</v>
      </c>
      <c r="F30" s="5">
        <f>SUMIFS(CaseCells!G2:G999,CaseCells!C2:C999, C30,CaseCells!E2:E999, D30)</f>
        <v>300</v>
      </c>
      <c r="G30" s="5">
        <f>SUMIFS(CaseCells!F2:F999,CaseCells!C2:C999, C30,CaseCells!E2:E999, D30)</f>
        <v>190</v>
      </c>
      <c r="H30" s="3">
        <f>IF(F30 = 0, "", G30 / F30)</f>
        <v>0.6333333333333333</v>
      </c>
      <c r="I30" s="5">
        <f>SUMIFS(CaseCells!G2:G999,CaseCells!C2:C999, C30,CaseCells!E2:E999, E30)</f>
        <v>300</v>
      </c>
      <c r="J30" s="5">
        <f>SUMIFS(CaseCells!F2:F999,CaseCells!C2:C999, C30,CaseCells!E2:E999, E30)</f>
        <v>190</v>
      </c>
      <c r="K30" s="3">
        <f>IF(I30 = 0, "", J30 / I30)</f>
        <v>0.6333333333333333</v>
      </c>
      <c r="L30" s="3" t="str">
        <f>IF(OR(H30 = "", K30 = ""), "", IF(ABS(H30 - K30) &lt; 0.0000001, "tie", IF(H30 &gt; K30, D30, E30)))</f>
        <v>tie</v>
      </c>
      <c r="M30" s="5">
        <f>COUNTIFS(StratumSummaries!C2:C999, C30,StratumSummaries!E2:E999, D30)</f>
        <v>2</v>
      </c>
      <c r="N30" s="5">
        <f>COUNTIFS(StratumSummaries!C2:C999, C30,StratumSummaries!E2:E999, D30,StratumSummaries!O2:O999, D30)</f>
        <v>1</v>
      </c>
      <c r="O30" s="5">
        <f>COUNTIFS(StratumSummaries!C2:C999, C30,StratumSummaries!E2:E999, D30,StratumSummaries!O2:O999, E30)</f>
        <v>1</v>
      </c>
      <c r="P30" s="3" t="str">
        <f>IF(N30 = M30, D30, IF(O30 = M30, E30, "none"))</f>
        <v>none</v>
      </c>
      <c r="Q30" s="3" t="b">
        <f>IF(AC30 = "", "", AC30)</f>
        <v>0</v>
      </c>
      <c r="R30" s="5">
        <f>COUNTIFS(StratumVariables!C2:C999, C30,StratumVariables!H2:H999, TRUE())</f>
        <v>1</v>
      </c>
      <c r="S30" s="3" t="b">
        <f>AND(Q30, R30 &gt; 0)</f>
        <v>0</v>
      </c>
      <c r="T30" s="3">
        <f>IF(H30 = "", "", ABS(H30 - K30))</f>
        <v>0</v>
      </c>
      <c r="U30" s="5">
        <f>IF(L30 = D30, O30, N30)</f>
        <v>1</v>
      </c>
      <c r="V30" s="3">
        <f>IF(M30 = 0, "", T30 * (U30 / M30))</f>
        <v>0</v>
      </c>
      <c r="W30" s="3">
        <f>SUMIFS(StratumSummaries!S2:S999,StratumSummaries!C2:C999, C30,StratumSummaries!E2:E999, D30)</f>
        <v>0.6333333333333333</v>
      </c>
      <c r="X30" s="3">
        <f>SUMIFS(StratumSummaries!S2:S999,StratumSummaries!C2:C999, C30,StratumSummaries!E2:E999, E30)</f>
        <v>0.6333333333333333</v>
      </c>
      <c r="Y30" s="3">
        <f>IF(M30 = 0, "", U30 / M30)</f>
        <v>0.5</v>
      </c>
      <c r="Z30" s="3">
        <f>IF(M30 = 0, "", Y30 - 0.5)</f>
        <v>0</v>
      </c>
      <c r="AA30" s="3">
        <f>IF(H30 = "", "", H30 - K30)</f>
        <v>0</v>
      </c>
      <c r="AB30" s="3">
        <f>SUMIFS(StratumSummaries!AB2:AB999,StratumSummaries!C2:C999, C30,StratumSummaries!E2:E999, D30)</f>
        <v>1.3877787807814457E-17</v>
      </c>
      <c r="AC30" s="3" t="b">
        <f>IF(AB30 = "", "", IF(AB30 &gt; 0, AA30 &lt; 0, AA30 &gt; 0))</f>
        <v>0</v>
      </c>
      <c r="AD30" s="3">
        <f>IF(AB30 = "", "", ABS(AB30 - AA30))</f>
        <v>1.3877787807814457E-17</v>
      </c>
      <c r="AE30" s="3" t="str">
        <f>IF(AD30 = "", "", IF(AC30, IF(AND(AB30 &lt;&gt; 0, AA30 / AB30 &lt; -1), "B", IF(AND(AB30 &lt;&gt; 0, AA30 / AB30 &lt; 0), "A", IF(Y30 = 1, "A", "B"))), IF(AND(NOT(AC30), AD30 &gt; 0.01, ABS(AA30) &gt; ABS(AG30) + 0.001), "C+", IF(AND(NOT(AC30), AD30 &gt; 0.01, ABS(AA30) &lt; ABS(AG30) - 0.001), "C-", "D"))))</f>
        <v>D</v>
      </c>
      <c r="AF30" s="3" t="str">
        <f>IF(AE30 = "", "", IF(AE30 = "A", "stratify-immediately", IF(AE30 = "B", "investigate-confounder", IF(OR(AE30 = "C+", AE30 = "C-"), "check-allocation-bias", "pooled-analysis-trustworthy"))))</f>
        <v>pooled-analysis-trustworthy</v>
      </c>
      <c r="AG30" s="3">
        <f>AB30</f>
        <v>1.3877787807814457E-17</v>
      </c>
      <c r="AH30" s="3" t="str">
        <f>IF(AG30 = "", "", IF(ABS(AG30) &lt; 0.0001, "tie", IF(AG30 &gt; 0, D30, IF(AG30 &lt; 0, E30, "tie"))))</f>
        <v>tie</v>
      </c>
      <c r="AI30" s="3" t="b">
        <f>IF(AH30 = "", "", AH30 = L30)</f>
        <v>1</v>
      </c>
      <c r="AJ30" s="3" t="str">
        <f>IF(AE30 = "", "", IF(AE30 = "A", "use-corrected-winner", IF(AE30 = "B", "use-corrected-winner-with-caution", IF(OR(AE30 = "C+", AE30 = "C-"), "check-allocation-bias", "pooled-analysis-trustworthy"))))</f>
        <v>pooled-analysis-trustworthy</v>
      </c>
      <c r="AK30" s="3" t="str">
        <f>IF(AG30 = "", "", IF(AC30, "reversal", IF(ABS(AA30) &gt; ABS(AG30) + 0.001, "amplification", IF(ABS(AA30) &lt; ABS(AG30) - 0.001, "compression", "neutral"))))</f>
        <v>neutral</v>
      </c>
      <c r="AL30" s="3">
        <f>IF(AG30 = "", "", IF(ABS(AG30) + AD30 = 0, 1, ABS(AG30) / (ABS(AG30) + AD30)))</f>
        <v>0.5</v>
      </c>
      <c r="AM30" s="3" t="e">
        <f>LOOKUP(C30, SweepStudySummary[SweepStudyId], SweepStudySummary[PooledGapCrossesZero])</f>
        <v>#VALUE!</v>
      </c>
      <c r="AN30" s="3" t="e">
        <f>LOOKUP(C30, SweepStudySummary[SweepStudyId], SweepStudySummary[SweepPooledGapRange])</f>
        <v>#VALUE!</v>
      </c>
      <c r="AO30" s="3" t="e">
        <f>IF(AE30 = "", "", AND(AE30 = "D", AM30 = TRUE))</f>
        <v>#VALUE!</v>
      </c>
      <c r="AP30" s="3" t="e">
        <f>IF(OR(AN30 = "", T30 = "", T30 = 0), "", AN30 / ABS(T30))</f>
        <v>#VALUE!</v>
      </c>
      <c r="AQ30" s="3" t="e">
        <f>LOOKUP(C30, Studies[StudyId], Studies[Domain])</f>
        <v>#VALUE!</v>
      </c>
      <c r="AR30" s="5">
        <f>COUNTIFS(StratumVariables!C2:C999, C30,StratumVariables!E2:E999, "confounder")</f>
        <v>1</v>
      </c>
      <c r="AS30" s="5">
        <f>COUNTIFS(StratumVariables!C2:C999, C30,StratumVariables!J2:J999, "mediator") + COUNTIFS(StratumVariables!C2:C999, C30,StratumVariables!J2:J999, "collider")</f>
        <v>0</v>
      </c>
      <c r="AT30" s="5">
        <f>COUNTIFS(StratumVariables!C2:C999, C30,StratumVariables!E2:E999, "contested")</f>
        <v>0</v>
      </c>
      <c r="AU30" s="5">
        <f>COUNTIFS(StratumVariables!C2:C999, C30,StratumVariables!E2:E999, "unknown")</f>
        <v>0</v>
      </c>
      <c r="AV30" s="3" t="str">
        <f>IF(AT30 &gt; 0, "contested", IF(AU30 &gt; 0, "geometric-only", IF(AR30 &gt; 0, "established", "geometric-only")))</f>
        <v>established</v>
      </c>
      <c r="AW30" s="3" t="b">
        <f>AND(AS30 = 0, AV30 = "established")</f>
        <v>1</v>
      </c>
      <c r="AX30" s="2" t="s">
        <v>2654</v>
      </c>
    </row>
    <row r="31">
      <c r="A31" s="2" t="s">
        <v>2667</v>
      </c>
      <c r="B31" s="3" t="str">
        <f>A31</f>
        <v>exercise-cholesterol-age-A-vs-B</v>
      </c>
      <c r="C31" s="2" t="s">
        <v>530</v>
      </c>
      <c r="D31" s="2" t="s">
        <v>792</v>
      </c>
      <c r="E31" s="2" t="s">
        <v>795</v>
      </c>
      <c r="F31" s="5">
        <f>SUMIFS(CaseCells!G2:G999,CaseCells!C2:C999, C31,CaseCells!E2:E999, D31)</f>
        <v>500</v>
      </c>
      <c r="G31" s="5">
        <f>SUMIFS(CaseCells!F2:F999,CaseCells!C2:C999, C31,CaseCells!E2:E999, D31)</f>
        <v>280</v>
      </c>
      <c r="H31" s="3">
        <f>IF(F31 = 0, "", G31 / F31)</f>
        <v>0.56</v>
      </c>
      <c r="I31" s="5">
        <f>SUMIFS(CaseCells!G2:G999,CaseCells!C2:C999, C31,CaseCells!E2:E999, E31)</f>
        <v>550</v>
      </c>
      <c r="J31" s="5">
        <f>SUMIFS(CaseCells!F2:F999,CaseCells!C2:C999, C31,CaseCells!E2:E999, E31)</f>
        <v>220</v>
      </c>
      <c r="K31" s="3">
        <f>IF(I31 = 0, "", J31 / I31)</f>
        <v>0.4</v>
      </c>
      <c r="L31" s="3" t="str">
        <f>IF(OR(H31 = "", K31 = ""), "", IF(ABS(H31 - K31) &lt; 0.0000001, "tie", IF(H31 &gt; K31, D31, E31)))</f>
        <v>A</v>
      </c>
      <c r="M31" s="5">
        <f>COUNTIFS(StratumSummaries!C2:C999, C31,StratumSummaries!E2:E999, D31)</f>
        <v>2</v>
      </c>
      <c r="N31" s="5">
        <f>COUNTIFS(StratumSummaries!C2:C999, C31,StratumSummaries!E2:E999, D31,StratumSummaries!O2:O999, D31)</f>
        <v>1</v>
      </c>
      <c r="O31" s="5">
        <f>COUNTIFS(StratumSummaries!C2:C999, C31,StratumSummaries!E2:E999, D31,StratumSummaries!O2:O999, E31)</f>
        <v>1</v>
      </c>
      <c r="P31" s="3" t="str">
        <f>IF(N31 = M31, D31, IF(O31 = M31, E31, "none"))</f>
        <v>none</v>
      </c>
      <c r="Q31" s="3" t="b">
        <f>IF(AC31 = "", "", AC31)</f>
        <v>0</v>
      </c>
      <c r="R31" s="5">
        <f>COUNTIFS(StratumVariables!C2:C999, C31,StratumVariables!H2:H999, TRUE())</f>
        <v>1</v>
      </c>
      <c r="S31" s="3" t="b">
        <f>AND(Q31, R31 &gt; 0)</f>
        <v>0</v>
      </c>
      <c r="T31" s="3">
        <f>IF(H31 = "", "", ABS(H31 - K31))</f>
        <v>0.16000000000000003</v>
      </c>
      <c r="U31" s="5">
        <f>IF(L31 = D31, O31, N31)</f>
        <v>1</v>
      </c>
      <c r="V31" s="3">
        <f>IF(M31 = 0, "", T31 * (U31 / M31))</f>
        <v>0.08000000000000002</v>
      </c>
      <c r="W31" s="3">
        <f>SUMIFS(StratumSummaries!S2:S999,StratumSummaries!C2:C999, C31,StratumSummaries!E2:E999, D31)</f>
        <v>0.5523809523809524</v>
      </c>
      <c r="X31" s="3">
        <f>SUMIFS(StratumSummaries!S2:S999,StratumSummaries!C2:C999, C31,StratumSummaries!E2:E999, E31)</f>
        <v>0.4</v>
      </c>
      <c r="Y31" s="3">
        <f>IF(M31 = 0, "", U31 / M31)</f>
        <v>0.5</v>
      </c>
      <c r="Z31" s="3">
        <f>IF(M31 = 0, "", Y31 - 0.5)</f>
        <v>0</v>
      </c>
      <c r="AA31" s="3">
        <f>IF(H31 = "", "", H31 - K31)</f>
        <v>0.16000000000000003</v>
      </c>
      <c r="AB31" s="3">
        <f>SUMIFS(StratumSummaries!AB2:AB999,StratumSummaries!C2:C999, C31,StratumSummaries!E2:E999, D31)</f>
        <v>0.15238095238095234</v>
      </c>
      <c r="AC31" s="3" t="b">
        <f>IF(AB31 = "", "", IF(AB31 &gt; 0, AA31 &lt; 0, AA31 &gt; 0))</f>
        <v>0</v>
      </c>
      <c r="AD31" s="3">
        <f>IF(AB31 = "", "", ABS(AB31 - AA31))</f>
        <v>0.007619047619047692</v>
      </c>
      <c r="AE31" s="3" t="str">
        <f>IF(AD31 = "", "", IF(AC31, IF(AND(AB31 &lt;&gt; 0, AA31 / AB31 &lt; -1), "B", IF(AND(AB31 &lt;&gt; 0, AA31 / AB31 &lt; 0), "A", IF(Y31 = 1, "A", "B"))), IF(AND(NOT(AC31), AD31 &gt; 0.01, ABS(AA31) &gt; ABS(AG31) + 0.001), "C+", IF(AND(NOT(AC31), AD31 &gt; 0.01, ABS(AA31) &lt; ABS(AG31) - 0.001), "C-", "D"))))</f>
        <v>D</v>
      </c>
      <c r="AF31" s="3" t="str">
        <f>IF(AE31 = "", "", IF(AE31 = "A", "stratify-immediately", IF(AE31 = "B", "investigate-confounder", IF(OR(AE31 = "C+", AE31 = "C-"), "check-allocation-bias", "pooled-analysis-trustworthy"))))</f>
        <v>pooled-analysis-trustworthy</v>
      </c>
      <c r="AG31" s="3">
        <f>AB31</f>
        <v>0.15238095238095234</v>
      </c>
      <c r="AH31" s="3" t="str">
        <f>IF(AG31 = "", "", IF(ABS(AG31) &lt; 0.0001, "tie", IF(AG31 &gt; 0, D31, IF(AG31 &lt; 0, E31, "tie"))))</f>
        <v>A</v>
      </c>
      <c r="AI31" s="3" t="b">
        <f>IF(AH31 = "", "", AH31 = L31)</f>
        <v>1</v>
      </c>
      <c r="AJ31" s="3" t="str">
        <f>IF(AE31 = "", "", IF(AE31 = "A", "use-corrected-winner", IF(AE31 = "B", "use-corrected-winner-with-caution", IF(OR(AE31 = "C+", AE31 = "C-"), "check-allocation-bias", "pooled-analysis-trustworthy"))))</f>
        <v>pooled-analysis-trustworthy</v>
      </c>
      <c r="AK31" s="3" t="str">
        <f>IF(AG31 = "", "", IF(AC31, "reversal", IF(ABS(AA31) &gt; ABS(AG31) + 0.001, "amplification", IF(ABS(AA31) &lt; ABS(AG31) - 0.001, "compression", "neutral"))))</f>
        <v>amplification</v>
      </c>
      <c r="AL31" s="3">
        <f>IF(AG31 = "", "", IF(ABS(AG31) + AD31 = 0, 1, ABS(AG31) / (ABS(AG31) + AD31)))</f>
        <v>0.9523809523809519</v>
      </c>
      <c r="AM31" s="3" t="e">
        <f>LOOKUP(C31, SweepStudySummary[SweepStudyId], SweepStudySummary[PooledGapCrossesZero])</f>
        <v>#VALUE!</v>
      </c>
      <c r="AN31" s="3" t="e">
        <f>LOOKUP(C31, SweepStudySummary[SweepStudyId], SweepStudySummary[SweepPooledGapRange])</f>
        <v>#VALUE!</v>
      </c>
      <c r="AO31" s="3" t="e">
        <f>IF(AE31 = "", "", AND(AE31 = "D", AM31 = TRUE))</f>
        <v>#VALUE!</v>
      </c>
      <c r="AP31" s="3" t="e">
        <f>IF(OR(AN31 = "", T31 = "", T31 = 0), "", AN31 / ABS(T31))</f>
        <v>#VALUE!</v>
      </c>
      <c r="AQ31" s="3" t="e">
        <f>LOOKUP(C31, Studies[StudyId], Studies[Domain])</f>
        <v>#VALUE!</v>
      </c>
      <c r="AR31" s="5">
        <f>COUNTIFS(StratumVariables!C2:C999, C31,StratumVariables!E2:E999, "confounder")</f>
        <v>1</v>
      </c>
      <c r="AS31" s="5">
        <f>COUNTIFS(StratumVariables!C2:C999, C31,StratumVariables!J2:J999, "mediator") + COUNTIFS(StratumVariables!C2:C999, C31,StratumVariables!J2:J999, "collider")</f>
        <v>0</v>
      </c>
      <c r="AT31" s="5">
        <f>COUNTIFS(StratumVariables!C2:C999, C31,StratumVariables!E2:E999, "contested")</f>
        <v>0</v>
      </c>
      <c r="AU31" s="5">
        <f>COUNTIFS(StratumVariables!C2:C999, C31,StratumVariables!E2:E999, "unknown")</f>
        <v>0</v>
      </c>
      <c r="AV31" s="3" t="str">
        <f>IF(AT31 &gt; 0, "contested", IF(AU31 &gt; 0, "geometric-only", IF(AR31 &gt; 0, "established", "geometric-only")))</f>
        <v>established</v>
      </c>
      <c r="AW31" s="3" t="b">
        <f>AND(AS31 = 0, AV31 = "established")</f>
        <v>1</v>
      </c>
      <c r="AX31" s="2" t="s">
        <v>2654</v>
      </c>
    </row>
    <row r="32">
      <c r="A32" s="2" t="s">
        <v>2668</v>
      </c>
      <c r="B32" s="3" t="str">
        <f>A32</f>
        <v>red-meat-colorectal-bmi-A-vs-B</v>
      </c>
      <c r="C32" s="2" t="s">
        <v>533</v>
      </c>
      <c r="D32" s="2" t="s">
        <v>792</v>
      </c>
      <c r="E32" s="2" t="s">
        <v>795</v>
      </c>
      <c r="F32" s="5">
        <f>SUMIFS(CaseCells!G2:G999,CaseCells!C2:C999, C32,CaseCells!E2:E999, D32)</f>
        <v>900</v>
      </c>
      <c r="G32" s="5">
        <f>SUMIFS(CaseCells!F2:F999,CaseCells!C2:C999, C32,CaseCells!E2:E999, D32)</f>
        <v>75</v>
      </c>
      <c r="H32" s="3">
        <f>IF(F32 = 0, "", G32 / F32)</f>
        <v>0.08333333333333333</v>
      </c>
      <c r="I32" s="5">
        <f>SUMIFS(CaseCells!G2:G999,CaseCells!C2:C999, C32,CaseCells!E2:E999, E32)</f>
        <v>950</v>
      </c>
      <c r="J32" s="5">
        <f>SUMIFS(CaseCells!F2:F999,CaseCells!C2:C999, C32,CaseCells!E2:E999, E32)</f>
        <v>60</v>
      </c>
      <c r="K32" s="3">
        <f>IF(I32 = 0, "", J32 / I32)</f>
        <v>0.06315789473684211</v>
      </c>
      <c r="L32" s="3" t="str">
        <f>IF(OR(H32 = "", K32 = ""), "", IF(ABS(H32 - K32) &lt; 0.0000001, "tie", IF(H32 &gt; K32, D32, E32)))</f>
        <v>A</v>
      </c>
      <c r="M32" s="5">
        <f>COUNTIFS(StratumSummaries!C2:C999, C32,StratumSummaries!E2:E999, D32)</f>
        <v>2</v>
      </c>
      <c r="N32" s="5">
        <f>COUNTIFS(StratumSummaries!C2:C999, C32,StratumSummaries!E2:E999, D32,StratumSummaries!O2:O999, D32)</f>
        <v>2</v>
      </c>
      <c r="O32" s="5">
        <f>COUNTIFS(StratumSummaries!C2:C999, C32,StratumSummaries!E2:E999, D32,StratumSummaries!O2:O999, E32)</f>
        <v>0</v>
      </c>
      <c r="P32" s="3" t="str">
        <f>IF(N32 = M32, D32, IF(O32 = M32, E32, "none"))</f>
        <v>A</v>
      </c>
      <c r="Q32" s="3" t="b">
        <f>IF(AC32 = "", "", AC32)</f>
        <v>0</v>
      </c>
      <c r="R32" s="5">
        <f>COUNTIFS(StratumVariables!C2:C999, C32,StratumVariables!H2:H999, TRUE())</f>
        <v>1</v>
      </c>
      <c r="S32" s="3" t="b">
        <f>AND(Q32, R32 &gt; 0)</f>
        <v>0</v>
      </c>
      <c r="T32" s="3">
        <f>IF(H32 = "", "", ABS(H32 - K32))</f>
        <v>0.02017543859649122</v>
      </c>
      <c r="U32" s="5">
        <f>IF(L32 = D32, O32, N32)</f>
        <v>0</v>
      </c>
      <c r="V32" s="3">
        <f>IF(M32 = 0, "", T32 * (U32 / M32))</f>
        <v>0</v>
      </c>
      <c r="W32" s="3">
        <f>SUMIFS(StratumSummaries!S2:S999,StratumSummaries!C2:C999, C32,StratumSummaries!E2:E999, D32)</f>
        <v>0.08412162162162162</v>
      </c>
      <c r="X32" s="3">
        <f>SUMIFS(StratumSummaries!S2:S999,StratumSummaries!C2:C999, C32,StratumSummaries!E2:E999, E32)</f>
        <v>0.06276276276276277</v>
      </c>
      <c r="Y32" s="3">
        <f>IF(M32 = 0, "", U32 / M32)</f>
        <v>0</v>
      </c>
      <c r="Z32" s="3">
        <f>IF(M32 = 0, "", Y32 - 0.5)</f>
        <v>-0.5</v>
      </c>
      <c r="AA32" s="3">
        <f>IF(H32 = "", "", H32 - K32)</f>
        <v>0.02017543859649122</v>
      </c>
      <c r="AB32" s="3">
        <f>SUMIFS(StratumSummaries!AB2:AB999,StratumSummaries!C2:C999, C32,StratumSummaries!E2:E999, D32)</f>
        <v>0.021358858858858857</v>
      </c>
      <c r="AC32" s="3" t="b">
        <f>IF(AB32 = "", "", IF(AB32 &gt; 0, AA32 &lt; 0, AA32 &gt; 0))</f>
        <v>0</v>
      </c>
      <c r="AD32" s="3">
        <f>IF(AB32 = "", "", ABS(AB32 - AA32))</f>
        <v>0.0011834202623676356</v>
      </c>
      <c r="AE32" s="3" t="str">
        <f>IF(AD32 = "", "", IF(AC32, IF(AND(AB32 &lt;&gt; 0, AA32 / AB32 &lt; -1), "B", IF(AND(AB32 &lt;&gt; 0, AA32 / AB32 &lt; 0), "A", IF(Y32 = 1, "A", "B"))), IF(AND(NOT(AC32), AD32 &gt; 0.01, ABS(AA32) &gt; ABS(AG32) + 0.001), "C+", IF(AND(NOT(AC32), AD32 &gt; 0.01, ABS(AA32) &lt; ABS(AG32) - 0.001), "C-", "D"))))</f>
        <v>D</v>
      </c>
      <c r="AF32" s="3" t="str">
        <f>IF(AE32 = "", "", IF(AE32 = "A", "stratify-immediately", IF(AE32 = "B", "investigate-confounder", IF(OR(AE32 = "C+", AE32 = "C-"), "check-allocation-bias", "pooled-analysis-trustworthy"))))</f>
        <v>pooled-analysis-trustworthy</v>
      </c>
      <c r="AG32" s="3">
        <f>AB32</f>
        <v>0.021358858858858857</v>
      </c>
      <c r="AH32" s="3" t="str">
        <f>IF(AG32 = "", "", IF(ABS(AG32) &lt; 0.0001, "tie", IF(AG32 &gt; 0, D32, IF(AG32 &lt; 0, E32, "tie"))))</f>
        <v>A</v>
      </c>
      <c r="AI32" s="3" t="b">
        <f>IF(AH32 = "", "", AH32 = L32)</f>
        <v>1</v>
      </c>
      <c r="AJ32" s="3" t="str">
        <f>IF(AE32 = "", "", IF(AE32 = "A", "use-corrected-winner", IF(AE32 = "B", "use-corrected-winner-with-caution", IF(OR(AE32 = "C+", AE32 = "C-"), "check-allocation-bias", "pooled-analysis-trustworthy"))))</f>
        <v>pooled-analysis-trustworthy</v>
      </c>
      <c r="AK32" s="3" t="str">
        <f>IF(AG32 = "", "", IF(AC32, "reversal", IF(ABS(AA32) &gt; ABS(AG32) + 0.001, "amplification", IF(ABS(AA32) &lt; ABS(AG32) - 0.001, "compression", "neutral"))))</f>
        <v>compression</v>
      </c>
      <c r="AL32" s="3">
        <f>IF(AG32 = "", "", IF(ABS(AG32) + AD32 = 0, 1, ABS(AG32) / (ABS(AG32) + AD32)))</f>
        <v>0.9475021910604731</v>
      </c>
      <c r="AM32" s="3" t="e">
        <f>LOOKUP(C32, SweepStudySummary[SweepStudyId], SweepStudySummary[PooledGapCrossesZero])</f>
        <v>#VALUE!</v>
      </c>
      <c r="AN32" s="3" t="e">
        <f>LOOKUP(C32, SweepStudySummary[SweepStudyId], SweepStudySummary[SweepPooledGapRange])</f>
        <v>#VALUE!</v>
      </c>
      <c r="AO32" s="3" t="e">
        <f>IF(AE32 = "", "", AND(AE32 = "D", AM32 = TRUE))</f>
        <v>#VALUE!</v>
      </c>
      <c r="AP32" s="3" t="e">
        <f>IF(OR(AN32 = "", T32 = "", T32 = 0), "", AN32 / ABS(T32))</f>
        <v>#VALUE!</v>
      </c>
      <c r="AQ32" s="3" t="e">
        <f>LOOKUP(C32, Studies[StudyId], Studies[Domain])</f>
        <v>#VALUE!</v>
      </c>
      <c r="AR32" s="5">
        <f>COUNTIFS(StratumVariables!C2:C999, C32,StratumVariables!E2:E999, "confounder")</f>
        <v>1</v>
      </c>
      <c r="AS32" s="5">
        <f>COUNTIFS(StratumVariables!C2:C999, C32,StratumVariables!J2:J999, "mediator") + COUNTIFS(StratumVariables!C2:C999, C32,StratumVariables!J2:J999, "collider")</f>
        <v>0</v>
      </c>
      <c r="AT32" s="5">
        <f>COUNTIFS(StratumVariables!C2:C999, C32,StratumVariables!E2:E999, "contested")</f>
        <v>0</v>
      </c>
      <c r="AU32" s="5">
        <f>COUNTIFS(StratumVariables!C2:C999, C32,StratumVariables!E2:E999, "unknown")</f>
        <v>0</v>
      </c>
      <c r="AV32" s="3" t="str">
        <f>IF(AT32 &gt; 0, "contested", IF(AU32 &gt; 0, "geometric-only", IF(AR32 &gt; 0, "established", "geometric-only")))</f>
        <v>established</v>
      </c>
      <c r="AW32" s="3" t="b">
        <f>AND(AS32 = 0, AV32 = "established")</f>
        <v>1</v>
      </c>
      <c r="AX32" s="2" t="s">
        <v>2654</v>
      </c>
    </row>
    <row r="33">
      <c r="A33" s="2" t="s">
        <v>2669</v>
      </c>
      <c r="B33" s="3" t="str">
        <f>A33</f>
        <v>folic-fortification-2000-A-vs-B</v>
      </c>
      <c r="C33" s="2" t="s">
        <v>536</v>
      </c>
      <c r="D33" s="2" t="s">
        <v>792</v>
      </c>
      <c r="E33" s="2" t="s">
        <v>795</v>
      </c>
      <c r="F33" s="5">
        <f>SUMIFS(CaseCells!G2:G999,CaseCells!C2:C999, C33,CaseCells!E2:E999, D33)</f>
        <v>3000</v>
      </c>
      <c r="G33" s="5">
        <f>SUMIFS(CaseCells!F2:F999,CaseCells!C2:C999, C33,CaseCells!E2:E999, D33)</f>
        <v>2915</v>
      </c>
      <c r="H33" s="3">
        <f>IF(F33 = 0, "", G33 / F33)</f>
        <v>0.9716666666666667</v>
      </c>
      <c r="I33" s="5">
        <f>SUMIFS(CaseCells!G2:G999,CaseCells!C2:C999, C33,CaseCells!E2:E999, E33)</f>
        <v>3000</v>
      </c>
      <c r="J33" s="5">
        <f>SUMIFS(CaseCells!F2:F999,CaseCells!C2:C999, C33,CaseCells!E2:E999, E33)</f>
        <v>2850</v>
      </c>
      <c r="K33" s="3">
        <f>IF(I33 = 0, "", J33 / I33)</f>
        <v>0.95</v>
      </c>
      <c r="L33" s="3" t="str">
        <f>IF(OR(H33 = "", K33 = ""), "", IF(ABS(H33 - K33) &lt; 0.0000001, "tie", IF(H33 &gt; K33, D33, E33)))</f>
        <v>A</v>
      </c>
      <c r="M33" s="5">
        <f>COUNTIFS(StratumSummaries!C2:C999, C33,StratumSummaries!E2:E999, D33)</f>
        <v>3</v>
      </c>
      <c r="N33" s="5">
        <f>COUNTIFS(StratumSummaries!C2:C999, C33,StratumSummaries!E2:E999, D33,StratumSummaries!O2:O999, D33)</f>
        <v>3</v>
      </c>
      <c r="O33" s="5">
        <f>COUNTIFS(StratumSummaries!C2:C999, C33,StratumSummaries!E2:E999, D33,StratumSummaries!O2:O999, E33)</f>
        <v>0</v>
      </c>
      <c r="P33" s="3" t="str">
        <f>IF(N33 = M33, D33, IF(O33 = M33, E33, "none"))</f>
        <v>A</v>
      </c>
      <c r="Q33" s="3" t="b">
        <f>IF(AC33 = "", "", AC33)</f>
        <v>0</v>
      </c>
      <c r="R33" s="5">
        <f>COUNTIFS(StratumVariables!C2:C999, C33,StratumVariables!H2:H999, TRUE())</f>
        <v>1</v>
      </c>
      <c r="S33" s="3" t="b">
        <f>AND(Q33, R33 &gt; 0)</f>
        <v>0</v>
      </c>
      <c r="T33" s="3">
        <f>IF(H33 = "", "", ABS(H33 - K33))</f>
        <v>0.021666666666666723</v>
      </c>
      <c r="U33" s="5">
        <f>IF(L33 = D33, O33, N33)</f>
        <v>0</v>
      </c>
      <c r="V33" s="3">
        <f>IF(M33 = 0, "", T33 * (U33 / M33))</f>
        <v>0</v>
      </c>
      <c r="W33" s="3">
        <f>SUMIFS(StratumSummaries!S2:S999,StratumSummaries!C2:C999, C33,StratumSummaries!E2:E999, D33)</f>
        <v>0.9716666666666667</v>
      </c>
      <c r="X33" s="3">
        <f>SUMIFS(StratumSummaries!S2:S999,StratumSummaries!C2:C999, C33,StratumSummaries!E2:E999, E33)</f>
        <v>0.95</v>
      </c>
      <c r="Y33" s="3">
        <f>IF(M33 = 0, "", U33 / M33)</f>
        <v>0</v>
      </c>
      <c r="Z33" s="3">
        <f>IF(M33 = 0, "", Y33 - 0.5)</f>
        <v>-0.5</v>
      </c>
      <c r="AA33" s="3">
        <f>IF(H33 = "", "", H33 - K33)</f>
        <v>0.021666666666666723</v>
      </c>
      <c r="AB33" s="3">
        <f>SUMIFS(StratumSummaries!AB2:AB999,StratumSummaries!C2:C999, C33,StratumSummaries!E2:E999, D33)</f>
        <v>0.021666666666666685</v>
      </c>
      <c r="AC33" s="3" t="b">
        <f>IF(AB33 = "", "", IF(AB33 &gt; 0, AA33 &lt; 0, AA33 &gt; 0))</f>
        <v>0</v>
      </c>
      <c r="AD33" s="3">
        <f>IF(AB33 = "", "", ABS(AB33 - AA33))</f>
        <v>3.8163916471489756E-17</v>
      </c>
      <c r="AE33" s="3" t="str">
        <f>IF(AD33 = "", "", IF(AC33, IF(AND(AB33 &lt;&gt; 0, AA33 / AB33 &lt; -1), "B", IF(AND(AB33 &lt;&gt; 0, AA33 / AB33 &lt; 0), "A", IF(Y33 = 1, "A", "B"))), IF(AND(NOT(AC33), AD33 &gt; 0.01, ABS(AA33) &gt; ABS(AG33) + 0.001), "C+", IF(AND(NOT(AC33), AD33 &gt; 0.01, ABS(AA33) &lt; ABS(AG33) - 0.001), "C-", "D"))))</f>
        <v>D</v>
      </c>
      <c r="AF33" s="3" t="str">
        <f>IF(AE33 = "", "", IF(AE33 = "A", "stratify-immediately", IF(AE33 = "B", "investigate-confounder", IF(OR(AE33 = "C+", AE33 = "C-"), "check-allocation-bias", "pooled-analysis-trustworthy"))))</f>
        <v>pooled-analysis-trustworthy</v>
      </c>
      <c r="AG33" s="3">
        <f>AB33</f>
        <v>0.021666666666666685</v>
      </c>
      <c r="AH33" s="3" t="str">
        <f>IF(AG33 = "", "", IF(ABS(AG33) &lt; 0.0001, "tie", IF(AG33 &gt; 0, D33, IF(AG33 &lt; 0, E33, "tie"))))</f>
        <v>A</v>
      </c>
      <c r="AI33" s="3" t="b">
        <f>IF(AH33 = "", "", AH33 = L33)</f>
        <v>1</v>
      </c>
      <c r="AJ33" s="3" t="str">
        <f>IF(AE33 = "", "", IF(AE33 = "A", "use-corrected-winner", IF(AE33 = "B", "use-corrected-winner-with-caution", IF(OR(AE33 = "C+", AE33 = "C-"), "check-allocation-bias", "pooled-analysis-trustworthy"))))</f>
        <v>pooled-analysis-trustworthy</v>
      </c>
      <c r="AK33" s="3" t="str">
        <f>IF(AG33 = "", "", IF(AC33, "reversal", IF(ABS(AA33) &gt; ABS(AG33) + 0.001, "amplification", IF(ABS(AA33) &lt; ABS(AG33) - 0.001, "compression", "neutral"))))</f>
        <v>neutral</v>
      </c>
      <c r="AL33" s="3">
        <f>IF(AG33 = "", "", IF(ABS(AG33) + AD33 = 0, 1, ABS(AG33) / (ABS(AG33) + AD33)))</f>
        <v>0.9999999999999982</v>
      </c>
      <c r="AM33" s="3" t="e">
        <f>LOOKUP(C33, SweepStudySummary[SweepStudyId], SweepStudySummary[PooledGapCrossesZero])</f>
        <v>#VALUE!</v>
      </c>
      <c r="AN33" s="3" t="e">
        <f>LOOKUP(C33, SweepStudySummary[SweepStudyId], SweepStudySummary[SweepPooledGapRange])</f>
        <v>#VALUE!</v>
      </c>
      <c r="AO33" s="3" t="e">
        <f>IF(AE33 = "", "", AND(AE33 = "D", AM33 = TRUE))</f>
        <v>#VALUE!</v>
      </c>
      <c r="AP33" s="3" t="e">
        <f>IF(OR(AN33 = "", T33 = "", T33 = 0), "", AN33 / ABS(T33))</f>
        <v>#VALUE!</v>
      </c>
      <c r="AQ33" s="3" t="e">
        <f>LOOKUP(C33, Studies[StudyId], Studies[Domain])</f>
        <v>#VALUE!</v>
      </c>
      <c r="AR33" s="5">
        <f>COUNTIFS(StratumVariables!C2:C999, C33,StratumVariables!E2:E999, "confounder")</f>
        <v>1</v>
      </c>
      <c r="AS33" s="5">
        <f>COUNTIFS(StratumVariables!C2:C999, C33,StratumVariables!J2:J999, "mediator") + COUNTIFS(StratumVariables!C2:C999, C33,StratumVariables!J2:J999, "collider")</f>
        <v>0</v>
      </c>
      <c r="AT33" s="5">
        <f>COUNTIFS(StratumVariables!C2:C999, C33,StratumVariables!E2:E999, "contested")</f>
        <v>0</v>
      </c>
      <c r="AU33" s="5">
        <f>COUNTIFS(StratumVariables!C2:C999, C33,StratumVariables!E2:E999, "unknown")</f>
        <v>0</v>
      </c>
      <c r="AV33" s="3" t="str">
        <f>IF(AT33 &gt; 0, "contested", IF(AU33 &gt; 0, "geometric-only", IF(AR33 &gt; 0, "established", "geometric-only")))</f>
        <v>established</v>
      </c>
      <c r="AW33" s="3" t="b">
        <f>AND(AS33 = 0, AV33 = "established")</f>
        <v>1</v>
      </c>
      <c r="AX33" s="2" t="s">
        <v>2654</v>
      </c>
    </row>
    <row r="34">
      <c r="A34" s="2" t="s">
        <v>2670</v>
      </c>
      <c r="B34" s="3" t="str">
        <f>A34</f>
        <v>north-carolina-death-penalty-1990-A-vs-B</v>
      </c>
      <c r="C34" s="2" t="s">
        <v>539</v>
      </c>
      <c r="D34" s="2" t="s">
        <v>792</v>
      </c>
      <c r="E34" s="2" t="s">
        <v>795</v>
      </c>
      <c r="F34" s="5">
        <f>SUMIFS(CaseCells!G2:G999,CaseCells!C2:C999, C34,CaseCells!E2:E999, D34)</f>
        <v>135</v>
      </c>
      <c r="G34" s="5">
        <f>SUMIFS(CaseCells!F2:F999,CaseCells!C2:C999, C34,CaseCells!E2:E999, D34)</f>
        <v>15</v>
      </c>
      <c r="H34" s="3">
        <f>IF(F34 = 0, "", G34 / F34)</f>
        <v>0.1111111111111111</v>
      </c>
      <c r="I34" s="5">
        <f>SUMIFS(CaseCells!G2:G999,CaseCells!C2:C999, C34,CaseCells!E2:E999, E34)</f>
        <v>145</v>
      </c>
      <c r="J34" s="5">
        <f>SUMIFS(CaseCells!F2:F999,CaseCells!C2:C999, C34,CaseCells!E2:E999, E34)</f>
        <v>13</v>
      </c>
      <c r="K34" s="3">
        <f>IF(I34 = 0, "", J34 / I34)</f>
        <v>0.0896551724137931</v>
      </c>
      <c r="L34" s="3" t="str">
        <f>IF(OR(H34 = "", K34 = ""), "", IF(ABS(H34 - K34) &lt; 0.0000001, "tie", IF(H34 &gt; K34, D34, E34)))</f>
        <v>A</v>
      </c>
      <c r="M34" s="5">
        <f>COUNTIFS(StratumSummaries!C2:C999, C34,StratumSummaries!E2:E999, D34)</f>
        <v>2</v>
      </c>
      <c r="N34" s="5">
        <f>COUNTIFS(StratumSummaries!C2:C999, C34,StratumSummaries!E2:E999, D34,StratumSummaries!O2:O999, D34)</f>
        <v>1</v>
      </c>
      <c r="O34" s="5">
        <f>COUNTIFS(StratumSummaries!C2:C999, C34,StratumSummaries!E2:E999, D34,StratumSummaries!O2:O999, E34)</f>
        <v>1</v>
      </c>
      <c r="P34" s="3" t="str">
        <f>IF(N34 = M34, D34, IF(O34 = M34, E34, "none"))</f>
        <v>none</v>
      </c>
      <c r="Q34" s="3" t="b">
        <f>IF(AC34 = "", "", AC34)</f>
        <v>1</v>
      </c>
      <c r="R34" s="5">
        <f>COUNTIFS(StratumVariables!C2:C999, C34,StratumVariables!H2:H999, TRUE())</f>
        <v>1</v>
      </c>
      <c r="S34" s="3" t="b">
        <f>AND(Q34, R34 &gt; 0)</f>
        <v>1</v>
      </c>
      <c r="T34" s="3">
        <f>IF(H34 = "", "", ABS(H34 - K34))</f>
        <v>0.021455938697318003</v>
      </c>
      <c r="U34" s="5">
        <f>IF(L34 = D34, O34, N34)</f>
        <v>1</v>
      </c>
      <c r="V34" s="3">
        <f>IF(M34 = 0, "", T34 * (U34 / M34))</f>
        <v>0.010727969348659001</v>
      </c>
      <c r="W34" s="3">
        <f>SUMIFS(StratumSummaries!S2:S999,StratumSummaries!C2:C999, C34,StratumSummaries!E2:E999, D34)</f>
        <v>0.09791666666666668</v>
      </c>
      <c r="X34" s="3">
        <f>SUMIFS(StratumSummaries!S2:S999,StratumSummaries!C2:C999, C34,StratumSummaries!E2:E999, E34)</f>
        <v>0.11174242424242424</v>
      </c>
      <c r="Y34" s="3">
        <f>IF(M34 = 0, "", U34 / M34)</f>
        <v>0.5</v>
      </c>
      <c r="Z34" s="3">
        <f>IF(M34 = 0, "", Y34 - 0.5)</f>
        <v>0</v>
      </c>
      <c r="AA34" s="3">
        <f>IF(H34 = "", "", H34 - K34)</f>
        <v>0.021455938697318003</v>
      </c>
      <c r="AB34" s="3">
        <f>SUMIFS(StratumSummaries!AB2:AB999,StratumSummaries!C2:C999, C34,StratumSummaries!E2:E999, D34)</f>
        <v>-0.01382575757575757</v>
      </c>
      <c r="AC34" s="3" t="b">
        <f>IF(AB34 = "", "", IF(AB34 &gt; 0, AA34 &lt; 0, AA34 &gt; 0))</f>
        <v>1</v>
      </c>
      <c r="AD34" s="3">
        <f>IF(AB34 = "", "", ABS(AB34 - AA34))</f>
        <v>0.03528169627307557</v>
      </c>
      <c r="AE34" s="3" t="str">
        <f>IF(AD34 = "", "", IF(AC34, IF(AND(AB34 &lt;&gt; 0, AA34 / AB34 &lt; -1), "B", IF(AND(AB34 &lt;&gt; 0, AA34 / AB34 &lt; 0), "A", IF(Y34 = 1, "A", "B"))), IF(AND(NOT(AC34), AD34 &gt; 0.01, ABS(AA34) &gt; ABS(AG34) + 0.001), "C+", IF(AND(NOT(AC34), AD34 &gt; 0.01, ABS(AA34) &lt; ABS(AG34) - 0.001), "C-", "D"))))</f>
        <v>B</v>
      </c>
      <c r="AF34" s="3" t="str">
        <f>IF(AE34 = "", "", IF(AE34 = "A", "stratify-immediately", IF(AE34 = "B", "investigate-confounder", IF(OR(AE34 = "C+", AE34 = "C-"), "check-allocation-bias", "pooled-analysis-trustworthy"))))</f>
        <v>investigate-confounder</v>
      </c>
      <c r="AG34" s="3">
        <f>AB34</f>
        <v>-0.01382575757575757</v>
      </c>
      <c r="AH34" s="3" t="str">
        <f>IF(AG34 = "", "", IF(ABS(AG34) &lt; 0.0001, "tie", IF(AG34 &gt; 0, D34, IF(AG34 &lt; 0, E34, "tie"))))</f>
        <v>B</v>
      </c>
      <c r="AI34" s="3" t="b">
        <f>IF(AH34 = "", "", AH34 = L34)</f>
        <v>0</v>
      </c>
      <c r="AJ34" s="3" t="str">
        <f>IF(AE34 = "", "", IF(AE34 = "A", "use-corrected-winner", IF(AE34 = "B", "use-corrected-winner-with-caution", IF(OR(AE34 = "C+", AE34 = "C-"), "check-allocation-bias", "pooled-analysis-trustworthy"))))</f>
        <v>use-corrected-winner-with-caution</v>
      </c>
      <c r="AK34" s="3" t="str">
        <f>IF(AG34 = "", "", IF(AC34, "reversal", IF(ABS(AA34) &gt; ABS(AG34) + 0.001, "amplification", IF(ABS(AA34) &lt; ABS(AG34) - 0.001, "compression", "neutral"))))</f>
        <v>reversal</v>
      </c>
      <c r="AL34" s="3">
        <f>IF(AG34 = "", "", IF(ABS(AG34) + AD34 = 0, 1, ABS(AG34) / (ABS(AG34) + AD34)))</f>
        <v>0.28154091674793863</v>
      </c>
      <c r="AM34" s="3" t="e">
        <f>LOOKUP(C34, SweepStudySummary[SweepStudyId], SweepStudySummary[PooledGapCrossesZero])</f>
        <v>#VALUE!</v>
      </c>
      <c r="AN34" s="3" t="e">
        <f>LOOKUP(C34, SweepStudySummary[SweepStudyId], SweepStudySummary[SweepPooledGapRange])</f>
        <v>#VALUE!</v>
      </c>
      <c r="AO34" s="3" t="e">
        <f>IF(AE34 = "", "", AND(AE34 = "D", AM34 = TRUE))</f>
        <v>#VALUE!</v>
      </c>
      <c r="AP34" s="3" t="e">
        <f>IF(OR(AN34 = "", T34 = "", T34 = 0), "", AN34 / ABS(T34))</f>
        <v>#VALUE!</v>
      </c>
      <c r="AQ34" s="3" t="e">
        <f>LOOKUP(C34, Studies[StudyId], Studies[Domain])</f>
        <v>#VALUE!</v>
      </c>
      <c r="AR34" s="5">
        <f>COUNTIFS(StratumVariables!C2:C999, C34,StratumVariables!E2:E999, "confounder")</f>
        <v>1</v>
      </c>
      <c r="AS34" s="5">
        <f>COUNTIFS(StratumVariables!C2:C999, C34,StratumVariables!J2:J999, "mediator") + COUNTIFS(StratumVariables!C2:C999, C34,StratumVariables!J2:J999, "collider")</f>
        <v>0</v>
      </c>
      <c r="AT34" s="5">
        <f>COUNTIFS(StratumVariables!C2:C999, C34,StratumVariables!E2:E999, "contested")</f>
        <v>0</v>
      </c>
      <c r="AU34" s="5">
        <f>COUNTIFS(StratumVariables!C2:C999, C34,StratumVariables!E2:E999, "unknown")</f>
        <v>0</v>
      </c>
      <c r="AV34" s="3" t="str">
        <f>IF(AT34 &gt; 0, "contested", IF(AU34 &gt; 0, "geometric-only", IF(AR34 &gt; 0, "established", "geometric-only")))</f>
        <v>established</v>
      </c>
      <c r="AW34" s="3" t="b">
        <f>AND(AS34 = 0, AV34 = "established")</f>
        <v>1</v>
      </c>
      <c r="AX34" s="2" t="s">
        <v>2654</v>
      </c>
    </row>
    <row r="35">
      <c r="A35" s="2" t="s">
        <v>2671</v>
      </c>
      <c r="B35" s="3" t="str">
        <f>A35</f>
        <v>housing-discrimination-audit-A-vs-B</v>
      </c>
      <c r="C35" s="2" t="s">
        <v>542</v>
      </c>
      <c r="D35" s="2" t="s">
        <v>792</v>
      </c>
      <c r="E35" s="2" t="s">
        <v>795</v>
      </c>
      <c r="F35" s="5">
        <f>SUMIFS(CaseCells!G2:G999,CaseCells!C2:C999, C35,CaseCells!E2:E999, D35)</f>
        <v>500</v>
      </c>
      <c r="G35" s="5">
        <f>SUMIFS(CaseCells!F2:F999,CaseCells!C2:C999, C35,CaseCells!E2:E999, D35)</f>
        <v>300</v>
      </c>
      <c r="H35" s="3">
        <f>IF(F35 = 0, "", G35 / F35)</f>
        <v>0.6</v>
      </c>
      <c r="I35" s="5">
        <f>SUMIFS(CaseCells!G2:G999,CaseCells!C2:C999, C35,CaseCells!E2:E999, E35)</f>
        <v>500</v>
      </c>
      <c r="J35" s="5">
        <f>SUMIFS(CaseCells!F2:F999,CaseCells!C2:C999, C35,CaseCells!E2:E999, E35)</f>
        <v>360</v>
      </c>
      <c r="K35" s="3">
        <f>IF(I35 = 0, "", J35 / I35)</f>
        <v>0.72</v>
      </c>
      <c r="L35" s="3" t="str">
        <f>IF(OR(H35 = "", K35 = ""), "", IF(ABS(H35 - K35) &lt; 0.0000001, "tie", IF(H35 &gt; K35, D35, E35)))</f>
        <v>B</v>
      </c>
      <c r="M35" s="5">
        <f>COUNTIFS(StratumSummaries!C2:C999, C35,StratumSummaries!E2:E999, D35)</f>
        <v>2</v>
      </c>
      <c r="N35" s="5">
        <f>COUNTIFS(StratumSummaries!C2:C999, C35,StratumSummaries!E2:E999, D35,StratumSummaries!O2:O999, D35)</f>
        <v>0</v>
      </c>
      <c r="O35" s="5">
        <f>COUNTIFS(StratumSummaries!C2:C999, C35,StratumSummaries!E2:E999, D35,StratumSummaries!O2:O999, E35)</f>
        <v>2</v>
      </c>
      <c r="P35" s="3" t="str">
        <f>IF(N35 = M35, D35, IF(O35 = M35, E35, "none"))</f>
        <v>B</v>
      </c>
      <c r="Q35" s="3" t="b">
        <f>IF(AC35 = "", "", AC35)</f>
        <v>0</v>
      </c>
      <c r="R35" s="5">
        <f>COUNTIFS(StratumVariables!C2:C999, C35,StratumVariables!H2:H999, TRUE())</f>
        <v>1</v>
      </c>
      <c r="S35" s="3" t="b">
        <f>AND(Q35, R35 &gt; 0)</f>
        <v>0</v>
      </c>
      <c r="T35" s="3">
        <f>IF(H35 = "", "", ABS(H35 - K35))</f>
        <v>0.12</v>
      </c>
      <c r="U35" s="5">
        <f>IF(L35 = D35, O35, N35)</f>
        <v>0</v>
      </c>
      <c r="V35" s="3">
        <f>IF(M35 = 0, "", T35 * (U35 / M35))</f>
        <v>0</v>
      </c>
      <c r="W35" s="3">
        <f>SUMIFS(StratumSummaries!S2:S999,StratumSummaries!C2:C999, C35,StratumSummaries!E2:E999, D35)</f>
        <v>0.6</v>
      </c>
      <c r="X35" s="3">
        <f>SUMIFS(StratumSummaries!S2:S999,StratumSummaries!C2:C999, C35,StratumSummaries!E2:E999, E35)</f>
        <v>0.72</v>
      </c>
      <c r="Y35" s="3">
        <f>IF(M35 = 0, "", U35 / M35)</f>
        <v>0</v>
      </c>
      <c r="Z35" s="3">
        <f>IF(M35 = 0, "", Y35 - 0.5)</f>
        <v>-0.5</v>
      </c>
      <c r="AA35" s="3">
        <f>IF(H35 = "", "", H35 - K35)</f>
        <v>-0.12</v>
      </c>
      <c r="AB35" s="3">
        <f>SUMIFS(StratumSummaries!AB2:AB999,StratumSummaries!C2:C999, C35,StratumSummaries!E2:E999, D35)</f>
        <v>-0.12000000000000005</v>
      </c>
      <c r="AC35" s="3" t="b">
        <f>IF(AB35 = "", "", IF(AB35 &gt; 0, AA35 &lt; 0, AA35 &gt; 0))</f>
        <v>0</v>
      </c>
      <c r="AD35" s="3">
        <f>IF(AB35 = "", "", ABS(AB35 - AA35))</f>
        <v>5.551115123125783E-17</v>
      </c>
      <c r="AE35" s="3" t="str">
        <f>IF(AD35 = "", "", IF(AC35, IF(AND(AB35 &lt;&gt; 0, AA35 / AB35 &lt; -1), "B", IF(AND(AB35 &lt;&gt; 0, AA35 / AB35 &lt; 0), "A", IF(Y35 = 1, "A", "B"))), IF(AND(NOT(AC35), AD35 &gt; 0.01, ABS(AA35) &gt; ABS(AG35) + 0.001), "C+", IF(AND(NOT(AC35), AD35 &gt; 0.01, ABS(AA35) &lt; ABS(AG35) - 0.001), "C-", "D"))))</f>
        <v>D</v>
      </c>
      <c r="AF35" s="3" t="str">
        <f>IF(AE35 = "", "", IF(AE35 = "A", "stratify-immediately", IF(AE35 = "B", "investigate-confounder", IF(OR(AE35 = "C+", AE35 = "C-"), "check-allocation-bias", "pooled-analysis-trustworthy"))))</f>
        <v>pooled-analysis-trustworthy</v>
      </c>
      <c r="AG35" s="3">
        <f>AB35</f>
        <v>-0.12000000000000005</v>
      </c>
      <c r="AH35" s="3" t="str">
        <f>IF(AG35 = "", "", IF(ABS(AG35) &lt; 0.0001, "tie", IF(AG35 &gt; 0, D35, IF(AG35 &lt; 0, E35, "tie"))))</f>
        <v>B</v>
      </c>
      <c r="AI35" s="3" t="b">
        <f>IF(AH35 = "", "", AH35 = L35)</f>
        <v>1</v>
      </c>
      <c r="AJ35" s="3" t="str">
        <f>IF(AE35 = "", "", IF(AE35 = "A", "use-corrected-winner", IF(AE35 = "B", "use-corrected-winner-with-caution", IF(OR(AE35 = "C+", AE35 = "C-"), "check-allocation-bias", "pooled-analysis-trustworthy"))))</f>
        <v>pooled-analysis-trustworthy</v>
      </c>
      <c r="AK35" s="3" t="str">
        <f>IF(AG35 = "", "", IF(AC35, "reversal", IF(ABS(AA35) &gt; ABS(AG35) + 0.001, "amplification", IF(ABS(AA35) &lt; ABS(AG35) - 0.001, "compression", "neutral"))))</f>
        <v>neutral</v>
      </c>
      <c r="AL35" s="3">
        <f>IF(AG35 = "", "", IF(ABS(AG35) + AD35 = 0, 1, ABS(AG35) / (ABS(AG35) + AD35)))</f>
        <v>0.9999999999999996</v>
      </c>
      <c r="AM35" s="3" t="e">
        <f>LOOKUP(C35, SweepStudySummary[SweepStudyId], SweepStudySummary[PooledGapCrossesZero])</f>
        <v>#VALUE!</v>
      </c>
      <c r="AN35" s="3" t="e">
        <f>LOOKUP(C35, SweepStudySummary[SweepStudyId], SweepStudySummary[SweepPooledGapRange])</f>
        <v>#VALUE!</v>
      </c>
      <c r="AO35" s="3" t="e">
        <f>IF(AE35 = "", "", AND(AE35 = "D", AM35 = TRUE))</f>
        <v>#VALUE!</v>
      </c>
      <c r="AP35" s="3" t="e">
        <f>IF(OR(AN35 = "", T35 = "", T35 = 0), "", AN35 / ABS(T35))</f>
        <v>#VALUE!</v>
      </c>
      <c r="AQ35" s="3" t="e">
        <f>LOOKUP(C35, Studies[StudyId], Studies[Domain])</f>
        <v>#VALUE!</v>
      </c>
      <c r="AR35" s="5">
        <f>COUNTIFS(StratumVariables!C2:C999, C35,StratumVariables!E2:E999, "confounder")</f>
        <v>1</v>
      </c>
      <c r="AS35" s="5">
        <f>COUNTIFS(StratumVariables!C2:C999, C35,StratumVariables!J2:J999, "mediator") + COUNTIFS(StratumVariables!C2:C999, C35,StratumVariables!J2:J999, "collider")</f>
        <v>0</v>
      </c>
      <c r="AT35" s="5">
        <f>COUNTIFS(StratumVariables!C2:C999, C35,StratumVariables!E2:E999, "contested")</f>
        <v>0</v>
      </c>
      <c r="AU35" s="5">
        <f>COUNTIFS(StratumVariables!C2:C999, C35,StratumVariables!E2:E999, "unknown")</f>
        <v>0</v>
      </c>
      <c r="AV35" s="3" t="str">
        <f>IF(AT35 &gt; 0, "contested", IF(AU35 &gt; 0, "geometric-only", IF(AR35 &gt; 0, "established", "geometric-only")))</f>
        <v>established</v>
      </c>
      <c r="AW35" s="3" t="b">
        <f>AND(AS35 = 0, AV35 = "established")</f>
        <v>1</v>
      </c>
      <c r="AX35" s="2" t="s">
        <v>2654</v>
      </c>
    </row>
    <row r="36">
      <c r="A36" s="2" t="s">
        <v>2672</v>
      </c>
      <c r="B36" s="3" t="str">
        <f>A36</f>
        <v>gender-pay-gap-industry-A-vs-B</v>
      </c>
      <c r="C36" s="2" t="s">
        <v>547</v>
      </c>
      <c r="D36" s="2" t="s">
        <v>792</v>
      </c>
      <c r="E36" s="2" t="s">
        <v>795</v>
      </c>
      <c r="F36" s="5">
        <f>SUMIFS(CaseCells!G2:G999,CaseCells!C2:C999, C36,CaseCells!E2:E999, D36)</f>
        <v>1400</v>
      </c>
      <c r="G36" s="5">
        <f>SUMIFS(CaseCells!F2:F999,CaseCells!C2:C999, C36,CaseCells!E2:E999, D36)</f>
        <v>770</v>
      </c>
      <c r="H36" s="3">
        <f>IF(F36 = 0, "", G36 / F36)</f>
        <v>0.55</v>
      </c>
      <c r="I36" s="5">
        <f>SUMIFS(CaseCells!G2:G999,CaseCells!C2:C999, C36,CaseCells!E2:E999, E36)</f>
        <v>1400</v>
      </c>
      <c r="J36" s="5">
        <f>SUMIFS(CaseCells!F2:F999,CaseCells!C2:C999, C36,CaseCells!E2:E999, E36)</f>
        <v>910</v>
      </c>
      <c r="K36" s="3">
        <f>IF(I36 = 0, "", J36 / I36)</f>
        <v>0.65</v>
      </c>
      <c r="L36" s="3" t="str">
        <f>IF(OR(H36 = "", K36 = ""), "", IF(ABS(H36 - K36) &lt; 0.0000001, "tie", IF(H36 &gt; K36, D36, E36)))</f>
        <v>B</v>
      </c>
      <c r="M36" s="5">
        <f>COUNTIFS(StratumSummaries!C2:C999, C36,StratumSummaries!E2:E999, D36)</f>
        <v>3</v>
      </c>
      <c r="N36" s="5">
        <f>COUNTIFS(StratumSummaries!C2:C999, C36,StratumSummaries!E2:E999, D36,StratumSummaries!O2:O999, D36)</f>
        <v>0</v>
      </c>
      <c r="O36" s="5">
        <f>COUNTIFS(StratumSummaries!C2:C999, C36,StratumSummaries!E2:E999, D36,StratumSummaries!O2:O999, E36)</f>
        <v>3</v>
      </c>
      <c r="P36" s="3" t="str">
        <f>IF(N36 = M36, D36, IF(O36 = M36, E36, "none"))</f>
        <v>B</v>
      </c>
      <c r="Q36" s="3" t="b">
        <f>IF(AC36 = "", "", AC36)</f>
        <v>0</v>
      </c>
      <c r="R36" s="5">
        <f>COUNTIFS(StratumVariables!C2:C999, C36,StratumVariables!H2:H999, TRUE())</f>
        <v>1</v>
      </c>
      <c r="S36" s="3" t="b">
        <f>AND(Q36, R36 &gt; 0)</f>
        <v>0</v>
      </c>
      <c r="T36" s="3">
        <f>IF(H36 = "", "", ABS(H36 - K36))</f>
        <v>0.09999999999999998</v>
      </c>
      <c r="U36" s="5">
        <f>IF(L36 = D36, O36, N36)</f>
        <v>0</v>
      </c>
      <c r="V36" s="3">
        <f>IF(M36 = 0, "", T36 * (U36 / M36))</f>
        <v>0</v>
      </c>
      <c r="W36" s="3">
        <f>SUMIFS(StratumSummaries!S2:S999,StratumSummaries!C2:C999, C36,StratumSummaries!E2:E999, D36)</f>
        <v>0.53125</v>
      </c>
      <c r="X36" s="3">
        <f>SUMIFS(StratumSummaries!S2:S999,StratumSummaries!C2:C999, C36,StratumSummaries!E2:E999, E36)</f>
        <v>0.655</v>
      </c>
      <c r="Y36" s="3">
        <f>IF(M36 = 0, "", U36 / M36)</f>
        <v>0</v>
      </c>
      <c r="Z36" s="3">
        <f>IF(M36 = 0, "", Y36 - 0.5)</f>
        <v>-0.5</v>
      </c>
      <c r="AA36" s="3">
        <f>IF(H36 = "", "", H36 - K36)</f>
        <v>-0.09999999999999998</v>
      </c>
      <c r="AB36" s="3">
        <f>SUMIFS(StratumSummaries!AB2:AB999,StratumSummaries!C2:C999, C36,StratumSummaries!E2:E999, D36)</f>
        <v>-0.12375000000000001</v>
      </c>
      <c r="AC36" s="3" t="b">
        <f>IF(AB36 = "", "", IF(AB36 &gt; 0, AA36 &lt; 0, AA36 &gt; 0))</f>
        <v>0</v>
      </c>
      <c r="AD36" s="3">
        <f>IF(AB36 = "", "", ABS(AB36 - AA36))</f>
        <v>0.023750000000000035</v>
      </c>
      <c r="AE36" s="3" t="str">
        <f>IF(AD36 = "", "", IF(AC36, IF(AND(AB36 &lt;&gt; 0, AA36 / AB36 &lt; -1), "B", IF(AND(AB36 &lt;&gt; 0, AA36 / AB36 &lt; 0), "A", IF(Y36 = 1, "A", "B"))), IF(AND(NOT(AC36), AD36 &gt; 0.01, ABS(AA36) &gt; ABS(AG36) + 0.001), "C+", IF(AND(NOT(AC36), AD36 &gt; 0.01, ABS(AA36) &lt; ABS(AG36) - 0.001), "C-", "D"))))</f>
        <v>C-</v>
      </c>
      <c r="AF36" s="3" t="str">
        <f>IF(AE36 = "", "", IF(AE36 = "A", "stratify-immediately", IF(AE36 = "B", "investigate-confounder", IF(OR(AE36 = "C+", AE36 = "C-"), "check-allocation-bias", "pooled-analysis-trustworthy"))))</f>
        <v>check-allocation-bias</v>
      </c>
      <c r="AG36" s="3">
        <f>AB36</f>
        <v>-0.12375000000000001</v>
      </c>
      <c r="AH36" s="3" t="str">
        <f>IF(AG36 = "", "", IF(ABS(AG36) &lt; 0.0001, "tie", IF(AG36 &gt; 0, D36, IF(AG36 &lt; 0, E36, "tie"))))</f>
        <v>B</v>
      </c>
      <c r="AI36" s="3" t="b">
        <f>IF(AH36 = "", "", AH36 = L36)</f>
        <v>1</v>
      </c>
      <c r="AJ36" s="3" t="str">
        <f>IF(AE36 = "", "", IF(AE36 = "A", "use-corrected-winner", IF(AE36 = "B", "use-corrected-winner-with-caution", IF(OR(AE36 = "C+", AE36 = "C-"), "check-allocation-bias", "pooled-analysis-trustworthy"))))</f>
        <v>check-allocation-bias</v>
      </c>
      <c r="AK36" s="3" t="str">
        <f>IF(AG36 = "", "", IF(AC36, "reversal", IF(ABS(AA36) &gt; ABS(AG36) + 0.001, "amplification", IF(ABS(AA36) &lt; ABS(AG36) - 0.001, "compression", "neutral"))))</f>
        <v>compression</v>
      </c>
      <c r="AL36" s="3">
        <f>IF(AG36 = "", "", IF(ABS(AG36) + AD36 = 0, 1, ABS(AG36) / (ABS(AG36) + AD36)))</f>
        <v>0.8389830508474574</v>
      </c>
      <c r="AM36" s="3" t="e">
        <f>LOOKUP(C36, SweepStudySummary[SweepStudyId], SweepStudySummary[PooledGapCrossesZero])</f>
        <v>#VALUE!</v>
      </c>
      <c r="AN36" s="3" t="e">
        <f>LOOKUP(C36, SweepStudySummary[SweepStudyId], SweepStudySummary[SweepPooledGapRange])</f>
        <v>#VALUE!</v>
      </c>
      <c r="AO36" s="3" t="e">
        <f>IF(AE36 = "", "", AND(AE36 = "D", AM36 = TRUE))</f>
        <v>#VALUE!</v>
      </c>
      <c r="AP36" s="3" t="e">
        <f>IF(OR(AN36 = "", T36 = "", T36 = 0), "", AN36 / ABS(T36))</f>
        <v>#VALUE!</v>
      </c>
      <c r="AQ36" s="3" t="e">
        <f>LOOKUP(C36, Studies[StudyId], Studies[Domain])</f>
        <v>#VALUE!</v>
      </c>
      <c r="AR36" s="5">
        <f>COUNTIFS(StratumVariables!C2:C999, C36,StratumVariables!E2:E999, "confounder")</f>
        <v>1</v>
      </c>
      <c r="AS36" s="5">
        <f>COUNTIFS(StratumVariables!C2:C999, C36,StratumVariables!J2:J999, "mediator") + COUNTIFS(StratumVariables!C2:C999, C36,StratumVariables!J2:J999, "collider")</f>
        <v>0</v>
      </c>
      <c r="AT36" s="5">
        <f>COUNTIFS(StratumVariables!C2:C999, C36,StratumVariables!E2:E999, "contested")</f>
        <v>0</v>
      </c>
      <c r="AU36" s="5">
        <f>COUNTIFS(StratumVariables!C2:C999, C36,StratumVariables!E2:E999, "unknown")</f>
        <v>0</v>
      </c>
      <c r="AV36" s="3" t="str">
        <f>IF(AT36 &gt; 0, "contested", IF(AU36 &gt; 0, "geometric-only", IF(AR36 &gt; 0, "established", "geometric-only")))</f>
        <v>established</v>
      </c>
      <c r="AW36" s="3" t="b">
        <f>AND(AS36 = 0, AV36 = "established")</f>
        <v>1</v>
      </c>
      <c r="AX36" s="2" t="s">
        <v>2654</v>
      </c>
    </row>
    <row r="37">
      <c r="A37" s="2" t="s">
        <v>2673</v>
      </c>
      <c r="B37" s="3" t="str">
        <f>A37</f>
        <v>income-education-state-A-vs-B</v>
      </c>
      <c r="C37" s="2" t="s">
        <v>551</v>
      </c>
      <c r="D37" s="2" t="s">
        <v>792</v>
      </c>
      <c r="E37" s="2" t="s">
        <v>795</v>
      </c>
      <c r="F37" s="5">
        <f>SUMIFS(CaseCells!G2:G999,CaseCells!C2:C999, C37,CaseCells!E2:E999, D37)</f>
        <v>1900</v>
      </c>
      <c r="G37" s="5">
        <f>SUMIFS(CaseCells!F2:F999,CaseCells!C2:C999, C37,CaseCells!E2:E999, D37)</f>
        <v>1300</v>
      </c>
      <c r="H37" s="3">
        <f>IF(F37 = 0, "", G37 / F37)</f>
        <v>0.6842105263157895</v>
      </c>
      <c r="I37" s="5">
        <f>SUMIFS(CaseCells!G2:G999,CaseCells!C2:C999, C37,CaseCells!E2:E999, E37)</f>
        <v>1700</v>
      </c>
      <c r="J37" s="5">
        <f>SUMIFS(CaseCells!F2:F999,CaseCells!C2:C999, C37,CaseCells!E2:E999, E37)</f>
        <v>850</v>
      </c>
      <c r="K37" s="3">
        <f>IF(I37 = 0, "", J37 / I37)</f>
        <v>0.5</v>
      </c>
      <c r="L37" s="3" t="str">
        <f>IF(OR(H37 = "", K37 = ""), "", IF(ABS(H37 - K37) &lt; 0.0000001, "tie", IF(H37 &gt; K37, D37, E37)))</f>
        <v>A</v>
      </c>
      <c r="M37" s="5">
        <f>COUNTIFS(StratumSummaries!C2:C999, C37,StratumSummaries!E2:E999, D37)</f>
        <v>2</v>
      </c>
      <c r="N37" s="5">
        <f>COUNTIFS(StratumSummaries!C2:C999, C37,StratumSummaries!E2:E999, D37,StratumSummaries!O2:O999, D37)</f>
        <v>2</v>
      </c>
      <c r="O37" s="5">
        <f>COUNTIFS(StratumSummaries!C2:C999, C37,StratumSummaries!E2:E999, D37,StratumSummaries!O2:O999, E37)</f>
        <v>0</v>
      </c>
      <c r="P37" s="3" t="str">
        <f>IF(N37 = M37, D37, IF(O37 = M37, E37, "none"))</f>
        <v>A</v>
      </c>
      <c r="Q37" s="3" t="b">
        <f>IF(AC37 = "", "", AC37)</f>
        <v>0</v>
      </c>
      <c r="R37" s="5">
        <f>COUNTIFS(StratumVariables!C2:C999, C37,StratumVariables!H2:H999, TRUE())</f>
        <v>1</v>
      </c>
      <c r="S37" s="3" t="b">
        <f>AND(Q37, R37 &gt; 0)</f>
        <v>0</v>
      </c>
      <c r="T37" s="3">
        <f>IF(H37 = "", "", ABS(H37 - K37))</f>
        <v>0.1842105263157895</v>
      </c>
      <c r="U37" s="5">
        <f>IF(L37 = D37, O37, N37)</f>
        <v>0</v>
      </c>
      <c r="V37" s="3">
        <f>IF(M37 = 0, "", T37 * (U37 / M37))</f>
        <v>0</v>
      </c>
      <c r="W37" s="3">
        <f>SUMIFS(StratumSummaries!S2:S999,StratumSummaries!C2:C999, C37,StratumSummaries!E2:E999, D37)</f>
        <v>0.6777777777777778</v>
      </c>
      <c r="X37" s="3">
        <f>SUMIFS(StratumSummaries!S2:S999,StratumSummaries!C2:C999, C37,StratumSummaries!E2:E999, E37)</f>
        <v>0.5</v>
      </c>
      <c r="Y37" s="3">
        <f>IF(M37 = 0, "", U37 / M37)</f>
        <v>0</v>
      </c>
      <c r="Z37" s="3">
        <f>IF(M37 = 0, "", Y37 - 0.5)</f>
        <v>-0.5</v>
      </c>
      <c r="AA37" s="3">
        <f>IF(H37 = "", "", H37 - K37)</f>
        <v>0.1842105263157895</v>
      </c>
      <c r="AB37" s="3">
        <f>SUMIFS(StratumSummaries!AB2:AB999,StratumSummaries!C2:C999, C37,StratumSummaries!E2:E999, D37)</f>
        <v>0.1777777777777778</v>
      </c>
      <c r="AC37" s="3" t="b">
        <f>IF(AB37 = "", "", IF(AB37 &gt; 0, AA37 &lt; 0, AA37 &gt; 0))</f>
        <v>0</v>
      </c>
      <c r="AD37" s="3">
        <f>IF(AB37 = "", "", ABS(AB37 - AA37))</f>
        <v>0.006432748538011679</v>
      </c>
      <c r="AE37" s="3" t="str">
        <f>IF(AD37 = "", "", IF(AC37, IF(AND(AB37 &lt;&gt; 0, AA37 / AB37 &lt; -1), "B", IF(AND(AB37 &lt;&gt; 0, AA37 / AB37 &lt; 0), "A", IF(Y37 = 1, "A", "B"))), IF(AND(NOT(AC37), AD37 &gt; 0.01, ABS(AA37) &gt; ABS(AG37) + 0.001), "C+", IF(AND(NOT(AC37), AD37 &gt; 0.01, ABS(AA37) &lt; ABS(AG37) - 0.001), "C-", "D"))))</f>
        <v>D</v>
      </c>
      <c r="AF37" s="3" t="str">
        <f>IF(AE37 = "", "", IF(AE37 = "A", "stratify-immediately", IF(AE37 = "B", "investigate-confounder", IF(OR(AE37 = "C+", AE37 = "C-"), "check-allocation-bias", "pooled-analysis-trustworthy"))))</f>
        <v>pooled-analysis-trustworthy</v>
      </c>
      <c r="AG37" s="3">
        <f>AB37</f>
        <v>0.1777777777777778</v>
      </c>
      <c r="AH37" s="3" t="str">
        <f>IF(AG37 = "", "", IF(ABS(AG37) &lt; 0.0001, "tie", IF(AG37 &gt; 0, D37, IF(AG37 &lt; 0, E37, "tie"))))</f>
        <v>A</v>
      </c>
      <c r="AI37" s="3" t="b">
        <f>IF(AH37 = "", "", AH37 = L37)</f>
        <v>1</v>
      </c>
      <c r="AJ37" s="3" t="str">
        <f>IF(AE37 = "", "", IF(AE37 = "A", "use-corrected-winner", IF(AE37 = "B", "use-corrected-winner-with-caution", IF(OR(AE37 = "C+", AE37 = "C-"), "check-allocation-bias", "pooled-analysis-trustworthy"))))</f>
        <v>pooled-analysis-trustworthy</v>
      </c>
      <c r="AK37" s="3" t="str">
        <f>IF(AG37 = "", "", IF(AC37, "reversal", IF(ABS(AA37) &gt; ABS(AG37) + 0.001, "amplification", IF(ABS(AA37) &lt; ABS(AG37) - 0.001, "compression", "neutral"))))</f>
        <v>amplification</v>
      </c>
      <c r="AL37" s="3">
        <f>IF(AG37 = "", "", IF(ABS(AG37) + AD37 = 0, 1, ABS(AG37) / (ABS(AG37) + AD37)))</f>
        <v>0.9650793650793652</v>
      </c>
      <c r="AM37" s="3" t="e">
        <f>LOOKUP(C37, SweepStudySummary[SweepStudyId], SweepStudySummary[PooledGapCrossesZero])</f>
        <v>#VALUE!</v>
      </c>
      <c r="AN37" s="3" t="e">
        <f>LOOKUP(C37, SweepStudySummary[SweepStudyId], SweepStudySummary[SweepPooledGapRange])</f>
        <v>#VALUE!</v>
      </c>
      <c r="AO37" s="3" t="e">
        <f>IF(AE37 = "", "", AND(AE37 = "D", AM37 = TRUE))</f>
        <v>#VALUE!</v>
      </c>
      <c r="AP37" s="3" t="e">
        <f>IF(OR(AN37 = "", T37 = "", T37 = 0), "", AN37 / ABS(T37))</f>
        <v>#VALUE!</v>
      </c>
      <c r="AQ37" s="3" t="e">
        <f>LOOKUP(C37, Studies[StudyId], Studies[Domain])</f>
        <v>#VALUE!</v>
      </c>
      <c r="AR37" s="5">
        <f>COUNTIFS(StratumVariables!C2:C999, C37,StratumVariables!E2:E999, "confounder")</f>
        <v>1</v>
      </c>
      <c r="AS37" s="5">
        <f>COUNTIFS(StratumVariables!C2:C999, C37,StratumVariables!J2:J999, "mediator") + COUNTIFS(StratumVariables!C2:C999, C37,StratumVariables!J2:J999, "collider")</f>
        <v>0</v>
      </c>
      <c r="AT37" s="5">
        <f>COUNTIFS(StratumVariables!C2:C999, C37,StratumVariables!E2:E999, "contested")</f>
        <v>0</v>
      </c>
      <c r="AU37" s="5">
        <f>COUNTIFS(StratumVariables!C2:C999, C37,StratumVariables!E2:E999, "unknown")</f>
        <v>0</v>
      </c>
      <c r="AV37" s="3" t="str">
        <f>IF(AT37 &gt; 0, "contested", IF(AU37 &gt; 0, "geometric-only", IF(AR37 &gt; 0, "established", "geometric-only")))</f>
        <v>established</v>
      </c>
      <c r="AW37" s="3" t="b">
        <f>AND(AS37 = 0, AV37 = "established")</f>
        <v>1</v>
      </c>
      <c r="AX37" s="2" t="s">
        <v>2654</v>
      </c>
    </row>
    <row r="38">
      <c r="A38" s="2" t="s">
        <v>2674</v>
      </c>
      <c r="B38" s="3" t="str">
        <f>A38</f>
        <v>florida-reef-fish-1994-A-vs-B</v>
      </c>
      <c r="C38" s="2" t="s">
        <v>555</v>
      </c>
      <c r="D38" s="2" t="s">
        <v>792</v>
      </c>
      <c r="E38" s="2" t="s">
        <v>795</v>
      </c>
      <c r="F38" s="5">
        <f>SUMIFS(CaseCells!G2:G999,CaseCells!C2:C999, C38,CaseCells!E2:E999, D38)</f>
        <v>800</v>
      </c>
      <c r="G38" s="5">
        <f>SUMIFS(CaseCells!F2:F999,CaseCells!C2:C999, C38,CaseCells!E2:E999, D38)</f>
        <v>570</v>
      </c>
      <c r="H38" s="3">
        <f>IF(F38 = 0, "", G38 / F38)</f>
        <v>0.7125</v>
      </c>
      <c r="I38" s="5">
        <f>SUMIFS(CaseCells!G2:G999,CaseCells!C2:C999, C38,CaseCells!E2:E999, E38)</f>
        <v>800</v>
      </c>
      <c r="J38" s="5">
        <f>SUMIFS(CaseCells!F2:F999,CaseCells!C2:C999, C38,CaseCells!E2:E999, E38)</f>
        <v>530</v>
      </c>
      <c r="K38" s="3">
        <f>IF(I38 = 0, "", J38 / I38)</f>
        <v>0.6625</v>
      </c>
      <c r="L38" s="3" t="str">
        <f>IF(OR(H38 = "", K38 = ""), "", IF(ABS(H38 - K38) &lt; 0.0000001, "tie", IF(H38 &gt; K38, D38, E38)))</f>
        <v>A</v>
      </c>
      <c r="M38" s="5">
        <f>COUNTIFS(StratumSummaries!C2:C999, C38,StratumSummaries!E2:E999, D38)</f>
        <v>2</v>
      </c>
      <c r="N38" s="5">
        <f>COUNTIFS(StratumSummaries!C2:C999, C38,StratumSummaries!E2:E999, D38,StratumSummaries!O2:O999, D38)</f>
        <v>1</v>
      </c>
      <c r="O38" s="5">
        <f>COUNTIFS(StratumSummaries!C2:C999, C38,StratumSummaries!E2:E999, D38,StratumSummaries!O2:O999, E38)</f>
        <v>1</v>
      </c>
      <c r="P38" s="3" t="str">
        <f>IF(N38 = M38, D38, IF(O38 = M38, E38, "none"))</f>
        <v>none</v>
      </c>
      <c r="Q38" s="3" t="b">
        <f>IF(AC38 = "", "", AC38)</f>
        <v>0</v>
      </c>
      <c r="R38" s="5">
        <f>COUNTIFS(StratumVariables!C2:C999, C38,StratumVariables!H2:H999, TRUE())</f>
        <v>1</v>
      </c>
      <c r="S38" s="3" t="b">
        <f>AND(Q38, R38 &gt; 0)</f>
        <v>0</v>
      </c>
      <c r="T38" s="3">
        <f>IF(H38 = "", "", ABS(H38 - K38))</f>
        <v>0.050000000000000044</v>
      </c>
      <c r="U38" s="5">
        <f>IF(L38 = D38, O38, N38)</f>
        <v>1</v>
      </c>
      <c r="V38" s="3">
        <f>IF(M38 = 0, "", T38 * (U38 / M38))</f>
        <v>0.025000000000000022</v>
      </c>
      <c r="W38" s="3">
        <f>SUMIFS(StratumSummaries!S2:S999,StratumSummaries!C2:C999, C38,StratumSummaries!E2:E999, D38)</f>
        <v>0.7125</v>
      </c>
      <c r="X38" s="3">
        <f>SUMIFS(StratumSummaries!S2:S999,StratumSummaries!C2:C999, C38,StratumSummaries!E2:E999, E38)</f>
        <v>0.6625</v>
      </c>
      <c r="Y38" s="3">
        <f>IF(M38 = 0, "", U38 / M38)</f>
        <v>0.5</v>
      </c>
      <c r="Z38" s="3">
        <f>IF(M38 = 0, "", Y38 - 0.5)</f>
        <v>0</v>
      </c>
      <c r="AA38" s="3">
        <f>IF(H38 = "", "", H38 - K38)</f>
        <v>0.050000000000000044</v>
      </c>
      <c r="AB38" s="3">
        <f>SUMIFS(StratumSummaries!AB2:AB999,StratumSummaries!C2:C999, C38,StratumSummaries!E2:E999, D38)</f>
        <v>0.05000000000000002</v>
      </c>
      <c r="AC38" s="3" t="b">
        <f>IF(AB38 = "", "", IF(AB38 &gt; 0, AA38 &lt; 0, AA38 &gt; 0))</f>
        <v>0</v>
      </c>
      <c r="AD38" s="3">
        <f>IF(AB38 = "", "", ABS(AB38 - AA38))</f>
        <v>2.7755575615628914E-17</v>
      </c>
      <c r="AE38" s="3" t="str">
        <f>IF(AD38 = "", "", IF(AC38, IF(AND(AB38 &lt;&gt; 0, AA38 / AB38 &lt; -1), "B", IF(AND(AB38 &lt;&gt; 0, AA38 / AB38 &lt; 0), "A", IF(Y38 = 1, "A", "B"))), IF(AND(NOT(AC38), AD38 &gt; 0.01, ABS(AA38) &gt; ABS(AG38) + 0.001), "C+", IF(AND(NOT(AC38), AD38 &gt; 0.01, ABS(AA38) &lt; ABS(AG38) - 0.001), "C-", "D"))))</f>
        <v>D</v>
      </c>
      <c r="AF38" s="3" t="str">
        <f>IF(AE38 = "", "", IF(AE38 = "A", "stratify-immediately", IF(AE38 = "B", "investigate-confounder", IF(OR(AE38 = "C+", AE38 = "C-"), "check-allocation-bias", "pooled-analysis-trustworthy"))))</f>
        <v>pooled-analysis-trustworthy</v>
      </c>
      <c r="AG38" s="3">
        <f>AB38</f>
        <v>0.05000000000000002</v>
      </c>
      <c r="AH38" s="3" t="str">
        <f>IF(AG38 = "", "", IF(ABS(AG38) &lt; 0.0001, "tie", IF(AG38 &gt; 0, D38, IF(AG38 &lt; 0, E38, "tie"))))</f>
        <v>A</v>
      </c>
      <c r="AI38" s="3" t="b">
        <f>IF(AH38 = "", "", AH38 = L38)</f>
        <v>1</v>
      </c>
      <c r="AJ38" s="3" t="str">
        <f>IF(AE38 = "", "", IF(AE38 = "A", "use-corrected-winner", IF(AE38 = "B", "use-corrected-winner-with-caution", IF(OR(AE38 = "C+", AE38 = "C-"), "check-allocation-bias", "pooled-analysis-trustworthy"))))</f>
        <v>pooled-analysis-trustworthy</v>
      </c>
      <c r="AK38" s="3" t="str">
        <f>IF(AG38 = "", "", IF(AC38, "reversal", IF(ABS(AA38) &gt; ABS(AG38) + 0.001, "amplification", IF(ABS(AA38) &lt; ABS(AG38) - 0.001, "compression", "neutral"))))</f>
        <v>neutral</v>
      </c>
      <c r="AL38" s="3">
        <f>IF(AG38 = "", "", IF(ABS(AG38) + AD38 = 0, 1, ABS(AG38) / (ABS(AG38) + AD38)))</f>
        <v>0.9999999999999994</v>
      </c>
      <c r="AM38" s="3" t="e">
        <f>LOOKUP(C38, SweepStudySummary[SweepStudyId], SweepStudySummary[PooledGapCrossesZero])</f>
        <v>#VALUE!</v>
      </c>
      <c r="AN38" s="3" t="e">
        <f>LOOKUP(C38, SweepStudySummary[SweepStudyId], SweepStudySummary[SweepPooledGapRange])</f>
        <v>#VALUE!</v>
      </c>
      <c r="AO38" s="3" t="e">
        <f>IF(AE38 = "", "", AND(AE38 = "D", AM38 = TRUE))</f>
        <v>#VALUE!</v>
      </c>
      <c r="AP38" s="3" t="e">
        <f>IF(OR(AN38 = "", T38 = "", T38 = 0), "", AN38 / ABS(T38))</f>
        <v>#VALUE!</v>
      </c>
      <c r="AQ38" s="3" t="e">
        <f>LOOKUP(C38, Studies[StudyId], Studies[Domain])</f>
        <v>#VALUE!</v>
      </c>
      <c r="AR38" s="5">
        <f>COUNTIFS(StratumVariables!C2:C999, C38,StratumVariables!E2:E999, "confounder")</f>
        <v>1</v>
      </c>
      <c r="AS38" s="5">
        <f>COUNTIFS(StratumVariables!C2:C999, C38,StratumVariables!J2:J999, "mediator") + COUNTIFS(StratumVariables!C2:C999, C38,StratumVariables!J2:J999, "collider")</f>
        <v>0</v>
      </c>
      <c r="AT38" s="5">
        <f>COUNTIFS(StratumVariables!C2:C999, C38,StratumVariables!E2:E999, "contested")</f>
        <v>0</v>
      </c>
      <c r="AU38" s="5">
        <f>COUNTIFS(StratumVariables!C2:C999, C38,StratumVariables!E2:E999, "unknown")</f>
        <v>0</v>
      </c>
      <c r="AV38" s="3" t="str">
        <f>IF(AT38 &gt; 0, "contested", IF(AU38 &gt; 0, "geometric-only", IF(AR38 &gt; 0, "established", "geometric-only")))</f>
        <v>established</v>
      </c>
      <c r="AW38" s="3" t="b">
        <f>AND(AS38 = 0, AV38 = "established")</f>
        <v>1</v>
      </c>
      <c r="AX38" s="2" t="s">
        <v>2654</v>
      </c>
    </row>
    <row r="39">
      <c r="A39" s="2" t="s">
        <v>2675</v>
      </c>
      <c r="B39" s="3" t="str">
        <f>A39</f>
        <v>uc-irvine-admissions-1985-A-vs-B</v>
      </c>
      <c r="C39" s="2" t="s">
        <v>558</v>
      </c>
      <c r="D39" s="2" t="s">
        <v>792</v>
      </c>
      <c r="E39" s="2" t="s">
        <v>795</v>
      </c>
      <c r="F39" s="5">
        <f>SUMIFS(CaseCells!G2:G999,CaseCells!C2:C999, C39,CaseCells!E2:E999, D39)</f>
        <v>1150</v>
      </c>
      <c r="G39" s="5">
        <f>SUMIFS(CaseCells!F2:F999,CaseCells!C2:C999, C39,CaseCells!E2:E999, D39)</f>
        <v>390</v>
      </c>
      <c r="H39" s="3">
        <f>IF(F39 = 0, "", G39 / F39)</f>
        <v>0.3391304347826087</v>
      </c>
      <c r="I39" s="5">
        <f>SUMIFS(CaseCells!G2:G999,CaseCells!C2:C999, C39,CaseCells!E2:E999, E39)</f>
        <v>1030</v>
      </c>
      <c r="J39" s="5">
        <f>SUMIFS(CaseCells!F2:F999,CaseCells!C2:C999, C39,CaseCells!E2:E999, E39)</f>
        <v>440</v>
      </c>
      <c r="K39" s="3">
        <f>IF(I39 = 0, "", J39 / I39)</f>
        <v>0.42718446601941745</v>
      </c>
      <c r="L39" s="3" t="str">
        <f>IF(OR(H39 = "", K39 = ""), "", IF(ABS(H39 - K39) &lt; 0.0000001, "tie", IF(H39 &gt; K39, D39, E39)))</f>
        <v>B</v>
      </c>
      <c r="M39" s="5">
        <f>COUNTIFS(StratumSummaries!C2:C999, C39,StratumSummaries!E2:E999, D39)</f>
        <v>4</v>
      </c>
      <c r="N39" s="5">
        <f>COUNTIFS(StratumSummaries!C2:C999, C39,StratumSummaries!E2:E999, D39,StratumSummaries!O2:O999, D39)</f>
        <v>1</v>
      </c>
      <c r="O39" s="5">
        <f>COUNTIFS(StratumSummaries!C2:C999, C39,StratumSummaries!E2:E999, D39,StratumSummaries!O2:O999, E39)</f>
        <v>3</v>
      </c>
      <c r="P39" s="3" t="str">
        <f>IF(N39 = M39, D39, IF(O39 = M39, E39, "none"))</f>
        <v>none</v>
      </c>
      <c r="Q39" s="3" t="b">
        <f>IF(AC39 = "", "", AC39)</f>
        <v>0</v>
      </c>
      <c r="R39" s="5">
        <f>COUNTIFS(StratumVariables!C2:C999, C39,StratumVariables!H2:H999, TRUE())</f>
        <v>0</v>
      </c>
      <c r="S39" s="3" t="b">
        <f>AND(Q39, R39 &gt; 0)</f>
        <v>0</v>
      </c>
      <c r="T39" s="3">
        <f>IF(H39 = "", "", ABS(H39 - K39))</f>
        <v>0.08805403123680877</v>
      </c>
      <c r="U39" s="5">
        <f>IF(L39 = D39, O39, N39)</f>
        <v>1</v>
      </c>
      <c r="V39" s="3">
        <f>IF(M39 = 0, "", T39 * (U39 / M39))</f>
        <v>0.022013507809202193</v>
      </c>
      <c r="W39" s="3">
        <f>SUMIFS(StratumSummaries!S2:S999,StratumSummaries!C2:C999, C39,StratumSummaries!E2:E999, D39)</f>
        <v>0.3446483180428135</v>
      </c>
      <c r="X39" s="3">
        <f>SUMIFS(StratumSummaries!S2:S999,StratumSummaries!C2:C999, C39,StratumSummaries!E2:E999, E39)</f>
        <v>0.4022498907820009</v>
      </c>
      <c r="Y39" s="3">
        <f>IF(M39 = 0, "", U39 / M39)</f>
        <v>0.25</v>
      </c>
      <c r="Z39" s="3">
        <f>IF(M39 = 0, "", Y39 - 0.5)</f>
        <v>-0.25</v>
      </c>
      <c r="AA39" s="3">
        <f>IF(H39 = "", "", H39 - K39)</f>
        <v>-0.08805403123680877</v>
      </c>
      <c r="AB39" s="3">
        <f>SUMIFS(StratumSummaries!AB2:AB999,StratumSummaries!C2:C999, C39,StratumSummaries!E2:E999, D39)</f>
        <v>-0.05760157273918743</v>
      </c>
      <c r="AC39" s="3" t="b">
        <f>IF(AB39 = "", "", IF(AB39 &gt; 0, AA39 &lt; 0, AA39 &gt; 0))</f>
        <v>0</v>
      </c>
      <c r="AD39" s="3">
        <f>IF(AB39 = "", "", ABS(AB39 - AA39))</f>
        <v>0.03045245849762134</v>
      </c>
      <c r="AE39" s="3" t="str">
        <f>IF(AD39 = "", "", IF(AC39, IF(AND(AB39 &lt;&gt; 0, AA39 / AB39 &lt; -1), "B", IF(AND(AB39 &lt;&gt; 0, AA39 / AB39 &lt; 0), "A", IF(Y39 = 1, "A", "B"))), IF(AND(NOT(AC39), AD39 &gt; 0.01, ABS(AA39) &gt; ABS(AG39) + 0.001), "C+", IF(AND(NOT(AC39), AD39 &gt; 0.01, ABS(AA39) &lt; ABS(AG39) - 0.001), "C-", "D"))))</f>
        <v>C+</v>
      </c>
      <c r="AF39" s="3" t="str">
        <f>IF(AE39 = "", "", IF(AE39 = "A", "stratify-immediately", IF(AE39 = "B", "investigate-confounder", IF(OR(AE39 = "C+", AE39 = "C-"), "check-allocation-bias", "pooled-analysis-trustworthy"))))</f>
        <v>check-allocation-bias</v>
      </c>
      <c r="AG39" s="3">
        <f>AB39</f>
        <v>-0.05760157273918743</v>
      </c>
      <c r="AH39" s="3" t="str">
        <f>IF(AG39 = "", "", IF(ABS(AG39) &lt; 0.0001, "tie", IF(AG39 &gt; 0, D39, IF(AG39 &lt; 0, E39, "tie"))))</f>
        <v>B</v>
      </c>
      <c r="AI39" s="3" t="b">
        <f>IF(AH39 = "", "", AH39 = L39)</f>
        <v>1</v>
      </c>
      <c r="AJ39" s="3" t="str">
        <f>IF(AE39 = "", "", IF(AE39 = "A", "use-corrected-winner", IF(AE39 = "B", "use-corrected-winner-with-caution", IF(OR(AE39 = "C+", AE39 = "C-"), "check-allocation-bias", "pooled-analysis-trustworthy"))))</f>
        <v>check-allocation-bias</v>
      </c>
      <c r="AK39" s="3" t="str">
        <f>IF(AG39 = "", "", IF(AC39, "reversal", IF(ABS(AA39) &gt; ABS(AG39) + 0.001, "amplification", IF(ABS(AA39) &lt; ABS(AG39) - 0.001, "compression", "neutral"))))</f>
        <v>amplification</v>
      </c>
      <c r="AL39" s="3">
        <f>IF(AG39 = "", "", IF(ABS(AG39) + AD39 = 0, 1, ABS(AG39) / (ABS(AG39) + AD39)))</f>
        <v>0.654161676985307</v>
      </c>
      <c r="AM39" s="3" t="e">
        <f>LOOKUP(C39, SweepStudySummary[SweepStudyId], SweepStudySummary[PooledGapCrossesZero])</f>
        <v>#VALUE!</v>
      </c>
      <c r="AN39" s="3" t="e">
        <f>LOOKUP(C39, SweepStudySummary[SweepStudyId], SweepStudySummary[SweepPooledGapRange])</f>
        <v>#VALUE!</v>
      </c>
      <c r="AO39" s="3" t="e">
        <f>IF(AE39 = "", "", AND(AE39 = "D", AM39 = TRUE))</f>
        <v>#VALUE!</v>
      </c>
      <c r="AP39" s="3" t="e">
        <f>IF(OR(AN39 = "", T39 = "", T39 = 0), "", AN39 / ABS(T39))</f>
        <v>#VALUE!</v>
      </c>
      <c r="AQ39" s="3" t="e">
        <f>LOOKUP(C39, Studies[StudyId], Studies[Domain])</f>
        <v>#VALUE!</v>
      </c>
      <c r="AR39" s="5">
        <f>COUNTIFS(StratumVariables!C2:C999, C39,StratumVariables!E2:E999, "confounder")</f>
        <v>0</v>
      </c>
      <c r="AS39" s="5">
        <f>COUNTIFS(StratumVariables!C2:C999, C39,StratumVariables!J2:J999, "mediator") + COUNTIFS(StratumVariables!C2:C999, C39,StratumVariables!J2:J999, "collider")</f>
        <v>0</v>
      </c>
      <c r="AT39" s="5">
        <f>COUNTIFS(StratumVariables!C2:C999, C39,StratumVariables!E2:E999, "contested")</f>
        <v>1</v>
      </c>
      <c r="AU39" s="5">
        <f>COUNTIFS(StratumVariables!C2:C999, C39,StratumVariables!E2:E999, "unknown")</f>
        <v>0</v>
      </c>
      <c r="AV39" s="3" t="str">
        <f>IF(AT39 &gt; 0, "contested", IF(AU39 &gt; 0, "geometric-only", IF(AR39 &gt; 0, "established", "geometric-only")))</f>
        <v>contested</v>
      </c>
      <c r="AW39" s="3" t="b">
        <f>AND(AS39 = 0, AV39 = "established")</f>
        <v>0</v>
      </c>
      <c r="AX39" s="2" t="s">
        <v>2676</v>
      </c>
    </row>
    <row r="40">
      <c r="A40" s="2" t="s">
        <v>2677</v>
      </c>
      <c r="B40" s="3" t="str">
        <f>A40</f>
        <v>cesarean-birth-weight-2006-A-vs-B</v>
      </c>
      <c r="C40" s="2" t="s">
        <v>561</v>
      </c>
      <c r="D40" s="2" t="s">
        <v>792</v>
      </c>
      <c r="E40" s="2" t="s">
        <v>795</v>
      </c>
      <c r="F40" s="5">
        <f>SUMIFS(CaseCells!G2:G999,CaseCells!C2:C999, C40,CaseCells!E2:E999, D40)</f>
        <v>5800</v>
      </c>
      <c r="G40" s="5">
        <f>SUMIFS(CaseCells!F2:F999,CaseCells!C2:C999, C40,CaseCells!E2:E999, D40)</f>
        <v>1600</v>
      </c>
      <c r="H40" s="3">
        <f>IF(F40 = 0, "", G40 / F40)</f>
        <v>0.27586206896551724</v>
      </c>
      <c r="I40" s="5">
        <f>SUMIFS(CaseCells!G2:G999,CaseCells!C2:C999, C40,CaseCells!E2:E999, E40)</f>
        <v>2600</v>
      </c>
      <c r="J40" s="5">
        <f>SUMIFS(CaseCells!F2:F999,CaseCells!C2:C999, C40,CaseCells!E2:E999, E40)</f>
        <v>1150</v>
      </c>
      <c r="K40" s="3">
        <f>IF(I40 = 0, "", J40 / I40)</f>
        <v>0.4423076923076923</v>
      </c>
      <c r="L40" s="3" t="str">
        <f>IF(OR(H40 = "", K40 = ""), "", IF(ABS(H40 - K40) &lt; 0.0000001, "tie", IF(H40 &gt; K40, D40, E40)))</f>
        <v>B</v>
      </c>
      <c r="M40" s="5">
        <f>COUNTIFS(StratumSummaries!C2:C999, C40,StratumSummaries!E2:E999, D40)</f>
        <v>2</v>
      </c>
      <c r="N40" s="5">
        <f>COUNTIFS(StratumSummaries!C2:C999, C40,StratumSummaries!E2:E999, D40,StratumSummaries!O2:O999, D40)</f>
        <v>0</v>
      </c>
      <c r="O40" s="5">
        <f>COUNTIFS(StratumSummaries!C2:C999, C40,StratumSummaries!E2:E999, D40,StratumSummaries!O2:O999, E40)</f>
        <v>2</v>
      </c>
      <c r="P40" s="3" t="str">
        <f>IF(N40 = M40, D40, IF(O40 = M40, E40, "none"))</f>
        <v>B</v>
      </c>
      <c r="Q40" s="3" t="b">
        <f>IF(AC40 = "", "", AC40)</f>
        <v>0</v>
      </c>
      <c r="R40" s="5">
        <f>COUNTIFS(StratumVariables!C2:C999, C40,StratumVariables!H2:H999, TRUE())</f>
        <v>1</v>
      </c>
      <c r="S40" s="3" t="b">
        <f>AND(Q40, R40 &gt; 0)</f>
        <v>0</v>
      </c>
      <c r="T40" s="3">
        <f>IF(H40 = "", "", ABS(H40 - K40))</f>
        <v>0.16644562334217505</v>
      </c>
      <c r="U40" s="5">
        <f>IF(L40 = D40, O40, N40)</f>
        <v>0</v>
      </c>
      <c r="V40" s="3">
        <f>IF(M40 = 0, "", T40 * (U40 / M40))</f>
        <v>0</v>
      </c>
      <c r="W40" s="3">
        <f>SUMIFS(StratumSummaries!S2:S999,StratumSummaries!C2:C999, C40,StratumSummaries!E2:E999, D40)</f>
        <v>0.2833333333333333</v>
      </c>
      <c r="X40" s="3">
        <f>SUMIFS(StratumSummaries!S2:S999,StratumSummaries!C2:C999, C40,StratumSummaries!E2:E999, E40)</f>
        <v>0.4305555555555556</v>
      </c>
      <c r="Y40" s="3">
        <f>IF(M40 = 0, "", U40 / M40)</f>
        <v>0</v>
      </c>
      <c r="Z40" s="3">
        <f>IF(M40 = 0, "", Y40 - 0.5)</f>
        <v>-0.5</v>
      </c>
      <c r="AA40" s="3">
        <f>IF(H40 = "", "", H40 - K40)</f>
        <v>-0.16644562334217505</v>
      </c>
      <c r="AB40" s="3">
        <f>SUMIFS(StratumSummaries!AB2:AB999,StratumSummaries!C2:C999, C40,StratumSummaries!E2:E999, D40)</f>
        <v>-0.14722222222222225</v>
      </c>
      <c r="AC40" s="3" t="b">
        <f>IF(AB40 = "", "", IF(AB40 &gt; 0, AA40 &lt; 0, AA40 &gt; 0))</f>
        <v>0</v>
      </c>
      <c r="AD40" s="3">
        <f>IF(AB40 = "", "", ABS(AB40 - AA40))</f>
        <v>0.0192234011199528</v>
      </c>
      <c r="AE40" s="3" t="str">
        <f>IF(AD40 = "", "", IF(AC40, IF(AND(AB40 &lt;&gt; 0, AA40 / AB40 &lt; -1), "B", IF(AND(AB40 &lt;&gt; 0, AA40 / AB40 &lt; 0), "A", IF(Y40 = 1, "A", "B"))), IF(AND(NOT(AC40), AD40 &gt; 0.01, ABS(AA40) &gt; ABS(AG40) + 0.001), "C+", IF(AND(NOT(AC40), AD40 &gt; 0.01, ABS(AA40) &lt; ABS(AG40) - 0.001), "C-", "D"))))</f>
        <v>C+</v>
      </c>
      <c r="AF40" s="3" t="str">
        <f>IF(AE40 = "", "", IF(AE40 = "A", "stratify-immediately", IF(AE40 = "B", "investigate-confounder", IF(OR(AE40 = "C+", AE40 = "C-"), "check-allocation-bias", "pooled-analysis-trustworthy"))))</f>
        <v>check-allocation-bias</v>
      </c>
      <c r="AG40" s="3">
        <f>AB40</f>
        <v>-0.14722222222222225</v>
      </c>
      <c r="AH40" s="3" t="str">
        <f>IF(AG40 = "", "", IF(ABS(AG40) &lt; 0.0001, "tie", IF(AG40 &gt; 0, D40, IF(AG40 &lt; 0, E40, "tie"))))</f>
        <v>B</v>
      </c>
      <c r="AI40" s="3" t="b">
        <f>IF(AH40 = "", "", AH40 = L40)</f>
        <v>1</v>
      </c>
      <c r="AJ40" s="3" t="str">
        <f>IF(AE40 = "", "", IF(AE40 = "A", "use-corrected-winner", IF(AE40 = "B", "use-corrected-winner-with-caution", IF(OR(AE40 = "C+", AE40 = "C-"), "check-allocation-bias", "pooled-analysis-trustworthy"))))</f>
        <v>check-allocation-bias</v>
      </c>
      <c r="AK40" s="3" t="str">
        <f>IF(AG40 = "", "", IF(AC40, "reversal", IF(ABS(AA40) &gt; ABS(AG40) + 0.001, "amplification", IF(ABS(AA40) &lt; ABS(AG40) - 0.001, "compression", "neutral"))))</f>
        <v>amplification</v>
      </c>
      <c r="AL40" s="3">
        <f>IF(AG40 = "", "", IF(ABS(AG40) + AD40 = 0, 1, ABS(AG40) / (ABS(AG40) + AD40)))</f>
        <v>0.8845064187693672</v>
      </c>
      <c r="AM40" s="3" t="e">
        <f>LOOKUP(C40, SweepStudySummary[SweepStudyId], SweepStudySummary[PooledGapCrossesZero])</f>
        <v>#VALUE!</v>
      </c>
      <c r="AN40" s="3" t="e">
        <f>LOOKUP(C40, SweepStudySummary[SweepStudyId], SweepStudySummary[SweepPooledGapRange])</f>
        <v>#VALUE!</v>
      </c>
      <c r="AO40" s="3" t="e">
        <f>IF(AE40 = "", "", AND(AE40 = "D", AM40 = TRUE))</f>
        <v>#VALUE!</v>
      </c>
      <c r="AP40" s="3" t="e">
        <f>IF(OR(AN40 = "", T40 = "", T40 = 0), "", AN40 / ABS(T40))</f>
        <v>#VALUE!</v>
      </c>
      <c r="AQ40" s="3" t="e">
        <f>LOOKUP(C40, Studies[StudyId], Studies[Domain])</f>
        <v>#VALUE!</v>
      </c>
      <c r="AR40" s="5">
        <f>COUNTIFS(StratumVariables!C2:C999, C40,StratumVariables!E2:E999, "confounder")</f>
        <v>1</v>
      </c>
      <c r="AS40" s="5">
        <f>COUNTIFS(StratumVariables!C2:C999, C40,StratumVariables!J2:J999, "mediator") + COUNTIFS(StratumVariables!C2:C999, C40,StratumVariables!J2:J999, "collider")</f>
        <v>0</v>
      </c>
      <c r="AT40" s="5">
        <f>COUNTIFS(StratumVariables!C2:C999, C40,StratumVariables!E2:E999, "contested")</f>
        <v>0</v>
      </c>
      <c r="AU40" s="5">
        <f>COUNTIFS(StratumVariables!C2:C999, C40,StratumVariables!E2:E999, "unknown")</f>
        <v>0</v>
      </c>
      <c r="AV40" s="3" t="str">
        <f>IF(AT40 &gt; 0, "contested", IF(AU40 &gt; 0, "geometric-only", IF(AR40 &gt; 0, "established", "geometric-only")))</f>
        <v>established</v>
      </c>
      <c r="AW40" s="3" t="b">
        <f>AND(AS40 = 0, AV40 = "established")</f>
        <v>1</v>
      </c>
      <c r="AX40" s="2" t="s">
        <v>2654</v>
      </c>
    </row>
    <row r="41">
      <c r="A41" s="2" t="s">
        <v>2678</v>
      </c>
      <c r="B41" s="3" t="str">
        <f>A41</f>
        <v>schizophrenia-antipsychotic-A-vs-B</v>
      </c>
      <c r="C41" s="2" t="s">
        <v>565</v>
      </c>
      <c r="D41" s="2" t="s">
        <v>792</v>
      </c>
      <c r="E41" s="2" t="s">
        <v>795</v>
      </c>
      <c r="F41" s="5">
        <f>SUMIFS(CaseCells!G2:G999,CaseCells!C2:C999, C41,CaseCells!E2:E999, D41)</f>
        <v>270</v>
      </c>
      <c r="G41" s="5">
        <f>SUMIFS(CaseCells!F2:F999,CaseCells!C2:C999, C41,CaseCells!E2:E999, D41)</f>
        <v>130</v>
      </c>
      <c r="H41" s="3">
        <f>IF(F41 = 0, "", G41 / F41)</f>
        <v>0.48148148148148145</v>
      </c>
      <c r="I41" s="5">
        <f>SUMIFS(CaseCells!G2:G999,CaseCells!C2:C999, C41,CaseCells!E2:E999, E41)</f>
        <v>270</v>
      </c>
      <c r="J41" s="5">
        <f>SUMIFS(CaseCells!F2:F999,CaseCells!C2:C999, C41,CaseCells!E2:E999, E41)</f>
        <v>135</v>
      </c>
      <c r="K41" s="3">
        <f>IF(I41 = 0, "", J41 / I41)</f>
        <v>0.5</v>
      </c>
      <c r="L41" s="3" t="str">
        <f>IF(OR(H41 = "", K41 = ""), "", IF(ABS(H41 - K41) &lt; 0.0000001, "tie", IF(H41 &gt; K41, D41, E41)))</f>
        <v>B</v>
      </c>
      <c r="M41" s="5">
        <f>COUNTIFS(StratumSummaries!C2:C999, C41,StratumSummaries!E2:E999, D41)</f>
        <v>2</v>
      </c>
      <c r="N41" s="5">
        <f>COUNTIFS(StratumSummaries!C2:C999, C41,StratumSummaries!E2:E999, D41,StratumSummaries!O2:O999, D41)</f>
        <v>1</v>
      </c>
      <c r="O41" s="5">
        <f>COUNTIFS(StratumSummaries!C2:C999, C41,StratumSummaries!E2:E999, D41,StratumSummaries!O2:O999, E41)</f>
        <v>1</v>
      </c>
      <c r="P41" s="3" t="str">
        <f>IF(N41 = M41, D41, IF(O41 = M41, E41, "none"))</f>
        <v>none</v>
      </c>
      <c r="Q41" s="3" t="b">
        <f>IF(AC41 = "", "", AC41)</f>
        <v>0</v>
      </c>
      <c r="R41" s="5">
        <f>COUNTIFS(StratumVariables!C2:C999, C41,StratumVariables!H2:H999, TRUE())</f>
        <v>1</v>
      </c>
      <c r="S41" s="3" t="b">
        <f>AND(Q41, R41 &gt; 0)</f>
        <v>0</v>
      </c>
      <c r="T41" s="3">
        <f>IF(H41 = "", "", ABS(H41 - K41))</f>
        <v>0.018518518518518545</v>
      </c>
      <c r="U41" s="5">
        <f>IF(L41 = D41, O41, N41)</f>
        <v>1</v>
      </c>
      <c r="V41" s="3">
        <f>IF(M41 = 0, "", T41 * (U41 / M41))</f>
        <v>0.009259259259259273</v>
      </c>
      <c r="W41" s="3">
        <f>SUMIFS(StratumSummaries!S2:S999,StratumSummaries!C2:C999, C41,StratumSummaries!E2:E999, D41)</f>
        <v>0.48148148148148145</v>
      </c>
      <c r="X41" s="3">
        <f>SUMIFS(StratumSummaries!S2:S999,StratumSummaries!C2:C999, C41,StratumSummaries!E2:E999, E41)</f>
        <v>0.5</v>
      </c>
      <c r="Y41" s="3">
        <f>IF(M41 = 0, "", U41 / M41)</f>
        <v>0.5</v>
      </c>
      <c r="Z41" s="3">
        <f>IF(M41 = 0, "", Y41 - 0.5)</f>
        <v>0</v>
      </c>
      <c r="AA41" s="3">
        <f>IF(H41 = "", "", H41 - K41)</f>
        <v>-0.018518518518518545</v>
      </c>
      <c r="AB41" s="3">
        <f>SUMIFS(StratumSummaries!AB2:AB999,StratumSummaries!C2:C999, C41,StratumSummaries!E2:E999, D41)</f>
        <v>-0.018518518518518524</v>
      </c>
      <c r="AC41" s="3" t="b">
        <f>IF(AB41 = "", "", IF(AB41 &gt; 0, AA41 &lt; 0, AA41 &gt; 0))</f>
        <v>0</v>
      </c>
      <c r="AD41" s="3">
        <f>IF(AB41 = "", "", ABS(AB41 - AA41))</f>
        <v>2.0816681711721685E-17</v>
      </c>
      <c r="AE41" s="3" t="str">
        <f>IF(AD41 = "", "", IF(AC41, IF(AND(AB41 &lt;&gt; 0, AA41 / AB41 &lt; -1), "B", IF(AND(AB41 &lt;&gt; 0, AA41 / AB41 &lt; 0), "A", IF(Y41 = 1, "A", "B"))), IF(AND(NOT(AC41), AD41 &gt; 0.01, ABS(AA41) &gt; ABS(AG41) + 0.001), "C+", IF(AND(NOT(AC41), AD41 &gt; 0.01, ABS(AA41) &lt; ABS(AG41) - 0.001), "C-", "D"))))</f>
        <v>D</v>
      </c>
      <c r="AF41" s="3" t="str">
        <f>IF(AE41 = "", "", IF(AE41 = "A", "stratify-immediately", IF(AE41 = "B", "investigate-confounder", IF(OR(AE41 = "C+", AE41 = "C-"), "check-allocation-bias", "pooled-analysis-trustworthy"))))</f>
        <v>pooled-analysis-trustworthy</v>
      </c>
      <c r="AG41" s="3">
        <f>AB41</f>
        <v>-0.018518518518518524</v>
      </c>
      <c r="AH41" s="3" t="str">
        <f>IF(AG41 = "", "", IF(ABS(AG41) &lt; 0.0001, "tie", IF(AG41 &gt; 0, D41, IF(AG41 &lt; 0, E41, "tie"))))</f>
        <v>B</v>
      </c>
      <c r="AI41" s="3" t="b">
        <f>IF(AH41 = "", "", AH41 = L41)</f>
        <v>1</v>
      </c>
      <c r="AJ41" s="3" t="str">
        <f>IF(AE41 = "", "", IF(AE41 = "A", "use-corrected-winner", IF(AE41 = "B", "use-corrected-winner-with-caution", IF(OR(AE41 = "C+", AE41 = "C-"), "check-allocation-bias", "pooled-analysis-trustworthy"))))</f>
        <v>pooled-analysis-trustworthy</v>
      </c>
      <c r="AK41" s="3" t="str">
        <f>IF(AG41 = "", "", IF(AC41, "reversal", IF(ABS(AA41) &gt; ABS(AG41) + 0.001, "amplification", IF(ABS(AA41) &lt; ABS(AG41) - 0.001, "compression", "neutral"))))</f>
        <v>neutral</v>
      </c>
      <c r="AL41" s="3">
        <f>IF(AG41 = "", "", IF(ABS(AG41) + AD41 = 0, 1, ABS(AG41) / (ABS(AG41) + AD41)))</f>
        <v>0.9999999999999989</v>
      </c>
      <c r="AM41" s="3" t="e">
        <f>LOOKUP(C41, SweepStudySummary[SweepStudyId], SweepStudySummary[PooledGapCrossesZero])</f>
        <v>#VALUE!</v>
      </c>
      <c r="AN41" s="3" t="e">
        <f>LOOKUP(C41, SweepStudySummary[SweepStudyId], SweepStudySummary[SweepPooledGapRange])</f>
        <v>#VALUE!</v>
      </c>
      <c r="AO41" s="3" t="e">
        <f>IF(AE41 = "", "", AND(AE41 = "D", AM41 = TRUE))</f>
        <v>#VALUE!</v>
      </c>
      <c r="AP41" s="3" t="e">
        <f>IF(OR(AN41 = "", T41 = "", T41 = 0), "", AN41 / ABS(T41))</f>
        <v>#VALUE!</v>
      </c>
      <c r="AQ41" s="3" t="e">
        <f>LOOKUP(C41, Studies[StudyId], Studies[Domain])</f>
        <v>#VALUE!</v>
      </c>
      <c r="AR41" s="5">
        <f>COUNTIFS(StratumVariables!C2:C999, C41,StratumVariables!E2:E999, "confounder")</f>
        <v>1</v>
      </c>
      <c r="AS41" s="5">
        <f>COUNTIFS(StratumVariables!C2:C999, C41,StratumVariables!J2:J999, "mediator") + COUNTIFS(StratumVariables!C2:C999, C41,StratumVariables!J2:J999, "collider")</f>
        <v>0</v>
      </c>
      <c r="AT41" s="5">
        <f>COUNTIFS(StratumVariables!C2:C999, C41,StratumVariables!E2:E999, "contested")</f>
        <v>0</v>
      </c>
      <c r="AU41" s="5">
        <f>COUNTIFS(StratumVariables!C2:C999, C41,StratumVariables!E2:E999, "unknown")</f>
        <v>0</v>
      </c>
      <c r="AV41" s="3" t="str">
        <f>IF(AT41 &gt; 0, "contested", IF(AU41 &gt; 0, "geometric-only", IF(AR41 &gt; 0, "established", "geometric-only")))</f>
        <v>established</v>
      </c>
      <c r="AW41" s="3" t="b">
        <f>AND(AS41 = 0, AV41 = "established")</f>
        <v>1</v>
      </c>
      <c r="AX41" s="2" t="s">
        <v>2654</v>
      </c>
    </row>
    <row r="42">
      <c r="A42" s="2" t="s">
        <v>2679</v>
      </c>
      <c r="B42" s="3" t="str">
        <f>A42</f>
        <v>berkeley-six-dept-1973-A-vs-B</v>
      </c>
      <c r="C42" s="2" t="s">
        <v>568</v>
      </c>
      <c r="D42" s="2" t="s">
        <v>792</v>
      </c>
      <c r="E42" s="2" t="s">
        <v>795</v>
      </c>
      <c r="F42" s="5">
        <f>SUMIFS(CaseCells!G2:G999,CaseCells!C2:C999, C42,CaseCells!E2:E999, D42)</f>
        <v>2691</v>
      </c>
      <c r="G42" s="5">
        <f>SUMIFS(CaseCells!F2:F999,CaseCells!C2:C999, C42,CaseCells!E2:E999, D42)</f>
        <v>1198</v>
      </c>
      <c r="H42" s="3">
        <f>IF(F42 = 0, "", G42 / F42)</f>
        <v>0.4451876625789669</v>
      </c>
      <c r="I42" s="5">
        <f>SUMIFS(CaseCells!G2:G999,CaseCells!C2:C999, C42,CaseCells!E2:E999, E42)</f>
        <v>1835</v>
      </c>
      <c r="J42" s="5">
        <f>SUMIFS(CaseCells!F2:F999,CaseCells!C2:C999, C42,CaseCells!E2:E999, E42)</f>
        <v>557</v>
      </c>
      <c r="K42" s="3">
        <f>IF(I42 = 0, "", J42 / I42)</f>
        <v>0.30354223433242505</v>
      </c>
      <c r="L42" s="3" t="str">
        <f>IF(OR(H42 = "", K42 = ""), "", IF(ABS(H42 - K42) &lt; 0.0000001, "tie", IF(H42 &gt; K42, D42, E42)))</f>
        <v>A</v>
      </c>
      <c r="M42" s="5">
        <f>COUNTIFS(StratumSummaries!C2:C999, C42,StratumSummaries!E2:E999, D42)</f>
        <v>6</v>
      </c>
      <c r="N42" s="5">
        <f>COUNTIFS(StratumSummaries!C2:C999, C42,StratumSummaries!E2:E999, D42,StratumSummaries!O2:O999, D42)</f>
        <v>2</v>
      </c>
      <c r="O42" s="5">
        <f>COUNTIFS(StratumSummaries!C2:C999, C42,StratumSummaries!E2:E999, D42,StratumSummaries!O2:O999, E42)</f>
        <v>4</v>
      </c>
      <c r="P42" s="3" t="str">
        <f>IF(N42 = M42, D42, IF(O42 = M42, E42, "none"))</f>
        <v>none</v>
      </c>
      <c r="Q42" s="3" t="b">
        <f>IF(AC42 = "", "", AC42)</f>
        <v>1</v>
      </c>
      <c r="R42" s="5">
        <f>COUNTIFS(StratumVariables!C2:C999, C42,StratumVariables!H2:H999, TRUE())</f>
        <v>0</v>
      </c>
      <c r="S42" s="3" t="b">
        <f>AND(Q42, R42 &gt; 0)</f>
        <v>0</v>
      </c>
      <c r="T42" s="3">
        <f>IF(H42 = "", "", ABS(H42 - K42))</f>
        <v>0.14164542824654186</v>
      </c>
      <c r="U42" s="5">
        <f>IF(L42 = D42, O42, N42)</f>
        <v>4</v>
      </c>
      <c r="V42" s="3">
        <f>IF(M42 = 0, "", T42 * (U42 / M42))</f>
        <v>0.09443028549769457</v>
      </c>
      <c r="W42" s="3">
        <f>SUMIFS(StratumSummaries!S2:S999,StratumSummaries!C2:C999, C42,StratumSummaries!E2:E999, D42)</f>
        <v>0.3873185826894222</v>
      </c>
      <c r="X42" s="3">
        <f>SUMIFS(StratumSummaries!S2:S999,StratumSummaries!C2:C999, C42,StratumSummaries!E2:E999, E42)</f>
        <v>0.4299553804607251</v>
      </c>
      <c r="Y42" s="3">
        <f>IF(M42 = 0, "", U42 / M42)</f>
        <v>0.6666666666666666</v>
      </c>
      <c r="Z42" s="3">
        <f>IF(M42 = 0, "", Y42 - 0.5)</f>
        <v>0.16666666666666663</v>
      </c>
      <c r="AA42" s="3">
        <f>IF(H42 = "", "", H42 - K42)</f>
        <v>0.14164542824654186</v>
      </c>
      <c r="AB42" s="3">
        <f>SUMIFS(StratumSummaries!AB2:AB999,StratumSummaries!C2:C999, C42,StratumSummaries!E2:E999, D42)</f>
        <v>-0.04263679777130291</v>
      </c>
      <c r="AC42" s="3" t="b">
        <f>IF(AB42 = "", "", IF(AB42 &gt; 0, AA42 &lt; 0, AA42 &gt; 0))</f>
        <v>1</v>
      </c>
      <c r="AD42" s="3">
        <f>IF(AB42 = "", "", ABS(AB42 - AA42))</f>
        <v>0.18428222601784477</v>
      </c>
      <c r="AE42" s="3" t="str">
        <f>IF(AD42 = "", "", IF(AC42, IF(AND(AB42 &lt;&gt; 0, AA42 / AB42 &lt; -1), "B", IF(AND(AB42 &lt;&gt; 0, AA42 / AB42 &lt; 0), "A", IF(Y42 = 1, "A", "B"))), IF(AND(NOT(AC42), AD42 &gt; 0.01, ABS(AA42) &gt; ABS(AG42) + 0.001), "C+", IF(AND(NOT(AC42), AD42 &gt; 0.01, ABS(AA42) &lt; ABS(AG42) - 0.001), "C-", "D"))))</f>
        <v>B</v>
      </c>
      <c r="AF42" s="3" t="str">
        <f>IF(AE42 = "", "", IF(AE42 = "A", "stratify-immediately", IF(AE42 = "B", "investigate-confounder", IF(OR(AE42 = "C+", AE42 = "C-"), "check-allocation-bias", "pooled-analysis-trustworthy"))))</f>
        <v>investigate-confounder</v>
      </c>
      <c r="AG42" s="3">
        <f>AB42</f>
        <v>-0.04263679777130291</v>
      </c>
      <c r="AH42" s="3" t="str">
        <f>IF(AG42 = "", "", IF(ABS(AG42) &lt; 0.0001, "tie", IF(AG42 &gt; 0, D42, IF(AG42 &lt; 0, E42, "tie"))))</f>
        <v>B</v>
      </c>
      <c r="AI42" s="3" t="b">
        <f>IF(AH42 = "", "", AH42 = L42)</f>
        <v>0</v>
      </c>
      <c r="AJ42" s="3" t="str">
        <f>IF(AE42 = "", "", IF(AE42 = "A", "use-corrected-winner", IF(AE42 = "B", "use-corrected-winner-with-caution", IF(OR(AE42 = "C+", AE42 = "C-"), "check-allocation-bias", "pooled-analysis-trustworthy"))))</f>
        <v>use-corrected-winner-with-caution</v>
      </c>
      <c r="AK42" s="3" t="str">
        <f>IF(AG42 = "", "", IF(AC42, "reversal", IF(ABS(AA42) &gt; ABS(AG42) + 0.001, "amplification", IF(ABS(AA42) &lt; ABS(AG42) - 0.001, "compression", "neutral"))))</f>
        <v>reversal</v>
      </c>
      <c r="AL42" s="3">
        <f>IF(AG42 = "", "", IF(ABS(AG42) + AD42 = 0, 1, ABS(AG42) / (ABS(AG42) + AD42)))</f>
        <v>0.18789432926047162</v>
      </c>
      <c r="AM42" s="3" t="e">
        <f>LOOKUP(C42, SweepStudySummary[SweepStudyId], SweepStudySummary[PooledGapCrossesZero])</f>
        <v>#VALUE!</v>
      </c>
      <c r="AN42" s="3" t="e">
        <f>LOOKUP(C42, SweepStudySummary[SweepStudyId], SweepStudySummary[SweepPooledGapRange])</f>
        <v>#VALUE!</v>
      </c>
      <c r="AO42" s="3" t="e">
        <f>IF(AE42 = "", "", AND(AE42 = "D", AM42 = TRUE))</f>
        <v>#VALUE!</v>
      </c>
      <c r="AP42" s="3" t="e">
        <f>IF(OR(AN42 = "", T42 = "", T42 = 0), "", AN42 / ABS(T42))</f>
        <v>#VALUE!</v>
      </c>
      <c r="AQ42" s="3" t="e">
        <f>LOOKUP(C42, Studies[StudyId], Studies[Domain])</f>
        <v>#VALUE!</v>
      </c>
      <c r="AR42" s="5">
        <f>COUNTIFS(StratumVariables!C2:C999, C42,StratumVariables!E2:E999, "confounder")</f>
        <v>0</v>
      </c>
      <c r="AS42" s="5">
        <f>COUNTIFS(StratumVariables!C2:C999, C42,StratumVariables!J2:J999, "mediator") + COUNTIFS(StratumVariables!C2:C999, C42,StratumVariables!J2:J999, "collider")</f>
        <v>0</v>
      </c>
      <c r="AT42" s="5">
        <f>COUNTIFS(StratumVariables!C2:C999, C42,StratumVariables!E2:E999, "contested")</f>
        <v>1</v>
      </c>
      <c r="AU42" s="5">
        <f>COUNTIFS(StratumVariables!C2:C999, C42,StratumVariables!E2:E999, "unknown")</f>
        <v>0</v>
      </c>
      <c r="AV42" s="3" t="str">
        <f>IF(AT42 &gt; 0, "contested", IF(AU42 &gt; 0, "geometric-only", IF(AR42 &gt; 0, "established", "geometric-only")))</f>
        <v>contested</v>
      </c>
      <c r="AW42" s="3" t="b">
        <f>AND(AS42 = 0, AV42 = "established")</f>
        <v>0</v>
      </c>
      <c r="AX42" s="2" t="s">
        <v>2676</v>
      </c>
    </row>
    <row r="43">
      <c r="A43" s="2" t="s">
        <v>2680</v>
      </c>
      <c r="B43" s="3" t="str">
        <f>A43</f>
        <v>rosiglitazone-mi-pool-2007-A-vs-B</v>
      </c>
      <c r="C43" s="2" t="s">
        <v>572</v>
      </c>
      <c r="D43" s="2" t="s">
        <v>792</v>
      </c>
      <c r="E43" s="2" t="s">
        <v>795</v>
      </c>
      <c r="F43" s="5">
        <f>SUMIFS(CaseCells!G2:G999,CaseCells!C2:C999, C43,CaseCells!E2:E999, D43)</f>
        <v>15565</v>
      </c>
      <c r="G43" s="5">
        <f>SUMIFS(CaseCells!F2:F999,CaseCells!C2:C999, C43,CaseCells!E2:E999, D43)</f>
        <v>86</v>
      </c>
      <c r="H43" s="3">
        <f>IF(F43 = 0, "", G43 / F43)</f>
        <v>0.0055252168326373275</v>
      </c>
      <c r="I43" s="5">
        <f>SUMIFS(CaseCells!G2:G999,CaseCells!C2:C999, C43,CaseCells!E2:E999, E43)</f>
        <v>12282</v>
      </c>
      <c r="J43" s="5">
        <f>SUMIFS(CaseCells!F2:F999,CaseCells!C2:C999, C43,CaseCells!E2:E999, E43)</f>
        <v>72</v>
      </c>
      <c r="K43" s="3">
        <f>IF(I43 = 0, "", J43 / I43)</f>
        <v>0.005862237420615535</v>
      </c>
      <c r="L43" s="3" t="str">
        <f>IF(OR(H43 = "", K43 = ""), "", IF(ABS(H43 - K43) &lt; 0.0000001, "tie", IF(H43 &gt; K43, D43, E43)))</f>
        <v>B</v>
      </c>
      <c r="M43" s="5">
        <f>COUNTIFS(StratumSummaries!C2:C999, C43,StratumSummaries!E2:E999, D43)</f>
        <v>2</v>
      </c>
      <c r="N43" s="5">
        <f>COUNTIFS(StratumSummaries!C2:C999, C43,StratumSummaries!E2:E999, D43,StratumSummaries!O2:O999, D43)</f>
        <v>1</v>
      </c>
      <c r="O43" s="5">
        <f>COUNTIFS(StratumSummaries!C2:C999, C43,StratumSummaries!E2:E999, D43,StratumSummaries!O2:O999, E43)</f>
        <v>1</v>
      </c>
      <c r="P43" s="3" t="str">
        <f>IF(N43 = M43, D43, IF(O43 = M43, E43, "none"))</f>
        <v>none</v>
      </c>
      <c r="Q43" s="3" t="b">
        <f>IF(AC43 = "", "", AC43)</f>
        <v>1</v>
      </c>
      <c r="R43" s="5">
        <f>COUNTIFS(StratumVariables!C2:C999, C43,StratumVariables!H2:H999, TRUE())</f>
        <v>1</v>
      </c>
      <c r="S43" s="3" t="b">
        <f>AND(Q43, R43 &gt; 0)</f>
        <v>1</v>
      </c>
      <c r="T43" s="3">
        <f>IF(H43 = "", "", ABS(H43 - K43))</f>
        <v>0.0003370205879782073</v>
      </c>
      <c r="U43" s="5">
        <f>IF(L43 = D43, O43, N43)</f>
        <v>1</v>
      </c>
      <c r="V43" s="3">
        <f>IF(M43 = 0, "", T43 * (U43 / M43))</f>
        <v>0.00016851029398910365</v>
      </c>
      <c r="W43" s="3">
        <f>SUMIFS(StratumSummaries!S2:S999,StratumSummaries!C2:C999, C43,StratumSummaries!E2:E999, D43)</f>
        <v>0.008593536379991832</v>
      </c>
      <c r="X43" s="3">
        <f>SUMIFS(StratumSummaries!S2:S999,StratumSummaries!C2:C999, C43,StratumSummaries!E2:E999, E43)</f>
        <v>0.006175601996463468</v>
      </c>
      <c r="Y43" s="3">
        <f>IF(M43 = 0, "", U43 / M43)</f>
        <v>0.5</v>
      </c>
      <c r="Z43" s="3">
        <f>IF(M43 = 0, "", Y43 - 0.5)</f>
        <v>0</v>
      </c>
      <c r="AA43" s="3">
        <f>IF(H43 = "", "", H43 - K43)</f>
        <v>-0.0003370205879782073</v>
      </c>
      <c r="AB43" s="3">
        <f>SUMIFS(StratumSummaries!AB2:AB999,StratumSummaries!C2:C999, C43,StratumSummaries!E2:E999, D43)</f>
        <v>0.002417934383528363</v>
      </c>
      <c r="AC43" s="3" t="b">
        <f>IF(AB43 = "", "", IF(AB43 &gt; 0, AA43 &lt; 0, AA43 &gt; 0))</f>
        <v>1</v>
      </c>
      <c r="AD43" s="3">
        <f>IF(AB43 = "", "", ABS(AB43 - AA43))</f>
        <v>0.0027549549715065705</v>
      </c>
      <c r="AE43" s="3" t="str">
        <f>IF(AD43 = "", "", IF(AC43, IF(AND(AB43 &lt;&gt; 0, AA43 / AB43 &lt; -1), "B", IF(AND(AB43 &lt;&gt; 0, AA43 / AB43 &lt; 0), "A", IF(Y43 = 1, "A", "B"))), IF(AND(NOT(AC43), AD43 &gt; 0.01, ABS(AA43) &gt; ABS(AG43) + 0.001), "C+", IF(AND(NOT(AC43), AD43 &gt; 0.01, ABS(AA43) &lt; ABS(AG43) - 0.001), "C-", "D"))))</f>
        <v>A</v>
      </c>
      <c r="AF43" s="3" t="str">
        <f>IF(AE43 = "", "", IF(AE43 = "A", "stratify-immediately", IF(AE43 = "B", "investigate-confounder", IF(OR(AE43 = "C+", AE43 = "C-"), "check-allocation-bias", "pooled-analysis-trustworthy"))))</f>
        <v>stratify-immediately</v>
      </c>
      <c r="AG43" s="3">
        <f>AB43</f>
        <v>0.002417934383528363</v>
      </c>
      <c r="AH43" s="3" t="str">
        <f>IF(AG43 = "", "", IF(ABS(AG43) &lt; 0.0001, "tie", IF(AG43 &gt; 0, D43, IF(AG43 &lt; 0, E43, "tie"))))</f>
        <v>A</v>
      </c>
      <c r="AI43" s="3" t="b">
        <f>IF(AH43 = "", "", AH43 = L43)</f>
        <v>0</v>
      </c>
      <c r="AJ43" s="3" t="str">
        <f>IF(AE43 = "", "", IF(AE43 = "A", "use-corrected-winner", IF(AE43 = "B", "use-corrected-winner-with-caution", IF(OR(AE43 = "C+", AE43 = "C-"), "check-allocation-bias", "pooled-analysis-trustworthy"))))</f>
        <v>use-corrected-winner</v>
      </c>
      <c r="AK43" s="3" t="str">
        <f>IF(AG43 = "", "", IF(AC43, "reversal", IF(ABS(AA43) &gt; ABS(AG43) + 0.001, "amplification", IF(ABS(AA43) &lt; ABS(AG43) - 0.001, "compression", "neutral"))))</f>
        <v>reversal</v>
      </c>
      <c r="AL43" s="3">
        <f>IF(AG43 = "", "", IF(ABS(AG43) + AD43 = 0, 1, ABS(AG43) / (ABS(AG43) + AD43)))</f>
        <v>0.467424338232735</v>
      </c>
      <c r="AM43" s="3" t="e">
        <f>LOOKUP(C43, SweepStudySummary[SweepStudyId], SweepStudySummary[PooledGapCrossesZero])</f>
        <v>#VALUE!</v>
      </c>
      <c r="AN43" s="3" t="e">
        <f>LOOKUP(C43, SweepStudySummary[SweepStudyId], SweepStudySummary[SweepPooledGapRange])</f>
        <v>#VALUE!</v>
      </c>
      <c r="AO43" s="3" t="e">
        <f>IF(AE43 = "", "", AND(AE43 = "D", AM43 = TRUE))</f>
        <v>#VALUE!</v>
      </c>
      <c r="AP43" s="3" t="e">
        <f>IF(OR(AN43 = "", T43 = "", T43 = 0), "", AN43 / ABS(T43))</f>
        <v>#VALUE!</v>
      </c>
      <c r="AQ43" s="3" t="e">
        <f>LOOKUP(C43, Studies[StudyId], Studies[Domain])</f>
        <v>#VALUE!</v>
      </c>
      <c r="AR43" s="5">
        <f>COUNTIFS(StratumVariables!C2:C999, C43,StratumVariables!E2:E999, "confounder")</f>
        <v>1</v>
      </c>
      <c r="AS43" s="5">
        <f>COUNTIFS(StratumVariables!C2:C999, C43,StratumVariables!J2:J999, "mediator") + COUNTIFS(StratumVariables!C2:C999, C43,StratumVariables!J2:J999, "collider")</f>
        <v>0</v>
      </c>
      <c r="AT43" s="5">
        <f>COUNTIFS(StratumVariables!C2:C999, C43,StratumVariables!E2:E999, "contested")</f>
        <v>0</v>
      </c>
      <c r="AU43" s="5">
        <f>COUNTIFS(StratumVariables!C2:C999, C43,StratumVariables!E2:E999, "unknown")</f>
        <v>0</v>
      </c>
      <c r="AV43" s="3" t="str">
        <f>IF(AT43 &gt; 0, "contested", IF(AU43 &gt; 0, "geometric-only", IF(AR43 &gt; 0, "established", "geometric-only")))</f>
        <v>established</v>
      </c>
      <c r="AW43" s="3" t="b">
        <f>AND(AS43 = 0, AV43 = "established")</f>
        <v>1</v>
      </c>
      <c r="AX43" s="2" t="s">
        <v>2654</v>
      </c>
    </row>
    <row r="44">
      <c r="A44" s="2" t="s">
        <v>2681</v>
      </c>
      <c r="B44" s="3" t="str">
        <f>A44</f>
        <v>ironman-gender-age-2010-A-vs-B</v>
      </c>
      <c r="C44" s="2" t="s">
        <v>576</v>
      </c>
      <c r="D44" s="2" t="s">
        <v>792</v>
      </c>
      <c r="E44" s="2" t="s">
        <v>795</v>
      </c>
      <c r="F44" s="5">
        <f>SUMIFS(CaseCells!G2:G999,CaseCells!C2:C999, C44,CaseCells!E2:E999, D44)</f>
        <v>110</v>
      </c>
      <c r="G44" s="5">
        <f>SUMIFS(CaseCells!F2:F999,CaseCells!C2:C999, C44,CaseCells!E2:E999, D44)</f>
        <v>85</v>
      </c>
      <c r="H44" s="3">
        <f>IF(F44 = 0, "", G44 / F44)</f>
        <v>0.7727272727272727</v>
      </c>
      <c r="I44" s="5">
        <f>SUMIFS(CaseCells!G2:G999,CaseCells!C2:C999, C44,CaseCells!E2:E999, E44)</f>
        <v>110</v>
      </c>
      <c r="J44" s="5">
        <f>SUMIFS(CaseCells!F2:F999,CaseCells!C2:C999, C44,CaseCells!E2:E999, E44)</f>
        <v>69</v>
      </c>
      <c r="K44" s="3">
        <f>IF(I44 = 0, "", J44 / I44)</f>
        <v>0.6272727272727273</v>
      </c>
      <c r="L44" s="3" t="str">
        <f>IF(OR(H44 = "", K44 = ""), "", IF(ABS(H44 - K44) &lt; 0.0000001, "tie", IF(H44 &gt; K44, D44, E44)))</f>
        <v>A</v>
      </c>
      <c r="M44" s="5">
        <f>COUNTIFS(StratumSummaries!C2:C999, C44,StratumSummaries!E2:E999, D44)</f>
        <v>2</v>
      </c>
      <c r="N44" s="5">
        <f>COUNTIFS(StratumSummaries!C2:C999, C44,StratumSummaries!E2:E999, D44,StratumSummaries!O2:O999, D44)</f>
        <v>0</v>
      </c>
      <c r="O44" s="5">
        <f>COUNTIFS(StratumSummaries!C2:C999, C44,StratumSummaries!E2:E999, D44,StratumSummaries!O2:O999, E44)</f>
        <v>2</v>
      </c>
      <c r="P44" s="3" t="str">
        <f>IF(N44 = M44, D44, IF(O44 = M44, E44, "none"))</f>
        <v>B</v>
      </c>
      <c r="Q44" s="3" t="b">
        <f>IF(AC44 = "", "", AC44)</f>
        <v>1</v>
      </c>
      <c r="R44" s="5">
        <f>COUNTIFS(StratumVariables!C2:C999, C44,StratumVariables!H2:H999, TRUE())</f>
        <v>1</v>
      </c>
      <c r="S44" s="3" t="b">
        <f>AND(Q44, R44 &gt; 0)</f>
        <v>1</v>
      </c>
      <c r="T44" s="3">
        <f>IF(H44 = "", "", ABS(H44 - K44))</f>
        <v>0.1454545454545454</v>
      </c>
      <c r="U44" s="5">
        <f>IF(L44 = D44, O44, N44)</f>
        <v>2</v>
      </c>
      <c r="V44" s="3">
        <f>IF(M44 = 0, "", T44 * (U44 / M44))</f>
        <v>0.1454545454545454</v>
      </c>
      <c r="W44" s="3">
        <f>SUMIFS(StratumSummaries!S2:S999,StratumSummaries!C2:C999, C44,StratumSummaries!E2:E999, D44)</f>
        <v>0.65</v>
      </c>
      <c r="X44" s="3">
        <f>SUMIFS(StratumSummaries!S2:S999,StratumSummaries!C2:C999, C44,StratumSummaries!E2:E999, E44)</f>
        <v>0.75</v>
      </c>
      <c r="Y44" s="3">
        <f>IF(M44 = 0, "", U44 / M44)</f>
        <v>1</v>
      </c>
      <c r="Z44" s="3">
        <f>IF(M44 = 0, "", Y44 - 0.5)</f>
        <v>0.5</v>
      </c>
      <c r="AA44" s="3">
        <f>IF(H44 = "", "", H44 - K44)</f>
        <v>0.1454545454545454</v>
      </c>
      <c r="AB44" s="3">
        <f>SUMIFS(StratumSummaries!AB2:AB999,StratumSummaries!C2:C999, C44,StratumSummaries!E2:E999, D44)</f>
        <v>-0.09999999999999998</v>
      </c>
      <c r="AC44" s="3" t="b">
        <f>IF(AB44 = "", "", IF(AB44 &gt; 0, AA44 &lt; 0, AA44 &gt; 0))</f>
        <v>1</v>
      </c>
      <c r="AD44" s="3">
        <f>IF(AB44 = "", "", ABS(AB44 - AA44))</f>
        <v>0.24545454545454537</v>
      </c>
      <c r="AE44" s="3" t="str">
        <f>IF(AD44 = "", "", IF(AC44, IF(AND(AB44 &lt;&gt; 0, AA44 / AB44 &lt; -1), "B", IF(AND(AB44 &lt;&gt; 0, AA44 / AB44 &lt; 0), "A", IF(Y44 = 1, "A", "B"))), IF(AND(NOT(AC44), AD44 &gt; 0.01, ABS(AA44) &gt; ABS(AG44) + 0.001), "C+", IF(AND(NOT(AC44), AD44 &gt; 0.01, ABS(AA44) &lt; ABS(AG44) - 0.001), "C-", "D"))))</f>
        <v>B</v>
      </c>
      <c r="AF44" s="3" t="str">
        <f>IF(AE44 = "", "", IF(AE44 = "A", "stratify-immediately", IF(AE44 = "B", "investigate-confounder", IF(OR(AE44 = "C+", AE44 = "C-"), "check-allocation-bias", "pooled-analysis-trustworthy"))))</f>
        <v>investigate-confounder</v>
      </c>
      <c r="AG44" s="3">
        <f>AB44</f>
        <v>-0.09999999999999998</v>
      </c>
      <c r="AH44" s="3" t="str">
        <f>IF(AG44 = "", "", IF(ABS(AG44) &lt; 0.0001, "tie", IF(AG44 &gt; 0, D44, IF(AG44 &lt; 0, E44, "tie"))))</f>
        <v>B</v>
      </c>
      <c r="AI44" s="3" t="b">
        <f>IF(AH44 = "", "", AH44 = L44)</f>
        <v>0</v>
      </c>
      <c r="AJ44" s="3" t="str">
        <f>IF(AE44 = "", "", IF(AE44 = "A", "use-corrected-winner", IF(AE44 = "B", "use-corrected-winner-with-caution", IF(OR(AE44 = "C+", AE44 = "C-"), "check-allocation-bias", "pooled-analysis-trustworthy"))))</f>
        <v>use-corrected-winner-with-caution</v>
      </c>
      <c r="AK44" s="3" t="str">
        <f>IF(AG44 = "", "", IF(AC44, "reversal", IF(ABS(AA44) &gt; ABS(AG44) + 0.001, "amplification", IF(ABS(AA44) &lt; ABS(AG44) - 0.001, "compression", "neutral"))))</f>
        <v>reversal</v>
      </c>
      <c r="AL44" s="3">
        <f>IF(AG44 = "", "", IF(ABS(AG44) + AD44 = 0, 1, ABS(AG44) / (ABS(AG44) + AD44)))</f>
        <v>0.2894736842105263</v>
      </c>
      <c r="AM44" s="3" t="e">
        <f>LOOKUP(C44, SweepStudySummary[SweepStudyId], SweepStudySummary[PooledGapCrossesZero])</f>
        <v>#VALUE!</v>
      </c>
      <c r="AN44" s="3" t="e">
        <f>LOOKUP(C44, SweepStudySummary[SweepStudyId], SweepStudySummary[SweepPooledGapRange])</f>
        <v>#VALUE!</v>
      </c>
      <c r="AO44" s="3" t="e">
        <f>IF(AE44 = "", "", AND(AE44 = "D", AM44 = TRUE))</f>
        <v>#VALUE!</v>
      </c>
      <c r="AP44" s="3" t="e">
        <f>IF(OR(AN44 = "", T44 = "", T44 = 0), "", AN44 / ABS(T44))</f>
        <v>#VALUE!</v>
      </c>
      <c r="AQ44" s="3" t="e">
        <f>LOOKUP(C44, Studies[StudyId], Studies[Domain])</f>
        <v>#VALUE!</v>
      </c>
      <c r="AR44" s="5">
        <f>COUNTIFS(StratumVariables!C2:C999, C44,StratumVariables!E2:E999, "confounder")</f>
        <v>1</v>
      </c>
      <c r="AS44" s="5">
        <f>COUNTIFS(StratumVariables!C2:C999, C44,StratumVariables!J2:J999, "mediator") + COUNTIFS(StratumVariables!C2:C999, C44,StratumVariables!J2:J999, "collider")</f>
        <v>0</v>
      </c>
      <c r="AT44" s="5">
        <f>COUNTIFS(StratumVariables!C2:C999, C44,StratumVariables!E2:E999, "contested")</f>
        <v>0</v>
      </c>
      <c r="AU44" s="5">
        <f>COUNTIFS(StratumVariables!C2:C999, C44,StratumVariables!E2:E999, "unknown")</f>
        <v>0</v>
      </c>
      <c r="AV44" s="3" t="str">
        <f>IF(AT44 &gt; 0, "contested", IF(AU44 &gt; 0, "geometric-only", IF(AR44 &gt; 0, "established", "geometric-only")))</f>
        <v>established</v>
      </c>
      <c r="AW44" s="3" t="b">
        <f>AND(AS44 = 0, AV44 = "established")</f>
        <v>1</v>
      </c>
      <c r="AX44" s="2" t="s">
        <v>2654</v>
      </c>
    </row>
    <row r="45">
      <c r="A45" s="2" t="s">
        <v>2682</v>
      </c>
      <c r="B45" s="3" t="str">
        <f>A45</f>
        <v>panama-sweden-mortality-1975-A-vs-B</v>
      </c>
      <c r="C45" s="2" t="s">
        <v>586</v>
      </c>
      <c r="D45" s="2" t="s">
        <v>792</v>
      </c>
      <c r="E45" s="2" t="s">
        <v>795</v>
      </c>
      <c r="F45" s="5">
        <f>SUMIFS(CaseCells!G2:G999,CaseCells!C2:C999, C45,CaseCells!E2:E999, D45)</f>
        <v>1000</v>
      </c>
      <c r="G45" s="5">
        <f>SUMIFS(CaseCells!F2:F999,CaseCells!C2:C999, C45,CaseCells!E2:E999, D45)</f>
        <v>914</v>
      </c>
      <c r="H45" s="3">
        <f>IF(F45 = 0, "", G45 / F45)</f>
        <v>0.914</v>
      </c>
      <c r="I45" s="5">
        <f>SUMIFS(CaseCells!G2:G999,CaseCells!C2:C999, C45,CaseCells!E2:E999, E45)</f>
        <v>1000</v>
      </c>
      <c r="J45" s="5">
        <f>SUMIFS(CaseCells!F2:F999,CaseCells!C2:C999, C45,CaseCells!E2:E999, E45)</f>
        <v>964</v>
      </c>
      <c r="K45" s="3">
        <f>IF(I45 = 0, "", J45 / I45)</f>
        <v>0.964</v>
      </c>
      <c r="L45" s="3" t="str">
        <f>IF(OR(H45 = "", K45 = ""), "", IF(ABS(H45 - K45) &lt; 0.0000001, "tie", IF(H45 &gt; K45, D45, E45)))</f>
        <v>B</v>
      </c>
      <c r="M45" s="5">
        <f>COUNTIFS(StratumSummaries!C2:C999, C45,StratumSummaries!E2:E999, D45)</f>
        <v>3</v>
      </c>
      <c r="N45" s="5">
        <f>COUNTIFS(StratumSummaries!C2:C999, C45,StratumSummaries!E2:E999, D45,StratumSummaries!O2:O999, D45)</f>
        <v>3</v>
      </c>
      <c r="O45" s="5">
        <f>COUNTIFS(StratumSummaries!C2:C999, C45,StratumSummaries!E2:E999, D45,StratumSummaries!O2:O999, E45)</f>
        <v>0</v>
      </c>
      <c r="P45" s="3" t="str">
        <f>IF(N45 = M45, D45, IF(O45 = M45, E45, "none"))</f>
        <v>A</v>
      </c>
      <c r="Q45" s="3" t="b">
        <f>IF(AC45 = "", "", AC45)</f>
        <v>1</v>
      </c>
      <c r="R45" s="5">
        <f>COUNTIFS(StratumVariables!C2:C999, C45,StratumVariables!H2:H999, TRUE())</f>
        <v>1</v>
      </c>
      <c r="S45" s="3" t="b">
        <f>AND(Q45, R45 &gt; 0)</f>
        <v>1</v>
      </c>
      <c r="T45" s="3">
        <f>IF(H45 = "", "", ABS(H45 - K45))</f>
        <v>0.04999999999999993</v>
      </c>
      <c r="U45" s="5">
        <f>IF(L45 = D45, O45, N45)</f>
        <v>3</v>
      </c>
      <c r="V45" s="3">
        <f>IF(M45 = 0, "", T45 * (U45 / M45))</f>
        <v>0.04999999999999993</v>
      </c>
      <c r="W45" s="3">
        <f>SUMIFS(StratumSummaries!S2:S999,StratumSummaries!C2:C999, C45,StratumSummaries!E2:E999, D45)</f>
        <v>0.9434166666666667</v>
      </c>
      <c r="X45" s="3">
        <f>SUMIFS(StratumSummaries!S2:S999,StratumSummaries!C2:C999, C45,StratumSummaries!E2:E999, E45)</f>
        <v>0.9264428571428571</v>
      </c>
      <c r="Y45" s="3">
        <f>IF(M45 = 0, "", U45 / M45)</f>
        <v>1</v>
      </c>
      <c r="Z45" s="3">
        <f>IF(M45 = 0, "", Y45 - 0.5)</f>
        <v>0.5</v>
      </c>
      <c r="AA45" s="3">
        <f>IF(H45 = "", "", H45 - K45)</f>
        <v>-0.04999999999999993</v>
      </c>
      <c r="AB45" s="3">
        <f>SUMIFS(StratumSummaries!AB2:AB999,StratumSummaries!C2:C999, C45,StratumSummaries!E2:E999, D45)</f>
        <v>0.016973809523809537</v>
      </c>
      <c r="AC45" s="3" t="b">
        <f>IF(AB45 = "", "", IF(AB45 &gt; 0, AA45 &lt; 0, AA45 &gt; 0))</f>
        <v>1</v>
      </c>
      <c r="AD45" s="3">
        <f>IF(AB45 = "", "", ABS(AB45 - AA45))</f>
        <v>0.06697380952380946</v>
      </c>
      <c r="AE45" s="3" t="str">
        <f>IF(AD45 = "", "", IF(AC45, IF(AND(AB45 &lt;&gt; 0, AA45 / AB45 &lt; -1), "B", IF(AND(AB45 &lt;&gt; 0, AA45 / AB45 &lt; 0), "A", IF(Y45 = 1, "A", "B"))), IF(AND(NOT(AC45), AD45 &gt; 0.01, ABS(AA45) &gt; ABS(AG45) + 0.001), "C+", IF(AND(NOT(AC45), AD45 &gt; 0.01, ABS(AA45) &lt; ABS(AG45) - 0.001), "C-", "D"))))</f>
        <v>B</v>
      </c>
      <c r="AF45" s="3" t="str">
        <f>IF(AE45 = "", "", IF(AE45 = "A", "stratify-immediately", IF(AE45 = "B", "investigate-confounder", IF(OR(AE45 = "C+", AE45 = "C-"), "check-allocation-bias", "pooled-analysis-trustworthy"))))</f>
        <v>investigate-confounder</v>
      </c>
      <c r="AG45" s="3">
        <f>AB45</f>
        <v>0.016973809523809537</v>
      </c>
      <c r="AH45" s="3" t="str">
        <f>IF(AG45 = "", "", IF(ABS(AG45) &lt; 0.0001, "tie", IF(AG45 &gt; 0, D45, IF(AG45 &lt; 0, E45, "tie"))))</f>
        <v>A</v>
      </c>
      <c r="AI45" s="3" t="b">
        <f>IF(AH45 = "", "", AH45 = L45)</f>
        <v>0</v>
      </c>
      <c r="AJ45" s="3" t="str">
        <f>IF(AE45 = "", "", IF(AE45 = "A", "use-corrected-winner", IF(AE45 = "B", "use-corrected-winner-with-caution", IF(OR(AE45 = "C+", AE45 = "C-"), "check-allocation-bias", "pooled-analysis-trustworthy"))))</f>
        <v>use-corrected-winner-with-caution</v>
      </c>
      <c r="AK45" s="3" t="str">
        <f>IF(AG45 = "", "", IF(AC45, "reversal", IF(ABS(AA45) &gt; ABS(AG45) + 0.001, "amplification", IF(ABS(AA45) &lt; ABS(AG45) - 0.001, "compression", "neutral"))))</f>
        <v>reversal</v>
      </c>
      <c r="AL45" s="3">
        <f>IF(AG45 = "", "", IF(ABS(AG45) + AD45 = 0, 1, ABS(AG45) / (ABS(AG45) + AD45)))</f>
        <v>0.20219524646888679</v>
      </c>
      <c r="AM45" s="3" t="e">
        <f>LOOKUP(C45, SweepStudySummary[SweepStudyId], SweepStudySummary[PooledGapCrossesZero])</f>
        <v>#VALUE!</v>
      </c>
      <c r="AN45" s="3" t="e">
        <f>LOOKUP(C45, SweepStudySummary[SweepStudyId], SweepStudySummary[SweepPooledGapRange])</f>
        <v>#VALUE!</v>
      </c>
      <c r="AO45" s="3" t="e">
        <f>IF(AE45 = "", "", AND(AE45 = "D", AM45 = TRUE))</f>
        <v>#VALUE!</v>
      </c>
      <c r="AP45" s="3" t="e">
        <f>IF(OR(AN45 = "", T45 = "", T45 = 0), "", AN45 / ABS(T45))</f>
        <v>#VALUE!</v>
      </c>
      <c r="AQ45" s="3" t="e">
        <f>LOOKUP(C45, Studies[StudyId], Studies[Domain])</f>
        <v>#VALUE!</v>
      </c>
      <c r="AR45" s="5">
        <f>COUNTIFS(StratumVariables!C2:C999, C45,StratumVariables!E2:E999, "confounder")</f>
        <v>1</v>
      </c>
      <c r="AS45" s="5">
        <f>COUNTIFS(StratumVariables!C2:C999, C45,StratumVariables!J2:J999, "mediator") + COUNTIFS(StratumVariables!C2:C999, C45,StratumVariables!J2:J999, "collider")</f>
        <v>0</v>
      </c>
      <c r="AT45" s="5">
        <f>COUNTIFS(StratumVariables!C2:C999, C45,StratumVariables!E2:E999, "contested")</f>
        <v>0</v>
      </c>
      <c r="AU45" s="5">
        <f>COUNTIFS(StratumVariables!C2:C999, C45,StratumVariables!E2:E999, "unknown")</f>
        <v>0</v>
      </c>
      <c r="AV45" s="3" t="str">
        <f>IF(AT45 &gt; 0, "contested", IF(AU45 &gt; 0, "geometric-only", IF(AR45 &gt; 0, "established", "geometric-only")))</f>
        <v>established</v>
      </c>
      <c r="AW45" s="3" t="b">
        <f>AND(AS45 = 0, AV45 = "established")</f>
        <v>1</v>
      </c>
      <c r="AX45" s="2" t="s">
        <v>2654</v>
      </c>
    </row>
    <row r="46">
      <c r="A46" s="2" t="s">
        <v>2683</v>
      </c>
      <c r="B46" s="3" t="str">
        <f>A46</f>
        <v>hanley-power-lines-2000-A-vs-B</v>
      </c>
      <c r="C46" s="2" t="s">
        <v>579</v>
      </c>
      <c r="D46" s="2" t="s">
        <v>792</v>
      </c>
      <c r="E46" s="2" t="s">
        <v>795</v>
      </c>
      <c r="F46" s="5">
        <f>SUMIFS(CaseCells!G2:G999,CaseCells!C2:C999, C46,CaseCells!E2:E999, D46)</f>
        <v>255</v>
      </c>
      <c r="G46" s="5">
        <f>SUMIFS(CaseCells!F2:F999,CaseCells!C2:C999, C46,CaseCells!E2:E999, D46)</f>
        <v>42</v>
      </c>
      <c r="H46" s="3">
        <f>IF(F46 = 0, "", G46 / F46)</f>
        <v>0.16470588235294117</v>
      </c>
      <c r="I46" s="5">
        <f>SUMIFS(CaseCells!G2:G999,CaseCells!C2:C999, C46,CaseCells!E2:E999, E46)</f>
        <v>1260</v>
      </c>
      <c r="J46" s="5">
        <f>SUMIFS(CaseCells!F2:F999,CaseCells!C2:C999, C46,CaseCells!E2:E999, E46)</f>
        <v>126</v>
      </c>
      <c r="K46" s="3">
        <f>IF(I46 = 0, "", J46 / I46)</f>
        <v>0.1</v>
      </c>
      <c r="L46" s="3" t="str">
        <f>IF(OR(H46 = "", K46 = ""), "", IF(ABS(H46 - K46) &lt; 0.0000001, "tie", IF(H46 &gt; K46, D46, E46)))</f>
        <v>A</v>
      </c>
      <c r="M46" s="5">
        <f>COUNTIFS(StratumSummaries!C2:C999, C46,StratumSummaries!E2:E999, D46)</f>
        <v>5</v>
      </c>
      <c r="N46" s="5">
        <f>COUNTIFS(StratumSummaries!C2:C999, C46,StratumSummaries!E2:E999, D46,StratumSummaries!O2:O999, D46)</f>
        <v>5</v>
      </c>
      <c r="O46" s="5">
        <f>COUNTIFS(StratumSummaries!C2:C999, C46,StratumSummaries!E2:E999, D46,StratumSummaries!O2:O999, E46)</f>
        <v>0</v>
      </c>
      <c r="P46" s="3" t="str">
        <f>IF(N46 = M46, D46, IF(O46 = M46, E46, "none"))</f>
        <v>A</v>
      </c>
      <c r="Q46" s="3" t="b">
        <f>IF(AC46 = "", "", AC46)</f>
        <v>0</v>
      </c>
      <c r="R46" s="5">
        <f>COUNTIFS(StratumVariables!C2:C999, C46,StratumVariables!H2:H999, TRUE())</f>
        <v>1</v>
      </c>
      <c r="S46" s="3" t="b">
        <f>AND(Q46, R46 &gt; 0)</f>
        <v>0</v>
      </c>
      <c r="T46" s="3">
        <f>IF(H46 = "", "", ABS(H46 - K46))</f>
        <v>0.06470588235294117</v>
      </c>
      <c r="U46" s="5">
        <f>IF(L46 = D46, O46, N46)</f>
        <v>0</v>
      </c>
      <c r="V46" s="3">
        <f>IF(M46 = 0, "", T46 * (U46 / M46))</f>
        <v>0</v>
      </c>
      <c r="W46" s="3">
        <f>SUMIFS(StratumSummaries!S2:S999,StratumSummaries!C2:C999, C46,StratumSummaries!E2:E999, D46)</f>
        <v>0.18476912481742233</v>
      </c>
      <c r="X46" s="3">
        <f>SUMIFS(StratumSummaries!S2:S999,StratumSummaries!C2:C999, C46,StratumSummaries!E2:E999, E46)</f>
        <v>0.09983054875956504</v>
      </c>
      <c r="Y46" s="3">
        <f>IF(M46 = 0, "", U46 / M46)</f>
        <v>0</v>
      </c>
      <c r="Z46" s="3">
        <f>IF(M46 = 0, "", Y46 - 0.5)</f>
        <v>-0.5</v>
      </c>
      <c r="AA46" s="3">
        <f>IF(H46 = "", "", H46 - K46)</f>
        <v>0.06470588235294117</v>
      </c>
      <c r="AB46" s="3">
        <f>SUMIFS(StratumSummaries!AB2:AB999,StratumSummaries!C2:C999, C46,StratumSummaries!E2:E999, D46)</f>
        <v>0.08493857605785729</v>
      </c>
      <c r="AC46" s="3" t="b">
        <f>IF(AB46 = "", "", IF(AB46 &gt; 0, AA46 &lt; 0, AA46 &gt; 0))</f>
        <v>0</v>
      </c>
      <c r="AD46" s="3">
        <f>IF(AB46 = "", "", ABS(AB46 - AA46))</f>
        <v>0.02023269370491612</v>
      </c>
      <c r="AE46" s="3" t="str">
        <f>IF(AD46 = "", "", IF(AC46, IF(AND(AB46 &lt;&gt; 0, AA46 / AB46 &lt; -1), "B", IF(AND(AB46 &lt;&gt; 0, AA46 / AB46 &lt; 0), "A", IF(Y46 = 1, "A", "B"))), IF(AND(NOT(AC46), AD46 &gt; 0.01, ABS(AA46) &gt; ABS(AG46) + 0.001), "C+", IF(AND(NOT(AC46), AD46 &gt; 0.01, ABS(AA46) &lt; ABS(AG46) - 0.001), "C-", "D"))))</f>
        <v>C-</v>
      </c>
      <c r="AF46" s="3" t="str">
        <f>IF(AE46 = "", "", IF(AE46 = "A", "stratify-immediately", IF(AE46 = "B", "investigate-confounder", IF(OR(AE46 = "C+", AE46 = "C-"), "check-allocation-bias", "pooled-analysis-trustworthy"))))</f>
        <v>check-allocation-bias</v>
      </c>
      <c r="AG46" s="3">
        <f>AB46</f>
        <v>0.08493857605785729</v>
      </c>
      <c r="AH46" s="3" t="str">
        <f>IF(AG46 = "", "", IF(ABS(AG46) &lt; 0.0001, "tie", IF(AG46 &gt; 0, D46, IF(AG46 &lt; 0, E46, "tie"))))</f>
        <v>A</v>
      </c>
      <c r="AI46" s="3" t="b">
        <f>IF(AH46 = "", "", AH46 = L46)</f>
        <v>1</v>
      </c>
      <c r="AJ46" s="3" t="str">
        <f>IF(AE46 = "", "", IF(AE46 = "A", "use-corrected-winner", IF(AE46 = "B", "use-corrected-winner-with-caution", IF(OR(AE46 = "C+", AE46 = "C-"), "check-allocation-bias", "pooled-analysis-trustworthy"))))</f>
        <v>check-allocation-bias</v>
      </c>
      <c r="AK46" s="3" t="str">
        <f>IF(AG46 = "", "", IF(AC46, "reversal", IF(ABS(AA46) &gt; ABS(AG46) + 0.001, "amplification", IF(ABS(AA46) &lt; ABS(AG46) - 0.001, "compression", "neutral"))))</f>
        <v>compression</v>
      </c>
      <c r="AL46" s="3">
        <f>IF(AG46 = "", "", IF(ABS(AG46) + AD46 = 0, 1, ABS(AG46) / (ABS(AG46) + AD46)))</f>
        <v>0.8076214754223904</v>
      </c>
      <c r="AM46" s="3" t="e">
        <f>LOOKUP(C46, SweepStudySummary[SweepStudyId], SweepStudySummary[PooledGapCrossesZero])</f>
        <v>#VALUE!</v>
      </c>
      <c r="AN46" s="3" t="e">
        <f>LOOKUP(C46, SweepStudySummary[SweepStudyId], SweepStudySummary[SweepPooledGapRange])</f>
        <v>#VALUE!</v>
      </c>
      <c r="AO46" s="3" t="e">
        <f>IF(AE46 = "", "", AND(AE46 = "D", AM46 = TRUE))</f>
        <v>#VALUE!</v>
      </c>
      <c r="AP46" s="3" t="e">
        <f>IF(OR(AN46 = "", T46 = "", T46 = 0), "", AN46 / ABS(T46))</f>
        <v>#VALUE!</v>
      </c>
      <c r="AQ46" s="3" t="e">
        <f>LOOKUP(C46, Studies[StudyId], Studies[Domain])</f>
        <v>#VALUE!</v>
      </c>
      <c r="AR46" s="5">
        <f>COUNTIFS(StratumVariables!C2:C999, C46,StratumVariables!E2:E999, "confounder")</f>
        <v>1</v>
      </c>
      <c r="AS46" s="5">
        <f>COUNTIFS(StratumVariables!C2:C999, C46,StratumVariables!J2:J999, "mediator") + COUNTIFS(StratumVariables!C2:C999, C46,StratumVariables!J2:J999, "collider")</f>
        <v>0</v>
      </c>
      <c r="AT46" s="5">
        <f>COUNTIFS(StratumVariables!C2:C999, C46,StratumVariables!E2:E999, "contested")</f>
        <v>0</v>
      </c>
      <c r="AU46" s="5">
        <f>COUNTIFS(StratumVariables!C2:C999, C46,StratumVariables!E2:E999, "unknown")</f>
        <v>0</v>
      </c>
      <c r="AV46" s="3" t="str">
        <f>IF(AT46 &gt; 0, "contested", IF(AU46 &gt; 0, "geometric-only", IF(AR46 &gt; 0, "established", "geometric-only")))</f>
        <v>established</v>
      </c>
      <c r="AW46" s="3" t="b">
        <f>AND(AS46 = 0, AV46 = "established")</f>
        <v>1</v>
      </c>
      <c r="AX46" s="2" t="s">
        <v>2654</v>
      </c>
    </row>
    <row r="47">
      <c r="A47" s="2" t="s">
        <v>2684</v>
      </c>
      <c r="B47" s="3" t="str">
        <f>A47</f>
        <v>coffee-smoking-lung-1968-A-vs-B</v>
      </c>
      <c r="C47" s="2" t="s">
        <v>583</v>
      </c>
      <c r="D47" s="2" t="s">
        <v>792</v>
      </c>
      <c r="E47" s="2" t="s">
        <v>795</v>
      </c>
      <c r="F47" s="5">
        <f>SUMIFS(CaseCells!G2:G999,CaseCells!C2:C999, C47,CaseCells!E2:E999, D47)</f>
        <v>898</v>
      </c>
      <c r="G47" s="5">
        <f>SUMIFS(CaseCells!F2:F999,CaseCells!C2:C999, C47,CaseCells!E2:E999, D47)</f>
        <v>147</v>
      </c>
      <c r="H47" s="3">
        <f>IF(F47 = 0, "", G47 / F47)</f>
        <v>0.16369710467706014</v>
      </c>
      <c r="I47" s="5">
        <f>SUMIFS(CaseCells!G2:G999,CaseCells!C2:C999, C47,CaseCells!E2:E999, E47)</f>
        <v>218</v>
      </c>
      <c r="J47" s="5">
        <f>SUMIFS(CaseCells!F2:F999,CaseCells!C2:C999, C47,CaseCells!E2:E999, E47)</f>
        <v>23</v>
      </c>
      <c r="K47" s="3">
        <f>IF(I47 = 0, "", J47 / I47)</f>
        <v>0.10550458715596331</v>
      </c>
      <c r="L47" s="3" t="str">
        <f>IF(OR(H47 = "", K47 = ""), "", IF(ABS(H47 - K47) &lt; 0.0000001, "tie", IF(H47 &gt; K47, D47, E47)))</f>
        <v>A</v>
      </c>
      <c r="M47" s="5">
        <f>COUNTIFS(StratumSummaries!C2:C999, C47,StratumSummaries!E2:E999, D47)</f>
        <v>2</v>
      </c>
      <c r="N47" s="5">
        <f>COUNTIFS(StratumSummaries!C2:C999, C47,StratumSummaries!E2:E999, D47,StratumSummaries!O2:O999, D47)</f>
        <v>1</v>
      </c>
      <c r="O47" s="5">
        <f>COUNTIFS(StratumSummaries!C2:C999, C47,StratumSummaries!E2:E999, D47,StratumSummaries!O2:O999, E47)</f>
        <v>1</v>
      </c>
      <c r="P47" s="3" t="str">
        <f>IF(N47 = M47, D47, IF(O47 = M47, E47, "none"))</f>
        <v>none</v>
      </c>
      <c r="Q47" s="3" t="b">
        <f>IF(AC47 = "", "", AC47)</f>
        <v>0</v>
      </c>
      <c r="R47" s="5">
        <f>COUNTIFS(StratumVariables!C2:C999, C47,StratumVariables!H2:H999, TRUE())</f>
        <v>1</v>
      </c>
      <c r="S47" s="3" t="b">
        <f>AND(Q47, R47 &gt; 0)</f>
        <v>0</v>
      </c>
      <c r="T47" s="3">
        <f>IF(H47 = "", "", ABS(H47 - K47))</f>
        <v>0.05819251752109683</v>
      </c>
      <c r="U47" s="5">
        <f>IF(L47 = D47, O47, N47)</f>
        <v>1</v>
      </c>
      <c r="V47" s="3">
        <f>IF(M47 = 0, "", T47 * (U47 / M47))</f>
        <v>0.029096258760548416</v>
      </c>
      <c r="W47" s="3">
        <f>SUMIFS(StratumSummaries!S2:S999,StratumSummaries!C2:C999, C47,StratumSummaries!E2:E999, D47)</f>
        <v>0.15183565064359492</v>
      </c>
      <c r="X47" s="3">
        <f>SUMIFS(StratumSummaries!S2:S999,StratumSummaries!C2:C999, C47,StratumSummaries!E2:E999, E47)</f>
        <v>0.14605578113642628</v>
      </c>
      <c r="Y47" s="3">
        <f>IF(M47 = 0, "", U47 / M47)</f>
        <v>0.5</v>
      </c>
      <c r="Z47" s="3">
        <f>IF(M47 = 0, "", Y47 - 0.5)</f>
        <v>0</v>
      </c>
      <c r="AA47" s="3">
        <f>IF(H47 = "", "", H47 - K47)</f>
        <v>0.05819251752109683</v>
      </c>
      <c r="AB47" s="3">
        <f>SUMIFS(StratumSummaries!AB2:AB999,StratumSummaries!C2:C999, C47,StratumSummaries!E2:E999, D47)</f>
        <v>0.00577986950716862</v>
      </c>
      <c r="AC47" s="3" t="b">
        <f>IF(AB47 = "", "", IF(AB47 &gt; 0, AA47 &lt; 0, AA47 &gt; 0))</f>
        <v>0</v>
      </c>
      <c r="AD47" s="3">
        <f>IF(AB47 = "", "", ABS(AB47 - AA47))</f>
        <v>0.05241264801392821</v>
      </c>
      <c r="AE47" s="3" t="str">
        <f>IF(AD47 = "", "", IF(AC47, IF(AND(AB47 &lt;&gt; 0, AA47 / AB47 &lt; -1), "B", IF(AND(AB47 &lt;&gt; 0, AA47 / AB47 &lt; 0), "A", IF(Y47 = 1, "A", "B"))), IF(AND(NOT(AC47), AD47 &gt; 0.01, ABS(AA47) &gt; ABS(AG47) + 0.001), "C+", IF(AND(NOT(AC47), AD47 &gt; 0.01, ABS(AA47) &lt; ABS(AG47) - 0.001), "C-", "D"))))</f>
        <v>C+</v>
      </c>
      <c r="AF47" s="3" t="str">
        <f>IF(AE47 = "", "", IF(AE47 = "A", "stratify-immediately", IF(AE47 = "B", "investigate-confounder", IF(OR(AE47 = "C+", AE47 = "C-"), "check-allocation-bias", "pooled-analysis-trustworthy"))))</f>
        <v>check-allocation-bias</v>
      </c>
      <c r="AG47" s="3">
        <f>AB47</f>
        <v>0.00577986950716862</v>
      </c>
      <c r="AH47" s="3" t="str">
        <f>IF(AG47 = "", "", IF(ABS(AG47) &lt; 0.0001, "tie", IF(AG47 &gt; 0, D47, IF(AG47 &lt; 0, E47, "tie"))))</f>
        <v>A</v>
      </c>
      <c r="AI47" s="3" t="b">
        <f>IF(AH47 = "", "", AH47 = L47)</f>
        <v>1</v>
      </c>
      <c r="AJ47" s="3" t="str">
        <f>IF(AE47 = "", "", IF(AE47 = "A", "use-corrected-winner", IF(AE47 = "B", "use-corrected-winner-with-caution", IF(OR(AE47 = "C+", AE47 = "C-"), "check-allocation-bias", "pooled-analysis-trustworthy"))))</f>
        <v>check-allocation-bias</v>
      </c>
      <c r="AK47" s="3" t="str">
        <f>IF(AG47 = "", "", IF(AC47, "reversal", IF(ABS(AA47) &gt; ABS(AG47) + 0.001, "amplification", IF(ABS(AA47) &lt; ABS(AG47) - 0.001, "compression", "neutral"))))</f>
        <v>amplification</v>
      </c>
      <c r="AL47" s="3">
        <f>IF(AG47 = "", "", IF(ABS(AG47) + AD47 = 0, 1, ABS(AG47) / (ABS(AG47) + AD47)))</f>
        <v>0.09932324211739446</v>
      </c>
      <c r="AM47" s="3" t="e">
        <f>LOOKUP(C47, SweepStudySummary[SweepStudyId], SweepStudySummary[PooledGapCrossesZero])</f>
        <v>#VALUE!</v>
      </c>
      <c r="AN47" s="3" t="e">
        <f>LOOKUP(C47, SweepStudySummary[SweepStudyId], SweepStudySummary[SweepPooledGapRange])</f>
        <v>#VALUE!</v>
      </c>
      <c r="AO47" s="3" t="e">
        <f>IF(AE47 = "", "", AND(AE47 = "D", AM47 = TRUE))</f>
        <v>#VALUE!</v>
      </c>
      <c r="AP47" s="3" t="e">
        <f>IF(OR(AN47 = "", T47 = "", T47 = 0), "", AN47 / ABS(T47))</f>
        <v>#VALUE!</v>
      </c>
      <c r="AQ47" s="3" t="e">
        <f>LOOKUP(C47, Studies[StudyId], Studies[Domain])</f>
        <v>#VALUE!</v>
      </c>
      <c r="AR47" s="5">
        <f>COUNTIFS(StratumVariables!C2:C999, C47,StratumVariables!E2:E999, "confounder")</f>
        <v>1</v>
      </c>
      <c r="AS47" s="5">
        <f>COUNTIFS(StratumVariables!C2:C999, C47,StratumVariables!J2:J999, "mediator") + COUNTIFS(StratumVariables!C2:C999, C47,StratumVariables!J2:J999, "collider")</f>
        <v>0</v>
      </c>
      <c r="AT47" s="5">
        <f>COUNTIFS(StratumVariables!C2:C999, C47,StratumVariables!E2:E999, "contested")</f>
        <v>0</v>
      </c>
      <c r="AU47" s="5">
        <f>COUNTIFS(StratumVariables!C2:C999, C47,StratumVariables!E2:E999, "unknown")</f>
        <v>0</v>
      </c>
      <c r="AV47" s="3" t="str">
        <f>IF(AT47 &gt; 0, "contested", IF(AU47 &gt; 0, "geometric-only", IF(AR47 &gt; 0, "established", "geometric-only")))</f>
        <v>established</v>
      </c>
      <c r="AW47" s="3" t="b">
        <f>AND(AS47 = 0, AV47 = "established")</f>
        <v>1</v>
      </c>
      <c r="AX47" s="2" t="s">
        <v>2654</v>
      </c>
    </row>
    <row r="48">
      <c r="A48" s="2" t="s">
        <v>2685</v>
      </c>
      <c r="B48" s="3" t="str">
        <f>A48</f>
        <v>hrt-whi-2002-A-vs-B</v>
      </c>
      <c r="C48" s="2" t="s">
        <v>589</v>
      </c>
      <c r="D48" s="2" t="s">
        <v>792</v>
      </c>
      <c r="E48" s="2" t="s">
        <v>795</v>
      </c>
      <c r="F48" s="5">
        <f>SUMIFS(CaseCells!G2:G999,CaseCells!C2:C999, C48,CaseCells!E2:E999, D48)</f>
        <v>105000</v>
      </c>
      <c r="G48" s="5">
        <f>SUMIFS(CaseCells!F2:F999,CaseCells!C2:C999, C48,CaseCells!E2:E999, D48)</f>
        <v>9450</v>
      </c>
      <c r="H48" s="3">
        <f>IF(F48 = 0, "", G48 / F48)</f>
        <v>0.09</v>
      </c>
      <c r="I48" s="5">
        <f>SUMIFS(CaseCells!G2:G999,CaseCells!C2:C999, C48,CaseCells!E2:E999, E48)</f>
        <v>105000</v>
      </c>
      <c r="J48" s="5">
        <f>SUMIFS(CaseCells!F2:F999,CaseCells!C2:C999, C48,CaseCells!E2:E999, E48)</f>
        <v>9900</v>
      </c>
      <c r="K48" s="3">
        <f>IF(I48 = 0, "", J48 / I48)</f>
        <v>0.09428571428571429</v>
      </c>
      <c r="L48" s="3" t="str">
        <f>IF(OR(H48 = "", K48 = ""), "", IF(ABS(H48 - K48) &lt; 0.0000001, "tie", IF(H48 &gt; K48, D48, E48)))</f>
        <v>B</v>
      </c>
      <c r="M48" s="5">
        <f>COUNTIFS(StratumSummaries!C2:C999, C48,StratumSummaries!E2:E999, D48)</f>
        <v>2</v>
      </c>
      <c r="N48" s="5">
        <f>COUNTIFS(StratumSummaries!C2:C999, C48,StratumSummaries!E2:E999, D48,StratumSummaries!O2:O999, D48)</f>
        <v>1</v>
      </c>
      <c r="O48" s="5">
        <f>COUNTIFS(StratumSummaries!C2:C999, C48,StratumSummaries!E2:E999, D48,StratumSummaries!O2:O999, E48)</f>
        <v>1</v>
      </c>
      <c r="P48" s="3" t="str">
        <f>IF(N48 = M48, D48, IF(O48 = M48, E48, "none"))</f>
        <v>none</v>
      </c>
      <c r="Q48" s="3" t="b">
        <f>IF(AC48 = "", "", AC48)</f>
        <v>0</v>
      </c>
      <c r="R48" s="5">
        <f>COUNTIFS(StratumVariables!C2:C999, C48,StratumVariables!H2:H999, TRUE())</f>
        <v>0</v>
      </c>
      <c r="S48" s="3" t="b">
        <f>AND(Q48, R48 &gt; 0)</f>
        <v>0</v>
      </c>
      <c r="T48" s="3">
        <f>IF(H48 = "", "", ABS(H48 - K48))</f>
        <v>0.0042857142857142955</v>
      </c>
      <c r="U48" s="5">
        <f>IF(L48 = D48, O48, N48)</f>
        <v>1</v>
      </c>
      <c r="V48" s="3">
        <f>IF(M48 = 0, "", T48 * (U48 / M48))</f>
        <v>0.0021428571428571477</v>
      </c>
      <c r="W48" s="3">
        <f>SUMIFS(StratumSummaries!S2:S999,StratumSummaries!C2:C999, C48,StratumSummaries!E2:E999, D48)</f>
        <v>0.09</v>
      </c>
      <c r="X48" s="3">
        <f>SUMIFS(StratumSummaries!S2:S999,StratumSummaries!C2:C999, C48,StratumSummaries!E2:E999, E48)</f>
        <v>0.09428571428571428</v>
      </c>
      <c r="Y48" s="3">
        <f>IF(M48 = 0, "", U48 / M48)</f>
        <v>0.5</v>
      </c>
      <c r="Z48" s="3">
        <f>IF(M48 = 0, "", Y48 - 0.5)</f>
        <v>0</v>
      </c>
      <c r="AA48" s="3">
        <f>IF(H48 = "", "", H48 - K48)</f>
        <v>-0.0042857142857142955</v>
      </c>
      <c r="AB48" s="3">
        <f>SUMIFS(StratumSummaries!AB2:AB999,StratumSummaries!C2:C999, C48,StratumSummaries!E2:E999, D48)</f>
        <v>-0.004285714285714288</v>
      </c>
      <c r="AC48" s="3" t="b">
        <f>IF(AB48 = "", "", IF(AB48 &gt; 0, AA48 &lt; 0, AA48 &gt; 0))</f>
        <v>0</v>
      </c>
      <c r="AD48" s="3">
        <f>IF(AB48 = "", "", ABS(AB48 - AA48))</f>
        <v>7.806255641895632E-18</v>
      </c>
      <c r="AE48" s="3" t="str">
        <f>IF(AD48 = "", "", IF(AC48, IF(AND(AB48 &lt;&gt; 0, AA48 / AB48 &lt; -1), "B", IF(AND(AB48 &lt;&gt; 0, AA48 / AB48 &lt; 0), "A", IF(Y48 = 1, "A", "B"))), IF(AND(NOT(AC48), AD48 &gt; 0.01, ABS(AA48) &gt; ABS(AG48) + 0.001), "C+", IF(AND(NOT(AC48), AD48 &gt; 0.01, ABS(AA48) &lt; ABS(AG48) - 0.001), "C-", "D"))))</f>
        <v>D</v>
      </c>
      <c r="AF48" s="3" t="str">
        <f>IF(AE48 = "", "", IF(AE48 = "A", "stratify-immediately", IF(AE48 = "B", "investigate-confounder", IF(OR(AE48 = "C+", AE48 = "C-"), "check-allocation-bias", "pooled-analysis-trustworthy"))))</f>
        <v>pooled-analysis-trustworthy</v>
      </c>
      <c r="AG48" s="3">
        <f>AB48</f>
        <v>-0.004285714285714288</v>
      </c>
      <c r="AH48" s="3" t="str">
        <f>IF(AG48 = "", "", IF(ABS(AG48) &lt; 0.0001, "tie", IF(AG48 &gt; 0, D48, IF(AG48 &lt; 0, E48, "tie"))))</f>
        <v>B</v>
      </c>
      <c r="AI48" s="3" t="b">
        <f>IF(AH48 = "", "", AH48 = L48)</f>
        <v>1</v>
      </c>
      <c r="AJ48" s="3" t="str">
        <f>IF(AE48 = "", "", IF(AE48 = "A", "use-corrected-winner", IF(AE48 = "B", "use-corrected-winner-with-caution", IF(OR(AE48 = "C+", AE48 = "C-"), "check-allocation-bias", "pooled-analysis-trustworthy"))))</f>
        <v>pooled-analysis-trustworthy</v>
      </c>
      <c r="AK48" s="3" t="str">
        <f>IF(AG48 = "", "", IF(AC48, "reversal", IF(ABS(AA48) &gt; ABS(AG48) + 0.001, "amplification", IF(ABS(AA48) &lt; ABS(AG48) - 0.001, "compression", "neutral"))))</f>
        <v>neutral</v>
      </c>
      <c r="AL48" s="3">
        <f>IF(AG48 = "", "", IF(ABS(AG48) + AD48 = 0, 1, ABS(AG48) / (ABS(AG48) + AD48)))</f>
        <v>0.9999999999999982</v>
      </c>
      <c r="AM48" s="3" t="e">
        <f>LOOKUP(C48, SweepStudySummary[SweepStudyId], SweepStudySummary[PooledGapCrossesZero])</f>
        <v>#VALUE!</v>
      </c>
      <c r="AN48" s="3" t="e">
        <f>LOOKUP(C48, SweepStudySummary[SweepStudyId], SweepStudySummary[SweepPooledGapRange])</f>
        <v>#VALUE!</v>
      </c>
      <c r="AO48" s="3" t="e">
        <f>IF(AE48 = "", "", AND(AE48 = "D", AM48 = TRUE))</f>
        <v>#VALUE!</v>
      </c>
      <c r="AP48" s="3" t="e">
        <f>IF(OR(AN48 = "", T48 = "", T48 = 0), "", AN48 / ABS(T48))</f>
        <v>#VALUE!</v>
      </c>
      <c r="AQ48" s="3" t="e">
        <f>LOOKUP(C48, Studies[StudyId], Studies[Domain])</f>
        <v>#VALUE!</v>
      </c>
      <c r="AR48" s="5">
        <f>COUNTIFS(StratumVariables!C2:C999, C48,StratumVariables!E2:E999, "confounder")</f>
        <v>0</v>
      </c>
      <c r="AS48" s="5">
        <f>COUNTIFS(StratumVariables!C2:C999, C48,StratumVariables!J2:J999, "mediator") + COUNTIFS(StratumVariables!C2:C999, C48,StratumVariables!J2:J999, "collider")</f>
        <v>0</v>
      </c>
      <c r="AT48" s="5">
        <f>COUNTIFS(StratumVariables!C2:C999, C48,StratumVariables!E2:E999, "contested")</f>
        <v>1</v>
      </c>
      <c r="AU48" s="5">
        <f>COUNTIFS(StratumVariables!C2:C999, C48,StratumVariables!E2:E999, "unknown")</f>
        <v>0</v>
      </c>
      <c r="AV48" s="3" t="str">
        <f>IF(AT48 &gt; 0, "contested", IF(AU48 &gt; 0, "geometric-only", IF(AR48 &gt; 0, "established", "geometric-only")))</f>
        <v>contested</v>
      </c>
      <c r="AW48" s="3" t="b">
        <f>AND(AS48 = 0, AV48 = "established")</f>
        <v>0</v>
      </c>
      <c r="AX48" s="2" t="s">
        <v>2676</v>
      </c>
    </row>
    <row r="49">
      <c r="A49" s="2" t="s">
        <v>2686</v>
      </c>
      <c r="B49" s="3" t="str">
        <f>A49</f>
        <v>obesity-paradox-hf-A-vs-B</v>
      </c>
      <c r="C49" s="2" t="s">
        <v>593</v>
      </c>
      <c r="D49" s="2" t="s">
        <v>792</v>
      </c>
      <c r="E49" s="2" t="s">
        <v>795</v>
      </c>
      <c r="F49" s="5">
        <f>SUMIFS(CaseCells!G2:G999,CaseCells!C2:C999, C49,CaseCells!E2:E999, D49)</f>
        <v>2000</v>
      </c>
      <c r="G49" s="5">
        <f>SUMIFS(CaseCells!F2:F999,CaseCells!C2:C999, C49,CaseCells!E2:E999, D49)</f>
        <v>1450</v>
      </c>
      <c r="H49" s="3">
        <f>IF(F49 = 0, "", G49 / F49)</f>
        <v>0.725</v>
      </c>
      <c r="I49" s="5">
        <f>SUMIFS(CaseCells!G2:G999,CaseCells!C2:C999, C49,CaseCells!E2:E999, E49)</f>
        <v>2000</v>
      </c>
      <c r="J49" s="5">
        <f>SUMIFS(CaseCells!F2:F999,CaseCells!C2:C999, C49,CaseCells!E2:E999, E49)</f>
        <v>1400</v>
      </c>
      <c r="K49" s="3">
        <f>IF(I49 = 0, "", J49 / I49)</f>
        <v>0.7</v>
      </c>
      <c r="L49" s="3" t="str">
        <f>IF(OR(H49 = "", K49 = ""), "", IF(ABS(H49 - K49) &lt; 0.0000001, "tie", IF(H49 &gt; K49, D49, E49)))</f>
        <v>A</v>
      </c>
      <c r="M49" s="5">
        <f>COUNTIFS(StratumSummaries!C2:C999, C49,StratumSummaries!E2:E999, D49)</f>
        <v>2</v>
      </c>
      <c r="N49" s="5">
        <f>COUNTIFS(StratumSummaries!C2:C999, C49,StratumSummaries!E2:E999, D49,StratumSummaries!O2:O999, D49)</f>
        <v>1</v>
      </c>
      <c r="O49" s="5">
        <f>COUNTIFS(StratumSummaries!C2:C999, C49,StratumSummaries!E2:E999, D49,StratumSummaries!O2:O999, E49)</f>
        <v>1</v>
      </c>
      <c r="P49" s="3" t="str">
        <f>IF(N49 = M49, D49, IF(O49 = M49, E49, "none"))</f>
        <v>none</v>
      </c>
      <c r="Q49" s="3" t="b">
        <f>IF(AC49 = "", "", AC49)</f>
        <v>0</v>
      </c>
      <c r="R49" s="5">
        <f>COUNTIFS(StratumVariables!C2:C999, C49,StratumVariables!H2:H999, TRUE())</f>
        <v>0</v>
      </c>
      <c r="S49" s="3" t="b">
        <f>AND(Q49, R49 &gt; 0)</f>
        <v>0</v>
      </c>
      <c r="T49" s="3">
        <f>IF(H49 = "", "", ABS(H49 - K49))</f>
        <v>0.025000000000000022</v>
      </c>
      <c r="U49" s="5">
        <f>IF(L49 = D49, O49, N49)</f>
        <v>1</v>
      </c>
      <c r="V49" s="3">
        <f>IF(M49 = 0, "", T49 * (U49 / M49))</f>
        <v>0.012500000000000011</v>
      </c>
      <c r="W49" s="3">
        <f>SUMIFS(StratumSummaries!S2:S999,StratumSummaries!C2:C999, C49,StratumSummaries!E2:E999, D49)</f>
        <v>0.7250000000000001</v>
      </c>
      <c r="X49" s="3">
        <f>SUMIFS(StratumSummaries!S2:S999,StratumSummaries!C2:C999, C49,StratumSummaries!E2:E999, E49)</f>
        <v>0.7</v>
      </c>
      <c r="Y49" s="3">
        <f>IF(M49 = 0, "", U49 / M49)</f>
        <v>0.5</v>
      </c>
      <c r="Z49" s="3">
        <f>IF(M49 = 0, "", Y49 - 0.5)</f>
        <v>0</v>
      </c>
      <c r="AA49" s="3">
        <f>IF(H49 = "", "", H49 - K49)</f>
        <v>0.025000000000000022</v>
      </c>
      <c r="AB49" s="3">
        <f>SUMIFS(StratumSummaries!AB2:AB999,StratumSummaries!C2:C999, C49,StratumSummaries!E2:E999, D49)</f>
        <v>0.025000000000000022</v>
      </c>
      <c r="AC49" s="3" t="b">
        <f>IF(AB49 = "", "", IF(AB49 &gt; 0, AA49 &lt; 0, AA49 &gt; 0))</f>
        <v>0</v>
      </c>
      <c r="AD49" s="3">
        <f>IF(AB49 = "", "", ABS(AB49 - AA49))</f>
        <v>0</v>
      </c>
      <c r="AE49" s="3" t="str">
        <f>IF(AD49 = "", "", IF(AC49, IF(AND(AB49 &lt;&gt; 0, AA49 / AB49 &lt; -1), "B", IF(AND(AB49 &lt;&gt; 0, AA49 / AB49 &lt; 0), "A", IF(Y49 = 1, "A", "B"))), IF(AND(NOT(AC49), AD49 &gt; 0.01, ABS(AA49) &gt; ABS(AG49) + 0.001), "C+", IF(AND(NOT(AC49), AD49 &gt; 0.01, ABS(AA49) &lt; ABS(AG49) - 0.001), "C-", "D"))))</f>
        <v>D</v>
      </c>
      <c r="AF49" s="3" t="str">
        <f>IF(AE49 = "", "", IF(AE49 = "A", "stratify-immediately", IF(AE49 = "B", "investigate-confounder", IF(OR(AE49 = "C+", AE49 = "C-"), "check-allocation-bias", "pooled-analysis-trustworthy"))))</f>
        <v>pooled-analysis-trustworthy</v>
      </c>
      <c r="AG49" s="3">
        <f>AB49</f>
        <v>0.025000000000000022</v>
      </c>
      <c r="AH49" s="3" t="str">
        <f>IF(AG49 = "", "", IF(ABS(AG49) &lt; 0.0001, "tie", IF(AG49 &gt; 0, D49, IF(AG49 &lt; 0, E49, "tie"))))</f>
        <v>A</v>
      </c>
      <c r="AI49" s="3" t="b">
        <f>IF(AH49 = "", "", AH49 = L49)</f>
        <v>1</v>
      </c>
      <c r="AJ49" s="3" t="str">
        <f>IF(AE49 = "", "", IF(AE49 = "A", "use-corrected-winner", IF(AE49 = "B", "use-corrected-winner-with-caution", IF(OR(AE49 = "C+", AE49 = "C-"), "check-allocation-bias", "pooled-analysis-trustworthy"))))</f>
        <v>pooled-analysis-trustworthy</v>
      </c>
      <c r="AK49" s="3" t="str">
        <f>IF(AG49 = "", "", IF(AC49, "reversal", IF(ABS(AA49) &gt; ABS(AG49) + 0.001, "amplification", IF(ABS(AA49) &lt; ABS(AG49) - 0.001, "compression", "neutral"))))</f>
        <v>neutral</v>
      </c>
      <c r="AL49" s="3">
        <f>IF(AG49 = "", "", IF(ABS(AG49) + AD49 = 0, 1, ABS(AG49) / (ABS(AG49) + AD49)))</f>
        <v>1</v>
      </c>
      <c r="AM49" s="3" t="e">
        <f>LOOKUP(C49, SweepStudySummary[SweepStudyId], SweepStudySummary[PooledGapCrossesZero])</f>
        <v>#VALUE!</v>
      </c>
      <c r="AN49" s="3" t="e">
        <f>LOOKUP(C49, SweepStudySummary[SweepStudyId], SweepStudySummary[SweepPooledGapRange])</f>
        <v>#VALUE!</v>
      </c>
      <c r="AO49" s="3" t="e">
        <f>IF(AE49 = "", "", AND(AE49 = "D", AM49 = TRUE))</f>
        <v>#VALUE!</v>
      </c>
      <c r="AP49" s="3" t="e">
        <f>IF(OR(AN49 = "", T49 = "", T49 = 0), "", AN49 / ABS(T49))</f>
        <v>#VALUE!</v>
      </c>
      <c r="AQ49" s="3" t="e">
        <f>LOOKUP(C49, Studies[StudyId], Studies[Domain])</f>
        <v>#VALUE!</v>
      </c>
      <c r="AR49" s="5">
        <f>COUNTIFS(StratumVariables!C2:C999, C49,StratumVariables!E2:E999, "confounder")</f>
        <v>0</v>
      </c>
      <c r="AS49" s="5">
        <f>COUNTIFS(StratumVariables!C2:C999, C49,StratumVariables!J2:J999, "mediator") + COUNTIFS(StratumVariables!C2:C999, C49,StratumVariables!J2:J999, "collider")</f>
        <v>1</v>
      </c>
      <c r="AT49" s="5">
        <f>COUNTIFS(StratumVariables!C2:C999, C49,StratumVariables!E2:E999, "contested")</f>
        <v>0</v>
      </c>
      <c r="AU49" s="5">
        <f>COUNTIFS(StratumVariables!C2:C999, C49,StratumVariables!E2:E999, "unknown")</f>
        <v>0</v>
      </c>
      <c r="AV49" s="3" t="str">
        <f>IF(AT49 &gt; 0, "contested", IF(AU49 &gt; 0, "geometric-only", IF(AR49 &gt; 0, "established", "geometric-only")))</f>
        <v>geometric-only</v>
      </c>
      <c r="AW49" s="3" t="b">
        <f>AND(AS49 = 0, AV49 = "established")</f>
        <v>0</v>
      </c>
      <c r="AX49" s="2" t="s">
        <v>2687</v>
      </c>
    </row>
    <row r="50">
      <c r="A50" s="2" t="s">
        <v>2688</v>
      </c>
      <c r="B50" s="3" t="str">
        <f>A50</f>
        <v>dialysis-bmi-survival-A-vs-B</v>
      </c>
      <c r="C50" s="2" t="s">
        <v>597</v>
      </c>
      <c r="D50" s="2" t="s">
        <v>792</v>
      </c>
      <c r="E50" s="2" t="s">
        <v>795</v>
      </c>
      <c r="F50" s="5">
        <f>SUMIFS(CaseCells!G2:G999,CaseCells!C2:C999, C50,CaseCells!E2:E999, D50)</f>
        <v>2000</v>
      </c>
      <c r="G50" s="5">
        <f>SUMIFS(CaseCells!F2:F999,CaseCells!C2:C999, C50,CaseCells!E2:E999, D50)</f>
        <v>1600</v>
      </c>
      <c r="H50" s="3">
        <f>IF(F50 = 0, "", G50 / F50)</f>
        <v>0.8</v>
      </c>
      <c r="I50" s="5">
        <f>SUMIFS(CaseCells!G2:G999,CaseCells!C2:C999, C50,CaseCells!E2:E999, E50)</f>
        <v>2000</v>
      </c>
      <c r="J50" s="5">
        <f>SUMIFS(CaseCells!F2:F999,CaseCells!C2:C999, C50,CaseCells!E2:E999, E50)</f>
        <v>1550</v>
      </c>
      <c r="K50" s="3">
        <f>IF(I50 = 0, "", J50 / I50)</f>
        <v>0.775</v>
      </c>
      <c r="L50" s="3" t="str">
        <f>IF(OR(H50 = "", K50 = ""), "", IF(ABS(H50 - K50) &lt; 0.0000001, "tie", IF(H50 &gt; K50, D50, E50)))</f>
        <v>A</v>
      </c>
      <c r="M50" s="5">
        <f>COUNTIFS(StratumSummaries!C2:C999, C50,StratumSummaries!E2:E999, D50)</f>
        <v>2</v>
      </c>
      <c r="N50" s="5">
        <f>COUNTIFS(StratumSummaries!C2:C999, C50,StratumSummaries!E2:E999, D50,StratumSummaries!O2:O999, D50)</f>
        <v>1</v>
      </c>
      <c r="O50" s="5">
        <f>COUNTIFS(StratumSummaries!C2:C999, C50,StratumSummaries!E2:E999, D50,StratumSummaries!O2:O999, E50)</f>
        <v>1</v>
      </c>
      <c r="P50" s="3" t="str">
        <f>IF(N50 = M50, D50, IF(O50 = M50, E50, "none"))</f>
        <v>none</v>
      </c>
      <c r="Q50" s="3" t="b">
        <f>IF(AC50 = "", "", AC50)</f>
        <v>0</v>
      </c>
      <c r="R50" s="5">
        <f>COUNTIFS(StratumVariables!C2:C999, C50,StratumVariables!H2:H999, TRUE())</f>
        <v>0</v>
      </c>
      <c r="S50" s="3" t="b">
        <f>AND(Q50, R50 &gt; 0)</f>
        <v>0</v>
      </c>
      <c r="T50" s="3">
        <f>IF(H50 = "", "", ABS(H50 - K50))</f>
        <v>0.025000000000000022</v>
      </c>
      <c r="U50" s="5">
        <f>IF(L50 = D50, O50, N50)</f>
        <v>1</v>
      </c>
      <c r="V50" s="3">
        <f>IF(M50 = 0, "", T50 * (U50 / M50))</f>
        <v>0.012500000000000011</v>
      </c>
      <c r="W50" s="3">
        <f>SUMIFS(StratumSummaries!S2:S999,StratumSummaries!C2:C999, C50,StratumSummaries!E2:E999, D50)</f>
        <v>0.8</v>
      </c>
      <c r="X50" s="3">
        <f>SUMIFS(StratumSummaries!S2:S999,StratumSummaries!C2:C999, C50,StratumSummaries!E2:E999, E50)</f>
        <v>0.7749999999999999</v>
      </c>
      <c r="Y50" s="3">
        <f>IF(M50 = 0, "", U50 / M50)</f>
        <v>0.5</v>
      </c>
      <c r="Z50" s="3">
        <f>IF(M50 = 0, "", Y50 - 0.5)</f>
        <v>0</v>
      </c>
      <c r="AA50" s="3">
        <f>IF(H50 = "", "", H50 - K50)</f>
        <v>0.025000000000000022</v>
      </c>
      <c r="AB50" s="3">
        <f>SUMIFS(StratumSummaries!AB2:AB999,StratumSummaries!C2:C999, C50,StratumSummaries!E2:E999, D50)</f>
        <v>0.025000000000000022</v>
      </c>
      <c r="AC50" s="3" t="b">
        <f>IF(AB50 = "", "", IF(AB50 &gt; 0, AA50 &lt; 0, AA50 &gt; 0))</f>
        <v>0</v>
      </c>
      <c r="AD50" s="3">
        <f>IF(AB50 = "", "", ABS(AB50 - AA50))</f>
        <v>0</v>
      </c>
      <c r="AE50" s="3" t="str">
        <f>IF(AD50 = "", "", IF(AC50, IF(AND(AB50 &lt;&gt; 0, AA50 / AB50 &lt; -1), "B", IF(AND(AB50 &lt;&gt; 0, AA50 / AB50 &lt; 0), "A", IF(Y50 = 1, "A", "B"))), IF(AND(NOT(AC50), AD50 &gt; 0.01, ABS(AA50) &gt; ABS(AG50) + 0.001), "C+", IF(AND(NOT(AC50), AD50 &gt; 0.01, ABS(AA50) &lt; ABS(AG50) - 0.001), "C-", "D"))))</f>
        <v>D</v>
      </c>
      <c r="AF50" s="3" t="str">
        <f>IF(AE50 = "", "", IF(AE50 = "A", "stratify-immediately", IF(AE50 = "B", "investigate-confounder", IF(OR(AE50 = "C+", AE50 = "C-"), "check-allocation-bias", "pooled-analysis-trustworthy"))))</f>
        <v>pooled-analysis-trustworthy</v>
      </c>
      <c r="AG50" s="3">
        <f>AB50</f>
        <v>0.025000000000000022</v>
      </c>
      <c r="AH50" s="3" t="str">
        <f>IF(AG50 = "", "", IF(ABS(AG50) &lt; 0.0001, "tie", IF(AG50 &gt; 0, D50, IF(AG50 &lt; 0, E50, "tie"))))</f>
        <v>A</v>
      </c>
      <c r="AI50" s="3" t="b">
        <f>IF(AH50 = "", "", AH50 = L50)</f>
        <v>1</v>
      </c>
      <c r="AJ50" s="3" t="str">
        <f>IF(AE50 = "", "", IF(AE50 = "A", "use-corrected-winner", IF(AE50 = "B", "use-corrected-winner-with-caution", IF(OR(AE50 = "C+", AE50 = "C-"), "check-allocation-bias", "pooled-analysis-trustworthy"))))</f>
        <v>pooled-analysis-trustworthy</v>
      </c>
      <c r="AK50" s="3" t="str">
        <f>IF(AG50 = "", "", IF(AC50, "reversal", IF(ABS(AA50) &gt; ABS(AG50) + 0.001, "amplification", IF(ABS(AA50) &lt; ABS(AG50) - 0.001, "compression", "neutral"))))</f>
        <v>neutral</v>
      </c>
      <c r="AL50" s="3">
        <f>IF(AG50 = "", "", IF(ABS(AG50) + AD50 = 0, 1, ABS(AG50) / (ABS(AG50) + AD50)))</f>
        <v>1</v>
      </c>
      <c r="AM50" s="3" t="e">
        <f>LOOKUP(C50, SweepStudySummary[SweepStudyId], SweepStudySummary[PooledGapCrossesZero])</f>
        <v>#VALUE!</v>
      </c>
      <c r="AN50" s="3" t="e">
        <f>LOOKUP(C50, SweepStudySummary[SweepStudyId], SweepStudySummary[SweepPooledGapRange])</f>
        <v>#VALUE!</v>
      </c>
      <c r="AO50" s="3" t="e">
        <f>IF(AE50 = "", "", AND(AE50 = "D", AM50 = TRUE))</f>
        <v>#VALUE!</v>
      </c>
      <c r="AP50" s="3" t="e">
        <f>IF(OR(AN50 = "", T50 = "", T50 = 0), "", AN50 / ABS(T50))</f>
        <v>#VALUE!</v>
      </c>
      <c r="AQ50" s="3" t="e">
        <f>LOOKUP(C50, Studies[StudyId], Studies[Domain])</f>
        <v>#VALUE!</v>
      </c>
      <c r="AR50" s="5">
        <f>COUNTIFS(StratumVariables!C2:C999, C50,StratumVariables!E2:E999, "confounder")</f>
        <v>0</v>
      </c>
      <c r="AS50" s="5">
        <f>COUNTIFS(StratumVariables!C2:C999, C50,StratumVariables!J2:J999, "mediator") + COUNTIFS(StratumVariables!C2:C999, C50,StratumVariables!J2:J999, "collider")</f>
        <v>1</v>
      </c>
      <c r="AT50" s="5">
        <f>COUNTIFS(StratumVariables!C2:C999, C50,StratumVariables!E2:E999, "contested")</f>
        <v>0</v>
      </c>
      <c r="AU50" s="5">
        <f>COUNTIFS(StratumVariables!C2:C999, C50,StratumVariables!E2:E999, "unknown")</f>
        <v>0</v>
      </c>
      <c r="AV50" s="3" t="str">
        <f>IF(AT50 &gt; 0, "contested", IF(AU50 &gt; 0, "geometric-only", IF(AR50 &gt; 0, "established", "geometric-only")))</f>
        <v>geometric-only</v>
      </c>
      <c r="AW50" s="3" t="b">
        <f>AND(AS50 = 0, AV50 = "established")</f>
        <v>0</v>
      </c>
      <c r="AX50" s="2" t="s">
        <v>2687</v>
      </c>
    </row>
    <row r="51">
      <c r="A51" s="2" t="s">
        <v>2689</v>
      </c>
      <c r="B51" s="3" t="str">
        <f>A51</f>
        <v>sick-quitter-alcohol-A-vs-B</v>
      </c>
      <c r="C51" s="2" t="s">
        <v>601</v>
      </c>
      <c r="D51" s="2" t="s">
        <v>792</v>
      </c>
      <c r="E51" s="2" t="s">
        <v>795</v>
      </c>
      <c r="F51" s="5">
        <f>SUMIFS(CaseCells!G2:G999,CaseCells!C2:C999, C51,CaseCells!E2:E999, D51)</f>
        <v>2000</v>
      </c>
      <c r="G51" s="5">
        <f>SUMIFS(CaseCells!F2:F999,CaseCells!C2:C999, C51,CaseCells!E2:E999, D51)</f>
        <v>1670</v>
      </c>
      <c r="H51" s="3">
        <f>IF(F51 = 0, "", G51 / F51)</f>
        <v>0.835</v>
      </c>
      <c r="I51" s="5">
        <f>SUMIFS(CaseCells!G2:G999,CaseCells!C2:C999, C51,CaseCells!E2:E999, E51)</f>
        <v>2000</v>
      </c>
      <c r="J51" s="5">
        <f>SUMIFS(CaseCells!F2:F999,CaseCells!C2:C999, C51,CaseCells!E2:E999, E51)</f>
        <v>1630</v>
      </c>
      <c r="K51" s="3">
        <f>IF(I51 = 0, "", J51 / I51)</f>
        <v>0.815</v>
      </c>
      <c r="L51" s="3" t="str">
        <f>IF(OR(H51 = "", K51 = ""), "", IF(ABS(H51 - K51) &lt; 0.0000001, "tie", IF(H51 &gt; K51, D51, E51)))</f>
        <v>A</v>
      </c>
      <c r="M51" s="5">
        <f>COUNTIFS(StratumSummaries!C2:C999, C51,StratumSummaries!E2:E999, D51)</f>
        <v>2</v>
      </c>
      <c r="N51" s="5">
        <f>COUNTIFS(StratumSummaries!C2:C999, C51,StratumSummaries!E2:E999, D51,StratumSummaries!O2:O999, D51)</f>
        <v>1</v>
      </c>
      <c r="O51" s="5">
        <f>COUNTIFS(StratumSummaries!C2:C999, C51,StratumSummaries!E2:E999, D51,StratumSummaries!O2:O999, E51)</f>
        <v>1</v>
      </c>
      <c r="P51" s="3" t="str">
        <f>IF(N51 = M51, D51, IF(O51 = M51, E51, "none"))</f>
        <v>none</v>
      </c>
      <c r="Q51" s="3" t="b">
        <f>IF(AC51 = "", "", AC51)</f>
        <v>0</v>
      </c>
      <c r="R51" s="5">
        <f>COUNTIFS(StratumVariables!C2:C999, C51,StratumVariables!H2:H999, TRUE())</f>
        <v>0</v>
      </c>
      <c r="S51" s="3" t="b">
        <f>AND(Q51, R51 &gt; 0)</f>
        <v>0</v>
      </c>
      <c r="T51" s="3">
        <f>IF(H51 = "", "", ABS(H51 - K51))</f>
        <v>0.020000000000000018</v>
      </c>
      <c r="U51" s="5">
        <f>IF(L51 = D51, O51, N51)</f>
        <v>1</v>
      </c>
      <c r="V51" s="3">
        <f>IF(M51 = 0, "", T51 * (U51 / M51))</f>
        <v>0.010000000000000009</v>
      </c>
      <c r="W51" s="3">
        <f>SUMIFS(StratumSummaries!S2:S999,StratumSummaries!C2:C999, C51,StratumSummaries!E2:E999, D51)</f>
        <v>0.835</v>
      </c>
      <c r="X51" s="3">
        <f>SUMIFS(StratumSummaries!S2:S999,StratumSummaries!C2:C999, C51,StratumSummaries!E2:E999, E51)</f>
        <v>0.815</v>
      </c>
      <c r="Y51" s="3">
        <f>IF(M51 = 0, "", U51 / M51)</f>
        <v>0.5</v>
      </c>
      <c r="Z51" s="3">
        <f>IF(M51 = 0, "", Y51 - 0.5)</f>
        <v>0</v>
      </c>
      <c r="AA51" s="3">
        <f>IF(H51 = "", "", H51 - K51)</f>
        <v>0.020000000000000018</v>
      </c>
      <c r="AB51" s="3">
        <f>SUMIFS(StratumSummaries!AB2:AB999,StratumSummaries!C2:C999, C51,StratumSummaries!E2:E999, D51)</f>
        <v>0.019999999999999962</v>
      </c>
      <c r="AC51" s="3" t="b">
        <f>IF(AB51 = "", "", IF(AB51 &gt; 0, AA51 &lt; 0, AA51 &gt; 0))</f>
        <v>0</v>
      </c>
      <c r="AD51" s="3">
        <f>IF(AB51 = "", "", ABS(AB51 - AA51))</f>
        <v>5.551115123125783E-17</v>
      </c>
      <c r="AE51" s="3" t="str">
        <f>IF(AD51 = "", "", IF(AC51, IF(AND(AB51 &lt;&gt; 0, AA51 / AB51 &lt; -1), "B", IF(AND(AB51 &lt;&gt; 0, AA51 / AB51 &lt; 0), "A", IF(Y51 = 1, "A", "B"))), IF(AND(NOT(AC51), AD51 &gt; 0.01, ABS(AA51) &gt; ABS(AG51) + 0.001), "C+", IF(AND(NOT(AC51), AD51 &gt; 0.01, ABS(AA51) &lt; ABS(AG51) - 0.001), "C-", "D"))))</f>
        <v>D</v>
      </c>
      <c r="AF51" s="3" t="str">
        <f>IF(AE51 = "", "", IF(AE51 = "A", "stratify-immediately", IF(AE51 = "B", "investigate-confounder", IF(OR(AE51 = "C+", AE51 = "C-"), "check-allocation-bias", "pooled-analysis-trustworthy"))))</f>
        <v>pooled-analysis-trustworthy</v>
      </c>
      <c r="AG51" s="3">
        <f>AB51</f>
        <v>0.019999999999999962</v>
      </c>
      <c r="AH51" s="3" t="str">
        <f>IF(AG51 = "", "", IF(ABS(AG51) &lt; 0.0001, "tie", IF(AG51 &gt; 0, D51, IF(AG51 &lt; 0, E51, "tie"))))</f>
        <v>A</v>
      </c>
      <c r="AI51" s="3" t="b">
        <f>IF(AH51 = "", "", AH51 = L51)</f>
        <v>1</v>
      </c>
      <c r="AJ51" s="3" t="str">
        <f>IF(AE51 = "", "", IF(AE51 = "A", "use-corrected-winner", IF(AE51 = "B", "use-corrected-winner-with-caution", IF(OR(AE51 = "C+", AE51 = "C-"), "check-allocation-bias", "pooled-analysis-trustworthy"))))</f>
        <v>pooled-analysis-trustworthy</v>
      </c>
      <c r="AK51" s="3" t="str">
        <f>IF(AG51 = "", "", IF(AC51, "reversal", IF(ABS(AA51) &gt; ABS(AG51) + 0.001, "amplification", IF(ABS(AA51) &lt; ABS(AG51) - 0.001, "compression", "neutral"))))</f>
        <v>neutral</v>
      </c>
      <c r="AL51" s="3">
        <f>IF(AG51 = "", "", IF(ABS(AG51) + AD51 = 0, 1, ABS(AG51) / (ABS(AG51) + AD51)))</f>
        <v>0.9999999999999972</v>
      </c>
      <c r="AM51" s="3" t="e">
        <f>LOOKUP(C51, SweepStudySummary[SweepStudyId], SweepStudySummary[PooledGapCrossesZero])</f>
        <v>#VALUE!</v>
      </c>
      <c r="AN51" s="3" t="e">
        <f>LOOKUP(C51, SweepStudySummary[SweepStudyId], SweepStudySummary[SweepPooledGapRange])</f>
        <v>#VALUE!</v>
      </c>
      <c r="AO51" s="3" t="e">
        <f>IF(AE51 = "", "", AND(AE51 = "D", AM51 = TRUE))</f>
        <v>#VALUE!</v>
      </c>
      <c r="AP51" s="3" t="e">
        <f>IF(OR(AN51 = "", T51 = "", T51 = 0), "", AN51 / ABS(T51))</f>
        <v>#VALUE!</v>
      </c>
      <c r="AQ51" s="3" t="e">
        <f>LOOKUP(C51, Studies[StudyId], Studies[Domain])</f>
        <v>#VALUE!</v>
      </c>
      <c r="AR51" s="5">
        <f>COUNTIFS(StratumVariables!C2:C999, C51,StratumVariables!E2:E999, "confounder")</f>
        <v>0</v>
      </c>
      <c r="AS51" s="5">
        <f>COUNTIFS(StratumVariables!C2:C999, C51,StratumVariables!J2:J999, "mediator") + COUNTIFS(StratumVariables!C2:C999, C51,StratumVariables!J2:J999, "collider")</f>
        <v>0</v>
      </c>
      <c r="AT51" s="5">
        <f>COUNTIFS(StratumVariables!C2:C999, C51,StratumVariables!E2:E999, "contested")</f>
        <v>1</v>
      </c>
      <c r="AU51" s="5">
        <f>COUNTIFS(StratumVariables!C2:C999, C51,StratumVariables!E2:E999, "unknown")</f>
        <v>0</v>
      </c>
      <c r="AV51" s="3" t="str">
        <f>IF(AT51 &gt; 0, "contested", IF(AU51 &gt; 0, "geometric-only", IF(AR51 &gt; 0, "established", "geometric-only")))</f>
        <v>contested</v>
      </c>
      <c r="AW51" s="3" t="b">
        <f>AND(AS51 = 0, AV51 = "established")</f>
        <v>0</v>
      </c>
      <c r="AX51" s="2" t="s">
        <v>2676</v>
      </c>
    </row>
    <row r="52">
      <c r="A52" s="2" t="s">
        <v>2690</v>
      </c>
      <c r="B52" s="3" t="str">
        <f>A52</f>
        <v>flu-vaccine-elderly-mortality-A-vs-B</v>
      </c>
      <c r="C52" s="2" t="s">
        <v>605</v>
      </c>
      <c r="D52" s="2" t="s">
        <v>792</v>
      </c>
      <c r="E52" s="2" t="s">
        <v>795</v>
      </c>
      <c r="F52" s="5">
        <f>SUMIFS(CaseCells!G2:G999,CaseCells!C2:C999, C52,CaseCells!E2:E999, D52)</f>
        <v>95000</v>
      </c>
      <c r="G52" s="5">
        <f>SUMIFS(CaseCells!F2:F999,CaseCells!C2:C999, C52,CaseCells!E2:E999, D52)</f>
        <v>94579</v>
      </c>
      <c r="H52" s="3">
        <f>IF(F52 = 0, "", G52 / F52)</f>
        <v>0.9955684210526315</v>
      </c>
      <c r="I52" s="5">
        <f>SUMIFS(CaseCells!G2:G999,CaseCells!C2:C999, C52,CaseCells!E2:E999, E52)</f>
        <v>153000</v>
      </c>
      <c r="J52" s="5">
        <f>SUMIFS(CaseCells!F2:F999,CaseCells!C2:C999, C52,CaseCells!E2:E999, E52)</f>
        <v>152452</v>
      </c>
      <c r="K52" s="3">
        <f>IF(I52 = 0, "", J52 / I52)</f>
        <v>0.9964183006535948</v>
      </c>
      <c r="L52" s="3" t="str">
        <f>IF(OR(H52 = "", K52 = ""), "", IF(ABS(H52 - K52) &lt; 0.0000001, "tie", IF(H52 &gt; K52, D52, E52)))</f>
        <v>B</v>
      </c>
      <c r="M52" s="5">
        <f>COUNTIFS(StratumSummaries!C2:C999, C52,StratumSummaries!E2:E999, D52)</f>
        <v>2</v>
      </c>
      <c r="N52" s="5">
        <f>COUNTIFS(StratumSummaries!C2:C999, C52,StratumSummaries!E2:E999, D52,StratumSummaries!O2:O999, D52)</f>
        <v>2</v>
      </c>
      <c r="O52" s="5">
        <f>COUNTIFS(StratumSummaries!C2:C999, C52,StratumSummaries!E2:E999, D52,StratumSummaries!O2:O999, E52)</f>
        <v>0</v>
      </c>
      <c r="P52" s="3" t="str">
        <f>IF(N52 = M52, D52, IF(O52 = M52, E52, "none"))</f>
        <v>A</v>
      </c>
      <c r="Q52" s="3" t="b">
        <f>IF(AC52 = "", "", AC52)</f>
        <v>1</v>
      </c>
      <c r="R52" s="5">
        <f>COUNTIFS(StratumVariables!C2:C999, C52,StratumVariables!H2:H999, TRUE())</f>
        <v>1</v>
      </c>
      <c r="S52" s="3" t="b">
        <f>AND(Q52, R52 &gt; 0)</f>
        <v>1</v>
      </c>
      <c r="T52" s="3">
        <f>IF(H52 = "", "", ABS(H52 - K52))</f>
        <v>0.000849879600963277</v>
      </c>
      <c r="U52" s="5">
        <f>IF(L52 = D52, O52, N52)</f>
        <v>2</v>
      </c>
      <c r="V52" s="3">
        <f>IF(M52 = 0, "", T52 * (U52 / M52))</f>
        <v>0.000849879600963277</v>
      </c>
      <c r="W52" s="3">
        <f>SUMIFS(StratumSummaries!S2:S999,StratumSummaries!C2:C999, C52,StratumSummaries!E2:E999, D52)</f>
        <v>0.9971935483870968</v>
      </c>
      <c r="X52" s="3">
        <f>SUMIFS(StratumSummaries!S2:S999,StratumSummaries!C2:C999, C52,StratumSummaries!E2:E999, E52)</f>
        <v>0.9943139784946237</v>
      </c>
      <c r="Y52" s="3">
        <f>IF(M52 = 0, "", U52 / M52)</f>
        <v>1</v>
      </c>
      <c r="Z52" s="3">
        <f>IF(M52 = 0, "", Y52 - 0.5)</f>
        <v>0.5</v>
      </c>
      <c r="AA52" s="3">
        <f>IF(H52 = "", "", H52 - K52)</f>
        <v>-0.000849879600963277</v>
      </c>
      <c r="AB52" s="3">
        <f>SUMIFS(StratumSummaries!AB2:AB999,StratumSummaries!C2:C999, C52,StratumSummaries!E2:E999, D52)</f>
        <v>0.0028795698924731303</v>
      </c>
      <c r="AC52" s="3" t="b">
        <f>IF(AB52 = "", "", IF(AB52 &gt; 0, AA52 &lt; 0, AA52 &gt; 0))</f>
        <v>1</v>
      </c>
      <c r="AD52" s="3">
        <f>IF(AB52 = "", "", ABS(AB52 - AA52))</f>
        <v>0.0037294494934364073</v>
      </c>
      <c r="AE52" s="3" t="str">
        <f>IF(AD52 = "", "", IF(AC52, IF(AND(AB52 &lt;&gt; 0, AA52 / AB52 &lt; -1), "B", IF(AND(AB52 &lt;&gt; 0, AA52 / AB52 &lt; 0), "A", IF(Y52 = 1, "A", "B"))), IF(AND(NOT(AC52), AD52 &gt; 0.01, ABS(AA52) &gt; ABS(AG52) + 0.001), "C+", IF(AND(NOT(AC52), AD52 &gt; 0.01, ABS(AA52) &lt; ABS(AG52) - 0.001), "C-", "D"))))</f>
        <v>A</v>
      </c>
      <c r="AF52" s="3" t="str">
        <f>IF(AE52 = "", "", IF(AE52 = "A", "stratify-immediately", IF(AE52 = "B", "investigate-confounder", IF(OR(AE52 = "C+", AE52 = "C-"), "check-allocation-bias", "pooled-analysis-trustworthy"))))</f>
        <v>stratify-immediately</v>
      </c>
      <c r="AG52" s="3">
        <f>AB52</f>
        <v>0.0028795698924731303</v>
      </c>
      <c r="AH52" s="3" t="str">
        <f>IF(AG52 = "", "", IF(ABS(AG52) &lt; 0.0001, "tie", IF(AG52 &gt; 0, D52, IF(AG52 &lt; 0, E52, "tie"))))</f>
        <v>A</v>
      </c>
      <c r="AI52" s="3" t="b">
        <f>IF(AH52 = "", "", AH52 = L52)</f>
        <v>0</v>
      </c>
      <c r="AJ52" s="3" t="str">
        <f>IF(AE52 = "", "", IF(AE52 = "A", "use-corrected-winner", IF(AE52 = "B", "use-corrected-winner-with-caution", IF(OR(AE52 = "C+", AE52 = "C-"), "check-allocation-bias", "pooled-analysis-trustworthy"))))</f>
        <v>use-corrected-winner</v>
      </c>
      <c r="AK52" s="3" t="str">
        <f>IF(AG52 = "", "", IF(AC52, "reversal", IF(ABS(AA52) &gt; ABS(AG52) + 0.001, "amplification", IF(ABS(AA52) &lt; ABS(AG52) - 0.001, "compression", "neutral"))))</f>
        <v>reversal</v>
      </c>
      <c r="AL52" s="3">
        <f>IF(AG52 = "", "", IF(ABS(AG52) + AD52 = 0, 1, ABS(AG52) / (ABS(AG52) + AD52)))</f>
        <v>0.4357030482634667</v>
      </c>
      <c r="AM52" s="3" t="e">
        <f>LOOKUP(C52, SweepStudySummary[SweepStudyId], SweepStudySummary[PooledGapCrossesZero])</f>
        <v>#VALUE!</v>
      </c>
      <c r="AN52" s="3" t="e">
        <f>LOOKUP(C52, SweepStudySummary[SweepStudyId], SweepStudySummary[SweepPooledGapRange])</f>
        <v>#VALUE!</v>
      </c>
      <c r="AO52" s="3" t="e">
        <f>IF(AE52 = "", "", AND(AE52 = "D", AM52 = TRUE))</f>
        <v>#VALUE!</v>
      </c>
      <c r="AP52" s="3" t="e">
        <f>IF(OR(AN52 = "", T52 = "", T52 = 0), "", AN52 / ABS(T52))</f>
        <v>#VALUE!</v>
      </c>
      <c r="AQ52" s="3" t="e">
        <f>LOOKUP(C52, Studies[StudyId], Studies[Domain])</f>
        <v>#VALUE!</v>
      </c>
      <c r="AR52" s="5">
        <f>COUNTIFS(StratumVariables!C2:C999, C52,StratumVariables!E2:E999, "confounder")</f>
        <v>1</v>
      </c>
      <c r="AS52" s="5">
        <f>COUNTIFS(StratumVariables!C2:C999, C52,StratumVariables!J2:J999, "mediator") + COUNTIFS(StratumVariables!C2:C999, C52,StratumVariables!J2:J999, "collider")</f>
        <v>0</v>
      </c>
      <c r="AT52" s="5">
        <f>COUNTIFS(StratumVariables!C2:C999, C52,StratumVariables!E2:E999, "contested")</f>
        <v>0</v>
      </c>
      <c r="AU52" s="5">
        <f>COUNTIFS(StratumVariables!C2:C999, C52,StratumVariables!E2:E999, "unknown")</f>
        <v>0</v>
      </c>
      <c r="AV52" s="3" t="str">
        <f>IF(AT52 &gt; 0, "contested", IF(AU52 &gt; 0, "geometric-only", IF(AR52 &gt; 0, "established", "geometric-only")))</f>
        <v>established</v>
      </c>
      <c r="AW52" s="3" t="b">
        <f>AND(AS52 = 0, AV52 = "established")</f>
        <v>1</v>
      </c>
      <c r="AX52" s="2" t="s">
        <v>2654</v>
      </c>
    </row>
    <row r="53">
      <c r="A53" s="2" t="s">
        <v>2691</v>
      </c>
      <c r="B53" s="3" t="str">
        <f>A53</f>
        <v>covid-italy-china-cfr-2020-A-vs-B</v>
      </c>
      <c r="C53" s="2" t="s">
        <v>609</v>
      </c>
      <c r="D53" s="2" t="s">
        <v>792</v>
      </c>
      <c r="E53" s="2" t="s">
        <v>795</v>
      </c>
      <c r="F53" s="5">
        <f>SUMIFS(CaseCells!G2:G999,CaseCells!C2:C999, C53,CaseCells!E2:E999, D53)</f>
        <v>3000</v>
      </c>
      <c r="G53" s="5">
        <f>SUMIFS(CaseCells!F2:F999,CaseCells!C2:C999, C53,CaseCells!E2:E999, D53)</f>
        <v>1290</v>
      </c>
      <c r="H53" s="3">
        <f>IF(F53 = 0, "", G53 / F53)</f>
        <v>0.43</v>
      </c>
      <c r="I53" s="5">
        <f>SUMIFS(CaseCells!G2:G999,CaseCells!C2:C999, C53,CaseCells!E2:E999, E53)</f>
        <v>50400</v>
      </c>
      <c r="J53" s="5">
        <f>SUMIFS(CaseCells!F2:F999,CaseCells!C2:C999, C53,CaseCells!E2:E999, E53)</f>
        <v>49320</v>
      </c>
      <c r="K53" s="3">
        <f>IF(I53 = 0, "", J53 / I53)</f>
        <v>0.9785714285714285</v>
      </c>
      <c r="L53" s="3" t="str">
        <f>IF(OR(H53 = "", K53 = ""), "", IF(ABS(H53 - K53) &lt; 0.0000001, "tie", IF(H53 &gt; K53, D53, E53)))</f>
        <v>B</v>
      </c>
      <c r="M53" s="5">
        <f>COUNTIFS(StratumSummaries!C2:C999, C53,StratumSummaries!E2:E999, D53)</f>
        <v>2</v>
      </c>
      <c r="N53" s="5">
        <f>COUNTIFS(StratumSummaries!C2:C999, C53,StratumSummaries!E2:E999, D53,StratumSummaries!O2:O999, D53)</f>
        <v>1</v>
      </c>
      <c r="O53" s="5">
        <f>COUNTIFS(StratumSummaries!C2:C999, C53,StratumSummaries!E2:E999, D53,StratumSummaries!O2:O999, E53)</f>
        <v>1</v>
      </c>
      <c r="P53" s="3" t="str">
        <f>IF(N53 = M53, D53, IF(O53 = M53, E53, "none"))</f>
        <v>none</v>
      </c>
      <c r="Q53" s="3" t="b">
        <f>IF(AC53 = "", "", AC53)</f>
        <v>0</v>
      </c>
      <c r="R53" s="5">
        <f>COUNTIFS(StratumVariables!C2:C999, C53,StratumVariables!H2:H999, TRUE())</f>
        <v>1</v>
      </c>
      <c r="S53" s="3" t="b">
        <f>AND(Q53, R53 &gt; 0)</f>
        <v>0</v>
      </c>
      <c r="T53" s="3">
        <f>IF(H53 = "", "", ABS(H53 - K53))</f>
        <v>0.5485714285714285</v>
      </c>
      <c r="U53" s="5">
        <f>IF(L53 = D53, O53, N53)</f>
        <v>1</v>
      </c>
      <c r="V53" s="3">
        <f>IF(M53 = 0, "", T53 * (U53 / M53))</f>
        <v>0.27428571428571424</v>
      </c>
      <c r="W53" s="3">
        <f>SUMIFS(StratumSummaries!S2:S999,StratumSummaries!C2:C999, C53,StratumSummaries!E2:E999, D53)</f>
        <v>0.9522471910112359</v>
      </c>
      <c r="X53" s="3">
        <f>SUMIFS(StratumSummaries!S2:S999,StratumSummaries!C2:C999, C53,StratumSummaries!E2:E999, E53)</f>
        <v>0.9719101123595505</v>
      </c>
      <c r="Y53" s="3">
        <f>IF(M53 = 0, "", U53 / M53)</f>
        <v>0.5</v>
      </c>
      <c r="Z53" s="3">
        <f>IF(M53 = 0, "", Y53 - 0.5)</f>
        <v>0</v>
      </c>
      <c r="AA53" s="3">
        <f>IF(H53 = "", "", H53 - K53)</f>
        <v>-0.5485714285714285</v>
      </c>
      <c r="AB53" s="3">
        <f>SUMIFS(StratumSummaries!AB2:AB999,StratumSummaries!C2:C999, C53,StratumSummaries!E2:E999, D53)</f>
        <v>-0.0196629213483146</v>
      </c>
      <c r="AC53" s="3" t="b">
        <f>IF(AB53 = "", "", IF(AB53 &gt; 0, AA53 &lt; 0, AA53 &gt; 0))</f>
        <v>0</v>
      </c>
      <c r="AD53" s="3">
        <f>IF(AB53 = "", "", ABS(AB53 - AA53))</f>
        <v>0.5289085072231139</v>
      </c>
      <c r="AE53" s="3" t="str">
        <f>IF(AD53 = "", "", IF(AC53, IF(AND(AB53 &lt;&gt; 0, AA53 / AB53 &lt; -1), "B", IF(AND(AB53 &lt;&gt; 0, AA53 / AB53 &lt; 0), "A", IF(Y53 = 1, "A", "B"))), IF(AND(NOT(AC53), AD53 &gt; 0.01, ABS(AA53) &gt; ABS(AG53) + 0.001), "C+", IF(AND(NOT(AC53), AD53 &gt; 0.01, ABS(AA53) &lt; ABS(AG53) - 0.001), "C-", "D"))))</f>
        <v>C+</v>
      </c>
      <c r="AF53" s="3" t="str">
        <f>IF(AE53 = "", "", IF(AE53 = "A", "stratify-immediately", IF(AE53 = "B", "investigate-confounder", IF(OR(AE53 = "C+", AE53 = "C-"), "check-allocation-bias", "pooled-analysis-trustworthy"))))</f>
        <v>check-allocation-bias</v>
      </c>
      <c r="AG53" s="3">
        <f>AB53</f>
        <v>-0.0196629213483146</v>
      </c>
      <c r="AH53" s="3" t="str">
        <f>IF(AG53 = "", "", IF(ABS(AG53) &lt; 0.0001, "tie", IF(AG53 &gt; 0, D53, IF(AG53 &lt; 0, E53, "tie"))))</f>
        <v>B</v>
      </c>
      <c r="AI53" s="3" t="b">
        <f>IF(AH53 = "", "", AH53 = L53)</f>
        <v>1</v>
      </c>
      <c r="AJ53" s="3" t="str">
        <f>IF(AE53 = "", "", IF(AE53 = "A", "use-corrected-winner", IF(AE53 = "B", "use-corrected-winner-with-caution", IF(OR(AE53 = "C+", AE53 = "C-"), "check-allocation-bias", "pooled-analysis-trustworthy"))))</f>
        <v>check-allocation-bias</v>
      </c>
      <c r="AK53" s="3" t="str">
        <f>IF(AG53 = "", "", IF(AC53, "reversal", IF(ABS(AA53) &gt; ABS(AG53) + 0.001, "amplification", IF(ABS(AA53) &lt; ABS(AG53) - 0.001, "compression", "neutral"))))</f>
        <v>amplification</v>
      </c>
      <c r="AL53" s="3">
        <f>IF(AG53 = "", "", IF(ABS(AG53) + AD53 = 0, 1, ABS(AG53) / (ABS(AG53) + AD53)))</f>
        <v>0.03584386704119849</v>
      </c>
      <c r="AM53" s="3" t="e">
        <f>LOOKUP(C53, SweepStudySummary[SweepStudyId], SweepStudySummary[PooledGapCrossesZero])</f>
        <v>#VALUE!</v>
      </c>
      <c r="AN53" s="3" t="e">
        <f>LOOKUP(C53, SweepStudySummary[SweepStudyId], SweepStudySummary[SweepPooledGapRange])</f>
        <v>#VALUE!</v>
      </c>
      <c r="AO53" s="3" t="e">
        <f>IF(AE53 = "", "", AND(AE53 = "D", AM53 = TRUE))</f>
        <v>#VALUE!</v>
      </c>
      <c r="AP53" s="3" t="e">
        <f>IF(OR(AN53 = "", T53 = "", T53 = 0), "", AN53 / ABS(T53))</f>
        <v>#VALUE!</v>
      </c>
      <c r="AQ53" s="3" t="e">
        <f>LOOKUP(C53, Studies[StudyId], Studies[Domain])</f>
        <v>#VALUE!</v>
      </c>
      <c r="AR53" s="5">
        <f>COUNTIFS(StratumVariables!C2:C999, C53,StratumVariables!E2:E999, "confounder")</f>
        <v>1</v>
      </c>
      <c r="AS53" s="5">
        <f>COUNTIFS(StratumVariables!C2:C999, C53,StratumVariables!J2:J999, "mediator") + COUNTIFS(StratumVariables!C2:C999, C53,StratumVariables!J2:J999, "collider")</f>
        <v>0</v>
      </c>
      <c r="AT53" s="5">
        <f>COUNTIFS(StratumVariables!C2:C999, C53,StratumVariables!E2:E999, "contested")</f>
        <v>0</v>
      </c>
      <c r="AU53" s="5">
        <f>COUNTIFS(StratumVariables!C2:C999, C53,StratumVariables!E2:E999, "unknown")</f>
        <v>0</v>
      </c>
      <c r="AV53" s="3" t="str">
        <f>IF(AT53 &gt; 0, "contested", IF(AU53 &gt; 0, "geometric-only", IF(AR53 &gt; 0, "established", "geometric-only")))</f>
        <v>established</v>
      </c>
      <c r="AW53" s="3" t="b">
        <f>AND(AS53 = 0, AV53 = "established")</f>
        <v>1</v>
      </c>
      <c r="AX53" s="2" t="s">
        <v>2654</v>
      </c>
    </row>
    <row r="54">
      <c r="A54" s="2" t="s">
        <v>2692</v>
      </c>
      <c r="B54" s="3" t="str">
        <f>A54</f>
        <v>israel-covid-severe-2021-A-vs-B</v>
      </c>
      <c r="C54" s="2" t="s">
        <v>613</v>
      </c>
      <c r="D54" s="2" t="s">
        <v>792</v>
      </c>
      <c r="E54" s="2" t="s">
        <v>795</v>
      </c>
      <c r="F54" s="5">
        <f>SUMIFS(CaseCells!G2:G999,CaseCells!C2:C999, C54,CaseCells!E2:E999, D54)</f>
        <v>11000</v>
      </c>
      <c r="G54" s="5">
        <f>SUMIFS(CaseCells!F2:F999,CaseCells!C2:C999, C54,CaseCells!E2:E999, D54)</f>
        <v>425</v>
      </c>
      <c r="H54" s="3">
        <f>IF(F54 = 0, "", G54 / F54)</f>
        <v>0.038636363636363635</v>
      </c>
      <c r="I54" s="5">
        <f>SUMIFS(CaseCells!G2:G999,CaseCells!C2:C999, C54,CaseCells!E2:E999, E54)</f>
        <v>152000</v>
      </c>
      <c r="J54" s="5">
        <f>SUMIFS(CaseCells!F2:F999,CaseCells!C2:C999, C54,CaseCells!E2:E999, E54)</f>
        <v>230</v>
      </c>
      <c r="K54" s="3">
        <f>IF(I54 = 0, "", J54 / I54)</f>
        <v>0.0015131578947368421</v>
      </c>
      <c r="L54" s="3" t="str">
        <f>IF(OR(H54 = "", K54 = ""), "", IF(ABS(H54 - K54) &lt; 0.0000001, "tie", IF(H54 &gt; K54, D54, E54)))</f>
        <v>A</v>
      </c>
      <c r="M54" s="5">
        <f>COUNTIFS(StratumSummaries!C2:C999, C54,StratumSummaries!E2:E999, D54)</f>
        <v>2</v>
      </c>
      <c r="N54" s="5">
        <f>COUNTIFS(StratumSummaries!C2:C999, C54,StratumSummaries!E2:E999, D54,StratumSummaries!O2:O999, D54)</f>
        <v>1</v>
      </c>
      <c r="O54" s="5">
        <f>COUNTIFS(StratumSummaries!C2:C999, C54,StratumSummaries!E2:E999, D54,StratumSummaries!O2:O999, E54)</f>
        <v>1</v>
      </c>
      <c r="P54" s="3" t="str">
        <f>IF(N54 = M54, D54, IF(O54 = M54, E54, "none"))</f>
        <v>none</v>
      </c>
      <c r="Q54" s="3" t="b">
        <f>IF(AC54 = "", "", AC54)</f>
        <v>0</v>
      </c>
      <c r="R54" s="5">
        <f>COUNTIFS(StratumVariables!C2:C999, C54,StratumVariables!H2:H999, TRUE())</f>
        <v>1</v>
      </c>
      <c r="S54" s="3" t="b">
        <f>AND(Q54, R54 &gt; 0)</f>
        <v>0</v>
      </c>
      <c r="T54" s="3">
        <f>IF(H54 = "", "", ABS(H54 - K54))</f>
        <v>0.037123205741626794</v>
      </c>
      <c r="U54" s="5">
        <f>IF(L54 = D54, O54, N54)</f>
        <v>1</v>
      </c>
      <c r="V54" s="3">
        <f>IF(M54 = 0, "", T54 * (U54 / M54))</f>
        <v>0.018561602870813397</v>
      </c>
      <c r="W54" s="3">
        <f>SUMIFS(StratumSummaries!S2:S999,StratumSummaries!C2:C999, C54,StratumSummaries!E2:E999, D54)</f>
        <v>0.02599386503067485</v>
      </c>
      <c r="X54" s="3">
        <f>SUMIFS(StratumSummaries!S2:S999,StratumSummaries!C2:C999, C54,StratumSummaries!E2:E999, E54)</f>
        <v>0.01521675268607784</v>
      </c>
      <c r="Y54" s="3">
        <f>IF(M54 = 0, "", U54 / M54)</f>
        <v>0.5</v>
      </c>
      <c r="Z54" s="3">
        <f>IF(M54 = 0, "", Y54 - 0.5)</f>
        <v>0</v>
      </c>
      <c r="AA54" s="3">
        <f>IF(H54 = "", "", H54 - K54)</f>
        <v>0.037123205741626794</v>
      </c>
      <c r="AB54" s="3">
        <f>SUMIFS(StratumSummaries!AB2:AB999,StratumSummaries!C2:C999, C54,StratumSummaries!E2:E999, D54)</f>
        <v>0.010777112344597007</v>
      </c>
      <c r="AC54" s="3" t="b">
        <f>IF(AB54 = "", "", IF(AB54 &gt; 0, AA54 &lt; 0, AA54 &gt; 0))</f>
        <v>0</v>
      </c>
      <c r="AD54" s="3">
        <f>IF(AB54 = "", "", ABS(AB54 - AA54))</f>
        <v>0.026346093397029785</v>
      </c>
      <c r="AE54" s="3" t="str">
        <f>IF(AD54 = "", "", IF(AC54, IF(AND(AB54 &lt;&gt; 0, AA54 / AB54 &lt; -1), "B", IF(AND(AB54 &lt;&gt; 0, AA54 / AB54 &lt; 0), "A", IF(Y54 = 1, "A", "B"))), IF(AND(NOT(AC54), AD54 &gt; 0.01, ABS(AA54) &gt; ABS(AG54) + 0.001), "C+", IF(AND(NOT(AC54), AD54 &gt; 0.01, ABS(AA54) &lt; ABS(AG54) - 0.001), "C-", "D"))))</f>
        <v>C+</v>
      </c>
      <c r="AF54" s="3" t="str">
        <f>IF(AE54 = "", "", IF(AE54 = "A", "stratify-immediately", IF(AE54 = "B", "investigate-confounder", IF(OR(AE54 = "C+", AE54 = "C-"), "check-allocation-bias", "pooled-analysis-trustworthy"))))</f>
        <v>check-allocation-bias</v>
      </c>
      <c r="AG54" s="3">
        <f>AB54</f>
        <v>0.010777112344597007</v>
      </c>
      <c r="AH54" s="3" t="str">
        <f>IF(AG54 = "", "", IF(ABS(AG54) &lt; 0.0001, "tie", IF(AG54 &gt; 0, D54, IF(AG54 &lt; 0, E54, "tie"))))</f>
        <v>A</v>
      </c>
      <c r="AI54" s="3" t="b">
        <f>IF(AH54 = "", "", AH54 = L54)</f>
        <v>1</v>
      </c>
      <c r="AJ54" s="3" t="str">
        <f>IF(AE54 = "", "", IF(AE54 = "A", "use-corrected-winner", IF(AE54 = "B", "use-corrected-winner-with-caution", IF(OR(AE54 = "C+", AE54 = "C-"), "check-allocation-bias", "pooled-analysis-trustworthy"))))</f>
        <v>check-allocation-bias</v>
      </c>
      <c r="AK54" s="3" t="str">
        <f>IF(AG54 = "", "", IF(AC54, "reversal", IF(ABS(AA54) &gt; ABS(AG54) + 0.001, "amplification", IF(ABS(AA54) &lt; ABS(AG54) - 0.001, "compression", "neutral"))))</f>
        <v>amplification</v>
      </c>
      <c r="AL54" s="3">
        <f>IF(AG54 = "", "", IF(ABS(AG54) + AD54 = 0, 1, ABS(AG54) / (ABS(AG54) + AD54)))</f>
        <v>0.29030661898125015</v>
      </c>
      <c r="AM54" s="3" t="e">
        <f>LOOKUP(C54, SweepStudySummary[SweepStudyId], SweepStudySummary[PooledGapCrossesZero])</f>
        <v>#VALUE!</v>
      </c>
      <c r="AN54" s="3" t="e">
        <f>LOOKUP(C54, SweepStudySummary[SweepStudyId], SweepStudySummary[SweepPooledGapRange])</f>
        <v>#VALUE!</v>
      </c>
      <c r="AO54" s="3" t="e">
        <f>IF(AE54 = "", "", AND(AE54 = "D", AM54 = TRUE))</f>
        <v>#VALUE!</v>
      </c>
      <c r="AP54" s="3" t="e">
        <f>IF(OR(AN54 = "", T54 = "", T54 = 0), "", AN54 / ABS(T54))</f>
        <v>#VALUE!</v>
      </c>
      <c r="AQ54" s="3" t="e">
        <f>LOOKUP(C54, Studies[StudyId], Studies[Domain])</f>
        <v>#VALUE!</v>
      </c>
      <c r="AR54" s="5">
        <f>COUNTIFS(StratumVariables!C2:C999, C54,StratumVariables!E2:E999, "confounder")</f>
        <v>1</v>
      </c>
      <c r="AS54" s="5">
        <f>COUNTIFS(StratumVariables!C2:C999, C54,StratumVariables!J2:J999, "mediator") + COUNTIFS(StratumVariables!C2:C999, C54,StratumVariables!J2:J999, "collider")</f>
        <v>0</v>
      </c>
      <c r="AT54" s="5">
        <f>COUNTIFS(StratumVariables!C2:C999, C54,StratumVariables!E2:E999, "contested")</f>
        <v>0</v>
      </c>
      <c r="AU54" s="5">
        <f>COUNTIFS(StratumVariables!C2:C999, C54,StratumVariables!E2:E999, "unknown")</f>
        <v>0</v>
      </c>
      <c r="AV54" s="3" t="str">
        <f>IF(AT54 &gt; 0, "contested", IF(AU54 &gt; 0, "geometric-only", IF(AR54 &gt; 0, "established", "geometric-only")))</f>
        <v>established</v>
      </c>
      <c r="AW54" s="3" t="b">
        <f>AND(AS54 = 0, AV54 = "established")</f>
        <v>1</v>
      </c>
      <c r="AX54" s="2" t="s">
        <v>2654</v>
      </c>
    </row>
    <row r="55">
      <c r="A55" s="2" t="s">
        <v>2693</v>
      </c>
      <c r="B55" s="3" t="str">
        <f>A55</f>
        <v>cochran-smoking-1968-A-vs-B</v>
      </c>
      <c r="C55" s="2" t="s">
        <v>617</v>
      </c>
      <c r="D55" s="2" t="s">
        <v>792</v>
      </c>
      <c r="E55" s="2" t="s">
        <v>795</v>
      </c>
      <c r="F55" s="5">
        <f>SUMIFS(CaseCells!G2:G999,CaseCells!C2:C999, C55,CaseCells!E2:E999, D55)</f>
        <v>11000</v>
      </c>
      <c r="G55" s="5">
        <f>SUMIFS(CaseCells!F2:F999,CaseCells!C2:C999, C55,CaseCells!E2:E999, D55)</f>
        <v>8900</v>
      </c>
      <c r="H55" s="3">
        <f>IF(F55 = 0, "", G55 / F55)</f>
        <v>0.8090909090909091</v>
      </c>
      <c r="I55" s="5">
        <f>SUMIFS(CaseCells!G2:G999,CaseCells!C2:C999, C55,CaseCells!E2:E999, E55)</f>
        <v>2000</v>
      </c>
      <c r="J55" s="5">
        <f>SUMIFS(CaseCells!F2:F999,CaseCells!C2:C999, C55,CaseCells!E2:E999, E55)</f>
        <v>1400</v>
      </c>
      <c r="K55" s="3">
        <f>IF(I55 = 0, "", J55 / I55)</f>
        <v>0.7</v>
      </c>
      <c r="L55" s="3" t="str">
        <f>IF(OR(H55 = "", K55 = ""), "", IF(ABS(H55 - K55) &lt; 0.0000001, "tie", IF(H55 &gt; K55, D55, E55)))</f>
        <v>A</v>
      </c>
      <c r="M55" s="5">
        <f>COUNTIFS(StratumSummaries!C2:C999, C55,StratumSummaries!E2:E999, D55)</f>
        <v>2</v>
      </c>
      <c r="N55" s="5">
        <f>COUNTIFS(StratumSummaries!C2:C999, C55,StratumSummaries!E2:E999, D55,StratumSummaries!O2:O999, D55)</f>
        <v>0</v>
      </c>
      <c r="O55" s="5">
        <f>COUNTIFS(StratumSummaries!C2:C999, C55,StratumSummaries!E2:E999, D55,StratumSummaries!O2:O999, E55)</f>
        <v>2</v>
      </c>
      <c r="P55" s="3" t="str">
        <f>IF(N55 = M55, D55, IF(O55 = M55, E55, "none"))</f>
        <v>B</v>
      </c>
      <c r="Q55" s="3" t="b">
        <f>IF(AC55 = "", "", AC55)</f>
        <v>1</v>
      </c>
      <c r="R55" s="5">
        <f>COUNTIFS(StratumVariables!C2:C999, C55,StratumVariables!H2:H999, TRUE())</f>
        <v>1</v>
      </c>
      <c r="S55" s="3" t="b">
        <f>AND(Q55, R55 &gt; 0)</f>
        <v>1</v>
      </c>
      <c r="T55" s="3">
        <f>IF(H55 = "", "", ABS(H55 - K55))</f>
        <v>0.10909090909090913</v>
      </c>
      <c r="U55" s="5">
        <f>IF(L55 = D55, O55, N55)</f>
        <v>2</v>
      </c>
      <c r="V55" s="3">
        <f>IF(M55 = 0, "", T55 * (U55 / M55))</f>
        <v>0.10909090909090913</v>
      </c>
      <c r="W55" s="3">
        <f>SUMIFS(StratumSummaries!S2:S999,StratumSummaries!C2:C999, C55,StratumSummaries!E2:E999, D55)</f>
        <v>0.7807692307692308</v>
      </c>
      <c r="X55" s="3">
        <f>SUMIFS(StratumSummaries!S2:S999,StratumSummaries!C2:C999, C55,StratumSummaries!E2:E999, E55)</f>
        <v>0.8384615384615384</v>
      </c>
      <c r="Y55" s="3">
        <f>IF(M55 = 0, "", U55 / M55)</f>
        <v>1</v>
      </c>
      <c r="Z55" s="3">
        <f>IF(M55 = 0, "", Y55 - 0.5)</f>
        <v>0.5</v>
      </c>
      <c r="AA55" s="3">
        <f>IF(H55 = "", "", H55 - K55)</f>
        <v>0.10909090909090913</v>
      </c>
      <c r="AB55" s="3">
        <f>SUMIFS(StratumSummaries!AB2:AB999,StratumSummaries!C2:C999, C55,StratumSummaries!E2:E999, D55)</f>
        <v>-0.05769230769230773</v>
      </c>
      <c r="AC55" s="3" t="b">
        <f>IF(AB55 = "", "", IF(AB55 &gt; 0, AA55 &lt; 0, AA55 &gt; 0))</f>
        <v>1</v>
      </c>
      <c r="AD55" s="3">
        <f>IF(AB55 = "", "", ABS(AB55 - AA55))</f>
        <v>0.16678321678321686</v>
      </c>
      <c r="AE55" s="3" t="str">
        <f>IF(AD55 = "", "", IF(AC55, IF(AND(AB55 &lt;&gt; 0, AA55 / AB55 &lt; -1), "B", IF(AND(AB55 &lt;&gt; 0, AA55 / AB55 &lt; 0), "A", IF(Y55 = 1, "A", "B"))), IF(AND(NOT(AC55), AD55 &gt; 0.01, ABS(AA55) &gt; ABS(AG55) + 0.001), "C+", IF(AND(NOT(AC55), AD55 &gt; 0.01, ABS(AA55) &lt; ABS(AG55) - 0.001), "C-", "D"))))</f>
        <v>B</v>
      </c>
      <c r="AF55" s="3" t="str">
        <f>IF(AE55 = "", "", IF(AE55 = "A", "stratify-immediately", IF(AE55 = "B", "investigate-confounder", IF(OR(AE55 = "C+", AE55 = "C-"), "check-allocation-bias", "pooled-analysis-trustworthy"))))</f>
        <v>investigate-confounder</v>
      </c>
      <c r="AG55" s="3">
        <f>AB55</f>
        <v>-0.05769230769230773</v>
      </c>
      <c r="AH55" s="3" t="str">
        <f>IF(AG55 = "", "", IF(ABS(AG55) &lt; 0.0001, "tie", IF(AG55 &gt; 0, D55, IF(AG55 &lt; 0, E55, "tie"))))</f>
        <v>B</v>
      </c>
      <c r="AI55" s="3" t="b">
        <f>IF(AH55 = "", "", AH55 = L55)</f>
        <v>0</v>
      </c>
      <c r="AJ55" s="3" t="str">
        <f>IF(AE55 = "", "", IF(AE55 = "A", "use-corrected-winner", IF(AE55 = "B", "use-corrected-winner-with-caution", IF(OR(AE55 = "C+", AE55 = "C-"), "check-allocation-bias", "pooled-analysis-trustworthy"))))</f>
        <v>use-corrected-winner-with-caution</v>
      </c>
      <c r="AK55" s="3" t="str">
        <f>IF(AG55 = "", "", IF(AC55, "reversal", IF(ABS(AA55) &gt; ABS(AG55) + 0.001, "amplification", IF(ABS(AA55) &lt; ABS(AG55) - 0.001, "compression", "neutral"))))</f>
        <v>reversal</v>
      </c>
      <c r="AL55" s="3">
        <f>IF(AG55 = "", "", IF(ABS(AG55) + AD55 = 0, 1, ABS(AG55) / (ABS(AG55) + AD55)))</f>
        <v>0.25700934579439255</v>
      </c>
      <c r="AM55" s="3" t="e">
        <f>LOOKUP(C55, SweepStudySummary[SweepStudyId], SweepStudySummary[PooledGapCrossesZero])</f>
        <v>#VALUE!</v>
      </c>
      <c r="AN55" s="3" t="e">
        <f>LOOKUP(C55, SweepStudySummary[SweepStudyId], SweepStudySummary[SweepPooledGapRange])</f>
        <v>#VALUE!</v>
      </c>
      <c r="AO55" s="3" t="e">
        <f>IF(AE55 = "", "", AND(AE55 = "D", AM55 = TRUE))</f>
        <v>#VALUE!</v>
      </c>
      <c r="AP55" s="3" t="e">
        <f>IF(OR(AN55 = "", T55 = "", T55 = 0), "", AN55 / ABS(T55))</f>
        <v>#VALUE!</v>
      </c>
      <c r="AQ55" s="3" t="e">
        <f>LOOKUP(C55, Studies[StudyId], Studies[Domain])</f>
        <v>#VALUE!</v>
      </c>
      <c r="AR55" s="5">
        <f>COUNTIFS(StratumVariables!C2:C999, C55,StratumVariables!E2:E999, "confounder")</f>
        <v>1</v>
      </c>
      <c r="AS55" s="5">
        <f>COUNTIFS(StratumVariables!C2:C999, C55,StratumVariables!J2:J999, "mediator") + COUNTIFS(StratumVariables!C2:C999, C55,StratumVariables!J2:J999, "collider")</f>
        <v>0</v>
      </c>
      <c r="AT55" s="5">
        <f>COUNTIFS(StratumVariables!C2:C999, C55,StratumVariables!E2:E999, "contested")</f>
        <v>0</v>
      </c>
      <c r="AU55" s="5">
        <f>COUNTIFS(StratumVariables!C2:C999, C55,StratumVariables!E2:E999, "unknown")</f>
        <v>0</v>
      </c>
      <c r="AV55" s="3" t="str">
        <f>IF(AT55 &gt; 0, "contested", IF(AU55 &gt; 0, "geometric-only", IF(AR55 &gt; 0, "established", "geometric-only")))</f>
        <v>established</v>
      </c>
      <c r="AW55" s="3" t="b">
        <f>AND(AS55 = 0, AV55 = "established")</f>
        <v>1</v>
      </c>
      <c r="AX55" s="2" t="s">
        <v>2654</v>
      </c>
    </row>
    <row r="56">
      <c r="A56" s="2" t="s">
        <v>2694</v>
      </c>
      <c r="B56" s="3" t="str">
        <f>A56</f>
        <v>healthy-worker-mortality-A-vs-B</v>
      </c>
      <c r="C56" s="2" t="s">
        <v>621</v>
      </c>
      <c r="D56" s="2" t="s">
        <v>792</v>
      </c>
      <c r="E56" s="2" t="s">
        <v>795</v>
      </c>
      <c r="F56" s="5">
        <f>SUMIFS(CaseCells!G2:G999,CaseCells!C2:C999, C56,CaseCells!E2:E999, D56)</f>
        <v>2000</v>
      </c>
      <c r="G56" s="5">
        <f>SUMIFS(CaseCells!F2:F999,CaseCells!C2:C999, C56,CaseCells!E2:E999, D56)</f>
        <v>1800</v>
      </c>
      <c r="H56" s="3">
        <f>IF(F56 = 0, "", G56 / F56)</f>
        <v>0.9</v>
      </c>
      <c r="I56" s="5">
        <f>SUMIFS(CaseCells!G2:G999,CaseCells!C2:C999, C56,CaseCells!E2:E999, E56)</f>
        <v>2000</v>
      </c>
      <c r="J56" s="5">
        <f>SUMIFS(CaseCells!F2:F999,CaseCells!C2:C999, C56,CaseCells!E2:E999, E56)</f>
        <v>1700</v>
      </c>
      <c r="K56" s="3">
        <f>IF(I56 = 0, "", J56 / I56)</f>
        <v>0.85</v>
      </c>
      <c r="L56" s="3" t="str">
        <f>IF(OR(H56 = "", K56 = ""), "", IF(ABS(H56 - K56) &lt; 0.0000001, "tie", IF(H56 &gt; K56, D56, E56)))</f>
        <v>A</v>
      </c>
      <c r="M56" s="5">
        <f>COUNTIFS(StratumSummaries!C2:C999, C56,StratumSummaries!E2:E999, D56)</f>
        <v>2</v>
      </c>
      <c r="N56" s="5">
        <f>COUNTIFS(StratumSummaries!C2:C999, C56,StratumSummaries!E2:E999, D56,StratumSummaries!O2:O999, D56)</f>
        <v>2</v>
      </c>
      <c r="O56" s="5">
        <f>COUNTIFS(StratumSummaries!C2:C999, C56,StratumSummaries!E2:E999, D56,StratumSummaries!O2:O999, E56)</f>
        <v>0</v>
      </c>
      <c r="P56" s="3" t="str">
        <f>IF(N56 = M56, D56, IF(O56 = M56, E56, "none"))</f>
        <v>A</v>
      </c>
      <c r="Q56" s="3" t="b">
        <f>IF(AC56 = "", "", AC56)</f>
        <v>0</v>
      </c>
      <c r="R56" s="5">
        <f>COUNTIFS(StratumVariables!C2:C999, C56,StratumVariables!H2:H999, TRUE())</f>
        <v>0</v>
      </c>
      <c r="S56" s="3" t="b">
        <f>AND(Q56, R56 &gt; 0)</f>
        <v>0</v>
      </c>
      <c r="T56" s="3">
        <f>IF(H56 = "", "", ABS(H56 - K56))</f>
        <v>0.050000000000000044</v>
      </c>
      <c r="U56" s="5">
        <f>IF(L56 = D56, O56, N56)</f>
        <v>0</v>
      </c>
      <c r="V56" s="3">
        <f>IF(M56 = 0, "", T56 * (U56 / M56))</f>
        <v>0</v>
      </c>
      <c r="W56" s="3">
        <f>SUMIFS(StratumSummaries!S2:S999,StratumSummaries!C2:C999, C56,StratumSummaries!E2:E999, D56)</f>
        <v>0.8999999999999999</v>
      </c>
      <c r="X56" s="3">
        <f>SUMIFS(StratumSummaries!S2:S999,StratumSummaries!C2:C999, C56,StratumSummaries!E2:E999, E56)</f>
        <v>0.8500000000000001</v>
      </c>
      <c r="Y56" s="3">
        <f>IF(M56 = 0, "", U56 / M56)</f>
        <v>0</v>
      </c>
      <c r="Z56" s="3">
        <f>IF(M56 = 0, "", Y56 - 0.5)</f>
        <v>-0.5</v>
      </c>
      <c r="AA56" s="3">
        <f>IF(H56 = "", "", H56 - K56)</f>
        <v>0.050000000000000044</v>
      </c>
      <c r="AB56" s="3">
        <f>SUMIFS(StratumSummaries!AB2:AB999,StratumSummaries!C2:C999, C56,StratumSummaries!E2:E999, D56)</f>
        <v>0.04999999999999993</v>
      </c>
      <c r="AC56" s="3" t="b">
        <f>IF(AB56 = "", "", IF(AB56 &gt; 0, AA56 &lt; 0, AA56 &gt; 0))</f>
        <v>0</v>
      </c>
      <c r="AD56" s="3">
        <f>IF(AB56 = "", "", ABS(AB56 - AA56))</f>
        <v>1.1102230246251565E-16</v>
      </c>
      <c r="AE56" s="3" t="str">
        <f>IF(AD56 = "", "", IF(AC56, IF(AND(AB56 &lt;&gt; 0, AA56 / AB56 &lt; -1), "B", IF(AND(AB56 &lt;&gt; 0, AA56 / AB56 &lt; 0), "A", IF(Y56 = 1, "A", "B"))), IF(AND(NOT(AC56), AD56 &gt; 0.01, ABS(AA56) &gt; ABS(AG56) + 0.001), "C+", IF(AND(NOT(AC56), AD56 &gt; 0.01, ABS(AA56) &lt; ABS(AG56) - 0.001), "C-", "D"))))</f>
        <v>D</v>
      </c>
      <c r="AF56" s="3" t="str">
        <f>IF(AE56 = "", "", IF(AE56 = "A", "stratify-immediately", IF(AE56 = "B", "investigate-confounder", IF(OR(AE56 = "C+", AE56 = "C-"), "check-allocation-bias", "pooled-analysis-trustworthy"))))</f>
        <v>pooled-analysis-trustworthy</v>
      </c>
      <c r="AG56" s="3">
        <f>AB56</f>
        <v>0.04999999999999993</v>
      </c>
      <c r="AH56" s="3" t="str">
        <f>IF(AG56 = "", "", IF(ABS(AG56) &lt; 0.0001, "tie", IF(AG56 &gt; 0, D56, IF(AG56 &lt; 0, E56, "tie"))))</f>
        <v>A</v>
      </c>
      <c r="AI56" s="3" t="b">
        <f>IF(AH56 = "", "", AH56 = L56)</f>
        <v>1</v>
      </c>
      <c r="AJ56" s="3" t="str">
        <f>IF(AE56 = "", "", IF(AE56 = "A", "use-corrected-winner", IF(AE56 = "B", "use-corrected-winner-with-caution", IF(OR(AE56 = "C+", AE56 = "C-"), "check-allocation-bias", "pooled-analysis-trustworthy"))))</f>
        <v>pooled-analysis-trustworthy</v>
      </c>
      <c r="AK56" s="3" t="str">
        <f>IF(AG56 = "", "", IF(AC56, "reversal", IF(ABS(AA56) &gt; ABS(AG56) + 0.001, "amplification", IF(ABS(AA56) &lt; ABS(AG56) - 0.001, "compression", "neutral"))))</f>
        <v>neutral</v>
      </c>
      <c r="AL56" s="3">
        <f>IF(AG56 = "", "", IF(ABS(AG56) + AD56 = 0, 1, ABS(AG56) / (ABS(AG56) + AD56)))</f>
        <v>0.9999999999999978</v>
      </c>
      <c r="AM56" s="3" t="e">
        <f>LOOKUP(C56, SweepStudySummary[SweepStudyId], SweepStudySummary[PooledGapCrossesZero])</f>
        <v>#VALUE!</v>
      </c>
      <c r="AN56" s="3" t="e">
        <f>LOOKUP(C56, SweepStudySummary[SweepStudyId], SweepStudySummary[SweepPooledGapRange])</f>
        <v>#VALUE!</v>
      </c>
      <c r="AO56" s="3" t="e">
        <f>IF(AE56 = "", "", AND(AE56 = "D", AM56 = TRUE))</f>
        <v>#VALUE!</v>
      </c>
      <c r="AP56" s="3" t="e">
        <f>IF(OR(AN56 = "", T56 = "", T56 = 0), "", AN56 / ABS(T56))</f>
        <v>#VALUE!</v>
      </c>
      <c r="AQ56" s="3" t="e">
        <f>LOOKUP(C56, Studies[StudyId], Studies[Domain])</f>
        <v>#VALUE!</v>
      </c>
      <c r="AR56" s="5">
        <f>COUNTIFS(StratumVariables!C2:C999, C56,StratumVariables!E2:E999, "confounder")</f>
        <v>0</v>
      </c>
      <c r="AS56" s="5">
        <f>COUNTIFS(StratumVariables!C2:C999, C56,StratumVariables!J2:J999, "mediator") + COUNTIFS(StratumVariables!C2:C999, C56,StratumVariables!J2:J999, "collider")</f>
        <v>1</v>
      </c>
      <c r="AT56" s="5">
        <f>COUNTIFS(StratumVariables!C2:C999, C56,StratumVariables!E2:E999, "contested")</f>
        <v>0</v>
      </c>
      <c r="AU56" s="5">
        <f>COUNTIFS(StratumVariables!C2:C999, C56,StratumVariables!E2:E999, "unknown")</f>
        <v>0</v>
      </c>
      <c r="AV56" s="3" t="str">
        <f>IF(AT56 &gt; 0, "contested", IF(AU56 &gt; 0, "geometric-only", IF(AR56 &gt; 0, "established", "geometric-only")))</f>
        <v>geometric-only</v>
      </c>
      <c r="AW56" s="3" t="b">
        <f>AND(AS56 = 0, AV56 = "established")</f>
        <v>0</v>
      </c>
      <c r="AX56" s="2" t="s">
        <v>2687</v>
      </c>
    </row>
    <row r="57">
      <c r="A57" s="2" t="s">
        <v>2695</v>
      </c>
      <c r="B57" s="3" t="str">
        <f>A57</f>
        <v>compas-recidivism-base-A-vs-B</v>
      </c>
      <c r="C57" s="2" t="s">
        <v>624</v>
      </c>
      <c r="D57" s="2" t="s">
        <v>792</v>
      </c>
      <c r="E57" s="2" t="s">
        <v>795</v>
      </c>
      <c r="F57" s="5">
        <f>SUMIFS(CaseCells!G2:G999,CaseCells!C2:C999, C57,CaseCells!E2:E999, D57)</f>
        <v>2000</v>
      </c>
      <c r="G57" s="5">
        <f>SUMIFS(CaseCells!F2:F999,CaseCells!C2:C999, C57,CaseCells!E2:E999, D57)</f>
        <v>1150</v>
      </c>
      <c r="H57" s="3">
        <f>IF(F57 = 0, "", G57 / F57)</f>
        <v>0.575</v>
      </c>
      <c r="I57" s="5">
        <f>SUMIFS(CaseCells!G2:G999,CaseCells!C2:C999, C57,CaseCells!E2:E999, E57)</f>
        <v>2000</v>
      </c>
      <c r="J57" s="5">
        <f>SUMIFS(CaseCells!F2:F999,CaseCells!C2:C999, C57,CaseCells!E2:E999, E57)</f>
        <v>1250</v>
      </c>
      <c r="K57" s="3">
        <f>IF(I57 = 0, "", J57 / I57)</f>
        <v>0.625</v>
      </c>
      <c r="L57" s="3" t="str">
        <f>IF(OR(H57 = "", K57 = ""), "", IF(ABS(H57 - K57) &lt; 0.0000001, "tie", IF(H57 &gt; K57, D57, E57)))</f>
        <v>B</v>
      </c>
      <c r="M57" s="5">
        <f>COUNTIFS(StratumSummaries!C2:C999, C57,StratumSummaries!E2:E999, D57)</f>
        <v>2</v>
      </c>
      <c r="N57" s="5">
        <f>COUNTIFS(StratumSummaries!C2:C999, C57,StratumSummaries!E2:E999, D57,StratumSummaries!O2:O999, D57)</f>
        <v>0</v>
      </c>
      <c r="O57" s="5">
        <f>COUNTIFS(StratumSummaries!C2:C999, C57,StratumSummaries!E2:E999, D57,StratumSummaries!O2:O999, E57)</f>
        <v>2</v>
      </c>
      <c r="P57" s="3" t="str">
        <f>IF(N57 = M57, D57, IF(O57 = M57, E57, "none"))</f>
        <v>B</v>
      </c>
      <c r="Q57" s="3" t="b">
        <f>IF(AC57 = "", "", AC57)</f>
        <v>0</v>
      </c>
      <c r="R57" s="5">
        <f>COUNTIFS(StratumVariables!C2:C999, C57,StratumVariables!H2:H999, TRUE())</f>
        <v>1</v>
      </c>
      <c r="S57" s="3" t="b">
        <f>AND(Q57, R57 &gt; 0)</f>
        <v>0</v>
      </c>
      <c r="T57" s="3">
        <f>IF(H57 = "", "", ABS(H57 - K57))</f>
        <v>0.050000000000000044</v>
      </c>
      <c r="U57" s="5">
        <f>IF(L57 = D57, O57, N57)</f>
        <v>0</v>
      </c>
      <c r="V57" s="3">
        <f>IF(M57 = 0, "", T57 * (U57 / M57))</f>
        <v>0</v>
      </c>
      <c r="W57" s="3">
        <f>SUMIFS(StratumSummaries!S2:S999,StratumSummaries!C2:C999, C57,StratumSummaries!E2:E999, D57)</f>
        <v>0.575</v>
      </c>
      <c r="X57" s="3">
        <f>SUMIFS(StratumSummaries!S2:S999,StratumSummaries!C2:C999, C57,StratumSummaries!E2:E999, E57)</f>
        <v>0.625</v>
      </c>
      <c r="Y57" s="3">
        <f>IF(M57 = 0, "", U57 / M57)</f>
        <v>0</v>
      </c>
      <c r="Z57" s="3">
        <f>IF(M57 = 0, "", Y57 - 0.5)</f>
        <v>-0.5</v>
      </c>
      <c r="AA57" s="3">
        <f>IF(H57 = "", "", H57 - K57)</f>
        <v>-0.050000000000000044</v>
      </c>
      <c r="AB57" s="3">
        <f>SUMIFS(StratumSummaries!AB2:AB999,StratumSummaries!C2:C999, C57,StratumSummaries!E2:E999, D57)</f>
        <v>-0.05000000000000002</v>
      </c>
      <c r="AC57" s="3" t="b">
        <f>IF(AB57 = "", "", IF(AB57 &gt; 0, AA57 &lt; 0, AA57 &gt; 0))</f>
        <v>0</v>
      </c>
      <c r="AD57" s="3">
        <f>IF(AB57 = "", "", ABS(AB57 - AA57))</f>
        <v>2.7755575615628914E-17</v>
      </c>
      <c r="AE57" s="3" t="str">
        <f>IF(AD57 = "", "", IF(AC57, IF(AND(AB57 &lt;&gt; 0, AA57 / AB57 &lt; -1), "B", IF(AND(AB57 &lt;&gt; 0, AA57 / AB57 &lt; 0), "A", IF(Y57 = 1, "A", "B"))), IF(AND(NOT(AC57), AD57 &gt; 0.01, ABS(AA57) &gt; ABS(AG57) + 0.001), "C+", IF(AND(NOT(AC57), AD57 &gt; 0.01, ABS(AA57) &lt; ABS(AG57) - 0.001), "C-", "D"))))</f>
        <v>D</v>
      </c>
      <c r="AF57" s="3" t="str">
        <f>IF(AE57 = "", "", IF(AE57 = "A", "stratify-immediately", IF(AE57 = "B", "investigate-confounder", IF(OR(AE57 = "C+", AE57 = "C-"), "check-allocation-bias", "pooled-analysis-trustworthy"))))</f>
        <v>pooled-analysis-trustworthy</v>
      </c>
      <c r="AG57" s="3">
        <f>AB57</f>
        <v>-0.05000000000000002</v>
      </c>
      <c r="AH57" s="3" t="str">
        <f>IF(AG57 = "", "", IF(ABS(AG57) &lt; 0.0001, "tie", IF(AG57 &gt; 0, D57, IF(AG57 &lt; 0, E57, "tie"))))</f>
        <v>B</v>
      </c>
      <c r="AI57" s="3" t="b">
        <f>IF(AH57 = "", "", AH57 = L57)</f>
        <v>1</v>
      </c>
      <c r="AJ57" s="3" t="str">
        <f>IF(AE57 = "", "", IF(AE57 = "A", "use-corrected-winner", IF(AE57 = "B", "use-corrected-winner-with-caution", IF(OR(AE57 = "C+", AE57 = "C-"), "check-allocation-bias", "pooled-analysis-trustworthy"))))</f>
        <v>pooled-analysis-trustworthy</v>
      </c>
      <c r="AK57" s="3" t="str">
        <f>IF(AG57 = "", "", IF(AC57, "reversal", IF(ABS(AA57) &gt; ABS(AG57) + 0.001, "amplification", IF(ABS(AA57) &lt; ABS(AG57) - 0.001, "compression", "neutral"))))</f>
        <v>neutral</v>
      </c>
      <c r="AL57" s="3">
        <f>IF(AG57 = "", "", IF(ABS(AG57) + AD57 = 0, 1, ABS(AG57) / (ABS(AG57) + AD57)))</f>
        <v>0.9999999999999994</v>
      </c>
      <c r="AM57" s="3" t="e">
        <f>LOOKUP(C57, SweepStudySummary[SweepStudyId], SweepStudySummary[PooledGapCrossesZero])</f>
        <v>#VALUE!</v>
      </c>
      <c r="AN57" s="3" t="e">
        <f>LOOKUP(C57, SweepStudySummary[SweepStudyId], SweepStudySummary[SweepPooledGapRange])</f>
        <v>#VALUE!</v>
      </c>
      <c r="AO57" s="3" t="e">
        <f>IF(AE57 = "", "", AND(AE57 = "D", AM57 = TRUE))</f>
        <v>#VALUE!</v>
      </c>
      <c r="AP57" s="3" t="e">
        <f>IF(OR(AN57 = "", T57 = "", T57 = 0), "", AN57 / ABS(T57))</f>
        <v>#VALUE!</v>
      </c>
      <c r="AQ57" s="3" t="e">
        <f>LOOKUP(C57, Studies[StudyId], Studies[Domain])</f>
        <v>#VALUE!</v>
      </c>
      <c r="AR57" s="5">
        <f>COUNTIFS(StratumVariables!C2:C999, C57,StratumVariables!E2:E999, "confounder")</f>
        <v>1</v>
      </c>
      <c r="AS57" s="5">
        <f>COUNTIFS(StratumVariables!C2:C999, C57,StratumVariables!J2:J999, "mediator") + COUNTIFS(StratumVariables!C2:C999, C57,StratumVariables!J2:J999, "collider")</f>
        <v>0</v>
      </c>
      <c r="AT57" s="5">
        <f>COUNTIFS(StratumVariables!C2:C999, C57,StratumVariables!E2:E999, "contested")</f>
        <v>0</v>
      </c>
      <c r="AU57" s="5">
        <f>COUNTIFS(StratumVariables!C2:C999, C57,StratumVariables!E2:E999, "unknown")</f>
        <v>0</v>
      </c>
      <c r="AV57" s="3" t="str">
        <f>IF(AT57 &gt; 0, "contested", IF(AU57 &gt; 0, "geometric-only", IF(AR57 &gt; 0, "established", "geometric-only")))</f>
        <v>established</v>
      </c>
      <c r="AW57" s="3" t="b">
        <f>AND(AS57 = 0, AV57 = "established")</f>
        <v>1</v>
      </c>
      <c r="AX57" s="2" t="s">
        <v>2654</v>
      </c>
    </row>
    <row r="58">
      <c r="A58" s="2" t="s">
        <v>2696</v>
      </c>
      <c r="B58" s="3" t="str">
        <f>A58</f>
        <v>us-wage-composition-stagnation-A-vs-B</v>
      </c>
      <c r="C58" s="2" t="s">
        <v>629</v>
      </c>
      <c r="D58" s="2" t="s">
        <v>792</v>
      </c>
      <c r="E58" s="2" t="s">
        <v>795</v>
      </c>
      <c r="F58" s="5">
        <f>SUMIFS(CaseCells!G2:G999,CaseCells!C2:C999, C58,CaseCells!E2:E999, D58)</f>
        <v>17000</v>
      </c>
      <c r="G58" s="5">
        <f>SUMIFS(CaseCells!F2:F999,CaseCells!C2:C999, C58,CaseCells!E2:E999, D58)</f>
        <v>8300</v>
      </c>
      <c r="H58" s="3">
        <f>IF(F58 = 0, "", G58 / F58)</f>
        <v>0.48823529411764705</v>
      </c>
      <c r="I58" s="5">
        <f>SUMIFS(CaseCells!G2:G999,CaseCells!C2:C999, C58,CaseCells!E2:E999, E58)</f>
        <v>14000</v>
      </c>
      <c r="J58" s="5">
        <f>SUMIFS(CaseCells!F2:F999,CaseCells!C2:C999, C58,CaseCells!E2:E999, E58)</f>
        <v>6520</v>
      </c>
      <c r="K58" s="3">
        <f>IF(I58 = 0, "", J58 / I58)</f>
        <v>0.4657142857142857</v>
      </c>
      <c r="L58" s="3" t="str">
        <f>IF(OR(H58 = "", K58 = ""), "", IF(ABS(H58 - K58) &lt; 0.0000001, "tie", IF(H58 &gt; K58, D58, E58)))</f>
        <v>A</v>
      </c>
      <c r="M58" s="5">
        <f>COUNTIFS(StratumSummaries!C2:C999, C58,StratumSummaries!E2:E999, D58)</f>
        <v>2</v>
      </c>
      <c r="N58" s="5">
        <f>COUNTIFS(StratumSummaries!C2:C999, C58,StratumSummaries!E2:E999, D58,StratumSummaries!O2:O999, D58)</f>
        <v>2</v>
      </c>
      <c r="O58" s="5">
        <f>COUNTIFS(StratumSummaries!C2:C999, C58,StratumSummaries!E2:E999, D58,StratumSummaries!O2:O999, E58)</f>
        <v>0</v>
      </c>
      <c r="P58" s="3" t="str">
        <f>IF(N58 = M58, D58, IF(O58 = M58, E58, "none"))</f>
        <v>A</v>
      </c>
      <c r="Q58" s="3" t="b">
        <f>IF(AC58 = "", "", AC58)</f>
        <v>0</v>
      </c>
      <c r="R58" s="5">
        <f>COUNTIFS(StratumVariables!C2:C999, C58,StratumVariables!H2:H999, TRUE())</f>
        <v>1</v>
      </c>
      <c r="S58" s="3" t="b">
        <f>AND(Q58, R58 &gt; 0)</f>
        <v>0</v>
      </c>
      <c r="T58" s="3">
        <f>IF(H58 = "", "", ABS(H58 - K58))</f>
        <v>0.022521008403361353</v>
      </c>
      <c r="U58" s="5">
        <f>IF(L58 = D58, O58, N58)</f>
        <v>0</v>
      </c>
      <c r="V58" s="3">
        <f>IF(M58 = 0, "", T58 * (U58 / M58))</f>
        <v>0</v>
      </c>
      <c r="W58" s="3">
        <f>SUMIFS(StratumSummaries!S2:S999,StratumSummaries!C2:C999, C58,StratumSummaries!E2:E999, D58)</f>
        <v>0.49677419354838714</v>
      </c>
      <c r="X58" s="3">
        <f>SUMIFS(StratumSummaries!S2:S999,StratumSummaries!C2:C999, C58,StratumSummaries!E2:E999, E58)</f>
        <v>0.45741935483870966</v>
      </c>
      <c r="Y58" s="3">
        <f>IF(M58 = 0, "", U58 / M58)</f>
        <v>0</v>
      </c>
      <c r="Z58" s="3">
        <f>IF(M58 = 0, "", Y58 - 0.5)</f>
        <v>-0.5</v>
      </c>
      <c r="AA58" s="3">
        <f>IF(H58 = "", "", H58 - K58)</f>
        <v>0.022521008403361353</v>
      </c>
      <c r="AB58" s="3">
        <f>SUMIFS(StratumSummaries!AB2:AB999,StratumSummaries!C2:C999, C58,StratumSummaries!E2:E999, D58)</f>
        <v>0.03935483870967745</v>
      </c>
      <c r="AC58" s="3" t="b">
        <f>IF(AB58 = "", "", IF(AB58 &gt; 0, AA58 &lt; 0, AA58 &gt; 0))</f>
        <v>0</v>
      </c>
      <c r="AD58" s="3">
        <f>IF(AB58 = "", "", ABS(AB58 - AA58))</f>
        <v>0.0168338303063161</v>
      </c>
      <c r="AE58" s="3" t="str">
        <f>IF(AD58 = "", "", IF(AC58, IF(AND(AB58 &lt;&gt; 0, AA58 / AB58 &lt; -1), "B", IF(AND(AB58 &lt;&gt; 0, AA58 / AB58 &lt; 0), "A", IF(Y58 = 1, "A", "B"))), IF(AND(NOT(AC58), AD58 &gt; 0.01, ABS(AA58) &gt; ABS(AG58) + 0.001), "C+", IF(AND(NOT(AC58), AD58 &gt; 0.01, ABS(AA58) &lt; ABS(AG58) - 0.001), "C-", "D"))))</f>
        <v>C-</v>
      </c>
      <c r="AF58" s="3" t="str">
        <f>IF(AE58 = "", "", IF(AE58 = "A", "stratify-immediately", IF(AE58 = "B", "investigate-confounder", IF(OR(AE58 = "C+", AE58 = "C-"), "check-allocation-bias", "pooled-analysis-trustworthy"))))</f>
        <v>check-allocation-bias</v>
      </c>
      <c r="AG58" s="3">
        <f>AB58</f>
        <v>0.03935483870967745</v>
      </c>
      <c r="AH58" s="3" t="str">
        <f>IF(AG58 = "", "", IF(ABS(AG58) &lt; 0.0001, "tie", IF(AG58 &gt; 0, D58, IF(AG58 &lt; 0, E58, "tie"))))</f>
        <v>A</v>
      </c>
      <c r="AI58" s="3" t="b">
        <f>IF(AH58 = "", "", AH58 = L58)</f>
        <v>1</v>
      </c>
      <c r="AJ58" s="3" t="str">
        <f>IF(AE58 = "", "", IF(AE58 = "A", "use-corrected-winner", IF(AE58 = "B", "use-corrected-winner-with-caution", IF(OR(AE58 = "C+", AE58 = "C-"), "check-allocation-bias", "pooled-analysis-trustworthy"))))</f>
        <v>check-allocation-bias</v>
      </c>
      <c r="AK58" s="3" t="str">
        <f>IF(AG58 = "", "", IF(AC58, "reversal", IF(ABS(AA58) &gt; ABS(AG58) + 0.001, "amplification", IF(ABS(AA58) &lt; ABS(AG58) - 0.001, "compression", "neutral"))))</f>
        <v>compression</v>
      </c>
      <c r="AL58" s="3">
        <f>IF(AG58 = "", "", IF(ABS(AG58) + AD58 = 0, 1, ABS(AG58) / (ABS(AG58) + AD58)))</f>
        <v>0.7004052489386337</v>
      </c>
      <c r="AM58" s="3" t="e">
        <f>LOOKUP(C58, SweepStudySummary[SweepStudyId], SweepStudySummary[PooledGapCrossesZero])</f>
        <v>#VALUE!</v>
      </c>
      <c r="AN58" s="3" t="e">
        <f>LOOKUP(C58, SweepStudySummary[SweepStudyId], SweepStudySummary[SweepPooledGapRange])</f>
        <v>#VALUE!</v>
      </c>
      <c r="AO58" s="3" t="e">
        <f>IF(AE58 = "", "", AND(AE58 = "D", AM58 = TRUE))</f>
        <v>#VALUE!</v>
      </c>
      <c r="AP58" s="3" t="e">
        <f>IF(OR(AN58 = "", T58 = "", T58 = 0), "", AN58 / ABS(T58))</f>
        <v>#VALUE!</v>
      </c>
      <c r="AQ58" s="3" t="e">
        <f>LOOKUP(C58, Studies[StudyId], Studies[Domain])</f>
        <v>#VALUE!</v>
      </c>
      <c r="AR58" s="5">
        <f>COUNTIFS(StratumVariables!C2:C999, C58,StratumVariables!E2:E999, "confounder")</f>
        <v>1</v>
      </c>
      <c r="AS58" s="5">
        <f>COUNTIFS(StratumVariables!C2:C999, C58,StratumVariables!J2:J999, "mediator") + COUNTIFS(StratumVariables!C2:C999, C58,StratumVariables!J2:J999, "collider")</f>
        <v>0</v>
      </c>
      <c r="AT58" s="5">
        <f>COUNTIFS(StratumVariables!C2:C999, C58,StratumVariables!E2:E999, "contested")</f>
        <v>0</v>
      </c>
      <c r="AU58" s="5">
        <f>COUNTIFS(StratumVariables!C2:C999, C58,StratumVariables!E2:E999, "unknown")</f>
        <v>0</v>
      </c>
      <c r="AV58" s="3" t="str">
        <f>IF(AT58 &gt; 0, "contested", IF(AU58 &gt; 0, "geometric-only", IF(AR58 &gt; 0, "established", "geometric-only")))</f>
        <v>established</v>
      </c>
      <c r="AW58" s="3" t="b">
        <f>AND(AS58 = 0, AV58 = "established")</f>
        <v>1</v>
      </c>
      <c r="AX58" s="2" t="s">
        <v>2654</v>
      </c>
    </row>
    <row r="59">
      <c r="A59" s="2" t="s">
        <v>2697</v>
      </c>
      <c r="B59" s="3" t="str">
        <f>A59</f>
        <v>borjas-immigrant-cohort-A-vs-B</v>
      </c>
      <c r="C59" s="2" t="s">
        <v>633</v>
      </c>
      <c r="D59" s="2" t="s">
        <v>792</v>
      </c>
      <c r="E59" s="2" t="s">
        <v>795</v>
      </c>
      <c r="F59" s="5">
        <f>SUMIFS(CaseCells!G2:G999,CaseCells!C2:C999, C59,CaseCells!E2:E999, D59)</f>
        <v>2000</v>
      </c>
      <c r="G59" s="5">
        <f>SUMIFS(CaseCells!F2:F999,CaseCells!C2:C999, C59,CaseCells!E2:E999, D59)</f>
        <v>950</v>
      </c>
      <c r="H59" s="3">
        <f>IF(F59 = 0, "", G59 / F59)</f>
        <v>0.475</v>
      </c>
      <c r="I59" s="5">
        <f>SUMIFS(CaseCells!G2:G999,CaseCells!C2:C999, C59,CaseCells!E2:E999, E59)</f>
        <v>2000</v>
      </c>
      <c r="J59" s="5">
        <f>SUMIFS(CaseCells!F2:F999,CaseCells!C2:C999, C59,CaseCells!E2:E999, E59)</f>
        <v>970</v>
      </c>
      <c r="K59" s="3">
        <f>IF(I59 = 0, "", J59 / I59)</f>
        <v>0.485</v>
      </c>
      <c r="L59" s="3" t="str">
        <f>IF(OR(H59 = "", K59 = ""), "", IF(ABS(H59 - K59) &lt; 0.0000001, "tie", IF(H59 &gt; K59, D59, E59)))</f>
        <v>B</v>
      </c>
      <c r="M59" s="5">
        <f>COUNTIFS(StratumSummaries!C2:C999, C59,StratumSummaries!E2:E999, D59)</f>
        <v>2</v>
      </c>
      <c r="N59" s="5">
        <f>COUNTIFS(StratumSummaries!C2:C999, C59,StratumSummaries!E2:E999, D59,StratumSummaries!O2:O999, D59)</f>
        <v>1</v>
      </c>
      <c r="O59" s="5">
        <f>COUNTIFS(StratumSummaries!C2:C999, C59,StratumSummaries!E2:E999, D59,StratumSummaries!O2:O999, E59)</f>
        <v>1</v>
      </c>
      <c r="P59" s="3" t="str">
        <f>IF(N59 = M59, D59, IF(O59 = M59, E59, "none"))</f>
        <v>none</v>
      </c>
      <c r="Q59" s="3" t="b">
        <f>IF(AC59 = "", "", AC59)</f>
        <v>0</v>
      </c>
      <c r="R59" s="5">
        <f>COUNTIFS(StratumVariables!C2:C999, C59,StratumVariables!H2:H999, TRUE())</f>
        <v>1</v>
      </c>
      <c r="S59" s="3" t="b">
        <f>AND(Q59, R59 &gt; 0)</f>
        <v>0</v>
      </c>
      <c r="T59" s="3">
        <f>IF(H59 = "", "", ABS(H59 - K59))</f>
        <v>0.010000000000000009</v>
      </c>
      <c r="U59" s="5">
        <f>IF(L59 = D59, O59, N59)</f>
        <v>1</v>
      </c>
      <c r="V59" s="3">
        <f>IF(M59 = 0, "", T59 * (U59 / M59))</f>
        <v>0.0050000000000000044</v>
      </c>
      <c r="W59" s="3">
        <f>SUMIFS(StratumSummaries!S2:S999,StratumSummaries!C2:C999, C59,StratumSummaries!E2:E999, D59)</f>
        <v>0.47500000000000003</v>
      </c>
      <c r="X59" s="3">
        <f>SUMIFS(StratumSummaries!S2:S999,StratumSummaries!C2:C999, C59,StratumSummaries!E2:E999, E59)</f>
        <v>0.485</v>
      </c>
      <c r="Y59" s="3">
        <f>IF(M59 = 0, "", U59 / M59)</f>
        <v>0.5</v>
      </c>
      <c r="Z59" s="3">
        <f>IF(M59 = 0, "", Y59 - 0.5)</f>
        <v>0</v>
      </c>
      <c r="AA59" s="3">
        <f>IF(H59 = "", "", H59 - K59)</f>
        <v>-0.010000000000000009</v>
      </c>
      <c r="AB59" s="3">
        <f>SUMIFS(StratumSummaries!AB2:AB999,StratumSummaries!C2:C999, C59,StratumSummaries!E2:E999, D59)</f>
        <v>-0.009999999999999981</v>
      </c>
      <c r="AC59" s="3" t="b">
        <f>IF(AB59 = "", "", IF(AB59 &gt; 0, AA59 &lt; 0, AA59 &gt; 0))</f>
        <v>0</v>
      </c>
      <c r="AD59" s="3">
        <f>IF(AB59 = "", "", ABS(AB59 - AA59))</f>
        <v>2.7755575615628914E-17</v>
      </c>
      <c r="AE59" s="3" t="str">
        <f>IF(AD59 = "", "", IF(AC59, IF(AND(AB59 &lt;&gt; 0, AA59 / AB59 &lt; -1), "B", IF(AND(AB59 &lt;&gt; 0, AA59 / AB59 &lt; 0), "A", IF(Y59 = 1, "A", "B"))), IF(AND(NOT(AC59), AD59 &gt; 0.01, ABS(AA59) &gt; ABS(AG59) + 0.001), "C+", IF(AND(NOT(AC59), AD59 &gt; 0.01, ABS(AA59) &lt; ABS(AG59) - 0.001), "C-", "D"))))</f>
        <v>D</v>
      </c>
      <c r="AF59" s="3" t="str">
        <f>IF(AE59 = "", "", IF(AE59 = "A", "stratify-immediately", IF(AE59 = "B", "investigate-confounder", IF(OR(AE59 = "C+", AE59 = "C-"), "check-allocation-bias", "pooled-analysis-trustworthy"))))</f>
        <v>pooled-analysis-trustworthy</v>
      </c>
      <c r="AG59" s="3">
        <f>AB59</f>
        <v>-0.009999999999999981</v>
      </c>
      <c r="AH59" s="3" t="str">
        <f>IF(AG59 = "", "", IF(ABS(AG59) &lt; 0.0001, "tie", IF(AG59 &gt; 0, D59, IF(AG59 &lt; 0, E59, "tie"))))</f>
        <v>B</v>
      </c>
      <c r="AI59" s="3" t="b">
        <f>IF(AH59 = "", "", AH59 = L59)</f>
        <v>1</v>
      </c>
      <c r="AJ59" s="3" t="str">
        <f>IF(AE59 = "", "", IF(AE59 = "A", "use-corrected-winner", IF(AE59 = "B", "use-corrected-winner-with-caution", IF(OR(AE59 = "C+", AE59 = "C-"), "check-allocation-bias", "pooled-analysis-trustworthy"))))</f>
        <v>pooled-analysis-trustworthy</v>
      </c>
      <c r="AK59" s="3" t="str">
        <f>IF(AG59 = "", "", IF(AC59, "reversal", IF(ABS(AA59) &gt; ABS(AG59) + 0.001, "amplification", IF(ABS(AA59) &lt; ABS(AG59) - 0.001, "compression", "neutral"))))</f>
        <v>neutral</v>
      </c>
      <c r="AL59" s="3">
        <f>IF(AG59 = "", "", IF(ABS(AG59) + AD59 = 0, 1, ABS(AG59) / (ABS(AG59) + AD59)))</f>
        <v>0.9999999999999972</v>
      </c>
      <c r="AM59" s="3" t="e">
        <f>LOOKUP(C59, SweepStudySummary[SweepStudyId], SweepStudySummary[PooledGapCrossesZero])</f>
        <v>#VALUE!</v>
      </c>
      <c r="AN59" s="3" t="e">
        <f>LOOKUP(C59, SweepStudySummary[SweepStudyId], SweepStudySummary[SweepPooledGapRange])</f>
        <v>#VALUE!</v>
      </c>
      <c r="AO59" s="3" t="e">
        <f>IF(AE59 = "", "", AND(AE59 = "D", AM59 = TRUE))</f>
        <v>#VALUE!</v>
      </c>
      <c r="AP59" s="3" t="e">
        <f>IF(OR(AN59 = "", T59 = "", T59 = 0), "", AN59 / ABS(T59))</f>
        <v>#VALUE!</v>
      </c>
      <c r="AQ59" s="3" t="e">
        <f>LOOKUP(C59, Studies[StudyId], Studies[Domain])</f>
        <v>#VALUE!</v>
      </c>
      <c r="AR59" s="5">
        <f>COUNTIFS(StratumVariables!C2:C999, C59,StratumVariables!E2:E999, "confounder")</f>
        <v>1</v>
      </c>
      <c r="AS59" s="5">
        <f>COUNTIFS(StratumVariables!C2:C999, C59,StratumVariables!J2:J999, "mediator") + COUNTIFS(StratumVariables!C2:C999, C59,StratumVariables!J2:J999, "collider")</f>
        <v>0</v>
      </c>
      <c r="AT59" s="5">
        <f>COUNTIFS(StratumVariables!C2:C999, C59,StratumVariables!E2:E999, "contested")</f>
        <v>0</v>
      </c>
      <c r="AU59" s="5">
        <f>COUNTIFS(StratumVariables!C2:C999, C59,StratumVariables!E2:E999, "unknown")</f>
        <v>0</v>
      </c>
      <c r="AV59" s="3" t="str">
        <f>IF(AT59 &gt; 0, "contested", IF(AU59 &gt; 0, "geometric-only", IF(AR59 &gt; 0, "established", "geometric-only")))</f>
        <v>established</v>
      </c>
      <c r="AW59" s="3" t="b">
        <f>AND(AS59 = 0, AV59 = "established")</f>
        <v>1</v>
      </c>
      <c r="AX59" s="2" t="s">
        <v>2654</v>
      </c>
    </row>
    <row r="60">
      <c r="A60" s="2" t="s">
        <v>2698</v>
      </c>
      <c r="B60" s="3" t="str">
        <f>A60</f>
        <v>robinson-1950-literacy-A-vs-B</v>
      </c>
      <c r="C60" s="2" t="s">
        <v>637</v>
      </c>
      <c r="D60" s="2" t="s">
        <v>792</v>
      </c>
      <c r="E60" s="2" t="s">
        <v>795</v>
      </c>
      <c r="F60" s="5">
        <f>SUMIFS(CaseCells!G2:G999,CaseCells!C2:C999, C60,CaseCells!E2:E999, D60)</f>
        <v>2000</v>
      </c>
      <c r="G60" s="5">
        <f>SUMIFS(CaseCells!F2:F999,CaseCells!C2:C999, C60,CaseCells!E2:E999, D60)</f>
        <v>1700</v>
      </c>
      <c r="H60" s="3">
        <f>IF(F60 = 0, "", G60 / F60)</f>
        <v>0.85</v>
      </c>
      <c r="I60" s="5">
        <f>SUMIFS(CaseCells!G2:G999,CaseCells!C2:C999, C60,CaseCells!E2:E999, E60)</f>
        <v>12000</v>
      </c>
      <c r="J60" s="5">
        <f>SUMIFS(CaseCells!F2:F999,CaseCells!C2:C999, C60,CaseCells!E2:E999, E60)</f>
        <v>10900</v>
      </c>
      <c r="K60" s="3">
        <f>IF(I60 = 0, "", J60 / I60)</f>
        <v>0.9083333333333333</v>
      </c>
      <c r="L60" s="3" t="str">
        <f>IF(OR(H60 = "", K60 = ""), "", IF(ABS(H60 - K60) &lt; 0.0000001, "tie", IF(H60 &gt; K60, D60, E60)))</f>
        <v>B</v>
      </c>
      <c r="M60" s="5">
        <f>COUNTIFS(StratumSummaries!C2:C999, C60,StratumSummaries!E2:E999, D60)</f>
        <v>2</v>
      </c>
      <c r="N60" s="5">
        <f>COUNTIFS(StratumSummaries!C2:C999, C60,StratumSummaries!E2:E999, D60,StratumSummaries!O2:O999, D60)</f>
        <v>1</v>
      </c>
      <c r="O60" s="5">
        <f>COUNTIFS(StratumSummaries!C2:C999, C60,StratumSummaries!E2:E999, D60,StratumSummaries!O2:O999, E60)</f>
        <v>1</v>
      </c>
      <c r="P60" s="3" t="str">
        <f>IF(N60 = M60, D60, IF(O60 = M60, E60, "none"))</f>
        <v>none</v>
      </c>
      <c r="Q60" s="3" t="b">
        <f>IF(AC60 = "", "", AC60)</f>
        <v>0</v>
      </c>
      <c r="R60" s="5">
        <f>COUNTIFS(StratumVariables!C2:C999, C60,StratumVariables!H2:H999, TRUE())</f>
        <v>1</v>
      </c>
      <c r="S60" s="3" t="b">
        <f>AND(Q60, R60 &gt; 0)</f>
        <v>0</v>
      </c>
      <c r="T60" s="3">
        <f>IF(H60 = "", "", ABS(H60 - K60))</f>
        <v>0.05833333333333335</v>
      </c>
      <c r="U60" s="5">
        <f>IF(L60 = D60, O60, N60)</f>
        <v>1</v>
      </c>
      <c r="V60" s="3">
        <f>IF(M60 = 0, "", T60 * (U60 / M60))</f>
        <v>0.029166666666666674</v>
      </c>
      <c r="W60" s="3">
        <f>SUMIFS(StratumSummaries!S2:S999,StratumSummaries!C2:C999, C60,StratumSummaries!E2:E999, D60)</f>
        <v>0.8785714285714286</v>
      </c>
      <c r="X60" s="3">
        <f>SUMIFS(StratumSummaries!S2:S999,StratumSummaries!C2:C999, C60,StratumSummaries!E2:E999, E60)</f>
        <v>0.8964285714285714</v>
      </c>
      <c r="Y60" s="3">
        <f>IF(M60 = 0, "", U60 / M60)</f>
        <v>0.5</v>
      </c>
      <c r="Z60" s="3">
        <f>IF(M60 = 0, "", Y60 - 0.5)</f>
        <v>0</v>
      </c>
      <c r="AA60" s="3">
        <f>IF(H60 = "", "", H60 - K60)</f>
        <v>-0.05833333333333335</v>
      </c>
      <c r="AB60" s="3">
        <f>SUMIFS(StratumSummaries!AB2:AB999,StratumSummaries!C2:C999, C60,StratumSummaries!E2:E999, D60)</f>
        <v>-0.017857142857142783</v>
      </c>
      <c r="AC60" s="3" t="b">
        <f>IF(AB60 = "", "", IF(AB60 &gt; 0, AA60 &lt; 0, AA60 &gt; 0))</f>
        <v>0</v>
      </c>
      <c r="AD60" s="3">
        <f>IF(AB60 = "", "", ABS(AB60 - AA60))</f>
        <v>0.04047619047619057</v>
      </c>
      <c r="AE60" s="3" t="str">
        <f>IF(AD60 = "", "", IF(AC60, IF(AND(AB60 &lt;&gt; 0, AA60 / AB60 &lt; -1), "B", IF(AND(AB60 &lt;&gt; 0, AA60 / AB60 &lt; 0), "A", IF(Y60 = 1, "A", "B"))), IF(AND(NOT(AC60), AD60 &gt; 0.01, ABS(AA60) &gt; ABS(AG60) + 0.001), "C+", IF(AND(NOT(AC60), AD60 &gt; 0.01, ABS(AA60) &lt; ABS(AG60) - 0.001), "C-", "D"))))</f>
        <v>C+</v>
      </c>
      <c r="AF60" s="3" t="str">
        <f>IF(AE60 = "", "", IF(AE60 = "A", "stratify-immediately", IF(AE60 = "B", "investigate-confounder", IF(OR(AE60 = "C+", AE60 = "C-"), "check-allocation-bias", "pooled-analysis-trustworthy"))))</f>
        <v>check-allocation-bias</v>
      </c>
      <c r="AG60" s="3">
        <f>AB60</f>
        <v>-0.017857142857142783</v>
      </c>
      <c r="AH60" s="3" t="str">
        <f>IF(AG60 = "", "", IF(ABS(AG60) &lt; 0.0001, "tie", IF(AG60 &gt; 0, D60, IF(AG60 &lt; 0, E60, "tie"))))</f>
        <v>B</v>
      </c>
      <c r="AI60" s="3" t="b">
        <f>IF(AH60 = "", "", AH60 = L60)</f>
        <v>1</v>
      </c>
      <c r="AJ60" s="3" t="str">
        <f>IF(AE60 = "", "", IF(AE60 = "A", "use-corrected-winner", IF(AE60 = "B", "use-corrected-winner-with-caution", IF(OR(AE60 = "C+", AE60 = "C-"), "check-allocation-bias", "pooled-analysis-trustworthy"))))</f>
        <v>check-allocation-bias</v>
      </c>
      <c r="AK60" s="3" t="str">
        <f>IF(AG60 = "", "", IF(AC60, "reversal", IF(ABS(AA60) &gt; ABS(AG60) + 0.001, "amplification", IF(ABS(AA60) &lt; ABS(AG60) - 0.001, "compression", "neutral"))))</f>
        <v>amplification</v>
      </c>
      <c r="AL60" s="3">
        <f>IF(AG60 = "", "", IF(ABS(AG60) + AD60 = 0, 1, ABS(AG60) / (ABS(AG60) + AD60)))</f>
        <v>0.3061224489795905</v>
      </c>
      <c r="AM60" s="3" t="e">
        <f>LOOKUP(C60, SweepStudySummary[SweepStudyId], SweepStudySummary[PooledGapCrossesZero])</f>
        <v>#VALUE!</v>
      </c>
      <c r="AN60" s="3" t="e">
        <f>LOOKUP(C60, SweepStudySummary[SweepStudyId], SweepStudySummary[SweepPooledGapRange])</f>
        <v>#VALUE!</v>
      </c>
      <c r="AO60" s="3" t="e">
        <f>IF(AE60 = "", "", AND(AE60 = "D", AM60 = TRUE))</f>
        <v>#VALUE!</v>
      </c>
      <c r="AP60" s="3" t="e">
        <f>IF(OR(AN60 = "", T60 = "", T60 = 0), "", AN60 / ABS(T60))</f>
        <v>#VALUE!</v>
      </c>
      <c r="AQ60" s="3" t="e">
        <f>LOOKUP(C60, Studies[StudyId], Studies[Domain])</f>
        <v>#VALUE!</v>
      </c>
      <c r="AR60" s="5">
        <f>COUNTIFS(StratumVariables!C2:C999, C60,StratumVariables!E2:E999, "confounder")</f>
        <v>1</v>
      </c>
      <c r="AS60" s="5">
        <f>COUNTIFS(StratumVariables!C2:C999, C60,StratumVariables!J2:J999, "mediator") + COUNTIFS(StratumVariables!C2:C999, C60,StratumVariables!J2:J999, "collider")</f>
        <v>0</v>
      </c>
      <c r="AT60" s="5">
        <f>COUNTIFS(StratumVariables!C2:C999, C60,StratumVariables!E2:E999, "contested")</f>
        <v>0</v>
      </c>
      <c r="AU60" s="5">
        <f>COUNTIFS(StratumVariables!C2:C999, C60,StratumVariables!E2:E999, "unknown")</f>
        <v>0</v>
      </c>
      <c r="AV60" s="3" t="str">
        <f>IF(AT60 &gt; 0, "contested", IF(AU60 &gt; 0, "geometric-only", IF(AR60 &gt; 0, "established", "geometric-only")))</f>
        <v>established</v>
      </c>
      <c r="AW60" s="3" t="b">
        <f>AND(AS60 = 0, AV60 = "established")</f>
        <v>1</v>
      </c>
      <c r="AX60" s="2" t="s">
        <v>2654</v>
      </c>
    </row>
    <row r="61">
      <c r="A61" s="2" t="s">
        <v>2699</v>
      </c>
      <c r="B61" s="3" t="str">
        <f>A61</f>
        <v>ab-test-traffic-mix-A-vs-B</v>
      </c>
      <c r="C61" s="2" t="s">
        <v>641</v>
      </c>
      <c r="D61" s="2" t="s">
        <v>792</v>
      </c>
      <c r="E61" s="2" t="s">
        <v>795</v>
      </c>
      <c r="F61" s="5">
        <f>SUMIFS(CaseCells!G2:G999,CaseCells!C2:C999, C61,CaseCells!E2:E999, D61)</f>
        <v>12000</v>
      </c>
      <c r="G61" s="5">
        <f>SUMIFS(CaseCells!F2:F999,CaseCells!C2:C999, C61,CaseCells!E2:E999, D61)</f>
        <v>9100</v>
      </c>
      <c r="H61" s="3">
        <f>IF(F61 = 0, "", G61 / F61)</f>
        <v>0.7583333333333333</v>
      </c>
      <c r="I61" s="5">
        <f>SUMIFS(CaseCells!G2:G999,CaseCells!C2:C999, C61,CaseCells!E2:E999, E61)</f>
        <v>12000</v>
      </c>
      <c r="J61" s="5">
        <f>SUMIFS(CaseCells!F2:F999,CaseCells!C2:C999, C61,CaseCells!E2:E999, E61)</f>
        <v>8800</v>
      </c>
      <c r="K61" s="3">
        <f>IF(I61 = 0, "", J61 / I61)</f>
        <v>0.7333333333333333</v>
      </c>
      <c r="L61" s="3" t="str">
        <f>IF(OR(H61 = "", K61 = ""), "", IF(ABS(H61 - K61) &lt; 0.0000001, "tie", IF(H61 &gt; K61, D61, E61)))</f>
        <v>A</v>
      </c>
      <c r="M61" s="5">
        <f>COUNTIFS(StratumSummaries!C2:C999, C61,StratumSummaries!E2:E999, D61)</f>
        <v>2</v>
      </c>
      <c r="N61" s="5">
        <f>COUNTIFS(StratumSummaries!C2:C999, C61,StratumSummaries!E2:E999, D61,StratumSummaries!O2:O999, D61)</f>
        <v>1</v>
      </c>
      <c r="O61" s="5">
        <f>COUNTIFS(StratumSummaries!C2:C999, C61,StratumSummaries!E2:E999, D61,StratumSummaries!O2:O999, E61)</f>
        <v>1</v>
      </c>
      <c r="P61" s="3" t="str">
        <f>IF(N61 = M61, D61, IF(O61 = M61, E61, "none"))</f>
        <v>none</v>
      </c>
      <c r="Q61" s="3" t="b">
        <f>IF(AC61 = "", "", AC61)</f>
        <v>0</v>
      </c>
      <c r="R61" s="5">
        <f>COUNTIFS(StratumVariables!C2:C999, C61,StratumVariables!H2:H999, TRUE())</f>
        <v>1</v>
      </c>
      <c r="S61" s="3" t="b">
        <f>AND(Q61, R61 &gt; 0)</f>
        <v>0</v>
      </c>
      <c r="T61" s="3">
        <f>IF(H61 = "", "", ABS(H61 - K61))</f>
        <v>0.025000000000000022</v>
      </c>
      <c r="U61" s="5">
        <f>IF(L61 = D61, O61, N61)</f>
        <v>1</v>
      </c>
      <c r="V61" s="3">
        <f>IF(M61 = 0, "", T61 * (U61 / M61))</f>
        <v>0.012500000000000011</v>
      </c>
      <c r="W61" s="3">
        <f>SUMIFS(StratumSummaries!S2:S999,StratumSummaries!C2:C999, C61,StratumSummaries!E2:E999, D61)</f>
        <v>0.7583333333333334</v>
      </c>
      <c r="X61" s="3">
        <f>SUMIFS(StratumSummaries!S2:S999,StratumSummaries!C2:C999, C61,StratumSummaries!E2:E999, E61)</f>
        <v>0.7333333333333334</v>
      </c>
      <c r="Y61" s="3">
        <f>IF(M61 = 0, "", U61 / M61)</f>
        <v>0.5</v>
      </c>
      <c r="Z61" s="3">
        <f>IF(M61 = 0, "", Y61 - 0.5)</f>
        <v>0</v>
      </c>
      <c r="AA61" s="3">
        <f>IF(H61 = "", "", H61 - K61)</f>
        <v>0.025000000000000022</v>
      </c>
      <c r="AB61" s="3">
        <f>SUMIFS(StratumSummaries!AB2:AB999,StratumSummaries!C2:C999, C61,StratumSummaries!E2:E999, D61)</f>
        <v>0.025000000000000043</v>
      </c>
      <c r="AC61" s="3" t="b">
        <f>IF(AB61 = "", "", IF(AB61 &gt; 0, AA61 &lt; 0, AA61 &gt; 0))</f>
        <v>0</v>
      </c>
      <c r="AD61" s="3">
        <f>IF(AB61 = "", "", ABS(AB61 - AA61))</f>
        <v>2.0816681711721685E-17</v>
      </c>
      <c r="AE61" s="3" t="str">
        <f>IF(AD61 = "", "", IF(AC61, IF(AND(AB61 &lt;&gt; 0, AA61 / AB61 &lt; -1), "B", IF(AND(AB61 &lt;&gt; 0, AA61 / AB61 &lt; 0), "A", IF(Y61 = 1, "A", "B"))), IF(AND(NOT(AC61), AD61 &gt; 0.01, ABS(AA61) &gt; ABS(AG61) + 0.001), "C+", IF(AND(NOT(AC61), AD61 &gt; 0.01, ABS(AA61) &lt; ABS(AG61) - 0.001), "C-", "D"))))</f>
        <v>D</v>
      </c>
      <c r="AF61" s="3" t="str">
        <f>IF(AE61 = "", "", IF(AE61 = "A", "stratify-immediately", IF(AE61 = "B", "investigate-confounder", IF(OR(AE61 = "C+", AE61 = "C-"), "check-allocation-bias", "pooled-analysis-trustworthy"))))</f>
        <v>pooled-analysis-trustworthy</v>
      </c>
      <c r="AG61" s="3">
        <f>AB61</f>
        <v>0.025000000000000043</v>
      </c>
      <c r="AH61" s="3" t="str">
        <f>IF(AG61 = "", "", IF(ABS(AG61) &lt; 0.0001, "tie", IF(AG61 &gt; 0, D61, IF(AG61 &lt; 0, E61, "tie"))))</f>
        <v>A</v>
      </c>
      <c r="AI61" s="3" t="b">
        <f>IF(AH61 = "", "", AH61 = L61)</f>
        <v>1</v>
      </c>
      <c r="AJ61" s="3" t="str">
        <f>IF(AE61 = "", "", IF(AE61 = "A", "use-corrected-winner", IF(AE61 = "B", "use-corrected-winner-with-caution", IF(OR(AE61 = "C+", AE61 = "C-"), "check-allocation-bias", "pooled-analysis-trustworthy"))))</f>
        <v>pooled-analysis-trustworthy</v>
      </c>
      <c r="AK61" s="3" t="str">
        <f>IF(AG61 = "", "", IF(AC61, "reversal", IF(ABS(AA61) &gt; ABS(AG61) + 0.001, "amplification", IF(ABS(AA61) &lt; ABS(AG61) - 0.001, "compression", "neutral"))))</f>
        <v>neutral</v>
      </c>
      <c r="AL61" s="3">
        <f>IF(AG61 = "", "", IF(ABS(AG61) + AD61 = 0, 1, ABS(AG61) / (ABS(AG61) + AD61)))</f>
        <v>0.9999999999999992</v>
      </c>
      <c r="AM61" s="3" t="e">
        <f>LOOKUP(C61, SweepStudySummary[SweepStudyId], SweepStudySummary[PooledGapCrossesZero])</f>
        <v>#VALUE!</v>
      </c>
      <c r="AN61" s="3" t="e">
        <f>LOOKUP(C61, SweepStudySummary[SweepStudyId], SweepStudySummary[SweepPooledGapRange])</f>
        <v>#VALUE!</v>
      </c>
      <c r="AO61" s="3" t="e">
        <f>IF(AE61 = "", "", AND(AE61 = "D", AM61 = TRUE))</f>
        <v>#VALUE!</v>
      </c>
      <c r="AP61" s="3" t="e">
        <f>IF(OR(AN61 = "", T61 = "", T61 = 0), "", AN61 / ABS(T61))</f>
        <v>#VALUE!</v>
      </c>
      <c r="AQ61" s="3" t="e">
        <f>LOOKUP(C61, Studies[StudyId], Studies[Domain])</f>
        <v>#VALUE!</v>
      </c>
      <c r="AR61" s="5">
        <f>COUNTIFS(StratumVariables!C2:C999, C61,StratumVariables!E2:E999, "confounder")</f>
        <v>1</v>
      </c>
      <c r="AS61" s="5">
        <f>COUNTIFS(StratumVariables!C2:C999, C61,StratumVariables!J2:J999, "mediator") + COUNTIFS(StratumVariables!C2:C999, C61,StratumVariables!J2:J999, "collider")</f>
        <v>0</v>
      </c>
      <c r="AT61" s="5">
        <f>COUNTIFS(StratumVariables!C2:C999, C61,StratumVariables!E2:E999, "contested")</f>
        <v>0</v>
      </c>
      <c r="AU61" s="5">
        <f>COUNTIFS(StratumVariables!C2:C999, C61,StratumVariables!E2:E999, "unknown")</f>
        <v>0</v>
      </c>
      <c r="AV61" s="3" t="str">
        <f>IF(AT61 &gt; 0, "contested", IF(AU61 &gt; 0, "geometric-only", IF(AR61 &gt; 0, "established", "geometric-only")))</f>
        <v>established</v>
      </c>
      <c r="AW61" s="3" t="b">
        <f>AND(AS61 = 0, AV61 = "established")</f>
        <v>1</v>
      </c>
      <c r="AX61" s="2" t="s">
        <v>2654</v>
      </c>
    </row>
    <row r="62">
      <c r="A62" s="2" t="s">
        <v>2700</v>
      </c>
      <c r="B62" s="3" t="str">
        <f>A62</f>
        <v>recsys-offline-eval-A-vs-B</v>
      </c>
      <c r="C62" s="2" t="s">
        <v>645</v>
      </c>
      <c r="D62" s="2" t="s">
        <v>792</v>
      </c>
      <c r="E62" s="2" t="s">
        <v>795</v>
      </c>
      <c r="F62" s="5">
        <f>SUMIFS(CaseCells!G2:G999,CaseCells!C2:C999, C62,CaseCells!E2:E999, D62)</f>
        <v>2000</v>
      </c>
      <c r="G62" s="5">
        <f>SUMIFS(CaseCells!F2:F999,CaseCells!C2:C999, C62,CaseCells!E2:E999, D62)</f>
        <v>1150</v>
      </c>
      <c r="H62" s="3">
        <f>IF(F62 = 0, "", G62 / F62)</f>
        <v>0.575</v>
      </c>
      <c r="I62" s="5">
        <f>SUMIFS(CaseCells!G2:G999,CaseCells!C2:C999, C62,CaseCells!E2:E999, E62)</f>
        <v>2000</v>
      </c>
      <c r="J62" s="5">
        <f>SUMIFS(CaseCells!F2:F999,CaseCells!C2:C999, C62,CaseCells!E2:E999, E62)</f>
        <v>1150</v>
      </c>
      <c r="K62" s="3">
        <f>IF(I62 = 0, "", J62 / I62)</f>
        <v>0.575</v>
      </c>
      <c r="L62" s="3" t="str">
        <f>IF(OR(H62 = "", K62 = ""), "", IF(ABS(H62 - K62) &lt; 0.0000001, "tie", IF(H62 &gt; K62, D62, E62)))</f>
        <v>tie</v>
      </c>
      <c r="M62" s="5">
        <f>COUNTIFS(StratumSummaries!C2:C999, C62,StratumSummaries!E2:E999, D62)</f>
        <v>2</v>
      </c>
      <c r="N62" s="5">
        <f>COUNTIFS(StratumSummaries!C2:C999, C62,StratumSummaries!E2:E999, D62,StratumSummaries!O2:O999, D62)</f>
        <v>1</v>
      </c>
      <c r="O62" s="5">
        <f>COUNTIFS(StratumSummaries!C2:C999, C62,StratumSummaries!E2:E999, D62,StratumSummaries!O2:O999, E62)</f>
        <v>1</v>
      </c>
      <c r="P62" s="3" t="str">
        <f>IF(N62 = M62, D62, IF(O62 = M62, E62, "none"))</f>
        <v>none</v>
      </c>
      <c r="Q62" s="3" t="b">
        <f>IF(AC62 = "", "", AC62)</f>
        <v>0</v>
      </c>
      <c r="R62" s="5">
        <f>COUNTIFS(StratumVariables!C2:C999, C62,StratumVariables!H2:H999, TRUE())</f>
        <v>1</v>
      </c>
      <c r="S62" s="3" t="b">
        <f>AND(Q62, R62 &gt; 0)</f>
        <v>0</v>
      </c>
      <c r="T62" s="3">
        <f>IF(H62 = "", "", ABS(H62 - K62))</f>
        <v>0</v>
      </c>
      <c r="U62" s="5">
        <f>IF(L62 = D62, O62, N62)</f>
        <v>1</v>
      </c>
      <c r="V62" s="3">
        <f>IF(M62 = 0, "", T62 * (U62 / M62))</f>
        <v>0</v>
      </c>
      <c r="W62" s="3">
        <f>SUMIFS(StratumSummaries!S2:S999,StratumSummaries!C2:C999, C62,StratumSummaries!E2:E999, D62)</f>
        <v>0.575</v>
      </c>
      <c r="X62" s="3">
        <f>SUMIFS(StratumSummaries!S2:S999,StratumSummaries!C2:C999, C62,StratumSummaries!E2:E999, E62)</f>
        <v>0.575</v>
      </c>
      <c r="Y62" s="3">
        <f>IF(M62 = 0, "", U62 / M62)</f>
        <v>0.5</v>
      </c>
      <c r="Z62" s="3">
        <f>IF(M62 = 0, "", Y62 - 0.5)</f>
        <v>0</v>
      </c>
      <c r="AA62" s="3">
        <f>IF(H62 = "", "", H62 - K62)</f>
        <v>0</v>
      </c>
      <c r="AB62" s="3">
        <f>SUMIFS(StratumSummaries!AB2:AB999,StratumSummaries!C2:C999, C62,StratumSummaries!E2:E999, D62)</f>
        <v>-2.7755575615628914E-17</v>
      </c>
      <c r="AC62" s="3" t="b">
        <f>IF(AB62 = "", "", IF(AB62 &gt; 0, AA62 &lt; 0, AA62 &gt; 0))</f>
        <v>0</v>
      </c>
      <c r="AD62" s="3">
        <f>IF(AB62 = "", "", ABS(AB62 - AA62))</f>
        <v>2.7755575615628914E-17</v>
      </c>
      <c r="AE62" s="3" t="str">
        <f>IF(AD62 = "", "", IF(AC62, IF(AND(AB62 &lt;&gt; 0, AA62 / AB62 &lt; -1), "B", IF(AND(AB62 &lt;&gt; 0, AA62 / AB62 &lt; 0), "A", IF(Y62 = 1, "A", "B"))), IF(AND(NOT(AC62), AD62 &gt; 0.01, ABS(AA62) &gt; ABS(AG62) + 0.001), "C+", IF(AND(NOT(AC62), AD62 &gt; 0.01, ABS(AA62) &lt; ABS(AG62) - 0.001), "C-", "D"))))</f>
        <v>D</v>
      </c>
      <c r="AF62" s="3" t="str">
        <f>IF(AE62 = "", "", IF(AE62 = "A", "stratify-immediately", IF(AE62 = "B", "investigate-confounder", IF(OR(AE62 = "C+", AE62 = "C-"), "check-allocation-bias", "pooled-analysis-trustworthy"))))</f>
        <v>pooled-analysis-trustworthy</v>
      </c>
      <c r="AG62" s="3">
        <f>AB62</f>
        <v>-2.7755575615628914E-17</v>
      </c>
      <c r="AH62" s="3" t="str">
        <f>IF(AG62 = "", "", IF(ABS(AG62) &lt; 0.0001, "tie", IF(AG62 &gt; 0, D62, IF(AG62 &lt; 0, E62, "tie"))))</f>
        <v>tie</v>
      </c>
      <c r="AI62" s="3" t="b">
        <f>IF(AH62 = "", "", AH62 = L62)</f>
        <v>1</v>
      </c>
      <c r="AJ62" s="3" t="str">
        <f>IF(AE62 = "", "", IF(AE62 = "A", "use-corrected-winner", IF(AE62 = "B", "use-corrected-winner-with-caution", IF(OR(AE62 = "C+", AE62 = "C-"), "check-allocation-bias", "pooled-analysis-trustworthy"))))</f>
        <v>pooled-analysis-trustworthy</v>
      </c>
      <c r="AK62" s="3" t="str">
        <f>IF(AG62 = "", "", IF(AC62, "reversal", IF(ABS(AA62) &gt; ABS(AG62) + 0.001, "amplification", IF(ABS(AA62) &lt; ABS(AG62) - 0.001, "compression", "neutral"))))</f>
        <v>neutral</v>
      </c>
      <c r="AL62" s="3">
        <f>IF(AG62 = "", "", IF(ABS(AG62) + AD62 = 0, 1, ABS(AG62) / (ABS(AG62) + AD62)))</f>
        <v>0.5</v>
      </c>
      <c r="AM62" s="3" t="e">
        <f>LOOKUP(C62, SweepStudySummary[SweepStudyId], SweepStudySummary[PooledGapCrossesZero])</f>
        <v>#VALUE!</v>
      </c>
      <c r="AN62" s="3" t="e">
        <f>LOOKUP(C62, SweepStudySummary[SweepStudyId], SweepStudySummary[SweepPooledGapRange])</f>
        <v>#VALUE!</v>
      </c>
      <c r="AO62" s="3" t="e">
        <f>IF(AE62 = "", "", AND(AE62 = "D", AM62 = TRUE))</f>
        <v>#VALUE!</v>
      </c>
      <c r="AP62" s="3" t="e">
        <f>IF(OR(AN62 = "", T62 = "", T62 = 0), "", AN62 / ABS(T62))</f>
        <v>#VALUE!</v>
      </c>
      <c r="AQ62" s="3" t="e">
        <f>LOOKUP(C62, Studies[StudyId], Studies[Domain])</f>
        <v>#VALUE!</v>
      </c>
      <c r="AR62" s="5">
        <f>COUNTIFS(StratumVariables!C2:C999, C62,StratumVariables!E2:E999, "confounder")</f>
        <v>1</v>
      </c>
      <c r="AS62" s="5">
        <f>COUNTIFS(StratumVariables!C2:C999, C62,StratumVariables!J2:J999, "mediator") + COUNTIFS(StratumVariables!C2:C999, C62,StratumVariables!J2:J999, "collider")</f>
        <v>0</v>
      </c>
      <c r="AT62" s="5">
        <f>COUNTIFS(StratumVariables!C2:C999, C62,StratumVariables!E2:E999, "contested")</f>
        <v>0</v>
      </c>
      <c r="AU62" s="5">
        <f>COUNTIFS(StratumVariables!C2:C999, C62,StratumVariables!E2:E999, "unknown")</f>
        <v>0</v>
      </c>
      <c r="AV62" s="3" t="str">
        <f>IF(AT62 &gt; 0, "contested", IF(AU62 &gt; 0, "geometric-only", IF(AR62 &gt; 0, "established", "geometric-only")))</f>
        <v>established</v>
      </c>
      <c r="AW62" s="3" t="b">
        <f>AND(AS62 = 0, AV62 = "established")</f>
        <v>1</v>
      </c>
      <c r="AX62" s="2" t="s">
        <v>2654</v>
      </c>
    </row>
    <row r="63">
      <c r="A63" s="2" t="s">
        <v>2701</v>
      </c>
      <c r="B63" s="3" t="str">
        <f>A63</f>
        <v>collider-only-synthetic-A-vs-B</v>
      </c>
      <c r="C63" s="2" t="s">
        <v>649</v>
      </c>
      <c r="D63" s="2" t="s">
        <v>792</v>
      </c>
      <c r="E63" s="2" t="s">
        <v>795</v>
      </c>
      <c r="F63" s="5">
        <f>SUMIFS(CaseCells!G2:G999,CaseCells!C2:C999, C63,CaseCells!E2:E999, D63)</f>
        <v>1000</v>
      </c>
      <c r="G63" s="5">
        <f>SUMIFS(CaseCells!F2:F999,CaseCells!C2:C999, C63,CaseCells!E2:E999, D63)</f>
        <v>235</v>
      </c>
      <c r="H63" s="3">
        <f>IF(F63 = 0, "", G63 / F63)</f>
        <v>0.235</v>
      </c>
      <c r="I63" s="5">
        <f>SUMIFS(CaseCells!G2:G999,CaseCells!C2:C999, C63,CaseCells!E2:E999, E63)</f>
        <v>1000</v>
      </c>
      <c r="J63" s="5">
        <f>SUMIFS(CaseCells!F2:F999,CaseCells!C2:C999, C63,CaseCells!E2:E999, E63)</f>
        <v>340</v>
      </c>
      <c r="K63" s="3">
        <f>IF(I63 = 0, "", J63 / I63)</f>
        <v>0.34</v>
      </c>
      <c r="L63" s="3" t="str">
        <f>IF(OR(H63 = "", K63 = ""), "", IF(ABS(H63 - K63) &lt; 0.0000001, "tie", IF(H63 &gt; K63, D63, E63)))</f>
        <v>B</v>
      </c>
      <c r="M63" s="5">
        <f>COUNTIFS(StratumSummaries!C2:C999, C63,StratumSummaries!E2:E999, D63)</f>
        <v>2</v>
      </c>
      <c r="N63" s="5">
        <f>COUNTIFS(StratumSummaries!C2:C999, C63,StratumSummaries!E2:E999, D63,StratumSummaries!O2:O999, D63)</f>
        <v>1</v>
      </c>
      <c r="O63" s="5">
        <f>COUNTIFS(StratumSummaries!C2:C999, C63,StratumSummaries!E2:E999, D63,StratumSummaries!O2:O999, E63)</f>
        <v>1</v>
      </c>
      <c r="P63" s="3" t="str">
        <f>IF(N63 = M63, D63, IF(O63 = M63, E63, "none"))</f>
        <v>none</v>
      </c>
      <c r="Q63" s="3" t="b">
        <f>IF(AC63 = "", "", AC63)</f>
        <v>0</v>
      </c>
      <c r="R63" s="5">
        <f>COUNTIFS(StratumVariables!C2:C999, C63,StratumVariables!H2:H999, TRUE())</f>
        <v>0</v>
      </c>
      <c r="S63" s="3" t="b">
        <f>AND(Q63, R63 &gt; 0)</f>
        <v>0</v>
      </c>
      <c r="T63" s="3">
        <f>IF(H63 = "", "", ABS(H63 - K63))</f>
        <v>0.10500000000000004</v>
      </c>
      <c r="U63" s="5">
        <f>IF(L63 = D63, O63, N63)</f>
        <v>1</v>
      </c>
      <c r="V63" s="3">
        <f>IF(M63 = 0, "", T63 * (U63 / M63))</f>
        <v>0.05250000000000002</v>
      </c>
      <c r="W63" s="3">
        <f>SUMIFS(StratumSummaries!S2:S999,StratumSummaries!C2:C999, C63,StratumSummaries!E2:E999, D63)</f>
        <v>0.235</v>
      </c>
      <c r="X63" s="3">
        <f>SUMIFS(StratumSummaries!S2:S999,StratumSummaries!C2:C999, C63,StratumSummaries!E2:E999, E63)</f>
        <v>0.34</v>
      </c>
      <c r="Y63" s="3">
        <f>IF(M63 = 0, "", U63 / M63)</f>
        <v>0.5</v>
      </c>
      <c r="Z63" s="3">
        <f>IF(M63 = 0, "", Y63 - 0.5)</f>
        <v>0</v>
      </c>
      <c r="AA63" s="3">
        <f>IF(H63 = "", "", H63 - K63)</f>
        <v>-0.10500000000000004</v>
      </c>
      <c r="AB63" s="3">
        <f>SUMIFS(StratumSummaries!AB2:AB999,StratumSummaries!C2:C999, C63,StratumSummaries!E2:E999, D63)</f>
        <v>-0.105</v>
      </c>
      <c r="AC63" s="3" t="b">
        <f>IF(AB63 = "", "", IF(AB63 &gt; 0, AA63 &lt; 0, AA63 &gt; 0))</f>
        <v>0</v>
      </c>
      <c r="AD63" s="3">
        <f>IF(AB63 = "", "", ABS(AB63 - AA63))</f>
        <v>4.163336342344337E-17</v>
      </c>
      <c r="AE63" s="3" t="str">
        <f>IF(AD63 = "", "", IF(AC63, IF(AND(AB63 &lt;&gt; 0, AA63 / AB63 &lt; -1), "B", IF(AND(AB63 &lt;&gt; 0, AA63 / AB63 &lt; 0), "A", IF(Y63 = 1, "A", "B"))), IF(AND(NOT(AC63), AD63 &gt; 0.01, ABS(AA63) &gt; ABS(AG63) + 0.001), "C+", IF(AND(NOT(AC63), AD63 &gt; 0.01, ABS(AA63) &lt; ABS(AG63) - 0.001), "C-", "D"))))</f>
        <v>D</v>
      </c>
      <c r="AF63" s="3" t="str">
        <f>IF(AE63 = "", "", IF(AE63 = "A", "stratify-immediately", IF(AE63 = "B", "investigate-confounder", IF(OR(AE63 = "C+", AE63 = "C-"), "check-allocation-bias", "pooled-analysis-trustworthy"))))</f>
        <v>pooled-analysis-trustworthy</v>
      </c>
      <c r="AG63" s="3">
        <f>AB63</f>
        <v>-0.105</v>
      </c>
      <c r="AH63" s="3" t="str">
        <f>IF(AG63 = "", "", IF(ABS(AG63) &lt; 0.0001, "tie", IF(AG63 &gt; 0, D63, IF(AG63 &lt; 0, E63, "tie"))))</f>
        <v>B</v>
      </c>
      <c r="AI63" s="3" t="b">
        <f>IF(AH63 = "", "", AH63 = L63)</f>
        <v>1</v>
      </c>
      <c r="AJ63" s="3" t="str">
        <f>IF(AE63 = "", "", IF(AE63 = "A", "use-corrected-winner", IF(AE63 = "B", "use-corrected-winner-with-caution", IF(OR(AE63 = "C+", AE63 = "C-"), "check-allocation-bias", "pooled-analysis-trustworthy"))))</f>
        <v>pooled-analysis-trustworthy</v>
      </c>
      <c r="AK63" s="3" t="str">
        <f>IF(AG63 = "", "", IF(AC63, "reversal", IF(ABS(AA63) &gt; ABS(AG63) + 0.001, "amplification", IF(ABS(AA63) &lt; ABS(AG63) - 0.001, "compression", "neutral"))))</f>
        <v>neutral</v>
      </c>
      <c r="AL63" s="3">
        <f>IF(AG63 = "", "", IF(ABS(AG63) + AD63 = 0, 1, ABS(AG63) / (ABS(AG63) + AD63)))</f>
        <v>0.9999999999999996</v>
      </c>
      <c r="AM63" s="3" t="e">
        <f>LOOKUP(C63, SweepStudySummary[SweepStudyId], SweepStudySummary[PooledGapCrossesZero])</f>
        <v>#VALUE!</v>
      </c>
      <c r="AN63" s="3" t="e">
        <f>LOOKUP(C63, SweepStudySummary[SweepStudyId], SweepStudySummary[SweepPooledGapRange])</f>
        <v>#VALUE!</v>
      </c>
      <c r="AO63" s="3" t="e">
        <f>IF(AE63 = "", "", AND(AE63 = "D", AM63 = TRUE))</f>
        <v>#VALUE!</v>
      </c>
      <c r="AP63" s="3" t="e">
        <f>IF(OR(AN63 = "", T63 = "", T63 = 0), "", AN63 / ABS(T63))</f>
        <v>#VALUE!</v>
      </c>
      <c r="AQ63" s="3" t="e">
        <f>LOOKUP(C63, Studies[StudyId], Studies[Domain])</f>
        <v>#VALUE!</v>
      </c>
      <c r="AR63" s="5">
        <f>COUNTIFS(StratumVariables!C2:C999, C63,StratumVariables!E2:E999, "confounder")</f>
        <v>0</v>
      </c>
      <c r="AS63" s="5">
        <f>COUNTIFS(StratumVariables!C2:C999, C63,StratumVariables!J2:J999, "mediator") + COUNTIFS(StratumVariables!C2:C999, C63,StratumVariables!J2:J999, "collider")</f>
        <v>1</v>
      </c>
      <c r="AT63" s="5">
        <f>COUNTIFS(StratumVariables!C2:C999, C63,StratumVariables!E2:E999, "contested")</f>
        <v>0</v>
      </c>
      <c r="AU63" s="5">
        <f>COUNTIFS(StratumVariables!C2:C999, C63,StratumVariables!E2:E999, "unknown")</f>
        <v>0</v>
      </c>
      <c r="AV63" s="3" t="str">
        <f>IF(AT63 &gt; 0, "contested", IF(AU63 &gt; 0, "geometric-only", IF(AR63 &gt; 0, "established", "geometric-only")))</f>
        <v>geometric-only</v>
      </c>
      <c r="AW63" s="3" t="b">
        <f>AND(AS63 = 0, AV63 = "established")</f>
        <v>0</v>
      </c>
      <c r="AX63" s="2" t="s">
        <v>2687</v>
      </c>
    </row>
    <row r="64">
      <c r="A64" s="2" t="s">
        <v>2702</v>
      </c>
      <c r="B64" s="3" t="str">
        <f>A64</f>
        <v>noncollapsibility-or-synthetic-A-vs-B</v>
      </c>
      <c r="C64" s="2" t="s">
        <v>652</v>
      </c>
      <c r="D64" s="2" t="s">
        <v>792</v>
      </c>
      <c r="E64" s="2" t="s">
        <v>795</v>
      </c>
      <c r="F64" s="5">
        <f>SUMIFS(CaseCells!G2:G999,CaseCells!C2:C999, C64,CaseCells!E2:E999, D64)</f>
        <v>1100</v>
      </c>
      <c r="G64" s="5">
        <f>SUMIFS(CaseCells!F2:F999,CaseCells!C2:C999, C64,CaseCells!E2:E999, D64)</f>
        <v>440</v>
      </c>
      <c r="H64" s="3">
        <f>IF(F64 = 0, "", G64 / F64)</f>
        <v>0.4</v>
      </c>
      <c r="I64" s="5">
        <f>SUMIFS(CaseCells!G2:G999,CaseCells!C2:C999, C64,CaseCells!E2:E999, E64)</f>
        <v>1100</v>
      </c>
      <c r="J64" s="5">
        <f>SUMIFS(CaseCells!F2:F999,CaseCells!C2:C999, C64,CaseCells!E2:E999, E64)</f>
        <v>330</v>
      </c>
      <c r="K64" s="3">
        <f>IF(I64 = 0, "", J64 / I64)</f>
        <v>0.3</v>
      </c>
      <c r="L64" s="3" t="str">
        <f>IF(OR(H64 = "", K64 = ""), "", IF(ABS(H64 - K64) &lt; 0.0000001, "tie", IF(H64 &gt; K64, D64, E64)))</f>
        <v>A</v>
      </c>
      <c r="M64" s="5">
        <f>COUNTIFS(StratumSummaries!C2:C999, C64,StratumSummaries!E2:E999, D64)</f>
        <v>2</v>
      </c>
      <c r="N64" s="5">
        <f>COUNTIFS(StratumSummaries!C2:C999, C64,StratumSummaries!E2:E999, D64,StratumSummaries!O2:O999, D64)</f>
        <v>2</v>
      </c>
      <c r="O64" s="5">
        <f>COUNTIFS(StratumSummaries!C2:C999, C64,StratumSummaries!E2:E999, D64,StratumSummaries!O2:O999, E64)</f>
        <v>0</v>
      </c>
      <c r="P64" s="3" t="str">
        <f>IF(N64 = M64, D64, IF(O64 = M64, E64, "none"))</f>
        <v>A</v>
      </c>
      <c r="Q64" s="3" t="b">
        <f>IF(AC64 = "", "", AC64)</f>
        <v>0</v>
      </c>
      <c r="R64" s="5">
        <f>COUNTIFS(StratumVariables!C2:C999, C64,StratumVariables!H2:H999, TRUE())</f>
        <v>1</v>
      </c>
      <c r="S64" s="3" t="b">
        <f>AND(Q64, R64 &gt; 0)</f>
        <v>0</v>
      </c>
      <c r="T64" s="3">
        <f>IF(H64 = "", "", ABS(H64 - K64))</f>
        <v>0.10000000000000003</v>
      </c>
      <c r="U64" s="5">
        <f>IF(L64 = D64, O64, N64)</f>
        <v>0</v>
      </c>
      <c r="V64" s="3">
        <f>IF(M64 = 0, "", T64 * (U64 / M64))</f>
        <v>0</v>
      </c>
      <c r="W64" s="3">
        <f>SUMIFS(StratumSummaries!S2:S999,StratumSummaries!C2:C999, C64,StratumSummaries!E2:E999, D64)</f>
        <v>0.4</v>
      </c>
      <c r="X64" s="3">
        <f>SUMIFS(StratumSummaries!S2:S999,StratumSummaries!C2:C999, C64,StratumSummaries!E2:E999, E64)</f>
        <v>0.3</v>
      </c>
      <c r="Y64" s="3">
        <f>IF(M64 = 0, "", U64 / M64)</f>
        <v>0</v>
      </c>
      <c r="Z64" s="3">
        <f>IF(M64 = 0, "", Y64 - 0.5)</f>
        <v>-0.5</v>
      </c>
      <c r="AA64" s="3">
        <f>IF(H64 = "", "", H64 - K64)</f>
        <v>0.10000000000000003</v>
      </c>
      <c r="AB64" s="3">
        <f>SUMIFS(StratumSummaries!AB2:AB999,StratumSummaries!C2:C999, C64,StratumSummaries!E2:E999, D64)</f>
        <v>0.10000000000000003</v>
      </c>
      <c r="AC64" s="3" t="b">
        <f>IF(AB64 = "", "", IF(AB64 &gt; 0, AA64 &lt; 0, AA64 &gt; 0))</f>
        <v>0</v>
      </c>
      <c r="AD64" s="3">
        <f>IF(AB64 = "", "", ABS(AB64 - AA64))</f>
        <v>0</v>
      </c>
      <c r="AE64" s="3" t="str">
        <f>IF(AD64 = "", "", IF(AC64, IF(AND(AB64 &lt;&gt; 0, AA64 / AB64 &lt; -1), "B", IF(AND(AB64 &lt;&gt; 0, AA64 / AB64 &lt; 0), "A", IF(Y64 = 1, "A", "B"))), IF(AND(NOT(AC64), AD64 &gt; 0.01, ABS(AA64) &gt; ABS(AG64) + 0.001), "C+", IF(AND(NOT(AC64), AD64 &gt; 0.01, ABS(AA64) &lt; ABS(AG64) - 0.001), "C-", "D"))))</f>
        <v>D</v>
      </c>
      <c r="AF64" s="3" t="str">
        <f>IF(AE64 = "", "", IF(AE64 = "A", "stratify-immediately", IF(AE64 = "B", "investigate-confounder", IF(OR(AE64 = "C+", AE64 = "C-"), "check-allocation-bias", "pooled-analysis-trustworthy"))))</f>
        <v>pooled-analysis-trustworthy</v>
      </c>
      <c r="AG64" s="3">
        <f>AB64</f>
        <v>0.10000000000000003</v>
      </c>
      <c r="AH64" s="3" t="str">
        <f>IF(AG64 = "", "", IF(ABS(AG64) &lt; 0.0001, "tie", IF(AG64 &gt; 0, D64, IF(AG64 &lt; 0, E64, "tie"))))</f>
        <v>A</v>
      </c>
      <c r="AI64" s="3" t="b">
        <f>IF(AH64 = "", "", AH64 = L64)</f>
        <v>1</v>
      </c>
      <c r="AJ64" s="3" t="str">
        <f>IF(AE64 = "", "", IF(AE64 = "A", "use-corrected-winner", IF(AE64 = "B", "use-corrected-winner-with-caution", IF(OR(AE64 = "C+", AE64 = "C-"), "check-allocation-bias", "pooled-analysis-trustworthy"))))</f>
        <v>pooled-analysis-trustworthy</v>
      </c>
      <c r="AK64" s="3" t="str">
        <f>IF(AG64 = "", "", IF(AC64, "reversal", IF(ABS(AA64) &gt; ABS(AG64) + 0.001, "amplification", IF(ABS(AA64) &lt; ABS(AG64) - 0.001, "compression", "neutral"))))</f>
        <v>neutral</v>
      </c>
      <c r="AL64" s="3">
        <f>IF(AG64 = "", "", IF(ABS(AG64) + AD64 = 0, 1, ABS(AG64) / (ABS(AG64) + AD64)))</f>
        <v>1</v>
      </c>
      <c r="AM64" s="3" t="e">
        <f>LOOKUP(C64, SweepStudySummary[SweepStudyId], SweepStudySummary[PooledGapCrossesZero])</f>
        <v>#VALUE!</v>
      </c>
      <c r="AN64" s="3" t="e">
        <f>LOOKUP(C64, SweepStudySummary[SweepStudyId], SweepStudySummary[SweepPooledGapRange])</f>
        <v>#VALUE!</v>
      </c>
      <c r="AO64" s="3" t="e">
        <f>IF(AE64 = "", "", AND(AE64 = "D", AM64 = TRUE))</f>
        <v>#VALUE!</v>
      </c>
      <c r="AP64" s="3" t="e">
        <f>IF(OR(AN64 = "", T64 = "", T64 = 0), "", AN64 / ABS(T64))</f>
        <v>#VALUE!</v>
      </c>
      <c r="AQ64" s="3" t="e">
        <f>LOOKUP(C64, Studies[StudyId], Studies[Domain])</f>
        <v>#VALUE!</v>
      </c>
      <c r="AR64" s="5">
        <f>COUNTIFS(StratumVariables!C2:C999, C64,StratumVariables!E2:E999, "confounder")</f>
        <v>1</v>
      </c>
      <c r="AS64" s="5">
        <f>COUNTIFS(StratumVariables!C2:C999, C64,StratumVariables!J2:J999, "mediator") + COUNTIFS(StratumVariables!C2:C999, C64,StratumVariables!J2:J999, "collider")</f>
        <v>0</v>
      </c>
      <c r="AT64" s="5">
        <f>COUNTIFS(StratumVariables!C2:C999, C64,StratumVariables!E2:E999, "contested")</f>
        <v>0</v>
      </c>
      <c r="AU64" s="5">
        <f>COUNTIFS(StratumVariables!C2:C999, C64,StratumVariables!E2:E999, "unknown")</f>
        <v>0</v>
      </c>
      <c r="AV64" s="3" t="str">
        <f>IF(AT64 &gt; 0, "contested", IF(AU64 &gt; 0, "geometric-only", IF(AR64 &gt; 0, "established", "geometric-only")))</f>
        <v>established</v>
      </c>
      <c r="AW64" s="3" t="b">
        <f>AND(AS64 = 0, AV64 = "established")</f>
        <v>1</v>
      </c>
      <c r="AX64" s="2" t="s">
        <v>2703</v>
      </c>
    </row>
    <row r="65">
      <c r="A65" s="2" t="s">
        <v>2704</v>
      </c>
      <c r="B65" s="3" t="str">
        <f>A65</f>
        <v>trauma-center-mortality-A-vs-B</v>
      </c>
      <c r="C65" s="2" t="s">
        <v>655</v>
      </c>
      <c r="D65" s="2" t="s">
        <v>792</v>
      </c>
      <c r="E65" s="2" t="s">
        <v>795</v>
      </c>
      <c r="F65" s="5">
        <f>SUMIFS(CaseCells!G2:G999,CaseCells!C2:C999, C65,CaseCells!E2:E999, D65)</f>
        <v>2000</v>
      </c>
      <c r="G65" s="5">
        <f>SUMIFS(CaseCells!F2:F999,CaseCells!C2:C999, C65,CaseCells!E2:E999, D65)</f>
        <v>1550</v>
      </c>
      <c r="H65" s="3">
        <f>IF(F65 = 0, "", G65 / F65)</f>
        <v>0.775</v>
      </c>
      <c r="I65" s="5">
        <f>SUMIFS(CaseCells!G2:G999,CaseCells!C2:C999, C65,CaseCells!E2:E999, E65)</f>
        <v>2000</v>
      </c>
      <c r="J65" s="5">
        <f>SUMIFS(CaseCells!F2:F999,CaseCells!C2:C999, C65,CaseCells!E2:E999, E65)</f>
        <v>1640</v>
      </c>
      <c r="K65" s="3">
        <f>IF(I65 = 0, "", J65 / I65)</f>
        <v>0.82</v>
      </c>
      <c r="L65" s="3" t="str">
        <f>IF(OR(H65 = "", K65 = ""), "", IF(ABS(H65 - K65) &lt; 0.0000001, "tie", IF(H65 &gt; K65, D65, E65)))</f>
        <v>B</v>
      </c>
      <c r="M65" s="5">
        <f>COUNTIFS(StratumSummaries!C2:C999, C65,StratumSummaries!E2:E999, D65)</f>
        <v>2</v>
      </c>
      <c r="N65" s="5">
        <f>COUNTIFS(StratumSummaries!C2:C999, C65,StratumSummaries!E2:E999, D65,StratumSummaries!O2:O999, D65)</f>
        <v>0</v>
      </c>
      <c r="O65" s="5">
        <f>COUNTIFS(StratumSummaries!C2:C999, C65,StratumSummaries!E2:E999, D65,StratumSummaries!O2:O999, E65)</f>
        <v>2</v>
      </c>
      <c r="P65" s="3" t="str">
        <f>IF(N65 = M65, D65, IF(O65 = M65, E65, "none"))</f>
        <v>B</v>
      </c>
      <c r="Q65" s="3" t="b">
        <f>IF(AC65 = "", "", AC65)</f>
        <v>0</v>
      </c>
      <c r="R65" s="5">
        <f>COUNTIFS(StratumVariables!C2:C999, C65,StratumVariables!H2:H999, TRUE())</f>
        <v>1</v>
      </c>
      <c r="S65" s="3" t="b">
        <f>AND(Q65, R65 &gt; 0)</f>
        <v>0</v>
      </c>
      <c r="T65" s="3">
        <f>IF(H65 = "", "", ABS(H65 - K65))</f>
        <v>0.04499999999999993</v>
      </c>
      <c r="U65" s="5">
        <f>IF(L65 = D65, O65, N65)</f>
        <v>0</v>
      </c>
      <c r="V65" s="3">
        <f>IF(M65 = 0, "", T65 * (U65 / M65))</f>
        <v>0</v>
      </c>
      <c r="W65" s="3">
        <f>SUMIFS(StratumSummaries!S2:S999,StratumSummaries!C2:C999, C65,StratumSummaries!E2:E999, D65)</f>
        <v>0.7749999999999999</v>
      </c>
      <c r="X65" s="3">
        <f>SUMIFS(StratumSummaries!S2:S999,StratumSummaries!C2:C999, C65,StratumSummaries!E2:E999, E65)</f>
        <v>0.8200000000000001</v>
      </c>
      <c r="Y65" s="3">
        <f>IF(M65 = 0, "", U65 / M65)</f>
        <v>0</v>
      </c>
      <c r="Z65" s="3">
        <f>IF(M65 = 0, "", Y65 - 0.5)</f>
        <v>-0.5</v>
      </c>
      <c r="AA65" s="3">
        <f>IF(H65 = "", "", H65 - K65)</f>
        <v>-0.04499999999999993</v>
      </c>
      <c r="AB65" s="3">
        <f>SUMIFS(StratumSummaries!AB2:AB999,StratumSummaries!C2:C999, C65,StratumSummaries!E2:E999, D65)</f>
        <v>-0.04500000000000004</v>
      </c>
      <c r="AC65" s="3" t="b">
        <f>IF(AB65 = "", "", IF(AB65 &gt; 0, AA65 &lt; 0, AA65 &gt; 0))</f>
        <v>0</v>
      </c>
      <c r="AD65" s="3">
        <f>IF(AB65 = "", "", ABS(AB65 - AA65))</f>
        <v>1.1102230246251565E-16</v>
      </c>
      <c r="AE65" s="3" t="str">
        <f>IF(AD65 = "", "", IF(AC65, IF(AND(AB65 &lt;&gt; 0, AA65 / AB65 &lt; -1), "B", IF(AND(AB65 &lt;&gt; 0, AA65 / AB65 &lt; 0), "A", IF(Y65 = 1, "A", "B"))), IF(AND(NOT(AC65), AD65 &gt; 0.01, ABS(AA65) &gt; ABS(AG65) + 0.001), "C+", IF(AND(NOT(AC65), AD65 &gt; 0.01, ABS(AA65) &lt; ABS(AG65) - 0.001), "C-", "D"))))</f>
        <v>D</v>
      </c>
      <c r="AF65" s="3" t="str">
        <f>IF(AE65 = "", "", IF(AE65 = "A", "stratify-immediately", IF(AE65 = "B", "investigate-confounder", IF(OR(AE65 = "C+", AE65 = "C-"), "check-allocation-bias", "pooled-analysis-trustworthy"))))</f>
        <v>pooled-analysis-trustworthy</v>
      </c>
      <c r="AG65" s="3">
        <f>AB65</f>
        <v>-0.04500000000000004</v>
      </c>
      <c r="AH65" s="3" t="str">
        <f>IF(AG65 = "", "", IF(ABS(AG65) &lt; 0.0001, "tie", IF(AG65 &gt; 0, D65, IF(AG65 &lt; 0, E65, "tie"))))</f>
        <v>B</v>
      </c>
      <c r="AI65" s="3" t="b">
        <f>IF(AH65 = "", "", AH65 = L65)</f>
        <v>1</v>
      </c>
      <c r="AJ65" s="3" t="str">
        <f>IF(AE65 = "", "", IF(AE65 = "A", "use-corrected-winner", IF(AE65 = "B", "use-corrected-winner-with-caution", IF(OR(AE65 = "C+", AE65 = "C-"), "check-allocation-bias", "pooled-analysis-trustworthy"))))</f>
        <v>pooled-analysis-trustworthy</v>
      </c>
      <c r="AK65" s="3" t="str">
        <f>IF(AG65 = "", "", IF(AC65, "reversal", IF(ABS(AA65) &gt; ABS(AG65) + 0.001, "amplification", IF(ABS(AA65) &lt; ABS(AG65) - 0.001, "compression", "neutral"))))</f>
        <v>neutral</v>
      </c>
      <c r="AL65" s="3">
        <f>IF(AG65 = "", "", IF(ABS(AG65) + AD65 = 0, 1, ABS(AG65) / (ABS(AG65) + AD65)))</f>
        <v>0.9999999999999976</v>
      </c>
      <c r="AM65" s="3" t="e">
        <f>LOOKUP(C65, SweepStudySummary[SweepStudyId], SweepStudySummary[PooledGapCrossesZero])</f>
        <v>#VALUE!</v>
      </c>
      <c r="AN65" s="3" t="e">
        <f>LOOKUP(C65, SweepStudySummary[SweepStudyId], SweepStudySummary[SweepPooledGapRange])</f>
        <v>#VALUE!</v>
      </c>
      <c r="AO65" s="3" t="e">
        <f>IF(AE65 = "", "", AND(AE65 = "D", AM65 = TRUE))</f>
        <v>#VALUE!</v>
      </c>
      <c r="AP65" s="3" t="e">
        <f>IF(OR(AN65 = "", T65 = "", T65 = 0), "", AN65 / ABS(T65))</f>
        <v>#VALUE!</v>
      </c>
      <c r="AQ65" s="3" t="e">
        <f>LOOKUP(C65, Studies[StudyId], Studies[Domain])</f>
        <v>#VALUE!</v>
      </c>
      <c r="AR65" s="5">
        <f>COUNTIFS(StratumVariables!C2:C999, C65,StratumVariables!E2:E999, "confounder")</f>
        <v>1</v>
      </c>
      <c r="AS65" s="5">
        <f>COUNTIFS(StratumVariables!C2:C999, C65,StratumVariables!J2:J999, "mediator") + COUNTIFS(StratumVariables!C2:C999, C65,StratumVariables!J2:J999, "collider")</f>
        <v>0</v>
      </c>
      <c r="AT65" s="5">
        <f>COUNTIFS(StratumVariables!C2:C999, C65,StratumVariables!E2:E999, "contested")</f>
        <v>0</v>
      </c>
      <c r="AU65" s="5">
        <f>COUNTIFS(StratumVariables!C2:C999, C65,StratumVariables!E2:E999, "unknown")</f>
        <v>0</v>
      </c>
      <c r="AV65" s="3" t="str">
        <f>IF(AT65 &gt; 0, "contested", IF(AU65 &gt; 0, "geometric-only", IF(AR65 &gt; 0, "established", "geometric-only")))</f>
        <v>established</v>
      </c>
      <c r="AW65" s="3" t="b">
        <f>AND(AS65 = 0, AV65 = "established")</f>
        <v>1</v>
      </c>
      <c r="AX65" s="2" t="s">
        <v>2654</v>
      </c>
    </row>
    <row r="66">
      <c r="A66" s="2" t="s">
        <v>2705</v>
      </c>
      <c r="B66" s="3" t="str">
        <f>A66</f>
        <v>surgeon-volume-mortality-A-vs-B</v>
      </c>
      <c r="C66" s="2" t="s">
        <v>659</v>
      </c>
      <c r="D66" s="2" t="s">
        <v>792</v>
      </c>
      <c r="E66" s="2" t="s">
        <v>795</v>
      </c>
      <c r="F66" s="5">
        <f>SUMIFS(CaseCells!G2:G999,CaseCells!C2:C999, C66,CaseCells!E2:E999, D66)</f>
        <v>2000</v>
      </c>
      <c r="G66" s="5">
        <f>SUMIFS(CaseCells!F2:F999,CaseCells!C2:C999, C66,CaseCells!E2:E999, D66)</f>
        <v>1800</v>
      </c>
      <c r="H66" s="3">
        <f>IF(F66 = 0, "", G66 / F66)</f>
        <v>0.9</v>
      </c>
      <c r="I66" s="5">
        <f>SUMIFS(CaseCells!G2:G999,CaseCells!C2:C999, C66,CaseCells!E2:E999, E66)</f>
        <v>2000</v>
      </c>
      <c r="J66" s="5">
        <f>SUMIFS(CaseCells!F2:F999,CaseCells!C2:C999, C66,CaseCells!E2:E999, E66)</f>
        <v>1835</v>
      </c>
      <c r="K66" s="3">
        <f>IF(I66 = 0, "", J66 / I66)</f>
        <v>0.9175</v>
      </c>
      <c r="L66" s="3" t="str">
        <f>IF(OR(H66 = "", K66 = ""), "", IF(ABS(H66 - K66) &lt; 0.0000001, "tie", IF(H66 &gt; K66, D66, E66)))</f>
        <v>B</v>
      </c>
      <c r="M66" s="5">
        <f>COUNTIFS(StratumSummaries!C2:C999, C66,StratumSummaries!E2:E999, D66)</f>
        <v>2</v>
      </c>
      <c r="N66" s="5">
        <f>COUNTIFS(StratumSummaries!C2:C999, C66,StratumSummaries!E2:E999, D66,StratumSummaries!O2:O999, D66)</f>
        <v>1</v>
      </c>
      <c r="O66" s="5">
        <f>COUNTIFS(StratumSummaries!C2:C999, C66,StratumSummaries!E2:E999, D66,StratumSummaries!O2:O999, E66)</f>
        <v>1</v>
      </c>
      <c r="P66" s="3" t="str">
        <f>IF(N66 = M66, D66, IF(O66 = M66, E66, "none"))</f>
        <v>none</v>
      </c>
      <c r="Q66" s="3" t="b">
        <f>IF(AC66 = "", "", AC66)</f>
        <v>0</v>
      </c>
      <c r="R66" s="5">
        <f>COUNTIFS(StratumVariables!C2:C999, C66,StratumVariables!H2:H999, TRUE())</f>
        <v>1</v>
      </c>
      <c r="S66" s="3" t="b">
        <f>AND(Q66, R66 &gt; 0)</f>
        <v>0</v>
      </c>
      <c r="T66" s="3">
        <f>IF(H66 = "", "", ABS(H66 - K66))</f>
        <v>0.01749999999999996</v>
      </c>
      <c r="U66" s="5">
        <f>IF(L66 = D66, O66, N66)</f>
        <v>1</v>
      </c>
      <c r="V66" s="3">
        <f>IF(M66 = 0, "", T66 * (U66 / M66))</f>
        <v>0.00874999999999998</v>
      </c>
      <c r="W66" s="3">
        <f>SUMIFS(StratumSummaries!S2:S999,StratumSummaries!C2:C999, C66,StratumSummaries!E2:E999, D66)</f>
        <v>0.8999999999999999</v>
      </c>
      <c r="X66" s="3">
        <f>SUMIFS(StratumSummaries!S2:S999,StratumSummaries!C2:C999, C66,StratumSummaries!E2:E999, E66)</f>
        <v>0.9175</v>
      </c>
      <c r="Y66" s="3">
        <f>IF(M66 = 0, "", U66 / M66)</f>
        <v>0.5</v>
      </c>
      <c r="Z66" s="3">
        <f>IF(M66 = 0, "", Y66 - 0.5)</f>
        <v>0</v>
      </c>
      <c r="AA66" s="3">
        <f>IF(H66 = "", "", H66 - K66)</f>
        <v>-0.01749999999999996</v>
      </c>
      <c r="AB66" s="3">
        <f>SUMIFS(StratumSummaries!AB2:AB999,StratumSummaries!C2:C999, C66,StratumSummaries!E2:E999, D66)</f>
        <v>-0.017500000000000016</v>
      </c>
      <c r="AC66" s="3" t="b">
        <f>IF(AB66 = "", "", IF(AB66 &gt; 0, AA66 &lt; 0, AA66 &gt; 0))</f>
        <v>0</v>
      </c>
      <c r="AD66" s="3">
        <f>IF(AB66 = "", "", ABS(AB66 - AA66))</f>
        <v>5.551115123125783E-17</v>
      </c>
      <c r="AE66" s="3" t="str">
        <f>IF(AD66 = "", "", IF(AC66, IF(AND(AB66 &lt;&gt; 0, AA66 / AB66 &lt; -1), "B", IF(AND(AB66 &lt;&gt; 0, AA66 / AB66 &lt; 0), "A", IF(Y66 = 1, "A", "B"))), IF(AND(NOT(AC66), AD66 &gt; 0.01, ABS(AA66) &gt; ABS(AG66) + 0.001), "C+", IF(AND(NOT(AC66), AD66 &gt; 0.01, ABS(AA66) &lt; ABS(AG66) - 0.001), "C-", "D"))))</f>
        <v>D</v>
      </c>
      <c r="AF66" s="3" t="str">
        <f>IF(AE66 = "", "", IF(AE66 = "A", "stratify-immediately", IF(AE66 = "B", "investigate-confounder", IF(OR(AE66 = "C+", AE66 = "C-"), "check-allocation-bias", "pooled-analysis-trustworthy"))))</f>
        <v>pooled-analysis-trustworthy</v>
      </c>
      <c r="AG66" s="3">
        <f>AB66</f>
        <v>-0.017500000000000016</v>
      </c>
      <c r="AH66" s="3" t="str">
        <f>IF(AG66 = "", "", IF(ABS(AG66) &lt; 0.0001, "tie", IF(AG66 &gt; 0, D66, IF(AG66 &lt; 0, E66, "tie"))))</f>
        <v>B</v>
      </c>
      <c r="AI66" s="3" t="b">
        <f>IF(AH66 = "", "", AH66 = L66)</f>
        <v>1</v>
      </c>
      <c r="AJ66" s="3" t="str">
        <f>IF(AE66 = "", "", IF(AE66 = "A", "use-corrected-winner", IF(AE66 = "B", "use-corrected-winner-with-caution", IF(OR(AE66 = "C+", AE66 = "C-"), "check-allocation-bias", "pooled-analysis-trustworthy"))))</f>
        <v>pooled-analysis-trustworthy</v>
      </c>
      <c r="AK66" s="3" t="str">
        <f>IF(AG66 = "", "", IF(AC66, "reversal", IF(ABS(AA66) &gt; ABS(AG66) + 0.001, "amplification", IF(ABS(AA66) &lt; ABS(AG66) - 0.001, "compression", "neutral"))))</f>
        <v>neutral</v>
      </c>
      <c r="AL66" s="3">
        <f>IF(AG66 = "", "", IF(ABS(AG66) + AD66 = 0, 1, ABS(AG66) / (ABS(AG66) + AD66)))</f>
        <v>0.9999999999999968</v>
      </c>
      <c r="AM66" s="3" t="e">
        <f>LOOKUP(C66, SweepStudySummary[SweepStudyId], SweepStudySummary[PooledGapCrossesZero])</f>
        <v>#VALUE!</v>
      </c>
      <c r="AN66" s="3" t="e">
        <f>LOOKUP(C66, SweepStudySummary[SweepStudyId], SweepStudySummary[SweepPooledGapRange])</f>
        <v>#VALUE!</v>
      </c>
      <c r="AO66" s="3" t="e">
        <f>IF(AE66 = "", "", AND(AE66 = "D", AM66 = TRUE))</f>
        <v>#VALUE!</v>
      </c>
      <c r="AP66" s="3" t="e">
        <f>IF(OR(AN66 = "", T66 = "", T66 = 0), "", AN66 / ABS(T66))</f>
        <v>#VALUE!</v>
      </c>
      <c r="AQ66" s="3" t="e">
        <f>LOOKUP(C66, Studies[StudyId], Studies[Domain])</f>
        <v>#VALUE!</v>
      </c>
      <c r="AR66" s="5">
        <f>COUNTIFS(StratumVariables!C2:C999, C66,StratumVariables!E2:E999, "confounder")</f>
        <v>1</v>
      </c>
      <c r="AS66" s="5">
        <f>COUNTIFS(StratumVariables!C2:C999, C66,StratumVariables!J2:J999, "mediator") + COUNTIFS(StratumVariables!C2:C999, C66,StratumVariables!J2:J999, "collider")</f>
        <v>0</v>
      </c>
      <c r="AT66" s="5">
        <f>COUNTIFS(StratumVariables!C2:C999, C66,StratumVariables!E2:E999, "contested")</f>
        <v>0</v>
      </c>
      <c r="AU66" s="5">
        <f>COUNTIFS(StratumVariables!C2:C999, C66,StratumVariables!E2:E999, "unknown")</f>
        <v>0</v>
      </c>
      <c r="AV66" s="3" t="str">
        <f>IF(AT66 &gt; 0, "contested", IF(AU66 &gt; 0, "geometric-only", IF(AR66 &gt; 0, "established", "geometric-only")))</f>
        <v>established</v>
      </c>
      <c r="AW66" s="3" t="b">
        <f>AND(AS66 = 0, AV66 = "established")</f>
        <v>1</v>
      </c>
      <c r="AX66" s="2" t="s">
        <v>2654</v>
      </c>
    </row>
    <row r="67">
      <c r="A67" s="2" t="s">
        <v>2706</v>
      </c>
      <c r="B67" s="3" t="str">
        <f>A67</f>
        <v>mammography-length-bias-A-vs-B</v>
      </c>
      <c r="C67" s="2" t="s">
        <v>663</v>
      </c>
      <c r="D67" s="2" t="s">
        <v>792</v>
      </c>
      <c r="E67" s="2" t="s">
        <v>795</v>
      </c>
      <c r="F67" s="5">
        <f>SUMIFS(CaseCells!G2:G999,CaseCells!C2:C999, C67,CaseCells!E2:E999, D67)</f>
        <v>2000</v>
      </c>
      <c r="G67" s="5">
        <f>SUMIFS(CaseCells!F2:F999,CaseCells!C2:C999, C67,CaseCells!E2:E999, D67)</f>
        <v>1320</v>
      </c>
      <c r="H67" s="3">
        <f>IF(F67 = 0, "", G67 / F67)</f>
        <v>0.66</v>
      </c>
      <c r="I67" s="5">
        <f>SUMIFS(CaseCells!G2:G999,CaseCells!C2:C999, C67,CaseCells!E2:E999, E67)</f>
        <v>2000</v>
      </c>
      <c r="J67" s="5">
        <f>SUMIFS(CaseCells!F2:F999,CaseCells!C2:C999, C67,CaseCells!E2:E999, E67)</f>
        <v>1050</v>
      </c>
      <c r="K67" s="3">
        <f>IF(I67 = 0, "", J67 / I67)</f>
        <v>0.525</v>
      </c>
      <c r="L67" s="3" t="str">
        <f>IF(OR(H67 = "", K67 = ""), "", IF(ABS(H67 - K67) &lt; 0.0000001, "tie", IF(H67 &gt; K67, D67, E67)))</f>
        <v>A</v>
      </c>
      <c r="M67" s="5">
        <f>COUNTIFS(StratumSummaries!C2:C999, C67,StratumSummaries!E2:E999, D67)</f>
        <v>2</v>
      </c>
      <c r="N67" s="5">
        <f>COUNTIFS(StratumSummaries!C2:C999, C67,StratumSummaries!E2:E999, D67,StratumSummaries!O2:O999, D67)</f>
        <v>2</v>
      </c>
      <c r="O67" s="5">
        <f>COUNTIFS(StratumSummaries!C2:C999, C67,StratumSummaries!E2:E999, D67,StratumSummaries!O2:O999, E67)</f>
        <v>0</v>
      </c>
      <c r="P67" s="3" t="str">
        <f>IF(N67 = M67, D67, IF(O67 = M67, E67, "none"))</f>
        <v>A</v>
      </c>
      <c r="Q67" s="3" t="b">
        <f>IF(AC67 = "", "", AC67)</f>
        <v>0</v>
      </c>
      <c r="R67" s="5">
        <f>COUNTIFS(StratumVariables!C2:C999, C67,StratumVariables!H2:H999, TRUE())</f>
        <v>0</v>
      </c>
      <c r="S67" s="3" t="b">
        <f>AND(Q67, R67 &gt; 0)</f>
        <v>0</v>
      </c>
      <c r="T67" s="3">
        <f>IF(H67 = "", "", ABS(H67 - K67))</f>
        <v>0.135</v>
      </c>
      <c r="U67" s="5">
        <f>IF(L67 = D67, O67, N67)</f>
        <v>0</v>
      </c>
      <c r="V67" s="3">
        <f>IF(M67 = 0, "", T67 * (U67 / M67))</f>
        <v>0</v>
      </c>
      <c r="W67" s="3">
        <f>SUMIFS(StratumSummaries!S2:S999,StratumSummaries!C2:C999, C67,StratumSummaries!E2:E999, D67)</f>
        <v>0.66</v>
      </c>
      <c r="X67" s="3">
        <f>SUMIFS(StratumSummaries!S2:S999,StratumSummaries!C2:C999, C67,StratumSummaries!E2:E999, E67)</f>
        <v>0.5249999999999999</v>
      </c>
      <c r="Y67" s="3">
        <f>IF(M67 = 0, "", U67 / M67)</f>
        <v>0</v>
      </c>
      <c r="Z67" s="3">
        <f>IF(M67 = 0, "", Y67 - 0.5)</f>
        <v>-0.5</v>
      </c>
      <c r="AA67" s="3">
        <f>IF(H67 = "", "", H67 - K67)</f>
        <v>0.135</v>
      </c>
      <c r="AB67" s="3">
        <f>SUMIFS(StratumSummaries!AB2:AB999,StratumSummaries!C2:C999, C67,StratumSummaries!E2:E999, D67)</f>
        <v>0.13500000000000006</v>
      </c>
      <c r="AC67" s="3" t="b">
        <f>IF(AB67 = "", "", IF(AB67 &gt; 0, AA67 &lt; 0, AA67 &gt; 0))</f>
        <v>0</v>
      </c>
      <c r="AD67" s="3">
        <f>IF(AB67 = "", "", ABS(AB67 - AA67))</f>
        <v>5.551115123125783E-17</v>
      </c>
      <c r="AE67" s="3" t="str">
        <f>IF(AD67 = "", "", IF(AC67, IF(AND(AB67 &lt;&gt; 0, AA67 / AB67 &lt; -1), "B", IF(AND(AB67 &lt;&gt; 0, AA67 / AB67 &lt; 0), "A", IF(Y67 = 1, "A", "B"))), IF(AND(NOT(AC67), AD67 &gt; 0.01, ABS(AA67) &gt; ABS(AG67) + 0.001), "C+", IF(AND(NOT(AC67), AD67 &gt; 0.01, ABS(AA67) &lt; ABS(AG67) - 0.001), "C-", "D"))))</f>
        <v>D</v>
      </c>
      <c r="AF67" s="3" t="str">
        <f>IF(AE67 = "", "", IF(AE67 = "A", "stratify-immediately", IF(AE67 = "B", "investigate-confounder", IF(OR(AE67 = "C+", AE67 = "C-"), "check-allocation-bias", "pooled-analysis-trustworthy"))))</f>
        <v>pooled-analysis-trustworthy</v>
      </c>
      <c r="AG67" s="3">
        <f>AB67</f>
        <v>0.13500000000000006</v>
      </c>
      <c r="AH67" s="3" t="str">
        <f>IF(AG67 = "", "", IF(ABS(AG67) &lt; 0.0001, "tie", IF(AG67 &gt; 0, D67, IF(AG67 &lt; 0, E67, "tie"))))</f>
        <v>A</v>
      </c>
      <c r="AI67" s="3" t="b">
        <f>IF(AH67 = "", "", AH67 = L67)</f>
        <v>1</v>
      </c>
      <c r="AJ67" s="3" t="str">
        <f>IF(AE67 = "", "", IF(AE67 = "A", "use-corrected-winner", IF(AE67 = "B", "use-corrected-winner-with-caution", IF(OR(AE67 = "C+", AE67 = "C-"), "check-allocation-bias", "pooled-analysis-trustworthy"))))</f>
        <v>pooled-analysis-trustworthy</v>
      </c>
      <c r="AK67" s="3" t="str">
        <f>IF(AG67 = "", "", IF(AC67, "reversal", IF(ABS(AA67) &gt; ABS(AG67) + 0.001, "amplification", IF(ABS(AA67) &lt; ABS(AG67) - 0.001, "compression", "neutral"))))</f>
        <v>neutral</v>
      </c>
      <c r="AL67" s="3">
        <f>IF(AG67 = "", "", IF(ABS(AG67) + AD67 = 0, 1, ABS(AG67) / (ABS(AG67) + AD67)))</f>
        <v>0.9999999999999996</v>
      </c>
      <c r="AM67" s="3" t="e">
        <f>LOOKUP(C67, SweepStudySummary[SweepStudyId], SweepStudySummary[PooledGapCrossesZero])</f>
        <v>#VALUE!</v>
      </c>
      <c r="AN67" s="3" t="e">
        <f>LOOKUP(C67, SweepStudySummary[SweepStudyId], SweepStudySummary[SweepPooledGapRange])</f>
        <v>#VALUE!</v>
      </c>
      <c r="AO67" s="3" t="e">
        <f>IF(AE67 = "", "", AND(AE67 = "D", AM67 = TRUE))</f>
        <v>#VALUE!</v>
      </c>
      <c r="AP67" s="3" t="e">
        <f>IF(OR(AN67 = "", T67 = "", T67 = 0), "", AN67 / ABS(T67))</f>
        <v>#VALUE!</v>
      </c>
      <c r="AQ67" s="3" t="e">
        <f>LOOKUP(C67, Studies[StudyId], Studies[Domain])</f>
        <v>#VALUE!</v>
      </c>
      <c r="AR67" s="5">
        <f>COUNTIFS(StratumVariables!C2:C999, C67,StratumVariables!E2:E999, "confounder")</f>
        <v>0</v>
      </c>
      <c r="AS67" s="5">
        <f>COUNTIFS(StratumVariables!C2:C999, C67,StratumVariables!J2:J999, "mediator") + COUNTIFS(StratumVariables!C2:C999, C67,StratumVariables!J2:J999, "collider")</f>
        <v>1</v>
      </c>
      <c r="AT67" s="5">
        <f>COUNTIFS(StratumVariables!C2:C999, C67,StratumVariables!E2:E999, "contested")</f>
        <v>0</v>
      </c>
      <c r="AU67" s="5">
        <f>COUNTIFS(StratumVariables!C2:C999, C67,StratumVariables!E2:E999, "unknown")</f>
        <v>0</v>
      </c>
      <c r="AV67" s="3" t="str">
        <f>IF(AT67 &gt; 0, "contested", IF(AU67 &gt; 0, "geometric-only", IF(AR67 &gt; 0, "established", "geometric-only")))</f>
        <v>geometric-only</v>
      </c>
      <c r="AW67" s="3" t="b">
        <f>AND(AS67 = 0, AV67 = "established")</f>
        <v>0</v>
      </c>
      <c r="AX67" s="2" t="s">
        <v>2687</v>
      </c>
    </row>
    <row r="68">
      <c r="A68" s="2" t="s">
        <v>2707</v>
      </c>
      <c r="B68" s="3" t="str">
        <f>A68</f>
        <v>cabg-vs-pci-severity-A-vs-B</v>
      </c>
      <c r="C68" s="2" t="s">
        <v>667</v>
      </c>
      <c r="D68" s="2" t="s">
        <v>792</v>
      </c>
      <c r="E68" s="2" t="s">
        <v>795</v>
      </c>
      <c r="F68" s="5">
        <f>SUMIFS(CaseCells!G2:G999,CaseCells!C2:C999, C68,CaseCells!E2:E999, D68)</f>
        <v>2000</v>
      </c>
      <c r="G68" s="5">
        <f>SUMIFS(CaseCells!F2:F999,CaseCells!C2:C999, C68,CaseCells!E2:E999, D68)</f>
        <v>1900</v>
      </c>
      <c r="H68" s="3">
        <f>IF(F68 = 0, "", G68 / F68)</f>
        <v>0.95</v>
      </c>
      <c r="I68" s="5">
        <f>SUMIFS(CaseCells!G2:G999,CaseCells!C2:C999, C68,CaseCells!E2:E999, E68)</f>
        <v>2000</v>
      </c>
      <c r="J68" s="5">
        <f>SUMIFS(CaseCells!F2:F999,CaseCells!C2:C999, C68,CaseCells!E2:E999, E68)</f>
        <v>1855</v>
      </c>
      <c r="K68" s="3">
        <f>IF(I68 = 0, "", J68 / I68)</f>
        <v>0.9275</v>
      </c>
      <c r="L68" s="3" t="str">
        <f>IF(OR(H68 = "", K68 = ""), "", IF(ABS(H68 - K68) &lt; 0.0000001, "tie", IF(H68 &gt; K68, D68, E68)))</f>
        <v>A</v>
      </c>
      <c r="M68" s="5">
        <f>COUNTIFS(StratumSummaries!C2:C999, C68,StratumSummaries!E2:E999, D68)</f>
        <v>2</v>
      </c>
      <c r="N68" s="5">
        <f>COUNTIFS(StratumSummaries!C2:C999, C68,StratumSummaries!E2:E999, D68,StratumSummaries!O2:O999, D68)</f>
        <v>2</v>
      </c>
      <c r="O68" s="5">
        <f>COUNTIFS(StratumSummaries!C2:C999, C68,StratumSummaries!E2:E999, D68,StratumSummaries!O2:O999, E68)</f>
        <v>0</v>
      </c>
      <c r="P68" s="3" t="str">
        <f>IF(N68 = M68, D68, IF(O68 = M68, E68, "none"))</f>
        <v>A</v>
      </c>
      <c r="Q68" s="3" t="b">
        <f>IF(AC68 = "", "", AC68)</f>
        <v>0</v>
      </c>
      <c r="R68" s="5">
        <f>COUNTIFS(StratumVariables!C2:C999, C68,StratumVariables!H2:H999, TRUE())</f>
        <v>1</v>
      </c>
      <c r="S68" s="3" t="b">
        <f>AND(Q68, R68 &gt; 0)</f>
        <v>0</v>
      </c>
      <c r="T68" s="3">
        <f>IF(H68 = "", "", ABS(H68 - K68))</f>
        <v>0.022499999999999964</v>
      </c>
      <c r="U68" s="5">
        <f>IF(L68 = D68, O68, N68)</f>
        <v>0</v>
      </c>
      <c r="V68" s="3">
        <f>IF(M68 = 0, "", T68 * (U68 / M68))</f>
        <v>0</v>
      </c>
      <c r="W68" s="3">
        <f>SUMIFS(StratumSummaries!S2:S999,StratumSummaries!C2:C999, C68,StratumSummaries!E2:E999, D68)</f>
        <v>0.95</v>
      </c>
      <c r="X68" s="3">
        <f>SUMIFS(StratumSummaries!S2:S999,StratumSummaries!C2:C999, C68,StratumSummaries!E2:E999, E68)</f>
        <v>0.9275</v>
      </c>
      <c r="Y68" s="3">
        <f>IF(M68 = 0, "", U68 / M68)</f>
        <v>0</v>
      </c>
      <c r="Z68" s="3">
        <f>IF(M68 = 0, "", Y68 - 0.5)</f>
        <v>-0.5</v>
      </c>
      <c r="AA68" s="3">
        <f>IF(H68 = "", "", H68 - K68)</f>
        <v>0.022499999999999964</v>
      </c>
      <c r="AB68" s="3">
        <f>SUMIFS(StratumSummaries!AB2:AB999,StratumSummaries!C2:C999, C68,StratumSummaries!E2:E999, D68)</f>
        <v>0.02250000000000002</v>
      </c>
      <c r="AC68" s="3" t="b">
        <f>IF(AB68 = "", "", IF(AB68 &gt; 0, AA68 &lt; 0, AA68 &gt; 0))</f>
        <v>0</v>
      </c>
      <c r="AD68" s="3">
        <f>IF(AB68 = "", "", ABS(AB68 - AA68))</f>
        <v>5.551115123125783E-17</v>
      </c>
      <c r="AE68" s="3" t="str">
        <f>IF(AD68 = "", "", IF(AC68, IF(AND(AB68 &lt;&gt; 0, AA68 / AB68 &lt; -1), "B", IF(AND(AB68 &lt;&gt; 0, AA68 / AB68 &lt; 0), "A", IF(Y68 = 1, "A", "B"))), IF(AND(NOT(AC68), AD68 &gt; 0.01, ABS(AA68) &gt; ABS(AG68) + 0.001), "C+", IF(AND(NOT(AC68), AD68 &gt; 0.01, ABS(AA68) &lt; ABS(AG68) - 0.001), "C-", "D"))))</f>
        <v>D</v>
      </c>
      <c r="AF68" s="3" t="str">
        <f>IF(AE68 = "", "", IF(AE68 = "A", "stratify-immediately", IF(AE68 = "B", "investigate-confounder", IF(OR(AE68 = "C+", AE68 = "C-"), "check-allocation-bias", "pooled-analysis-trustworthy"))))</f>
        <v>pooled-analysis-trustworthy</v>
      </c>
      <c r="AG68" s="3">
        <f>AB68</f>
        <v>0.02250000000000002</v>
      </c>
      <c r="AH68" s="3" t="str">
        <f>IF(AG68 = "", "", IF(ABS(AG68) &lt; 0.0001, "tie", IF(AG68 &gt; 0, D68, IF(AG68 &lt; 0, E68, "tie"))))</f>
        <v>A</v>
      </c>
      <c r="AI68" s="3" t="b">
        <f>IF(AH68 = "", "", AH68 = L68)</f>
        <v>1</v>
      </c>
      <c r="AJ68" s="3" t="str">
        <f>IF(AE68 = "", "", IF(AE68 = "A", "use-corrected-winner", IF(AE68 = "B", "use-corrected-winner-with-caution", IF(OR(AE68 = "C+", AE68 = "C-"), "check-allocation-bias", "pooled-analysis-trustworthy"))))</f>
        <v>pooled-analysis-trustworthy</v>
      </c>
      <c r="AK68" s="3" t="str">
        <f>IF(AG68 = "", "", IF(AC68, "reversal", IF(ABS(AA68) &gt; ABS(AG68) + 0.001, "amplification", IF(ABS(AA68) &lt; ABS(AG68) - 0.001, "compression", "neutral"))))</f>
        <v>neutral</v>
      </c>
      <c r="AL68" s="3">
        <f>IF(AG68 = "", "", IF(ABS(AG68) + AD68 = 0, 1, ABS(AG68) / (ABS(AG68) + AD68)))</f>
        <v>0.9999999999999976</v>
      </c>
      <c r="AM68" s="3" t="e">
        <f>LOOKUP(C68, SweepStudySummary[SweepStudyId], SweepStudySummary[PooledGapCrossesZero])</f>
        <v>#VALUE!</v>
      </c>
      <c r="AN68" s="3" t="e">
        <f>LOOKUP(C68, SweepStudySummary[SweepStudyId], SweepStudySummary[SweepPooledGapRange])</f>
        <v>#VALUE!</v>
      </c>
      <c r="AO68" s="3" t="e">
        <f>IF(AE68 = "", "", AND(AE68 = "D", AM68 = TRUE))</f>
        <v>#VALUE!</v>
      </c>
      <c r="AP68" s="3" t="e">
        <f>IF(OR(AN68 = "", T68 = "", T68 = 0), "", AN68 / ABS(T68))</f>
        <v>#VALUE!</v>
      </c>
      <c r="AQ68" s="3" t="e">
        <f>LOOKUP(C68, Studies[StudyId], Studies[Domain])</f>
        <v>#VALUE!</v>
      </c>
      <c r="AR68" s="5">
        <f>COUNTIFS(StratumVariables!C2:C999, C68,StratumVariables!E2:E999, "confounder")</f>
        <v>1</v>
      </c>
      <c r="AS68" s="5">
        <f>COUNTIFS(StratumVariables!C2:C999, C68,StratumVariables!J2:J999, "mediator") + COUNTIFS(StratumVariables!C2:C999, C68,StratumVariables!J2:J999, "collider")</f>
        <v>0</v>
      </c>
      <c r="AT68" s="5">
        <f>COUNTIFS(StratumVariables!C2:C999, C68,StratumVariables!E2:E999, "contested")</f>
        <v>0</v>
      </c>
      <c r="AU68" s="5">
        <f>COUNTIFS(StratumVariables!C2:C999, C68,StratumVariables!E2:E999, "unknown")</f>
        <v>0</v>
      </c>
      <c r="AV68" s="3" t="str">
        <f>IF(AT68 &gt; 0, "contested", IF(AU68 &gt; 0, "geometric-only", IF(AR68 &gt; 0, "established", "geometric-only")))</f>
        <v>established</v>
      </c>
      <c r="AW68" s="3" t="b">
        <f>AND(AS68 = 0, AV68 = "established")</f>
        <v>1</v>
      </c>
      <c r="AX68" s="2" t="s">
        <v>2654</v>
      </c>
    </row>
    <row r="69">
      <c r="A69" s="2" t="s">
        <v>2708</v>
      </c>
      <c r="B69" s="3" t="str">
        <f>A69</f>
        <v>tolbutamide-ugdp-1970-A-vs-B</v>
      </c>
      <c r="C69" s="2" t="s">
        <v>671</v>
      </c>
      <c r="D69" s="2" t="s">
        <v>792</v>
      </c>
      <c r="E69" s="2" t="s">
        <v>795</v>
      </c>
      <c r="F69" s="5">
        <f>SUMIFS(CaseCells!G2:G999,CaseCells!C2:C999, C69,CaseCells!E2:E999, D69)</f>
        <v>2000</v>
      </c>
      <c r="G69" s="5">
        <f>SUMIFS(CaseCells!F2:F999,CaseCells!C2:C999, C69,CaseCells!E2:E999, D69)</f>
        <v>1700</v>
      </c>
      <c r="H69" s="3">
        <f>IF(F69 = 0, "", G69 / F69)</f>
        <v>0.85</v>
      </c>
      <c r="I69" s="5">
        <f>SUMIFS(CaseCells!G2:G999,CaseCells!C2:C999, C69,CaseCells!E2:E999, E69)</f>
        <v>2000</v>
      </c>
      <c r="J69" s="5">
        <f>SUMIFS(CaseCells!F2:F999,CaseCells!C2:C999, C69,CaseCells!E2:E999, E69)</f>
        <v>1730</v>
      </c>
      <c r="K69" s="3">
        <f>IF(I69 = 0, "", J69 / I69)</f>
        <v>0.865</v>
      </c>
      <c r="L69" s="3" t="str">
        <f>IF(OR(H69 = "", K69 = ""), "", IF(ABS(H69 - K69) &lt; 0.0000001, "tie", IF(H69 &gt; K69, D69, E69)))</f>
        <v>B</v>
      </c>
      <c r="M69" s="5">
        <f>COUNTIFS(StratumSummaries!C2:C999, C69,StratumSummaries!E2:E999, D69)</f>
        <v>2</v>
      </c>
      <c r="N69" s="5">
        <f>COUNTIFS(StratumSummaries!C2:C999, C69,StratumSummaries!E2:E999, D69,StratumSummaries!O2:O999, D69)</f>
        <v>1</v>
      </c>
      <c r="O69" s="5">
        <f>COUNTIFS(StratumSummaries!C2:C999, C69,StratumSummaries!E2:E999, D69,StratumSummaries!O2:O999, E69)</f>
        <v>1</v>
      </c>
      <c r="P69" s="3" t="str">
        <f>IF(N69 = M69, D69, IF(O69 = M69, E69, "none"))</f>
        <v>none</v>
      </c>
      <c r="Q69" s="3" t="b">
        <f>IF(AC69 = "", "", AC69)</f>
        <v>0</v>
      </c>
      <c r="R69" s="5">
        <f>COUNTIFS(StratumVariables!C2:C999, C69,StratumVariables!H2:H999, TRUE())</f>
        <v>0</v>
      </c>
      <c r="S69" s="3" t="b">
        <f>AND(Q69, R69 &gt; 0)</f>
        <v>0</v>
      </c>
      <c r="T69" s="3">
        <f>IF(H69 = "", "", ABS(H69 - K69))</f>
        <v>0.015000000000000013</v>
      </c>
      <c r="U69" s="5">
        <f>IF(L69 = D69, O69, N69)</f>
        <v>1</v>
      </c>
      <c r="V69" s="3">
        <f>IF(M69 = 0, "", T69 * (U69 / M69))</f>
        <v>0.007500000000000007</v>
      </c>
      <c r="W69" s="3">
        <f>SUMIFS(StratumSummaries!S2:S999,StratumSummaries!C2:C999, C69,StratumSummaries!E2:E999, D69)</f>
        <v>0.8500000000000001</v>
      </c>
      <c r="X69" s="3">
        <f>SUMIFS(StratumSummaries!S2:S999,StratumSummaries!C2:C999, C69,StratumSummaries!E2:E999, E69)</f>
        <v>0.865</v>
      </c>
      <c r="Y69" s="3">
        <f>IF(M69 = 0, "", U69 / M69)</f>
        <v>0.5</v>
      </c>
      <c r="Z69" s="3">
        <f>IF(M69 = 0, "", Y69 - 0.5)</f>
        <v>0</v>
      </c>
      <c r="AA69" s="3">
        <f>IF(H69 = "", "", H69 - K69)</f>
        <v>-0.015000000000000013</v>
      </c>
      <c r="AB69" s="3">
        <f>SUMIFS(StratumSummaries!AB2:AB999,StratumSummaries!C2:C999, C69,StratumSummaries!E2:E999, D69)</f>
        <v>-0.014999999999999958</v>
      </c>
      <c r="AC69" s="3" t="b">
        <f>IF(AB69 = "", "", IF(AB69 &gt; 0, AA69 &lt; 0, AA69 &gt; 0))</f>
        <v>0</v>
      </c>
      <c r="AD69" s="3">
        <f>IF(AB69 = "", "", ABS(AB69 - AA69))</f>
        <v>5.551115123125783E-17</v>
      </c>
      <c r="AE69" s="3" t="str">
        <f>IF(AD69 = "", "", IF(AC69, IF(AND(AB69 &lt;&gt; 0, AA69 / AB69 &lt; -1), "B", IF(AND(AB69 &lt;&gt; 0, AA69 / AB69 &lt; 0), "A", IF(Y69 = 1, "A", "B"))), IF(AND(NOT(AC69), AD69 &gt; 0.01, ABS(AA69) &gt; ABS(AG69) + 0.001), "C+", IF(AND(NOT(AC69), AD69 &gt; 0.01, ABS(AA69) &lt; ABS(AG69) - 0.001), "C-", "D"))))</f>
        <v>D</v>
      </c>
      <c r="AF69" s="3" t="str">
        <f>IF(AE69 = "", "", IF(AE69 = "A", "stratify-immediately", IF(AE69 = "B", "investigate-confounder", IF(OR(AE69 = "C+", AE69 = "C-"), "check-allocation-bias", "pooled-analysis-trustworthy"))))</f>
        <v>pooled-analysis-trustworthy</v>
      </c>
      <c r="AG69" s="3">
        <f>AB69</f>
        <v>-0.014999999999999958</v>
      </c>
      <c r="AH69" s="3" t="str">
        <f>IF(AG69 = "", "", IF(ABS(AG69) &lt; 0.0001, "tie", IF(AG69 &gt; 0, D69, IF(AG69 &lt; 0, E69, "tie"))))</f>
        <v>B</v>
      </c>
      <c r="AI69" s="3" t="b">
        <f>IF(AH69 = "", "", AH69 = L69)</f>
        <v>1</v>
      </c>
      <c r="AJ69" s="3" t="str">
        <f>IF(AE69 = "", "", IF(AE69 = "A", "use-corrected-winner", IF(AE69 = "B", "use-corrected-winner-with-caution", IF(OR(AE69 = "C+", AE69 = "C-"), "check-allocation-bias", "pooled-analysis-trustworthy"))))</f>
        <v>pooled-analysis-trustworthy</v>
      </c>
      <c r="AK69" s="3" t="str">
        <f>IF(AG69 = "", "", IF(AC69, "reversal", IF(ABS(AA69) &gt; ABS(AG69) + 0.001, "amplification", IF(ABS(AA69) &lt; ABS(AG69) - 0.001, "compression", "neutral"))))</f>
        <v>neutral</v>
      </c>
      <c r="AL69" s="3">
        <f>IF(AG69 = "", "", IF(ABS(AG69) + AD69 = 0, 1, ABS(AG69) / (ABS(AG69) + AD69)))</f>
        <v>0.9999999999999963</v>
      </c>
      <c r="AM69" s="3" t="e">
        <f>LOOKUP(C69, SweepStudySummary[SweepStudyId], SweepStudySummary[PooledGapCrossesZero])</f>
        <v>#VALUE!</v>
      </c>
      <c r="AN69" s="3" t="e">
        <f>LOOKUP(C69, SweepStudySummary[SweepStudyId], SweepStudySummary[SweepPooledGapRange])</f>
        <v>#VALUE!</v>
      </c>
      <c r="AO69" s="3" t="e">
        <f>IF(AE69 = "", "", AND(AE69 = "D", AM69 = TRUE))</f>
        <v>#VALUE!</v>
      </c>
      <c r="AP69" s="3" t="e">
        <f>IF(OR(AN69 = "", T69 = "", T69 = 0), "", AN69 / ABS(T69))</f>
        <v>#VALUE!</v>
      </c>
      <c r="AQ69" s="3" t="e">
        <f>LOOKUP(C69, Studies[StudyId], Studies[Domain])</f>
        <v>#VALUE!</v>
      </c>
      <c r="AR69" s="5">
        <f>COUNTIFS(StratumVariables!C2:C999, C69,StratumVariables!E2:E999, "confounder")</f>
        <v>0</v>
      </c>
      <c r="AS69" s="5">
        <f>COUNTIFS(StratumVariables!C2:C999, C69,StratumVariables!J2:J999, "mediator") + COUNTIFS(StratumVariables!C2:C999, C69,StratumVariables!J2:J999, "collider")</f>
        <v>0</v>
      </c>
      <c r="AT69" s="5">
        <f>COUNTIFS(StratumVariables!C2:C999, C69,StratumVariables!E2:E999, "contested")</f>
        <v>1</v>
      </c>
      <c r="AU69" s="5">
        <f>COUNTIFS(StratumVariables!C2:C999, C69,StratumVariables!E2:E999, "unknown")</f>
        <v>0</v>
      </c>
      <c r="AV69" s="3" t="str">
        <f>IF(AT69 &gt; 0, "contested", IF(AU69 &gt; 0, "geometric-only", IF(AR69 &gt; 0, "established", "geometric-only")))</f>
        <v>contested</v>
      </c>
      <c r="AW69" s="3" t="b">
        <f>AND(AS69 = 0, AV69 = "established")</f>
        <v>0</v>
      </c>
      <c r="AX69" s="2" t="s">
        <v>2676</v>
      </c>
    </row>
    <row r="70">
      <c r="A70" s="2" t="s">
        <v>2709</v>
      </c>
      <c r="B70" s="3" t="str">
        <f>A70</f>
        <v>snow-cholera-water-1855-A-vs-B</v>
      </c>
      <c r="C70" s="2" t="s">
        <v>675</v>
      </c>
      <c r="D70" s="2" t="s">
        <v>792</v>
      </c>
      <c r="E70" s="2" t="s">
        <v>795</v>
      </c>
      <c r="F70" s="5">
        <f>SUMIFS(CaseCells!G2:G999,CaseCells!C2:C999, C70,CaseCells!E2:E999, D70)</f>
        <v>2000</v>
      </c>
      <c r="G70" s="5">
        <f>SUMIFS(CaseCells!F2:F999,CaseCells!C2:C999, C70,CaseCells!E2:E999, D70)</f>
        <v>1842</v>
      </c>
      <c r="H70" s="3">
        <f>IF(F70 = 0, "", G70 / F70)</f>
        <v>0.921</v>
      </c>
      <c r="I70" s="5">
        <f>SUMIFS(CaseCells!G2:G999,CaseCells!C2:C999, C70,CaseCells!E2:E999, E70)</f>
        <v>2000</v>
      </c>
      <c r="J70" s="5">
        <f>SUMIFS(CaseCells!F2:F999,CaseCells!C2:C999, C70,CaseCells!E2:E999, E70)</f>
        <v>1930</v>
      </c>
      <c r="K70" s="3">
        <f>IF(I70 = 0, "", J70 / I70)</f>
        <v>0.965</v>
      </c>
      <c r="L70" s="3" t="str">
        <f>IF(OR(H70 = "", K70 = ""), "", IF(ABS(H70 - K70) &lt; 0.0000001, "tie", IF(H70 &gt; K70, D70, E70)))</f>
        <v>B</v>
      </c>
      <c r="M70" s="5">
        <f>COUNTIFS(StratumSummaries!C2:C999, C70,StratumSummaries!E2:E999, D70)</f>
        <v>2</v>
      </c>
      <c r="N70" s="5">
        <f>COUNTIFS(StratumSummaries!C2:C999, C70,StratumSummaries!E2:E999, D70,StratumSummaries!O2:O999, D70)</f>
        <v>0</v>
      </c>
      <c r="O70" s="5">
        <f>COUNTIFS(StratumSummaries!C2:C999, C70,StratumSummaries!E2:E999, D70,StratumSummaries!O2:O999, E70)</f>
        <v>2</v>
      </c>
      <c r="P70" s="3" t="str">
        <f>IF(N70 = M70, D70, IF(O70 = M70, E70, "none"))</f>
        <v>B</v>
      </c>
      <c r="Q70" s="3" t="b">
        <f>IF(AC70 = "", "", AC70)</f>
        <v>0</v>
      </c>
      <c r="R70" s="5">
        <f>COUNTIFS(StratumVariables!C2:C999, C70,StratumVariables!H2:H999, TRUE())</f>
        <v>1</v>
      </c>
      <c r="S70" s="3" t="b">
        <f>AND(Q70, R70 &gt; 0)</f>
        <v>0</v>
      </c>
      <c r="T70" s="3">
        <f>IF(H70 = "", "", ABS(H70 - K70))</f>
        <v>0.04399999999999993</v>
      </c>
      <c r="U70" s="5">
        <f>IF(L70 = D70, O70, N70)</f>
        <v>0</v>
      </c>
      <c r="V70" s="3">
        <f>IF(M70 = 0, "", T70 * (U70 / M70))</f>
        <v>0</v>
      </c>
      <c r="W70" s="3">
        <f>SUMIFS(StratumSummaries!S2:S999,StratumSummaries!C2:C999, C70,StratumSummaries!E2:E999, D70)</f>
        <v>0.921</v>
      </c>
      <c r="X70" s="3">
        <f>SUMIFS(StratumSummaries!S2:S999,StratumSummaries!C2:C999, C70,StratumSummaries!E2:E999, E70)</f>
        <v>0.965</v>
      </c>
      <c r="Y70" s="3">
        <f>IF(M70 = 0, "", U70 / M70)</f>
        <v>0</v>
      </c>
      <c r="Z70" s="3">
        <f>IF(M70 = 0, "", Y70 - 0.5)</f>
        <v>-0.5</v>
      </c>
      <c r="AA70" s="3">
        <f>IF(H70 = "", "", H70 - K70)</f>
        <v>-0.04399999999999993</v>
      </c>
      <c r="AB70" s="3">
        <f>SUMIFS(StratumSummaries!AB2:AB999,StratumSummaries!C2:C999, C70,StratumSummaries!E2:E999, D70)</f>
        <v>-0.043999999999999984</v>
      </c>
      <c r="AC70" s="3" t="b">
        <f>IF(AB70 = "", "", IF(AB70 &gt; 0, AA70 &lt; 0, AA70 &gt; 0))</f>
        <v>0</v>
      </c>
      <c r="AD70" s="3">
        <f>IF(AB70 = "", "", ABS(AB70 - AA70))</f>
        <v>5.551115123125783E-17</v>
      </c>
      <c r="AE70" s="3" t="str">
        <f>IF(AD70 = "", "", IF(AC70, IF(AND(AB70 &lt;&gt; 0, AA70 / AB70 &lt; -1), "B", IF(AND(AB70 &lt;&gt; 0, AA70 / AB70 &lt; 0), "A", IF(Y70 = 1, "A", "B"))), IF(AND(NOT(AC70), AD70 &gt; 0.01, ABS(AA70) &gt; ABS(AG70) + 0.001), "C+", IF(AND(NOT(AC70), AD70 &gt; 0.01, ABS(AA70) &lt; ABS(AG70) - 0.001), "C-", "D"))))</f>
        <v>D</v>
      </c>
      <c r="AF70" s="3" t="str">
        <f>IF(AE70 = "", "", IF(AE70 = "A", "stratify-immediately", IF(AE70 = "B", "investigate-confounder", IF(OR(AE70 = "C+", AE70 = "C-"), "check-allocation-bias", "pooled-analysis-trustworthy"))))</f>
        <v>pooled-analysis-trustworthy</v>
      </c>
      <c r="AG70" s="3">
        <f>AB70</f>
        <v>-0.043999999999999984</v>
      </c>
      <c r="AH70" s="3" t="str">
        <f>IF(AG70 = "", "", IF(ABS(AG70) &lt; 0.0001, "tie", IF(AG70 &gt; 0, D70, IF(AG70 &lt; 0, E70, "tie"))))</f>
        <v>B</v>
      </c>
      <c r="AI70" s="3" t="b">
        <f>IF(AH70 = "", "", AH70 = L70)</f>
        <v>1</v>
      </c>
      <c r="AJ70" s="3" t="str">
        <f>IF(AE70 = "", "", IF(AE70 = "A", "use-corrected-winner", IF(AE70 = "B", "use-corrected-winner-with-caution", IF(OR(AE70 = "C+", AE70 = "C-"), "check-allocation-bias", "pooled-analysis-trustworthy"))))</f>
        <v>pooled-analysis-trustworthy</v>
      </c>
      <c r="AK70" s="3" t="str">
        <f>IF(AG70 = "", "", IF(AC70, "reversal", IF(ABS(AA70) &gt; ABS(AG70) + 0.001, "amplification", IF(ABS(AA70) &lt; ABS(AG70) - 0.001, "compression", "neutral"))))</f>
        <v>neutral</v>
      </c>
      <c r="AL70" s="3">
        <f>IF(AG70 = "", "", IF(ABS(AG70) + AD70 = 0, 1, ABS(AG70) / (ABS(AG70) + AD70)))</f>
        <v>0.9999999999999988</v>
      </c>
      <c r="AM70" s="3" t="e">
        <f>LOOKUP(C70, SweepStudySummary[SweepStudyId], SweepStudySummary[PooledGapCrossesZero])</f>
        <v>#VALUE!</v>
      </c>
      <c r="AN70" s="3" t="e">
        <f>LOOKUP(C70, SweepStudySummary[SweepStudyId], SweepStudySummary[SweepPooledGapRange])</f>
        <v>#VALUE!</v>
      </c>
      <c r="AO70" s="3" t="e">
        <f>IF(AE70 = "", "", AND(AE70 = "D", AM70 = TRUE))</f>
        <v>#VALUE!</v>
      </c>
      <c r="AP70" s="3" t="e">
        <f>IF(OR(AN70 = "", T70 = "", T70 = 0), "", AN70 / ABS(T70))</f>
        <v>#VALUE!</v>
      </c>
      <c r="AQ70" s="3" t="e">
        <f>LOOKUP(C70, Studies[StudyId], Studies[Domain])</f>
        <v>#VALUE!</v>
      </c>
      <c r="AR70" s="5">
        <f>COUNTIFS(StratumVariables!C2:C999, C70,StratumVariables!E2:E999, "confounder")</f>
        <v>1</v>
      </c>
      <c r="AS70" s="5">
        <f>COUNTIFS(StratumVariables!C2:C999, C70,StratumVariables!J2:J999, "mediator") + COUNTIFS(StratumVariables!C2:C999, C70,StratumVariables!J2:J999, "collider")</f>
        <v>0</v>
      </c>
      <c r="AT70" s="5">
        <f>COUNTIFS(StratumVariables!C2:C999, C70,StratumVariables!E2:E999, "contested")</f>
        <v>0</v>
      </c>
      <c r="AU70" s="5">
        <f>COUNTIFS(StratumVariables!C2:C999, C70,StratumVariables!E2:E999, "unknown")</f>
        <v>0</v>
      </c>
      <c r="AV70" s="3" t="str">
        <f>IF(AT70 &gt; 0, "contested", IF(AU70 &gt; 0, "geometric-only", IF(AR70 &gt; 0, "established", "geometric-only")))</f>
        <v>established</v>
      </c>
      <c r="AW70" s="3" t="b">
        <f>AND(AS70 = 0, AV70 = "established")</f>
        <v>1</v>
      </c>
      <c r="AX70" s="2" t="s">
        <v>2654</v>
      </c>
    </row>
    <row r="71">
      <c r="A71" s="2" t="s">
        <v>2710</v>
      </c>
      <c r="B71" s="3" t="str">
        <f>A71</f>
        <v>seatbelt-crash-severity-A-vs-B</v>
      </c>
      <c r="C71" s="2" t="s">
        <v>679</v>
      </c>
      <c r="D71" s="2" t="s">
        <v>792</v>
      </c>
      <c r="E71" s="2" t="s">
        <v>795</v>
      </c>
      <c r="F71" s="5">
        <f>SUMIFS(CaseCells!G2:G999,CaseCells!C2:C999, C71,CaseCells!E2:E999, D71)</f>
        <v>2000</v>
      </c>
      <c r="G71" s="5">
        <f>SUMIFS(CaseCells!F2:F999,CaseCells!C2:C999, C71,CaseCells!E2:E999, D71)</f>
        <v>1680</v>
      </c>
      <c r="H71" s="3">
        <f>IF(F71 = 0, "", G71 / F71)</f>
        <v>0.84</v>
      </c>
      <c r="I71" s="5">
        <f>SUMIFS(CaseCells!G2:G999,CaseCells!C2:C999, C71,CaseCells!E2:E999, E71)</f>
        <v>2000</v>
      </c>
      <c r="J71" s="5">
        <f>SUMIFS(CaseCells!F2:F999,CaseCells!C2:C999, C71,CaseCells!E2:E999, E71)</f>
        <v>1570</v>
      </c>
      <c r="K71" s="3">
        <f>IF(I71 = 0, "", J71 / I71)</f>
        <v>0.785</v>
      </c>
      <c r="L71" s="3" t="str">
        <f>IF(OR(H71 = "", K71 = ""), "", IF(ABS(H71 - K71) &lt; 0.0000001, "tie", IF(H71 &gt; K71, D71, E71)))</f>
        <v>A</v>
      </c>
      <c r="M71" s="5">
        <f>COUNTIFS(StratumSummaries!C2:C999, C71,StratumSummaries!E2:E999, D71)</f>
        <v>2</v>
      </c>
      <c r="N71" s="5">
        <f>COUNTIFS(StratumSummaries!C2:C999, C71,StratumSummaries!E2:E999, D71,StratumSummaries!O2:O999, D71)</f>
        <v>2</v>
      </c>
      <c r="O71" s="5">
        <f>COUNTIFS(StratumSummaries!C2:C999, C71,StratumSummaries!E2:E999, D71,StratumSummaries!O2:O999, E71)</f>
        <v>0</v>
      </c>
      <c r="P71" s="3" t="str">
        <f>IF(N71 = M71, D71, IF(O71 = M71, E71, "none"))</f>
        <v>A</v>
      </c>
      <c r="Q71" s="3" t="b">
        <f>IF(AC71 = "", "", AC71)</f>
        <v>0</v>
      </c>
      <c r="R71" s="5">
        <f>COUNTIFS(StratumVariables!C2:C999, C71,StratumVariables!H2:H999, TRUE())</f>
        <v>0</v>
      </c>
      <c r="S71" s="3" t="b">
        <f>AND(Q71, R71 &gt; 0)</f>
        <v>0</v>
      </c>
      <c r="T71" s="3">
        <f>IF(H71 = "", "", ABS(H71 - K71))</f>
        <v>0.05499999999999994</v>
      </c>
      <c r="U71" s="5">
        <f>IF(L71 = D71, O71, N71)</f>
        <v>0</v>
      </c>
      <c r="V71" s="3">
        <f>IF(M71 = 0, "", T71 * (U71 / M71))</f>
        <v>0</v>
      </c>
      <c r="W71" s="3">
        <f>SUMIFS(StratumSummaries!S2:S999,StratumSummaries!C2:C999, C71,StratumSummaries!E2:E999, D71)</f>
        <v>0.84</v>
      </c>
      <c r="X71" s="3">
        <f>SUMIFS(StratumSummaries!S2:S999,StratumSummaries!C2:C999, C71,StratumSummaries!E2:E999, E71)</f>
        <v>0.7849999999999999</v>
      </c>
      <c r="Y71" s="3">
        <f>IF(M71 = 0, "", U71 / M71)</f>
        <v>0</v>
      </c>
      <c r="Z71" s="3">
        <f>IF(M71 = 0, "", Y71 - 0.5)</f>
        <v>-0.5</v>
      </c>
      <c r="AA71" s="3">
        <f>IF(H71 = "", "", H71 - K71)</f>
        <v>0.05499999999999994</v>
      </c>
      <c r="AB71" s="3">
        <f>SUMIFS(StratumSummaries!AB2:AB999,StratumSummaries!C2:C999, C71,StratumSummaries!E2:E999, D71)</f>
        <v>0.05499999999999999</v>
      </c>
      <c r="AC71" s="3" t="b">
        <f>IF(AB71 = "", "", IF(AB71 &gt; 0, AA71 &lt; 0, AA71 &gt; 0))</f>
        <v>0</v>
      </c>
      <c r="AD71" s="3">
        <f>IF(AB71 = "", "", ABS(AB71 - AA71))</f>
        <v>5.551115123125783E-17</v>
      </c>
      <c r="AE71" s="3" t="str">
        <f>IF(AD71 = "", "", IF(AC71, IF(AND(AB71 &lt;&gt; 0, AA71 / AB71 &lt; -1), "B", IF(AND(AB71 &lt;&gt; 0, AA71 / AB71 &lt; 0), "A", IF(Y71 = 1, "A", "B"))), IF(AND(NOT(AC71), AD71 &gt; 0.01, ABS(AA71) &gt; ABS(AG71) + 0.001), "C+", IF(AND(NOT(AC71), AD71 &gt; 0.01, ABS(AA71) &lt; ABS(AG71) - 0.001), "C-", "D"))))</f>
        <v>D</v>
      </c>
      <c r="AF71" s="3" t="str">
        <f>IF(AE71 = "", "", IF(AE71 = "A", "stratify-immediately", IF(AE71 = "B", "investigate-confounder", IF(OR(AE71 = "C+", AE71 = "C-"), "check-allocation-bias", "pooled-analysis-trustworthy"))))</f>
        <v>pooled-analysis-trustworthy</v>
      </c>
      <c r="AG71" s="3">
        <f>AB71</f>
        <v>0.05499999999999999</v>
      </c>
      <c r="AH71" s="3" t="str">
        <f>IF(AG71 = "", "", IF(ABS(AG71) &lt; 0.0001, "tie", IF(AG71 &gt; 0, D71, IF(AG71 &lt; 0, E71, "tie"))))</f>
        <v>A</v>
      </c>
      <c r="AI71" s="3" t="b">
        <f>IF(AH71 = "", "", AH71 = L71)</f>
        <v>1</v>
      </c>
      <c r="AJ71" s="3" t="str">
        <f>IF(AE71 = "", "", IF(AE71 = "A", "use-corrected-winner", IF(AE71 = "B", "use-corrected-winner-with-caution", IF(OR(AE71 = "C+", AE71 = "C-"), "check-allocation-bias", "pooled-analysis-trustworthy"))))</f>
        <v>pooled-analysis-trustworthy</v>
      </c>
      <c r="AK71" s="3" t="str">
        <f>IF(AG71 = "", "", IF(AC71, "reversal", IF(ABS(AA71) &gt; ABS(AG71) + 0.001, "amplification", IF(ABS(AA71) &lt; ABS(AG71) - 0.001, "compression", "neutral"))))</f>
        <v>neutral</v>
      </c>
      <c r="AL71" s="3">
        <f>IF(AG71 = "", "", IF(ABS(AG71) + AD71 = 0, 1, ABS(AG71) / (ABS(AG71) + AD71)))</f>
        <v>0.999999999999999</v>
      </c>
      <c r="AM71" s="3" t="e">
        <f>LOOKUP(C71, SweepStudySummary[SweepStudyId], SweepStudySummary[PooledGapCrossesZero])</f>
        <v>#VALUE!</v>
      </c>
      <c r="AN71" s="3" t="e">
        <f>LOOKUP(C71, SweepStudySummary[SweepStudyId], SweepStudySummary[SweepPooledGapRange])</f>
        <v>#VALUE!</v>
      </c>
      <c r="AO71" s="3" t="e">
        <f>IF(AE71 = "", "", AND(AE71 = "D", AM71 = TRUE))</f>
        <v>#VALUE!</v>
      </c>
      <c r="AP71" s="3" t="e">
        <f>IF(OR(AN71 = "", T71 = "", T71 = 0), "", AN71 / ABS(T71))</f>
        <v>#VALUE!</v>
      </c>
      <c r="AQ71" s="3" t="e">
        <f>LOOKUP(C71, Studies[StudyId], Studies[Domain])</f>
        <v>#VALUE!</v>
      </c>
      <c r="AR71" s="5">
        <f>COUNTIFS(StratumVariables!C2:C999, C71,StratumVariables!E2:E999, "confounder")</f>
        <v>0</v>
      </c>
      <c r="AS71" s="5">
        <f>COUNTIFS(StratumVariables!C2:C999, C71,StratumVariables!J2:J999, "mediator") + COUNTIFS(StratumVariables!C2:C999, C71,StratumVariables!J2:J999, "collider")</f>
        <v>1</v>
      </c>
      <c r="AT71" s="5">
        <f>COUNTIFS(StratumVariables!C2:C999, C71,StratumVariables!E2:E999, "contested")</f>
        <v>0</v>
      </c>
      <c r="AU71" s="5">
        <f>COUNTIFS(StratumVariables!C2:C999, C71,StratumVariables!E2:E999, "unknown")</f>
        <v>0</v>
      </c>
      <c r="AV71" s="3" t="str">
        <f>IF(AT71 &gt; 0, "contested", IF(AU71 &gt; 0, "geometric-only", IF(AR71 &gt; 0, "established", "geometric-only")))</f>
        <v>geometric-only</v>
      </c>
      <c r="AW71" s="3" t="b">
        <f>AND(AS71 = 0, AV71 = "established")</f>
        <v>0</v>
      </c>
      <c r="AX71" s="2" t="s">
        <v>2687</v>
      </c>
    </row>
    <row r="72">
      <c r="A72" s="2" t="s">
        <v>2711</v>
      </c>
      <c r="B72" s="3" t="str">
        <f>A72</f>
        <v>measles-outbreak-vaccinated-A-vs-B</v>
      </c>
      <c r="C72" s="2" t="s">
        <v>683</v>
      </c>
      <c r="D72" s="2" t="s">
        <v>792</v>
      </c>
      <c r="E72" s="2" t="s">
        <v>795</v>
      </c>
      <c r="F72" s="5">
        <f>SUMIFS(CaseCells!G2:G999,CaseCells!C2:C999, C72,CaseCells!E2:E999, D72)</f>
        <v>11000</v>
      </c>
      <c r="G72" s="5">
        <f>SUMIFS(CaseCells!F2:F999,CaseCells!C2:C999, C72,CaseCells!E2:E999, D72)</f>
        <v>115</v>
      </c>
      <c r="H72" s="3">
        <f>IF(F72 = 0, "", G72 / F72)</f>
        <v>0.010454545454545454</v>
      </c>
      <c r="I72" s="5">
        <f>SUMIFS(CaseCells!G2:G999,CaseCells!C2:C999, C72,CaseCells!E2:E999, E72)</f>
        <v>1500</v>
      </c>
      <c r="J72" s="5">
        <f>SUMIFS(CaseCells!F2:F999,CaseCells!C2:C999, C72,CaseCells!E2:E999, E72)</f>
        <v>79</v>
      </c>
      <c r="K72" s="3">
        <f>IF(I72 = 0, "", J72 / I72)</f>
        <v>0.05266666666666667</v>
      </c>
      <c r="L72" s="3" t="str">
        <f>IF(OR(H72 = "", K72 = ""), "", IF(ABS(H72 - K72) &lt; 0.0000001, "tie", IF(H72 &gt; K72, D72, E72)))</f>
        <v>B</v>
      </c>
      <c r="M72" s="5">
        <f>COUNTIFS(StratumSummaries!C2:C999, C72,StratumSummaries!E2:E999, D72)</f>
        <v>2</v>
      </c>
      <c r="N72" s="5">
        <f>COUNTIFS(StratumSummaries!C2:C999, C72,StratumSummaries!E2:E999, D72,StratumSummaries!O2:O999, D72)</f>
        <v>0</v>
      </c>
      <c r="O72" s="5">
        <f>COUNTIFS(StratumSummaries!C2:C999, C72,StratumSummaries!E2:E999, D72,StratumSummaries!O2:O999, E72)</f>
        <v>2</v>
      </c>
      <c r="P72" s="3" t="str">
        <f>IF(N72 = M72, D72, IF(O72 = M72, E72, "none"))</f>
        <v>B</v>
      </c>
      <c r="Q72" s="3" t="b">
        <f>IF(AC72 = "", "", AC72)</f>
        <v>0</v>
      </c>
      <c r="R72" s="5">
        <f>COUNTIFS(StratumVariables!C2:C999, C72,StratumVariables!H2:H999, TRUE())</f>
        <v>1</v>
      </c>
      <c r="S72" s="3" t="b">
        <f>AND(Q72, R72 &gt; 0)</f>
        <v>0</v>
      </c>
      <c r="T72" s="3">
        <f>IF(H72 = "", "", ABS(H72 - K72))</f>
        <v>0.042212121212121215</v>
      </c>
      <c r="U72" s="5">
        <f>IF(L72 = D72, O72, N72)</f>
        <v>0</v>
      </c>
      <c r="V72" s="3">
        <f>IF(M72 = 0, "", T72 * (U72 / M72))</f>
        <v>0</v>
      </c>
      <c r="W72" s="3">
        <f>SUMIFS(StratumSummaries!S2:S999,StratumSummaries!C2:C999, C72,StratumSummaries!E2:E999, D72)</f>
        <v>0.010388888888888888</v>
      </c>
      <c r="X72" s="3">
        <f>SUMIFS(StratumSummaries!S2:S999,StratumSummaries!C2:C999, C72,StratumSummaries!E2:E999, E72)</f>
        <v>0.04920000000000001</v>
      </c>
      <c r="Y72" s="3">
        <f>IF(M72 = 0, "", U72 / M72)</f>
        <v>0</v>
      </c>
      <c r="Z72" s="3">
        <f>IF(M72 = 0, "", Y72 - 0.5)</f>
        <v>-0.5</v>
      </c>
      <c r="AA72" s="3">
        <f>IF(H72 = "", "", H72 - K72)</f>
        <v>-0.042212121212121215</v>
      </c>
      <c r="AB72" s="3">
        <f>SUMIFS(StratumSummaries!AB2:AB999,StratumSummaries!C2:C999, C72,StratumSummaries!E2:E999, D72)</f>
        <v>-0.03881111111111111</v>
      </c>
      <c r="AC72" s="3" t="b">
        <f>IF(AB72 = "", "", IF(AB72 &gt; 0, AA72 &lt; 0, AA72 &gt; 0))</f>
        <v>0</v>
      </c>
      <c r="AD72" s="3">
        <f>IF(AB72 = "", "", ABS(AB72 - AA72))</f>
        <v>0.003401010101010106</v>
      </c>
      <c r="AE72" s="3" t="str">
        <f>IF(AD72 = "", "", IF(AC72, IF(AND(AB72 &lt;&gt; 0, AA72 / AB72 &lt; -1), "B", IF(AND(AB72 &lt;&gt; 0, AA72 / AB72 &lt; 0), "A", IF(Y72 = 1, "A", "B"))), IF(AND(NOT(AC72), AD72 &gt; 0.01, ABS(AA72) &gt; ABS(AG72) + 0.001), "C+", IF(AND(NOT(AC72), AD72 &gt; 0.01, ABS(AA72) &lt; ABS(AG72) - 0.001), "C-", "D"))))</f>
        <v>D</v>
      </c>
      <c r="AF72" s="3" t="str">
        <f>IF(AE72 = "", "", IF(AE72 = "A", "stratify-immediately", IF(AE72 = "B", "investigate-confounder", IF(OR(AE72 = "C+", AE72 = "C-"), "check-allocation-bias", "pooled-analysis-trustworthy"))))</f>
        <v>pooled-analysis-trustworthy</v>
      </c>
      <c r="AG72" s="3">
        <f>AB72</f>
        <v>-0.03881111111111111</v>
      </c>
      <c r="AH72" s="3" t="str">
        <f>IF(AG72 = "", "", IF(ABS(AG72) &lt; 0.0001, "tie", IF(AG72 &gt; 0, D72, IF(AG72 &lt; 0, E72, "tie"))))</f>
        <v>B</v>
      </c>
      <c r="AI72" s="3" t="b">
        <f>IF(AH72 = "", "", AH72 = L72)</f>
        <v>1</v>
      </c>
      <c r="AJ72" s="3" t="str">
        <f>IF(AE72 = "", "", IF(AE72 = "A", "use-corrected-winner", IF(AE72 = "B", "use-corrected-winner-with-caution", IF(OR(AE72 = "C+", AE72 = "C-"), "check-allocation-bias", "pooled-analysis-trustworthy"))))</f>
        <v>pooled-analysis-trustworthy</v>
      </c>
      <c r="AK72" s="3" t="str">
        <f>IF(AG72 = "", "", IF(AC72, "reversal", IF(ABS(AA72) &gt; ABS(AG72) + 0.001, "amplification", IF(ABS(AA72) &lt; ABS(AG72) - 0.001, "compression", "neutral"))))</f>
        <v>amplification</v>
      </c>
      <c r="AL72" s="3">
        <f>IF(AG72 = "", "", IF(ABS(AG72) + AD72 = 0, 1, ABS(AG72) / (ABS(AG72) + AD72)))</f>
        <v>0.9194304857621439</v>
      </c>
      <c r="AM72" s="3" t="e">
        <f>LOOKUP(C72, SweepStudySummary[SweepStudyId], SweepStudySummary[PooledGapCrossesZero])</f>
        <v>#VALUE!</v>
      </c>
      <c r="AN72" s="3" t="e">
        <f>LOOKUP(C72, SweepStudySummary[SweepStudyId], SweepStudySummary[SweepPooledGapRange])</f>
        <v>#VALUE!</v>
      </c>
      <c r="AO72" s="3" t="e">
        <f>IF(AE72 = "", "", AND(AE72 = "D", AM72 = TRUE))</f>
        <v>#VALUE!</v>
      </c>
      <c r="AP72" s="3" t="e">
        <f>IF(OR(AN72 = "", T72 = "", T72 = 0), "", AN72 / ABS(T72))</f>
        <v>#VALUE!</v>
      </c>
      <c r="AQ72" s="3" t="e">
        <f>LOOKUP(C72, Studies[StudyId], Studies[Domain])</f>
        <v>#VALUE!</v>
      </c>
      <c r="AR72" s="5">
        <f>COUNTIFS(StratumVariables!C2:C999, C72,StratumVariables!E2:E999, "confounder")</f>
        <v>1</v>
      </c>
      <c r="AS72" s="5">
        <f>COUNTIFS(StratumVariables!C2:C999, C72,StratumVariables!J2:J999, "mediator") + COUNTIFS(StratumVariables!C2:C999, C72,StratumVariables!J2:J999, "collider")</f>
        <v>0</v>
      </c>
      <c r="AT72" s="5">
        <f>COUNTIFS(StratumVariables!C2:C999, C72,StratumVariables!E2:E999, "contested")</f>
        <v>0</v>
      </c>
      <c r="AU72" s="5">
        <f>COUNTIFS(StratumVariables!C2:C999, C72,StratumVariables!E2:E999, "unknown")</f>
        <v>0</v>
      </c>
      <c r="AV72" s="3" t="str">
        <f>IF(AT72 &gt; 0, "contested", IF(AU72 &gt; 0, "geometric-only", IF(AR72 &gt; 0, "established", "geometric-only")))</f>
        <v>established</v>
      </c>
      <c r="AW72" s="3" t="b">
        <f>AND(AS72 = 0, AV72 = "established")</f>
        <v>1</v>
      </c>
      <c r="AX72" s="2" t="s">
        <v>2654</v>
      </c>
    </row>
    <row r="73">
      <c r="A73" s="2" t="s">
        <v>2712</v>
      </c>
      <c r="B73" s="3" t="str">
        <f>A73</f>
        <v>air-pollution-mortality-city-A-vs-B</v>
      </c>
      <c r="C73" s="2" t="s">
        <v>687</v>
      </c>
      <c r="D73" s="2" t="s">
        <v>792</v>
      </c>
      <c r="E73" s="2" t="s">
        <v>795</v>
      </c>
      <c r="F73" s="5">
        <f>SUMIFS(CaseCells!G2:G999,CaseCells!C2:C999, C73,CaseCells!E2:E999, D73)</f>
        <v>2000</v>
      </c>
      <c r="G73" s="5">
        <f>SUMIFS(CaseCells!F2:F999,CaseCells!C2:C999, C73,CaseCells!E2:E999, D73)</f>
        <v>1900</v>
      </c>
      <c r="H73" s="3">
        <f>IF(F73 = 0, "", G73 / F73)</f>
        <v>0.95</v>
      </c>
      <c r="I73" s="5">
        <f>SUMIFS(CaseCells!G2:G999,CaseCells!C2:C999, C73,CaseCells!E2:E999, E73)</f>
        <v>2000</v>
      </c>
      <c r="J73" s="5">
        <f>SUMIFS(CaseCells!F2:F999,CaseCells!C2:C999, C73,CaseCells!E2:E999, E73)</f>
        <v>1925</v>
      </c>
      <c r="K73" s="3">
        <f>IF(I73 = 0, "", J73 / I73)</f>
        <v>0.9625</v>
      </c>
      <c r="L73" s="3" t="str">
        <f>IF(OR(H73 = "", K73 = ""), "", IF(ABS(H73 - K73) &lt; 0.0000001, "tie", IF(H73 &gt; K73, D73, E73)))</f>
        <v>B</v>
      </c>
      <c r="M73" s="5">
        <f>COUNTIFS(StratumSummaries!C2:C999, C73,StratumSummaries!E2:E999, D73)</f>
        <v>2</v>
      </c>
      <c r="N73" s="5">
        <f>COUNTIFS(StratumSummaries!C2:C999, C73,StratumSummaries!E2:E999, D73,StratumSummaries!O2:O999, D73)</f>
        <v>0</v>
      </c>
      <c r="O73" s="5">
        <f>COUNTIFS(StratumSummaries!C2:C999, C73,StratumSummaries!E2:E999, D73,StratumSummaries!O2:O999, E73)</f>
        <v>2</v>
      </c>
      <c r="P73" s="3" t="str">
        <f>IF(N73 = M73, D73, IF(O73 = M73, E73, "none"))</f>
        <v>B</v>
      </c>
      <c r="Q73" s="3" t="b">
        <f>IF(AC73 = "", "", AC73)</f>
        <v>0</v>
      </c>
      <c r="R73" s="5">
        <f>COUNTIFS(StratumVariables!C2:C999, C73,StratumVariables!H2:H999, TRUE())</f>
        <v>1</v>
      </c>
      <c r="S73" s="3" t="b">
        <f>AND(Q73, R73 &gt; 0)</f>
        <v>0</v>
      </c>
      <c r="T73" s="3">
        <f>IF(H73 = "", "", ABS(H73 - K73))</f>
        <v>0.012500000000000067</v>
      </c>
      <c r="U73" s="5">
        <f>IF(L73 = D73, O73, N73)</f>
        <v>0</v>
      </c>
      <c r="V73" s="3">
        <f>IF(M73 = 0, "", T73 * (U73 / M73))</f>
        <v>0</v>
      </c>
      <c r="W73" s="3">
        <f>SUMIFS(StratumSummaries!S2:S999,StratumSummaries!C2:C999, C73,StratumSummaries!E2:E999, D73)</f>
        <v>0.95</v>
      </c>
      <c r="X73" s="3">
        <f>SUMIFS(StratumSummaries!S2:S999,StratumSummaries!C2:C999, C73,StratumSummaries!E2:E999, E73)</f>
        <v>0.9624999999999999</v>
      </c>
      <c r="Y73" s="3">
        <f>IF(M73 = 0, "", U73 / M73)</f>
        <v>0</v>
      </c>
      <c r="Z73" s="3">
        <f>IF(M73 = 0, "", Y73 - 0.5)</f>
        <v>-0.5</v>
      </c>
      <c r="AA73" s="3">
        <f>IF(H73 = "", "", H73 - K73)</f>
        <v>-0.012500000000000067</v>
      </c>
      <c r="AB73" s="3">
        <f>SUMIFS(StratumSummaries!AB2:AB999,StratumSummaries!C2:C999, C73,StratumSummaries!E2:E999, D73)</f>
        <v>-0.012499999999999956</v>
      </c>
      <c r="AC73" s="3" t="b">
        <f>IF(AB73 = "", "", IF(AB73 &gt; 0, AA73 &lt; 0, AA73 &gt; 0))</f>
        <v>0</v>
      </c>
      <c r="AD73" s="3">
        <f>IF(AB73 = "", "", ABS(AB73 - AA73))</f>
        <v>1.1102230246251565E-16</v>
      </c>
      <c r="AE73" s="3" t="str">
        <f>IF(AD73 = "", "", IF(AC73, IF(AND(AB73 &lt;&gt; 0, AA73 / AB73 &lt; -1), "B", IF(AND(AB73 &lt;&gt; 0, AA73 / AB73 &lt; 0), "A", IF(Y73 = 1, "A", "B"))), IF(AND(NOT(AC73), AD73 &gt; 0.01, ABS(AA73) &gt; ABS(AG73) + 0.001), "C+", IF(AND(NOT(AC73), AD73 &gt; 0.01, ABS(AA73) &lt; ABS(AG73) - 0.001), "C-", "D"))))</f>
        <v>D</v>
      </c>
      <c r="AF73" s="3" t="str">
        <f>IF(AE73 = "", "", IF(AE73 = "A", "stratify-immediately", IF(AE73 = "B", "investigate-confounder", IF(OR(AE73 = "C+", AE73 = "C-"), "check-allocation-bias", "pooled-analysis-trustworthy"))))</f>
        <v>pooled-analysis-trustworthy</v>
      </c>
      <c r="AG73" s="3">
        <f>AB73</f>
        <v>-0.012499999999999956</v>
      </c>
      <c r="AH73" s="3" t="str">
        <f>IF(AG73 = "", "", IF(ABS(AG73) &lt; 0.0001, "tie", IF(AG73 &gt; 0, D73, IF(AG73 &lt; 0, E73, "tie"))))</f>
        <v>B</v>
      </c>
      <c r="AI73" s="3" t="b">
        <f>IF(AH73 = "", "", AH73 = L73)</f>
        <v>1</v>
      </c>
      <c r="AJ73" s="3" t="str">
        <f>IF(AE73 = "", "", IF(AE73 = "A", "use-corrected-winner", IF(AE73 = "B", "use-corrected-winner-with-caution", IF(OR(AE73 = "C+", AE73 = "C-"), "check-allocation-bias", "pooled-analysis-trustworthy"))))</f>
        <v>pooled-analysis-trustworthy</v>
      </c>
      <c r="AK73" s="3" t="str">
        <f>IF(AG73 = "", "", IF(AC73, "reversal", IF(ABS(AA73) &gt; ABS(AG73) + 0.001, "amplification", IF(ABS(AA73) &lt; ABS(AG73) - 0.001, "compression", "neutral"))))</f>
        <v>neutral</v>
      </c>
      <c r="AL73" s="3">
        <f>IF(AG73 = "", "", IF(ABS(AG73) + AD73 = 0, 1, ABS(AG73) / (ABS(AG73) + AD73)))</f>
        <v>0.9999999999999911</v>
      </c>
      <c r="AM73" s="3" t="e">
        <f>LOOKUP(C73, SweepStudySummary[SweepStudyId], SweepStudySummary[PooledGapCrossesZero])</f>
        <v>#VALUE!</v>
      </c>
      <c r="AN73" s="3" t="e">
        <f>LOOKUP(C73, SweepStudySummary[SweepStudyId], SweepStudySummary[SweepPooledGapRange])</f>
        <v>#VALUE!</v>
      </c>
      <c r="AO73" s="3" t="e">
        <f>IF(AE73 = "", "", AND(AE73 = "D", AM73 = TRUE))</f>
        <v>#VALUE!</v>
      </c>
      <c r="AP73" s="3" t="e">
        <f>IF(OR(AN73 = "", T73 = "", T73 = 0), "", AN73 / ABS(T73))</f>
        <v>#VALUE!</v>
      </c>
      <c r="AQ73" s="3" t="e">
        <f>LOOKUP(C73, Studies[StudyId], Studies[Domain])</f>
        <v>#VALUE!</v>
      </c>
      <c r="AR73" s="5">
        <f>COUNTIFS(StratumVariables!C2:C999, C73,StratumVariables!E2:E999, "confounder")</f>
        <v>1</v>
      </c>
      <c r="AS73" s="5">
        <f>COUNTIFS(StratumVariables!C2:C999, C73,StratumVariables!J2:J999, "mediator") + COUNTIFS(StratumVariables!C2:C999, C73,StratumVariables!J2:J999, "collider")</f>
        <v>0</v>
      </c>
      <c r="AT73" s="5">
        <f>COUNTIFS(StratumVariables!C2:C999, C73,StratumVariables!E2:E999, "contested")</f>
        <v>0</v>
      </c>
      <c r="AU73" s="5">
        <f>COUNTIFS(StratumVariables!C2:C999, C73,StratumVariables!E2:E999, "unknown")</f>
        <v>0</v>
      </c>
      <c r="AV73" s="3" t="str">
        <f>IF(AT73 &gt; 0, "contested", IF(AU73 &gt; 0, "geometric-only", IF(AR73 &gt; 0, "established", "geometric-only")))</f>
        <v>established</v>
      </c>
      <c r="AW73" s="3" t="b">
        <f>AND(AS73 = 0, AV73 = "established")</f>
        <v>1</v>
      </c>
      <c r="AX73" s="2" t="s">
        <v>2654</v>
      </c>
    </row>
    <row r="74">
      <c r="A74" s="2" t="s">
        <v>2713</v>
      </c>
      <c r="B74" s="3" t="str">
        <f>A74</f>
        <v>tb-treatment-resistance-A-vs-B</v>
      </c>
      <c r="C74" s="2" t="s">
        <v>691</v>
      </c>
      <c r="D74" s="2" t="s">
        <v>792</v>
      </c>
      <c r="E74" s="2" t="s">
        <v>795</v>
      </c>
      <c r="F74" s="5">
        <f>SUMIFS(CaseCells!G2:G999,CaseCells!C2:C999, C74,CaseCells!E2:E999, D74)</f>
        <v>2000</v>
      </c>
      <c r="G74" s="5">
        <f>SUMIFS(CaseCells!F2:F999,CaseCells!C2:C999, C74,CaseCells!E2:E999, D74)</f>
        <v>1570</v>
      </c>
      <c r="H74" s="3">
        <f>IF(F74 = 0, "", G74 / F74)</f>
        <v>0.785</v>
      </c>
      <c r="I74" s="5">
        <f>SUMIFS(CaseCells!G2:G999,CaseCells!C2:C999, C74,CaseCells!E2:E999, E74)</f>
        <v>2000</v>
      </c>
      <c r="J74" s="5">
        <f>SUMIFS(CaseCells!F2:F999,CaseCells!C2:C999, C74,CaseCells!E2:E999, E74)</f>
        <v>1630</v>
      </c>
      <c r="K74" s="3">
        <f>IF(I74 = 0, "", J74 / I74)</f>
        <v>0.815</v>
      </c>
      <c r="L74" s="3" t="str">
        <f>IF(OR(H74 = "", K74 = ""), "", IF(ABS(H74 - K74) &lt; 0.0000001, "tie", IF(H74 &gt; K74, D74, E74)))</f>
        <v>B</v>
      </c>
      <c r="M74" s="5">
        <f>COUNTIFS(StratumSummaries!C2:C999, C74,StratumSummaries!E2:E999, D74)</f>
        <v>2</v>
      </c>
      <c r="N74" s="5">
        <f>COUNTIFS(StratumSummaries!C2:C999, C74,StratumSummaries!E2:E999, D74,StratumSummaries!O2:O999, D74)</f>
        <v>1</v>
      </c>
      <c r="O74" s="5">
        <f>COUNTIFS(StratumSummaries!C2:C999, C74,StratumSummaries!E2:E999, D74,StratumSummaries!O2:O999, E74)</f>
        <v>1</v>
      </c>
      <c r="P74" s="3" t="str">
        <f>IF(N74 = M74, D74, IF(O74 = M74, E74, "none"))</f>
        <v>none</v>
      </c>
      <c r="Q74" s="3" t="b">
        <f>IF(AC74 = "", "", AC74)</f>
        <v>0</v>
      </c>
      <c r="R74" s="5">
        <f>COUNTIFS(StratumVariables!C2:C999, C74,StratumVariables!H2:H999, TRUE())</f>
        <v>1</v>
      </c>
      <c r="S74" s="3" t="b">
        <f>AND(Q74, R74 &gt; 0)</f>
        <v>0</v>
      </c>
      <c r="T74" s="3">
        <f>IF(H74 = "", "", ABS(H74 - K74))</f>
        <v>0.029999999999999916</v>
      </c>
      <c r="U74" s="5">
        <f>IF(L74 = D74, O74, N74)</f>
        <v>1</v>
      </c>
      <c r="V74" s="3">
        <f>IF(M74 = 0, "", T74 * (U74 / M74))</f>
        <v>0.014999999999999958</v>
      </c>
      <c r="W74" s="3">
        <f>SUMIFS(StratumSummaries!S2:S999,StratumSummaries!C2:C999, C74,StratumSummaries!E2:E999, D74)</f>
        <v>0.785</v>
      </c>
      <c r="X74" s="3">
        <f>SUMIFS(StratumSummaries!S2:S999,StratumSummaries!C2:C999, C74,StratumSummaries!E2:E999, E74)</f>
        <v>0.815</v>
      </c>
      <c r="Y74" s="3">
        <f>IF(M74 = 0, "", U74 / M74)</f>
        <v>0.5</v>
      </c>
      <c r="Z74" s="3">
        <f>IF(M74 = 0, "", Y74 - 0.5)</f>
        <v>0</v>
      </c>
      <c r="AA74" s="3">
        <f>IF(H74 = "", "", H74 - K74)</f>
        <v>-0.029999999999999916</v>
      </c>
      <c r="AB74" s="3">
        <f>SUMIFS(StratumSummaries!AB2:AB999,StratumSummaries!C2:C999, C74,StratumSummaries!E2:E999, D74)</f>
        <v>-0.02999999999999997</v>
      </c>
      <c r="AC74" s="3" t="b">
        <f>IF(AB74 = "", "", IF(AB74 &gt; 0, AA74 &lt; 0, AA74 &gt; 0))</f>
        <v>0</v>
      </c>
      <c r="AD74" s="3">
        <f>IF(AB74 = "", "", ABS(AB74 - AA74))</f>
        <v>5.551115123125783E-17</v>
      </c>
      <c r="AE74" s="3" t="str">
        <f>IF(AD74 = "", "", IF(AC74, IF(AND(AB74 &lt;&gt; 0, AA74 / AB74 &lt; -1), "B", IF(AND(AB74 &lt;&gt; 0, AA74 / AB74 &lt; 0), "A", IF(Y74 = 1, "A", "B"))), IF(AND(NOT(AC74), AD74 &gt; 0.01, ABS(AA74) &gt; ABS(AG74) + 0.001), "C+", IF(AND(NOT(AC74), AD74 &gt; 0.01, ABS(AA74) &lt; ABS(AG74) - 0.001), "C-", "D"))))</f>
        <v>D</v>
      </c>
      <c r="AF74" s="3" t="str">
        <f>IF(AE74 = "", "", IF(AE74 = "A", "stratify-immediately", IF(AE74 = "B", "investigate-confounder", IF(OR(AE74 = "C+", AE74 = "C-"), "check-allocation-bias", "pooled-analysis-trustworthy"))))</f>
        <v>pooled-analysis-trustworthy</v>
      </c>
      <c r="AG74" s="3">
        <f>AB74</f>
        <v>-0.02999999999999997</v>
      </c>
      <c r="AH74" s="3" t="str">
        <f>IF(AG74 = "", "", IF(ABS(AG74) &lt; 0.0001, "tie", IF(AG74 &gt; 0, D74, IF(AG74 &lt; 0, E74, "tie"))))</f>
        <v>B</v>
      </c>
      <c r="AI74" s="3" t="b">
        <f>IF(AH74 = "", "", AH74 = L74)</f>
        <v>1</v>
      </c>
      <c r="AJ74" s="3" t="str">
        <f>IF(AE74 = "", "", IF(AE74 = "A", "use-corrected-winner", IF(AE74 = "B", "use-corrected-winner-with-caution", IF(OR(AE74 = "C+", AE74 = "C-"), "check-allocation-bias", "pooled-analysis-trustworthy"))))</f>
        <v>pooled-analysis-trustworthy</v>
      </c>
      <c r="AK74" s="3" t="str">
        <f>IF(AG74 = "", "", IF(AC74, "reversal", IF(ABS(AA74) &gt; ABS(AG74) + 0.001, "amplification", IF(ABS(AA74) &lt; ABS(AG74) - 0.001, "compression", "neutral"))))</f>
        <v>neutral</v>
      </c>
      <c r="AL74" s="3">
        <f>IF(AG74 = "", "", IF(ABS(AG74) + AD74 = 0, 1, ABS(AG74) / (ABS(AG74) + AD74)))</f>
        <v>0.9999999999999981</v>
      </c>
      <c r="AM74" s="3" t="e">
        <f>LOOKUP(C74, SweepStudySummary[SweepStudyId], SweepStudySummary[PooledGapCrossesZero])</f>
        <v>#VALUE!</v>
      </c>
      <c r="AN74" s="3" t="e">
        <f>LOOKUP(C74, SweepStudySummary[SweepStudyId], SweepStudySummary[SweepPooledGapRange])</f>
        <v>#VALUE!</v>
      </c>
      <c r="AO74" s="3" t="e">
        <f>IF(AE74 = "", "", AND(AE74 = "D", AM74 = TRUE))</f>
        <v>#VALUE!</v>
      </c>
      <c r="AP74" s="3" t="e">
        <f>IF(OR(AN74 = "", T74 = "", T74 = 0), "", AN74 / ABS(T74))</f>
        <v>#VALUE!</v>
      </c>
      <c r="AQ74" s="3" t="e">
        <f>LOOKUP(C74, Studies[StudyId], Studies[Domain])</f>
        <v>#VALUE!</v>
      </c>
      <c r="AR74" s="5">
        <f>COUNTIFS(StratumVariables!C2:C999, C74,StratumVariables!E2:E999, "confounder")</f>
        <v>1</v>
      </c>
      <c r="AS74" s="5">
        <f>COUNTIFS(StratumVariables!C2:C999, C74,StratumVariables!J2:J999, "mediator") + COUNTIFS(StratumVariables!C2:C999, C74,StratumVariables!J2:J999, "collider")</f>
        <v>0</v>
      </c>
      <c r="AT74" s="5">
        <f>COUNTIFS(StratumVariables!C2:C999, C74,StratumVariables!E2:E999, "contested")</f>
        <v>0</v>
      </c>
      <c r="AU74" s="5">
        <f>COUNTIFS(StratumVariables!C2:C999, C74,StratumVariables!E2:E999, "unknown")</f>
        <v>0</v>
      </c>
      <c r="AV74" s="3" t="str">
        <f>IF(AT74 &gt; 0, "contested", IF(AU74 &gt; 0, "geometric-only", IF(AR74 &gt; 0, "established", "geometric-only")))</f>
        <v>established</v>
      </c>
      <c r="AW74" s="3" t="b">
        <f>AND(AS74 = 0, AV74 = "established")</f>
        <v>1</v>
      </c>
      <c r="AX74" s="2" t="s">
        <v>2654</v>
      </c>
    </row>
    <row r="75">
      <c r="A75" s="2" t="s">
        <v>2714</v>
      </c>
      <c r="B75" s="3" t="str">
        <f>A75</f>
        <v>hospital-mortality-readmission-A-vs-B</v>
      </c>
      <c r="C75" s="2" t="s">
        <v>695</v>
      </c>
      <c r="D75" s="2" t="s">
        <v>792</v>
      </c>
      <c r="E75" s="2" t="s">
        <v>795</v>
      </c>
      <c r="F75" s="5">
        <f>SUMIFS(CaseCells!G2:G999,CaseCells!C2:C999, C75,CaseCells!E2:E999, D75)</f>
        <v>2000</v>
      </c>
      <c r="G75" s="5">
        <f>SUMIFS(CaseCells!F2:F999,CaseCells!C2:C999, C75,CaseCells!E2:E999, D75)</f>
        <v>1820</v>
      </c>
      <c r="H75" s="3">
        <f>IF(F75 = 0, "", G75 / F75)</f>
        <v>0.91</v>
      </c>
      <c r="I75" s="5">
        <f>SUMIFS(CaseCells!G2:G999,CaseCells!C2:C999, C75,CaseCells!E2:E999, E75)</f>
        <v>2000</v>
      </c>
      <c r="J75" s="5">
        <f>SUMIFS(CaseCells!F2:F999,CaseCells!C2:C999, C75,CaseCells!E2:E999, E75)</f>
        <v>1855</v>
      </c>
      <c r="K75" s="3">
        <f>IF(I75 = 0, "", J75 / I75)</f>
        <v>0.9275</v>
      </c>
      <c r="L75" s="3" t="str">
        <f>IF(OR(H75 = "", K75 = ""), "", IF(ABS(H75 - K75) &lt; 0.0000001, "tie", IF(H75 &gt; K75, D75, E75)))</f>
        <v>B</v>
      </c>
      <c r="M75" s="5">
        <f>COUNTIFS(StratumSummaries!C2:C999, C75,StratumSummaries!E2:E999, D75)</f>
        <v>2</v>
      </c>
      <c r="N75" s="5">
        <f>COUNTIFS(StratumSummaries!C2:C999, C75,StratumSummaries!E2:E999, D75,StratumSummaries!O2:O999, D75)</f>
        <v>0</v>
      </c>
      <c r="O75" s="5">
        <f>COUNTIFS(StratumSummaries!C2:C999, C75,StratumSummaries!E2:E999, D75,StratumSummaries!O2:O999, E75)</f>
        <v>2</v>
      </c>
      <c r="P75" s="3" t="str">
        <f>IF(N75 = M75, D75, IF(O75 = M75, E75, "none"))</f>
        <v>B</v>
      </c>
      <c r="Q75" s="3" t="b">
        <f>IF(AC75 = "", "", AC75)</f>
        <v>0</v>
      </c>
      <c r="R75" s="5">
        <f>COUNTIFS(StratumVariables!C2:C999, C75,StratumVariables!H2:H999, TRUE())</f>
        <v>1</v>
      </c>
      <c r="S75" s="3" t="b">
        <f>AND(Q75, R75 &gt; 0)</f>
        <v>0</v>
      </c>
      <c r="T75" s="3">
        <f>IF(H75 = "", "", ABS(H75 - K75))</f>
        <v>0.01749999999999996</v>
      </c>
      <c r="U75" s="5">
        <f>IF(L75 = D75, O75, N75)</f>
        <v>0</v>
      </c>
      <c r="V75" s="3">
        <f>IF(M75 = 0, "", T75 * (U75 / M75))</f>
        <v>0</v>
      </c>
      <c r="W75" s="3">
        <f>SUMIFS(StratumSummaries!S2:S999,StratumSummaries!C2:C999, C75,StratumSummaries!E2:E999, D75)</f>
        <v>0.9099999999999999</v>
      </c>
      <c r="X75" s="3">
        <f>SUMIFS(StratumSummaries!S2:S999,StratumSummaries!C2:C999, C75,StratumSummaries!E2:E999, E75)</f>
        <v>0.9275</v>
      </c>
      <c r="Y75" s="3">
        <f>IF(M75 = 0, "", U75 / M75)</f>
        <v>0</v>
      </c>
      <c r="Z75" s="3">
        <f>IF(M75 = 0, "", Y75 - 0.5)</f>
        <v>-0.5</v>
      </c>
      <c r="AA75" s="3">
        <f>IF(H75 = "", "", H75 - K75)</f>
        <v>-0.01749999999999996</v>
      </c>
      <c r="AB75" s="3">
        <f>SUMIFS(StratumSummaries!AB2:AB999,StratumSummaries!C2:C999, C75,StratumSummaries!E2:E999, D75)</f>
        <v>-0.017500000000000016</v>
      </c>
      <c r="AC75" s="3" t="b">
        <f>IF(AB75 = "", "", IF(AB75 &gt; 0, AA75 &lt; 0, AA75 &gt; 0))</f>
        <v>0</v>
      </c>
      <c r="AD75" s="3">
        <f>IF(AB75 = "", "", ABS(AB75 - AA75))</f>
        <v>5.551115123125783E-17</v>
      </c>
      <c r="AE75" s="3" t="str">
        <f>IF(AD75 = "", "", IF(AC75, IF(AND(AB75 &lt;&gt; 0, AA75 / AB75 &lt; -1), "B", IF(AND(AB75 &lt;&gt; 0, AA75 / AB75 &lt; 0), "A", IF(Y75 = 1, "A", "B"))), IF(AND(NOT(AC75), AD75 &gt; 0.01, ABS(AA75) &gt; ABS(AG75) + 0.001), "C+", IF(AND(NOT(AC75), AD75 &gt; 0.01, ABS(AA75) &lt; ABS(AG75) - 0.001), "C-", "D"))))</f>
        <v>D</v>
      </c>
      <c r="AF75" s="3" t="str">
        <f>IF(AE75 = "", "", IF(AE75 = "A", "stratify-immediately", IF(AE75 = "B", "investigate-confounder", IF(OR(AE75 = "C+", AE75 = "C-"), "check-allocation-bias", "pooled-analysis-trustworthy"))))</f>
        <v>pooled-analysis-trustworthy</v>
      </c>
      <c r="AG75" s="3">
        <f>AB75</f>
        <v>-0.017500000000000016</v>
      </c>
      <c r="AH75" s="3" t="str">
        <f>IF(AG75 = "", "", IF(ABS(AG75) &lt; 0.0001, "tie", IF(AG75 &gt; 0, D75, IF(AG75 &lt; 0, E75, "tie"))))</f>
        <v>B</v>
      </c>
      <c r="AI75" s="3" t="b">
        <f>IF(AH75 = "", "", AH75 = L75)</f>
        <v>1</v>
      </c>
      <c r="AJ75" s="3" t="str">
        <f>IF(AE75 = "", "", IF(AE75 = "A", "use-corrected-winner", IF(AE75 = "B", "use-corrected-winner-with-caution", IF(OR(AE75 = "C+", AE75 = "C-"), "check-allocation-bias", "pooled-analysis-trustworthy"))))</f>
        <v>pooled-analysis-trustworthy</v>
      </c>
      <c r="AK75" s="3" t="str">
        <f>IF(AG75 = "", "", IF(AC75, "reversal", IF(ABS(AA75) &gt; ABS(AG75) + 0.001, "amplification", IF(ABS(AA75) &lt; ABS(AG75) - 0.001, "compression", "neutral"))))</f>
        <v>neutral</v>
      </c>
      <c r="AL75" s="3">
        <f>IF(AG75 = "", "", IF(ABS(AG75) + AD75 = 0, 1, ABS(AG75) / (ABS(AG75) + AD75)))</f>
        <v>0.9999999999999968</v>
      </c>
      <c r="AM75" s="3" t="e">
        <f>LOOKUP(C75, SweepStudySummary[SweepStudyId], SweepStudySummary[PooledGapCrossesZero])</f>
        <v>#VALUE!</v>
      </c>
      <c r="AN75" s="3" t="e">
        <f>LOOKUP(C75, SweepStudySummary[SweepStudyId], SweepStudySummary[SweepPooledGapRange])</f>
        <v>#VALUE!</v>
      </c>
      <c r="AO75" s="3" t="e">
        <f>IF(AE75 = "", "", AND(AE75 = "D", AM75 = TRUE))</f>
        <v>#VALUE!</v>
      </c>
      <c r="AP75" s="3" t="e">
        <f>IF(OR(AN75 = "", T75 = "", T75 = 0), "", AN75 / ABS(T75))</f>
        <v>#VALUE!</v>
      </c>
      <c r="AQ75" s="3" t="e">
        <f>LOOKUP(C75, Studies[StudyId], Studies[Domain])</f>
        <v>#VALUE!</v>
      </c>
      <c r="AR75" s="5">
        <f>COUNTIFS(StratumVariables!C2:C999, C75,StratumVariables!E2:E999, "confounder")</f>
        <v>1</v>
      </c>
      <c r="AS75" s="5">
        <f>COUNTIFS(StratumVariables!C2:C999, C75,StratumVariables!J2:J999, "mediator") + COUNTIFS(StratumVariables!C2:C999, C75,StratumVariables!J2:J999, "collider")</f>
        <v>0</v>
      </c>
      <c r="AT75" s="5">
        <f>COUNTIFS(StratumVariables!C2:C999, C75,StratumVariables!E2:E999, "contested")</f>
        <v>0</v>
      </c>
      <c r="AU75" s="5">
        <f>COUNTIFS(StratumVariables!C2:C999, C75,StratumVariables!E2:E999, "unknown")</f>
        <v>0</v>
      </c>
      <c r="AV75" s="3" t="str">
        <f>IF(AT75 &gt; 0, "contested", IF(AU75 &gt; 0, "geometric-only", IF(AR75 &gt; 0, "established", "geometric-only")))</f>
        <v>established</v>
      </c>
      <c r="AW75" s="3" t="b">
        <f>AND(AS75 = 0, AV75 = "established")</f>
        <v>1</v>
      </c>
      <c r="AX75" s="2" t="s">
        <v>2654</v>
      </c>
    </row>
    <row r="76">
      <c r="A76" s="2" t="s">
        <v>2715</v>
      </c>
      <c r="B76" s="3" t="str">
        <f>A76</f>
        <v>nypd-stop-frisk-hitrate-A-vs-B</v>
      </c>
      <c r="C76" s="2" t="s">
        <v>699</v>
      </c>
      <c r="D76" s="2" t="s">
        <v>792</v>
      </c>
      <c r="E76" s="2" t="s">
        <v>795</v>
      </c>
      <c r="F76" s="5">
        <f>SUMIFS(CaseCells!G2:G999,CaseCells!C2:C999, C76,CaseCells!E2:E999, D76)</f>
        <v>10000</v>
      </c>
      <c r="G76" s="5">
        <f>SUMIFS(CaseCells!F2:F999,CaseCells!C2:C999, C76,CaseCells!E2:E999, D76)</f>
        <v>365</v>
      </c>
      <c r="H76" s="3">
        <f>IF(F76 = 0, "", G76 / F76)</f>
        <v>0.0365</v>
      </c>
      <c r="I76" s="5">
        <f>SUMIFS(CaseCells!G2:G999,CaseCells!C2:C999, C76,CaseCells!E2:E999, E76)</f>
        <v>8500</v>
      </c>
      <c r="J76" s="5">
        <f>SUMIFS(CaseCells!F2:F999,CaseCells!C2:C999, C76,CaseCells!E2:E999, E76)</f>
        <v>352</v>
      </c>
      <c r="K76" s="3">
        <f>IF(I76 = 0, "", J76 / I76)</f>
        <v>0.041411764705882356</v>
      </c>
      <c r="L76" s="3" t="str">
        <f>IF(OR(H76 = "", K76 = ""), "", IF(ABS(H76 - K76) &lt; 0.0000001, "tie", IF(H76 &gt; K76, D76, E76)))</f>
        <v>B</v>
      </c>
      <c r="M76" s="5">
        <f>COUNTIFS(StratumSummaries!C2:C999, C76,StratumSummaries!E2:E999, D76)</f>
        <v>2</v>
      </c>
      <c r="N76" s="5">
        <f>COUNTIFS(StratumSummaries!C2:C999, C76,StratumSummaries!E2:E999, D76,StratumSummaries!O2:O999, D76)</f>
        <v>0</v>
      </c>
      <c r="O76" s="5">
        <f>COUNTIFS(StratumSummaries!C2:C999, C76,StratumSummaries!E2:E999, D76,StratumSummaries!O2:O999, E76)</f>
        <v>2</v>
      </c>
      <c r="P76" s="3" t="str">
        <f>IF(N76 = M76, D76, IF(O76 = M76, E76, "none"))</f>
        <v>B</v>
      </c>
      <c r="Q76" s="3" t="b">
        <f>IF(AC76 = "", "", AC76)</f>
        <v>0</v>
      </c>
      <c r="R76" s="5">
        <f>COUNTIFS(StratumVariables!C2:C999, C76,StratumVariables!H2:H999, TRUE())</f>
        <v>1</v>
      </c>
      <c r="S76" s="3" t="b">
        <f>AND(Q76, R76 &gt; 0)</f>
        <v>0</v>
      </c>
      <c r="T76" s="3">
        <f>IF(H76 = "", "", ABS(H76 - K76))</f>
        <v>0.0049117647058823585</v>
      </c>
      <c r="U76" s="5">
        <f>IF(L76 = D76, O76, N76)</f>
        <v>0</v>
      </c>
      <c r="V76" s="3">
        <f>IF(M76 = 0, "", T76 * (U76 / M76))</f>
        <v>0</v>
      </c>
      <c r="W76" s="3">
        <f>SUMIFS(StratumSummaries!S2:S999,StratumSummaries!C2:C999, C76,StratumSummaries!E2:E999, D76)</f>
        <v>0.03668918918918919</v>
      </c>
      <c r="X76" s="3">
        <f>SUMIFS(StratumSummaries!S2:S999,StratumSummaries!C2:C999, C76,StratumSummaries!E2:E999, E76)</f>
        <v>0.04151351351351352</v>
      </c>
      <c r="Y76" s="3">
        <f>IF(M76 = 0, "", U76 / M76)</f>
        <v>0</v>
      </c>
      <c r="Z76" s="3">
        <f>IF(M76 = 0, "", Y76 - 0.5)</f>
        <v>-0.5</v>
      </c>
      <c r="AA76" s="3">
        <f>IF(H76 = "", "", H76 - K76)</f>
        <v>-0.0049117647058823585</v>
      </c>
      <c r="AB76" s="3">
        <f>SUMIFS(StratumSummaries!AB2:AB999,StratumSummaries!C2:C999, C76,StratumSummaries!E2:E999, D76)</f>
        <v>-0.004824324324324325</v>
      </c>
      <c r="AC76" s="3" t="b">
        <f>IF(AB76 = "", "", IF(AB76 &gt; 0, AA76 &lt; 0, AA76 &gt; 0))</f>
        <v>0</v>
      </c>
      <c r="AD76" s="3">
        <f>IF(AB76 = "", "", ABS(AB76 - AA76))</f>
        <v>8.744038155803369E-05</v>
      </c>
      <c r="AE76" s="3" t="str">
        <f>IF(AD76 = "", "", IF(AC76, IF(AND(AB76 &lt;&gt; 0, AA76 / AB76 &lt; -1), "B", IF(AND(AB76 &lt;&gt; 0, AA76 / AB76 &lt; 0), "A", IF(Y76 = 1, "A", "B"))), IF(AND(NOT(AC76), AD76 &gt; 0.01, ABS(AA76) &gt; ABS(AG76) + 0.001), "C+", IF(AND(NOT(AC76), AD76 &gt; 0.01, ABS(AA76) &lt; ABS(AG76) - 0.001), "C-", "D"))))</f>
        <v>D</v>
      </c>
      <c r="AF76" s="3" t="str">
        <f>IF(AE76 = "", "", IF(AE76 = "A", "stratify-immediately", IF(AE76 = "B", "investigate-confounder", IF(OR(AE76 = "C+", AE76 = "C-"), "check-allocation-bias", "pooled-analysis-trustworthy"))))</f>
        <v>pooled-analysis-trustworthy</v>
      </c>
      <c r="AG76" s="3">
        <f>AB76</f>
        <v>-0.004824324324324325</v>
      </c>
      <c r="AH76" s="3" t="str">
        <f>IF(AG76 = "", "", IF(ABS(AG76) &lt; 0.0001, "tie", IF(AG76 &gt; 0, D76, IF(AG76 &lt; 0, E76, "tie"))))</f>
        <v>B</v>
      </c>
      <c r="AI76" s="3" t="b">
        <f>IF(AH76 = "", "", AH76 = L76)</f>
        <v>1</v>
      </c>
      <c r="AJ76" s="3" t="str">
        <f>IF(AE76 = "", "", IF(AE76 = "A", "use-corrected-winner", IF(AE76 = "B", "use-corrected-winner-with-caution", IF(OR(AE76 = "C+", AE76 = "C-"), "check-allocation-bias", "pooled-analysis-trustworthy"))))</f>
        <v>pooled-analysis-trustworthy</v>
      </c>
      <c r="AK76" s="3" t="str">
        <f>IF(AG76 = "", "", IF(AC76, "reversal", IF(ABS(AA76) &gt; ABS(AG76) + 0.001, "amplification", IF(ABS(AA76) &lt; ABS(AG76) - 0.001, "compression", "neutral"))))</f>
        <v>neutral</v>
      </c>
      <c r="AL76" s="3">
        <f>IF(AG76 = "", "", IF(ABS(AG76) + AD76 = 0, 1, ABS(AG76) / (ABS(AG76) + AD76)))</f>
        <v>0.9821977666289033</v>
      </c>
      <c r="AM76" s="3" t="e">
        <f>LOOKUP(C76, SweepStudySummary[SweepStudyId], SweepStudySummary[PooledGapCrossesZero])</f>
        <v>#VALUE!</v>
      </c>
      <c r="AN76" s="3" t="e">
        <f>LOOKUP(C76, SweepStudySummary[SweepStudyId], SweepStudySummary[SweepPooledGapRange])</f>
        <v>#VALUE!</v>
      </c>
      <c r="AO76" s="3" t="e">
        <f>IF(AE76 = "", "", AND(AE76 = "D", AM76 = TRUE))</f>
        <v>#VALUE!</v>
      </c>
      <c r="AP76" s="3" t="e">
        <f>IF(OR(AN76 = "", T76 = "", T76 = 0), "", AN76 / ABS(T76))</f>
        <v>#VALUE!</v>
      </c>
      <c r="AQ76" s="3" t="e">
        <f>LOOKUP(C76, Studies[StudyId], Studies[Domain])</f>
        <v>#VALUE!</v>
      </c>
      <c r="AR76" s="5">
        <f>COUNTIFS(StratumVariables!C2:C999, C76,StratumVariables!E2:E999, "confounder")</f>
        <v>1</v>
      </c>
      <c r="AS76" s="5">
        <f>COUNTIFS(StratumVariables!C2:C999, C76,StratumVariables!J2:J999, "mediator") + COUNTIFS(StratumVariables!C2:C999, C76,StratumVariables!J2:J999, "collider")</f>
        <v>0</v>
      </c>
      <c r="AT76" s="5">
        <f>COUNTIFS(StratumVariables!C2:C999, C76,StratumVariables!E2:E999, "contested")</f>
        <v>0</v>
      </c>
      <c r="AU76" s="5">
        <f>COUNTIFS(StratumVariables!C2:C999, C76,StratumVariables!E2:E999, "unknown")</f>
        <v>0</v>
      </c>
      <c r="AV76" s="3" t="str">
        <f>IF(AT76 &gt; 0, "contested", IF(AU76 &gt; 0, "geometric-only", IF(AR76 &gt; 0, "established", "geometric-only")))</f>
        <v>established</v>
      </c>
      <c r="AW76" s="3" t="b">
        <f>AND(AS76 = 0, AV76 = "established")</f>
        <v>1</v>
      </c>
      <c r="AX76" s="2" t="s">
        <v>2654</v>
      </c>
    </row>
    <row r="77">
      <c r="A77" s="2" t="s">
        <v>2716</v>
      </c>
      <c r="B77" s="3" t="str">
        <f>A77</f>
        <v>sentencing-offense-type-A-vs-B</v>
      </c>
      <c r="C77" s="2" t="s">
        <v>703</v>
      </c>
      <c r="D77" s="2" t="s">
        <v>792</v>
      </c>
      <c r="E77" s="2" t="s">
        <v>795</v>
      </c>
      <c r="F77" s="5">
        <f>SUMIFS(CaseCells!G2:G999,CaseCells!C2:C999, C77,CaseCells!E2:E999, D77)</f>
        <v>2000</v>
      </c>
      <c r="G77" s="5">
        <f>SUMIFS(CaseCells!F2:F999,CaseCells!C2:C999, C77,CaseCells!E2:E999, D77)</f>
        <v>1200</v>
      </c>
      <c r="H77" s="3">
        <f>IF(F77 = 0, "", G77 / F77)</f>
        <v>0.6</v>
      </c>
      <c r="I77" s="5">
        <f>SUMIFS(CaseCells!G2:G999,CaseCells!C2:C999, C77,CaseCells!E2:E999, E77)</f>
        <v>2000</v>
      </c>
      <c r="J77" s="5">
        <f>SUMIFS(CaseCells!F2:F999,CaseCells!C2:C999, C77,CaseCells!E2:E999, E77)</f>
        <v>1170</v>
      </c>
      <c r="K77" s="3">
        <f>IF(I77 = 0, "", J77 / I77)</f>
        <v>0.585</v>
      </c>
      <c r="L77" s="3" t="str">
        <f>IF(OR(H77 = "", K77 = ""), "", IF(ABS(H77 - K77) &lt; 0.0000001, "tie", IF(H77 &gt; K77, D77, E77)))</f>
        <v>A</v>
      </c>
      <c r="M77" s="5">
        <f>COUNTIFS(StratumSummaries!C2:C999, C77,StratumSummaries!E2:E999, D77)</f>
        <v>2</v>
      </c>
      <c r="N77" s="5">
        <f>COUNTIFS(StratumSummaries!C2:C999, C77,StratumSummaries!E2:E999, D77,StratumSummaries!O2:O999, D77)</f>
        <v>1</v>
      </c>
      <c r="O77" s="5">
        <f>COUNTIFS(StratumSummaries!C2:C999, C77,StratumSummaries!E2:E999, D77,StratumSummaries!O2:O999, E77)</f>
        <v>1</v>
      </c>
      <c r="P77" s="3" t="str">
        <f>IF(N77 = M77, D77, IF(O77 = M77, E77, "none"))</f>
        <v>none</v>
      </c>
      <c r="Q77" s="3" t="b">
        <f>IF(AC77 = "", "", AC77)</f>
        <v>0</v>
      </c>
      <c r="R77" s="5">
        <f>COUNTIFS(StratumVariables!C2:C999, C77,StratumVariables!H2:H999, TRUE())</f>
        <v>1</v>
      </c>
      <c r="S77" s="3" t="b">
        <f>AND(Q77, R77 &gt; 0)</f>
        <v>0</v>
      </c>
      <c r="T77" s="3">
        <f>IF(H77 = "", "", ABS(H77 - K77))</f>
        <v>0.015000000000000013</v>
      </c>
      <c r="U77" s="5">
        <f>IF(L77 = D77, O77, N77)</f>
        <v>1</v>
      </c>
      <c r="V77" s="3">
        <f>IF(M77 = 0, "", T77 * (U77 / M77))</f>
        <v>0.007500000000000007</v>
      </c>
      <c r="W77" s="3">
        <f>SUMIFS(StratumSummaries!S2:S999,StratumSummaries!C2:C999, C77,StratumSummaries!E2:E999, D77)</f>
        <v>0.6000000000000001</v>
      </c>
      <c r="X77" s="3">
        <f>SUMIFS(StratumSummaries!S2:S999,StratumSummaries!C2:C999, C77,StratumSummaries!E2:E999, E77)</f>
        <v>0.585</v>
      </c>
      <c r="Y77" s="3">
        <f>IF(M77 = 0, "", U77 / M77)</f>
        <v>0.5</v>
      </c>
      <c r="Z77" s="3">
        <f>IF(M77 = 0, "", Y77 - 0.5)</f>
        <v>0</v>
      </c>
      <c r="AA77" s="3">
        <f>IF(H77 = "", "", H77 - K77)</f>
        <v>0.015000000000000013</v>
      </c>
      <c r="AB77" s="3">
        <f>SUMIFS(StratumSummaries!AB2:AB999,StratumSummaries!C2:C999, C77,StratumSummaries!E2:E999, D77)</f>
        <v>0.015000000000000041</v>
      </c>
      <c r="AC77" s="3" t="b">
        <f>IF(AB77 = "", "", IF(AB77 &gt; 0, AA77 &lt; 0, AA77 &gt; 0))</f>
        <v>0</v>
      </c>
      <c r="AD77" s="3">
        <f>IF(AB77 = "", "", ABS(AB77 - AA77))</f>
        <v>2.7755575615628914E-17</v>
      </c>
      <c r="AE77" s="3" t="str">
        <f>IF(AD77 = "", "", IF(AC77, IF(AND(AB77 &lt;&gt; 0, AA77 / AB77 &lt; -1), "B", IF(AND(AB77 &lt;&gt; 0, AA77 / AB77 &lt; 0), "A", IF(Y77 = 1, "A", "B"))), IF(AND(NOT(AC77), AD77 &gt; 0.01, ABS(AA77) &gt; ABS(AG77) + 0.001), "C+", IF(AND(NOT(AC77), AD77 &gt; 0.01, ABS(AA77) &lt; ABS(AG77) - 0.001), "C-", "D"))))</f>
        <v>D</v>
      </c>
      <c r="AF77" s="3" t="str">
        <f>IF(AE77 = "", "", IF(AE77 = "A", "stratify-immediately", IF(AE77 = "B", "investigate-confounder", IF(OR(AE77 = "C+", AE77 = "C-"), "check-allocation-bias", "pooled-analysis-trustworthy"))))</f>
        <v>pooled-analysis-trustworthy</v>
      </c>
      <c r="AG77" s="3">
        <f>AB77</f>
        <v>0.015000000000000041</v>
      </c>
      <c r="AH77" s="3" t="str">
        <f>IF(AG77 = "", "", IF(ABS(AG77) &lt; 0.0001, "tie", IF(AG77 &gt; 0, D77, IF(AG77 &lt; 0, E77, "tie"))))</f>
        <v>A</v>
      </c>
      <c r="AI77" s="3" t="b">
        <f>IF(AH77 = "", "", AH77 = L77)</f>
        <v>1</v>
      </c>
      <c r="AJ77" s="3" t="str">
        <f>IF(AE77 = "", "", IF(AE77 = "A", "use-corrected-winner", IF(AE77 = "B", "use-corrected-winner-with-caution", IF(OR(AE77 = "C+", AE77 = "C-"), "check-allocation-bias", "pooled-analysis-trustworthy"))))</f>
        <v>pooled-analysis-trustworthy</v>
      </c>
      <c r="AK77" s="3" t="str">
        <f>IF(AG77 = "", "", IF(AC77, "reversal", IF(ABS(AA77) &gt; ABS(AG77) + 0.001, "amplification", IF(ABS(AA77) &lt; ABS(AG77) - 0.001, "compression", "neutral"))))</f>
        <v>neutral</v>
      </c>
      <c r="AL77" s="3">
        <f>IF(AG77 = "", "", IF(ABS(AG77) + AD77 = 0, 1, ABS(AG77) / (ABS(AG77) + AD77)))</f>
        <v>0.9999999999999981</v>
      </c>
      <c r="AM77" s="3" t="e">
        <f>LOOKUP(C77, SweepStudySummary[SweepStudyId], SweepStudySummary[PooledGapCrossesZero])</f>
        <v>#VALUE!</v>
      </c>
      <c r="AN77" s="3" t="e">
        <f>LOOKUP(C77, SweepStudySummary[SweepStudyId], SweepStudySummary[SweepPooledGapRange])</f>
        <v>#VALUE!</v>
      </c>
      <c r="AO77" s="3" t="e">
        <f>IF(AE77 = "", "", AND(AE77 = "D", AM77 = TRUE))</f>
        <v>#VALUE!</v>
      </c>
      <c r="AP77" s="3" t="e">
        <f>IF(OR(AN77 = "", T77 = "", T77 = 0), "", AN77 / ABS(T77))</f>
        <v>#VALUE!</v>
      </c>
      <c r="AQ77" s="3" t="e">
        <f>LOOKUP(C77, Studies[StudyId], Studies[Domain])</f>
        <v>#VALUE!</v>
      </c>
      <c r="AR77" s="5">
        <f>COUNTIFS(StratumVariables!C2:C999, C77,StratumVariables!E2:E999, "confounder")</f>
        <v>1</v>
      </c>
      <c r="AS77" s="5">
        <f>COUNTIFS(StratumVariables!C2:C999, C77,StratumVariables!J2:J999, "mediator") + COUNTIFS(StratumVariables!C2:C999, C77,StratumVariables!J2:J999, "collider")</f>
        <v>0</v>
      </c>
      <c r="AT77" s="5">
        <f>COUNTIFS(StratumVariables!C2:C999, C77,StratumVariables!E2:E999, "contested")</f>
        <v>0</v>
      </c>
      <c r="AU77" s="5">
        <f>COUNTIFS(StratumVariables!C2:C999, C77,StratumVariables!E2:E999, "unknown")</f>
        <v>0</v>
      </c>
      <c r="AV77" s="3" t="str">
        <f>IF(AT77 &gt; 0, "contested", IF(AU77 &gt; 0, "geometric-only", IF(AR77 &gt; 0, "established", "geometric-only")))</f>
        <v>established</v>
      </c>
      <c r="AW77" s="3" t="b">
        <f>AND(AS77 = 0, AV77 = "established")</f>
        <v>1</v>
      </c>
      <c r="AX77" s="2" t="s">
        <v>2654</v>
      </c>
    </row>
    <row r="78">
      <c r="A78" s="2" t="s">
        <v>2717</v>
      </c>
      <c r="B78" s="3" t="str">
        <f>A78</f>
        <v>bail-risk-score-A-vs-B</v>
      </c>
      <c r="C78" s="2" t="s">
        <v>707</v>
      </c>
      <c r="D78" s="2" t="s">
        <v>792</v>
      </c>
      <c r="E78" s="2" t="s">
        <v>795</v>
      </c>
      <c r="F78" s="5">
        <f>SUMIFS(CaseCells!G2:G999,CaseCells!C2:C999, C78,CaseCells!E2:E999, D78)</f>
        <v>2000</v>
      </c>
      <c r="G78" s="5">
        <f>SUMIFS(CaseCells!F2:F999,CaseCells!C2:C999, C78,CaseCells!E2:E999, D78)</f>
        <v>570</v>
      </c>
      <c r="H78" s="3">
        <f>IF(F78 = 0, "", G78 / F78)</f>
        <v>0.285</v>
      </c>
      <c r="I78" s="5">
        <f>SUMIFS(CaseCells!G2:G999,CaseCells!C2:C999, C78,CaseCells!E2:E999, E78)</f>
        <v>2000</v>
      </c>
      <c r="J78" s="5">
        <f>SUMIFS(CaseCells!F2:F999,CaseCells!C2:C999, C78,CaseCells!E2:E999, E78)</f>
        <v>670</v>
      </c>
      <c r="K78" s="3">
        <f>IF(I78 = 0, "", J78 / I78)</f>
        <v>0.335</v>
      </c>
      <c r="L78" s="3" t="str">
        <f>IF(OR(H78 = "", K78 = ""), "", IF(ABS(H78 - K78) &lt; 0.0000001, "tie", IF(H78 &gt; K78, D78, E78)))</f>
        <v>B</v>
      </c>
      <c r="M78" s="5">
        <f>COUNTIFS(StratumSummaries!C2:C999, C78,StratumSummaries!E2:E999, D78)</f>
        <v>2</v>
      </c>
      <c r="N78" s="5">
        <f>COUNTIFS(StratumSummaries!C2:C999, C78,StratumSummaries!E2:E999, D78,StratumSummaries!O2:O999, D78)</f>
        <v>0</v>
      </c>
      <c r="O78" s="5">
        <f>COUNTIFS(StratumSummaries!C2:C999, C78,StratumSummaries!E2:E999, D78,StratumSummaries!O2:O999, E78)</f>
        <v>2</v>
      </c>
      <c r="P78" s="3" t="str">
        <f>IF(N78 = M78, D78, IF(O78 = M78, E78, "none"))</f>
        <v>B</v>
      </c>
      <c r="Q78" s="3" t="b">
        <f>IF(AC78 = "", "", AC78)</f>
        <v>0</v>
      </c>
      <c r="R78" s="5">
        <f>COUNTIFS(StratumVariables!C2:C999, C78,StratumVariables!H2:H999, TRUE())</f>
        <v>1</v>
      </c>
      <c r="S78" s="3" t="b">
        <f>AND(Q78, R78 &gt; 0)</f>
        <v>0</v>
      </c>
      <c r="T78" s="3">
        <f>IF(H78 = "", "", ABS(H78 - K78))</f>
        <v>0.050000000000000044</v>
      </c>
      <c r="U78" s="5">
        <f>IF(L78 = D78, O78, N78)</f>
        <v>0</v>
      </c>
      <c r="V78" s="3">
        <f>IF(M78 = 0, "", T78 * (U78 / M78))</f>
        <v>0</v>
      </c>
      <c r="W78" s="3">
        <f>SUMIFS(StratumSummaries!S2:S999,StratumSummaries!C2:C999, C78,StratumSummaries!E2:E999, D78)</f>
        <v>0.28500000000000003</v>
      </c>
      <c r="X78" s="3">
        <f>SUMIFS(StratumSummaries!S2:S999,StratumSummaries!C2:C999, C78,StratumSummaries!E2:E999, E78)</f>
        <v>0.335</v>
      </c>
      <c r="Y78" s="3">
        <f>IF(M78 = 0, "", U78 / M78)</f>
        <v>0</v>
      </c>
      <c r="Z78" s="3">
        <f>IF(M78 = 0, "", Y78 - 0.5)</f>
        <v>-0.5</v>
      </c>
      <c r="AA78" s="3">
        <f>IF(H78 = "", "", H78 - K78)</f>
        <v>-0.050000000000000044</v>
      </c>
      <c r="AB78" s="3">
        <f>SUMIFS(StratumSummaries!AB2:AB999,StratumSummaries!C2:C999, C78,StratumSummaries!E2:E999, D78)</f>
        <v>-0.05</v>
      </c>
      <c r="AC78" s="3" t="b">
        <f>IF(AB78 = "", "", IF(AB78 &gt; 0, AA78 &lt; 0, AA78 &gt; 0))</f>
        <v>0</v>
      </c>
      <c r="AD78" s="3">
        <f>IF(AB78 = "", "", ABS(AB78 - AA78))</f>
        <v>4.163336342344337E-17</v>
      </c>
      <c r="AE78" s="3" t="str">
        <f>IF(AD78 = "", "", IF(AC78, IF(AND(AB78 &lt;&gt; 0, AA78 / AB78 &lt; -1), "B", IF(AND(AB78 &lt;&gt; 0, AA78 / AB78 &lt; 0), "A", IF(Y78 = 1, "A", "B"))), IF(AND(NOT(AC78), AD78 &gt; 0.01, ABS(AA78) &gt; ABS(AG78) + 0.001), "C+", IF(AND(NOT(AC78), AD78 &gt; 0.01, ABS(AA78) &lt; ABS(AG78) - 0.001), "C-", "D"))))</f>
        <v>D</v>
      </c>
      <c r="AF78" s="3" t="str">
        <f>IF(AE78 = "", "", IF(AE78 = "A", "stratify-immediately", IF(AE78 = "B", "investigate-confounder", IF(OR(AE78 = "C+", AE78 = "C-"), "check-allocation-bias", "pooled-analysis-trustworthy"))))</f>
        <v>pooled-analysis-trustworthy</v>
      </c>
      <c r="AG78" s="3">
        <f>AB78</f>
        <v>-0.05</v>
      </c>
      <c r="AH78" s="3" t="str">
        <f>IF(AG78 = "", "", IF(ABS(AG78) &lt; 0.0001, "tie", IF(AG78 &gt; 0, D78, IF(AG78 &lt; 0, E78, "tie"))))</f>
        <v>B</v>
      </c>
      <c r="AI78" s="3" t="b">
        <f>IF(AH78 = "", "", AH78 = L78)</f>
        <v>1</v>
      </c>
      <c r="AJ78" s="3" t="str">
        <f>IF(AE78 = "", "", IF(AE78 = "A", "use-corrected-winner", IF(AE78 = "B", "use-corrected-winner-with-caution", IF(OR(AE78 = "C+", AE78 = "C-"), "check-allocation-bias", "pooled-analysis-trustworthy"))))</f>
        <v>pooled-analysis-trustworthy</v>
      </c>
      <c r="AK78" s="3" t="str">
        <f>IF(AG78 = "", "", IF(AC78, "reversal", IF(ABS(AA78) &gt; ABS(AG78) + 0.001, "amplification", IF(ABS(AA78) &lt; ABS(AG78) - 0.001, "compression", "neutral"))))</f>
        <v>neutral</v>
      </c>
      <c r="AL78" s="3">
        <f>IF(AG78 = "", "", IF(ABS(AG78) + AD78 = 0, 1, ABS(AG78) / (ABS(AG78) + AD78)))</f>
        <v>0.9999999999999992</v>
      </c>
      <c r="AM78" s="3" t="e">
        <f>LOOKUP(C78, SweepStudySummary[SweepStudyId], SweepStudySummary[PooledGapCrossesZero])</f>
        <v>#VALUE!</v>
      </c>
      <c r="AN78" s="3" t="e">
        <f>LOOKUP(C78, SweepStudySummary[SweepStudyId], SweepStudySummary[SweepPooledGapRange])</f>
        <v>#VALUE!</v>
      </c>
      <c r="AO78" s="3" t="e">
        <f>IF(AE78 = "", "", AND(AE78 = "D", AM78 = TRUE))</f>
        <v>#VALUE!</v>
      </c>
      <c r="AP78" s="3" t="e">
        <f>IF(OR(AN78 = "", T78 = "", T78 = 0), "", AN78 / ABS(T78))</f>
        <v>#VALUE!</v>
      </c>
      <c r="AQ78" s="3" t="e">
        <f>LOOKUP(C78, Studies[StudyId], Studies[Domain])</f>
        <v>#VALUE!</v>
      </c>
      <c r="AR78" s="5">
        <f>COUNTIFS(StratumVariables!C2:C999, C78,StratumVariables!E2:E999, "confounder")</f>
        <v>1</v>
      </c>
      <c r="AS78" s="5">
        <f>COUNTIFS(StratumVariables!C2:C999, C78,StratumVariables!J2:J999, "mediator") + COUNTIFS(StratumVariables!C2:C999, C78,StratumVariables!J2:J999, "collider")</f>
        <v>0</v>
      </c>
      <c r="AT78" s="5">
        <f>COUNTIFS(StratumVariables!C2:C999, C78,StratumVariables!E2:E999, "contested")</f>
        <v>0</v>
      </c>
      <c r="AU78" s="5">
        <f>COUNTIFS(StratumVariables!C2:C999, C78,StratumVariables!E2:E999, "unknown")</f>
        <v>0</v>
      </c>
      <c r="AV78" s="3" t="str">
        <f>IF(AT78 &gt; 0, "contested", IF(AU78 &gt; 0, "geometric-only", IF(AR78 &gt; 0, "established", "geometric-only")))</f>
        <v>established</v>
      </c>
      <c r="AW78" s="3" t="b">
        <f>AND(AS78 = 0, AV78 = "established")</f>
        <v>1</v>
      </c>
      <c r="AX78" s="2" t="s">
        <v>2654</v>
      </c>
    </row>
    <row r="79">
      <c r="A79" s="2" t="s">
        <v>2718</v>
      </c>
      <c r="B79" s="3" t="str">
        <f>A79</f>
        <v>police-force-encounter-A-vs-B</v>
      </c>
      <c r="C79" s="2" t="s">
        <v>711</v>
      </c>
      <c r="D79" s="2" t="s">
        <v>792</v>
      </c>
      <c r="E79" s="2" t="s">
        <v>795</v>
      </c>
      <c r="F79" s="5">
        <f>SUMIFS(CaseCells!G2:G999,CaseCells!C2:C999, C79,CaseCells!E2:E999, D79)</f>
        <v>2000</v>
      </c>
      <c r="G79" s="5">
        <f>SUMIFS(CaseCells!F2:F999,CaseCells!C2:C999, C79,CaseCells!E2:E999, D79)</f>
        <v>580</v>
      </c>
      <c r="H79" s="3">
        <f>IF(F79 = 0, "", G79 / F79)</f>
        <v>0.29</v>
      </c>
      <c r="I79" s="5">
        <f>SUMIFS(CaseCells!G2:G999,CaseCells!C2:C999, C79,CaseCells!E2:E999, E79)</f>
        <v>2000</v>
      </c>
      <c r="J79" s="5">
        <f>SUMIFS(CaseCells!F2:F999,CaseCells!C2:C999, C79,CaseCells!E2:E999, E79)</f>
        <v>170</v>
      </c>
      <c r="K79" s="3">
        <f>IF(I79 = 0, "", J79 / I79)</f>
        <v>0.085</v>
      </c>
      <c r="L79" s="3" t="str">
        <f>IF(OR(H79 = "", K79 = ""), "", IF(ABS(H79 - K79) &lt; 0.0000001, "tie", IF(H79 &gt; K79, D79, E79)))</f>
        <v>A</v>
      </c>
      <c r="M79" s="5">
        <f>COUNTIFS(StratumSummaries!C2:C999, C79,StratumSummaries!E2:E999, D79)</f>
        <v>2</v>
      </c>
      <c r="N79" s="5">
        <f>COUNTIFS(StratumSummaries!C2:C999, C79,StratumSummaries!E2:E999, D79,StratumSummaries!O2:O999, D79)</f>
        <v>2</v>
      </c>
      <c r="O79" s="5">
        <f>COUNTIFS(StratumSummaries!C2:C999, C79,StratumSummaries!E2:E999, D79,StratumSummaries!O2:O999, E79)</f>
        <v>0</v>
      </c>
      <c r="P79" s="3" t="str">
        <f>IF(N79 = M79, D79, IF(O79 = M79, E79, "none"))</f>
        <v>A</v>
      </c>
      <c r="Q79" s="3" t="b">
        <f>IF(AC79 = "", "", AC79)</f>
        <v>0</v>
      </c>
      <c r="R79" s="5">
        <f>COUNTIFS(StratumVariables!C2:C999, C79,StratumVariables!H2:H999, TRUE())</f>
        <v>0</v>
      </c>
      <c r="S79" s="3" t="b">
        <f>AND(Q79, R79 &gt; 0)</f>
        <v>0</v>
      </c>
      <c r="T79" s="3">
        <f>IF(H79 = "", "", ABS(H79 - K79))</f>
        <v>0.20499999999999996</v>
      </c>
      <c r="U79" s="5">
        <f>IF(L79 = D79, O79, N79)</f>
        <v>0</v>
      </c>
      <c r="V79" s="3">
        <f>IF(M79 = 0, "", T79 * (U79 / M79))</f>
        <v>0</v>
      </c>
      <c r="W79" s="3">
        <f>SUMIFS(StratumSummaries!S2:S999,StratumSummaries!C2:C999, C79,StratumSummaries!E2:E999, D79)</f>
        <v>0.29000000000000004</v>
      </c>
      <c r="X79" s="3">
        <f>SUMIFS(StratumSummaries!S2:S999,StratumSummaries!C2:C999, C79,StratumSummaries!E2:E999, E79)</f>
        <v>0.08499999999999999</v>
      </c>
      <c r="Y79" s="3">
        <f>IF(M79 = 0, "", U79 / M79)</f>
        <v>0</v>
      </c>
      <c r="Z79" s="3">
        <f>IF(M79 = 0, "", Y79 - 0.5)</f>
        <v>-0.5</v>
      </c>
      <c r="AA79" s="3">
        <f>IF(H79 = "", "", H79 - K79)</f>
        <v>0.20499999999999996</v>
      </c>
      <c r="AB79" s="3">
        <f>SUMIFS(StratumSummaries!AB2:AB999,StratumSummaries!C2:C999, C79,StratumSummaries!E2:E999, D79)</f>
        <v>0.20500000000000002</v>
      </c>
      <c r="AC79" s="3" t="b">
        <f>IF(AB79 = "", "", IF(AB79 &gt; 0, AA79 &lt; 0, AA79 &gt; 0))</f>
        <v>0</v>
      </c>
      <c r="AD79" s="3">
        <f>IF(AB79 = "", "", ABS(AB79 - AA79))</f>
        <v>5.551115123125783E-17</v>
      </c>
      <c r="AE79" s="3" t="str">
        <f>IF(AD79 = "", "", IF(AC79, IF(AND(AB79 &lt;&gt; 0, AA79 / AB79 &lt; -1), "B", IF(AND(AB79 &lt;&gt; 0, AA79 / AB79 &lt; 0), "A", IF(Y79 = 1, "A", "B"))), IF(AND(NOT(AC79), AD79 &gt; 0.01, ABS(AA79) &gt; ABS(AG79) + 0.001), "C+", IF(AND(NOT(AC79), AD79 &gt; 0.01, ABS(AA79) &lt; ABS(AG79) - 0.001), "C-", "D"))))</f>
        <v>D</v>
      </c>
      <c r="AF79" s="3" t="str">
        <f>IF(AE79 = "", "", IF(AE79 = "A", "stratify-immediately", IF(AE79 = "B", "investigate-confounder", IF(OR(AE79 = "C+", AE79 = "C-"), "check-allocation-bias", "pooled-analysis-trustworthy"))))</f>
        <v>pooled-analysis-trustworthy</v>
      </c>
      <c r="AG79" s="3">
        <f>AB79</f>
        <v>0.20500000000000002</v>
      </c>
      <c r="AH79" s="3" t="str">
        <f>IF(AG79 = "", "", IF(ABS(AG79) &lt; 0.0001, "tie", IF(AG79 &gt; 0, D79, IF(AG79 &lt; 0, E79, "tie"))))</f>
        <v>A</v>
      </c>
      <c r="AI79" s="3" t="b">
        <f>IF(AH79 = "", "", AH79 = L79)</f>
        <v>1</v>
      </c>
      <c r="AJ79" s="3" t="str">
        <f>IF(AE79 = "", "", IF(AE79 = "A", "use-corrected-winner", IF(AE79 = "B", "use-corrected-winner-with-caution", IF(OR(AE79 = "C+", AE79 = "C-"), "check-allocation-bias", "pooled-analysis-trustworthy"))))</f>
        <v>pooled-analysis-trustworthy</v>
      </c>
      <c r="AK79" s="3" t="str">
        <f>IF(AG79 = "", "", IF(AC79, "reversal", IF(ABS(AA79) &gt; ABS(AG79) + 0.001, "amplification", IF(ABS(AA79) &lt; ABS(AG79) - 0.001, "compression", "neutral"))))</f>
        <v>neutral</v>
      </c>
      <c r="AL79" s="3">
        <f>IF(AG79 = "", "", IF(ABS(AG79) + AD79 = 0, 1, ABS(AG79) / (ABS(AG79) + AD79)))</f>
        <v>0.9999999999999998</v>
      </c>
      <c r="AM79" s="3" t="e">
        <f>LOOKUP(C79, SweepStudySummary[SweepStudyId], SweepStudySummary[PooledGapCrossesZero])</f>
        <v>#VALUE!</v>
      </c>
      <c r="AN79" s="3" t="e">
        <f>LOOKUP(C79, SweepStudySummary[SweepStudyId], SweepStudySummary[SweepPooledGapRange])</f>
        <v>#VALUE!</v>
      </c>
      <c r="AO79" s="3" t="e">
        <f>IF(AE79 = "", "", AND(AE79 = "D", AM79 = TRUE))</f>
        <v>#VALUE!</v>
      </c>
      <c r="AP79" s="3" t="e">
        <f>IF(OR(AN79 = "", T79 = "", T79 = 0), "", AN79 / ABS(T79))</f>
        <v>#VALUE!</v>
      </c>
      <c r="AQ79" s="3" t="e">
        <f>LOOKUP(C79, Studies[StudyId], Studies[Domain])</f>
        <v>#VALUE!</v>
      </c>
      <c r="AR79" s="5">
        <f>COUNTIFS(StratumVariables!C2:C999, C79,StratumVariables!E2:E999, "confounder")</f>
        <v>0</v>
      </c>
      <c r="AS79" s="5">
        <f>COUNTIFS(StratumVariables!C2:C999, C79,StratumVariables!J2:J999, "mediator") + COUNTIFS(StratumVariables!C2:C999, C79,StratumVariables!J2:J999, "collider")</f>
        <v>1</v>
      </c>
      <c r="AT79" s="5">
        <f>COUNTIFS(StratumVariables!C2:C999, C79,StratumVariables!E2:E999, "contested")</f>
        <v>0</v>
      </c>
      <c r="AU79" s="5">
        <f>COUNTIFS(StratumVariables!C2:C999, C79,StratumVariables!E2:E999, "unknown")</f>
        <v>0</v>
      </c>
      <c r="AV79" s="3" t="str">
        <f>IF(AT79 &gt; 0, "contested", IF(AU79 &gt; 0, "geometric-only", IF(AR79 &gt; 0, "established", "geometric-only")))</f>
        <v>geometric-only</v>
      </c>
      <c r="AW79" s="3" t="b">
        <f>AND(AS79 = 0, AV79 = "established")</f>
        <v>0</v>
      </c>
      <c r="AX79" s="2" t="s">
        <v>2687</v>
      </c>
    </row>
    <row r="80">
      <c r="A80" s="2" t="s">
        <v>2719</v>
      </c>
      <c r="B80" s="3" t="str">
        <f>A80</f>
        <v>uc-systemwide-admissions-A-vs-B</v>
      </c>
      <c r="C80" s="2" t="s">
        <v>715</v>
      </c>
      <c r="D80" s="2" t="s">
        <v>792</v>
      </c>
      <c r="E80" s="2" t="s">
        <v>795</v>
      </c>
      <c r="F80" s="5">
        <f>SUMIFS(CaseCells!G2:G999,CaseCells!C2:C999, C80,CaseCells!E2:E999, D80)</f>
        <v>2000</v>
      </c>
      <c r="G80" s="5">
        <f>SUMIFS(CaseCells!F2:F999,CaseCells!C2:C999, C80,CaseCells!E2:E999, D80)</f>
        <v>770</v>
      </c>
      <c r="H80" s="3">
        <f>IF(F80 = 0, "", G80 / F80)</f>
        <v>0.385</v>
      </c>
      <c r="I80" s="5">
        <f>SUMIFS(CaseCells!G2:G999,CaseCells!C2:C999, C80,CaseCells!E2:E999, E80)</f>
        <v>2000</v>
      </c>
      <c r="J80" s="5">
        <f>SUMIFS(CaseCells!F2:F999,CaseCells!C2:C999, C80,CaseCells!E2:E999, E80)</f>
        <v>740</v>
      </c>
      <c r="K80" s="3">
        <f>IF(I80 = 0, "", J80 / I80)</f>
        <v>0.37</v>
      </c>
      <c r="L80" s="3" t="str">
        <f>IF(OR(H80 = "", K80 = ""), "", IF(ABS(H80 - K80) &lt; 0.0000001, "tie", IF(H80 &gt; K80, D80, E80)))</f>
        <v>A</v>
      </c>
      <c r="M80" s="5">
        <f>COUNTIFS(StratumSummaries!C2:C999, C80,StratumSummaries!E2:E999, D80)</f>
        <v>2</v>
      </c>
      <c r="N80" s="5">
        <f>COUNTIFS(StratumSummaries!C2:C999, C80,StratumSummaries!E2:E999, D80,StratumSummaries!O2:O999, D80)</f>
        <v>1</v>
      </c>
      <c r="O80" s="5">
        <f>COUNTIFS(StratumSummaries!C2:C999, C80,StratumSummaries!E2:E999, D80,StratumSummaries!O2:O999, E80)</f>
        <v>1</v>
      </c>
      <c r="P80" s="3" t="str">
        <f>IF(N80 = M80, D80, IF(O80 = M80, E80, "none"))</f>
        <v>none</v>
      </c>
      <c r="Q80" s="3" t="b">
        <f>IF(AC80 = "", "", AC80)</f>
        <v>0</v>
      </c>
      <c r="R80" s="5">
        <f>COUNTIFS(StratumVariables!C2:C999, C80,StratumVariables!H2:H999, TRUE())</f>
        <v>0</v>
      </c>
      <c r="S80" s="3" t="b">
        <f>AND(Q80, R80 &gt; 0)</f>
        <v>0</v>
      </c>
      <c r="T80" s="3">
        <f>IF(H80 = "", "", ABS(H80 - K80))</f>
        <v>0.015000000000000013</v>
      </c>
      <c r="U80" s="5">
        <f>IF(L80 = D80, O80, N80)</f>
        <v>1</v>
      </c>
      <c r="V80" s="3">
        <f>IF(M80 = 0, "", T80 * (U80 / M80))</f>
        <v>0.007500000000000007</v>
      </c>
      <c r="W80" s="3">
        <f>SUMIFS(StratumSummaries!S2:S999,StratumSummaries!C2:C999, C80,StratumSummaries!E2:E999, D80)</f>
        <v>0.385</v>
      </c>
      <c r="X80" s="3">
        <f>SUMIFS(StratumSummaries!S2:S999,StratumSummaries!C2:C999, C80,StratumSummaries!E2:E999, E80)</f>
        <v>0.37</v>
      </c>
      <c r="Y80" s="3">
        <f>IF(M80 = 0, "", U80 / M80)</f>
        <v>0.5</v>
      </c>
      <c r="Z80" s="3">
        <f>IF(M80 = 0, "", Y80 - 0.5)</f>
        <v>0</v>
      </c>
      <c r="AA80" s="3">
        <f>IF(H80 = "", "", H80 - K80)</f>
        <v>0.015000000000000013</v>
      </c>
      <c r="AB80" s="3">
        <f>SUMIFS(StratumSummaries!AB2:AB999,StratumSummaries!C2:C999, C80,StratumSummaries!E2:E999, D80)</f>
        <v>0.015000000000000013</v>
      </c>
      <c r="AC80" s="3" t="b">
        <f>IF(AB80 = "", "", IF(AB80 &gt; 0, AA80 &lt; 0, AA80 &gt; 0))</f>
        <v>0</v>
      </c>
      <c r="AD80" s="3">
        <f>IF(AB80 = "", "", ABS(AB80 - AA80))</f>
        <v>0</v>
      </c>
      <c r="AE80" s="3" t="str">
        <f>IF(AD80 = "", "", IF(AC80, IF(AND(AB80 &lt;&gt; 0, AA80 / AB80 &lt; -1), "B", IF(AND(AB80 &lt;&gt; 0, AA80 / AB80 &lt; 0), "A", IF(Y80 = 1, "A", "B"))), IF(AND(NOT(AC80), AD80 &gt; 0.01, ABS(AA80) &gt; ABS(AG80) + 0.001), "C+", IF(AND(NOT(AC80), AD80 &gt; 0.01, ABS(AA80) &lt; ABS(AG80) - 0.001), "C-", "D"))))</f>
        <v>D</v>
      </c>
      <c r="AF80" s="3" t="str">
        <f>IF(AE80 = "", "", IF(AE80 = "A", "stratify-immediately", IF(AE80 = "B", "investigate-confounder", IF(OR(AE80 = "C+", AE80 = "C-"), "check-allocation-bias", "pooled-analysis-trustworthy"))))</f>
        <v>pooled-analysis-trustworthy</v>
      </c>
      <c r="AG80" s="3">
        <f>AB80</f>
        <v>0.015000000000000013</v>
      </c>
      <c r="AH80" s="3" t="str">
        <f>IF(AG80 = "", "", IF(ABS(AG80) &lt; 0.0001, "tie", IF(AG80 &gt; 0, D80, IF(AG80 &lt; 0, E80, "tie"))))</f>
        <v>A</v>
      </c>
      <c r="AI80" s="3" t="b">
        <f>IF(AH80 = "", "", AH80 = L80)</f>
        <v>1</v>
      </c>
      <c r="AJ80" s="3" t="str">
        <f>IF(AE80 = "", "", IF(AE80 = "A", "use-corrected-winner", IF(AE80 = "B", "use-corrected-winner-with-caution", IF(OR(AE80 = "C+", AE80 = "C-"), "check-allocation-bias", "pooled-analysis-trustworthy"))))</f>
        <v>pooled-analysis-trustworthy</v>
      </c>
      <c r="AK80" s="3" t="str">
        <f>IF(AG80 = "", "", IF(AC80, "reversal", IF(ABS(AA80) &gt; ABS(AG80) + 0.001, "amplification", IF(ABS(AA80) &lt; ABS(AG80) - 0.001, "compression", "neutral"))))</f>
        <v>neutral</v>
      </c>
      <c r="AL80" s="3">
        <f>IF(AG80 = "", "", IF(ABS(AG80) + AD80 = 0, 1, ABS(AG80) / (ABS(AG80) + AD80)))</f>
        <v>1</v>
      </c>
      <c r="AM80" s="3" t="e">
        <f>LOOKUP(C80, SweepStudySummary[SweepStudyId], SweepStudySummary[PooledGapCrossesZero])</f>
        <v>#VALUE!</v>
      </c>
      <c r="AN80" s="3" t="e">
        <f>LOOKUP(C80, SweepStudySummary[SweepStudyId], SweepStudySummary[SweepPooledGapRange])</f>
        <v>#VALUE!</v>
      </c>
      <c r="AO80" s="3" t="e">
        <f>IF(AE80 = "", "", AND(AE80 = "D", AM80 = TRUE))</f>
        <v>#VALUE!</v>
      </c>
      <c r="AP80" s="3" t="e">
        <f>IF(OR(AN80 = "", T80 = "", T80 = 0), "", AN80 / ABS(T80))</f>
        <v>#VALUE!</v>
      </c>
      <c r="AQ80" s="3" t="e">
        <f>LOOKUP(C80, Studies[StudyId], Studies[Domain])</f>
        <v>#VALUE!</v>
      </c>
      <c r="AR80" s="5">
        <f>COUNTIFS(StratumVariables!C2:C999, C80,StratumVariables!E2:E999, "confounder")</f>
        <v>0</v>
      </c>
      <c r="AS80" s="5">
        <f>COUNTIFS(StratumVariables!C2:C999, C80,StratumVariables!J2:J999, "mediator") + COUNTIFS(StratumVariables!C2:C999, C80,StratumVariables!J2:J999, "collider")</f>
        <v>0</v>
      </c>
      <c r="AT80" s="5">
        <f>COUNTIFS(StratumVariables!C2:C999, C80,StratumVariables!E2:E999, "contested")</f>
        <v>1</v>
      </c>
      <c r="AU80" s="5">
        <f>COUNTIFS(StratumVariables!C2:C999, C80,StratumVariables!E2:E999, "unknown")</f>
        <v>0</v>
      </c>
      <c r="AV80" s="3" t="str">
        <f>IF(AT80 &gt; 0, "contested", IF(AU80 &gt; 0, "geometric-only", IF(AR80 &gt; 0, "established", "geometric-only")))</f>
        <v>contested</v>
      </c>
      <c r="AW80" s="3" t="b">
        <f>AND(AS80 = 0, AV80 = "established")</f>
        <v>0</v>
      </c>
      <c r="AX80" s="2" t="s">
        <v>2676</v>
      </c>
    </row>
    <row r="81">
      <c r="A81" s="2" t="s">
        <v>2720</v>
      </c>
      <c r="B81" s="3" t="str">
        <f>A81</f>
        <v>teacher-vam-prior-achievement-A-vs-B</v>
      </c>
      <c r="C81" s="2" t="s">
        <v>719</v>
      </c>
      <c r="D81" s="2" t="s">
        <v>792</v>
      </c>
      <c r="E81" s="2" t="s">
        <v>795</v>
      </c>
      <c r="F81" s="5">
        <f>SUMIFS(CaseCells!G2:G999,CaseCells!C2:C999, C81,CaseCells!E2:E999, D81)</f>
        <v>2000</v>
      </c>
      <c r="G81" s="5">
        <f>SUMIFS(CaseCells!F2:F999,CaseCells!C2:C999, C81,CaseCells!E2:E999, D81)</f>
        <v>1370</v>
      </c>
      <c r="H81" s="3">
        <f>IF(F81 = 0, "", G81 / F81)</f>
        <v>0.685</v>
      </c>
      <c r="I81" s="5">
        <f>SUMIFS(CaseCells!G2:G999,CaseCells!C2:C999, C81,CaseCells!E2:E999, E81)</f>
        <v>2000</v>
      </c>
      <c r="J81" s="5">
        <f>SUMIFS(CaseCells!F2:F999,CaseCells!C2:C999, C81,CaseCells!E2:E999, E81)</f>
        <v>1380</v>
      </c>
      <c r="K81" s="3">
        <f>IF(I81 = 0, "", J81 / I81)</f>
        <v>0.69</v>
      </c>
      <c r="L81" s="3" t="str">
        <f>IF(OR(H81 = "", K81 = ""), "", IF(ABS(H81 - K81) &lt; 0.0000001, "tie", IF(H81 &gt; K81, D81, E81)))</f>
        <v>B</v>
      </c>
      <c r="M81" s="5">
        <f>COUNTIFS(StratumSummaries!C2:C999, C81,StratumSummaries!E2:E999, D81)</f>
        <v>2</v>
      </c>
      <c r="N81" s="5">
        <f>COUNTIFS(StratumSummaries!C2:C999, C81,StratumSummaries!E2:E999, D81,StratumSummaries!O2:O999, D81)</f>
        <v>1</v>
      </c>
      <c r="O81" s="5">
        <f>COUNTIFS(StratumSummaries!C2:C999, C81,StratumSummaries!E2:E999, D81,StratumSummaries!O2:O999, E81)</f>
        <v>1</v>
      </c>
      <c r="P81" s="3" t="str">
        <f>IF(N81 = M81, D81, IF(O81 = M81, E81, "none"))</f>
        <v>none</v>
      </c>
      <c r="Q81" s="3" t="b">
        <f>IF(AC81 = "", "", AC81)</f>
        <v>0</v>
      </c>
      <c r="R81" s="5">
        <f>COUNTIFS(StratumVariables!C2:C999, C81,StratumVariables!H2:H999, TRUE())</f>
        <v>1</v>
      </c>
      <c r="S81" s="3" t="b">
        <f>AND(Q81, R81 &gt; 0)</f>
        <v>0</v>
      </c>
      <c r="T81" s="3">
        <f>IF(H81 = "", "", ABS(H81 - K81))</f>
        <v>0.004999999999999893</v>
      </c>
      <c r="U81" s="5">
        <f>IF(L81 = D81, O81, N81)</f>
        <v>1</v>
      </c>
      <c r="V81" s="3">
        <f>IF(M81 = 0, "", T81 * (U81 / M81))</f>
        <v>0.0024999999999999467</v>
      </c>
      <c r="W81" s="3">
        <f>SUMIFS(StratumSummaries!S2:S999,StratumSummaries!C2:C999, C81,StratumSummaries!E2:E999, D81)</f>
        <v>0.685</v>
      </c>
      <c r="X81" s="3">
        <f>SUMIFS(StratumSummaries!S2:S999,StratumSummaries!C2:C999, C81,StratumSummaries!E2:E999, E81)</f>
        <v>0.69</v>
      </c>
      <c r="Y81" s="3">
        <f>IF(M81 = 0, "", U81 / M81)</f>
        <v>0.5</v>
      </c>
      <c r="Z81" s="3">
        <f>IF(M81 = 0, "", Y81 - 0.5)</f>
        <v>0</v>
      </c>
      <c r="AA81" s="3">
        <f>IF(H81 = "", "", H81 - K81)</f>
        <v>-0.004999999999999893</v>
      </c>
      <c r="AB81" s="3">
        <f>SUMIFS(StratumSummaries!AB2:AB999,StratumSummaries!C2:C999, C81,StratumSummaries!E2:E999, D81)</f>
        <v>-0.0050000000000000044</v>
      </c>
      <c r="AC81" s="3" t="b">
        <f>IF(AB81 = "", "", IF(AB81 &gt; 0, AA81 &lt; 0, AA81 &gt; 0))</f>
        <v>0</v>
      </c>
      <c r="AD81" s="3">
        <f>IF(AB81 = "", "", ABS(AB81 - AA81))</f>
        <v>1.1102230246251565E-16</v>
      </c>
      <c r="AE81" s="3" t="str">
        <f>IF(AD81 = "", "", IF(AC81, IF(AND(AB81 &lt;&gt; 0, AA81 / AB81 &lt; -1), "B", IF(AND(AB81 &lt;&gt; 0, AA81 / AB81 &lt; 0), "A", IF(Y81 = 1, "A", "B"))), IF(AND(NOT(AC81), AD81 &gt; 0.01, ABS(AA81) &gt; ABS(AG81) + 0.001), "C+", IF(AND(NOT(AC81), AD81 &gt; 0.01, ABS(AA81) &lt; ABS(AG81) - 0.001), "C-", "D"))))</f>
        <v>D</v>
      </c>
      <c r="AF81" s="3" t="str">
        <f>IF(AE81 = "", "", IF(AE81 = "A", "stratify-immediately", IF(AE81 = "B", "investigate-confounder", IF(OR(AE81 = "C+", AE81 = "C-"), "check-allocation-bias", "pooled-analysis-trustworthy"))))</f>
        <v>pooled-analysis-trustworthy</v>
      </c>
      <c r="AG81" s="3">
        <f>AB81</f>
        <v>-0.0050000000000000044</v>
      </c>
      <c r="AH81" s="3" t="str">
        <f>IF(AG81 = "", "", IF(ABS(AG81) &lt; 0.0001, "tie", IF(AG81 &gt; 0, D81, IF(AG81 &lt; 0, E81, "tie"))))</f>
        <v>B</v>
      </c>
      <c r="AI81" s="3" t="b">
        <f>IF(AH81 = "", "", AH81 = L81)</f>
        <v>1</v>
      </c>
      <c r="AJ81" s="3" t="str">
        <f>IF(AE81 = "", "", IF(AE81 = "A", "use-corrected-winner", IF(AE81 = "B", "use-corrected-winner-with-caution", IF(OR(AE81 = "C+", AE81 = "C-"), "check-allocation-bias", "pooled-analysis-trustworthy"))))</f>
        <v>pooled-analysis-trustworthy</v>
      </c>
      <c r="AK81" s="3" t="str">
        <f>IF(AG81 = "", "", IF(AC81, "reversal", IF(ABS(AA81) &gt; ABS(AG81) + 0.001, "amplification", IF(ABS(AA81) &lt; ABS(AG81) - 0.001, "compression", "neutral"))))</f>
        <v>neutral</v>
      </c>
      <c r="AL81" s="3">
        <f>IF(AG81 = "", "", IF(ABS(AG81) + AD81 = 0, 1, ABS(AG81) / (ABS(AG81) + AD81)))</f>
        <v>0.9999999999999778</v>
      </c>
      <c r="AM81" s="3" t="e">
        <f>LOOKUP(C81, SweepStudySummary[SweepStudyId], SweepStudySummary[PooledGapCrossesZero])</f>
        <v>#VALUE!</v>
      </c>
      <c r="AN81" s="3" t="e">
        <f>LOOKUP(C81, SweepStudySummary[SweepStudyId], SweepStudySummary[SweepPooledGapRange])</f>
        <v>#VALUE!</v>
      </c>
      <c r="AO81" s="3" t="e">
        <f>IF(AE81 = "", "", AND(AE81 = "D", AM81 = TRUE))</f>
        <v>#VALUE!</v>
      </c>
      <c r="AP81" s="3" t="e">
        <f>IF(OR(AN81 = "", T81 = "", T81 = 0), "", AN81 / ABS(T81))</f>
        <v>#VALUE!</v>
      </c>
      <c r="AQ81" s="3" t="e">
        <f>LOOKUP(C81, Studies[StudyId], Studies[Domain])</f>
        <v>#VALUE!</v>
      </c>
      <c r="AR81" s="5">
        <f>COUNTIFS(StratumVariables!C2:C999, C81,StratumVariables!E2:E999, "confounder")</f>
        <v>1</v>
      </c>
      <c r="AS81" s="5">
        <f>COUNTIFS(StratumVariables!C2:C999, C81,StratumVariables!J2:J999, "mediator") + COUNTIFS(StratumVariables!C2:C999, C81,StratumVariables!J2:J999, "collider")</f>
        <v>0</v>
      </c>
      <c r="AT81" s="5">
        <f>COUNTIFS(StratumVariables!C2:C999, C81,StratumVariables!E2:E999, "contested")</f>
        <v>0</v>
      </c>
      <c r="AU81" s="5">
        <f>COUNTIFS(StratumVariables!C2:C999, C81,StratumVariables!E2:E999, "unknown")</f>
        <v>0</v>
      </c>
      <c r="AV81" s="3" t="str">
        <f>IF(AT81 &gt; 0, "contested", IF(AU81 &gt; 0, "geometric-only", IF(AR81 &gt; 0, "established", "geometric-only")))</f>
        <v>established</v>
      </c>
      <c r="AW81" s="3" t="b">
        <f>AND(AS81 = 0, AV81 = "established")</f>
        <v>1</v>
      </c>
      <c r="AX81" s="2" t="s">
        <v>2654</v>
      </c>
    </row>
    <row r="82">
      <c r="A82" s="2" t="s">
        <v>2721</v>
      </c>
      <c r="B82" s="3" t="str">
        <f>A82</f>
        <v>naep-state-demographics-A-vs-B</v>
      </c>
      <c r="C82" s="2" t="s">
        <v>723</v>
      </c>
      <c r="D82" s="2" t="s">
        <v>792</v>
      </c>
      <c r="E82" s="2" t="s">
        <v>795</v>
      </c>
      <c r="F82" s="5">
        <f>SUMIFS(CaseCells!G2:G999,CaseCells!C2:C999, C82,CaseCells!E2:E999, D82)</f>
        <v>2000</v>
      </c>
      <c r="G82" s="5">
        <f>SUMIFS(CaseCells!F2:F999,CaseCells!C2:C999, C82,CaseCells!E2:E999, D82)</f>
        <v>730</v>
      </c>
      <c r="H82" s="3">
        <f>IF(F82 = 0, "", G82 / F82)</f>
        <v>0.365</v>
      </c>
      <c r="I82" s="5">
        <f>SUMIFS(CaseCells!G2:G999,CaseCells!C2:C999, C82,CaseCells!E2:E999, E82)</f>
        <v>2000</v>
      </c>
      <c r="J82" s="5">
        <f>SUMIFS(CaseCells!F2:F999,CaseCells!C2:C999, C82,CaseCells!E2:E999, E82)</f>
        <v>740</v>
      </c>
      <c r="K82" s="3">
        <f>IF(I82 = 0, "", J82 / I82)</f>
        <v>0.37</v>
      </c>
      <c r="L82" s="3" t="str">
        <f>IF(OR(H82 = "", K82 = ""), "", IF(ABS(H82 - K82) &lt; 0.0000001, "tie", IF(H82 &gt; K82, D82, E82)))</f>
        <v>B</v>
      </c>
      <c r="M82" s="5">
        <f>COUNTIFS(StratumSummaries!C2:C999, C82,StratumSummaries!E2:E999, D82)</f>
        <v>2</v>
      </c>
      <c r="N82" s="5">
        <f>COUNTIFS(StratumSummaries!C2:C999, C82,StratumSummaries!E2:E999, D82,StratumSummaries!O2:O999, D82)</f>
        <v>1</v>
      </c>
      <c r="O82" s="5">
        <f>COUNTIFS(StratumSummaries!C2:C999, C82,StratumSummaries!E2:E999, D82,StratumSummaries!O2:O999, E82)</f>
        <v>1</v>
      </c>
      <c r="P82" s="3" t="str">
        <f>IF(N82 = M82, D82, IF(O82 = M82, E82, "none"))</f>
        <v>none</v>
      </c>
      <c r="Q82" s="3" t="b">
        <f>IF(AC82 = "", "", AC82)</f>
        <v>0</v>
      </c>
      <c r="R82" s="5">
        <f>COUNTIFS(StratumVariables!C2:C999, C82,StratumVariables!H2:H999, TRUE())</f>
        <v>1</v>
      </c>
      <c r="S82" s="3" t="b">
        <f>AND(Q82, R82 &gt; 0)</f>
        <v>0</v>
      </c>
      <c r="T82" s="3">
        <f>IF(H82 = "", "", ABS(H82 - K82))</f>
        <v>0.0050000000000000044</v>
      </c>
      <c r="U82" s="5">
        <f>IF(L82 = D82, O82, N82)</f>
        <v>1</v>
      </c>
      <c r="V82" s="3">
        <f>IF(M82 = 0, "", T82 * (U82 / M82))</f>
        <v>0.0025000000000000022</v>
      </c>
      <c r="W82" s="3">
        <f>SUMIFS(StratumSummaries!S2:S999,StratumSummaries!C2:C999, C82,StratumSummaries!E2:E999, D82)</f>
        <v>0.365</v>
      </c>
      <c r="X82" s="3">
        <f>SUMIFS(StratumSummaries!S2:S999,StratumSummaries!C2:C999, C82,StratumSummaries!E2:E999, E82)</f>
        <v>0.37</v>
      </c>
      <c r="Y82" s="3">
        <f>IF(M82 = 0, "", U82 / M82)</f>
        <v>0.5</v>
      </c>
      <c r="Z82" s="3">
        <f>IF(M82 = 0, "", Y82 - 0.5)</f>
        <v>0</v>
      </c>
      <c r="AA82" s="3">
        <f>IF(H82 = "", "", H82 - K82)</f>
        <v>-0.0050000000000000044</v>
      </c>
      <c r="AB82" s="3">
        <f>SUMIFS(StratumSummaries!AB2:AB999,StratumSummaries!C2:C999, C82,StratumSummaries!E2:E999, D82)</f>
        <v>-0.004999999999999977</v>
      </c>
      <c r="AC82" s="3" t="b">
        <f>IF(AB82 = "", "", IF(AB82 &gt; 0, AA82 &lt; 0, AA82 &gt; 0))</f>
        <v>0</v>
      </c>
      <c r="AD82" s="3">
        <f>IF(AB82 = "", "", ABS(AB82 - AA82))</f>
        <v>2.7755575615628914E-17</v>
      </c>
      <c r="AE82" s="3" t="str">
        <f>IF(AD82 = "", "", IF(AC82, IF(AND(AB82 &lt;&gt; 0, AA82 / AB82 &lt; -1), "B", IF(AND(AB82 &lt;&gt; 0, AA82 / AB82 &lt; 0), "A", IF(Y82 = 1, "A", "B"))), IF(AND(NOT(AC82), AD82 &gt; 0.01, ABS(AA82) &gt; ABS(AG82) + 0.001), "C+", IF(AND(NOT(AC82), AD82 &gt; 0.01, ABS(AA82) &lt; ABS(AG82) - 0.001), "C-", "D"))))</f>
        <v>D</v>
      </c>
      <c r="AF82" s="3" t="str">
        <f>IF(AE82 = "", "", IF(AE82 = "A", "stratify-immediately", IF(AE82 = "B", "investigate-confounder", IF(OR(AE82 = "C+", AE82 = "C-"), "check-allocation-bias", "pooled-analysis-trustworthy"))))</f>
        <v>pooled-analysis-trustworthy</v>
      </c>
      <c r="AG82" s="3">
        <f>AB82</f>
        <v>-0.004999999999999977</v>
      </c>
      <c r="AH82" s="3" t="str">
        <f>IF(AG82 = "", "", IF(ABS(AG82) &lt; 0.0001, "tie", IF(AG82 &gt; 0, D82, IF(AG82 &lt; 0, E82, "tie"))))</f>
        <v>B</v>
      </c>
      <c r="AI82" s="3" t="b">
        <f>IF(AH82 = "", "", AH82 = L82)</f>
        <v>1</v>
      </c>
      <c r="AJ82" s="3" t="str">
        <f>IF(AE82 = "", "", IF(AE82 = "A", "use-corrected-winner", IF(AE82 = "B", "use-corrected-winner-with-caution", IF(OR(AE82 = "C+", AE82 = "C-"), "check-allocation-bias", "pooled-analysis-trustworthy"))))</f>
        <v>pooled-analysis-trustworthy</v>
      </c>
      <c r="AK82" s="3" t="str">
        <f>IF(AG82 = "", "", IF(AC82, "reversal", IF(ABS(AA82) &gt; ABS(AG82) + 0.001, "amplification", IF(ABS(AA82) &lt; ABS(AG82) - 0.001, "compression", "neutral"))))</f>
        <v>neutral</v>
      </c>
      <c r="AL82" s="3">
        <f>IF(AG82 = "", "", IF(ABS(AG82) + AD82 = 0, 1, ABS(AG82) / (ABS(AG82) + AD82)))</f>
        <v>0.9999999999999944</v>
      </c>
      <c r="AM82" s="3" t="e">
        <f>LOOKUP(C82, SweepStudySummary[SweepStudyId], SweepStudySummary[PooledGapCrossesZero])</f>
        <v>#VALUE!</v>
      </c>
      <c r="AN82" s="3" t="e">
        <f>LOOKUP(C82, SweepStudySummary[SweepStudyId], SweepStudySummary[SweepPooledGapRange])</f>
        <v>#VALUE!</v>
      </c>
      <c r="AO82" s="3" t="e">
        <f>IF(AE82 = "", "", AND(AE82 = "D", AM82 = TRUE))</f>
        <v>#VALUE!</v>
      </c>
      <c r="AP82" s="3" t="e">
        <f>IF(OR(AN82 = "", T82 = "", T82 = 0), "", AN82 / ABS(T82))</f>
        <v>#VALUE!</v>
      </c>
      <c r="AQ82" s="3" t="e">
        <f>LOOKUP(C82, Studies[StudyId], Studies[Domain])</f>
        <v>#VALUE!</v>
      </c>
      <c r="AR82" s="5">
        <f>COUNTIFS(StratumVariables!C2:C999, C82,StratumVariables!E2:E999, "confounder")</f>
        <v>1</v>
      </c>
      <c r="AS82" s="5">
        <f>COUNTIFS(StratumVariables!C2:C999, C82,StratumVariables!J2:J999, "mediator") + COUNTIFS(StratumVariables!C2:C999, C82,StratumVariables!J2:J999, "collider")</f>
        <v>0</v>
      </c>
      <c r="AT82" s="5">
        <f>COUNTIFS(StratumVariables!C2:C999, C82,StratumVariables!E2:E999, "contested")</f>
        <v>0</v>
      </c>
      <c r="AU82" s="5">
        <f>COUNTIFS(StratumVariables!C2:C999, C82,StratumVariables!E2:E999, "unknown")</f>
        <v>0</v>
      </c>
      <c r="AV82" s="3" t="str">
        <f>IF(AT82 &gt; 0, "contested", IF(AU82 &gt; 0, "geometric-only", IF(AR82 &gt; 0, "established", "geometric-only")))</f>
        <v>established</v>
      </c>
      <c r="AW82" s="3" t="b">
        <f>AND(AS82 = 0, AV82 = "established")</f>
        <v>1</v>
      </c>
      <c r="AX82" s="2" t="s">
        <v>2654</v>
      </c>
    </row>
    <row r="83">
      <c r="A83" s="2" t="s">
        <v>2722</v>
      </c>
      <c r="B83" s="3" t="str">
        <f>A83</f>
        <v>college-grad-rate-selectivity-A-vs-B</v>
      </c>
      <c r="C83" s="2" t="s">
        <v>727</v>
      </c>
      <c r="D83" s="2" t="s">
        <v>792</v>
      </c>
      <c r="E83" s="2" t="s">
        <v>795</v>
      </c>
      <c r="F83" s="5">
        <f>SUMIFS(CaseCells!G2:G999,CaseCells!C2:C999, C83,CaseCells!E2:E999, D83)</f>
        <v>2000</v>
      </c>
      <c r="G83" s="5">
        <f>SUMIFS(CaseCells!F2:F999,CaseCells!C2:C999, C83,CaseCells!E2:E999, D83)</f>
        <v>1470</v>
      </c>
      <c r="H83" s="3">
        <f>IF(F83 = 0, "", G83 / F83)</f>
        <v>0.735</v>
      </c>
      <c r="I83" s="5">
        <f>SUMIFS(CaseCells!G2:G999,CaseCells!C2:C999, C83,CaseCells!E2:E999, E83)</f>
        <v>2000</v>
      </c>
      <c r="J83" s="5">
        <f>SUMIFS(CaseCells!F2:F999,CaseCells!C2:C999, C83,CaseCells!E2:E999, E83)</f>
        <v>1500</v>
      </c>
      <c r="K83" s="3">
        <f>IF(I83 = 0, "", J83 / I83)</f>
        <v>0.75</v>
      </c>
      <c r="L83" s="3" t="str">
        <f>IF(OR(H83 = "", K83 = ""), "", IF(ABS(H83 - K83) &lt; 0.0000001, "tie", IF(H83 &gt; K83, D83, E83)))</f>
        <v>B</v>
      </c>
      <c r="M83" s="5">
        <f>COUNTIFS(StratumSummaries!C2:C999, C83,StratumSummaries!E2:E999, D83)</f>
        <v>2</v>
      </c>
      <c r="N83" s="5">
        <f>COUNTIFS(StratumSummaries!C2:C999, C83,StratumSummaries!E2:E999, D83,StratumSummaries!O2:O999, D83)</f>
        <v>1</v>
      </c>
      <c r="O83" s="5">
        <f>COUNTIFS(StratumSummaries!C2:C999, C83,StratumSummaries!E2:E999, D83,StratumSummaries!O2:O999, E83)</f>
        <v>1</v>
      </c>
      <c r="P83" s="3" t="str">
        <f>IF(N83 = M83, D83, IF(O83 = M83, E83, "none"))</f>
        <v>none</v>
      </c>
      <c r="Q83" s="3" t="b">
        <f>IF(AC83 = "", "", AC83)</f>
        <v>0</v>
      </c>
      <c r="R83" s="5">
        <f>COUNTIFS(StratumVariables!C2:C999, C83,StratumVariables!H2:H999, TRUE())</f>
        <v>1</v>
      </c>
      <c r="S83" s="3" t="b">
        <f>AND(Q83, R83 &gt; 0)</f>
        <v>0</v>
      </c>
      <c r="T83" s="3">
        <f>IF(H83 = "", "", ABS(H83 - K83))</f>
        <v>0.015000000000000013</v>
      </c>
      <c r="U83" s="5">
        <f>IF(L83 = D83, O83, N83)</f>
        <v>1</v>
      </c>
      <c r="V83" s="3">
        <f>IF(M83 = 0, "", T83 * (U83 / M83))</f>
        <v>0.007500000000000007</v>
      </c>
      <c r="W83" s="3">
        <f>SUMIFS(StratumSummaries!S2:S999,StratumSummaries!C2:C999, C83,StratumSummaries!E2:E999, D83)</f>
        <v>0.7350000000000001</v>
      </c>
      <c r="X83" s="3">
        <f>SUMIFS(StratumSummaries!S2:S999,StratumSummaries!C2:C999, C83,StratumSummaries!E2:E999, E83)</f>
        <v>0.75</v>
      </c>
      <c r="Y83" s="3">
        <f>IF(M83 = 0, "", U83 / M83)</f>
        <v>0.5</v>
      </c>
      <c r="Z83" s="3">
        <f>IF(M83 = 0, "", Y83 - 0.5)</f>
        <v>0</v>
      </c>
      <c r="AA83" s="3">
        <f>IF(H83 = "", "", H83 - K83)</f>
        <v>-0.015000000000000013</v>
      </c>
      <c r="AB83" s="3">
        <f>SUMIFS(StratumSummaries!AB2:AB999,StratumSummaries!C2:C999, C83,StratumSummaries!E2:E999, D83)</f>
        <v>-0.014999999999999958</v>
      </c>
      <c r="AC83" s="3" t="b">
        <f>IF(AB83 = "", "", IF(AB83 &gt; 0, AA83 &lt; 0, AA83 &gt; 0))</f>
        <v>0</v>
      </c>
      <c r="AD83" s="3">
        <f>IF(AB83 = "", "", ABS(AB83 - AA83))</f>
        <v>5.551115123125783E-17</v>
      </c>
      <c r="AE83" s="3" t="str">
        <f>IF(AD83 = "", "", IF(AC83, IF(AND(AB83 &lt;&gt; 0, AA83 / AB83 &lt; -1), "B", IF(AND(AB83 &lt;&gt; 0, AA83 / AB83 &lt; 0), "A", IF(Y83 = 1, "A", "B"))), IF(AND(NOT(AC83), AD83 &gt; 0.01, ABS(AA83) &gt; ABS(AG83) + 0.001), "C+", IF(AND(NOT(AC83), AD83 &gt; 0.01, ABS(AA83) &lt; ABS(AG83) - 0.001), "C-", "D"))))</f>
        <v>D</v>
      </c>
      <c r="AF83" s="3" t="str">
        <f>IF(AE83 = "", "", IF(AE83 = "A", "stratify-immediately", IF(AE83 = "B", "investigate-confounder", IF(OR(AE83 = "C+", AE83 = "C-"), "check-allocation-bias", "pooled-analysis-trustworthy"))))</f>
        <v>pooled-analysis-trustworthy</v>
      </c>
      <c r="AG83" s="3">
        <f>AB83</f>
        <v>-0.014999999999999958</v>
      </c>
      <c r="AH83" s="3" t="str">
        <f>IF(AG83 = "", "", IF(ABS(AG83) &lt; 0.0001, "tie", IF(AG83 &gt; 0, D83, IF(AG83 &lt; 0, E83, "tie"))))</f>
        <v>B</v>
      </c>
      <c r="AI83" s="3" t="b">
        <f>IF(AH83 = "", "", AH83 = L83)</f>
        <v>1</v>
      </c>
      <c r="AJ83" s="3" t="str">
        <f>IF(AE83 = "", "", IF(AE83 = "A", "use-corrected-winner", IF(AE83 = "B", "use-corrected-winner-with-caution", IF(OR(AE83 = "C+", AE83 = "C-"), "check-allocation-bias", "pooled-analysis-trustworthy"))))</f>
        <v>pooled-analysis-trustworthy</v>
      </c>
      <c r="AK83" s="3" t="str">
        <f>IF(AG83 = "", "", IF(AC83, "reversal", IF(ABS(AA83) &gt; ABS(AG83) + 0.001, "amplification", IF(ABS(AA83) &lt; ABS(AG83) - 0.001, "compression", "neutral"))))</f>
        <v>neutral</v>
      </c>
      <c r="AL83" s="3">
        <f>IF(AG83 = "", "", IF(ABS(AG83) + AD83 = 0, 1, ABS(AG83) / (ABS(AG83) + AD83)))</f>
        <v>0.9999999999999963</v>
      </c>
      <c r="AM83" s="3" t="e">
        <f>LOOKUP(C83, SweepStudySummary[SweepStudyId], SweepStudySummary[PooledGapCrossesZero])</f>
        <v>#VALUE!</v>
      </c>
      <c r="AN83" s="3" t="e">
        <f>LOOKUP(C83, SweepStudySummary[SweepStudyId], SweepStudySummary[SweepPooledGapRange])</f>
        <v>#VALUE!</v>
      </c>
      <c r="AO83" s="3" t="e">
        <f>IF(AE83 = "", "", AND(AE83 = "D", AM83 = TRUE))</f>
        <v>#VALUE!</v>
      </c>
      <c r="AP83" s="3" t="e">
        <f>IF(OR(AN83 = "", T83 = "", T83 = 0), "", AN83 / ABS(T83))</f>
        <v>#VALUE!</v>
      </c>
      <c r="AQ83" s="3" t="e">
        <f>LOOKUP(C83, Studies[StudyId], Studies[Domain])</f>
        <v>#VALUE!</v>
      </c>
      <c r="AR83" s="5">
        <f>COUNTIFS(StratumVariables!C2:C999, C83,StratumVariables!E2:E999, "confounder")</f>
        <v>1</v>
      </c>
      <c r="AS83" s="5">
        <f>COUNTIFS(StratumVariables!C2:C999, C83,StratumVariables!J2:J999, "mediator") + COUNTIFS(StratumVariables!C2:C999, C83,StratumVariables!J2:J999, "collider")</f>
        <v>0</v>
      </c>
      <c r="AT83" s="5">
        <f>COUNTIFS(StratumVariables!C2:C999, C83,StratumVariables!E2:E999, "contested")</f>
        <v>0</v>
      </c>
      <c r="AU83" s="5">
        <f>COUNTIFS(StratumVariables!C2:C999, C83,StratumVariables!E2:E999, "unknown")</f>
        <v>0</v>
      </c>
      <c r="AV83" s="3" t="str">
        <f>IF(AT83 &gt; 0, "contested", IF(AU83 &gt; 0, "geometric-only", IF(AR83 &gt; 0, "established", "geometric-only")))</f>
        <v>established</v>
      </c>
      <c r="AW83" s="3" t="b">
        <f>AND(AS83 = 0, AV83 = "established")</f>
        <v>1</v>
      </c>
      <c r="AX83" s="2" t="s">
        <v>2654</v>
      </c>
    </row>
    <row r="84">
      <c r="A84" s="2" t="s">
        <v>2723</v>
      </c>
      <c r="B84" s="3" t="str">
        <f>A84</f>
        <v>star-class-size-A-vs-B</v>
      </c>
      <c r="C84" s="2" t="s">
        <v>731</v>
      </c>
      <c r="D84" s="2" t="s">
        <v>792</v>
      </c>
      <c r="E84" s="2" t="s">
        <v>795</v>
      </c>
      <c r="F84" s="5">
        <f>SUMIFS(CaseCells!G2:G999,CaseCells!C2:C999, C84,CaseCells!E2:E999, D84)</f>
        <v>2000</v>
      </c>
      <c r="G84" s="5">
        <f>SUMIFS(CaseCells!F2:F999,CaseCells!C2:C999, C84,CaseCells!E2:E999, D84)</f>
        <v>1730</v>
      </c>
      <c r="H84" s="3">
        <f>IF(F84 = 0, "", G84 / F84)</f>
        <v>0.865</v>
      </c>
      <c r="I84" s="5">
        <f>SUMIFS(CaseCells!G2:G999,CaseCells!C2:C999, C84,CaseCells!E2:E999, E84)</f>
        <v>2000</v>
      </c>
      <c r="J84" s="5">
        <f>SUMIFS(CaseCells!F2:F999,CaseCells!C2:C999, C84,CaseCells!E2:E999, E84)</f>
        <v>1700</v>
      </c>
      <c r="K84" s="3">
        <f>IF(I84 = 0, "", J84 / I84)</f>
        <v>0.85</v>
      </c>
      <c r="L84" s="3" t="str">
        <f>IF(OR(H84 = "", K84 = ""), "", IF(ABS(H84 - K84) &lt; 0.0000001, "tie", IF(H84 &gt; K84, D84, E84)))</f>
        <v>A</v>
      </c>
      <c r="M84" s="5">
        <f>COUNTIFS(StratumSummaries!C2:C999, C84,StratumSummaries!E2:E999, D84)</f>
        <v>2</v>
      </c>
      <c r="N84" s="5">
        <f>COUNTIFS(StratumSummaries!C2:C999, C84,StratumSummaries!E2:E999, D84,StratumSummaries!O2:O999, D84)</f>
        <v>2</v>
      </c>
      <c r="O84" s="5">
        <f>COUNTIFS(StratumSummaries!C2:C999, C84,StratumSummaries!E2:E999, D84,StratumSummaries!O2:O999, E84)</f>
        <v>0</v>
      </c>
      <c r="P84" s="3" t="str">
        <f>IF(N84 = M84, D84, IF(O84 = M84, E84, "none"))</f>
        <v>A</v>
      </c>
      <c r="Q84" s="3" t="b">
        <f>IF(AC84 = "", "", AC84)</f>
        <v>0</v>
      </c>
      <c r="R84" s="5">
        <f>COUNTIFS(StratumVariables!C2:C999, C84,StratumVariables!H2:H999, TRUE())</f>
        <v>1</v>
      </c>
      <c r="S84" s="3" t="b">
        <f>AND(Q84, R84 &gt; 0)</f>
        <v>0</v>
      </c>
      <c r="T84" s="3">
        <f>IF(H84 = "", "", ABS(H84 - K84))</f>
        <v>0.015000000000000013</v>
      </c>
      <c r="U84" s="5">
        <f>IF(L84 = D84, O84, N84)</f>
        <v>0</v>
      </c>
      <c r="V84" s="3">
        <f>IF(M84 = 0, "", T84 * (U84 / M84))</f>
        <v>0</v>
      </c>
      <c r="W84" s="3">
        <f>SUMIFS(StratumSummaries!S2:S999,StratumSummaries!C2:C999, C84,StratumSummaries!E2:E999, D84)</f>
        <v>0.865</v>
      </c>
      <c r="X84" s="3">
        <f>SUMIFS(StratumSummaries!S2:S999,StratumSummaries!C2:C999, C84,StratumSummaries!E2:E999, E84)</f>
        <v>0.8500000000000001</v>
      </c>
      <c r="Y84" s="3">
        <f>IF(M84 = 0, "", U84 / M84)</f>
        <v>0</v>
      </c>
      <c r="Z84" s="3">
        <f>IF(M84 = 0, "", Y84 - 0.5)</f>
        <v>-0.5</v>
      </c>
      <c r="AA84" s="3">
        <f>IF(H84 = "", "", H84 - K84)</f>
        <v>0.015000000000000013</v>
      </c>
      <c r="AB84" s="3">
        <f>SUMIFS(StratumSummaries!AB2:AB999,StratumSummaries!C2:C999, C84,StratumSummaries!E2:E999, D84)</f>
        <v>0.014999999999999958</v>
      </c>
      <c r="AC84" s="3" t="b">
        <f>IF(AB84 = "", "", IF(AB84 &gt; 0, AA84 &lt; 0, AA84 &gt; 0))</f>
        <v>0</v>
      </c>
      <c r="AD84" s="3">
        <f>IF(AB84 = "", "", ABS(AB84 - AA84))</f>
        <v>5.551115123125783E-17</v>
      </c>
      <c r="AE84" s="3" t="str">
        <f>IF(AD84 = "", "", IF(AC84, IF(AND(AB84 &lt;&gt; 0, AA84 / AB84 &lt; -1), "B", IF(AND(AB84 &lt;&gt; 0, AA84 / AB84 &lt; 0), "A", IF(Y84 = 1, "A", "B"))), IF(AND(NOT(AC84), AD84 &gt; 0.01, ABS(AA84) &gt; ABS(AG84) + 0.001), "C+", IF(AND(NOT(AC84), AD84 &gt; 0.01, ABS(AA84) &lt; ABS(AG84) - 0.001), "C-", "D"))))</f>
        <v>D</v>
      </c>
      <c r="AF84" s="3" t="str">
        <f>IF(AE84 = "", "", IF(AE84 = "A", "stratify-immediately", IF(AE84 = "B", "investigate-confounder", IF(OR(AE84 = "C+", AE84 = "C-"), "check-allocation-bias", "pooled-analysis-trustworthy"))))</f>
        <v>pooled-analysis-trustworthy</v>
      </c>
      <c r="AG84" s="3">
        <f>AB84</f>
        <v>0.014999999999999958</v>
      </c>
      <c r="AH84" s="3" t="str">
        <f>IF(AG84 = "", "", IF(ABS(AG84) &lt; 0.0001, "tie", IF(AG84 &gt; 0, D84, IF(AG84 &lt; 0, E84, "tie"))))</f>
        <v>A</v>
      </c>
      <c r="AI84" s="3" t="b">
        <f>IF(AH84 = "", "", AH84 = L84)</f>
        <v>1</v>
      </c>
      <c r="AJ84" s="3" t="str">
        <f>IF(AE84 = "", "", IF(AE84 = "A", "use-corrected-winner", IF(AE84 = "B", "use-corrected-winner-with-caution", IF(OR(AE84 = "C+", AE84 = "C-"), "check-allocation-bias", "pooled-analysis-trustworthy"))))</f>
        <v>pooled-analysis-trustworthy</v>
      </c>
      <c r="AK84" s="3" t="str">
        <f>IF(AG84 = "", "", IF(AC84, "reversal", IF(ABS(AA84) &gt; ABS(AG84) + 0.001, "amplification", IF(ABS(AA84) &lt; ABS(AG84) - 0.001, "compression", "neutral"))))</f>
        <v>neutral</v>
      </c>
      <c r="AL84" s="3">
        <f>IF(AG84 = "", "", IF(ABS(AG84) + AD84 = 0, 1, ABS(AG84) / (ABS(AG84) + AD84)))</f>
        <v>0.9999999999999963</v>
      </c>
      <c r="AM84" s="3" t="e">
        <f>LOOKUP(C84, SweepStudySummary[SweepStudyId], SweepStudySummary[PooledGapCrossesZero])</f>
        <v>#VALUE!</v>
      </c>
      <c r="AN84" s="3" t="e">
        <f>LOOKUP(C84, SweepStudySummary[SweepStudyId], SweepStudySummary[SweepPooledGapRange])</f>
        <v>#VALUE!</v>
      </c>
      <c r="AO84" s="3" t="e">
        <f>IF(AE84 = "", "", AND(AE84 = "D", AM84 = TRUE))</f>
        <v>#VALUE!</v>
      </c>
      <c r="AP84" s="3" t="e">
        <f>IF(OR(AN84 = "", T84 = "", T84 = 0), "", AN84 / ABS(T84))</f>
        <v>#VALUE!</v>
      </c>
      <c r="AQ84" s="3" t="e">
        <f>LOOKUP(C84, Studies[StudyId], Studies[Domain])</f>
        <v>#VALUE!</v>
      </c>
      <c r="AR84" s="5">
        <f>COUNTIFS(StratumVariables!C2:C999, C84,StratumVariables!E2:E999, "confounder")</f>
        <v>1</v>
      </c>
      <c r="AS84" s="5">
        <f>COUNTIFS(StratumVariables!C2:C999, C84,StratumVariables!J2:J999, "mediator") + COUNTIFS(StratumVariables!C2:C999, C84,StratumVariables!J2:J999, "collider")</f>
        <v>0</v>
      </c>
      <c r="AT84" s="5">
        <f>COUNTIFS(StratumVariables!C2:C999, C84,StratumVariables!E2:E999, "contested")</f>
        <v>0</v>
      </c>
      <c r="AU84" s="5">
        <f>COUNTIFS(StratumVariables!C2:C999, C84,StratumVariables!E2:E999, "unknown")</f>
        <v>0</v>
      </c>
      <c r="AV84" s="3" t="str">
        <f>IF(AT84 &gt; 0, "contested", IF(AU84 &gt; 0, "geometric-only", IF(AR84 &gt; 0, "established", "geometric-only")))</f>
        <v>established</v>
      </c>
      <c r="AW84" s="3" t="b">
        <f>AND(AS84 = 0, AV84 = "established")</f>
        <v>1</v>
      </c>
      <c r="AX84" s="2" t="s">
        <v>2654</v>
      </c>
    </row>
    <row r="85">
      <c r="A85" s="2" t="s">
        <v>2724</v>
      </c>
      <c r="B85" s="3" t="str">
        <f>A85</f>
        <v>nba-shooting-shot-mix-A-vs-B</v>
      </c>
      <c r="C85" s="2" t="s">
        <v>735</v>
      </c>
      <c r="D85" s="2" t="s">
        <v>792</v>
      </c>
      <c r="E85" s="2" t="s">
        <v>795</v>
      </c>
      <c r="F85" s="5">
        <f>SUMIFS(CaseCells!G2:G999,CaseCells!C2:C999, C85,CaseCells!E2:E999, D85)</f>
        <v>2000</v>
      </c>
      <c r="G85" s="5">
        <f>SUMIFS(CaseCells!F2:F999,CaseCells!C2:C999, C85,CaseCells!E2:E999, D85)</f>
        <v>840</v>
      </c>
      <c r="H85" s="3">
        <f>IF(F85 = 0, "", G85 / F85)</f>
        <v>0.42</v>
      </c>
      <c r="I85" s="5">
        <f>SUMIFS(CaseCells!G2:G999,CaseCells!C2:C999, C85,CaseCells!E2:E999, E85)</f>
        <v>1500</v>
      </c>
      <c r="J85" s="5">
        <f>SUMIFS(CaseCells!F2:F999,CaseCells!C2:C999, C85,CaseCells!E2:E999, E85)</f>
        <v>590</v>
      </c>
      <c r="K85" s="3">
        <f>IF(I85 = 0, "", J85 / I85)</f>
        <v>0.3933333333333333</v>
      </c>
      <c r="L85" s="3" t="str">
        <f>IF(OR(H85 = "", K85 = ""), "", IF(ABS(H85 - K85) &lt; 0.0000001, "tie", IF(H85 &gt; K85, D85, E85)))</f>
        <v>A</v>
      </c>
      <c r="M85" s="5">
        <f>COUNTIFS(StratumSummaries!C2:C999, C85,StratumSummaries!E2:E999, D85)</f>
        <v>2</v>
      </c>
      <c r="N85" s="5">
        <f>COUNTIFS(StratumSummaries!C2:C999, C85,StratumSummaries!E2:E999, D85,StratumSummaries!O2:O999, D85)</f>
        <v>2</v>
      </c>
      <c r="O85" s="5">
        <f>COUNTIFS(StratumSummaries!C2:C999, C85,StratumSummaries!E2:E999, D85,StratumSummaries!O2:O999, E85)</f>
        <v>0</v>
      </c>
      <c r="P85" s="3" t="str">
        <f>IF(N85 = M85, D85, IF(O85 = M85, E85, "none"))</f>
        <v>A</v>
      </c>
      <c r="Q85" s="3" t="b">
        <f>IF(AC85 = "", "", AC85)</f>
        <v>0</v>
      </c>
      <c r="R85" s="5">
        <f>COUNTIFS(StratumVariables!C2:C999, C85,StratumVariables!H2:H999, TRUE())</f>
        <v>1</v>
      </c>
      <c r="S85" s="3" t="b">
        <f>AND(Q85, R85 &gt; 0)</f>
        <v>0</v>
      </c>
      <c r="T85" s="3">
        <f>IF(H85 = "", "", ABS(H85 - K85))</f>
        <v>0.026666666666666672</v>
      </c>
      <c r="U85" s="5">
        <f>IF(L85 = D85, O85, N85)</f>
        <v>0</v>
      </c>
      <c r="V85" s="3">
        <f>IF(M85 = 0, "", T85 * (U85 / M85))</f>
        <v>0</v>
      </c>
      <c r="W85" s="3">
        <f>SUMIFS(StratumSummaries!S2:S999,StratumSummaries!C2:C999, C85,StratumSummaries!E2:E999, D85)</f>
        <v>0.4285714285714285</v>
      </c>
      <c r="X85" s="3">
        <f>SUMIFS(StratumSummaries!S2:S999,StratumSummaries!C2:C999, C85,StratumSummaries!E2:E999, E85)</f>
        <v>0.37999999999999995</v>
      </c>
      <c r="Y85" s="3">
        <f>IF(M85 = 0, "", U85 / M85)</f>
        <v>0</v>
      </c>
      <c r="Z85" s="3">
        <f>IF(M85 = 0, "", Y85 - 0.5)</f>
        <v>-0.5</v>
      </c>
      <c r="AA85" s="3">
        <f>IF(H85 = "", "", H85 - K85)</f>
        <v>0.026666666666666672</v>
      </c>
      <c r="AB85" s="3">
        <f>SUMIFS(StratumSummaries!AB2:AB999,StratumSummaries!C2:C999, C85,StratumSummaries!E2:E999, D85)</f>
        <v>0.04857142857142856</v>
      </c>
      <c r="AC85" s="3" t="b">
        <f>IF(AB85 = "", "", IF(AB85 &gt; 0, AA85 &lt; 0, AA85 &gt; 0))</f>
        <v>0</v>
      </c>
      <c r="AD85" s="3">
        <f>IF(AB85 = "", "", ABS(AB85 - AA85))</f>
        <v>0.021904761904761885</v>
      </c>
      <c r="AE85" s="3" t="str">
        <f>IF(AD85 = "", "", IF(AC85, IF(AND(AB85 &lt;&gt; 0, AA85 / AB85 &lt; -1), "B", IF(AND(AB85 &lt;&gt; 0, AA85 / AB85 &lt; 0), "A", IF(Y85 = 1, "A", "B"))), IF(AND(NOT(AC85), AD85 &gt; 0.01, ABS(AA85) &gt; ABS(AG85) + 0.001), "C+", IF(AND(NOT(AC85), AD85 &gt; 0.01, ABS(AA85) &lt; ABS(AG85) - 0.001), "C-", "D"))))</f>
        <v>C-</v>
      </c>
      <c r="AF85" s="3" t="str">
        <f>IF(AE85 = "", "", IF(AE85 = "A", "stratify-immediately", IF(AE85 = "B", "investigate-confounder", IF(OR(AE85 = "C+", AE85 = "C-"), "check-allocation-bias", "pooled-analysis-trustworthy"))))</f>
        <v>check-allocation-bias</v>
      </c>
      <c r="AG85" s="3">
        <f>AB85</f>
        <v>0.04857142857142856</v>
      </c>
      <c r="AH85" s="3" t="str">
        <f>IF(AG85 = "", "", IF(ABS(AG85) &lt; 0.0001, "tie", IF(AG85 &gt; 0, D85, IF(AG85 &lt; 0, E85, "tie"))))</f>
        <v>A</v>
      </c>
      <c r="AI85" s="3" t="b">
        <f>IF(AH85 = "", "", AH85 = L85)</f>
        <v>1</v>
      </c>
      <c r="AJ85" s="3" t="str">
        <f>IF(AE85 = "", "", IF(AE85 = "A", "use-corrected-winner", IF(AE85 = "B", "use-corrected-winner-with-caution", IF(OR(AE85 = "C+", AE85 = "C-"), "check-allocation-bias", "pooled-analysis-trustworthy"))))</f>
        <v>check-allocation-bias</v>
      </c>
      <c r="AK85" s="3" t="str">
        <f>IF(AG85 = "", "", IF(AC85, "reversal", IF(ABS(AA85) &gt; ABS(AG85) + 0.001, "amplification", IF(ABS(AA85) &lt; ABS(AG85) - 0.001, "compression", "neutral"))))</f>
        <v>compression</v>
      </c>
      <c r="AL85" s="3">
        <f>IF(AG85 = "", "", IF(ABS(AG85) + AD85 = 0, 1, ABS(AG85) / (ABS(AG85) + AD85)))</f>
        <v>0.6891891891891894</v>
      </c>
      <c r="AM85" s="3" t="e">
        <f>LOOKUP(C85, SweepStudySummary[SweepStudyId], SweepStudySummary[PooledGapCrossesZero])</f>
        <v>#VALUE!</v>
      </c>
      <c r="AN85" s="3" t="e">
        <f>LOOKUP(C85, SweepStudySummary[SweepStudyId], SweepStudySummary[SweepPooledGapRange])</f>
        <v>#VALUE!</v>
      </c>
      <c r="AO85" s="3" t="e">
        <f>IF(AE85 = "", "", AND(AE85 = "D", AM85 = TRUE))</f>
        <v>#VALUE!</v>
      </c>
      <c r="AP85" s="3" t="e">
        <f>IF(OR(AN85 = "", T85 = "", T85 = 0), "", AN85 / ABS(T85))</f>
        <v>#VALUE!</v>
      </c>
      <c r="AQ85" s="3" t="e">
        <f>LOOKUP(C85, Studies[StudyId], Studies[Domain])</f>
        <v>#VALUE!</v>
      </c>
      <c r="AR85" s="5">
        <f>COUNTIFS(StratumVariables!C2:C999, C85,StratumVariables!E2:E999, "confounder")</f>
        <v>1</v>
      </c>
      <c r="AS85" s="5">
        <f>COUNTIFS(StratumVariables!C2:C999, C85,StratumVariables!J2:J999, "mediator") + COUNTIFS(StratumVariables!C2:C999, C85,StratumVariables!J2:J999, "collider")</f>
        <v>0</v>
      </c>
      <c r="AT85" s="5">
        <f>COUNTIFS(StratumVariables!C2:C999, C85,StratumVariables!E2:E999, "contested")</f>
        <v>0</v>
      </c>
      <c r="AU85" s="5">
        <f>COUNTIFS(StratumVariables!C2:C999, C85,StratumVariables!E2:E999, "unknown")</f>
        <v>0</v>
      </c>
      <c r="AV85" s="3" t="str">
        <f>IF(AT85 &gt; 0, "contested", IF(AU85 &gt; 0, "geometric-only", IF(AR85 &gt; 0, "established", "geometric-only")))</f>
        <v>established</v>
      </c>
      <c r="AW85" s="3" t="b">
        <f>AND(AS85 = 0, AV85 = "established")</f>
        <v>1</v>
      </c>
      <c r="AX85" s="2" t="s">
        <v>2654</v>
      </c>
    </row>
    <row r="86">
      <c r="A86" s="2" t="s">
        <v>2725</v>
      </c>
      <c r="B86" s="3" t="str">
        <f>A86</f>
        <v>pitcher-era-ballpark-A-vs-B</v>
      </c>
      <c r="C86" s="2" t="s">
        <v>739</v>
      </c>
      <c r="D86" s="2" t="s">
        <v>792</v>
      </c>
      <c r="E86" s="2" t="s">
        <v>795</v>
      </c>
      <c r="F86" s="5">
        <f>SUMIFS(CaseCells!G2:G999,CaseCells!C2:C999, C86,CaseCells!E2:E999, D86)</f>
        <v>2000</v>
      </c>
      <c r="G86" s="5">
        <f>SUMIFS(CaseCells!F2:F999,CaseCells!C2:C999, C86,CaseCells!E2:E999, D86)</f>
        <v>1170</v>
      </c>
      <c r="H86" s="3">
        <f>IF(F86 = 0, "", G86 / F86)</f>
        <v>0.585</v>
      </c>
      <c r="I86" s="5">
        <f>SUMIFS(CaseCells!G2:G999,CaseCells!C2:C999, C86,CaseCells!E2:E999, E86)</f>
        <v>2000</v>
      </c>
      <c r="J86" s="5">
        <f>SUMIFS(CaseCells!F2:F999,CaseCells!C2:C999, C86,CaseCells!E2:E999, E86)</f>
        <v>1160</v>
      </c>
      <c r="K86" s="3">
        <f>IF(I86 = 0, "", J86 / I86)</f>
        <v>0.58</v>
      </c>
      <c r="L86" s="3" t="str">
        <f>IF(OR(H86 = "", K86 = ""), "", IF(ABS(H86 - K86) &lt; 0.0000001, "tie", IF(H86 &gt; K86, D86, E86)))</f>
        <v>A</v>
      </c>
      <c r="M86" s="5">
        <f>COUNTIFS(StratumSummaries!C2:C999, C86,StratumSummaries!E2:E999, D86)</f>
        <v>2</v>
      </c>
      <c r="N86" s="5">
        <f>COUNTIFS(StratumSummaries!C2:C999, C86,StratumSummaries!E2:E999, D86,StratumSummaries!O2:O999, D86)</f>
        <v>1</v>
      </c>
      <c r="O86" s="5">
        <f>COUNTIFS(StratumSummaries!C2:C999, C86,StratumSummaries!E2:E999, D86,StratumSummaries!O2:O999, E86)</f>
        <v>1</v>
      </c>
      <c r="P86" s="3" t="str">
        <f>IF(N86 = M86, D86, IF(O86 = M86, E86, "none"))</f>
        <v>none</v>
      </c>
      <c r="Q86" s="3" t="b">
        <f>IF(AC86 = "", "", AC86)</f>
        <v>0</v>
      </c>
      <c r="R86" s="5">
        <f>COUNTIFS(StratumVariables!C2:C999, C86,StratumVariables!H2:H999, TRUE())</f>
        <v>1</v>
      </c>
      <c r="S86" s="3" t="b">
        <f>AND(Q86, R86 &gt; 0)</f>
        <v>0</v>
      </c>
      <c r="T86" s="3">
        <f>IF(H86 = "", "", ABS(H86 - K86))</f>
        <v>0.0050000000000000044</v>
      </c>
      <c r="U86" s="5">
        <f>IF(L86 = D86, O86, N86)</f>
        <v>1</v>
      </c>
      <c r="V86" s="3">
        <f>IF(M86 = 0, "", T86 * (U86 / M86))</f>
        <v>0.0025000000000000022</v>
      </c>
      <c r="W86" s="3">
        <f>SUMIFS(StratumSummaries!S2:S999,StratumSummaries!C2:C999, C86,StratumSummaries!E2:E999, D86)</f>
        <v>0.585</v>
      </c>
      <c r="X86" s="3">
        <f>SUMIFS(StratumSummaries!S2:S999,StratumSummaries!C2:C999, C86,StratumSummaries!E2:E999, E86)</f>
        <v>0.5800000000000001</v>
      </c>
      <c r="Y86" s="3">
        <f>IF(M86 = 0, "", U86 / M86)</f>
        <v>0.5</v>
      </c>
      <c r="Z86" s="3">
        <f>IF(M86 = 0, "", Y86 - 0.5)</f>
        <v>0</v>
      </c>
      <c r="AA86" s="3">
        <f>IF(H86 = "", "", H86 - K86)</f>
        <v>0.0050000000000000044</v>
      </c>
      <c r="AB86" s="3">
        <f>SUMIFS(StratumSummaries!AB2:AB999,StratumSummaries!C2:C999, C86,StratumSummaries!E2:E999, D86)</f>
        <v>0.0050000000000000044</v>
      </c>
      <c r="AC86" s="3" t="b">
        <f>IF(AB86 = "", "", IF(AB86 &gt; 0, AA86 &lt; 0, AA86 &gt; 0))</f>
        <v>0</v>
      </c>
      <c r="AD86" s="3">
        <f>IF(AB86 = "", "", ABS(AB86 - AA86))</f>
        <v>0</v>
      </c>
      <c r="AE86" s="3" t="str">
        <f>IF(AD86 = "", "", IF(AC86, IF(AND(AB86 &lt;&gt; 0, AA86 / AB86 &lt; -1), "B", IF(AND(AB86 &lt;&gt; 0, AA86 / AB86 &lt; 0), "A", IF(Y86 = 1, "A", "B"))), IF(AND(NOT(AC86), AD86 &gt; 0.01, ABS(AA86) &gt; ABS(AG86) + 0.001), "C+", IF(AND(NOT(AC86), AD86 &gt; 0.01, ABS(AA86) &lt; ABS(AG86) - 0.001), "C-", "D"))))</f>
        <v>D</v>
      </c>
      <c r="AF86" s="3" t="str">
        <f>IF(AE86 = "", "", IF(AE86 = "A", "stratify-immediately", IF(AE86 = "B", "investigate-confounder", IF(OR(AE86 = "C+", AE86 = "C-"), "check-allocation-bias", "pooled-analysis-trustworthy"))))</f>
        <v>pooled-analysis-trustworthy</v>
      </c>
      <c r="AG86" s="3">
        <f>AB86</f>
        <v>0.0050000000000000044</v>
      </c>
      <c r="AH86" s="3" t="str">
        <f>IF(AG86 = "", "", IF(ABS(AG86) &lt; 0.0001, "tie", IF(AG86 &gt; 0, D86, IF(AG86 &lt; 0, E86, "tie"))))</f>
        <v>A</v>
      </c>
      <c r="AI86" s="3" t="b">
        <f>IF(AH86 = "", "", AH86 = L86)</f>
        <v>1</v>
      </c>
      <c r="AJ86" s="3" t="str">
        <f>IF(AE86 = "", "", IF(AE86 = "A", "use-corrected-winner", IF(AE86 = "B", "use-corrected-winner-with-caution", IF(OR(AE86 = "C+", AE86 = "C-"), "check-allocation-bias", "pooled-analysis-trustworthy"))))</f>
        <v>pooled-analysis-trustworthy</v>
      </c>
      <c r="AK86" s="3" t="str">
        <f>IF(AG86 = "", "", IF(AC86, "reversal", IF(ABS(AA86) &gt; ABS(AG86) + 0.001, "amplification", IF(ABS(AA86) &lt; ABS(AG86) - 0.001, "compression", "neutral"))))</f>
        <v>neutral</v>
      </c>
      <c r="AL86" s="3">
        <f>IF(AG86 = "", "", IF(ABS(AG86) + AD86 = 0, 1, ABS(AG86) / (ABS(AG86) + AD86)))</f>
        <v>1</v>
      </c>
      <c r="AM86" s="3" t="e">
        <f>LOOKUP(C86, SweepStudySummary[SweepStudyId], SweepStudySummary[PooledGapCrossesZero])</f>
        <v>#VALUE!</v>
      </c>
      <c r="AN86" s="3" t="e">
        <f>LOOKUP(C86, SweepStudySummary[SweepStudyId], SweepStudySummary[SweepPooledGapRange])</f>
        <v>#VALUE!</v>
      </c>
      <c r="AO86" s="3" t="e">
        <f>IF(AE86 = "", "", AND(AE86 = "D", AM86 = TRUE))</f>
        <v>#VALUE!</v>
      </c>
      <c r="AP86" s="3" t="e">
        <f>IF(OR(AN86 = "", T86 = "", T86 = 0), "", AN86 / ABS(T86))</f>
        <v>#VALUE!</v>
      </c>
      <c r="AQ86" s="3" t="e">
        <f>LOOKUP(C86, Studies[StudyId], Studies[Domain])</f>
        <v>#VALUE!</v>
      </c>
      <c r="AR86" s="5">
        <f>COUNTIFS(StratumVariables!C2:C999, C86,StratumVariables!E2:E999, "confounder")</f>
        <v>1</v>
      </c>
      <c r="AS86" s="5">
        <f>COUNTIFS(StratumVariables!C2:C999, C86,StratumVariables!J2:J999, "mediator") + COUNTIFS(StratumVariables!C2:C999, C86,StratumVariables!J2:J999, "collider")</f>
        <v>0</v>
      </c>
      <c r="AT86" s="5">
        <f>COUNTIFS(StratumVariables!C2:C999, C86,StratumVariables!E2:E999, "contested")</f>
        <v>0</v>
      </c>
      <c r="AU86" s="5">
        <f>COUNTIFS(StratumVariables!C2:C999, C86,StratumVariables!E2:E999, "unknown")</f>
        <v>0</v>
      </c>
      <c r="AV86" s="3" t="str">
        <f>IF(AT86 &gt; 0, "contested", IF(AU86 &gt; 0, "geometric-only", IF(AR86 &gt; 0, "established", "geometric-only")))</f>
        <v>established</v>
      </c>
      <c r="AW86" s="3" t="b">
        <f>AND(AS86 = 0, AV86 = "established")</f>
        <v>1</v>
      </c>
      <c r="AX86" s="2" t="s">
        <v>2654</v>
      </c>
    </row>
    <row r="87">
      <c r="A87" s="2" t="s">
        <v>2726</v>
      </c>
      <c r="B87" s="3" t="str">
        <f>A87</f>
        <v>nfl-completion-depth-A-vs-B</v>
      </c>
      <c r="C87" s="2" t="s">
        <v>743</v>
      </c>
      <c r="D87" s="2" t="s">
        <v>792</v>
      </c>
      <c r="E87" s="2" t="s">
        <v>795</v>
      </c>
      <c r="F87" s="5">
        <f>SUMIFS(CaseCells!G2:G999,CaseCells!C2:C999, C87,CaseCells!E2:E999, D87)</f>
        <v>1000</v>
      </c>
      <c r="G87" s="5">
        <f>SUMIFS(CaseCells!F2:F999,CaseCells!C2:C999, C87,CaseCells!E2:E999, D87)</f>
        <v>810</v>
      </c>
      <c r="H87" s="3">
        <f>IF(F87 = 0, "", G87 / F87)</f>
        <v>0.81</v>
      </c>
      <c r="I87" s="5">
        <f>SUMIFS(CaseCells!G2:G999,CaseCells!C2:C999, C87,CaseCells!E2:E999, E87)</f>
        <v>1000</v>
      </c>
      <c r="J87" s="5">
        <f>SUMIFS(CaseCells!F2:F999,CaseCells!C2:C999, C87,CaseCells!E2:E999, E87)</f>
        <v>810</v>
      </c>
      <c r="K87" s="3">
        <f>IF(I87 = 0, "", J87 / I87)</f>
        <v>0.81</v>
      </c>
      <c r="L87" s="3" t="str">
        <f>IF(OR(H87 = "", K87 = ""), "", IF(ABS(H87 - K87) &lt; 0.0000001, "tie", IF(H87 &gt; K87, D87, E87)))</f>
        <v>tie</v>
      </c>
      <c r="M87" s="5">
        <f>COUNTIFS(StratumSummaries!C2:C999, C87,StratumSummaries!E2:E999, D87)</f>
        <v>2</v>
      </c>
      <c r="N87" s="5">
        <f>COUNTIFS(StratumSummaries!C2:C999, C87,StratumSummaries!E2:E999, D87,StratumSummaries!O2:O999, D87)</f>
        <v>1</v>
      </c>
      <c r="O87" s="5">
        <f>COUNTIFS(StratumSummaries!C2:C999, C87,StratumSummaries!E2:E999, D87,StratumSummaries!O2:O999, E87)</f>
        <v>1</v>
      </c>
      <c r="P87" s="3" t="str">
        <f>IF(N87 = M87, D87, IF(O87 = M87, E87, "none"))</f>
        <v>none</v>
      </c>
      <c r="Q87" s="3" t="b">
        <f>IF(AC87 = "", "", AC87)</f>
        <v>0</v>
      </c>
      <c r="R87" s="5">
        <f>COUNTIFS(StratumVariables!C2:C999, C87,StratumVariables!H2:H999, TRUE())</f>
        <v>1</v>
      </c>
      <c r="S87" s="3" t="b">
        <f>AND(Q87, R87 &gt; 0)</f>
        <v>0</v>
      </c>
      <c r="T87" s="3">
        <f>IF(H87 = "", "", ABS(H87 - K87))</f>
        <v>0</v>
      </c>
      <c r="U87" s="5">
        <f>IF(L87 = D87, O87, N87)</f>
        <v>1</v>
      </c>
      <c r="V87" s="3">
        <f>IF(M87 = 0, "", T87 * (U87 / M87))</f>
        <v>0</v>
      </c>
      <c r="W87" s="3">
        <f>SUMIFS(StratumSummaries!S2:S999,StratumSummaries!C2:C999, C87,StratumSummaries!E2:E999, D87)</f>
        <v>0.81</v>
      </c>
      <c r="X87" s="3">
        <f>SUMIFS(StratumSummaries!S2:S999,StratumSummaries!C2:C999, C87,StratumSummaries!E2:E999, E87)</f>
        <v>0.81</v>
      </c>
      <c r="Y87" s="3">
        <f>IF(M87 = 0, "", U87 / M87)</f>
        <v>0.5</v>
      </c>
      <c r="Z87" s="3">
        <f>IF(M87 = 0, "", Y87 - 0.5)</f>
        <v>0</v>
      </c>
      <c r="AA87" s="3">
        <f>IF(H87 = "", "", H87 - K87)</f>
        <v>0</v>
      </c>
      <c r="AB87" s="3">
        <f>SUMIFS(StratumSummaries!AB2:AB999,StratumSummaries!C2:C999, C87,StratumSummaries!E2:E999, D87)</f>
        <v>1.0408340855860843E-17</v>
      </c>
      <c r="AC87" s="3" t="b">
        <f>IF(AB87 = "", "", IF(AB87 &gt; 0, AA87 &lt; 0, AA87 &gt; 0))</f>
        <v>0</v>
      </c>
      <c r="AD87" s="3">
        <f>IF(AB87 = "", "", ABS(AB87 - AA87))</f>
        <v>1.0408340855860843E-17</v>
      </c>
      <c r="AE87" s="3" t="str">
        <f>IF(AD87 = "", "", IF(AC87, IF(AND(AB87 &lt;&gt; 0, AA87 / AB87 &lt; -1), "B", IF(AND(AB87 &lt;&gt; 0, AA87 / AB87 &lt; 0), "A", IF(Y87 = 1, "A", "B"))), IF(AND(NOT(AC87), AD87 &gt; 0.01, ABS(AA87) &gt; ABS(AG87) + 0.001), "C+", IF(AND(NOT(AC87), AD87 &gt; 0.01, ABS(AA87) &lt; ABS(AG87) - 0.001), "C-", "D"))))</f>
        <v>D</v>
      </c>
      <c r="AF87" s="3" t="str">
        <f>IF(AE87 = "", "", IF(AE87 = "A", "stratify-immediately", IF(AE87 = "B", "investigate-confounder", IF(OR(AE87 = "C+", AE87 = "C-"), "check-allocation-bias", "pooled-analysis-trustworthy"))))</f>
        <v>pooled-analysis-trustworthy</v>
      </c>
      <c r="AG87" s="3">
        <f>AB87</f>
        <v>1.0408340855860843E-17</v>
      </c>
      <c r="AH87" s="3" t="str">
        <f>IF(AG87 = "", "", IF(ABS(AG87) &lt; 0.0001, "tie", IF(AG87 &gt; 0, D87, IF(AG87 &lt; 0, E87, "tie"))))</f>
        <v>tie</v>
      </c>
      <c r="AI87" s="3" t="b">
        <f>IF(AH87 = "", "", AH87 = L87)</f>
        <v>1</v>
      </c>
      <c r="AJ87" s="3" t="str">
        <f>IF(AE87 = "", "", IF(AE87 = "A", "use-corrected-winner", IF(AE87 = "B", "use-corrected-winner-with-caution", IF(OR(AE87 = "C+", AE87 = "C-"), "check-allocation-bias", "pooled-analysis-trustworthy"))))</f>
        <v>pooled-analysis-trustworthy</v>
      </c>
      <c r="AK87" s="3" t="str">
        <f>IF(AG87 = "", "", IF(AC87, "reversal", IF(ABS(AA87) &gt; ABS(AG87) + 0.001, "amplification", IF(ABS(AA87) &lt; ABS(AG87) - 0.001, "compression", "neutral"))))</f>
        <v>neutral</v>
      </c>
      <c r="AL87" s="3">
        <f>IF(AG87 = "", "", IF(ABS(AG87) + AD87 = 0, 1, ABS(AG87) / (ABS(AG87) + AD87)))</f>
        <v>0.5</v>
      </c>
      <c r="AM87" s="3" t="e">
        <f>LOOKUP(C87, SweepStudySummary[SweepStudyId], SweepStudySummary[PooledGapCrossesZero])</f>
        <v>#VALUE!</v>
      </c>
      <c r="AN87" s="3" t="e">
        <f>LOOKUP(C87, SweepStudySummary[SweepStudyId], SweepStudySummary[SweepPooledGapRange])</f>
        <v>#VALUE!</v>
      </c>
      <c r="AO87" s="3" t="e">
        <f>IF(AE87 = "", "", AND(AE87 = "D", AM87 = TRUE))</f>
        <v>#VALUE!</v>
      </c>
      <c r="AP87" s="3" t="e">
        <f>IF(OR(AN87 = "", T87 = "", T87 = 0), "", AN87 / ABS(T87))</f>
        <v>#VALUE!</v>
      </c>
      <c r="AQ87" s="3" t="e">
        <f>LOOKUP(C87, Studies[StudyId], Studies[Domain])</f>
        <v>#VALUE!</v>
      </c>
      <c r="AR87" s="5">
        <f>COUNTIFS(StratumVariables!C2:C999, C87,StratumVariables!E2:E999, "confounder")</f>
        <v>1</v>
      </c>
      <c r="AS87" s="5">
        <f>COUNTIFS(StratumVariables!C2:C999, C87,StratumVariables!J2:J999, "mediator") + COUNTIFS(StratumVariables!C2:C999, C87,StratumVariables!J2:J999, "collider")</f>
        <v>0</v>
      </c>
      <c r="AT87" s="5">
        <f>COUNTIFS(StratumVariables!C2:C999, C87,StratumVariables!E2:E999, "contested")</f>
        <v>0</v>
      </c>
      <c r="AU87" s="5">
        <f>COUNTIFS(StratumVariables!C2:C999, C87,StratumVariables!E2:E999, "unknown")</f>
        <v>0</v>
      </c>
      <c r="AV87" s="3" t="str">
        <f>IF(AT87 &gt; 0, "contested", IF(AU87 &gt; 0, "geometric-only", IF(AR87 &gt; 0, "established", "geometric-only")))</f>
        <v>established</v>
      </c>
      <c r="AW87" s="3" t="b">
        <f>AND(AS87 = 0, AV87 = "established")</f>
        <v>1</v>
      </c>
      <c r="AX87" s="2" t="s">
        <v>2654</v>
      </c>
    </row>
    <row r="88">
      <c r="A88" s="2" t="s">
        <v>2727</v>
      </c>
      <c r="B88" s="3" t="str">
        <f>A88</f>
        <v>field-goal-distance-A-vs-B</v>
      </c>
      <c r="C88" s="2" t="s">
        <v>747</v>
      </c>
      <c r="D88" s="2" t="s">
        <v>792</v>
      </c>
      <c r="E88" s="2" t="s">
        <v>795</v>
      </c>
      <c r="F88" s="5">
        <f>SUMIFS(CaseCells!G2:G999,CaseCells!C2:C999, C88,CaseCells!E2:E999, D88)</f>
        <v>2000</v>
      </c>
      <c r="G88" s="5">
        <f>SUMIFS(CaseCells!F2:F999,CaseCells!C2:C999, C88,CaseCells!E2:E999, D88)</f>
        <v>1550</v>
      </c>
      <c r="H88" s="3">
        <f>IF(F88 = 0, "", G88 / F88)</f>
        <v>0.775</v>
      </c>
      <c r="I88" s="5">
        <f>SUMIFS(CaseCells!G2:G999,CaseCells!C2:C999, C88,CaseCells!E2:E999, E88)</f>
        <v>2000</v>
      </c>
      <c r="J88" s="5">
        <f>SUMIFS(CaseCells!F2:F999,CaseCells!C2:C999, C88,CaseCells!E2:E999, E88)</f>
        <v>1590</v>
      </c>
      <c r="K88" s="3">
        <f>IF(I88 = 0, "", J88 / I88)</f>
        <v>0.795</v>
      </c>
      <c r="L88" s="3" t="str">
        <f>IF(OR(H88 = "", K88 = ""), "", IF(ABS(H88 - K88) &lt; 0.0000001, "tie", IF(H88 &gt; K88, D88, E88)))</f>
        <v>B</v>
      </c>
      <c r="M88" s="5">
        <f>COUNTIFS(StratumSummaries!C2:C999, C88,StratumSummaries!E2:E999, D88)</f>
        <v>2</v>
      </c>
      <c r="N88" s="5">
        <f>COUNTIFS(StratumSummaries!C2:C999, C88,StratumSummaries!E2:E999, D88,StratumSummaries!O2:O999, D88)</f>
        <v>1</v>
      </c>
      <c r="O88" s="5">
        <f>COUNTIFS(StratumSummaries!C2:C999, C88,StratumSummaries!E2:E999, D88,StratumSummaries!O2:O999, E88)</f>
        <v>1</v>
      </c>
      <c r="P88" s="3" t="str">
        <f>IF(N88 = M88, D88, IF(O88 = M88, E88, "none"))</f>
        <v>none</v>
      </c>
      <c r="Q88" s="3" t="b">
        <f>IF(AC88 = "", "", AC88)</f>
        <v>0</v>
      </c>
      <c r="R88" s="5">
        <f>COUNTIFS(StratumVariables!C2:C999, C88,StratumVariables!H2:H999, TRUE())</f>
        <v>1</v>
      </c>
      <c r="S88" s="3" t="b">
        <f>AND(Q88, R88 &gt; 0)</f>
        <v>0</v>
      </c>
      <c r="T88" s="3">
        <f>IF(H88 = "", "", ABS(H88 - K88))</f>
        <v>0.020000000000000018</v>
      </c>
      <c r="U88" s="5">
        <f>IF(L88 = D88, O88, N88)</f>
        <v>1</v>
      </c>
      <c r="V88" s="3">
        <f>IF(M88 = 0, "", T88 * (U88 / M88))</f>
        <v>0.010000000000000009</v>
      </c>
      <c r="W88" s="3">
        <f>SUMIFS(StratumSummaries!S2:S999,StratumSummaries!C2:C999, C88,StratumSummaries!E2:E999, D88)</f>
        <v>0.7749999999999999</v>
      </c>
      <c r="X88" s="3">
        <f>SUMIFS(StratumSummaries!S2:S999,StratumSummaries!C2:C999, C88,StratumSummaries!E2:E999, E88)</f>
        <v>0.7949999999999999</v>
      </c>
      <c r="Y88" s="3">
        <f>IF(M88 = 0, "", U88 / M88)</f>
        <v>0.5</v>
      </c>
      <c r="Z88" s="3">
        <f>IF(M88 = 0, "", Y88 - 0.5)</f>
        <v>0</v>
      </c>
      <c r="AA88" s="3">
        <f>IF(H88 = "", "", H88 - K88)</f>
        <v>-0.020000000000000018</v>
      </c>
      <c r="AB88" s="3">
        <f>SUMIFS(StratumSummaries!AB2:AB999,StratumSummaries!C2:C999, C88,StratumSummaries!E2:E999, D88)</f>
        <v>-0.020000000000000018</v>
      </c>
      <c r="AC88" s="3" t="b">
        <f>IF(AB88 = "", "", IF(AB88 &gt; 0, AA88 &lt; 0, AA88 &gt; 0))</f>
        <v>0</v>
      </c>
      <c r="AD88" s="3">
        <f>IF(AB88 = "", "", ABS(AB88 - AA88))</f>
        <v>0</v>
      </c>
      <c r="AE88" s="3" t="str">
        <f>IF(AD88 = "", "", IF(AC88, IF(AND(AB88 &lt;&gt; 0, AA88 / AB88 &lt; -1), "B", IF(AND(AB88 &lt;&gt; 0, AA88 / AB88 &lt; 0), "A", IF(Y88 = 1, "A", "B"))), IF(AND(NOT(AC88), AD88 &gt; 0.01, ABS(AA88) &gt; ABS(AG88) + 0.001), "C+", IF(AND(NOT(AC88), AD88 &gt; 0.01, ABS(AA88) &lt; ABS(AG88) - 0.001), "C-", "D"))))</f>
        <v>D</v>
      </c>
      <c r="AF88" s="3" t="str">
        <f>IF(AE88 = "", "", IF(AE88 = "A", "stratify-immediately", IF(AE88 = "B", "investigate-confounder", IF(OR(AE88 = "C+", AE88 = "C-"), "check-allocation-bias", "pooled-analysis-trustworthy"))))</f>
        <v>pooled-analysis-trustworthy</v>
      </c>
      <c r="AG88" s="3">
        <f>AB88</f>
        <v>-0.020000000000000018</v>
      </c>
      <c r="AH88" s="3" t="str">
        <f>IF(AG88 = "", "", IF(ABS(AG88) &lt; 0.0001, "tie", IF(AG88 &gt; 0, D88, IF(AG88 &lt; 0, E88, "tie"))))</f>
        <v>B</v>
      </c>
      <c r="AI88" s="3" t="b">
        <f>IF(AH88 = "", "", AH88 = L88)</f>
        <v>1</v>
      </c>
      <c r="AJ88" s="3" t="str">
        <f>IF(AE88 = "", "", IF(AE88 = "A", "use-corrected-winner", IF(AE88 = "B", "use-corrected-winner-with-caution", IF(OR(AE88 = "C+", AE88 = "C-"), "check-allocation-bias", "pooled-analysis-trustworthy"))))</f>
        <v>pooled-analysis-trustworthy</v>
      </c>
      <c r="AK88" s="3" t="str">
        <f>IF(AG88 = "", "", IF(AC88, "reversal", IF(ABS(AA88) &gt; ABS(AG88) + 0.001, "amplification", IF(ABS(AA88) &lt; ABS(AG88) - 0.001, "compression", "neutral"))))</f>
        <v>neutral</v>
      </c>
      <c r="AL88" s="3">
        <f>IF(AG88 = "", "", IF(ABS(AG88) + AD88 = 0, 1, ABS(AG88) / (ABS(AG88) + AD88)))</f>
        <v>1</v>
      </c>
      <c r="AM88" s="3" t="e">
        <f>LOOKUP(C88, SweepStudySummary[SweepStudyId], SweepStudySummary[PooledGapCrossesZero])</f>
        <v>#VALUE!</v>
      </c>
      <c r="AN88" s="3" t="e">
        <f>LOOKUP(C88, SweepStudySummary[SweepStudyId], SweepStudySummary[SweepPooledGapRange])</f>
        <v>#VALUE!</v>
      </c>
      <c r="AO88" s="3" t="e">
        <f>IF(AE88 = "", "", AND(AE88 = "D", AM88 = TRUE))</f>
        <v>#VALUE!</v>
      </c>
      <c r="AP88" s="3" t="e">
        <f>IF(OR(AN88 = "", T88 = "", T88 = 0), "", AN88 / ABS(T88))</f>
        <v>#VALUE!</v>
      </c>
      <c r="AQ88" s="3" t="e">
        <f>LOOKUP(C88, Studies[StudyId], Studies[Domain])</f>
        <v>#VALUE!</v>
      </c>
      <c r="AR88" s="5">
        <f>COUNTIFS(StratumVariables!C2:C999, C88,StratumVariables!E2:E999, "confounder")</f>
        <v>1</v>
      </c>
      <c r="AS88" s="5">
        <f>COUNTIFS(StratumVariables!C2:C999, C88,StratumVariables!J2:J999, "mediator") + COUNTIFS(StratumVariables!C2:C999, C88,StratumVariables!J2:J999, "collider")</f>
        <v>0</v>
      </c>
      <c r="AT88" s="5">
        <f>COUNTIFS(StratumVariables!C2:C999, C88,StratumVariables!E2:E999, "contested")</f>
        <v>0</v>
      </c>
      <c r="AU88" s="5">
        <f>COUNTIFS(StratumVariables!C2:C999, C88,StratumVariables!E2:E999, "unknown")</f>
        <v>0</v>
      </c>
      <c r="AV88" s="3" t="str">
        <f>IF(AT88 &gt; 0, "contested", IF(AU88 &gt; 0, "geometric-only", IF(AR88 &gt; 0, "established", "geometric-only")))</f>
        <v>established</v>
      </c>
      <c r="AW88" s="3" t="b">
        <f>AND(AS88 = 0, AV88 = "established")</f>
        <v>1</v>
      </c>
      <c r="AX88" s="2" t="s">
        <v>2654</v>
      </c>
    </row>
    <row r="89">
      <c r="A89" s="2" t="s">
        <v>2728</v>
      </c>
      <c r="B89" s="3" t="str">
        <f>A89</f>
        <v>golf-scoring-course-A-vs-B</v>
      </c>
      <c r="C89" s="2" t="s">
        <v>751</v>
      </c>
      <c r="D89" s="2" t="s">
        <v>792</v>
      </c>
      <c r="E89" s="2" t="s">
        <v>795</v>
      </c>
      <c r="F89" s="5">
        <f>SUMIFS(CaseCells!G2:G999,CaseCells!C2:C999, C89,CaseCells!E2:E999, D89)</f>
        <v>2000</v>
      </c>
      <c r="G89" s="5">
        <f>SUMIFS(CaseCells!F2:F999,CaseCells!C2:C999, C89,CaseCells!E2:E999, D89)</f>
        <v>1000</v>
      </c>
      <c r="H89" s="3">
        <f>IF(F89 = 0, "", G89 / F89)</f>
        <v>0.5</v>
      </c>
      <c r="I89" s="5">
        <f>SUMIFS(CaseCells!G2:G999,CaseCells!C2:C999, C89,CaseCells!E2:E999, E89)</f>
        <v>2000</v>
      </c>
      <c r="J89" s="5">
        <f>SUMIFS(CaseCells!F2:F999,CaseCells!C2:C999, C89,CaseCells!E2:E999, E89)</f>
        <v>1000</v>
      </c>
      <c r="K89" s="3">
        <f>IF(I89 = 0, "", J89 / I89)</f>
        <v>0.5</v>
      </c>
      <c r="L89" s="3" t="str">
        <f>IF(OR(H89 = "", K89 = ""), "", IF(ABS(H89 - K89) &lt; 0.0000001, "tie", IF(H89 &gt; K89, D89, E89)))</f>
        <v>tie</v>
      </c>
      <c r="M89" s="5">
        <f>COUNTIFS(StratumSummaries!C2:C999, C89,StratumSummaries!E2:E999, D89)</f>
        <v>2</v>
      </c>
      <c r="N89" s="5">
        <f>COUNTIFS(StratumSummaries!C2:C999, C89,StratumSummaries!E2:E999, D89,StratumSummaries!O2:O999, D89)</f>
        <v>1</v>
      </c>
      <c r="O89" s="5">
        <f>COUNTIFS(StratumSummaries!C2:C999, C89,StratumSummaries!E2:E999, D89,StratumSummaries!O2:O999, E89)</f>
        <v>1</v>
      </c>
      <c r="P89" s="3" t="str">
        <f>IF(N89 = M89, D89, IF(O89 = M89, E89, "none"))</f>
        <v>none</v>
      </c>
      <c r="Q89" s="3" t="b">
        <f>IF(AC89 = "", "", AC89)</f>
        <v>0</v>
      </c>
      <c r="R89" s="5">
        <f>COUNTIFS(StratumVariables!C2:C999, C89,StratumVariables!H2:H999, TRUE())</f>
        <v>1</v>
      </c>
      <c r="S89" s="3" t="b">
        <f>AND(Q89, R89 &gt; 0)</f>
        <v>0</v>
      </c>
      <c r="T89" s="3">
        <f>IF(H89 = "", "", ABS(H89 - K89))</f>
        <v>0</v>
      </c>
      <c r="U89" s="5">
        <f>IF(L89 = D89, O89, N89)</f>
        <v>1</v>
      </c>
      <c r="V89" s="3">
        <f>IF(M89 = 0, "", T89 * (U89 / M89))</f>
        <v>0</v>
      </c>
      <c r="W89" s="3">
        <f>SUMIFS(StratumSummaries!S2:S999,StratumSummaries!C2:C999, C89,StratumSummaries!E2:E999, D89)</f>
        <v>0.5</v>
      </c>
      <c r="X89" s="3">
        <f>SUMIFS(StratumSummaries!S2:S999,StratumSummaries!C2:C999, C89,StratumSummaries!E2:E999, E89)</f>
        <v>0.5</v>
      </c>
      <c r="Y89" s="3">
        <f>IF(M89 = 0, "", U89 / M89)</f>
        <v>0.5</v>
      </c>
      <c r="Z89" s="3">
        <f>IF(M89 = 0, "", Y89 - 0.5)</f>
        <v>0</v>
      </c>
      <c r="AA89" s="3">
        <f>IF(H89 = "", "", H89 - K89)</f>
        <v>0</v>
      </c>
      <c r="AB89" s="3">
        <f>SUMIFS(StratumSummaries!AB2:AB999,StratumSummaries!C2:C999, C89,StratumSummaries!E2:E999, D89)</f>
        <v>0</v>
      </c>
      <c r="AC89" s="3" t="b">
        <f>IF(AB89 = "", "", IF(AB89 &gt; 0, AA89 &lt; 0, AA89 &gt; 0))</f>
        <v>0</v>
      </c>
      <c r="AD89" s="3">
        <f>IF(AB89 = "", "", ABS(AB89 - AA89))</f>
        <v>0</v>
      </c>
      <c r="AE89" s="3" t="str">
        <f>IF(AD89 = "", "", IF(AC89, IF(AND(AB89 &lt;&gt; 0, AA89 / AB89 &lt; -1), "B", IF(AND(AB89 &lt;&gt; 0, AA89 / AB89 &lt; 0), "A", IF(Y89 = 1, "A", "B"))), IF(AND(NOT(AC89), AD89 &gt; 0.01, ABS(AA89) &gt; ABS(AG89) + 0.001), "C+", IF(AND(NOT(AC89), AD89 &gt; 0.01, ABS(AA89) &lt; ABS(AG89) - 0.001), "C-", "D"))))</f>
        <v>D</v>
      </c>
      <c r="AF89" s="3" t="str">
        <f>IF(AE89 = "", "", IF(AE89 = "A", "stratify-immediately", IF(AE89 = "B", "investigate-confounder", IF(OR(AE89 = "C+", AE89 = "C-"), "check-allocation-bias", "pooled-analysis-trustworthy"))))</f>
        <v>pooled-analysis-trustworthy</v>
      </c>
      <c r="AG89" s="3">
        <f>AB89</f>
        <v>0</v>
      </c>
      <c r="AH89" s="3" t="str">
        <f>IF(AG89 = "", "", IF(ABS(AG89) &lt; 0.0001, "tie", IF(AG89 &gt; 0, D89, IF(AG89 &lt; 0, E89, "tie"))))</f>
        <v>tie</v>
      </c>
      <c r="AI89" s="3" t="b">
        <f>IF(AH89 = "", "", AH89 = L89)</f>
        <v>1</v>
      </c>
      <c r="AJ89" s="3" t="str">
        <f>IF(AE89 = "", "", IF(AE89 = "A", "use-corrected-winner", IF(AE89 = "B", "use-corrected-winner-with-caution", IF(OR(AE89 = "C+", AE89 = "C-"), "check-allocation-bias", "pooled-analysis-trustworthy"))))</f>
        <v>pooled-analysis-trustworthy</v>
      </c>
      <c r="AK89" s="3" t="str">
        <f>IF(AG89 = "", "", IF(AC89, "reversal", IF(ABS(AA89) &gt; ABS(AG89) + 0.001, "amplification", IF(ABS(AA89) &lt; ABS(AG89) - 0.001, "compression", "neutral"))))</f>
        <v>neutral</v>
      </c>
      <c r="AL89" s="3">
        <f>IF(AG89 = "", "", IF(ABS(AG89) + AD89 = 0, 1, ABS(AG89) / (ABS(AG89) + AD89)))</f>
        <v>1</v>
      </c>
      <c r="AM89" s="3" t="e">
        <f>LOOKUP(C89, SweepStudySummary[SweepStudyId], SweepStudySummary[PooledGapCrossesZero])</f>
        <v>#VALUE!</v>
      </c>
      <c r="AN89" s="3" t="e">
        <f>LOOKUP(C89, SweepStudySummary[SweepStudyId], SweepStudySummary[SweepPooledGapRange])</f>
        <v>#VALUE!</v>
      </c>
      <c r="AO89" s="3" t="e">
        <f>IF(AE89 = "", "", AND(AE89 = "D", AM89 = TRUE))</f>
        <v>#VALUE!</v>
      </c>
      <c r="AP89" s="3" t="e">
        <f>IF(OR(AN89 = "", T89 = "", T89 = 0), "", AN89 / ABS(T89))</f>
        <v>#VALUE!</v>
      </c>
      <c r="AQ89" s="3" t="e">
        <f>LOOKUP(C89, Studies[StudyId], Studies[Domain])</f>
        <v>#VALUE!</v>
      </c>
      <c r="AR89" s="5">
        <f>COUNTIFS(StratumVariables!C2:C999, C89,StratumVariables!E2:E999, "confounder")</f>
        <v>1</v>
      </c>
      <c r="AS89" s="5">
        <f>COUNTIFS(StratumVariables!C2:C999, C89,StratumVariables!J2:J999, "mediator") + COUNTIFS(StratumVariables!C2:C999, C89,StratumVariables!J2:J999, "collider")</f>
        <v>0</v>
      </c>
      <c r="AT89" s="5">
        <f>COUNTIFS(StratumVariables!C2:C999, C89,StratumVariables!E2:E999, "contested")</f>
        <v>0</v>
      </c>
      <c r="AU89" s="5">
        <f>COUNTIFS(StratumVariables!C2:C999, C89,StratumVariables!E2:E999, "unknown")</f>
        <v>0</v>
      </c>
      <c r="AV89" s="3" t="str">
        <f>IF(AT89 &gt; 0, "contested", IF(AU89 &gt; 0, "geometric-only", IF(AR89 &gt; 0, "established", "geometric-only")))</f>
        <v>established</v>
      </c>
      <c r="AW89" s="3" t="b">
        <f>AND(AS89 = 0, AV89 = "established")</f>
        <v>1</v>
      </c>
      <c r="AX89" s="2" t="s">
        <v>2654</v>
      </c>
    </row>
    <row r="90">
      <c r="A90" s="2" t="s">
        <v>2729</v>
      </c>
      <c r="B90" s="3" t="str">
        <f>A90</f>
        <v>minimum-wage-region-A-vs-B</v>
      </c>
      <c r="C90" s="2" t="s">
        <v>755</v>
      </c>
      <c r="D90" s="2" t="s">
        <v>792</v>
      </c>
      <c r="E90" s="2" t="s">
        <v>795</v>
      </c>
      <c r="F90" s="5">
        <f>SUMIFS(CaseCells!G2:G999,CaseCells!C2:C999, C90,CaseCells!E2:E999, D90)</f>
        <v>2000</v>
      </c>
      <c r="G90" s="5">
        <f>SUMIFS(CaseCells!F2:F999,CaseCells!C2:C999, C90,CaseCells!E2:E999, D90)</f>
        <v>1700</v>
      </c>
      <c r="H90" s="3">
        <f>IF(F90 = 0, "", G90 / F90)</f>
        <v>0.85</v>
      </c>
      <c r="I90" s="5">
        <f>SUMIFS(CaseCells!G2:G999,CaseCells!C2:C999, C90,CaseCells!E2:E999, E90)</f>
        <v>2000</v>
      </c>
      <c r="J90" s="5">
        <f>SUMIFS(CaseCells!F2:F999,CaseCells!C2:C999, C90,CaseCells!E2:E999, E90)</f>
        <v>1730</v>
      </c>
      <c r="K90" s="3">
        <f>IF(I90 = 0, "", J90 / I90)</f>
        <v>0.865</v>
      </c>
      <c r="L90" s="3" t="str">
        <f>IF(OR(H90 = "", K90 = ""), "", IF(ABS(H90 - K90) &lt; 0.0000001, "tie", IF(H90 &gt; K90, D90, E90)))</f>
        <v>B</v>
      </c>
      <c r="M90" s="5">
        <f>COUNTIFS(StratumSummaries!C2:C999, C90,StratumSummaries!E2:E999, D90)</f>
        <v>2</v>
      </c>
      <c r="N90" s="5">
        <f>COUNTIFS(StratumSummaries!C2:C999, C90,StratumSummaries!E2:E999, D90,StratumSummaries!O2:O999, D90)</f>
        <v>1</v>
      </c>
      <c r="O90" s="5">
        <f>COUNTIFS(StratumSummaries!C2:C999, C90,StratumSummaries!E2:E999, D90,StratumSummaries!O2:O999, E90)</f>
        <v>1</v>
      </c>
      <c r="P90" s="3" t="str">
        <f>IF(N90 = M90, D90, IF(O90 = M90, E90, "none"))</f>
        <v>none</v>
      </c>
      <c r="Q90" s="3" t="b">
        <f>IF(AC90 = "", "", AC90)</f>
        <v>0</v>
      </c>
      <c r="R90" s="5">
        <f>COUNTIFS(StratumVariables!C2:C999, C90,StratumVariables!H2:H999, TRUE())</f>
        <v>1</v>
      </c>
      <c r="S90" s="3" t="b">
        <f>AND(Q90, R90 &gt; 0)</f>
        <v>0</v>
      </c>
      <c r="T90" s="3">
        <f>IF(H90 = "", "", ABS(H90 - K90))</f>
        <v>0.015000000000000013</v>
      </c>
      <c r="U90" s="5">
        <f>IF(L90 = D90, O90, N90)</f>
        <v>1</v>
      </c>
      <c r="V90" s="3">
        <f>IF(M90 = 0, "", T90 * (U90 / M90))</f>
        <v>0.007500000000000007</v>
      </c>
      <c r="W90" s="3">
        <f>SUMIFS(StratumSummaries!S2:S999,StratumSummaries!C2:C999, C90,StratumSummaries!E2:E999, D90)</f>
        <v>0.8500000000000001</v>
      </c>
      <c r="X90" s="3">
        <f>SUMIFS(StratumSummaries!S2:S999,StratumSummaries!C2:C999, C90,StratumSummaries!E2:E999, E90)</f>
        <v>0.865</v>
      </c>
      <c r="Y90" s="3">
        <f>IF(M90 = 0, "", U90 / M90)</f>
        <v>0.5</v>
      </c>
      <c r="Z90" s="3">
        <f>IF(M90 = 0, "", Y90 - 0.5)</f>
        <v>0</v>
      </c>
      <c r="AA90" s="3">
        <f>IF(H90 = "", "", H90 - K90)</f>
        <v>-0.015000000000000013</v>
      </c>
      <c r="AB90" s="3">
        <f>SUMIFS(StratumSummaries!AB2:AB999,StratumSummaries!C2:C999, C90,StratumSummaries!E2:E999, D90)</f>
        <v>-0.014999999999999958</v>
      </c>
      <c r="AC90" s="3" t="b">
        <f>IF(AB90 = "", "", IF(AB90 &gt; 0, AA90 &lt; 0, AA90 &gt; 0))</f>
        <v>0</v>
      </c>
      <c r="AD90" s="3">
        <f>IF(AB90 = "", "", ABS(AB90 - AA90))</f>
        <v>5.551115123125783E-17</v>
      </c>
      <c r="AE90" s="3" t="str">
        <f>IF(AD90 = "", "", IF(AC90, IF(AND(AB90 &lt;&gt; 0, AA90 / AB90 &lt; -1), "B", IF(AND(AB90 &lt;&gt; 0, AA90 / AB90 &lt; 0), "A", IF(Y90 = 1, "A", "B"))), IF(AND(NOT(AC90), AD90 &gt; 0.01, ABS(AA90) &gt; ABS(AG90) + 0.001), "C+", IF(AND(NOT(AC90), AD90 &gt; 0.01, ABS(AA90) &lt; ABS(AG90) - 0.001), "C-", "D"))))</f>
        <v>D</v>
      </c>
      <c r="AF90" s="3" t="str">
        <f>IF(AE90 = "", "", IF(AE90 = "A", "stratify-immediately", IF(AE90 = "B", "investigate-confounder", IF(OR(AE90 = "C+", AE90 = "C-"), "check-allocation-bias", "pooled-analysis-trustworthy"))))</f>
        <v>pooled-analysis-trustworthy</v>
      </c>
      <c r="AG90" s="3">
        <f>AB90</f>
        <v>-0.014999999999999958</v>
      </c>
      <c r="AH90" s="3" t="str">
        <f>IF(AG90 = "", "", IF(ABS(AG90) &lt; 0.0001, "tie", IF(AG90 &gt; 0, D90, IF(AG90 &lt; 0, E90, "tie"))))</f>
        <v>B</v>
      </c>
      <c r="AI90" s="3" t="b">
        <f>IF(AH90 = "", "", AH90 = L90)</f>
        <v>1</v>
      </c>
      <c r="AJ90" s="3" t="str">
        <f>IF(AE90 = "", "", IF(AE90 = "A", "use-corrected-winner", IF(AE90 = "B", "use-corrected-winner-with-caution", IF(OR(AE90 = "C+", AE90 = "C-"), "check-allocation-bias", "pooled-analysis-trustworthy"))))</f>
        <v>pooled-analysis-trustworthy</v>
      </c>
      <c r="AK90" s="3" t="str">
        <f>IF(AG90 = "", "", IF(AC90, "reversal", IF(ABS(AA90) &gt; ABS(AG90) + 0.001, "amplification", IF(ABS(AA90) &lt; ABS(AG90) - 0.001, "compression", "neutral"))))</f>
        <v>neutral</v>
      </c>
      <c r="AL90" s="3">
        <f>IF(AG90 = "", "", IF(ABS(AG90) + AD90 = 0, 1, ABS(AG90) / (ABS(AG90) + AD90)))</f>
        <v>0.9999999999999963</v>
      </c>
      <c r="AM90" s="3" t="e">
        <f>LOOKUP(C90, SweepStudySummary[SweepStudyId], SweepStudySummary[PooledGapCrossesZero])</f>
        <v>#VALUE!</v>
      </c>
      <c r="AN90" s="3" t="e">
        <f>LOOKUP(C90, SweepStudySummary[SweepStudyId], SweepStudySummary[SweepPooledGapRange])</f>
        <v>#VALUE!</v>
      </c>
      <c r="AO90" s="3" t="e">
        <f>IF(AE90 = "", "", AND(AE90 = "D", AM90 = TRUE))</f>
        <v>#VALUE!</v>
      </c>
      <c r="AP90" s="3" t="e">
        <f>IF(OR(AN90 = "", T90 = "", T90 = 0), "", AN90 / ABS(T90))</f>
        <v>#VALUE!</v>
      </c>
      <c r="AQ90" s="3" t="e">
        <f>LOOKUP(C90, Studies[StudyId], Studies[Domain])</f>
        <v>#VALUE!</v>
      </c>
      <c r="AR90" s="5">
        <f>COUNTIFS(StratumVariables!C2:C999, C90,StratumVariables!E2:E999, "confounder")</f>
        <v>1</v>
      </c>
      <c r="AS90" s="5">
        <f>COUNTIFS(StratumVariables!C2:C999, C90,StratumVariables!J2:J999, "mediator") + COUNTIFS(StratumVariables!C2:C999, C90,StratumVariables!J2:J999, "collider")</f>
        <v>0</v>
      </c>
      <c r="AT90" s="5">
        <f>COUNTIFS(StratumVariables!C2:C999, C90,StratumVariables!E2:E999, "contested")</f>
        <v>0</v>
      </c>
      <c r="AU90" s="5">
        <f>COUNTIFS(StratumVariables!C2:C999, C90,StratumVariables!E2:E999, "unknown")</f>
        <v>0</v>
      </c>
      <c r="AV90" s="3" t="str">
        <f>IF(AT90 &gt; 0, "contested", IF(AU90 &gt; 0, "geometric-only", IF(AR90 &gt; 0, "established", "geometric-only")))</f>
        <v>established</v>
      </c>
      <c r="AW90" s="3" t="b">
        <f>AND(AS90 = 0, AV90 = "established")</f>
        <v>1</v>
      </c>
      <c r="AX90" s="2" t="s">
        <v>2654</v>
      </c>
    </row>
    <row r="91">
      <c r="A91" s="2" t="s">
        <v>2730</v>
      </c>
      <c r="B91" s="3" t="str">
        <f>A91</f>
        <v>returns-to-education-field-A-vs-B</v>
      </c>
      <c r="C91" s="2" t="s">
        <v>759</v>
      </c>
      <c r="D91" s="2" t="s">
        <v>792</v>
      </c>
      <c r="E91" s="2" t="s">
        <v>795</v>
      </c>
      <c r="F91" s="5">
        <f>SUMIFS(CaseCells!G2:G999,CaseCells!C2:C999, C91,CaseCells!E2:E999, D91)</f>
        <v>2000</v>
      </c>
      <c r="G91" s="5">
        <f>SUMIFS(CaseCells!F2:F999,CaseCells!C2:C999, C91,CaseCells!E2:E999, D91)</f>
        <v>1240</v>
      </c>
      <c r="H91" s="3">
        <f>IF(F91 = 0, "", G91 / F91)</f>
        <v>0.62</v>
      </c>
      <c r="I91" s="5">
        <f>SUMIFS(CaseCells!G2:G999,CaseCells!C2:C999, C91,CaseCells!E2:E999, E91)</f>
        <v>2000</v>
      </c>
      <c r="J91" s="5">
        <f>SUMIFS(CaseCells!F2:F999,CaseCells!C2:C999, C91,CaseCells!E2:E999, E91)</f>
        <v>730</v>
      </c>
      <c r="K91" s="3">
        <f>IF(I91 = 0, "", J91 / I91)</f>
        <v>0.365</v>
      </c>
      <c r="L91" s="3" t="str">
        <f>IF(OR(H91 = "", K91 = ""), "", IF(ABS(H91 - K91) &lt; 0.0000001, "tie", IF(H91 &gt; K91, D91, E91)))</f>
        <v>A</v>
      </c>
      <c r="M91" s="5">
        <f>COUNTIFS(StratumSummaries!C2:C999, C91,StratumSummaries!E2:E999, D91)</f>
        <v>2</v>
      </c>
      <c r="N91" s="5">
        <f>COUNTIFS(StratumSummaries!C2:C999, C91,StratumSummaries!E2:E999, D91,StratumSummaries!O2:O999, D91)</f>
        <v>2</v>
      </c>
      <c r="O91" s="5">
        <f>COUNTIFS(StratumSummaries!C2:C999, C91,StratumSummaries!E2:E999, D91,StratumSummaries!O2:O999, E91)</f>
        <v>0</v>
      </c>
      <c r="P91" s="3" t="str">
        <f>IF(N91 = M91, D91, IF(O91 = M91, E91, "none"))</f>
        <v>A</v>
      </c>
      <c r="Q91" s="3" t="b">
        <f>IF(AC91 = "", "", AC91)</f>
        <v>0</v>
      </c>
      <c r="R91" s="5">
        <f>COUNTIFS(StratumVariables!C2:C999, C91,StratumVariables!H2:H999, TRUE())</f>
        <v>0</v>
      </c>
      <c r="S91" s="3" t="b">
        <f>AND(Q91, R91 &gt; 0)</f>
        <v>0</v>
      </c>
      <c r="T91" s="3">
        <f>IF(H91 = "", "", ABS(H91 - K91))</f>
        <v>0.255</v>
      </c>
      <c r="U91" s="5">
        <f>IF(L91 = D91, O91, N91)</f>
        <v>0</v>
      </c>
      <c r="V91" s="3">
        <f>IF(M91 = 0, "", T91 * (U91 / M91))</f>
        <v>0</v>
      </c>
      <c r="W91" s="3">
        <f>SUMIFS(StratumSummaries!S2:S999,StratumSummaries!C2:C999, C91,StratumSummaries!E2:E999, D91)</f>
        <v>0.62</v>
      </c>
      <c r="X91" s="3">
        <f>SUMIFS(StratumSummaries!S2:S999,StratumSummaries!C2:C999, C91,StratumSummaries!E2:E999, E91)</f>
        <v>0.365</v>
      </c>
      <c r="Y91" s="3">
        <f>IF(M91 = 0, "", U91 / M91)</f>
        <v>0</v>
      </c>
      <c r="Z91" s="3">
        <f>IF(M91 = 0, "", Y91 - 0.5)</f>
        <v>-0.5</v>
      </c>
      <c r="AA91" s="3">
        <f>IF(H91 = "", "", H91 - K91)</f>
        <v>0.255</v>
      </c>
      <c r="AB91" s="3">
        <f>SUMIFS(StratumSummaries!AB2:AB999,StratumSummaries!C2:C999, C91,StratumSummaries!E2:E999, D91)</f>
        <v>0.255</v>
      </c>
      <c r="AC91" s="3" t="b">
        <f>IF(AB91 = "", "", IF(AB91 &gt; 0, AA91 &lt; 0, AA91 &gt; 0))</f>
        <v>0</v>
      </c>
      <c r="AD91" s="3">
        <f>IF(AB91 = "", "", ABS(AB91 - AA91))</f>
        <v>0</v>
      </c>
      <c r="AE91" s="3" t="str">
        <f>IF(AD91 = "", "", IF(AC91, IF(AND(AB91 &lt;&gt; 0, AA91 / AB91 &lt; -1), "B", IF(AND(AB91 &lt;&gt; 0, AA91 / AB91 &lt; 0), "A", IF(Y91 = 1, "A", "B"))), IF(AND(NOT(AC91), AD91 &gt; 0.01, ABS(AA91) &gt; ABS(AG91) + 0.001), "C+", IF(AND(NOT(AC91), AD91 &gt; 0.01, ABS(AA91) &lt; ABS(AG91) - 0.001), "C-", "D"))))</f>
        <v>D</v>
      </c>
      <c r="AF91" s="3" t="str">
        <f>IF(AE91 = "", "", IF(AE91 = "A", "stratify-immediately", IF(AE91 = "B", "investigate-confounder", IF(OR(AE91 = "C+", AE91 = "C-"), "check-allocation-bias", "pooled-analysis-trustworthy"))))</f>
        <v>pooled-analysis-trustworthy</v>
      </c>
      <c r="AG91" s="3">
        <f>AB91</f>
        <v>0.255</v>
      </c>
      <c r="AH91" s="3" t="str">
        <f>IF(AG91 = "", "", IF(ABS(AG91) &lt; 0.0001, "tie", IF(AG91 &gt; 0, D91, IF(AG91 &lt; 0, E91, "tie"))))</f>
        <v>A</v>
      </c>
      <c r="AI91" s="3" t="b">
        <f>IF(AH91 = "", "", AH91 = L91)</f>
        <v>1</v>
      </c>
      <c r="AJ91" s="3" t="str">
        <f>IF(AE91 = "", "", IF(AE91 = "A", "use-corrected-winner", IF(AE91 = "B", "use-corrected-winner-with-caution", IF(OR(AE91 = "C+", AE91 = "C-"), "check-allocation-bias", "pooled-analysis-trustworthy"))))</f>
        <v>pooled-analysis-trustworthy</v>
      </c>
      <c r="AK91" s="3" t="str">
        <f>IF(AG91 = "", "", IF(AC91, "reversal", IF(ABS(AA91) &gt; ABS(AG91) + 0.001, "amplification", IF(ABS(AA91) &lt; ABS(AG91) - 0.001, "compression", "neutral"))))</f>
        <v>neutral</v>
      </c>
      <c r="AL91" s="3">
        <f>IF(AG91 = "", "", IF(ABS(AG91) + AD91 = 0, 1, ABS(AG91) / (ABS(AG91) + AD91)))</f>
        <v>1</v>
      </c>
      <c r="AM91" s="3" t="e">
        <f>LOOKUP(C91, SweepStudySummary[SweepStudyId], SweepStudySummary[PooledGapCrossesZero])</f>
        <v>#VALUE!</v>
      </c>
      <c r="AN91" s="3" t="e">
        <f>LOOKUP(C91, SweepStudySummary[SweepStudyId], SweepStudySummary[SweepPooledGapRange])</f>
        <v>#VALUE!</v>
      </c>
      <c r="AO91" s="3" t="e">
        <f>IF(AE91 = "", "", AND(AE91 = "D", AM91 = TRUE))</f>
        <v>#VALUE!</v>
      </c>
      <c r="AP91" s="3" t="e">
        <f>IF(OR(AN91 = "", T91 = "", T91 = 0), "", AN91 / ABS(T91))</f>
        <v>#VALUE!</v>
      </c>
      <c r="AQ91" s="3" t="e">
        <f>LOOKUP(C91, Studies[StudyId], Studies[Domain])</f>
        <v>#VALUE!</v>
      </c>
      <c r="AR91" s="5">
        <f>COUNTIFS(StratumVariables!C2:C999, C91,StratumVariables!E2:E999, "confounder")</f>
        <v>0</v>
      </c>
      <c r="AS91" s="5">
        <f>COUNTIFS(StratumVariables!C2:C999, C91,StratumVariables!J2:J999, "mediator") + COUNTIFS(StratumVariables!C2:C999, C91,StratumVariables!J2:J999, "collider")</f>
        <v>0</v>
      </c>
      <c r="AT91" s="5">
        <f>COUNTIFS(StratumVariables!C2:C999, C91,StratumVariables!E2:E999, "contested")</f>
        <v>1</v>
      </c>
      <c r="AU91" s="5">
        <f>COUNTIFS(StratumVariables!C2:C999, C91,StratumVariables!E2:E999, "unknown")</f>
        <v>0</v>
      </c>
      <c r="AV91" s="3" t="str">
        <f>IF(AT91 &gt; 0, "contested", IF(AU91 &gt; 0, "geometric-only", IF(AR91 &gt; 0, "established", "geometric-only")))</f>
        <v>contested</v>
      </c>
      <c r="AW91" s="3" t="b">
        <f>AND(AS91 = 0, AV91 = "established")</f>
        <v>0</v>
      </c>
      <c r="AX91" s="2" t="s">
        <v>2676</v>
      </c>
    </row>
    <row r="92">
      <c r="A92" s="2" t="s">
        <v>2731</v>
      </c>
      <c r="B92" s="3" t="str">
        <f>A92</f>
        <v>unemployment-education-cycle-A-vs-B</v>
      </c>
      <c r="C92" s="2" t="s">
        <v>763</v>
      </c>
      <c r="D92" s="2" t="s">
        <v>792</v>
      </c>
      <c r="E92" s="2" t="s">
        <v>795</v>
      </c>
      <c r="F92" s="5">
        <f>SUMIFS(CaseCells!G2:G999,CaseCells!C2:C999, C92,CaseCells!E2:E999, D92)</f>
        <v>2000</v>
      </c>
      <c r="G92" s="5">
        <f>SUMIFS(CaseCells!F2:F999,CaseCells!C2:C999, C92,CaseCells!E2:E999, D92)</f>
        <v>1770</v>
      </c>
      <c r="H92" s="3">
        <f>IF(F92 = 0, "", G92 / F92)</f>
        <v>0.885</v>
      </c>
      <c r="I92" s="5">
        <f>SUMIFS(CaseCells!G2:G999,CaseCells!C2:C999, C92,CaseCells!E2:E999, E92)</f>
        <v>2000</v>
      </c>
      <c r="J92" s="5">
        <f>SUMIFS(CaseCells!F2:F999,CaseCells!C2:C999, C92,CaseCells!E2:E999, E92)</f>
        <v>1790</v>
      </c>
      <c r="K92" s="3">
        <f>IF(I92 = 0, "", J92 / I92)</f>
        <v>0.895</v>
      </c>
      <c r="L92" s="3" t="str">
        <f>IF(OR(H92 = "", K92 = ""), "", IF(ABS(H92 - K92) &lt; 0.0000001, "tie", IF(H92 &gt; K92, D92, E92)))</f>
        <v>B</v>
      </c>
      <c r="M92" s="5">
        <f>COUNTIFS(StratumSummaries!C2:C999, C92,StratumSummaries!E2:E999, D92)</f>
        <v>2</v>
      </c>
      <c r="N92" s="5">
        <f>COUNTIFS(StratumSummaries!C2:C999, C92,StratumSummaries!E2:E999, D92,StratumSummaries!O2:O999, D92)</f>
        <v>1</v>
      </c>
      <c r="O92" s="5">
        <f>COUNTIFS(StratumSummaries!C2:C999, C92,StratumSummaries!E2:E999, D92,StratumSummaries!O2:O999, E92)</f>
        <v>1</v>
      </c>
      <c r="P92" s="3" t="str">
        <f>IF(N92 = M92, D92, IF(O92 = M92, E92, "none"))</f>
        <v>none</v>
      </c>
      <c r="Q92" s="3" t="b">
        <f>IF(AC92 = "", "", AC92)</f>
        <v>0</v>
      </c>
      <c r="R92" s="5">
        <f>COUNTIFS(StratumVariables!C2:C999, C92,StratumVariables!H2:H999, TRUE())</f>
        <v>1</v>
      </c>
      <c r="S92" s="3" t="b">
        <f>AND(Q92, R92 &gt; 0)</f>
        <v>0</v>
      </c>
      <c r="T92" s="3">
        <f>IF(H92 = "", "", ABS(H92 - K92))</f>
        <v>0.010000000000000009</v>
      </c>
      <c r="U92" s="5">
        <f>IF(L92 = D92, O92, N92)</f>
        <v>1</v>
      </c>
      <c r="V92" s="3">
        <f>IF(M92 = 0, "", T92 * (U92 / M92))</f>
        <v>0.0050000000000000044</v>
      </c>
      <c r="W92" s="3">
        <f>SUMIFS(StratumSummaries!S2:S999,StratumSummaries!C2:C999, C92,StratumSummaries!E2:E999, D92)</f>
        <v>0.885</v>
      </c>
      <c r="X92" s="3">
        <f>SUMIFS(StratumSummaries!S2:S999,StratumSummaries!C2:C999, C92,StratumSummaries!E2:E999, E92)</f>
        <v>0.895</v>
      </c>
      <c r="Y92" s="3">
        <f>IF(M92 = 0, "", U92 / M92)</f>
        <v>0.5</v>
      </c>
      <c r="Z92" s="3">
        <f>IF(M92 = 0, "", Y92 - 0.5)</f>
        <v>0</v>
      </c>
      <c r="AA92" s="3">
        <f>IF(H92 = "", "", H92 - K92)</f>
        <v>-0.010000000000000009</v>
      </c>
      <c r="AB92" s="3">
        <f>SUMIFS(StratumSummaries!AB2:AB999,StratumSummaries!C2:C999, C92,StratumSummaries!E2:E999, D92)</f>
        <v>-0.010000000000000009</v>
      </c>
      <c r="AC92" s="3" t="b">
        <f>IF(AB92 = "", "", IF(AB92 &gt; 0, AA92 &lt; 0, AA92 &gt; 0))</f>
        <v>0</v>
      </c>
      <c r="AD92" s="3">
        <f>IF(AB92 = "", "", ABS(AB92 - AA92))</f>
        <v>0</v>
      </c>
      <c r="AE92" s="3" t="str">
        <f>IF(AD92 = "", "", IF(AC92, IF(AND(AB92 &lt;&gt; 0, AA92 / AB92 &lt; -1), "B", IF(AND(AB92 &lt;&gt; 0, AA92 / AB92 &lt; 0), "A", IF(Y92 = 1, "A", "B"))), IF(AND(NOT(AC92), AD92 &gt; 0.01, ABS(AA92) &gt; ABS(AG92) + 0.001), "C+", IF(AND(NOT(AC92), AD92 &gt; 0.01, ABS(AA92) &lt; ABS(AG92) - 0.001), "C-", "D"))))</f>
        <v>D</v>
      </c>
      <c r="AF92" s="3" t="str">
        <f>IF(AE92 = "", "", IF(AE92 = "A", "stratify-immediately", IF(AE92 = "B", "investigate-confounder", IF(OR(AE92 = "C+", AE92 = "C-"), "check-allocation-bias", "pooled-analysis-trustworthy"))))</f>
        <v>pooled-analysis-trustworthy</v>
      </c>
      <c r="AG92" s="3">
        <f>AB92</f>
        <v>-0.010000000000000009</v>
      </c>
      <c r="AH92" s="3" t="str">
        <f>IF(AG92 = "", "", IF(ABS(AG92) &lt; 0.0001, "tie", IF(AG92 &gt; 0, D92, IF(AG92 &lt; 0, E92, "tie"))))</f>
        <v>B</v>
      </c>
      <c r="AI92" s="3" t="b">
        <f>IF(AH92 = "", "", AH92 = L92)</f>
        <v>1</v>
      </c>
      <c r="AJ92" s="3" t="str">
        <f>IF(AE92 = "", "", IF(AE92 = "A", "use-corrected-winner", IF(AE92 = "B", "use-corrected-winner-with-caution", IF(OR(AE92 = "C+", AE92 = "C-"), "check-allocation-bias", "pooled-analysis-trustworthy"))))</f>
        <v>pooled-analysis-trustworthy</v>
      </c>
      <c r="AK92" s="3" t="str">
        <f>IF(AG92 = "", "", IF(AC92, "reversal", IF(ABS(AA92) &gt; ABS(AG92) + 0.001, "amplification", IF(ABS(AA92) &lt; ABS(AG92) - 0.001, "compression", "neutral"))))</f>
        <v>neutral</v>
      </c>
      <c r="AL92" s="3">
        <f>IF(AG92 = "", "", IF(ABS(AG92) + AD92 = 0, 1, ABS(AG92) / (ABS(AG92) + AD92)))</f>
        <v>1</v>
      </c>
      <c r="AM92" s="3" t="e">
        <f>LOOKUP(C92, SweepStudySummary[SweepStudyId], SweepStudySummary[PooledGapCrossesZero])</f>
        <v>#VALUE!</v>
      </c>
      <c r="AN92" s="3" t="e">
        <f>LOOKUP(C92, SweepStudySummary[SweepStudyId], SweepStudySummary[SweepPooledGapRange])</f>
        <v>#VALUE!</v>
      </c>
      <c r="AO92" s="3" t="e">
        <f>IF(AE92 = "", "", AND(AE92 = "D", AM92 = TRUE))</f>
        <v>#VALUE!</v>
      </c>
      <c r="AP92" s="3" t="e">
        <f>IF(OR(AN92 = "", T92 = "", T92 = 0), "", AN92 / ABS(T92))</f>
        <v>#VALUE!</v>
      </c>
      <c r="AQ92" s="3" t="e">
        <f>LOOKUP(C92, Studies[StudyId], Studies[Domain])</f>
        <v>#VALUE!</v>
      </c>
      <c r="AR92" s="5">
        <f>COUNTIFS(StratumVariables!C2:C999, C92,StratumVariables!E2:E999, "confounder")</f>
        <v>1</v>
      </c>
      <c r="AS92" s="5">
        <f>COUNTIFS(StratumVariables!C2:C999, C92,StratumVariables!J2:J999, "mediator") + COUNTIFS(StratumVariables!C2:C999, C92,StratumVariables!J2:J999, "collider")</f>
        <v>0</v>
      </c>
      <c r="AT92" s="5">
        <f>COUNTIFS(StratumVariables!C2:C999, C92,StratumVariables!E2:E999, "contested")</f>
        <v>0</v>
      </c>
      <c r="AU92" s="5">
        <f>COUNTIFS(StratumVariables!C2:C999, C92,StratumVariables!E2:E999, "unknown")</f>
        <v>0</v>
      </c>
      <c r="AV92" s="3" t="str">
        <f>IF(AT92 &gt; 0, "contested", IF(AU92 &gt; 0, "geometric-only", IF(AR92 &gt; 0, "established", "geometric-only")))</f>
        <v>established</v>
      </c>
      <c r="AW92" s="3" t="b">
        <f>AND(AS92 = 0, AV92 = "established")</f>
        <v>1</v>
      </c>
      <c r="AX92" s="2" t="s">
        <v>2654</v>
      </c>
    </row>
    <row r="93">
      <c r="A93" s="2" t="s">
        <v>2732</v>
      </c>
      <c r="B93" s="3" t="str">
        <f>A93</f>
        <v>costa-rica-us-life-expectancy-A-vs-B</v>
      </c>
      <c r="C93" s="2" t="s">
        <v>766</v>
      </c>
      <c r="D93" s="2" t="s">
        <v>792</v>
      </c>
      <c r="E93" s="2" t="s">
        <v>795</v>
      </c>
      <c r="F93" s="5">
        <f>SUMIFS(CaseCells!G2:G999,CaseCells!C2:C999, C93,CaseCells!E2:E999, D93)</f>
        <v>2000</v>
      </c>
      <c r="G93" s="5">
        <f>SUMIFS(CaseCells!F2:F999,CaseCells!C2:C999, C93,CaseCells!E2:E999, D93)</f>
        <v>1840</v>
      </c>
      <c r="H93" s="3">
        <f>IF(F93 = 0, "", G93 / F93)</f>
        <v>0.92</v>
      </c>
      <c r="I93" s="5">
        <f>SUMIFS(CaseCells!G2:G999,CaseCells!C2:C999, C93,CaseCells!E2:E999, E93)</f>
        <v>2000</v>
      </c>
      <c r="J93" s="5">
        <f>SUMIFS(CaseCells!F2:F999,CaseCells!C2:C999, C93,CaseCells!E2:E999, E93)</f>
        <v>1885</v>
      </c>
      <c r="K93" s="3">
        <f>IF(I93 = 0, "", J93 / I93)</f>
        <v>0.9425</v>
      </c>
      <c r="L93" s="3" t="str">
        <f>IF(OR(H93 = "", K93 = ""), "", IF(ABS(H93 - K93) &lt; 0.0000001, "tie", IF(H93 &gt; K93, D93, E93)))</f>
        <v>B</v>
      </c>
      <c r="M93" s="5">
        <f>COUNTIFS(StratumSummaries!C2:C999, C93,StratumSummaries!E2:E999, D93)</f>
        <v>2</v>
      </c>
      <c r="N93" s="5">
        <f>COUNTIFS(StratumSummaries!C2:C999, C93,StratumSummaries!E2:E999, D93,StratumSummaries!O2:O999, D93)</f>
        <v>1</v>
      </c>
      <c r="O93" s="5">
        <f>COUNTIFS(StratumSummaries!C2:C999, C93,StratumSummaries!E2:E999, D93,StratumSummaries!O2:O999, E93)</f>
        <v>1</v>
      </c>
      <c r="P93" s="3" t="str">
        <f>IF(N93 = M93, D93, IF(O93 = M93, E93, "none"))</f>
        <v>none</v>
      </c>
      <c r="Q93" s="3" t="b">
        <f>IF(AC93 = "", "", AC93)</f>
        <v>0</v>
      </c>
      <c r="R93" s="5">
        <f>COUNTIFS(StratumVariables!C2:C999, C93,StratumVariables!H2:H999, TRUE())</f>
        <v>1</v>
      </c>
      <c r="S93" s="3" t="b">
        <f>AND(Q93, R93 &gt; 0)</f>
        <v>0</v>
      </c>
      <c r="T93" s="3">
        <f>IF(H93 = "", "", ABS(H93 - K93))</f>
        <v>0.022499999999999964</v>
      </c>
      <c r="U93" s="5">
        <f>IF(L93 = D93, O93, N93)</f>
        <v>1</v>
      </c>
      <c r="V93" s="3">
        <f>IF(M93 = 0, "", T93 * (U93 / M93))</f>
        <v>0.011249999999999982</v>
      </c>
      <c r="W93" s="3">
        <f>SUMIFS(StratumSummaries!S2:S999,StratumSummaries!C2:C999, C93,StratumSummaries!E2:E999, D93)</f>
        <v>0.9199999999999999</v>
      </c>
      <c r="X93" s="3">
        <f>SUMIFS(StratumSummaries!S2:S999,StratumSummaries!C2:C999, C93,StratumSummaries!E2:E999, E93)</f>
        <v>0.9425</v>
      </c>
      <c r="Y93" s="3">
        <f>IF(M93 = 0, "", U93 / M93)</f>
        <v>0.5</v>
      </c>
      <c r="Z93" s="3">
        <f>IF(M93 = 0, "", Y93 - 0.5)</f>
        <v>0</v>
      </c>
      <c r="AA93" s="3">
        <f>IF(H93 = "", "", H93 - K93)</f>
        <v>-0.022499999999999964</v>
      </c>
      <c r="AB93" s="3">
        <f>SUMIFS(StratumSummaries!AB2:AB999,StratumSummaries!C2:C999, C93,StratumSummaries!E2:E999, D93)</f>
        <v>-0.02250000000000002</v>
      </c>
      <c r="AC93" s="3" t="b">
        <f>IF(AB93 = "", "", IF(AB93 &gt; 0, AA93 &lt; 0, AA93 &gt; 0))</f>
        <v>0</v>
      </c>
      <c r="AD93" s="3">
        <f>IF(AB93 = "", "", ABS(AB93 - AA93))</f>
        <v>5.551115123125783E-17</v>
      </c>
      <c r="AE93" s="3" t="str">
        <f>IF(AD93 = "", "", IF(AC93, IF(AND(AB93 &lt;&gt; 0, AA93 / AB93 &lt; -1), "B", IF(AND(AB93 &lt;&gt; 0, AA93 / AB93 &lt; 0), "A", IF(Y93 = 1, "A", "B"))), IF(AND(NOT(AC93), AD93 &gt; 0.01, ABS(AA93) &gt; ABS(AG93) + 0.001), "C+", IF(AND(NOT(AC93), AD93 &gt; 0.01, ABS(AA93) &lt; ABS(AG93) - 0.001), "C-", "D"))))</f>
        <v>D</v>
      </c>
      <c r="AF93" s="3" t="str">
        <f>IF(AE93 = "", "", IF(AE93 = "A", "stratify-immediately", IF(AE93 = "B", "investigate-confounder", IF(OR(AE93 = "C+", AE93 = "C-"), "check-allocation-bias", "pooled-analysis-trustworthy"))))</f>
        <v>pooled-analysis-trustworthy</v>
      </c>
      <c r="AG93" s="3">
        <f>AB93</f>
        <v>-0.02250000000000002</v>
      </c>
      <c r="AH93" s="3" t="str">
        <f>IF(AG93 = "", "", IF(ABS(AG93) &lt; 0.0001, "tie", IF(AG93 &gt; 0, D93, IF(AG93 &lt; 0, E93, "tie"))))</f>
        <v>B</v>
      </c>
      <c r="AI93" s="3" t="b">
        <f>IF(AH93 = "", "", AH93 = L93)</f>
        <v>1</v>
      </c>
      <c r="AJ93" s="3" t="str">
        <f>IF(AE93 = "", "", IF(AE93 = "A", "use-corrected-winner", IF(AE93 = "B", "use-corrected-winner-with-caution", IF(OR(AE93 = "C+", AE93 = "C-"), "check-allocation-bias", "pooled-analysis-trustworthy"))))</f>
        <v>pooled-analysis-trustworthy</v>
      </c>
      <c r="AK93" s="3" t="str">
        <f>IF(AG93 = "", "", IF(AC93, "reversal", IF(ABS(AA93) &gt; ABS(AG93) + 0.001, "amplification", IF(ABS(AA93) &lt; ABS(AG93) - 0.001, "compression", "neutral"))))</f>
        <v>neutral</v>
      </c>
      <c r="AL93" s="3">
        <f>IF(AG93 = "", "", IF(ABS(AG93) + AD93 = 0, 1, ABS(AG93) / (ABS(AG93) + AD93)))</f>
        <v>0.9999999999999976</v>
      </c>
      <c r="AM93" s="3" t="e">
        <f>LOOKUP(C93, SweepStudySummary[SweepStudyId], SweepStudySummary[PooledGapCrossesZero])</f>
        <v>#VALUE!</v>
      </c>
      <c r="AN93" s="3" t="e">
        <f>LOOKUP(C93, SweepStudySummary[SweepStudyId], SweepStudySummary[SweepPooledGapRange])</f>
        <v>#VALUE!</v>
      </c>
      <c r="AO93" s="3" t="e">
        <f>IF(AE93 = "", "", AND(AE93 = "D", AM93 = TRUE))</f>
        <v>#VALUE!</v>
      </c>
      <c r="AP93" s="3" t="e">
        <f>IF(OR(AN93 = "", T93 = "", T93 = 0), "", AN93 / ABS(T93))</f>
        <v>#VALUE!</v>
      </c>
      <c r="AQ93" s="3" t="e">
        <f>LOOKUP(C93, Studies[StudyId], Studies[Domain])</f>
        <v>#VALUE!</v>
      </c>
      <c r="AR93" s="5">
        <f>COUNTIFS(StratumVariables!C2:C999, C93,StratumVariables!E2:E999, "confounder")</f>
        <v>1</v>
      </c>
      <c r="AS93" s="5">
        <f>COUNTIFS(StratumVariables!C2:C999, C93,StratumVariables!J2:J999, "mediator") + COUNTIFS(StratumVariables!C2:C999, C93,StratumVariables!J2:J999, "collider")</f>
        <v>0</v>
      </c>
      <c r="AT93" s="5">
        <f>COUNTIFS(StratumVariables!C2:C999, C93,StratumVariables!E2:E999, "contested")</f>
        <v>0</v>
      </c>
      <c r="AU93" s="5">
        <f>COUNTIFS(StratumVariables!C2:C999, C93,StratumVariables!E2:E999, "unknown")</f>
        <v>0</v>
      </c>
      <c r="AV93" s="3" t="str">
        <f>IF(AT93 &gt; 0, "contested", IF(AU93 &gt; 0, "geometric-only", IF(AR93 &gt; 0, "established", "geometric-only")))</f>
        <v>established</v>
      </c>
      <c r="AW93" s="3" t="b">
        <f>AND(AS93 = 0, AV93 = "established")</f>
        <v>1</v>
      </c>
      <c r="AX93" s="2" t="s">
        <v>2654</v>
      </c>
    </row>
    <row r="94">
      <c r="A94" s="2" t="s">
        <v>2733</v>
      </c>
      <c r="B94" s="3" t="str">
        <f>A94</f>
        <v>fertility-income-country-A-vs-B</v>
      </c>
      <c r="C94" s="2" t="s">
        <v>770</v>
      </c>
      <c r="D94" s="2" t="s">
        <v>792</v>
      </c>
      <c r="E94" s="2" t="s">
        <v>795</v>
      </c>
      <c r="F94" s="5">
        <f>SUMIFS(CaseCells!G2:G999,CaseCells!C2:C999, C94,CaseCells!E2:E999, D94)</f>
        <v>2000</v>
      </c>
      <c r="G94" s="5">
        <f>SUMIFS(CaseCells!F2:F999,CaseCells!C2:C999, C94,CaseCells!E2:E999, D94)</f>
        <v>830</v>
      </c>
      <c r="H94" s="3">
        <f>IF(F94 = 0, "", G94 / F94)</f>
        <v>0.415</v>
      </c>
      <c r="I94" s="5">
        <f>SUMIFS(CaseCells!G2:G999,CaseCells!C2:C999, C94,CaseCells!E2:E999, E94)</f>
        <v>2000</v>
      </c>
      <c r="J94" s="5">
        <f>SUMIFS(CaseCells!F2:F999,CaseCells!C2:C999, C94,CaseCells!E2:E999, E94)</f>
        <v>870</v>
      </c>
      <c r="K94" s="3">
        <f>IF(I94 = 0, "", J94 / I94)</f>
        <v>0.435</v>
      </c>
      <c r="L94" s="3" t="str">
        <f>IF(OR(H94 = "", K94 = ""), "", IF(ABS(H94 - K94) &lt; 0.0000001, "tie", IF(H94 &gt; K94, D94, E94)))</f>
        <v>B</v>
      </c>
      <c r="M94" s="5">
        <f>COUNTIFS(StratumSummaries!C2:C999, C94,StratumSummaries!E2:E999, D94)</f>
        <v>2</v>
      </c>
      <c r="N94" s="5">
        <f>COUNTIFS(StratumSummaries!C2:C999, C94,StratumSummaries!E2:E999, D94,StratumSummaries!O2:O999, D94)</f>
        <v>1</v>
      </c>
      <c r="O94" s="5">
        <f>COUNTIFS(StratumSummaries!C2:C999, C94,StratumSummaries!E2:E999, D94,StratumSummaries!O2:O999, E94)</f>
        <v>1</v>
      </c>
      <c r="P94" s="3" t="str">
        <f>IF(N94 = M94, D94, IF(O94 = M94, E94, "none"))</f>
        <v>none</v>
      </c>
      <c r="Q94" s="3" t="b">
        <f>IF(AC94 = "", "", AC94)</f>
        <v>0</v>
      </c>
      <c r="R94" s="5">
        <f>COUNTIFS(StratumVariables!C2:C999, C94,StratumVariables!H2:H999, TRUE())</f>
        <v>1</v>
      </c>
      <c r="S94" s="3" t="b">
        <f>AND(Q94, R94 &gt; 0)</f>
        <v>0</v>
      </c>
      <c r="T94" s="3">
        <f>IF(H94 = "", "", ABS(H94 - K94))</f>
        <v>0.020000000000000018</v>
      </c>
      <c r="U94" s="5">
        <f>IF(L94 = D94, O94, N94)</f>
        <v>1</v>
      </c>
      <c r="V94" s="3">
        <f>IF(M94 = 0, "", T94 * (U94 / M94))</f>
        <v>0.010000000000000009</v>
      </c>
      <c r="W94" s="3">
        <f>SUMIFS(StratumSummaries!S2:S999,StratumSummaries!C2:C999, C94,StratumSummaries!E2:E999, D94)</f>
        <v>0.41500000000000004</v>
      </c>
      <c r="X94" s="3">
        <f>SUMIFS(StratumSummaries!S2:S999,StratumSummaries!C2:C999, C94,StratumSummaries!E2:E999, E94)</f>
        <v>0.435</v>
      </c>
      <c r="Y94" s="3">
        <f>IF(M94 = 0, "", U94 / M94)</f>
        <v>0.5</v>
      </c>
      <c r="Z94" s="3">
        <f>IF(M94 = 0, "", Y94 - 0.5)</f>
        <v>0</v>
      </c>
      <c r="AA94" s="3">
        <f>IF(H94 = "", "", H94 - K94)</f>
        <v>-0.020000000000000018</v>
      </c>
      <c r="AB94" s="3">
        <f>SUMIFS(StratumSummaries!AB2:AB999,StratumSummaries!C2:C999, C94,StratumSummaries!E2:E999, D94)</f>
        <v>-0.01999999999999999</v>
      </c>
      <c r="AC94" s="3" t="b">
        <f>IF(AB94 = "", "", IF(AB94 &gt; 0, AA94 &lt; 0, AA94 &gt; 0))</f>
        <v>0</v>
      </c>
      <c r="AD94" s="3">
        <f>IF(AB94 = "", "", ABS(AB94 - AA94))</f>
        <v>2.7755575615628914E-17</v>
      </c>
      <c r="AE94" s="3" t="str">
        <f>IF(AD94 = "", "", IF(AC94, IF(AND(AB94 &lt;&gt; 0, AA94 / AB94 &lt; -1), "B", IF(AND(AB94 &lt;&gt; 0, AA94 / AB94 &lt; 0), "A", IF(Y94 = 1, "A", "B"))), IF(AND(NOT(AC94), AD94 &gt; 0.01, ABS(AA94) &gt; ABS(AG94) + 0.001), "C+", IF(AND(NOT(AC94), AD94 &gt; 0.01, ABS(AA94) &lt; ABS(AG94) - 0.001), "C-", "D"))))</f>
        <v>D</v>
      </c>
      <c r="AF94" s="3" t="str">
        <f>IF(AE94 = "", "", IF(AE94 = "A", "stratify-immediately", IF(AE94 = "B", "investigate-confounder", IF(OR(AE94 = "C+", AE94 = "C-"), "check-allocation-bias", "pooled-analysis-trustworthy"))))</f>
        <v>pooled-analysis-trustworthy</v>
      </c>
      <c r="AG94" s="3">
        <f>AB94</f>
        <v>-0.01999999999999999</v>
      </c>
      <c r="AH94" s="3" t="str">
        <f>IF(AG94 = "", "", IF(ABS(AG94) &lt; 0.0001, "tie", IF(AG94 &gt; 0, D94, IF(AG94 &lt; 0, E94, "tie"))))</f>
        <v>B</v>
      </c>
      <c r="AI94" s="3" t="b">
        <f>IF(AH94 = "", "", AH94 = L94)</f>
        <v>1</v>
      </c>
      <c r="AJ94" s="3" t="str">
        <f>IF(AE94 = "", "", IF(AE94 = "A", "use-corrected-winner", IF(AE94 = "B", "use-corrected-winner-with-caution", IF(OR(AE94 = "C+", AE94 = "C-"), "check-allocation-bias", "pooled-analysis-trustworthy"))))</f>
        <v>pooled-analysis-trustworthy</v>
      </c>
      <c r="AK94" s="3" t="str">
        <f>IF(AG94 = "", "", IF(AC94, "reversal", IF(ABS(AA94) &gt; ABS(AG94) + 0.001, "amplification", IF(ABS(AA94) &lt; ABS(AG94) - 0.001, "compression", "neutral"))))</f>
        <v>neutral</v>
      </c>
      <c r="AL94" s="3">
        <f>IF(AG94 = "", "", IF(ABS(AG94) + AD94 = 0, 1, ABS(AG94) / (ABS(AG94) + AD94)))</f>
        <v>0.9999999999999987</v>
      </c>
      <c r="AM94" s="3" t="e">
        <f>LOOKUP(C94, SweepStudySummary[SweepStudyId], SweepStudySummary[PooledGapCrossesZero])</f>
        <v>#VALUE!</v>
      </c>
      <c r="AN94" s="3" t="e">
        <f>LOOKUP(C94, SweepStudySummary[SweepStudyId], SweepStudySummary[SweepPooledGapRange])</f>
        <v>#VALUE!</v>
      </c>
      <c r="AO94" s="3" t="e">
        <f>IF(AE94 = "", "", AND(AE94 = "D", AM94 = TRUE))</f>
        <v>#VALUE!</v>
      </c>
      <c r="AP94" s="3" t="e">
        <f>IF(OR(AN94 = "", T94 = "", T94 = 0), "", AN94 / ABS(T94))</f>
        <v>#VALUE!</v>
      </c>
      <c r="AQ94" s="3" t="e">
        <f>LOOKUP(C94, Studies[StudyId], Studies[Domain])</f>
        <v>#VALUE!</v>
      </c>
      <c r="AR94" s="5">
        <f>COUNTIFS(StratumVariables!C2:C999, C94,StratumVariables!E2:E999, "confounder")</f>
        <v>1</v>
      </c>
      <c r="AS94" s="5">
        <f>COUNTIFS(StratumVariables!C2:C999, C94,StratumVariables!J2:J999, "mediator") + COUNTIFS(StratumVariables!C2:C999, C94,StratumVariables!J2:J999, "collider")</f>
        <v>0</v>
      </c>
      <c r="AT94" s="5">
        <f>COUNTIFS(StratumVariables!C2:C999, C94,StratumVariables!E2:E999, "contested")</f>
        <v>0</v>
      </c>
      <c r="AU94" s="5">
        <f>COUNTIFS(StratumVariables!C2:C999, C94,StratumVariables!E2:E999, "unknown")</f>
        <v>0</v>
      </c>
      <c r="AV94" s="3" t="str">
        <f>IF(AT94 &gt; 0, "contested", IF(AU94 &gt; 0, "geometric-only", IF(AR94 &gt; 0, "established", "geometric-only")))</f>
        <v>established</v>
      </c>
      <c r="AW94" s="3" t="b">
        <f>AND(AS94 = 0, AV94 = "established")</f>
        <v>1</v>
      </c>
      <c r="AX94" s="2" t="s">
        <v>2654</v>
      </c>
    </row>
    <row r="95">
      <c r="A95" s="2" t="s">
        <v>2734</v>
      </c>
      <c r="B95" s="3" t="str">
        <f>A95</f>
        <v>religiosity-happiness-country-A-vs-B</v>
      </c>
      <c r="C95" s="2" t="s">
        <v>774</v>
      </c>
      <c r="D95" s="2" t="s">
        <v>792</v>
      </c>
      <c r="E95" s="2" t="s">
        <v>795</v>
      </c>
      <c r="F95" s="5">
        <f>SUMIFS(CaseCells!G2:G999,CaseCells!C2:C999, C95,CaseCells!E2:E999, D95)</f>
        <v>2000</v>
      </c>
      <c r="G95" s="5">
        <f>SUMIFS(CaseCells!F2:F999,CaseCells!C2:C999, C95,CaseCells!E2:E999, D95)</f>
        <v>1370</v>
      </c>
      <c r="H95" s="3">
        <f>IF(F95 = 0, "", G95 / F95)</f>
        <v>0.685</v>
      </c>
      <c r="I95" s="5">
        <f>SUMIFS(CaseCells!G2:G999,CaseCells!C2:C999, C95,CaseCells!E2:E999, E95)</f>
        <v>2000</v>
      </c>
      <c r="J95" s="5">
        <f>SUMIFS(CaseCells!F2:F999,CaseCells!C2:C999, C95,CaseCells!E2:E999, E95)</f>
        <v>1360</v>
      </c>
      <c r="K95" s="3">
        <f>IF(I95 = 0, "", J95 / I95)</f>
        <v>0.68</v>
      </c>
      <c r="L95" s="3" t="str">
        <f>IF(OR(H95 = "", K95 = ""), "", IF(ABS(H95 - K95) &lt; 0.0000001, "tie", IF(H95 &gt; K95, D95, E95)))</f>
        <v>A</v>
      </c>
      <c r="M95" s="5">
        <f>COUNTIFS(StratumSummaries!C2:C999, C95,StratumSummaries!E2:E999, D95)</f>
        <v>2</v>
      </c>
      <c r="N95" s="5">
        <f>COUNTIFS(StratumSummaries!C2:C999, C95,StratumSummaries!E2:E999, D95,StratumSummaries!O2:O999, D95)</f>
        <v>1</v>
      </c>
      <c r="O95" s="5">
        <f>COUNTIFS(StratumSummaries!C2:C999, C95,StratumSummaries!E2:E999, D95,StratumSummaries!O2:O999, E95)</f>
        <v>1</v>
      </c>
      <c r="P95" s="3" t="str">
        <f>IF(N95 = M95, D95, IF(O95 = M95, E95, "none"))</f>
        <v>none</v>
      </c>
      <c r="Q95" s="3" t="b">
        <f>IF(AC95 = "", "", AC95)</f>
        <v>0</v>
      </c>
      <c r="R95" s="5">
        <f>COUNTIFS(StratumVariables!C2:C999, C95,StratumVariables!H2:H999, TRUE())</f>
        <v>1</v>
      </c>
      <c r="S95" s="3" t="b">
        <f>AND(Q95, R95 &gt; 0)</f>
        <v>0</v>
      </c>
      <c r="T95" s="3">
        <f>IF(H95 = "", "", ABS(H95 - K95))</f>
        <v>0.0050000000000000044</v>
      </c>
      <c r="U95" s="5">
        <f>IF(L95 = D95, O95, N95)</f>
        <v>1</v>
      </c>
      <c r="V95" s="3">
        <f>IF(M95 = 0, "", T95 * (U95 / M95))</f>
        <v>0.0025000000000000022</v>
      </c>
      <c r="W95" s="3">
        <f>SUMIFS(StratumSummaries!S2:S999,StratumSummaries!C2:C999, C95,StratumSummaries!E2:E999, D95)</f>
        <v>0.685</v>
      </c>
      <c r="X95" s="3">
        <f>SUMIFS(StratumSummaries!S2:S999,StratumSummaries!C2:C999, C95,StratumSummaries!E2:E999, E95)</f>
        <v>0.6799999999999999</v>
      </c>
      <c r="Y95" s="3">
        <f>IF(M95 = 0, "", U95 / M95)</f>
        <v>0.5</v>
      </c>
      <c r="Z95" s="3">
        <f>IF(M95 = 0, "", Y95 - 0.5)</f>
        <v>0</v>
      </c>
      <c r="AA95" s="3">
        <f>IF(H95 = "", "", H95 - K95)</f>
        <v>0.0050000000000000044</v>
      </c>
      <c r="AB95" s="3">
        <f>SUMIFS(StratumSummaries!AB2:AB999,StratumSummaries!C2:C999, C95,StratumSummaries!E2:E999, D95)</f>
        <v>0.0050000000000000044</v>
      </c>
      <c r="AC95" s="3" t="b">
        <f>IF(AB95 = "", "", IF(AB95 &gt; 0, AA95 &lt; 0, AA95 &gt; 0))</f>
        <v>0</v>
      </c>
      <c r="AD95" s="3">
        <f>IF(AB95 = "", "", ABS(AB95 - AA95))</f>
        <v>0</v>
      </c>
      <c r="AE95" s="3" t="str">
        <f>IF(AD95 = "", "", IF(AC95, IF(AND(AB95 &lt;&gt; 0, AA95 / AB95 &lt; -1), "B", IF(AND(AB95 &lt;&gt; 0, AA95 / AB95 &lt; 0), "A", IF(Y95 = 1, "A", "B"))), IF(AND(NOT(AC95), AD95 &gt; 0.01, ABS(AA95) &gt; ABS(AG95) + 0.001), "C+", IF(AND(NOT(AC95), AD95 &gt; 0.01, ABS(AA95) &lt; ABS(AG95) - 0.001), "C-", "D"))))</f>
        <v>D</v>
      </c>
      <c r="AF95" s="3" t="str">
        <f>IF(AE95 = "", "", IF(AE95 = "A", "stratify-immediately", IF(AE95 = "B", "investigate-confounder", IF(OR(AE95 = "C+", AE95 = "C-"), "check-allocation-bias", "pooled-analysis-trustworthy"))))</f>
        <v>pooled-analysis-trustworthy</v>
      </c>
      <c r="AG95" s="3">
        <f>AB95</f>
        <v>0.0050000000000000044</v>
      </c>
      <c r="AH95" s="3" t="str">
        <f>IF(AG95 = "", "", IF(ABS(AG95) &lt; 0.0001, "tie", IF(AG95 &gt; 0, D95, IF(AG95 &lt; 0, E95, "tie"))))</f>
        <v>A</v>
      </c>
      <c r="AI95" s="3" t="b">
        <f>IF(AH95 = "", "", AH95 = L95)</f>
        <v>1</v>
      </c>
      <c r="AJ95" s="3" t="str">
        <f>IF(AE95 = "", "", IF(AE95 = "A", "use-corrected-winner", IF(AE95 = "B", "use-corrected-winner-with-caution", IF(OR(AE95 = "C+", AE95 = "C-"), "check-allocation-bias", "pooled-analysis-trustworthy"))))</f>
        <v>pooled-analysis-trustworthy</v>
      </c>
      <c r="AK95" s="3" t="str">
        <f>IF(AG95 = "", "", IF(AC95, "reversal", IF(ABS(AA95) &gt; ABS(AG95) + 0.001, "amplification", IF(ABS(AA95) &lt; ABS(AG95) - 0.001, "compression", "neutral"))))</f>
        <v>neutral</v>
      </c>
      <c r="AL95" s="3">
        <f>IF(AG95 = "", "", IF(ABS(AG95) + AD95 = 0, 1, ABS(AG95) / (ABS(AG95) + AD95)))</f>
        <v>1</v>
      </c>
      <c r="AM95" s="3" t="e">
        <f>LOOKUP(C95, SweepStudySummary[SweepStudyId], SweepStudySummary[PooledGapCrossesZero])</f>
        <v>#VALUE!</v>
      </c>
      <c r="AN95" s="3" t="e">
        <f>LOOKUP(C95, SweepStudySummary[SweepStudyId], SweepStudySummary[SweepPooledGapRange])</f>
        <v>#VALUE!</v>
      </c>
      <c r="AO95" s="3" t="e">
        <f>IF(AE95 = "", "", AND(AE95 = "D", AM95 = TRUE))</f>
        <v>#VALUE!</v>
      </c>
      <c r="AP95" s="3" t="e">
        <f>IF(OR(AN95 = "", T95 = "", T95 = 0), "", AN95 / ABS(T95))</f>
        <v>#VALUE!</v>
      </c>
      <c r="AQ95" s="3" t="e">
        <f>LOOKUP(C95, Studies[StudyId], Studies[Domain])</f>
        <v>#VALUE!</v>
      </c>
      <c r="AR95" s="5">
        <f>COUNTIFS(StratumVariables!C2:C999, C95,StratumVariables!E2:E999, "confounder")</f>
        <v>1</v>
      </c>
      <c r="AS95" s="5">
        <f>COUNTIFS(StratumVariables!C2:C999, C95,StratumVariables!J2:J999, "mediator") + COUNTIFS(StratumVariables!C2:C999, C95,StratumVariables!J2:J999, "collider")</f>
        <v>0</v>
      </c>
      <c r="AT95" s="5">
        <f>COUNTIFS(StratumVariables!C2:C999, C95,StratumVariables!E2:E999, "contested")</f>
        <v>0</v>
      </c>
      <c r="AU95" s="5">
        <f>COUNTIFS(StratumVariables!C2:C999, C95,StratumVariables!E2:E999, "unknown")</f>
        <v>0</v>
      </c>
      <c r="AV95" s="3" t="str">
        <f>IF(AT95 &gt; 0, "contested", IF(AU95 &gt; 0, "geometric-only", IF(AR95 &gt; 0, "established", "geometric-only")))</f>
        <v>established</v>
      </c>
      <c r="AW95" s="3" t="b">
        <f>AND(AS95 = 0, AV95 = "established")</f>
        <v>1</v>
      </c>
      <c r="AX95" s="2" t="s">
        <v>2654</v>
      </c>
    </row>
    <row r="96">
      <c r="A96" s="2" t="s">
        <v>2735</v>
      </c>
      <c r="B96" s="3" t="str">
        <f>A96</f>
        <v>voter-turnout-education-state-A-vs-B</v>
      </c>
      <c r="C96" s="2" t="s">
        <v>778</v>
      </c>
      <c r="D96" s="2" t="s">
        <v>792</v>
      </c>
      <c r="E96" s="2" t="s">
        <v>795</v>
      </c>
      <c r="F96" s="5">
        <f>SUMIFS(CaseCells!G2:G999,CaseCells!C2:C999, C96,CaseCells!E2:E999, D96)</f>
        <v>2000</v>
      </c>
      <c r="G96" s="5">
        <f>SUMIFS(CaseCells!F2:F999,CaseCells!C2:C999, C96,CaseCells!E2:E999, D96)</f>
        <v>1430</v>
      </c>
      <c r="H96" s="3">
        <f>IF(F96 = 0, "", G96 / F96)</f>
        <v>0.715</v>
      </c>
      <c r="I96" s="5">
        <f>SUMIFS(CaseCells!G2:G999,CaseCells!C2:C999, C96,CaseCells!E2:E999, E96)</f>
        <v>2000</v>
      </c>
      <c r="J96" s="5">
        <f>SUMIFS(CaseCells!F2:F999,CaseCells!C2:C999, C96,CaseCells!E2:E999, E96)</f>
        <v>1000</v>
      </c>
      <c r="K96" s="3">
        <f>IF(I96 = 0, "", J96 / I96)</f>
        <v>0.5</v>
      </c>
      <c r="L96" s="3" t="str">
        <f>IF(OR(H96 = "", K96 = ""), "", IF(ABS(H96 - K96) &lt; 0.0000001, "tie", IF(H96 &gt; K96, D96, E96)))</f>
        <v>A</v>
      </c>
      <c r="M96" s="5">
        <f>COUNTIFS(StratumSummaries!C2:C999, C96,StratumSummaries!E2:E999, D96)</f>
        <v>2</v>
      </c>
      <c r="N96" s="5">
        <f>COUNTIFS(StratumSummaries!C2:C999, C96,StratumSummaries!E2:E999, D96,StratumSummaries!O2:O999, D96)</f>
        <v>2</v>
      </c>
      <c r="O96" s="5">
        <f>COUNTIFS(StratumSummaries!C2:C999, C96,StratumSummaries!E2:E999, D96,StratumSummaries!O2:O999, E96)</f>
        <v>0</v>
      </c>
      <c r="P96" s="3" t="str">
        <f>IF(N96 = M96, D96, IF(O96 = M96, E96, "none"))</f>
        <v>A</v>
      </c>
      <c r="Q96" s="3" t="b">
        <f>IF(AC96 = "", "", AC96)</f>
        <v>0</v>
      </c>
      <c r="R96" s="5">
        <f>COUNTIFS(StratumVariables!C2:C999, C96,StratumVariables!H2:H999, TRUE())</f>
        <v>1</v>
      </c>
      <c r="S96" s="3" t="b">
        <f>AND(Q96, R96 &gt; 0)</f>
        <v>0</v>
      </c>
      <c r="T96" s="3">
        <f>IF(H96 = "", "", ABS(H96 - K96))</f>
        <v>0.21499999999999997</v>
      </c>
      <c r="U96" s="5">
        <f>IF(L96 = D96, O96, N96)</f>
        <v>0</v>
      </c>
      <c r="V96" s="3">
        <f>IF(M96 = 0, "", T96 * (U96 / M96))</f>
        <v>0</v>
      </c>
      <c r="W96" s="3">
        <f>SUMIFS(StratumSummaries!S2:S999,StratumSummaries!C2:C999, C96,StratumSummaries!E2:E999, D96)</f>
        <v>0.7150000000000001</v>
      </c>
      <c r="X96" s="3">
        <f>SUMIFS(StratumSummaries!S2:S999,StratumSummaries!C2:C999, C96,StratumSummaries!E2:E999, E96)</f>
        <v>0.5</v>
      </c>
      <c r="Y96" s="3">
        <f>IF(M96 = 0, "", U96 / M96)</f>
        <v>0</v>
      </c>
      <c r="Z96" s="3">
        <f>IF(M96 = 0, "", Y96 - 0.5)</f>
        <v>-0.5</v>
      </c>
      <c r="AA96" s="3">
        <f>IF(H96 = "", "", H96 - K96)</f>
        <v>0.21499999999999997</v>
      </c>
      <c r="AB96" s="3">
        <f>SUMIFS(StratumSummaries!AB2:AB999,StratumSummaries!C2:C999, C96,StratumSummaries!E2:E999, D96)</f>
        <v>0.21500000000000002</v>
      </c>
      <c r="AC96" s="3" t="b">
        <f>IF(AB96 = "", "", IF(AB96 &gt; 0, AA96 &lt; 0, AA96 &gt; 0))</f>
        <v>0</v>
      </c>
      <c r="AD96" s="3">
        <f>IF(AB96 = "", "", ABS(AB96 - AA96))</f>
        <v>5.551115123125783E-17</v>
      </c>
      <c r="AE96" s="3" t="str">
        <f>IF(AD96 = "", "", IF(AC96, IF(AND(AB96 &lt;&gt; 0, AA96 / AB96 &lt; -1), "B", IF(AND(AB96 &lt;&gt; 0, AA96 / AB96 &lt; 0), "A", IF(Y96 = 1, "A", "B"))), IF(AND(NOT(AC96), AD96 &gt; 0.01, ABS(AA96) &gt; ABS(AG96) + 0.001), "C+", IF(AND(NOT(AC96), AD96 &gt; 0.01, ABS(AA96) &lt; ABS(AG96) - 0.001), "C-", "D"))))</f>
        <v>D</v>
      </c>
      <c r="AF96" s="3" t="str">
        <f>IF(AE96 = "", "", IF(AE96 = "A", "stratify-immediately", IF(AE96 = "B", "investigate-confounder", IF(OR(AE96 = "C+", AE96 = "C-"), "check-allocation-bias", "pooled-analysis-trustworthy"))))</f>
        <v>pooled-analysis-trustworthy</v>
      </c>
      <c r="AG96" s="3">
        <f>AB96</f>
        <v>0.21500000000000002</v>
      </c>
      <c r="AH96" s="3" t="str">
        <f>IF(AG96 = "", "", IF(ABS(AG96) &lt; 0.0001, "tie", IF(AG96 &gt; 0, D96, IF(AG96 &lt; 0, E96, "tie"))))</f>
        <v>A</v>
      </c>
      <c r="AI96" s="3" t="b">
        <f>IF(AH96 = "", "", AH96 = L96)</f>
        <v>1</v>
      </c>
      <c r="AJ96" s="3" t="str">
        <f>IF(AE96 = "", "", IF(AE96 = "A", "use-corrected-winner", IF(AE96 = "B", "use-corrected-winner-with-caution", IF(OR(AE96 = "C+", AE96 = "C-"), "check-allocation-bias", "pooled-analysis-trustworthy"))))</f>
        <v>pooled-analysis-trustworthy</v>
      </c>
      <c r="AK96" s="3" t="str">
        <f>IF(AG96 = "", "", IF(AC96, "reversal", IF(ABS(AA96) &gt; ABS(AG96) + 0.001, "amplification", IF(ABS(AA96) &lt; ABS(AG96) - 0.001, "compression", "neutral"))))</f>
        <v>neutral</v>
      </c>
      <c r="AL96" s="3">
        <f>IF(AG96 = "", "", IF(ABS(AG96) + AD96 = 0, 1, ABS(AG96) / (ABS(AG96) + AD96)))</f>
        <v>0.9999999999999998</v>
      </c>
      <c r="AM96" s="3" t="e">
        <f>LOOKUP(C96, SweepStudySummary[SweepStudyId], SweepStudySummary[PooledGapCrossesZero])</f>
        <v>#VALUE!</v>
      </c>
      <c r="AN96" s="3" t="e">
        <f>LOOKUP(C96, SweepStudySummary[SweepStudyId], SweepStudySummary[SweepPooledGapRange])</f>
        <v>#VALUE!</v>
      </c>
      <c r="AO96" s="3" t="e">
        <f>IF(AE96 = "", "", AND(AE96 = "D", AM96 = TRUE))</f>
        <v>#VALUE!</v>
      </c>
      <c r="AP96" s="3" t="e">
        <f>IF(OR(AN96 = "", T96 = "", T96 = 0), "", AN96 / ABS(T96))</f>
        <v>#VALUE!</v>
      </c>
      <c r="AQ96" s="3" t="e">
        <f>LOOKUP(C96, Studies[StudyId], Studies[Domain])</f>
        <v>#VALUE!</v>
      </c>
      <c r="AR96" s="5">
        <f>COUNTIFS(StratumVariables!C2:C999, C96,StratumVariables!E2:E999, "confounder")</f>
        <v>1</v>
      </c>
      <c r="AS96" s="5">
        <f>COUNTIFS(StratumVariables!C2:C999, C96,StratumVariables!J2:J999, "mediator") + COUNTIFS(StratumVariables!C2:C999, C96,StratumVariables!J2:J999, "collider")</f>
        <v>0</v>
      </c>
      <c r="AT96" s="5">
        <f>COUNTIFS(StratumVariables!C2:C999, C96,StratumVariables!E2:E999, "contested")</f>
        <v>0</v>
      </c>
      <c r="AU96" s="5">
        <f>COUNTIFS(StratumVariables!C2:C999, C96,StratumVariables!E2:E999, "unknown")</f>
        <v>0</v>
      </c>
      <c r="AV96" s="3" t="str">
        <f>IF(AT96 &gt; 0, "contested", IF(AU96 &gt; 0, "geometric-only", IF(AR96 &gt; 0, "established", "geometric-only")))</f>
        <v>established</v>
      </c>
      <c r="AW96" s="3" t="b">
        <f>AND(AS96 = 0, AV96 = "established")</f>
        <v>1</v>
      </c>
      <c r="AX96" s="2" t="s">
        <v>2654</v>
      </c>
    </row>
    <row r="97">
      <c r="A97" s="2" t="s">
        <v>2736</v>
      </c>
      <c r="B97" s="3" t="str">
        <f>A97</f>
        <v>ad-ctr-platform-mix-A-vs-B</v>
      </c>
      <c r="C97" s="2" t="s">
        <v>782</v>
      </c>
      <c r="D97" s="2" t="s">
        <v>792</v>
      </c>
      <c r="E97" s="2" t="s">
        <v>795</v>
      </c>
      <c r="F97" s="5">
        <f>SUMIFS(CaseCells!G2:G999,CaseCells!C2:C999, C97,CaseCells!E2:E999, D97)</f>
        <v>2000</v>
      </c>
      <c r="G97" s="5">
        <f>SUMIFS(CaseCells!F2:F999,CaseCells!C2:C999, C97,CaseCells!E2:E999, D97)</f>
        <v>125</v>
      </c>
      <c r="H97" s="3">
        <f>IF(F97 = 0, "", G97 / F97)</f>
        <v>0.0625</v>
      </c>
      <c r="I97" s="5">
        <f>SUMIFS(CaseCells!G2:G999,CaseCells!C2:C999, C97,CaseCells!E2:E999, E97)</f>
        <v>2000</v>
      </c>
      <c r="J97" s="5">
        <f>SUMIFS(CaseCells!F2:F999,CaseCells!C2:C999, C97,CaseCells!E2:E999, E97)</f>
        <v>125</v>
      </c>
      <c r="K97" s="3">
        <f>IF(I97 = 0, "", J97 / I97)</f>
        <v>0.0625</v>
      </c>
      <c r="L97" s="3" t="str">
        <f>IF(OR(H97 = "", K97 = ""), "", IF(ABS(H97 - K97) &lt; 0.0000001, "tie", IF(H97 &gt; K97, D97, E97)))</f>
        <v>tie</v>
      </c>
      <c r="M97" s="5">
        <f>COUNTIFS(StratumSummaries!C2:C999, C97,StratumSummaries!E2:E999, D97)</f>
        <v>2</v>
      </c>
      <c r="N97" s="5">
        <f>COUNTIFS(StratumSummaries!C2:C999, C97,StratumSummaries!E2:E999, D97,StratumSummaries!O2:O999, D97)</f>
        <v>1</v>
      </c>
      <c r="O97" s="5">
        <f>COUNTIFS(StratumSummaries!C2:C999, C97,StratumSummaries!E2:E999, D97,StratumSummaries!O2:O999, E97)</f>
        <v>1</v>
      </c>
      <c r="P97" s="3" t="str">
        <f>IF(N97 = M97, D97, IF(O97 = M97, E97, "none"))</f>
        <v>none</v>
      </c>
      <c r="Q97" s="3" t="b">
        <f>IF(AC97 = "", "", AC97)</f>
        <v>0</v>
      </c>
      <c r="R97" s="5">
        <f>COUNTIFS(StratumVariables!C2:C999, C97,StratumVariables!H2:H999, TRUE())</f>
        <v>1</v>
      </c>
      <c r="S97" s="3" t="b">
        <f>AND(Q97, R97 &gt; 0)</f>
        <v>0</v>
      </c>
      <c r="T97" s="3">
        <f>IF(H97 = "", "", ABS(H97 - K97))</f>
        <v>0</v>
      </c>
      <c r="U97" s="5">
        <f>IF(L97 = D97, O97, N97)</f>
        <v>1</v>
      </c>
      <c r="V97" s="3">
        <f>IF(M97 = 0, "", T97 * (U97 / M97))</f>
        <v>0</v>
      </c>
      <c r="W97" s="3">
        <f>SUMIFS(StratumSummaries!S2:S999,StratumSummaries!C2:C999, C97,StratumSummaries!E2:E999, D97)</f>
        <v>0.0625</v>
      </c>
      <c r="X97" s="3">
        <f>SUMIFS(StratumSummaries!S2:S999,StratumSummaries!C2:C999, C97,StratumSummaries!E2:E999, E97)</f>
        <v>0.0625</v>
      </c>
      <c r="Y97" s="3">
        <f>IF(M97 = 0, "", U97 / M97)</f>
        <v>0.5</v>
      </c>
      <c r="Z97" s="3">
        <f>IF(M97 = 0, "", Y97 - 0.5)</f>
        <v>0</v>
      </c>
      <c r="AA97" s="3">
        <f>IF(H97 = "", "", H97 - K97)</f>
        <v>0</v>
      </c>
      <c r="AB97" s="3">
        <f>SUMIFS(StratumSummaries!AB2:AB999,StratumSummaries!C2:C999, C97,StratumSummaries!E2:E999, D97)</f>
        <v>0</v>
      </c>
      <c r="AC97" s="3" t="b">
        <f>IF(AB97 = "", "", IF(AB97 &gt; 0, AA97 &lt; 0, AA97 &gt; 0))</f>
        <v>0</v>
      </c>
      <c r="AD97" s="3">
        <f>IF(AB97 = "", "", ABS(AB97 - AA97))</f>
        <v>0</v>
      </c>
      <c r="AE97" s="3" t="str">
        <f>IF(AD97 = "", "", IF(AC97, IF(AND(AB97 &lt;&gt; 0, AA97 / AB97 &lt; -1), "B", IF(AND(AB97 &lt;&gt; 0, AA97 / AB97 &lt; 0), "A", IF(Y97 = 1, "A", "B"))), IF(AND(NOT(AC97), AD97 &gt; 0.01, ABS(AA97) &gt; ABS(AG97) + 0.001), "C+", IF(AND(NOT(AC97), AD97 &gt; 0.01, ABS(AA97) &lt; ABS(AG97) - 0.001), "C-", "D"))))</f>
        <v>D</v>
      </c>
      <c r="AF97" s="3" t="str">
        <f>IF(AE97 = "", "", IF(AE97 = "A", "stratify-immediately", IF(AE97 = "B", "investigate-confounder", IF(OR(AE97 = "C+", AE97 = "C-"), "check-allocation-bias", "pooled-analysis-trustworthy"))))</f>
        <v>pooled-analysis-trustworthy</v>
      </c>
      <c r="AG97" s="3">
        <f>AB97</f>
        <v>0</v>
      </c>
      <c r="AH97" s="3" t="str">
        <f>IF(AG97 = "", "", IF(ABS(AG97) &lt; 0.0001, "tie", IF(AG97 &gt; 0, D97, IF(AG97 &lt; 0, E97, "tie"))))</f>
        <v>tie</v>
      </c>
      <c r="AI97" s="3" t="b">
        <f>IF(AH97 = "", "", AH97 = L97)</f>
        <v>1</v>
      </c>
      <c r="AJ97" s="3" t="str">
        <f>IF(AE97 = "", "", IF(AE97 = "A", "use-corrected-winner", IF(AE97 = "B", "use-corrected-winner-with-caution", IF(OR(AE97 = "C+", AE97 = "C-"), "check-allocation-bias", "pooled-analysis-trustworthy"))))</f>
        <v>pooled-analysis-trustworthy</v>
      </c>
      <c r="AK97" s="3" t="str">
        <f>IF(AG97 = "", "", IF(AC97, "reversal", IF(ABS(AA97) &gt; ABS(AG97) + 0.001, "amplification", IF(ABS(AA97) &lt; ABS(AG97) - 0.001, "compression", "neutral"))))</f>
        <v>neutral</v>
      </c>
      <c r="AL97" s="3">
        <f>IF(AG97 = "", "", IF(ABS(AG97) + AD97 = 0, 1, ABS(AG97) / (ABS(AG97) + AD97)))</f>
        <v>1</v>
      </c>
      <c r="AM97" s="3" t="e">
        <f>LOOKUP(C97, SweepStudySummary[SweepStudyId], SweepStudySummary[PooledGapCrossesZero])</f>
        <v>#VALUE!</v>
      </c>
      <c r="AN97" s="3" t="e">
        <f>LOOKUP(C97, SweepStudySummary[SweepStudyId], SweepStudySummary[SweepPooledGapRange])</f>
        <v>#VALUE!</v>
      </c>
      <c r="AO97" s="3" t="e">
        <f>IF(AE97 = "", "", AND(AE97 = "D", AM97 = TRUE))</f>
        <v>#VALUE!</v>
      </c>
      <c r="AP97" s="3" t="e">
        <f>IF(OR(AN97 = "", T97 = "", T97 = 0), "", AN97 / ABS(T97))</f>
        <v>#VALUE!</v>
      </c>
      <c r="AQ97" s="3" t="e">
        <f>LOOKUP(C97, Studies[StudyId], Studies[Domain])</f>
        <v>#VALUE!</v>
      </c>
      <c r="AR97" s="5">
        <f>COUNTIFS(StratumVariables!C2:C999, C97,StratumVariables!E2:E999, "confounder")</f>
        <v>1</v>
      </c>
      <c r="AS97" s="5">
        <f>COUNTIFS(StratumVariables!C2:C999, C97,StratumVariables!J2:J999, "mediator") + COUNTIFS(StratumVariables!C2:C999, C97,StratumVariables!J2:J999, "collider")</f>
        <v>0</v>
      </c>
      <c r="AT97" s="5">
        <f>COUNTIFS(StratumVariables!C2:C999, C97,StratumVariables!E2:E999, "contested")</f>
        <v>0</v>
      </c>
      <c r="AU97" s="5">
        <f>COUNTIFS(StratumVariables!C2:C999, C97,StratumVariables!E2:E999, "unknown")</f>
        <v>0</v>
      </c>
      <c r="AV97" s="3" t="str">
        <f>IF(AT97 &gt; 0, "contested", IF(AU97 &gt; 0, "geometric-only", IF(AR97 &gt; 0, "established", "geometric-only")))</f>
        <v>established</v>
      </c>
      <c r="AW97" s="3" t="b">
        <f>AND(AS97 = 0, AV97 = "established")</f>
        <v>1</v>
      </c>
      <c r="AX97" s="2" t="s">
        <v>2654</v>
      </c>
    </row>
  </sheetData>
  <autoFilter ref="A1:AX1"/>
  <headerFooter/>
  <legacyDrawing r:id="rId1"/>
</worksheet>
</file>

<file path=xl/worksheets/sheet1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U24"/>
  <sheetViews>
    <sheetView workbookViewId="0">
      <pane ySplit="1" topLeftCell="A2" state="frozen" activePane="bottomLeft"/>
      <selection pane="bottomLeft" activeCell="A1" sqref="A1"/>
    </sheetView>
  </sheetViews>
  <sheetFormatPr defaultRowHeight="15"/>
  <cols>
    <col min="1" max="1" width="28.226940155029297" customWidth="1"/>
    <col min="2" max="2" width="28.226940155029297" customWidth="1"/>
    <col min="3" max="3" width="92.89850616455078" customWidth="1"/>
    <col min="4" max="4" width="162.96664428710938" customWidth="1"/>
    <col min="5" max="5" width="23.853527069091797" customWidth="1"/>
    <col min="6" max="6" width="43.53345489501953" customWidth="1"/>
    <col min="7" max="7" width="87.46844482421875" customWidth="1"/>
    <col min="8" max="8" width="74.30994415283203" customWidth="1"/>
    <col min="9" max="9" width="88.51286315917969" customWidth="1"/>
    <col min="10" max="10" width="17.443378448486328" customWidth="1"/>
    <col min="11" max="11" width="17.443378448486328" customWidth="1"/>
    <col min="12" max="12" width="17.443378448486328" customWidth="1"/>
    <col min="13" max="13" width="17.443378448486328" customWidth="1"/>
    <col min="14" max="14" width="17.443378448486328" customWidth="1"/>
    <col min="15" max="15" width="17.443378448486328" customWidth="1"/>
    <col min="16" max="16" width="22.418148040771484" customWidth="1"/>
    <col min="17" max="17" width="31.590314865112305" customWidth="1"/>
    <col min="18" max="18" width="17.443378448486328" customWidth="1"/>
    <col min="19" max="19" width="26.896242141723633" customWidth="1"/>
    <col min="20" max="20" width="23.188669204711914" customWidth="1"/>
    <col min="21" max="21" width="27.467985153198242" customWidth="1"/>
  </cols>
  <sheetData>
    <row r="1">
      <c r="A1" s="1" t="s">
        <v>2737</v>
      </c>
      <c r="B1" s="1" t="s">
        <v>1</v>
      </c>
      <c r="C1" s="1" t="s">
        <v>2738</v>
      </c>
      <c r="D1" s="1" t="s">
        <v>2739</v>
      </c>
      <c r="E1" s="1" t="s">
        <v>2740</v>
      </c>
      <c r="F1" s="1" t="s">
        <v>2741</v>
      </c>
      <c r="G1" s="1" t="s">
        <v>2742</v>
      </c>
      <c r="H1" s="1" t="s">
        <v>2743</v>
      </c>
      <c r="I1" s="1" t="s">
        <v>2744</v>
      </c>
      <c r="J1" s="1" t="s">
        <v>2745</v>
      </c>
      <c r="K1" s="1" t="s">
        <v>2746</v>
      </c>
      <c r="L1" s="1" t="s">
        <v>2747</v>
      </c>
      <c r="M1" s="1" t="s">
        <v>2748</v>
      </c>
      <c r="N1" s="1" t="s">
        <v>2749</v>
      </c>
      <c r="O1" s="1" t="s">
        <v>2750</v>
      </c>
      <c r="P1" s="1" t="s">
        <v>8</v>
      </c>
      <c r="Q1" s="1" t="s">
        <v>2751</v>
      </c>
      <c r="R1" s="1" t="s">
        <v>9</v>
      </c>
      <c r="S1" s="1" t="s">
        <v>2752</v>
      </c>
      <c r="T1" s="1" t="s">
        <v>2753</v>
      </c>
      <c r="U1" s="1" t="s">
        <v>2754</v>
      </c>
    </row>
    <row r="2">
      <c r="A2" s="2" t="s">
        <v>2755</v>
      </c>
      <c r="B2" s="3" t="str">
        <f>A2</f>
        <v>inv-taxonomy-complete</v>
      </c>
      <c r="C2" s="2" t="s">
        <v>2756</v>
      </c>
      <c r="D2" s="2" t="s">
        <v>2757</v>
      </c>
      <c r="E2" s="2" t="s">
        <v>41</v>
      </c>
      <c r="F2" s="2" t="s">
        <v>423</v>
      </c>
      <c r="G2" s="2" t="s">
        <v>2758</v>
      </c>
      <c r="H2" s="2" t="s">
        <v>423</v>
      </c>
      <c r="I2" s="2" t="s">
        <v>2759</v>
      </c>
      <c r="J2" s="4">
        <v>40</v>
      </c>
      <c r="K2" s="4">
        <v>0</v>
      </c>
      <c r="L2" s="5">
        <f>J2 + K2</f>
        <v>40</v>
      </c>
      <c r="M2" s="3" t="b">
        <f>K2 = 0</f>
        <v>1</v>
      </c>
      <c r="N2" s="3" t="str">
        <f>IF(M2, "PASS", _xlfn.CONCAT("FAIL(", K2, ")"))</f>
        <v>PASS</v>
      </c>
      <c r="O2" s="2" t="s">
        <v>2760</v>
      </c>
      <c r="P2" s="2" t="s">
        <v>23</v>
      </c>
      <c r="Q2" s="2" t="s">
        <v>2761</v>
      </c>
      <c r="R2" s="3" t="e">
        <f>LOOKUP(P2, ResearchTraditions[TraditionId], ResearchTraditions[Name])</f>
        <v>#VALUE!</v>
      </c>
      <c r="S2" s="3" t="e">
        <f>LOOKUP(P2, ResearchTraditions[TraditionId], ResearchTraditions[KeyClaim])</f>
        <v>#VALUE!</v>
      </c>
      <c r="T2" s="3" t="e">
        <f>LOOKUP(Q2, Conclusions[ConclusionId], Conclusions[Title])</f>
        <v>#VALUE!</v>
      </c>
      <c r="U2" s="3" t="e">
        <f>LOOKUP(Q2, Conclusions[ConclusionId], Conclusions[Category])</f>
        <v>#VALUE!</v>
      </c>
    </row>
    <row r="3">
      <c r="A3" s="2" t="s">
        <v>2762</v>
      </c>
      <c r="B3" s="3" t="str">
        <f>A3</f>
        <v>inv-type-ab-sign-flip</v>
      </c>
      <c r="C3" s="2" t="s">
        <v>2763</v>
      </c>
      <c r="D3" s="2" t="s">
        <v>2764</v>
      </c>
      <c r="E3" s="2" t="s">
        <v>41</v>
      </c>
      <c r="F3" s="2" t="s">
        <v>2765</v>
      </c>
      <c r="G3" s="2" t="s">
        <v>2766</v>
      </c>
      <c r="H3" s="2" t="s">
        <v>2767</v>
      </c>
      <c r="I3" s="2" t="s">
        <v>2768</v>
      </c>
      <c r="J3" s="4">
        <v>12</v>
      </c>
      <c r="K3" s="4">
        <v>0</v>
      </c>
      <c r="L3" s="5">
        <f>J3 + K3</f>
        <v>12</v>
      </c>
      <c r="M3" s="3" t="b">
        <f>K3 = 0</f>
        <v>1</v>
      </c>
      <c r="N3" s="3" t="str">
        <f>IF(M3, "PASS", _xlfn.CONCAT("FAIL(", K3, ")"))</f>
        <v>PASS</v>
      </c>
      <c r="O3" s="2" t="s">
        <v>2760</v>
      </c>
      <c r="P3" s="2" t="s">
        <v>23</v>
      </c>
      <c r="Q3" s="2" t="s">
        <v>2769</v>
      </c>
      <c r="R3" s="3" t="e">
        <f>LOOKUP(P3, ResearchTraditions[TraditionId], ResearchTraditions[Name])</f>
        <v>#VALUE!</v>
      </c>
      <c r="S3" s="3" t="e">
        <f>LOOKUP(P3, ResearchTraditions[TraditionId], ResearchTraditions[KeyClaim])</f>
        <v>#VALUE!</v>
      </c>
      <c r="T3" s="3" t="e">
        <f>LOOKUP(Q3, Conclusions[ConclusionId], Conclusions[Title])</f>
        <v>#VALUE!</v>
      </c>
      <c r="U3" s="3" t="e">
        <f>LOOKUP(Q3, Conclusions[ConclusionId], Conclusions[Category])</f>
        <v>#VALUE!</v>
      </c>
    </row>
    <row r="4">
      <c r="A4" s="2" t="s">
        <v>2770</v>
      </c>
      <c r="B4" s="3" t="str">
        <f>A4</f>
        <v>inv-type-cd-no-sign-flip</v>
      </c>
      <c r="C4" s="2" t="s">
        <v>2771</v>
      </c>
      <c r="D4" s="2" t="s">
        <v>2772</v>
      </c>
      <c r="E4" s="2" t="s">
        <v>41</v>
      </c>
      <c r="F4" s="2" t="s">
        <v>2773</v>
      </c>
      <c r="G4" s="2" t="s">
        <v>2774</v>
      </c>
      <c r="H4" s="2" t="s">
        <v>2775</v>
      </c>
      <c r="I4" s="2" t="s">
        <v>2776</v>
      </c>
      <c r="J4" s="4">
        <v>28</v>
      </c>
      <c r="K4" s="4">
        <v>0</v>
      </c>
      <c r="L4" s="5">
        <f>J4 + K4</f>
        <v>28</v>
      </c>
      <c r="M4" s="3" t="b">
        <f>K4 = 0</f>
        <v>1</v>
      </c>
      <c r="N4" s="3" t="str">
        <f>IF(M4, "PASS", _xlfn.CONCAT("FAIL(", K4, ")"))</f>
        <v>PASS</v>
      </c>
      <c r="O4" s="2" t="s">
        <v>2760</v>
      </c>
      <c r="P4" s="2" t="s">
        <v>23</v>
      </c>
      <c r="Q4" s="2" t="s">
        <v>2777</v>
      </c>
      <c r="R4" s="3" t="e">
        <f>LOOKUP(P4, ResearchTraditions[TraditionId], ResearchTraditions[Name])</f>
        <v>#VALUE!</v>
      </c>
      <c r="S4" s="3" t="e">
        <f>LOOKUP(P4, ResearchTraditions[TraditionId], ResearchTraditions[KeyClaim])</f>
        <v>#VALUE!</v>
      </c>
      <c r="T4" s="3" t="e">
        <f>LOOKUP(Q4, Conclusions[ConclusionId], Conclusions[Title])</f>
        <v>#VALUE!</v>
      </c>
      <c r="U4" s="3" t="e">
        <f>LOOKUP(Q4, Conclusions[ConclusionId], Conclusions[Category])</f>
        <v>#VALUE!</v>
      </c>
    </row>
    <row r="5">
      <c r="A5" s="2" t="s">
        <v>2778</v>
      </c>
      <c r="B5" s="3" t="str">
        <f>A5</f>
        <v>inv-sign-flip-winner</v>
      </c>
      <c r="C5" s="2" t="s">
        <v>2779</v>
      </c>
      <c r="D5" s="2" t="s">
        <v>2780</v>
      </c>
      <c r="E5" s="2" t="s">
        <v>41</v>
      </c>
      <c r="F5" s="2" t="s">
        <v>2766</v>
      </c>
      <c r="G5" s="2" t="s">
        <v>2781</v>
      </c>
      <c r="H5" s="2" t="s">
        <v>2768</v>
      </c>
      <c r="I5" s="2" t="s">
        <v>2782</v>
      </c>
      <c r="J5" s="4">
        <v>12</v>
      </c>
      <c r="K5" s="4">
        <v>0</v>
      </c>
      <c r="L5" s="5">
        <f>J5 + K5</f>
        <v>12</v>
      </c>
      <c r="M5" s="3" t="b">
        <f>K5 = 0</f>
        <v>1</v>
      </c>
      <c r="N5" s="3" t="str">
        <f>IF(M5, "PASS", _xlfn.CONCAT("FAIL(", K5, ")"))</f>
        <v>PASS</v>
      </c>
      <c r="O5" s="2" t="s">
        <v>2760</v>
      </c>
      <c r="P5" s="2" t="s">
        <v>51</v>
      </c>
      <c r="Q5" s="2" t="s">
        <v>2783</v>
      </c>
      <c r="R5" s="3" t="e">
        <f>LOOKUP(P5, ResearchTraditions[TraditionId], ResearchTraditions[Name])</f>
        <v>#VALUE!</v>
      </c>
      <c r="S5" s="3" t="e">
        <f>LOOKUP(P5, ResearchTraditions[TraditionId], ResearchTraditions[KeyClaim])</f>
        <v>#VALUE!</v>
      </c>
      <c r="T5" s="3" t="e">
        <f>LOOKUP(Q5, Conclusions[ConclusionId], Conclusions[Title])</f>
        <v>#VALUE!</v>
      </c>
      <c r="U5" s="3" t="e">
        <f>LOOKUP(Q5, Conclusions[ConclusionId], Conclusions[Category])</f>
        <v>#VALUE!</v>
      </c>
    </row>
    <row r="6">
      <c r="A6" s="2" t="s">
        <v>2784</v>
      </c>
      <c r="B6" s="3" t="str">
        <f>A6</f>
        <v>inv-type-d-agreement</v>
      </c>
      <c r="C6" s="2" t="s">
        <v>2785</v>
      </c>
      <c r="D6" s="2" t="s">
        <v>2786</v>
      </c>
      <c r="E6" s="2" t="s">
        <v>41</v>
      </c>
      <c r="F6" s="2" t="s">
        <v>2787</v>
      </c>
      <c r="G6" s="2" t="s">
        <v>2788</v>
      </c>
      <c r="H6" s="2" t="s">
        <v>2789</v>
      </c>
      <c r="I6" s="2" t="s">
        <v>2790</v>
      </c>
      <c r="J6" s="4">
        <v>21</v>
      </c>
      <c r="K6" s="4">
        <v>0</v>
      </c>
      <c r="L6" s="5">
        <f>J6 + K6</f>
        <v>21</v>
      </c>
      <c r="M6" s="3" t="b">
        <f>K6 = 0</f>
        <v>1</v>
      </c>
      <c r="N6" s="3" t="str">
        <f>IF(M6, "PASS", _xlfn.CONCAT("FAIL(", K6, ")"))</f>
        <v>PASS</v>
      </c>
      <c r="O6" s="2" t="s">
        <v>2760</v>
      </c>
      <c r="P6" s="2" t="s">
        <v>23</v>
      </c>
      <c r="Q6" s="2" t="s">
        <v>2791</v>
      </c>
      <c r="R6" s="3" t="e">
        <f>LOOKUP(P6, ResearchTraditions[TraditionId], ResearchTraditions[Name])</f>
        <v>#VALUE!</v>
      </c>
      <c r="S6" s="3" t="e">
        <f>LOOKUP(P6, ResearchTraditions[TraditionId], ResearchTraditions[KeyClaim])</f>
        <v>#VALUE!</v>
      </c>
      <c r="T6" s="3" t="e">
        <f>LOOKUP(Q6, Conclusions[ConclusionId], Conclusions[Title])</f>
        <v>#VALUE!</v>
      </c>
      <c r="U6" s="3" t="e">
        <f>LOOKUP(Q6, Conclusions[ConclusionId], Conclusions[Category])</f>
        <v>#VALUE!</v>
      </c>
    </row>
    <row r="7">
      <c r="A7" s="2" t="s">
        <v>2792</v>
      </c>
      <c r="B7" s="3" t="str">
        <f>A7</f>
        <v>inv-type-d-low-distortion</v>
      </c>
      <c r="C7" s="2" t="s">
        <v>2793</v>
      </c>
      <c r="D7" s="2" t="s">
        <v>2794</v>
      </c>
      <c r="E7" s="2" t="s">
        <v>41</v>
      </c>
      <c r="F7" s="2" t="s">
        <v>2787</v>
      </c>
      <c r="G7" s="2" t="s">
        <v>2795</v>
      </c>
      <c r="H7" s="2" t="s">
        <v>2789</v>
      </c>
      <c r="I7" s="2" t="s">
        <v>2796</v>
      </c>
      <c r="J7" s="4">
        <v>21</v>
      </c>
      <c r="K7" s="4">
        <v>0</v>
      </c>
      <c r="L7" s="5">
        <f>J7 + K7</f>
        <v>21</v>
      </c>
      <c r="M7" s="3" t="b">
        <f>K7 = 0</f>
        <v>1</v>
      </c>
      <c r="N7" s="3" t="str">
        <f>IF(M7, "PASS", _xlfn.CONCAT("FAIL(", K7, ")"))</f>
        <v>PASS</v>
      </c>
      <c r="O7" s="2" t="s">
        <v>2760</v>
      </c>
      <c r="P7" s="2" t="s">
        <v>23</v>
      </c>
      <c r="Q7" s="2" t="s">
        <v>2791</v>
      </c>
      <c r="R7" s="3" t="e">
        <f>LOOKUP(P7, ResearchTraditions[TraditionId], ResearchTraditions[Name])</f>
        <v>#VALUE!</v>
      </c>
      <c r="S7" s="3" t="e">
        <f>LOOKUP(P7, ResearchTraditions[TraditionId], ResearchTraditions[KeyClaim])</f>
        <v>#VALUE!</v>
      </c>
      <c r="T7" s="3" t="e">
        <f>LOOKUP(Q7, Conclusions[ConclusionId], Conclusions[Title])</f>
        <v>#VALUE!</v>
      </c>
      <c r="U7" s="3" t="e">
        <f>LOOKUP(Q7, Conclusions[ConclusionId], Conclusions[Category])</f>
        <v>#VALUE!</v>
      </c>
    </row>
    <row r="8">
      <c r="A8" s="2" t="s">
        <v>2797</v>
      </c>
      <c r="B8" s="3" t="str">
        <f>A8</f>
        <v>inv-corrected-gap-sign</v>
      </c>
      <c r="C8" s="2" t="s">
        <v>2798</v>
      </c>
      <c r="D8" s="2" t="s">
        <v>2799</v>
      </c>
      <c r="E8" s="2" t="s">
        <v>41</v>
      </c>
      <c r="F8" s="2" t="s">
        <v>2800</v>
      </c>
      <c r="G8" s="2" t="s">
        <v>2801</v>
      </c>
      <c r="H8" s="2" t="s">
        <v>2802</v>
      </c>
      <c r="I8" s="2" t="s">
        <v>2801</v>
      </c>
      <c r="J8" s="4">
        <v>40</v>
      </c>
      <c r="K8" s="4">
        <v>0</v>
      </c>
      <c r="L8" s="5">
        <f>J8 + K8</f>
        <v>40</v>
      </c>
      <c r="M8" s="3" t="b">
        <f>K8 = 0</f>
        <v>1</v>
      </c>
      <c r="N8" s="3" t="str">
        <f>IF(M8, "PASS", _xlfn.CONCAT("FAIL(", K8, ")"))</f>
        <v>PASS</v>
      </c>
      <c r="O8" s="2" t="s">
        <v>2760</v>
      </c>
      <c r="P8" s="2" t="s">
        <v>51</v>
      </c>
      <c r="Q8" s="2" t="s">
        <v>2783</v>
      </c>
      <c r="R8" s="3" t="e">
        <f>LOOKUP(P8, ResearchTraditions[TraditionId], ResearchTraditions[Name])</f>
        <v>#VALUE!</v>
      </c>
      <c r="S8" s="3" t="e">
        <f>LOOKUP(P8, ResearchTraditions[TraditionId], ResearchTraditions[KeyClaim])</f>
        <v>#VALUE!</v>
      </c>
      <c r="T8" s="3" t="e">
        <f>LOOKUP(Q8, Conclusions[ConclusionId], Conclusions[Title])</f>
        <v>#VALUE!</v>
      </c>
      <c r="U8" s="3" t="e">
        <f>LOOKUP(Q8, Conclusions[ConclusionId], Conclusions[Category])</f>
        <v>#VALUE!</v>
      </c>
    </row>
    <row r="9">
      <c r="A9" s="2" t="s">
        <v>2803</v>
      </c>
      <c r="B9" s="3" t="str">
        <f>A9</f>
        <v>inv-corrected-gap-invariant</v>
      </c>
      <c r="C9" s="2" t="s">
        <v>2804</v>
      </c>
      <c r="D9" s="2" t="s">
        <v>2805</v>
      </c>
      <c r="E9" s="2" t="s">
        <v>2806</v>
      </c>
      <c r="F9" s="2" t="s">
        <v>423</v>
      </c>
      <c r="G9" s="2" t="s">
        <v>2807</v>
      </c>
      <c r="H9" s="2" t="s">
        <v>423</v>
      </c>
      <c r="I9" s="2" t="s">
        <v>2807</v>
      </c>
      <c r="J9" s="4">
        <v>96</v>
      </c>
      <c r="K9" s="4">
        <v>0</v>
      </c>
      <c r="L9" s="5">
        <f>J9 + K9</f>
        <v>96</v>
      </c>
      <c r="M9" s="3" t="b">
        <f>K9 = 0</f>
        <v>1</v>
      </c>
      <c r="N9" s="3" t="str">
        <f>IF(M9, "PASS", _xlfn.CONCAT("FAIL(", K9, ")"))</f>
        <v>PASS</v>
      </c>
      <c r="O9" s="2" t="s">
        <v>2760</v>
      </c>
      <c r="P9" s="2" t="s">
        <v>51</v>
      </c>
      <c r="Q9" s="2" t="s">
        <v>2783</v>
      </c>
      <c r="R9" s="3" t="e">
        <f>LOOKUP(P9, ResearchTraditions[TraditionId], ResearchTraditions[Name])</f>
        <v>#VALUE!</v>
      </c>
      <c r="S9" s="3" t="e">
        <f>LOOKUP(P9, ResearchTraditions[TraditionId], ResearchTraditions[KeyClaim])</f>
        <v>#VALUE!</v>
      </c>
      <c r="T9" s="3" t="e">
        <f>LOOKUP(Q9, Conclusions[ConclusionId], Conclusions[Title])</f>
        <v>#VALUE!</v>
      </c>
      <c r="U9" s="3" t="e">
        <f>LOOKUP(Q9, Conclusions[ConclusionId], Conclusions[Category])</f>
        <v>#VALUE!</v>
      </c>
    </row>
    <row r="10">
      <c r="A10" s="2" t="s">
        <v>2808</v>
      </c>
      <c r="B10" s="3" t="str">
        <f>A10</f>
        <v>inv-pooled-gap-wanders</v>
      </c>
      <c r="C10" s="2" t="s">
        <v>2809</v>
      </c>
      <c r="D10" s="2" t="s">
        <v>2810</v>
      </c>
      <c r="E10" s="2" t="s">
        <v>2806</v>
      </c>
      <c r="F10" s="2" t="s">
        <v>2811</v>
      </c>
      <c r="G10" s="2" t="s">
        <v>2812</v>
      </c>
      <c r="H10" s="2" t="s">
        <v>2813</v>
      </c>
      <c r="I10" s="2" t="s">
        <v>2812</v>
      </c>
      <c r="J10" s="4">
        <v>12</v>
      </c>
      <c r="K10" s="4">
        <v>0</v>
      </c>
      <c r="L10" s="5">
        <f>J10 + K10</f>
        <v>12</v>
      </c>
      <c r="M10" s="3" t="b">
        <f>K10 = 0</f>
        <v>1</v>
      </c>
      <c r="N10" s="3" t="str">
        <f>IF(M10, "PASS", _xlfn.CONCAT("FAIL(", K10, ")"))</f>
        <v>PASS</v>
      </c>
      <c r="O10" s="2" t="s">
        <v>2814</v>
      </c>
      <c r="P10" s="2" t="s">
        <v>23</v>
      </c>
      <c r="Q10" s="2" t="s">
        <v>2769</v>
      </c>
      <c r="R10" s="3" t="e">
        <f>LOOKUP(P10, ResearchTraditions[TraditionId], ResearchTraditions[Name])</f>
        <v>#VALUE!</v>
      </c>
      <c r="S10" s="3" t="e">
        <f>LOOKUP(P10, ResearchTraditions[TraditionId], ResearchTraditions[KeyClaim])</f>
        <v>#VALUE!</v>
      </c>
      <c r="T10" s="3" t="e">
        <f>LOOKUP(Q10, Conclusions[ConclusionId], Conclusions[Title])</f>
        <v>#VALUE!</v>
      </c>
      <c r="U10" s="3" t="e">
        <f>LOOKUP(Q10, Conclusions[ConclusionId], Conclusions[Category])</f>
        <v>#VALUE!</v>
      </c>
    </row>
    <row r="11">
      <c r="A11" s="2" t="s">
        <v>2815</v>
      </c>
      <c r="B11" s="3" t="str">
        <f>A11</f>
        <v>inv-pooled-gap-crosses-zero</v>
      </c>
      <c r="C11" s="2" t="s">
        <v>2816</v>
      </c>
      <c r="D11" s="2" t="s">
        <v>2817</v>
      </c>
      <c r="E11" s="2" t="s">
        <v>2806</v>
      </c>
      <c r="F11" s="2" t="s">
        <v>2818</v>
      </c>
      <c r="G11" s="2" t="s">
        <v>2819</v>
      </c>
      <c r="H11" s="2" t="s">
        <v>2820</v>
      </c>
      <c r="I11" s="2" t="s">
        <v>2819</v>
      </c>
      <c r="J11" s="4">
        <v>6</v>
      </c>
      <c r="K11" s="4">
        <v>0</v>
      </c>
      <c r="L11" s="5">
        <f>J11 + K11</f>
        <v>6</v>
      </c>
      <c r="M11" s="3" t="b">
        <f>K11 = 0</f>
        <v>1</v>
      </c>
      <c r="N11" s="3" t="str">
        <f>IF(M11, "PASS", _xlfn.CONCAT("FAIL(", K11, ")"))</f>
        <v>PASS</v>
      </c>
      <c r="O11" s="2" t="s">
        <v>2760</v>
      </c>
      <c r="P11" s="2" t="s">
        <v>23</v>
      </c>
      <c r="Q11" s="2" t="s">
        <v>2769</v>
      </c>
      <c r="R11" s="3" t="e">
        <f>LOOKUP(P11, ResearchTraditions[TraditionId], ResearchTraditions[Name])</f>
        <v>#VALUE!</v>
      </c>
      <c r="S11" s="3" t="e">
        <f>LOOKUP(P11, ResearchTraditions[TraditionId], ResearchTraditions[KeyClaim])</f>
        <v>#VALUE!</v>
      </c>
      <c r="T11" s="3" t="e">
        <f>LOOKUP(Q11, Conclusions[ConclusionId], Conclusions[Title])</f>
        <v>#VALUE!</v>
      </c>
      <c r="U11" s="3" t="e">
        <f>LOOKUP(Q11, Conclusions[ConclusionId], Conclusions[Category])</f>
        <v>#VALUE!</v>
      </c>
    </row>
    <row r="12">
      <c r="A12" s="2" t="s">
        <v>2821</v>
      </c>
      <c r="B12" s="3" t="str">
        <f>A12</f>
        <v>inv-cplus-ratio-gt-1</v>
      </c>
      <c r="C12" s="2" t="s">
        <v>2822</v>
      </c>
      <c r="D12" s="2" t="s">
        <v>2823</v>
      </c>
      <c r="E12" s="2" t="s">
        <v>41</v>
      </c>
      <c r="F12" s="2" t="s">
        <v>2824</v>
      </c>
      <c r="G12" s="2" t="s">
        <v>2825</v>
      </c>
      <c r="H12" s="2" t="s">
        <v>2826</v>
      </c>
      <c r="I12" s="2" t="s">
        <v>2827</v>
      </c>
      <c r="J12" s="4">
        <v>4</v>
      </c>
      <c r="K12" s="4">
        <v>0</v>
      </c>
      <c r="L12" s="5">
        <f>J12 + K12</f>
        <v>4</v>
      </c>
      <c r="M12" s="3" t="b">
        <f>K12 = 0</f>
        <v>1</v>
      </c>
      <c r="N12" s="3" t="str">
        <f>IF(M12, "PASS", _xlfn.CONCAT("FAIL(", K12, ")"))</f>
        <v>PASS</v>
      </c>
      <c r="O12" s="2" t="s">
        <v>2760</v>
      </c>
      <c r="P12" s="2" t="s">
        <v>23</v>
      </c>
      <c r="Q12" s="2" t="s">
        <v>2777</v>
      </c>
      <c r="R12" s="3" t="e">
        <f>LOOKUP(P12, ResearchTraditions[TraditionId], ResearchTraditions[Name])</f>
        <v>#VALUE!</v>
      </c>
      <c r="S12" s="3" t="e">
        <f>LOOKUP(P12, ResearchTraditions[TraditionId], ResearchTraditions[KeyClaim])</f>
        <v>#VALUE!</v>
      </c>
      <c r="T12" s="3" t="e">
        <f>LOOKUP(Q12, Conclusions[ConclusionId], Conclusions[Title])</f>
        <v>#VALUE!</v>
      </c>
      <c r="U12" s="3" t="e">
        <f>LOOKUP(Q12, Conclusions[ConclusionId], Conclusions[Category])</f>
        <v>#VALUE!</v>
      </c>
    </row>
    <row r="13">
      <c r="A13" s="2" t="s">
        <v>2828</v>
      </c>
      <c r="B13" s="3" t="str">
        <f>A13</f>
        <v>inv-cminus-ratio-in-01</v>
      </c>
      <c r="C13" s="2" t="s">
        <v>2829</v>
      </c>
      <c r="D13" s="2" t="s">
        <v>2830</v>
      </c>
      <c r="E13" s="2" t="s">
        <v>41</v>
      </c>
      <c r="F13" s="2" t="s">
        <v>2831</v>
      </c>
      <c r="G13" s="2" t="s">
        <v>2832</v>
      </c>
      <c r="H13" s="2" t="s">
        <v>2833</v>
      </c>
      <c r="I13" s="2" t="s">
        <v>2834</v>
      </c>
      <c r="J13" s="4">
        <v>3</v>
      </c>
      <c r="K13" s="4">
        <v>0</v>
      </c>
      <c r="L13" s="5">
        <f>J13 + K13</f>
        <v>3</v>
      </c>
      <c r="M13" s="3" t="b">
        <f>K13 = 0</f>
        <v>1</v>
      </c>
      <c r="N13" s="3" t="str">
        <f>IF(M13, "PASS", _xlfn.CONCAT("FAIL(", K13, ")"))</f>
        <v>PASS</v>
      </c>
      <c r="O13" s="2" t="s">
        <v>2760</v>
      </c>
      <c r="P13" s="2" t="s">
        <v>23</v>
      </c>
      <c r="Q13" s="2" t="s">
        <v>2777</v>
      </c>
      <c r="R13" s="3" t="e">
        <f>LOOKUP(P13, ResearchTraditions[TraditionId], ResearchTraditions[Name])</f>
        <v>#VALUE!</v>
      </c>
      <c r="S13" s="3" t="e">
        <f>LOOKUP(P13, ResearchTraditions[TraditionId], ResearchTraditions[KeyClaim])</f>
        <v>#VALUE!</v>
      </c>
      <c r="T13" s="3" t="e">
        <f>LOOKUP(Q13, Conclusions[ConclusionId], Conclusions[Title])</f>
        <v>#VALUE!</v>
      </c>
      <c r="U13" s="3" t="e">
        <f>LOOKUP(Q13, Conclusions[ConclusionId], Conclusions[Category])</f>
        <v>#VALUE!</v>
      </c>
    </row>
    <row r="14">
      <c r="A14" s="2" t="s">
        <v>2835</v>
      </c>
      <c r="B14" s="3" t="str">
        <f>A14</f>
        <v>inv-signal-purity-sign-flip</v>
      </c>
      <c r="C14" s="2" t="s">
        <v>2836</v>
      </c>
      <c r="D14" s="2" t="s">
        <v>2837</v>
      </c>
      <c r="E14" s="2" t="s">
        <v>41</v>
      </c>
      <c r="F14" s="2" t="s">
        <v>2838</v>
      </c>
      <c r="G14" s="2" t="s">
        <v>2839</v>
      </c>
      <c r="H14" s="2" t="s">
        <v>2840</v>
      </c>
      <c r="I14" s="2" t="s">
        <v>2841</v>
      </c>
      <c r="J14" s="4">
        <v>12</v>
      </c>
      <c r="K14" s="4">
        <v>0</v>
      </c>
      <c r="L14" s="5">
        <f>J14 + K14</f>
        <v>12</v>
      </c>
      <c r="M14" s="3" t="b">
        <f>K14 = 0</f>
        <v>1</v>
      </c>
      <c r="N14" s="3" t="str">
        <f>IF(M14, "PASS", _xlfn.CONCAT("FAIL(", K14, ")"))</f>
        <v>PASS</v>
      </c>
      <c r="O14" s="2" t="s">
        <v>2760</v>
      </c>
      <c r="P14" s="2" t="s">
        <v>51</v>
      </c>
      <c r="Q14" s="2" t="s">
        <v>2842</v>
      </c>
      <c r="R14" s="3" t="e">
        <f>LOOKUP(P14, ResearchTraditions[TraditionId], ResearchTraditions[Name])</f>
        <v>#VALUE!</v>
      </c>
      <c r="S14" s="3" t="e">
        <f>LOOKUP(P14, ResearchTraditions[TraditionId], ResearchTraditions[KeyClaim])</f>
        <v>#VALUE!</v>
      </c>
      <c r="T14" s="3" t="e">
        <f>LOOKUP(Q14, Conclusions[ConclusionId], Conclusions[Title])</f>
        <v>#VALUE!</v>
      </c>
      <c r="U14" s="3" t="e">
        <f>LOOKUP(Q14, Conclusions[ConclusionId], Conclusions[Category])</f>
        <v>#VALUE!</v>
      </c>
    </row>
    <row r="15">
      <c r="A15" s="2" t="s">
        <v>2843</v>
      </c>
      <c r="B15" s="3" t="str">
        <f>A15</f>
        <v>inv-phase-diagram-five-types</v>
      </c>
      <c r="C15" s="2" t="s">
        <v>2844</v>
      </c>
      <c r="D15" s="2" t="s">
        <v>2845</v>
      </c>
      <c r="E15" s="2" t="s">
        <v>2846</v>
      </c>
      <c r="F15" s="2" t="s">
        <v>423</v>
      </c>
      <c r="G15" s="2" t="s">
        <v>2844</v>
      </c>
      <c r="H15" s="2" t="s">
        <v>423</v>
      </c>
      <c r="I15" s="2" t="s">
        <v>2847</v>
      </c>
      <c r="J15" s="4">
        <v>1</v>
      </c>
      <c r="K15" s="4">
        <v>0</v>
      </c>
      <c r="L15" s="5">
        <f>J15 + K15</f>
        <v>1</v>
      </c>
      <c r="M15" s="3" t="b">
        <f>K15 = 0</f>
        <v>1</v>
      </c>
      <c r="N15" s="3" t="str">
        <f>IF(M15, "PASS", _xlfn.CONCAT("FAIL(", K15, ")"))</f>
        <v>PASS</v>
      </c>
      <c r="O15" s="2" t="s">
        <v>2760</v>
      </c>
      <c r="P15" s="2" t="s">
        <v>51</v>
      </c>
      <c r="Q15" s="2"/>
      <c r="R15" s="3" t="e">
        <f>LOOKUP(P15, ResearchTraditions[TraditionId], ResearchTraditions[Name])</f>
        <v>#VALUE!</v>
      </c>
      <c r="S15" s="3" t="e">
        <f>LOOKUP(P15, ResearchTraditions[TraditionId], ResearchTraditions[KeyClaim])</f>
        <v>#VALUE!</v>
      </c>
      <c r="T15" s="3" t="e">
        <f>LOOKUP(Q15, Conclusions[ConclusionId], Conclusions[Title])</f>
        <v>#VALUE!</v>
      </c>
      <c r="U15" s="3" t="e">
        <f>LOOKUP(Q15, Conclusions[ConclusionId], Conclusions[Category])</f>
        <v>#VALUE!</v>
      </c>
    </row>
    <row r="16">
      <c r="A16" s="2" t="s">
        <v>2848</v>
      </c>
      <c r="B16" s="3" t="str">
        <f>A16</f>
        <v>inv-ingestion-contract</v>
      </c>
      <c r="C16" s="2" t="s">
        <v>2849</v>
      </c>
      <c r="D16" s="2" t="s">
        <v>2850</v>
      </c>
      <c r="E16" s="2" t="s">
        <v>2851</v>
      </c>
      <c r="F16" s="2" t="s">
        <v>423</v>
      </c>
      <c r="G16" s="2" t="s">
        <v>2849</v>
      </c>
      <c r="H16" s="2" t="s">
        <v>423</v>
      </c>
      <c r="I16" s="2" t="s">
        <v>2852</v>
      </c>
      <c r="J16" s="4">
        <v>1</v>
      </c>
      <c r="K16" s="4">
        <v>0</v>
      </c>
      <c r="L16" s="5">
        <f>J16 + K16</f>
        <v>1</v>
      </c>
      <c r="M16" s="3" t="b">
        <f>K16 = 0</f>
        <v>1</v>
      </c>
      <c r="N16" s="3" t="str">
        <f>IF(M16, "PASS", _xlfn.CONCAT("FAIL(", K16, ")"))</f>
        <v>PASS</v>
      </c>
      <c r="O16" s="2" t="s">
        <v>2760</v>
      </c>
      <c r="P16" s="2" t="s">
        <v>58</v>
      </c>
      <c r="Q16" s="2"/>
      <c r="R16" s="3" t="e">
        <f>LOOKUP(P16, ResearchTraditions[TraditionId], ResearchTraditions[Name])</f>
        <v>#VALUE!</v>
      </c>
      <c r="S16" s="3" t="e">
        <f>LOOKUP(P16, ResearchTraditions[TraditionId], ResearchTraditions[KeyClaim])</f>
        <v>#VALUE!</v>
      </c>
      <c r="T16" s="3" t="e">
        <f>LOOKUP(Q16, Conclusions[ConclusionId], Conclusions[Title])</f>
        <v>#VALUE!</v>
      </c>
      <c r="U16" s="3" t="e">
        <f>LOOKUP(Q16, Conclusions[ConclusionId], Conclusions[Category])</f>
        <v>#VALUE!</v>
      </c>
    </row>
    <row r="17">
      <c r="A17" s="2" t="s">
        <v>2853</v>
      </c>
      <c r="B17" s="3" t="str">
        <f>A17</f>
        <v>inv-import-session-ready</v>
      </c>
      <c r="C17" s="2" t="s">
        <v>2854</v>
      </c>
      <c r="D17" s="2" t="s">
        <v>2855</v>
      </c>
      <c r="E17" s="2" t="s">
        <v>2856</v>
      </c>
      <c r="F17" s="2" t="s">
        <v>423</v>
      </c>
      <c r="G17" s="2" t="s">
        <v>2857</v>
      </c>
      <c r="H17" s="2" t="s">
        <v>423</v>
      </c>
      <c r="I17" s="2" t="s">
        <v>2858</v>
      </c>
      <c r="J17" s="4">
        <v>1</v>
      </c>
      <c r="K17" s="4">
        <v>0</v>
      </c>
      <c r="L17" s="5">
        <f>J17 + K17</f>
        <v>1</v>
      </c>
      <c r="M17" s="3" t="b">
        <f>K17 = 0</f>
        <v>1</v>
      </c>
      <c r="N17" s="3" t="str">
        <f>IF(M17, "PASS", _xlfn.CONCAT("FAIL(", K17, ")"))</f>
        <v>PASS</v>
      </c>
      <c r="O17" s="2" t="s">
        <v>2760</v>
      </c>
      <c r="P17" s="2" t="s">
        <v>58</v>
      </c>
      <c r="Q17" s="2"/>
      <c r="R17" s="3" t="e">
        <f>LOOKUP(P17, ResearchTraditions[TraditionId], ResearchTraditions[Name])</f>
        <v>#VALUE!</v>
      </c>
      <c r="S17" s="3" t="e">
        <f>LOOKUP(P17, ResearchTraditions[TraditionId], ResearchTraditions[KeyClaim])</f>
        <v>#VALUE!</v>
      </c>
      <c r="T17" s="3" t="e">
        <f>LOOKUP(Q17, Conclusions[ConclusionId], Conclusions[Title])</f>
        <v>#VALUE!</v>
      </c>
      <c r="U17" s="3" t="e">
        <f>LOOKUP(Q17, Conclusions[ConclusionId], Conclusions[Category])</f>
        <v>#VALUE!</v>
      </c>
    </row>
    <row r="18">
      <c r="A18" s="2" t="s">
        <v>2859</v>
      </c>
      <c r="B18" s="3" t="str">
        <f>A18</f>
        <v>inv-catalog-imported-linked</v>
      </c>
      <c r="C18" s="2" t="s">
        <v>2860</v>
      </c>
      <c r="D18" s="2" t="s">
        <v>2861</v>
      </c>
      <c r="E18" s="2" t="s">
        <v>2862</v>
      </c>
      <c r="F18" s="2" t="s">
        <v>2863</v>
      </c>
      <c r="G18" s="2" t="s">
        <v>2864</v>
      </c>
      <c r="H18" s="2" t="s">
        <v>2865</v>
      </c>
      <c r="I18" s="2" t="s">
        <v>2866</v>
      </c>
      <c r="J18" s="4">
        <v>93</v>
      </c>
      <c r="K18" s="4">
        <v>0</v>
      </c>
      <c r="L18" s="5">
        <f>J18 + K18</f>
        <v>93</v>
      </c>
      <c r="M18" s="3" t="b">
        <f>K18 = 0</f>
        <v>1</v>
      </c>
      <c r="N18" s="3" t="str">
        <f>IF(M18, "PASS", _xlfn.CONCAT("FAIL(", K18, ")"))</f>
        <v>PASS</v>
      </c>
      <c r="O18" s="2" t="s">
        <v>2760</v>
      </c>
      <c r="P18" s="2" t="s">
        <v>51</v>
      </c>
      <c r="Q18" s="2"/>
      <c r="R18" s="3" t="e">
        <f>LOOKUP(P18, ResearchTraditions[TraditionId], ResearchTraditions[Name])</f>
        <v>#VALUE!</v>
      </c>
      <c r="S18" s="3" t="e">
        <f>LOOKUP(P18, ResearchTraditions[TraditionId], ResearchTraditions[KeyClaim])</f>
        <v>#VALUE!</v>
      </c>
      <c r="T18" s="3" t="e">
        <f>LOOKUP(Q18, Conclusions[ConclusionId], Conclusions[Title])</f>
        <v>#VALUE!</v>
      </c>
      <c r="U18" s="3" t="e">
        <f>LOOKUP(Q18, Conclusions[ConclusionId], Conclusions[Category])</f>
        <v>#VALUE!</v>
      </c>
    </row>
    <row r="19">
      <c r="A19" s="2" t="s">
        <v>2867</v>
      </c>
      <c r="B19" s="3" t="str">
        <f>A19</f>
        <v>inv-type-a-ratio-negative</v>
      </c>
      <c r="C19" s="2" t="s">
        <v>2868</v>
      </c>
      <c r="D19" s="2" t="s">
        <v>2869</v>
      </c>
      <c r="E19" s="2" t="s">
        <v>41</v>
      </c>
      <c r="F19" s="2" t="s">
        <v>2870</v>
      </c>
      <c r="G19" s="2" t="s">
        <v>2871</v>
      </c>
      <c r="H19" s="2" t="s">
        <v>2872</v>
      </c>
      <c r="I19" s="2" t="s">
        <v>2873</v>
      </c>
      <c r="J19" s="4">
        <v>6</v>
      </c>
      <c r="K19" s="4">
        <v>0</v>
      </c>
      <c r="L19" s="5">
        <f>J19 + K19</f>
        <v>6</v>
      </c>
      <c r="M19" s="3" t="b">
        <f>K19 = 0</f>
        <v>1</v>
      </c>
      <c r="N19" s="3" t="str">
        <f>IF(M19, "PASS", _xlfn.CONCAT("FAIL(", K19, ")"))</f>
        <v>PASS</v>
      </c>
      <c r="O19" s="2" t="s">
        <v>2760</v>
      </c>
      <c r="P19" s="2" t="s">
        <v>23</v>
      </c>
      <c r="Q19" s="2" t="s">
        <v>2761</v>
      </c>
      <c r="R19" s="3" t="e">
        <f>LOOKUP(P19, ResearchTraditions[TraditionId], ResearchTraditions[Name])</f>
        <v>#VALUE!</v>
      </c>
      <c r="S19" s="3" t="e">
        <f>LOOKUP(P19, ResearchTraditions[TraditionId], ResearchTraditions[KeyClaim])</f>
        <v>#VALUE!</v>
      </c>
      <c r="T19" s="3" t="e">
        <f>LOOKUP(Q19, Conclusions[ConclusionId], Conclusions[Title])</f>
        <v>#VALUE!</v>
      </c>
      <c r="U19" s="3" t="e">
        <f>LOOKUP(Q19, Conclusions[ConclusionId], Conclusions[Category])</f>
        <v>#VALUE!</v>
      </c>
    </row>
    <row r="20">
      <c r="A20" s="2" t="s">
        <v>2874</v>
      </c>
      <c r="B20" s="3" t="str">
        <f>A20</f>
        <v>inv-type-b-ratio-lt-neg1</v>
      </c>
      <c r="C20" s="2" t="s">
        <v>2875</v>
      </c>
      <c r="D20" s="2" t="s">
        <v>2876</v>
      </c>
      <c r="E20" s="2" t="s">
        <v>41</v>
      </c>
      <c r="F20" s="2" t="s">
        <v>2877</v>
      </c>
      <c r="G20" s="2" t="s">
        <v>2878</v>
      </c>
      <c r="H20" s="2" t="s">
        <v>2879</v>
      </c>
      <c r="I20" s="2" t="s">
        <v>2880</v>
      </c>
      <c r="J20" s="4">
        <v>6</v>
      </c>
      <c r="K20" s="4">
        <v>0</v>
      </c>
      <c r="L20" s="5">
        <f>J20 + K20</f>
        <v>6</v>
      </c>
      <c r="M20" s="3" t="b">
        <f>K20 = 0</f>
        <v>1</v>
      </c>
      <c r="N20" s="3" t="str">
        <f>IF(M20, "PASS", _xlfn.CONCAT("FAIL(", K20, ")"))</f>
        <v>PASS</v>
      </c>
      <c r="O20" s="2" t="s">
        <v>2760</v>
      </c>
      <c r="P20" s="2" t="s">
        <v>23</v>
      </c>
      <c r="Q20" s="2" t="s">
        <v>2769</v>
      </c>
      <c r="R20" s="3" t="e">
        <f>LOOKUP(P20, ResearchTraditions[TraditionId], ResearchTraditions[Name])</f>
        <v>#VALUE!</v>
      </c>
      <c r="S20" s="3" t="e">
        <f>LOOKUP(P20, ResearchTraditions[TraditionId], ResearchTraditions[KeyClaim])</f>
        <v>#VALUE!</v>
      </c>
      <c r="T20" s="3" t="e">
        <f>LOOKUP(Q20, Conclusions[ConclusionId], Conclusions[Title])</f>
        <v>#VALUE!</v>
      </c>
      <c r="U20" s="3" t="e">
        <f>LOOKUP(Q20, Conclusions[ConclusionId], Conclusions[Category])</f>
        <v>#VALUE!</v>
      </c>
    </row>
    <row r="21">
      <c r="A21" s="2" t="s">
        <v>2881</v>
      </c>
      <c r="B21" s="3" t="str">
        <f>A21</f>
        <v>inv-type-c-ratio-positive</v>
      </c>
      <c r="C21" s="2" t="s">
        <v>2882</v>
      </c>
      <c r="D21" s="2" t="s">
        <v>2883</v>
      </c>
      <c r="E21" s="2" t="s">
        <v>41</v>
      </c>
      <c r="F21" s="2" t="s">
        <v>2884</v>
      </c>
      <c r="G21" s="2" t="s">
        <v>2885</v>
      </c>
      <c r="H21" s="2" t="s">
        <v>2886</v>
      </c>
      <c r="I21" s="2" t="s">
        <v>2887</v>
      </c>
      <c r="J21" s="4">
        <v>7</v>
      </c>
      <c r="K21" s="4">
        <v>0</v>
      </c>
      <c r="L21" s="5">
        <f>J21 + K21</f>
        <v>7</v>
      </c>
      <c r="M21" s="3" t="b">
        <f>K21 = 0</f>
        <v>1</v>
      </c>
      <c r="N21" s="3" t="str">
        <f>IF(M21, "PASS", _xlfn.CONCAT("FAIL(", K21, ")"))</f>
        <v>PASS</v>
      </c>
      <c r="O21" s="2" t="s">
        <v>2760</v>
      </c>
      <c r="P21" s="2" t="s">
        <v>23</v>
      </c>
      <c r="Q21" s="2" t="s">
        <v>2777</v>
      </c>
      <c r="R21" s="3" t="e">
        <f>LOOKUP(P21, ResearchTraditions[TraditionId], ResearchTraditions[Name])</f>
        <v>#VALUE!</v>
      </c>
      <c r="S21" s="3" t="e">
        <f>LOOKUP(P21, ResearchTraditions[TraditionId], ResearchTraditions[KeyClaim])</f>
        <v>#VALUE!</v>
      </c>
      <c r="T21" s="3" t="e">
        <f>LOOKUP(Q21, Conclusions[ConclusionId], Conclusions[Title])</f>
        <v>#VALUE!</v>
      </c>
      <c r="U21" s="3" t="e">
        <f>LOOKUP(Q21, Conclusions[ConclusionId], Conclusions[Category])</f>
        <v>#VALUE!</v>
      </c>
    </row>
    <row r="22">
      <c r="A22" s="2" t="s">
        <v>2888</v>
      </c>
      <c r="B22" s="3" t="str">
        <f>A22</f>
        <v>inv-type-d-ratio-near-unity</v>
      </c>
      <c r="C22" s="2" t="s">
        <v>2889</v>
      </c>
      <c r="D22" s="2" t="s">
        <v>2890</v>
      </c>
      <c r="E22" s="2" t="s">
        <v>41</v>
      </c>
      <c r="F22" s="2" t="s">
        <v>2787</v>
      </c>
      <c r="G22" s="2" t="s">
        <v>2891</v>
      </c>
      <c r="H22" s="2" t="s">
        <v>2789</v>
      </c>
      <c r="I22" s="2" t="s">
        <v>2892</v>
      </c>
      <c r="J22" s="4">
        <v>34</v>
      </c>
      <c r="K22" s="4">
        <v>0</v>
      </c>
      <c r="L22" s="5">
        <f>J22 + K22</f>
        <v>34</v>
      </c>
      <c r="M22" s="3" t="b">
        <f>K22 = 0</f>
        <v>1</v>
      </c>
      <c r="N22" s="3" t="str">
        <f>IF(M22, "PASS", _xlfn.CONCAT("FAIL(", K22, ")"))</f>
        <v>PASS</v>
      </c>
      <c r="O22" s="2" t="s">
        <v>2760</v>
      </c>
      <c r="P22" s="2" t="s">
        <v>23</v>
      </c>
      <c r="Q22" s="2" t="s">
        <v>2791</v>
      </c>
      <c r="R22" s="3" t="e">
        <f>LOOKUP(P22, ResearchTraditions[TraditionId], ResearchTraditions[Name])</f>
        <v>#VALUE!</v>
      </c>
      <c r="S22" s="3" t="e">
        <f>LOOKUP(P22, ResearchTraditions[TraditionId], ResearchTraditions[KeyClaim])</f>
        <v>#VALUE!</v>
      </c>
      <c r="T22" s="3" t="e">
        <f>LOOKUP(Q22, Conclusions[ConclusionId], Conclusions[Title])</f>
        <v>#VALUE!</v>
      </c>
      <c r="U22" s="3" t="e">
        <f>LOOKUP(Q22, Conclusions[ConclusionId], Conclusions[Category])</f>
        <v>#VALUE!</v>
      </c>
    </row>
    <row r="23">
      <c r="A23" s="2" t="s">
        <v>2893</v>
      </c>
      <c r="B23" s="3" t="str">
        <f>A23</f>
        <v>inv-latent-d-majority</v>
      </c>
      <c r="C23" s="2" t="s">
        <v>2894</v>
      </c>
      <c r="D23" s="2" t="s">
        <v>2895</v>
      </c>
      <c r="E23" s="2" t="s">
        <v>2896</v>
      </c>
      <c r="F23" s="2" t="s">
        <v>423</v>
      </c>
      <c r="G23" s="2" t="s">
        <v>2894</v>
      </c>
      <c r="H23" s="2" t="s">
        <v>423</v>
      </c>
      <c r="I23" s="2" t="s">
        <v>2897</v>
      </c>
      <c r="J23" s="4">
        <v>1</v>
      </c>
      <c r="K23" s="4">
        <v>0</v>
      </c>
      <c r="L23" s="5">
        <f>J23 + K23</f>
        <v>1</v>
      </c>
      <c r="M23" s="3" t="b">
        <f>K23 = 0</f>
        <v>1</v>
      </c>
      <c r="N23" s="3" t="str">
        <f>IF(M23, "PASS", _xlfn.CONCAT("FAIL(", K23, ")"))</f>
        <v>PASS</v>
      </c>
      <c r="O23" s="2" t="s">
        <v>2760</v>
      </c>
      <c r="P23" s="2" t="s">
        <v>23</v>
      </c>
      <c r="Q23" s="2" t="s">
        <v>2898</v>
      </c>
      <c r="R23" s="3" t="e">
        <f>LOOKUP(P23, ResearchTraditions[TraditionId], ResearchTraditions[Name])</f>
        <v>#VALUE!</v>
      </c>
      <c r="S23" s="3" t="e">
        <f>LOOKUP(P23, ResearchTraditions[TraditionId], ResearchTraditions[KeyClaim])</f>
        <v>#VALUE!</v>
      </c>
      <c r="T23" s="3" t="e">
        <f>LOOKUP(Q23, Conclusions[ConclusionId], Conclusions[Title])</f>
        <v>#VALUE!</v>
      </c>
      <c r="U23" s="3" t="e">
        <f>LOOKUP(Q23, Conclusions[ConclusionId], Conclusions[Category])</f>
        <v>#VALUE!</v>
      </c>
    </row>
    <row r="24">
      <c r="A24" s="2" t="s">
        <v>2899</v>
      </c>
      <c r="B24" s="3" t="str">
        <f>A24</f>
        <v>inv-discovery-all-confirmed</v>
      </c>
      <c r="C24" s="2" t="s">
        <v>2900</v>
      </c>
      <c r="D24" s="2" t="s">
        <v>2901</v>
      </c>
      <c r="E24" s="2" t="s">
        <v>2902</v>
      </c>
      <c r="F24" s="2" t="s">
        <v>2903</v>
      </c>
      <c r="G24" s="2" t="s">
        <v>2904</v>
      </c>
      <c r="H24" s="2" t="s">
        <v>2905</v>
      </c>
      <c r="I24" s="2" t="s">
        <v>2906</v>
      </c>
      <c r="J24" s="4">
        <v>4</v>
      </c>
      <c r="K24" s="4">
        <v>0</v>
      </c>
      <c r="L24" s="5">
        <f>J24 + K24</f>
        <v>4</v>
      </c>
      <c r="M24" s="3" t="b">
        <f>K24 = 0</f>
        <v>1</v>
      </c>
      <c r="N24" s="3" t="str">
        <f>IF(M24, "PASS", _xlfn.CONCAT("FAIL(", K24, ")"))</f>
        <v>PASS</v>
      </c>
      <c r="O24" s="2" t="s">
        <v>2760</v>
      </c>
      <c r="P24" s="2" t="s">
        <v>58</v>
      </c>
      <c r="Q24" s="2" t="s">
        <v>2898</v>
      </c>
      <c r="R24" s="3" t="e">
        <f>LOOKUP(P24, ResearchTraditions[TraditionId], ResearchTraditions[Name])</f>
        <v>#VALUE!</v>
      </c>
      <c r="S24" s="3" t="e">
        <f>LOOKUP(P24, ResearchTraditions[TraditionId], ResearchTraditions[KeyClaim])</f>
        <v>#VALUE!</v>
      </c>
      <c r="T24" s="3" t="e">
        <f>LOOKUP(Q24, Conclusions[ConclusionId], Conclusions[Title])</f>
        <v>#VALUE!</v>
      </c>
      <c r="U24" s="3" t="e">
        <f>LOOKUP(Q24, Conclusions[ConclusionId], Conclusions[Category])</f>
        <v>#VALUE!</v>
      </c>
    </row>
  </sheetData>
  <autoFilter ref="A1:U1"/>
  <headerFooter/>
  <legacyDrawing r:id="rId1"/>
</worksheet>
</file>

<file path=xl/worksheets/sheet1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10"/>
  <sheetViews>
    <sheetView workbookViewId="0">
      <pane ySplit="1" topLeftCell="A2" state="frozen" activePane="bottomLeft"/>
      <selection pane="bottomLeft" activeCell="A1" sqref="A1"/>
    </sheetView>
  </sheetViews>
  <sheetFormatPr defaultRowHeight="15"/>
  <sheetData>
    <row r="1">
      <c r="A1" s="1" t="s">
        <v>2907</v>
      </c>
      <c r="B1" s="1" t="s">
        <v>1</v>
      </c>
      <c r="C1" s="1" t="s">
        <v>2908</v>
      </c>
      <c r="D1" s="1" t="s">
        <v>2909</v>
      </c>
      <c r="E1" s="1" t="s">
        <v>2910</v>
      </c>
    </row>
    <row r="2">
      <c r="A2" s="2" t="s">
        <v>2911</v>
      </c>
      <c r="B2" s="3" t="str">
        <f>A2</f>
        <v>cmcc_summary</v>
      </c>
      <c r="C2" s="2" t="s">
        <v>2912</v>
      </c>
      <c r="D2" s="2" t="s">
        <v>2913</v>
      </c>
      <c r="E2" s="2"/>
    </row>
    <row r="3">
      <c r="A3" s="2" t="s">
        <v>2914</v>
      </c>
      <c r="B3" s="3" t="str">
        <f>A3</f>
        <v>source</v>
      </c>
      <c r="C3" s="2" t="s">
        <v>2912</v>
      </c>
      <c r="D3" s="2" t="s">
        <v>2915</v>
      </c>
      <c r="E3" s="2"/>
    </row>
    <row r="4">
      <c r="A4" s="2" t="s">
        <v>2916</v>
      </c>
      <c r="B4" s="3" t="str">
        <f>A4</f>
        <v>tool_version</v>
      </c>
      <c r="C4" s="2" t="s">
        <v>2912</v>
      </c>
      <c r="D4" s="2" t="s">
        <v>2917</v>
      </c>
      <c r="E4" s="2"/>
    </row>
    <row r="5">
      <c r="A5" s="2" t="s">
        <v>2918</v>
      </c>
      <c r="B5" s="3" t="str">
        <f>A5</f>
        <v>export_mode</v>
      </c>
      <c r="C5" s="2" t="s">
        <v>2912</v>
      </c>
      <c r="D5" s="2" t="s">
        <v>2919</v>
      </c>
      <c r="E5" s="2"/>
    </row>
    <row r="6">
      <c r="A6" s="2" t="s">
        <v>2920</v>
      </c>
      <c r="B6" s="3" t="str">
        <f>A6</f>
        <v>loop</v>
      </c>
      <c r="C6" s="2" t="s">
        <v>2912</v>
      </c>
      <c r="D6" s="2" t="s">
        <v>2921</v>
      </c>
      <c r="E6" s="2"/>
    </row>
    <row r="7">
      <c r="A7" s="2" t="s">
        <v>2922</v>
      </c>
      <c r="B7" s="3" t="str">
        <f>A7</f>
        <v>tagline</v>
      </c>
      <c r="C7" s="2" t="s">
        <v>2912</v>
      </c>
      <c r="D7" s="2" t="s">
        <v>2923</v>
      </c>
      <c r="E7" s="2"/>
    </row>
    <row r="8">
      <c r="A8" s="2" t="s">
        <v>2924</v>
      </c>
      <c r="B8" s="3" t="str">
        <f>A8</f>
        <v>motif</v>
      </c>
      <c r="C8" s="2" t="s">
        <v>2912</v>
      </c>
      <c r="D8" s="2" t="s">
        <v>2925</v>
      </c>
      <c r="E8" s="2"/>
    </row>
    <row r="9">
      <c r="A9" s="2" t="s">
        <v>2926</v>
      </c>
      <c r="B9" s="3" t="str">
        <f>A9</f>
        <v>use_cases</v>
      </c>
      <c r="C9" s="2" t="s">
        <v>2927</v>
      </c>
      <c r="D9" s="2"/>
      <c r="E9" s="2" t="s">
        <v>2928</v>
      </c>
    </row>
    <row r="10">
      <c r="A10" s="2" t="s">
        <v>2929</v>
      </c>
      <c r="B10" s="3" t="str">
        <f>A10</f>
        <v>journal_seed</v>
      </c>
      <c r="C10" s="2" t="s">
        <v>2912</v>
      </c>
      <c r="D10" s="2" t="s">
        <v>2930</v>
      </c>
      <c r="E10" s="2"/>
    </row>
  </sheetData>
  <autoFilter ref="A1:E1"/>
  <headerFooter/>
  <legacyDrawing r:id="rId1"/>
</worksheet>
</file>

<file path=xl/worksheets/sheet1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N11"/>
  <sheetViews>
    <sheetView workbookViewId="0">
      <pane ySplit="1" topLeftCell="A2" state="frozen" activePane="bottomLeft"/>
      <selection pane="bottomLeft" activeCell="A1" sqref="A1"/>
    </sheetView>
  </sheetViews>
  <sheetFormatPr defaultRowHeight="15"/>
  <cols>
    <col min="1" max="1" width="32.20670700073242" customWidth="1"/>
    <col min="2" max="2" width="32.20670700073242" customWidth="1"/>
    <col min="3" max="3" width="17.443378448486328" customWidth="1"/>
    <col min="4" max="4" width="89.70750427246094" customWidth="1"/>
    <col min="5" max="5" width="256" customWidth="1"/>
    <col min="6" max="6" width="256" customWidth="1"/>
    <col min="7" max="7" width="42.37050247192383" customWidth="1"/>
    <col min="8" max="8" width="22.418148040771484" customWidth="1"/>
    <col min="9" max="9" width="34.791629791259766" customWidth="1"/>
    <col min="10" max="10" width="17.443378448486328" customWidth="1"/>
    <col min="11" max="11" width="22.965944290161133" customWidth="1"/>
    <col min="12" max="12" width="27.133773803710938" customWidth="1"/>
    <col min="13" max="13" width="30.025211334228516" customWidth="1"/>
    <col min="14" max="14" width="17.443378448486328" customWidth="1"/>
  </cols>
  <sheetData>
    <row r="1">
      <c r="A1" s="1" t="s">
        <v>2931</v>
      </c>
      <c r="B1" s="1" t="s">
        <v>1</v>
      </c>
      <c r="C1" s="1" t="s">
        <v>2932</v>
      </c>
      <c r="D1" s="1" t="s">
        <v>2</v>
      </c>
      <c r="E1" s="1" t="s">
        <v>2933</v>
      </c>
      <c r="F1" s="1" t="s">
        <v>2934</v>
      </c>
      <c r="G1" s="1" t="s">
        <v>2935</v>
      </c>
      <c r="H1" s="1" t="s">
        <v>8</v>
      </c>
      <c r="I1" s="1" t="s">
        <v>2936</v>
      </c>
      <c r="J1" s="1" t="s">
        <v>9</v>
      </c>
      <c r="K1" s="1" t="s">
        <v>2937</v>
      </c>
      <c r="L1" s="1" t="s">
        <v>2938</v>
      </c>
      <c r="M1" s="1" t="s">
        <v>2939</v>
      </c>
      <c r="N1" s="1" t="s">
        <v>2940</v>
      </c>
    </row>
    <row r="2">
      <c r="A2" s="2" t="s">
        <v>2941</v>
      </c>
      <c r="B2" s="3" t="str">
        <f>A2</f>
        <v>method-01-cmcc</v>
      </c>
      <c r="C2" s="2" t="s">
        <v>2942</v>
      </c>
      <c r="D2" s="2" t="s">
        <v>2943</v>
      </c>
      <c r="E2" s="2" t="s">
        <v>2944</v>
      </c>
      <c r="F2" s="2" t="s">
        <v>2945</v>
      </c>
      <c r="G2" s="2" t="s">
        <v>16</v>
      </c>
      <c r="H2" s="2" t="s">
        <v>23</v>
      </c>
      <c r="I2" s="2"/>
      <c r="J2" s="3" t="e">
        <f>LOOKUP(H2, ResearchTraditions[TraditionId], ResearchTraditions[Name])</f>
        <v>#VALUE!</v>
      </c>
      <c r="K2" s="3" t="e">
        <f>LOOKUP(H2, ResearchTraditions[TraditionId], ResearchTraditions[PrimaryVenue])</f>
        <v>#VALUE!</v>
      </c>
      <c r="L2" s="3" t="e">
        <f>LOOKUP(I2, Researchers[ResearcherId], Researchers[Name])</f>
        <v>#VALUE!</v>
      </c>
      <c r="M2" s="3" t="e">
        <f>LOOKUP(I2, Researchers[ResearcherId], Researchers[Affiliation])</f>
        <v>#VALUE!</v>
      </c>
      <c r="N2" s="5">
        <f>COUNTIFS(Loops!I2:I999, H2)</f>
        <v>27</v>
      </c>
    </row>
    <row r="3">
      <c r="A3" s="2" t="s">
        <v>2946</v>
      </c>
      <c r="B3" s="3" t="str">
        <f>A3</f>
        <v>method-02-dag-first</v>
      </c>
      <c r="C3" s="2" t="s">
        <v>2947</v>
      </c>
      <c r="D3" s="2" t="s">
        <v>2948</v>
      </c>
      <c r="E3" s="2" t="s">
        <v>2949</v>
      </c>
      <c r="F3" s="2" t="s">
        <v>2950</v>
      </c>
      <c r="G3" s="2" t="s">
        <v>2951</v>
      </c>
      <c r="H3" s="2" t="s">
        <v>51</v>
      </c>
      <c r="I3" s="2" t="s">
        <v>2952</v>
      </c>
      <c r="J3" s="3" t="e">
        <f>LOOKUP(H3, ResearchTraditions[TraditionId], ResearchTraditions[Name])</f>
        <v>#VALUE!</v>
      </c>
      <c r="K3" s="3" t="e">
        <f>LOOKUP(H3, ResearchTraditions[TraditionId], ResearchTraditions[PrimaryVenue])</f>
        <v>#VALUE!</v>
      </c>
      <c r="L3" s="3" t="e">
        <f>LOOKUP(I3, Researchers[ResearcherId], Researchers[Name])</f>
        <v>#VALUE!</v>
      </c>
      <c r="M3" s="3" t="e">
        <f>LOOKUP(I3, Researchers[ResearcherId], Researchers[Affiliation])</f>
        <v>#VALUE!</v>
      </c>
      <c r="N3" s="5">
        <f>COUNTIFS(Loops!I2:I999, H3)</f>
        <v>12</v>
      </c>
    </row>
    <row r="4">
      <c r="A4" s="2" t="s">
        <v>2953</v>
      </c>
      <c r="B4" s="3" t="str">
        <f>A4</f>
        <v>method-03-leopold-loops</v>
      </c>
      <c r="C4" s="2" t="s">
        <v>2947</v>
      </c>
      <c r="D4" s="2" t="s">
        <v>2954</v>
      </c>
      <c r="E4" s="2" t="s">
        <v>2955</v>
      </c>
      <c r="F4" s="2" t="s">
        <v>2956</v>
      </c>
      <c r="G4" s="2" t="s">
        <v>2957</v>
      </c>
      <c r="H4" s="2" t="s">
        <v>23</v>
      </c>
      <c r="I4" s="2"/>
      <c r="J4" s="3" t="e">
        <f>LOOKUP(H4, ResearchTraditions[TraditionId], ResearchTraditions[Name])</f>
        <v>#VALUE!</v>
      </c>
      <c r="K4" s="3" t="e">
        <f>LOOKUP(H4, ResearchTraditions[TraditionId], ResearchTraditions[PrimaryVenue])</f>
        <v>#VALUE!</v>
      </c>
      <c r="L4" s="3" t="e">
        <f>LOOKUP(I4, Researchers[ResearcherId], Researchers[Name])</f>
        <v>#VALUE!</v>
      </c>
      <c r="M4" s="3" t="e">
        <f>LOOKUP(I4, Researchers[ResearcherId], Researchers[Affiliation])</f>
        <v>#VALUE!</v>
      </c>
      <c r="N4" s="5">
        <f>COUNTIFS(Loops!I2:I999, H4)</f>
        <v>27</v>
      </c>
    </row>
    <row r="5">
      <c r="A5" s="2" t="s">
        <v>2958</v>
      </c>
      <c r="B5" s="3" t="str">
        <f>A5</f>
        <v>method-04-witness-not-claim</v>
      </c>
      <c r="C5" s="2" t="s">
        <v>2959</v>
      </c>
      <c r="D5" s="2" t="s">
        <v>2960</v>
      </c>
      <c r="E5" s="2" t="s">
        <v>2961</v>
      </c>
      <c r="F5" s="2" t="s">
        <v>2962</v>
      </c>
      <c r="G5" s="2" t="s">
        <v>2963</v>
      </c>
      <c r="H5" s="2" t="s">
        <v>51</v>
      </c>
      <c r="I5" s="2" t="s">
        <v>2952</v>
      </c>
      <c r="J5" s="3" t="e">
        <f>LOOKUP(H5, ResearchTraditions[TraditionId], ResearchTraditions[Name])</f>
        <v>#VALUE!</v>
      </c>
      <c r="K5" s="3" t="e">
        <f>LOOKUP(H5, ResearchTraditions[TraditionId], ResearchTraditions[PrimaryVenue])</f>
        <v>#VALUE!</v>
      </c>
      <c r="L5" s="3" t="e">
        <f>LOOKUP(I5, Researchers[ResearcherId], Researchers[Name])</f>
        <v>#VALUE!</v>
      </c>
      <c r="M5" s="3" t="e">
        <f>LOOKUP(I5, Researchers[ResearcherId], Researchers[Affiliation])</f>
        <v>#VALUE!</v>
      </c>
      <c r="N5" s="5">
        <f>COUNTIFS(Loops!I2:I999, H5)</f>
        <v>12</v>
      </c>
    </row>
    <row r="6">
      <c r="A6" s="2" t="s">
        <v>2964</v>
      </c>
      <c r="B6" s="3" t="str">
        <f>A6</f>
        <v>method-05-synthetic-controls</v>
      </c>
      <c r="C6" s="2" t="s">
        <v>2965</v>
      </c>
      <c r="D6" s="2" t="s">
        <v>2966</v>
      </c>
      <c r="E6" s="2" t="s">
        <v>2967</v>
      </c>
      <c r="F6" s="2" t="s">
        <v>2968</v>
      </c>
      <c r="G6" s="2" t="s">
        <v>2969</v>
      </c>
      <c r="H6" s="2" t="s">
        <v>58</v>
      </c>
      <c r="I6" s="2" t="s">
        <v>433</v>
      </c>
      <c r="J6" s="3" t="e">
        <f>LOOKUP(H6, ResearchTraditions[TraditionId], ResearchTraditions[Name])</f>
        <v>#VALUE!</v>
      </c>
      <c r="K6" s="3" t="e">
        <f>LOOKUP(H6, ResearchTraditions[TraditionId], ResearchTraditions[PrimaryVenue])</f>
        <v>#VALUE!</v>
      </c>
      <c r="L6" s="3" t="e">
        <f>LOOKUP(I6, Researchers[ResearcherId], Researchers[Name])</f>
        <v>#VALUE!</v>
      </c>
      <c r="M6" s="3" t="e">
        <f>LOOKUP(I6, Researchers[ResearcherId], Researchers[Affiliation])</f>
        <v>#VALUE!</v>
      </c>
      <c r="N6" s="5">
        <f>COUNTIFS(Loops!I2:I999, H6)</f>
        <v>18</v>
      </c>
    </row>
    <row r="7">
      <c r="A7" s="2" t="s">
        <v>2970</v>
      </c>
      <c r="B7" s="3" t="str">
        <f>A7</f>
        <v>method-06-real-data-hydration</v>
      </c>
      <c r="C7" s="2" t="s">
        <v>2971</v>
      </c>
      <c r="D7" s="2" t="s">
        <v>2972</v>
      </c>
      <c r="E7" s="2" t="s">
        <v>2973</v>
      </c>
      <c r="F7" s="2" t="s">
        <v>2974</v>
      </c>
      <c r="G7" s="2" t="s">
        <v>2975</v>
      </c>
      <c r="H7" s="2" t="s">
        <v>58</v>
      </c>
      <c r="I7" s="2" t="s">
        <v>447</v>
      </c>
      <c r="J7" s="3" t="e">
        <f>LOOKUP(H7, ResearchTraditions[TraditionId], ResearchTraditions[Name])</f>
        <v>#VALUE!</v>
      </c>
      <c r="K7" s="3" t="e">
        <f>LOOKUP(H7, ResearchTraditions[TraditionId], ResearchTraditions[PrimaryVenue])</f>
        <v>#VALUE!</v>
      </c>
      <c r="L7" s="3" t="e">
        <f>LOOKUP(I7, Researchers[ResearcherId], Researchers[Name])</f>
        <v>#VALUE!</v>
      </c>
      <c r="M7" s="3" t="e">
        <f>LOOKUP(I7, Researchers[ResearcherId], Researchers[Affiliation])</f>
        <v>#VALUE!</v>
      </c>
      <c r="N7" s="5">
        <f>COUNTIFS(Loops!I2:I999, H7)</f>
        <v>18</v>
      </c>
    </row>
    <row r="8">
      <c r="A8" s="2" t="s">
        <v>2976</v>
      </c>
      <c r="B8" s="3" t="str">
        <f>A8</f>
        <v>method-07-continuous-geometry</v>
      </c>
      <c r="C8" s="2" t="s">
        <v>2977</v>
      </c>
      <c r="D8" s="2" t="s">
        <v>2978</v>
      </c>
      <c r="E8" s="2" t="s">
        <v>2979</v>
      </c>
      <c r="F8" s="2" t="s">
        <v>2980</v>
      </c>
      <c r="G8" s="2" t="s">
        <v>2981</v>
      </c>
      <c r="H8" s="2" t="s">
        <v>23</v>
      </c>
      <c r="I8" s="2" t="s">
        <v>419</v>
      </c>
      <c r="J8" s="3" t="e">
        <f>LOOKUP(H8, ResearchTraditions[TraditionId], ResearchTraditions[Name])</f>
        <v>#VALUE!</v>
      </c>
      <c r="K8" s="3" t="e">
        <f>LOOKUP(H8, ResearchTraditions[TraditionId], ResearchTraditions[PrimaryVenue])</f>
        <v>#VALUE!</v>
      </c>
      <c r="L8" s="3" t="e">
        <f>LOOKUP(I8, Researchers[ResearcherId], Researchers[Name])</f>
        <v>#VALUE!</v>
      </c>
      <c r="M8" s="3" t="e">
        <f>LOOKUP(I8, Researchers[ResearcherId], Researchers[Affiliation])</f>
        <v>#VALUE!</v>
      </c>
      <c r="N8" s="5">
        <f>COUNTIFS(Loops!I2:I999, H8)</f>
        <v>27</v>
      </c>
    </row>
    <row r="9">
      <c r="A9" s="2" t="s">
        <v>2982</v>
      </c>
      <c r="B9" s="3" t="str">
        <f>A9</f>
        <v>method-08-four-type-taxonomy</v>
      </c>
      <c r="C9" s="2" t="s">
        <v>2977</v>
      </c>
      <c r="D9" s="2" t="s">
        <v>2983</v>
      </c>
      <c r="E9" s="2" t="s">
        <v>2984</v>
      </c>
      <c r="F9" s="2" t="s">
        <v>2985</v>
      </c>
      <c r="G9" s="2" t="s">
        <v>2986</v>
      </c>
      <c r="H9" s="2" t="s">
        <v>23</v>
      </c>
      <c r="I9" s="2" t="s">
        <v>419</v>
      </c>
      <c r="J9" s="3" t="e">
        <f>LOOKUP(H9, ResearchTraditions[TraditionId], ResearchTraditions[Name])</f>
        <v>#VALUE!</v>
      </c>
      <c r="K9" s="3" t="e">
        <f>LOOKUP(H9, ResearchTraditions[TraditionId], ResearchTraditions[PrimaryVenue])</f>
        <v>#VALUE!</v>
      </c>
      <c r="L9" s="3" t="e">
        <f>LOOKUP(I9, Researchers[ResearcherId], Researchers[Name])</f>
        <v>#VALUE!</v>
      </c>
      <c r="M9" s="3" t="e">
        <f>LOOKUP(I9, Researchers[ResearcherId], Researchers[Affiliation])</f>
        <v>#VALUE!</v>
      </c>
      <c r="N9" s="5">
        <f>COUNTIFS(Loops!I2:I999, H9)</f>
        <v>27</v>
      </c>
    </row>
    <row r="10">
      <c r="A10" s="2" t="s">
        <v>2987</v>
      </c>
      <c r="B10" s="3" t="str">
        <f>A10</f>
        <v>method-09-model-self-portrait</v>
      </c>
      <c r="C10" s="2" t="s">
        <v>2988</v>
      </c>
      <c r="D10" s="2" t="s">
        <v>2989</v>
      </c>
      <c r="E10" s="2" t="s">
        <v>2990</v>
      </c>
      <c r="F10" s="2" t="s">
        <v>2991</v>
      </c>
      <c r="G10" s="2" t="s">
        <v>77</v>
      </c>
      <c r="H10" s="2" t="s">
        <v>51</v>
      </c>
      <c r="I10" s="2" t="s">
        <v>2952</v>
      </c>
      <c r="J10" s="3" t="e">
        <f>LOOKUP(H10, ResearchTraditions[TraditionId], ResearchTraditions[Name])</f>
        <v>#VALUE!</v>
      </c>
      <c r="K10" s="3" t="e">
        <f>LOOKUP(H10, ResearchTraditions[TraditionId], ResearchTraditions[PrimaryVenue])</f>
        <v>#VALUE!</v>
      </c>
      <c r="L10" s="3" t="e">
        <f>LOOKUP(I10, Researchers[ResearcherId], Researchers[Name])</f>
        <v>#VALUE!</v>
      </c>
      <c r="M10" s="3" t="e">
        <f>LOOKUP(I10, Researchers[ResearcherId], Researchers[Affiliation])</f>
        <v>#VALUE!</v>
      </c>
      <c r="N10" s="5">
        <f>COUNTIFS(Loops!I2:I999, H10)</f>
        <v>12</v>
      </c>
    </row>
    <row r="11">
      <c r="A11" s="2" t="s">
        <v>2992</v>
      </c>
      <c r="B11" s="3" t="str">
        <f>A11</f>
        <v>method-10-policy-from-geometry</v>
      </c>
      <c r="C11" s="2" t="s">
        <v>2988</v>
      </c>
      <c r="D11" s="2" t="s">
        <v>2993</v>
      </c>
      <c r="E11" s="2" t="s">
        <v>2994</v>
      </c>
      <c r="F11" s="2" t="s">
        <v>2995</v>
      </c>
      <c r="G11" s="2" t="s">
        <v>2996</v>
      </c>
      <c r="H11" s="2" t="s">
        <v>204</v>
      </c>
      <c r="I11" s="2" t="s">
        <v>628</v>
      </c>
      <c r="J11" s="3" t="e">
        <f>LOOKUP(H11, ResearchTraditions[TraditionId], ResearchTraditions[Name])</f>
        <v>#VALUE!</v>
      </c>
      <c r="K11" s="3" t="e">
        <f>LOOKUP(H11, ResearchTraditions[TraditionId], ResearchTraditions[PrimaryVenue])</f>
        <v>#VALUE!</v>
      </c>
      <c r="L11" s="3" t="e">
        <f>LOOKUP(I11, Researchers[ResearcherId], Researchers[Name])</f>
        <v>#VALUE!</v>
      </c>
      <c r="M11" s="3" t="e">
        <f>LOOKUP(I11, Researchers[ResearcherId], Researchers[Affiliation])</f>
        <v>#VALUE!</v>
      </c>
      <c r="N11" s="5">
        <f>COUNTIFS(Loops!I2:I999, H11)</f>
        <v>1</v>
      </c>
    </row>
  </sheetData>
  <autoFilter ref="A1:N1"/>
  <headerFooter/>
  <legacyDrawing r:id="rId1"/>
</worksheet>
</file>

<file path=xl/worksheets/sheet1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V18"/>
  <sheetViews>
    <sheetView workbookViewId="0">
      <pane ySplit="1" topLeftCell="A2" state="frozen" activePane="bottomLeft"/>
      <selection pane="bottomLeft" activeCell="A1" sqref="A1"/>
    </sheetView>
  </sheetViews>
  <sheetFormatPr defaultRowHeight="15"/>
  <cols>
    <col min="1" max="1" width="36.27132034301758" customWidth="1"/>
    <col min="2" max="2" width="36.27132034301758" customWidth="1"/>
    <col min="3" max="3" width="17.443378448486328" customWidth="1"/>
    <col min="4" max="4" width="17.443378448486328" customWidth="1"/>
    <col min="5" max="5" width="141.72340393066406" customWidth="1"/>
    <col min="6" max="6" width="256" customWidth="1"/>
    <col min="7" max="7" width="17.92554473876953" customWidth="1"/>
    <col min="8" max="8" width="17.443378448486328" customWidth="1"/>
    <col min="9" max="9" width="22.418148040771484" customWidth="1"/>
    <col min="10" max="10" width="34.791629791259766" customWidth="1"/>
    <col min="11" max="11" width="34.791629791259766" customWidth="1"/>
    <col min="12" max="12" width="17.443378448486328" customWidth="1"/>
    <col min="13" max="13" width="26.896242141723633" customWidth="1"/>
    <col min="14" max="14" width="17.472497940063477" customWidth="1"/>
    <col min="15" max="15" width="20.685121536254883" customWidth="1"/>
    <col min="16" max="16" width="27.132654190063477" customWidth="1"/>
    <col min="17" max="17" width="21.788158416748047" customWidth="1"/>
    <col min="18" max="18" width="29.186779022216797" customWidth="1"/>
    <col min="19" max="19" width="29.5806884765625" customWidth="1"/>
    <col min="20" max="20" width="28.836286544799805" customWidth="1"/>
    <col min="21" max="21" width="23.965078353881836" customWidth="1"/>
    <col min="22" max="22" width="25.087739944458008" customWidth="1"/>
  </cols>
  <sheetData>
    <row r="1">
      <c r="A1" s="1" t="s">
        <v>2997</v>
      </c>
      <c r="B1" s="1" t="s">
        <v>1</v>
      </c>
      <c r="C1" s="1" t="s">
        <v>2998</v>
      </c>
      <c r="D1" s="1" t="s">
        <v>3</v>
      </c>
      <c r="E1" s="1" t="s">
        <v>2</v>
      </c>
      <c r="F1" s="1" t="s">
        <v>2999</v>
      </c>
      <c r="G1" s="1" t="s">
        <v>3000</v>
      </c>
      <c r="H1" s="1" t="s">
        <v>3001</v>
      </c>
      <c r="I1" s="1" t="s">
        <v>8</v>
      </c>
      <c r="J1" s="1" t="s">
        <v>3002</v>
      </c>
      <c r="K1" s="1" t="s">
        <v>3003</v>
      </c>
      <c r="L1" s="1" t="s">
        <v>9</v>
      </c>
      <c r="M1" s="1" t="s">
        <v>2752</v>
      </c>
      <c r="N1" s="1" t="s">
        <v>3004</v>
      </c>
      <c r="O1" s="1" t="s">
        <v>3005</v>
      </c>
      <c r="P1" s="1" t="s">
        <v>3006</v>
      </c>
      <c r="Q1" s="1" t="s">
        <v>3007</v>
      </c>
      <c r="R1" s="1" t="s">
        <v>3008</v>
      </c>
      <c r="S1" s="1" t="s">
        <v>3009</v>
      </c>
      <c r="T1" s="1" t="s">
        <v>3010</v>
      </c>
      <c r="U1" s="1" t="s">
        <v>3011</v>
      </c>
      <c r="V1" s="1" t="s">
        <v>3012</v>
      </c>
    </row>
    <row r="2">
      <c r="A2" s="2" t="s">
        <v>2761</v>
      </c>
      <c r="B2" s="3" t="str">
        <f>A2</f>
        <v>conc-01-paradox-is-derived</v>
      </c>
      <c r="C2" s="2" t="s">
        <v>3013</v>
      </c>
      <c r="D2" s="2" t="s">
        <v>3014</v>
      </c>
      <c r="E2" s="2" t="s">
        <v>3015</v>
      </c>
      <c r="F2" s="2" t="s">
        <v>3016</v>
      </c>
      <c r="G2" s="2" t="s">
        <v>39</v>
      </c>
      <c r="H2" s="2"/>
      <c r="I2" s="2" t="s">
        <v>23</v>
      </c>
      <c r="J2" s="2" t="s">
        <v>419</v>
      </c>
      <c r="K2" s="2"/>
      <c r="L2" s="3" t="e">
        <f>LOOKUP(I2, ResearchTraditions[TraditionId], ResearchTraditions[Name])</f>
        <v>#VALUE!</v>
      </c>
      <c r="M2" s="3" t="e">
        <f>LOOKUP(I2, ResearchTraditions[TraditionId], ResearchTraditions[KeyClaim])</f>
        <v>#VALUE!</v>
      </c>
      <c r="N2" s="3" t="e">
        <f>LOOKUP(J2, Researchers[ResearcherId], Researchers[Name])</f>
        <v>#VALUE!</v>
      </c>
      <c r="O2" s="3" t="e">
        <f>LOOKUP(J2, Researchers[ResearcherId], Researchers[Affiliation])</f>
        <v>#VALUE!</v>
      </c>
      <c r="P2" s="3" t="e">
        <f>LOOKUP(K2, Researchers[ResearcherId], Researchers[Name])</f>
        <v>#VALUE!</v>
      </c>
      <c r="Q2" s="3" t="e">
        <f>LOOKUP(G2, Loops[LoopId], Loops[Title])</f>
        <v>#VALUE!</v>
      </c>
      <c r="R2" s="3" t="e">
        <f>LOOKUP(G2, Loops[LoopId], Loops[CommitHash])</f>
        <v>#VALUE!</v>
      </c>
      <c r="S2" s="3" t="e">
        <f>LOOKUP(G2, Loops[LoopId], Loops[CommitShort])</f>
        <v>#VALUE!</v>
      </c>
      <c r="T2" s="3" t="e">
        <f>LOOKUP(G2, Loops[LoopId], Loops[CommitDate])</f>
        <v>#VALUE!</v>
      </c>
      <c r="U2" s="3" t="e">
        <f>LOOKUP(G2, Loops[LoopId], Loops[GitTag])</f>
        <v>#VALUE!</v>
      </c>
      <c r="V2" s="5">
        <f>COUNTIFS(InvariantChecks!Q2:Q999, A2)</f>
        <v>2</v>
      </c>
    </row>
    <row r="3">
      <c r="A3" s="2" t="s">
        <v>2791</v>
      </c>
      <c r="B3" s="3" t="str">
        <f>A3</f>
        <v>conc-02-reversal-from-allocation</v>
      </c>
      <c r="C3" s="2" t="s">
        <v>3013</v>
      </c>
      <c r="D3" s="2" t="s">
        <v>3014</v>
      </c>
      <c r="E3" s="2" t="s">
        <v>3017</v>
      </c>
      <c r="F3" s="2" t="s">
        <v>3018</v>
      </c>
      <c r="G3" s="2" t="s">
        <v>104</v>
      </c>
      <c r="H3" s="2"/>
      <c r="I3" s="2" t="s">
        <v>23</v>
      </c>
      <c r="J3" s="2" t="s">
        <v>3019</v>
      </c>
      <c r="K3" s="2"/>
      <c r="L3" s="3" t="e">
        <f>LOOKUP(I3, ResearchTraditions[TraditionId], ResearchTraditions[Name])</f>
        <v>#VALUE!</v>
      </c>
      <c r="M3" s="3" t="e">
        <f>LOOKUP(I3, ResearchTraditions[TraditionId], ResearchTraditions[KeyClaim])</f>
        <v>#VALUE!</v>
      </c>
      <c r="N3" s="3" t="e">
        <f>LOOKUP(J3, Researchers[ResearcherId], Researchers[Name])</f>
        <v>#VALUE!</v>
      </c>
      <c r="O3" s="3" t="e">
        <f>LOOKUP(J3, Researchers[ResearcherId], Researchers[Affiliation])</f>
        <v>#VALUE!</v>
      </c>
      <c r="P3" s="3" t="e">
        <f>LOOKUP(K3, Researchers[ResearcherId], Researchers[Name])</f>
        <v>#VALUE!</v>
      </c>
      <c r="Q3" s="3" t="e">
        <f>LOOKUP(G3, Loops[LoopId], Loops[Title])</f>
        <v>#VALUE!</v>
      </c>
      <c r="R3" s="3" t="e">
        <f>LOOKUP(G3, Loops[LoopId], Loops[CommitHash])</f>
        <v>#VALUE!</v>
      </c>
      <c r="S3" s="3" t="e">
        <f>LOOKUP(G3, Loops[LoopId], Loops[CommitShort])</f>
        <v>#VALUE!</v>
      </c>
      <c r="T3" s="3" t="e">
        <f>LOOKUP(G3, Loops[LoopId], Loops[CommitDate])</f>
        <v>#VALUE!</v>
      </c>
      <c r="U3" s="3" t="e">
        <f>LOOKUP(G3, Loops[LoopId], Loops[GitTag])</f>
        <v>#VALUE!</v>
      </c>
      <c r="V3" s="5">
        <f>COUNTIFS(InvariantChecks!Q2:Q999, A3)</f>
        <v>3</v>
      </c>
    </row>
    <row r="4">
      <c r="A4" s="2" t="s">
        <v>2769</v>
      </c>
      <c r="B4" s="3" t="str">
        <f>A4</f>
        <v>conc-03-binary-excludes-partial</v>
      </c>
      <c r="C4" s="2" t="s">
        <v>3020</v>
      </c>
      <c r="D4" s="2" t="s">
        <v>3014</v>
      </c>
      <c r="E4" s="2" t="s">
        <v>3021</v>
      </c>
      <c r="F4" s="2" t="s">
        <v>3022</v>
      </c>
      <c r="G4" s="2" t="s">
        <v>125</v>
      </c>
      <c r="H4" s="2"/>
      <c r="I4" s="2" t="s">
        <v>23</v>
      </c>
      <c r="J4" s="2" t="s">
        <v>419</v>
      </c>
      <c r="K4" s="2" t="s">
        <v>3023</v>
      </c>
      <c r="L4" s="3" t="e">
        <f>LOOKUP(I4, ResearchTraditions[TraditionId], ResearchTraditions[Name])</f>
        <v>#VALUE!</v>
      </c>
      <c r="M4" s="3" t="e">
        <f>LOOKUP(I4, ResearchTraditions[TraditionId], ResearchTraditions[KeyClaim])</f>
        <v>#VALUE!</v>
      </c>
      <c r="N4" s="3" t="e">
        <f>LOOKUP(J4, Researchers[ResearcherId], Researchers[Name])</f>
        <v>#VALUE!</v>
      </c>
      <c r="O4" s="3" t="e">
        <f>LOOKUP(J4, Researchers[ResearcherId], Researchers[Affiliation])</f>
        <v>#VALUE!</v>
      </c>
      <c r="P4" s="3" t="e">
        <f>LOOKUP(K4, Researchers[ResearcherId], Researchers[Name])</f>
        <v>#VALUE!</v>
      </c>
      <c r="Q4" s="3" t="e">
        <f>LOOKUP(G4, Loops[LoopId], Loops[Title])</f>
        <v>#VALUE!</v>
      </c>
      <c r="R4" s="3" t="e">
        <f>LOOKUP(G4, Loops[LoopId], Loops[CommitHash])</f>
        <v>#VALUE!</v>
      </c>
      <c r="S4" s="3" t="e">
        <f>LOOKUP(G4, Loops[LoopId], Loops[CommitShort])</f>
        <v>#VALUE!</v>
      </c>
      <c r="T4" s="3" t="e">
        <f>LOOKUP(G4, Loops[LoopId], Loops[CommitDate])</f>
        <v>#VALUE!</v>
      </c>
      <c r="U4" s="3" t="e">
        <f>LOOKUP(G4, Loops[LoopId], Loops[GitTag])</f>
        <v>#VALUE!</v>
      </c>
      <c r="V4" s="5">
        <f>COUNTIFS(InvariantChecks!Q2:Q999, A4)</f>
        <v>4</v>
      </c>
    </row>
    <row r="5">
      <c r="A5" s="2" t="s">
        <v>2777</v>
      </c>
      <c r="B5" s="3" t="str">
        <f>A5</f>
        <v>conc-04-type-c-exists</v>
      </c>
      <c r="C5" s="2" t="s">
        <v>3020</v>
      </c>
      <c r="D5" s="2" t="s">
        <v>3014</v>
      </c>
      <c r="E5" s="2" t="s">
        <v>3024</v>
      </c>
      <c r="F5" s="2" t="s">
        <v>3025</v>
      </c>
      <c r="G5" s="2" t="s">
        <v>137</v>
      </c>
      <c r="H5" s="2"/>
      <c r="I5" s="2" t="s">
        <v>23</v>
      </c>
      <c r="J5" s="2" t="s">
        <v>419</v>
      </c>
      <c r="K5" s="2"/>
      <c r="L5" s="3" t="e">
        <f>LOOKUP(I5, ResearchTraditions[TraditionId], ResearchTraditions[Name])</f>
        <v>#VALUE!</v>
      </c>
      <c r="M5" s="3" t="e">
        <f>LOOKUP(I5, ResearchTraditions[TraditionId], ResearchTraditions[KeyClaim])</f>
        <v>#VALUE!</v>
      </c>
      <c r="N5" s="3" t="e">
        <f>LOOKUP(J5, Researchers[ResearcherId], Researchers[Name])</f>
        <v>#VALUE!</v>
      </c>
      <c r="O5" s="3" t="e">
        <f>LOOKUP(J5, Researchers[ResearcherId], Researchers[Affiliation])</f>
        <v>#VALUE!</v>
      </c>
      <c r="P5" s="3" t="e">
        <f>LOOKUP(K5, Researchers[ResearcherId], Researchers[Name])</f>
        <v>#VALUE!</v>
      </c>
      <c r="Q5" s="3" t="e">
        <f>LOOKUP(G5, Loops[LoopId], Loops[Title])</f>
        <v>#VALUE!</v>
      </c>
      <c r="R5" s="3" t="e">
        <f>LOOKUP(G5, Loops[LoopId], Loops[CommitHash])</f>
        <v>#VALUE!</v>
      </c>
      <c r="S5" s="3" t="e">
        <f>LOOKUP(G5, Loops[LoopId], Loops[CommitShort])</f>
        <v>#VALUE!</v>
      </c>
      <c r="T5" s="3" t="e">
        <f>LOOKUP(G5, Loops[LoopId], Loops[CommitDate])</f>
        <v>#VALUE!</v>
      </c>
      <c r="U5" s="3" t="e">
        <f>LOOKUP(G5, Loops[LoopId], Loops[GitTag])</f>
        <v>#VALUE!</v>
      </c>
      <c r="V5" s="5">
        <f>COUNTIFS(InvariantChecks!Q2:Q999, A5)</f>
        <v>4</v>
      </c>
    </row>
    <row r="6">
      <c r="A6" s="2" t="s">
        <v>3026</v>
      </c>
      <c r="B6" s="3" t="str">
        <f>A6</f>
        <v>conc-05-real-data-generalizes</v>
      </c>
      <c r="C6" s="2" t="s">
        <v>3020</v>
      </c>
      <c r="D6" s="2" t="s">
        <v>3014</v>
      </c>
      <c r="E6" s="2" t="s">
        <v>3027</v>
      </c>
      <c r="F6" s="2" t="s">
        <v>3028</v>
      </c>
      <c r="G6" s="2" t="s">
        <v>149</v>
      </c>
      <c r="H6" s="2"/>
      <c r="I6" s="2" t="s">
        <v>58</v>
      </c>
      <c r="J6" s="2" t="s">
        <v>433</v>
      </c>
      <c r="K6" s="2"/>
      <c r="L6" s="3" t="e">
        <f>LOOKUP(I6, ResearchTraditions[TraditionId], ResearchTraditions[Name])</f>
        <v>#VALUE!</v>
      </c>
      <c r="M6" s="3" t="e">
        <f>LOOKUP(I6, ResearchTraditions[TraditionId], ResearchTraditions[KeyClaim])</f>
        <v>#VALUE!</v>
      </c>
      <c r="N6" s="3" t="e">
        <f>LOOKUP(J6, Researchers[ResearcherId], Researchers[Name])</f>
        <v>#VALUE!</v>
      </c>
      <c r="O6" s="3" t="e">
        <f>LOOKUP(J6, Researchers[ResearcherId], Researchers[Affiliation])</f>
        <v>#VALUE!</v>
      </c>
      <c r="P6" s="3" t="e">
        <f>LOOKUP(K6, Researchers[ResearcherId], Researchers[Name])</f>
        <v>#VALUE!</v>
      </c>
      <c r="Q6" s="3" t="e">
        <f>LOOKUP(G6, Loops[LoopId], Loops[Title])</f>
        <v>#VALUE!</v>
      </c>
      <c r="R6" s="3" t="e">
        <f>LOOKUP(G6, Loops[LoopId], Loops[CommitHash])</f>
        <v>#VALUE!</v>
      </c>
      <c r="S6" s="3" t="e">
        <f>LOOKUP(G6, Loops[LoopId], Loops[CommitShort])</f>
        <v>#VALUE!</v>
      </c>
      <c r="T6" s="3" t="e">
        <f>LOOKUP(G6, Loops[LoopId], Loops[CommitDate])</f>
        <v>#VALUE!</v>
      </c>
      <c r="U6" s="3" t="e">
        <f>LOOKUP(G6, Loops[LoopId], Loops[GitTag])</f>
        <v>#VALUE!</v>
      </c>
      <c r="V6" s="5">
        <f>COUNTIFS(InvariantChecks!Q2:Q999, A6)</f>
        <v>0</v>
      </c>
    </row>
    <row r="7">
      <c r="A7" s="2" t="s">
        <v>3029</v>
      </c>
      <c r="B7" s="3" t="str">
        <f>A7</f>
        <v>conc-06-policy-derivable</v>
      </c>
      <c r="C7" s="2" t="s">
        <v>3020</v>
      </c>
      <c r="D7" s="2" t="s">
        <v>3014</v>
      </c>
      <c r="E7" s="2" t="s">
        <v>3030</v>
      </c>
      <c r="F7" s="2" t="s">
        <v>3031</v>
      </c>
      <c r="G7" s="2" t="s">
        <v>155</v>
      </c>
      <c r="H7" s="2"/>
      <c r="I7" s="2" t="s">
        <v>204</v>
      </c>
      <c r="J7" s="2" t="s">
        <v>628</v>
      </c>
      <c r="K7" s="2"/>
      <c r="L7" s="3" t="e">
        <f>LOOKUP(I7, ResearchTraditions[TraditionId], ResearchTraditions[Name])</f>
        <v>#VALUE!</v>
      </c>
      <c r="M7" s="3" t="e">
        <f>LOOKUP(I7, ResearchTraditions[TraditionId], ResearchTraditions[KeyClaim])</f>
        <v>#VALUE!</v>
      </c>
      <c r="N7" s="3" t="e">
        <f>LOOKUP(J7, Researchers[ResearcherId], Researchers[Name])</f>
        <v>#VALUE!</v>
      </c>
      <c r="O7" s="3" t="e">
        <f>LOOKUP(J7, Researchers[ResearcherId], Researchers[Affiliation])</f>
        <v>#VALUE!</v>
      </c>
      <c r="P7" s="3" t="e">
        <f>LOOKUP(K7, Researchers[ResearcherId], Researchers[Name])</f>
        <v>#VALUE!</v>
      </c>
      <c r="Q7" s="3" t="e">
        <f>LOOKUP(G7, Loops[LoopId], Loops[Title])</f>
        <v>#VALUE!</v>
      </c>
      <c r="R7" s="3" t="e">
        <f>LOOKUP(G7, Loops[LoopId], Loops[CommitHash])</f>
        <v>#VALUE!</v>
      </c>
      <c r="S7" s="3" t="e">
        <f>LOOKUP(G7, Loops[LoopId], Loops[CommitShort])</f>
        <v>#VALUE!</v>
      </c>
      <c r="T7" s="3" t="e">
        <f>LOOKUP(G7, Loops[LoopId], Loops[CommitDate])</f>
        <v>#VALUE!</v>
      </c>
      <c r="U7" s="3" t="e">
        <f>LOOKUP(G7, Loops[LoopId], Loops[GitTag])</f>
        <v>#VALUE!</v>
      </c>
      <c r="V7" s="5">
        <f>COUNTIFS(InvariantChecks!Q2:Q999, A7)</f>
        <v>0</v>
      </c>
    </row>
    <row r="8">
      <c r="A8" s="2" t="s">
        <v>3032</v>
      </c>
      <c r="B8" s="3" t="str">
        <f>A8</f>
        <v>conc-07-model-self-portrait</v>
      </c>
      <c r="C8" s="2" t="s">
        <v>3020</v>
      </c>
      <c r="D8" s="2" t="s">
        <v>3014</v>
      </c>
      <c r="E8" s="2" t="s">
        <v>3033</v>
      </c>
      <c r="F8" s="2" t="s">
        <v>3034</v>
      </c>
      <c r="G8" s="2" t="s">
        <v>77</v>
      </c>
      <c r="H8" s="2"/>
      <c r="I8" s="2" t="s">
        <v>51</v>
      </c>
      <c r="J8" s="2" t="s">
        <v>2952</v>
      </c>
      <c r="K8" s="2"/>
      <c r="L8" s="3" t="e">
        <f>LOOKUP(I8, ResearchTraditions[TraditionId], ResearchTraditions[Name])</f>
        <v>#VALUE!</v>
      </c>
      <c r="M8" s="3" t="e">
        <f>LOOKUP(I8, ResearchTraditions[TraditionId], ResearchTraditions[KeyClaim])</f>
        <v>#VALUE!</v>
      </c>
      <c r="N8" s="3" t="e">
        <f>LOOKUP(J8, Researchers[ResearcherId], Researchers[Name])</f>
        <v>#VALUE!</v>
      </c>
      <c r="O8" s="3" t="e">
        <f>LOOKUP(J8, Researchers[ResearcherId], Researchers[Affiliation])</f>
        <v>#VALUE!</v>
      </c>
      <c r="P8" s="3" t="e">
        <f>LOOKUP(K8, Researchers[ResearcherId], Researchers[Name])</f>
        <v>#VALUE!</v>
      </c>
      <c r="Q8" s="3" t="e">
        <f>LOOKUP(G8, Loops[LoopId], Loops[Title])</f>
        <v>#VALUE!</v>
      </c>
      <c r="R8" s="3" t="e">
        <f>LOOKUP(G8, Loops[LoopId], Loops[CommitHash])</f>
        <v>#VALUE!</v>
      </c>
      <c r="S8" s="3" t="e">
        <f>LOOKUP(G8, Loops[LoopId], Loops[CommitShort])</f>
        <v>#VALUE!</v>
      </c>
      <c r="T8" s="3" t="e">
        <f>LOOKUP(G8, Loops[LoopId], Loops[CommitDate])</f>
        <v>#VALUE!</v>
      </c>
      <c r="U8" s="3" t="e">
        <f>LOOKUP(G8, Loops[LoopId], Loops[GitTag])</f>
        <v>#VALUE!</v>
      </c>
      <c r="V8" s="5">
        <f>COUNTIFS(InvariantChecks!Q2:Q999, A8)</f>
        <v>0</v>
      </c>
    </row>
    <row r="9">
      <c r="A9" s="2" t="s">
        <v>3035</v>
      </c>
      <c r="B9" s="3" t="str">
        <f>A9</f>
        <v>conc-08-type-c-real</v>
      </c>
      <c r="C9" s="2" t="s">
        <v>3036</v>
      </c>
      <c r="D9" s="2" t="s">
        <v>3014</v>
      </c>
      <c r="E9" s="2" t="s">
        <v>3037</v>
      </c>
      <c r="F9" s="2" t="s">
        <v>3038</v>
      </c>
      <c r="G9" s="2" t="s">
        <v>179</v>
      </c>
      <c r="H9" s="2" t="s">
        <v>184</v>
      </c>
      <c r="I9" s="2" t="s">
        <v>58</v>
      </c>
      <c r="J9" s="2" t="s">
        <v>433</v>
      </c>
      <c r="K9" s="2"/>
      <c r="L9" s="3" t="e">
        <f>LOOKUP(I9, ResearchTraditions[TraditionId], ResearchTraditions[Name])</f>
        <v>#VALUE!</v>
      </c>
      <c r="M9" s="3" t="e">
        <f>LOOKUP(I9, ResearchTraditions[TraditionId], ResearchTraditions[KeyClaim])</f>
        <v>#VALUE!</v>
      </c>
      <c r="N9" s="3" t="e">
        <f>LOOKUP(J9, Researchers[ResearcherId], Researchers[Name])</f>
        <v>#VALUE!</v>
      </c>
      <c r="O9" s="3" t="e">
        <f>LOOKUP(J9, Researchers[ResearcherId], Researchers[Affiliation])</f>
        <v>#VALUE!</v>
      </c>
      <c r="P9" s="3" t="e">
        <f>LOOKUP(K9, Researchers[ResearcherId], Researchers[Name])</f>
        <v>#VALUE!</v>
      </c>
      <c r="Q9" s="3" t="e">
        <f>LOOKUP(G9, Loops[LoopId], Loops[Title])</f>
        <v>#VALUE!</v>
      </c>
      <c r="R9" s="3" t="e">
        <f>LOOKUP(G9, Loops[LoopId], Loops[CommitHash])</f>
        <v>#VALUE!</v>
      </c>
      <c r="S9" s="3" t="e">
        <f>LOOKUP(G9, Loops[LoopId], Loops[CommitShort])</f>
        <v>#VALUE!</v>
      </c>
      <c r="T9" s="3" t="e">
        <f>LOOKUP(G9, Loops[LoopId], Loops[CommitDate])</f>
        <v>#VALUE!</v>
      </c>
      <c r="U9" s="3" t="e">
        <f>LOOKUP(G9, Loops[LoopId], Loops[GitTag])</f>
        <v>#VALUE!</v>
      </c>
      <c r="V9" s="5">
        <f>COUNTIFS(InvariantChecks!Q2:Q999, A9)</f>
        <v>0</v>
      </c>
    </row>
    <row r="10">
      <c r="A10" s="2" t="s">
        <v>2842</v>
      </c>
      <c r="B10" s="3" t="str">
        <f>A10</f>
        <v>conc-09-causal-vs-geometric</v>
      </c>
      <c r="C10" s="2" t="s">
        <v>3036</v>
      </c>
      <c r="D10" s="2" t="s">
        <v>3014</v>
      </c>
      <c r="E10" s="2" t="s">
        <v>3039</v>
      </c>
      <c r="F10" s="2" t="s">
        <v>3040</v>
      </c>
      <c r="G10" s="2" t="s">
        <v>210</v>
      </c>
      <c r="H10" s="2" t="s">
        <v>166</v>
      </c>
      <c r="I10" s="2" t="s">
        <v>51</v>
      </c>
      <c r="J10" s="2" t="s">
        <v>474</v>
      </c>
      <c r="K10" s="2" t="s">
        <v>2952</v>
      </c>
      <c r="L10" s="3" t="e">
        <f>LOOKUP(I10, ResearchTraditions[TraditionId], ResearchTraditions[Name])</f>
        <v>#VALUE!</v>
      </c>
      <c r="M10" s="3" t="e">
        <f>LOOKUP(I10, ResearchTraditions[TraditionId], ResearchTraditions[KeyClaim])</f>
        <v>#VALUE!</v>
      </c>
      <c r="N10" s="3" t="e">
        <f>LOOKUP(J10, Researchers[ResearcherId], Researchers[Name])</f>
        <v>#VALUE!</v>
      </c>
      <c r="O10" s="3" t="e">
        <f>LOOKUP(J10, Researchers[ResearcherId], Researchers[Affiliation])</f>
        <v>#VALUE!</v>
      </c>
      <c r="P10" s="3" t="e">
        <f>LOOKUP(K10, Researchers[ResearcherId], Researchers[Name])</f>
        <v>#VALUE!</v>
      </c>
      <c r="Q10" s="3" t="e">
        <f>LOOKUP(G10, Loops[LoopId], Loops[Title])</f>
        <v>#VALUE!</v>
      </c>
      <c r="R10" s="3" t="e">
        <f>LOOKUP(G10, Loops[LoopId], Loops[CommitHash])</f>
        <v>#VALUE!</v>
      </c>
      <c r="S10" s="3" t="e">
        <f>LOOKUP(G10, Loops[LoopId], Loops[CommitShort])</f>
        <v>#VALUE!</v>
      </c>
      <c r="T10" s="3" t="e">
        <f>LOOKUP(G10, Loops[LoopId], Loops[CommitDate])</f>
        <v>#VALUE!</v>
      </c>
      <c r="U10" s="3" t="e">
        <f>LOOKUP(G10, Loops[LoopId], Loops[GitTag])</f>
        <v>#VALUE!</v>
      </c>
      <c r="V10" s="5">
        <f>COUNTIFS(InvariantChecks!Q2:Q999, A10)</f>
        <v>1</v>
      </c>
    </row>
    <row r="11">
      <c r="A11" s="2" t="s">
        <v>3041</v>
      </c>
      <c r="B11" s="3" t="str">
        <f>A11</f>
        <v>conc-10-instrument-specifiable</v>
      </c>
      <c r="C11" s="2" t="s">
        <v>3042</v>
      </c>
      <c r="D11" s="2" t="s">
        <v>3014</v>
      </c>
      <c r="E11" s="2" t="s">
        <v>3043</v>
      </c>
      <c r="F11" s="2" t="s">
        <v>3044</v>
      </c>
      <c r="G11" s="2" t="s">
        <v>189</v>
      </c>
      <c r="H11" s="2" t="s">
        <v>210</v>
      </c>
      <c r="I11" s="2" t="s">
        <v>23</v>
      </c>
      <c r="J11" s="2" t="s">
        <v>419</v>
      </c>
      <c r="K11" s="2"/>
      <c r="L11" s="3" t="e">
        <f>LOOKUP(I11, ResearchTraditions[TraditionId], ResearchTraditions[Name])</f>
        <v>#VALUE!</v>
      </c>
      <c r="M11" s="3" t="e">
        <f>LOOKUP(I11, ResearchTraditions[TraditionId], ResearchTraditions[KeyClaim])</f>
        <v>#VALUE!</v>
      </c>
      <c r="N11" s="3" t="e">
        <f>LOOKUP(J11, Researchers[ResearcherId], Researchers[Name])</f>
        <v>#VALUE!</v>
      </c>
      <c r="O11" s="3" t="e">
        <f>LOOKUP(J11, Researchers[ResearcherId], Researchers[Affiliation])</f>
        <v>#VALUE!</v>
      </c>
      <c r="P11" s="3" t="e">
        <f>LOOKUP(K11, Researchers[ResearcherId], Researchers[Name])</f>
        <v>#VALUE!</v>
      </c>
      <c r="Q11" s="3" t="e">
        <f>LOOKUP(G11, Loops[LoopId], Loops[Title])</f>
        <v>#VALUE!</v>
      </c>
      <c r="R11" s="3" t="e">
        <f>LOOKUP(G11, Loops[LoopId], Loops[CommitHash])</f>
        <v>#VALUE!</v>
      </c>
      <c r="S11" s="3" t="e">
        <f>LOOKUP(G11, Loops[LoopId], Loops[CommitShort])</f>
        <v>#VALUE!</v>
      </c>
      <c r="T11" s="3" t="e">
        <f>LOOKUP(G11, Loops[LoopId], Loops[CommitDate])</f>
        <v>#VALUE!</v>
      </c>
      <c r="U11" s="3" t="e">
        <f>LOOKUP(G11, Loops[LoopId], Loops[GitTag])</f>
        <v>#VALUE!</v>
      </c>
      <c r="V11" s="5">
        <f>COUNTIFS(InvariantChecks!Q2:Q999, A11)</f>
        <v>0</v>
      </c>
    </row>
    <row r="12">
      <c r="A12" s="2" t="s">
        <v>2783</v>
      </c>
      <c r="B12" s="3" t="str">
        <f>A12</f>
        <v>conc-11-reversal-recovery</v>
      </c>
      <c r="C12" s="2" t="s">
        <v>3020</v>
      </c>
      <c r="D12" s="2" t="s">
        <v>3014</v>
      </c>
      <c r="E12" s="2" t="s">
        <v>3045</v>
      </c>
      <c r="F12" s="2" t="s">
        <v>3046</v>
      </c>
      <c r="G12" s="2" t="s">
        <v>194</v>
      </c>
      <c r="H12" s="2"/>
      <c r="I12" s="2" t="s">
        <v>51</v>
      </c>
      <c r="J12" s="2" t="s">
        <v>2952</v>
      </c>
      <c r="K12" s="2"/>
      <c r="L12" s="3" t="e">
        <f>LOOKUP(I12, ResearchTraditions[TraditionId], ResearchTraditions[Name])</f>
        <v>#VALUE!</v>
      </c>
      <c r="M12" s="3" t="e">
        <f>LOOKUP(I12, ResearchTraditions[TraditionId], ResearchTraditions[KeyClaim])</f>
        <v>#VALUE!</v>
      </c>
      <c r="N12" s="3" t="e">
        <f>LOOKUP(J12, Researchers[ResearcherId], Researchers[Name])</f>
        <v>#VALUE!</v>
      </c>
      <c r="O12" s="3" t="e">
        <f>LOOKUP(J12, Researchers[ResearcherId], Researchers[Affiliation])</f>
        <v>#VALUE!</v>
      </c>
      <c r="P12" s="3" t="e">
        <f>LOOKUP(K12, Researchers[ResearcherId], Researchers[Name])</f>
        <v>#VALUE!</v>
      </c>
      <c r="Q12" s="3" t="e">
        <f>LOOKUP(G12, Loops[LoopId], Loops[Title])</f>
        <v>#VALUE!</v>
      </c>
      <c r="R12" s="3" t="e">
        <f>LOOKUP(G12, Loops[LoopId], Loops[CommitHash])</f>
        <v>#VALUE!</v>
      </c>
      <c r="S12" s="3" t="e">
        <f>LOOKUP(G12, Loops[LoopId], Loops[CommitShort])</f>
        <v>#VALUE!</v>
      </c>
      <c r="T12" s="3" t="e">
        <f>LOOKUP(G12, Loops[LoopId], Loops[CommitDate])</f>
        <v>#VALUE!</v>
      </c>
      <c r="U12" s="3" t="e">
        <f>LOOKUP(G12, Loops[LoopId], Loops[GitTag])</f>
        <v>#VALUE!</v>
      </c>
      <c r="V12" s="5">
        <f>COUNTIFS(InvariantChecks!Q2:Q999, A12)</f>
        <v>3</v>
      </c>
    </row>
    <row r="13">
      <c r="A13" s="2" t="s">
        <v>3047</v>
      </c>
      <c r="B13" s="3" t="str">
        <f>A13</f>
        <v>conc-12-signal-purity-theorem</v>
      </c>
      <c r="C13" s="2" t="s">
        <v>3048</v>
      </c>
      <c r="D13" s="2" t="s">
        <v>3014</v>
      </c>
      <c r="E13" s="2" t="s">
        <v>3049</v>
      </c>
      <c r="F13" s="2" t="s">
        <v>3050</v>
      </c>
      <c r="G13" s="2" t="s">
        <v>248</v>
      </c>
      <c r="H13" s="2" t="s">
        <v>248</v>
      </c>
      <c r="I13" s="2" t="s">
        <v>51</v>
      </c>
      <c r="J13" s="2"/>
      <c r="K13" s="2"/>
      <c r="L13" s="3" t="e">
        <f>LOOKUP(I13, ResearchTraditions[TraditionId], ResearchTraditions[Name])</f>
        <v>#VALUE!</v>
      </c>
      <c r="M13" s="3" t="e">
        <f>LOOKUP(I13, ResearchTraditions[TraditionId], ResearchTraditions[KeyClaim])</f>
        <v>#VALUE!</v>
      </c>
      <c r="N13" s="3" t="e">
        <f>LOOKUP(J13, Researchers[ResearcherId], Researchers[Name])</f>
        <v>#VALUE!</v>
      </c>
      <c r="O13" s="3" t="e">
        <f>LOOKUP(J13, Researchers[ResearcherId], Researchers[Affiliation])</f>
        <v>#VALUE!</v>
      </c>
      <c r="P13" s="3" t="e">
        <f>LOOKUP(K13, Researchers[ResearcherId], Researchers[Name])</f>
        <v>#VALUE!</v>
      </c>
      <c r="Q13" s="3" t="e">
        <f>LOOKUP(G13, Loops[LoopId], Loops[Title])</f>
        <v>#VALUE!</v>
      </c>
      <c r="R13" s="3" t="e">
        <f>LOOKUP(G13, Loops[LoopId], Loops[CommitHash])</f>
        <v>#VALUE!</v>
      </c>
      <c r="S13" s="3" t="e">
        <f>LOOKUP(G13, Loops[LoopId], Loops[CommitShort])</f>
        <v>#VALUE!</v>
      </c>
      <c r="T13" s="3" t="e">
        <f>LOOKUP(G13, Loops[LoopId], Loops[CommitDate])</f>
        <v>#VALUE!</v>
      </c>
      <c r="U13" s="3" t="e">
        <f>LOOKUP(G13, Loops[LoopId], Loops[GitTag])</f>
        <v>#VALUE!</v>
      </c>
      <c r="V13" s="5">
        <f>COUNTIFS(InvariantChecks!Q2:Q999, A13)</f>
        <v>0</v>
      </c>
    </row>
    <row r="14">
      <c r="A14" s="2" t="s">
        <v>3051</v>
      </c>
      <c r="B14" s="3" t="str">
        <f>A14</f>
        <v>conc-13-cplus-cminus-opposite-errors</v>
      </c>
      <c r="C14" s="2" t="s">
        <v>2977</v>
      </c>
      <c r="D14" s="2" t="s">
        <v>3014</v>
      </c>
      <c r="E14" s="2" t="s">
        <v>3052</v>
      </c>
      <c r="F14" s="2" t="s">
        <v>3053</v>
      </c>
      <c r="G14" s="2" t="s">
        <v>242</v>
      </c>
      <c r="H14" s="2" t="s">
        <v>242</v>
      </c>
      <c r="I14" s="2" t="s">
        <v>58</v>
      </c>
      <c r="J14" s="2"/>
      <c r="K14" s="2"/>
      <c r="L14" s="3" t="e">
        <f>LOOKUP(I14, ResearchTraditions[TraditionId], ResearchTraditions[Name])</f>
        <v>#VALUE!</v>
      </c>
      <c r="M14" s="3" t="e">
        <f>LOOKUP(I14, ResearchTraditions[TraditionId], ResearchTraditions[KeyClaim])</f>
        <v>#VALUE!</v>
      </c>
      <c r="N14" s="3" t="e">
        <f>LOOKUP(J14, Researchers[ResearcherId], Researchers[Name])</f>
        <v>#VALUE!</v>
      </c>
      <c r="O14" s="3" t="e">
        <f>LOOKUP(J14, Researchers[ResearcherId], Researchers[Affiliation])</f>
        <v>#VALUE!</v>
      </c>
      <c r="P14" s="3" t="e">
        <f>LOOKUP(K14, Researchers[ResearcherId], Researchers[Name])</f>
        <v>#VALUE!</v>
      </c>
      <c r="Q14" s="3" t="e">
        <f>LOOKUP(G14, Loops[LoopId], Loops[Title])</f>
        <v>#VALUE!</v>
      </c>
      <c r="R14" s="3" t="e">
        <f>LOOKUP(G14, Loops[LoopId], Loops[CommitHash])</f>
        <v>#VALUE!</v>
      </c>
      <c r="S14" s="3" t="e">
        <f>LOOKUP(G14, Loops[LoopId], Loops[CommitShort])</f>
        <v>#VALUE!</v>
      </c>
      <c r="T14" s="3" t="e">
        <f>LOOKUP(G14, Loops[LoopId], Loops[CommitDate])</f>
        <v>#VALUE!</v>
      </c>
      <c r="U14" s="3" t="e">
        <f>LOOKUP(G14, Loops[LoopId], Loops[GitTag])</f>
        <v>#VALUE!</v>
      </c>
      <c r="V14" s="5">
        <f>COUNTIFS(InvariantChecks!Q2:Q999, A14)</f>
        <v>0</v>
      </c>
    </row>
    <row r="15">
      <c r="A15" s="2" t="s">
        <v>3054</v>
      </c>
      <c r="B15" s="3" t="str">
        <f>A15</f>
        <v>conc-14-scale-is-discovery-path</v>
      </c>
      <c r="C15" s="2" t="s">
        <v>3042</v>
      </c>
      <c r="D15" s="2" t="s">
        <v>3014</v>
      </c>
      <c r="E15" s="2" t="s">
        <v>3055</v>
      </c>
      <c r="F15" s="2" t="s">
        <v>3056</v>
      </c>
      <c r="G15" s="2" t="s">
        <v>353</v>
      </c>
      <c r="H15" s="2" t="s">
        <v>423</v>
      </c>
      <c r="I15" s="2"/>
      <c r="J15" s="2"/>
      <c r="K15" s="2"/>
      <c r="L15" s="3" t="e">
        <f>LOOKUP(I15, ResearchTraditions[TraditionId], ResearchTraditions[Name])</f>
        <v>#VALUE!</v>
      </c>
      <c r="M15" s="3" t="e">
        <f>LOOKUP(I15, ResearchTraditions[TraditionId], ResearchTraditions[KeyClaim])</f>
        <v>#VALUE!</v>
      </c>
      <c r="N15" s="3" t="e">
        <f>LOOKUP(J15, Researchers[ResearcherId], Researchers[Name])</f>
        <v>#VALUE!</v>
      </c>
      <c r="O15" s="3" t="e">
        <f>LOOKUP(J15, Researchers[ResearcherId], Researchers[Affiliation])</f>
        <v>#VALUE!</v>
      </c>
      <c r="P15" s="3" t="e">
        <f>LOOKUP(K15, Researchers[ResearcherId], Researchers[Name])</f>
        <v>#VALUE!</v>
      </c>
      <c r="Q15" s="3" t="e">
        <f>LOOKUP(G15, Loops[LoopId], Loops[Title])</f>
        <v>#VALUE!</v>
      </c>
      <c r="R15" s="3" t="e">
        <f>LOOKUP(G15, Loops[LoopId], Loops[CommitHash])</f>
        <v>#VALUE!</v>
      </c>
      <c r="S15" s="3" t="e">
        <f>LOOKUP(G15, Loops[LoopId], Loops[CommitShort])</f>
        <v>#VALUE!</v>
      </c>
      <c r="T15" s="3" t="e">
        <f>LOOKUP(G15, Loops[LoopId], Loops[CommitDate])</f>
        <v>#VALUE!</v>
      </c>
      <c r="U15" s="3" t="e">
        <f>LOOKUP(G15, Loops[LoopId], Loops[GitTag])</f>
        <v>#VALUE!</v>
      </c>
      <c r="V15" s="5">
        <f>COUNTIFS(InvariantChecks!Q2:Q999, A15)</f>
        <v>0</v>
      </c>
    </row>
    <row r="16">
      <c r="A16" s="2" t="s">
        <v>2898</v>
      </c>
      <c r="B16" s="3" t="str">
        <f>A16</f>
        <v>conc-15-latent-flip-potential</v>
      </c>
      <c r="C16" s="2" t="s">
        <v>3020</v>
      </c>
      <c r="D16" s="2" t="s">
        <v>3014</v>
      </c>
      <c r="E16" s="2" t="s">
        <v>3057</v>
      </c>
      <c r="F16" s="2" t="s">
        <v>3058</v>
      </c>
      <c r="G16" s="2" t="s">
        <v>353</v>
      </c>
      <c r="H16" s="2"/>
      <c r="I16" s="2" t="s">
        <v>23</v>
      </c>
      <c r="J16" s="2"/>
      <c r="K16" s="2"/>
      <c r="L16" s="3" t="e">
        <f>LOOKUP(I16, ResearchTraditions[TraditionId], ResearchTraditions[Name])</f>
        <v>#VALUE!</v>
      </c>
      <c r="M16" s="3" t="e">
        <f>LOOKUP(I16, ResearchTraditions[TraditionId], ResearchTraditions[KeyClaim])</f>
        <v>#VALUE!</v>
      </c>
      <c r="N16" s="3" t="e">
        <f>LOOKUP(J16, Researchers[ResearcherId], Researchers[Name])</f>
        <v>#VALUE!</v>
      </c>
      <c r="O16" s="3" t="e">
        <f>LOOKUP(J16, Researchers[ResearcherId], Researchers[Affiliation])</f>
        <v>#VALUE!</v>
      </c>
      <c r="P16" s="3" t="e">
        <f>LOOKUP(K16, Researchers[ResearcherId], Researchers[Name])</f>
        <v>#VALUE!</v>
      </c>
      <c r="Q16" s="3" t="e">
        <f>LOOKUP(G16, Loops[LoopId], Loops[Title])</f>
        <v>#VALUE!</v>
      </c>
      <c r="R16" s="3" t="e">
        <f>LOOKUP(G16, Loops[LoopId], Loops[CommitHash])</f>
        <v>#VALUE!</v>
      </c>
      <c r="S16" s="3" t="e">
        <f>LOOKUP(G16, Loops[LoopId], Loops[CommitShort])</f>
        <v>#VALUE!</v>
      </c>
      <c r="T16" s="3" t="e">
        <f>LOOKUP(G16, Loops[LoopId], Loops[CommitDate])</f>
        <v>#VALUE!</v>
      </c>
      <c r="U16" s="3" t="e">
        <f>LOOKUP(G16, Loops[LoopId], Loops[GitTag])</f>
        <v>#VALUE!</v>
      </c>
      <c r="V16" s="5">
        <f>COUNTIFS(InvariantChecks!Q2:Q999, A16)</f>
        <v>2</v>
      </c>
    </row>
    <row r="17">
      <c r="A17" s="2" t="s">
        <v>3059</v>
      </c>
      <c r="B17" s="3" t="str">
        <f>A17</f>
        <v>conc-16-small-effect-fragile</v>
      </c>
      <c r="C17" s="2" t="s">
        <v>3020</v>
      </c>
      <c r="D17" s="2" t="s">
        <v>3014</v>
      </c>
      <c r="E17" s="2" t="s">
        <v>3060</v>
      </c>
      <c r="F17" s="2" t="s">
        <v>3061</v>
      </c>
      <c r="G17" s="2" t="s">
        <v>353</v>
      </c>
      <c r="H17" s="2"/>
      <c r="I17" s="2" t="s">
        <v>51</v>
      </c>
      <c r="J17" s="2"/>
      <c r="K17" s="2"/>
      <c r="L17" s="3" t="e">
        <f>LOOKUP(I17, ResearchTraditions[TraditionId], ResearchTraditions[Name])</f>
        <v>#VALUE!</v>
      </c>
      <c r="M17" s="3" t="e">
        <f>LOOKUP(I17, ResearchTraditions[TraditionId], ResearchTraditions[KeyClaim])</f>
        <v>#VALUE!</v>
      </c>
      <c r="N17" s="3" t="e">
        <f>LOOKUP(J17, Researchers[ResearcherId], Researchers[Name])</f>
        <v>#VALUE!</v>
      </c>
      <c r="O17" s="3" t="e">
        <f>LOOKUP(J17, Researchers[ResearcherId], Researchers[Affiliation])</f>
        <v>#VALUE!</v>
      </c>
      <c r="P17" s="3" t="e">
        <f>LOOKUP(K17, Researchers[ResearcherId], Researchers[Name])</f>
        <v>#VALUE!</v>
      </c>
      <c r="Q17" s="3" t="e">
        <f>LOOKUP(G17, Loops[LoopId], Loops[Title])</f>
        <v>#VALUE!</v>
      </c>
      <c r="R17" s="3" t="e">
        <f>LOOKUP(G17, Loops[LoopId], Loops[CommitHash])</f>
        <v>#VALUE!</v>
      </c>
      <c r="S17" s="3" t="e">
        <f>LOOKUP(G17, Loops[LoopId], Loops[CommitShort])</f>
        <v>#VALUE!</v>
      </c>
      <c r="T17" s="3" t="e">
        <f>LOOKUP(G17, Loops[LoopId], Loops[CommitDate])</f>
        <v>#VALUE!</v>
      </c>
      <c r="U17" s="3" t="e">
        <f>LOOKUP(G17, Loops[LoopId], Loops[GitTag])</f>
        <v>#VALUE!</v>
      </c>
      <c r="V17" s="5">
        <f>COUNTIFS(InvariantChecks!Q2:Q999, A17)</f>
        <v>0</v>
      </c>
    </row>
    <row r="18">
      <c r="A18" s="2" t="s">
        <v>3062</v>
      </c>
      <c r="B18" s="3" t="str">
        <f>A18</f>
        <v>conc-17-economics-flip-free</v>
      </c>
      <c r="C18" s="2" t="s">
        <v>3013</v>
      </c>
      <c r="D18" s="2" t="s">
        <v>3014</v>
      </c>
      <c r="E18" s="2" t="s">
        <v>3063</v>
      </c>
      <c r="F18" s="2" t="s">
        <v>3064</v>
      </c>
      <c r="G18" s="2" t="s">
        <v>353</v>
      </c>
      <c r="H18" s="2"/>
      <c r="I18" s="2" t="s">
        <v>58</v>
      </c>
      <c r="J18" s="2"/>
      <c r="K18" s="2"/>
      <c r="L18" s="3" t="e">
        <f>LOOKUP(I18, ResearchTraditions[TraditionId], ResearchTraditions[Name])</f>
        <v>#VALUE!</v>
      </c>
      <c r="M18" s="3" t="e">
        <f>LOOKUP(I18, ResearchTraditions[TraditionId], ResearchTraditions[KeyClaim])</f>
        <v>#VALUE!</v>
      </c>
      <c r="N18" s="3" t="e">
        <f>LOOKUP(J18, Researchers[ResearcherId], Researchers[Name])</f>
        <v>#VALUE!</v>
      </c>
      <c r="O18" s="3" t="e">
        <f>LOOKUP(J18, Researchers[ResearcherId], Researchers[Affiliation])</f>
        <v>#VALUE!</v>
      </c>
      <c r="P18" s="3" t="e">
        <f>LOOKUP(K18, Researchers[ResearcherId], Researchers[Name])</f>
        <v>#VALUE!</v>
      </c>
      <c r="Q18" s="3" t="e">
        <f>LOOKUP(G18, Loops[LoopId], Loops[Title])</f>
        <v>#VALUE!</v>
      </c>
      <c r="R18" s="3" t="e">
        <f>LOOKUP(G18, Loops[LoopId], Loops[CommitHash])</f>
        <v>#VALUE!</v>
      </c>
      <c r="S18" s="3" t="e">
        <f>LOOKUP(G18, Loops[LoopId], Loops[CommitShort])</f>
        <v>#VALUE!</v>
      </c>
      <c r="T18" s="3" t="e">
        <f>LOOKUP(G18, Loops[LoopId], Loops[CommitDate])</f>
        <v>#VALUE!</v>
      </c>
      <c r="U18" s="3" t="e">
        <f>LOOKUP(G18, Loops[LoopId], Loops[GitTag])</f>
        <v>#VALUE!</v>
      </c>
      <c r="V18" s="5">
        <f>COUNTIFS(InvariantChecks!Q2:Q999, A18)</f>
        <v>0</v>
      </c>
    </row>
  </sheetData>
  <autoFilter ref="A1:V1"/>
  <headerFooter/>
  <legacyDrawing r:id="rId1"/>
</worksheet>
</file>

<file path=xl/worksheets/sheet1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N10"/>
  <sheetViews>
    <sheetView workbookViewId="0">
      <pane ySplit="1" topLeftCell="A2" state="frozen" activePane="bottomLeft"/>
      <selection pane="bottomLeft" activeCell="A1" sqref="A1"/>
    </sheetView>
  </sheetViews>
  <sheetFormatPr defaultRowHeight="15"/>
  <cols>
    <col min="1" max="1" width="27.524526596069336" customWidth="1"/>
    <col min="2" max="2" width="27.524526596069336" customWidth="1"/>
    <col min="3" max="3" width="17.92658233642578" customWidth="1"/>
    <col min="4" max="4" width="26.369037628173828" customWidth="1"/>
    <col min="5" max="5" width="19.66561508178711" customWidth="1"/>
    <col min="6" max="6" width="220.5828094482422" customWidth="1"/>
    <col min="7" max="7" width="218.51242065429688" customWidth="1"/>
    <col min="8" max="8" width="92.41504669189453" customWidth="1"/>
    <col min="9" max="9" width="22.418148040771484" customWidth="1"/>
    <col min="10" max="10" width="31.590314865112305" customWidth="1"/>
    <col min="11" max="11" width="17.443378448486328" customWidth="1"/>
    <col min="12" max="12" width="21.104618072509766" customWidth="1"/>
    <col min="13" max="13" width="22.763275146484375" customWidth="1"/>
    <col min="14" max="14" width="26.942852020263672" customWidth="1"/>
  </cols>
  <sheetData>
    <row r="1">
      <c r="A1" s="1" t="s">
        <v>3065</v>
      </c>
      <c r="B1" s="1" t="s">
        <v>1</v>
      </c>
      <c r="C1" s="1" t="s">
        <v>2</v>
      </c>
      <c r="D1" s="1" t="s">
        <v>3066</v>
      </c>
      <c r="E1" s="1" t="s">
        <v>3067</v>
      </c>
      <c r="F1" s="1" t="s">
        <v>3068</v>
      </c>
      <c r="G1" s="1" t="s">
        <v>3069</v>
      </c>
      <c r="H1" s="1" t="s">
        <v>3070</v>
      </c>
      <c r="I1" s="1" t="s">
        <v>8</v>
      </c>
      <c r="J1" s="1" t="s">
        <v>3071</v>
      </c>
      <c r="K1" s="1" t="s">
        <v>9</v>
      </c>
      <c r="L1" s="1" t="s">
        <v>10</v>
      </c>
      <c r="M1" s="1" t="s">
        <v>3072</v>
      </c>
      <c r="N1" s="1" t="s">
        <v>3073</v>
      </c>
    </row>
    <row r="2">
      <c r="A2" s="2" t="s">
        <v>3074</v>
      </c>
      <c r="B2" s="3" t="str">
        <f>A2</f>
        <v>screen-01-study-list</v>
      </c>
      <c r="C2" s="2" t="s">
        <v>3075</v>
      </c>
      <c r="D2" s="2" t="s">
        <v>3076</v>
      </c>
      <c r="E2" s="2" t="s">
        <v>3077</v>
      </c>
      <c r="F2" s="2" t="s">
        <v>3078</v>
      </c>
      <c r="G2" s="2" t="s">
        <v>3079</v>
      </c>
      <c r="H2" s="2" t="s">
        <v>3080</v>
      </c>
      <c r="I2" s="2" t="s">
        <v>23</v>
      </c>
      <c r="J2" s="2" t="s">
        <v>3026</v>
      </c>
      <c r="K2" s="3" t="e">
        <f>LOOKUP(I2, ResearchTraditions[TraditionId], ResearchTraditions[Name])</f>
        <v>#VALUE!</v>
      </c>
      <c r="L2" s="3" t="e">
        <f>LOOKUP(I2, ResearchTraditions[TraditionId], ResearchTraditions[CoreConcern])</f>
        <v>#VALUE!</v>
      </c>
      <c r="M2" s="3" t="e">
        <f>LOOKUP(J2, Conclusions[ConclusionId], Conclusions[Title])</f>
        <v>#VALUE!</v>
      </c>
      <c r="N2" s="3" t="e">
        <f>LOOKUP(J2, Conclusions[ConclusionId], Conclusions[Evidence])</f>
        <v>#VALUE!</v>
      </c>
    </row>
    <row r="3">
      <c r="A3" s="2" t="s">
        <v>3081</v>
      </c>
      <c r="B3" s="3" t="str">
        <f>A3</f>
        <v>screen-02-study-detail</v>
      </c>
      <c r="C3" s="2" t="s">
        <v>3082</v>
      </c>
      <c r="D3" s="2" t="s">
        <v>3083</v>
      </c>
      <c r="E3" s="2" t="s">
        <v>41</v>
      </c>
      <c r="F3" s="2" t="s">
        <v>3084</v>
      </c>
      <c r="G3" s="2" t="s">
        <v>3085</v>
      </c>
      <c r="H3" s="2" t="s">
        <v>3086</v>
      </c>
      <c r="I3" s="2" t="s">
        <v>23</v>
      </c>
      <c r="J3" s="2" t="s">
        <v>2761</v>
      </c>
      <c r="K3" s="3" t="e">
        <f>LOOKUP(I3, ResearchTraditions[TraditionId], ResearchTraditions[Name])</f>
        <v>#VALUE!</v>
      </c>
      <c r="L3" s="3" t="e">
        <f>LOOKUP(I3, ResearchTraditions[TraditionId], ResearchTraditions[CoreConcern])</f>
        <v>#VALUE!</v>
      </c>
      <c r="M3" s="3" t="e">
        <f>LOOKUP(J3, Conclusions[ConclusionId], Conclusions[Title])</f>
        <v>#VALUE!</v>
      </c>
      <c r="N3" s="3" t="e">
        <f>LOOKUP(J3, Conclusions[ConclusionId], Conclusions[Evidence])</f>
        <v>#VALUE!</v>
      </c>
    </row>
    <row r="4">
      <c r="A4" s="2" t="s">
        <v>3087</v>
      </c>
      <c r="B4" s="3" t="str">
        <f>A4</f>
        <v>screen-03-strata-detail</v>
      </c>
      <c r="C4" s="2" t="s">
        <v>3088</v>
      </c>
      <c r="D4" s="2" t="s">
        <v>3089</v>
      </c>
      <c r="E4" s="2" t="s">
        <v>35</v>
      </c>
      <c r="F4" s="2" t="s">
        <v>3090</v>
      </c>
      <c r="G4" s="2" t="s">
        <v>3091</v>
      </c>
      <c r="H4" s="2" t="s">
        <v>3092</v>
      </c>
      <c r="I4" s="2" t="s">
        <v>58</v>
      </c>
      <c r="J4" s="2" t="s">
        <v>2791</v>
      </c>
      <c r="K4" s="3" t="e">
        <f>LOOKUP(I4, ResearchTraditions[TraditionId], ResearchTraditions[Name])</f>
        <v>#VALUE!</v>
      </c>
      <c r="L4" s="3" t="e">
        <f>LOOKUP(I4, ResearchTraditions[TraditionId], ResearchTraditions[CoreConcern])</f>
        <v>#VALUE!</v>
      </c>
      <c r="M4" s="3" t="e">
        <f>LOOKUP(J4, Conclusions[ConclusionId], Conclusions[Title])</f>
        <v>#VALUE!</v>
      </c>
      <c r="N4" s="3" t="e">
        <f>LOOKUP(J4, Conclusions[ConclusionId], Conclusions[Evidence])</f>
        <v>#VALUE!</v>
      </c>
    </row>
    <row r="5">
      <c r="A5" s="2" t="s">
        <v>3093</v>
      </c>
      <c r="B5" s="3" t="str">
        <f>A5</f>
        <v>screen-04-confounder-panel</v>
      </c>
      <c r="C5" s="2" t="s">
        <v>3094</v>
      </c>
      <c r="D5" s="2" t="s">
        <v>3095</v>
      </c>
      <c r="E5" s="2" t="s">
        <v>3096</v>
      </c>
      <c r="F5" s="2" t="s">
        <v>3097</v>
      </c>
      <c r="G5" s="2" t="s">
        <v>3098</v>
      </c>
      <c r="H5" s="2" t="s">
        <v>3099</v>
      </c>
      <c r="I5" s="2" t="s">
        <v>51</v>
      </c>
      <c r="J5" s="2" t="s">
        <v>2842</v>
      </c>
      <c r="K5" s="3" t="e">
        <f>LOOKUP(I5, ResearchTraditions[TraditionId], ResearchTraditions[Name])</f>
        <v>#VALUE!</v>
      </c>
      <c r="L5" s="3" t="e">
        <f>LOOKUP(I5, ResearchTraditions[TraditionId], ResearchTraditions[CoreConcern])</f>
        <v>#VALUE!</v>
      </c>
      <c r="M5" s="3" t="e">
        <f>LOOKUP(J5, Conclusions[ConclusionId], Conclusions[Title])</f>
        <v>#VALUE!</v>
      </c>
      <c r="N5" s="3" t="e">
        <f>LOOKUP(J5, Conclusions[ConclusionId], Conclusions[Evidence])</f>
        <v>#VALUE!</v>
      </c>
    </row>
    <row r="6">
      <c r="A6" s="2" t="s">
        <v>3100</v>
      </c>
      <c r="B6" s="3" t="str">
        <f>A6</f>
        <v>screen-05-distortion-plane</v>
      </c>
      <c r="C6" s="2" t="s">
        <v>3101</v>
      </c>
      <c r="D6" s="2" t="s">
        <v>3102</v>
      </c>
      <c r="E6" s="2" t="s">
        <v>41</v>
      </c>
      <c r="F6" s="2" t="s">
        <v>3103</v>
      </c>
      <c r="G6" s="2" t="s">
        <v>3104</v>
      </c>
      <c r="H6" s="2" t="s">
        <v>3105</v>
      </c>
      <c r="I6" s="2" t="s">
        <v>23</v>
      </c>
      <c r="J6" s="2" t="s">
        <v>2777</v>
      </c>
      <c r="K6" s="3" t="e">
        <f>LOOKUP(I6, ResearchTraditions[TraditionId], ResearchTraditions[Name])</f>
        <v>#VALUE!</v>
      </c>
      <c r="L6" s="3" t="e">
        <f>LOOKUP(I6, ResearchTraditions[TraditionId], ResearchTraditions[CoreConcern])</f>
        <v>#VALUE!</v>
      </c>
      <c r="M6" s="3" t="e">
        <f>LOOKUP(J6, Conclusions[ConclusionId], Conclusions[Title])</f>
        <v>#VALUE!</v>
      </c>
      <c r="N6" s="3" t="e">
        <f>LOOKUP(J6, Conclusions[ConclusionId], Conclusions[Evidence])</f>
        <v>#VALUE!</v>
      </c>
    </row>
    <row r="7">
      <c r="A7" s="2" t="s">
        <v>3106</v>
      </c>
      <c r="B7" s="3" t="str">
        <f>A7</f>
        <v>screen-06-model-summary</v>
      </c>
      <c r="C7" s="2" t="s">
        <v>3107</v>
      </c>
      <c r="D7" s="2" t="s">
        <v>3108</v>
      </c>
      <c r="E7" s="2" t="s">
        <v>2896</v>
      </c>
      <c r="F7" s="2" t="s">
        <v>3109</v>
      </c>
      <c r="G7" s="2" t="s">
        <v>3110</v>
      </c>
      <c r="H7" s="2" t="s">
        <v>3111</v>
      </c>
      <c r="I7" s="2" t="s">
        <v>23</v>
      </c>
      <c r="J7" s="2" t="s">
        <v>3032</v>
      </c>
      <c r="K7" s="3" t="e">
        <f>LOOKUP(I7, ResearchTraditions[TraditionId], ResearchTraditions[Name])</f>
        <v>#VALUE!</v>
      </c>
      <c r="L7" s="3" t="e">
        <f>LOOKUP(I7, ResearchTraditions[TraditionId], ResearchTraditions[CoreConcern])</f>
        <v>#VALUE!</v>
      </c>
      <c r="M7" s="3" t="e">
        <f>LOOKUP(J7, Conclusions[ConclusionId], Conclusions[Title])</f>
        <v>#VALUE!</v>
      </c>
      <c r="N7" s="3" t="e">
        <f>LOOKUP(J7, Conclusions[ConclusionId], Conclusions[Evidence])</f>
        <v>#VALUE!</v>
      </c>
    </row>
    <row r="8">
      <c r="A8" s="2" t="s">
        <v>3112</v>
      </c>
      <c r="B8" s="3" t="str">
        <f>A8</f>
        <v>screen-07-loop-history</v>
      </c>
      <c r="C8" s="2" t="s">
        <v>3113</v>
      </c>
      <c r="D8" s="2" t="s">
        <v>3114</v>
      </c>
      <c r="E8" s="2" t="s">
        <v>3115</v>
      </c>
      <c r="F8" s="2" t="s">
        <v>3116</v>
      </c>
      <c r="G8" s="2" t="s">
        <v>3117</v>
      </c>
      <c r="H8" s="2" t="s">
        <v>3118</v>
      </c>
      <c r="I8" s="2" t="s">
        <v>23</v>
      </c>
      <c r="J8" s="2" t="s">
        <v>3041</v>
      </c>
      <c r="K8" s="3" t="e">
        <f>LOOKUP(I8, ResearchTraditions[TraditionId], ResearchTraditions[Name])</f>
        <v>#VALUE!</v>
      </c>
      <c r="L8" s="3" t="e">
        <f>LOOKUP(I8, ResearchTraditions[TraditionId], ResearchTraditions[CoreConcern])</f>
        <v>#VALUE!</v>
      </c>
      <c r="M8" s="3" t="e">
        <f>LOOKUP(J8, Conclusions[ConclusionId], Conclusions[Title])</f>
        <v>#VALUE!</v>
      </c>
      <c r="N8" s="3" t="e">
        <f>LOOKUP(J8, Conclusions[ConclusionId], Conclusions[Evidence])</f>
        <v>#VALUE!</v>
      </c>
    </row>
    <row r="9">
      <c r="A9" s="2" t="s">
        <v>3119</v>
      </c>
      <c r="B9" s="3" t="str">
        <f>A9</f>
        <v>screen-08-methodology</v>
      </c>
      <c r="C9" s="2" t="s">
        <v>3120</v>
      </c>
      <c r="D9" s="2" t="s">
        <v>3121</v>
      </c>
      <c r="E9" s="2" t="s">
        <v>3120</v>
      </c>
      <c r="F9" s="2" t="s">
        <v>3122</v>
      </c>
      <c r="G9" s="2" t="s">
        <v>3123</v>
      </c>
      <c r="H9" s="2" t="s">
        <v>3124</v>
      </c>
      <c r="I9" s="2" t="s">
        <v>51</v>
      </c>
      <c r="J9" s="2" t="s">
        <v>3041</v>
      </c>
      <c r="K9" s="3" t="e">
        <f>LOOKUP(I9, ResearchTraditions[TraditionId], ResearchTraditions[Name])</f>
        <v>#VALUE!</v>
      </c>
      <c r="L9" s="3" t="e">
        <f>LOOKUP(I9, ResearchTraditions[TraditionId], ResearchTraditions[CoreConcern])</f>
        <v>#VALUE!</v>
      </c>
      <c r="M9" s="3" t="e">
        <f>LOOKUP(J9, Conclusions[ConclusionId], Conclusions[Title])</f>
        <v>#VALUE!</v>
      </c>
      <c r="N9" s="3" t="e">
        <f>LOOKUP(J9, Conclusions[ConclusionId], Conclusions[Evidence])</f>
        <v>#VALUE!</v>
      </c>
    </row>
    <row r="10">
      <c r="A10" s="2" t="s">
        <v>3125</v>
      </c>
      <c r="B10" s="3" t="str">
        <f>A10</f>
        <v>screen-09-conclusions</v>
      </c>
      <c r="C10" s="2" t="s">
        <v>3126</v>
      </c>
      <c r="D10" s="2" t="s">
        <v>3127</v>
      </c>
      <c r="E10" s="2" t="s">
        <v>3126</v>
      </c>
      <c r="F10" s="2" t="s">
        <v>3128</v>
      </c>
      <c r="G10" s="2" t="s">
        <v>3129</v>
      </c>
      <c r="H10" s="2" t="s">
        <v>3130</v>
      </c>
      <c r="I10" s="2" t="s">
        <v>23</v>
      </c>
      <c r="J10" s="2" t="s">
        <v>3041</v>
      </c>
      <c r="K10" s="3" t="e">
        <f>LOOKUP(I10, ResearchTraditions[TraditionId], ResearchTraditions[Name])</f>
        <v>#VALUE!</v>
      </c>
      <c r="L10" s="3" t="e">
        <f>LOOKUP(I10, ResearchTraditions[TraditionId], ResearchTraditions[CoreConcern])</f>
        <v>#VALUE!</v>
      </c>
      <c r="M10" s="3" t="e">
        <f>LOOKUP(J10, Conclusions[ConclusionId], Conclusions[Title])</f>
        <v>#VALUE!</v>
      </c>
      <c r="N10" s="3" t="e">
        <f>LOOKUP(J10, Conclusions[ConclusionId], Conclusions[Evidence])</f>
        <v>#VALUE!</v>
      </c>
    </row>
  </sheetData>
  <autoFilter ref="A1:N1"/>
  <headerFooter/>
  <legacyDrawing r:id="rId1"/>
</worksheet>
</file>

<file path=xl/worksheets/sheet1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11"/>
  <sheetViews>
    <sheetView workbookViewId="0">
      <pane ySplit="1" topLeftCell="A2" state="frozen" activePane="bottomLeft"/>
      <selection pane="bottomLeft" activeCell="A1" sqref="A1"/>
    </sheetView>
  </sheetViews>
  <sheetFormatPr defaultRowHeight="15"/>
  <cols>
    <col min="1" max="1" width="35.22745132446289" customWidth="1"/>
    <col min="2" max="2" width="35.22745132446289" customWidth="1"/>
    <col min="3" max="3" width="25.093002319335938" customWidth="1"/>
    <col min="4" max="4" width="68.4106674194336" customWidth="1"/>
    <col min="5" max="5" width="19.66561508178711" customWidth="1"/>
    <col min="6" max="6" width="256" customWidth="1"/>
    <col min="7" max="7" width="107.80302429199219" customWidth="1"/>
    <col min="8" max="8" width="186.04783630371094" customWidth="1"/>
  </cols>
  <sheetData>
    <row r="1">
      <c r="A1" s="1" t="s">
        <v>3131</v>
      </c>
      <c r="B1" s="1" t="s">
        <v>1</v>
      </c>
      <c r="C1" s="1" t="s">
        <v>3132</v>
      </c>
      <c r="D1" s="1" t="s">
        <v>3133</v>
      </c>
      <c r="E1" s="1" t="s">
        <v>3067</v>
      </c>
      <c r="F1" s="1" t="s">
        <v>788</v>
      </c>
      <c r="G1" s="1" t="s">
        <v>3134</v>
      </c>
      <c r="H1" s="1" t="s">
        <v>3135</v>
      </c>
    </row>
    <row r="2">
      <c r="A2" s="2" t="s">
        <v>3136</v>
      </c>
      <c r="B2" s="3" t="str">
        <f>A2</f>
        <v>comp-01-distortion-badge</v>
      </c>
      <c r="C2" s="2" t="s">
        <v>3137</v>
      </c>
      <c r="D2" s="2" t="s">
        <v>3138</v>
      </c>
      <c r="E2" s="2" t="s">
        <v>41</v>
      </c>
      <c r="F2" s="2" t="s">
        <v>3139</v>
      </c>
      <c r="G2" s="2" t="s">
        <v>3140</v>
      </c>
      <c r="H2" s="2" t="s">
        <v>3141</v>
      </c>
    </row>
    <row r="3">
      <c r="A3" s="2" t="s">
        <v>3142</v>
      </c>
      <c r="B3" s="3" t="str">
        <f>A3</f>
        <v>comp-02-rate-comparison-bar</v>
      </c>
      <c r="C3" s="2" t="s">
        <v>3143</v>
      </c>
      <c r="D3" s="2" t="s">
        <v>3144</v>
      </c>
      <c r="E3" s="2" t="s">
        <v>41</v>
      </c>
      <c r="F3" s="2" t="s">
        <v>3145</v>
      </c>
      <c r="G3" s="2" t="s">
        <v>3146</v>
      </c>
      <c r="H3" s="2" t="s">
        <v>3147</v>
      </c>
    </row>
    <row r="4">
      <c r="A4" s="2" t="s">
        <v>3148</v>
      </c>
      <c r="B4" s="3" t="str">
        <f>A4</f>
        <v>comp-03-allocation-heatmap</v>
      </c>
      <c r="C4" s="2" t="s">
        <v>3149</v>
      </c>
      <c r="D4" s="2" t="s">
        <v>3087</v>
      </c>
      <c r="E4" s="2" t="s">
        <v>35</v>
      </c>
      <c r="F4" s="2" t="s">
        <v>3150</v>
      </c>
      <c r="G4" s="2" t="s">
        <v>3151</v>
      </c>
      <c r="H4" s="2" t="s">
        <v>3152</v>
      </c>
    </row>
    <row r="5">
      <c r="A5" s="2" t="s">
        <v>3153</v>
      </c>
      <c r="B5" s="3" t="str">
        <f>A5</f>
        <v>comp-04-distortion-plane-scatter</v>
      </c>
      <c r="C5" s="2" t="s">
        <v>3154</v>
      </c>
      <c r="D5" s="2" t="s">
        <v>3100</v>
      </c>
      <c r="E5" s="2" t="s">
        <v>41</v>
      </c>
      <c r="F5" s="2" t="s">
        <v>3155</v>
      </c>
      <c r="G5" s="2" t="s">
        <v>3156</v>
      </c>
      <c r="H5" s="2" t="s">
        <v>3157</v>
      </c>
    </row>
    <row r="6">
      <c r="A6" s="2" t="s">
        <v>3158</v>
      </c>
      <c r="B6" s="3" t="str">
        <f>A6</f>
        <v>comp-05-stratum-gap-waterfall</v>
      </c>
      <c r="C6" s="2" t="s">
        <v>3159</v>
      </c>
      <c r="D6" s="2" t="s">
        <v>3087</v>
      </c>
      <c r="E6" s="2" t="s">
        <v>35</v>
      </c>
      <c r="F6" s="2" t="s">
        <v>3160</v>
      </c>
      <c r="G6" s="2" t="s">
        <v>3161</v>
      </c>
      <c r="H6" s="2" t="s">
        <v>3162</v>
      </c>
    </row>
    <row r="7">
      <c r="A7" s="2" t="s">
        <v>3163</v>
      </c>
      <c r="B7" s="3" t="str">
        <f>A7</f>
        <v>comp-06-model-summary-scorecard</v>
      </c>
      <c r="C7" s="2" t="s">
        <v>3164</v>
      </c>
      <c r="D7" s="2" t="s">
        <v>3106</v>
      </c>
      <c r="E7" s="2" t="s">
        <v>2896</v>
      </c>
      <c r="F7" s="2" t="s">
        <v>3165</v>
      </c>
      <c r="G7" s="2" t="s">
        <v>3166</v>
      </c>
      <c r="H7" s="2" t="s">
        <v>3167</v>
      </c>
    </row>
    <row r="8">
      <c r="A8" s="2" t="s">
        <v>3168</v>
      </c>
      <c r="B8" s="3" t="str">
        <f>A8</f>
        <v>comp-07-confounder-card</v>
      </c>
      <c r="C8" s="2" t="s">
        <v>3169</v>
      </c>
      <c r="D8" s="2" t="s">
        <v>3093</v>
      </c>
      <c r="E8" s="2" t="s">
        <v>3096</v>
      </c>
      <c r="F8" s="2" t="s">
        <v>3170</v>
      </c>
      <c r="G8" s="2" t="s">
        <v>3098</v>
      </c>
      <c r="H8" s="2" t="s">
        <v>3171</v>
      </c>
    </row>
    <row r="9">
      <c r="A9" s="2" t="s">
        <v>3172</v>
      </c>
      <c r="B9" s="3" t="str">
        <f>A9</f>
        <v>comp-08-loop-timeline</v>
      </c>
      <c r="C9" s="2" t="s">
        <v>3173</v>
      </c>
      <c r="D9" s="2" t="s">
        <v>3112</v>
      </c>
      <c r="E9" s="2" t="s">
        <v>3115</v>
      </c>
      <c r="F9" s="2" t="s">
        <v>3174</v>
      </c>
      <c r="G9" s="2" t="s">
        <v>3117</v>
      </c>
      <c r="H9" s="2" t="s">
        <v>3175</v>
      </c>
    </row>
    <row r="10">
      <c r="A10" s="2" t="s">
        <v>3176</v>
      </c>
      <c r="B10" s="3" t="str">
        <f>A10</f>
        <v>comp-09-policy-action-banner</v>
      </c>
      <c r="C10" s="2" t="s">
        <v>3177</v>
      </c>
      <c r="D10" s="2" t="s">
        <v>3081</v>
      </c>
      <c r="E10" s="2" t="s">
        <v>41</v>
      </c>
      <c r="F10" s="2" t="s">
        <v>3178</v>
      </c>
      <c r="G10" s="2" t="s">
        <v>3179</v>
      </c>
      <c r="H10" s="2" t="s">
        <v>3180</v>
      </c>
    </row>
    <row r="11">
      <c r="A11" s="2" t="s">
        <v>3181</v>
      </c>
      <c r="B11" s="3" t="str">
        <f>A11</f>
        <v>comp-10-conclusion-list</v>
      </c>
      <c r="C11" s="2" t="s">
        <v>3182</v>
      </c>
      <c r="D11" s="2" t="s">
        <v>3125</v>
      </c>
      <c r="E11" s="2" t="s">
        <v>3126</v>
      </c>
      <c r="F11" s="2" t="s">
        <v>3183</v>
      </c>
      <c r="G11" s="2" t="s">
        <v>3129</v>
      </c>
      <c r="H11" s="2" t="s">
        <v>3184</v>
      </c>
    </row>
  </sheetData>
  <autoFilter ref="A1:H1"/>
  <headerFooter/>
  <legacyDrawing r:id="rId1"/>
</worksheet>
</file>

<file path=xl/worksheets/sheet1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21"/>
  <sheetViews>
    <sheetView workbookViewId="0">
      <pane ySplit="1" topLeftCell="A2" state="frozen" activePane="bottomLeft"/>
      <selection pane="bottomLeft" activeCell="A1" sqref="A1"/>
    </sheetView>
  </sheetViews>
  <sheetFormatPr defaultRowHeight="15"/>
  <cols>
    <col min="1" max="1" width="29.192455291748047" customWidth="1"/>
    <col min="2" max="2" width="29.192455291748047" customWidth="1"/>
    <col min="3" max="3" width="20.846744537353516" customWidth="1"/>
    <col min="4" max="4" width="25.315351486206055" customWidth="1"/>
    <col min="5" max="5" width="17.443378448486328" customWidth="1"/>
    <col min="6" max="6" width="19.66561508178711" customWidth="1"/>
    <col min="7" max="7" width="161.86715698242188" customWidth="1"/>
    <col min="8" max="8" width="256" customWidth="1"/>
    <col min="9" max="9" width="131.56089782714844" customWidth="1"/>
  </cols>
  <sheetData>
    <row r="1">
      <c r="A1" s="1" t="s">
        <v>3185</v>
      </c>
      <c r="B1" s="1" t="s">
        <v>1</v>
      </c>
      <c r="C1" s="1" t="s">
        <v>3186</v>
      </c>
      <c r="D1" s="1" t="s">
        <v>3187</v>
      </c>
      <c r="E1" s="1" t="s">
        <v>3188</v>
      </c>
      <c r="F1" s="1" t="s">
        <v>2740</v>
      </c>
      <c r="G1" s="1" t="s">
        <v>3189</v>
      </c>
      <c r="H1" s="1" t="s">
        <v>2739</v>
      </c>
      <c r="I1" s="1" t="s">
        <v>3190</v>
      </c>
    </row>
    <row r="2">
      <c r="A2" s="2" t="s">
        <v>3191</v>
      </c>
      <c r="B2" s="3" t="str">
        <f>A2</f>
        <v>input-study</v>
      </c>
      <c r="C2" s="2" t="s">
        <v>3192</v>
      </c>
      <c r="D2" s="2" t="s">
        <v>786</v>
      </c>
      <c r="E2" s="2" t="s">
        <v>2912</v>
      </c>
      <c r="F2" s="2" t="s">
        <v>3193</v>
      </c>
      <c r="G2" s="2" t="s">
        <v>423</v>
      </c>
      <c r="H2" s="2" t="s">
        <v>3194</v>
      </c>
      <c r="I2" s="2" t="s">
        <v>3195</v>
      </c>
    </row>
    <row r="3">
      <c r="A3" s="2" t="s">
        <v>3196</v>
      </c>
      <c r="B3" s="3" t="str">
        <f>A3</f>
        <v>input-stratum</v>
      </c>
      <c r="C3" s="2" t="s">
        <v>3192</v>
      </c>
      <c r="D3" s="2" t="s">
        <v>1150</v>
      </c>
      <c r="E3" s="2" t="s">
        <v>2912</v>
      </c>
      <c r="F3" s="2" t="s">
        <v>3193</v>
      </c>
      <c r="G3" s="2" t="s">
        <v>423</v>
      </c>
      <c r="H3" s="2" t="s">
        <v>3197</v>
      </c>
      <c r="I3" s="2" t="s">
        <v>3198</v>
      </c>
    </row>
    <row r="4">
      <c r="A4" s="2" t="s">
        <v>3199</v>
      </c>
      <c r="B4" s="3" t="str">
        <f>A4</f>
        <v>input-treatment</v>
      </c>
      <c r="C4" s="2" t="s">
        <v>3192</v>
      </c>
      <c r="D4" s="2" t="s">
        <v>787</v>
      </c>
      <c r="E4" s="2" t="s">
        <v>2912</v>
      </c>
      <c r="F4" s="2" t="s">
        <v>3193</v>
      </c>
      <c r="G4" s="2" t="s">
        <v>423</v>
      </c>
      <c r="H4" s="2" t="s">
        <v>3200</v>
      </c>
      <c r="I4" s="2" t="s">
        <v>3201</v>
      </c>
    </row>
    <row r="5">
      <c r="A5" s="2" t="s">
        <v>3202</v>
      </c>
      <c r="B5" s="3" t="str">
        <f>A5</f>
        <v>input-successes</v>
      </c>
      <c r="C5" s="2" t="s">
        <v>3192</v>
      </c>
      <c r="D5" s="2" t="s">
        <v>1773</v>
      </c>
      <c r="E5" s="2" t="s">
        <v>3203</v>
      </c>
      <c r="F5" s="2" t="s">
        <v>3193</v>
      </c>
      <c r="G5" s="2" t="s">
        <v>423</v>
      </c>
      <c r="H5" s="2" t="s">
        <v>3204</v>
      </c>
      <c r="I5" s="2" t="s">
        <v>3205</v>
      </c>
    </row>
    <row r="6">
      <c r="A6" s="2" t="s">
        <v>3206</v>
      </c>
      <c r="B6" s="3" t="str">
        <f>A6</f>
        <v>input-cases</v>
      </c>
      <c r="C6" s="2" t="s">
        <v>3192</v>
      </c>
      <c r="D6" s="2" t="s">
        <v>1774</v>
      </c>
      <c r="E6" s="2" t="s">
        <v>3203</v>
      </c>
      <c r="F6" s="2" t="s">
        <v>3193</v>
      </c>
      <c r="G6" s="2" t="s">
        <v>423</v>
      </c>
      <c r="H6" s="2" t="s">
        <v>3207</v>
      </c>
      <c r="I6" s="2" t="s">
        <v>3208</v>
      </c>
    </row>
    <row r="7">
      <c r="A7" s="2" t="s">
        <v>3209</v>
      </c>
      <c r="B7" s="3" t="str">
        <f>A7</f>
        <v>derived-stratum-rate</v>
      </c>
      <c r="C7" s="2" t="s">
        <v>3210</v>
      </c>
      <c r="D7" s="2" t="s">
        <v>1775</v>
      </c>
      <c r="E7" s="2" t="s">
        <v>3211</v>
      </c>
      <c r="F7" s="2" t="s">
        <v>3193</v>
      </c>
      <c r="G7" s="2" t="s">
        <v>3212</v>
      </c>
      <c r="H7" s="2" t="s">
        <v>3213</v>
      </c>
      <c r="I7" s="2" t="s">
        <v>3214</v>
      </c>
    </row>
    <row r="8">
      <c r="A8" s="2" t="s">
        <v>3215</v>
      </c>
      <c r="B8" s="3" t="str">
        <f>A8</f>
        <v>derived-pooled-rate-a</v>
      </c>
      <c r="C8" s="2" t="s">
        <v>3210</v>
      </c>
      <c r="D8" s="2" t="s">
        <v>2585</v>
      </c>
      <c r="E8" s="2" t="s">
        <v>3211</v>
      </c>
      <c r="F8" s="2" t="s">
        <v>41</v>
      </c>
      <c r="G8" s="2" t="s">
        <v>3216</v>
      </c>
      <c r="H8" s="2" t="s">
        <v>3217</v>
      </c>
      <c r="I8" s="2" t="s">
        <v>3218</v>
      </c>
    </row>
    <row r="9">
      <c r="A9" s="2" t="s">
        <v>3219</v>
      </c>
      <c r="B9" s="3" t="str">
        <f>A9</f>
        <v>derived-pooled-rate-b</v>
      </c>
      <c r="C9" s="2" t="s">
        <v>3210</v>
      </c>
      <c r="D9" s="2" t="s">
        <v>2588</v>
      </c>
      <c r="E9" s="2" t="s">
        <v>3211</v>
      </c>
      <c r="F9" s="2" t="s">
        <v>41</v>
      </c>
      <c r="G9" s="2" t="s">
        <v>3220</v>
      </c>
      <c r="H9" s="2" t="s">
        <v>3221</v>
      </c>
      <c r="I9" s="2" t="s">
        <v>3222</v>
      </c>
    </row>
    <row r="10">
      <c r="A10" s="2" t="s">
        <v>3223</v>
      </c>
      <c r="B10" s="3" t="str">
        <f>A10</f>
        <v>derived-signed-pooled-gap</v>
      </c>
      <c r="C10" s="2" t="s">
        <v>3210</v>
      </c>
      <c r="D10" s="2" t="s">
        <v>2604</v>
      </c>
      <c r="E10" s="2" t="s">
        <v>3211</v>
      </c>
      <c r="F10" s="2" t="s">
        <v>41</v>
      </c>
      <c r="G10" s="2" t="s">
        <v>3224</v>
      </c>
      <c r="H10" s="2" t="s">
        <v>3225</v>
      </c>
      <c r="I10" s="2" t="s">
        <v>3226</v>
      </c>
    </row>
    <row r="11">
      <c r="A11" s="2" t="s">
        <v>3227</v>
      </c>
      <c r="B11" s="3" t="str">
        <f>A11</f>
        <v>derived-alloc-fraction-a</v>
      </c>
      <c r="C11" s="2" t="s">
        <v>3210</v>
      </c>
      <c r="D11" s="2" t="s">
        <v>2224</v>
      </c>
      <c r="E11" s="2" t="s">
        <v>3211</v>
      </c>
      <c r="F11" s="2" t="s">
        <v>35</v>
      </c>
      <c r="G11" s="2" t="s">
        <v>3228</v>
      </c>
      <c r="H11" s="2" t="s">
        <v>3229</v>
      </c>
      <c r="I11" s="2" t="s">
        <v>3230</v>
      </c>
    </row>
    <row r="12">
      <c r="A12" s="2" t="s">
        <v>3231</v>
      </c>
      <c r="B12" s="3" t="str">
        <f>A12</f>
        <v>derived-stratum-gap</v>
      </c>
      <c r="C12" s="2" t="s">
        <v>3210</v>
      </c>
      <c r="D12" s="2" t="s">
        <v>2227</v>
      </c>
      <c r="E12" s="2" t="s">
        <v>3211</v>
      </c>
      <c r="F12" s="2" t="s">
        <v>35</v>
      </c>
      <c r="G12" s="2" t="s">
        <v>3232</v>
      </c>
      <c r="H12" s="2" t="s">
        <v>3233</v>
      </c>
      <c r="I12" s="2" t="s">
        <v>3234</v>
      </c>
    </row>
    <row r="13">
      <c r="A13" s="2" t="s">
        <v>3235</v>
      </c>
      <c r="B13" s="3" t="str">
        <f>A13</f>
        <v>derived-weighted-stratum-gap</v>
      </c>
      <c r="C13" s="2" t="s">
        <v>3210</v>
      </c>
      <c r="D13" s="2" t="s">
        <v>2228</v>
      </c>
      <c r="E13" s="2" t="s">
        <v>3211</v>
      </c>
      <c r="F13" s="2" t="s">
        <v>35</v>
      </c>
      <c r="G13" s="2" t="s">
        <v>3236</v>
      </c>
      <c r="H13" s="2" t="s">
        <v>3237</v>
      </c>
      <c r="I13" s="2" t="s">
        <v>3238</v>
      </c>
    </row>
    <row r="14">
      <c r="A14" s="2" t="s">
        <v>3239</v>
      </c>
      <c r="B14" s="3" t="str">
        <f>A14</f>
        <v>derived-wgs</v>
      </c>
      <c r="C14" s="2" t="s">
        <v>3210</v>
      </c>
      <c r="D14" s="2" t="s">
        <v>2605</v>
      </c>
      <c r="E14" s="2" t="s">
        <v>3211</v>
      </c>
      <c r="F14" s="2" t="s">
        <v>41</v>
      </c>
      <c r="G14" s="2" t="s">
        <v>3240</v>
      </c>
      <c r="H14" s="2" t="s">
        <v>3241</v>
      </c>
      <c r="I14" s="2" t="s">
        <v>3242</v>
      </c>
    </row>
    <row r="15">
      <c r="A15" s="2" t="s">
        <v>3243</v>
      </c>
      <c r="B15" s="3" t="str">
        <f>A15</f>
        <v>derived-is-sign-flip</v>
      </c>
      <c r="C15" s="2" t="s">
        <v>3210</v>
      </c>
      <c r="D15" s="2" t="s">
        <v>408</v>
      </c>
      <c r="E15" s="2" t="s">
        <v>3244</v>
      </c>
      <c r="F15" s="2" t="s">
        <v>41</v>
      </c>
      <c r="G15" s="2" t="s">
        <v>3245</v>
      </c>
      <c r="H15" s="2" t="s">
        <v>3246</v>
      </c>
      <c r="I15" s="2" t="s">
        <v>3247</v>
      </c>
    </row>
    <row r="16">
      <c r="A16" s="2" t="s">
        <v>3248</v>
      </c>
      <c r="B16" s="3" t="str">
        <f>A16</f>
        <v>derived-allocation-distortion</v>
      </c>
      <c r="C16" s="2" t="s">
        <v>3210</v>
      </c>
      <c r="D16" s="2" t="s">
        <v>406</v>
      </c>
      <c r="E16" s="2" t="s">
        <v>3211</v>
      </c>
      <c r="F16" s="2" t="s">
        <v>41</v>
      </c>
      <c r="G16" s="2" t="s">
        <v>3249</v>
      </c>
      <c r="H16" s="2" t="s">
        <v>3250</v>
      </c>
      <c r="I16" s="2" t="s">
        <v>3251</v>
      </c>
    </row>
    <row r="17">
      <c r="A17" s="2" t="s">
        <v>3252</v>
      </c>
      <c r="B17" s="3" t="str">
        <f>A17</f>
        <v>class-distortion-type</v>
      </c>
      <c r="C17" s="2" t="s">
        <v>3253</v>
      </c>
      <c r="D17" s="2" t="s">
        <v>404</v>
      </c>
      <c r="E17" s="2" t="s">
        <v>3254</v>
      </c>
      <c r="F17" s="2" t="s">
        <v>41</v>
      </c>
      <c r="G17" s="2" t="s">
        <v>3255</v>
      </c>
      <c r="H17" s="2" t="s">
        <v>3256</v>
      </c>
      <c r="I17" s="2" t="s">
        <v>3257</v>
      </c>
    </row>
    <row r="18">
      <c r="A18" s="2" t="s">
        <v>3258</v>
      </c>
      <c r="B18" s="3" t="str">
        <f>A18</f>
        <v>class-policy-implication</v>
      </c>
      <c r="C18" s="2" t="s">
        <v>3253</v>
      </c>
      <c r="D18" s="2" t="s">
        <v>405</v>
      </c>
      <c r="E18" s="2" t="s">
        <v>2912</v>
      </c>
      <c r="F18" s="2" t="s">
        <v>41</v>
      </c>
      <c r="G18" s="2" t="s">
        <v>3259</v>
      </c>
      <c r="H18" s="2" t="s">
        <v>3260</v>
      </c>
      <c r="I18" s="2" t="s">
        <v>3261</v>
      </c>
    </row>
    <row r="19">
      <c r="A19" s="2" t="s">
        <v>3262</v>
      </c>
      <c r="B19" s="3" t="str">
        <f>A19</f>
        <v>adapter-stratum-seed</v>
      </c>
      <c r="C19" s="2" t="s">
        <v>3263</v>
      </c>
      <c r="D19" s="2" t="s">
        <v>3264</v>
      </c>
      <c r="E19" s="2" t="s">
        <v>2912</v>
      </c>
      <c r="F19" s="2" t="s">
        <v>3264</v>
      </c>
      <c r="G19" s="2" t="s">
        <v>423</v>
      </c>
      <c r="H19" s="2" t="s">
        <v>3265</v>
      </c>
      <c r="I19" s="2" t="s">
        <v>3266</v>
      </c>
    </row>
    <row r="20">
      <c r="A20" s="2" t="s">
        <v>3267</v>
      </c>
      <c r="B20" s="3" t="str">
        <f>A20</f>
        <v>adapter-stratum-variable</v>
      </c>
      <c r="C20" s="2" t="s">
        <v>3263</v>
      </c>
      <c r="D20" s="2" t="s">
        <v>3096</v>
      </c>
      <c r="E20" s="2" t="s">
        <v>2912</v>
      </c>
      <c r="F20" s="2" t="s">
        <v>3096</v>
      </c>
      <c r="G20" s="2" t="s">
        <v>423</v>
      </c>
      <c r="H20" s="2" t="s">
        <v>3268</v>
      </c>
      <c r="I20" s="2" t="s">
        <v>3269</v>
      </c>
    </row>
    <row r="21">
      <c r="A21" s="2" t="s">
        <v>3270</v>
      </c>
      <c r="B21" s="3" t="str">
        <f>A21</f>
        <v>adapter-stratum-summaries</v>
      </c>
      <c r="C21" s="2" t="s">
        <v>3263</v>
      </c>
      <c r="D21" s="2" t="s">
        <v>35</v>
      </c>
      <c r="E21" s="2" t="s">
        <v>2912</v>
      </c>
      <c r="F21" s="2" t="s">
        <v>35</v>
      </c>
      <c r="G21" s="2" t="s">
        <v>423</v>
      </c>
      <c r="H21" s="2" t="s">
        <v>3271</v>
      </c>
      <c r="I21" s="2" t="s">
        <v>3272</v>
      </c>
    </row>
  </sheetData>
  <autoFilter ref="A1:I1"/>
  <headerFooter/>
  <legacyDrawing r:id="rId1"/>
</worksheet>
</file>

<file path=xl/worksheets/sheet1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S961"/>
  <sheetViews>
    <sheetView workbookViewId="0">
      <pane ySplit="1" topLeftCell="A2" state="frozen" activePane="bottomLeft"/>
      <selection pane="bottomLeft" activeCell="A1" sqref="A1"/>
    </sheetView>
  </sheetViews>
  <sheetFormatPr defaultRowHeight="15"/>
  <cols>
    <col min="1" max="1" width="38.46002197265625" customWidth="1"/>
    <col min="2" max="2" width="38.46002197265625" customWidth="1"/>
    <col min="3" max="3" width="33.19231414794922" customWidth="1"/>
    <col min="4" max="4" width="17.443378448486328" customWidth="1"/>
    <col min="5" max="5" width="17.443378448486328" customWidth="1"/>
    <col min="6" max="6" width="21.438583374023438" customWidth="1"/>
    <col min="7" max="7" width="17.443378448486328" customWidth="1"/>
    <col min="8" max="8" width="17.443378448486328" customWidth="1"/>
    <col min="9" max="9" width="17.443378448486328" customWidth="1"/>
    <col min="10" max="10" width="17.443378448486328" customWidth="1"/>
    <col min="11" max="11" width="17.443378448486328" customWidth="1"/>
    <col min="12" max="12" width="17.443378448486328" customWidth="1"/>
    <col min="13" max="13" width="17.443378448486328" customWidth="1"/>
    <col min="14" max="14" width="17.443378448486328" customWidth="1"/>
    <col min="15" max="15" width="19.67311668395996" customWidth="1"/>
    <col min="16" max="16" width="19.67311668395996" customWidth="1"/>
    <col min="17" max="17" width="18.006044387817383" customWidth="1"/>
    <col min="18" max="18" width="20.751081466674805" customWidth="1"/>
    <col min="19" max="19" width="26.677331924438477" customWidth="1"/>
  </cols>
  <sheetData>
    <row r="1">
      <c r="A1" s="1" t="s">
        <v>3273</v>
      </c>
      <c r="B1" s="1" t="s">
        <v>1</v>
      </c>
      <c r="C1" s="1" t="s">
        <v>393</v>
      </c>
      <c r="D1" s="1" t="s">
        <v>3274</v>
      </c>
      <c r="E1" s="1" t="s">
        <v>3275</v>
      </c>
      <c r="F1" s="1" t="s">
        <v>3276</v>
      </c>
      <c r="G1" s="1" t="s">
        <v>3277</v>
      </c>
      <c r="H1" s="1" t="s">
        <v>3278</v>
      </c>
      <c r="I1" s="1" t="s">
        <v>3279</v>
      </c>
      <c r="J1" s="1" t="s">
        <v>3280</v>
      </c>
      <c r="K1" s="1" t="s">
        <v>3281</v>
      </c>
      <c r="L1" s="1" t="s">
        <v>3282</v>
      </c>
      <c r="M1" s="1" t="s">
        <v>3283</v>
      </c>
      <c r="N1" s="1" t="s">
        <v>3284</v>
      </c>
      <c r="O1" s="1" t="s">
        <v>3285</v>
      </c>
      <c r="P1" s="1" t="s">
        <v>3286</v>
      </c>
      <c r="Q1" s="1" t="s">
        <v>3287</v>
      </c>
      <c r="R1" s="1" t="s">
        <v>3288</v>
      </c>
      <c r="S1" s="1" t="s">
        <v>3289</v>
      </c>
    </row>
    <row r="2">
      <c r="A2" s="2" t="s">
        <v>3290</v>
      </c>
      <c r="B2" s="3" t="str">
        <f>A2</f>
        <v>kidney-1986-f005</v>
      </c>
      <c r="C2" s="2" t="s">
        <v>414</v>
      </c>
      <c r="D2" s="2">
        <v>0.05</v>
      </c>
      <c r="E2" s="3" t="e">
        <f>ABS(D2 - LOOKUP(C2, SweepStudyConfig[StudyId], SweepStudyConfig[OriginalAllocFractionA])) &lt; 0.03</f>
        <v>#VALUE!</v>
      </c>
      <c r="F2" s="3" t="e">
        <f>LOOKUP(C2, SweepStudyConfig[StudyId], SweepStudyConfig[NSweepStratumTotal])</f>
        <v>#VALUE!</v>
      </c>
      <c r="G2" s="3" t="e">
        <f>ROUND(F2 * D2)</f>
        <v>#VALUE!</v>
      </c>
      <c r="H2" s="3" t="e">
        <f>F2 - G2</f>
        <v>#VALUE!</v>
      </c>
      <c r="I2" s="3" t="e">
        <f>LOOKUP(C2, SweepStudyConfig[StudyId], SweepStudyConfig[NFixedA])</f>
        <v>#VALUE!</v>
      </c>
      <c r="J2" s="3" t="e">
        <f>LOOKUP(C2, SweepStudyConfig[StudyId], SweepStudyConfig[NFixedB])</f>
        <v>#VALUE!</v>
      </c>
      <c r="K2" s="3" t="e">
        <f>LOOKUP(C2, SweepStudyConfig[StudyId], SweepStudyConfig[SweepRateA])</f>
        <v>#VALUE!</v>
      </c>
      <c r="L2" s="3" t="e">
        <f>LOOKUP(C2, SweepStudyConfig[StudyId], SweepStudyConfig[SweepRateB])</f>
        <v>#VALUE!</v>
      </c>
      <c r="M2" s="3" t="e">
        <f>LOOKUP(C2, SweepStudyConfig[StudyId], SweepStudyConfig[FixedRateA])</f>
        <v>#VALUE!</v>
      </c>
      <c r="N2" s="3" t="e">
        <f>LOOKUP(C2, SweepStudyConfig[StudyId], SweepStudyConfig[FixedRateB])</f>
        <v>#VALUE!</v>
      </c>
      <c r="O2" s="3" t="e">
        <f>IF(G2 + I2 = 0, "", (G2 * K2 + I2 * M2) / (G2 + I2))</f>
        <v>#VALUE!</v>
      </c>
      <c r="P2" s="3" t="e">
        <f>IF(H2 + J2 = 0, "", (H2 * L2 + J2 * N2) / (H2 + J2))</f>
        <v>#VALUE!</v>
      </c>
      <c r="Q2" s="3" t="e">
        <f>IF(O2 = "", "", O2 - P2)</f>
        <v>#VALUE!</v>
      </c>
      <c r="R2" s="3" t="e">
        <f>LOOKUP(C2, SweepStudyConfig[StudyId], SweepStudyConfig[SweepCorrectedGap])</f>
        <v>#VALUE!</v>
      </c>
      <c r="S2" s="3" t="e">
        <f>IF(Q2 = "", "", Q2 - R2)</f>
        <v>#VALUE!</v>
      </c>
    </row>
    <row r="3">
      <c r="A3" s="2" t="s">
        <v>3291</v>
      </c>
      <c r="B3" s="3" t="str">
        <f>A3</f>
        <v>kidney-1986-f015</v>
      </c>
      <c r="C3" s="2" t="s">
        <v>414</v>
      </c>
      <c r="D3" s="2">
        <v>0.15</v>
      </c>
      <c r="E3" s="3" t="e">
        <f>ABS(D3 - LOOKUP(C3, SweepStudyConfig[StudyId], SweepStudyConfig[OriginalAllocFractionA])) &lt; 0.03</f>
        <v>#VALUE!</v>
      </c>
      <c r="F3" s="3" t="e">
        <f>LOOKUP(C3, SweepStudyConfig[StudyId], SweepStudyConfig[NSweepStratumTotal])</f>
        <v>#VALUE!</v>
      </c>
      <c r="G3" s="3" t="e">
        <f>ROUND(F3 * D3)</f>
        <v>#VALUE!</v>
      </c>
      <c r="H3" s="3" t="e">
        <f>F3 - G3</f>
        <v>#VALUE!</v>
      </c>
      <c r="I3" s="3" t="e">
        <f>LOOKUP(C3, SweepStudyConfig[StudyId], SweepStudyConfig[NFixedA])</f>
        <v>#VALUE!</v>
      </c>
      <c r="J3" s="3" t="e">
        <f>LOOKUP(C3, SweepStudyConfig[StudyId], SweepStudyConfig[NFixedB])</f>
        <v>#VALUE!</v>
      </c>
      <c r="K3" s="3" t="e">
        <f>LOOKUP(C3, SweepStudyConfig[StudyId], SweepStudyConfig[SweepRateA])</f>
        <v>#VALUE!</v>
      </c>
      <c r="L3" s="3" t="e">
        <f>LOOKUP(C3, SweepStudyConfig[StudyId], SweepStudyConfig[SweepRateB])</f>
        <v>#VALUE!</v>
      </c>
      <c r="M3" s="3" t="e">
        <f>LOOKUP(C3, SweepStudyConfig[StudyId], SweepStudyConfig[FixedRateA])</f>
        <v>#VALUE!</v>
      </c>
      <c r="N3" s="3" t="e">
        <f>LOOKUP(C3, SweepStudyConfig[StudyId], SweepStudyConfig[FixedRateB])</f>
        <v>#VALUE!</v>
      </c>
      <c r="O3" s="3" t="e">
        <f>IF(G3 + I3 = 0, "", (G3 * K3 + I3 * M3) / (G3 + I3))</f>
        <v>#VALUE!</v>
      </c>
      <c r="P3" s="3" t="e">
        <f>IF(H3 + J3 = 0, "", (H3 * L3 + J3 * N3) / (H3 + J3))</f>
        <v>#VALUE!</v>
      </c>
      <c r="Q3" s="3" t="e">
        <f>IF(O3 = "", "", O3 - P3)</f>
        <v>#VALUE!</v>
      </c>
      <c r="R3" s="3" t="e">
        <f>LOOKUP(C3, SweepStudyConfig[StudyId], SweepStudyConfig[SweepCorrectedGap])</f>
        <v>#VALUE!</v>
      </c>
      <c r="S3" s="3" t="e">
        <f>IF(Q3 = "", "", Q3 - R3)</f>
        <v>#VALUE!</v>
      </c>
    </row>
    <row r="4">
      <c r="A4" s="2" t="s">
        <v>3292</v>
      </c>
      <c r="B4" s="3" t="str">
        <f>A4</f>
        <v>kidney-1986-f025</v>
      </c>
      <c r="C4" s="2" t="s">
        <v>414</v>
      </c>
      <c r="D4" s="2">
        <v>0.25</v>
      </c>
      <c r="E4" s="3" t="e">
        <f>ABS(D4 - LOOKUP(C4, SweepStudyConfig[StudyId], SweepStudyConfig[OriginalAllocFractionA])) &lt; 0.03</f>
        <v>#VALUE!</v>
      </c>
      <c r="F4" s="3" t="e">
        <f>LOOKUP(C4, SweepStudyConfig[StudyId], SweepStudyConfig[NSweepStratumTotal])</f>
        <v>#VALUE!</v>
      </c>
      <c r="G4" s="3" t="e">
        <f>ROUND(F4 * D4)</f>
        <v>#VALUE!</v>
      </c>
      <c r="H4" s="3" t="e">
        <f>F4 - G4</f>
        <v>#VALUE!</v>
      </c>
      <c r="I4" s="3" t="e">
        <f>LOOKUP(C4, SweepStudyConfig[StudyId], SweepStudyConfig[NFixedA])</f>
        <v>#VALUE!</v>
      </c>
      <c r="J4" s="3" t="e">
        <f>LOOKUP(C4, SweepStudyConfig[StudyId], SweepStudyConfig[NFixedB])</f>
        <v>#VALUE!</v>
      </c>
      <c r="K4" s="3" t="e">
        <f>LOOKUP(C4, SweepStudyConfig[StudyId], SweepStudyConfig[SweepRateA])</f>
        <v>#VALUE!</v>
      </c>
      <c r="L4" s="3" t="e">
        <f>LOOKUP(C4, SweepStudyConfig[StudyId], SweepStudyConfig[SweepRateB])</f>
        <v>#VALUE!</v>
      </c>
      <c r="M4" s="3" t="e">
        <f>LOOKUP(C4, SweepStudyConfig[StudyId], SweepStudyConfig[FixedRateA])</f>
        <v>#VALUE!</v>
      </c>
      <c r="N4" s="3" t="e">
        <f>LOOKUP(C4, SweepStudyConfig[StudyId], SweepStudyConfig[FixedRateB])</f>
        <v>#VALUE!</v>
      </c>
      <c r="O4" s="3" t="e">
        <f>IF(G4 + I4 = 0, "", (G4 * K4 + I4 * M4) / (G4 + I4))</f>
        <v>#VALUE!</v>
      </c>
      <c r="P4" s="3" t="e">
        <f>IF(H4 + J4 = 0, "", (H4 * L4 + J4 * N4) / (H4 + J4))</f>
        <v>#VALUE!</v>
      </c>
      <c r="Q4" s="3" t="e">
        <f>IF(O4 = "", "", O4 - P4)</f>
        <v>#VALUE!</v>
      </c>
      <c r="R4" s="3" t="e">
        <f>LOOKUP(C4, SweepStudyConfig[StudyId], SweepStudyConfig[SweepCorrectedGap])</f>
        <v>#VALUE!</v>
      </c>
      <c r="S4" s="3" t="e">
        <f>IF(Q4 = "", "", Q4 - R4)</f>
        <v>#VALUE!</v>
      </c>
    </row>
    <row r="5">
      <c r="A5" s="2" t="s">
        <v>3293</v>
      </c>
      <c r="B5" s="3" t="str">
        <f>A5</f>
        <v>kidney-1986-f035</v>
      </c>
      <c r="C5" s="2" t="s">
        <v>414</v>
      </c>
      <c r="D5" s="2">
        <v>0.35</v>
      </c>
      <c r="E5" s="3" t="e">
        <f>ABS(D5 - LOOKUP(C5, SweepStudyConfig[StudyId], SweepStudyConfig[OriginalAllocFractionA])) &lt; 0.03</f>
        <v>#VALUE!</v>
      </c>
      <c r="F5" s="3" t="e">
        <f>LOOKUP(C5, SweepStudyConfig[StudyId], SweepStudyConfig[NSweepStratumTotal])</f>
        <v>#VALUE!</v>
      </c>
      <c r="G5" s="3" t="e">
        <f>ROUND(F5 * D5)</f>
        <v>#VALUE!</v>
      </c>
      <c r="H5" s="3" t="e">
        <f>F5 - G5</f>
        <v>#VALUE!</v>
      </c>
      <c r="I5" s="3" t="e">
        <f>LOOKUP(C5, SweepStudyConfig[StudyId], SweepStudyConfig[NFixedA])</f>
        <v>#VALUE!</v>
      </c>
      <c r="J5" s="3" t="e">
        <f>LOOKUP(C5, SweepStudyConfig[StudyId], SweepStudyConfig[NFixedB])</f>
        <v>#VALUE!</v>
      </c>
      <c r="K5" s="3" t="e">
        <f>LOOKUP(C5, SweepStudyConfig[StudyId], SweepStudyConfig[SweepRateA])</f>
        <v>#VALUE!</v>
      </c>
      <c r="L5" s="3" t="e">
        <f>LOOKUP(C5, SweepStudyConfig[StudyId], SweepStudyConfig[SweepRateB])</f>
        <v>#VALUE!</v>
      </c>
      <c r="M5" s="3" t="e">
        <f>LOOKUP(C5, SweepStudyConfig[StudyId], SweepStudyConfig[FixedRateA])</f>
        <v>#VALUE!</v>
      </c>
      <c r="N5" s="3" t="e">
        <f>LOOKUP(C5, SweepStudyConfig[StudyId], SweepStudyConfig[FixedRateB])</f>
        <v>#VALUE!</v>
      </c>
      <c r="O5" s="3" t="e">
        <f>IF(G5 + I5 = 0, "", (G5 * K5 + I5 * M5) / (G5 + I5))</f>
        <v>#VALUE!</v>
      </c>
      <c r="P5" s="3" t="e">
        <f>IF(H5 + J5 = 0, "", (H5 * L5 + J5 * N5) / (H5 + J5))</f>
        <v>#VALUE!</v>
      </c>
      <c r="Q5" s="3" t="e">
        <f>IF(O5 = "", "", O5 - P5)</f>
        <v>#VALUE!</v>
      </c>
      <c r="R5" s="3" t="e">
        <f>LOOKUP(C5, SweepStudyConfig[StudyId], SweepStudyConfig[SweepCorrectedGap])</f>
        <v>#VALUE!</v>
      </c>
      <c r="S5" s="3" t="e">
        <f>IF(Q5 = "", "", Q5 - R5)</f>
        <v>#VALUE!</v>
      </c>
    </row>
    <row r="6">
      <c r="A6" s="2" t="s">
        <v>3294</v>
      </c>
      <c r="B6" s="3" t="str">
        <f>A6</f>
        <v>kidney-1986-f045</v>
      </c>
      <c r="C6" s="2" t="s">
        <v>414</v>
      </c>
      <c r="D6" s="2">
        <v>0.45</v>
      </c>
      <c r="E6" s="3" t="e">
        <f>ABS(D6 - LOOKUP(C6, SweepStudyConfig[StudyId], SweepStudyConfig[OriginalAllocFractionA])) &lt; 0.03</f>
        <v>#VALUE!</v>
      </c>
      <c r="F6" s="3" t="e">
        <f>LOOKUP(C6, SweepStudyConfig[StudyId], SweepStudyConfig[NSweepStratumTotal])</f>
        <v>#VALUE!</v>
      </c>
      <c r="G6" s="3" t="e">
        <f>ROUND(F6 * D6)</f>
        <v>#VALUE!</v>
      </c>
      <c r="H6" s="3" t="e">
        <f>F6 - G6</f>
        <v>#VALUE!</v>
      </c>
      <c r="I6" s="3" t="e">
        <f>LOOKUP(C6, SweepStudyConfig[StudyId], SweepStudyConfig[NFixedA])</f>
        <v>#VALUE!</v>
      </c>
      <c r="J6" s="3" t="e">
        <f>LOOKUP(C6, SweepStudyConfig[StudyId], SweepStudyConfig[NFixedB])</f>
        <v>#VALUE!</v>
      </c>
      <c r="K6" s="3" t="e">
        <f>LOOKUP(C6, SweepStudyConfig[StudyId], SweepStudyConfig[SweepRateA])</f>
        <v>#VALUE!</v>
      </c>
      <c r="L6" s="3" t="e">
        <f>LOOKUP(C6, SweepStudyConfig[StudyId], SweepStudyConfig[SweepRateB])</f>
        <v>#VALUE!</v>
      </c>
      <c r="M6" s="3" t="e">
        <f>LOOKUP(C6, SweepStudyConfig[StudyId], SweepStudyConfig[FixedRateA])</f>
        <v>#VALUE!</v>
      </c>
      <c r="N6" s="3" t="e">
        <f>LOOKUP(C6, SweepStudyConfig[StudyId], SweepStudyConfig[FixedRateB])</f>
        <v>#VALUE!</v>
      </c>
      <c r="O6" s="3" t="e">
        <f>IF(G6 + I6 = 0, "", (G6 * K6 + I6 * M6) / (G6 + I6))</f>
        <v>#VALUE!</v>
      </c>
      <c r="P6" s="3" t="e">
        <f>IF(H6 + J6 = 0, "", (H6 * L6 + J6 * N6) / (H6 + J6))</f>
        <v>#VALUE!</v>
      </c>
      <c r="Q6" s="3" t="e">
        <f>IF(O6 = "", "", O6 - P6)</f>
        <v>#VALUE!</v>
      </c>
      <c r="R6" s="3" t="e">
        <f>LOOKUP(C6, SweepStudyConfig[StudyId], SweepStudyConfig[SweepCorrectedGap])</f>
        <v>#VALUE!</v>
      </c>
      <c r="S6" s="3" t="e">
        <f>IF(Q6 = "", "", Q6 - R6)</f>
        <v>#VALUE!</v>
      </c>
    </row>
    <row r="7">
      <c r="A7" s="2" t="s">
        <v>3295</v>
      </c>
      <c r="B7" s="3" t="str">
        <f>A7</f>
        <v>kidney-1986-f055</v>
      </c>
      <c r="C7" s="2" t="s">
        <v>414</v>
      </c>
      <c r="D7" s="2">
        <v>0.55</v>
      </c>
      <c r="E7" s="3" t="e">
        <f>ABS(D7 - LOOKUP(C7, SweepStudyConfig[StudyId], SweepStudyConfig[OriginalAllocFractionA])) &lt; 0.03</f>
        <v>#VALUE!</v>
      </c>
      <c r="F7" s="3" t="e">
        <f>LOOKUP(C7, SweepStudyConfig[StudyId], SweepStudyConfig[NSweepStratumTotal])</f>
        <v>#VALUE!</v>
      </c>
      <c r="G7" s="3" t="e">
        <f>ROUND(F7 * D7)</f>
        <v>#VALUE!</v>
      </c>
      <c r="H7" s="3" t="e">
        <f>F7 - G7</f>
        <v>#VALUE!</v>
      </c>
      <c r="I7" s="3" t="e">
        <f>LOOKUP(C7, SweepStudyConfig[StudyId], SweepStudyConfig[NFixedA])</f>
        <v>#VALUE!</v>
      </c>
      <c r="J7" s="3" t="e">
        <f>LOOKUP(C7, SweepStudyConfig[StudyId], SweepStudyConfig[NFixedB])</f>
        <v>#VALUE!</v>
      </c>
      <c r="K7" s="3" t="e">
        <f>LOOKUP(C7, SweepStudyConfig[StudyId], SweepStudyConfig[SweepRateA])</f>
        <v>#VALUE!</v>
      </c>
      <c r="L7" s="3" t="e">
        <f>LOOKUP(C7, SweepStudyConfig[StudyId], SweepStudyConfig[SweepRateB])</f>
        <v>#VALUE!</v>
      </c>
      <c r="M7" s="3" t="e">
        <f>LOOKUP(C7, SweepStudyConfig[StudyId], SweepStudyConfig[FixedRateA])</f>
        <v>#VALUE!</v>
      </c>
      <c r="N7" s="3" t="e">
        <f>LOOKUP(C7, SweepStudyConfig[StudyId], SweepStudyConfig[FixedRateB])</f>
        <v>#VALUE!</v>
      </c>
      <c r="O7" s="3" t="e">
        <f>IF(G7 + I7 = 0, "", (G7 * K7 + I7 * M7) / (G7 + I7))</f>
        <v>#VALUE!</v>
      </c>
      <c r="P7" s="3" t="e">
        <f>IF(H7 + J7 = 0, "", (H7 * L7 + J7 * N7) / (H7 + J7))</f>
        <v>#VALUE!</v>
      </c>
      <c r="Q7" s="3" t="e">
        <f>IF(O7 = "", "", O7 - P7)</f>
        <v>#VALUE!</v>
      </c>
      <c r="R7" s="3" t="e">
        <f>LOOKUP(C7, SweepStudyConfig[StudyId], SweepStudyConfig[SweepCorrectedGap])</f>
        <v>#VALUE!</v>
      </c>
      <c r="S7" s="3" t="e">
        <f>IF(Q7 = "", "", Q7 - R7)</f>
        <v>#VALUE!</v>
      </c>
    </row>
    <row r="8">
      <c r="A8" s="2" t="s">
        <v>3296</v>
      </c>
      <c r="B8" s="3" t="str">
        <f>A8</f>
        <v>kidney-1986-f065</v>
      </c>
      <c r="C8" s="2" t="s">
        <v>414</v>
      </c>
      <c r="D8" s="2">
        <v>0.65</v>
      </c>
      <c r="E8" s="3" t="e">
        <f>ABS(D8 - LOOKUP(C8, SweepStudyConfig[StudyId], SweepStudyConfig[OriginalAllocFractionA])) &lt; 0.03</f>
        <v>#VALUE!</v>
      </c>
      <c r="F8" s="3" t="e">
        <f>LOOKUP(C8, SweepStudyConfig[StudyId], SweepStudyConfig[NSweepStratumTotal])</f>
        <v>#VALUE!</v>
      </c>
      <c r="G8" s="3" t="e">
        <f>ROUND(F8 * D8)</f>
        <v>#VALUE!</v>
      </c>
      <c r="H8" s="3" t="e">
        <f>F8 - G8</f>
        <v>#VALUE!</v>
      </c>
      <c r="I8" s="3" t="e">
        <f>LOOKUP(C8, SweepStudyConfig[StudyId], SweepStudyConfig[NFixedA])</f>
        <v>#VALUE!</v>
      </c>
      <c r="J8" s="3" t="e">
        <f>LOOKUP(C8, SweepStudyConfig[StudyId], SweepStudyConfig[NFixedB])</f>
        <v>#VALUE!</v>
      </c>
      <c r="K8" s="3" t="e">
        <f>LOOKUP(C8, SweepStudyConfig[StudyId], SweepStudyConfig[SweepRateA])</f>
        <v>#VALUE!</v>
      </c>
      <c r="L8" s="3" t="e">
        <f>LOOKUP(C8, SweepStudyConfig[StudyId], SweepStudyConfig[SweepRateB])</f>
        <v>#VALUE!</v>
      </c>
      <c r="M8" s="3" t="e">
        <f>LOOKUP(C8, SweepStudyConfig[StudyId], SweepStudyConfig[FixedRateA])</f>
        <v>#VALUE!</v>
      </c>
      <c r="N8" s="3" t="e">
        <f>LOOKUP(C8, SweepStudyConfig[StudyId], SweepStudyConfig[FixedRateB])</f>
        <v>#VALUE!</v>
      </c>
      <c r="O8" s="3" t="e">
        <f>IF(G8 + I8 = 0, "", (G8 * K8 + I8 * M8) / (G8 + I8))</f>
        <v>#VALUE!</v>
      </c>
      <c r="P8" s="3" t="e">
        <f>IF(H8 + J8 = 0, "", (H8 * L8 + J8 * N8) / (H8 + J8))</f>
        <v>#VALUE!</v>
      </c>
      <c r="Q8" s="3" t="e">
        <f>IF(O8 = "", "", O8 - P8)</f>
        <v>#VALUE!</v>
      </c>
      <c r="R8" s="3" t="e">
        <f>LOOKUP(C8, SweepStudyConfig[StudyId], SweepStudyConfig[SweepCorrectedGap])</f>
        <v>#VALUE!</v>
      </c>
      <c r="S8" s="3" t="e">
        <f>IF(Q8 = "", "", Q8 - R8)</f>
        <v>#VALUE!</v>
      </c>
    </row>
    <row r="9">
      <c r="A9" s="2" t="s">
        <v>3297</v>
      </c>
      <c r="B9" s="3" t="str">
        <f>A9</f>
        <v>kidney-1986-f075</v>
      </c>
      <c r="C9" s="2" t="s">
        <v>414</v>
      </c>
      <c r="D9" s="2">
        <v>0.75</v>
      </c>
      <c r="E9" s="3" t="e">
        <f>ABS(D9 - LOOKUP(C9, SweepStudyConfig[StudyId], SweepStudyConfig[OriginalAllocFractionA])) &lt; 0.03</f>
        <v>#VALUE!</v>
      </c>
      <c r="F9" s="3" t="e">
        <f>LOOKUP(C9, SweepStudyConfig[StudyId], SweepStudyConfig[NSweepStratumTotal])</f>
        <v>#VALUE!</v>
      </c>
      <c r="G9" s="3" t="e">
        <f>ROUND(F9 * D9)</f>
        <v>#VALUE!</v>
      </c>
      <c r="H9" s="3" t="e">
        <f>F9 - G9</f>
        <v>#VALUE!</v>
      </c>
      <c r="I9" s="3" t="e">
        <f>LOOKUP(C9, SweepStudyConfig[StudyId], SweepStudyConfig[NFixedA])</f>
        <v>#VALUE!</v>
      </c>
      <c r="J9" s="3" t="e">
        <f>LOOKUP(C9, SweepStudyConfig[StudyId], SweepStudyConfig[NFixedB])</f>
        <v>#VALUE!</v>
      </c>
      <c r="K9" s="3" t="e">
        <f>LOOKUP(C9, SweepStudyConfig[StudyId], SweepStudyConfig[SweepRateA])</f>
        <v>#VALUE!</v>
      </c>
      <c r="L9" s="3" t="e">
        <f>LOOKUP(C9, SweepStudyConfig[StudyId], SweepStudyConfig[SweepRateB])</f>
        <v>#VALUE!</v>
      </c>
      <c r="M9" s="3" t="e">
        <f>LOOKUP(C9, SweepStudyConfig[StudyId], SweepStudyConfig[FixedRateA])</f>
        <v>#VALUE!</v>
      </c>
      <c r="N9" s="3" t="e">
        <f>LOOKUP(C9, SweepStudyConfig[StudyId], SweepStudyConfig[FixedRateB])</f>
        <v>#VALUE!</v>
      </c>
      <c r="O9" s="3" t="e">
        <f>IF(G9 + I9 = 0, "", (G9 * K9 + I9 * M9) / (G9 + I9))</f>
        <v>#VALUE!</v>
      </c>
      <c r="P9" s="3" t="e">
        <f>IF(H9 + J9 = 0, "", (H9 * L9 + J9 * N9) / (H9 + J9))</f>
        <v>#VALUE!</v>
      </c>
      <c r="Q9" s="3" t="e">
        <f>IF(O9 = "", "", O9 - P9)</f>
        <v>#VALUE!</v>
      </c>
      <c r="R9" s="3" t="e">
        <f>LOOKUP(C9, SweepStudyConfig[StudyId], SweepStudyConfig[SweepCorrectedGap])</f>
        <v>#VALUE!</v>
      </c>
      <c r="S9" s="3" t="e">
        <f>IF(Q9 = "", "", Q9 - R9)</f>
        <v>#VALUE!</v>
      </c>
    </row>
    <row r="10">
      <c r="A10" s="2" t="s">
        <v>3298</v>
      </c>
      <c r="B10" s="3" t="str">
        <f>A10</f>
        <v>kidney-1986-f085</v>
      </c>
      <c r="C10" s="2" t="s">
        <v>414</v>
      </c>
      <c r="D10" s="2">
        <v>0.85</v>
      </c>
      <c r="E10" s="3" t="e">
        <f>ABS(D10 - LOOKUP(C10, SweepStudyConfig[StudyId], SweepStudyConfig[OriginalAllocFractionA])) &lt; 0.03</f>
        <v>#VALUE!</v>
      </c>
      <c r="F10" s="3" t="e">
        <f>LOOKUP(C10, SweepStudyConfig[StudyId], SweepStudyConfig[NSweepStratumTotal])</f>
        <v>#VALUE!</v>
      </c>
      <c r="G10" s="3" t="e">
        <f>ROUND(F10 * D10)</f>
        <v>#VALUE!</v>
      </c>
      <c r="H10" s="3" t="e">
        <f>F10 - G10</f>
        <v>#VALUE!</v>
      </c>
      <c r="I10" s="3" t="e">
        <f>LOOKUP(C10, SweepStudyConfig[StudyId], SweepStudyConfig[NFixedA])</f>
        <v>#VALUE!</v>
      </c>
      <c r="J10" s="3" t="e">
        <f>LOOKUP(C10, SweepStudyConfig[StudyId], SweepStudyConfig[NFixedB])</f>
        <v>#VALUE!</v>
      </c>
      <c r="K10" s="3" t="e">
        <f>LOOKUP(C10, SweepStudyConfig[StudyId], SweepStudyConfig[SweepRateA])</f>
        <v>#VALUE!</v>
      </c>
      <c r="L10" s="3" t="e">
        <f>LOOKUP(C10, SweepStudyConfig[StudyId], SweepStudyConfig[SweepRateB])</f>
        <v>#VALUE!</v>
      </c>
      <c r="M10" s="3" t="e">
        <f>LOOKUP(C10, SweepStudyConfig[StudyId], SweepStudyConfig[FixedRateA])</f>
        <v>#VALUE!</v>
      </c>
      <c r="N10" s="3" t="e">
        <f>LOOKUP(C10, SweepStudyConfig[StudyId], SweepStudyConfig[FixedRateB])</f>
        <v>#VALUE!</v>
      </c>
      <c r="O10" s="3" t="e">
        <f>IF(G10 + I10 = 0, "", (G10 * K10 + I10 * M10) / (G10 + I10))</f>
        <v>#VALUE!</v>
      </c>
      <c r="P10" s="3" t="e">
        <f>IF(H10 + J10 = 0, "", (H10 * L10 + J10 * N10) / (H10 + J10))</f>
        <v>#VALUE!</v>
      </c>
      <c r="Q10" s="3" t="e">
        <f>IF(O10 = "", "", O10 - P10)</f>
        <v>#VALUE!</v>
      </c>
      <c r="R10" s="3" t="e">
        <f>LOOKUP(C10, SweepStudyConfig[StudyId], SweepStudyConfig[SweepCorrectedGap])</f>
        <v>#VALUE!</v>
      </c>
      <c r="S10" s="3" t="e">
        <f>IF(Q10 = "", "", Q10 - R10)</f>
        <v>#VALUE!</v>
      </c>
    </row>
    <row r="11">
      <c r="A11" s="2" t="s">
        <v>3299</v>
      </c>
      <c r="B11" s="3" t="str">
        <f>A11</f>
        <v>kidney-1986-f095</v>
      </c>
      <c r="C11" s="2" t="s">
        <v>414</v>
      </c>
      <c r="D11" s="2">
        <v>0.95</v>
      </c>
      <c r="E11" s="3" t="e">
        <f>ABS(D11 - LOOKUP(C11, SweepStudyConfig[StudyId], SweepStudyConfig[OriginalAllocFractionA])) &lt; 0.03</f>
        <v>#VALUE!</v>
      </c>
      <c r="F11" s="3" t="e">
        <f>LOOKUP(C11, SweepStudyConfig[StudyId], SweepStudyConfig[NSweepStratumTotal])</f>
        <v>#VALUE!</v>
      </c>
      <c r="G11" s="3" t="e">
        <f>ROUND(F11 * D11)</f>
        <v>#VALUE!</v>
      </c>
      <c r="H11" s="3" t="e">
        <f>F11 - G11</f>
        <v>#VALUE!</v>
      </c>
      <c r="I11" s="3" t="e">
        <f>LOOKUP(C11, SweepStudyConfig[StudyId], SweepStudyConfig[NFixedA])</f>
        <v>#VALUE!</v>
      </c>
      <c r="J11" s="3" t="e">
        <f>LOOKUP(C11, SweepStudyConfig[StudyId], SweepStudyConfig[NFixedB])</f>
        <v>#VALUE!</v>
      </c>
      <c r="K11" s="3" t="e">
        <f>LOOKUP(C11, SweepStudyConfig[StudyId], SweepStudyConfig[SweepRateA])</f>
        <v>#VALUE!</v>
      </c>
      <c r="L11" s="3" t="e">
        <f>LOOKUP(C11, SweepStudyConfig[StudyId], SweepStudyConfig[SweepRateB])</f>
        <v>#VALUE!</v>
      </c>
      <c r="M11" s="3" t="e">
        <f>LOOKUP(C11, SweepStudyConfig[StudyId], SweepStudyConfig[FixedRateA])</f>
        <v>#VALUE!</v>
      </c>
      <c r="N11" s="3" t="e">
        <f>LOOKUP(C11, SweepStudyConfig[StudyId], SweepStudyConfig[FixedRateB])</f>
        <v>#VALUE!</v>
      </c>
      <c r="O11" s="3" t="e">
        <f>IF(G11 + I11 = 0, "", (G11 * K11 + I11 * M11) / (G11 + I11))</f>
        <v>#VALUE!</v>
      </c>
      <c r="P11" s="3" t="e">
        <f>IF(H11 + J11 = 0, "", (H11 * L11 + J11 * N11) / (H11 + J11))</f>
        <v>#VALUE!</v>
      </c>
      <c r="Q11" s="3" t="e">
        <f>IF(O11 = "", "", O11 - P11)</f>
        <v>#VALUE!</v>
      </c>
      <c r="R11" s="3" t="e">
        <f>LOOKUP(C11, SweepStudyConfig[StudyId], SweepStudyConfig[SweepCorrectedGap])</f>
        <v>#VALUE!</v>
      </c>
      <c r="S11" s="3" t="e">
        <f>IF(Q11 = "", "", Q11 - R11)</f>
        <v>#VALUE!</v>
      </c>
    </row>
    <row r="12">
      <c r="A12" s="2" t="s">
        <v>3300</v>
      </c>
      <c r="B12" s="3" t="str">
        <f>A12</f>
        <v>balanced-synthetic-f005</v>
      </c>
      <c r="C12" s="2" t="s">
        <v>420</v>
      </c>
      <c r="D12" s="2">
        <v>0.05</v>
      </c>
      <c r="E12" s="3" t="e">
        <f>ABS(D12 - LOOKUP(C12, SweepStudyConfig[StudyId], SweepStudyConfig[OriginalAllocFractionA])) &lt; 0.03</f>
        <v>#VALUE!</v>
      </c>
      <c r="F12" s="3" t="e">
        <f>LOOKUP(C12, SweepStudyConfig[StudyId], SweepStudyConfig[NSweepStratumTotal])</f>
        <v>#VALUE!</v>
      </c>
      <c r="G12" s="3" t="e">
        <f>ROUND(F12 * D12)</f>
        <v>#VALUE!</v>
      </c>
      <c r="H12" s="3" t="e">
        <f>F12 - G12</f>
        <v>#VALUE!</v>
      </c>
      <c r="I12" s="3" t="e">
        <f>LOOKUP(C12, SweepStudyConfig[StudyId], SweepStudyConfig[NFixedA])</f>
        <v>#VALUE!</v>
      </c>
      <c r="J12" s="3" t="e">
        <f>LOOKUP(C12, SweepStudyConfig[StudyId], SweepStudyConfig[NFixedB])</f>
        <v>#VALUE!</v>
      </c>
      <c r="K12" s="3" t="e">
        <f>LOOKUP(C12, SweepStudyConfig[StudyId], SweepStudyConfig[SweepRateA])</f>
        <v>#VALUE!</v>
      </c>
      <c r="L12" s="3" t="e">
        <f>LOOKUP(C12, SweepStudyConfig[StudyId], SweepStudyConfig[SweepRateB])</f>
        <v>#VALUE!</v>
      </c>
      <c r="M12" s="3" t="e">
        <f>LOOKUP(C12, SweepStudyConfig[StudyId], SweepStudyConfig[FixedRateA])</f>
        <v>#VALUE!</v>
      </c>
      <c r="N12" s="3" t="e">
        <f>LOOKUP(C12, SweepStudyConfig[StudyId], SweepStudyConfig[FixedRateB])</f>
        <v>#VALUE!</v>
      </c>
      <c r="O12" s="3" t="e">
        <f>IF(G12 + I12 = 0, "", (G12 * K12 + I12 * M12) / (G12 + I12))</f>
        <v>#VALUE!</v>
      </c>
      <c r="P12" s="3" t="e">
        <f>IF(H12 + J12 = 0, "", (H12 * L12 + J12 * N12) / (H12 + J12))</f>
        <v>#VALUE!</v>
      </c>
      <c r="Q12" s="3" t="e">
        <f>IF(O12 = "", "", O12 - P12)</f>
        <v>#VALUE!</v>
      </c>
      <c r="R12" s="3" t="e">
        <f>LOOKUP(C12, SweepStudyConfig[StudyId], SweepStudyConfig[SweepCorrectedGap])</f>
        <v>#VALUE!</v>
      </c>
      <c r="S12" s="3" t="e">
        <f>IF(Q12 = "", "", Q12 - R12)</f>
        <v>#VALUE!</v>
      </c>
    </row>
    <row r="13">
      <c r="A13" s="2" t="s">
        <v>3301</v>
      </c>
      <c r="B13" s="3" t="str">
        <f>A13</f>
        <v>balanced-synthetic-f015</v>
      </c>
      <c r="C13" s="2" t="s">
        <v>420</v>
      </c>
      <c r="D13" s="2">
        <v>0.15</v>
      </c>
      <c r="E13" s="3" t="e">
        <f>ABS(D13 - LOOKUP(C13, SweepStudyConfig[StudyId], SweepStudyConfig[OriginalAllocFractionA])) &lt; 0.03</f>
        <v>#VALUE!</v>
      </c>
      <c r="F13" s="3" t="e">
        <f>LOOKUP(C13, SweepStudyConfig[StudyId], SweepStudyConfig[NSweepStratumTotal])</f>
        <v>#VALUE!</v>
      </c>
      <c r="G13" s="3" t="e">
        <f>ROUND(F13 * D13)</f>
        <v>#VALUE!</v>
      </c>
      <c r="H13" s="3" t="e">
        <f>F13 - G13</f>
        <v>#VALUE!</v>
      </c>
      <c r="I13" s="3" t="e">
        <f>LOOKUP(C13, SweepStudyConfig[StudyId], SweepStudyConfig[NFixedA])</f>
        <v>#VALUE!</v>
      </c>
      <c r="J13" s="3" t="e">
        <f>LOOKUP(C13, SweepStudyConfig[StudyId], SweepStudyConfig[NFixedB])</f>
        <v>#VALUE!</v>
      </c>
      <c r="K13" s="3" t="e">
        <f>LOOKUP(C13, SweepStudyConfig[StudyId], SweepStudyConfig[SweepRateA])</f>
        <v>#VALUE!</v>
      </c>
      <c r="L13" s="3" t="e">
        <f>LOOKUP(C13, SweepStudyConfig[StudyId], SweepStudyConfig[SweepRateB])</f>
        <v>#VALUE!</v>
      </c>
      <c r="M13" s="3" t="e">
        <f>LOOKUP(C13, SweepStudyConfig[StudyId], SweepStudyConfig[FixedRateA])</f>
        <v>#VALUE!</v>
      </c>
      <c r="N13" s="3" t="e">
        <f>LOOKUP(C13, SweepStudyConfig[StudyId], SweepStudyConfig[FixedRateB])</f>
        <v>#VALUE!</v>
      </c>
      <c r="O13" s="3" t="e">
        <f>IF(G13 + I13 = 0, "", (G13 * K13 + I13 * M13) / (G13 + I13))</f>
        <v>#VALUE!</v>
      </c>
      <c r="P13" s="3" t="e">
        <f>IF(H13 + J13 = 0, "", (H13 * L13 + J13 * N13) / (H13 + J13))</f>
        <v>#VALUE!</v>
      </c>
      <c r="Q13" s="3" t="e">
        <f>IF(O13 = "", "", O13 - P13)</f>
        <v>#VALUE!</v>
      </c>
      <c r="R13" s="3" t="e">
        <f>LOOKUP(C13, SweepStudyConfig[StudyId], SweepStudyConfig[SweepCorrectedGap])</f>
        <v>#VALUE!</v>
      </c>
      <c r="S13" s="3" t="e">
        <f>IF(Q13 = "", "", Q13 - R13)</f>
        <v>#VALUE!</v>
      </c>
    </row>
    <row r="14">
      <c r="A14" s="2" t="s">
        <v>3302</v>
      </c>
      <c r="B14" s="3" t="str">
        <f>A14</f>
        <v>balanced-synthetic-f025</v>
      </c>
      <c r="C14" s="2" t="s">
        <v>420</v>
      </c>
      <c r="D14" s="2">
        <v>0.25</v>
      </c>
      <c r="E14" s="3" t="e">
        <f>ABS(D14 - LOOKUP(C14, SweepStudyConfig[StudyId], SweepStudyConfig[OriginalAllocFractionA])) &lt; 0.03</f>
        <v>#VALUE!</v>
      </c>
      <c r="F14" s="3" t="e">
        <f>LOOKUP(C14, SweepStudyConfig[StudyId], SweepStudyConfig[NSweepStratumTotal])</f>
        <v>#VALUE!</v>
      </c>
      <c r="G14" s="3" t="e">
        <f>ROUND(F14 * D14)</f>
        <v>#VALUE!</v>
      </c>
      <c r="H14" s="3" t="e">
        <f>F14 - G14</f>
        <v>#VALUE!</v>
      </c>
      <c r="I14" s="3" t="e">
        <f>LOOKUP(C14, SweepStudyConfig[StudyId], SweepStudyConfig[NFixedA])</f>
        <v>#VALUE!</v>
      </c>
      <c r="J14" s="3" t="e">
        <f>LOOKUP(C14, SweepStudyConfig[StudyId], SweepStudyConfig[NFixedB])</f>
        <v>#VALUE!</v>
      </c>
      <c r="K14" s="3" t="e">
        <f>LOOKUP(C14, SweepStudyConfig[StudyId], SweepStudyConfig[SweepRateA])</f>
        <v>#VALUE!</v>
      </c>
      <c r="L14" s="3" t="e">
        <f>LOOKUP(C14, SweepStudyConfig[StudyId], SweepStudyConfig[SweepRateB])</f>
        <v>#VALUE!</v>
      </c>
      <c r="M14" s="3" t="e">
        <f>LOOKUP(C14, SweepStudyConfig[StudyId], SweepStudyConfig[FixedRateA])</f>
        <v>#VALUE!</v>
      </c>
      <c r="N14" s="3" t="e">
        <f>LOOKUP(C14, SweepStudyConfig[StudyId], SweepStudyConfig[FixedRateB])</f>
        <v>#VALUE!</v>
      </c>
      <c r="O14" s="3" t="e">
        <f>IF(G14 + I14 = 0, "", (G14 * K14 + I14 * M14) / (G14 + I14))</f>
        <v>#VALUE!</v>
      </c>
      <c r="P14" s="3" t="e">
        <f>IF(H14 + J14 = 0, "", (H14 * L14 + J14 * N14) / (H14 + J14))</f>
        <v>#VALUE!</v>
      </c>
      <c r="Q14" s="3" t="e">
        <f>IF(O14 = "", "", O14 - P14)</f>
        <v>#VALUE!</v>
      </c>
      <c r="R14" s="3" t="e">
        <f>LOOKUP(C14, SweepStudyConfig[StudyId], SweepStudyConfig[SweepCorrectedGap])</f>
        <v>#VALUE!</v>
      </c>
      <c r="S14" s="3" t="e">
        <f>IF(Q14 = "", "", Q14 - R14)</f>
        <v>#VALUE!</v>
      </c>
    </row>
    <row r="15">
      <c r="A15" s="2" t="s">
        <v>3303</v>
      </c>
      <c r="B15" s="3" t="str">
        <f>A15</f>
        <v>balanced-synthetic-f035</v>
      </c>
      <c r="C15" s="2" t="s">
        <v>420</v>
      </c>
      <c r="D15" s="2">
        <v>0.35</v>
      </c>
      <c r="E15" s="3" t="e">
        <f>ABS(D15 - LOOKUP(C15, SweepStudyConfig[StudyId], SweepStudyConfig[OriginalAllocFractionA])) &lt; 0.03</f>
        <v>#VALUE!</v>
      </c>
      <c r="F15" s="3" t="e">
        <f>LOOKUP(C15, SweepStudyConfig[StudyId], SweepStudyConfig[NSweepStratumTotal])</f>
        <v>#VALUE!</v>
      </c>
      <c r="G15" s="3" t="e">
        <f>ROUND(F15 * D15)</f>
        <v>#VALUE!</v>
      </c>
      <c r="H15" s="3" t="e">
        <f>F15 - G15</f>
        <v>#VALUE!</v>
      </c>
      <c r="I15" s="3" t="e">
        <f>LOOKUP(C15, SweepStudyConfig[StudyId], SweepStudyConfig[NFixedA])</f>
        <v>#VALUE!</v>
      </c>
      <c r="J15" s="3" t="e">
        <f>LOOKUP(C15, SweepStudyConfig[StudyId], SweepStudyConfig[NFixedB])</f>
        <v>#VALUE!</v>
      </c>
      <c r="K15" s="3" t="e">
        <f>LOOKUP(C15, SweepStudyConfig[StudyId], SweepStudyConfig[SweepRateA])</f>
        <v>#VALUE!</v>
      </c>
      <c r="L15" s="3" t="e">
        <f>LOOKUP(C15, SweepStudyConfig[StudyId], SweepStudyConfig[SweepRateB])</f>
        <v>#VALUE!</v>
      </c>
      <c r="M15" s="3" t="e">
        <f>LOOKUP(C15, SweepStudyConfig[StudyId], SweepStudyConfig[FixedRateA])</f>
        <v>#VALUE!</v>
      </c>
      <c r="N15" s="3" t="e">
        <f>LOOKUP(C15, SweepStudyConfig[StudyId], SweepStudyConfig[FixedRateB])</f>
        <v>#VALUE!</v>
      </c>
      <c r="O15" s="3" t="e">
        <f>IF(G15 + I15 = 0, "", (G15 * K15 + I15 * M15) / (G15 + I15))</f>
        <v>#VALUE!</v>
      </c>
      <c r="P15" s="3" t="e">
        <f>IF(H15 + J15 = 0, "", (H15 * L15 + J15 * N15) / (H15 + J15))</f>
        <v>#VALUE!</v>
      </c>
      <c r="Q15" s="3" t="e">
        <f>IF(O15 = "", "", O15 - P15)</f>
        <v>#VALUE!</v>
      </c>
      <c r="R15" s="3" t="e">
        <f>LOOKUP(C15, SweepStudyConfig[StudyId], SweepStudyConfig[SweepCorrectedGap])</f>
        <v>#VALUE!</v>
      </c>
      <c r="S15" s="3" t="e">
        <f>IF(Q15 = "", "", Q15 - R15)</f>
        <v>#VALUE!</v>
      </c>
    </row>
    <row r="16">
      <c r="A16" s="2" t="s">
        <v>3304</v>
      </c>
      <c r="B16" s="3" t="str">
        <f>A16</f>
        <v>balanced-synthetic-f045</v>
      </c>
      <c r="C16" s="2" t="s">
        <v>420</v>
      </c>
      <c r="D16" s="2">
        <v>0.45</v>
      </c>
      <c r="E16" s="3" t="e">
        <f>ABS(D16 - LOOKUP(C16, SweepStudyConfig[StudyId], SweepStudyConfig[OriginalAllocFractionA])) &lt; 0.03</f>
        <v>#VALUE!</v>
      </c>
      <c r="F16" s="3" t="e">
        <f>LOOKUP(C16, SweepStudyConfig[StudyId], SweepStudyConfig[NSweepStratumTotal])</f>
        <v>#VALUE!</v>
      </c>
      <c r="G16" s="3" t="e">
        <f>ROUND(F16 * D16)</f>
        <v>#VALUE!</v>
      </c>
      <c r="H16" s="3" t="e">
        <f>F16 - G16</f>
        <v>#VALUE!</v>
      </c>
      <c r="I16" s="3" t="e">
        <f>LOOKUP(C16, SweepStudyConfig[StudyId], SweepStudyConfig[NFixedA])</f>
        <v>#VALUE!</v>
      </c>
      <c r="J16" s="3" t="e">
        <f>LOOKUP(C16, SweepStudyConfig[StudyId], SweepStudyConfig[NFixedB])</f>
        <v>#VALUE!</v>
      </c>
      <c r="K16" s="3" t="e">
        <f>LOOKUP(C16, SweepStudyConfig[StudyId], SweepStudyConfig[SweepRateA])</f>
        <v>#VALUE!</v>
      </c>
      <c r="L16" s="3" t="e">
        <f>LOOKUP(C16, SweepStudyConfig[StudyId], SweepStudyConfig[SweepRateB])</f>
        <v>#VALUE!</v>
      </c>
      <c r="M16" s="3" t="e">
        <f>LOOKUP(C16, SweepStudyConfig[StudyId], SweepStudyConfig[FixedRateA])</f>
        <v>#VALUE!</v>
      </c>
      <c r="N16" s="3" t="e">
        <f>LOOKUP(C16, SweepStudyConfig[StudyId], SweepStudyConfig[FixedRateB])</f>
        <v>#VALUE!</v>
      </c>
      <c r="O16" s="3" t="e">
        <f>IF(G16 + I16 = 0, "", (G16 * K16 + I16 * M16) / (G16 + I16))</f>
        <v>#VALUE!</v>
      </c>
      <c r="P16" s="3" t="e">
        <f>IF(H16 + J16 = 0, "", (H16 * L16 + J16 * N16) / (H16 + J16))</f>
        <v>#VALUE!</v>
      </c>
      <c r="Q16" s="3" t="e">
        <f>IF(O16 = "", "", O16 - P16)</f>
        <v>#VALUE!</v>
      </c>
      <c r="R16" s="3" t="e">
        <f>LOOKUP(C16, SweepStudyConfig[StudyId], SweepStudyConfig[SweepCorrectedGap])</f>
        <v>#VALUE!</v>
      </c>
      <c r="S16" s="3" t="e">
        <f>IF(Q16 = "", "", Q16 - R16)</f>
        <v>#VALUE!</v>
      </c>
    </row>
    <row r="17">
      <c r="A17" s="2" t="s">
        <v>3305</v>
      </c>
      <c r="B17" s="3" t="str">
        <f>A17</f>
        <v>balanced-synthetic-f055</v>
      </c>
      <c r="C17" s="2" t="s">
        <v>420</v>
      </c>
      <c r="D17" s="2">
        <v>0.55</v>
      </c>
      <c r="E17" s="3" t="e">
        <f>ABS(D17 - LOOKUP(C17, SweepStudyConfig[StudyId], SweepStudyConfig[OriginalAllocFractionA])) &lt; 0.03</f>
        <v>#VALUE!</v>
      </c>
      <c r="F17" s="3" t="e">
        <f>LOOKUP(C17, SweepStudyConfig[StudyId], SweepStudyConfig[NSweepStratumTotal])</f>
        <v>#VALUE!</v>
      </c>
      <c r="G17" s="3" t="e">
        <f>ROUND(F17 * D17)</f>
        <v>#VALUE!</v>
      </c>
      <c r="H17" s="3" t="e">
        <f>F17 - G17</f>
        <v>#VALUE!</v>
      </c>
      <c r="I17" s="3" t="e">
        <f>LOOKUP(C17, SweepStudyConfig[StudyId], SweepStudyConfig[NFixedA])</f>
        <v>#VALUE!</v>
      </c>
      <c r="J17" s="3" t="e">
        <f>LOOKUP(C17, SweepStudyConfig[StudyId], SweepStudyConfig[NFixedB])</f>
        <v>#VALUE!</v>
      </c>
      <c r="K17" s="3" t="e">
        <f>LOOKUP(C17, SweepStudyConfig[StudyId], SweepStudyConfig[SweepRateA])</f>
        <v>#VALUE!</v>
      </c>
      <c r="L17" s="3" t="e">
        <f>LOOKUP(C17, SweepStudyConfig[StudyId], SweepStudyConfig[SweepRateB])</f>
        <v>#VALUE!</v>
      </c>
      <c r="M17" s="3" t="e">
        <f>LOOKUP(C17, SweepStudyConfig[StudyId], SweepStudyConfig[FixedRateA])</f>
        <v>#VALUE!</v>
      </c>
      <c r="N17" s="3" t="e">
        <f>LOOKUP(C17, SweepStudyConfig[StudyId], SweepStudyConfig[FixedRateB])</f>
        <v>#VALUE!</v>
      </c>
      <c r="O17" s="3" t="e">
        <f>IF(G17 + I17 = 0, "", (G17 * K17 + I17 * M17) / (G17 + I17))</f>
        <v>#VALUE!</v>
      </c>
      <c r="P17" s="3" t="e">
        <f>IF(H17 + J17 = 0, "", (H17 * L17 + J17 * N17) / (H17 + J17))</f>
        <v>#VALUE!</v>
      </c>
      <c r="Q17" s="3" t="e">
        <f>IF(O17 = "", "", O17 - P17)</f>
        <v>#VALUE!</v>
      </c>
      <c r="R17" s="3" t="e">
        <f>LOOKUP(C17, SweepStudyConfig[StudyId], SweepStudyConfig[SweepCorrectedGap])</f>
        <v>#VALUE!</v>
      </c>
      <c r="S17" s="3" t="e">
        <f>IF(Q17 = "", "", Q17 - R17)</f>
        <v>#VALUE!</v>
      </c>
    </row>
    <row r="18">
      <c r="A18" s="2" t="s">
        <v>3306</v>
      </c>
      <c r="B18" s="3" t="str">
        <f>A18</f>
        <v>balanced-synthetic-f065</v>
      </c>
      <c r="C18" s="2" t="s">
        <v>420</v>
      </c>
      <c r="D18" s="2">
        <v>0.65</v>
      </c>
      <c r="E18" s="3" t="e">
        <f>ABS(D18 - LOOKUP(C18, SweepStudyConfig[StudyId], SweepStudyConfig[OriginalAllocFractionA])) &lt; 0.03</f>
        <v>#VALUE!</v>
      </c>
      <c r="F18" s="3" t="e">
        <f>LOOKUP(C18, SweepStudyConfig[StudyId], SweepStudyConfig[NSweepStratumTotal])</f>
        <v>#VALUE!</v>
      </c>
      <c r="G18" s="3" t="e">
        <f>ROUND(F18 * D18)</f>
        <v>#VALUE!</v>
      </c>
      <c r="H18" s="3" t="e">
        <f>F18 - G18</f>
        <v>#VALUE!</v>
      </c>
      <c r="I18" s="3" t="e">
        <f>LOOKUP(C18, SweepStudyConfig[StudyId], SweepStudyConfig[NFixedA])</f>
        <v>#VALUE!</v>
      </c>
      <c r="J18" s="3" t="e">
        <f>LOOKUP(C18, SweepStudyConfig[StudyId], SweepStudyConfig[NFixedB])</f>
        <v>#VALUE!</v>
      </c>
      <c r="K18" s="3" t="e">
        <f>LOOKUP(C18, SweepStudyConfig[StudyId], SweepStudyConfig[SweepRateA])</f>
        <v>#VALUE!</v>
      </c>
      <c r="L18" s="3" t="e">
        <f>LOOKUP(C18, SweepStudyConfig[StudyId], SweepStudyConfig[SweepRateB])</f>
        <v>#VALUE!</v>
      </c>
      <c r="M18" s="3" t="e">
        <f>LOOKUP(C18, SweepStudyConfig[StudyId], SweepStudyConfig[FixedRateA])</f>
        <v>#VALUE!</v>
      </c>
      <c r="N18" s="3" t="e">
        <f>LOOKUP(C18, SweepStudyConfig[StudyId], SweepStudyConfig[FixedRateB])</f>
        <v>#VALUE!</v>
      </c>
      <c r="O18" s="3" t="e">
        <f>IF(G18 + I18 = 0, "", (G18 * K18 + I18 * M18) / (G18 + I18))</f>
        <v>#VALUE!</v>
      </c>
      <c r="P18" s="3" t="e">
        <f>IF(H18 + J18 = 0, "", (H18 * L18 + J18 * N18) / (H18 + J18))</f>
        <v>#VALUE!</v>
      </c>
      <c r="Q18" s="3" t="e">
        <f>IF(O18 = "", "", O18 - P18)</f>
        <v>#VALUE!</v>
      </c>
      <c r="R18" s="3" t="e">
        <f>LOOKUP(C18, SweepStudyConfig[StudyId], SweepStudyConfig[SweepCorrectedGap])</f>
        <v>#VALUE!</v>
      </c>
      <c r="S18" s="3" t="e">
        <f>IF(Q18 = "", "", Q18 - R18)</f>
        <v>#VALUE!</v>
      </c>
    </row>
    <row r="19">
      <c r="A19" s="2" t="s">
        <v>3307</v>
      </c>
      <c r="B19" s="3" t="str">
        <f>A19</f>
        <v>balanced-synthetic-f075</v>
      </c>
      <c r="C19" s="2" t="s">
        <v>420</v>
      </c>
      <c r="D19" s="2">
        <v>0.75</v>
      </c>
      <c r="E19" s="3" t="e">
        <f>ABS(D19 - LOOKUP(C19, SweepStudyConfig[StudyId], SweepStudyConfig[OriginalAllocFractionA])) &lt; 0.03</f>
        <v>#VALUE!</v>
      </c>
      <c r="F19" s="3" t="e">
        <f>LOOKUP(C19, SweepStudyConfig[StudyId], SweepStudyConfig[NSweepStratumTotal])</f>
        <v>#VALUE!</v>
      </c>
      <c r="G19" s="3" t="e">
        <f>ROUND(F19 * D19)</f>
        <v>#VALUE!</v>
      </c>
      <c r="H19" s="3" t="e">
        <f>F19 - G19</f>
        <v>#VALUE!</v>
      </c>
      <c r="I19" s="3" t="e">
        <f>LOOKUP(C19, SweepStudyConfig[StudyId], SweepStudyConfig[NFixedA])</f>
        <v>#VALUE!</v>
      </c>
      <c r="J19" s="3" t="e">
        <f>LOOKUP(C19, SweepStudyConfig[StudyId], SweepStudyConfig[NFixedB])</f>
        <v>#VALUE!</v>
      </c>
      <c r="K19" s="3" t="e">
        <f>LOOKUP(C19, SweepStudyConfig[StudyId], SweepStudyConfig[SweepRateA])</f>
        <v>#VALUE!</v>
      </c>
      <c r="L19" s="3" t="e">
        <f>LOOKUP(C19, SweepStudyConfig[StudyId], SweepStudyConfig[SweepRateB])</f>
        <v>#VALUE!</v>
      </c>
      <c r="M19" s="3" t="e">
        <f>LOOKUP(C19, SweepStudyConfig[StudyId], SweepStudyConfig[FixedRateA])</f>
        <v>#VALUE!</v>
      </c>
      <c r="N19" s="3" t="e">
        <f>LOOKUP(C19, SweepStudyConfig[StudyId], SweepStudyConfig[FixedRateB])</f>
        <v>#VALUE!</v>
      </c>
      <c r="O19" s="3" t="e">
        <f>IF(G19 + I19 = 0, "", (G19 * K19 + I19 * M19) / (G19 + I19))</f>
        <v>#VALUE!</v>
      </c>
      <c r="P19" s="3" t="e">
        <f>IF(H19 + J19 = 0, "", (H19 * L19 + J19 * N19) / (H19 + J19))</f>
        <v>#VALUE!</v>
      </c>
      <c r="Q19" s="3" t="e">
        <f>IF(O19 = "", "", O19 - P19)</f>
        <v>#VALUE!</v>
      </c>
      <c r="R19" s="3" t="e">
        <f>LOOKUP(C19, SweepStudyConfig[StudyId], SweepStudyConfig[SweepCorrectedGap])</f>
        <v>#VALUE!</v>
      </c>
      <c r="S19" s="3" t="e">
        <f>IF(Q19 = "", "", Q19 - R19)</f>
        <v>#VALUE!</v>
      </c>
    </row>
    <row r="20">
      <c r="A20" s="2" t="s">
        <v>3308</v>
      </c>
      <c r="B20" s="3" t="str">
        <f>A20</f>
        <v>balanced-synthetic-f085</v>
      </c>
      <c r="C20" s="2" t="s">
        <v>420</v>
      </c>
      <c r="D20" s="2">
        <v>0.85</v>
      </c>
      <c r="E20" s="3" t="e">
        <f>ABS(D20 - LOOKUP(C20, SweepStudyConfig[StudyId], SweepStudyConfig[OriginalAllocFractionA])) &lt; 0.03</f>
        <v>#VALUE!</v>
      </c>
      <c r="F20" s="3" t="e">
        <f>LOOKUP(C20, SweepStudyConfig[StudyId], SweepStudyConfig[NSweepStratumTotal])</f>
        <v>#VALUE!</v>
      </c>
      <c r="G20" s="3" t="e">
        <f>ROUND(F20 * D20)</f>
        <v>#VALUE!</v>
      </c>
      <c r="H20" s="3" t="e">
        <f>F20 - G20</f>
        <v>#VALUE!</v>
      </c>
      <c r="I20" s="3" t="e">
        <f>LOOKUP(C20, SweepStudyConfig[StudyId], SweepStudyConfig[NFixedA])</f>
        <v>#VALUE!</v>
      </c>
      <c r="J20" s="3" t="e">
        <f>LOOKUP(C20, SweepStudyConfig[StudyId], SweepStudyConfig[NFixedB])</f>
        <v>#VALUE!</v>
      </c>
      <c r="K20" s="3" t="e">
        <f>LOOKUP(C20, SweepStudyConfig[StudyId], SweepStudyConfig[SweepRateA])</f>
        <v>#VALUE!</v>
      </c>
      <c r="L20" s="3" t="e">
        <f>LOOKUP(C20, SweepStudyConfig[StudyId], SweepStudyConfig[SweepRateB])</f>
        <v>#VALUE!</v>
      </c>
      <c r="M20" s="3" t="e">
        <f>LOOKUP(C20, SweepStudyConfig[StudyId], SweepStudyConfig[FixedRateA])</f>
        <v>#VALUE!</v>
      </c>
      <c r="N20" s="3" t="e">
        <f>LOOKUP(C20, SweepStudyConfig[StudyId], SweepStudyConfig[FixedRateB])</f>
        <v>#VALUE!</v>
      </c>
      <c r="O20" s="3" t="e">
        <f>IF(G20 + I20 = 0, "", (G20 * K20 + I20 * M20) / (G20 + I20))</f>
        <v>#VALUE!</v>
      </c>
      <c r="P20" s="3" t="e">
        <f>IF(H20 + J20 = 0, "", (H20 * L20 + J20 * N20) / (H20 + J20))</f>
        <v>#VALUE!</v>
      </c>
      <c r="Q20" s="3" t="e">
        <f>IF(O20 = "", "", O20 - P20)</f>
        <v>#VALUE!</v>
      </c>
      <c r="R20" s="3" t="e">
        <f>LOOKUP(C20, SweepStudyConfig[StudyId], SweepStudyConfig[SweepCorrectedGap])</f>
        <v>#VALUE!</v>
      </c>
      <c r="S20" s="3" t="e">
        <f>IF(Q20 = "", "", Q20 - R20)</f>
        <v>#VALUE!</v>
      </c>
    </row>
    <row r="21">
      <c r="A21" s="2" t="s">
        <v>3309</v>
      </c>
      <c r="B21" s="3" t="str">
        <f>A21</f>
        <v>balanced-synthetic-f095</v>
      </c>
      <c r="C21" s="2" t="s">
        <v>420</v>
      </c>
      <c r="D21" s="2">
        <v>0.95</v>
      </c>
      <c r="E21" s="3" t="e">
        <f>ABS(D21 - LOOKUP(C21, SweepStudyConfig[StudyId], SweepStudyConfig[OriginalAllocFractionA])) &lt; 0.03</f>
        <v>#VALUE!</v>
      </c>
      <c r="F21" s="3" t="e">
        <f>LOOKUP(C21, SweepStudyConfig[StudyId], SweepStudyConfig[NSweepStratumTotal])</f>
        <v>#VALUE!</v>
      </c>
      <c r="G21" s="3" t="e">
        <f>ROUND(F21 * D21)</f>
        <v>#VALUE!</v>
      </c>
      <c r="H21" s="3" t="e">
        <f>F21 - G21</f>
        <v>#VALUE!</v>
      </c>
      <c r="I21" s="3" t="e">
        <f>LOOKUP(C21, SweepStudyConfig[StudyId], SweepStudyConfig[NFixedA])</f>
        <v>#VALUE!</v>
      </c>
      <c r="J21" s="3" t="e">
        <f>LOOKUP(C21, SweepStudyConfig[StudyId], SweepStudyConfig[NFixedB])</f>
        <v>#VALUE!</v>
      </c>
      <c r="K21" s="3" t="e">
        <f>LOOKUP(C21, SweepStudyConfig[StudyId], SweepStudyConfig[SweepRateA])</f>
        <v>#VALUE!</v>
      </c>
      <c r="L21" s="3" t="e">
        <f>LOOKUP(C21, SweepStudyConfig[StudyId], SweepStudyConfig[SweepRateB])</f>
        <v>#VALUE!</v>
      </c>
      <c r="M21" s="3" t="e">
        <f>LOOKUP(C21, SweepStudyConfig[StudyId], SweepStudyConfig[FixedRateA])</f>
        <v>#VALUE!</v>
      </c>
      <c r="N21" s="3" t="e">
        <f>LOOKUP(C21, SweepStudyConfig[StudyId], SweepStudyConfig[FixedRateB])</f>
        <v>#VALUE!</v>
      </c>
      <c r="O21" s="3" t="e">
        <f>IF(G21 + I21 = 0, "", (G21 * K21 + I21 * M21) / (G21 + I21))</f>
        <v>#VALUE!</v>
      </c>
      <c r="P21" s="3" t="e">
        <f>IF(H21 + J21 = 0, "", (H21 * L21 + J21 * N21) / (H21 + J21))</f>
        <v>#VALUE!</v>
      </c>
      <c r="Q21" s="3" t="e">
        <f>IF(O21 = "", "", O21 - P21)</f>
        <v>#VALUE!</v>
      </c>
      <c r="R21" s="3" t="e">
        <f>LOOKUP(C21, SweepStudyConfig[StudyId], SweepStudyConfig[SweepCorrectedGap])</f>
        <v>#VALUE!</v>
      </c>
      <c r="S21" s="3" t="e">
        <f>IF(Q21 = "", "", Q21 - R21)</f>
        <v>#VALUE!</v>
      </c>
    </row>
    <row r="22">
      <c r="A22" s="2" t="s">
        <v>3310</v>
      </c>
      <c r="B22" s="3" t="str">
        <f>A22</f>
        <v>kidney-balanced-f005</v>
      </c>
      <c r="C22" s="2" t="s">
        <v>425</v>
      </c>
      <c r="D22" s="2">
        <v>0.05</v>
      </c>
      <c r="E22" s="3" t="e">
        <f>ABS(D22 - LOOKUP(C22, SweepStudyConfig[StudyId], SweepStudyConfig[OriginalAllocFractionA])) &lt; 0.03</f>
        <v>#VALUE!</v>
      </c>
      <c r="F22" s="3" t="e">
        <f>LOOKUP(C22, SweepStudyConfig[StudyId], SweepStudyConfig[NSweepStratumTotal])</f>
        <v>#VALUE!</v>
      </c>
      <c r="G22" s="3" t="e">
        <f>ROUND(F22 * D22)</f>
        <v>#VALUE!</v>
      </c>
      <c r="H22" s="3" t="e">
        <f>F22 - G22</f>
        <v>#VALUE!</v>
      </c>
      <c r="I22" s="3" t="e">
        <f>LOOKUP(C22, SweepStudyConfig[StudyId], SweepStudyConfig[NFixedA])</f>
        <v>#VALUE!</v>
      </c>
      <c r="J22" s="3" t="e">
        <f>LOOKUP(C22, SweepStudyConfig[StudyId], SweepStudyConfig[NFixedB])</f>
        <v>#VALUE!</v>
      </c>
      <c r="K22" s="3" t="e">
        <f>LOOKUP(C22, SweepStudyConfig[StudyId], SweepStudyConfig[SweepRateA])</f>
        <v>#VALUE!</v>
      </c>
      <c r="L22" s="3" t="e">
        <f>LOOKUP(C22, SweepStudyConfig[StudyId], SweepStudyConfig[SweepRateB])</f>
        <v>#VALUE!</v>
      </c>
      <c r="M22" s="3" t="e">
        <f>LOOKUP(C22, SweepStudyConfig[StudyId], SweepStudyConfig[FixedRateA])</f>
        <v>#VALUE!</v>
      </c>
      <c r="N22" s="3" t="e">
        <f>LOOKUP(C22, SweepStudyConfig[StudyId], SweepStudyConfig[FixedRateB])</f>
        <v>#VALUE!</v>
      </c>
      <c r="O22" s="3" t="e">
        <f>IF(G22 + I22 = 0, "", (G22 * K22 + I22 * M22) / (G22 + I22))</f>
        <v>#VALUE!</v>
      </c>
      <c r="P22" s="3" t="e">
        <f>IF(H22 + J22 = 0, "", (H22 * L22 + J22 * N22) / (H22 + J22))</f>
        <v>#VALUE!</v>
      </c>
      <c r="Q22" s="3" t="e">
        <f>IF(O22 = "", "", O22 - P22)</f>
        <v>#VALUE!</v>
      </c>
      <c r="R22" s="3" t="e">
        <f>LOOKUP(C22, SweepStudyConfig[StudyId], SweepStudyConfig[SweepCorrectedGap])</f>
        <v>#VALUE!</v>
      </c>
      <c r="S22" s="3" t="e">
        <f>IF(Q22 = "", "", Q22 - R22)</f>
        <v>#VALUE!</v>
      </c>
    </row>
    <row r="23">
      <c r="A23" s="2" t="s">
        <v>3311</v>
      </c>
      <c r="B23" s="3" t="str">
        <f>A23</f>
        <v>kidney-balanced-f015</v>
      </c>
      <c r="C23" s="2" t="s">
        <v>425</v>
      </c>
      <c r="D23" s="2">
        <v>0.15</v>
      </c>
      <c r="E23" s="3" t="e">
        <f>ABS(D23 - LOOKUP(C23, SweepStudyConfig[StudyId], SweepStudyConfig[OriginalAllocFractionA])) &lt; 0.03</f>
        <v>#VALUE!</v>
      </c>
      <c r="F23" s="3" t="e">
        <f>LOOKUP(C23, SweepStudyConfig[StudyId], SweepStudyConfig[NSweepStratumTotal])</f>
        <v>#VALUE!</v>
      </c>
      <c r="G23" s="3" t="e">
        <f>ROUND(F23 * D23)</f>
        <v>#VALUE!</v>
      </c>
      <c r="H23" s="3" t="e">
        <f>F23 - G23</f>
        <v>#VALUE!</v>
      </c>
      <c r="I23" s="3" t="e">
        <f>LOOKUP(C23, SweepStudyConfig[StudyId], SweepStudyConfig[NFixedA])</f>
        <v>#VALUE!</v>
      </c>
      <c r="J23" s="3" t="e">
        <f>LOOKUP(C23, SweepStudyConfig[StudyId], SweepStudyConfig[NFixedB])</f>
        <v>#VALUE!</v>
      </c>
      <c r="K23" s="3" t="e">
        <f>LOOKUP(C23, SweepStudyConfig[StudyId], SweepStudyConfig[SweepRateA])</f>
        <v>#VALUE!</v>
      </c>
      <c r="L23" s="3" t="e">
        <f>LOOKUP(C23, SweepStudyConfig[StudyId], SweepStudyConfig[SweepRateB])</f>
        <v>#VALUE!</v>
      </c>
      <c r="M23" s="3" t="e">
        <f>LOOKUP(C23, SweepStudyConfig[StudyId], SweepStudyConfig[FixedRateA])</f>
        <v>#VALUE!</v>
      </c>
      <c r="N23" s="3" t="e">
        <f>LOOKUP(C23, SweepStudyConfig[StudyId], SweepStudyConfig[FixedRateB])</f>
        <v>#VALUE!</v>
      </c>
      <c r="O23" s="3" t="e">
        <f>IF(G23 + I23 = 0, "", (G23 * K23 + I23 * M23) / (G23 + I23))</f>
        <v>#VALUE!</v>
      </c>
      <c r="P23" s="3" t="e">
        <f>IF(H23 + J23 = 0, "", (H23 * L23 + J23 * N23) / (H23 + J23))</f>
        <v>#VALUE!</v>
      </c>
      <c r="Q23" s="3" t="e">
        <f>IF(O23 = "", "", O23 - P23)</f>
        <v>#VALUE!</v>
      </c>
      <c r="R23" s="3" t="e">
        <f>LOOKUP(C23, SweepStudyConfig[StudyId], SweepStudyConfig[SweepCorrectedGap])</f>
        <v>#VALUE!</v>
      </c>
      <c r="S23" s="3" t="e">
        <f>IF(Q23 = "", "", Q23 - R23)</f>
        <v>#VALUE!</v>
      </c>
    </row>
    <row r="24">
      <c r="A24" s="2" t="s">
        <v>3312</v>
      </c>
      <c r="B24" s="3" t="str">
        <f>A24</f>
        <v>kidney-balanced-f025</v>
      </c>
      <c r="C24" s="2" t="s">
        <v>425</v>
      </c>
      <c r="D24" s="2">
        <v>0.25</v>
      </c>
      <c r="E24" s="3" t="e">
        <f>ABS(D24 - LOOKUP(C24, SweepStudyConfig[StudyId], SweepStudyConfig[OriginalAllocFractionA])) &lt; 0.03</f>
        <v>#VALUE!</v>
      </c>
      <c r="F24" s="3" t="e">
        <f>LOOKUP(C24, SweepStudyConfig[StudyId], SweepStudyConfig[NSweepStratumTotal])</f>
        <v>#VALUE!</v>
      </c>
      <c r="G24" s="3" t="e">
        <f>ROUND(F24 * D24)</f>
        <v>#VALUE!</v>
      </c>
      <c r="H24" s="3" t="e">
        <f>F24 - G24</f>
        <v>#VALUE!</v>
      </c>
      <c r="I24" s="3" t="e">
        <f>LOOKUP(C24, SweepStudyConfig[StudyId], SweepStudyConfig[NFixedA])</f>
        <v>#VALUE!</v>
      </c>
      <c r="J24" s="3" t="e">
        <f>LOOKUP(C24, SweepStudyConfig[StudyId], SweepStudyConfig[NFixedB])</f>
        <v>#VALUE!</v>
      </c>
      <c r="K24" s="3" t="e">
        <f>LOOKUP(C24, SweepStudyConfig[StudyId], SweepStudyConfig[SweepRateA])</f>
        <v>#VALUE!</v>
      </c>
      <c r="L24" s="3" t="e">
        <f>LOOKUP(C24, SweepStudyConfig[StudyId], SweepStudyConfig[SweepRateB])</f>
        <v>#VALUE!</v>
      </c>
      <c r="M24" s="3" t="e">
        <f>LOOKUP(C24, SweepStudyConfig[StudyId], SweepStudyConfig[FixedRateA])</f>
        <v>#VALUE!</v>
      </c>
      <c r="N24" s="3" t="e">
        <f>LOOKUP(C24, SweepStudyConfig[StudyId], SweepStudyConfig[FixedRateB])</f>
        <v>#VALUE!</v>
      </c>
      <c r="O24" s="3" t="e">
        <f>IF(G24 + I24 = 0, "", (G24 * K24 + I24 * M24) / (G24 + I24))</f>
        <v>#VALUE!</v>
      </c>
      <c r="P24" s="3" t="e">
        <f>IF(H24 + J24 = 0, "", (H24 * L24 + J24 * N24) / (H24 + J24))</f>
        <v>#VALUE!</v>
      </c>
      <c r="Q24" s="3" t="e">
        <f>IF(O24 = "", "", O24 - P24)</f>
        <v>#VALUE!</v>
      </c>
      <c r="R24" s="3" t="e">
        <f>LOOKUP(C24, SweepStudyConfig[StudyId], SweepStudyConfig[SweepCorrectedGap])</f>
        <v>#VALUE!</v>
      </c>
      <c r="S24" s="3" t="e">
        <f>IF(Q24 = "", "", Q24 - R24)</f>
        <v>#VALUE!</v>
      </c>
    </row>
    <row r="25">
      <c r="A25" s="2" t="s">
        <v>3313</v>
      </c>
      <c r="B25" s="3" t="str">
        <f>A25</f>
        <v>kidney-balanced-f035</v>
      </c>
      <c r="C25" s="2" t="s">
        <v>425</v>
      </c>
      <c r="D25" s="2">
        <v>0.35</v>
      </c>
      <c r="E25" s="3" t="e">
        <f>ABS(D25 - LOOKUP(C25, SweepStudyConfig[StudyId], SweepStudyConfig[OriginalAllocFractionA])) &lt; 0.03</f>
        <v>#VALUE!</v>
      </c>
      <c r="F25" s="3" t="e">
        <f>LOOKUP(C25, SweepStudyConfig[StudyId], SweepStudyConfig[NSweepStratumTotal])</f>
        <v>#VALUE!</v>
      </c>
      <c r="G25" s="3" t="e">
        <f>ROUND(F25 * D25)</f>
        <v>#VALUE!</v>
      </c>
      <c r="H25" s="3" t="e">
        <f>F25 - G25</f>
        <v>#VALUE!</v>
      </c>
      <c r="I25" s="3" t="e">
        <f>LOOKUP(C25, SweepStudyConfig[StudyId], SweepStudyConfig[NFixedA])</f>
        <v>#VALUE!</v>
      </c>
      <c r="J25" s="3" t="e">
        <f>LOOKUP(C25, SweepStudyConfig[StudyId], SweepStudyConfig[NFixedB])</f>
        <v>#VALUE!</v>
      </c>
      <c r="K25" s="3" t="e">
        <f>LOOKUP(C25, SweepStudyConfig[StudyId], SweepStudyConfig[SweepRateA])</f>
        <v>#VALUE!</v>
      </c>
      <c r="L25" s="3" t="e">
        <f>LOOKUP(C25, SweepStudyConfig[StudyId], SweepStudyConfig[SweepRateB])</f>
        <v>#VALUE!</v>
      </c>
      <c r="M25" s="3" t="e">
        <f>LOOKUP(C25, SweepStudyConfig[StudyId], SweepStudyConfig[FixedRateA])</f>
        <v>#VALUE!</v>
      </c>
      <c r="N25" s="3" t="e">
        <f>LOOKUP(C25, SweepStudyConfig[StudyId], SweepStudyConfig[FixedRateB])</f>
        <v>#VALUE!</v>
      </c>
      <c r="O25" s="3" t="e">
        <f>IF(G25 + I25 = 0, "", (G25 * K25 + I25 * M25) / (G25 + I25))</f>
        <v>#VALUE!</v>
      </c>
      <c r="P25" s="3" t="e">
        <f>IF(H25 + J25 = 0, "", (H25 * L25 + J25 * N25) / (H25 + J25))</f>
        <v>#VALUE!</v>
      </c>
      <c r="Q25" s="3" t="e">
        <f>IF(O25 = "", "", O25 - P25)</f>
        <v>#VALUE!</v>
      </c>
      <c r="R25" s="3" t="e">
        <f>LOOKUP(C25, SweepStudyConfig[StudyId], SweepStudyConfig[SweepCorrectedGap])</f>
        <v>#VALUE!</v>
      </c>
      <c r="S25" s="3" t="e">
        <f>IF(Q25 = "", "", Q25 - R25)</f>
        <v>#VALUE!</v>
      </c>
    </row>
    <row r="26">
      <c r="A26" s="2" t="s">
        <v>3314</v>
      </c>
      <c r="B26" s="3" t="str">
        <f>A26</f>
        <v>kidney-balanced-f045</v>
      </c>
      <c r="C26" s="2" t="s">
        <v>425</v>
      </c>
      <c r="D26" s="2">
        <v>0.45</v>
      </c>
      <c r="E26" s="3" t="e">
        <f>ABS(D26 - LOOKUP(C26, SweepStudyConfig[StudyId], SweepStudyConfig[OriginalAllocFractionA])) &lt; 0.03</f>
        <v>#VALUE!</v>
      </c>
      <c r="F26" s="3" t="e">
        <f>LOOKUP(C26, SweepStudyConfig[StudyId], SweepStudyConfig[NSweepStratumTotal])</f>
        <v>#VALUE!</v>
      </c>
      <c r="G26" s="3" t="e">
        <f>ROUND(F26 * D26)</f>
        <v>#VALUE!</v>
      </c>
      <c r="H26" s="3" t="e">
        <f>F26 - G26</f>
        <v>#VALUE!</v>
      </c>
      <c r="I26" s="3" t="e">
        <f>LOOKUP(C26, SweepStudyConfig[StudyId], SweepStudyConfig[NFixedA])</f>
        <v>#VALUE!</v>
      </c>
      <c r="J26" s="3" t="e">
        <f>LOOKUP(C26, SweepStudyConfig[StudyId], SweepStudyConfig[NFixedB])</f>
        <v>#VALUE!</v>
      </c>
      <c r="K26" s="3" t="e">
        <f>LOOKUP(C26, SweepStudyConfig[StudyId], SweepStudyConfig[SweepRateA])</f>
        <v>#VALUE!</v>
      </c>
      <c r="L26" s="3" t="e">
        <f>LOOKUP(C26, SweepStudyConfig[StudyId], SweepStudyConfig[SweepRateB])</f>
        <v>#VALUE!</v>
      </c>
      <c r="M26" s="3" t="e">
        <f>LOOKUP(C26, SweepStudyConfig[StudyId], SweepStudyConfig[FixedRateA])</f>
        <v>#VALUE!</v>
      </c>
      <c r="N26" s="3" t="e">
        <f>LOOKUP(C26, SweepStudyConfig[StudyId], SweepStudyConfig[FixedRateB])</f>
        <v>#VALUE!</v>
      </c>
      <c r="O26" s="3" t="e">
        <f>IF(G26 + I26 = 0, "", (G26 * K26 + I26 * M26) / (G26 + I26))</f>
        <v>#VALUE!</v>
      </c>
      <c r="P26" s="3" t="e">
        <f>IF(H26 + J26 = 0, "", (H26 * L26 + J26 * N26) / (H26 + J26))</f>
        <v>#VALUE!</v>
      </c>
      <c r="Q26" s="3" t="e">
        <f>IF(O26 = "", "", O26 - P26)</f>
        <v>#VALUE!</v>
      </c>
      <c r="R26" s="3" t="e">
        <f>LOOKUP(C26, SweepStudyConfig[StudyId], SweepStudyConfig[SweepCorrectedGap])</f>
        <v>#VALUE!</v>
      </c>
      <c r="S26" s="3" t="e">
        <f>IF(Q26 = "", "", Q26 - R26)</f>
        <v>#VALUE!</v>
      </c>
    </row>
    <row r="27">
      <c r="A27" s="2" t="s">
        <v>3315</v>
      </c>
      <c r="B27" s="3" t="str">
        <f>A27</f>
        <v>kidney-balanced-f055</v>
      </c>
      <c r="C27" s="2" t="s">
        <v>425</v>
      </c>
      <c r="D27" s="2">
        <v>0.55</v>
      </c>
      <c r="E27" s="3" t="e">
        <f>ABS(D27 - LOOKUP(C27, SweepStudyConfig[StudyId], SweepStudyConfig[OriginalAllocFractionA])) &lt; 0.03</f>
        <v>#VALUE!</v>
      </c>
      <c r="F27" s="3" t="e">
        <f>LOOKUP(C27, SweepStudyConfig[StudyId], SweepStudyConfig[NSweepStratumTotal])</f>
        <v>#VALUE!</v>
      </c>
      <c r="G27" s="3" t="e">
        <f>ROUND(F27 * D27)</f>
        <v>#VALUE!</v>
      </c>
      <c r="H27" s="3" t="e">
        <f>F27 - G27</f>
        <v>#VALUE!</v>
      </c>
      <c r="I27" s="3" t="e">
        <f>LOOKUP(C27, SweepStudyConfig[StudyId], SweepStudyConfig[NFixedA])</f>
        <v>#VALUE!</v>
      </c>
      <c r="J27" s="3" t="e">
        <f>LOOKUP(C27, SweepStudyConfig[StudyId], SweepStudyConfig[NFixedB])</f>
        <v>#VALUE!</v>
      </c>
      <c r="K27" s="3" t="e">
        <f>LOOKUP(C27, SweepStudyConfig[StudyId], SweepStudyConfig[SweepRateA])</f>
        <v>#VALUE!</v>
      </c>
      <c r="L27" s="3" t="e">
        <f>LOOKUP(C27, SweepStudyConfig[StudyId], SweepStudyConfig[SweepRateB])</f>
        <v>#VALUE!</v>
      </c>
      <c r="M27" s="3" t="e">
        <f>LOOKUP(C27, SweepStudyConfig[StudyId], SweepStudyConfig[FixedRateA])</f>
        <v>#VALUE!</v>
      </c>
      <c r="N27" s="3" t="e">
        <f>LOOKUP(C27, SweepStudyConfig[StudyId], SweepStudyConfig[FixedRateB])</f>
        <v>#VALUE!</v>
      </c>
      <c r="O27" s="3" t="e">
        <f>IF(G27 + I27 = 0, "", (G27 * K27 + I27 * M27) / (G27 + I27))</f>
        <v>#VALUE!</v>
      </c>
      <c r="P27" s="3" t="e">
        <f>IF(H27 + J27 = 0, "", (H27 * L27 + J27 * N27) / (H27 + J27))</f>
        <v>#VALUE!</v>
      </c>
      <c r="Q27" s="3" t="e">
        <f>IF(O27 = "", "", O27 - P27)</f>
        <v>#VALUE!</v>
      </c>
      <c r="R27" s="3" t="e">
        <f>LOOKUP(C27, SweepStudyConfig[StudyId], SweepStudyConfig[SweepCorrectedGap])</f>
        <v>#VALUE!</v>
      </c>
      <c r="S27" s="3" t="e">
        <f>IF(Q27 = "", "", Q27 - R27)</f>
        <v>#VALUE!</v>
      </c>
    </row>
    <row r="28">
      <c r="A28" s="2" t="s">
        <v>3316</v>
      </c>
      <c r="B28" s="3" t="str">
        <f>A28</f>
        <v>kidney-balanced-f065</v>
      </c>
      <c r="C28" s="2" t="s">
        <v>425</v>
      </c>
      <c r="D28" s="2">
        <v>0.65</v>
      </c>
      <c r="E28" s="3" t="e">
        <f>ABS(D28 - LOOKUP(C28, SweepStudyConfig[StudyId], SweepStudyConfig[OriginalAllocFractionA])) &lt; 0.03</f>
        <v>#VALUE!</v>
      </c>
      <c r="F28" s="3" t="e">
        <f>LOOKUP(C28, SweepStudyConfig[StudyId], SweepStudyConfig[NSweepStratumTotal])</f>
        <v>#VALUE!</v>
      </c>
      <c r="G28" s="3" t="e">
        <f>ROUND(F28 * D28)</f>
        <v>#VALUE!</v>
      </c>
      <c r="H28" s="3" t="e">
        <f>F28 - G28</f>
        <v>#VALUE!</v>
      </c>
      <c r="I28" s="3" t="e">
        <f>LOOKUP(C28, SweepStudyConfig[StudyId], SweepStudyConfig[NFixedA])</f>
        <v>#VALUE!</v>
      </c>
      <c r="J28" s="3" t="e">
        <f>LOOKUP(C28, SweepStudyConfig[StudyId], SweepStudyConfig[NFixedB])</f>
        <v>#VALUE!</v>
      </c>
      <c r="K28" s="3" t="e">
        <f>LOOKUP(C28, SweepStudyConfig[StudyId], SweepStudyConfig[SweepRateA])</f>
        <v>#VALUE!</v>
      </c>
      <c r="L28" s="3" t="e">
        <f>LOOKUP(C28, SweepStudyConfig[StudyId], SweepStudyConfig[SweepRateB])</f>
        <v>#VALUE!</v>
      </c>
      <c r="M28" s="3" t="e">
        <f>LOOKUP(C28, SweepStudyConfig[StudyId], SweepStudyConfig[FixedRateA])</f>
        <v>#VALUE!</v>
      </c>
      <c r="N28" s="3" t="e">
        <f>LOOKUP(C28, SweepStudyConfig[StudyId], SweepStudyConfig[FixedRateB])</f>
        <v>#VALUE!</v>
      </c>
      <c r="O28" s="3" t="e">
        <f>IF(G28 + I28 = 0, "", (G28 * K28 + I28 * M28) / (G28 + I28))</f>
        <v>#VALUE!</v>
      </c>
      <c r="P28" s="3" t="e">
        <f>IF(H28 + J28 = 0, "", (H28 * L28 + J28 * N28) / (H28 + J28))</f>
        <v>#VALUE!</v>
      </c>
      <c r="Q28" s="3" t="e">
        <f>IF(O28 = "", "", O28 - P28)</f>
        <v>#VALUE!</v>
      </c>
      <c r="R28" s="3" t="e">
        <f>LOOKUP(C28, SweepStudyConfig[StudyId], SweepStudyConfig[SweepCorrectedGap])</f>
        <v>#VALUE!</v>
      </c>
      <c r="S28" s="3" t="e">
        <f>IF(Q28 = "", "", Q28 - R28)</f>
        <v>#VALUE!</v>
      </c>
    </row>
    <row r="29">
      <c r="A29" s="2" t="s">
        <v>3317</v>
      </c>
      <c r="B29" s="3" t="str">
        <f>A29</f>
        <v>kidney-balanced-f075</v>
      </c>
      <c r="C29" s="2" t="s">
        <v>425</v>
      </c>
      <c r="D29" s="2">
        <v>0.75</v>
      </c>
      <c r="E29" s="3" t="e">
        <f>ABS(D29 - LOOKUP(C29, SweepStudyConfig[StudyId], SweepStudyConfig[OriginalAllocFractionA])) &lt; 0.03</f>
        <v>#VALUE!</v>
      </c>
      <c r="F29" s="3" t="e">
        <f>LOOKUP(C29, SweepStudyConfig[StudyId], SweepStudyConfig[NSweepStratumTotal])</f>
        <v>#VALUE!</v>
      </c>
      <c r="G29" s="3" t="e">
        <f>ROUND(F29 * D29)</f>
        <v>#VALUE!</v>
      </c>
      <c r="H29" s="3" t="e">
        <f>F29 - G29</f>
        <v>#VALUE!</v>
      </c>
      <c r="I29" s="3" t="e">
        <f>LOOKUP(C29, SweepStudyConfig[StudyId], SweepStudyConfig[NFixedA])</f>
        <v>#VALUE!</v>
      </c>
      <c r="J29" s="3" t="e">
        <f>LOOKUP(C29, SweepStudyConfig[StudyId], SweepStudyConfig[NFixedB])</f>
        <v>#VALUE!</v>
      </c>
      <c r="K29" s="3" t="e">
        <f>LOOKUP(C29, SweepStudyConfig[StudyId], SweepStudyConfig[SweepRateA])</f>
        <v>#VALUE!</v>
      </c>
      <c r="L29" s="3" t="e">
        <f>LOOKUP(C29, SweepStudyConfig[StudyId], SweepStudyConfig[SweepRateB])</f>
        <v>#VALUE!</v>
      </c>
      <c r="M29" s="3" t="e">
        <f>LOOKUP(C29, SweepStudyConfig[StudyId], SweepStudyConfig[FixedRateA])</f>
        <v>#VALUE!</v>
      </c>
      <c r="N29" s="3" t="e">
        <f>LOOKUP(C29, SweepStudyConfig[StudyId], SweepStudyConfig[FixedRateB])</f>
        <v>#VALUE!</v>
      </c>
      <c r="O29" s="3" t="e">
        <f>IF(G29 + I29 = 0, "", (G29 * K29 + I29 * M29) / (G29 + I29))</f>
        <v>#VALUE!</v>
      </c>
      <c r="P29" s="3" t="e">
        <f>IF(H29 + J29 = 0, "", (H29 * L29 + J29 * N29) / (H29 + J29))</f>
        <v>#VALUE!</v>
      </c>
      <c r="Q29" s="3" t="e">
        <f>IF(O29 = "", "", O29 - P29)</f>
        <v>#VALUE!</v>
      </c>
      <c r="R29" s="3" t="e">
        <f>LOOKUP(C29, SweepStudyConfig[StudyId], SweepStudyConfig[SweepCorrectedGap])</f>
        <v>#VALUE!</v>
      </c>
      <c r="S29" s="3" t="e">
        <f>IF(Q29 = "", "", Q29 - R29)</f>
        <v>#VALUE!</v>
      </c>
    </row>
    <row r="30">
      <c r="A30" s="2" t="s">
        <v>3318</v>
      </c>
      <c r="B30" s="3" t="str">
        <f>A30</f>
        <v>kidney-balanced-f085</v>
      </c>
      <c r="C30" s="2" t="s">
        <v>425</v>
      </c>
      <c r="D30" s="2">
        <v>0.85</v>
      </c>
      <c r="E30" s="3" t="e">
        <f>ABS(D30 - LOOKUP(C30, SweepStudyConfig[StudyId], SweepStudyConfig[OriginalAllocFractionA])) &lt; 0.03</f>
        <v>#VALUE!</v>
      </c>
      <c r="F30" s="3" t="e">
        <f>LOOKUP(C30, SweepStudyConfig[StudyId], SweepStudyConfig[NSweepStratumTotal])</f>
        <v>#VALUE!</v>
      </c>
      <c r="G30" s="3" t="e">
        <f>ROUND(F30 * D30)</f>
        <v>#VALUE!</v>
      </c>
      <c r="H30" s="3" t="e">
        <f>F30 - G30</f>
        <v>#VALUE!</v>
      </c>
      <c r="I30" s="3" t="e">
        <f>LOOKUP(C30, SweepStudyConfig[StudyId], SweepStudyConfig[NFixedA])</f>
        <v>#VALUE!</v>
      </c>
      <c r="J30" s="3" t="e">
        <f>LOOKUP(C30, SweepStudyConfig[StudyId], SweepStudyConfig[NFixedB])</f>
        <v>#VALUE!</v>
      </c>
      <c r="K30" s="3" t="e">
        <f>LOOKUP(C30, SweepStudyConfig[StudyId], SweepStudyConfig[SweepRateA])</f>
        <v>#VALUE!</v>
      </c>
      <c r="L30" s="3" t="e">
        <f>LOOKUP(C30, SweepStudyConfig[StudyId], SweepStudyConfig[SweepRateB])</f>
        <v>#VALUE!</v>
      </c>
      <c r="M30" s="3" t="e">
        <f>LOOKUP(C30, SweepStudyConfig[StudyId], SweepStudyConfig[FixedRateA])</f>
        <v>#VALUE!</v>
      </c>
      <c r="N30" s="3" t="e">
        <f>LOOKUP(C30, SweepStudyConfig[StudyId], SweepStudyConfig[FixedRateB])</f>
        <v>#VALUE!</v>
      </c>
      <c r="O30" s="3" t="e">
        <f>IF(G30 + I30 = 0, "", (G30 * K30 + I30 * M30) / (G30 + I30))</f>
        <v>#VALUE!</v>
      </c>
      <c r="P30" s="3" t="e">
        <f>IF(H30 + J30 = 0, "", (H30 * L30 + J30 * N30) / (H30 + J30))</f>
        <v>#VALUE!</v>
      </c>
      <c r="Q30" s="3" t="e">
        <f>IF(O30 = "", "", O30 - P30)</f>
        <v>#VALUE!</v>
      </c>
      <c r="R30" s="3" t="e">
        <f>LOOKUP(C30, SweepStudyConfig[StudyId], SweepStudyConfig[SweepCorrectedGap])</f>
        <v>#VALUE!</v>
      </c>
      <c r="S30" s="3" t="e">
        <f>IF(Q30 = "", "", Q30 - R30)</f>
        <v>#VALUE!</v>
      </c>
    </row>
    <row r="31">
      <c r="A31" s="2" t="s">
        <v>3319</v>
      </c>
      <c r="B31" s="3" t="str">
        <f>A31</f>
        <v>kidney-balanced-f095</v>
      </c>
      <c r="C31" s="2" t="s">
        <v>425</v>
      </c>
      <c r="D31" s="2">
        <v>0.95</v>
      </c>
      <c r="E31" s="3" t="e">
        <f>ABS(D31 - LOOKUP(C31, SweepStudyConfig[StudyId], SweepStudyConfig[OriginalAllocFractionA])) &lt; 0.03</f>
        <v>#VALUE!</v>
      </c>
      <c r="F31" s="3" t="e">
        <f>LOOKUP(C31, SweepStudyConfig[StudyId], SweepStudyConfig[NSweepStratumTotal])</f>
        <v>#VALUE!</v>
      </c>
      <c r="G31" s="3" t="e">
        <f>ROUND(F31 * D31)</f>
        <v>#VALUE!</v>
      </c>
      <c r="H31" s="3" t="e">
        <f>F31 - G31</f>
        <v>#VALUE!</v>
      </c>
      <c r="I31" s="3" t="e">
        <f>LOOKUP(C31, SweepStudyConfig[StudyId], SweepStudyConfig[NFixedA])</f>
        <v>#VALUE!</v>
      </c>
      <c r="J31" s="3" t="e">
        <f>LOOKUP(C31, SweepStudyConfig[StudyId], SweepStudyConfig[NFixedB])</f>
        <v>#VALUE!</v>
      </c>
      <c r="K31" s="3" t="e">
        <f>LOOKUP(C31, SweepStudyConfig[StudyId], SweepStudyConfig[SweepRateA])</f>
        <v>#VALUE!</v>
      </c>
      <c r="L31" s="3" t="e">
        <f>LOOKUP(C31, SweepStudyConfig[StudyId], SweepStudyConfig[SweepRateB])</f>
        <v>#VALUE!</v>
      </c>
      <c r="M31" s="3" t="e">
        <f>LOOKUP(C31, SweepStudyConfig[StudyId], SweepStudyConfig[FixedRateA])</f>
        <v>#VALUE!</v>
      </c>
      <c r="N31" s="3" t="e">
        <f>LOOKUP(C31, SweepStudyConfig[StudyId], SweepStudyConfig[FixedRateB])</f>
        <v>#VALUE!</v>
      </c>
      <c r="O31" s="3" t="e">
        <f>IF(G31 + I31 = 0, "", (G31 * K31 + I31 * M31) / (G31 + I31))</f>
        <v>#VALUE!</v>
      </c>
      <c r="P31" s="3" t="e">
        <f>IF(H31 + J31 = 0, "", (H31 * L31 + J31 * N31) / (H31 + J31))</f>
        <v>#VALUE!</v>
      </c>
      <c r="Q31" s="3" t="e">
        <f>IF(O31 = "", "", O31 - P31)</f>
        <v>#VALUE!</v>
      </c>
      <c r="R31" s="3" t="e">
        <f>LOOKUP(C31, SweepStudyConfig[StudyId], SweepStudyConfig[SweepCorrectedGap])</f>
        <v>#VALUE!</v>
      </c>
      <c r="S31" s="3" t="e">
        <f>IF(Q31 = "", "", Q31 - R31)</f>
        <v>#VALUE!</v>
      </c>
    </row>
    <row r="32">
      <c r="A32" s="2" t="s">
        <v>3320</v>
      </c>
      <c r="B32" s="3" t="str">
        <f>A32</f>
        <v>berkeley-1973-f005</v>
      </c>
      <c r="C32" s="2" t="s">
        <v>428</v>
      </c>
      <c r="D32" s="2">
        <v>0.05</v>
      </c>
      <c r="E32" s="3" t="e">
        <f>ABS(D32 - LOOKUP(C32, SweepStudyConfig[StudyId], SweepStudyConfig[OriginalAllocFractionA])) &lt; 0.03</f>
        <v>#VALUE!</v>
      </c>
      <c r="F32" s="3" t="e">
        <f>LOOKUP(C32, SweepStudyConfig[StudyId], SweepStudyConfig[NSweepStratumTotal])</f>
        <v>#VALUE!</v>
      </c>
      <c r="G32" s="3" t="e">
        <f>ROUND(F32 * D32)</f>
        <v>#VALUE!</v>
      </c>
      <c r="H32" s="3" t="e">
        <f>F32 - G32</f>
        <v>#VALUE!</v>
      </c>
      <c r="I32" s="3" t="e">
        <f>LOOKUP(C32, SweepStudyConfig[StudyId], SweepStudyConfig[NFixedA])</f>
        <v>#VALUE!</v>
      </c>
      <c r="J32" s="3" t="e">
        <f>LOOKUP(C32, SweepStudyConfig[StudyId], SweepStudyConfig[NFixedB])</f>
        <v>#VALUE!</v>
      </c>
      <c r="K32" s="3" t="e">
        <f>LOOKUP(C32, SweepStudyConfig[StudyId], SweepStudyConfig[SweepRateA])</f>
        <v>#VALUE!</v>
      </c>
      <c r="L32" s="3" t="e">
        <f>LOOKUP(C32, SweepStudyConfig[StudyId], SweepStudyConfig[SweepRateB])</f>
        <v>#VALUE!</v>
      </c>
      <c r="M32" s="3" t="e">
        <f>LOOKUP(C32, SweepStudyConfig[StudyId], SweepStudyConfig[FixedRateA])</f>
        <v>#VALUE!</v>
      </c>
      <c r="N32" s="3" t="e">
        <f>LOOKUP(C32, SweepStudyConfig[StudyId], SweepStudyConfig[FixedRateB])</f>
        <v>#VALUE!</v>
      </c>
      <c r="O32" s="3" t="e">
        <f>IF(G32 + I32 = 0, "", (G32 * K32 + I32 * M32) / (G32 + I32))</f>
        <v>#VALUE!</v>
      </c>
      <c r="P32" s="3" t="e">
        <f>IF(H32 + J32 = 0, "", (H32 * L32 + J32 * N32) / (H32 + J32))</f>
        <v>#VALUE!</v>
      </c>
      <c r="Q32" s="3" t="e">
        <f>IF(O32 = "", "", O32 - P32)</f>
        <v>#VALUE!</v>
      </c>
      <c r="R32" s="3" t="e">
        <f>LOOKUP(C32, SweepStudyConfig[StudyId], SweepStudyConfig[SweepCorrectedGap])</f>
        <v>#VALUE!</v>
      </c>
      <c r="S32" s="3" t="e">
        <f>IF(Q32 = "", "", Q32 - R32)</f>
        <v>#VALUE!</v>
      </c>
    </row>
    <row r="33">
      <c r="A33" s="2" t="s">
        <v>3321</v>
      </c>
      <c r="B33" s="3" t="str">
        <f>A33</f>
        <v>berkeley-1973-f015</v>
      </c>
      <c r="C33" s="2" t="s">
        <v>428</v>
      </c>
      <c r="D33" s="2">
        <v>0.15</v>
      </c>
      <c r="E33" s="3" t="e">
        <f>ABS(D33 - LOOKUP(C33, SweepStudyConfig[StudyId], SweepStudyConfig[OriginalAllocFractionA])) &lt; 0.03</f>
        <v>#VALUE!</v>
      </c>
      <c r="F33" s="3" t="e">
        <f>LOOKUP(C33, SweepStudyConfig[StudyId], SweepStudyConfig[NSweepStratumTotal])</f>
        <v>#VALUE!</v>
      </c>
      <c r="G33" s="3" t="e">
        <f>ROUND(F33 * D33)</f>
        <v>#VALUE!</v>
      </c>
      <c r="H33" s="3" t="e">
        <f>F33 - G33</f>
        <v>#VALUE!</v>
      </c>
      <c r="I33" s="3" t="e">
        <f>LOOKUP(C33, SweepStudyConfig[StudyId], SweepStudyConfig[NFixedA])</f>
        <v>#VALUE!</v>
      </c>
      <c r="J33" s="3" t="e">
        <f>LOOKUP(C33, SweepStudyConfig[StudyId], SweepStudyConfig[NFixedB])</f>
        <v>#VALUE!</v>
      </c>
      <c r="K33" s="3" t="e">
        <f>LOOKUP(C33, SweepStudyConfig[StudyId], SweepStudyConfig[SweepRateA])</f>
        <v>#VALUE!</v>
      </c>
      <c r="L33" s="3" t="e">
        <f>LOOKUP(C33, SweepStudyConfig[StudyId], SweepStudyConfig[SweepRateB])</f>
        <v>#VALUE!</v>
      </c>
      <c r="M33" s="3" t="e">
        <f>LOOKUP(C33, SweepStudyConfig[StudyId], SweepStudyConfig[FixedRateA])</f>
        <v>#VALUE!</v>
      </c>
      <c r="N33" s="3" t="e">
        <f>LOOKUP(C33, SweepStudyConfig[StudyId], SweepStudyConfig[FixedRateB])</f>
        <v>#VALUE!</v>
      </c>
      <c r="O33" s="3" t="e">
        <f>IF(G33 + I33 = 0, "", (G33 * K33 + I33 * M33) / (G33 + I33))</f>
        <v>#VALUE!</v>
      </c>
      <c r="P33" s="3" t="e">
        <f>IF(H33 + J33 = 0, "", (H33 * L33 + J33 * N33) / (H33 + J33))</f>
        <v>#VALUE!</v>
      </c>
      <c r="Q33" s="3" t="e">
        <f>IF(O33 = "", "", O33 - P33)</f>
        <v>#VALUE!</v>
      </c>
      <c r="R33" s="3" t="e">
        <f>LOOKUP(C33, SweepStudyConfig[StudyId], SweepStudyConfig[SweepCorrectedGap])</f>
        <v>#VALUE!</v>
      </c>
      <c r="S33" s="3" t="e">
        <f>IF(Q33 = "", "", Q33 - R33)</f>
        <v>#VALUE!</v>
      </c>
    </row>
    <row r="34">
      <c r="A34" s="2" t="s">
        <v>3322</v>
      </c>
      <c r="B34" s="3" t="str">
        <f>A34</f>
        <v>berkeley-1973-f025</v>
      </c>
      <c r="C34" s="2" t="s">
        <v>428</v>
      </c>
      <c r="D34" s="2">
        <v>0.25</v>
      </c>
      <c r="E34" s="3" t="e">
        <f>ABS(D34 - LOOKUP(C34, SweepStudyConfig[StudyId], SweepStudyConfig[OriginalAllocFractionA])) &lt; 0.03</f>
        <v>#VALUE!</v>
      </c>
      <c r="F34" s="3" t="e">
        <f>LOOKUP(C34, SweepStudyConfig[StudyId], SweepStudyConfig[NSweepStratumTotal])</f>
        <v>#VALUE!</v>
      </c>
      <c r="G34" s="3" t="e">
        <f>ROUND(F34 * D34)</f>
        <v>#VALUE!</v>
      </c>
      <c r="H34" s="3" t="e">
        <f>F34 - G34</f>
        <v>#VALUE!</v>
      </c>
      <c r="I34" s="3" t="e">
        <f>LOOKUP(C34, SweepStudyConfig[StudyId], SweepStudyConfig[NFixedA])</f>
        <v>#VALUE!</v>
      </c>
      <c r="J34" s="3" t="e">
        <f>LOOKUP(C34, SweepStudyConfig[StudyId], SweepStudyConfig[NFixedB])</f>
        <v>#VALUE!</v>
      </c>
      <c r="K34" s="3" t="e">
        <f>LOOKUP(C34, SweepStudyConfig[StudyId], SweepStudyConfig[SweepRateA])</f>
        <v>#VALUE!</v>
      </c>
      <c r="L34" s="3" t="e">
        <f>LOOKUP(C34, SweepStudyConfig[StudyId], SweepStudyConfig[SweepRateB])</f>
        <v>#VALUE!</v>
      </c>
      <c r="M34" s="3" t="e">
        <f>LOOKUP(C34, SweepStudyConfig[StudyId], SweepStudyConfig[FixedRateA])</f>
        <v>#VALUE!</v>
      </c>
      <c r="N34" s="3" t="e">
        <f>LOOKUP(C34, SweepStudyConfig[StudyId], SweepStudyConfig[FixedRateB])</f>
        <v>#VALUE!</v>
      </c>
      <c r="O34" s="3" t="e">
        <f>IF(G34 + I34 = 0, "", (G34 * K34 + I34 * M34) / (G34 + I34))</f>
        <v>#VALUE!</v>
      </c>
      <c r="P34" s="3" t="e">
        <f>IF(H34 + J34 = 0, "", (H34 * L34 + J34 * N34) / (H34 + J34))</f>
        <v>#VALUE!</v>
      </c>
      <c r="Q34" s="3" t="e">
        <f>IF(O34 = "", "", O34 - P34)</f>
        <v>#VALUE!</v>
      </c>
      <c r="R34" s="3" t="e">
        <f>LOOKUP(C34, SweepStudyConfig[StudyId], SweepStudyConfig[SweepCorrectedGap])</f>
        <v>#VALUE!</v>
      </c>
      <c r="S34" s="3" t="e">
        <f>IF(Q34 = "", "", Q34 - R34)</f>
        <v>#VALUE!</v>
      </c>
    </row>
    <row r="35">
      <c r="A35" s="2" t="s">
        <v>3323</v>
      </c>
      <c r="B35" s="3" t="str">
        <f>A35</f>
        <v>berkeley-1973-f035</v>
      </c>
      <c r="C35" s="2" t="s">
        <v>428</v>
      </c>
      <c r="D35" s="2">
        <v>0.35</v>
      </c>
      <c r="E35" s="3" t="e">
        <f>ABS(D35 - LOOKUP(C35, SweepStudyConfig[StudyId], SweepStudyConfig[OriginalAllocFractionA])) &lt; 0.03</f>
        <v>#VALUE!</v>
      </c>
      <c r="F35" s="3" t="e">
        <f>LOOKUP(C35, SweepStudyConfig[StudyId], SweepStudyConfig[NSweepStratumTotal])</f>
        <v>#VALUE!</v>
      </c>
      <c r="G35" s="3" t="e">
        <f>ROUND(F35 * D35)</f>
        <v>#VALUE!</v>
      </c>
      <c r="H35" s="3" t="e">
        <f>F35 - G35</f>
        <v>#VALUE!</v>
      </c>
      <c r="I35" s="3" t="e">
        <f>LOOKUP(C35, SweepStudyConfig[StudyId], SweepStudyConfig[NFixedA])</f>
        <v>#VALUE!</v>
      </c>
      <c r="J35" s="3" t="e">
        <f>LOOKUP(C35, SweepStudyConfig[StudyId], SweepStudyConfig[NFixedB])</f>
        <v>#VALUE!</v>
      </c>
      <c r="K35" s="3" t="e">
        <f>LOOKUP(C35, SweepStudyConfig[StudyId], SweepStudyConfig[SweepRateA])</f>
        <v>#VALUE!</v>
      </c>
      <c r="L35" s="3" t="e">
        <f>LOOKUP(C35, SweepStudyConfig[StudyId], SweepStudyConfig[SweepRateB])</f>
        <v>#VALUE!</v>
      </c>
      <c r="M35" s="3" t="e">
        <f>LOOKUP(C35, SweepStudyConfig[StudyId], SweepStudyConfig[FixedRateA])</f>
        <v>#VALUE!</v>
      </c>
      <c r="N35" s="3" t="e">
        <f>LOOKUP(C35, SweepStudyConfig[StudyId], SweepStudyConfig[FixedRateB])</f>
        <v>#VALUE!</v>
      </c>
      <c r="O35" s="3" t="e">
        <f>IF(G35 + I35 = 0, "", (G35 * K35 + I35 * M35) / (G35 + I35))</f>
        <v>#VALUE!</v>
      </c>
      <c r="P35" s="3" t="e">
        <f>IF(H35 + J35 = 0, "", (H35 * L35 + J35 * N35) / (H35 + J35))</f>
        <v>#VALUE!</v>
      </c>
      <c r="Q35" s="3" t="e">
        <f>IF(O35 = "", "", O35 - P35)</f>
        <v>#VALUE!</v>
      </c>
      <c r="R35" s="3" t="e">
        <f>LOOKUP(C35, SweepStudyConfig[StudyId], SweepStudyConfig[SweepCorrectedGap])</f>
        <v>#VALUE!</v>
      </c>
      <c r="S35" s="3" t="e">
        <f>IF(Q35 = "", "", Q35 - R35)</f>
        <v>#VALUE!</v>
      </c>
    </row>
    <row r="36">
      <c r="A36" s="2" t="s">
        <v>3324</v>
      </c>
      <c r="B36" s="3" t="str">
        <f>A36</f>
        <v>berkeley-1973-f045</v>
      </c>
      <c r="C36" s="2" t="s">
        <v>428</v>
      </c>
      <c r="D36" s="2">
        <v>0.45</v>
      </c>
      <c r="E36" s="3" t="e">
        <f>ABS(D36 - LOOKUP(C36, SweepStudyConfig[StudyId], SweepStudyConfig[OriginalAllocFractionA])) &lt; 0.03</f>
        <v>#VALUE!</v>
      </c>
      <c r="F36" s="3" t="e">
        <f>LOOKUP(C36, SweepStudyConfig[StudyId], SweepStudyConfig[NSweepStratumTotal])</f>
        <v>#VALUE!</v>
      </c>
      <c r="G36" s="3" t="e">
        <f>ROUND(F36 * D36)</f>
        <v>#VALUE!</v>
      </c>
      <c r="H36" s="3" t="e">
        <f>F36 - G36</f>
        <v>#VALUE!</v>
      </c>
      <c r="I36" s="3" t="e">
        <f>LOOKUP(C36, SweepStudyConfig[StudyId], SweepStudyConfig[NFixedA])</f>
        <v>#VALUE!</v>
      </c>
      <c r="J36" s="3" t="e">
        <f>LOOKUP(C36, SweepStudyConfig[StudyId], SweepStudyConfig[NFixedB])</f>
        <v>#VALUE!</v>
      </c>
      <c r="K36" s="3" t="e">
        <f>LOOKUP(C36, SweepStudyConfig[StudyId], SweepStudyConfig[SweepRateA])</f>
        <v>#VALUE!</v>
      </c>
      <c r="L36" s="3" t="e">
        <f>LOOKUP(C36, SweepStudyConfig[StudyId], SweepStudyConfig[SweepRateB])</f>
        <v>#VALUE!</v>
      </c>
      <c r="M36" s="3" t="e">
        <f>LOOKUP(C36, SweepStudyConfig[StudyId], SweepStudyConfig[FixedRateA])</f>
        <v>#VALUE!</v>
      </c>
      <c r="N36" s="3" t="e">
        <f>LOOKUP(C36, SweepStudyConfig[StudyId], SweepStudyConfig[FixedRateB])</f>
        <v>#VALUE!</v>
      </c>
      <c r="O36" s="3" t="e">
        <f>IF(G36 + I36 = 0, "", (G36 * K36 + I36 * M36) / (G36 + I36))</f>
        <v>#VALUE!</v>
      </c>
      <c r="P36" s="3" t="e">
        <f>IF(H36 + J36 = 0, "", (H36 * L36 + J36 * N36) / (H36 + J36))</f>
        <v>#VALUE!</v>
      </c>
      <c r="Q36" s="3" t="e">
        <f>IF(O36 = "", "", O36 - P36)</f>
        <v>#VALUE!</v>
      </c>
      <c r="R36" s="3" t="e">
        <f>LOOKUP(C36, SweepStudyConfig[StudyId], SweepStudyConfig[SweepCorrectedGap])</f>
        <v>#VALUE!</v>
      </c>
      <c r="S36" s="3" t="e">
        <f>IF(Q36 = "", "", Q36 - R36)</f>
        <v>#VALUE!</v>
      </c>
    </row>
    <row r="37">
      <c r="A37" s="2" t="s">
        <v>3325</v>
      </c>
      <c r="B37" s="3" t="str">
        <f>A37</f>
        <v>berkeley-1973-f055</v>
      </c>
      <c r="C37" s="2" t="s">
        <v>428</v>
      </c>
      <c r="D37" s="2">
        <v>0.55</v>
      </c>
      <c r="E37" s="3" t="e">
        <f>ABS(D37 - LOOKUP(C37, SweepStudyConfig[StudyId], SweepStudyConfig[OriginalAllocFractionA])) &lt; 0.03</f>
        <v>#VALUE!</v>
      </c>
      <c r="F37" s="3" t="e">
        <f>LOOKUP(C37, SweepStudyConfig[StudyId], SweepStudyConfig[NSweepStratumTotal])</f>
        <v>#VALUE!</v>
      </c>
      <c r="G37" s="3" t="e">
        <f>ROUND(F37 * D37)</f>
        <v>#VALUE!</v>
      </c>
      <c r="H37" s="3" t="e">
        <f>F37 - G37</f>
        <v>#VALUE!</v>
      </c>
      <c r="I37" s="3" t="e">
        <f>LOOKUP(C37, SweepStudyConfig[StudyId], SweepStudyConfig[NFixedA])</f>
        <v>#VALUE!</v>
      </c>
      <c r="J37" s="3" t="e">
        <f>LOOKUP(C37, SweepStudyConfig[StudyId], SweepStudyConfig[NFixedB])</f>
        <v>#VALUE!</v>
      </c>
      <c r="K37" s="3" t="e">
        <f>LOOKUP(C37, SweepStudyConfig[StudyId], SweepStudyConfig[SweepRateA])</f>
        <v>#VALUE!</v>
      </c>
      <c r="L37" s="3" t="e">
        <f>LOOKUP(C37, SweepStudyConfig[StudyId], SweepStudyConfig[SweepRateB])</f>
        <v>#VALUE!</v>
      </c>
      <c r="M37" s="3" t="e">
        <f>LOOKUP(C37, SweepStudyConfig[StudyId], SweepStudyConfig[FixedRateA])</f>
        <v>#VALUE!</v>
      </c>
      <c r="N37" s="3" t="e">
        <f>LOOKUP(C37, SweepStudyConfig[StudyId], SweepStudyConfig[FixedRateB])</f>
        <v>#VALUE!</v>
      </c>
      <c r="O37" s="3" t="e">
        <f>IF(G37 + I37 = 0, "", (G37 * K37 + I37 * M37) / (G37 + I37))</f>
        <v>#VALUE!</v>
      </c>
      <c r="P37" s="3" t="e">
        <f>IF(H37 + J37 = 0, "", (H37 * L37 + J37 * N37) / (H37 + J37))</f>
        <v>#VALUE!</v>
      </c>
      <c r="Q37" s="3" t="e">
        <f>IF(O37 = "", "", O37 - P37)</f>
        <v>#VALUE!</v>
      </c>
      <c r="R37" s="3" t="e">
        <f>LOOKUP(C37, SweepStudyConfig[StudyId], SweepStudyConfig[SweepCorrectedGap])</f>
        <v>#VALUE!</v>
      </c>
      <c r="S37" s="3" t="e">
        <f>IF(Q37 = "", "", Q37 - R37)</f>
        <v>#VALUE!</v>
      </c>
    </row>
    <row r="38">
      <c r="A38" s="2" t="s">
        <v>3326</v>
      </c>
      <c r="B38" s="3" t="str">
        <f>A38</f>
        <v>berkeley-1973-f065</v>
      </c>
      <c r="C38" s="2" t="s">
        <v>428</v>
      </c>
      <c r="D38" s="2">
        <v>0.65</v>
      </c>
      <c r="E38" s="3" t="e">
        <f>ABS(D38 - LOOKUP(C38, SweepStudyConfig[StudyId], SweepStudyConfig[OriginalAllocFractionA])) &lt; 0.03</f>
        <v>#VALUE!</v>
      </c>
      <c r="F38" s="3" t="e">
        <f>LOOKUP(C38, SweepStudyConfig[StudyId], SweepStudyConfig[NSweepStratumTotal])</f>
        <v>#VALUE!</v>
      </c>
      <c r="G38" s="3" t="e">
        <f>ROUND(F38 * D38)</f>
        <v>#VALUE!</v>
      </c>
      <c r="H38" s="3" t="e">
        <f>F38 - G38</f>
        <v>#VALUE!</v>
      </c>
      <c r="I38" s="3" t="e">
        <f>LOOKUP(C38, SweepStudyConfig[StudyId], SweepStudyConfig[NFixedA])</f>
        <v>#VALUE!</v>
      </c>
      <c r="J38" s="3" t="e">
        <f>LOOKUP(C38, SweepStudyConfig[StudyId], SweepStudyConfig[NFixedB])</f>
        <v>#VALUE!</v>
      </c>
      <c r="K38" s="3" t="e">
        <f>LOOKUP(C38, SweepStudyConfig[StudyId], SweepStudyConfig[SweepRateA])</f>
        <v>#VALUE!</v>
      </c>
      <c r="L38" s="3" t="e">
        <f>LOOKUP(C38, SweepStudyConfig[StudyId], SweepStudyConfig[SweepRateB])</f>
        <v>#VALUE!</v>
      </c>
      <c r="M38" s="3" t="e">
        <f>LOOKUP(C38, SweepStudyConfig[StudyId], SweepStudyConfig[FixedRateA])</f>
        <v>#VALUE!</v>
      </c>
      <c r="N38" s="3" t="e">
        <f>LOOKUP(C38, SweepStudyConfig[StudyId], SweepStudyConfig[FixedRateB])</f>
        <v>#VALUE!</v>
      </c>
      <c r="O38" s="3" t="e">
        <f>IF(G38 + I38 = 0, "", (G38 * K38 + I38 * M38) / (G38 + I38))</f>
        <v>#VALUE!</v>
      </c>
      <c r="P38" s="3" t="e">
        <f>IF(H38 + J38 = 0, "", (H38 * L38 + J38 * N38) / (H38 + J38))</f>
        <v>#VALUE!</v>
      </c>
      <c r="Q38" s="3" t="e">
        <f>IF(O38 = "", "", O38 - P38)</f>
        <v>#VALUE!</v>
      </c>
      <c r="R38" s="3" t="e">
        <f>LOOKUP(C38, SweepStudyConfig[StudyId], SweepStudyConfig[SweepCorrectedGap])</f>
        <v>#VALUE!</v>
      </c>
      <c r="S38" s="3" t="e">
        <f>IF(Q38 = "", "", Q38 - R38)</f>
        <v>#VALUE!</v>
      </c>
    </row>
    <row r="39">
      <c r="A39" s="2" t="s">
        <v>3327</v>
      </c>
      <c r="B39" s="3" t="str">
        <f>A39</f>
        <v>berkeley-1973-f075</v>
      </c>
      <c r="C39" s="2" t="s">
        <v>428</v>
      </c>
      <c r="D39" s="2">
        <v>0.75</v>
      </c>
      <c r="E39" s="3" t="e">
        <f>ABS(D39 - LOOKUP(C39, SweepStudyConfig[StudyId], SweepStudyConfig[OriginalAllocFractionA])) &lt; 0.03</f>
        <v>#VALUE!</v>
      </c>
      <c r="F39" s="3" t="e">
        <f>LOOKUP(C39, SweepStudyConfig[StudyId], SweepStudyConfig[NSweepStratumTotal])</f>
        <v>#VALUE!</v>
      </c>
      <c r="G39" s="3" t="e">
        <f>ROUND(F39 * D39)</f>
        <v>#VALUE!</v>
      </c>
      <c r="H39" s="3" t="e">
        <f>F39 - G39</f>
        <v>#VALUE!</v>
      </c>
      <c r="I39" s="3" t="e">
        <f>LOOKUP(C39, SweepStudyConfig[StudyId], SweepStudyConfig[NFixedA])</f>
        <v>#VALUE!</v>
      </c>
      <c r="J39" s="3" t="e">
        <f>LOOKUP(C39, SweepStudyConfig[StudyId], SweepStudyConfig[NFixedB])</f>
        <v>#VALUE!</v>
      </c>
      <c r="K39" s="3" t="e">
        <f>LOOKUP(C39, SweepStudyConfig[StudyId], SweepStudyConfig[SweepRateA])</f>
        <v>#VALUE!</v>
      </c>
      <c r="L39" s="3" t="e">
        <f>LOOKUP(C39, SweepStudyConfig[StudyId], SweepStudyConfig[SweepRateB])</f>
        <v>#VALUE!</v>
      </c>
      <c r="M39" s="3" t="e">
        <f>LOOKUP(C39, SweepStudyConfig[StudyId], SweepStudyConfig[FixedRateA])</f>
        <v>#VALUE!</v>
      </c>
      <c r="N39" s="3" t="e">
        <f>LOOKUP(C39, SweepStudyConfig[StudyId], SweepStudyConfig[FixedRateB])</f>
        <v>#VALUE!</v>
      </c>
      <c r="O39" s="3" t="e">
        <f>IF(G39 + I39 = 0, "", (G39 * K39 + I39 * M39) / (G39 + I39))</f>
        <v>#VALUE!</v>
      </c>
      <c r="P39" s="3" t="e">
        <f>IF(H39 + J39 = 0, "", (H39 * L39 + J39 * N39) / (H39 + J39))</f>
        <v>#VALUE!</v>
      </c>
      <c r="Q39" s="3" t="e">
        <f>IF(O39 = "", "", O39 - P39)</f>
        <v>#VALUE!</v>
      </c>
      <c r="R39" s="3" t="e">
        <f>LOOKUP(C39, SweepStudyConfig[StudyId], SweepStudyConfig[SweepCorrectedGap])</f>
        <v>#VALUE!</v>
      </c>
      <c r="S39" s="3" t="e">
        <f>IF(Q39 = "", "", Q39 - R39)</f>
        <v>#VALUE!</v>
      </c>
    </row>
    <row r="40">
      <c r="A40" s="2" t="s">
        <v>3328</v>
      </c>
      <c r="B40" s="3" t="str">
        <f>A40</f>
        <v>berkeley-1973-f085</v>
      </c>
      <c r="C40" s="2" t="s">
        <v>428</v>
      </c>
      <c r="D40" s="2">
        <v>0.85</v>
      </c>
      <c r="E40" s="3" t="e">
        <f>ABS(D40 - LOOKUP(C40, SweepStudyConfig[StudyId], SweepStudyConfig[OriginalAllocFractionA])) &lt; 0.03</f>
        <v>#VALUE!</v>
      </c>
      <c r="F40" s="3" t="e">
        <f>LOOKUP(C40, SweepStudyConfig[StudyId], SweepStudyConfig[NSweepStratumTotal])</f>
        <v>#VALUE!</v>
      </c>
      <c r="G40" s="3" t="e">
        <f>ROUND(F40 * D40)</f>
        <v>#VALUE!</v>
      </c>
      <c r="H40" s="3" t="e">
        <f>F40 - G40</f>
        <v>#VALUE!</v>
      </c>
      <c r="I40" s="3" t="e">
        <f>LOOKUP(C40, SweepStudyConfig[StudyId], SweepStudyConfig[NFixedA])</f>
        <v>#VALUE!</v>
      </c>
      <c r="J40" s="3" t="e">
        <f>LOOKUP(C40, SweepStudyConfig[StudyId], SweepStudyConfig[NFixedB])</f>
        <v>#VALUE!</v>
      </c>
      <c r="K40" s="3" t="e">
        <f>LOOKUP(C40, SweepStudyConfig[StudyId], SweepStudyConfig[SweepRateA])</f>
        <v>#VALUE!</v>
      </c>
      <c r="L40" s="3" t="e">
        <f>LOOKUP(C40, SweepStudyConfig[StudyId], SweepStudyConfig[SweepRateB])</f>
        <v>#VALUE!</v>
      </c>
      <c r="M40" s="3" t="e">
        <f>LOOKUP(C40, SweepStudyConfig[StudyId], SweepStudyConfig[FixedRateA])</f>
        <v>#VALUE!</v>
      </c>
      <c r="N40" s="3" t="e">
        <f>LOOKUP(C40, SweepStudyConfig[StudyId], SweepStudyConfig[FixedRateB])</f>
        <v>#VALUE!</v>
      </c>
      <c r="O40" s="3" t="e">
        <f>IF(G40 + I40 = 0, "", (G40 * K40 + I40 * M40) / (G40 + I40))</f>
        <v>#VALUE!</v>
      </c>
      <c r="P40" s="3" t="e">
        <f>IF(H40 + J40 = 0, "", (H40 * L40 + J40 * N40) / (H40 + J40))</f>
        <v>#VALUE!</v>
      </c>
      <c r="Q40" s="3" t="e">
        <f>IF(O40 = "", "", O40 - P40)</f>
        <v>#VALUE!</v>
      </c>
      <c r="R40" s="3" t="e">
        <f>LOOKUP(C40, SweepStudyConfig[StudyId], SweepStudyConfig[SweepCorrectedGap])</f>
        <v>#VALUE!</v>
      </c>
      <c r="S40" s="3" t="e">
        <f>IF(Q40 = "", "", Q40 - R40)</f>
        <v>#VALUE!</v>
      </c>
    </row>
    <row r="41">
      <c r="A41" s="2" t="s">
        <v>3329</v>
      </c>
      <c r="B41" s="3" t="str">
        <f>A41</f>
        <v>berkeley-1973-f095</v>
      </c>
      <c r="C41" s="2" t="s">
        <v>428</v>
      </c>
      <c r="D41" s="2">
        <v>0.95</v>
      </c>
      <c r="E41" s="3" t="e">
        <f>ABS(D41 - LOOKUP(C41, SweepStudyConfig[StudyId], SweepStudyConfig[OriginalAllocFractionA])) &lt; 0.03</f>
        <v>#VALUE!</v>
      </c>
      <c r="F41" s="3" t="e">
        <f>LOOKUP(C41, SweepStudyConfig[StudyId], SweepStudyConfig[NSweepStratumTotal])</f>
        <v>#VALUE!</v>
      </c>
      <c r="G41" s="3" t="e">
        <f>ROUND(F41 * D41)</f>
        <v>#VALUE!</v>
      </c>
      <c r="H41" s="3" t="e">
        <f>F41 - G41</f>
        <v>#VALUE!</v>
      </c>
      <c r="I41" s="3" t="e">
        <f>LOOKUP(C41, SweepStudyConfig[StudyId], SweepStudyConfig[NFixedA])</f>
        <v>#VALUE!</v>
      </c>
      <c r="J41" s="3" t="e">
        <f>LOOKUP(C41, SweepStudyConfig[StudyId], SweepStudyConfig[NFixedB])</f>
        <v>#VALUE!</v>
      </c>
      <c r="K41" s="3" t="e">
        <f>LOOKUP(C41, SweepStudyConfig[StudyId], SweepStudyConfig[SweepRateA])</f>
        <v>#VALUE!</v>
      </c>
      <c r="L41" s="3" t="e">
        <f>LOOKUP(C41, SweepStudyConfig[StudyId], SweepStudyConfig[SweepRateB])</f>
        <v>#VALUE!</v>
      </c>
      <c r="M41" s="3" t="e">
        <f>LOOKUP(C41, SweepStudyConfig[StudyId], SweepStudyConfig[FixedRateA])</f>
        <v>#VALUE!</v>
      </c>
      <c r="N41" s="3" t="e">
        <f>LOOKUP(C41, SweepStudyConfig[StudyId], SweepStudyConfig[FixedRateB])</f>
        <v>#VALUE!</v>
      </c>
      <c r="O41" s="3" t="e">
        <f>IF(G41 + I41 = 0, "", (G41 * K41 + I41 * M41) / (G41 + I41))</f>
        <v>#VALUE!</v>
      </c>
      <c r="P41" s="3" t="e">
        <f>IF(H41 + J41 = 0, "", (H41 * L41 + J41 * N41) / (H41 + J41))</f>
        <v>#VALUE!</v>
      </c>
      <c r="Q41" s="3" t="e">
        <f>IF(O41 = "", "", O41 - P41)</f>
        <v>#VALUE!</v>
      </c>
      <c r="R41" s="3" t="e">
        <f>LOOKUP(C41, SweepStudyConfig[StudyId], SweepStudyConfig[SweepCorrectedGap])</f>
        <v>#VALUE!</v>
      </c>
      <c r="S41" s="3" t="e">
        <f>IF(Q41 = "", "", Q41 - R41)</f>
        <v>#VALUE!</v>
      </c>
    </row>
    <row r="42">
      <c r="A42" s="2" t="s">
        <v>3330</v>
      </c>
      <c r="B42" s="3" t="str">
        <f>A42</f>
        <v>compressed-synthetic-f005</v>
      </c>
      <c r="C42" s="2" t="s">
        <v>434</v>
      </c>
      <c r="D42" s="2">
        <v>0.05</v>
      </c>
      <c r="E42" s="3" t="e">
        <f>ABS(D42 - LOOKUP(C42, SweepStudyConfig[StudyId], SweepStudyConfig[OriginalAllocFractionA])) &lt; 0.03</f>
        <v>#VALUE!</v>
      </c>
      <c r="F42" s="3" t="e">
        <f>LOOKUP(C42, SweepStudyConfig[StudyId], SweepStudyConfig[NSweepStratumTotal])</f>
        <v>#VALUE!</v>
      </c>
      <c r="G42" s="3" t="e">
        <f>ROUND(F42 * D42)</f>
        <v>#VALUE!</v>
      </c>
      <c r="H42" s="3" t="e">
        <f>F42 - G42</f>
        <v>#VALUE!</v>
      </c>
      <c r="I42" s="3" t="e">
        <f>LOOKUP(C42, SweepStudyConfig[StudyId], SweepStudyConfig[NFixedA])</f>
        <v>#VALUE!</v>
      </c>
      <c r="J42" s="3" t="e">
        <f>LOOKUP(C42, SweepStudyConfig[StudyId], SweepStudyConfig[NFixedB])</f>
        <v>#VALUE!</v>
      </c>
      <c r="K42" s="3" t="e">
        <f>LOOKUP(C42, SweepStudyConfig[StudyId], SweepStudyConfig[SweepRateA])</f>
        <v>#VALUE!</v>
      </c>
      <c r="L42" s="3" t="e">
        <f>LOOKUP(C42, SweepStudyConfig[StudyId], SweepStudyConfig[SweepRateB])</f>
        <v>#VALUE!</v>
      </c>
      <c r="M42" s="3" t="e">
        <f>LOOKUP(C42, SweepStudyConfig[StudyId], SweepStudyConfig[FixedRateA])</f>
        <v>#VALUE!</v>
      </c>
      <c r="N42" s="3" t="e">
        <f>LOOKUP(C42, SweepStudyConfig[StudyId], SweepStudyConfig[FixedRateB])</f>
        <v>#VALUE!</v>
      </c>
      <c r="O42" s="3" t="e">
        <f>IF(G42 + I42 = 0, "", (G42 * K42 + I42 * M42) / (G42 + I42))</f>
        <v>#VALUE!</v>
      </c>
      <c r="P42" s="3" t="e">
        <f>IF(H42 + J42 = 0, "", (H42 * L42 + J42 * N42) / (H42 + J42))</f>
        <v>#VALUE!</v>
      </c>
      <c r="Q42" s="3" t="e">
        <f>IF(O42 = "", "", O42 - P42)</f>
        <v>#VALUE!</v>
      </c>
      <c r="R42" s="3" t="e">
        <f>LOOKUP(C42, SweepStudyConfig[StudyId], SweepStudyConfig[SweepCorrectedGap])</f>
        <v>#VALUE!</v>
      </c>
      <c r="S42" s="3" t="e">
        <f>IF(Q42 = "", "", Q42 - R42)</f>
        <v>#VALUE!</v>
      </c>
    </row>
    <row r="43">
      <c r="A43" s="2" t="s">
        <v>3331</v>
      </c>
      <c r="B43" s="3" t="str">
        <f>A43</f>
        <v>compressed-synthetic-f015</v>
      </c>
      <c r="C43" s="2" t="s">
        <v>434</v>
      </c>
      <c r="D43" s="2">
        <v>0.15</v>
      </c>
      <c r="E43" s="3" t="e">
        <f>ABS(D43 - LOOKUP(C43, SweepStudyConfig[StudyId], SweepStudyConfig[OriginalAllocFractionA])) &lt; 0.03</f>
        <v>#VALUE!</v>
      </c>
      <c r="F43" s="3" t="e">
        <f>LOOKUP(C43, SweepStudyConfig[StudyId], SweepStudyConfig[NSweepStratumTotal])</f>
        <v>#VALUE!</v>
      </c>
      <c r="G43" s="3" t="e">
        <f>ROUND(F43 * D43)</f>
        <v>#VALUE!</v>
      </c>
      <c r="H43" s="3" t="e">
        <f>F43 - G43</f>
        <v>#VALUE!</v>
      </c>
      <c r="I43" s="3" t="e">
        <f>LOOKUP(C43, SweepStudyConfig[StudyId], SweepStudyConfig[NFixedA])</f>
        <v>#VALUE!</v>
      </c>
      <c r="J43" s="3" t="e">
        <f>LOOKUP(C43, SweepStudyConfig[StudyId], SweepStudyConfig[NFixedB])</f>
        <v>#VALUE!</v>
      </c>
      <c r="K43" s="3" t="e">
        <f>LOOKUP(C43, SweepStudyConfig[StudyId], SweepStudyConfig[SweepRateA])</f>
        <v>#VALUE!</v>
      </c>
      <c r="L43" s="3" t="e">
        <f>LOOKUP(C43, SweepStudyConfig[StudyId], SweepStudyConfig[SweepRateB])</f>
        <v>#VALUE!</v>
      </c>
      <c r="M43" s="3" t="e">
        <f>LOOKUP(C43, SweepStudyConfig[StudyId], SweepStudyConfig[FixedRateA])</f>
        <v>#VALUE!</v>
      </c>
      <c r="N43" s="3" t="e">
        <f>LOOKUP(C43, SweepStudyConfig[StudyId], SweepStudyConfig[FixedRateB])</f>
        <v>#VALUE!</v>
      </c>
      <c r="O43" s="3" t="e">
        <f>IF(G43 + I43 = 0, "", (G43 * K43 + I43 * M43) / (G43 + I43))</f>
        <v>#VALUE!</v>
      </c>
      <c r="P43" s="3" t="e">
        <f>IF(H43 + J43 = 0, "", (H43 * L43 + J43 * N43) / (H43 + J43))</f>
        <v>#VALUE!</v>
      </c>
      <c r="Q43" s="3" t="e">
        <f>IF(O43 = "", "", O43 - P43)</f>
        <v>#VALUE!</v>
      </c>
      <c r="R43" s="3" t="e">
        <f>LOOKUP(C43, SweepStudyConfig[StudyId], SweepStudyConfig[SweepCorrectedGap])</f>
        <v>#VALUE!</v>
      </c>
      <c r="S43" s="3" t="e">
        <f>IF(Q43 = "", "", Q43 - R43)</f>
        <v>#VALUE!</v>
      </c>
    </row>
    <row r="44">
      <c r="A44" s="2" t="s">
        <v>3332</v>
      </c>
      <c r="B44" s="3" t="str">
        <f>A44</f>
        <v>compressed-synthetic-f025</v>
      </c>
      <c r="C44" s="2" t="s">
        <v>434</v>
      </c>
      <c r="D44" s="2">
        <v>0.25</v>
      </c>
      <c r="E44" s="3" t="e">
        <f>ABS(D44 - LOOKUP(C44, SweepStudyConfig[StudyId], SweepStudyConfig[OriginalAllocFractionA])) &lt; 0.03</f>
        <v>#VALUE!</v>
      </c>
      <c r="F44" s="3" t="e">
        <f>LOOKUP(C44, SweepStudyConfig[StudyId], SweepStudyConfig[NSweepStratumTotal])</f>
        <v>#VALUE!</v>
      </c>
      <c r="G44" s="3" t="e">
        <f>ROUND(F44 * D44)</f>
        <v>#VALUE!</v>
      </c>
      <c r="H44" s="3" t="e">
        <f>F44 - G44</f>
        <v>#VALUE!</v>
      </c>
      <c r="I44" s="3" t="e">
        <f>LOOKUP(C44, SweepStudyConfig[StudyId], SweepStudyConfig[NFixedA])</f>
        <v>#VALUE!</v>
      </c>
      <c r="J44" s="3" t="e">
        <f>LOOKUP(C44, SweepStudyConfig[StudyId], SweepStudyConfig[NFixedB])</f>
        <v>#VALUE!</v>
      </c>
      <c r="K44" s="3" t="e">
        <f>LOOKUP(C44, SweepStudyConfig[StudyId], SweepStudyConfig[SweepRateA])</f>
        <v>#VALUE!</v>
      </c>
      <c r="L44" s="3" t="e">
        <f>LOOKUP(C44, SweepStudyConfig[StudyId], SweepStudyConfig[SweepRateB])</f>
        <v>#VALUE!</v>
      </c>
      <c r="M44" s="3" t="e">
        <f>LOOKUP(C44, SweepStudyConfig[StudyId], SweepStudyConfig[FixedRateA])</f>
        <v>#VALUE!</v>
      </c>
      <c r="N44" s="3" t="e">
        <f>LOOKUP(C44, SweepStudyConfig[StudyId], SweepStudyConfig[FixedRateB])</f>
        <v>#VALUE!</v>
      </c>
      <c r="O44" s="3" t="e">
        <f>IF(G44 + I44 = 0, "", (G44 * K44 + I44 * M44) / (G44 + I44))</f>
        <v>#VALUE!</v>
      </c>
      <c r="P44" s="3" t="e">
        <f>IF(H44 + J44 = 0, "", (H44 * L44 + J44 * N44) / (H44 + J44))</f>
        <v>#VALUE!</v>
      </c>
      <c r="Q44" s="3" t="e">
        <f>IF(O44 = "", "", O44 - P44)</f>
        <v>#VALUE!</v>
      </c>
      <c r="R44" s="3" t="e">
        <f>LOOKUP(C44, SweepStudyConfig[StudyId], SweepStudyConfig[SweepCorrectedGap])</f>
        <v>#VALUE!</v>
      </c>
      <c r="S44" s="3" t="e">
        <f>IF(Q44 = "", "", Q44 - R44)</f>
        <v>#VALUE!</v>
      </c>
    </row>
    <row r="45">
      <c r="A45" s="2" t="s">
        <v>3333</v>
      </c>
      <c r="B45" s="3" t="str">
        <f>A45</f>
        <v>compressed-synthetic-f035</v>
      </c>
      <c r="C45" s="2" t="s">
        <v>434</v>
      </c>
      <c r="D45" s="2">
        <v>0.35</v>
      </c>
      <c r="E45" s="3" t="e">
        <f>ABS(D45 - LOOKUP(C45, SweepStudyConfig[StudyId], SweepStudyConfig[OriginalAllocFractionA])) &lt; 0.03</f>
        <v>#VALUE!</v>
      </c>
      <c r="F45" s="3" t="e">
        <f>LOOKUP(C45, SweepStudyConfig[StudyId], SweepStudyConfig[NSweepStratumTotal])</f>
        <v>#VALUE!</v>
      </c>
      <c r="G45" s="3" t="e">
        <f>ROUND(F45 * D45)</f>
        <v>#VALUE!</v>
      </c>
      <c r="H45" s="3" t="e">
        <f>F45 - G45</f>
        <v>#VALUE!</v>
      </c>
      <c r="I45" s="3" t="e">
        <f>LOOKUP(C45, SweepStudyConfig[StudyId], SweepStudyConfig[NFixedA])</f>
        <v>#VALUE!</v>
      </c>
      <c r="J45" s="3" t="e">
        <f>LOOKUP(C45, SweepStudyConfig[StudyId], SweepStudyConfig[NFixedB])</f>
        <v>#VALUE!</v>
      </c>
      <c r="K45" s="3" t="e">
        <f>LOOKUP(C45, SweepStudyConfig[StudyId], SweepStudyConfig[SweepRateA])</f>
        <v>#VALUE!</v>
      </c>
      <c r="L45" s="3" t="e">
        <f>LOOKUP(C45, SweepStudyConfig[StudyId], SweepStudyConfig[SweepRateB])</f>
        <v>#VALUE!</v>
      </c>
      <c r="M45" s="3" t="e">
        <f>LOOKUP(C45, SweepStudyConfig[StudyId], SweepStudyConfig[FixedRateA])</f>
        <v>#VALUE!</v>
      </c>
      <c r="N45" s="3" t="e">
        <f>LOOKUP(C45, SweepStudyConfig[StudyId], SweepStudyConfig[FixedRateB])</f>
        <v>#VALUE!</v>
      </c>
      <c r="O45" s="3" t="e">
        <f>IF(G45 + I45 = 0, "", (G45 * K45 + I45 * M45) / (G45 + I45))</f>
        <v>#VALUE!</v>
      </c>
      <c r="P45" s="3" t="e">
        <f>IF(H45 + J45 = 0, "", (H45 * L45 + J45 * N45) / (H45 + J45))</f>
        <v>#VALUE!</v>
      </c>
      <c r="Q45" s="3" t="e">
        <f>IF(O45 = "", "", O45 - P45)</f>
        <v>#VALUE!</v>
      </c>
      <c r="R45" s="3" t="e">
        <f>LOOKUP(C45, SweepStudyConfig[StudyId], SweepStudyConfig[SweepCorrectedGap])</f>
        <v>#VALUE!</v>
      </c>
      <c r="S45" s="3" t="e">
        <f>IF(Q45 = "", "", Q45 - R45)</f>
        <v>#VALUE!</v>
      </c>
    </row>
    <row r="46">
      <c r="A46" s="2" t="s">
        <v>3334</v>
      </c>
      <c r="B46" s="3" t="str">
        <f>A46</f>
        <v>compressed-synthetic-f045</v>
      </c>
      <c r="C46" s="2" t="s">
        <v>434</v>
      </c>
      <c r="D46" s="2">
        <v>0.45</v>
      </c>
      <c r="E46" s="3" t="e">
        <f>ABS(D46 - LOOKUP(C46, SweepStudyConfig[StudyId], SweepStudyConfig[OriginalAllocFractionA])) &lt; 0.03</f>
        <v>#VALUE!</v>
      </c>
      <c r="F46" s="3" t="e">
        <f>LOOKUP(C46, SweepStudyConfig[StudyId], SweepStudyConfig[NSweepStratumTotal])</f>
        <v>#VALUE!</v>
      </c>
      <c r="G46" s="3" t="e">
        <f>ROUND(F46 * D46)</f>
        <v>#VALUE!</v>
      </c>
      <c r="H46" s="3" t="e">
        <f>F46 - G46</f>
        <v>#VALUE!</v>
      </c>
      <c r="I46" s="3" t="e">
        <f>LOOKUP(C46, SweepStudyConfig[StudyId], SweepStudyConfig[NFixedA])</f>
        <v>#VALUE!</v>
      </c>
      <c r="J46" s="3" t="e">
        <f>LOOKUP(C46, SweepStudyConfig[StudyId], SweepStudyConfig[NFixedB])</f>
        <v>#VALUE!</v>
      </c>
      <c r="K46" s="3" t="e">
        <f>LOOKUP(C46, SweepStudyConfig[StudyId], SweepStudyConfig[SweepRateA])</f>
        <v>#VALUE!</v>
      </c>
      <c r="L46" s="3" t="e">
        <f>LOOKUP(C46, SweepStudyConfig[StudyId], SweepStudyConfig[SweepRateB])</f>
        <v>#VALUE!</v>
      </c>
      <c r="M46" s="3" t="e">
        <f>LOOKUP(C46, SweepStudyConfig[StudyId], SweepStudyConfig[FixedRateA])</f>
        <v>#VALUE!</v>
      </c>
      <c r="N46" s="3" t="e">
        <f>LOOKUP(C46, SweepStudyConfig[StudyId], SweepStudyConfig[FixedRateB])</f>
        <v>#VALUE!</v>
      </c>
      <c r="O46" s="3" t="e">
        <f>IF(G46 + I46 = 0, "", (G46 * K46 + I46 * M46) / (G46 + I46))</f>
        <v>#VALUE!</v>
      </c>
      <c r="P46" s="3" t="e">
        <f>IF(H46 + J46 = 0, "", (H46 * L46 + J46 * N46) / (H46 + J46))</f>
        <v>#VALUE!</v>
      </c>
      <c r="Q46" s="3" t="e">
        <f>IF(O46 = "", "", O46 - P46)</f>
        <v>#VALUE!</v>
      </c>
      <c r="R46" s="3" t="e">
        <f>LOOKUP(C46, SweepStudyConfig[StudyId], SweepStudyConfig[SweepCorrectedGap])</f>
        <v>#VALUE!</v>
      </c>
      <c r="S46" s="3" t="e">
        <f>IF(Q46 = "", "", Q46 - R46)</f>
        <v>#VALUE!</v>
      </c>
    </row>
    <row r="47">
      <c r="A47" s="2" t="s">
        <v>3335</v>
      </c>
      <c r="B47" s="3" t="str">
        <f>A47</f>
        <v>compressed-synthetic-f055</v>
      </c>
      <c r="C47" s="2" t="s">
        <v>434</v>
      </c>
      <c r="D47" s="2">
        <v>0.55</v>
      </c>
      <c r="E47" s="3" t="e">
        <f>ABS(D47 - LOOKUP(C47, SweepStudyConfig[StudyId], SweepStudyConfig[OriginalAllocFractionA])) &lt; 0.03</f>
        <v>#VALUE!</v>
      </c>
      <c r="F47" s="3" t="e">
        <f>LOOKUP(C47, SweepStudyConfig[StudyId], SweepStudyConfig[NSweepStratumTotal])</f>
        <v>#VALUE!</v>
      </c>
      <c r="G47" s="3" t="e">
        <f>ROUND(F47 * D47)</f>
        <v>#VALUE!</v>
      </c>
      <c r="H47" s="3" t="e">
        <f>F47 - G47</f>
        <v>#VALUE!</v>
      </c>
      <c r="I47" s="3" t="e">
        <f>LOOKUP(C47, SweepStudyConfig[StudyId], SweepStudyConfig[NFixedA])</f>
        <v>#VALUE!</v>
      </c>
      <c r="J47" s="3" t="e">
        <f>LOOKUP(C47, SweepStudyConfig[StudyId], SweepStudyConfig[NFixedB])</f>
        <v>#VALUE!</v>
      </c>
      <c r="K47" s="3" t="e">
        <f>LOOKUP(C47, SweepStudyConfig[StudyId], SweepStudyConfig[SweepRateA])</f>
        <v>#VALUE!</v>
      </c>
      <c r="L47" s="3" t="e">
        <f>LOOKUP(C47, SweepStudyConfig[StudyId], SweepStudyConfig[SweepRateB])</f>
        <v>#VALUE!</v>
      </c>
      <c r="M47" s="3" t="e">
        <f>LOOKUP(C47, SweepStudyConfig[StudyId], SweepStudyConfig[FixedRateA])</f>
        <v>#VALUE!</v>
      </c>
      <c r="N47" s="3" t="e">
        <f>LOOKUP(C47, SweepStudyConfig[StudyId], SweepStudyConfig[FixedRateB])</f>
        <v>#VALUE!</v>
      </c>
      <c r="O47" s="3" t="e">
        <f>IF(G47 + I47 = 0, "", (G47 * K47 + I47 * M47) / (G47 + I47))</f>
        <v>#VALUE!</v>
      </c>
      <c r="P47" s="3" t="e">
        <f>IF(H47 + J47 = 0, "", (H47 * L47 + J47 * N47) / (H47 + J47))</f>
        <v>#VALUE!</v>
      </c>
      <c r="Q47" s="3" t="e">
        <f>IF(O47 = "", "", O47 - P47)</f>
        <v>#VALUE!</v>
      </c>
      <c r="R47" s="3" t="e">
        <f>LOOKUP(C47, SweepStudyConfig[StudyId], SweepStudyConfig[SweepCorrectedGap])</f>
        <v>#VALUE!</v>
      </c>
      <c r="S47" s="3" t="e">
        <f>IF(Q47 = "", "", Q47 - R47)</f>
        <v>#VALUE!</v>
      </c>
    </row>
    <row r="48">
      <c r="A48" s="2" t="s">
        <v>3336</v>
      </c>
      <c r="B48" s="3" t="str">
        <f>A48</f>
        <v>compressed-synthetic-f065</v>
      </c>
      <c r="C48" s="2" t="s">
        <v>434</v>
      </c>
      <c r="D48" s="2">
        <v>0.65</v>
      </c>
      <c r="E48" s="3" t="e">
        <f>ABS(D48 - LOOKUP(C48, SweepStudyConfig[StudyId], SweepStudyConfig[OriginalAllocFractionA])) &lt; 0.03</f>
        <v>#VALUE!</v>
      </c>
      <c r="F48" s="3" t="e">
        <f>LOOKUP(C48, SweepStudyConfig[StudyId], SweepStudyConfig[NSweepStratumTotal])</f>
        <v>#VALUE!</v>
      </c>
      <c r="G48" s="3" t="e">
        <f>ROUND(F48 * D48)</f>
        <v>#VALUE!</v>
      </c>
      <c r="H48" s="3" t="e">
        <f>F48 - G48</f>
        <v>#VALUE!</v>
      </c>
      <c r="I48" s="3" t="e">
        <f>LOOKUP(C48, SweepStudyConfig[StudyId], SweepStudyConfig[NFixedA])</f>
        <v>#VALUE!</v>
      </c>
      <c r="J48" s="3" t="e">
        <f>LOOKUP(C48, SweepStudyConfig[StudyId], SweepStudyConfig[NFixedB])</f>
        <v>#VALUE!</v>
      </c>
      <c r="K48" s="3" t="e">
        <f>LOOKUP(C48, SweepStudyConfig[StudyId], SweepStudyConfig[SweepRateA])</f>
        <v>#VALUE!</v>
      </c>
      <c r="L48" s="3" t="e">
        <f>LOOKUP(C48, SweepStudyConfig[StudyId], SweepStudyConfig[SweepRateB])</f>
        <v>#VALUE!</v>
      </c>
      <c r="M48" s="3" t="e">
        <f>LOOKUP(C48, SweepStudyConfig[StudyId], SweepStudyConfig[FixedRateA])</f>
        <v>#VALUE!</v>
      </c>
      <c r="N48" s="3" t="e">
        <f>LOOKUP(C48, SweepStudyConfig[StudyId], SweepStudyConfig[FixedRateB])</f>
        <v>#VALUE!</v>
      </c>
      <c r="O48" s="3" t="e">
        <f>IF(G48 + I48 = 0, "", (G48 * K48 + I48 * M48) / (G48 + I48))</f>
        <v>#VALUE!</v>
      </c>
      <c r="P48" s="3" t="e">
        <f>IF(H48 + J48 = 0, "", (H48 * L48 + J48 * N48) / (H48 + J48))</f>
        <v>#VALUE!</v>
      </c>
      <c r="Q48" s="3" t="e">
        <f>IF(O48 = "", "", O48 - P48)</f>
        <v>#VALUE!</v>
      </c>
      <c r="R48" s="3" t="e">
        <f>LOOKUP(C48, SweepStudyConfig[StudyId], SweepStudyConfig[SweepCorrectedGap])</f>
        <v>#VALUE!</v>
      </c>
      <c r="S48" s="3" t="e">
        <f>IF(Q48 = "", "", Q48 - R48)</f>
        <v>#VALUE!</v>
      </c>
    </row>
    <row r="49">
      <c r="A49" s="2" t="s">
        <v>3337</v>
      </c>
      <c r="B49" s="3" t="str">
        <f>A49</f>
        <v>compressed-synthetic-f075</v>
      </c>
      <c r="C49" s="2" t="s">
        <v>434</v>
      </c>
      <c r="D49" s="2">
        <v>0.75</v>
      </c>
      <c r="E49" s="3" t="e">
        <f>ABS(D49 - LOOKUP(C49, SweepStudyConfig[StudyId], SweepStudyConfig[OriginalAllocFractionA])) &lt; 0.03</f>
        <v>#VALUE!</v>
      </c>
      <c r="F49" s="3" t="e">
        <f>LOOKUP(C49, SweepStudyConfig[StudyId], SweepStudyConfig[NSweepStratumTotal])</f>
        <v>#VALUE!</v>
      </c>
      <c r="G49" s="3" t="e">
        <f>ROUND(F49 * D49)</f>
        <v>#VALUE!</v>
      </c>
      <c r="H49" s="3" t="e">
        <f>F49 - G49</f>
        <v>#VALUE!</v>
      </c>
      <c r="I49" s="3" t="e">
        <f>LOOKUP(C49, SweepStudyConfig[StudyId], SweepStudyConfig[NFixedA])</f>
        <v>#VALUE!</v>
      </c>
      <c r="J49" s="3" t="e">
        <f>LOOKUP(C49, SweepStudyConfig[StudyId], SweepStudyConfig[NFixedB])</f>
        <v>#VALUE!</v>
      </c>
      <c r="K49" s="3" t="e">
        <f>LOOKUP(C49, SweepStudyConfig[StudyId], SweepStudyConfig[SweepRateA])</f>
        <v>#VALUE!</v>
      </c>
      <c r="L49" s="3" t="e">
        <f>LOOKUP(C49, SweepStudyConfig[StudyId], SweepStudyConfig[SweepRateB])</f>
        <v>#VALUE!</v>
      </c>
      <c r="M49" s="3" t="e">
        <f>LOOKUP(C49, SweepStudyConfig[StudyId], SweepStudyConfig[FixedRateA])</f>
        <v>#VALUE!</v>
      </c>
      <c r="N49" s="3" t="e">
        <f>LOOKUP(C49, SweepStudyConfig[StudyId], SweepStudyConfig[FixedRateB])</f>
        <v>#VALUE!</v>
      </c>
      <c r="O49" s="3" t="e">
        <f>IF(G49 + I49 = 0, "", (G49 * K49 + I49 * M49) / (G49 + I49))</f>
        <v>#VALUE!</v>
      </c>
      <c r="P49" s="3" t="e">
        <f>IF(H49 + J49 = 0, "", (H49 * L49 + J49 * N49) / (H49 + J49))</f>
        <v>#VALUE!</v>
      </c>
      <c r="Q49" s="3" t="e">
        <f>IF(O49 = "", "", O49 - P49)</f>
        <v>#VALUE!</v>
      </c>
      <c r="R49" s="3" t="e">
        <f>LOOKUP(C49, SweepStudyConfig[StudyId], SweepStudyConfig[SweepCorrectedGap])</f>
        <v>#VALUE!</v>
      </c>
      <c r="S49" s="3" t="e">
        <f>IF(Q49 = "", "", Q49 - R49)</f>
        <v>#VALUE!</v>
      </c>
    </row>
    <row r="50">
      <c r="A50" s="2" t="s">
        <v>3338</v>
      </c>
      <c r="B50" s="3" t="str">
        <f>A50</f>
        <v>compressed-synthetic-f085</v>
      </c>
      <c r="C50" s="2" t="s">
        <v>434</v>
      </c>
      <c r="D50" s="2">
        <v>0.85</v>
      </c>
      <c r="E50" s="3" t="e">
        <f>ABS(D50 - LOOKUP(C50, SweepStudyConfig[StudyId], SweepStudyConfig[OriginalAllocFractionA])) &lt; 0.03</f>
        <v>#VALUE!</v>
      </c>
      <c r="F50" s="3" t="e">
        <f>LOOKUP(C50, SweepStudyConfig[StudyId], SweepStudyConfig[NSweepStratumTotal])</f>
        <v>#VALUE!</v>
      </c>
      <c r="G50" s="3" t="e">
        <f>ROUND(F50 * D50)</f>
        <v>#VALUE!</v>
      </c>
      <c r="H50" s="3" t="e">
        <f>F50 - G50</f>
        <v>#VALUE!</v>
      </c>
      <c r="I50" s="3" t="e">
        <f>LOOKUP(C50, SweepStudyConfig[StudyId], SweepStudyConfig[NFixedA])</f>
        <v>#VALUE!</v>
      </c>
      <c r="J50" s="3" t="e">
        <f>LOOKUP(C50, SweepStudyConfig[StudyId], SweepStudyConfig[NFixedB])</f>
        <v>#VALUE!</v>
      </c>
      <c r="K50" s="3" t="e">
        <f>LOOKUP(C50, SweepStudyConfig[StudyId], SweepStudyConfig[SweepRateA])</f>
        <v>#VALUE!</v>
      </c>
      <c r="L50" s="3" t="e">
        <f>LOOKUP(C50, SweepStudyConfig[StudyId], SweepStudyConfig[SweepRateB])</f>
        <v>#VALUE!</v>
      </c>
      <c r="M50" s="3" t="e">
        <f>LOOKUP(C50, SweepStudyConfig[StudyId], SweepStudyConfig[FixedRateA])</f>
        <v>#VALUE!</v>
      </c>
      <c r="N50" s="3" t="e">
        <f>LOOKUP(C50, SweepStudyConfig[StudyId], SweepStudyConfig[FixedRateB])</f>
        <v>#VALUE!</v>
      </c>
      <c r="O50" s="3" t="e">
        <f>IF(G50 + I50 = 0, "", (G50 * K50 + I50 * M50) / (G50 + I50))</f>
        <v>#VALUE!</v>
      </c>
      <c r="P50" s="3" t="e">
        <f>IF(H50 + J50 = 0, "", (H50 * L50 + J50 * N50) / (H50 + J50))</f>
        <v>#VALUE!</v>
      </c>
      <c r="Q50" s="3" t="e">
        <f>IF(O50 = "", "", O50 - P50)</f>
        <v>#VALUE!</v>
      </c>
      <c r="R50" s="3" t="e">
        <f>LOOKUP(C50, SweepStudyConfig[StudyId], SweepStudyConfig[SweepCorrectedGap])</f>
        <v>#VALUE!</v>
      </c>
      <c r="S50" s="3" t="e">
        <f>IF(Q50 = "", "", Q50 - R50)</f>
        <v>#VALUE!</v>
      </c>
    </row>
    <row r="51">
      <c r="A51" s="2" t="s">
        <v>3339</v>
      </c>
      <c r="B51" s="3" t="str">
        <f>A51</f>
        <v>compressed-synthetic-f095</v>
      </c>
      <c r="C51" s="2" t="s">
        <v>434</v>
      </c>
      <c r="D51" s="2">
        <v>0.95</v>
      </c>
      <c r="E51" s="3" t="e">
        <f>ABS(D51 - LOOKUP(C51, SweepStudyConfig[StudyId], SweepStudyConfig[OriginalAllocFractionA])) &lt; 0.03</f>
        <v>#VALUE!</v>
      </c>
      <c r="F51" s="3" t="e">
        <f>LOOKUP(C51, SweepStudyConfig[StudyId], SweepStudyConfig[NSweepStratumTotal])</f>
        <v>#VALUE!</v>
      </c>
      <c r="G51" s="3" t="e">
        <f>ROUND(F51 * D51)</f>
        <v>#VALUE!</v>
      </c>
      <c r="H51" s="3" t="e">
        <f>F51 - G51</f>
        <v>#VALUE!</v>
      </c>
      <c r="I51" s="3" t="e">
        <f>LOOKUP(C51, SweepStudyConfig[StudyId], SweepStudyConfig[NFixedA])</f>
        <v>#VALUE!</v>
      </c>
      <c r="J51" s="3" t="e">
        <f>LOOKUP(C51, SweepStudyConfig[StudyId], SweepStudyConfig[NFixedB])</f>
        <v>#VALUE!</v>
      </c>
      <c r="K51" s="3" t="e">
        <f>LOOKUP(C51, SweepStudyConfig[StudyId], SweepStudyConfig[SweepRateA])</f>
        <v>#VALUE!</v>
      </c>
      <c r="L51" s="3" t="e">
        <f>LOOKUP(C51, SweepStudyConfig[StudyId], SweepStudyConfig[SweepRateB])</f>
        <v>#VALUE!</v>
      </c>
      <c r="M51" s="3" t="e">
        <f>LOOKUP(C51, SweepStudyConfig[StudyId], SweepStudyConfig[FixedRateA])</f>
        <v>#VALUE!</v>
      </c>
      <c r="N51" s="3" t="e">
        <f>LOOKUP(C51, SweepStudyConfig[StudyId], SweepStudyConfig[FixedRateB])</f>
        <v>#VALUE!</v>
      </c>
      <c r="O51" s="3" t="e">
        <f>IF(G51 + I51 = 0, "", (G51 * K51 + I51 * M51) / (G51 + I51))</f>
        <v>#VALUE!</v>
      </c>
      <c r="P51" s="3" t="e">
        <f>IF(H51 + J51 = 0, "", (H51 * L51 + J51 * N51) / (H51 + J51))</f>
        <v>#VALUE!</v>
      </c>
      <c r="Q51" s="3" t="e">
        <f>IF(O51 = "", "", O51 - P51)</f>
        <v>#VALUE!</v>
      </c>
      <c r="R51" s="3" t="e">
        <f>LOOKUP(C51, SweepStudyConfig[StudyId], SweepStudyConfig[SweepCorrectedGap])</f>
        <v>#VALUE!</v>
      </c>
      <c r="S51" s="3" t="e">
        <f>IF(Q51 = "", "", Q51 - R51)</f>
        <v>#VALUE!</v>
      </c>
    </row>
    <row r="52">
      <c r="A52" s="2" t="s">
        <v>3340</v>
      </c>
      <c r="B52" s="3" t="str">
        <f>A52</f>
        <v>reintjes-2000-f005</v>
      </c>
      <c r="C52" s="2" t="s">
        <v>437</v>
      </c>
      <c r="D52" s="2">
        <v>0.05</v>
      </c>
      <c r="E52" s="3" t="e">
        <f>ABS(D52 - LOOKUP(C52, SweepStudyConfig[StudyId], SweepStudyConfig[OriginalAllocFractionA])) &lt; 0.03</f>
        <v>#VALUE!</v>
      </c>
      <c r="F52" s="3" t="e">
        <f>LOOKUP(C52, SweepStudyConfig[StudyId], SweepStudyConfig[NSweepStratumTotal])</f>
        <v>#VALUE!</v>
      </c>
      <c r="G52" s="3" t="e">
        <f>ROUND(F52 * D52)</f>
        <v>#VALUE!</v>
      </c>
      <c r="H52" s="3" t="e">
        <f>F52 - G52</f>
        <v>#VALUE!</v>
      </c>
      <c r="I52" s="3" t="e">
        <f>LOOKUP(C52, SweepStudyConfig[StudyId], SweepStudyConfig[NFixedA])</f>
        <v>#VALUE!</v>
      </c>
      <c r="J52" s="3" t="e">
        <f>LOOKUP(C52, SweepStudyConfig[StudyId], SweepStudyConfig[NFixedB])</f>
        <v>#VALUE!</v>
      </c>
      <c r="K52" s="3" t="e">
        <f>LOOKUP(C52, SweepStudyConfig[StudyId], SweepStudyConfig[SweepRateA])</f>
        <v>#VALUE!</v>
      </c>
      <c r="L52" s="3" t="e">
        <f>LOOKUP(C52, SweepStudyConfig[StudyId], SweepStudyConfig[SweepRateB])</f>
        <v>#VALUE!</v>
      </c>
      <c r="M52" s="3" t="e">
        <f>LOOKUP(C52, SweepStudyConfig[StudyId], SweepStudyConfig[FixedRateA])</f>
        <v>#VALUE!</v>
      </c>
      <c r="N52" s="3" t="e">
        <f>LOOKUP(C52, SweepStudyConfig[StudyId], SweepStudyConfig[FixedRateB])</f>
        <v>#VALUE!</v>
      </c>
      <c r="O52" s="3" t="e">
        <f>IF(G52 + I52 = 0, "", (G52 * K52 + I52 * M52) / (G52 + I52))</f>
        <v>#VALUE!</v>
      </c>
      <c r="P52" s="3" t="e">
        <f>IF(H52 + J52 = 0, "", (H52 * L52 + J52 * N52) / (H52 + J52))</f>
        <v>#VALUE!</v>
      </c>
      <c r="Q52" s="3" t="e">
        <f>IF(O52 = "", "", O52 - P52)</f>
        <v>#VALUE!</v>
      </c>
      <c r="R52" s="3" t="e">
        <f>LOOKUP(C52, SweepStudyConfig[StudyId], SweepStudyConfig[SweepCorrectedGap])</f>
        <v>#VALUE!</v>
      </c>
      <c r="S52" s="3" t="e">
        <f>IF(Q52 = "", "", Q52 - R52)</f>
        <v>#VALUE!</v>
      </c>
    </row>
    <row r="53">
      <c r="A53" s="2" t="s">
        <v>3341</v>
      </c>
      <c r="B53" s="3" t="str">
        <f>A53</f>
        <v>reintjes-2000-f015</v>
      </c>
      <c r="C53" s="2" t="s">
        <v>437</v>
      </c>
      <c r="D53" s="2">
        <v>0.15</v>
      </c>
      <c r="E53" s="3" t="e">
        <f>ABS(D53 - LOOKUP(C53, SweepStudyConfig[StudyId], SweepStudyConfig[OriginalAllocFractionA])) &lt; 0.03</f>
        <v>#VALUE!</v>
      </c>
      <c r="F53" s="3" t="e">
        <f>LOOKUP(C53, SweepStudyConfig[StudyId], SweepStudyConfig[NSweepStratumTotal])</f>
        <v>#VALUE!</v>
      </c>
      <c r="G53" s="3" t="e">
        <f>ROUND(F53 * D53)</f>
        <v>#VALUE!</v>
      </c>
      <c r="H53" s="3" t="e">
        <f>F53 - G53</f>
        <v>#VALUE!</v>
      </c>
      <c r="I53" s="3" t="e">
        <f>LOOKUP(C53, SweepStudyConfig[StudyId], SweepStudyConfig[NFixedA])</f>
        <v>#VALUE!</v>
      </c>
      <c r="J53" s="3" t="e">
        <f>LOOKUP(C53, SweepStudyConfig[StudyId], SweepStudyConfig[NFixedB])</f>
        <v>#VALUE!</v>
      </c>
      <c r="K53" s="3" t="e">
        <f>LOOKUP(C53, SweepStudyConfig[StudyId], SweepStudyConfig[SweepRateA])</f>
        <v>#VALUE!</v>
      </c>
      <c r="L53" s="3" t="e">
        <f>LOOKUP(C53, SweepStudyConfig[StudyId], SweepStudyConfig[SweepRateB])</f>
        <v>#VALUE!</v>
      </c>
      <c r="M53" s="3" t="e">
        <f>LOOKUP(C53, SweepStudyConfig[StudyId], SweepStudyConfig[FixedRateA])</f>
        <v>#VALUE!</v>
      </c>
      <c r="N53" s="3" t="e">
        <f>LOOKUP(C53, SweepStudyConfig[StudyId], SweepStudyConfig[FixedRateB])</f>
        <v>#VALUE!</v>
      </c>
      <c r="O53" s="3" t="e">
        <f>IF(G53 + I53 = 0, "", (G53 * K53 + I53 * M53) / (G53 + I53))</f>
        <v>#VALUE!</v>
      </c>
      <c r="P53" s="3" t="e">
        <f>IF(H53 + J53 = 0, "", (H53 * L53 + J53 * N53) / (H53 + J53))</f>
        <v>#VALUE!</v>
      </c>
      <c r="Q53" s="3" t="e">
        <f>IF(O53 = "", "", O53 - P53)</f>
        <v>#VALUE!</v>
      </c>
      <c r="R53" s="3" t="e">
        <f>LOOKUP(C53, SweepStudyConfig[StudyId], SweepStudyConfig[SweepCorrectedGap])</f>
        <v>#VALUE!</v>
      </c>
      <c r="S53" s="3" t="e">
        <f>IF(Q53 = "", "", Q53 - R53)</f>
        <v>#VALUE!</v>
      </c>
    </row>
    <row r="54">
      <c r="A54" s="2" t="s">
        <v>3342</v>
      </c>
      <c r="B54" s="3" t="str">
        <f>A54</f>
        <v>reintjes-2000-f025</v>
      </c>
      <c r="C54" s="2" t="s">
        <v>437</v>
      </c>
      <c r="D54" s="2">
        <v>0.25</v>
      </c>
      <c r="E54" s="3" t="e">
        <f>ABS(D54 - LOOKUP(C54, SweepStudyConfig[StudyId], SweepStudyConfig[OriginalAllocFractionA])) &lt; 0.03</f>
        <v>#VALUE!</v>
      </c>
      <c r="F54" s="3" t="e">
        <f>LOOKUP(C54, SweepStudyConfig[StudyId], SweepStudyConfig[NSweepStratumTotal])</f>
        <v>#VALUE!</v>
      </c>
      <c r="G54" s="3" t="e">
        <f>ROUND(F54 * D54)</f>
        <v>#VALUE!</v>
      </c>
      <c r="H54" s="3" t="e">
        <f>F54 - G54</f>
        <v>#VALUE!</v>
      </c>
      <c r="I54" s="3" t="e">
        <f>LOOKUP(C54, SweepStudyConfig[StudyId], SweepStudyConfig[NFixedA])</f>
        <v>#VALUE!</v>
      </c>
      <c r="J54" s="3" t="e">
        <f>LOOKUP(C54, SweepStudyConfig[StudyId], SweepStudyConfig[NFixedB])</f>
        <v>#VALUE!</v>
      </c>
      <c r="K54" s="3" t="e">
        <f>LOOKUP(C54, SweepStudyConfig[StudyId], SweepStudyConfig[SweepRateA])</f>
        <v>#VALUE!</v>
      </c>
      <c r="L54" s="3" t="e">
        <f>LOOKUP(C54, SweepStudyConfig[StudyId], SweepStudyConfig[SweepRateB])</f>
        <v>#VALUE!</v>
      </c>
      <c r="M54" s="3" t="e">
        <f>LOOKUP(C54, SweepStudyConfig[StudyId], SweepStudyConfig[FixedRateA])</f>
        <v>#VALUE!</v>
      </c>
      <c r="N54" s="3" t="e">
        <f>LOOKUP(C54, SweepStudyConfig[StudyId], SweepStudyConfig[FixedRateB])</f>
        <v>#VALUE!</v>
      </c>
      <c r="O54" s="3" t="e">
        <f>IF(G54 + I54 = 0, "", (G54 * K54 + I54 * M54) / (G54 + I54))</f>
        <v>#VALUE!</v>
      </c>
      <c r="P54" s="3" t="e">
        <f>IF(H54 + J54 = 0, "", (H54 * L54 + J54 * N54) / (H54 + J54))</f>
        <v>#VALUE!</v>
      </c>
      <c r="Q54" s="3" t="e">
        <f>IF(O54 = "", "", O54 - P54)</f>
        <v>#VALUE!</v>
      </c>
      <c r="R54" s="3" t="e">
        <f>LOOKUP(C54, SweepStudyConfig[StudyId], SweepStudyConfig[SweepCorrectedGap])</f>
        <v>#VALUE!</v>
      </c>
      <c r="S54" s="3" t="e">
        <f>IF(Q54 = "", "", Q54 - R54)</f>
        <v>#VALUE!</v>
      </c>
    </row>
    <row r="55">
      <c r="A55" s="2" t="s">
        <v>3343</v>
      </c>
      <c r="B55" s="3" t="str">
        <f>A55</f>
        <v>reintjes-2000-f035</v>
      </c>
      <c r="C55" s="2" t="s">
        <v>437</v>
      </c>
      <c r="D55" s="2">
        <v>0.35</v>
      </c>
      <c r="E55" s="3" t="e">
        <f>ABS(D55 - LOOKUP(C55, SweepStudyConfig[StudyId], SweepStudyConfig[OriginalAllocFractionA])) &lt; 0.03</f>
        <v>#VALUE!</v>
      </c>
      <c r="F55" s="3" t="e">
        <f>LOOKUP(C55, SweepStudyConfig[StudyId], SweepStudyConfig[NSweepStratumTotal])</f>
        <v>#VALUE!</v>
      </c>
      <c r="G55" s="3" t="e">
        <f>ROUND(F55 * D55)</f>
        <v>#VALUE!</v>
      </c>
      <c r="H55" s="3" t="e">
        <f>F55 - G55</f>
        <v>#VALUE!</v>
      </c>
      <c r="I55" s="3" t="e">
        <f>LOOKUP(C55, SweepStudyConfig[StudyId], SweepStudyConfig[NFixedA])</f>
        <v>#VALUE!</v>
      </c>
      <c r="J55" s="3" t="e">
        <f>LOOKUP(C55, SweepStudyConfig[StudyId], SweepStudyConfig[NFixedB])</f>
        <v>#VALUE!</v>
      </c>
      <c r="K55" s="3" t="e">
        <f>LOOKUP(C55, SweepStudyConfig[StudyId], SweepStudyConfig[SweepRateA])</f>
        <v>#VALUE!</v>
      </c>
      <c r="L55" s="3" t="e">
        <f>LOOKUP(C55, SweepStudyConfig[StudyId], SweepStudyConfig[SweepRateB])</f>
        <v>#VALUE!</v>
      </c>
      <c r="M55" s="3" t="e">
        <f>LOOKUP(C55, SweepStudyConfig[StudyId], SweepStudyConfig[FixedRateA])</f>
        <v>#VALUE!</v>
      </c>
      <c r="N55" s="3" t="e">
        <f>LOOKUP(C55, SweepStudyConfig[StudyId], SweepStudyConfig[FixedRateB])</f>
        <v>#VALUE!</v>
      </c>
      <c r="O55" s="3" t="e">
        <f>IF(G55 + I55 = 0, "", (G55 * K55 + I55 * M55) / (G55 + I55))</f>
        <v>#VALUE!</v>
      </c>
      <c r="P55" s="3" t="e">
        <f>IF(H55 + J55 = 0, "", (H55 * L55 + J55 * N55) / (H55 + J55))</f>
        <v>#VALUE!</v>
      </c>
      <c r="Q55" s="3" t="e">
        <f>IF(O55 = "", "", O55 - P55)</f>
        <v>#VALUE!</v>
      </c>
      <c r="R55" s="3" t="e">
        <f>LOOKUP(C55, SweepStudyConfig[StudyId], SweepStudyConfig[SweepCorrectedGap])</f>
        <v>#VALUE!</v>
      </c>
      <c r="S55" s="3" t="e">
        <f>IF(Q55 = "", "", Q55 - R55)</f>
        <v>#VALUE!</v>
      </c>
    </row>
    <row r="56">
      <c r="A56" s="2" t="s">
        <v>3344</v>
      </c>
      <c r="B56" s="3" t="str">
        <f>A56</f>
        <v>reintjes-2000-f045</v>
      </c>
      <c r="C56" s="2" t="s">
        <v>437</v>
      </c>
      <c r="D56" s="2">
        <v>0.45</v>
      </c>
      <c r="E56" s="3" t="e">
        <f>ABS(D56 - LOOKUP(C56, SweepStudyConfig[StudyId], SweepStudyConfig[OriginalAllocFractionA])) &lt; 0.03</f>
        <v>#VALUE!</v>
      </c>
      <c r="F56" s="3" t="e">
        <f>LOOKUP(C56, SweepStudyConfig[StudyId], SweepStudyConfig[NSweepStratumTotal])</f>
        <v>#VALUE!</v>
      </c>
      <c r="G56" s="3" t="e">
        <f>ROUND(F56 * D56)</f>
        <v>#VALUE!</v>
      </c>
      <c r="H56" s="3" t="e">
        <f>F56 - G56</f>
        <v>#VALUE!</v>
      </c>
      <c r="I56" s="3" t="e">
        <f>LOOKUP(C56, SweepStudyConfig[StudyId], SweepStudyConfig[NFixedA])</f>
        <v>#VALUE!</v>
      </c>
      <c r="J56" s="3" t="e">
        <f>LOOKUP(C56, SweepStudyConfig[StudyId], SweepStudyConfig[NFixedB])</f>
        <v>#VALUE!</v>
      </c>
      <c r="K56" s="3" t="e">
        <f>LOOKUP(C56, SweepStudyConfig[StudyId], SweepStudyConfig[SweepRateA])</f>
        <v>#VALUE!</v>
      </c>
      <c r="L56" s="3" t="e">
        <f>LOOKUP(C56, SweepStudyConfig[StudyId], SweepStudyConfig[SweepRateB])</f>
        <v>#VALUE!</v>
      </c>
      <c r="M56" s="3" t="e">
        <f>LOOKUP(C56, SweepStudyConfig[StudyId], SweepStudyConfig[FixedRateA])</f>
        <v>#VALUE!</v>
      </c>
      <c r="N56" s="3" t="e">
        <f>LOOKUP(C56, SweepStudyConfig[StudyId], SweepStudyConfig[FixedRateB])</f>
        <v>#VALUE!</v>
      </c>
      <c r="O56" s="3" t="e">
        <f>IF(G56 + I56 = 0, "", (G56 * K56 + I56 * M56) / (G56 + I56))</f>
        <v>#VALUE!</v>
      </c>
      <c r="P56" s="3" t="e">
        <f>IF(H56 + J56 = 0, "", (H56 * L56 + J56 * N56) / (H56 + J56))</f>
        <v>#VALUE!</v>
      </c>
      <c r="Q56" s="3" t="e">
        <f>IF(O56 = "", "", O56 - P56)</f>
        <v>#VALUE!</v>
      </c>
      <c r="R56" s="3" t="e">
        <f>LOOKUP(C56, SweepStudyConfig[StudyId], SweepStudyConfig[SweepCorrectedGap])</f>
        <v>#VALUE!</v>
      </c>
      <c r="S56" s="3" t="e">
        <f>IF(Q56 = "", "", Q56 - R56)</f>
        <v>#VALUE!</v>
      </c>
    </row>
    <row r="57">
      <c r="A57" s="2" t="s">
        <v>3345</v>
      </c>
      <c r="B57" s="3" t="str">
        <f>A57</f>
        <v>reintjes-2000-f055</v>
      </c>
      <c r="C57" s="2" t="s">
        <v>437</v>
      </c>
      <c r="D57" s="2">
        <v>0.55</v>
      </c>
      <c r="E57" s="3" t="e">
        <f>ABS(D57 - LOOKUP(C57, SweepStudyConfig[StudyId], SweepStudyConfig[OriginalAllocFractionA])) &lt; 0.03</f>
        <v>#VALUE!</v>
      </c>
      <c r="F57" s="3" t="e">
        <f>LOOKUP(C57, SweepStudyConfig[StudyId], SweepStudyConfig[NSweepStratumTotal])</f>
        <v>#VALUE!</v>
      </c>
      <c r="G57" s="3" t="e">
        <f>ROUND(F57 * D57)</f>
        <v>#VALUE!</v>
      </c>
      <c r="H57" s="3" t="e">
        <f>F57 - G57</f>
        <v>#VALUE!</v>
      </c>
      <c r="I57" s="3" t="e">
        <f>LOOKUP(C57, SweepStudyConfig[StudyId], SweepStudyConfig[NFixedA])</f>
        <v>#VALUE!</v>
      </c>
      <c r="J57" s="3" t="e">
        <f>LOOKUP(C57, SweepStudyConfig[StudyId], SweepStudyConfig[NFixedB])</f>
        <v>#VALUE!</v>
      </c>
      <c r="K57" s="3" t="e">
        <f>LOOKUP(C57, SweepStudyConfig[StudyId], SweepStudyConfig[SweepRateA])</f>
        <v>#VALUE!</v>
      </c>
      <c r="L57" s="3" t="e">
        <f>LOOKUP(C57, SweepStudyConfig[StudyId], SweepStudyConfig[SweepRateB])</f>
        <v>#VALUE!</v>
      </c>
      <c r="M57" s="3" t="e">
        <f>LOOKUP(C57, SweepStudyConfig[StudyId], SweepStudyConfig[FixedRateA])</f>
        <v>#VALUE!</v>
      </c>
      <c r="N57" s="3" t="e">
        <f>LOOKUP(C57, SweepStudyConfig[StudyId], SweepStudyConfig[FixedRateB])</f>
        <v>#VALUE!</v>
      </c>
      <c r="O57" s="3" t="e">
        <f>IF(G57 + I57 = 0, "", (G57 * K57 + I57 * M57) / (G57 + I57))</f>
        <v>#VALUE!</v>
      </c>
      <c r="P57" s="3" t="e">
        <f>IF(H57 + J57 = 0, "", (H57 * L57 + J57 * N57) / (H57 + J57))</f>
        <v>#VALUE!</v>
      </c>
      <c r="Q57" s="3" t="e">
        <f>IF(O57 = "", "", O57 - P57)</f>
        <v>#VALUE!</v>
      </c>
      <c r="R57" s="3" t="e">
        <f>LOOKUP(C57, SweepStudyConfig[StudyId], SweepStudyConfig[SweepCorrectedGap])</f>
        <v>#VALUE!</v>
      </c>
      <c r="S57" s="3" t="e">
        <f>IF(Q57 = "", "", Q57 - R57)</f>
        <v>#VALUE!</v>
      </c>
    </row>
    <row r="58">
      <c r="A58" s="2" t="s">
        <v>3346</v>
      </c>
      <c r="B58" s="3" t="str">
        <f>A58</f>
        <v>reintjes-2000-f065</v>
      </c>
      <c r="C58" s="2" t="s">
        <v>437</v>
      </c>
      <c r="D58" s="2">
        <v>0.65</v>
      </c>
      <c r="E58" s="3" t="e">
        <f>ABS(D58 - LOOKUP(C58, SweepStudyConfig[StudyId], SweepStudyConfig[OriginalAllocFractionA])) &lt; 0.03</f>
        <v>#VALUE!</v>
      </c>
      <c r="F58" s="3" t="e">
        <f>LOOKUP(C58, SweepStudyConfig[StudyId], SweepStudyConfig[NSweepStratumTotal])</f>
        <v>#VALUE!</v>
      </c>
      <c r="G58" s="3" t="e">
        <f>ROUND(F58 * D58)</f>
        <v>#VALUE!</v>
      </c>
      <c r="H58" s="3" t="e">
        <f>F58 - G58</f>
        <v>#VALUE!</v>
      </c>
      <c r="I58" s="3" t="e">
        <f>LOOKUP(C58, SweepStudyConfig[StudyId], SweepStudyConfig[NFixedA])</f>
        <v>#VALUE!</v>
      </c>
      <c r="J58" s="3" t="e">
        <f>LOOKUP(C58, SweepStudyConfig[StudyId], SweepStudyConfig[NFixedB])</f>
        <v>#VALUE!</v>
      </c>
      <c r="K58" s="3" t="e">
        <f>LOOKUP(C58, SweepStudyConfig[StudyId], SweepStudyConfig[SweepRateA])</f>
        <v>#VALUE!</v>
      </c>
      <c r="L58" s="3" t="e">
        <f>LOOKUP(C58, SweepStudyConfig[StudyId], SweepStudyConfig[SweepRateB])</f>
        <v>#VALUE!</v>
      </c>
      <c r="M58" s="3" t="e">
        <f>LOOKUP(C58, SweepStudyConfig[StudyId], SweepStudyConfig[FixedRateA])</f>
        <v>#VALUE!</v>
      </c>
      <c r="N58" s="3" t="e">
        <f>LOOKUP(C58, SweepStudyConfig[StudyId], SweepStudyConfig[FixedRateB])</f>
        <v>#VALUE!</v>
      </c>
      <c r="O58" s="3" t="e">
        <f>IF(G58 + I58 = 0, "", (G58 * K58 + I58 * M58) / (G58 + I58))</f>
        <v>#VALUE!</v>
      </c>
      <c r="P58" s="3" t="e">
        <f>IF(H58 + J58 = 0, "", (H58 * L58 + J58 * N58) / (H58 + J58))</f>
        <v>#VALUE!</v>
      </c>
      <c r="Q58" s="3" t="e">
        <f>IF(O58 = "", "", O58 - P58)</f>
        <v>#VALUE!</v>
      </c>
      <c r="R58" s="3" t="e">
        <f>LOOKUP(C58, SweepStudyConfig[StudyId], SweepStudyConfig[SweepCorrectedGap])</f>
        <v>#VALUE!</v>
      </c>
      <c r="S58" s="3" t="e">
        <f>IF(Q58 = "", "", Q58 - R58)</f>
        <v>#VALUE!</v>
      </c>
    </row>
    <row r="59">
      <c r="A59" s="2" t="s">
        <v>3347</v>
      </c>
      <c r="B59" s="3" t="str">
        <f>A59</f>
        <v>reintjes-2000-f075</v>
      </c>
      <c r="C59" s="2" t="s">
        <v>437</v>
      </c>
      <c r="D59" s="2">
        <v>0.75</v>
      </c>
      <c r="E59" s="3" t="e">
        <f>ABS(D59 - LOOKUP(C59, SweepStudyConfig[StudyId], SweepStudyConfig[OriginalAllocFractionA])) &lt; 0.03</f>
        <v>#VALUE!</v>
      </c>
      <c r="F59" s="3" t="e">
        <f>LOOKUP(C59, SweepStudyConfig[StudyId], SweepStudyConfig[NSweepStratumTotal])</f>
        <v>#VALUE!</v>
      </c>
      <c r="G59" s="3" t="e">
        <f>ROUND(F59 * D59)</f>
        <v>#VALUE!</v>
      </c>
      <c r="H59" s="3" t="e">
        <f>F59 - G59</f>
        <v>#VALUE!</v>
      </c>
      <c r="I59" s="3" t="e">
        <f>LOOKUP(C59, SweepStudyConfig[StudyId], SweepStudyConfig[NFixedA])</f>
        <v>#VALUE!</v>
      </c>
      <c r="J59" s="3" t="e">
        <f>LOOKUP(C59, SweepStudyConfig[StudyId], SweepStudyConfig[NFixedB])</f>
        <v>#VALUE!</v>
      </c>
      <c r="K59" s="3" t="e">
        <f>LOOKUP(C59, SweepStudyConfig[StudyId], SweepStudyConfig[SweepRateA])</f>
        <v>#VALUE!</v>
      </c>
      <c r="L59" s="3" t="e">
        <f>LOOKUP(C59, SweepStudyConfig[StudyId], SweepStudyConfig[SweepRateB])</f>
        <v>#VALUE!</v>
      </c>
      <c r="M59" s="3" t="e">
        <f>LOOKUP(C59, SweepStudyConfig[StudyId], SweepStudyConfig[FixedRateA])</f>
        <v>#VALUE!</v>
      </c>
      <c r="N59" s="3" t="e">
        <f>LOOKUP(C59, SweepStudyConfig[StudyId], SweepStudyConfig[FixedRateB])</f>
        <v>#VALUE!</v>
      </c>
      <c r="O59" s="3" t="e">
        <f>IF(G59 + I59 = 0, "", (G59 * K59 + I59 * M59) / (G59 + I59))</f>
        <v>#VALUE!</v>
      </c>
      <c r="P59" s="3" t="e">
        <f>IF(H59 + J59 = 0, "", (H59 * L59 + J59 * N59) / (H59 + J59))</f>
        <v>#VALUE!</v>
      </c>
      <c r="Q59" s="3" t="e">
        <f>IF(O59 = "", "", O59 - P59)</f>
        <v>#VALUE!</v>
      </c>
      <c r="R59" s="3" t="e">
        <f>LOOKUP(C59, SweepStudyConfig[StudyId], SweepStudyConfig[SweepCorrectedGap])</f>
        <v>#VALUE!</v>
      </c>
      <c r="S59" s="3" t="e">
        <f>IF(Q59 = "", "", Q59 - R59)</f>
        <v>#VALUE!</v>
      </c>
    </row>
    <row r="60">
      <c r="A60" s="2" t="s">
        <v>3348</v>
      </c>
      <c r="B60" s="3" t="str">
        <f>A60</f>
        <v>reintjes-2000-f085</v>
      </c>
      <c r="C60" s="2" t="s">
        <v>437</v>
      </c>
      <c r="D60" s="2">
        <v>0.85</v>
      </c>
      <c r="E60" s="3" t="e">
        <f>ABS(D60 - LOOKUP(C60, SweepStudyConfig[StudyId], SweepStudyConfig[OriginalAllocFractionA])) &lt; 0.03</f>
        <v>#VALUE!</v>
      </c>
      <c r="F60" s="3" t="e">
        <f>LOOKUP(C60, SweepStudyConfig[StudyId], SweepStudyConfig[NSweepStratumTotal])</f>
        <v>#VALUE!</v>
      </c>
      <c r="G60" s="3" t="e">
        <f>ROUND(F60 * D60)</f>
        <v>#VALUE!</v>
      </c>
      <c r="H60" s="3" t="e">
        <f>F60 - G60</f>
        <v>#VALUE!</v>
      </c>
      <c r="I60" s="3" t="e">
        <f>LOOKUP(C60, SweepStudyConfig[StudyId], SweepStudyConfig[NFixedA])</f>
        <v>#VALUE!</v>
      </c>
      <c r="J60" s="3" t="e">
        <f>LOOKUP(C60, SweepStudyConfig[StudyId], SweepStudyConfig[NFixedB])</f>
        <v>#VALUE!</v>
      </c>
      <c r="K60" s="3" t="e">
        <f>LOOKUP(C60, SweepStudyConfig[StudyId], SweepStudyConfig[SweepRateA])</f>
        <v>#VALUE!</v>
      </c>
      <c r="L60" s="3" t="e">
        <f>LOOKUP(C60, SweepStudyConfig[StudyId], SweepStudyConfig[SweepRateB])</f>
        <v>#VALUE!</v>
      </c>
      <c r="M60" s="3" t="e">
        <f>LOOKUP(C60, SweepStudyConfig[StudyId], SweepStudyConfig[FixedRateA])</f>
        <v>#VALUE!</v>
      </c>
      <c r="N60" s="3" t="e">
        <f>LOOKUP(C60, SweepStudyConfig[StudyId], SweepStudyConfig[FixedRateB])</f>
        <v>#VALUE!</v>
      </c>
      <c r="O60" s="3" t="e">
        <f>IF(G60 + I60 = 0, "", (G60 * K60 + I60 * M60) / (G60 + I60))</f>
        <v>#VALUE!</v>
      </c>
      <c r="P60" s="3" t="e">
        <f>IF(H60 + J60 = 0, "", (H60 * L60 + J60 * N60) / (H60 + J60))</f>
        <v>#VALUE!</v>
      </c>
      <c r="Q60" s="3" t="e">
        <f>IF(O60 = "", "", O60 - P60)</f>
        <v>#VALUE!</v>
      </c>
      <c r="R60" s="3" t="e">
        <f>LOOKUP(C60, SweepStudyConfig[StudyId], SweepStudyConfig[SweepCorrectedGap])</f>
        <v>#VALUE!</v>
      </c>
      <c r="S60" s="3" t="e">
        <f>IF(Q60 = "", "", Q60 - R60)</f>
        <v>#VALUE!</v>
      </c>
    </row>
    <row r="61">
      <c r="A61" s="2" t="s">
        <v>3349</v>
      </c>
      <c r="B61" s="3" t="str">
        <f>A61</f>
        <v>reintjes-2000-f095</v>
      </c>
      <c r="C61" s="2" t="s">
        <v>437</v>
      </c>
      <c r="D61" s="2">
        <v>0.95</v>
      </c>
      <c r="E61" s="3" t="e">
        <f>ABS(D61 - LOOKUP(C61, SweepStudyConfig[StudyId], SweepStudyConfig[OriginalAllocFractionA])) &lt; 0.03</f>
        <v>#VALUE!</v>
      </c>
      <c r="F61" s="3" t="e">
        <f>LOOKUP(C61, SweepStudyConfig[StudyId], SweepStudyConfig[NSweepStratumTotal])</f>
        <v>#VALUE!</v>
      </c>
      <c r="G61" s="3" t="e">
        <f>ROUND(F61 * D61)</f>
        <v>#VALUE!</v>
      </c>
      <c r="H61" s="3" t="e">
        <f>F61 - G61</f>
        <v>#VALUE!</v>
      </c>
      <c r="I61" s="3" t="e">
        <f>LOOKUP(C61, SweepStudyConfig[StudyId], SweepStudyConfig[NFixedA])</f>
        <v>#VALUE!</v>
      </c>
      <c r="J61" s="3" t="e">
        <f>LOOKUP(C61, SweepStudyConfig[StudyId], SweepStudyConfig[NFixedB])</f>
        <v>#VALUE!</v>
      </c>
      <c r="K61" s="3" t="e">
        <f>LOOKUP(C61, SweepStudyConfig[StudyId], SweepStudyConfig[SweepRateA])</f>
        <v>#VALUE!</v>
      </c>
      <c r="L61" s="3" t="e">
        <f>LOOKUP(C61, SweepStudyConfig[StudyId], SweepStudyConfig[SweepRateB])</f>
        <v>#VALUE!</v>
      </c>
      <c r="M61" s="3" t="e">
        <f>LOOKUP(C61, SweepStudyConfig[StudyId], SweepStudyConfig[FixedRateA])</f>
        <v>#VALUE!</v>
      </c>
      <c r="N61" s="3" t="e">
        <f>LOOKUP(C61, SweepStudyConfig[StudyId], SweepStudyConfig[FixedRateB])</f>
        <v>#VALUE!</v>
      </c>
      <c r="O61" s="3" t="e">
        <f>IF(G61 + I61 = 0, "", (G61 * K61 + I61 * M61) / (G61 + I61))</f>
        <v>#VALUE!</v>
      </c>
      <c r="P61" s="3" t="e">
        <f>IF(H61 + J61 = 0, "", (H61 * L61 + J61 * N61) / (H61 + J61))</f>
        <v>#VALUE!</v>
      </c>
      <c r="Q61" s="3" t="e">
        <f>IF(O61 = "", "", O61 - P61)</f>
        <v>#VALUE!</v>
      </c>
      <c r="R61" s="3" t="e">
        <f>LOOKUP(C61, SweepStudyConfig[StudyId], SweepStudyConfig[SweepCorrectedGap])</f>
        <v>#VALUE!</v>
      </c>
      <c r="S61" s="3" t="e">
        <f>IF(Q61 = "", "", Q61 - R61)</f>
        <v>#VALUE!</v>
      </c>
    </row>
    <row r="62">
      <c r="A62" s="2" t="s">
        <v>3350</v>
      </c>
      <c r="B62" s="3" t="str">
        <f>A62</f>
        <v>radelet-1981-f005</v>
      </c>
      <c r="C62" s="2" t="s">
        <v>442</v>
      </c>
      <c r="D62" s="2">
        <v>0.05</v>
      </c>
      <c r="E62" s="3" t="e">
        <f>ABS(D62 - LOOKUP(C62, SweepStudyConfig[StudyId], SweepStudyConfig[OriginalAllocFractionA])) &lt; 0.03</f>
        <v>#VALUE!</v>
      </c>
      <c r="F62" s="3" t="e">
        <f>LOOKUP(C62, SweepStudyConfig[StudyId], SweepStudyConfig[NSweepStratumTotal])</f>
        <v>#VALUE!</v>
      </c>
      <c r="G62" s="3" t="e">
        <f>ROUND(F62 * D62)</f>
        <v>#VALUE!</v>
      </c>
      <c r="H62" s="3" t="e">
        <f>F62 - G62</f>
        <v>#VALUE!</v>
      </c>
      <c r="I62" s="3" t="e">
        <f>LOOKUP(C62, SweepStudyConfig[StudyId], SweepStudyConfig[NFixedA])</f>
        <v>#VALUE!</v>
      </c>
      <c r="J62" s="3" t="e">
        <f>LOOKUP(C62, SweepStudyConfig[StudyId], SweepStudyConfig[NFixedB])</f>
        <v>#VALUE!</v>
      </c>
      <c r="K62" s="3" t="e">
        <f>LOOKUP(C62, SweepStudyConfig[StudyId], SweepStudyConfig[SweepRateA])</f>
        <v>#VALUE!</v>
      </c>
      <c r="L62" s="3" t="e">
        <f>LOOKUP(C62, SweepStudyConfig[StudyId], SweepStudyConfig[SweepRateB])</f>
        <v>#VALUE!</v>
      </c>
      <c r="M62" s="3" t="e">
        <f>LOOKUP(C62, SweepStudyConfig[StudyId], SweepStudyConfig[FixedRateA])</f>
        <v>#VALUE!</v>
      </c>
      <c r="N62" s="3" t="e">
        <f>LOOKUP(C62, SweepStudyConfig[StudyId], SweepStudyConfig[FixedRateB])</f>
        <v>#VALUE!</v>
      </c>
      <c r="O62" s="3" t="e">
        <f>IF(G62 + I62 = 0, "", (G62 * K62 + I62 * M62) / (G62 + I62))</f>
        <v>#VALUE!</v>
      </c>
      <c r="P62" s="3" t="e">
        <f>IF(H62 + J62 = 0, "", (H62 * L62 + J62 * N62) / (H62 + J62))</f>
        <v>#VALUE!</v>
      </c>
      <c r="Q62" s="3" t="e">
        <f>IF(O62 = "", "", O62 - P62)</f>
        <v>#VALUE!</v>
      </c>
      <c r="R62" s="3" t="e">
        <f>LOOKUP(C62, SweepStudyConfig[StudyId], SweepStudyConfig[SweepCorrectedGap])</f>
        <v>#VALUE!</v>
      </c>
      <c r="S62" s="3" t="e">
        <f>IF(Q62 = "", "", Q62 - R62)</f>
        <v>#VALUE!</v>
      </c>
    </row>
    <row r="63">
      <c r="A63" s="2" t="s">
        <v>3351</v>
      </c>
      <c r="B63" s="3" t="str">
        <f>A63</f>
        <v>radelet-1981-f015</v>
      </c>
      <c r="C63" s="2" t="s">
        <v>442</v>
      </c>
      <c r="D63" s="2">
        <v>0.15</v>
      </c>
      <c r="E63" s="3" t="e">
        <f>ABS(D63 - LOOKUP(C63, SweepStudyConfig[StudyId], SweepStudyConfig[OriginalAllocFractionA])) &lt; 0.03</f>
        <v>#VALUE!</v>
      </c>
      <c r="F63" s="3" t="e">
        <f>LOOKUP(C63, SweepStudyConfig[StudyId], SweepStudyConfig[NSweepStratumTotal])</f>
        <v>#VALUE!</v>
      </c>
      <c r="G63" s="3" t="e">
        <f>ROUND(F63 * D63)</f>
        <v>#VALUE!</v>
      </c>
      <c r="H63" s="3" t="e">
        <f>F63 - G63</f>
        <v>#VALUE!</v>
      </c>
      <c r="I63" s="3" t="e">
        <f>LOOKUP(C63, SweepStudyConfig[StudyId], SweepStudyConfig[NFixedA])</f>
        <v>#VALUE!</v>
      </c>
      <c r="J63" s="3" t="e">
        <f>LOOKUP(C63, SweepStudyConfig[StudyId], SweepStudyConfig[NFixedB])</f>
        <v>#VALUE!</v>
      </c>
      <c r="K63" s="3" t="e">
        <f>LOOKUP(C63, SweepStudyConfig[StudyId], SweepStudyConfig[SweepRateA])</f>
        <v>#VALUE!</v>
      </c>
      <c r="L63" s="3" t="e">
        <f>LOOKUP(C63, SweepStudyConfig[StudyId], SweepStudyConfig[SweepRateB])</f>
        <v>#VALUE!</v>
      </c>
      <c r="M63" s="3" t="e">
        <f>LOOKUP(C63, SweepStudyConfig[StudyId], SweepStudyConfig[FixedRateA])</f>
        <v>#VALUE!</v>
      </c>
      <c r="N63" s="3" t="e">
        <f>LOOKUP(C63, SweepStudyConfig[StudyId], SweepStudyConfig[FixedRateB])</f>
        <v>#VALUE!</v>
      </c>
      <c r="O63" s="3" t="e">
        <f>IF(G63 + I63 = 0, "", (G63 * K63 + I63 * M63) / (G63 + I63))</f>
        <v>#VALUE!</v>
      </c>
      <c r="P63" s="3" t="e">
        <f>IF(H63 + J63 = 0, "", (H63 * L63 + J63 * N63) / (H63 + J63))</f>
        <v>#VALUE!</v>
      </c>
      <c r="Q63" s="3" t="e">
        <f>IF(O63 = "", "", O63 - P63)</f>
        <v>#VALUE!</v>
      </c>
      <c r="R63" s="3" t="e">
        <f>LOOKUP(C63, SweepStudyConfig[StudyId], SweepStudyConfig[SweepCorrectedGap])</f>
        <v>#VALUE!</v>
      </c>
      <c r="S63" s="3" t="e">
        <f>IF(Q63 = "", "", Q63 - R63)</f>
        <v>#VALUE!</v>
      </c>
    </row>
    <row r="64">
      <c r="A64" s="2" t="s">
        <v>3352</v>
      </c>
      <c r="B64" s="3" t="str">
        <f>A64</f>
        <v>radelet-1981-f025</v>
      </c>
      <c r="C64" s="2" t="s">
        <v>442</v>
      </c>
      <c r="D64" s="2">
        <v>0.25</v>
      </c>
      <c r="E64" s="3" t="e">
        <f>ABS(D64 - LOOKUP(C64, SweepStudyConfig[StudyId], SweepStudyConfig[OriginalAllocFractionA])) &lt; 0.03</f>
        <v>#VALUE!</v>
      </c>
      <c r="F64" s="3" t="e">
        <f>LOOKUP(C64, SweepStudyConfig[StudyId], SweepStudyConfig[NSweepStratumTotal])</f>
        <v>#VALUE!</v>
      </c>
      <c r="G64" s="3" t="e">
        <f>ROUND(F64 * D64)</f>
        <v>#VALUE!</v>
      </c>
      <c r="H64" s="3" t="e">
        <f>F64 - G64</f>
        <v>#VALUE!</v>
      </c>
      <c r="I64" s="3" t="e">
        <f>LOOKUP(C64, SweepStudyConfig[StudyId], SweepStudyConfig[NFixedA])</f>
        <v>#VALUE!</v>
      </c>
      <c r="J64" s="3" t="e">
        <f>LOOKUP(C64, SweepStudyConfig[StudyId], SweepStudyConfig[NFixedB])</f>
        <v>#VALUE!</v>
      </c>
      <c r="K64" s="3" t="e">
        <f>LOOKUP(C64, SweepStudyConfig[StudyId], SweepStudyConfig[SweepRateA])</f>
        <v>#VALUE!</v>
      </c>
      <c r="L64" s="3" t="e">
        <f>LOOKUP(C64, SweepStudyConfig[StudyId], SweepStudyConfig[SweepRateB])</f>
        <v>#VALUE!</v>
      </c>
      <c r="M64" s="3" t="e">
        <f>LOOKUP(C64, SweepStudyConfig[StudyId], SweepStudyConfig[FixedRateA])</f>
        <v>#VALUE!</v>
      </c>
      <c r="N64" s="3" t="e">
        <f>LOOKUP(C64, SweepStudyConfig[StudyId], SweepStudyConfig[FixedRateB])</f>
        <v>#VALUE!</v>
      </c>
      <c r="O64" s="3" t="e">
        <f>IF(G64 + I64 = 0, "", (G64 * K64 + I64 * M64) / (G64 + I64))</f>
        <v>#VALUE!</v>
      </c>
      <c r="P64" s="3" t="e">
        <f>IF(H64 + J64 = 0, "", (H64 * L64 + J64 * N64) / (H64 + J64))</f>
        <v>#VALUE!</v>
      </c>
      <c r="Q64" s="3" t="e">
        <f>IF(O64 = "", "", O64 - P64)</f>
        <v>#VALUE!</v>
      </c>
      <c r="R64" s="3" t="e">
        <f>LOOKUP(C64, SweepStudyConfig[StudyId], SweepStudyConfig[SweepCorrectedGap])</f>
        <v>#VALUE!</v>
      </c>
      <c r="S64" s="3" t="e">
        <f>IF(Q64 = "", "", Q64 - R64)</f>
        <v>#VALUE!</v>
      </c>
    </row>
    <row r="65">
      <c r="A65" s="2" t="s">
        <v>3353</v>
      </c>
      <c r="B65" s="3" t="str">
        <f>A65</f>
        <v>radelet-1981-f035</v>
      </c>
      <c r="C65" s="2" t="s">
        <v>442</v>
      </c>
      <c r="D65" s="2">
        <v>0.35</v>
      </c>
      <c r="E65" s="3" t="e">
        <f>ABS(D65 - LOOKUP(C65, SweepStudyConfig[StudyId], SweepStudyConfig[OriginalAllocFractionA])) &lt; 0.03</f>
        <v>#VALUE!</v>
      </c>
      <c r="F65" s="3" t="e">
        <f>LOOKUP(C65, SweepStudyConfig[StudyId], SweepStudyConfig[NSweepStratumTotal])</f>
        <v>#VALUE!</v>
      </c>
      <c r="G65" s="3" t="e">
        <f>ROUND(F65 * D65)</f>
        <v>#VALUE!</v>
      </c>
      <c r="H65" s="3" t="e">
        <f>F65 - G65</f>
        <v>#VALUE!</v>
      </c>
      <c r="I65" s="3" t="e">
        <f>LOOKUP(C65, SweepStudyConfig[StudyId], SweepStudyConfig[NFixedA])</f>
        <v>#VALUE!</v>
      </c>
      <c r="J65" s="3" t="e">
        <f>LOOKUP(C65, SweepStudyConfig[StudyId], SweepStudyConfig[NFixedB])</f>
        <v>#VALUE!</v>
      </c>
      <c r="K65" s="3" t="e">
        <f>LOOKUP(C65, SweepStudyConfig[StudyId], SweepStudyConfig[SweepRateA])</f>
        <v>#VALUE!</v>
      </c>
      <c r="L65" s="3" t="e">
        <f>LOOKUP(C65, SweepStudyConfig[StudyId], SweepStudyConfig[SweepRateB])</f>
        <v>#VALUE!</v>
      </c>
      <c r="M65" s="3" t="e">
        <f>LOOKUP(C65, SweepStudyConfig[StudyId], SweepStudyConfig[FixedRateA])</f>
        <v>#VALUE!</v>
      </c>
      <c r="N65" s="3" t="e">
        <f>LOOKUP(C65, SweepStudyConfig[StudyId], SweepStudyConfig[FixedRateB])</f>
        <v>#VALUE!</v>
      </c>
      <c r="O65" s="3" t="e">
        <f>IF(G65 + I65 = 0, "", (G65 * K65 + I65 * M65) / (G65 + I65))</f>
        <v>#VALUE!</v>
      </c>
      <c r="P65" s="3" t="e">
        <f>IF(H65 + J65 = 0, "", (H65 * L65 + J65 * N65) / (H65 + J65))</f>
        <v>#VALUE!</v>
      </c>
      <c r="Q65" s="3" t="e">
        <f>IF(O65 = "", "", O65 - P65)</f>
        <v>#VALUE!</v>
      </c>
      <c r="R65" s="3" t="e">
        <f>LOOKUP(C65, SweepStudyConfig[StudyId], SweepStudyConfig[SweepCorrectedGap])</f>
        <v>#VALUE!</v>
      </c>
      <c r="S65" s="3" t="e">
        <f>IF(Q65 = "", "", Q65 - R65)</f>
        <v>#VALUE!</v>
      </c>
    </row>
    <row r="66">
      <c r="A66" s="2" t="s">
        <v>3354</v>
      </c>
      <c r="B66" s="3" t="str">
        <f>A66</f>
        <v>radelet-1981-f045</v>
      </c>
      <c r="C66" s="2" t="s">
        <v>442</v>
      </c>
      <c r="D66" s="2">
        <v>0.45</v>
      </c>
      <c r="E66" s="3" t="e">
        <f>ABS(D66 - LOOKUP(C66, SweepStudyConfig[StudyId], SweepStudyConfig[OriginalAllocFractionA])) &lt; 0.03</f>
        <v>#VALUE!</v>
      </c>
      <c r="F66" s="3" t="e">
        <f>LOOKUP(C66, SweepStudyConfig[StudyId], SweepStudyConfig[NSweepStratumTotal])</f>
        <v>#VALUE!</v>
      </c>
      <c r="G66" s="3" t="e">
        <f>ROUND(F66 * D66)</f>
        <v>#VALUE!</v>
      </c>
      <c r="H66" s="3" t="e">
        <f>F66 - G66</f>
        <v>#VALUE!</v>
      </c>
      <c r="I66" s="3" t="e">
        <f>LOOKUP(C66, SweepStudyConfig[StudyId], SweepStudyConfig[NFixedA])</f>
        <v>#VALUE!</v>
      </c>
      <c r="J66" s="3" t="e">
        <f>LOOKUP(C66, SweepStudyConfig[StudyId], SweepStudyConfig[NFixedB])</f>
        <v>#VALUE!</v>
      </c>
      <c r="K66" s="3" t="e">
        <f>LOOKUP(C66, SweepStudyConfig[StudyId], SweepStudyConfig[SweepRateA])</f>
        <v>#VALUE!</v>
      </c>
      <c r="L66" s="3" t="e">
        <f>LOOKUP(C66, SweepStudyConfig[StudyId], SweepStudyConfig[SweepRateB])</f>
        <v>#VALUE!</v>
      </c>
      <c r="M66" s="3" t="e">
        <f>LOOKUP(C66, SweepStudyConfig[StudyId], SweepStudyConfig[FixedRateA])</f>
        <v>#VALUE!</v>
      </c>
      <c r="N66" s="3" t="e">
        <f>LOOKUP(C66, SweepStudyConfig[StudyId], SweepStudyConfig[FixedRateB])</f>
        <v>#VALUE!</v>
      </c>
      <c r="O66" s="3" t="e">
        <f>IF(G66 + I66 = 0, "", (G66 * K66 + I66 * M66) / (G66 + I66))</f>
        <v>#VALUE!</v>
      </c>
      <c r="P66" s="3" t="e">
        <f>IF(H66 + J66 = 0, "", (H66 * L66 + J66 * N66) / (H66 + J66))</f>
        <v>#VALUE!</v>
      </c>
      <c r="Q66" s="3" t="e">
        <f>IF(O66 = "", "", O66 - P66)</f>
        <v>#VALUE!</v>
      </c>
      <c r="R66" s="3" t="e">
        <f>LOOKUP(C66, SweepStudyConfig[StudyId], SweepStudyConfig[SweepCorrectedGap])</f>
        <v>#VALUE!</v>
      </c>
      <c r="S66" s="3" t="e">
        <f>IF(Q66 = "", "", Q66 - R66)</f>
        <v>#VALUE!</v>
      </c>
    </row>
    <row r="67">
      <c r="A67" s="2" t="s">
        <v>3355</v>
      </c>
      <c r="B67" s="3" t="str">
        <f>A67</f>
        <v>radelet-1981-f055</v>
      </c>
      <c r="C67" s="2" t="s">
        <v>442</v>
      </c>
      <c r="D67" s="2">
        <v>0.55</v>
      </c>
      <c r="E67" s="3" t="e">
        <f>ABS(D67 - LOOKUP(C67, SweepStudyConfig[StudyId], SweepStudyConfig[OriginalAllocFractionA])) &lt; 0.03</f>
        <v>#VALUE!</v>
      </c>
      <c r="F67" s="3" t="e">
        <f>LOOKUP(C67, SweepStudyConfig[StudyId], SweepStudyConfig[NSweepStratumTotal])</f>
        <v>#VALUE!</v>
      </c>
      <c r="G67" s="3" t="e">
        <f>ROUND(F67 * D67)</f>
        <v>#VALUE!</v>
      </c>
      <c r="H67" s="3" t="e">
        <f>F67 - G67</f>
        <v>#VALUE!</v>
      </c>
      <c r="I67" s="3" t="e">
        <f>LOOKUP(C67, SweepStudyConfig[StudyId], SweepStudyConfig[NFixedA])</f>
        <v>#VALUE!</v>
      </c>
      <c r="J67" s="3" t="e">
        <f>LOOKUP(C67, SweepStudyConfig[StudyId], SweepStudyConfig[NFixedB])</f>
        <v>#VALUE!</v>
      </c>
      <c r="K67" s="3" t="e">
        <f>LOOKUP(C67, SweepStudyConfig[StudyId], SweepStudyConfig[SweepRateA])</f>
        <v>#VALUE!</v>
      </c>
      <c r="L67" s="3" t="e">
        <f>LOOKUP(C67, SweepStudyConfig[StudyId], SweepStudyConfig[SweepRateB])</f>
        <v>#VALUE!</v>
      </c>
      <c r="M67" s="3" t="e">
        <f>LOOKUP(C67, SweepStudyConfig[StudyId], SweepStudyConfig[FixedRateA])</f>
        <v>#VALUE!</v>
      </c>
      <c r="N67" s="3" t="e">
        <f>LOOKUP(C67, SweepStudyConfig[StudyId], SweepStudyConfig[FixedRateB])</f>
        <v>#VALUE!</v>
      </c>
      <c r="O67" s="3" t="e">
        <f>IF(G67 + I67 = 0, "", (G67 * K67 + I67 * M67) / (G67 + I67))</f>
        <v>#VALUE!</v>
      </c>
      <c r="P67" s="3" t="e">
        <f>IF(H67 + J67 = 0, "", (H67 * L67 + J67 * N67) / (H67 + J67))</f>
        <v>#VALUE!</v>
      </c>
      <c r="Q67" s="3" t="e">
        <f>IF(O67 = "", "", O67 - P67)</f>
        <v>#VALUE!</v>
      </c>
      <c r="R67" s="3" t="e">
        <f>LOOKUP(C67, SweepStudyConfig[StudyId], SweepStudyConfig[SweepCorrectedGap])</f>
        <v>#VALUE!</v>
      </c>
      <c r="S67" s="3" t="e">
        <f>IF(Q67 = "", "", Q67 - R67)</f>
        <v>#VALUE!</v>
      </c>
    </row>
    <row r="68">
      <c r="A68" s="2" t="s">
        <v>3356</v>
      </c>
      <c r="B68" s="3" t="str">
        <f>A68</f>
        <v>radelet-1981-f065</v>
      </c>
      <c r="C68" s="2" t="s">
        <v>442</v>
      </c>
      <c r="D68" s="2">
        <v>0.65</v>
      </c>
      <c r="E68" s="3" t="e">
        <f>ABS(D68 - LOOKUP(C68, SweepStudyConfig[StudyId], SweepStudyConfig[OriginalAllocFractionA])) &lt; 0.03</f>
        <v>#VALUE!</v>
      </c>
      <c r="F68" s="3" t="e">
        <f>LOOKUP(C68, SweepStudyConfig[StudyId], SweepStudyConfig[NSweepStratumTotal])</f>
        <v>#VALUE!</v>
      </c>
      <c r="G68" s="3" t="e">
        <f>ROUND(F68 * D68)</f>
        <v>#VALUE!</v>
      </c>
      <c r="H68" s="3" t="e">
        <f>F68 - G68</f>
        <v>#VALUE!</v>
      </c>
      <c r="I68" s="3" t="e">
        <f>LOOKUP(C68, SweepStudyConfig[StudyId], SweepStudyConfig[NFixedA])</f>
        <v>#VALUE!</v>
      </c>
      <c r="J68" s="3" t="e">
        <f>LOOKUP(C68, SweepStudyConfig[StudyId], SweepStudyConfig[NFixedB])</f>
        <v>#VALUE!</v>
      </c>
      <c r="K68" s="3" t="e">
        <f>LOOKUP(C68, SweepStudyConfig[StudyId], SweepStudyConfig[SweepRateA])</f>
        <v>#VALUE!</v>
      </c>
      <c r="L68" s="3" t="e">
        <f>LOOKUP(C68, SweepStudyConfig[StudyId], SweepStudyConfig[SweepRateB])</f>
        <v>#VALUE!</v>
      </c>
      <c r="M68" s="3" t="e">
        <f>LOOKUP(C68, SweepStudyConfig[StudyId], SweepStudyConfig[FixedRateA])</f>
        <v>#VALUE!</v>
      </c>
      <c r="N68" s="3" t="e">
        <f>LOOKUP(C68, SweepStudyConfig[StudyId], SweepStudyConfig[FixedRateB])</f>
        <v>#VALUE!</v>
      </c>
      <c r="O68" s="3" t="e">
        <f>IF(G68 + I68 = 0, "", (G68 * K68 + I68 * M68) / (G68 + I68))</f>
        <v>#VALUE!</v>
      </c>
      <c r="P68" s="3" t="e">
        <f>IF(H68 + J68 = 0, "", (H68 * L68 + J68 * N68) / (H68 + J68))</f>
        <v>#VALUE!</v>
      </c>
      <c r="Q68" s="3" t="e">
        <f>IF(O68 = "", "", O68 - P68)</f>
        <v>#VALUE!</v>
      </c>
      <c r="R68" s="3" t="e">
        <f>LOOKUP(C68, SweepStudyConfig[StudyId], SweepStudyConfig[SweepCorrectedGap])</f>
        <v>#VALUE!</v>
      </c>
      <c r="S68" s="3" t="e">
        <f>IF(Q68 = "", "", Q68 - R68)</f>
        <v>#VALUE!</v>
      </c>
    </row>
    <row r="69">
      <c r="A69" s="2" t="s">
        <v>3357</v>
      </c>
      <c r="B69" s="3" t="str">
        <f>A69</f>
        <v>radelet-1981-f075</v>
      </c>
      <c r="C69" s="2" t="s">
        <v>442</v>
      </c>
      <c r="D69" s="2">
        <v>0.75</v>
      </c>
      <c r="E69" s="3" t="e">
        <f>ABS(D69 - LOOKUP(C69, SweepStudyConfig[StudyId], SweepStudyConfig[OriginalAllocFractionA])) &lt; 0.03</f>
        <v>#VALUE!</v>
      </c>
      <c r="F69" s="3" t="e">
        <f>LOOKUP(C69, SweepStudyConfig[StudyId], SweepStudyConfig[NSweepStratumTotal])</f>
        <v>#VALUE!</v>
      </c>
      <c r="G69" s="3" t="e">
        <f>ROUND(F69 * D69)</f>
        <v>#VALUE!</v>
      </c>
      <c r="H69" s="3" t="e">
        <f>F69 - G69</f>
        <v>#VALUE!</v>
      </c>
      <c r="I69" s="3" t="e">
        <f>LOOKUP(C69, SweepStudyConfig[StudyId], SweepStudyConfig[NFixedA])</f>
        <v>#VALUE!</v>
      </c>
      <c r="J69" s="3" t="e">
        <f>LOOKUP(C69, SweepStudyConfig[StudyId], SweepStudyConfig[NFixedB])</f>
        <v>#VALUE!</v>
      </c>
      <c r="K69" s="3" t="e">
        <f>LOOKUP(C69, SweepStudyConfig[StudyId], SweepStudyConfig[SweepRateA])</f>
        <v>#VALUE!</v>
      </c>
      <c r="L69" s="3" t="e">
        <f>LOOKUP(C69, SweepStudyConfig[StudyId], SweepStudyConfig[SweepRateB])</f>
        <v>#VALUE!</v>
      </c>
      <c r="M69" s="3" t="e">
        <f>LOOKUP(C69, SweepStudyConfig[StudyId], SweepStudyConfig[FixedRateA])</f>
        <v>#VALUE!</v>
      </c>
      <c r="N69" s="3" t="e">
        <f>LOOKUP(C69, SweepStudyConfig[StudyId], SweepStudyConfig[FixedRateB])</f>
        <v>#VALUE!</v>
      </c>
      <c r="O69" s="3" t="e">
        <f>IF(G69 + I69 = 0, "", (G69 * K69 + I69 * M69) / (G69 + I69))</f>
        <v>#VALUE!</v>
      </c>
      <c r="P69" s="3" t="e">
        <f>IF(H69 + J69 = 0, "", (H69 * L69 + J69 * N69) / (H69 + J69))</f>
        <v>#VALUE!</v>
      </c>
      <c r="Q69" s="3" t="e">
        <f>IF(O69 = "", "", O69 - P69)</f>
        <v>#VALUE!</v>
      </c>
      <c r="R69" s="3" t="e">
        <f>LOOKUP(C69, SweepStudyConfig[StudyId], SweepStudyConfig[SweepCorrectedGap])</f>
        <v>#VALUE!</v>
      </c>
      <c r="S69" s="3" t="e">
        <f>IF(Q69 = "", "", Q69 - R69)</f>
        <v>#VALUE!</v>
      </c>
    </row>
    <row r="70">
      <c r="A70" s="2" t="s">
        <v>3358</v>
      </c>
      <c r="B70" s="3" t="str">
        <f>A70</f>
        <v>radelet-1981-f085</v>
      </c>
      <c r="C70" s="2" t="s">
        <v>442</v>
      </c>
      <c r="D70" s="2">
        <v>0.85</v>
      </c>
      <c r="E70" s="3" t="e">
        <f>ABS(D70 - LOOKUP(C70, SweepStudyConfig[StudyId], SweepStudyConfig[OriginalAllocFractionA])) &lt; 0.03</f>
        <v>#VALUE!</v>
      </c>
      <c r="F70" s="3" t="e">
        <f>LOOKUP(C70, SweepStudyConfig[StudyId], SweepStudyConfig[NSweepStratumTotal])</f>
        <v>#VALUE!</v>
      </c>
      <c r="G70" s="3" t="e">
        <f>ROUND(F70 * D70)</f>
        <v>#VALUE!</v>
      </c>
      <c r="H70" s="3" t="e">
        <f>F70 - G70</f>
        <v>#VALUE!</v>
      </c>
      <c r="I70" s="3" t="e">
        <f>LOOKUP(C70, SweepStudyConfig[StudyId], SweepStudyConfig[NFixedA])</f>
        <v>#VALUE!</v>
      </c>
      <c r="J70" s="3" t="e">
        <f>LOOKUP(C70, SweepStudyConfig[StudyId], SweepStudyConfig[NFixedB])</f>
        <v>#VALUE!</v>
      </c>
      <c r="K70" s="3" t="e">
        <f>LOOKUP(C70, SweepStudyConfig[StudyId], SweepStudyConfig[SweepRateA])</f>
        <v>#VALUE!</v>
      </c>
      <c r="L70" s="3" t="e">
        <f>LOOKUP(C70, SweepStudyConfig[StudyId], SweepStudyConfig[SweepRateB])</f>
        <v>#VALUE!</v>
      </c>
      <c r="M70" s="3" t="e">
        <f>LOOKUP(C70, SweepStudyConfig[StudyId], SweepStudyConfig[FixedRateA])</f>
        <v>#VALUE!</v>
      </c>
      <c r="N70" s="3" t="e">
        <f>LOOKUP(C70, SweepStudyConfig[StudyId], SweepStudyConfig[FixedRateB])</f>
        <v>#VALUE!</v>
      </c>
      <c r="O70" s="3" t="e">
        <f>IF(G70 + I70 = 0, "", (G70 * K70 + I70 * M70) / (G70 + I70))</f>
        <v>#VALUE!</v>
      </c>
      <c r="P70" s="3" t="e">
        <f>IF(H70 + J70 = 0, "", (H70 * L70 + J70 * N70) / (H70 + J70))</f>
        <v>#VALUE!</v>
      </c>
      <c r="Q70" s="3" t="e">
        <f>IF(O70 = "", "", O70 - P70)</f>
        <v>#VALUE!</v>
      </c>
      <c r="R70" s="3" t="e">
        <f>LOOKUP(C70, SweepStudyConfig[StudyId], SweepStudyConfig[SweepCorrectedGap])</f>
        <v>#VALUE!</v>
      </c>
      <c r="S70" s="3" t="e">
        <f>IF(Q70 = "", "", Q70 - R70)</f>
        <v>#VALUE!</v>
      </c>
    </row>
    <row r="71">
      <c r="A71" s="2" t="s">
        <v>3359</v>
      </c>
      <c r="B71" s="3" t="str">
        <f>A71</f>
        <v>radelet-1981-f095</v>
      </c>
      <c r="C71" s="2" t="s">
        <v>442</v>
      </c>
      <c r="D71" s="2">
        <v>0.95</v>
      </c>
      <c r="E71" s="3" t="e">
        <f>ABS(D71 - LOOKUP(C71, SweepStudyConfig[StudyId], SweepStudyConfig[OriginalAllocFractionA])) &lt; 0.03</f>
        <v>#VALUE!</v>
      </c>
      <c r="F71" s="3" t="e">
        <f>LOOKUP(C71, SweepStudyConfig[StudyId], SweepStudyConfig[NSweepStratumTotal])</f>
        <v>#VALUE!</v>
      </c>
      <c r="G71" s="3" t="e">
        <f>ROUND(F71 * D71)</f>
        <v>#VALUE!</v>
      </c>
      <c r="H71" s="3" t="e">
        <f>F71 - G71</f>
        <v>#VALUE!</v>
      </c>
      <c r="I71" s="3" t="e">
        <f>LOOKUP(C71, SweepStudyConfig[StudyId], SweepStudyConfig[NFixedA])</f>
        <v>#VALUE!</v>
      </c>
      <c r="J71" s="3" t="e">
        <f>LOOKUP(C71, SweepStudyConfig[StudyId], SweepStudyConfig[NFixedB])</f>
        <v>#VALUE!</v>
      </c>
      <c r="K71" s="3" t="e">
        <f>LOOKUP(C71, SweepStudyConfig[StudyId], SweepStudyConfig[SweepRateA])</f>
        <v>#VALUE!</v>
      </c>
      <c r="L71" s="3" t="e">
        <f>LOOKUP(C71, SweepStudyConfig[StudyId], SweepStudyConfig[SweepRateB])</f>
        <v>#VALUE!</v>
      </c>
      <c r="M71" s="3" t="e">
        <f>LOOKUP(C71, SweepStudyConfig[StudyId], SweepStudyConfig[FixedRateA])</f>
        <v>#VALUE!</v>
      </c>
      <c r="N71" s="3" t="e">
        <f>LOOKUP(C71, SweepStudyConfig[StudyId], SweepStudyConfig[FixedRateB])</f>
        <v>#VALUE!</v>
      </c>
      <c r="O71" s="3" t="e">
        <f>IF(G71 + I71 = 0, "", (G71 * K71 + I71 * M71) / (G71 + I71))</f>
        <v>#VALUE!</v>
      </c>
      <c r="P71" s="3" t="e">
        <f>IF(H71 + J71 = 0, "", (H71 * L71 + J71 * N71) / (H71 + J71))</f>
        <v>#VALUE!</v>
      </c>
      <c r="Q71" s="3" t="e">
        <f>IF(O71 = "", "", O71 - P71)</f>
        <v>#VALUE!</v>
      </c>
      <c r="R71" s="3" t="e">
        <f>LOOKUP(C71, SweepStudyConfig[StudyId], SweepStudyConfig[SweepCorrectedGap])</f>
        <v>#VALUE!</v>
      </c>
      <c r="S71" s="3" t="e">
        <f>IF(Q71 = "", "", Q71 - R71)</f>
        <v>#VALUE!</v>
      </c>
    </row>
    <row r="72">
      <c r="A72" s="2" t="s">
        <v>3360</v>
      </c>
      <c r="B72" s="3" t="str">
        <f>A72</f>
        <v>jeter-justice-1997-f005</v>
      </c>
      <c r="C72" s="2" t="s">
        <v>448</v>
      </c>
      <c r="D72" s="2">
        <v>0.05</v>
      </c>
      <c r="E72" s="3" t="e">
        <f>ABS(D72 - LOOKUP(C72, SweepStudyConfig[StudyId], SweepStudyConfig[OriginalAllocFractionA])) &lt; 0.03</f>
        <v>#VALUE!</v>
      </c>
      <c r="F72" s="3" t="e">
        <f>LOOKUP(C72, SweepStudyConfig[StudyId], SweepStudyConfig[NSweepStratumTotal])</f>
        <v>#VALUE!</v>
      </c>
      <c r="G72" s="3" t="e">
        <f>ROUND(F72 * D72)</f>
        <v>#VALUE!</v>
      </c>
      <c r="H72" s="3" t="e">
        <f>F72 - G72</f>
        <v>#VALUE!</v>
      </c>
      <c r="I72" s="3" t="e">
        <f>LOOKUP(C72, SweepStudyConfig[StudyId], SweepStudyConfig[NFixedA])</f>
        <v>#VALUE!</v>
      </c>
      <c r="J72" s="3" t="e">
        <f>LOOKUP(C72, SweepStudyConfig[StudyId], SweepStudyConfig[NFixedB])</f>
        <v>#VALUE!</v>
      </c>
      <c r="K72" s="3" t="e">
        <f>LOOKUP(C72, SweepStudyConfig[StudyId], SweepStudyConfig[SweepRateA])</f>
        <v>#VALUE!</v>
      </c>
      <c r="L72" s="3" t="e">
        <f>LOOKUP(C72, SweepStudyConfig[StudyId], SweepStudyConfig[SweepRateB])</f>
        <v>#VALUE!</v>
      </c>
      <c r="M72" s="3" t="e">
        <f>LOOKUP(C72, SweepStudyConfig[StudyId], SweepStudyConfig[FixedRateA])</f>
        <v>#VALUE!</v>
      </c>
      <c r="N72" s="3" t="e">
        <f>LOOKUP(C72, SweepStudyConfig[StudyId], SweepStudyConfig[FixedRateB])</f>
        <v>#VALUE!</v>
      </c>
      <c r="O72" s="3" t="e">
        <f>IF(G72 + I72 = 0, "", (G72 * K72 + I72 * M72) / (G72 + I72))</f>
        <v>#VALUE!</v>
      </c>
      <c r="P72" s="3" t="e">
        <f>IF(H72 + J72 = 0, "", (H72 * L72 + J72 * N72) / (H72 + J72))</f>
        <v>#VALUE!</v>
      </c>
      <c r="Q72" s="3" t="e">
        <f>IF(O72 = "", "", O72 - P72)</f>
        <v>#VALUE!</v>
      </c>
      <c r="R72" s="3" t="e">
        <f>LOOKUP(C72, SweepStudyConfig[StudyId], SweepStudyConfig[SweepCorrectedGap])</f>
        <v>#VALUE!</v>
      </c>
      <c r="S72" s="3" t="e">
        <f>IF(Q72 = "", "", Q72 - R72)</f>
        <v>#VALUE!</v>
      </c>
    </row>
    <row r="73">
      <c r="A73" s="2" t="s">
        <v>3361</v>
      </c>
      <c r="B73" s="3" t="str">
        <f>A73</f>
        <v>jeter-justice-1997-f015</v>
      </c>
      <c r="C73" s="2" t="s">
        <v>448</v>
      </c>
      <c r="D73" s="2">
        <v>0.15</v>
      </c>
      <c r="E73" s="3" t="e">
        <f>ABS(D73 - LOOKUP(C73, SweepStudyConfig[StudyId], SweepStudyConfig[OriginalAllocFractionA])) &lt; 0.03</f>
        <v>#VALUE!</v>
      </c>
      <c r="F73" s="3" t="e">
        <f>LOOKUP(C73, SweepStudyConfig[StudyId], SweepStudyConfig[NSweepStratumTotal])</f>
        <v>#VALUE!</v>
      </c>
      <c r="G73" s="3" t="e">
        <f>ROUND(F73 * D73)</f>
        <v>#VALUE!</v>
      </c>
      <c r="H73" s="3" t="e">
        <f>F73 - G73</f>
        <v>#VALUE!</v>
      </c>
      <c r="I73" s="3" t="e">
        <f>LOOKUP(C73, SweepStudyConfig[StudyId], SweepStudyConfig[NFixedA])</f>
        <v>#VALUE!</v>
      </c>
      <c r="J73" s="3" t="e">
        <f>LOOKUP(C73, SweepStudyConfig[StudyId], SweepStudyConfig[NFixedB])</f>
        <v>#VALUE!</v>
      </c>
      <c r="K73" s="3" t="e">
        <f>LOOKUP(C73, SweepStudyConfig[StudyId], SweepStudyConfig[SweepRateA])</f>
        <v>#VALUE!</v>
      </c>
      <c r="L73" s="3" t="e">
        <f>LOOKUP(C73, SweepStudyConfig[StudyId], SweepStudyConfig[SweepRateB])</f>
        <v>#VALUE!</v>
      </c>
      <c r="M73" s="3" t="e">
        <f>LOOKUP(C73, SweepStudyConfig[StudyId], SweepStudyConfig[FixedRateA])</f>
        <v>#VALUE!</v>
      </c>
      <c r="N73" s="3" t="e">
        <f>LOOKUP(C73, SweepStudyConfig[StudyId], SweepStudyConfig[FixedRateB])</f>
        <v>#VALUE!</v>
      </c>
      <c r="O73" s="3" t="e">
        <f>IF(G73 + I73 = 0, "", (G73 * K73 + I73 * M73) / (G73 + I73))</f>
        <v>#VALUE!</v>
      </c>
      <c r="P73" s="3" t="e">
        <f>IF(H73 + J73 = 0, "", (H73 * L73 + J73 * N73) / (H73 + J73))</f>
        <v>#VALUE!</v>
      </c>
      <c r="Q73" s="3" t="e">
        <f>IF(O73 = "", "", O73 - P73)</f>
        <v>#VALUE!</v>
      </c>
      <c r="R73" s="3" t="e">
        <f>LOOKUP(C73, SweepStudyConfig[StudyId], SweepStudyConfig[SweepCorrectedGap])</f>
        <v>#VALUE!</v>
      </c>
      <c r="S73" s="3" t="e">
        <f>IF(Q73 = "", "", Q73 - R73)</f>
        <v>#VALUE!</v>
      </c>
    </row>
    <row r="74">
      <c r="A74" s="2" t="s">
        <v>3362</v>
      </c>
      <c r="B74" s="3" t="str">
        <f>A74</f>
        <v>jeter-justice-1997-f025</v>
      </c>
      <c r="C74" s="2" t="s">
        <v>448</v>
      </c>
      <c r="D74" s="2">
        <v>0.25</v>
      </c>
      <c r="E74" s="3" t="e">
        <f>ABS(D74 - LOOKUP(C74, SweepStudyConfig[StudyId], SweepStudyConfig[OriginalAllocFractionA])) &lt; 0.03</f>
        <v>#VALUE!</v>
      </c>
      <c r="F74" s="3" t="e">
        <f>LOOKUP(C74, SweepStudyConfig[StudyId], SweepStudyConfig[NSweepStratumTotal])</f>
        <v>#VALUE!</v>
      </c>
      <c r="G74" s="3" t="e">
        <f>ROUND(F74 * D74)</f>
        <v>#VALUE!</v>
      </c>
      <c r="H74" s="3" t="e">
        <f>F74 - G74</f>
        <v>#VALUE!</v>
      </c>
      <c r="I74" s="3" t="e">
        <f>LOOKUP(C74, SweepStudyConfig[StudyId], SweepStudyConfig[NFixedA])</f>
        <v>#VALUE!</v>
      </c>
      <c r="J74" s="3" t="e">
        <f>LOOKUP(C74, SweepStudyConfig[StudyId], SweepStudyConfig[NFixedB])</f>
        <v>#VALUE!</v>
      </c>
      <c r="K74" s="3" t="e">
        <f>LOOKUP(C74, SweepStudyConfig[StudyId], SweepStudyConfig[SweepRateA])</f>
        <v>#VALUE!</v>
      </c>
      <c r="L74" s="3" t="e">
        <f>LOOKUP(C74, SweepStudyConfig[StudyId], SweepStudyConfig[SweepRateB])</f>
        <v>#VALUE!</v>
      </c>
      <c r="M74" s="3" t="e">
        <f>LOOKUP(C74, SweepStudyConfig[StudyId], SweepStudyConfig[FixedRateA])</f>
        <v>#VALUE!</v>
      </c>
      <c r="N74" s="3" t="e">
        <f>LOOKUP(C74, SweepStudyConfig[StudyId], SweepStudyConfig[FixedRateB])</f>
        <v>#VALUE!</v>
      </c>
      <c r="O74" s="3" t="e">
        <f>IF(G74 + I74 = 0, "", (G74 * K74 + I74 * M74) / (G74 + I74))</f>
        <v>#VALUE!</v>
      </c>
      <c r="P74" s="3" t="e">
        <f>IF(H74 + J74 = 0, "", (H74 * L74 + J74 * N74) / (H74 + J74))</f>
        <v>#VALUE!</v>
      </c>
      <c r="Q74" s="3" t="e">
        <f>IF(O74 = "", "", O74 - P74)</f>
        <v>#VALUE!</v>
      </c>
      <c r="R74" s="3" t="e">
        <f>LOOKUP(C74, SweepStudyConfig[StudyId], SweepStudyConfig[SweepCorrectedGap])</f>
        <v>#VALUE!</v>
      </c>
      <c r="S74" s="3" t="e">
        <f>IF(Q74 = "", "", Q74 - R74)</f>
        <v>#VALUE!</v>
      </c>
    </row>
    <row r="75">
      <c r="A75" s="2" t="s">
        <v>3363</v>
      </c>
      <c r="B75" s="3" t="str">
        <f>A75</f>
        <v>jeter-justice-1997-f035</v>
      </c>
      <c r="C75" s="2" t="s">
        <v>448</v>
      </c>
      <c r="D75" s="2">
        <v>0.35</v>
      </c>
      <c r="E75" s="3" t="e">
        <f>ABS(D75 - LOOKUP(C75, SweepStudyConfig[StudyId], SweepStudyConfig[OriginalAllocFractionA])) &lt; 0.03</f>
        <v>#VALUE!</v>
      </c>
      <c r="F75" s="3" t="e">
        <f>LOOKUP(C75, SweepStudyConfig[StudyId], SweepStudyConfig[NSweepStratumTotal])</f>
        <v>#VALUE!</v>
      </c>
      <c r="G75" s="3" t="e">
        <f>ROUND(F75 * D75)</f>
        <v>#VALUE!</v>
      </c>
      <c r="H75" s="3" t="e">
        <f>F75 - G75</f>
        <v>#VALUE!</v>
      </c>
      <c r="I75" s="3" t="e">
        <f>LOOKUP(C75, SweepStudyConfig[StudyId], SweepStudyConfig[NFixedA])</f>
        <v>#VALUE!</v>
      </c>
      <c r="J75" s="3" t="e">
        <f>LOOKUP(C75, SweepStudyConfig[StudyId], SweepStudyConfig[NFixedB])</f>
        <v>#VALUE!</v>
      </c>
      <c r="K75" s="3" t="e">
        <f>LOOKUP(C75, SweepStudyConfig[StudyId], SweepStudyConfig[SweepRateA])</f>
        <v>#VALUE!</v>
      </c>
      <c r="L75" s="3" t="e">
        <f>LOOKUP(C75, SweepStudyConfig[StudyId], SweepStudyConfig[SweepRateB])</f>
        <v>#VALUE!</v>
      </c>
      <c r="M75" s="3" t="e">
        <f>LOOKUP(C75, SweepStudyConfig[StudyId], SweepStudyConfig[FixedRateA])</f>
        <v>#VALUE!</v>
      </c>
      <c r="N75" s="3" t="e">
        <f>LOOKUP(C75, SweepStudyConfig[StudyId], SweepStudyConfig[FixedRateB])</f>
        <v>#VALUE!</v>
      </c>
      <c r="O75" s="3" t="e">
        <f>IF(G75 + I75 = 0, "", (G75 * K75 + I75 * M75) / (G75 + I75))</f>
        <v>#VALUE!</v>
      </c>
      <c r="P75" s="3" t="e">
        <f>IF(H75 + J75 = 0, "", (H75 * L75 + J75 * N75) / (H75 + J75))</f>
        <v>#VALUE!</v>
      </c>
      <c r="Q75" s="3" t="e">
        <f>IF(O75 = "", "", O75 - P75)</f>
        <v>#VALUE!</v>
      </c>
      <c r="R75" s="3" t="e">
        <f>LOOKUP(C75, SweepStudyConfig[StudyId], SweepStudyConfig[SweepCorrectedGap])</f>
        <v>#VALUE!</v>
      </c>
      <c r="S75" s="3" t="e">
        <f>IF(Q75 = "", "", Q75 - R75)</f>
        <v>#VALUE!</v>
      </c>
    </row>
    <row r="76">
      <c r="A76" s="2" t="s">
        <v>3364</v>
      </c>
      <c r="B76" s="3" t="str">
        <f>A76</f>
        <v>jeter-justice-1997-f045</v>
      </c>
      <c r="C76" s="2" t="s">
        <v>448</v>
      </c>
      <c r="D76" s="2">
        <v>0.45</v>
      </c>
      <c r="E76" s="3" t="e">
        <f>ABS(D76 - LOOKUP(C76, SweepStudyConfig[StudyId], SweepStudyConfig[OriginalAllocFractionA])) &lt; 0.03</f>
        <v>#VALUE!</v>
      </c>
      <c r="F76" s="3" t="e">
        <f>LOOKUP(C76, SweepStudyConfig[StudyId], SweepStudyConfig[NSweepStratumTotal])</f>
        <v>#VALUE!</v>
      </c>
      <c r="G76" s="3" t="e">
        <f>ROUND(F76 * D76)</f>
        <v>#VALUE!</v>
      </c>
      <c r="H76" s="3" t="e">
        <f>F76 - G76</f>
        <v>#VALUE!</v>
      </c>
      <c r="I76" s="3" t="e">
        <f>LOOKUP(C76, SweepStudyConfig[StudyId], SweepStudyConfig[NFixedA])</f>
        <v>#VALUE!</v>
      </c>
      <c r="J76" s="3" t="e">
        <f>LOOKUP(C76, SweepStudyConfig[StudyId], SweepStudyConfig[NFixedB])</f>
        <v>#VALUE!</v>
      </c>
      <c r="K76" s="3" t="e">
        <f>LOOKUP(C76, SweepStudyConfig[StudyId], SweepStudyConfig[SweepRateA])</f>
        <v>#VALUE!</v>
      </c>
      <c r="L76" s="3" t="e">
        <f>LOOKUP(C76, SweepStudyConfig[StudyId], SweepStudyConfig[SweepRateB])</f>
        <v>#VALUE!</v>
      </c>
      <c r="M76" s="3" t="e">
        <f>LOOKUP(C76, SweepStudyConfig[StudyId], SweepStudyConfig[FixedRateA])</f>
        <v>#VALUE!</v>
      </c>
      <c r="N76" s="3" t="e">
        <f>LOOKUP(C76, SweepStudyConfig[StudyId], SweepStudyConfig[FixedRateB])</f>
        <v>#VALUE!</v>
      </c>
      <c r="O76" s="3" t="e">
        <f>IF(G76 + I76 = 0, "", (G76 * K76 + I76 * M76) / (G76 + I76))</f>
        <v>#VALUE!</v>
      </c>
      <c r="P76" s="3" t="e">
        <f>IF(H76 + J76 = 0, "", (H76 * L76 + J76 * N76) / (H76 + J76))</f>
        <v>#VALUE!</v>
      </c>
      <c r="Q76" s="3" t="e">
        <f>IF(O76 = "", "", O76 - P76)</f>
        <v>#VALUE!</v>
      </c>
      <c r="R76" s="3" t="e">
        <f>LOOKUP(C76, SweepStudyConfig[StudyId], SweepStudyConfig[SweepCorrectedGap])</f>
        <v>#VALUE!</v>
      </c>
      <c r="S76" s="3" t="e">
        <f>IF(Q76 = "", "", Q76 - R76)</f>
        <v>#VALUE!</v>
      </c>
    </row>
    <row r="77">
      <c r="A77" s="2" t="s">
        <v>3365</v>
      </c>
      <c r="B77" s="3" t="str">
        <f>A77</f>
        <v>jeter-justice-1997-f055</v>
      </c>
      <c r="C77" s="2" t="s">
        <v>448</v>
      </c>
      <c r="D77" s="2">
        <v>0.55</v>
      </c>
      <c r="E77" s="3" t="e">
        <f>ABS(D77 - LOOKUP(C77, SweepStudyConfig[StudyId], SweepStudyConfig[OriginalAllocFractionA])) &lt; 0.03</f>
        <v>#VALUE!</v>
      </c>
      <c r="F77" s="3" t="e">
        <f>LOOKUP(C77, SweepStudyConfig[StudyId], SweepStudyConfig[NSweepStratumTotal])</f>
        <v>#VALUE!</v>
      </c>
      <c r="G77" s="3" t="e">
        <f>ROUND(F77 * D77)</f>
        <v>#VALUE!</v>
      </c>
      <c r="H77" s="3" t="e">
        <f>F77 - G77</f>
        <v>#VALUE!</v>
      </c>
      <c r="I77" s="3" t="e">
        <f>LOOKUP(C77, SweepStudyConfig[StudyId], SweepStudyConfig[NFixedA])</f>
        <v>#VALUE!</v>
      </c>
      <c r="J77" s="3" t="e">
        <f>LOOKUP(C77, SweepStudyConfig[StudyId], SweepStudyConfig[NFixedB])</f>
        <v>#VALUE!</v>
      </c>
      <c r="K77" s="3" t="e">
        <f>LOOKUP(C77, SweepStudyConfig[StudyId], SweepStudyConfig[SweepRateA])</f>
        <v>#VALUE!</v>
      </c>
      <c r="L77" s="3" t="e">
        <f>LOOKUP(C77, SweepStudyConfig[StudyId], SweepStudyConfig[SweepRateB])</f>
        <v>#VALUE!</v>
      </c>
      <c r="M77" s="3" t="e">
        <f>LOOKUP(C77, SweepStudyConfig[StudyId], SweepStudyConfig[FixedRateA])</f>
        <v>#VALUE!</v>
      </c>
      <c r="N77" s="3" t="e">
        <f>LOOKUP(C77, SweepStudyConfig[StudyId], SweepStudyConfig[FixedRateB])</f>
        <v>#VALUE!</v>
      </c>
      <c r="O77" s="3" t="e">
        <f>IF(G77 + I77 = 0, "", (G77 * K77 + I77 * M77) / (G77 + I77))</f>
        <v>#VALUE!</v>
      </c>
      <c r="P77" s="3" t="e">
        <f>IF(H77 + J77 = 0, "", (H77 * L77 + J77 * N77) / (H77 + J77))</f>
        <v>#VALUE!</v>
      </c>
      <c r="Q77" s="3" t="e">
        <f>IF(O77 = "", "", O77 - P77)</f>
        <v>#VALUE!</v>
      </c>
      <c r="R77" s="3" t="e">
        <f>LOOKUP(C77, SweepStudyConfig[StudyId], SweepStudyConfig[SweepCorrectedGap])</f>
        <v>#VALUE!</v>
      </c>
      <c r="S77" s="3" t="e">
        <f>IF(Q77 = "", "", Q77 - R77)</f>
        <v>#VALUE!</v>
      </c>
    </row>
    <row r="78">
      <c r="A78" s="2" t="s">
        <v>3366</v>
      </c>
      <c r="B78" s="3" t="str">
        <f>A78</f>
        <v>jeter-justice-1997-f065</v>
      </c>
      <c r="C78" s="2" t="s">
        <v>448</v>
      </c>
      <c r="D78" s="2">
        <v>0.65</v>
      </c>
      <c r="E78" s="3" t="e">
        <f>ABS(D78 - LOOKUP(C78, SweepStudyConfig[StudyId], SweepStudyConfig[OriginalAllocFractionA])) &lt; 0.03</f>
        <v>#VALUE!</v>
      </c>
      <c r="F78" s="3" t="e">
        <f>LOOKUP(C78, SweepStudyConfig[StudyId], SweepStudyConfig[NSweepStratumTotal])</f>
        <v>#VALUE!</v>
      </c>
      <c r="G78" s="3" t="e">
        <f>ROUND(F78 * D78)</f>
        <v>#VALUE!</v>
      </c>
      <c r="H78" s="3" t="e">
        <f>F78 - G78</f>
        <v>#VALUE!</v>
      </c>
      <c r="I78" s="3" t="e">
        <f>LOOKUP(C78, SweepStudyConfig[StudyId], SweepStudyConfig[NFixedA])</f>
        <v>#VALUE!</v>
      </c>
      <c r="J78" s="3" t="e">
        <f>LOOKUP(C78, SweepStudyConfig[StudyId], SweepStudyConfig[NFixedB])</f>
        <v>#VALUE!</v>
      </c>
      <c r="K78" s="3" t="e">
        <f>LOOKUP(C78, SweepStudyConfig[StudyId], SweepStudyConfig[SweepRateA])</f>
        <v>#VALUE!</v>
      </c>
      <c r="L78" s="3" t="e">
        <f>LOOKUP(C78, SweepStudyConfig[StudyId], SweepStudyConfig[SweepRateB])</f>
        <v>#VALUE!</v>
      </c>
      <c r="M78" s="3" t="e">
        <f>LOOKUP(C78, SweepStudyConfig[StudyId], SweepStudyConfig[FixedRateA])</f>
        <v>#VALUE!</v>
      </c>
      <c r="N78" s="3" t="e">
        <f>LOOKUP(C78, SweepStudyConfig[StudyId], SweepStudyConfig[FixedRateB])</f>
        <v>#VALUE!</v>
      </c>
      <c r="O78" s="3" t="e">
        <f>IF(G78 + I78 = 0, "", (G78 * K78 + I78 * M78) / (G78 + I78))</f>
        <v>#VALUE!</v>
      </c>
      <c r="P78" s="3" t="e">
        <f>IF(H78 + J78 = 0, "", (H78 * L78 + J78 * N78) / (H78 + J78))</f>
        <v>#VALUE!</v>
      </c>
      <c r="Q78" s="3" t="e">
        <f>IF(O78 = "", "", O78 - P78)</f>
        <v>#VALUE!</v>
      </c>
      <c r="R78" s="3" t="e">
        <f>LOOKUP(C78, SweepStudyConfig[StudyId], SweepStudyConfig[SweepCorrectedGap])</f>
        <v>#VALUE!</v>
      </c>
      <c r="S78" s="3" t="e">
        <f>IF(Q78 = "", "", Q78 - R78)</f>
        <v>#VALUE!</v>
      </c>
    </row>
    <row r="79">
      <c r="A79" s="2" t="s">
        <v>3367</v>
      </c>
      <c r="B79" s="3" t="str">
        <f>A79</f>
        <v>jeter-justice-1997-f075</v>
      </c>
      <c r="C79" s="2" t="s">
        <v>448</v>
      </c>
      <c r="D79" s="2">
        <v>0.75</v>
      </c>
      <c r="E79" s="3" t="e">
        <f>ABS(D79 - LOOKUP(C79, SweepStudyConfig[StudyId], SweepStudyConfig[OriginalAllocFractionA])) &lt; 0.03</f>
        <v>#VALUE!</v>
      </c>
      <c r="F79" s="3" t="e">
        <f>LOOKUP(C79, SweepStudyConfig[StudyId], SweepStudyConfig[NSweepStratumTotal])</f>
        <v>#VALUE!</v>
      </c>
      <c r="G79" s="3" t="e">
        <f>ROUND(F79 * D79)</f>
        <v>#VALUE!</v>
      </c>
      <c r="H79" s="3" t="e">
        <f>F79 - G79</f>
        <v>#VALUE!</v>
      </c>
      <c r="I79" s="3" t="e">
        <f>LOOKUP(C79, SweepStudyConfig[StudyId], SweepStudyConfig[NFixedA])</f>
        <v>#VALUE!</v>
      </c>
      <c r="J79" s="3" t="e">
        <f>LOOKUP(C79, SweepStudyConfig[StudyId], SweepStudyConfig[NFixedB])</f>
        <v>#VALUE!</v>
      </c>
      <c r="K79" s="3" t="e">
        <f>LOOKUP(C79, SweepStudyConfig[StudyId], SweepStudyConfig[SweepRateA])</f>
        <v>#VALUE!</v>
      </c>
      <c r="L79" s="3" t="e">
        <f>LOOKUP(C79, SweepStudyConfig[StudyId], SweepStudyConfig[SweepRateB])</f>
        <v>#VALUE!</v>
      </c>
      <c r="M79" s="3" t="e">
        <f>LOOKUP(C79, SweepStudyConfig[StudyId], SweepStudyConfig[FixedRateA])</f>
        <v>#VALUE!</v>
      </c>
      <c r="N79" s="3" t="e">
        <f>LOOKUP(C79, SweepStudyConfig[StudyId], SweepStudyConfig[FixedRateB])</f>
        <v>#VALUE!</v>
      </c>
      <c r="O79" s="3" t="e">
        <f>IF(G79 + I79 = 0, "", (G79 * K79 + I79 * M79) / (G79 + I79))</f>
        <v>#VALUE!</v>
      </c>
      <c r="P79" s="3" t="e">
        <f>IF(H79 + J79 = 0, "", (H79 * L79 + J79 * N79) / (H79 + J79))</f>
        <v>#VALUE!</v>
      </c>
      <c r="Q79" s="3" t="e">
        <f>IF(O79 = "", "", O79 - P79)</f>
        <v>#VALUE!</v>
      </c>
      <c r="R79" s="3" t="e">
        <f>LOOKUP(C79, SweepStudyConfig[StudyId], SweepStudyConfig[SweepCorrectedGap])</f>
        <v>#VALUE!</v>
      </c>
      <c r="S79" s="3" t="e">
        <f>IF(Q79 = "", "", Q79 - R79)</f>
        <v>#VALUE!</v>
      </c>
    </row>
    <row r="80">
      <c r="A80" s="2" t="s">
        <v>3368</v>
      </c>
      <c r="B80" s="3" t="str">
        <f>A80</f>
        <v>jeter-justice-1997-f085</v>
      </c>
      <c r="C80" s="2" t="s">
        <v>448</v>
      </c>
      <c r="D80" s="2">
        <v>0.85</v>
      </c>
      <c r="E80" s="3" t="e">
        <f>ABS(D80 - LOOKUP(C80, SweepStudyConfig[StudyId], SweepStudyConfig[OriginalAllocFractionA])) &lt; 0.03</f>
        <v>#VALUE!</v>
      </c>
      <c r="F80" s="3" t="e">
        <f>LOOKUP(C80, SweepStudyConfig[StudyId], SweepStudyConfig[NSweepStratumTotal])</f>
        <v>#VALUE!</v>
      </c>
      <c r="G80" s="3" t="e">
        <f>ROUND(F80 * D80)</f>
        <v>#VALUE!</v>
      </c>
      <c r="H80" s="3" t="e">
        <f>F80 - G80</f>
        <v>#VALUE!</v>
      </c>
      <c r="I80" s="3" t="e">
        <f>LOOKUP(C80, SweepStudyConfig[StudyId], SweepStudyConfig[NFixedA])</f>
        <v>#VALUE!</v>
      </c>
      <c r="J80" s="3" t="e">
        <f>LOOKUP(C80, SweepStudyConfig[StudyId], SweepStudyConfig[NFixedB])</f>
        <v>#VALUE!</v>
      </c>
      <c r="K80" s="3" t="e">
        <f>LOOKUP(C80, SweepStudyConfig[StudyId], SweepStudyConfig[SweepRateA])</f>
        <v>#VALUE!</v>
      </c>
      <c r="L80" s="3" t="e">
        <f>LOOKUP(C80, SweepStudyConfig[StudyId], SweepStudyConfig[SweepRateB])</f>
        <v>#VALUE!</v>
      </c>
      <c r="M80" s="3" t="e">
        <f>LOOKUP(C80, SweepStudyConfig[StudyId], SweepStudyConfig[FixedRateA])</f>
        <v>#VALUE!</v>
      </c>
      <c r="N80" s="3" t="e">
        <f>LOOKUP(C80, SweepStudyConfig[StudyId], SweepStudyConfig[FixedRateB])</f>
        <v>#VALUE!</v>
      </c>
      <c r="O80" s="3" t="e">
        <f>IF(G80 + I80 = 0, "", (G80 * K80 + I80 * M80) / (G80 + I80))</f>
        <v>#VALUE!</v>
      </c>
      <c r="P80" s="3" t="e">
        <f>IF(H80 + J80 = 0, "", (H80 * L80 + J80 * N80) / (H80 + J80))</f>
        <v>#VALUE!</v>
      </c>
      <c r="Q80" s="3" t="e">
        <f>IF(O80 = "", "", O80 - P80)</f>
        <v>#VALUE!</v>
      </c>
      <c r="R80" s="3" t="e">
        <f>LOOKUP(C80, SweepStudyConfig[StudyId], SweepStudyConfig[SweepCorrectedGap])</f>
        <v>#VALUE!</v>
      </c>
      <c r="S80" s="3" t="e">
        <f>IF(Q80 = "", "", Q80 - R80)</f>
        <v>#VALUE!</v>
      </c>
    </row>
    <row r="81">
      <c r="A81" s="2" t="s">
        <v>3369</v>
      </c>
      <c r="B81" s="3" t="str">
        <f>A81</f>
        <v>jeter-justice-1997-f095</v>
      </c>
      <c r="C81" s="2" t="s">
        <v>448</v>
      </c>
      <c r="D81" s="2">
        <v>0.95</v>
      </c>
      <c r="E81" s="3" t="e">
        <f>ABS(D81 - LOOKUP(C81, SweepStudyConfig[StudyId], SweepStudyConfig[OriginalAllocFractionA])) &lt; 0.03</f>
        <v>#VALUE!</v>
      </c>
      <c r="F81" s="3" t="e">
        <f>LOOKUP(C81, SweepStudyConfig[StudyId], SweepStudyConfig[NSweepStratumTotal])</f>
        <v>#VALUE!</v>
      </c>
      <c r="G81" s="3" t="e">
        <f>ROUND(F81 * D81)</f>
        <v>#VALUE!</v>
      </c>
      <c r="H81" s="3" t="e">
        <f>F81 - G81</f>
        <v>#VALUE!</v>
      </c>
      <c r="I81" s="3" t="e">
        <f>LOOKUP(C81, SweepStudyConfig[StudyId], SweepStudyConfig[NFixedA])</f>
        <v>#VALUE!</v>
      </c>
      <c r="J81" s="3" t="e">
        <f>LOOKUP(C81, SweepStudyConfig[StudyId], SweepStudyConfig[NFixedB])</f>
        <v>#VALUE!</v>
      </c>
      <c r="K81" s="3" t="e">
        <f>LOOKUP(C81, SweepStudyConfig[StudyId], SweepStudyConfig[SweepRateA])</f>
        <v>#VALUE!</v>
      </c>
      <c r="L81" s="3" t="e">
        <f>LOOKUP(C81, SweepStudyConfig[StudyId], SweepStudyConfig[SweepRateB])</f>
        <v>#VALUE!</v>
      </c>
      <c r="M81" s="3" t="e">
        <f>LOOKUP(C81, SweepStudyConfig[StudyId], SweepStudyConfig[FixedRateA])</f>
        <v>#VALUE!</v>
      </c>
      <c r="N81" s="3" t="e">
        <f>LOOKUP(C81, SweepStudyConfig[StudyId], SweepStudyConfig[FixedRateB])</f>
        <v>#VALUE!</v>
      </c>
      <c r="O81" s="3" t="e">
        <f>IF(G81 + I81 = 0, "", (G81 * K81 + I81 * M81) / (G81 + I81))</f>
        <v>#VALUE!</v>
      </c>
      <c r="P81" s="3" t="e">
        <f>IF(H81 + J81 = 0, "", (H81 * L81 + J81 * N81) / (H81 + J81))</f>
        <v>#VALUE!</v>
      </c>
      <c r="Q81" s="3" t="e">
        <f>IF(O81 = "", "", O81 - P81)</f>
        <v>#VALUE!</v>
      </c>
      <c r="R81" s="3" t="e">
        <f>LOOKUP(C81, SweepStudyConfig[StudyId], SweepStudyConfig[SweepCorrectedGap])</f>
        <v>#VALUE!</v>
      </c>
      <c r="S81" s="3" t="e">
        <f>IF(Q81 = "", "", Q81 - R81)</f>
        <v>#VALUE!</v>
      </c>
    </row>
    <row r="82">
      <c r="A82" s="2" t="s">
        <v>3370</v>
      </c>
      <c r="B82" s="3" t="str">
        <f>A82</f>
        <v>appleton-1996-f005</v>
      </c>
      <c r="C82" s="2" t="s">
        <v>453</v>
      </c>
      <c r="D82" s="2">
        <v>0.05</v>
      </c>
      <c r="E82" s="3" t="e">
        <f>ABS(D82 - LOOKUP(C82, SweepStudyConfig[StudyId], SweepStudyConfig[OriginalAllocFractionA])) &lt; 0.03</f>
        <v>#VALUE!</v>
      </c>
      <c r="F82" s="3" t="e">
        <f>LOOKUP(C82, SweepStudyConfig[StudyId], SweepStudyConfig[NSweepStratumTotal])</f>
        <v>#VALUE!</v>
      </c>
      <c r="G82" s="3" t="e">
        <f>ROUND(F82 * D82)</f>
        <v>#VALUE!</v>
      </c>
      <c r="H82" s="3" t="e">
        <f>F82 - G82</f>
        <v>#VALUE!</v>
      </c>
      <c r="I82" s="3" t="e">
        <f>LOOKUP(C82, SweepStudyConfig[StudyId], SweepStudyConfig[NFixedA])</f>
        <v>#VALUE!</v>
      </c>
      <c r="J82" s="3" t="e">
        <f>LOOKUP(C82, SweepStudyConfig[StudyId], SweepStudyConfig[NFixedB])</f>
        <v>#VALUE!</v>
      </c>
      <c r="K82" s="3" t="e">
        <f>LOOKUP(C82, SweepStudyConfig[StudyId], SweepStudyConfig[SweepRateA])</f>
        <v>#VALUE!</v>
      </c>
      <c r="L82" s="3" t="e">
        <f>LOOKUP(C82, SweepStudyConfig[StudyId], SweepStudyConfig[SweepRateB])</f>
        <v>#VALUE!</v>
      </c>
      <c r="M82" s="3" t="e">
        <f>LOOKUP(C82, SweepStudyConfig[StudyId], SweepStudyConfig[FixedRateA])</f>
        <v>#VALUE!</v>
      </c>
      <c r="N82" s="3" t="e">
        <f>LOOKUP(C82, SweepStudyConfig[StudyId], SweepStudyConfig[FixedRateB])</f>
        <v>#VALUE!</v>
      </c>
      <c r="O82" s="3" t="e">
        <f>IF(G82 + I82 = 0, "", (G82 * K82 + I82 * M82) / (G82 + I82))</f>
        <v>#VALUE!</v>
      </c>
      <c r="P82" s="3" t="e">
        <f>IF(H82 + J82 = 0, "", (H82 * L82 + J82 * N82) / (H82 + J82))</f>
        <v>#VALUE!</v>
      </c>
      <c r="Q82" s="3" t="e">
        <f>IF(O82 = "", "", O82 - P82)</f>
        <v>#VALUE!</v>
      </c>
      <c r="R82" s="3" t="e">
        <f>LOOKUP(C82, SweepStudyConfig[StudyId], SweepStudyConfig[SweepCorrectedGap])</f>
        <v>#VALUE!</v>
      </c>
      <c r="S82" s="3" t="e">
        <f>IF(Q82 = "", "", Q82 - R82)</f>
        <v>#VALUE!</v>
      </c>
    </row>
    <row r="83">
      <c r="A83" s="2" t="s">
        <v>3371</v>
      </c>
      <c r="B83" s="3" t="str">
        <f>A83</f>
        <v>appleton-1996-f015</v>
      </c>
      <c r="C83" s="2" t="s">
        <v>453</v>
      </c>
      <c r="D83" s="2">
        <v>0.15</v>
      </c>
      <c r="E83" s="3" t="e">
        <f>ABS(D83 - LOOKUP(C83, SweepStudyConfig[StudyId], SweepStudyConfig[OriginalAllocFractionA])) &lt; 0.03</f>
        <v>#VALUE!</v>
      </c>
      <c r="F83" s="3" t="e">
        <f>LOOKUP(C83, SweepStudyConfig[StudyId], SweepStudyConfig[NSweepStratumTotal])</f>
        <v>#VALUE!</v>
      </c>
      <c r="G83" s="3" t="e">
        <f>ROUND(F83 * D83)</f>
        <v>#VALUE!</v>
      </c>
      <c r="H83" s="3" t="e">
        <f>F83 - G83</f>
        <v>#VALUE!</v>
      </c>
      <c r="I83" s="3" t="e">
        <f>LOOKUP(C83, SweepStudyConfig[StudyId], SweepStudyConfig[NFixedA])</f>
        <v>#VALUE!</v>
      </c>
      <c r="J83" s="3" t="e">
        <f>LOOKUP(C83, SweepStudyConfig[StudyId], SweepStudyConfig[NFixedB])</f>
        <v>#VALUE!</v>
      </c>
      <c r="K83" s="3" t="e">
        <f>LOOKUP(C83, SweepStudyConfig[StudyId], SweepStudyConfig[SweepRateA])</f>
        <v>#VALUE!</v>
      </c>
      <c r="L83" s="3" t="e">
        <f>LOOKUP(C83, SweepStudyConfig[StudyId], SweepStudyConfig[SweepRateB])</f>
        <v>#VALUE!</v>
      </c>
      <c r="M83" s="3" t="e">
        <f>LOOKUP(C83, SweepStudyConfig[StudyId], SweepStudyConfig[FixedRateA])</f>
        <v>#VALUE!</v>
      </c>
      <c r="N83" s="3" t="e">
        <f>LOOKUP(C83, SweepStudyConfig[StudyId], SweepStudyConfig[FixedRateB])</f>
        <v>#VALUE!</v>
      </c>
      <c r="O83" s="3" t="e">
        <f>IF(G83 + I83 = 0, "", (G83 * K83 + I83 * M83) / (G83 + I83))</f>
        <v>#VALUE!</v>
      </c>
      <c r="P83" s="3" t="e">
        <f>IF(H83 + J83 = 0, "", (H83 * L83 + J83 * N83) / (H83 + J83))</f>
        <v>#VALUE!</v>
      </c>
      <c r="Q83" s="3" t="e">
        <f>IF(O83 = "", "", O83 - P83)</f>
        <v>#VALUE!</v>
      </c>
      <c r="R83" s="3" t="e">
        <f>LOOKUP(C83, SweepStudyConfig[StudyId], SweepStudyConfig[SweepCorrectedGap])</f>
        <v>#VALUE!</v>
      </c>
      <c r="S83" s="3" t="e">
        <f>IF(Q83 = "", "", Q83 - R83)</f>
        <v>#VALUE!</v>
      </c>
    </row>
    <row r="84">
      <c r="A84" s="2" t="s">
        <v>3372</v>
      </c>
      <c r="B84" s="3" t="str">
        <f>A84</f>
        <v>appleton-1996-f025</v>
      </c>
      <c r="C84" s="2" t="s">
        <v>453</v>
      </c>
      <c r="D84" s="2">
        <v>0.25</v>
      </c>
      <c r="E84" s="3" t="e">
        <f>ABS(D84 - LOOKUP(C84, SweepStudyConfig[StudyId], SweepStudyConfig[OriginalAllocFractionA])) &lt; 0.03</f>
        <v>#VALUE!</v>
      </c>
      <c r="F84" s="3" t="e">
        <f>LOOKUP(C84, SweepStudyConfig[StudyId], SweepStudyConfig[NSweepStratumTotal])</f>
        <v>#VALUE!</v>
      </c>
      <c r="G84" s="3" t="e">
        <f>ROUND(F84 * D84)</f>
        <v>#VALUE!</v>
      </c>
      <c r="H84" s="3" t="e">
        <f>F84 - G84</f>
        <v>#VALUE!</v>
      </c>
      <c r="I84" s="3" t="e">
        <f>LOOKUP(C84, SweepStudyConfig[StudyId], SweepStudyConfig[NFixedA])</f>
        <v>#VALUE!</v>
      </c>
      <c r="J84" s="3" t="e">
        <f>LOOKUP(C84, SweepStudyConfig[StudyId], SweepStudyConfig[NFixedB])</f>
        <v>#VALUE!</v>
      </c>
      <c r="K84" s="3" t="e">
        <f>LOOKUP(C84, SweepStudyConfig[StudyId], SweepStudyConfig[SweepRateA])</f>
        <v>#VALUE!</v>
      </c>
      <c r="L84" s="3" t="e">
        <f>LOOKUP(C84, SweepStudyConfig[StudyId], SweepStudyConfig[SweepRateB])</f>
        <v>#VALUE!</v>
      </c>
      <c r="M84" s="3" t="e">
        <f>LOOKUP(C84, SweepStudyConfig[StudyId], SweepStudyConfig[FixedRateA])</f>
        <v>#VALUE!</v>
      </c>
      <c r="N84" s="3" t="e">
        <f>LOOKUP(C84, SweepStudyConfig[StudyId], SweepStudyConfig[FixedRateB])</f>
        <v>#VALUE!</v>
      </c>
      <c r="O84" s="3" t="e">
        <f>IF(G84 + I84 = 0, "", (G84 * K84 + I84 * M84) / (G84 + I84))</f>
        <v>#VALUE!</v>
      </c>
      <c r="P84" s="3" t="e">
        <f>IF(H84 + J84 = 0, "", (H84 * L84 + J84 * N84) / (H84 + J84))</f>
        <v>#VALUE!</v>
      </c>
      <c r="Q84" s="3" t="e">
        <f>IF(O84 = "", "", O84 - P84)</f>
        <v>#VALUE!</v>
      </c>
      <c r="R84" s="3" t="e">
        <f>LOOKUP(C84, SweepStudyConfig[StudyId], SweepStudyConfig[SweepCorrectedGap])</f>
        <v>#VALUE!</v>
      </c>
      <c r="S84" s="3" t="e">
        <f>IF(Q84 = "", "", Q84 - R84)</f>
        <v>#VALUE!</v>
      </c>
    </row>
    <row r="85">
      <c r="A85" s="2" t="s">
        <v>3373</v>
      </c>
      <c r="B85" s="3" t="str">
        <f>A85</f>
        <v>appleton-1996-f035</v>
      </c>
      <c r="C85" s="2" t="s">
        <v>453</v>
      </c>
      <c r="D85" s="2">
        <v>0.35</v>
      </c>
      <c r="E85" s="3" t="e">
        <f>ABS(D85 - LOOKUP(C85, SweepStudyConfig[StudyId], SweepStudyConfig[OriginalAllocFractionA])) &lt; 0.03</f>
        <v>#VALUE!</v>
      </c>
      <c r="F85" s="3" t="e">
        <f>LOOKUP(C85, SweepStudyConfig[StudyId], SweepStudyConfig[NSweepStratumTotal])</f>
        <v>#VALUE!</v>
      </c>
      <c r="G85" s="3" t="e">
        <f>ROUND(F85 * D85)</f>
        <v>#VALUE!</v>
      </c>
      <c r="H85" s="3" t="e">
        <f>F85 - G85</f>
        <v>#VALUE!</v>
      </c>
      <c r="I85" s="3" t="e">
        <f>LOOKUP(C85, SweepStudyConfig[StudyId], SweepStudyConfig[NFixedA])</f>
        <v>#VALUE!</v>
      </c>
      <c r="J85" s="3" t="e">
        <f>LOOKUP(C85, SweepStudyConfig[StudyId], SweepStudyConfig[NFixedB])</f>
        <v>#VALUE!</v>
      </c>
      <c r="K85" s="3" t="e">
        <f>LOOKUP(C85, SweepStudyConfig[StudyId], SweepStudyConfig[SweepRateA])</f>
        <v>#VALUE!</v>
      </c>
      <c r="L85" s="3" t="e">
        <f>LOOKUP(C85, SweepStudyConfig[StudyId], SweepStudyConfig[SweepRateB])</f>
        <v>#VALUE!</v>
      </c>
      <c r="M85" s="3" t="e">
        <f>LOOKUP(C85, SweepStudyConfig[StudyId], SweepStudyConfig[FixedRateA])</f>
        <v>#VALUE!</v>
      </c>
      <c r="N85" s="3" t="e">
        <f>LOOKUP(C85, SweepStudyConfig[StudyId], SweepStudyConfig[FixedRateB])</f>
        <v>#VALUE!</v>
      </c>
      <c r="O85" s="3" t="e">
        <f>IF(G85 + I85 = 0, "", (G85 * K85 + I85 * M85) / (G85 + I85))</f>
        <v>#VALUE!</v>
      </c>
      <c r="P85" s="3" t="e">
        <f>IF(H85 + J85 = 0, "", (H85 * L85 + J85 * N85) / (H85 + J85))</f>
        <v>#VALUE!</v>
      </c>
      <c r="Q85" s="3" t="e">
        <f>IF(O85 = "", "", O85 - P85)</f>
        <v>#VALUE!</v>
      </c>
      <c r="R85" s="3" t="e">
        <f>LOOKUP(C85, SweepStudyConfig[StudyId], SweepStudyConfig[SweepCorrectedGap])</f>
        <v>#VALUE!</v>
      </c>
      <c r="S85" s="3" t="e">
        <f>IF(Q85 = "", "", Q85 - R85)</f>
        <v>#VALUE!</v>
      </c>
    </row>
    <row r="86">
      <c r="A86" s="2" t="s">
        <v>3374</v>
      </c>
      <c r="B86" s="3" t="str">
        <f>A86</f>
        <v>appleton-1996-f045</v>
      </c>
      <c r="C86" s="2" t="s">
        <v>453</v>
      </c>
      <c r="D86" s="2">
        <v>0.45</v>
      </c>
      <c r="E86" s="3" t="e">
        <f>ABS(D86 - LOOKUP(C86, SweepStudyConfig[StudyId], SweepStudyConfig[OriginalAllocFractionA])) &lt; 0.03</f>
        <v>#VALUE!</v>
      </c>
      <c r="F86" s="3" t="e">
        <f>LOOKUP(C86, SweepStudyConfig[StudyId], SweepStudyConfig[NSweepStratumTotal])</f>
        <v>#VALUE!</v>
      </c>
      <c r="G86" s="3" t="e">
        <f>ROUND(F86 * D86)</f>
        <v>#VALUE!</v>
      </c>
      <c r="H86" s="3" t="e">
        <f>F86 - G86</f>
        <v>#VALUE!</v>
      </c>
      <c r="I86" s="3" t="e">
        <f>LOOKUP(C86, SweepStudyConfig[StudyId], SweepStudyConfig[NFixedA])</f>
        <v>#VALUE!</v>
      </c>
      <c r="J86" s="3" t="e">
        <f>LOOKUP(C86, SweepStudyConfig[StudyId], SweepStudyConfig[NFixedB])</f>
        <v>#VALUE!</v>
      </c>
      <c r="K86" s="3" t="e">
        <f>LOOKUP(C86, SweepStudyConfig[StudyId], SweepStudyConfig[SweepRateA])</f>
        <v>#VALUE!</v>
      </c>
      <c r="L86" s="3" t="e">
        <f>LOOKUP(C86, SweepStudyConfig[StudyId], SweepStudyConfig[SweepRateB])</f>
        <v>#VALUE!</v>
      </c>
      <c r="M86" s="3" t="e">
        <f>LOOKUP(C86, SweepStudyConfig[StudyId], SweepStudyConfig[FixedRateA])</f>
        <v>#VALUE!</v>
      </c>
      <c r="N86" s="3" t="e">
        <f>LOOKUP(C86, SweepStudyConfig[StudyId], SweepStudyConfig[FixedRateB])</f>
        <v>#VALUE!</v>
      </c>
      <c r="O86" s="3" t="e">
        <f>IF(G86 + I86 = 0, "", (G86 * K86 + I86 * M86) / (G86 + I86))</f>
        <v>#VALUE!</v>
      </c>
      <c r="P86" s="3" t="e">
        <f>IF(H86 + J86 = 0, "", (H86 * L86 + J86 * N86) / (H86 + J86))</f>
        <v>#VALUE!</v>
      </c>
      <c r="Q86" s="3" t="e">
        <f>IF(O86 = "", "", O86 - P86)</f>
        <v>#VALUE!</v>
      </c>
      <c r="R86" s="3" t="e">
        <f>LOOKUP(C86, SweepStudyConfig[StudyId], SweepStudyConfig[SweepCorrectedGap])</f>
        <v>#VALUE!</v>
      </c>
      <c r="S86" s="3" t="e">
        <f>IF(Q86 = "", "", Q86 - R86)</f>
        <v>#VALUE!</v>
      </c>
    </row>
    <row r="87">
      <c r="A87" s="2" t="s">
        <v>3375</v>
      </c>
      <c r="B87" s="3" t="str">
        <f>A87</f>
        <v>appleton-1996-f055</v>
      </c>
      <c r="C87" s="2" t="s">
        <v>453</v>
      </c>
      <c r="D87" s="2">
        <v>0.55</v>
      </c>
      <c r="E87" s="3" t="e">
        <f>ABS(D87 - LOOKUP(C87, SweepStudyConfig[StudyId], SweepStudyConfig[OriginalAllocFractionA])) &lt; 0.03</f>
        <v>#VALUE!</v>
      </c>
      <c r="F87" s="3" t="e">
        <f>LOOKUP(C87, SweepStudyConfig[StudyId], SweepStudyConfig[NSweepStratumTotal])</f>
        <v>#VALUE!</v>
      </c>
      <c r="G87" s="3" t="e">
        <f>ROUND(F87 * D87)</f>
        <v>#VALUE!</v>
      </c>
      <c r="H87" s="3" t="e">
        <f>F87 - G87</f>
        <v>#VALUE!</v>
      </c>
      <c r="I87" s="3" t="e">
        <f>LOOKUP(C87, SweepStudyConfig[StudyId], SweepStudyConfig[NFixedA])</f>
        <v>#VALUE!</v>
      </c>
      <c r="J87" s="3" t="e">
        <f>LOOKUP(C87, SweepStudyConfig[StudyId], SweepStudyConfig[NFixedB])</f>
        <v>#VALUE!</v>
      </c>
      <c r="K87" s="3" t="e">
        <f>LOOKUP(C87, SweepStudyConfig[StudyId], SweepStudyConfig[SweepRateA])</f>
        <v>#VALUE!</v>
      </c>
      <c r="L87" s="3" t="e">
        <f>LOOKUP(C87, SweepStudyConfig[StudyId], SweepStudyConfig[SweepRateB])</f>
        <v>#VALUE!</v>
      </c>
      <c r="M87" s="3" t="e">
        <f>LOOKUP(C87, SweepStudyConfig[StudyId], SweepStudyConfig[FixedRateA])</f>
        <v>#VALUE!</v>
      </c>
      <c r="N87" s="3" t="e">
        <f>LOOKUP(C87, SweepStudyConfig[StudyId], SweepStudyConfig[FixedRateB])</f>
        <v>#VALUE!</v>
      </c>
      <c r="O87" s="3" t="e">
        <f>IF(G87 + I87 = 0, "", (G87 * K87 + I87 * M87) / (G87 + I87))</f>
        <v>#VALUE!</v>
      </c>
      <c r="P87" s="3" t="e">
        <f>IF(H87 + J87 = 0, "", (H87 * L87 + J87 * N87) / (H87 + J87))</f>
        <v>#VALUE!</v>
      </c>
      <c r="Q87" s="3" t="e">
        <f>IF(O87 = "", "", O87 - P87)</f>
        <v>#VALUE!</v>
      </c>
      <c r="R87" s="3" t="e">
        <f>LOOKUP(C87, SweepStudyConfig[StudyId], SweepStudyConfig[SweepCorrectedGap])</f>
        <v>#VALUE!</v>
      </c>
      <c r="S87" s="3" t="e">
        <f>IF(Q87 = "", "", Q87 - R87)</f>
        <v>#VALUE!</v>
      </c>
    </row>
    <row r="88">
      <c r="A88" s="2" t="s">
        <v>3376</v>
      </c>
      <c r="B88" s="3" t="str">
        <f>A88</f>
        <v>appleton-1996-f065</v>
      </c>
      <c r="C88" s="2" t="s">
        <v>453</v>
      </c>
      <c r="D88" s="2">
        <v>0.65</v>
      </c>
      <c r="E88" s="3" t="e">
        <f>ABS(D88 - LOOKUP(C88, SweepStudyConfig[StudyId], SweepStudyConfig[OriginalAllocFractionA])) &lt; 0.03</f>
        <v>#VALUE!</v>
      </c>
      <c r="F88" s="3" t="e">
        <f>LOOKUP(C88, SweepStudyConfig[StudyId], SweepStudyConfig[NSweepStratumTotal])</f>
        <v>#VALUE!</v>
      </c>
      <c r="G88" s="3" t="e">
        <f>ROUND(F88 * D88)</f>
        <v>#VALUE!</v>
      </c>
      <c r="H88" s="3" t="e">
        <f>F88 - G88</f>
        <v>#VALUE!</v>
      </c>
      <c r="I88" s="3" t="e">
        <f>LOOKUP(C88, SweepStudyConfig[StudyId], SweepStudyConfig[NFixedA])</f>
        <v>#VALUE!</v>
      </c>
      <c r="J88" s="3" t="e">
        <f>LOOKUP(C88, SweepStudyConfig[StudyId], SweepStudyConfig[NFixedB])</f>
        <v>#VALUE!</v>
      </c>
      <c r="K88" s="3" t="e">
        <f>LOOKUP(C88, SweepStudyConfig[StudyId], SweepStudyConfig[SweepRateA])</f>
        <v>#VALUE!</v>
      </c>
      <c r="L88" s="3" t="e">
        <f>LOOKUP(C88, SweepStudyConfig[StudyId], SweepStudyConfig[SweepRateB])</f>
        <v>#VALUE!</v>
      </c>
      <c r="M88" s="3" t="e">
        <f>LOOKUP(C88, SweepStudyConfig[StudyId], SweepStudyConfig[FixedRateA])</f>
        <v>#VALUE!</v>
      </c>
      <c r="N88" s="3" t="e">
        <f>LOOKUP(C88, SweepStudyConfig[StudyId], SweepStudyConfig[FixedRateB])</f>
        <v>#VALUE!</v>
      </c>
      <c r="O88" s="3" t="e">
        <f>IF(G88 + I88 = 0, "", (G88 * K88 + I88 * M88) / (G88 + I88))</f>
        <v>#VALUE!</v>
      </c>
      <c r="P88" s="3" t="e">
        <f>IF(H88 + J88 = 0, "", (H88 * L88 + J88 * N88) / (H88 + J88))</f>
        <v>#VALUE!</v>
      </c>
      <c r="Q88" s="3" t="e">
        <f>IF(O88 = "", "", O88 - P88)</f>
        <v>#VALUE!</v>
      </c>
      <c r="R88" s="3" t="e">
        <f>LOOKUP(C88, SweepStudyConfig[StudyId], SweepStudyConfig[SweepCorrectedGap])</f>
        <v>#VALUE!</v>
      </c>
      <c r="S88" s="3" t="e">
        <f>IF(Q88 = "", "", Q88 - R88)</f>
        <v>#VALUE!</v>
      </c>
    </row>
    <row r="89">
      <c r="A89" s="2" t="s">
        <v>3377</v>
      </c>
      <c r="B89" s="3" t="str">
        <f>A89</f>
        <v>appleton-1996-f075</v>
      </c>
      <c r="C89" s="2" t="s">
        <v>453</v>
      </c>
      <c r="D89" s="2">
        <v>0.75</v>
      </c>
      <c r="E89" s="3" t="e">
        <f>ABS(D89 - LOOKUP(C89, SweepStudyConfig[StudyId], SweepStudyConfig[OriginalAllocFractionA])) &lt; 0.03</f>
        <v>#VALUE!</v>
      </c>
      <c r="F89" s="3" t="e">
        <f>LOOKUP(C89, SweepStudyConfig[StudyId], SweepStudyConfig[NSweepStratumTotal])</f>
        <v>#VALUE!</v>
      </c>
      <c r="G89" s="3" t="e">
        <f>ROUND(F89 * D89)</f>
        <v>#VALUE!</v>
      </c>
      <c r="H89" s="3" t="e">
        <f>F89 - G89</f>
        <v>#VALUE!</v>
      </c>
      <c r="I89" s="3" t="e">
        <f>LOOKUP(C89, SweepStudyConfig[StudyId], SweepStudyConfig[NFixedA])</f>
        <v>#VALUE!</v>
      </c>
      <c r="J89" s="3" t="e">
        <f>LOOKUP(C89, SweepStudyConfig[StudyId], SweepStudyConfig[NFixedB])</f>
        <v>#VALUE!</v>
      </c>
      <c r="K89" s="3" t="e">
        <f>LOOKUP(C89, SweepStudyConfig[StudyId], SweepStudyConfig[SweepRateA])</f>
        <v>#VALUE!</v>
      </c>
      <c r="L89" s="3" t="e">
        <f>LOOKUP(C89, SweepStudyConfig[StudyId], SweepStudyConfig[SweepRateB])</f>
        <v>#VALUE!</v>
      </c>
      <c r="M89" s="3" t="e">
        <f>LOOKUP(C89, SweepStudyConfig[StudyId], SweepStudyConfig[FixedRateA])</f>
        <v>#VALUE!</v>
      </c>
      <c r="N89" s="3" t="e">
        <f>LOOKUP(C89, SweepStudyConfig[StudyId], SweepStudyConfig[FixedRateB])</f>
        <v>#VALUE!</v>
      </c>
      <c r="O89" s="3" t="e">
        <f>IF(G89 + I89 = 0, "", (G89 * K89 + I89 * M89) / (G89 + I89))</f>
        <v>#VALUE!</v>
      </c>
      <c r="P89" s="3" t="e">
        <f>IF(H89 + J89 = 0, "", (H89 * L89 + J89 * N89) / (H89 + J89))</f>
        <v>#VALUE!</v>
      </c>
      <c r="Q89" s="3" t="e">
        <f>IF(O89 = "", "", O89 - P89)</f>
        <v>#VALUE!</v>
      </c>
      <c r="R89" s="3" t="e">
        <f>LOOKUP(C89, SweepStudyConfig[StudyId], SweepStudyConfig[SweepCorrectedGap])</f>
        <v>#VALUE!</v>
      </c>
      <c r="S89" s="3" t="e">
        <f>IF(Q89 = "", "", Q89 - R89)</f>
        <v>#VALUE!</v>
      </c>
    </row>
    <row r="90">
      <c r="A90" s="2" t="s">
        <v>3378</v>
      </c>
      <c r="B90" s="3" t="str">
        <f>A90</f>
        <v>appleton-1996-f085</v>
      </c>
      <c r="C90" s="2" t="s">
        <v>453</v>
      </c>
      <c r="D90" s="2">
        <v>0.85</v>
      </c>
      <c r="E90" s="3" t="e">
        <f>ABS(D90 - LOOKUP(C90, SweepStudyConfig[StudyId], SweepStudyConfig[OriginalAllocFractionA])) &lt; 0.03</f>
        <v>#VALUE!</v>
      </c>
      <c r="F90" s="3" t="e">
        <f>LOOKUP(C90, SweepStudyConfig[StudyId], SweepStudyConfig[NSweepStratumTotal])</f>
        <v>#VALUE!</v>
      </c>
      <c r="G90" s="3" t="e">
        <f>ROUND(F90 * D90)</f>
        <v>#VALUE!</v>
      </c>
      <c r="H90" s="3" t="e">
        <f>F90 - G90</f>
        <v>#VALUE!</v>
      </c>
      <c r="I90" s="3" t="e">
        <f>LOOKUP(C90, SweepStudyConfig[StudyId], SweepStudyConfig[NFixedA])</f>
        <v>#VALUE!</v>
      </c>
      <c r="J90" s="3" t="e">
        <f>LOOKUP(C90, SweepStudyConfig[StudyId], SweepStudyConfig[NFixedB])</f>
        <v>#VALUE!</v>
      </c>
      <c r="K90" s="3" t="e">
        <f>LOOKUP(C90, SweepStudyConfig[StudyId], SweepStudyConfig[SweepRateA])</f>
        <v>#VALUE!</v>
      </c>
      <c r="L90" s="3" t="e">
        <f>LOOKUP(C90, SweepStudyConfig[StudyId], SweepStudyConfig[SweepRateB])</f>
        <v>#VALUE!</v>
      </c>
      <c r="M90" s="3" t="e">
        <f>LOOKUP(C90, SweepStudyConfig[StudyId], SweepStudyConfig[FixedRateA])</f>
        <v>#VALUE!</v>
      </c>
      <c r="N90" s="3" t="e">
        <f>LOOKUP(C90, SweepStudyConfig[StudyId], SweepStudyConfig[FixedRateB])</f>
        <v>#VALUE!</v>
      </c>
      <c r="O90" s="3" t="e">
        <f>IF(G90 + I90 = 0, "", (G90 * K90 + I90 * M90) / (G90 + I90))</f>
        <v>#VALUE!</v>
      </c>
      <c r="P90" s="3" t="e">
        <f>IF(H90 + J90 = 0, "", (H90 * L90 + J90 * N90) / (H90 + J90))</f>
        <v>#VALUE!</v>
      </c>
      <c r="Q90" s="3" t="e">
        <f>IF(O90 = "", "", O90 - P90)</f>
        <v>#VALUE!</v>
      </c>
      <c r="R90" s="3" t="e">
        <f>LOOKUP(C90, SweepStudyConfig[StudyId], SweepStudyConfig[SweepCorrectedGap])</f>
        <v>#VALUE!</v>
      </c>
      <c r="S90" s="3" t="e">
        <f>IF(Q90 = "", "", Q90 - R90)</f>
        <v>#VALUE!</v>
      </c>
    </row>
    <row r="91">
      <c r="A91" s="2" t="s">
        <v>3379</v>
      </c>
      <c r="B91" s="3" t="str">
        <f>A91</f>
        <v>appleton-1996-f095</v>
      </c>
      <c r="C91" s="2" t="s">
        <v>453</v>
      </c>
      <c r="D91" s="2">
        <v>0.95</v>
      </c>
      <c r="E91" s="3" t="e">
        <f>ABS(D91 - LOOKUP(C91, SweepStudyConfig[StudyId], SweepStudyConfig[OriginalAllocFractionA])) &lt; 0.03</f>
        <v>#VALUE!</v>
      </c>
      <c r="F91" s="3" t="e">
        <f>LOOKUP(C91, SweepStudyConfig[StudyId], SweepStudyConfig[NSweepStratumTotal])</f>
        <v>#VALUE!</v>
      </c>
      <c r="G91" s="3" t="e">
        <f>ROUND(F91 * D91)</f>
        <v>#VALUE!</v>
      </c>
      <c r="H91" s="3" t="e">
        <f>F91 - G91</f>
        <v>#VALUE!</v>
      </c>
      <c r="I91" s="3" t="e">
        <f>LOOKUP(C91, SweepStudyConfig[StudyId], SweepStudyConfig[NFixedA])</f>
        <v>#VALUE!</v>
      </c>
      <c r="J91" s="3" t="e">
        <f>LOOKUP(C91, SweepStudyConfig[StudyId], SweepStudyConfig[NFixedB])</f>
        <v>#VALUE!</v>
      </c>
      <c r="K91" s="3" t="e">
        <f>LOOKUP(C91, SweepStudyConfig[StudyId], SweepStudyConfig[SweepRateA])</f>
        <v>#VALUE!</v>
      </c>
      <c r="L91" s="3" t="e">
        <f>LOOKUP(C91, SweepStudyConfig[StudyId], SweepStudyConfig[SweepRateB])</f>
        <v>#VALUE!</v>
      </c>
      <c r="M91" s="3" t="e">
        <f>LOOKUP(C91, SweepStudyConfig[StudyId], SweepStudyConfig[FixedRateA])</f>
        <v>#VALUE!</v>
      </c>
      <c r="N91" s="3" t="e">
        <f>LOOKUP(C91, SweepStudyConfig[StudyId], SweepStudyConfig[FixedRateB])</f>
        <v>#VALUE!</v>
      </c>
      <c r="O91" s="3" t="e">
        <f>IF(G91 + I91 = 0, "", (G91 * K91 + I91 * M91) / (G91 + I91))</f>
        <v>#VALUE!</v>
      </c>
      <c r="P91" s="3" t="e">
        <f>IF(H91 + J91 = 0, "", (H91 * L91 + J91 * N91) / (H91 + J91))</f>
        <v>#VALUE!</v>
      </c>
      <c r="Q91" s="3" t="e">
        <f>IF(O91 = "", "", O91 - P91)</f>
        <v>#VALUE!</v>
      </c>
      <c r="R91" s="3" t="e">
        <f>LOOKUP(C91, SweepStudyConfig[StudyId], SweepStudyConfig[SweepCorrectedGap])</f>
        <v>#VALUE!</v>
      </c>
      <c r="S91" s="3" t="e">
        <f>IF(Q91 = "", "", Q91 - R91)</f>
        <v>#VALUE!</v>
      </c>
    </row>
    <row r="92">
      <c r="A92" s="2" t="s">
        <v>3380</v>
      </c>
      <c r="B92" s="3" t="str">
        <f>A92</f>
        <v>phe-covid-2021-f005</v>
      </c>
      <c r="C92" s="2" t="s">
        <v>457</v>
      </c>
      <c r="D92" s="2">
        <v>0.05</v>
      </c>
      <c r="E92" s="3" t="e">
        <f>ABS(D92 - LOOKUP(C92, SweepStudyConfig[StudyId], SweepStudyConfig[OriginalAllocFractionA])) &lt; 0.03</f>
        <v>#VALUE!</v>
      </c>
      <c r="F92" s="3" t="e">
        <f>LOOKUP(C92, SweepStudyConfig[StudyId], SweepStudyConfig[NSweepStratumTotal])</f>
        <v>#VALUE!</v>
      </c>
      <c r="G92" s="3" t="e">
        <f>ROUND(F92 * D92)</f>
        <v>#VALUE!</v>
      </c>
      <c r="H92" s="3" t="e">
        <f>F92 - G92</f>
        <v>#VALUE!</v>
      </c>
      <c r="I92" s="3" t="e">
        <f>LOOKUP(C92, SweepStudyConfig[StudyId], SweepStudyConfig[NFixedA])</f>
        <v>#VALUE!</v>
      </c>
      <c r="J92" s="3" t="e">
        <f>LOOKUP(C92, SweepStudyConfig[StudyId], SweepStudyConfig[NFixedB])</f>
        <v>#VALUE!</v>
      </c>
      <c r="K92" s="3" t="e">
        <f>LOOKUP(C92, SweepStudyConfig[StudyId], SweepStudyConfig[SweepRateA])</f>
        <v>#VALUE!</v>
      </c>
      <c r="L92" s="3" t="e">
        <f>LOOKUP(C92, SweepStudyConfig[StudyId], SweepStudyConfig[SweepRateB])</f>
        <v>#VALUE!</v>
      </c>
      <c r="M92" s="3" t="e">
        <f>LOOKUP(C92, SweepStudyConfig[StudyId], SweepStudyConfig[FixedRateA])</f>
        <v>#VALUE!</v>
      </c>
      <c r="N92" s="3" t="e">
        <f>LOOKUP(C92, SweepStudyConfig[StudyId], SweepStudyConfig[FixedRateB])</f>
        <v>#VALUE!</v>
      </c>
      <c r="O92" s="3" t="e">
        <f>IF(G92 + I92 = 0, "", (G92 * K92 + I92 * M92) / (G92 + I92))</f>
        <v>#VALUE!</v>
      </c>
      <c r="P92" s="3" t="e">
        <f>IF(H92 + J92 = 0, "", (H92 * L92 + J92 * N92) / (H92 + J92))</f>
        <v>#VALUE!</v>
      </c>
      <c r="Q92" s="3" t="e">
        <f>IF(O92 = "", "", O92 - P92)</f>
        <v>#VALUE!</v>
      </c>
      <c r="R92" s="3" t="e">
        <f>LOOKUP(C92, SweepStudyConfig[StudyId], SweepStudyConfig[SweepCorrectedGap])</f>
        <v>#VALUE!</v>
      </c>
      <c r="S92" s="3" t="e">
        <f>IF(Q92 = "", "", Q92 - R92)</f>
        <v>#VALUE!</v>
      </c>
    </row>
    <row r="93">
      <c r="A93" s="2" t="s">
        <v>3381</v>
      </c>
      <c r="B93" s="3" t="str">
        <f>A93</f>
        <v>phe-covid-2021-f015</v>
      </c>
      <c r="C93" s="2" t="s">
        <v>457</v>
      </c>
      <c r="D93" s="2">
        <v>0.15</v>
      </c>
      <c r="E93" s="3" t="e">
        <f>ABS(D93 - LOOKUP(C93, SweepStudyConfig[StudyId], SweepStudyConfig[OriginalAllocFractionA])) &lt; 0.03</f>
        <v>#VALUE!</v>
      </c>
      <c r="F93" s="3" t="e">
        <f>LOOKUP(C93, SweepStudyConfig[StudyId], SweepStudyConfig[NSweepStratumTotal])</f>
        <v>#VALUE!</v>
      </c>
      <c r="G93" s="3" t="e">
        <f>ROUND(F93 * D93)</f>
        <v>#VALUE!</v>
      </c>
      <c r="H93" s="3" t="e">
        <f>F93 - G93</f>
        <v>#VALUE!</v>
      </c>
      <c r="I93" s="3" t="e">
        <f>LOOKUP(C93, SweepStudyConfig[StudyId], SweepStudyConfig[NFixedA])</f>
        <v>#VALUE!</v>
      </c>
      <c r="J93" s="3" t="e">
        <f>LOOKUP(C93, SweepStudyConfig[StudyId], SweepStudyConfig[NFixedB])</f>
        <v>#VALUE!</v>
      </c>
      <c r="K93" s="3" t="e">
        <f>LOOKUP(C93, SweepStudyConfig[StudyId], SweepStudyConfig[SweepRateA])</f>
        <v>#VALUE!</v>
      </c>
      <c r="L93" s="3" t="e">
        <f>LOOKUP(C93, SweepStudyConfig[StudyId], SweepStudyConfig[SweepRateB])</f>
        <v>#VALUE!</v>
      </c>
      <c r="M93" s="3" t="e">
        <f>LOOKUP(C93, SweepStudyConfig[StudyId], SweepStudyConfig[FixedRateA])</f>
        <v>#VALUE!</v>
      </c>
      <c r="N93" s="3" t="e">
        <f>LOOKUP(C93, SweepStudyConfig[StudyId], SweepStudyConfig[FixedRateB])</f>
        <v>#VALUE!</v>
      </c>
      <c r="O93" s="3" t="e">
        <f>IF(G93 + I93 = 0, "", (G93 * K93 + I93 * M93) / (G93 + I93))</f>
        <v>#VALUE!</v>
      </c>
      <c r="P93" s="3" t="e">
        <f>IF(H93 + J93 = 0, "", (H93 * L93 + J93 * N93) / (H93 + J93))</f>
        <v>#VALUE!</v>
      </c>
      <c r="Q93" s="3" t="e">
        <f>IF(O93 = "", "", O93 - P93)</f>
        <v>#VALUE!</v>
      </c>
      <c r="R93" s="3" t="e">
        <f>LOOKUP(C93, SweepStudyConfig[StudyId], SweepStudyConfig[SweepCorrectedGap])</f>
        <v>#VALUE!</v>
      </c>
      <c r="S93" s="3" t="e">
        <f>IF(Q93 = "", "", Q93 - R93)</f>
        <v>#VALUE!</v>
      </c>
    </row>
    <row r="94">
      <c r="A94" s="2" t="s">
        <v>3382</v>
      </c>
      <c r="B94" s="3" t="str">
        <f>A94</f>
        <v>phe-covid-2021-f025</v>
      </c>
      <c r="C94" s="2" t="s">
        <v>457</v>
      </c>
      <c r="D94" s="2">
        <v>0.25</v>
      </c>
      <c r="E94" s="3" t="e">
        <f>ABS(D94 - LOOKUP(C94, SweepStudyConfig[StudyId], SweepStudyConfig[OriginalAllocFractionA])) &lt; 0.03</f>
        <v>#VALUE!</v>
      </c>
      <c r="F94" s="3" t="e">
        <f>LOOKUP(C94, SweepStudyConfig[StudyId], SweepStudyConfig[NSweepStratumTotal])</f>
        <v>#VALUE!</v>
      </c>
      <c r="G94" s="3" t="e">
        <f>ROUND(F94 * D94)</f>
        <v>#VALUE!</v>
      </c>
      <c r="H94" s="3" t="e">
        <f>F94 - G94</f>
        <v>#VALUE!</v>
      </c>
      <c r="I94" s="3" t="e">
        <f>LOOKUP(C94, SweepStudyConfig[StudyId], SweepStudyConfig[NFixedA])</f>
        <v>#VALUE!</v>
      </c>
      <c r="J94" s="3" t="e">
        <f>LOOKUP(C94, SweepStudyConfig[StudyId], SweepStudyConfig[NFixedB])</f>
        <v>#VALUE!</v>
      </c>
      <c r="K94" s="3" t="e">
        <f>LOOKUP(C94, SweepStudyConfig[StudyId], SweepStudyConfig[SweepRateA])</f>
        <v>#VALUE!</v>
      </c>
      <c r="L94" s="3" t="e">
        <f>LOOKUP(C94, SweepStudyConfig[StudyId], SweepStudyConfig[SweepRateB])</f>
        <v>#VALUE!</v>
      </c>
      <c r="M94" s="3" t="e">
        <f>LOOKUP(C94, SweepStudyConfig[StudyId], SweepStudyConfig[FixedRateA])</f>
        <v>#VALUE!</v>
      </c>
      <c r="N94" s="3" t="e">
        <f>LOOKUP(C94, SweepStudyConfig[StudyId], SweepStudyConfig[FixedRateB])</f>
        <v>#VALUE!</v>
      </c>
      <c r="O94" s="3" t="e">
        <f>IF(G94 + I94 = 0, "", (G94 * K94 + I94 * M94) / (G94 + I94))</f>
        <v>#VALUE!</v>
      </c>
      <c r="P94" s="3" t="e">
        <f>IF(H94 + J94 = 0, "", (H94 * L94 + J94 * N94) / (H94 + J94))</f>
        <v>#VALUE!</v>
      </c>
      <c r="Q94" s="3" t="e">
        <f>IF(O94 = "", "", O94 - P94)</f>
        <v>#VALUE!</v>
      </c>
      <c r="R94" s="3" t="e">
        <f>LOOKUP(C94, SweepStudyConfig[StudyId], SweepStudyConfig[SweepCorrectedGap])</f>
        <v>#VALUE!</v>
      </c>
      <c r="S94" s="3" t="e">
        <f>IF(Q94 = "", "", Q94 - R94)</f>
        <v>#VALUE!</v>
      </c>
    </row>
    <row r="95">
      <c r="A95" s="2" t="s">
        <v>3383</v>
      </c>
      <c r="B95" s="3" t="str">
        <f>A95</f>
        <v>phe-covid-2021-f035</v>
      </c>
      <c r="C95" s="2" t="s">
        <v>457</v>
      </c>
      <c r="D95" s="2">
        <v>0.35</v>
      </c>
      <c r="E95" s="3" t="e">
        <f>ABS(D95 - LOOKUP(C95, SweepStudyConfig[StudyId], SweepStudyConfig[OriginalAllocFractionA])) &lt; 0.03</f>
        <v>#VALUE!</v>
      </c>
      <c r="F95" s="3" t="e">
        <f>LOOKUP(C95, SweepStudyConfig[StudyId], SweepStudyConfig[NSweepStratumTotal])</f>
        <v>#VALUE!</v>
      </c>
      <c r="G95" s="3" t="e">
        <f>ROUND(F95 * D95)</f>
        <v>#VALUE!</v>
      </c>
      <c r="H95" s="3" t="e">
        <f>F95 - G95</f>
        <v>#VALUE!</v>
      </c>
      <c r="I95" s="3" t="e">
        <f>LOOKUP(C95, SweepStudyConfig[StudyId], SweepStudyConfig[NFixedA])</f>
        <v>#VALUE!</v>
      </c>
      <c r="J95" s="3" t="e">
        <f>LOOKUP(C95, SweepStudyConfig[StudyId], SweepStudyConfig[NFixedB])</f>
        <v>#VALUE!</v>
      </c>
      <c r="K95" s="3" t="e">
        <f>LOOKUP(C95, SweepStudyConfig[StudyId], SweepStudyConfig[SweepRateA])</f>
        <v>#VALUE!</v>
      </c>
      <c r="L95" s="3" t="e">
        <f>LOOKUP(C95, SweepStudyConfig[StudyId], SweepStudyConfig[SweepRateB])</f>
        <v>#VALUE!</v>
      </c>
      <c r="M95" s="3" t="e">
        <f>LOOKUP(C95, SweepStudyConfig[StudyId], SweepStudyConfig[FixedRateA])</f>
        <v>#VALUE!</v>
      </c>
      <c r="N95" s="3" t="e">
        <f>LOOKUP(C95, SweepStudyConfig[StudyId], SweepStudyConfig[FixedRateB])</f>
        <v>#VALUE!</v>
      </c>
      <c r="O95" s="3" t="e">
        <f>IF(G95 + I95 = 0, "", (G95 * K95 + I95 * M95) / (G95 + I95))</f>
        <v>#VALUE!</v>
      </c>
      <c r="P95" s="3" t="e">
        <f>IF(H95 + J95 = 0, "", (H95 * L95 + J95 * N95) / (H95 + J95))</f>
        <v>#VALUE!</v>
      </c>
      <c r="Q95" s="3" t="e">
        <f>IF(O95 = "", "", O95 - P95)</f>
        <v>#VALUE!</v>
      </c>
      <c r="R95" s="3" t="e">
        <f>LOOKUP(C95, SweepStudyConfig[StudyId], SweepStudyConfig[SweepCorrectedGap])</f>
        <v>#VALUE!</v>
      </c>
      <c r="S95" s="3" t="e">
        <f>IF(Q95 = "", "", Q95 - R95)</f>
        <v>#VALUE!</v>
      </c>
    </row>
    <row r="96">
      <c r="A96" s="2" t="s">
        <v>3384</v>
      </c>
      <c r="B96" s="3" t="str">
        <f>A96</f>
        <v>phe-covid-2021-f045</v>
      </c>
      <c r="C96" s="2" t="s">
        <v>457</v>
      </c>
      <c r="D96" s="2">
        <v>0.45</v>
      </c>
      <c r="E96" s="3" t="e">
        <f>ABS(D96 - LOOKUP(C96, SweepStudyConfig[StudyId], SweepStudyConfig[OriginalAllocFractionA])) &lt; 0.03</f>
        <v>#VALUE!</v>
      </c>
      <c r="F96" s="3" t="e">
        <f>LOOKUP(C96, SweepStudyConfig[StudyId], SweepStudyConfig[NSweepStratumTotal])</f>
        <v>#VALUE!</v>
      </c>
      <c r="G96" s="3" t="e">
        <f>ROUND(F96 * D96)</f>
        <v>#VALUE!</v>
      </c>
      <c r="H96" s="3" t="e">
        <f>F96 - G96</f>
        <v>#VALUE!</v>
      </c>
      <c r="I96" s="3" t="e">
        <f>LOOKUP(C96, SweepStudyConfig[StudyId], SweepStudyConfig[NFixedA])</f>
        <v>#VALUE!</v>
      </c>
      <c r="J96" s="3" t="e">
        <f>LOOKUP(C96, SweepStudyConfig[StudyId], SweepStudyConfig[NFixedB])</f>
        <v>#VALUE!</v>
      </c>
      <c r="K96" s="3" t="e">
        <f>LOOKUP(C96, SweepStudyConfig[StudyId], SweepStudyConfig[SweepRateA])</f>
        <v>#VALUE!</v>
      </c>
      <c r="L96" s="3" t="e">
        <f>LOOKUP(C96, SweepStudyConfig[StudyId], SweepStudyConfig[SweepRateB])</f>
        <v>#VALUE!</v>
      </c>
      <c r="M96" s="3" t="e">
        <f>LOOKUP(C96, SweepStudyConfig[StudyId], SweepStudyConfig[FixedRateA])</f>
        <v>#VALUE!</v>
      </c>
      <c r="N96" s="3" t="e">
        <f>LOOKUP(C96, SweepStudyConfig[StudyId], SweepStudyConfig[FixedRateB])</f>
        <v>#VALUE!</v>
      </c>
      <c r="O96" s="3" t="e">
        <f>IF(G96 + I96 = 0, "", (G96 * K96 + I96 * M96) / (G96 + I96))</f>
        <v>#VALUE!</v>
      </c>
      <c r="P96" s="3" t="e">
        <f>IF(H96 + J96 = 0, "", (H96 * L96 + J96 * N96) / (H96 + J96))</f>
        <v>#VALUE!</v>
      </c>
      <c r="Q96" s="3" t="e">
        <f>IF(O96 = "", "", O96 - P96)</f>
        <v>#VALUE!</v>
      </c>
      <c r="R96" s="3" t="e">
        <f>LOOKUP(C96, SweepStudyConfig[StudyId], SweepStudyConfig[SweepCorrectedGap])</f>
        <v>#VALUE!</v>
      </c>
      <c r="S96" s="3" t="e">
        <f>IF(Q96 = "", "", Q96 - R96)</f>
        <v>#VALUE!</v>
      </c>
    </row>
    <row r="97">
      <c r="A97" s="2" t="s">
        <v>3385</v>
      </c>
      <c r="B97" s="3" t="str">
        <f>A97</f>
        <v>phe-covid-2021-f055</v>
      </c>
      <c r="C97" s="2" t="s">
        <v>457</v>
      </c>
      <c r="D97" s="2">
        <v>0.55</v>
      </c>
      <c r="E97" s="3" t="e">
        <f>ABS(D97 - LOOKUP(C97, SweepStudyConfig[StudyId], SweepStudyConfig[OriginalAllocFractionA])) &lt; 0.03</f>
        <v>#VALUE!</v>
      </c>
      <c r="F97" s="3" t="e">
        <f>LOOKUP(C97, SweepStudyConfig[StudyId], SweepStudyConfig[NSweepStratumTotal])</f>
        <v>#VALUE!</v>
      </c>
      <c r="G97" s="3" t="e">
        <f>ROUND(F97 * D97)</f>
        <v>#VALUE!</v>
      </c>
      <c r="H97" s="3" t="e">
        <f>F97 - G97</f>
        <v>#VALUE!</v>
      </c>
      <c r="I97" s="3" t="e">
        <f>LOOKUP(C97, SweepStudyConfig[StudyId], SweepStudyConfig[NFixedA])</f>
        <v>#VALUE!</v>
      </c>
      <c r="J97" s="3" t="e">
        <f>LOOKUP(C97, SweepStudyConfig[StudyId], SweepStudyConfig[NFixedB])</f>
        <v>#VALUE!</v>
      </c>
      <c r="K97" s="3" t="e">
        <f>LOOKUP(C97, SweepStudyConfig[StudyId], SweepStudyConfig[SweepRateA])</f>
        <v>#VALUE!</v>
      </c>
      <c r="L97" s="3" t="e">
        <f>LOOKUP(C97, SweepStudyConfig[StudyId], SweepStudyConfig[SweepRateB])</f>
        <v>#VALUE!</v>
      </c>
      <c r="M97" s="3" t="e">
        <f>LOOKUP(C97, SweepStudyConfig[StudyId], SweepStudyConfig[FixedRateA])</f>
        <v>#VALUE!</v>
      </c>
      <c r="N97" s="3" t="e">
        <f>LOOKUP(C97, SweepStudyConfig[StudyId], SweepStudyConfig[FixedRateB])</f>
        <v>#VALUE!</v>
      </c>
      <c r="O97" s="3" t="e">
        <f>IF(G97 + I97 = 0, "", (G97 * K97 + I97 * M97) / (G97 + I97))</f>
        <v>#VALUE!</v>
      </c>
      <c r="P97" s="3" t="e">
        <f>IF(H97 + J97 = 0, "", (H97 * L97 + J97 * N97) / (H97 + J97))</f>
        <v>#VALUE!</v>
      </c>
      <c r="Q97" s="3" t="e">
        <f>IF(O97 = "", "", O97 - P97)</f>
        <v>#VALUE!</v>
      </c>
      <c r="R97" s="3" t="e">
        <f>LOOKUP(C97, SweepStudyConfig[StudyId], SweepStudyConfig[SweepCorrectedGap])</f>
        <v>#VALUE!</v>
      </c>
      <c r="S97" s="3" t="e">
        <f>IF(Q97 = "", "", Q97 - R97)</f>
        <v>#VALUE!</v>
      </c>
    </row>
    <row r="98">
      <c r="A98" s="2" t="s">
        <v>3386</v>
      </c>
      <c r="B98" s="3" t="str">
        <f>A98</f>
        <v>phe-covid-2021-f065</v>
      </c>
      <c r="C98" s="2" t="s">
        <v>457</v>
      </c>
      <c r="D98" s="2">
        <v>0.65</v>
      </c>
      <c r="E98" s="3" t="e">
        <f>ABS(D98 - LOOKUP(C98, SweepStudyConfig[StudyId], SweepStudyConfig[OriginalAllocFractionA])) &lt; 0.03</f>
        <v>#VALUE!</v>
      </c>
      <c r="F98" s="3" t="e">
        <f>LOOKUP(C98, SweepStudyConfig[StudyId], SweepStudyConfig[NSweepStratumTotal])</f>
        <v>#VALUE!</v>
      </c>
      <c r="G98" s="3" t="e">
        <f>ROUND(F98 * D98)</f>
        <v>#VALUE!</v>
      </c>
      <c r="H98" s="3" t="e">
        <f>F98 - G98</f>
        <v>#VALUE!</v>
      </c>
      <c r="I98" s="3" t="e">
        <f>LOOKUP(C98, SweepStudyConfig[StudyId], SweepStudyConfig[NFixedA])</f>
        <v>#VALUE!</v>
      </c>
      <c r="J98" s="3" t="e">
        <f>LOOKUP(C98, SweepStudyConfig[StudyId], SweepStudyConfig[NFixedB])</f>
        <v>#VALUE!</v>
      </c>
      <c r="K98" s="3" t="e">
        <f>LOOKUP(C98, SweepStudyConfig[StudyId], SweepStudyConfig[SweepRateA])</f>
        <v>#VALUE!</v>
      </c>
      <c r="L98" s="3" t="e">
        <f>LOOKUP(C98, SweepStudyConfig[StudyId], SweepStudyConfig[SweepRateB])</f>
        <v>#VALUE!</v>
      </c>
      <c r="M98" s="3" t="e">
        <f>LOOKUP(C98, SweepStudyConfig[StudyId], SweepStudyConfig[FixedRateA])</f>
        <v>#VALUE!</v>
      </c>
      <c r="N98" s="3" t="e">
        <f>LOOKUP(C98, SweepStudyConfig[StudyId], SweepStudyConfig[FixedRateB])</f>
        <v>#VALUE!</v>
      </c>
      <c r="O98" s="3" t="e">
        <f>IF(G98 + I98 = 0, "", (G98 * K98 + I98 * M98) / (G98 + I98))</f>
        <v>#VALUE!</v>
      </c>
      <c r="P98" s="3" t="e">
        <f>IF(H98 + J98 = 0, "", (H98 * L98 + J98 * N98) / (H98 + J98))</f>
        <v>#VALUE!</v>
      </c>
      <c r="Q98" s="3" t="e">
        <f>IF(O98 = "", "", O98 - P98)</f>
        <v>#VALUE!</v>
      </c>
      <c r="R98" s="3" t="e">
        <f>LOOKUP(C98, SweepStudyConfig[StudyId], SweepStudyConfig[SweepCorrectedGap])</f>
        <v>#VALUE!</v>
      </c>
      <c r="S98" s="3" t="e">
        <f>IF(Q98 = "", "", Q98 - R98)</f>
        <v>#VALUE!</v>
      </c>
    </row>
    <row r="99">
      <c r="A99" s="2" t="s">
        <v>3387</v>
      </c>
      <c r="B99" s="3" t="str">
        <f>A99</f>
        <v>phe-covid-2021-f075</v>
      </c>
      <c r="C99" s="2" t="s">
        <v>457</v>
      </c>
      <c r="D99" s="2">
        <v>0.75</v>
      </c>
      <c r="E99" s="3" t="e">
        <f>ABS(D99 - LOOKUP(C99, SweepStudyConfig[StudyId], SweepStudyConfig[OriginalAllocFractionA])) &lt; 0.03</f>
        <v>#VALUE!</v>
      </c>
      <c r="F99" s="3" t="e">
        <f>LOOKUP(C99, SweepStudyConfig[StudyId], SweepStudyConfig[NSweepStratumTotal])</f>
        <v>#VALUE!</v>
      </c>
      <c r="G99" s="3" t="e">
        <f>ROUND(F99 * D99)</f>
        <v>#VALUE!</v>
      </c>
      <c r="H99" s="3" t="e">
        <f>F99 - G99</f>
        <v>#VALUE!</v>
      </c>
      <c r="I99" s="3" t="e">
        <f>LOOKUP(C99, SweepStudyConfig[StudyId], SweepStudyConfig[NFixedA])</f>
        <v>#VALUE!</v>
      </c>
      <c r="J99" s="3" t="e">
        <f>LOOKUP(C99, SweepStudyConfig[StudyId], SweepStudyConfig[NFixedB])</f>
        <v>#VALUE!</v>
      </c>
      <c r="K99" s="3" t="e">
        <f>LOOKUP(C99, SweepStudyConfig[StudyId], SweepStudyConfig[SweepRateA])</f>
        <v>#VALUE!</v>
      </c>
      <c r="L99" s="3" t="e">
        <f>LOOKUP(C99, SweepStudyConfig[StudyId], SweepStudyConfig[SweepRateB])</f>
        <v>#VALUE!</v>
      </c>
      <c r="M99" s="3" t="e">
        <f>LOOKUP(C99, SweepStudyConfig[StudyId], SweepStudyConfig[FixedRateA])</f>
        <v>#VALUE!</v>
      </c>
      <c r="N99" s="3" t="e">
        <f>LOOKUP(C99, SweepStudyConfig[StudyId], SweepStudyConfig[FixedRateB])</f>
        <v>#VALUE!</v>
      </c>
      <c r="O99" s="3" t="e">
        <f>IF(G99 + I99 = 0, "", (G99 * K99 + I99 * M99) / (G99 + I99))</f>
        <v>#VALUE!</v>
      </c>
      <c r="P99" s="3" t="e">
        <f>IF(H99 + J99 = 0, "", (H99 * L99 + J99 * N99) / (H99 + J99))</f>
        <v>#VALUE!</v>
      </c>
      <c r="Q99" s="3" t="e">
        <f>IF(O99 = "", "", O99 - P99)</f>
        <v>#VALUE!</v>
      </c>
      <c r="R99" s="3" t="e">
        <f>LOOKUP(C99, SweepStudyConfig[StudyId], SweepStudyConfig[SweepCorrectedGap])</f>
        <v>#VALUE!</v>
      </c>
      <c r="S99" s="3" t="e">
        <f>IF(Q99 = "", "", Q99 - R99)</f>
        <v>#VALUE!</v>
      </c>
    </row>
    <row r="100">
      <c r="A100" s="2" t="s">
        <v>3388</v>
      </c>
      <c r="B100" s="3" t="str">
        <f>A100</f>
        <v>phe-covid-2021-f085</v>
      </c>
      <c r="C100" s="2" t="s">
        <v>457</v>
      </c>
      <c r="D100" s="2">
        <v>0.85</v>
      </c>
      <c r="E100" s="3" t="e">
        <f>ABS(D100 - LOOKUP(C100, SweepStudyConfig[StudyId], SweepStudyConfig[OriginalAllocFractionA])) &lt; 0.03</f>
        <v>#VALUE!</v>
      </c>
      <c r="F100" s="3" t="e">
        <f>LOOKUP(C100, SweepStudyConfig[StudyId], SweepStudyConfig[NSweepStratumTotal])</f>
        <v>#VALUE!</v>
      </c>
      <c r="G100" s="3" t="e">
        <f>ROUND(F100 * D100)</f>
        <v>#VALUE!</v>
      </c>
      <c r="H100" s="3" t="e">
        <f>F100 - G100</f>
        <v>#VALUE!</v>
      </c>
      <c r="I100" s="3" t="e">
        <f>LOOKUP(C100, SweepStudyConfig[StudyId], SweepStudyConfig[NFixedA])</f>
        <v>#VALUE!</v>
      </c>
      <c r="J100" s="3" t="e">
        <f>LOOKUP(C100, SweepStudyConfig[StudyId], SweepStudyConfig[NFixedB])</f>
        <v>#VALUE!</v>
      </c>
      <c r="K100" s="3" t="e">
        <f>LOOKUP(C100, SweepStudyConfig[StudyId], SweepStudyConfig[SweepRateA])</f>
        <v>#VALUE!</v>
      </c>
      <c r="L100" s="3" t="e">
        <f>LOOKUP(C100, SweepStudyConfig[StudyId], SweepStudyConfig[SweepRateB])</f>
        <v>#VALUE!</v>
      </c>
      <c r="M100" s="3" t="e">
        <f>LOOKUP(C100, SweepStudyConfig[StudyId], SweepStudyConfig[FixedRateA])</f>
        <v>#VALUE!</v>
      </c>
      <c r="N100" s="3" t="e">
        <f>LOOKUP(C100, SweepStudyConfig[StudyId], SweepStudyConfig[FixedRateB])</f>
        <v>#VALUE!</v>
      </c>
      <c r="O100" s="3" t="e">
        <f>IF(G100 + I100 = 0, "", (G100 * K100 + I100 * M100) / (G100 + I100))</f>
        <v>#VALUE!</v>
      </c>
      <c r="P100" s="3" t="e">
        <f>IF(H100 + J100 = 0, "", (H100 * L100 + J100 * N100) / (H100 + J100))</f>
        <v>#VALUE!</v>
      </c>
      <c r="Q100" s="3" t="e">
        <f>IF(O100 = "", "", O100 - P100)</f>
        <v>#VALUE!</v>
      </c>
      <c r="R100" s="3" t="e">
        <f>LOOKUP(C100, SweepStudyConfig[StudyId], SweepStudyConfig[SweepCorrectedGap])</f>
        <v>#VALUE!</v>
      </c>
      <c r="S100" s="3" t="e">
        <f>IF(Q100 = "", "", Q100 - R100)</f>
        <v>#VALUE!</v>
      </c>
    </row>
    <row r="101">
      <c r="A101" s="2" t="s">
        <v>3389</v>
      </c>
      <c r="B101" s="3" t="str">
        <f>A101</f>
        <v>phe-covid-2021-f095</v>
      </c>
      <c r="C101" s="2" t="s">
        <v>457</v>
      </c>
      <c r="D101" s="2">
        <v>0.95</v>
      </c>
      <c r="E101" s="3" t="e">
        <f>ABS(D101 - LOOKUP(C101, SweepStudyConfig[StudyId], SweepStudyConfig[OriginalAllocFractionA])) &lt; 0.03</f>
        <v>#VALUE!</v>
      </c>
      <c r="F101" s="3" t="e">
        <f>LOOKUP(C101, SweepStudyConfig[StudyId], SweepStudyConfig[NSweepStratumTotal])</f>
        <v>#VALUE!</v>
      </c>
      <c r="G101" s="3" t="e">
        <f>ROUND(F101 * D101)</f>
        <v>#VALUE!</v>
      </c>
      <c r="H101" s="3" t="e">
        <f>F101 - G101</f>
        <v>#VALUE!</v>
      </c>
      <c r="I101" s="3" t="e">
        <f>LOOKUP(C101, SweepStudyConfig[StudyId], SweepStudyConfig[NFixedA])</f>
        <v>#VALUE!</v>
      </c>
      <c r="J101" s="3" t="e">
        <f>LOOKUP(C101, SweepStudyConfig[StudyId], SweepStudyConfig[NFixedB])</f>
        <v>#VALUE!</v>
      </c>
      <c r="K101" s="3" t="e">
        <f>LOOKUP(C101, SweepStudyConfig[StudyId], SweepStudyConfig[SweepRateA])</f>
        <v>#VALUE!</v>
      </c>
      <c r="L101" s="3" t="e">
        <f>LOOKUP(C101, SweepStudyConfig[StudyId], SweepStudyConfig[SweepRateB])</f>
        <v>#VALUE!</v>
      </c>
      <c r="M101" s="3" t="e">
        <f>LOOKUP(C101, SweepStudyConfig[StudyId], SweepStudyConfig[FixedRateA])</f>
        <v>#VALUE!</v>
      </c>
      <c r="N101" s="3" t="e">
        <f>LOOKUP(C101, SweepStudyConfig[StudyId], SweepStudyConfig[FixedRateB])</f>
        <v>#VALUE!</v>
      </c>
      <c r="O101" s="3" t="e">
        <f>IF(G101 + I101 = 0, "", (G101 * K101 + I101 * M101) / (G101 + I101))</f>
        <v>#VALUE!</v>
      </c>
      <c r="P101" s="3" t="e">
        <f>IF(H101 + J101 = 0, "", (H101 * L101 + J101 * N101) / (H101 + J101))</f>
        <v>#VALUE!</v>
      </c>
      <c r="Q101" s="3" t="e">
        <f>IF(O101 = "", "", O101 - P101)</f>
        <v>#VALUE!</v>
      </c>
      <c r="R101" s="3" t="e">
        <f>LOOKUP(C101, SweepStudyConfig[StudyId], SweepStudyConfig[SweepCorrectedGap])</f>
        <v>#VALUE!</v>
      </c>
      <c r="S101" s="3" t="e">
        <f>IF(Q101 = "", "", Q101 - R101)</f>
        <v>#VALUE!</v>
      </c>
    </row>
    <row r="102">
      <c r="A102" s="2" t="s">
        <v>3390</v>
      </c>
      <c r="B102" s="3" t="str">
        <f>A102</f>
        <v>hannan-1994-f005</v>
      </c>
      <c r="C102" s="2" t="s">
        <v>462</v>
      </c>
      <c r="D102" s="2">
        <v>0.05</v>
      </c>
      <c r="E102" s="3" t="e">
        <f>ABS(D102 - LOOKUP(C102, SweepStudyConfig[StudyId], SweepStudyConfig[OriginalAllocFractionA])) &lt; 0.03</f>
        <v>#VALUE!</v>
      </c>
      <c r="F102" s="3" t="e">
        <f>LOOKUP(C102, SweepStudyConfig[StudyId], SweepStudyConfig[NSweepStratumTotal])</f>
        <v>#VALUE!</v>
      </c>
      <c r="G102" s="3" t="e">
        <f>ROUND(F102 * D102)</f>
        <v>#VALUE!</v>
      </c>
      <c r="H102" s="3" t="e">
        <f>F102 - G102</f>
        <v>#VALUE!</v>
      </c>
      <c r="I102" s="3" t="e">
        <f>LOOKUP(C102, SweepStudyConfig[StudyId], SweepStudyConfig[NFixedA])</f>
        <v>#VALUE!</v>
      </c>
      <c r="J102" s="3" t="e">
        <f>LOOKUP(C102, SweepStudyConfig[StudyId], SweepStudyConfig[NFixedB])</f>
        <v>#VALUE!</v>
      </c>
      <c r="K102" s="3" t="e">
        <f>LOOKUP(C102, SweepStudyConfig[StudyId], SweepStudyConfig[SweepRateA])</f>
        <v>#VALUE!</v>
      </c>
      <c r="L102" s="3" t="e">
        <f>LOOKUP(C102, SweepStudyConfig[StudyId], SweepStudyConfig[SweepRateB])</f>
        <v>#VALUE!</v>
      </c>
      <c r="M102" s="3" t="e">
        <f>LOOKUP(C102, SweepStudyConfig[StudyId], SweepStudyConfig[FixedRateA])</f>
        <v>#VALUE!</v>
      </c>
      <c r="N102" s="3" t="e">
        <f>LOOKUP(C102, SweepStudyConfig[StudyId], SweepStudyConfig[FixedRateB])</f>
        <v>#VALUE!</v>
      </c>
      <c r="O102" s="3" t="e">
        <f>IF(G102 + I102 = 0, "", (G102 * K102 + I102 * M102) / (G102 + I102))</f>
        <v>#VALUE!</v>
      </c>
      <c r="P102" s="3" t="e">
        <f>IF(H102 + J102 = 0, "", (H102 * L102 + J102 * N102) / (H102 + J102))</f>
        <v>#VALUE!</v>
      </c>
      <c r="Q102" s="3" t="e">
        <f>IF(O102 = "", "", O102 - P102)</f>
        <v>#VALUE!</v>
      </c>
      <c r="R102" s="3" t="e">
        <f>LOOKUP(C102, SweepStudyConfig[StudyId], SweepStudyConfig[SweepCorrectedGap])</f>
        <v>#VALUE!</v>
      </c>
      <c r="S102" s="3" t="e">
        <f>IF(Q102 = "", "", Q102 - R102)</f>
        <v>#VALUE!</v>
      </c>
    </row>
    <row r="103">
      <c r="A103" s="2" t="s">
        <v>3391</v>
      </c>
      <c r="B103" s="3" t="str">
        <f>A103</f>
        <v>hannan-1994-f015</v>
      </c>
      <c r="C103" s="2" t="s">
        <v>462</v>
      </c>
      <c r="D103" s="2">
        <v>0.15</v>
      </c>
      <c r="E103" s="3" t="e">
        <f>ABS(D103 - LOOKUP(C103, SweepStudyConfig[StudyId], SweepStudyConfig[OriginalAllocFractionA])) &lt; 0.03</f>
        <v>#VALUE!</v>
      </c>
      <c r="F103" s="3" t="e">
        <f>LOOKUP(C103, SweepStudyConfig[StudyId], SweepStudyConfig[NSweepStratumTotal])</f>
        <v>#VALUE!</v>
      </c>
      <c r="G103" s="3" t="e">
        <f>ROUND(F103 * D103)</f>
        <v>#VALUE!</v>
      </c>
      <c r="H103" s="3" t="e">
        <f>F103 - G103</f>
        <v>#VALUE!</v>
      </c>
      <c r="I103" s="3" t="e">
        <f>LOOKUP(C103, SweepStudyConfig[StudyId], SweepStudyConfig[NFixedA])</f>
        <v>#VALUE!</v>
      </c>
      <c r="J103" s="3" t="e">
        <f>LOOKUP(C103, SweepStudyConfig[StudyId], SweepStudyConfig[NFixedB])</f>
        <v>#VALUE!</v>
      </c>
      <c r="K103" s="3" t="e">
        <f>LOOKUP(C103, SweepStudyConfig[StudyId], SweepStudyConfig[SweepRateA])</f>
        <v>#VALUE!</v>
      </c>
      <c r="L103" s="3" t="e">
        <f>LOOKUP(C103, SweepStudyConfig[StudyId], SweepStudyConfig[SweepRateB])</f>
        <v>#VALUE!</v>
      </c>
      <c r="M103" s="3" t="e">
        <f>LOOKUP(C103, SweepStudyConfig[StudyId], SweepStudyConfig[FixedRateA])</f>
        <v>#VALUE!</v>
      </c>
      <c r="N103" s="3" t="e">
        <f>LOOKUP(C103, SweepStudyConfig[StudyId], SweepStudyConfig[FixedRateB])</f>
        <v>#VALUE!</v>
      </c>
      <c r="O103" s="3" t="e">
        <f>IF(G103 + I103 = 0, "", (G103 * K103 + I103 * M103) / (G103 + I103))</f>
        <v>#VALUE!</v>
      </c>
      <c r="P103" s="3" t="e">
        <f>IF(H103 + J103 = 0, "", (H103 * L103 + J103 * N103) / (H103 + J103))</f>
        <v>#VALUE!</v>
      </c>
      <c r="Q103" s="3" t="e">
        <f>IF(O103 = "", "", O103 - P103)</f>
        <v>#VALUE!</v>
      </c>
      <c r="R103" s="3" t="e">
        <f>LOOKUP(C103, SweepStudyConfig[StudyId], SweepStudyConfig[SweepCorrectedGap])</f>
        <v>#VALUE!</v>
      </c>
      <c r="S103" s="3" t="e">
        <f>IF(Q103 = "", "", Q103 - R103)</f>
        <v>#VALUE!</v>
      </c>
    </row>
    <row r="104">
      <c r="A104" s="2" t="s">
        <v>3392</v>
      </c>
      <c r="B104" s="3" t="str">
        <f>A104</f>
        <v>hannan-1994-f025</v>
      </c>
      <c r="C104" s="2" t="s">
        <v>462</v>
      </c>
      <c r="D104" s="2">
        <v>0.25</v>
      </c>
      <c r="E104" s="3" t="e">
        <f>ABS(D104 - LOOKUP(C104, SweepStudyConfig[StudyId], SweepStudyConfig[OriginalAllocFractionA])) &lt; 0.03</f>
        <v>#VALUE!</v>
      </c>
      <c r="F104" s="3" t="e">
        <f>LOOKUP(C104, SweepStudyConfig[StudyId], SweepStudyConfig[NSweepStratumTotal])</f>
        <v>#VALUE!</v>
      </c>
      <c r="G104" s="3" t="e">
        <f>ROUND(F104 * D104)</f>
        <v>#VALUE!</v>
      </c>
      <c r="H104" s="3" t="e">
        <f>F104 - G104</f>
        <v>#VALUE!</v>
      </c>
      <c r="I104" s="3" t="e">
        <f>LOOKUP(C104, SweepStudyConfig[StudyId], SweepStudyConfig[NFixedA])</f>
        <v>#VALUE!</v>
      </c>
      <c r="J104" s="3" t="e">
        <f>LOOKUP(C104, SweepStudyConfig[StudyId], SweepStudyConfig[NFixedB])</f>
        <v>#VALUE!</v>
      </c>
      <c r="K104" s="3" t="e">
        <f>LOOKUP(C104, SweepStudyConfig[StudyId], SweepStudyConfig[SweepRateA])</f>
        <v>#VALUE!</v>
      </c>
      <c r="L104" s="3" t="e">
        <f>LOOKUP(C104, SweepStudyConfig[StudyId], SweepStudyConfig[SweepRateB])</f>
        <v>#VALUE!</v>
      </c>
      <c r="M104" s="3" t="e">
        <f>LOOKUP(C104, SweepStudyConfig[StudyId], SweepStudyConfig[FixedRateA])</f>
        <v>#VALUE!</v>
      </c>
      <c r="N104" s="3" t="e">
        <f>LOOKUP(C104, SweepStudyConfig[StudyId], SweepStudyConfig[FixedRateB])</f>
        <v>#VALUE!</v>
      </c>
      <c r="O104" s="3" t="e">
        <f>IF(G104 + I104 = 0, "", (G104 * K104 + I104 * M104) / (G104 + I104))</f>
        <v>#VALUE!</v>
      </c>
      <c r="P104" s="3" t="e">
        <f>IF(H104 + J104 = 0, "", (H104 * L104 + J104 * N104) / (H104 + J104))</f>
        <v>#VALUE!</v>
      </c>
      <c r="Q104" s="3" t="e">
        <f>IF(O104 = "", "", O104 - P104)</f>
        <v>#VALUE!</v>
      </c>
      <c r="R104" s="3" t="e">
        <f>LOOKUP(C104, SweepStudyConfig[StudyId], SweepStudyConfig[SweepCorrectedGap])</f>
        <v>#VALUE!</v>
      </c>
      <c r="S104" s="3" t="e">
        <f>IF(Q104 = "", "", Q104 - R104)</f>
        <v>#VALUE!</v>
      </c>
    </row>
    <row r="105">
      <c r="A105" s="2" t="s">
        <v>3393</v>
      </c>
      <c r="B105" s="3" t="str">
        <f>A105</f>
        <v>hannan-1994-f035</v>
      </c>
      <c r="C105" s="2" t="s">
        <v>462</v>
      </c>
      <c r="D105" s="2">
        <v>0.35</v>
      </c>
      <c r="E105" s="3" t="e">
        <f>ABS(D105 - LOOKUP(C105, SweepStudyConfig[StudyId], SweepStudyConfig[OriginalAllocFractionA])) &lt; 0.03</f>
        <v>#VALUE!</v>
      </c>
      <c r="F105" s="3" t="e">
        <f>LOOKUP(C105, SweepStudyConfig[StudyId], SweepStudyConfig[NSweepStratumTotal])</f>
        <v>#VALUE!</v>
      </c>
      <c r="G105" s="3" t="e">
        <f>ROUND(F105 * D105)</f>
        <v>#VALUE!</v>
      </c>
      <c r="H105" s="3" t="e">
        <f>F105 - G105</f>
        <v>#VALUE!</v>
      </c>
      <c r="I105" s="3" t="e">
        <f>LOOKUP(C105, SweepStudyConfig[StudyId], SweepStudyConfig[NFixedA])</f>
        <v>#VALUE!</v>
      </c>
      <c r="J105" s="3" t="e">
        <f>LOOKUP(C105, SweepStudyConfig[StudyId], SweepStudyConfig[NFixedB])</f>
        <v>#VALUE!</v>
      </c>
      <c r="K105" s="3" t="e">
        <f>LOOKUP(C105, SweepStudyConfig[StudyId], SweepStudyConfig[SweepRateA])</f>
        <v>#VALUE!</v>
      </c>
      <c r="L105" s="3" t="e">
        <f>LOOKUP(C105, SweepStudyConfig[StudyId], SweepStudyConfig[SweepRateB])</f>
        <v>#VALUE!</v>
      </c>
      <c r="M105" s="3" t="e">
        <f>LOOKUP(C105, SweepStudyConfig[StudyId], SweepStudyConfig[FixedRateA])</f>
        <v>#VALUE!</v>
      </c>
      <c r="N105" s="3" t="e">
        <f>LOOKUP(C105, SweepStudyConfig[StudyId], SweepStudyConfig[FixedRateB])</f>
        <v>#VALUE!</v>
      </c>
      <c r="O105" s="3" t="e">
        <f>IF(G105 + I105 = 0, "", (G105 * K105 + I105 * M105) / (G105 + I105))</f>
        <v>#VALUE!</v>
      </c>
      <c r="P105" s="3" t="e">
        <f>IF(H105 + J105 = 0, "", (H105 * L105 + J105 * N105) / (H105 + J105))</f>
        <v>#VALUE!</v>
      </c>
      <c r="Q105" s="3" t="e">
        <f>IF(O105 = "", "", O105 - P105)</f>
        <v>#VALUE!</v>
      </c>
      <c r="R105" s="3" t="e">
        <f>LOOKUP(C105, SweepStudyConfig[StudyId], SweepStudyConfig[SweepCorrectedGap])</f>
        <v>#VALUE!</v>
      </c>
      <c r="S105" s="3" t="e">
        <f>IF(Q105 = "", "", Q105 - R105)</f>
        <v>#VALUE!</v>
      </c>
    </row>
    <row r="106">
      <c r="A106" s="2" t="s">
        <v>3394</v>
      </c>
      <c r="B106" s="3" t="str">
        <f>A106</f>
        <v>hannan-1994-f045</v>
      </c>
      <c r="C106" s="2" t="s">
        <v>462</v>
      </c>
      <c r="D106" s="2">
        <v>0.45</v>
      </c>
      <c r="E106" s="3" t="e">
        <f>ABS(D106 - LOOKUP(C106, SweepStudyConfig[StudyId], SweepStudyConfig[OriginalAllocFractionA])) &lt; 0.03</f>
        <v>#VALUE!</v>
      </c>
      <c r="F106" s="3" t="e">
        <f>LOOKUP(C106, SweepStudyConfig[StudyId], SweepStudyConfig[NSweepStratumTotal])</f>
        <v>#VALUE!</v>
      </c>
      <c r="G106" s="3" t="e">
        <f>ROUND(F106 * D106)</f>
        <v>#VALUE!</v>
      </c>
      <c r="H106" s="3" t="e">
        <f>F106 - G106</f>
        <v>#VALUE!</v>
      </c>
      <c r="I106" s="3" t="e">
        <f>LOOKUP(C106, SweepStudyConfig[StudyId], SweepStudyConfig[NFixedA])</f>
        <v>#VALUE!</v>
      </c>
      <c r="J106" s="3" t="e">
        <f>LOOKUP(C106, SweepStudyConfig[StudyId], SweepStudyConfig[NFixedB])</f>
        <v>#VALUE!</v>
      </c>
      <c r="K106" s="3" t="e">
        <f>LOOKUP(C106, SweepStudyConfig[StudyId], SweepStudyConfig[SweepRateA])</f>
        <v>#VALUE!</v>
      </c>
      <c r="L106" s="3" t="e">
        <f>LOOKUP(C106, SweepStudyConfig[StudyId], SweepStudyConfig[SweepRateB])</f>
        <v>#VALUE!</v>
      </c>
      <c r="M106" s="3" t="e">
        <f>LOOKUP(C106, SweepStudyConfig[StudyId], SweepStudyConfig[FixedRateA])</f>
        <v>#VALUE!</v>
      </c>
      <c r="N106" s="3" t="e">
        <f>LOOKUP(C106, SweepStudyConfig[StudyId], SweepStudyConfig[FixedRateB])</f>
        <v>#VALUE!</v>
      </c>
      <c r="O106" s="3" t="e">
        <f>IF(G106 + I106 = 0, "", (G106 * K106 + I106 * M106) / (G106 + I106))</f>
        <v>#VALUE!</v>
      </c>
      <c r="P106" s="3" t="e">
        <f>IF(H106 + J106 = 0, "", (H106 * L106 + J106 * N106) / (H106 + J106))</f>
        <v>#VALUE!</v>
      </c>
      <c r="Q106" s="3" t="e">
        <f>IF(O106 = "", "", O106 - P106)</f>
        <v>#VALUE!</v>
      </c>
      <c r="R106" s="3" t="e">
        <f>LOOKUP(C106, SweepStudyConfig[StudyId], SweepStudyConfig[SweepCorrectedGap])</f>
        <v>#VALUE!</v>
      </c>
      <c r="S106" s="3" t="e">
        <f>IF(Q106 = "", "", Q106 - R106)</f>
        <v>#VALUE!</v>
      </c>
    </row>
    <row r="107">
      <c r="A107" s="2" t="s">
        <v>3395</v>
      </c>
      <c r="B107" s="3" t="str">
        <f>A107</f>
        <v>hannan-1994-f055</v>
      </c>
      <c r="C107" s="2" t="s">
        <v>462</v>
      </c>
      <c r="D107" s="2">
        <v>0.55</v>
      </c>
      <c r="E107" s="3" t="e">
        <f>ABS(D107 - LOOKUP(C107, SweepStudyConfig[StudyId], SweepStudyConfig[OriginalAllocFractionA])) &lt; 0.03</f>
        <v>#VALUE!</v>
      </c>
      <c r="F107" s="3" t="e">
        <f>LOOKUP(C107, SweepStudyConfig[StudyId], SweepStudyConfig[NSweepStratumTotal])</f>
        <v>#VALUE!</v>
      </c>
      <c r="G107" s="3" t="e">
        <f>ROUND(F107 * D107)</f>
        <v>#VALUE!</v>
      </c>
      <c r="H107" s="3" t="e">
        <f>F107 - G107</f>
        <v>#VALUE!</v>
      </c>
      <c r="I107" s="3" t="e">
        <f>LOOKUP(C107, SweepStudyConfig[StudyId], SweepStudyConfig[NFixedA])</f>
        <v>#VALUE!</v>
      </c>
      <c r="J107" s="3" t="e">
        <f>LOOKUP(C107, SweepStudyConfig[StudyId], SweepStudyConfig[NFixedB])</f>
        <v>#VALUE!</v>
      </c>
      <c r="K107" s="3" t="e">
        <f>LOOKUP(C107, SweepStudyConfig[StudyId], SweepStudyConfig[SweepRateA])</f>
        <v>#VALUE!</v>
      </c>
      <c r="L107" s="3" t="e">
        <f>LOOKUP(C107, SweepStudyConfig[StudyId], SweepStudyConfig[SweepRateB])</f>
        <v>#VALUE!</v>
      </c>
      <c r="M107" s="3" t="e">
        <f>LOOKUP(C107, SweepStudyConfig[StudyId], SweepStudyConfig[FixedRateA])</f>
        <v>#VALUE!</v>
      </c>
      <c r="N107" s="3" t="e">
        <f>LOOKUP(C107, SweepStudyConfig[StudyId], SweepStudyConfig[FixedRateB])</f>
        <v>#VALUE!</v>
      </c>
      <c r="O107" s="3" t="e">
        <f>IF(G107 + I107 = 0, "", (G107 * K107 + I107 * M107) / (G107 + I107))</f>
        <v>#VALUE!</v>
      </c>
      <c r="P107" s="3" t="e">
        <f>IF(H107 + J107 = 0, "", (H107 * L107 + J107 * N107) / (H107 + J107))</f>
        <v>#VALUE!</v>
      </c>
      <c r="Q107" s="3" t="e">
        <f>IF(O107 = "", "", O107 - P107)</f>
        <v>#VALUE!</v>
      </c>
      <c r="R107" s="3" t="e">
        <f>LOOKUP(C107, SweepStudyConfig[StudyId], SweepStudyConfig[SweepCorrectedGap])</f>
        <v>#VALUE!</v>
      </c>
      <c r="S107" s="3" t="e">
        <f>IF(Q107 = "", "", Q107 - R107)</f>
        <v>#VALUE!</v>
      </c>
    </row>
    <row r="108">
      <c r="A108" s="2" t="s">
        <v>3396</v>
      </c>
      <c r="B108" s="3" t="str">
        <f>A108</f>
        <v>hannan-1994-f065</v>
      </c>
      <c r="C108" s="2" t="s">
        <v>462</v>
      </c>
      <c r="D108" s="2">
        <v>0.65</v>
      </c>
      <c r="E108" s="3" t="e">
        <f>ABS(D108 - LOOKUP(C108, SweepStudyConfig[StudyId], SweepStudyConfig[OriginalAllocFractionA])) &lt; 0.03</f>
        <v>#VALUE!</v>
      </c>
      <c r="F108" s="3" t="e">
        <f>LOOKUP(C108, SweepStudyConfig[StudyId], SweepStudyConfig[NSweepStratumTotal])</f>
        <v>#VALUE!</v>
      </c>
      <c r="G108" s="3" t="e">
        <f>ROUND(F108 * D108)</f>
        <v>#VALUE!</v>
      </c>
      <c r="H108" s="3" t="e">
        <f>F108 - G108</f>
        <v>#VALUE!</v>
      </c>
      <c r="I108" s="3" t="e">
        <f>LOOKUP(C108, SweepStudyConfig[StudyId], SweepStudyConfig[NFixedA])</f>
        <v>#VALUE!</v>
      </c>
      <c r="J108" s="3" t="e">
        <f>LOOKUP(C108, SweepStudyConfig[StudyId], SweepStudyConfig[NFixedB])</f>
        <v>#VALUE!</v>
      </c>
      <c r="K108" s="3" t="e">
        <f>LOOKUP(C108, SweepStudyConfig[StudyId], SweepStudyConfig[SweepRateA])</f>
        <v>#VALUE!</v>
      </c>
      <c r="L108" s="3" t="e">
        <f>LOOKUP(C108, SweepStudyConfig[StudyId], SweepStudyConfig[SweepRateB])</f>
        <v>#VALUE!</v>
      </c>
      <c r="M108" s="3" t="e">
        <f>LOOKUP(C108, SweepStudyConfig[StudyId], SweepStudyConfig[FixedRateA])</f>
        <v>#VALUE!</v>
      </c>
      <c r="N108" s="3" t="e">
        <f>LOOKUP(C108, SweepStudyConfig[StudyId], SweepStudyConfig[FixedRateB])</f>
        <v>#VALUE!</v>
      </c>
      <c r="O108" s="3" t="e">
        <f>IF(G108 + I108 = 0, "", (G108 * K108 + I108 * M108) / (G108 + I108))</f>
        <v>#VALUE!</v>
      </c>
      <c r="P108" s="3" t="e">
        <f>IF(H108 + J108 = 0, "", (H108 * L108 + J108 * N108) / (H108 + J108))</f>
        <v>#VALUE!</v>
      </c>
      <c r="Q108" s="3" t="e">
        <f>IF(O108 = "", "", O108 - P108)</f>
        <v>#VALUE!</v>
      </c>
      <c r="R108" s="3" t="e">
        <f>LOOKUP(C108, SweepStudyConfig[StudyId], SweepStudyConfig[SweepCorrectedGap])</f>
        <v>#VALUE!</v>
      </c>
      <c r="S108" s="3" t="e">
        <f>IF(Q108 = "", "", Q108 - R108)</f>
        <v>#VALUE!</v>
      </c>
    </row>
    <row r="109">
      <c r="A109" s="2" t="s">
        <v>3397</v>
      </c>
      <c r="B109" s="3" t="str">
        <f>A109</f>
        <v>hannan-1994-f075</v>
      </c>
      <c r="C109" s="2" t="s">
        <v>462</v>
      </c>
      <c r="D109" s="2">
        <v>0.75</v>
      </c>
      <c r="E109" s="3" t="e">
        <f>ABS(D109 - LOOKUP(C109, SweepStudyConfig[StudyId], SweepStudyConfig[OriginalAllocFractionA])) &lt; 0.03</f>
        <v>#VALUE!</v>
      </c>
      <c r="F109" s="3" t="e">
        <f>LOOKUP(C109, SweepStudyConfig[StudyId], SweepStudyConfig[NSweepStratumTotal])</f>
        <v>#VALUE!</v>
      </c>
      <c r="G109" s="3" t="e">
        <f>ROUND(F109 * D109)</f>
        <v>#VALUE!</v>
      </c>
      <c r="H109" s="3" t="e">
        <f>F109 - G109</f>
        <v>#VALUE!</v>
      </c>
      <c r="I109" s="3" t="e">
        <f>LOOKUP(C109, SweepStudyConfig[StudyId], SweepStudyConfig[NFixedA])</f>
        <v>#VALUE!</v>
      </c>
      <c r="J109" s="3" t="e">
        <f>LOOKUP(C109, SweepStudyConfig[StudyId], SweepStudyConfig[NFixedB])</f>
        <v>#VALUE!</v>
      </c>
      <c r="K109" s="3" t="e">
        <f>LOOKUP(C109, SweepStudyConfig[StudyId], SweepStudyConfig[SweepRateA])</f>
        <v>#VALUE!</v>
      </c>
      <c r="L109" s="3" t="e">
        <f>LOOKUP(C109, SweepStudyConfig[StudyId], SweepStudyConfig[SweepRateB])</f>
        <v>#VALUE!</v>
      </c>
      <c r="M109" s="3" t="e">
        <f>LOOKUP(C109, SweepStudyConfig[StudyId], SweepStudyConfig[FixedRateA])</f>
        <v>#VALUE!</v>
      </c>
      <c r="N109" s="3" t="e">
        <f>LOOKUP(C109, SweepStudyConfig[StudyId], SweepStudyConfig[FixedRateB])</f>
        <v>#VALUE!</v>
      </c>
      <c r="O109" s="3" t="e">
        <f>IF(G109 + I109 = 0, "", (G109 * K109 + I109 * M109) / (G109 + I109))</f>
        <v>#VALUE!</v>
      </c>
      <c r="P109" s="3" t="e">
        <f>IF(H109 + J109 = 0, "", (H109 * L109 + J109 * N109) / (H109 + J109))</f>
        <v>#VALUE!</v>
      </c>
      <c r="Q109" s="3" t="e">
        <f>IF(O109 = "", "", O109 - P109)</f>
        <v>#VALUE!</v>
      </c>
      <c r="R109" s="3" t="e">
        <f>LOOKUP(C109, SweepStudyConfig[StudyId], SweepStudyConfig[SweepCorrectedGap])</f>
        <v>#VALUE!</v>
      </c>
      <c r="S109" s="3" t="e">
        <f>IF(Q109 = "", "", Q109 - R109)</f>
        <v>#VALUE!</v>
      </c>
    </row>
    <row r="110">
      <c r="A110" s="2" t="s">
        <v>3398</v>
      </c>
      <c r="B110" s="3" t="str">
        <f>A110</f>
        <v>hannan-1994-f085</v>
      </c>
      <c r="C110" s="2" t="s">
        <v>462</v>
      </c>
      <c r="D110" s="2">
        <v>0.85</v>
      </c>
      <c r="E110" s="3" t="e">
        <f>ABS(D110 - LOOKUP(C110, SweepStudyConfig[StudyId], SweepStudyConfig[OriginalAllocFractionA])) &lt; 0.03</f>
        <v>#VALUE!</v>
      </c>
      <c r="F110" s="3" t="e">
        <f>LOOKUP(C110, SweepStudyConfig[StudyId], SweepStudyConfig[NSweepStratumTotal])</f>
        <v>#VALUE!</v>
      </c>
      <c r="G110" s="3" t="e">
        <f>ROUND(F110 * D110)</f>
        <v>#VALUE!</v>
      </c>
      <c r="H110" s="3" t="e">
        <f>F110 - G110</f>
        <v>#VALUE!</v>
      </c>
      <c r="I110" s="3" t="e">
        <f>LOOKUP(C110, SweepStudyConfig[StudyId], SweepStudyConfig[NFixedA])</f>
        <v>#VALUE!</v>
      </c>
      <c r="J110" s="3" t="e">
        <f>LOOKUP(C110, SweepStudyConfig[StudyId], SweepStudyConfig[NFixedB])</f>
        <v>#VALUE!</v>
      </c>
      <c r="K110" s="3" t="e">
        <f>LOOKUP(C110, SweepStudyConfig[StudyId], SweepStudyConfig[SweepRateA])</f>
        <v>#VALUE!</v>
      </c>
      <c r="L110" s="3" t="e">
        <f>LOOKUP(C110, SweepStudyConfig[StudyId], SweepStudyConfig[SweepRateB])</f>
        <v>#VALUE!</v>
      </c>
      <c r="M110" s="3" t="e">
        <f>LOOKUP(C110, SweepStudyConfig[StudyId], SweepStudyConfig[FixedRateA])</f>
        <v>#VALUE!</v>
      </c>
      <c r="N110" s="3" t="e">
        <f>LOOKUP(C110, SweepStudyConfig[StudyId], SweepStudyConfig[FixedRateB])</f>
        <v>#VALUE!</v>
      </c>
      <c r="O110" s="3" t="e">
        <f>IF(G110 + I110 = 0, "", (G110 * K110 + I110 * M110) / (G110 + I110))</f>
        <v>#VALUE!</v>
      </c>
      <c r="P110" s="3" t="e">
        <f>IF(H110 + J110 = 0, "", (H110 * L110 + J110 * N110) / (H110 + J110))</f>
        <v>#VALUE!</v>
      </c>
      <c r="Q110" s="3" t="e">
        <f>IF(O110 = "", "", O110 - P110)</f>
        <v>#VALUE!</v>
      </c>
      <c r="R110" s="3" t="e">
        <f>LOOKUP(C110, SweepStudyConfig[StudyId], SweepStudyConfig[SweepCorrectedGap])</f>
        <v>#VALUE!</v>
      </c>
      <c r="S110" s="3" t="e">
        <f>IF(Q110 = "", "", Q110 - R110)</f>
        <v>#VALUE!</v>
      </c>
    </row>
    <row r="111">
      <c r="A111" s="2" t="s">
        <v>3399</v>
      </c>
      <c r="B111" s="3" t="str">
        <f>A111</f>
        <v>hannan-1994-f095</v>
      </c>
      <c r="C111" s="2" t="s">
        <v>462</v>
      </c>
      <c r="D111" s="2">
        <v>0.95</v>
      </c>
      <c r="E111" s="3" t="e">
        <f>ABS(D111 - LOOKUP(C111, SweepStudyConfig[StudyId], SweepStudyConfig[OriginalAllocFractionA])) &lt; 0.03</f>
        <v>#VALUE!</v>
      </c>
      <c r="F111" s="3" t="e">
        <f>LOOKUP(C111, SweepStudyConfig[StudyId], SweepStudyConfig[NSweepStratumTotal])</f>
        <v>#VALUE!</v>
      </c>
      <c r="G111" s="3" t="e">
        <f>ROUND(F111 * D111)</f>
        <v>#VALUE!</v>
      </c>
      <c r="H111" s="3" t="e">
        <f>F111 - G111</f>
        <v>#VALUE!</v>
      </c>
      <c r="I111" s="3" t="e">
        <f>LOOKUP(C111, SweepStudyConfig[StudyId], SweepStudyConfig[NFixedA])</f>
        <v>#VALUE!</v>
      </c>
      <c r="J111" s="3" t="e">
        <f>LOOKUP(C111, SweepStudyConfig[StudyId], SweepStudyConfig[NFixedB])</f>
        <v>#VALUE!</v>
      </c>
      <c r="K111" s="3" t="e">
        <f>LOOKUP(C111, SweepStudyConfig[StudyId], SweepStudyConfig[SweepRateA])</f>
        <v>#VALUE!</v>
      </c>
      <c r="L111" s="3" t="e">
        <f>LOOKUP(C111, SweepStudyConfig[StudyId], SweepStudyConfig[SweepRateB])</f>
        <v>#VALUE!</v>
      </c>
      <c r="M111" s="3" t="e">
        <f>LOOKUP(C111, SweepStudyConfig[StudyId], SweepStudyConfig[FixedRateA])</f>
        <v>#VALUE!</v>
      </c>
      <c r="N111" s="3" t="e">
        <f>LOOKUP(C111, SweepStudyConfig[StudyId], SweepStudyConfig[FixedRateB])</f>
        <v>#VALUE!</v>
      </c>
      <c r="O111" s="3" t="e">
        <f>IF(G111 + I111 = 0, "", (G111 * K111 + I111 * M111) / (G111 + I111))</f>
        <v>#VALUE!</v>
      </c>
      <c r="P111" s="3" t="e">
        <f>IF(H111 + J111 = 0, "", (H111 * L111 + J111 * N111) / (H111 + J111))</f>
        <v>#VALUE!</v>
      </c>
      <c r="Q111" s="3" t="e">
        <f>IF(O111 = "", "", O111 - P111)</f>
        <v>#VALUE!</v>
      </c>
      <c r="R111" s="3" t="e">
        <f>LOOKUP(C111, SweepStudyConfig[StudyId], SweepStudyConfig[SweepCorrectedGap])</f>
        <v>#VALUE!</v>
      </c>
      <c r="S111" s="3" t="e">
        <f>IF(Q111 = "", "", Q111 - R111)</f>
        <v>#VALUE!</v>
      </c>
    </row>
    <row r="112">
      <c r="A112" s="2" t="s">
        <v>3400</v>
      </c>
      <c r="B112" s="3" t="str">
        <f>A112</f>
        <v>titanic-1912-f005</v>
      </c>
      <c r="C112" s="2" t="s">
        <v>466</v>
      </c>
      <c r="D112" s="2">
        <v>0.05</v>
      </c>
      <c r="E112" s="3" t="e">
        <f>ABS(D112 - LOOKUP(C112, SweepStudyConfig[StudyId], SweepStudyConfig[OriginalAllocFractionA])) &lt; 0.03</f>
        <v>#VALUE!</v>
      </c>
      <c r="F112" s="3" t="e">
        <f>LOOKUP(C112, SweepStudyConfig[StudyId], SweepStudyConfig[NSweepStratumTotal])</f>
        <v>#VALUE!</v>
      </c>
      <c r="G112" s="3" t="e">
        <f>ROUND(F112 * D112)</f>
        <v>#VALUE!</v>
      </c>
      <c r="H112" s="3" t="e">
        <f>F112 - G112</f>
        <v>#VALUE!</v>
      </c>
      <c r="I112" s="3" t="e">
        <f>LOOKUP(C112, SweepStudyConfig[StudyId], SweepStudyConfig[NFixedA])</f>
        <v>#VALUE!</v>
      </c>
      <c r="J112" s="3" t="e">
        <f>LOOKUP(C112, SweepStudyConfig[StudyId], SweepStudyConfig[NFixedB])</f>
        <v>#VALUE!</v>
      </c>
      <c r="K112" s="3" t="e">
        <f>LOOKUP(C112, SweepStudyConfig[StudyId], SweepStudyConfig[SweepRateA])</f>
        <v>#VALUE!</v>
      </c>
      <c r="L112" s="3" t="e">
        <f>LOOKUP(C112, SweepStudyConfig[StudyId], SweepStudyConfig[SweepRateB])</f>
        <v>#VALUE!</v>
      </c>
      <c r="M112" s="3" t="e">
        <f>LOOKUP(C112, SweepStudyConfig[StudyId], SweepStudyConfig[FixedRateA])</f>
        <v>#VALUE!</v>
      </c>
      <c r="N112" s="3" t="e">
        <f>LOOKUP(C112, SweepStudyConfig[StudyId], SweepStudyConfig[FixedRateB])</f>
        <v>#VALUE!</v>
      </c>
      <c r="O112" s="3" t="e">
        <f>IF(G112 + I112 = 0, "", (G112 * K112 + I112 * M112) / (G112 + I112))</f>
        <v>#VALUE!</v>
      </c>
      <c r="P112" s="3" t="e">
        <f>IF(H112 + J112 = 0, "", (H112 * L112 + J112 * N112) / (H112 + J112))</f>
        <v>#VALUE!</v>
      </c>
      <c r="Q112" s="3" t="e">
        <f>IF(O112 = "", "", O112 - P112)</f>
        <v>#VALUE!</v>
      </c>
      <c r="R112" s="3" t="e">
        <f>LOOKUP(C112, SweepStudyConfig[StudyId], SweepStudyConfig[SweepCorrectedGap])</f>
        <v>#VALUE!</v>
      </c>
      <c r="S112" s="3" t="e">
        <f>IF(Q112 = "", "", Q112 - R112)</f>
        <v>#VALUE!</v>
      </c>
    </row>
    <row r="113">
      <c r="A113" s="2" t="s">
        <v>3401</v>
      </c>
      <c r="B113" s="3" t="str">
        <f>A113</f>
        <v>titanic-1912-f015</v>
      </c>
      <c r="C113" s="2" t="s">
        <v>466</v>
      </c>
      <c r="D113" s="2">
        <v>0.15</v>
      </c>
      <c r="E113" s="3" t="e">
        <f>ABS(D113 - LOOKUP(C113, SweepStudyConfig[StudyId], SweepStudyConfig[OriginalAllocFractionA])) &lt; 0.03</f>
        <v>#VALUE!</v>
      </c>
      <c r="F113" s="3" t="e">
        <f>LOOKUP(C113, SweepStudyConfig[StudyId], SweepStudyConfig[NSweepStratumTotal])</f>
        <v>#VALUE!</v>
      </c>
      <c r="G113" s="3" t="e">
        <f>ROUND(F113 * D113)</f>
        <v>#VALUE!</v>
      </c>
      <c r="H113" s="3" t="e">
        <f>F113 - G113</f>
        <v>#VALUE!</v>
      </c>
      <c r="I113" s="3" t="e">
        <f>LOOKUP(C113, SweepStudyConfig[StudyId], SweepStudyConfig[NFixedA])</f>
        <v>#VALUE!</v>
      </c>
      <c r="J113" s="3" t="e">
        <f>LOOKUP(C113, SweepStudyConfig[StudyId], SweepStudyConfig[NFixedB])</f>
        <v>#VALUE!</v>
      </c>
      <c r="K113" s="3" t="e">
        <f>LOOKUP(C113, SweepStudyConfig[StudyId], SweepStudyConfig[SweepRateA])</f>
        <v>#VALUE!</v>
      </c>
      <c r="L113" s="3" t="e">
        <f>LOOKUP(C113, SweepStudyConfig[StudyId], SweepStudyConfig[SweepRateB])</f>
        <v>#VALUE!</v>
      </c>
      <c r="M113" s="3" t="e">
        <f>LOOKUP(C113, SweepStudyConfig[StudyId], SweepStudyConfig[FixedRateA])</f>
        <v>#VALUE!</v>
      </c>
      <c r="N113" s="3" t="e">
        <f>LOOKUP(C113, SweepStudyConfig[StudyId], SweepStudyConfig[FixedRateB])</f>
        <v>#VALUE!</v>
      </c>
      <c r="O113" s="3" t="e">
        <f>IF(G113 + I113 = 0, "", (G113 * K113 + I113 * M113) / (G113 + I113))</f>
        <v>#VALUE!</v>
      </c>
      <c r="P113" s="3" t="e">
        <f>IF(H113 + J113 = 0, "", (H113 * L113 + J113 * N113) / (H113 + J113))</f>
        <v>#VALUE!</v>
      </c>
      <c r="Q113" s="3" t="e">
        <f>IF(O113 = "", "", O113 - P113)</f>
        <v>#VALUE!</v>
      </c>
      <c r="R113" s="3" t="e">
        <f>LOOKUP(C113, SweepStudyConfig[StudyId], SweepStudyConfig[SweepCorrectedGap])</f>
        <v>#VALUE!</v>
      </c>
      <c r="S113" s="3" t="e">
        <f>IF(Q113 = "", "", Q113 - R113)</f>
        <v>#VALUE!</v>
      </c>
    </row>
    <row r="114">
      <c r="A114" s="2" t="s">
        <v>3402</v>
      </c>
      <c r="B114" s="3" t="str">
        <f>A114</f>
        <v>titanic-1912-f025</v>
      </c>
      <c r="C114" s="2" t="s">
        <v>466</v>
      </c>
      <c r="D114" s="2">
        <v>0.25</v>
      </c>
      <c r="E114" s="3" t="e">
        <f>ABS(D114 - LOOKUP(C114, SweepStudyConfig[StudyId], SweepStudyConfig[OriginalAllocFractionA])) &lt; 0.03</f>
        <v>#VALUE!</v>
      </c>
      <c r="F114" s="3" t="e">
        <f>LOOKUP(C114, SweepStudyConfig[StudyId], SweepStudyConfig[NSweepStratumTotal])</f>
        <v>#VALUE!</v>
      </c>
      <c r="G114" s="3" t="e">
        <f>ROUND(F114 * D114)</f>
        <v>#VALUE!</v>
      </c>
      <c r="H114" s="3" t="e">
        <f>F114 - G114</f>
        <v>#VALUE!</v>
      </c>
      <c r="I114" s="3" t="e">
        <f>LOOKUP(C114, SweepStudyConfig[StudyId], SweepStudyConfig[NFixedA])</f>
        <v>#VALUE!</v>
      </c>
      <c r="J114" s="3" t="e">
        <f>LOOKUP(C114, SweepStudyConfig[StudyId], SweepStudyConfig[NFixedB])</f>
        <v>#VALUE!</v>
      </c>
      <c r="K114" s="3" t="e">
        <f>LOOKUP(C114, SweepStudyConfig[StudyId], SweepStudyConfig[SweepRateA])</f>
        <v>#VALUE!</v>
      </c>
      <c r="L114" s="3" t="e">
        <f>LOOKUP(C114, SweepStudyConfig[StudyId], SweepStudyConfig[SweepRateB])</f>
        <v>#VALUE!</v>
      </c>
      <c r="M114" s="3" t="e">
        <f>LOOKUP(C114, SweepStudyConfig[StudyId], SweepStudyConfig[FixedRateA])</f>
        <v>#VALUE!</v>
      </c>
      <c r="N114" s="3" t="e">
        <f>LOOKUP(C114, SweepStudyConfig[StudyId], SweepStudyConfig[FixedRateB])</f>
        <v>#VALUE!</v>
      </c>
      <c r="O114" s="3" t="e">
        <f>IF(G114 + I114 = 0, "", (G114 * K114 + I114 * M114) / (G114 + I114))</f>
        <v>#VALUE!</v>
      </c>
      <c r="P114" s="3" t="e">
        <f>IF(H114 + J114 = 0, "", (H114 * L114 + J114 * N114) / (H114 + J114))</f>
        <v>#VALUE!</v>
      </c>
      <c r="Q114" s="3" t="e">
        <f>IF(O114 = "", "", O114 - P114)</f>
        <v>#VALUE!</v>
      </c>
      <c r="R114" s="3" t="e">
        <f>LOOKUP(C114, SweepStudyConfig[StudyId], SweepStudyConfig[SweepCorrectedGap])</f>
        <v>#VALUE!</v>
      </c>
      <c r="S114" s="3" t="e">
        <f>IF(Q114 = "", "", Q114 - R114)</f>
        <v>#VALUE!</v>
      </c>
    </row>
    <row r="115">
      <c r="A115" s="2" t="s">
        <v>3403</v>
      </c>
      <c r="B115" s="3" t="str">
        <f>A115</f>
        <v>titanic-1912-f035</v>
      </c>
      <c r="C115" s="2" t="s">
        <v>466</v>
      </c>
      <c r="D115" s="2">
        <v>0.35</v>
      </c>
      <c r="E115" s="3" t="e">
        <f>ABS(D115 - LOOKUP(C115, SweepStudyConfig[StudyId], SweepStudyConfig[OriginalAllocFractionA])) &lt; 0.03</f>
        <v>#VALUE!</v>
      </c>
      <c r="F115" s="3" t="e">
        <f>LOOKUP(C115, SweepStudyConfig[StudyId], SweepStudyConfig[NSweepStratumTotal])</f>
        <v>#VALUE!</v>
      </c>
      <c r="G115" s="3" t="e">
        <f>ROUND(F115 * D115)</f>
        <v>#VALUE!</v>
      </c>
      <c r="H115" s="3" t="e">
        <f>F115 - G115</f>
        <v>#VALUE!</v>
      </c>
      <c r="I115" s="3" t="e">
        <f>LOOKUP(C115, SweepStudyConfig[StudyId], SweepStudyConfig[NFixedA])</f>
        <v>#VALUE!</v>
      </c>
      <c r="J115" s="3" t="e">
        <f>LOOKUP(C115, SweepStudyConfig[StudyId], SweepStudyConfig[NFixedB])</f>
        <v>#VALUE!</v>
      </c>
      <c r="K115" s="3" t="e">
        <f>LOOKUP(C115, SweepStudyConfig[StudyId], SweepStudyConfig[SweepRateA])</f>
        <v>#VALUE!</v>
      </c>
      <c r="L115" s="3" t="e">
        <f>LOOKUP(C115, SweepStudyConfig[StudyId], SweepStudyConfig[SweepRateB])</f>
        <v>#VALUE!</v>
      </c>
      <c r="M115" s="3" t="e">
        <f>LOOKUP(C115, SweepStudyConfig[StudyId], SweepStudyConfig[FixedRateA])</f>
        <v>#VALUE!</v>
      </c>
      <c r="N115" s="3" t="e">
        <f>LOOKUP(C115, SweepStudyConfig[StudyId], SweepStudyConfig[FixedRateB])</f>
        <v>#VALUE!</v>
      </c>
      <c r="O115" s="3" t="e">
        <f>IF(G115 + I115 = 0, "", (G115 * K115 + I115 * M115) / (G115 + I115))</f>
        <v>#VALUE!</v>
      </c>
      <c r="P115" s="3" t="e">
        <f>IF(H115 + J115 = 0, "", (H115 * L115 + J115 * N115) / (H115 + J115))</f>
        <v>#VALUE!</v>
      </c>
      <c r="Q115" s="3" t="e">
        <f>IF(O115 = "", "", O115 - P115)</f>
        <v>#VALUE!</v>
      </c>
      <c r="R115" s="3" t="e">
        <f>LOOKUP(C115, SweepStudyConfig[StudyId], SweepStudyConfig[SweepCorrectedGap])</f>
        <v>#VALUE!</v>
      </c>
      <c r="S115" s="3" t="e">
        <f>IF(Q115 = "", "", Q115 - R115)</f>
        <v>#VALUE!</v>
      </c>
    </row>
    <row r="116">
      <c r="A116" s="2" t="s">
        <v>3404</v>
      </c>
      <c r="B116" s="3" t="str">
        <f>A116</f>
        <v>titanic-1912-f045</v>
      </c>
      <c r="C116" s="2" t="s">
        <v>466</v>
      </c>
      <c r="D116" s="2">
        <v>0.45</v>
      </c>
      <c r="E116" s="3" t="e">
        <f>ABS(D116 - LOOKUP(C116, SweepStudyConfig[StudyId], SweepStudyConfig[OriginalAllocFractionA])) &lt; 0.03</f>
        <v>#VALUE!</v>
      </c>
      <c r="F116" s="3" t="e">
        <f>LOOKUP(C116, SweepStudyConfig[StudyId], SweepStudyConfig[NSweepStratumTotal])</f>
        <v>#VALUE!</v>
      </c>
      <c r="G116" s="3" t="e">
        <f>ROUND(F116 * D116)</f>
        <v>#VALUE!</v>
      </c>
      <c r="H116" s="3" t="e">
        <f>F116 - G116</f>
        <v>#VALUE!</v>
      </c>
      <c r="I116" s="3" t="e">
        <f>LOOKUP(C116, SweepStudyConfig[StudyId], SweepStudyConfig[NFixedA])</f>
        <v>#VALUE!</v>
      </c>
      <c r="J116" s="3" t="e">
        <f>LOOKUP(C116, SweepStudyConfig[StudyId], SweepStudyConfig[NFixedB])</f>
        <v>#VALUE!</v>
      </c>
      <c r="K116" s="3" t="e">
        <f>LOOKUP(C116, SweepStudyConfig[StudyId], SweepStudyConfig[SweepRateA])</f>
        <v>#VALUE!</v>
      </c>
      <c r="L116" s="3" t="e">
        <f>LOOKUP(C116, SweepStudyConfig[StudyId], SweepStudyConfig[SweepRateB])</f>
        <v>#VALUE!</v>
      </c>
      <c r="M116" s="3" t="e">
        <f>LOOKUP(C116, SweepStudyConfig[StudyId], SweepStudyConfig[FixedRateA])</f>
        <v>#VALUE!</v>
      </c>
      <c r="N116" s="3" t="e">
        <f>LOOKUP(C116, SweepStudyConfig[StudyId], SweepStudyConfig[FixedRateB])</f>
        <v>#VALUE!</v>
      </c>
      <c r="O116" s="3" t="e">
        <f>IF(G116 + I116 = 0, "", (G116 * K116 + I116 * M116) / (G116 + I116))</f>
        <v>#VALUE!</v>
      </c>
      <c r="P116" s="3" t="e">
        <f>IF(H116 + J116 = 0, "", (H116 * L116 + J116 * N116) / (H116 + J116))</f>
        <v>#VALUE!</v>
      </c>
      <c r="Q116" s="3" t="e">
        <f>IF(O116 = "", "", O116 - P116)</f>
        <v>#VALUE!</v>
      </c>
      <c r="R116" s="3" t="e">
        <f>LOOKUP(C116, SweepStudyConfig[StudyId], SweepStudyConfig[SweepCorrectedGap])</f>
        <v>#VALUE!</v>
      </c>
      <c r="S116" s="3" t="e">
        <f>IF(Q116 = "", "", Q116 - R116)</f>
        <v>#VALUE!</v>
      </c>
    </row>
    <row r="117">
      <c r="A117" s="2" t="s">
        <v>3405</v>
      </c>
      <c r="B117" s="3" t="str">
        <f>A117</f>
        <v>titanic-1912-f055</v>
      </c>
      <c r="C117" s="2" t="s">
        <v>466</v>
      </c>
      <c r="D117" s="2">
        <v>0.55</v>
      </c>
      <c r="E117" s="3" t="e">
        <f>ABS(D117 - LOOKUP(C117, SweepStudyConfig[StudyId], SweepStudyConfig[OriginalAllocFractionA])) &lt; 0.03</f>
        <v>#VALUE!</v>
      </c>
      <c r="F117" s="3" t="e">
        <f>LOOKUP(C117, SweepStudyConfig[StudyId], SweepStudyConfig[NSweepStratumTotal])</f>
        <v>#VALUE!</v>
      </c>
      <c r="G117" s="3" t="e">
        <f>ROUND(F117 * D117)</f>
        <v>#VALUE!</v>
      </c>
      <c r="H117" s="3" t="e">
        <f>F117 - G117</f>
        <v>#VALUE!</v>
      </c>
      <c r="I117" s="3" t="e">
        <f>LOOKUP(C117, SweepStudyConfig[StudyId], SweepStudyConfig[NFixedA])</f>
        <v>#VALUE!</v>
      </c>
      <c r="J117" s="3" t="e">
        <f>LOOKUP(C117, SweepStudyConfig[StudyId], SweepStudyConfig[NFixedB])</f>
        <v>#VALUE!</v>
      </c>
      <c r="K117" s="3" t="e">
        <f>LOOKUP(C117, SweepStudyConfig[StudyId], SweepStudyConfig[SweepRateA])</f>
        <v>#VALUE!</v>
      </c>
      <c r="L117" s="3" t="e">
        <f>LOOKUP(C117, SweepStudyConfig[StudyId], SweepStudyConfig[SweepRateB])</f>
        <v>#VALUE!</v>
      </c>
      <c r="M117" s="3" t="e">
        <f>LOOKUP(C117, SweepStudyConfig[StudyId], SweepStudyConfig[FixedRateA])</f>
        <v>#VALUE!</v>
      </c>
      <c r="N117" s="3" t="e">
        <f>LOOKUP(C117, SweepStudyConfig[StudyId], SweepStudyConfig[FixedRateB])</f>
        <v>#VALUE!</v>
      </c>
      <c r="O117" s="3" t="e">
        <f>IF(G117 + I117 = 0, "", (G117 * K117 + I117 * M117) / (G117 + I117))</f>
        <v>#VALUE!</v>
      </c>
      <c r="P117" s="3" t="e">
        <f>IF(H117 + J117 = 0, "", (H117 * L117 + J117 * N117) / (H117 + J117))</f>
        <v>#VALUE!</v>
      </c>
      <c r="Q117" s="3" t="e">
        <f>IF(O117 = "", "", O117 - P117)</f>
        <v>#VALUE!</v>
      </c>
      <c r="R117" s="3" t="e">
        <f>LOOKUP(C117, SweepStudyConfig[StudyId], SweepStudyConfig[SweepCorrectedGap])</f>
        <v>#VALUE!</v>
      </c>
      <c r="S117" s="3" t="e">
        <f>IF(Q117 = "", "", Q117 - R117)</f>
        <v>#VALUE!</v>
      </c>
    </row>
    <row r="118">
      <c r="A118" s="2" t="s">
        <v>3406</v>
      </c>
      <c r="B118" s="3" t="str">
        <f>A118</f>
        <v>titanic-1912-f065</v>
      </c>
      <c r="C118" s="2" t="s">
        <v>466</v>
      </c>
      <c r="D118" s="2">
        <v>0.65</v>
      </c>
      <c r="E118" s="3" t="e">
        <f>ABS(D118 - LOOKUP(C118, SweepStudyConfig[StudyId], SweepStudyConfig[OriginalAllocFractionA])) &lt; 0.03</f>
        <v>#VALUE!</v>
      </c>
      <c r="F118" s="3" t="e">
        <f>LOOKUP(C118, SweepStudyConfig[StudyId], SweepStudyConfig[NSweepStratumTotal])</f>
        <v>#VALUE!</v>
      </c>
      <c r="G118" s="3" t="e">
        <f>ROUND(F118 * D118)</f>
        <v>#VALUE!</v>
      </c>
      <c r="H118" s="3" t="e">
        <f>F118 - G118</f>
        <v>#VALUE!</v>
      </c>
      <c r="I118" s="3" t="e">
        <f>LOOKUP(C118, SweepStudyConfig[StudyId], SweepStudyConfig[NFixedA])</f>
        <v>#VALUE!</v>
      </c>
      <c r="J118" s="3" t="e">
        <f>LOOKUP(C118, SweepStudyConfig[StudyId], SweepStudyConfig[NFixedB])</f>
        <v>#VALUE!</v>
      </c>
      <c r="K118" s="3" t="e">
        <f>LOOKUP(C118, SweepStudyConfig[StudyId], SweepStudyConfig[SweepRateA])</f>
        <v>#VALUE!</v>
      </c>
      <c r="L118" s="3" t="e">
        <f>LOOKUP(C118, SweepStudyConfig[StudyId], SweepStudyConfig[SweepRateB])</f>
        <v>#VALUE!</v>
      </c>
      <c r="M118" s="3" t="e">
        <f>LOOKUP(C118, SweepStudyConfig[StudyId], SweepStudyConfig[FixedRateA])</f>
        <v>#VALUE!</v>
      </c>
      <c r="N118" s="3" t="e">
        <f>LOOKUP(C118, SweepStudyConfig[StudyId], SweepStudyConfig[FixedRateB])</f>
        <v>#VALUE!</v>
      </c>
      <c r="O118" s="3" t="e">
        <f>IF(G118 + I118 = 0, "", (G118 * K118 + I118 * M118) / (G118 + I118))</f>
        <v>#VALUE!</v>
      </c>
      <c r="P118" s="3" t="e">
        <f>IF(H118 + J118 = 0, "", (H118 * L118 + J118 * N118) / (H118 + J118))</f>
        <v>#VALUE!</v>
      </c>
      <c r="Q118" s="3" t="e">
        <f>IF(O118 = "", "", O118 - P118)</f>
        <v>#VALUE!</v>
      </c>
      <c r="R118" s="3" t="e">
        <f>LOOKUP(C118, SweepStudyConfig[StudyId], SweepStudyConfig[SweepCorrectedGap])</f>
        <v>#VALUE!</v>
      </c>
      <c r="S118" s="3" t="e">
        <f>IF(Q118 = "", "", Q118 - R118)</f>
        <v>#VALUE!</v>
      </c>
    </row>
    <row r="119">
      <c r="A119" s="2" t="s">
        <v>3407</v>
      </c>
      <c r="B119" s="3" t="str">
        <f>A119</f>
        <v>titanic-1912-f075</v>
      </c>
      <c r="C119" s="2" t="s">
        <v>466</v>
      </c>
      <c r="D119" s="2">
        <v>0.75</v>
      </c>
      <c r="E119" s="3" t="e">
        <f>ABS(D119 - LOOKUP(C119, SweepStudyConfig[StudyId], SweepStudyConfig[OriginalAllocFractionA])) &lt; 0.03</f>
        <v>#VALUE!</v>
      </c>
      <c r="F119" s="3" t="e">
        <f>LOOKUP(C119, SweepStudyConfig[StudyId], SweepStudyConfig[NSweepStratumTotal])</f>
        <v>#VALUE!</v>
      </c>
      <c r="G119" s="3" t="e">
        <f>ROUND(F119 * D119)</f>
        <v>#VALUE!</v>
      </c>
      <c r="H119" s="3" t="e">
        <f>F119 - G119</f>
        <v>#VALUE!</v>
      </c>
      <c r="I119" s="3" t="e">
        <f>LOOKUP(C119, SweepStudyConfig[StudyId], SweepStudyConfig[NFixedA])</f>
        <v>#VALUE!</v>
      </c>
      <c r="J119" s="3" t="e">
        <f>LOOKUP(C119, SweepStudyConfig[StudyId], SweepStudyConfig[NFixedB])</f>
        <v>#VALUE!</v>
      </c>
      <c r="K119" s="3" t="e">
        <f>LOOKUP(C119, SweepStudyConfig[StudyId], SweepStudyConfig[SweepRateA])</f>
        <v>#VALUE!</v>
      </c>
      <c r="L119" s="3" t="e">
        <f>LOOKUP(C119, SweepStudyConfig[StudyId], SweepStudyConfig[SweepRateB])</f>
        <v>#VALUE!</v>
      </c>
      <c r="M119" s="3" t="e">
        <f>LOOKUP(C119, SweepStudyConfig[StudyId], SweepStudyConfig[FixedRateA])</f>
        <v>#VALUE!</v>
      </c>
      <c r="N119" s="3" t="e">
        <f>LOOKUP(C119, SweepStudyConfig[StudyId], SweepStudyConfig[FixedRateB])</f>
        <v>#VALUE!</v>
      </c>
      <c r="O119" s="3" t="e">
        <f>IF(G119 + I119 = 0, "", (G119 * K119 + I119 * M119) / (G119 + I119))</f>
        <v>#VALUE!</v>
      </c>
      <c r="P119" s="3" t="e">
        <f>IF(H119 + J119 = 0, "", (H119 * L119 + J119 * N119) / (H119 + J119))</f>
        <v>#VALUE!</v>
      </c>
      <c r="Q119" s="3" t="e">
        <f>IF(O119 = "", "", O119 - P119)</f>
        <v>#VALUE!</v>
      </c>
      <c r="R119" s="3" t="e">
        <f>LOOKUP(C119, SweepStudyConfig[StudyId], SweepStudyConfig[SweepCorrectedGap])</f>
        <v>#VALUE!</v>
      </c>
      <c r="S119" s="3" t="e">
        <f>IF(Q119 = "", "", Q119 - R119)</f>
        <v>#VALUE!</v>
      </c>
    </row>
    <row r="120">
      <c r="A120" s="2" t="s">
        <v>3408</v>
      </c>
      <c r="B120" s="3" t="str">
        <f>A120</f>
        <v>titanic-1912-f085</v>
      </c>
      <c r="C120" s="2" t="s">
        <v>466</v>
      </c>
      <c r="D120" s="2">
        <v>0.85</v>
      </c>
      <c r="E120" s="3" t="e">
        <f>ABS(D120 - LOOKUP(C120, SweepStudyConfig[StudyId], SweepStudyConfig[OriginalAllocFractionA])) &lt; 0.03</f>
        <v>#VALUE!</v>
      </c>
      <c r="F120" s="3" t="e">
        <f>LOOKUP(C120, SweepStudyConfig[StudyId], SweepStudyConfig[NSweepStratumTotal])</f>
        <v>#VALUE!</v>
      </c>
      <c r="G120" s="3" t="e">
        <f>ROUND(F120 * D120)</f>
        <v>#VALUE!</v>
      </c>
      <c r="H120" s="3" t="e">
        <f>F120 - G120</f>
        <v>#VALUE!</v>
      </c>
      <c r="I120" s="3" t="e">
        <f>LOOKUP(C120, SweepStudyConfig[StudyId], SweepStudyConfig[NFixedA])</f>
        <v>#VALUE!</v>
      </c>
      <c r="J120" s="3" t="e">
        <f>LOOKUP(C120, SweepStudyConfig[StudyId], SweepStudyConfig[NFixedB])</f>
        <v>#VALUE!</v>
      </c>
      <c r="K120" s="3" t="e">
        <f>LOOKUP(C120, SweepStudyConfig[StudyId], SweepStudyConfig[SweepRateA])</f>
        <v>#VALUE!</v>
      </c>
      <c r="L120" s="3" t="e">
        <f>LOOKUP(C120, SweepStudyConfig[StudyId], SweepStudyConfig[SweepRateB])</f>
        <v>#VALUE!</v>
      </c>
      <c r="M120" s="3" t="e">
        <f>LOOKUP(C120, SweepStudyConfig[StudyId], SweepStudyConfig[FixedRateA])</f>
        <v>#VALUE!</v>
      </c>
      <c r="N120" s="3" t="e">
        <f>LOOKUP(C120, SweepStudyConfig[StudyId], SweepStudyConfig[FixedRateB])</f>
        <v>#VALUE!</v>
      </c>
      <c r="O120" s="3" t="e">
        <f>IF(G120 + I120 = 0, "", (G120 * K120 + I120 * M120) / (G120 + I120))</f>
        <v>#VALUE!</v>
      </c>
      <c r="P120" s="3" t="e">
        <f>IF(H120 + J120 = 0, "", (H120 * L120 + J120 * N120) / (H120 + J120))</f>
        <v>#VALUE!</v>
      </c>
      <c r="Q120" s="3" t="e">
        <f>IF(O120 = "", "", O120 - P120)</f>
        <v>#VALUE!</v>
      </c>
      <c r="R120" s="3" t="e">
        <f>LOOKUP(C120, SweepStudyConfig[StudyId], SweepStudyConfig[SweepCorrectedGap])</f>
        <v>#VALUE!</v>
      </c>
      <c r="S120" s="3" t="e">
        <f>IF(Q120 = "", "", Q120 - R120)</f>
        <v>#VALUE!</v>
      </c>
    </row>
    <row r="121">
      <c r="A121" s="2" t="s">
        <v>3409</v>
      </c>
      <c r="B121" s="3" t="str">
        <f>A121</f>
        <v>titanic-1912-f095</v>
      </c>
      <c r="C121" s="2" t="s">
        <v>466</v>
      </c>
      <c r="D121" s="2">
        <v>0.95</v>
      </c>
      <c r="E121" s="3" t="e">
        <f>ABS(D121 - LOOKUP(C121, SweepStudyConfig[StudyId], SweepStudyConfig[OriginalAllocFractionA])) &lt; 0.03</f>
        <v>#VALUE!</v>
      </c>
      <c r="F121" s="3" t="e">
        <f>LOOKUP(C121, SweepStudyConfig[StudyId], SweepStudyConfig[NSweepStratumTotal])</f>
        <v>#VALUE!</v>
      </c>
      <c r="G121" s="3" t="e">
        <f>ROUND(F121 * D121)</f>
        <v>#VALUE!</v>
      </c>
      <c r="H121" s="3" t="e">
        <f>F121 - G121</f>
        <v>#VALUE!</v>
      </c>
      <c r="I121" s="3" t="e">
        <f>LOOKUP(C121, SweepStudyConfig[StudyId], SweepStudyConfig[NFixedA])</f>
        <v>#VALUE!</v>
      </c>
      <c r="J121" s="3" t="e">
        <f>LOOKUP(C121, SweepStudyConfig[StudyId], SweepStudyConfig[NFixedB])</f>
        <v>#VALUE!</v>
      </c>
      <c r="K121" s="3" t="e">
        <f>LOOKUP(C121, SweepStudyConfig[StudyId], SweepStudyConfig[SweepRateA])</f>
        <v>#VALUE!</v>
      </c>
      <c r="L121" s="3" t="e">
        <f>LOOKUP(C121, SweepStudyConfig[StudyId], SweepStudyConfig[SweepRateB])</f>
        <v>#VALUE!</v>
      </c>
      <c r="M121" s="3" t="e">
        <f>LOOKUP(C121, SweepStudyConfig[StudyId], SweepStudyConfig[FixedRateA])</f>
        <v>#VALUE!</v>
      </c>
      <c r="N121" s="3" t="e">
        <f>LOOKUP(C121, SweepStudyConfig[StudyId], SweepStudyConfig[FixedRateB])</f>
        <v>#VALUE!</v>
      </c>
      <c r="O121" s="3" t="e">
        <f>IF(G121 + I121 = 0, "", (G121 * K121 + I121 * M121) / (G121 + I121))</f>
        <v>#VALUE!</v>
      </c>
      <c r="P121" s="3" t="e">
        <f>IF(H121 + J121 = 0, "", (H121 * L121 + J121 * N121) / (H121 + J121))</f>
        <v>#VALUE!</v>
      </c>
      <c r="Q121" s="3" t="e">
        <f>IF(O121 = "", "", O121 - P121)</f>
        <v>#VALUE!</v>
      </c>
      <c r="R121" s="3" t="e">
        <f>LOOKUP(C121, SweepStudyConfig[StudyId], SweepStudyConfig[SweepCorrectedGap])</f>
        <v>#VALUE!</v>
      </c>
      <c r="S121" s="3" t="e">
        <f>IF(Q121 = "", "", Q121 - R121)</f>
        <v>#VALUE!</v>
      </c>
    </row>
    <row r="122">
      <c r="A122" s="2" t="s">
        <v>3410</v>
      </c>
      <c r="B122" s="3" t="str">
        <f>A122</f>
        <v>birth-weight-paradox-f005</v>
      </c>
      <c r="C122" s="2" t="s">
        <v>470</v>
      </c>
      <c r="D122" s="2">
        <v>0.05</v>
      </c>
      <c r="E122" s="3" t="e">
        <f>ABS(D122 - LOOKUP(C122, SweepStudyConfig[StudyId], SweepStudyConfig[OriginalAllocFractionA])) &lt; 0.03</f>
        <v>#VALUE!</v>
      </c>
      <c r="F122" s="3" t="e">
        <f>LOOKUP(C122, SweepStudyConfig[StudyId], SweepStudyConfig[NSweepStratumTotal])</f>
        <v>#VALUE!</v>
      </c>
      <c r="G122" s="3" t="e">
        <f>ROUND(F122 * D122)</f>
        <v>#VALUE!</v>
      </c>
      <c r="H122" s="3" t="e">
        <f>F122 - G122</f>
        <v>#VALUE!</v>
      </c>
      <c r="I122" s="3" t="e">
        <f>LOOKUP(C122, SweepStudyConfig[StudyId], SweepStudyConfig[NFixedA])</f>
        <v>#VALUE!</v>
      </c>
      <c r="J122" s="3" t="e">
        <f>LOOKUP(C122, SweepStudyConfig[StudyId], SweepStudyConfig[NFixedB])</f>
        <v>#VALUE!</v>
      </c>
      <c r="K122" s="3" t="e">
        <f>LOOKUP(C122, SweepStudyConfig[StudyId], SweepStudyConfig[SweepRateA])</f>
        <v>#VALUE!</v>
      </c>
      <c r="L122" s="3" t="e">
        <f>LOOKUP(C122, SweepStudyConfig[StudyId], SweepStudyConfig[SweepRateB])</f>
        <v>#VALUE!</v>
      </c>
      <c r="M122" s="3" t="e">
        <f>LOOKUP(C122, SweepStudyConfig[StudyId], SweepStudyConfig[FixedRateA])</f>
        <v>#VALUE!</v>
      </c>
      <c r="N122" s="3" t="e">
        <f>LOOKUP(C122, SweepStudyConfig[StudyId], SweepStudyConfig[FixedRateB])</f>
        <v>#VALUE!</v>
      </c>
      <c r="O122" s="3" t="e">
        <f>IF(G122 + I122 = 0, "", (G122 * K122 + I122 * M122) / (G122 + I122))</f>
        <v>#VALUE!</v>
      </c>
      <c r="P122" s="3" t="e">
        <f>IF(H122 + J122 = 0, "", (H122 * L122 + J122 * N122) / (H122 + J122))</f>
        <v>#VALUE!</v>
      </c>
      <c r="Q122" s="3" t="e">
        <f>IF(O122 = "", "", O122 - P122)</f>
        <v>#VALUE!</v>
      </c>
      <c r="R122" s="3" t="e">
        <f>LOOKUP(C122, SweepStudyConfig[StudyId], SweepStudyConfig[SweepCorrectedGap])</f>
        <v>#VALUE!</v>
      </c>
      <c r="S122" s="3" t="e">
        <f>IF(Q122 = "", "", Q122 - R122)</f>
        <v>#VALUE!</v>
      </c>
    </row>
    <row r="123">
      <c r="A123" s="2" t="s">
        <v>3411</v>
      </c>
      <c r="B123" s="3" t="str">
        <f>A123</f>
        <v>birth-weight-paradox-f015</v>
      </c>
      <c r="C123" s="2" t="s">
        <v>470</v>
      </c>
      <c r="D123" s="2">
        <v>0.15</v>
      </c>
      <c r="E123" s="3" t="e">
        <f>ABS(D123 - LOOKUP(C123, SweepStudyConfig[StudyId], SweepStudyConfig[OriginalAllocFractionA])) &lt; 0.03</f>
        <v>#VALUE!</v>
      </c>
      <c r="F123" s="3" t="e">
        <f>LOOKUP(C123, SweepStudyConfig[StudyId], SweepStudyConfig[NSweepStratumTotal])</f>
        <v>#VALUE!</v>
      </c>
      <c r="G123" s="3" t="e">
        <f>ROUND(F123 * D123)</f>
        <v>#VALUE!</v>
      </c>
      <c r="H123" s="3" t="e">
        <f>F123 - G123</f>
        <v>#VALUE!</v>
      </c>
      <c r="I123" s="3" t="e">
        <f>LOOKUP(C123, SweepStudyConfig[StudyId], SweepStudyConfig[NFixedA])</f>
        <v>#VALUE!</v>
      </c>
      <c r="J123" s="3" t="e">
        <f>LOOKUP(C123, SweepStudyConfig[StudyId], SweepStudyConfig[NFixedB])</f>
        <v>#VALUE!</v>
      </c>
      <c r="K123" s="3" t="e">
        <f>LOOKUP(C123, SweepStudyConfig[StudyId], SweepStudyConfig[SweepRateA])</f>
        <v>#VALUE!</v>
      </c>
      <c r="L123" s="3" t="e">
        <f>LOOKUP(C123, SweepStudyConfig[StudyId], SweepStudyConfig[SweepRateB])</f>
        <v>#VALUE!</v>
      </c>
      <c r="M123" s="3" t="e">
        <f>LOOKUP(C123, SweepStudyConfig[StudyId], SweepStudyConfig[FixedRateA])</f>
        <v>#VALUE!</v>
      </c>
      <c r="N123" s="3" t="e">
        <f>LOOKUP(C123, SweepStudyConfig[StudyId], SweepStudyConfig[FixedRateB])</f>
        <v>#VALUE!</v>
      </c>
      <c r="O123" s="3" t="e">
        <f>IF(G123 + I123 = 0, "", (G123 * K123 + I123 * M123) / (G123 + I123))</f>
        <v>#VALUE!</v>
      </c>
      <c r="P123" s="3" t="e">
        <f>IF(H123 + J123 = 0, "", (H123 * L123 + J123 * N123) / (H123 + J123))</f>
        <v>#VALUE!</v>
      </c>
      <c r="Q123" s="3" t="e">
        <f>IF(O123 = "", "", O123 - P123)</f>
        <v>#VALUE!</v>
      </c>
      <c r="R123" s="3" t="e">
        <f>LOOKUP(C123, SweepStudyConfig[StudyId], SweepStudyConfig[SweepCorrectedGap])</f>
        <v>#VALUE!</v>
      </c>
      <c r="S123" s="3" t="e">
        <f>IF(Q123 = "", "", Q123 - R123)</f>
        <v>#VALUE!</v>
      </c>
    </row>
    <row r="124">
      <c r="A124" s="2" t="s">
        <v>3412</v>
      </c>
      <c r="B124" s="3" t="str">
        <f>A124</f>
        <v>birth-weight-paradox-f025</v>
      </c>
      <c r="C124" s="2" t="s">
        <v>470</v>
      </c>
      <c r="D124" s="2">
        <v>0.25</v>
      </c>
      <c r="E124" s="3" t="e">
        <f>ABS(D124 - LOOKUP(C124, SweepStudyConfig[StudyId], SweepStudyConfig[OriginalAllocFractionA])) &lt; 0.03</f>
        <v>#VALUE!</v>
      </c>
      <c r="F124" s="3" t="e">
        <f>LOOKUP(C124, SweepStudyConfig[StudyId], SweepStudyConfig[NSweepStratumTotal])</f>
        <v>#VALUE!</v>
      </c>
      <c r="G124" s="3" t="e">
        <f>ROUND(F124 * D124)</f>
        <v>#VALUE!</v>
      </c>
      <c r="H124" s="3" t="e">
        <f>F124 - G124</f>
        <v>#VALUE!</v>
      </c>
      <c r="I124" s="3" t="e">
        <f>LOOKUP(C124, SweepStudyConfig[StudyId], SweepStudyConfig[NFixedA])</f>
        <v>#VALUE!</v>
      </c>
      <c r="J124" s="3" t="e">
        <f>LOOKUP(C124, SweepStudyConfig[StudyId], SweepStudyConfig[NFixedB])</f>
        <v>#VALUE!</v>
      </c>
      <c r="K124" s="3" t="e">
        <f>LOOKUP(C124, SweepStudyConfig[StudyId], SweepStudyConfig[SweepRateA])</f>
        <v>#VALUE!</v>
      </c>
      <c r="L124" s="3" t="e">
        <f>LOOKUP(C124, SweepStudyConfig[StudyId], SweepStudyConfig[SweepRateB])</f>
        <v>#VALUE!</v>
      </c>
      <c r="M124" s="3" t="e">
        <f>LOOKUP(C124, SweepStudyConfig[StudyId], SweepStudyConfig[FixedRateA])</f>
        <v>#VALUE!</v>
      </c>
      <c r="N124" s="3" t="e">
        <f>LOOKUP(C124, SweepStudyConfig[StudyId], SweepStudyConfig[FixedRateB])</f>
        <v>#VALUE!</v>
      </c>
      <c r="O124" s="3" t="e">
        <f>IF(G124 + I124 = 0, "", (G124 * K124 + I124 * M124) / (G124 + I124))</f>
        <v>#VALUE!</v>
      </c>
      <c r="P124" s="3" t="e">
        <f>IF(H124 + J124 = 0, "", (H124 * L124 + J124 * N124) / (H124 + J124))</f>
        <v>#VALUE!</v>
      </c>
      <c r="Q124" s="3" t="e">
        <f>IF(O124 = "", "", O124 - P124)</f>
        <v>#VALUE!</v>
      </c>
      <c r="R124" s="3" t="e">
        <f>LOOKUP(C124, SweepStudyConfig[StudyId], SweepStudyConfig[SweepCorrectedGap])</f>
        <v>#VALUE!</v>
      </c>
      <c r="S124" s="3" t="e">
        <f>IF(Q124 = "", "", Q124 - R124)</f>
        <v>#VALUE!</v>
      </c>
    </row>
    <row r="125">
      <c r="A125" s="2" t="s">
        <v>3413</v>
      </c>
      <c r="B125" s="3" t="str">
        <f>A125</f>
        <v>birth-weight-paradox-f035</v>
      </c>
      <c r="C125" s="2" t="s">
        <v>470</v>
      </c>
      <c r="D125" s="2">
        <v>0.35</v>
      </c>
      <c r="E125" s="3" t="e">
        <f>ABS(D125 - LOOKUP(C125, SweepStudyConfig[StudyId], SweepStudyConfig[OriginalAllocFractionA])) &lt; 0.03</f>
        <v>#VALUE!</v>
      </c>
      <c r="F125" s="3" t="e">
        <f>LOOKUP(C125, SweepStudyConfig[StudyId], SweepStudyConfig[NSweepStratumTotal])</f>
        <v>#VALUE!</v>
      </c>
      <c r="G125" s="3" t="e">
        <f>ROUND(F125 * D125)</f>
        <v>#VALUE!</v>
      </c>
      <c r="H125" s="3" t="e">
        <f>F125 - G125</f>
        <v>#VALUE!</v>
      </c>
      <c r="I125" s="3" t="e">
        <f>LOOKUP(C125, SweepStudyConfig[StudyId], SweepStudyConfig[NFixedA])</f>
        <v>#VALUE!</v>
      </c>
      <c r="J125" s="3" t="e">
        <f>LOOKUP(C125, SweepStudyConfig[StudyId], SweepStudyConfig[NFixedB])</f>
        <v>#VALUE!</v>
      </c>
      <c r="K125" s="3" t="e">
        <f>LOOKUP(C125, SweepStudyConfig[StudyId], SweepStudyConfig[SweepRateA])</f>
        <v>#VALUE!</v>
      </c>
      <c r="L125" s="3" t="e">
        <f>LOOKUP(C125, SweepStudyConfig[StudyId], SweepStudyConfig[SweepRateB])</f>
        <v>#VALUE!</v>
      </c>
      <c r="M125" s="3" t="e">
        <f>LOOKUP(C125, SweepStudyConfig[StudyId], SweepStudyConfig[FixedRateA])</f>
        <v>#VALUE!</v>
      </c>
      <c r="N125" s="3" t="e">
        <f>LOOKUP(C125, SweepStudyConfig[StudyId], SweepStudyConfig[FixedRateB])</f>
        <v>#VALUE!</v>
      </c>
      <c r="O125" s="3" t="e">
        <f>IF(G125 + I125 = 0, "", (G125 * K125 + I125 * M125) / (G125 + I125))</f>
        <v>#VALUE!</v>
      </c>
      <c r="P125" s="3" t="e">
        <f>IF(H125 + J125 = 0, "", (H125 * L125 + J125 * N125) / (H125 + J125))</f>
        <v>#VALUE!</v>
      </c>
      <c r="Q125" s="3" t="e">
        <f>IF(O125 = "", "", O125 - P125)</f>
        <v>#VALUE!</v>
      </c>
      <c r="R125" s="3" t="e">
        <f>LOOKUP(C125, SweepStudyConfig[StudyId], SweepStudyConfig[SweepCorrectedGap])</f>
        <v>#VALUE!</v>
      </c>
      <c r="S125" s="3" t="e">
        <f>IF(Q125 = "", "", Q125 - R125)</f>
        <v>#VALUE!</v>
      </c>
    </row>
    <row r="126">
      <c r="A126" s="2" t="s">
        <v>3414</v>
      </c>
      <c r="B126" s="3" t="str">
        <f>A126</f>
        <v>birth-weight-paradox-f045</v>
      </c>
      <c r="C126" s="2" t="s">
        <v>470</v>
      </c>
      <c r="D126" s="2">
        <v>0.45</v>
      </c>
      <c r="E126" s="3" t="e">
        <f>ABS(D126 - LOOKUP(C126, SweepStudyConfig[StudyId], SweepStudyConfig[OriginalAllocFractionA])) &lt; 0.03</f>
        <v>#VALUE!</v>
      </c>
      <c r="F126" s="3" t="e">
        <f>LOOKUP(C126, SweepStudyConfig[StudyId], SweepStudyConfig[NSweepStratumTotal])</f>
        <v>#VALUE!</v>
      </c>
      <c r="G126" s="3" t="e">
        <f>ROUND(F126 * D126)</f>
        <v>#VALUE!</v>
      </c>
      <c r="H126" s="3" t="e">
        <f>F126 - G126</f>
        <v>#VALUE!</v>
      </c>
      <c r="I126" s="3" t="e">
        <f>LOOKUP(C126, SweepStudyConfig[StudyId], SweepStudyConfig[NFixedA])</f>
        <v>#VALUE!</v>
      </c>
      <c r="J126" s="3" t="e">
        <f>LOOKUP(C126, SweepStudyConfig[StudyId], SweepStudyConfig[NFixedB])</f>
        <v>#VALUE!</v>
      </c>
      <c r="K126" s="3" t="e">
        <f>LOOKUP(C126, SweepStudyConfig[StudyId], SweepStudyConfig[SweepRateA])</f>
        <v>#VALUE!</v>
      </c>
      <c r="L126" s="3" t="e">
        <f>LOOKUP(C126, SweepStudyConfig[StudyId], SweepStudyConfig[SweepRateB])</f>
        <v>#VALUE!</v>
      </c>
      <c r="M126" s="3" t="e">
        <f>LOOKUP(C126, SweepStudyConfig[StudyId], SweepStudyConfig[FixedRateA])</f>
        <v>#VALUE!</v>
      </c>
      <c r="N126" s="3" t="e">
        <f>LOOKUP(C126, SweepStudyConfig[StudyId], SweepStudyConfig[FixedRateB])</f>
        <v>#VALUE!</v>
      </c>
      <c r="O126" s="3" t="e">
        <f>IF(G126 + I126 = 0, "", (G126 * K126 + I126 * M126) / (G126 + I126))</f>
        <v>#VALUE!</v>
      </c>
      <c r="P126" s="3" t="e">
        <f>IF(H126 + J126 = 0, "", (H126 * L126 + J126 * N126) / (H126 + J126))</f>
        <v>#VALUE!</v>
      </c>
      <c r="Q126" s="3" t="e">
        <f>IF(O126 = "", "", O126 - P126)</f>
        <v>#VALUE!</v>
      </c>
      <c r="R126" s="3" t="e">
        <f>LOOKUP(C126, SweepStudyConfig[StudyId], SweepStudyConfig[SweepCorrectedGap])</f>
        <v>#VALUE!</v>
      </c>
      <c r="S126" s="3" t="e">
        <f>IF(Q126 = "", "", Q126 - R126)</f>
        <v>#VALUE!</v>
      </c>
    </row>
    <row r="127">
      <c r="A127" s="2" t="s">
        <v>3415</v>
      </c>
      <c r="B127" s="3" t="str">
        <f>A127</f>
        <v>birth-weight-paradox-f055</v>
      </c>
      <c r="C127" s="2" t="s">
        <v>470</v>
      </c>
      <c r="D127" s="2">
        <v>0.55</v>
      </c>
      <c r="E127" s="3" t="e">
        <f>ABS(D127 - LOOKUP(C127, SweepStudyConfig[StudyId], SweepStudyConfig[OriginalAllocFractionA])) &lt; 0.03</f>
        <v>#VALUE!</v>
      </c>
      <c r="F127" s="3" t="e">
        <f>LOOKUP(C127, SweepStudyConfig[StudyId], SweepStudyConfig[NSweepStratumTotal])</f>
        <v>#VALUE!</v>
      </c>
      <c r="G127" s="3" t="e">
        <f>ROUND(F127 * D127)</f>
        <v>#VALUE!</v>
      </c>
      <c r="H127" s="3" t="e">
        <f>F127 - G127</f>
        <v>#VALUE!</v>
      </c>
      <c r="I127" s="3" t="e">
        <f>LOOKUP(C127, SweepStudyConfig[StudyId], SweepStudyConfig[NFixedA])</f>
        <v>#VALUE!</v>
      </c>
      <c r="J127" s="3" t="e">
        <f>LOOKUP(C127, SweepStudyConfig[StudyId], SweepStudyConfig[NFixedB])</f>
        <v>#VALUE!</v>
      </c>
      <c r="K127" s="3" t="e">
        <f>LOOKUP(C127, SweepStudyConfig[StudyId], SweepStudyConfig[SweepRateA])</f>
        <v>#VALUE!</v>
      </c>
      <c r="L127" s="3" t="e">
        <f>LOOKUP(C127, SweepStudyConfig[StudyId], SweepStudyConfig[SweepRateB])</f>
        <v>#VALUE!</v>
      </c>
      <c r="M127" s="3" t="e">
        <f>LOOKUP(C127, SweepStudyConfig[StudyId], SweepStudyConfig[FixedRateA])</f>
        <v>#VALUE!</v>
      </c>
      <c r="N127" s="3" t="e">
        <f>LOOKUP(C127, SweepStudyConfig[StudyId], SweepStudyConfig[FixedRateB])</f>
        <v>#VALUE!</v>
      </c>
      <c r="O127" s="3" t="e">
        <f>IF(G127 + I127 = 0, "", (G127 * K127 + I127 * M127) / (G127 + I127))</f>
        <v>#VALUE!</v>
      </c>
      <c r="P127" s="3" t="e">
        <f>IF(H127 + J127 = 0, "", (H127 * L127 + J127 * N127) / (H127 + J127))</f>
        <v>#VALUE!</v>
      </c>
      <c r="Q127" s="3" t="e">
        <f>IF(O127 = "", "", O127 - P127)</f>
        <v>#VALUE!</v>
      </c>
      <c r="R127" s="3" t="e">
        <f>LOOKUP(C127, SweepStudyConfig[StudyId], SweepStudyConfig[SweepCorrectedGap])</f>
        <v>#VALUE!</v>
      </c>
      <c r="S127" s="3" t="e">
        <f>IF(Q127 = "", "", Q127 - R127)</f>
        <v>#VALUE!</v>
      </c>
    </row>
    <row r="128">
      <c r="A128" s="2" t="s">
        <v>3416</v>
      </c>
      <c r="B128" s="3" t="str">
        <f>A128</f>
        <v>birth-weight-paradox-f065</v>
      </c>
      <c r="C128" s="2" t="s">
        <v>470</v>
      </c>
      <c r="D128" s="2">
        <v>0.65</v>
      </c>
      <c r="E128" s="3" t="e">
        <f>ABS(D128 - LOOKUP(C128, SweepStudyConfig[StudyId], SweepStudyConfig[OriginalAllocFractionA])) &lt; 0.03</f>
        <v>#VALUE!</v>
      </c>
      <c r="F128" s="3" t="e">
        <f>LOOKUP(C128, SweepStudyConfig[StudyId], SweepStudyConfig[NSweepStratumTotal])</f>
        <v>#VALUE!</v>
      </c>
      <c r="G128" s="3" t="e">
        <f>ROUND(F128 * D128)</f>
        <v>#VALUE!</v>
      </c>
      <c r="H128" s="3" t="e">
        <f>F128 - G128</f>
        <v>#VALUE!</v>
      </c>
      <c r="I128" s="3" t="e">
        <f>LOOKUP(C128, SweepStudyConfig[StudyId], SweepStudyConfig[NFixedA])</f>
        <v>#VALUE!</v>
      </c>
      <c r="J128" s="3" t="e">
        <f>LOOKUP(C128, SweepStudyConfig[StudyId], SweepStudyConfig[NFixedB])</f>
        <v>#VALUE!</v>
      </c>
      <c r="K128" s="3" t="e">
        <f>LOOKUP(C128, SweepStudyConfig[StudyId], SweepStudyConfig[SweepRateA])</f>
        <v>#VALUE!</v>
      </c>
      <c r="L128" s="3" t="e">
        <f>LOOKUP(C128, SweepStudyConfig[StudyId], SweepStudyConfig[SweepRateB])</f>
        <v>#VALUE!</v>
      </c>
      <c r="M128" s="3" t="e">
        <f>LOOKUP(C128, SweepStudyConfig[StudyId], SweepStudyConfig[FixedRateA])</f>
        <v>#VALUE!</v>
      </c>
      <c r="N128" s="3" t="e">
        <f>LOOKUP(C128, SweepStudyConfig[StudyId], SweepStudyConfig[FixedRateB])</f>
        <v>#VALUE!</v>
      </c>
      <c r="O128" s="3" t="e">
        <f>IF(G128 + I128 = 0, "", (G128 * K128 + I128 * M128) / (G128 + I128))</f>
        <v>#VALUE!</v>
      </c>
      <c r="P128" s="3" t="e">
        <f>IF(H128 + J128 = 0, "", (H128 * L128 + J128 * N128) / (H128 + J128))</f>
        <v>#VALUE!</v>
      </c>
      <c r="Q128" s="3" t="e">
        <f>IF(O128 = "", "", O128 - P128)</f>
        <v>#VALUE!</v>
      </c>
      <c r="R128" s="3" t="e">
        <f>LOOKUP(C128, SweepStudyConfig[StudyId], SweepStudyConfig[SweepCorrectedGap])</f>
        <v>#VALUE!</v>
      </c>
      <c r="S128" s="3" t="e">
        <f>IF(Q128 = "", "", Q128 - R128)</f>
        <v>#VALUE!</v>
      </c>
    </row>
    <row r="129">
      <c r="A129" s="2" t="s">
        <v>3417</v>
      </c>
      <c r="B129" s="3" t="str">
        <f>A129</f>
        <v>birth-weight-paradox-f075</v>
      </c>
      <c r="C129" s="2" t="s">
        <v>470</v>
      </c>
      <c r="D129" s="2">
        <v>0.75</v>
      </c>
      <c r="E129" s="3" t="e">
        <f>ABS(D129 - LOOKUP(C129, SweepStudyConfig[StudyId], SweepStudyConfig[OriginalAllocFractionA])) &lt; 0.03</f>
        <v>#VALUE!</v>
      </c>
      <c r="F129" s="3" t="e">
        <f>LOOKUP(C129, SweepStudyConfig[StudyId], SweepStudyConfig[NSweepStratumTotal])</f>
        <v>#VALUE!</v>
      </c>
      <c r="G129" s="3" t="e">
        <f>ROUND(F129 * D129)</f>
        <v>#VALUE!</v>
      </c>
      <c r="H129" s="3" t="e">
        <f>F129 - G129</f>
        <v>#VALUE!</v>
      </c>
      <c r="I129" s="3" t="e">
        <f>LOOKUP(C129, SweepStudyConfig[StudyId], SweepStudyConfig[NFixedA])</f>
        <v>#VALUE!</v>
      </c>
      <c r="J129" s="3" t="e">
        <f>LOOKUP(C129, SweepStudyConfig[StudyId], SweepStudyConfig[NFixedB])</f>
        <v>#VALUE!</v>
      </c>
      <c r="K129" s="3" t="e">
        <f>LOOKUP(C129, SweepStudyConfig[StudyId], SweepStudyConfig[SweepRateA])</f>
        <v>#VALUE!</v>
      </c>
      <c r="L129" s="3" t="e">
        <f>LOOKUP(C129, SweepStudyConfig[StudyId], SweepStudyConfig[SweepRateB])</f>
        <v>#VALUE!</v>
      </c>
      <c r="M129" s="3" t="e">
        <f>LOOKUP(C129, SweepStudyConfig[StudyId], SweepStudyConfig[FixedRateA])</f>
        <v>#VALUE!</v>
      </c>
      <c r="N129" s="3" t="e">
        <f>LOOKUP(C129, SweepStudyConfig[StudyId], SweepStudyConfig[FixedRateB])</f>
        <v>#VALUE!</v>
      </c>
      <c r="O129" s="3" t="e">
        <f>IF(G129 + I129 = 0, "", (G129 * K129 + I129 * M129) / (G129 + I129))</f>
        <v>#VALUE!</v>
      </c>
      <c r="P129" s="3" t="e">
        <f>IF(H129 + J129 = 0, "", (H129 * L129 + J129 * N129) / (H129 + J129))</f>
        <v>#VALUE!</v>
      </c>
      <c r="Q129" s="3" t="e">
        <f>IF(O129 = "", "", O129 - P129)</f>
        <v>#VALUE!</v>
      </c>
      <c r="R129" s="3" t="e">
        <f>LOOKUP(C129, SweepStudyConfig[StudyId], SweepStudyConfig[SweepCorrectedGap])</f>
        <v>#VALUE!</v>
      </c>
      <c r="S129" s="3" t="e">
        <f>IF(Q129 = "", "", Q129 - R129)</f>
        <v>#VALUE!</v>
      </c>
    </row>
    <row r="130">
      <c r="A130" s="2" t="s">
        <v>3418</v>
      </c>
      <c r="B130" s="3" t="str">
        <f>A130</f>
        <v>birth-weight-paradox-f085</v>
      </c>
      <c r="C130" s="2" t="s">
        <v>470</v>
      </c>
      <c r="D130" s="2">
        <v>0.85</v>
      </c>
      <c r="E130" s="3" t="e">
        <f>ABS(D130 - LOOKUP(C130, SweepStudyConfig[StudyId], SweepStudyConfig[OriginalAllocFractionA])) &lt; 0.03</f>
        <v>#VALUE!</v>
      </c>
      <c r="F130" s="3" t="e">
        <f>LOOKUP(C130, SweepStudyConfig[StudyId], SweepStudyConfig[NSweepStratumTotal])</f>
        <v>#VALUE!</v>
      </c>
      <c r="G130" s="3" t="e">
        <f>ROUND(F130 * D130)</f>
        <v>#VALUE!</v>
      </c>
      <c r="H130" s="3" t="e">
        <f>F130 - G130</f>
        <v>#VALUE!</v>
      </c>
      <c r="I130" s="3" t="e">
        <f>LOOKUP(C130, SweepStudyConfig[StudyId], SweepStudyConfig[NFixedA])</f>
        <v>#VALUE!</v>
      </c>
      <c r="J130" s="3" t="e">
        <f>LOOKUP(C130, SweepStudyConfig[StudyId], SweepStudyConfig[NFixedB])</f>
        <v>#VALUE!</v>
      </c>
      <c r="K130" s="3" t="e">
        <f>LOOKUP(C130, SweepStudyConfig[StudyId], SweepStudyConfig[SweepRateA])</f>
        <v>#VALUE!</v>
      </c>
      <c r="L130" s="3" t="e">
        <f>LOOKUP(C130, SweepStudyConfig[StudyId], SweepStudyConfig[SweepRateB])</f>
        <v>#VALUE!</v>
      </c>
      <c r="M130" s="3" t="e">
        <f>LOOKUP(C130, SweepStudyConfig[StudyId], SweepStudyConfig[FixedRateA])</f>
        <v>#VALUE!</v>
      </c>
      <c r="N130" s="3" t="e">
        <f>LOOKUP(C130, SweepStudyConfig[StudyId], SweepStudyConfig[FixedRateB])</f>
        <v>#VALUE!</v>
      </c>
      <c r="O130" s="3" t="e">
        <f>IF(G130 + I130 = 0, "", (G130 * K130 + I130 * M130) / (G130 + I130))</f>
        <v>#VALUE!</v>
      </c>
      <c r="P130" s="3" t="e">
        <f>IF(H130 + J130 = 0, "", (H130 * L130 + J130 * N130) / (H130 + J130))</f>
        <v>#VALUE!</v>
      </c>
      <c r="Q130" s="3" t="e">
        <f>IF(O130 = "", "", O130 - P130)</f>
        <v>#VALUE!</v>
      </c>
      <c r="R130" s="3" t="e">
        <f>LOOKUP(C130, SweepStudyConfig[StudyId], SweepStudyConfig[SweepCorrectedGap])</f>
        <v>#VALUE!</v>
      </c>
      <c r="S130" s="3" t="e">
        <f>IF(Q130 = "", "", Q130 - R130)</f>
        <v>#VALUE!</v>
      </c>
    </row>
    <row r="131">
      <c r="A131" s="2" t="s">
        <v>3419</v>
      </c>
      <c r="B131" s="3" t="str">
        <f>A131</f>
        <v>birth-weight-paradox-f095</v>
      </c>
      <c r="C131" s="2" t="s">
        <v>470</v>
      </c>
      <c r="D131" s="2">
        <v>0.95</v>
      </c>
      <c r="E131" s="3" t="e">
        <f>ABS(D131 - LOOKUP(C131, SweepStudyConfig[StudyId], SweepStudyConfig[OriginalAllocFractionA])) &lt; 0.03</f>
        <v>#VALUE!</v>
      </c>
      <c r="F131" s="3" t="e">
        <f>LOOKUP(C131, SweepStudyConfig[StudyId], SweepStudyConfig[NSweepStratumTotal])</f>
        <v>#VALUE!</v>
      </c>
      <c r="G131" s="3" t="e">
        <f>ROUND(F131 * D131)</f>
        <v>#VALUE!</v>
      </c>
      <c r="H131" s="3" t="e">
        <f>F131 - G131</f>
        <v>#VALUE!</v>
      </c>
      <c r="I131" s="3" t="e">
        <f>LOOKUP(C131, SweepStudyConfig[StudyId], SweepStudyConfig[NFixedA])</f>
        <v>#VALUE!</v>
      </c>
      <c r="J131" s="3" t="e">
        <f>LOOKUP(C131, SweepStudyConfig[StudyId], SweepStudyConfig[NFixedB])</f>
        <v>#VALUE!</v>
      </c>
      <c r="K131" s="3" t="e">
        <f>LOOKUP(C131, SweepStudyConfig[StudyId], SweepStudyConfig[SweepRateA])</f>
        <v>#VALUE!</v>
      </c>
      <c r="L131" s="3" t="e">
        <f>LOOKUP(C131, SweepStudyConfig[StudyId], SweepStudyConfig[SweepRateB])</f>
        <v>#VALUE!</v>
      </c>
      <c r="M131" s="3" t="e">
        <f>LOOKUP(C131, SweepStudyConfig[StudyId], SweepStudyConfig[FixedRateA])</f>
        <v>#VALUE!</v>
      </c>
      <c r="N131" s="3" t="e">
        <f>LOOKUP(C131, SweepStudyConfig[StudyId], SweepStudyConfig[FixedRateB])</f>
        <v>#VALUE!</v>
      </c>
      <c r="O131" s="3" t="e">
        <f>IF(G131 + I131 = 0, "", (G131 * K131 + I131 * M131) / (G131 + I131))</f>
        <v>#VALUE!</v>
      </c>
      <c r="P131" s="3" t="e">
        <f>IF(H131 + J131 = 0, "", (H131 * L131 + J131 * N131) / (H131 + J131))</f>
        <v>#VALUE!</v>
      </c>
      <c r="Q131" s="3" t="e">
        <f>IF(O131 = "", "", O131 - P131)</f>
        <v>#VALUE!</v>
      </c>
      <c r="R131" s="3" t="e">
        <f>LOOKUP(C131, SweepStudyConfig[StudyId], SweepStudyConfig[SweepCorrectedGap])</f>
        <v>#VALUE!</v>
      </c>
      <c r="S131" s="3" t="e">
        <f>IF(Q131 = "", "", Q131 - R131)</f>
        <v>#VALUE!</v>
      </c>
    </row>
    <row r="132">
      <c r="A132" s="2" t="s">
        <v>3420</v>
      </c>
      <c r="B132" s="3" t="str">
        <f>A132</f>
        <v>melanoma-altman-1991-f005</v>
      </c>
      <c r="C132" s="2" t="s">
        <v>475</v>
      </c>
      <c r="D132" s="2">
        <v>0.05</v>
      </c>
      <c r="E132" s="3" t="e">
        <f>ABS(D132 - LOOKUP(C132, SweepStudyConfig[StudyId], SweepStudyConfig[OriginalAllocFractionA])) &lt; 0.03</f>
        <v>#VALUE!</v>
      </c>
      <c r="F132" s="3" t="e">
        <f>LOOKUP(C132, SweepStudyConfig[StudyId], SweepStudyConfig[NSweepStratumTotal])</f>
        <v>#VALUE!</v>
      </c>
      <c r="G132" s="3" t="e">
        <f>ROUND(F132 * D132)</f>
        <v>#VALUE!</v>
      </c>
      <c r="H132" s="3" t="e">
        <f>F132 - G132</f>
        <v>#VALUE!</v>
      </c>
      <c r="I132" s="3" t="e">
        <f>LOOKUP(C132, SweepStudyConfig[StudyId], SweepStudyConfig[NFixedA])</f>
        <v>#VALUE!</v>
      </c>
      <c r="J132" s="3" t="e">
        <f>LOOKUP(C132, SweepStudyConfig[StudyId], SweepStudyConfig[NFixedB])</f>
        <v>#VALUE!</v>
      </c>
      <c r="K132" s="3" t="e">
        <f>LOOKUP(C132, SweepStudyConfig[StudyId], SweepStudyConfig[SweepRateA])</f>
        <v>#VALUE!</v>
      </c>
      <c r="L132" s="3" t="e">
        <f>LOOKUP(C132, SweepStudyConfig[StudyId], SweepStudyConfig[SweepRateB])</f>
        <v>#VALUE!</v>
      </c>
      <c r="M132" s="3" t="e">
        <f>LOOKUP(C132, SweepStudyConfig[StudyId], SweepStudyConfig[FixedRateA])</f>
        <v>#VALUE!</v>
      </c>
      <c r="N132" s="3" t="e">
        <f>LOOKUP(C132, SweepStudyConfig[StudyId], SweepStudyConfig[FixedRateB])</f>
        <v>#VALUE!</v>
      </c>
      <c r="O132" s="3" t="e">
        <f>IF(G132 + I132 = 0, "", (G132 * K132 + I132 * M132) / (G132 + I132))</f>
        <v>#VALUE!</v>
      </c>
      <c r="P132" s="3" t="e">
        <f>IF(H132 + J132 = 0, "", (H132 * L132 + J132 * N132) / (H132 + J132))</f>
        <v>#VALUE!</v>
      </c>
      <c r="Q132" s="3" t="e">
        <f>IF(O132 = "", "", O132 - P132)</f>
        <v>#VALUE!</v>
      </c>
      <c r="R132" s="3" t="e">
        <f>LOOKUP(C132, SweepStudyConfig[StudyId], SweepStudyConfig[SweepCorrectedGap])</f>
        <v>#VALUE!</v>
      </c>
      <c r="S132" s="3" t="e">
        <f>IF(Q132 = "", "", Q132 - R132)</f>
        <v>#VALUE!</v>
      </c>
    </row>
    <row r="133">
      <c r="A133" s="2" t="s">
        <v>3421</v>
      </c>
      <c r="B133" s="3" t="str">
        <f>A133</f>
        <v>melanoma-altman-1991-f015</v>
      </c>
      <c r="C133" s="2" t="s">
        <v>475</v>
      </c>
      <c r="D133" s="2">
        <v>0.15</v>
      </c>
      <c r="E133" s="3" t="e">
        <f>ABS(D133 - LOOKUP(C133, SweepStudyConfig[StudyId], SweepStudyConfig[OriginalAllocFractionA])) &lt; 0.03</f>
        <v>#VALUE!</v>
      </c>
      <c r="F133" s="3" t="e">
        <f>LOOKUP(C133, SweepStudyConfig[StudyId], SweepStudyConfig[NSweepStratumTotal])</f>
        <v>#VALUE!</v>
      </c>
      <c r="G133" s="3" t="e">
        <f>ROUND(F133 * D133)</f>
        <v>#VALUE!</v>
      </c>
      <c r="H133" s="3" t="e">
        <f>F133 - G133</f>
        <v>#VALUE!</v>
      </c>
      <c r="I133" s="3" t="e">
        <f>LOOKUP(C133, SweepStudyConfig[StudyId], SweepStudyConfig[NFixedA])</f>
        <v>#VALUE!</v>
      </c>
      <c r="J133" s="3" t="e">
        <f>LOOKUP(C133, SweepStudyConfig[StudyId], SweepStudyConfig[NFixedB])</f>
        <v>#VALUE!</v>
      </c>
      <c r="K133" s="3" t="e">
        <f>LOOKUP(C133, SweepStudyConfig[StudyId], SweepStudyConfig[SweepRateA])</f>
        <v>#VALUE!</v>
      </c>
      <c r="L133" s="3" t="e">
        <f>LOOKUP(C133, SweepStudyConfig[StudyId], SweepStudyConfig[SweepRateB])</f>
        <v>#VALUE!</v>
      </c>
      <c r="M133" s="3" t="e">
        <f>LOOKUP(C133, SweepStudyConfig[StudyId], SweepStudyConfig[FixedRateA])</f>
        <v>#VALUE!</v>
      </c>
      <c r="N133" s="3" t="e">
        <f>LOOKUP(C133, SweepStudyConfig[StudyId], SweepStudyConfig[FixedRateB])</f>
        <v>#VALUE!</v>
      </c>
      <c r="O133" s="3" t="e">
        <f>IF(G133 + I133 = 0, "", (G133 * K133 + I133 * M133) / (G133 + I133))</f>
        <v>#VALUE!</v>
      </c>
      <c r="P133" s="3" t="e">
        <f>IF(H133 + J133 = 0, "", (H133 * L133 + J133 * N133) / (H133 + J133))</f>
        <v>#VALUE!</v>
      </c>
      <c r="Q133" s="3" t="e">
        <f>IF(O133 = "", "", O133 - P133)</f>
        <v>#VALUE!</v>
      </c>
      <c r="R133" s="3" t="e">
        <f>LOOKUP(C133, SweepStudyConfig[StudyId], SweepStudyConfig[SweepCorrectedGap])</f>
        <v>#VALUE!</v>
      </c>
      <c r="S133" s="3" t="e">
        <f>IF(Q133 = "", "", Q133 - R133)</f>
        <v>#VALUE!</v>
      </c>
    </row>
    <row r="134">
      <c r="A134" s="2" t="s">
        <v>3422</v>
      </c>
      <c r="B134" s="3" t="str">
        <f>A134</f>
        <v>melanoma-altman-1991-f025</v>
      </c>
      <c r="C134" s="2" t="s">
        <v>475</v>
      </c>
      <c r="D134" s="2">
        <v>0.25</v>
      </c>
      <c r="E134" s="3" t="e">
        <f>ABS(D134 - LOOKUP(C134, SweepStudyConfig[StudyId], SweepStudyConfig[OriginalAllocFractionA])) &lt; 0.03</f>
        <v>#VALUE!</v>
      </c>
      <c r="F134" s="3" t="e">
        <f>LOOKUP(C134, SweepStudyConfig[StudyId], SweepStudyConfig[NSweepStratumTotal])</f>
        <v>#VALUE!</v>
      </c>
      <c r="G134" s="3" t="e">
        <f>ROUND(F134 * D134)</f>
        <v>#VALUE!</v>
      </c>
      <c r="H134" s="3" t="e">
        <f>F134 - G134</f>
        <v>#VALUE!</v>
      </c>
      <c r="I134" s="3" t="e">
        <f>LOOKUP(C134, SweepStudyConfig[StudyId], SweepStudyConfig[NFixedA])</f>
        <v>#VALUE!</v>
      </c>
      <c r="J134" s="3" t="e">
        <f>LOOKUP(C134, SweepStudyConfig[StudyId], SweepStudyConfig[NFixedB])</f>
        <v>#VALUE!</v>
      </c>
      <c r="K134" s="3" t="e">
        <f>LOOKUP(C134, SweepStudyConfig[StudyId], SweepStudyConfig[SweepRateA])</f>
        <v>#VALUE!</v>
      </c>
      <c r="L134" s="3" t="e">
        <f>LOOKUP(C134, SweepStudyConfig[StudyId], SweepStudyConfig[SweepRateB])</f>
        <v>#VALUE!</v>
      </c>
      <c r="M134" s="3" t="e">
        <f>LOOKUP(C134, SweepStudyConfig[StudyId], SweepStudyConfig[FixedRateA])</f>
        <v>#VALUE!</v>
      </c>
      <c r="N134" s="3" t="e">
        <f>LOOKUP(C134, SweepStudyConfig[StudyId], SweepStudyConfig[FixedRateB])</f>
        <v>#VALUE!</v>
      </c>
      <c r="O134" s="3" t="e">
        <f>IF(G134 + I134 = 0, "", (G134 * K134 + I134 * M134) / (G134 + I134))</f>
        <v>#VALUE!</v>
      </c>
      <c r="P134" s="3" t="e">
        <f>IF(H134 + J134 = 0, "", (H134 * L134 + J134 * N134) / (H134 + J134))</f>
        <v>#VALUE!</v>
      </c>
      <c r="Q134" s="3" t="e">
        <f>IF(O134 = "", "", O134 - P134)</f>
        <v>#VALUE!</v>
      </c>
      <c r="R134" s="3" t="e">
        <f>LOOKUP(C134, SweepStudyConfig[StudyId], SweepStudyConfig[SweepCorrectedGap])</f>
        <v>#VALUE!</v>
      </c>
      <c r="S134" s="3" t="e">
        <f>IF(Q134 = "", "", Q134 - R134)</f>
        <v>#VALUE!</v>
      </c>
    </row>
    <row r="135">
      <c r="A135" s="2" t="s">
        <v>3423</v>
      </c>
      <c r="B135" s="3" t="str">
        <f>A135</f>
        <v>melanoma-altman-1991-f035</v>
      </c>
      <c r="C135" s="2" t="s">
        <v>475</v>
      </c>
      <c r="D135" s="2">
        <v>0.35</v>
      </c>
      <c r="E135" s="3" t="e">
        <f>ABS(D135 - LOOKUP(C135, SweepStudyConfig[StudyId], SweepStudyConfig[OriginalAllocFractionA])) &lt; 0.03</f>
        <v>#VALUE!</v>
      </c>
      <c r="F135" s="3" t="e">
        <f>LOOKUP(C135, SweepStudyConfig[StudyId], SweepStudyConfig[NSweepStratumTotal])</f>
        <v>#VALUE!</v>
      </c>
      <c r="G135" s="3" t="e">
        <f>ROUND(F135 * D135)</f>
        <v>#VALUE!</v>
      </c>
      <c r="H135" s="3" t="e">
        <f>F135 - G135</f>
        <v>#VALUE!</v>
      </c>
      <c r="I135" s="3" t="e">
        <f>LOOKUP(C135, SweepStudyConfig[StudyId], SweepStudyConfig[NFixedA])</f>
        <v>#VALUE!</v>
      </c>
      <c r="J135" s="3" t="e">
        <f>LOOKUP(C135, SweepStudyConfig[StudyId], SweepStudyConfig[NFixedB])</f>
        <v>#VALUE!</v>
      </c>
      <c r="K135" s="3" t="e">
        <f>LOOKUP(C135, SweepStudyConfig[StudyId], SweepStudyConfig[SweepRateA])</f>
        <v>#VALUE!</v>
      </c>
      <c r="L135" s="3" t="e">
        <f>LOOKUP(C135, SweepStudyConfig[StudyId], SweepStudyConfig[SweepRateB])</f>
        <v>#VALUE!</v>
      </c>
      <c r="M135" s="3" t="e">
        <f>LOOKUP(C135, SweepStudyConfig[StudyId], SweepStudyConfig[FixedRateA])</f>
        <v>#VALUE!</v>
      </c>
      <c r="N135" s="3" t="e">
        <f>LOOKUP(C135, SweepStudyConfig[StudyId], SweepStudyConfig[FixedRateB])</f>
        <v>#VALUE!</v>
      </c>
      <c r="O135" s="3" t="e">
        <f>IF(G135 + I135 = 0, "", (G135 * K135 + I135 * M135) / (G135 + I135))</f>
        <v>#VALUE!</v>
      </c>
      <c r="P135" s="3" t="e">
        <f>IF(H135 + J135 = 0, "", (H135 * L135 + J135 * N135) / (H135 + J135))</f>
        <v>#VALUE!</v>
      </c>
      <c r="Q135" s="3" t="e">
        <f>IF(O135 = "", "", O135 - P135)</f>
        <v>#VALUE!</v>
      </c>
      <c r="R135" s="3" t="e">
        <f>LOOKUP(C135, SweepStudyConfig[StudyId], SweepStudyConfig[SweepCorrectedGap])</f>
        <v>#VALUE!</v>
      </c>
      <c r="S135" s="3" t="e">
        <f>IF(Q135 = "", "", Q135 - R135)</f>
        <v>#VALUE!</v>
      </c>
    </row>
    <row r="136">
      <c r="A136" s="2" t="s">
        <v>3424</v>
      </c>
      <c r="B136" s="3" t="str">
        <f>A136</f>
        <v>melanoma-altman-1991-f045</v>
      </c>
      <c r="C136" s="2" t="s">
        <v>475</v>
      </c>
      <c r="D136" s="2">
        <v>0.45</v>
      </c>
      <c r="E136" s="3" t="e">
        <f>ABS(D136 - LOOKUP(C136, SweepStudyConfig[StudyId], SweepStudyConfig[OriginalAllocFractionA])) &lt; 0.03</f>
        <v>#VALUE!</v>
      </c>
      <c r="F136" s="3" t="e">
        <f>LOOKUP(C136, SweepStudyConfig[StudyId], SweepStudyConfig[NSweepStratumTotal])</f>
        <v>#VALUE!</v>
      </c>
      <c r="G136" s="3" t="e">
        <f>ROUND(F136 * D136)</f>
        <v>#VALUE!</v>
      </c>
      <c r="H136" s="3" t="e">
        <f>F136 - G136</f>
        <v>#VALUE!</v>
      </c>
      <c r="I136" s="3" t="e">
        <f>LOOKUP(C136, SweepStudyConfig[StudyId], SweepStudyConfig[NFixedA])</f>
        <v>#VALUE!</v>
      </c>
      <c r="J136" s="3" t="e">
        <f>LOOKUP(C136, SweepStudyConfig[StudyId], SweepStudyConfig[NFixedB])</f>
        <v>#VALUE!</v>
      </c>
      <c r="K136" s="3" t="e">
        <f>LOOKUP(C136, SweepStudyConfig[StudyId], SweepStudyConfig[SweepRateA])</f>
        <v>#VALUE!</v>
      </c>
      <c r="L136" s="3" t="e">
        <f>LOOKUP(C136, SweepStudyConfig[StudyId], SweepStudyConfig[SweepRateB])</f>
        <v>#VALUE!</v>
      </c>
      <c r="M136" s="3" t="e">
        <f>LOOKUP(C136, SweepStudyConfig[StudyId], SweepStudyConfig[FixedRateA])</f>
        <v>#VALUE!</v>
      </c>
      <c r="N136" s="3" t="e">
        <f>LOOKUP(C136, SweepStudyConfig[StudyId], SweepStudyConfig[FixedRateB])</f>
        <v>#VALUE!</v>
      </c>
      <c r="O136" s="3" t="e">
        <f>IF(G136 + I136 = 0, "", (G136 * K136 + I136 * M136) / (G136 + I136))</f>
        <v>#VALUE!</v>
      </c>
      <c r="P136" s="3" t="e">
        <f>IF(H136 + J136 = 0, "", (H136 * L136 + J136 * N136) / (H136 + J136))</f>
        <v>#VALUE!</v>
      </c>
      <c r="Q136" s="3" t="e">
        <f>IF(O136 = "", "", O136 - P136)</f>
        <v>#VALUE!</v>
      </c>
      <c r="R136" s="3" t="e">
        <f>LOOKUP(C136, SweepStudyConfig[StudyId], SweepStudyConfig[SweepCorrectedGap])</f>
        <v>#VALUE!</v>
      </c>
      <c r="S136" s="3" t="e">
        <f>IF(Q136 = "", "", Q136 - R136)</f>
        <v>#VALUE!</v>
      </c>
    </row>
    <row r="137">
      <c r="A137" s="2" t="s">
        <v>3425</v>
      </c>
      <c r="B137" s="3" t="str">
        <f>A137</f>
        <v>melanoma-altman-1991-f055</v>
      </c>
      <c r="C137" s="2" t="s">
        <v>475</v>
      </c>
      <c r="D137" s="2">
        <v>0.55</v>
      </c>
      <c r="E137" s="3" t="e">
        <f>ABS(D137 - LOOKUP(C137, SweepStudyConfig[StudyId], SweepStudyConfig[OriginalAllocFractionA])) &lt; 0.03</f>
        <v>#VALUE!</v>
      </c>
      <c r="F137" s="3" t="e">
        <f>LOOKUP(C137, SweepStudyConfig[StudyId], SweepStudyConfig[NSweepStratumTotal])</f>
        <v>#VALUE!</v>
      </c>
      <c r="G137" s="3" t="e">
        <f>ROUND(F137 * D137)</f>
        <v>#VALUE!</v>
      </c>
      <c r="H137" s="3" t="e">
        <f>F137 - G137</f>
        <v>#VALUE!</v>
      </c>
      <c r="I137" s="3" t="e">
        <f>LOOKUP(C137, SweepStudyConfig[StudyId], SweepStudyConfig[NFixedA])</f>
        <v>#VALUE!</v>
      </c>
      <c r="J137" s="3" t="e">
        <f>LOOKUP(C137, SweepStudyConfig[StudyId], SweepStudyConfig[NFixedB])</f>
        <v>#VALUE!</v>
      </c>
      <c r="K137" s="3" t="e">
        <f>LOOKUP(C137, SweepStudyConfig[StudyId], SweepStudyConfig[SweepRateA])</f>
        <v>#VALUE!</v>
      </c>
      <c r="L137" s="3" t="e">
        <f>LOOKUP(C137, SweepStudyConfig[StudyId], SweepStudyConfig[SweepRateB])</f>
        <v>#VALUE!</v>
      </c>
      <c r="M137" s="3" t="e">
        <f>LOOKUP(C137, SweepStudyConfig[StudyId], SweepStudyConfig[FixedRateA])</f>
        <v>#VALUE!</v>
      </c>
      <c r="N137" s="3" t="e">
        <f>LOOKUP(C137, SweepStudyConfig[StudyId], SweepStudyConfig[FixedRateB])</f>
        <v>#VALUE!</v>
      </c>
      <c r="O137" s="3" t="e">
        <f>IF(G137 + I137 = 0, "", (G137 * K137 + I137 * M137) / (G137 + I137))</f>
        <v>#VALUE!</v>
      </c>
      <c r="P137" s="3" t="e">
        <f>IF(H137 + J137 = 0, "", (H137 * L137 + J137 * N137) / (H137 + J137))</f>
        <v>#VALUE!</v>
      </c>
      <c r="Q137" s="3" t="e">
        <f>IF(O137 = "", "", O137 - P137)</f>
        <v>#VALUE!</v>
      </c>
      <c r="R137" s="3" t="e">
        <f>LOOKUP(C137, SweepStudyConfig[StudyId], SweepStudyConfig[SweepCorrectedGap])</f>
        <v>#VALUE!</v>
      </c>
      <c r="S137" s="3" t="e">
        <f>IF(Q137 = "", "", Q137 - R137)</f>
        <v>#VALUE!</v>
      </c>
    </row>
    <row r="138">
      <c r="A138" s="2" t="s">
        <v>3426</v>
      </c>
      <c r="B138" s="3" t="str">
        <f>A138</f>
        <v>melanoma-altman-1991-f065</v>
      </c>
      <c r="C138" s="2" t="s">
        <v>475</v>
      </c>
      <c r="D138" s="2">
        <v>0.65</v>
      </c>
      <c r="E138" s="3" t="e">
        <f>ABS(D138 - LOOKUP(C138, SweepStudyConfig[StudyId], SweepStudyConfig[OriginalAllocFractionA])) &lt; 0.03</f>
        <v>#VALUE!</v>
      </c>
      <c r="F138" s="3" t="e">
        <f>LOOKUP(C138, SweepStudyConfig[StudyId], SweepStudyConfig[NSweepStratumTotal])</f>
        <v>#VALUE!</v>
      </c>
      <c r="G138" s="3" t="e">
        <f>ROUND(F138 * D138)</f>
        <v>#VALUE!</v>
      </c>
      <c r="H138" s="3" t="e">
        <f>F138 - G138</f>
        <v>#VALUE!</v>
      </c>
      <c r="I138" s="3" t="e">
        <f>LOOKUP(C138, SweepStudyConfig[StudyId], SweepStudyConfig[NFixedA])</f>
        <v>#VALUE!</v>
      </c>
      <c r="J138" s="3" t="e">
        <f>LOOKUP(C138, SweepStudyConfig[StudyId], SweepStudyConfig[NFixedB])</f>
        <v>#VALUE!</v>
      </c>
      <c r="K138" s="3" t="e">
        <f>LOOKUP(C138, SweepStudyConfig[StudyId], SweepStudyConfig[SweepRateA])</f>
        <v>#VALUE!</v>
      </c>
      <c r="L138" s="3" t="e">
        <f>LOOKUP(C138, SweepStudyConfig[StudyId], SweepStudyConfig[SweepRateB])</f>
        <v>#VALUE!</v>
      </c>
      <c r="M138" s="3" t="e">
        <f>LOOKUP(C138, SweepStudyConfig[StudyId], SweepStudyConfig[FixedRateA])</f>
        <v>#VALUE!</v>
      </c>
      <c r="N138" s="3" t="e">
        <f>LOOKUP(C138, SweepStudyConfig[StudyId], SweepStudyConfig[FixedRateB])</f>
        <v>#VALUE!</v>
      </c>
      <c r="O138" s="3" t="e">
        <f>IF(G138 + I138 = 0, "", (G138 * K138 + I138 * M138) / (G138 + I138))</f>
        <v>#VALUE!</v>
      </c>
      <c r="P138" s="3" t="e">
        <f>IF(H138 + J138 = 0, "", (H138 * L138 + J138 * N138) / (H138 + J138))</f>
        <v>#VALUE!</v>
      </c>
      <c r="Q138" s="3" t="e">
        <f>IF(O138 = "", "", O138 - P138)</f>
        <v>#VALUE!</v>
      </c>
      <c r="R138" s="3" t="e">
        <f>LOOKUP(C138, SweepStudyConfig[StudyId], SweepStudyConfig[SweepCorrectedGap])</f>
        <v>#VALUE!</v>
      </c>
      <c r="S138" s="3" t="e">
        <f>IF(Q138 = "", "", Q138 - R138)</f>
        <v>#VALUE!</v>
      </c>
    </row>
    <row r="139">
      <c r="A139" s="2" t="s">
        <v>3427</v>
      </c>
      <c r="B139" s="3" t="str">
        <f>A139</f>
        <v>melanoma-altman-1991-f075</v>
      </c>
      <c r="C139" s="2" t="s">
        <v>475</v>
      </c>
      <c r="D139" s="2">
        <v>0.75</v>
      </c>
      <c r="E139" s="3" t="e">
        <f>ABS(D139 - LOOKUP(C139, SweepStudyConfig[StudyId], SweepStudyConfig[OriginalAllocFractionA])) &lt; 0.03</f>
        <v>#VALUE!</v>
      </c>
      <c r="F139" s="3" t="e">
        <f>LOOKUP(C139, SweepStudyConfig[StudyId], SweepStudyConfig[NSweepStratumTotal])</f>
        <v>#VALUE!</v>
      </c>
      <c r="G139" s="3" t="e">
        <f>ROUND(F139 * D139)</f>
        <v>#VALUE!</v>
      </c>
      <c r="H139" s="3" t="e">
        <f>F139 - G139</f>
        <v>#VALUE!</v>
      </c>
      <c r="I139" s="3" t="e">
        <f>LOOKUP(C139, SweepStudyConfig[StudyId], SweepStudyConfig[NFixedA])</f>
        <v>#VALUE!</v>
      </c>
      <c r="J139" s="3" t="e">
        <f>LOOKUP(C139, SweepStudyConfig[StudyId], SweepStudyConfig[NFixedB])</f>
        <v>#VALUE!</v>
      </c>
      <c r="K139" s="3" t="e">
        <f>LOOKUP(C139, SweepStudyConfig[StudyId], SweepStudyConfig[SweepRateA])</f>
        <v>#VALUE!</v>
      </c>
      <c r="L139" s="3" t="e">
        <f>LOOKUP(C139, SweepStudyConfig[StudyId], SweepStudyConfig[SweepRateB])</f>
        <v>#VALUE!</v>
      </c>
      <c r="M139" s="3" t="e">
        <f>LOOKUP(C139, SweepStudyConfig[StudyId], SweepStudyConfig[FixedRateA])</f>
        <v>#VALUE!</v>
      </c>
      <c r="N139" s="3" t="e">
        <f>LOOKUP(C139, SweepStudyConfig[StudyId], SweepStudyConfig[FixedRateB])</f>
        <v>#VALUE!</v>
      </c>
      <c r="O139" s="3" t="e">
        <f>IF(G139 + I139 = 0, "", (G139 * K139 + I139 * M139) / (G139 + I139))</f>
        <v>#VALUE!</v>
      </c>
      <c r="P139" s="3" t="e">
        <f>IF(H139 + J139 = 0, "", (H139 * L139 + J139 * N139) / (H139 + J139))</f>
        <v>#VALUE!</v>
      </c>
      <c r="Q139" s="3" t="e">
        <f>IF(O139 = "", "", O139 - P139)</f>
        <v>#VALUE!</v>
      </c>
      <c r="R139" s="3" t="e">
        <f>LOOKUP(C139, SweepStudyConfig[StudyId], SweepStudyConfig[SweepCorrectedGap])</f>
        <v>#VALUE!</v>
      </c>
      <c r="S139" s="3" t="e">
        <f>IF(Q139 = "", "", Q139 - R139)</f>
        <v>#VALUE!</v>
      </c>
    </row>
    <row r="140">
      <c r="A140" s="2" t="s">
        <v>3428</v>
      </c>
      <c r="B140" s="3" t="str">
        <f>A140</f>
        <v>melanoma-altman-1991-f085</v>
      </c>
      <c r="C140" s="2" t="s">
        <v>475</v>
      </c>
      <c r="D140" s="2">
        <v>0.85</v>
      </c>
      <c r="E140" s="3" t="e">
        <f>ABS(D140 - LOOKUP(C140, SweepStudyConfig[StudyId], SweepStudyConfig[OriginalAllocFractionA])) &lt; 0.03</f>
        <v>#VALUE!</v>
      </c>
      <c r="F140" s="3" t="e">
        <f>LOOKUP(C140, SweepStudyConfig[StudyId], SweepStudyConfig[NSweepStratumTotal])</f>
        <v>#VALUE!</v>
      </c>
      <c r="G140" s="3" t="e">
        <f>ROUND(F140 * D140)</f>
        <v>#VALUE!</v>
      </c>
      <c r="H140" s="3" t="e">
        <f>F140 - G140</f>
        <v>#VALUE!</v>
      </c>
      <c r="I140" s="3" t="e">
        <f>LOOKUP(C140, SweepStudyConfig[StudyId], SweepStudyConfig[NFixedA])</f>
        <v>#VALUE!</v>
      </c>
      <c r="J140" s="3" t="e">
        <f>LOOKUP(C140, SweepStudyConfig[StudyId], SweepStudyConfig[NFixedB])</f>
        <v>#VALUE!</v>
      </c>
      <c r="K140" s="3" t="e">
        <f>LOOKUP(C140, SweepStudyConfig[StudyId], SweepStudyConfig[SweepRateA])</f>
        <v>#VALUE!</v>
      </c>
      <c r="L140" s="3" t="e">
        <f>LOOKUP(C140, SweepStudyConfig[StudyId], SweepStudyConfig[SweepRateB])</f>
        <v>#VALUE!</v>
      </c>
      <c r="M140" s="3" t="e">
        <f>LOOKUP(C140, SweepStudyConfig[StudyId], SweepStudyConfig[FixedRateA])</f>
        <v>#VALUE!</v>
      </c>
      <c r="N140" s="3" t="e">
        <f>LOOKUP(C140, SweepStudyConfig[StudyId], SweepStudyConfig[FixedRateB])</f>
        <v>#VALUE!</v>
      </c>
      <c r="O140" s="3" t="e">
        <f>IF(G140 + I140 = 0, "", (G140 * K140 + I140 * M140) / (G140 + I140))</f>
        <v>#VALUE!</v>
      </c>
      <c r="P140" s="3" t="e">
        <f>IF(H140 + J140 = 0, "", (H140 * L140 + J140 * N140) / (H140 + J140))</f>
        <v>#VALUE!</v>
      </c>
      <c r="Q140" s="3" t="e">
        <f>IF(O140 = "", "", O140 - P140)</f>
        <v>#VALUE!</v>
      </c>
      <c r="R140" s="3" t="e">
        <f>LOOKUP(C140, SweepStudyConfig[StudyId], SweepStudyConfig[SweepCorrectedGap])</f>
        <v>#VALUE!</v>
      </c>
      <c r="S140" s="3" t="e">
        <f>IF(Q140 = "", "", Q140 - R140)</f>
        <v>#VALUE!</v>
      </c>
    </row>
    <row r="141">
      <c r="A141" s="2" t="s">
        <v>3429</v>
      </c>
      <c r="B141" s="3" t="str">
        <f>A141</f>
        <v>melanoma-altman-1991-f095</v>
      </c>
      <c r="C141" s="2" t="s">
        <v>475</v>
      </c>
      <c r="D141" s="2">
        <v>0.95</v>
      </c>
      <c r="E141" s="3" t="e">
        <f>ABS(D141 - LOOKUP(C141, SweepStudyConfig[StudyId], SweepStudyConfig[OriginalAllocFractionA])) &lt; 0.03</f>
        <v>#VALUE!</v>
      </c>
      <c r="F141" s="3" t="e">
        <f>LOOKUP(C141, SweepStudyConfig[StudyId], SweepStudyConfig[NSweepStratumTotal])</f>
        <v>#VALUE!</v>
      </c>
      <c r="G141" s="3" t="e">
        <f>ROUND(F141 * D141)</f>
        <v>#VALUE!</v>
      </c>
      <c r="H141" s="3" t="e">
        <f>F141 - G141</f>
        <v>#VALUE!</v>
      </c>
      <c r="I141" s="3" t="e">
        <f>LOOKUP(C141, SweepStudyConfig[StudyId], SweepStudyConfig[NFixedA])</f>
        <v>#VALUE!</v>
      </c>
      <c r="J141" s="3" t="e">
        <f>LOOKUP(C141, SweepStudyConfig[StudyId], SweepStudyConfig[NFixedB])</f>
        <v>#VALUE!</v>
      </c>
      <c r="K141" s="3" t="e">
        <f>LOOKUP(C141, SweepStudyConfig[StudyId], SweepStudyConfig[SweepRateA])</f>
        <v>#VALUE!</v>
      </c>
      <c r="L141" s="3" t="e">
        <f>LOOKUP(C141, SweepStudyConfig[StudyId], SweepStudyConfig[SweepRateB])</f>
        <v>#VALUE!</v>
      </c>
      <c r="M141" s="3" t="e">
        <f>LOOKUP(C141, SweepStudyConfig[StudyId], SweepStudyConfig[FixedRateA])</f>
        <v>#VALUE!</v>
      </c>
      <c r="N141" s="3" t="e">
        <f>LOOKUP(C141, SweepStudyConfig[StudyId], SweepStudyConfig[FixedRateB])</f>
        <v>#VALUE!</v>
      </c>
      <c r="O141" s="3" t="e">
        <f>IF(G141 + I141 = 0, "", (G141 * K141 + I141 * M141) / (G141 + I141))</f>
        <v>#VALUE!</v>
      </c>
      <c r="P141" s="3" t="e">
        <f>IF(H141 + J141 = 0, "", (H141 * L141 + J141 * N141) / (H141 + J141))</f>
        <v>#VALUE!</v>
      </c>
      <c r="Q141" s="3" t="e">
        <f>IF(O141 = "", "", O141 - P141)</f>
        <v>#VALUE!</v>
      </c>
      <c r="R141" s="3" t="e">
        <f>LOOKUP(C141, SweepStudyConfig[StudyId], SweepStudyConfig[SweepCorrectedGap])</f>
        <v>#VALUE!</v>
      </c>
      <c r="S141" s="3" t="e">
        <f>IF(Q141 = "", "", Q141 - R141)</f>
        <v>#VALUE!</v>
      </c>
    </row>
    <row r="142">
      <c r="A142" s="2" t="s">
        <v>3430</v>
      </c>
      <c r="B142" s="3" t="str">
        <f>A142</f>
        <v>coffee-tverdal-2020-f005</v>
      </c>
      <c r="C142" s="2" t="s">
        <v>479</v>
      </c>
      <c r="D142" s="2">
        <v>0.05</v>
      </c>
      <c r="E142" s="3" t="e">
        <f>ABS(D142 - LOOKUP(C142, SweepStudyConfig[StudyId], SweepStudyConfig[OriginalAllocFractionA])) &lt; 0.03</f>
        <v>#VALUE!</v>
      </c>
      <c r="F142" s="3" t="e">
        <f>LOOKUP(C142, SweepStudyConfig[StudyId], SweepStudyConfig[NSweepStratumTotal])</f>
        <v>#VALUE!</v>
      </c>
      <c r="G142" s="3" t="e">
        <f>ROUND(F142 * D142)</f>
        <v>#VALUE!</v>
      </c>
      <c r="H142" s="3" t="e">
        <f>F142 - G142</f>
        <v>#VALUE!</v>
      </c>
      <c r="I142" s="3" t="e">
        <f>LOOKUP(C142, SweepStudyConfig[StudyId], SweepStudyConfig[NFixedA])</f>
        <v>#VALUE!</v>
      </c>
      <c r="J142" s="3" t="e">
        <f>LOOKUP(C142, SweepStudyConfig[StudyId], SweepStudyConfig[NFixedB])</f>
        <v>#VALUE!</v>
      </c>
      <c r="K142" s="3" t="e">
        <f>LOOKUP(C142, SweepStudyConfig[StudyId], SweepStudyConfig[SweepRateA])</f>
        <v>#VALUE!</v>
      </c>
      <c r="L142" s="3" t="e">
        <f>LOOKUP(C142, SweepStudyConfig[StudyId], SweepStudyConfig[SweepRateB])</f>
        <v>#VALUE!</v>
      </c>
      <c r="M142" s="3" t="e">
        <f>LOOKUP(C142, SweepStudyConfig[StudyId], SweepStudyConfig[FixedRateA])</f>
        <v>#VALUE!</v>
      </c>
      <c r="N142" s="3" t="e">
        <f>LOOKUP(C142, SweepStudyConfig[StudyId], SweepStudyConfig[FixedRateB])</f>
        <v>#VALUE!</v>
      </c>
      <c r="O142" s="3" t="e">
        <f>IF(G142 + I142 = 0, "", (G142 * K142 + I142 * M142) / (G142 + I142))</f>
        <v>#VALUE!</v>
      </c>
      <c r="P142" s="3" t="e">
        <f>IF(H142 + J142 = 0, "", (H142 * L142 + J142 * N142) / (H142 + J142))</f>
        <v>#VALUE!</v>
      </c>
      <c r="Q142" s="3" t="e">
        <f>IF(O142 = "", "", O142 - P142)</f>
        <v>#VALUE!</v>
      </c>
      <c r="R142" s="3" t="e">
        <f>LOOKUP(C142, SweepStudyConfig[StudyId], SweepStudyConfig[SweepCorrectedGap])</f>
        <v>#VALUE!</v>
      </c>
      <c r="S142" s="3" t="e">
        <f>IF(Q142 = "", "", Q142 - R142)</f>
        <v>#VALUE!</v>
      </c>
    </row>
    <row r="143">
      <c r="A143" s="2" t="s">
        <v>3431</v>
      </c>
      <c r="B143" s="3" t="str">
        <f>A143</f>
        <v>coffee-tverdal-2020-f015</v>
      </c>
      <c r="C143" s="2" t="s">
        <v>479</v>
      </c>
      <c r="D143" s="2">
        <v>0.15</v>
      </c>
      <c r="E143" s="3" t="e">
        <f>ABS(D143 - LOOKUP(C143, SweepStudyConfig[StudyId], SweepStudyConfig[OriginalAllocFractionA])) &lt; 0.03</f>
        <v>#VALUE!</v>
      </c>
      <c r="F143" s="3" t="e">
        <f>LOOKUP(C143, SweepStudyConfig[StudyId], SweepStudyConfig[NSweepStratumTotal])</f>
        <v>#VALUE!</v>
      </c>
      <c r="G143" s="3" t="e">
        <f>ROUND(F143 * D143)</f>
        <v>#VALUE!</v>
      </c>
      <c r="H143" s="3" t="e">
        <f>F143 - G143</f>
        <v>#VALUE!</v>
      </c>
      <c r="I143" s="3" t="e">
        <f>LOOKUP(C143, SweepStudyConfig[StudyId], SweepStudyConfig[NFixedA])</f>
        <v>#VALUE!</v>
      </c>
      <c r="J143" s="3" t="e">
        <f>LOOKUP(C143, SweepStudyConfig[StudyId], SweepStudyConfig[NFixedB])</f>
        <v>#VALUE!</v>
      </c>
      <c r="K143" s="3" t="e">
        <f>LOOKUP(C143, SweepStudyConfig[StudyId], SweepStudyConfig[SweepRateA])</f>
        <v>#VALUE!</v>
      </c>
      <c r="L143" s="3" t="e">
        <f>LOOKUP(C143, SweepStudyConfig[StudyId], SweepStudyConfig[SweepRateB])</f>
        <v>#VALUE!</v>
      </c>
      <c r="M143" s="3" t="e">
        <f>LOOKUP(C143, SweepStudyConfig[StudyId], SweepStudyConfig[FixedRateA])</f>
        <v>#VALUE!</v>
      </c>
      <c r="N143" s="3" t="e">
        <f>LOOKUP(C143, SweepStudyConfig[StudyId], SweepStudyConfig[FixedRateB])</f>
        <v>#VALUE!</v>
      </c>
      <c r="O143" s="3" t="e">
        <f>IF(G143 + I143 = 0, "", (G143 * K143 + I143 * M143) / (G143 + I143))</f>
        <v>#VALUE!</v>
      </c>
      <c r="P143" s="3" t="e">
        <f>IF(H143 + J143 = 0, "", (H143 * L143 + J143 * N143) / (H143 + J143))</f>
        <v>#VALUE!</v>
      </c>
      <c r="Q143" s="3" t="e">
        <f>IF(O143 = "", "", O143 - P143)</f>
        <v>#VALUE!</v>
      </c>
      <c r="R143" s="3" t="e">
        <f>LOOKUP(C143, SweepStudyConfig[StudyId], SweepStudyConfig[SweepCorrectedGap])</f>
        <v>#VALUE!</v>
      </c>
      <c r="S143" s="3" t="e">
        <f>IF(Q143 = "", "", Q143 - R143)</f>
        <v>#VALUE!</v>
      </c>
    </row>
    <row r="144">
      <c r="A144" s="2" t="s">
        <v>3432</v>
      </c>
      <c r="B144" s="3" t="str">
        <f>A144</f>
        <v>coffee-tverdal-2020-f025</v>
      </c>
      <c r="C144" s="2" t="s">
        <v>479</v>
      </c>
      <c r="D144" s="2">
        <v>0.25</v>
      </c>
      <c r="E144" s="3" t="e">
        <f>ABS(D144 - LOOKUP(C144, SweepStudyConfig[StudyId], SweepStudyConfig[OriginalAllocFractionA])) &lt; 0.03</f>
        <v>#VALUE!</v>
      </c>
      <c r="F144" s="3" t="e">
        <f>LOOKUP(C144, SweepStudyConfig[StudyId], SweepStudyConfig[NSweepStratumTotal])</f>
        <v>#VALUE!</v>
      </c>
      <c r="G144" s="3" t="e">
        <f>ROUND(F144 * D144)</f>
        <v>#VALUE!</v>
      </c>
      <c r="H144" s="3" t="e">
        <f>F144 - G144</f>
        <v>#VALUE!</v>
      </c>
      <c r="I144" s="3" t="e">
        <f>LOOKUP(C144, SweepStudyConfig[StudyId], SweepStudyConfig[NFixedA])</f>
        <v>#VALUE!</v>
      </c>
      <c r="J144" s="3" t="e">
        <f>LOOKUP(C144, SweepStudyConfig[StudyId], SweepStudyConfig[NFixedB])</f>
        <v>#VALUE!</v>
      </c>
      <c r="K144" s="3" t="e">
        <f>LOOKUP(C144, SweepStudyConfig[StudyId], SweepStudyConfig[SweepRateA])</f>
        <v>#VALUE!</v>
      </c>
      <c r="L144" s="3" t="e">
        <f>LOOKUP(C144, SweepStudyConfig[StudyId], SweepStudyConfig[SweepRateB])</f>
        <v>#VALUE!</v>
      </c>
      <c r="M144" s="3" t="e">
        <f>LOOKUP(C144, SweepStudyConfig[StudyId], SweepStudyConfig[FixedRateA])</f>
        <v>#VALUE!</v>
      </c>
      <c r="N144" s="3" t="e">
        <f>LOOKUP(C144, SweepStudyConfig[StudyId], SweepStudyConfig[FixedRateB])</f>
        <v>#VALUE!</v>
      </c>
      <c r="O144" s="3" t="e">
        <f>IF(G144 + I144 = 0, "", (G144 * K144 + I144 * M144) / (G144 + I144))</f>
        <v>#VALUE!</v>
      </c>
      <c r="P144" s="3" t="e">
        <f>IF(H144 + J144 = 0, "", (H144 * L144 + J144 * N144) / (H144 + J144))</f>
        <v>#VALUE!</v>
      </c>
      <c r="Q144" s="3" t="e">
        <f>IF(O144 = "", "", O144 - P144)</f>
        <v>#VALUE!</v>
      </c>
      <c r="R144" s="3" t="e">
        <f>LOOKUP(C144, SweepStudyConfig[StudyId], SweepStudyConfig[SweepCorrectedGap])</f>
        <v>#VALUE!</v>
      </c>
      <c r="S144" s="3" t="e">
        <f>IF(Q144 = "", "", Q144 - R144)</f>
        <v>#VALUE!</v>
      </c>
    </row>
    <row r="145">
      <c r="A145" s="2" t="s">
        <v>3433</v>
      </c>
      <c r="B145" s="3" t="str">
        <f>A145</f>
        <v>coffee-tverdal-2020-f035</v>
      </c>
      <c r="C145" s="2" t="s">
        <v>479</v>
      </c>
      <c r="D145" s="2">
        <v>0.35</v>
      </c>
      <c r="E145" s="3" t="e">
        <f>ABS(D145 - LOOKUP(C145, SweepStudyConfig[StudyId], SweepStudyConfig[OriginalAllocFractionA])) &lt; 0.03</f>
        <v>#VALUE!</v>
      </c>
      <c r="F145" s="3" t="e">
        <f>LOOKUP(C145, SweepStudyConfig[StudyId], SweepStudyConfig[NSweepStratumTotal])</f>
        <v>#VALUE!</v>
      </c>
      <c r="G145" s="3" t="e">
        <f>ROUND(F145 * D145)</f>
        <v>#VALUE!</v>
      </c>
      <c r="H145" s="3" t="e">
        <f>F145 - G145</f>
        <v>#VALUE!</v>
      </c>
      <c r="I145" s="3" t="e">
        <f>LOOKUP(C145, SweepStudyConfig[StudyId], SweepStudyConfig[NFixedA])</f>
        <v>#VALUE!</v>
      </c>
      <c r="J145" s="3" t="e">
        <f>LOOKUP(C145, SweepStudyConfig[StudyId], SweepStudyConfig[NFixedB])</f>
        <v>#VALUE!</v>
      </c>
      <c r="K145" s="3" t="e">
        <f>LOOKUP(C145, SweepStudyConfig[StudyId], SweepStudyConfig[SweepRateA])</f>
        <v>#VALUE!</v>
      </c>
      <c r="L145" s="3" t="e">
        <f>LOOKUP(C145, SweepStudyConfig[StudyId], SweepStudyConfig[SweepRateB])</f>
        <v>#VALUE!</v>
      </c>
      <c r="M145" s="3" t="e">
        <f>LOOKUP(C145, SweepStudyConfig[StudyId], SweepStudyConfig[FixedRateA])</f>
        <v>#VALUE!</v>
      </c>
      <c r="N145" s="3" t="e">
        <f>LOOKUP(C145, SweepStudyConfig[StudyId], SweepStudyConfig[FixedRateB])</f>
        <v>#VALUE!</v>
      </c>
      <c r="O145" s="3" t="e">
        <f>IF(G145 + I145 = 0, "", (G145 * K145 + I145 * M145) / (G145 + I145))</f>
        <v>#VALUE!</v>
      </c>
      <c r="P145" s="3" t="e">
        <f>IF(H145 + J145 = 0, "", (H145 * L145 + J145 * N145) / (H145 + J145))</f>
        <v>#VALUE!</v>
      </c>
      <c r="Q145" s="3" t="e">
        <f>IF(O145 = "", "", O145 - P145)</f>
        <v>#VALUE!</v>
      </c>
      <c r="R145" s="3" t="e">
        <f>LOOKUP(C145, SweepStudyConfig[StudyId], SweepStudyConfig[SweepCorrectedGap])</f>
        <v>#VALUE!</v>
      </c>
      <c r="S145" s="3" t="e">
        <f>IF(Q145 = "", "", Q145 - R145)</f>
        <v>#VALUE!</v>
      </c>
    </row>
    <row r="146">
      <c r="A146" s="2" t="s">
        <v>3434</v>
      </c>
      <c r="B146" s="3" t="str">
        <f>A146</f>
        <v>coffee-tverdal-2020-f045</v>
      </c>
      <c r="C146" s="2" t="s">
        <v>479</v>
      </c>
      <c r="D146" s="2">
        <v>0.45</v>
      </c>
      <c r="E146" s="3" t="e">
        <f>ABS(D146 - LOOKUP(C146, SweepStudyConfig[StudyId], SweepStudyConfig[OriginalAllocFractionA])) &lt; 0.03</f>
        <v>#VALUE!</v>
      </c>
      <c r="F146" s="3" t="e">
        <f>LOOKUP(C146, SweepStudyConfig[StudyId], SweepStudyConfig[NSweepStratumTotal])</f>
        <v>#VALUE!</v>
      </c>
      <c r="G146" s="3" t="e">
        <f>ROUND(F146 * D146)</f>
        <v>#VALUE!</v>
      </c>
      <c r="H146" s="3" t="e">
        <f>F146 - G146</f>
        <v>#VALUE!</v>
      </c>
      <c r="I146" s="3" t="e">
        <f>LOOKUP(C146, SweepStudyConfig[StudyId], SweepStudyConfig[NFixedA])</f>
        <v>#VALUE!</v>
      </c>
      <c r="J146" s="3" t="e">
        <f>LOOKUP(C146, SweepStudyConfig[StudyId], SweepStudyConfig[NFixedB])</f>
        <v>#VALUE!</v>
      </c>
      <c r="K146" s="3" t="e">
        <f>LOOKUP(C146, SweepStudyConfig[StudyId], SweepStudyConfig[SweepRateA])</f>
        <v>#VALUE!</v>
      </c>
      <c r="L146" s="3" t="e">
        <f>LOOKUP(C146, SweepStudyConfig[StudyId], SweepStudyConfig[SweepRateB])</f>
        <v>#VALUE!</v>
      </c>
      <c r="M146" s="3" t="e">
        <f>LOOKUP(C146, SweepStudyConfig[StudyId], SweepStudyConfig[FixedRateA])</f>
        <v>#VALUE!</v>
      </c>
      <c r="N146" s="3" t="e">
        <f>LOOKUP(C146, SweepStudyConfig[StudyId], SweepStudyConfig[FixedRateB])</f>
        <v>#VALUE!</v>
      </c>
      <c r="O146" s="3" t="e">
        <f>IF(G146 + I146 = 0, "", (G146 * K146 + I146 * M146) / (G146 + I146))</f>
        <v>#VALUE!</v>
      </c>
      <c r="P146" s="3" t="e">
        <f>IF(H146 + J146 = 0, "", (H146 * L146 + J146 * N146) / (H146 + J146))</f>
        <v>#VALUE!</v>
      </c>
      <c r="Q146" s="3" t="e">
        <f>IF(O146 = "", "", O146 - P146)</f>
        <v>#VALUE!</v>
      </c>
      <c r="R146" s="3" t="e">
        <f>LOOKUP(C146, SweepStudyConfig[StudyId], SweepStudyConfig[SweepCorrectedGap])</f>
        <v>#VALUE!</v>
      </c>
      <c r="S146" s="3" t="e">
        <f>IF(Q146 = "", "", Q146 - R146)</f>
        <v>#VALUE!</v>
      </c>
    </row>
    <row r="147">
      <c r="A147" s="2" t="s">
        <v>3435</v>
      </c>
      <c r="B147" s="3" t="str">
        <f>A147</f>
        <v>coffee-tverdal-2020-f055</v>
      </c>
      <c r="C147" s="2" t="s">
        <v>479</v>
      </c>
      <c r="D147" s="2">
        <v>0.55</v>
      </c>
      <c r="E147" s="3" t="e">
        <f>ABS(D147 - LOOKUP(C147, SweepStudyConfig[StudyId], SweepStudyConfig[OriginalAllocFractionA])) &lt; 0.03</f>
        <v>#VALUE!</v>
      </c>
      <c r="F147" s="3" t="e">
        <f>LOOKUP(C147, SweepStudyConfig[StudyId], SweepStudyConfig[NSweepStratumTotal])</f>
        <v>#VALUE!</v>
      </c>
      <c r="G147" s="3" t="e">
        <f>ROUND(F147 * D147)</f>
        <v>#VALUE!</v>
      </c>
      <c r="H147" s="3" t="e">
        <f>F147 - G147</f>
        <v>#VALUE!</v>
      </c>
      <c r="I147" s="3" t="e">
        <f>LOOKUP(C147, SweepStudyConfig[StudyId], SweepStudyConfig[NFixedA])</f>
        <v>#VALUE!</v>
      </c>
      <c r="J147" s="3" t="e">
        <f>LOOKUP(C147, SweepStudyConfig[StudyId], SweepStudyConfig[NFixedB])</f>
        <v>#VALUE!</v>
      </c>
      <c r="K147" s="3" t="e">
        <f>LOOKUP(C147, SweepStudyConfig[StudyId], SweepStudyConfig[SweepRateA])</f>
        <v>#VALUE!</v>
      </c>
      <c r="L147" s="3" t="e">
        <f>LOOKUP(C147, SweepStudyConfig[StudyId], SweepStudyConfig[SweepRateB])</f>
        <v>#VALUE!</v>
      </c>
      <c r="M147" s="3" t="e">
        <f>LOOKUP(C147, SweepStudyConfig[StudyId], SweepStudyConfig[FixedRateA])</f>
        <v>#VALUE!</v>
      </c>
      <c r="N147" s="3" t="e">
        <f>LOOKUP(C147, SweepStudyConfig[StudyId], SweepStudyConfig[FixedRateB])</f>
        <v>#VALUE!</v>
      </c>
      <c r="O147" s="3" t="e">
        <f>IF(G147 + I147 = 0, "", (G147 * K147 + I147 * M147) / (G147 + I147))</f>
        <v>#VALUE!</v>
      </c>
      <c r="P147" s="3" t="e">
        <f>IF(H147 + J147 = 0, "", (H147 * L147 + J147 * N147) / (H147 + J147))</f>
        <v>#VALUE!</v>
      </c>
      <c r="Q147" s="3" t="e">
        <f>IF(O147 = "", "", O147 - P147)</f>
        <v>#VALUE!</v>
      </c>
      <c r="R147" s="3" t="e">
        <f>LOOKUP(C147, SweepStudyConfig[StudyId], SweepStudyConfig[SweepCorrectedGap])</f>
        <v>#VALUE!</v>
      </c>
      <c r="S147" s="3" t="e">
        <f>IF(Q147 = "", "", Q147 - R147)</f>
        <v>#VALUE!</v>
      </c>
    </row>
    <row r="148">
      <c r="A148" s="2" t="s">
        <v>3436</v>
      </c>
      <c r="B148" s="3" t="str">
        <f>A148</f>
        <v>coffee-tverdal-2020-f065</v>
      </c>
      <c r="C148" s="2" t="s">
        <v>479</v>
      </c>
      <c r="D148" s="2">
        <v>0.65</v>
      </c>
      <c r="E148" s="3" t="e">
        <f>ABS(D148 - LOOKUP(C148, SweepStudyConfig[StudyId], SweepStudyConfig[OriginalAllocFractionA])) &lt; 0.03</f>
        <v>#VALUE!</v>
      </c>
      <c r="F148" s="3" t="e">
        <f>LOOKUP(C148, SweepStudyConfig[StudyId], SweepStudyConfig[NSweepStratumTotal])</f>
        <v>#VALUE!</v>
      </c>
      <c r="G148" s="3" t="e">
        <f>ROUND(F148 * D148)</f>
        <v>#VALUE!</v>
      </c>
      <c r="H148" s="3" t="e">
        <f>F148 - G148</f>
        <v>#VALUE!</v>
      </c>
      <c r="I148" s="3" t="e">
        <f>LOOKUP(C148, SweepStudyConfig[StudyId], SweepStudyConfig[NFixedA])</f>
        <v>#VALUE!</v>
      </c>
      <c r="J148" s="3" t="e">
        <f>LOOKUP(C148, SweepStudyConfig[StudyId], SweepStudyConfig[NFixedB])</f>
        <v>#VALUE!</v>
      </c>
      <c r="K148" s="3" t="e">
        <f>LOOKUP(C148, SweepStudyConfig[StudyId], SweepStudyConfig[SweepRateA])</f>
        <v>#VALUE!</v>
      </c>
      <c r="L148" s="3" t="e">
        <f>LOOKUP(C148, SweepStudyConfig[StudyId], SweepStudyConfig[SweepRateB])</f>
        <v>#VALUE!</v>
      </c>
      <c r="M148" s="3" t="e">
        <f>LOOKUP(C148, SweepStudyConfig[StudyId], SweepStudyConfig[FixedRateA])</f>
        <v>#VALUE!</v>
      </c>
      <c r="N148" s="3" t="e">
        <f>LOOKUP(C148, SweepStudyConfig[StudyId], SweepStudyConfig[FixedRateB])</f>
        <v>#VALUE!</v>
      </c>
      <c r="O148" s="3" t="e">
        <f>IF(G148 + I148 = 0, "", (G148 * K148 + I148 * M148) / (G148 + I148))</f>
        <v>#VALUE!</v>
      </c>
      <c r="P148" s="3" t="e">
        <f>IF(H148 + J148 = 0, "", (H148 * L148 + J148 * N148) / (H148 + J148))</f>
        <v>#VALUE!</v>
      </c>
      <c r="Q148" s="3" t="e">
        <f>IF(O148 = "", "", O148 - P148)</f>
        <v>#VALUE!</v>
      </c>
      <c r="R148" s="3" t="e">
        <f>LOOKUP(C148, SweepStudyConfig[StudyId], SweepStudyConfig[SweepCorrectedGap])</f>
        <v>#VALUE!</v>
      </c>
      <c r="S148" s="3" t="e">
        <f>IF(Q148 = "", "", Q148 - R148)</f>
        <v>#VALUE!</v>
      </c>
    </row>
    <row r="149">
      <c r="A149" s="2" t="s">
        <v>3437</v>
      </c>
      <c r="B149" s="3" t="str">
        <f>A149</f>
        <v>coffee-tverdal-2020-f075</v>
      </c>
      <c r="C149" s="2" t="s">
        <v>479</v>
      </c>
      <c r="D149" s="2">
        <v>0.75</v>
      </c>
      <c r="E149" s="3" t="e">
        <f>ABS(D149 - LOOKUP(C149, SweepStudyConfig[StudyId], SweepStudyConfig[OriginalAllocFractionA])) &lt; 0.03</f>
        <v>#VALUE!</v>
      </c>
      <c r="F149" s="3" t="e">
        <f>LOOKUP(C149, SweepStudyConfig[StudyId], SweepStudyConfig[NSweepStratumTotal])</f>
        <v>#VALUE!</v>
      </c>
      <c r="G149" s="3" t="e">
        <f>ROUND(F149 * D149)</f>
        <v>#VALUE!</v>
      </c>
      <c r="H149" s="3" t="e">
        <f>F149 - G149</f>
        <v>#VALUE!</v>
      </c>
      <c r="I149" s="3" t="e">
        <f>LOOKUP(C149, SweepStudyConfig[StudyId], SweepStudyConfig[NFixedA])</f>
        <v>#VALUE!</v>
      </c>
      <c r="J149" s="3" t="e">
        <f>LOOKUP(C149, SweepStudyConfig[StudyId], SweepStudyConfig[NFixedB])</f>
        <v>#VALUE!</v>
      </c>
      <c r="K149" s="3" t="e">
        <f>LOOKUP(C149, SweepStudyConfig[StudyId], SweepStudyConfig[SweepRateA])</f>
        <v>#VALUE!</v>
      </c>
      <c r="L149" s="3" t="e">
        <f>LOOKUP(C149, SweepStudyConfig[StudyId], SweepStudyConfig[SweepRateB])</f>
        <v>#VALUE!</v>
      </c>
      <c r="M149" s="3" t="e">
        <f>LOOKUP(C149, SweepStudyConfig[StudyId], SweepStudyConfig[FixedRateA])</f>
        <v>#VALUE!</v>
      </c>
      <c r="N149" s="3" t="e">
        <f>LOOKUP(C149, SweepStudyConfig[StudyId], SweepStudyConfig[FixedRateB])</f>
        <v>#VALUE!</v>
      </c>
      <c r="O149" s="3" t="e">
        <f>IF(G149 + I149 = 0, "", (G149 * K149 + I149 * M149) / (G149 + I149))</f>
        <v>#VALUE!</v>
      </c>
      <c r="P149" s="3" t="e">
        <f>IF(H149 + J149 = 0, "", (H149 * L149 + J149 * N149) / (H149 + J149))</f>
        <v>#VALUE!</v>
      </c>
      <c r="Q149" s="3" t="e">
        <f>IF(O149 = "", "", O149 - P149)</f>
        <v>#VALUE!</v>
      </c>
      <c r="R149" s="3" t="e">
        <f>LOOKUP(C149, SweepStudyConfig[StudyId], SweepStudyConfig[SweepCorrectedGap])</f>
        <v>#VALUE!</v>
      </c>
      <c r="S149" s="3" t="e">
        <f>IF(Q149 = "", "", Q149 - R149)</f>
        <v>#VALUE!</v>
      </c>
    </row>
    <row r="150">
      <c r="A150" s="2" t="s">
        <v>3438</v>
      </c>
      <c r="B150" s="3" t="str">
        <f>A150</f>
        <v>coffee-tverdal-2020-f085</v>
      </c>
      <c r="C150" s="2" t="s">
        <v>479</v>
      </c>
      <c r="D150" s="2">
        <v>0.85</v>
      </c>
      <c r="E150" s="3" t="e">
        <f>ABS(D150 - LOOKUP(C150, SweepStudyConfig[StudyId], SweepStudyConfig[OriginalAllocFractionA])) &lt; 0.03</f>
        <v>#VALUE!</v>
      </c>
      <c r="F150" s="3" t="e">
        <f>LOOKUP(C150, SweepStudyConfig[StudyId], SweepStudyConfig[NSweepStratumTotal])</f>
        <v>#VALUE!</v>
      </c>
      <c r="G150" s="3" t="e">
        <f>ROUND(F150 * D150)</f>
        <v>#VALUE!</v>
      </c>
      <c r="H150" s="3" t="e">
        <f>F150 - G150</f>
        <v>#VALUE!</v>
      </c>
      <c r="I150" s="3" t="e">
        <f>LOOKUP(C150, SweepStudyConfig[StudyId], SweepStudyConfig[NFixedA])</f>
        <v>#VALUE!</v>
      </c>
      <c r="J150" s="3" t="e">
        <f>LOOKUP(C150, SweepStudyConfig[StudyId], SweepStudyConfig[NFixedB])</f>
        <v>#VALUE!</v>
      </c>
      <c r="K150" s="3" t="e">
        <f>LOOKUP(C150, SweepStudyConfig[StudyId], SweepStudyConfig[SweepRateA])</f>
        <v>#VALUE!</v>
      </c>
      <c r="L150" s="3" t="e">
        <f>LOOKUP(C150, SweepStudyConfig[StudyId], SweepStudyConfig[SweepRateB])</f>
        <v>#VALUE!</v>
      </c>
      <c r="M150" s="3" t="e">
        <f>LOOKUP(C150, SweepStudyConfig[StudyId], SweepStudyConfig[FixedRateA])</f>
        <v>#VALUE!</v>
      </c>
      <c r="N150" s="3" t="e">
        <f>LOOKUP(C150, SweepStudyConfig[StudyId], SweepStudyConfig[FixedRateB])</f>
        <v>#VALUE!</v>
      </c>
      <c r="O150" s="3" t="e">
        <f>IF(G150 + I150 = 0, "", (G150 * K150 + I150 * M150) / (G150 + I150))</f>
        <v>#VALUE!</v>
      </c>
      <c r="P150" s="3" t="e">
        <f>IF(H150 + J150 = 0, "", (H150 * L150 + J150 * N150) / (H150 + J150))</f>
        <v>#VALUE!</v>
      </c>
      <c r="Q150" s="3" t="e">
        <f>IF(O150 = "", "", O150 - P150)</f>
        <v>#VALUE!</v>
      </c>
      <c r="R150" s="3" t="e">
        <f>LOOKUP(C150, SweepStudyConfig[StudyId], SweepStudyConfig[SweepCorrectedGap])</f>
        <v>#VALUE!</v>
      </c>
      <c r="S150" s="3" t="e">
        <f>IF(Q150 = "", "", Q150 - R150)</f>
        <v>#VALUE!</v>
      </c>
    </row>
    <row r="151">
      <c r="A151" s="2" t="s">
        <v>3439</v>
      </c>
      <c r="B151" s="3" t="str">
        <f>A151</f>
        <v>coffee-tverdal-2020-f095</v>
      </c>
      <c r="C151" s="2" t="s">
        <v>479</v>
      </c>
      <c r="D151" s="2">
        <v>0.95</v>
      </c>
      <c r="E151" s="3" t="e">
        <f>ABS(D151 - LOOKUP(C151, SweepStudyConfig[StudyId], SweepStudyConfig[OriginalAllocFractionA])) &lt; 0.03</f>
        <v>#VALUE!</v>
      </c>
      <c r="F151" s="3" t="e">
        <f>LOOKUP(C151, SweepStudyConfig[StudyId], SweepStudyConfig[NSweepStratumTotal])</f>
        <v>#VALUE!</v>
      </c>
      <c r="G151" s="3" t="e">
        <f>ROUND(F151 * D151)</f>
        <v>#VALUE!</v>
      </c>
      <c r="H151" s="3" t="e">
        <f>F151 - G151</f>
        <v>#VALUE!</v>
      </c>
      <c r="I151" s="3" t="e">
        <f>LOOKUP(C151, SweepStudyConfig[StudyId], SweepStudyConfig[NFixedA])</f>
        <v>#VALUE!</v>
      </c>
      <c r="J151" s="3" t="e">
        <f>LOOKUP(C151, SweepStudyConfig[StudyId], SweepStudyConfig[NFixedB])</f>
        <v>#VALUE!</v>
      </c>
      <c r="K151" s="3" t="e">
        <f>LOOKUP(C151, SweepStudyConfig[StudyId], SweepStudyConfig[SweepRateA])</f>
        <v>#VALUE!</v>
      </c>
      <c r="L151" s="3" t="e">
        <f>LOOKUP(C151, SweepStudyConfig[StudyId], SweepStudyConfig[SweepRateB])</f>
        <v>#VALUE!</v>
      </c>
      <c r="M151" s="3" t="e">
        <f>LOOKUP(C151, SweepStudyConfig[StudyId], SweepStudyConfig[FixedRateA])</f>
        <v>#VALUE!</v>
      </c>
      <c r="N151" s="3" t="e">
        <f>LOOKUP(C151, SweepStudyConfig[StudyId], SweepStudyConfig[FixedRateB])</f>
        <v>#VALUE!</v>
      </c>
      <c r="O151" s="3" t="e">
        <f>IF(G151 + I151 = 0, "", (G151 * K151 + I151 * M151) / (G151 + I151))</f>
        <v>#VALUE!</v>
      </c>
      <c r="P151" s="3" t="e">
        <f>IF(H151 + J151 = 0, "", (H151 * L151 + J151 * N151) / (H151 + J151))</f>
        <v>#VALUE!</v>
      </c>
      <c r="Q151" s="3" t="e">
        <f>IF(O151 = "", "", O151 - P151)</f>
        <v>#VALUE!</v>
      </c>
      <c r="R151" s="3" t="e">
        <f>LOOKUP(C151, SweepStudyConfig[StudyId], SweepStudyConfig[SweepCorrectedGap])</f>
        <v>#VALUE!</v>
      </c>
      <c r="S151" s="3" t="e">
        <f>IF(Q151 = "", "", Q151 - R151)</f>
        <v>#VALUE!</v>
      </c>
    </row>
    <row r="152">
      <c r="A152" s="2" t="s">
        <v>3440</v>
      </c>
      <c r="B152" s="3" t="str">
        <f>A152</f>
        <v>sat-wainer-1986-f005</v>
      </c>
      <c r="C152" s="2" t="s">
        <v>483</v>
      </c>
      <c r="D152" s="2">
        <v>0.05</v>
      </c>
      <c r="E152" s="3" t="e">
        <f>ABS(D152 - LOOKUP(C152, SweepStudyConfig[StudyId], SweepStudyConfig[OriginalAllocFractionA])) &lt; 0.03</f>
        <v>#VALUE!</v>
      </c>
      <c r="F152" s="3" t="e">
        <f>LOOKUP(C152, SweepStudyConfig[StudyId], SweepStudyConfig[NSweepStratumTotal])</f>
        <v>#VALUE!</v>
      </c>
      <c r="G152" s="3" t="e">
        <f>ROUND(F152 * D152)</f>
        <v>#VALUE!</v>
      </c>
      <c r="H152" s="3" t="e">
        <f>F152 - G152</f>
        <v>#VALUE!</v>
      </c>
      <c r="I152" s="3" t="e">
        <f>LOOKUP(C152, SweepStudyConfig[StudyId], SweepStudyConfig[NFixedA])</f>
        <v>#VALUE!</v>
      </c>
      <c r="J152" s="3" t="e">
        <f>LOOKUP(C152, SweepStudyConfig[StudyId], SweepStudyConfig[NFixedB])</f>
        <v>#VALUE!</v>
      </c>
      <c r="K152" s="3" t="e">
        <f>LOOKUP(C152, SweepStudyConfig[StudyId], SweepStudyConfig[SweepRateA])</f>
        <v>#VALUE!</v>
      </c>
      <c r="L152" s="3" t="e">
        <f>LOOKUP(C152, SweepStudyConfig[StudyId], SweepStudyConfig[SweepRateB])</f>
        <v>#VALUE!</v>
      </c>
      <c r="M152" s="3" t="e">
        <f>LOOKUP(C152, SweepStudyConfig[StudyId], SweepStudyConfig[FixedRateA])</f>
        <v>#VALUE!</v>
      </c>
      <c r="N152" s="3" t="e">
        <f>LOOKUP(C152, SweepStudyConfig[StudyId], SweepStudyConfig[FixedRateB])</f>
        <v>#VALUE!</v>
      </c>
      <c r="O152" s="3" t="e">
        <f>IF(G152 + I152 = 0, "", (G152 * K152 + I152 * M152) / (G152 + I152))</f>
        <v>#VALUE!</v>
      </c>
      <c r="P152" s="3" t="e">
        <f>IF(H152 + J152 = 0, "", (H152 * L152 + J152 * N152) / (H152 + J152))</f>
        <v>#VALUE!</v>
      </c>
      <c r="Q152" s="3" t="e">
        <f>IF(O152 = "", "", O152 - P152)</f>
        <v>#VALUE!</v>
      </c>
      <c r="R152" s="3" t="e">
        <f>LOOKUP(C152, SweepStudyConfig[StudyId], SweepStudyConfig[SweepCorrectedGap])</f>
        <v>#VALUE!</v>
      </c>
      <c r="S152" s="3" t="e">
        <f>IF(Q152 = "", "", Q152 - R152)</f>
        <v>#VALUE!</v>
      </c>
    </row>
    <row r="153">
      <c r="A153" s="2" t="s">
        <v>3441</v>
      </c>
      <c r="B153" s="3" t="str">
        <f>A153</f>
        <v>sat-wainer-1986-f015</v>
      </c>
      <c r="C153" s="2" t="s">
        <v>483</v>
      </c>
      <c r="D153" s="2">
        <v>0.15</v>
      </c>
      <c r="E153" s="3" t="e">
        <f>ABS(D153 - LOOKUP(C153, SweepStudyConfig[StudyId], SweepStudyConfig[OriginalAllocFractionA])) &lt; 0.03</f>
        <v>#VALUE!</v>
      </c>
      <c r="F153" s="3" t="e">
        <f>LOOKUP(C153, SweepStudyConfig[StudyId], SweepStudyConfig[NSweepStratumTotal])</f>
        <v>#VALUE!</v>
      </c>
      <c r="G153" s="3" t="e">
        <f>ROUND(F153 * D153)</f>
        <v>#VALUE!</v>
      </c>
      <c r="H153" s="3" t="e">
        <f>F153 - G153</f>
        <v>#VALUE!</v>
      </c>
      <c r="I153" s="3" t="e">
        <f>LOOKUP(C153, SweepStudyConfig[StudyId], SweepStudyConfig[NFixedA])</f>
        <v>#VALUE!</v>
      </c>
      <c r="J153" s="3" t="e">
        <f>LOOKUP(C153, SweepStudyConfig[StudyId], SweepStudyConfig[NFixedB])</f>
        <v>#VALUE!</v>
      </c>
      <c r="K153" s="3" t="e">
        <f>LOOKUP(C153, SweepStudyConfig[StudyId], SweepStudyConfig[SweepRateA])</f>
        <v>#VALUE!</v>
      </c>
      <c r="L153" s="3" t="e">
        <f>LOOKUP(C153, SweepStudyConfig[StudyId], SweepStudyConfig[SweepRateB])</f>
        <v>#VALUE!</v>
      </c>
      <c r="M153" s="3" t="e">
        <f>LOOKUP(C153, SweepStudyConfig[StudyId], SweepStudyConfig[FixedRateA])</f>
        <v>#VALUE!</v>
      </c>
      <c r="N153" s="3" t="e">
        <f>LOOKUP(C153, SweepStudyConfig[StudyId], SweepStudyConfig[FixedRateB])</f>
        <v>#VALUE!</v>
      </c>
      <c r="O153" s="3" t="e">
        <f>IF(G153 + I153 = 0, "", (G153 * K153 + I153 * M153) / (G153 + I153))</f>
        <v>#VALUE!</v>
      </c>
      <c r="P153" s="3" t="e">
        <f>IF(H153 + J153 = 0, "", (H153 * L153 + J153 * N153) / (H153 + J153))</f>
        <v>#VALUE!</v>
      </c>
      <c r="Q153" s="3" t="e">
        <f>IF(O153 = "", "", O153 - P153)</f>
        <v>#VALUE!</v>
      </c>
      <c r="R153" s="3" t="e">
        <f>LOOKUP(C153, SweepStudyConfig[StudyId], SweepStudyConfig[SweepCorrectedGap])</f>
        <v>#VALUE!</v>
      </c>
      <c r="S153" s="3" t="e">
        <f>IF(Q153 = "", "", Q153 - R153)</f>
        <v>#VALUE!</v>
      </c>
    </row>
    <row r="154">
      <c r="A154" s="2" t="s">
        <v>3442</v>
      </c>
      <c r="B154" s="3" t="str">
        <f>A154</f>
        <v>sat-wainer-1986-f025</v>
      </c>
      <c r="C154" s="2" t="s">
        <v>483</v>
      </c>
      <c r="D154" s="2">
        <v>0.25</v>
      </c>
      <c r="E154" s="3" t="e">
        <f>ABS(D154 - LOOKUP(C154, SweepStudyConfig[StudyId], SweepStudyConfig[OriginalAllocFractionA])) &lt; 0.03</f>
        <v>#VALUE!</v>
      </c>
      <c r="F154" s="3" t="e">
        <f>LOOKUP(C154, SweepStudyConfig[StudyId], SweepStudyConfig[NSweepStratumTotal])</f>
        <v>#VALUE!</v>
      </c>
      <c r="G154" s="3" t="e">
        <f>ROUND(F154 * D154)</f>
        <v>#VALUE!</v>
      </c>
      <c r="H154" s="3" t="e">
        <f>F154 - G154</f>
        <v>#VALUE!</v>
      </c>
      <c r="I154" s="3" t="e">
        <f>LOOKUP(C154, SweepStudyConfig[StudyId], SweepStudyConfig[NFixedA])</f>
        <v>#VALUE!</v>
      </c>
      <c r="J154" s="3" t="e">
        <f>LOOKUP(C154, SweepStudyConfig[StudyId], SweepStudyConfig[NFixedB])</f>
        <v>#VALUE!</v>
      </c>
      <c r="K154" s="3" t="e">
        <f>LOOKUP(C154, SweepStudyConfig[StudyId], SweepStudyConfig[SweepRateA])</f>
        <v>#VALUE!</v>
      </c>
      <c r="L154" s="3" t="e">
        <f>LOOKUP(C154, SweepStudyConfig[StudyId], SweepStudyConfig[SweepRateB])</f>
        <v>#VALUE!</v>
      </c>
      <c r="M154" s="3" t="e">
        <f>LOOKUP(C154, SweepStudyConfig[StudyId], SweepStudyConfig[FixedRateA])</f>
        <v>#VALUE!</v>
      </c>
      <c r="N154" s="3" t="e">
        <f>LOOKUP(C154, SweepStudyConfig[StudyId], SweepStudyConfig[FixedRateB])</f>
        <v>#VALUE!</v>
      </c>
      <c r="O154" s="3" t="e">
        <f>IF(G154 + I154 = 0, "", (G154 * K154 + I154 * M154) / (G154 + I154))</f>
        <v>#VALUE!</v>
      </c>
      <c r="P154" s="3" t="e">
        <f>IF(H154 + J154 = 0, "", (H154 * L154 + J154 * N154) / (H154 + J154))</f>
        <v>#VALUE!</v>
      </c>
      <c r="Q154" s="3" t="e">
        <f>IF(O154 = "", "", O154 - P154)</f>
        <v>#VALUE!</v>
      </c>
      <c r="R154" s="3" t="e">
        <f>LOOKUP(C154, SweepStudyConfig[StudyId], SweepStudyConfig[SweepCorrectedGap])</f>
        <v>#VALUE!</v>
      </c>
      <c r="S154" s="3" t="e">
        <f>IF(Q154 = "", "", Q154 - R154)</f>
        <v>#VALUE!</v>
      </c>
    </row>
    <row r="155">
      <c r="A155" s="2" t="s">
        <v>3443</v>
      </c>
      <c r="B155" s="3" t="str">
        <f>A155</f>
        <v>sat-wainer-1986-f035</v>
      </c>
      <c r="C155" s="2" t="s">
        <v>483</v>
      </c>
      <c r="D155" s="2">
        <v>0.35</v>
      </c>
      <c r="E155" s="3" t="e">
        <f>ABS(D155 - LOOKUP(C155, SweepStudyConfig[StudyId], SweepStudyConfig[OriginalAllocFractionA])) &lt; 0.03</f>
        <v>#VALUE!</v>
      </c>
      <c r="F155" s="3" t="e">
        <f>LOOKUP(C155, SweepStudyConfig[StudyId], SweepStudyConfig[NSweepStratumTotal])</f>
        <v>#VALUE!</v>
      </c>
      <c r="G155" s="3" t="e">
        <f>ROUND(F155 * D155)</f>
        <v>#VALUE!</v>
      </c>
      <c r="H155" s="3" t="e">
        <f>F155 - G155</f>
        <v>#VALUE!</v>
      </c>
      <c r="I155" s="3" t="e">
        <f>LOOKUP(C155, SweepStudyConfig[StudyId], SweepStudyConfig[NFixedA])</f>
        <v>#VALUE!</v>
      </c>
      <c r="J155" s="3" t="e">
        <f>LOOKUP(C155, SweepStudyConfig[StudyId], SweepStudyConfig[NFixedB])</f>
        <v>#VALUE!</v>
      </c>
      <c r="K155" s="3" t="e">
        <f>LOOKUP(C155, SweepStudyConfig[StudyId], SweepStudyConfig[SweepRateA])</f>
        <v>#VALUE!</v>
      </c>
      <c r="L155" s="3" t="e">
        <f>LOOKUP(C155, SweepStudyConfig[StudyId], SweepStudyConfig[SweepRateB])</f>
        <v>#VALUE!</v>
      </c>
      <c r="M155" s="3" t="e">
        <f>LOOKUP(C155, SweepStudyConfig[StudyId], SweepStudyConfig[FixedRateA])</f>
        <v>#VALUE!</v>
      </c>
      <c r="N155" s="3" t="e">
        <f>LOOKUP(C155, SweepStudyConfig[StudyId], SweepStudyConfig[FixedRateB])</f>
        <v>#VALUE!</v>
      </c>
      <c r="O155" s="3" t="e">
        <f>IF(G155 + I155 = 0, "", (G155 * K155 + I155 * M155) / (G155 + I155))</f>
        <v>#VALUE!</v>
      </c>
      <c r="P155" s="3" t="e">
        <f>IF(H155 + J155 = 0, "", (H155 * L155 + J155 * N155) / (H155 + J155))</f>
        <v>#VALUE!</v>
      </c>
      <c r="Q155" s="3" t="e">
        <f>IF(O155 = "", "", O155 - P155)</f>
        <v>#VALUE!</v>
      </c>
      <c r="R155" s="3" t="e">
        <f>LOOKUP(C155, SweepStudyConfig[StudyId], SweepStudyConfig[SweepCorrectedGap])</f>
        <v>#VALUE!</v>
      </c>
      <c r="S155" s="3" t="e">
        <f>IF(Q155 = "", "", Q155 - R155)</f>
        <v>#VALUE!</v>
      </c>
    </row>
    <row r="156">
      <c r="A156" s="2" t="s">
        <v>3444</v>
      </c>
      <c r="B156" s="3" t="str">
        <f>A156</f>
        <v>sat-wainer-1986-f045</v>
      </c>
      <c r="C156" s="2" t="s">
        <v>483</v>
      </c>
      <c r="D156" s="2">
        <v>0.45</v>
      </c>
      <c r="E156" s="3" t="e">
        <f>ABS(D156 - LOOKUP(C156, SweepStudyConfig[StudyId], SweepStudyConfig[OriginalAllocFractionA])) &lt; 0.03</f>
        <v>#VALUE!</v>
      </c>
      <c r="F156" s="3" t="e">
        <f>LOOKUP(C156, SweepStudyConfig[StudyId], SweepStudyConfig[NSweepStratumTotal])</f>
        <v>#VALUE!</v>
      </c>
      <c r="G156" s="3" t="e">
        <f>ROUND(F156 * D156)</f>
        <v>#VALUE!</v>
      </c>
      <c r="H156" s="3" t="e">
        <f>F156 - G156</f>
        <v>#VALUE!</v>
      </c>
      <c r="I156" s="3" t="e">
        <f>LOOKUP(C156, SweepStudyConfig[StudyId], SweepStudyConfig[NFixedA])</f>
        <v>#VALUE!</v>
      </c>
      <c r="J156" s="3" t="e">
        <f>LOOKUP(C156, SweepStudyConfig[StudyId], SweepStudyConfig[NFixedB])</f>
        <v>#VALUE!</v>
      </c>
      <c r="K156" s="3" t="e">
        <f>LOOKUP(C156, SweepStudyConfig[StudyId], SweepStudyConfig[SweepRateA])</f>
        <v>#VALUE!</v>
      </c>
      <c r="L156" s="3" t="e">
        <f>LOOKUP(C156, SweepStudyConfig[StudyId], SweepStudyConfig[SweepRateB])</f>
        <v>#VALUE!</v>
      </c>
      <c r="M156" s="3" t="e">
        <f>LOOKUP(C156, SweepStudyConfig[StudyId], SweepStudyConfig[FixedRateA])</f>
        <v>#VALUE!</v>
      </c>
      <c r="N156" s="3" t="e">
        <f>LOOKUP(C156, SweepStudyConfig[StudyId], SweepStudyConfig[FixedRateB])</f>
        <v>#VALUE!</v>
      </c>
      <c r="O156" s="3" t="e">
        <f>IF(G156 + I156 = 0, "", (G156 * K156 + I156 * M156) / (G156 + I156))</f>
        <v>#VALUE!</v>
      </c>
      <c r="P156" s="3" t="e">
        <f>IF(H156 + J156 = 0, "", (H156 * L156 + J156 * N156) / (H156 + J156))</f>
        <v>#VALUE!</v>
      </c>
      <c r="Q156" s="3" t="e">
        <f>IF(O156 = "", "", O156 - P156)</f>
        <v>#VALUE!</v>
      </c>
      <c r="R156" s="3" t="e">
        <f>LOOKUP(C156, SweepStudyConfig[StudyId], SweepStudyConfig[SweepCorrectedGap])</f>
        <v>#VALUE!</v>
      </c>
      <c r="S156" s="3" t="e">
        <f>IF(Q156 = "", "", Q156 - R156)</f>
        <v>#VALUE!</v>
      </c>
    </row>
    <row r="157">
      <c r="A157" s="2" t="s">
        <v>3445</v>
      </c>
      <c r="B157" s="3" t="str">
        <f>A157</f>
        <v>sat-wainer-1986-f055</v>
      </c>
      <c r="C157" s="2" t="s">
        <v>483</v>
      </c>
      <c r="D157" s="2">
        <v>0.55</v>
      </c>
      <c r="E157" s="3" t="e">
        <f>ABS(D157 - LOOKUP(C157, SweepStudyConfig[StudyId], SweepStudyConfig[OriginalAllocFractionA])) &lt; 0.03</f>
        <v>#VALUE!</v>
      </c>
      <c r="F157" s="3" t="e">
        <f>LOOKUP(C157, SweepStudyConfig[StudyId], SweepStudyConfig[NSweepStratumTotal])</f>
        <v>#VALUE!</v>
      </c>
      <c r="G157" s="3" t="e">
        <f>ROUND(F157 * D157)</f>
        <v>#VALUE!</v>
      </c>
      <c r="H157" s="3" t="e">
        <f>F157 - G157</f>
        <v>#VALUE!</v>
      </c>
      <c r="I157" s="3" t="e">
        <f>LOOKUP(C157, SweepStudyConfig[StudyId], SweepStudyConfig[NFixedA])</f>
        <v>#VALUE!</v>
      </c>
      <c r="J157" s="3" t="e">
        <f>LOOKUP(C157, SweepStudyConfig[StudyId], SweepStudyConfig[NFixedB])</f>
        <v>#VALUE!</v>
      </c>
      <c r="K157" s="3" t="e">
        <f>LOOKUP(C157, SweepStudyConfig[StudyId], SweepStudyConfig[SweepRateA])</f>
        <v>#VALUE!</v>
      </c>
      <c r="L157" s="3" t="e">
        <f>LOOKUP(C157, SweepStudyConfig[StudyId], SweepStudyConfig[SweepRateB])</f>
        <v>#VALUE!</v>
      </c>
      <c r="M157" s="3" t="e">
        <f>LOOKUP(C157, SweepStudyConfig[StudyId], SweepStudyConfig[FixedRateA])</f>
        <v>#VALUE!</v>
      </c>
      <c r="N157" s="3" t="e">
        <f>LOOKUP(C157, SweepStudyConfig[StudyId], SweepStudyConfig[FixedRateB])</f>
        <v>#VALUE!</v>
      </c>
      <c r="O157" s="3" t="e">
        <f>IF(G157 + I157 = 0, "", (G157 * K157 + I157 * M157) / (G157 + I157))</f>
        <v>#VALUE!</v>
      </c>
      <c r="P157" s="3" t="e">
        <f>IF(H157 + J157 = 0, "", (H157 * L157 + J157 * N157) / (H157 + J157))</f>
        <v>#VALUE!</v>
      </c>
      <c r="Q157" s="3" t="e">
        <f>IF(O157 = "", "", O157 - P157)</f>
        <v>#VALUE!</v>
      </c>
      <c r="R157" s="3" t="e">
        <f>LOOKUP(C157, SweepStudyConfig[StudyId], SweepStudyConfig[SweepCorrectedGap])</f>
        <v>#VALUE!</v>
      </c>
      <c r="S157" s="3" t="e">
        <f>IF(Q157 = "", "", Q157 - R157)</f>
        <v>#VALUE!</v>
      </c>
    </row>
    <row r="158">
      <c r="A158" s="2" t="s">
        <v>3446</v>
      </c>
      <c r="B158" s="3" t="str">
        <f>A158</f>
        <v>sat-wainer-1986-f065</v>
      </c>
      <c r="C158" s="2" t="s">
        <v>483</v>
      </c>
      <c r="D158" s="2">
        <v>0.65</v>
      </c>
      <c r="E158" s="3" t="e">
        <f>ABS(D158 - LOOKUP(C158, SweepStudyConfig[StudyId], SweepStudyConfig[OriginalAllocFractionA])) &lt; 0.03</f>
        <v>#VALUE!</v>
      </c>
      <c r="F158" s="3" t="e">
        <f>LOOKUP(C158, SweepStudyConfig[StudyId], SweepStudyConfig[NSweepStratumTotal])</f>
        <v>#VALUE!</v>
      </c>
      <c r="G158" s="3" t="e">
        <f>ROUND(F158 * D158)</f>
        <v>#VALUE!</v>
      </c>
      <c r="H158" s="3" t="e">
        <f>F158 - G158</f>
        <v>#VALUE!</v>
      </c>
      <c r="I158" s="3" t="e">
        <f>LOOKUP(C158, SweepStudyConfig[StudyId], SweepStudyConfig[NFixedA])</f>
        <v>#VALUE!</v>
      </c>
      <c r="J158" s="3" t="e">
        <f>LOOKUP(C158, SweepStudyConfig[StudyId], SweepStudyConfig[NFixedB])</f>
        <v>#VALUE!</v>
      </c>
      <c r="K158" s="3" t="e">
        <f>LOOKUP(C158, SweepStudyConfig[StudyId], SweepStudyConfig[SweepRateA])</f>
        <v>#VALUE!</v>
      </c>
      <c r="L158" s="3" t="e">
        <f>LOOKUP(C158, SweepStudyConfig[StudyId], SweepStudyConfig[SweepRateB])</f>
        <v>#VALUE!</v>
      </c>
      <c r="M158" s="3" t="e">
        <f>LOOKUP(C158, SweepStudyConfig[StudyId], SweepStudyConfig[FixedRateA])</f>
        <v>#VALUE!</v>
      </c>
      <c r="N158" s="3" t="e">
        <f>LOOKUP(C158, SweepStudyConfig[StudyId], SweepStudyConfig[FixedRateB])</f>
        <v>#VALUE!</v>
      </c>
      <c r="O158" s="3" t="e">
        <f>IF(G158 + I158 = 0, "", (G158 * K158 + I158 * M158) / (G158 + I158))</f>
        <v>#VALUE!</v>
      </c>
      <c r="P158" s="3" t="e">
        <f>IF(H158 + J158 = 0, "", (H158 * L158 + J158 * N158) / (H158 + J158))</f>
        <v>#VALUE!</v>
      </c>
      <c r="Q158" s="3" t="e">
        <f>IF(O158 = "", "", O158 - P158)</f>
        <v>#VALUE!</v>
      </c>
      <c r="R158" s="3" t="e">
        <f>LOOKUP(C158, SweepStudyConfig[StudyId], SweepStudyConfig[SweepCorrectedGap])</f>
        <v>#VALUE!</v>
      </c>
      <c r="S158" s="3" t="e">
        <f>IF(Q158 = "", "", Q158 - R158)</f>
        <v>#VALUE!</v>
      </c>
    </row>
    <row r="159">
      <c r="A159" s="2" t="s">
        <v>3447</v>
      </c>
      <c r="B159" s="3" t="str">
        <f>A159</f>
        <v>sat-wainer-1986-f075</v>
      </c>
      <c r="C159" s="2" t="s">
        <v>483</v>
      </c>
      <c r="D159" s="2">
        <v>0.75</v>
      </c>
      <c r="E159" s="3" t="e">
        <f>ABS(D159 - LOOKUP(C159, SweepStudyConfig[StudyId], SweepStudyConfig[OriginalAllocFractionA])) &lt; 0.03</f>
        <v>#VALUE!</v>
      </c>
      <c r="F159" s="3" t="e">
        <f>LOOKUP(C159, SweepStudyConfig[StudyId], SweepStudyConfig[NSweepStratumTotal])</f>
        <v>#VALUE!</v>
      </c>
      <c r="G159" s="3" t="e">
        <f>ROUND(F159 * D159)</f>
        <v>#VALUE!</v>
      </c>
      <c r="H159" s="3" t="e">
        <f>F159 - G159</f>
        <v>#VALUE!</v>
      </c>
      <c r="I159" s="3" t="e">
        <f>LOOKUP(C159, SweepStudyConfig[StudyId], SweepStudyConfig[NFixedA])</f>
        <v>#VALUE!</v>
      </c>
      <c r="J159" s="3" t="e">
        <f>LOOKUP(C159, SweepStudyConfig[StudyId], SweepStudyConfig[NFixedB])</f>
        <v>#VALUE!</v>
      </c>
      <c r="K159" s="3" t="e">
        <f>LOOKUP(C159, SweepStudyConfig[StudyId], SweepStudyConfig[SweepRateA])</f>
        <v>#VALUE!</v>
      </c>
      <c r="L159" s="3" t="e">
        <f>LOOKUP(C159, SweepStudyConfig[StudyId], SweepStudyConfig[SweepRateB])</f>
        <v>#VALUE!</v>
      </c>
      <c r="M159" s="3" t="e">
        <f>LOOKUP(C159, SweepStudyConfig[StudyId], SweepStudyConfig[FixedRateA])</f>
        <v>#VALUE!</v>
      </c>
      <c r="N159" s="3" t="e">
        <f>LOOKUP(C159, SweepStudyConfig[StudyId], SweepStudyConfig[FixedRateB])</f>
        <v>#VALUE!</v>
      </c>
      <c r="O159" s="3" t="e">
        <f>IF(G159 + I159 = 0, "", (G159 * K159 + I159 * M159) / (G159 + I159))</f>
        <v>#VALUE!</v>
      </c>
      <c r="P159" s="3" t="e">
        <f>IF(H159 + J159 = 0, "", (H159 * L159 + J159 * N159) / (H159 + J159))</f>
        <v>#VALUE!</v>
      </c>
      <c r="Q159" s="3" t="e">
        <f>IF(O159 = "", "", O159 - P159)</f>
        <v>#VALUE!</v>
      </c>
      <c r="R159" s="3" t="e">
        <f>LOOKUP(C159, SweepStudyConfig[StudyId], SweepStudyConfig[SweepCorrectedGap])</f>
        <v>#VALUE!</v>
      </c>
      <c r="S159" s="3" t="e">
        <f>IF(Q159 = "", "", Q159 - R159)</f>
        <v>#VALUE!</v>
      </c>
    </row>
    <row r="160">
      <c r="A160" s="2" t="s">
        <v>3448</v>
      </c>
      <c r="B160" s="3" t="str">
        <f>A160</f>
        <v>sat-wainer-1986-f085</v>
      </c>
      <c r="C160" s="2" t="s">
        <v>483</v>
      </c>
      <c r="D160" s="2">
        <v>0.85</v>
      </c>
      <c r="E160" s="3" t="e">
        <f>ABS(D160 - LOOKUP(C160, SweepStudyConfig[StudyId], SweepStudyConfig[OriginalAllocFractionA])) &lt; 0.03</f>
        <v>#VALUE!</v>
      </c>
      <c r="F160" s="3" t="e">
        <f>LOOKUP(C160, SweepStudyConfig[StudyId], SweepStudyConfig[NSweepStratumTotal])</f>
        <v>#VALUE!</v>
      </c>
      <c r="G160" s="3" t="e">
        <f>ROUND(F160 * D160)</f>
        <v>#VALUE!</v>
      </c>
      <c r="H160" s="3" t="e">
        <f>F160 - G160</f>
        <v>#VALUE!</v>
      </c>
      <c r="I160" s="3" t="e">
        <f>LOOKUP(C160, SweepStudyConfig[StudyId], SweepStudyConfig[NFixedA])</f>
        <v>#VALUE!</v>
      </c>
      <c r="J160" s="3" t="e">
        <f>LOOKUP(C160, SweepStudyConfig[StudyId], SweepStudyConfig[NFixedB])</f>
        <v>#VALUE!</v>
      </c>
      <c r="K160" s="3" t="e">
        <f>LOOKUP(C160, SweepStudyConfig[StudyId], SweepStudyConfig[SweepRateA])</f>
        <v>#VALUE!</v>
      </c>
      <c r="L160" s="3" t="e">
        <f>LOOKUP(C160, SweepStudyConfig[StudyId], SweepStudyConfig[SweepRateB])</f>
        <v>#VALUE!</v>
      </c>
      <c r="M160" s="3" t="e">
        <f>LOOKUP(C160, SweepStudyConfig[StudyId], SweepStudyConfig[FixedRateA])</f>
        <v>#VALUE!</v>
      </c>
      <c r="N160" s="3" t="e">
        <f>LOOKUP(C160, SweepStudyConfig[StudyId], SweepStudyConfig[FixedRateB])</f>
        <v>#VALUE!</v>
      </c>
      <c r="O160" s="3" t="e">
        <f>IF(G160 + I160 = 0, "", (G160 * K160 + I160 * M160) / (G160 + I160))</f>
        <v>#VALUE!</v>
      </c>
      <c r="P160" s="3" t="e">
        <f>IF(H160 + J160 = 0, "", (H160 * L160 + J160 * N160) / (H160 + J160))</f>
        <v>#VALUE!</v>
      </c>
      <c r="Q160" s="3" t="e">
        <f>IF(O160 = "", "", O160 - P160)</f>
        <v>#VALUE!</v>
      </c>
      <c r="R160" s="3" t="e">
        <f>LOOKUP(C160, SweepStudyConfig[StudyId], SweepStudyConfig[SweepCorrectedGap])</f>
        <v>#VALUE!</v>
      </c>
      <c r="S160" s="3" t="e">
        <f>IF(Q160 = "", "", Q160 - R160)</f>
        <v>#VALUE!</v>
      </c>
    </row>
    <row r="161">
      <c r="A161" s="2" t="s">
        <v>3449</v>
      </c>
      <c r="B161" s="3" t="str">
        <f>A161</f>
        <v>sat-wainer-1986-f095</v>
      </c>
      <c r="C161" s="2" t="s">
        <v>483</v>
      </c>
      <c r="D161" s="2">
        <v>0.95</v>
      </c>
      <c r="E161" s="3" t="e">
        <f>ABS(D161 - LOOKUP(C161, SweepStudyConfig[StudyId], SweepStudyConfig[OriginalAllocFractionA])) &lt; 0.03</f>
        <v>#VALUE!</v>
      </c>
      <c r="F161" s="3" t="e">
        <f>LOOKUP(C161, SweepStudyConfig[StudyId], SweepStudyConfig[NSweepStratumTotal])</f>
        <v>#VALUE!</v>
      </c>
      <c r="G161" s="3" t="e">
        <f>ROUND(F161 * D161)</f>
        <v>#VALUE!</v>
      </c>
      <c r="H161" s="3" t="e">
        <f>F161 - G161</f>
        <v>#VALUE!</v>
      </c>
      <c r="I161" s="3" t="e">
        <f>LOOKUP(C161, SweepStudyConfig[StudyId], SweepStudyConfig[NFixedA])</f>
        <v>#VALUE!</v>
      </c>
      <c r="J161" s="3" t="e">
        <f>LOOKUP(C161, SweepStudyConfig[StudyId], SweepStudyConfig[NFixedB])</f>
        <v>#VALUE!</v>
      </c>
      <c r="K161" s="3" t="e">
        <f>LOOKUP(C161, SweepStudyConfig[StudyId], SweepStudyConfig[SweepRateA])</f>
        <v>#VALUE!</v>
      </c>
      <c r="L161" s="3" t="e">
        <f>LOOKUP(C161, SweepStudyConfig[StudyId], SweepStudyConfig[SweepRateB])</f>
        <v>#VALUE!</v>
      </c>
      <c r="M161" s="3" t="e">
        <f>LOOKUP(C161, SweepStudyConfig[StudyId], SweepStudyConfig[FixedRateA])</f>
        <v>#VALUE!</v>
      </c>
      <c r="N161" s="3" t="e">
        <f>LOOKUP(C161, SweepStudyConfig[StudyId], SweepStudyConfig[FixedRateB])</f>
        <v>#VALUE!</v>
      </c>
      <c r="O161" s="3" t="e">
        <f>IF(G161 + I161 = 0, "", (G161 * K161 + I161 * M161) / (G161 + I161))</f>
        <v>#VALUE!</v>
      </c>
      <c r="P161" s="3" t="e">
        <f>IF(H161 + J161 = 0, "", (H161 * L161 + J161 * N161) / (H161 + J161))</f>
        <v>#VALUE!</v>
      </c>
      <c r="Q161" s="3" t="e">
        <f>IF(O161 = "", "", O161 - P161)</f>
        <v>#VALUE!</v>
      </c>
      <c r="R161" s="3" t="e">
        <f>LOOKUP(C161, SweepStudyConfig[StudyId], SweepStudyConfig[SweepCorrectedGap])</f>
        <v>#VALUE!</v>
      </c>
      <c r="S161" s="3" t="e">
        <f>IF(Q161 = "", "", Q161 - R161)</f>
        <v>#VALUE!</v>
      </c>
    </row>
    <row r="162">
      <c r="A162" s="2" t="s">
        <v>3450</v>
      </c>
      <c r="B162" s="3" t="str">
        <f>A162</f>
        <v>rogers-nicewander-1988-f005</v>
      </c>
      <c r="C162" s="2" t="s">
        <v>488</v>
      </c>
      <c r="D162" s="2">
        <v>0.05</v>
      </c>
      <c r="E162" s="3" t="e">
        <f>ABS(D162 - LOOKUP(C162, SweepStudyConfig[StudyId], SweepStudyConfig[OriginalAllocFractionA])) &lt; 0.03</f>
        <v>#VALUE!</v>
      </c>
      <c r="F162" s="3" t="e">
        <f>LOOKUP(C162, SweepStudyConfig[StudyId], SweepStudyConfig[NSweepStratumTotal])</f>
        <v>#VALUE!</v>
      </c>
      <c r="G162" s="3" t="e">
        <f>ROUND(F162 * D162)</f>
        <v>#VALUE!</v>
      </c>
      <c r="H162" s="3" t="e">
        <f>F162 - G162</f>
        <v>#VALUE!</v>
      </c>
      <c r="I162" s="3" t="e">
        <f>LOOKUP(C162, SweepStudyConfig[StudyId], SweepStudyConfig[NFixedA])</f>
        <v>#VALUE!</v>
      </c>
      <c r="J162" s="3" t="e">
        <f>LOOKUP(C162, SweepStudyConfig[StudyId], SweepStudyConfig[NFixedB])</f>
        <v>#VALUE!</v>
      </c>
      <c r="K162" s="3" t="e">
        <f>LOOKUP(C162, SweepStudyConfig[StudyId], SweepStudyConfig[SweepRateA])</f>
        <v>#VALUE!</v>
      </c>
      <c r="L162" s="3" t="e">
        <f>LOOKUP(C162, SweepStudyConfig[StudyId], SweepStudyConfig[SweepRateB])</f>
        <v>#VALUE!</v>
      </c>
      <c r="M162" s="3" t="e">
        <f>LOOKUP(C162, SweepStudyConfig[StudyId], SweepStudyConfig[FixedRateA])</f>
        <v>#VALUE!</v>
      </c>
      <c r="N162" s="3" t="e">
        <f>LOOKUP(C162, SweepStudyConfig[StudyId], SweepStudyConfig[FixedRateB])</f>
        <v>#VALUE!</v>
      </c>
      <c r="O162" s="3" t="e">
        <f>IF(G162 + I162 = 0, "", (G162 * K162 + I162 * M162) / (G162 + I162))</f>
        <v>#VALUE!</v>
      </c>
      <c r="P162" s="3" t="e">
        <f>IF(H162 + J162 = 0, "", (H162 * L162 + J162 * N162) / (H162 + J162))</f>
        <v>#VALUE!</v>
      </c>
      <c r="Q162" s="3" t="e">
        <f>IF(O162 = "", "", O162 - P162)</f>
        <v>#VALUE!</v>
      </c>
      <c r="R162" s="3" t="e">
        <f>LOOKUP(C162, SweepStudyConfig[StudyId], SweepStudyConfig[SweepCorrectedGap])</f>
        <v>#VALUE!</v>
      </c>
      <c r="S162" s="3" t="e">
        <f>IF(Q162 = "", "", Q162 - R162)</f>
        <v>#VALUE!</v>
      </c>
    </row>
    <row r="163">
      <c r="A163" s="2" t="s">
        <v>3451</v>
      </c>
      <c r="B163" s="3" t="str">
        <f>A163</f>
        <v>rogers-nicewander-1988-f015</v>
      </c>
      <c r="C163" s="2" t="s">
        <v>488</v>
      </c>
      <c r="D163" s="2">
        <v>0.15</v>
      </c>
      <c r="E163" s="3" t="e">
        <f>ABS(D163 - LOOKUP(C163, SweepStudyConfig[StudyId], SweepStudyConfig[OriginalAllocFractionA])) &lt; 0.03</f>
        <v>#VALUE!</v>
      </c>
      <c r="F163" s="3" t="e">
        <f>LOOKUP(C163, SweepStudyConfig[StudyId], SweepStudyConfig[NSweepStratumTotal])</f>
        <v>#VALUE!</v>
      </c>
      <c r="G163" s="3" t="e">
        <f>ROUND(F163 * D163)</f>
        <v>#VALUE!</v>
      </c>
      <c r="H163" s="3" t="e">
        <f>F163 - G163</f>
        <v>#VALUE!</v>
      </c>
      <c r="I163" s="3" t="e">
        <f>LOOKUP(C163, SweepStudyConfig[StudyId], SweepStudyConfig[NFixedA])</f>
        <v>#VALUE!</v>
      </c>
      <c r="J163" s="3" t="e">
        <f>LOOKUP(C163, SweepStudyConfig[StudyId], SweepStudyConfig[NFixedB])</f>
        <v>#VALUE!</v>
      </c>
      <c r="K163" s="3" t="e">
        <f>LOOKUP(C163, SweepStudyConfig[StudyId], SweepStudyConfig[SweepRateA])</f>
        <v>#VALUE!</v>
      </c>
      <c r="L163" s="3" t="e">
        <f>LOOKUP(C163, SweepStudyConfig[StudyId], SweepStudyConfig[SweepRateB])</f>
        <v>#VALUE!</v>
      </c>
      <c r="M163" s="3" t="e">
        <f>LOOKUP(C163, SweepStudyConfig[StudyId], SweepStudyConfig[FixedRateA])</f>
        <v>#VALUE!</v>
      </c>
      <c r="N163" s="3" t="e">
        <f>LOOKUP(C163, SweepStudyConfig[StudyId], SweepStudyConfig[FixedRateB])</f>
        <v>#VALUE!</v>
      </c>
      <c r="O163" s="3" t="e">
        <f>IF(G163 + I163 = 0, "", (G163 * K163 + I163 * M163) / (G163 + I163))</f>
        <v>#VALUE!</v>
      </c>
      <c r="P163" s="3" t="e">
        <f>IF(H163 + J163 = 0, "", (H163 * L163 + J163 * N163) / (H163 + J163))</f>
        <v>#VALUE!</v>
      </c>
      <c r="Q163" s="3" t="e">
        <f>IF(O163 = "", "", O163 - P163)</f>
        <v>#VALUE!</v>
      </c>
      <c r="R163" s="3" t="e">
        <f>LOOKUP(C163, SweepStudyConfig[StudyId], SweepStudyConfig[SweepCorrectedGap])</f>
        <v>#VALUE!</v>
      </c>
      <c r="S163" s="3" t="e">
        <f>IF(Q163 = "", "", Q163 - R163)</f>
        <v>#VALUE!</v>
      </c>
    </row>
    <row r="164">
      <c r="A164" s="2" t="s">
        <v>3452</v>
      </c>
      <c r="B164" s="3" t="str">
        <f>A164</f>
        <v>rogers-nicewander-1988-f025</v>
      </c>
      <c r="C164" s="2" t="s">
        <v>488</v>
      </c>
      <c r="D164" s="2">
        <v>0.25</v>
      </c>
      <c r="E164" s="3" t="e">
        <f>ABS(D164 - LOOKUP(C164, SweepStudyConfig[StudyId], SweepStudyConfig[OriginalAllocFractionA])) &lt; 0.03</f>
        <v>#VALUE!</v>
      </c>
      <c r="F164" s="3" t="e">
        <f>LOOKUP(C164, SweepStudyConfig[StudyId], SweepStudyConfig[NSweepStratumTotal])</f>
        <v>#VALUE!</v>
      </c>
      <c r="G164" s="3" t="e">
        <f>ROUND(F164 * D164)</f>
        <v>#VALUE!</v>
      </c>
      <c r="H164" s="3" t="e">
        <f>F164 - G164</f>
        <v>#VALUE!</v>
      </c>
      <c r="I164" s="3" t="e">
        <f>LOOKUP(C164, SweepStudyConfig[StudyId], SweepStudyConfig[NFixedA])</f>
        <v>#VALUE!</v>
      </c>
      <c r="J164" s="3" t="e">
        <f>LOOKUP(C164, SweepStudyConfig[StudyId], SweepStudyConfig[NFixedB])</f>
        <v>#VALUE!</v>
      </c>
      <c r="K164" s="3" t="e">
        <f>LOOKUP(C164, SweepStudyConfig[StudyId], SweepStudyConfig[SweepRateA])</f>
        <v>#VALUE!</v>
      </c>
      <c r="L164" s="3" t="e">
        <f>LOOKUP(C164, SweepStudyConfig[StudyId], SweepStudyConfig[SweepRateB])</f>
        <v>#VALUE!</v>
      </c>
      <c r="M164" s="3" t="e">
        <f>LOOKUP(C164, SweepStudyConfig[StudyId], SweepStudyConfig[FixedRateA])</f>
        <v>#VALUE!</v>
      </c>
      <c r="N164" s="3" t="e">
        <f>LOOKUP(C164, SweepStudyConfig[StudyId], SweepStudyConfig[FixedRateB])</f>
        <v>#VALUE!</v>
      </c>
      <c r="O164" s="3" t="e">
        <f>IF(G164 + I164 = 0, "", (G164 * K164 + I164 * M164) / (G164 + I164))</f>
        <v>#VALUE!</v>
      </c>
      <c r="P164" s="3" t="e">
        <f>IF(H164 + J164 = 0, "", (H164 * L164 + J164 * N164) / (H164 + J164))</f>
        <v>#VALUE!</v>
      </c>
      <c r="Q164" s="3" t="e">
        <f>IF(O164 = "", "", O164 - P164)</f>
        <v>#VALUE!</v>
      </c>
      <c r="R164" s="3" t="e">
        <f>LOOKUP(C164, SweepStudyConfig[StudyId], SweepStudyConfig[SweepCorrectedGap])</f>
        <v>#VALUE!</v>
      </c>
      <c r="S164" s="3" t="e">
        <f>IF(Q164 = "", "", Q164 - R164)</f>
        <v>#VALUE!</v>
      </c>
    </row>
    <row r="165">
      <c r="A165" s="2" t="s">
        <v>3453</v>
      </c>
      <c r="B165" s="3" t="str">
        <f>A165</f>
        <v>rogers-nicewander-1988-f035</v>
      </c>
      <c r="C165" s="2" t="s">
        <v>488</v>
      </c>
      <c r="D165" s="2">
        <v>0.35</v>
      </c>
      <c r="E165" s="3" t="e">
        <f>ABS(D165 - LOOKUP(C165, SweepStudyConfig[StudyId], SweepStudyConfig[OriginalAllocFractionA])) &lt; 0.03</f>
        <v>#VALUE!</v>
      </c>
      <c r="F165" s="3" t="e">
        <f>LOOKUP(C165, SweepStudyConfig[StudyId], SweepStudyConfig[NSweepStratumTotal])</f>
        <v>#VALUE!</v>
      </c>
      <c r="G165" s="3" t="e">
        <f>ROUND(F165 * D165)</f>
        <v>#VALUE!</v>
      </c>
      <c r="H165" s="3" t="e">
        <f>F165 - G165</f>
        <v>#VALUE!</v>
      </c>
      <c r="I165" s="3" t="e">
        <f>LOOKUP(C165, SweepStudyConfig[StudyId], SweepStudyConfig[NFixedA])</f>
        <v>#VALUE!</v>
      </c>
      <c r="J165" s="3" t="e">
        <f>LOOKUP(C165, SweepStudyConfig[StudyId], SweepStudyConfig[NFixedB])</f>
        <v>#VALUE!</v>
      </c>
      <c r="K165" s="3" t="e">
        <f>LOOKUP(C165, SweepStudyConfig[StudyId], SweepStudyConfig[SweepRateA])</f>
        <v>#VALUE!</v>
      </c>
      <c r="L165" s="3" t="e">
        <f>LOOKUP(C165, SweepStudyConfig[StudyId], SweepStudyConfig[SweepRateB])</f>
        <v>#VALUE!</v>
      </c>
      <c r="M165" s="3" t="e">
        <f>LOOKUP(C165, SweepStudyConfig[StudyId], SweepStudyConfig[FixedRateA])</f>
        <v>#VALUE!</v>
      </c>
      <c r="N165" s="3" t="e">
        <f>LOOKUP(C165, SweepStudyConfig[StudyId], SweepStudyConfig[FixedRateB])</f>
        <v>#VALUE!</v>
      </c>
      <c r="O165" s="3" t="e">
        <f>IF(G165 + I165 = 0, "", (G165 * K165 + I165 * M165) / (G165 + I165))</f>
        <v>#VALUE!</v>
      </c>
      <c r="P165" s="3" t="e">
        <f>IF(H165 + J165 = 0, "", (H165 * L165 + J165 * N165) / (H165 + J165))</f>
        <v>#VALUE!</v>
      </c>
      <c r="Q165" s="3" t="e">
        <f>IF(O165 = "", "", O165 - P165)</f>
        <v>#VALUE!</v>
      </c>
      <c r="R165" s="3" t="e">
        <f>LOOKUP(C165, SweepStudyConfig[StudyId], SweepStudyConfig[SweepCorrectedGap])</f>
        <v>#VALUE!</v>
      </c>
      <c r="S165" s="3" t="e">
        <f>IF(Q165 = "", "", Q165 - R165)</f>
        <v>#VALUE!</v>
      </c>
    </row>
    <row r="166">
      <c r="A166" s="2" t="s">
        <v>3454</v>
      </c>
      <c r="B166" s="3" t="str">
        <f>A166</f>
        <v>rogers-nicewander-1988-f045</v>
      </c>
      <c r="C166" s="2" t="s">
        <v>488</v>
      </c>
      <c r="D166" s="2">
        <v>0.45</v>
      </c>
      <c r="E166" s="3" t="e">
        <f>ABS(D166 - LOOKUP(C166, SweepStudyConfig[StudyId], SweepStudyConfig[OriginalAllocFractionA])) &lt; 0.03</f>
        <v>#VALUE!</v>
      </c>
      <c r="F166" s="3" t="e">
        <f>LOOKUP(C166, SweepStudyConfig[StudyId], SweepStudyConfig[NSweepStratumTotal])</f>
        <v>#VALUE!</v>
      </c>
      <c r="G166" s="3" t="e">
        <f>ROUND(F166 * D166)</f>
        <v>#VALUE!</v>
      </c>
      <c r="H166" s="3" t="e">
        <f>F166 - G166</f>
        <v>#VALUE!</v>
      </c>
      <c r="I166" s="3" t="e">
        <f>LOOKUP(C166, SweepStudyConfig[StudyId], SweepStudyConfig[NFixedA])</f>
        <v>#VALUE!</v>
      </c>
      <c r="J166" s="3" t="e">
        <f>LOOKUP(C166, SweepStudyConfig[StudyId], SweepStudyConfig[NFixedB])</f>
        <v>#VALUE!</v>
      </c>
      <c r="K166" s="3" t="e">
        <f>LOOKUP(C166, SweepStudyConfig[StudyId], SweepStudyConfig[SweepRateA])</f>
        <v>#VALUE!</v>
      </c>
      <c r="L166" s="3" t="e">
        <f>LOOKUP(C166, SweepStudyConfig[StudyId], SweepStudyConfig[SweepRateB])</f>
        <v>#VALUE!</v>
      </c>
      <c r="M166" s="3" t="e">
        <f>LOOKUP(C166, SweepStudyConfig[StudyId], SweepStudyConfig[FixedRateA])</f>
        <v>#VALUE!</v>
      </c>
      <c r="N166" s="3" t="e">
        <f>LOOKUP(C166, SweepStudyConfig[StudyId], SweepStudyConfig[FixedRateB])</f>
        <v>#VALUE!</v>
      </c>
      <c r="O166" s="3" t="e">
        <f>IF(G166 + I166 = 0, "", (G166 * K166 + I166 * M166) / (G166 + I166))</f>
        <v>#VALUE!</v>
      </c>
      <c r="P166" s="3" t="e">
        <f>IF(H166 + J166 = 0, "", (H166 * L166 + J166 * N166) / (H166 + J166))</f>
        <v>#VALUE!</v>
      </c>
      <c r="Q166" s="3" t="e">
        <f>IF(O166 = "", "", O166 - P166)</f>
        <v>#VALUE!</v>
      </c>
      <c r="R166" s="3" t="e">
        <f>LOOKUP(C166, SweepStudyConfig[StudyId], SweepStudyConfig[SweepCorrectedGap])</f>
        <v>#VALUE!</v>
      </c>
      <c r="S166" s="3" t="e">
        <f>IF(Q166 = "", "", Q166 - R166)</f>
        <v>#VALUE!</v>
      </c>
    </row>
    <row r="167">
      <c r="A167" s="2" t="s">
        <v>3455</v>
      </c>
      <c r="B167" s="3" t="str">
        <f>A167</f>
        <v>rogers-nicewander-1988-f055</v>
      </c>
      <c r="C167" s="2" t="s">
        <v>488</v>
      </c>
      <c r="D167" s="2">
        <v>0.55</v>
      </c>
      <c r="E167" s="3" t="e">
        <f>ABS(D167 - LOOKUP(C167, SweepStudyConfig[StudyId], SweepStudyConfig[OriginalAllocFractionA])) &lt; 0.03</f>
        <v>#VALUE!</v>
      </c>
      <c r="F167" s="3" t="e">
        <f>LOOKUP(C167, SweepStudyConfig[StudyId], SweepStudyConfig[NSweepStratumTotal])</f>
        <v>#VALUE!</v>
      </c>
      <c r="G167" s="3" t="e">
        <f>ROUND(F167 * D167)</f>
        <v>#VALUE!</v>
      </c>
      <c r="H167" s="3" t="e">
        <f>F167 - G167</f>
        <v>#VALUE!</v>
      </c>
      <c r="I167" s="3" t="e">
        <f>LOOKUP(C167, SweepStudyConfig[StudyId], SweepStudyConfig[NFixedA])</f>
        <v>#VALUE!</v>
      </c>
      <c r="J167" s="3" t="e">
        <f>LOOKUP(C167, SweepStudyConfig[StudyId], SweepStudyConfig[NFixedB])</f>
        <v>#VALUE!</v>
      </c>
      <c r="K167" s="3" t="e">
        <f>LOOKUP(C167, SweepStudyConfig[StudyId], SweepStudyConfig[SweepRateA])</f>
        <v>#VALUE!</v>
      </c>
      <c r="L167" s="3" t="e">
        <f>LOOKUP(C167, SweepStudyConfig[StudyId], SweepStudyConfig[SweepRateB])</f>
        <v>#VALUE!</v>
      </c>
      <c r="M167" s="3" t="e">
        <f>LOOKUP(C167, SweepStudyConfig[StudyId], SweepStudyConfig[FixedRateA])</f>
        <v>#VALUE!</v>
      </c>
      <c r="N167" s="3" t="e">
        <f>LOOKUP(C167, SweepStudyConfig[StudyId], SweepStudyConfig[FixedRateB])</f>
        <v>#VALUE!</v>
      </c>
      <c r="O167" s="3" t="e">
        <f>IF(G167 + I167 = 0, "", (G167 * K167 + I167 * M167) / (G167 + I167))</f>
        <v>#VALUE!</v>
      </c>
      <c r="P167" s="3" t="e">
        <f>IF(H167 + J167 = 0, "", (H167 * L167 + J167 * N167) / (H167 + J167))</f>
        <v>#VALUE!</v>
      </c>
      <c r="Q167" s="3" t="e">
        <f>IF(O167 = "", "", O167 - P167)</f>
        <v>#VALUE!</v>
      </c>
      <c r="R167" s="3" t="e">
        <f>LOOKUP(C167, SweepStudyConfig[StudyId], SweepStudyConfig[SweepCorrectedGap])</f>
        <v>#VALUE!</v>
      </c>
      <c r="S167" s="3" t="e">
        <f>IF(Q167 = "", "", Q167 - R167)</f>
        <v>#VALUE!</v>
      </c>
    </row>
    <row r="168">
      <c r="A168" s="2" t="s">
        <v>3456</v>
      </c>
      <c r="B168" s="3" t="str">
        <f>A168</f>
        <v>rogers-nicewander-1988-f065</v>
      </c>
      <c r="C168" s="2" t="s">
        <v>488</v>
      </c>
      <c r="D168" s="2">
        <v>0.65</v>
      </c>
      <c r="E168" s="3" t="e">
        <f>ABS(D168 - LOOKUP(C168, SweepStudyConfig[StudyId], SweepStudyConfig[OriginalAllocFractionA])) &lt; 0.03</f>
        <v>#VALUE!</v>
      </c>
      <c r="F168" s="3" t="e">
        <f>LOOKUP(C168, SweepStudyConfig[StudyId], SweepStudyConfig[NSweepStratumTotal])</f>
        <v>#VALUE!</v>
      </c>
      <c r="G168" s="3" t="e">
        <f>ROUND(F168 * D168)</f>
        <v>#VALUE!</v>
      </c>
      <c r="H168" s="3" t="e">
        <f>F168 - G168</f>
        <v>#VALUE!</v>
      </c>
      <c r="I168" s="3" t="e">
        <f>LOOKUP(C168, SweepStudyConfig[StudyId], SweepStudyConfig[NFixedA])</f>
        <v>#VALUE!</v>
      </c>
      <c r="J168" s="3" t="e">
        <f>LOOKUP(C168, SweepStudyConfig[StudyId], SweepStudyConfig[NFixedB])</f>
        <v>#VALUE!</v>
      </c>
      <c r="K168" s="3" t="e">
        <f>LOOKUP(C168, SweepStudyConfig[StudyId], SweepStudyConfig[SweepRateA])</f>
        <v>#VALUE!</v>
      </c>
      <c r="L168" s="3" t="e">
        <f>LOOKUP(C168, SweepStudyConfig[StudyId], SweepStudyConfig[SweepRateB])</f>
        <v>#VALUE!</v>
      </c>
      <c r="M168" s="3" t="e">
        <f>LOOKUP(C168, SweepStudyConfig[StudyId], SweepStudyConfig[FixedRateA])</f>
        <v>#VALUE!</v>
      </c>
      <c r="N168" s="3" t="e">
        <f>LOOKUP(C168, SweepStudyConfig[StudyId], SweepStudyConfig[FixedRateB])</f>
        <v>#VALUE!</v>
      </c>
      <c r="O168" s="3" t="e">
        <f>IF(G168 + I168 = 0, "", (G168 * K168 + I168 * M168) / (G168 + I168))</f>
        <v>#VALUE!</v>
      </c>
      <c r="P168" s="3" t="e">
        <f>IF(H168 + J168 = 0, "", (H168 * L168 + J168 * N168) / (H168 + J168))</f>
        <v>#VALUE!</v>
      </c>
      <c r="Q168" s="3" t="e">
        <f>IF(O168 = "", "", O168 - P168)</f>
        <v>#VALUE!</v>
      </c>
      <c r="R168" s="3" t="e">
        <f>LOOKUP(C168, SweepStudyConfig[StudyId], SweepStudyConfig[SweepCorrectedGap])</f>
        <v>#VALUE!</v>
      </c>
      <c r="S168" s="3" t="e">
        <f>IF(Q168 = "", "", Q168 - R168)</f>
        <v>#VALUE!</v>
      </c>
    </row>
    <row r="169">
      <c r="A169" s="2" t="s">
        <v>3457</v>
      </c>
      <c r="B169" s="3" t="str">
        <f>A169</f>
        <v>rogers-nicewander-1988-f075</v>
      </c>
      <c r="C169" s="2" t="s">
        <v>488</v>
      </c>
      <c r="D169" s="2">
        <v>0.75</v>
      </c>
      <c r="E169" s="3" t="e">
        <f>ABS(D169 - LOOKUP(C169, SweepStudyConfig[StudyId], SweepStudyConfig[OriginalAllocFractionA])) &lt; 0.03</f>
        <v>#VALUE!</v>
      </c>
      <c r="F169" s="3" t="e">
        <f>LOOKUP(C169, SweepStudyConfig[StudyId], SweepStudyConfig[NSweepStratumTotal])</f>
        <v>#VALUE!</v>
      </c>
      <c r="G169" s="3" t="e">
        <f>ROUND(F169 * D169)</f>
        <v>#VALUE!</v>
      </c>
      <c r="H169" s="3" t="e">
        <f>F169 - G169</f>
        <v>#VALUE!</v>
      </c>
      <c r="I169" s="3" t="e">
        <f>LOOKUP(C169, SweepStudyConfig[StudyId], SweepStudyConfig[NFixedA])</f>
        <v>#VALUE!</v>
      </c>
      <c r="J169" s="3" t="e">
        <f>LOOKUP(C169, SweepStudyConfig[StudyId], SweepStudyConfig[NFixedB])</f>
        <v>#VALUE!</v>
      </c>
      <c r="K169" s="3" t="e">
        <f>LOOKUP(C169, SweepStudyConfig[StudyId], SweepStudyConfig[SweepRateA])</f>
        <v>#VALUE!</v>
      </c>
      <c r="L169" s="3" t="e">
        <f>LOOKUP(C169, SweepStudyConfig[StudyId], SweepStudyConfig[SweepRateB])</f>
        <v>#VALUE!</v>
      </c>
      <c r="M169" s="3" t="e">
        <f>LOOKUP(C169, SweepStudyConfig[StudyId], SweepStudyConfig[FixedRateA])</f>
        <v>#VALUE!</v>
      </c>
      <c r="N169" s="3" t="e">
        <f>LOOKUP(C169, SweepStudyConfig[StudyId], SweepStudyConfig[FixedRateB])</f>
        <v>#VALUE!</v>
      </c>
      <c r="O169" s="3" t="e">
        <f>IF(G169 + I169 = 0, "", (G169 * K169 + I169 * M169) / (G169 + I169))</f>
        <v>#VALUE!</v>
      </c>
      <c r="P169" s="3" t="e">
        <f>IF(H169 + J169 = 0, "", (H169 * L169 + J169 * N169) / (H169 + J169))</f>
        <v>#VALUE!</v>
      </c>
      <c r="Q169" s="3" t="e">
        <f>IF(O169 = "", "", O169 - P169)</f>
        <v>#VALUE!</v>
      </c>
      <c r="R169" s="3" t="e">
        <f>LOOKUP(C169, SweepStudyConfig[StudyId], SweepStudyConfig[SweepCorrectedGap])</f>
        <v>#VALUE!</v>
      </c>
      <c r="S169" s="3" t="e">
        <f>IF(Q169 = "", "", Q169 - R169)</f>
        <v>#VALUE!</v>
      </c>
    </row>
    <row r="170">
      <c r="A170" s="2" t="s">
        <v>3458</v>
      </c>
      <c r="B170" s="3" t="str">
        <f>A170</f>
        <v>rogers-nicewander-1988-f085</v>
      </c>
      <c r="C170" s="2" t="s">
        <v>488</v>
      </c>
      <c r="D170" s="2">
        <v>0.85</v>
      </c>
      <c r="E170" s="3" t="e">
        <f>ABS(D170 - LOOKUP(C170, SweepStudyConfig[StudyId], SweepStudyConfig[OriginalAllocFractionA])) &lt; 0.03</f>
        <v>#VALUE!</v>
      </c>
      <c r="F170" s="3" t="e">
        <f>LOOKUP(C170, SweepStudyConfig[StudyId], SweepStudyConfig[NSweepStratumTotal])</f>
        <v>#VALUE!</v>
      </c>
      <c r="G170" s="3" t="e">
        <f>ROUND(F170 * D170)</f>
        <v>#VALUE!</v>
      </c>
      <c r="H170" s="3" t="e">
        <f>F170 - G170</f>
        <v>#VALUE!</v>
      </c>
      <c r="I170" s="3" t="e">
        <f>LOOKUP(C170, SweepStudyConfig[StudyId], SweepStudyConfig[NFixedA])</f>
        <v>#VALUE!</v>
      </c>
      <c r="J170" s="3" t="e">
        <f>LOOKUP(C170, SweepStudyConfig[StudyId], SweepStudyConfig[NFixedB])</f>
        <v>#VALUE!</v>
      </c>
      <c r="K170" s="3" t="e">
        <f>LOOKUP(C170, SweepStudyConfig[StudyId], SweepStudyConfig[SweepRateA])</f>
        <v>#VALUE!</v>
      </c>
      <c r="L170" s="3" t="e">
        <f>LOOKUP(C170, SweepStudyConfig[StudyId], SweepStudyConfig[SweepRateB])</f>
        <v>#VALUE!</v>
      </c>
      <c r="M170" s="3" t="e">
        <f>LOOKUP(C170, SweepStudyConfig[StudyId], SweepStudyConfig[FixedRateA])</f>
        <v>#VALUE!</v>
      </c>
      <c r="N170" s="3" t="e">
        <f>LOOKUP(C170, SweepStudyConfig[StudyId], SweepStudyConfig[FixedRateB])</f>
        <v>#VALUE!</v>
      </c>
      <c r="O170" s="3" t="e">
        <f>IF(G170 + I170 = 0, "", (G170 * K170 + I170 * M170) / (G170 + I170))</f>
        <v>#VALUE!</v>
      </c>
      <c r="P170" s="3" t="e">
        <f>IF(H170 + J170 = 0, "", (H170 * L170 + J170 * N170) / (H170 + J170))</f>
        <v>#VALUE!</v>
      </c>
      <c r="Q170" s="3" t="e">
        <f>IF(O170 = "", "", O170 - P170)</f>
        <v>#VALUE!</v>
      </c>
      <c r="R170" s="3" t="e">
        <f>LOOKUP(C170, SweepStudyConfig[StudyId], SweepStudyConfig[SweepCorrectedGap])</f>
        <v>#VALUE!</v>
      </c>
      <c r="S170" s="3" t="e">
        <f>IF(Q170 = "", "", Q170 - R170)</f>
        <v>#VALUE!</v>
      </c>
    </row>
    <row r="171">
      <c r="A171" s="2" t="s">
        <v>3459</v>
      </c>
      <c r="B171" s="3" t="str">
        <f>A171</f>
        <v>rogers-nicewander-1988-f095</v>
      </c>
      <c r="C171" s="2" t="s">
        <v>488</v>
      </c>
      <c r="D171" s="2">
        <v>0.95</v>
      </c>
      <c r="E171" s="3" t="e">
        <f>ABS(D171 - LOOKUP(C171, SweepStudyConfig[StudyId], SweepStudyConfig[OriginalAllocFractionA])) &lt; 0.03</f>
        <v>#VALUE!</v>
      </c>
      <c r="F171" s="3" t="e">
        <f>LOOKUP(C171, SweepStudyConfig[StudyId], SweepStudyConfig[NSweepStratumTotal])</f>
        <v>#VALUE!</v>
      </c>
      <c r="G171" s="3" t="e">
        <f>ROUND(F171 * D171)</f>
        <v>#VALUE!</v>
      </c>
      <c r="H171" s="3" t="e">
        <f>F171 - G171</f>
        <v>#VALUE!</v>
      </c>
      <c r="I171" s="3" t="e">
        <f>LOOKUP(C171, SweepStudyConfig[StudyId], SweepStudyConfig[NFixedA])</f>
        <v>#VALUE!</v>
      </c>
      <c r="J171" s="3" t="e">
        <f>LOOKUP(C171, SweepStudyConfig[StudyId], SweepStudyConfig[NFixedB])</f>
        <v>#VALUE!</v>
      </c>
      <c r="K171" s="3" t="e">
        <f>LOOKUP(C171, SweepStudyConfig[StudyId], SweepStudyConfig[SweepRateA])</f>
        <v>#VALUE!</v>
      </c>
      <c r="L171" s="3" t="e">
        <f>LOOKUP(C171, SweepStudyConfig[StudyId], SweepStudyConfig[SweepRateB])</f>
        <v>#VALUE!</v>
      </c>
      <c r="M171" s="3" t="e">
        <f>LOOKUP(C171, SweepStudyConfig[StudyId], SweepStudyConfig[FixedRateA])</f>
        <v>#VALUE!</v>
      </c>
      <c r="N171" s="3" t="e">
        <f>LOOKUP(C171, SweepStudyConfig[StudyId], SweepStudyConfig[FixedRateB])</f>
        <v>#VALUE!</v>
      </c>
      <c r="O171" s="3" t="e">
        <f>IF(G171 + I171 = 0, "", (G171 * K171 + I171 * M171) / (G171 + I171))</f>
        <v>#VALUE!</v>
      </c>
      <c r="P171" s="3" t="e">
        <f>IF(H171 + J171 = 0, "", (H171 * L171 + J171 * N171) / (H171 + J171))</f>
        <v>#VALUE!</v>
      </c>
      <c r="Q171" s="3" t="e">
        <f>IF(O171 = "", "", O171 - P171)</f>
        <v>#VALUE!</v>
      </c>
      <c r="R171" s="3" t="e">
        <f>LOOKUP(C171, SweepStudyConfig[StudyId], SweepStudyConfig[SweepCorrectedGap])</f>
        <v>#VALUE!</v>
      </c>
      <c r="S171" s="3" t="e">
        <f>IF(Q171 = "", "", Q171 - R171)</f>
        <v>#VALUE!</v>
      </c>
    </row>
    <row r="172">
      <c r="A172" s="2" t="s">
        <v>3460</v>
      </c>
      <c r="B172" s="3" t="str">
        <f>A172</f>
        <v>lucente-baseball-1995-f005</v>
      </c>
      <c r="C172" s="2" t="s">
        <v>492</v>
      </c>
      <c r="D172" s="2">
        <v>0.05</v>
      </c>
      <c r="E172" s="3" t="e">
        <f>ABS(D172 - LOOKUP(C172, SweepStudyConfig[StudyId], SweepStudyConfig[OriginalAllocFractionA])) &lt; 0.03</f>
        <v>#VALUE!</v>
      </c>
      <c r="F172" s="3" t="e">
        <f>LOOKUP(C172, SweepStudyConfig[StudyId], SweepStudyConfig[NSweepStratumTotal])</f>
        <v>#VALUE!</v>
      </c>
      <c r="G172" s="3" t="e">
        <f>ROUND(F172 * D172)</f>
        <v>#VALUE!</v>
      </c>
      <c r="H172" s="3" t="e">
        <f>F172 - G172</f>
        <v>#VALUE!</v>
      </c>
      <c r="I172" s="3" t="e">
        <f>LOOKUP(C172, SweepStudyConfig[StudyId], SweepStudyConfig[NFixedA])</f>
        <v>#VALUE!</v>
      </c>
      <c r="J172" s="3" t="e">
        <f>LOOKUP(C172, SweepStudyConfig[StudyId], SweepStudyConfig[NFixedB])</f>
        <v>#VALUE!</v>
      </c>
      <c r="K172" s="3" t="e">
        <f>LOOKUP(C172, SweepStudyConfig[StudyId], SweepStudyConfig[SweepRateA])</f>
        <v>#VALUE!</v>
      </c>
      <c r="L172" s="3" t="e">
        <f>LOOKUP(C172, SweepStudyConfig[StudyId], SweepStudyConfig[SweepRateB])</f>
        <v>#VALUE!</v>
      </c>
      <c r="M172" s="3" t="e">
        <f>LOOKUP(C172, SweepStudyConfig[StudyId], SweepStudyConfig[FixedRateA])</f>
        <v>#VALUE!</v>
      </c>
      <c r="N172" s="3" t="e">
        <f>LOOKUP(C172, SweepStudyConfig[StudyId], SweepStudyConfig[FixedRateB])</f>
        <v>#VALUE!</v>
      </c>
      <c r="O172" s="3" t="e">
        <f>IF(G172 + I172 = 0, "", (G172 * K172 + I172 * M172) / (G172 + I172))</f>
        <v>#VALUE!</v>
      </c>
      <c r="P172" s="3" t="e">
        <f>IF(H172 + J172 = 0, "", (H172 * L172 + J172 * N172) / (H172 + J172))</f>
        <v>#VALUE!</v>
      </c>
      <c r="Q172" s="3" t="e">
        <f>IF(O172 = "", "", O172 - P172)</f>
        <v>#VALUE!</v>
      </c>
      <c r="R172" s="3" t="e">
        <f>LOOKUP(C172, SweepStudyConfig[StudyId], SweepStudyConfig[SweepCorrectedGap])</f>
        <v>#VALUE!</v>
      </c>
      <c r="S172" s="3" t="e">
        <f>IF(Q172 = "", "", Q172 - R172)</f>
        <v>#VALUE!</v>
      </c>
    </row>
    <row r="173">
      <c r="A173" s="2" t="s">
        <v>3461</v>
      </c>
      <c r="B173" s="3" t="str">
        <f>A173</f>
        <v>lucente-baseball-1995-f015</v>
      </c>
      <c r="C173" s="2" t="s">
        <v>492</v>
      </c>
      <c r="D173" s="2">
        <v>0.15</v>
      </c>
      <c r="E173" s="3" t="e">
        <f>ABS(D173 - LOOKUP(C173, SweepStudyConfig[StudyId], SweepStudyConfig[OriginalAllocFractionA])) &lt; 0.03</f>
        <v>#VALUE!</v>
      </c>
      <c r="F173" s="3" t="e">
        <f>LOOKUP(C173, SweepStudyConfig[StudyId], SweepStudyConfig[NSweepStratumTotal])</f>
        <v>#VALUE!</v>
      </c>
      <c r="G173" s="3" t="e">
        <f>ROUND(F173 * D173)</f>
        <v>#VALUE!</v>
      </c>
      <c r="H173" s="3" t="e">
        <f>F173 - G173</f>
        <v>#VALUE!</v>
      </c>
      <c r="I173" s="3" t="e">
        <f>LOOKUP(C173, SweepStudyConfig[StudyId], SweepStudyConfig[NFixedA])</f>
        <v>#VALUE!</v>
      </c>
      <c r="J173" s="3" t="e">
        <f>LOOKUP(C173, SweepStudyConfig[StudyId], SweepStudyConfig[NFixedB])</f>
        <v>#VALUE!</v>
      </c>
      <c r="K173" s="3" t="e">
        <f>LOOKUP(C173, SweepStudyConfig[StudyId], SweepStudyConfig[SweepRateA])</f>
        <v>#VALUE!</v>
      </c>
      <c r="L173" s="3" t="e">
        <f>LOOKUP(C173, SweepStudyConfig[StudyId], SweepStudyConfig[SweepRateB])</f>
        <v>#VALUE!</v>
      </c>
      <c r="M173" s="3" t="e">
        <f>LOOKUP(C173, SweepStudyConfig[StudyId], SweepStudyConfig[FixedRateA])</f>
        <v>#VALUE!</v>
      </c>
      <c r="N173" s="3" t="e">
        <f>LOOKUP(C173, SweepStudyConfig[StudyId], SweepStudyConfig[FixedRateB])</f>
        <v>#VALUE!</v>
      </c>
      <c r="O173" s="3" t="e">
        <f>IF(G173 + I173 = 0, "", (G173 * K173 + I173 * M173) / (G173 + I173))</f>
        <v>#VALUE!</v>
      </c>
      <c r="P173" s="3" t="e">
        <f>IF(H173 + J173 = 0, "", (H173 * L173 + J173 * N173) / (H173 + J173))</f>
        <v>#VALUE!</v>
      </c>
      <c r="Q173" s="3" t="e">
        <f>IF(O173 = "", "", O173 - P173)</f>
        <v>#VALUE!</v>
      </c>
      <c r="R173" s="3" t="e">
        <f>LOOKUP(C173, SweepStudyConfig[StudyId], SweepStudyConfig[SweepCorrectedGap])</f>
        <v>#VALUE!</v>
      </c>
      <c r="S173" s="3" t="e">
        <f>IF(Q173 = "", "", Q173 - R173)</f>
        <v>#VALUE!</v>
      </c>
    </row>
    <row r="174">
      <c r="A174" s="2" t="s">
        <v>3462</v>
      </c>
      <c r="B174" s="3" t="str">
        <f>A174</f>
        <v>lucente-baseball-1995-f025</v>
      </c>
      <c r="C174" s="2" t="s">
        <v>492</v>
      </c>
      <c r="D174" s="2">
        <v>0.25</v>
      </c>
      <c r="E174" s="3" t="e">
        <f>ABS(D174 - LOOKUP(C174, SweepStudyConfig[StudyId], SweepStudyConfig[OriginalAllocFractionA])) &lt; 0.03</f>
        <v>#VALUE!</v>
      </c>
      <c r="F174" s="3" t="e">
        <f>LOOKUP(C174, SweepStudyConfig[StudyId], SweepStudyConfig[NSweepStratumTotal])</f>
        <v>#VALUE!</v>
      </c>
      <c r="G174" s="3" t="e">
        <f>ROUND(F174 * D174)</f>
        <v>#VALUE!</v>
      </c>
      <c r="H174" s="3" t="e">
        <f>F174 - G174</f>
        <v>#VALUE!</v>
      </c>
      <c r="I174" s="3" t="e">
        <f>LOOKUP(C174, SweepStudyConfig[StudyId], SweepStudyConfig[NFixedA])</f>
        <v>#VALUE!</v>
      </c>
      <c r="J174" s="3" t="e">
        <f>LOOKUP(C174, SweepStudyConfig[StudyId], SweepStudyConfig[NFixedB])</f>
        <v>#VALUE!</v>
      </c>
      <c r="K174" s="3" t="e">
        <f>LOOKUP(C174, SweepStudyConfig[StudyId], SweepStudyConfig[SweepRateA])</f>
        <v>#VALUE!</v>
      </c>
      <c r="L174" s="3" t="e">
        <f>LOOKUP(C174, SweepStudyConfig[StudyId], SweepStudyConfig[SweepRateB])</f>
        <v>#VALUE!</v>
      </c>
      <c r="M174" s="3" t="e">
        <f>LOOKUP(C174, SweepStudyConfig[StudyId], SweepStudyConfig[FixedRateA])</f>
        <v>#VALUE!</v>
      </c>
      <c r="N174" s="3" t="e">
        <f>LOOKUP(C174, SweepStudyConfig[StudyId], SweepStudyConfig[FixedRateB])</f>
        <v>#VALUE!</v>
      </c>
      <c r="O174" s="3" t="e">
        <f>IF(G174 + I174 = 0, "", (G174 * K174 + I174 * M174) / (G174 + I174))</f>
        <v>#VALUE!</v>
      </c>
      <c r="P174" s="3" t="e">
        <f>IF(H174 + J174 = 0, "", (H174 * L174 + J174 * N174) / (H174 + J174))</f>
        <v>#VALUE!</v>
      </c>
      <c r="Q174" s="3" t="e">
        <f>IF(O174 = "", "", O174 - P174)</f>
        <v>#VALUE!</v>
      </c>
      <c r="R174" s="3" t="e">
        <f>LOOKUP(C174, SweepStudyConfig[StudyId], SweepStudyConfig[SweepCorrectedGap])</f>
        <v>#VALUE!</v>
      </c>
      <c r="S174" s="3" t="e">
        <f>IF(Q174 = "", "", Q174 - R174)</f>
        <v>#VALUE!</v>
      </c>
    </row>
    <row r="175">
      <c r="A175" s="2" t="s">
        <v>3463</v>
      </c>
      <c r="B175" s="3" t="str">
        <f>A175</f>
        <v>lucente-baseball-1995-f035</v>
      </c>
      <c r="C175" s="2" t="s">
        <v>492</v>
      </c>
      <c r="D175" s="2">
        <v>0.35</v>
      </c>
      <c r="E175" s="3" t="e">
        <f>ABS(D175 - LOOKUP(C175, SweepStudyConfig[StudyId], SweepStudyConfig[OriginalAllocFractionA])) &lt; 0.03</f>
        <v>#VALUE!</v>
      </c>
      <c r="F175" s="3" t="e">
        <f>LOOKUP(C175, SweepStudyConfig[StudyId], SweepStudyConfig[NSweepStratumTotal])</f>
        <v>#VALUE!</v>
      </c>
      <c r="G175" s="3" t="e">
        <f>ROUND(F175 * D175)</f>
        <v>#VALUE!</v>
      </c>
      <c r="H175" s="3" t="e">
        <f>F175 - G175</f>
        <v>#VALUE!</v>
      </c>
      <c r="I175" s="3" t="e">
        <f>LOOKUP(C175, SweepStudyConfig[StudyId], SweepStudyConfig[NFixedA])</f>
        <v>#VALUE!</v>
      </c>
      <c r="J175" s="3" t="e">
        <f>LOOKUP(C175, SweepStudyConfig[StudyId], SweepStudyConfig[NFixedB])</f>
        <v>#VALUE!</v>
      </c>
      <c r="K175" s="3" t="e">
        <f>LOOKUP(C175, SweepStudyConfig[StudyId], SweepStudyConfig[SweepRateA])</f>
        <v>#VALUE!</v>
      </c>
      <c r="L175" s="3" t="e">
        <f>LOOKUP(C175, SweepStudyConfig[StudyId], SweepStudyConfig[SweepRateB])</f>
        <v>#VALUE!</v>
      </c>
      <c r="M175" s="3" t="e">
        <f>LOOKUP(C175, SweepStudyConfig[StudyId], SweepStudyConfig[FixedRateA])</f>
        <v>#VALUE!</v>
      </c>
      <c r="N175" s="3" t="e">
        <f>LOOKUP(C175, SweepStudyConfig[StudyId], SweepStudyConfig[FixedRateB])</f>
        <v>#VALUE!</v>
      </c>
      <c r="O175" s="3" t="e">
        <f>IF(G175 + I175 = 0, "", (G175 * K175 + I175 * M175) / (G175 + I175))</f>
        <v>#VALUE!</v>
      </c>
      <c r="P175" s="3" t="e">
        <f>IF(H175 + J175 = 0, "", (H175 * L175 + J175 * N175) / (H175 + J175))</f>
        <v>#VALUE!</v>
      </c>
      <c r="Q175" s="3" t="e">
        <f>IF(O175 = "", "", O175 - P175)</f>
        <v>#VALUE!</v>
      </c>
      <c r="R175" s="3" t="e">
        <f>LOOKUP(C175, SweepStudyConfig[StudyId], SweepStudyConfig[SweepCorrectedGap])</f>
        <v>#VALUE!</v>
      </c>
      <c r="S175" s="3" t="e">
        <f>IF(Q175 = "", "", Q175 - R175)</f>
        <v>#VALUE!</v>
      </c>
    </row>
    <row r="176">
      <c r="A176" s="2" t="s">
        <v>3464</v>
      </c>
      <c r="B176" s="3" t="str">
        <f>A176</f>
        <v>lucente-baseball-1995-f045</v>
      </c>
      <c r="C176" s="2" t="s">
        <v>492</v>
      </c>
      <c r="D176" s="2">
        <v>0.45</v>
      </c>
      <c r="E176" s="3" t="e">
        <f>ABS(D176 - LOOKUP(C176, SweepStudyConfig[StudyId], SweepStudyConfig[OriginalAllocFractionA])) &lt; 0.03</f>
        <v>#VALUE!</v>
      </c>
      <c r="F176" s="3" t="e">
        <f>LOOKUP(C176, SweepStudyConfig[StudyId], SweepStudyConfig[NSweepStratumTotal])</f>
        <v>#VALUE!</v>
      </c>
      <c r="G176" s="3" t="e">
        <f>ROUND(F176 * D176)</f>
        <v>#VALUE!</v>
      </c>
      <c r="H176" s="3" t="e">
        <f>F176 - G176</f>
        <v>#VALUE!</v>
      </c>
      <c r="I176" s="3" t="e">
        <f>LOOKUP(C176, SweepStudyConfig[StudyId], SweepStudyConfig[NFixedA])</f>
        <v>#VALUE!</v>
      </c>
      <c r="J176" s="3" t="e">
        <f>LOOKUP(C176, SweepStudyConfig[StudyId], SweepStudyConfig[NFixedB])</f>
        <v>#VALUE!</v>
      </c>
      <c r="K176" s="3" t="e">
        <f>LOOKUP(C176, SweepStudyConfig[StudyId], SweepStudyConfig[SweepRateA])</f>
        <v>#VALUE!</v>
      </c>
      <c r="L176" s="3" t="e">
        <f>LOOKUP(C176, SweepStudyConfig[StudyId], SweepStudyConfig[SweepRateB])</f>
        <v>#VALUE!</v>
      </c>
      <c r="M176" s="3" t="e">
        <f>LOOKUP(C176, SweepStudyConfig[StudyId], SweepStudyConfig[FixedRateA])</f>
        <v>#VALUE!</v>
      </c>
      <c r="N176" s="3" t="e">
        <f>LOOKUP(C176, SweepStudyConfig[StudyId], SweepStudyConfig[FixedRateB])</f>
        <v>#VALUE!</v>
      </c>
      <c r="O176" s="3" t="e">
        <f>IF(G176 + I176 = 0, "", (G176 * K176 + I176 * M176) / (G176 + I176))</f>
        <v>#VALUE!</v>
      </c>
      <c r="P176" s="3" t="e">
        <f>IF(H176 + J176 = 0, "", (H176 * L176 + J176 * N176) / (H176 + J176))</f>
        <v>#VALUE!</v>
      </c>
      <c r="Q176" s="3" t="e">
        <f>IF(O176 = "", "", O176 - P176)</f>
        <v>#VALUE!</v>
      </c>
      <c r="R176" s="3" t="e">
        <f>LOOKUP(C176, SweepStudyConfig[StudyId], SweepStudyConfig[SweepCorrectedGap])</f>
        <v>#VALUE!</v>
      </c>
      <c r="S176" s="3" t="e">
        <f>IF(Q176 = "", "", Q176 - R176)</f>
        <v>#VALUE!</v>
      </c>
    </row>
    <row r="177">
      <c r="A177" s="2" t="s">
        <v>3465</v>
      </c>
      <c r="B177" s="3" t="str">
        <f>A177</f>
        <v>lucente-baseball-1995-f055</v>
      </c>
      <c r="C177" s="2" t="s">
        <v>492</v>
      </c>
      <c r="D177" s="2">
        <v>0.55</v>
      </c>
      <c r="E177" s="3" t="e">
        <f>ABS(D177 - LOOKUP(C177, SweepStudyConfig[StudyId], SweepStudyConfig[OriginalAllocFractionA])) &lt; 0.03</f>
        <v>#VALUE!</v>
      </c>
      <c r="F177" s="3" t="e">
        <f>LOOKUP(C177, SweepStudyConfig[StudyId], SweepStudyConfig[NSweepStratumTotal])</f>
        <v>#VALUE!</v>
      </c>
      <c r="G177" s="3" t="e">
        <f>ROUND(F177 * D177)</f>
        <v>#VALUE!</v>
      </c>
      <c r="H177" s="3" t="e">
        <f>F177 - G177</f>
        <v>#VALUE!</v>
      </c>
      <c r="I177" s="3" t="e">
        <f>LOOKUP(C177, SweepStudyConfig[StudyId], SweepStudyConfig[NFixedA])</f>
        <v>#VALUE!</v>
      </c>
      <c r="J177" s="3" t="e">
        <f>LOOKUP(C177, SweepStudyConfig[StudyId], SweepStudyConfig[NFixedB])</f>
        <v>#VALUE!</v>
      </c>
      <c r="K177" s="3" t="e">
        <f>LOOKUP(C177, SweepStudyConfig[StudyId], SweepStudyConfig[SweepRateA])</f>
        <v>#VALUE!</v>
      </c>
      <c r="L177" s="3" t="e">
        <f>LOOKUP(C177, SweepStudyConfig[StudyId], SweepStudyConfig[SweepRateB])</f>
        <v>#VALUE!</v>
      </c>
      <c r="M177" s="3" t="e">
        <f>LOOKUP(C177, SweepStudyConfig[StudyId], SweepStudyConfig[FixedRateA])</f>
        <v>#VALUE!</v>
      </c>
      <c r="N177" s="3" t="e">
        <f>LOOKUP(C177, SweepStudyConfig[StudyId], SweepStudyConfig[FixedRateB])</f>
        <v>#VALUE!</v>
      </c>
      <c r="O177" s="3" t="e">
        <f>IF(G177 + I177 = 0, "", (G177 * K177 + I177 * M177) / (G177 + I177))</f>
        <v>#VALUE!</v>
      </c>
      <c r="P177" s="3" t="e">
        <f>IF(H177 + J177 = 0, "", (H177 * L177 + J177 * N177) / (H177 + J177))</f>
        <v>#VALUE!</v>
      </c>
      <c r="Q177" s="3" t="e">
        <f>IF(O177 = "", "", O177 - P177)</f>
        <v>#VALUE!</v>
      </c>
      <c r="R177" s="3" t="e">
        <f>LOOKUP(C177, SweepStudyConfig[StudyId], SweepStudyConfig[SweepCorrectedGap])</f>
        <v>#VALUE!</v>
      </c>
      <c r="S177" s="3" t="e">
        <f>IF(Q177 = "", "", Q177 - R177)</f>
        <v>#VALUE!</v>
      </c>
    </row>
    <row r="178">
      <c r="A178" s="2" t="s">
        <v>3466</v>
      </c>
      <c r="B178" s="3" t="str">
        <f>A178</f>
        <v>lucente-baseball-1995-f065</v>
      </c>
      <c r="C178" s="2" t="s">
        <v>492</v>
      </c>
      <c r="D178" s="2">
        <v>0.65</v>
      </c>
      <c r="E178" s="3" t="e">
        <f>ABS(D178 - LOOKUP(C178, SweepStudyConfig[StudyId], SweepStudyConfig[OriginalAllocFractionA])) &lt; 0.03</f>
        <v>#VALUE!</v>
      </c>
      <c r="F178" s="3" t="e">
        <f>LOOKUP(C178, SweepStudyConfig[StudyId], SweepStudyConfig[NSweepStratumTotal])</f>
        <v>#VALUE!</v>
      </c>
      <c r="G178" s="3" t="e">
        <f>ROUND(F178 * D178)</f>
        <v>#VALUE!</v>
      </c>
      <c r="H178" s="3" t="e">
        <f>F178 - G178</f>
        <v>#VALUE!</v>
      </c>
      <c r="I178" s="3" t="e">
        <f>LOOKUP(C178, SweepStudyConfig[StudyId], SweepStudyConfig[NFixedA])</f>
        <v>#VALUE!</v>
      </c>
      <c r="J178" s="3" t="e">
        <f>LOOKUP(C178, SweepStudyConfig[StudyId], SweepStudyConfig[NFixedB])</f>
        <v>#VALUE!</v>
      </c>
      <c r="K178" s="3" t="e">
        <f>LOOKUP(C178, SweepStudyConfig[StudyId], SweepStudyConfig[SweepRateA])</f>
        <v>#VALUE!</v>
      </c>
      <c r="L178" s="3" t="e">
        <f>LOOKUP(C178, SweepStudyConfig[StudyId], SweepStudyConfig[SweepRateB])</f>
        <v>#VALUE!</v>
      </c>
      <c r="M178" s="3" t="e">
        <f>LOOKUP(C178, SweepStudyConfig[StudyId], SweepStudyConfig[FixedRateA])</f>
        <v>#VALUE!</v>
      </c>
      <c r="N178" s="3" t="e">
        <f>LOOKUP(C178, SweepStudyConfig[StudyId], SweepStudyConfig[FixedRateB])</f>
        <v>#VALUE!</v>
      </c>
      <c r="O178" s="3" t="e">
        <f>IF(G178 + I178 = 0, "", (G178 * K178 + I178 * M178) / (G178 + I178))</f>
        <v>#VALUE!</v>
      </c>
      <c r="P178" s="3" t="e">
        <f>IF(H178 + J178 = 0, "", (H178 * L178 + J178 * N178) / (H178 + J178))</f>
        <v>#VALUE!</v>
      </c>
      <c r="Q178" s="3" t="e">
        <f>IF(O178 = "", "", O178 - P178)</f>
        <v>#VALUE!</v>
      </c>
      <c r="R178" s="3" t="e">
        <f>LOOKUP(C178, SweepStudyConfig[StudyId], SweepStudyConfig[SweepCorrectedGap])</f>
        <v>#VALUE!</v>
      </c>
      <c r="S178" s="3" t="e">
        <f>IF(Q178 = "", "", Q178 - R178)</f>
        <v>#VALUE!</v>
      </c>
    </row>
    <row r="179">
      <c r="A179" s="2" t="s">
        <v>3467</v>
      </c>
      <c r="B179" s="3" t="str">
        <f>A179</f>
        <v>lucente-baseball-1995-f075</v>
      </c>
      <c r="C179" s="2" t="s">
        <v>492</v>
      </c>
      <c r="D179" s="2">
        <v>0.75</v>
      </c>
      <c r="E179" s="3" t="e">
        <f>ABS(D179 - LOOKUP(C179, SweepStudyConfig[StudyId], SweepStudyConfig[OriginalAllocFractionA])) &lt; 0.03</f>
        <v>#VALUE!</v>
      </c>
      <c r="F179" s="3" t="e">
        <f>LOOKUP(C179, SweepStudyConfig[StudyId], SweepStudyConfig[NSweepStratumTotal])</f>
        <v>#VALUE!</v>
      </c>
      <c r="G179" s="3" t="e">
        <f>ROUND(F179 * D179)</f>
        <v>#VALUE!</v>
      </c>
      <c r="H179" s="3" t="e">
        <f>F179 - G179</f>
        <v>#VALUE!</v>
      </c>
      <c r="I179" s="3" t="e">
        <f>LOOKUP(C179, SweepStudyConfig[StudyId], SweepStudyConfig[NFixedA])</f>
        <v>#VALUE!</v>
      </c>
      <c r="J179" s="3" t="e">
        <f>LOOKUP(C179, SweepStudyConfig[StudyId], SweepStudyConfig[NFixedB])</f>
        <v>#VALUE!</v>
      </c>
      <c r="K179" s="3" t="e">
        <f>LOOKUP(C179, SweepStudyConfig[StudyId], SweepStudyConfig[SweepRateA])</f>
        <v>#VALUE!</v>
      </c>
      <c r="L179" s="3" t="e">
        <f>LOOKUP(C179, SweepStudyConfig[StudyId], SweepStudyConfig[SweepRateB])</f>
        <v>#VALUE!</v>
      </c>
      <c r="M179" s="3" t="e">
        <f>LOOKUP(C179, SweepStudyConfig[StudyId], SweepStudyConfig[FixedRateA])</f>
        <v>#VALUE!</v>
      </c>
      <c r="N179" s="3" t="e">
        <f>LOOKUP(C179, SweepStudyConfig[StudyId], SweepStudyConfig[FixedRateB])</f>
        <v>#VALUE!</v>
      </c>
      <c r="O179" s="3" t="e">
        <f>IF(G179 + I179 = 0, "", (G179 * K179 + I179 * M179) / (G179 + I179))</f>
        <v>#VALUE!</v>
      </c>
      <c r="P179" s="3" t="e">
        <f>IF(H179 + J179 = 0, "", (H179 * L179 + J179 * N179) / (H179 + J179))</f>
        <v>#VALUE!</v>
      </c>
      <c r="Q179" s="3" t="e">
        <f>IF(O179 = "", "", O179 - P179)</f>
        <v>#VALUE!</v>
      </c>
      <c r="R179" s="3" t="e">
        <f>LOOKUP(C179, SweepStudyConfig[StudyId], SweepStudyConfig[SweepCorrectedGap])</f>
        <v>#VALUE!</v>
      </c>
      <c r="S179" s="3" t="e">
        <f>IF(Q179 = "", "", Q179 - R179)</f>
        <v>#VALUE!</v>
      </c>
    </row>
    <row r="180">
      <c r="A180" s="2" t="s">
        <v>3468</v>
      </c>
      <c r="B180" s="3" t="str">
        <f>A180</f>
        <v>lucente-baseball-1995-f085</v>
      </c>
      <c r="C180" s="2" t="s">
        <v>492</v>
      </c>
      <c r="D180" s="2">
        <v>0.85</v>
      </c>
      <c r="E180" s="3" t="e">
        <f>ABS(D180 - LOOKUP(C180, SweepStudyConfig[StudyId], SweepStudyConfig[OriginalAllocFractionA])) &lt; 0.03</f>
        <v>#VALUE!</v>
      </c>
      <c r="F180" s="3" t="e">
        <f>LOOKUP(C180, SweepStudyConfig[StudyId], SweepStudyConfig[NSweepStratumTotal])</f>
        <v>#VALUE!</v>
      </c>
      <c r="G180" s="3" t="e">
        <f>ROUND(F180 * D180)</f>
        <v>#VALUE!</v>
      </c>
      <c r="H180" s="3" t="e">
        <f>F180 - G180</f>
        <v>#VALUE!</v>
      </c>
      <c r="I180" s="3" t="e">
        <f>LOOKUP(C180, SweepStudyConfig[StudyId], SweepStudyConfig[NFixedA])</f>
        <v>#VALUE!</v>
      </c>
      <c r="J180" s="3" t="e">
        <f>LOOKUP(C180, SweepStudyConfig[StudyId], SweepStudyConfig[NFixedB])</f>
        <v>#VALUE!</v>
      </c>
      <c r="K180" s="3" t="e">
        <f>LOOKUP(C180, SweepStudyConfig[StudyId], SweepStudyConfig[SweepRateA])</f>
        <v>#VALUE!</v>
      </c>
      <c r="L180" s="3" t="e">
        <f>LOOKUP(C180, SweepStudyConfig[StudyId], SweepStudyConfig[SweepRateB])</f>
        <v>#VALUE!</v>
      </c>
      <c r="M180" s="3" t="e">
        <f>LOOKUP(C180, SweepStudyConfig[StudyId], SweepStudyConfig[FixedRateA])</f>
        <v>#VALUE!</v>
      </c>
      <c r="N180" s="3" t="e">
        <f>LOOKUP(C180, SweepStudyConfig[StudyId], SweepStudyConfig[FixedRateB])</f>
        <v>#VALUE!</v>
      </c>
      <c r="O180" s="3" t="e">
        <f>IF(G180 + I180 = 0, "", (G180 * K180 + I180 * M180) / (G180 + I180))</f>
        <v>#VALUE!</v>
      </c>
      <c r="P180" s="3" t="e">
        <f>IF(H180 + J180 = 0, "", (H180 * L180 + J180 * N180) / (H180 + J180))</f>
        <v>#VALUE!</v>
      </c>
      <c r="Q180" s="3" t="e">
        <f>IF(O180 = "", "", O180 - P180)</f>
        <v>#VALUE!</v>
      </c>
      <c r="R180" s="3" t="e">
        <f>LOOKUP(C180, SweepStudyConfig[StudyId], SweepStudyConfig[SweepCorrectedGap])</f>
        <v>#VALUE!</v>
      </c>
      <c r="S180" s="3" t="e">
        <f>IF(Q180 = "", "", Q180 - R180)</f>
        <v>#VALUE!</v>
      </c>
    </row>
    <row r="181">
      <c r="A181" s="2" t="s">
        <v>3469</v>
      </c>
      <c r="B181" s="3" t="str">
        <f>A181</f>
        <v>lucente-baseball-1995-f095</v>
      </c>
      <c r="C181" s="2" t="s">
        <v>492</v>
      </c>
      <c r="D181" s="2">
        <v>0.95</v>
      </c>
      <c r="E181" s="3" t="e">
        <f>ABS(D181 - LOOKUP(C181, SweepStudyConfig[StudyId], SweepStudyConfig[OriginalAllocFractionA])) &lt; 0.03</f>
        <v>#VALUE!</v>
      </c>
      <c r="F181" s="3" t="e">
        <f>LOOKUP(C181, SweepStudyConfig[StudyId], SweepStudyConfig[NSweepStratumTotal])</f>
        <v>#VALUE!</v>
      </c>
      <c r="G181" s="3" t="e">
        <f>ROUND(F181 * D181)</f>
        <v>#VALUE!</v>
      </c>
      <c r="H181" s="3" t="e">
        <f>F181 - G181</f>
        <v>#VALUE!</v>
      </c>
      <c r="I181" s="3" t="e">
        <f>LOOKUP(C181, SweepStudyConfig[StudyId], SweepStudyConfig[NFixedA])</f>
        <v>#VALUE!</v>
      </c>
      <c r="J181" s="3" t="e">
        <f>LOOKUP(C181, SweepStudyConfig[StudyId], SweepStudyConfig[NFixedB])</f>
        <v>#VALUE!</v>
      </c>
      <c r="K181" s="3" t="e">
        <f>LOOKUP(C181, SweepStudyConfig[StudyId], SweepStudyConfig[SweepRateA])</f>
        <v>#VALUE!</v>
      </c>
      <c r="L181" s="3" t="e">
        <f>LOOKUP(C181, SweepStudyConfig[StudyId], SweepStudyConfig[SweepRateB])</f>
        <v>#VALUE!</v>
      </c>
      <c r="M181" s="3" t="e">
        <f>LOOKUP(C181, SweepStudyConfig[StudyId], SweepStudyConfig[FixedRateA])</f>
        <v>#VALUE!</v>
      </c>
      <c r="N181" s="3" t="e">
        <f>LOOKUP(C181, SweepStudyConfig[StudyId], SweepStudyConfig[FixedRateB])</f>
        <v>#VALUE!</v>
      </c>
      <c r="O181" s="3" t="e">
        <f>IF(G181 + I181 = 0, "", (G181 * K181 + I181 * M181) / (G181 + I181))</f>
        <v>#VALUE!</v>
      </c>
      <c r="P181" s="3" t="e">
        <f>IF(H181 + J181 = 0, "", (H181 * L181 + J181 * N181) / (H181 + J181))</f>
        <v>#VALUE!</v>
      </c>
      <c r="Q181" s="3" t="e">
        <f>IF(O181 = "", "", O181 - P181)</f>
        <v>#VALUE!</v>
      </c>
      <c r="R181" s="3" t="e">
        <f>LOOKUP(C181, SweepStudyConfig[StudyId], SweepStudyConfig[SweepCorrectedGap])</f>
        <v>#VALUE!</v>
      </c>
      <c r="S181" s="3" t="e">
        <f>IF(Q181 = "", "", Q181 - R181)</f>
        <v>#VALUE!</v>
      </c>
    </row>
    <row r="182">
      <c r="A182" s="2" t="s">
        <v>3470</v>
      </c>
      <c r="B182" s="3" t="str">
        <f>A182</f>
        <v>wilson-batting-2000-f005</v>
      </c>
      <c r="C182" s="2" t="s">
        <v>495</v>
      </c>
      <c r="D182" s="2">
        <v>0.05</v>
      </c>
      <c r="E182" s="3" t="e">
        <f>ABS(D182 - LOOKUP(C182, SweepStudyConfig[StudyId], SweepStudyConfig[OriginalAllocFractionA])) &lt; 0.03</f>
        <v>#VALUE!</v>
      </c>
      <c r="F182" s="3" t="e">
        <f>LOOKUP(C182, SweepStudyConfig[StudyId], SweepStudyConfig[NSweepStratumTotal])</f>
        <v>#VALUE!</v>
      </c>
      <c r="G182" s="3" t="e">
        <f>ROUND(F182 * D182)</f>
        <v>#VALUE!</v>
      </c>
      <c r="H182" s="3" t="e">
        <f>F182 - G182</f>
        <v>#VALUE!</v>
      </c>
      <c r="I182" s="3" t="e">
        <f>LOOKUP(C182, SweepStudyConfig[StudyId], SweepStudyConfig[NFixedA])</f>
        <v>#VALUE!</v>
      </c>
      <c r="J182" s="3" t="e">
        <f>LOOKUP(C182, SweepStudyConfig[StudyId], SweepStudyConfig[NFixedB])</f>
        <v>#VALUE!</v>
      </c>
      <c r="K182" s="3" t="e">
        <f>LOOKUP(C182, SweepStudyConfig[StudyId], SweepStudyConfig[SweepRateA])</f>
        <v>#VALUE!</v>
      </c>
      <c r="L182" s="3" t="e">
        <f>LOOKUP(C182, SweepStudyConfig[StudyId], SweepStudyConfig[SweepRateB])</f>
        <v>#VALUE!</v>
      </c>
      <c r="M182" s="3" t="e">
        <f>LOOKUP(C182, SweepStudyConfig[StudyId], SweepStudyConfig[FixedRateA])</f>
        <v>#VALUE!</v>
      </c>
      <c r="N182" s="3" t="e">
        <f>LOOKUP(C182, SweepStudyConfig[StudyId], SweepStudyConfig[FixedRateB])</f>
        <v>#VALUE!</v>
      </c>
      <c r="O182" s="3" t="e">
        <f>IF(G182 + I182 = 0, "", (G182 * K182 + I182 * M182) / (G182 + I182))</f>
        <v>#VALUE!</v>
      </c>
      <c r="P182" s="3" t="e">
        <f>IF(H182 + J182 = 0, "", (H182 * L182 + J182 * N182) / (H182 + J182))</f>
        <v>#VALUE!</v>
      </c>
      <c r="Q182" s="3" t="e">
        <f>IF(O182 = "", "", O182 - P182)</f>
        <v>#VALUE!</v>
      </c>
      <c r="R182" s="3" t="e">
        <f>LOOKUP(C182, SweepStudyConfig[StudyId], SweepStudyConfig[SweepCorrectedGap])</f>
        <v>#VALUE!</v>
      </c>
      <c r="S182" s="3" t="e">
        <f>IF(Q182 = "", "", Q182 - R182)</f>
        <v>#VALUE!</v>
      </c>
    </row>
    <row r="183">
      <c r="A183" s="2" t="s">
        <v>3471</v>
      </c>
      <c r="B183" s="3" t="str">
        <f>A183</f>
        <v>wilson-batting-2000-f015</v>
      </c>
      <c r="C183" s="2" t="s">
        <v>495</v>
      </c>
      <c r="D183" s="2">
        <v>0.15</v>
      </c>
      <c r="E183" s="3" t="e">
        <f>ABS(D183 - LOOKUP(C183, SweepStudyConfig[StudyId], SweepStudyConfig[OriginalAllocFractionA])) &lt; 0.03</f>
        <v>#VALUE!</v>
      </c>
      <c r="F183" s="3" t="e">
        <f>LOOKUP(C183, SweepStudyConfig[StudyId], SweepStudyConfig[NSweepStratumTotal])</f>
        <v>#VALUE!</v>
      </c>
      <c r="G183" s="3" t="e">
        <f>ROUND(F183 * D183)</f>
        <v>#VALUE!</v>
      </c>
      <c r="H183" s="3" t="e">
        <f>F183 - G183</f>
        <v>#VALUE!</v>
      </c>
      <c r="I183" s="3" t="e">
        <f>LOOKUP(C183, SweepStudyConfig[StudyId], SweepStudyConfig[NFixedA])</f>
        <v>#VALUE!</v>
      </c>
      <c r="J183" s="3" t="e">
        <f>LOOKUP(C183, SweepStudyConfig[StudyId], SweepStudyConfig[NFixedB])</f>
        <v>#VALUE!</v>
      </c>
      <c r="K183" s="3" t="e">
        <f>LOOKUP(C183, SweepStudyConfig[StudyId], SweepStudyConfig[SweepRateA])</f>
        <v>#VALUE!</v>
      </c>
      <c r="L183" s="3" t="e">
        <f>LOOKUP(C183, SweepStudyConfig[StudyId], SweepStudyConfig[SweepRateB])</f>
        <v>#VALUE!</v>
      </c>
      <c r="M183" s="3" t="e">
        <f>LOOKUP(C183, SweepStudyConfig[StudyId], SweepStudyConfig[FixedRateA])</f>
        <v>#VALUE!</v>
      </c>
      <c r="N183" s="3" t="e">
        <f>LOOKUP(C183, SweepStudyConfig[StudyId], SweepStudyConfig[FixedRateB])</f>
        <v>#VALUE!</v>
      </c>
      <c r="O183" s="3" t="e">
        <f>IF(G183 + I183 = 0, "", (G183 * K183 + I183 * M183) / (G183 + I183))</f>
        <v>#VALUE!</v>
      </c>
      <c r="P183" s="3" t="e">
        <f>IF(H183 + J183 = 0, "", (H183 * L183 + J183 * N183) / (H183 + J183))</f>
        <v>#VALUE!</v>
      </c>
      <c r="Q183" s="3" t="e">
        <f>IF(O183 = "", "", O183 - P183)</f>
        <v>#VALUE!</v>
      </c>
      <c r="R183" s="3" t="e">
        <f>LOOKUP(C183, SweepStudyConfig[StudyId], SweepStudyConfig[SweepCorrectedGap])</f>
        <v>#VALUE!</v>
      </c>
      <c r="S183" s="3" t="e">
        <f>IF(Q183 = "", "", Q183 - R183)</f>
        <v>#VALUE!</v>
      </c>
    </row>
    <row r="184">
      <c r="A184" s="2" t="s">
        <v>3472</v>
      </c>
      <c r="B184" s="3" t="str">
        <f>A184</f>
        <v>wilson-batting-2000-f025</v>
      </c>
      <c r="C184" s="2" t="s">
        <v>495</v>
      </c>
      <c r="D184" s="2">
        <v>0.25</v>
      </c>
      <c r="E184" s="3" t="e">
        <f>ABS(D184 - LOOKUP(C184, SweepStudyConfig[StudyId], SweepStudyConfig[OriginalAllocFractionA])) &lt; 0.03</f>
        <v>#VALUE!</v>
      </c>
      <c r="F184" s="3" t="e">
        <f>LOOKUP(C184, SweepStudyConfig[StudyId], SweepStudyConfig[NSweepStratumTotal])</f>
        <v>#VALUE!</v>
      </c>
      <c r="G184" s="3" t="e">
        <f>ROUND(F184 * D184)</f>
        <v>#VALUE!</v>
      </c>
      <c r="H184" s="3" t="e">
        <f>F184 - G184</f>
        <v>#VALUE!</v>
      </c>
      <c r="I184" s="3" t="e">
        <f>LOOKUP(C184, SweepStudyConfig[StudyId], SweepStudyConfig[NFixedA])</f>
        <v>#VALUE!</v>
      </c>
      <c r="J184" s="3" t="e">
        <f>LOOKUP(C184, SweepStudyConfig[StudyId], SweepStudyConfig[NFixedB])</f>
        <v>#VALUE!</v>
      </c>
      <c r="K184" s="3" t="e">
        <f>LOOKUP(C184, SweepStudyConfig[StudyId], SweepStudyConfig[SweepRateA])</f>
        <v>#VALUE!</v>
      </c>
      <c r="L184" s="3" t="e">
        <f>LOOKUP(C184, SweepStudyConfig[StudyId], SweepStudyConfig[SweepRateB])</f>
        <v>#VALUE!</v>
      </c>
      <c r="M184" s="3" t="e">
        <f>LOOKUP(C184, SweepStudyConfig[StudyId], SweepStudyConfig[FixedRateA])</f>
        <v>#VALUE!</v>
      </c>
      <c r="N184" s="3" t="e">
        <f>LOOKUP(C184, SweepStudyConfig[StudyId], SweepStudyConfig[FixedRateB])</f>
        <v>#VALUE!</v>
      </c>
      <c r="O184" s="3" t="e">
        <f>IF(G184 + I184 = 0, "", (G184 * K184 + I184 * M184) / (G184 + I184))</f>
        <v>#VALUE!</v>
      </c>
      <c r="P184" s="3" t="e">
        <f>IF(H184 + J184 = 0, "", (H184 * L184 + J184 * N184) / (H184 + J184))</f>
        <v>#VALUE!</v>
      </c>
      <c r="Q184" s="3" t="e">
        <f>IF(O184 = "", "", O184 - P184)</f>
        <v>#VALUE!</v>
      </c>
      <c r="R184" s="3" t="e">
        <f>LOOKUP(C184, SweepStudyConfig[StudyId], SweepStudyConfig[SweepCorrectedGap])</f>
        <v>#VALUE!</v>
      </c>
      <c r="S184" s="3" t="e">
        <f>IF(Q184 = "", "", Q184 - R184)</f>
        <v>#VALUE!</v>
      </c>
    </row>
    <row r="185">
      <c r="A185" s="2" t="s">
        <v>3473</v>
      </c>
      <c r="B185" s="3" t="str">
        <f>A185</f>
        <v>wilson-batting-2000-f035</v>
      </c>
      <c r="C185" s="2" t="s">
        <v>495</v>
      </c>
      <c r="D185" s="2">
        <v>0.35</v>
      </c>
      <c r="E185" s="3" t="e">
        <f>ABS(D185 - LOOKUP(C185, SweepStudyConfig[StudyId], SweepStudyConfig[OriginalAllocFractionA])) &lt; 0.03</f>
        <v>#VALUE!</v>
      </c>
      <c r="F185" s="3" t="e">
        <f>LOOKUP(C185, SweepStudyConfig[StudyId], SweepStudyConfig[NSweepStratumTotal])</f>
        <v>#VALUE!</v>
      </c>
      <c r="G185" s="3" t="e">
        <f>ROUND(F185 * D185)</f>
        <v>#VALUE!</v>
      </c>
      <c r="H185" s="3" t="e">
        <f>F185 - G185</f>
        <v>#VALUE!</v>
      </c>
      <c r="I185" s="3" t="e">
        <f>LOOKUP(C185, SweepStudyConfig[StudyId], SweepStudyConfig[NFixedA])</f>
        <v>#VALUE!</v>
      </c>
      <c r="J185" s="3" t="e">
        <f>LOOKUP(C185, SweepStudyConfig[StudyId], SweepStudyConfig[NFixedB])</f>
        <v>#VALUE!</v>
      </c>
      <c r="K185" s="3" t="e">
        <f>LOOKUP(C185, SweepStudyConfig[StudyId], SweepStudyConfig[SweepRateA])</f>
        <v>#VALUE!</v>
      </c>
      <c r="L185" s="3" t="e">
        <f>LOOKUP(C185, SweepStudyConfig[StudyId], SweepStudyConfig[SweepRateB])</f>
        <v>#VALUE!</v>
      </c>
      <c r="M185" s="3" t="e">
        <f>LOOKUP(C185, SweepStudyConfig[StudyId], SweepStudyConfig[FixedRateA])</f>
        <v>#VALUE!</v>
      </c>
      <c r="N185" s="3" t="e">
        <f>LOOKUP(C185, SweepStudyConfig[StudyId], SweepStudyConfig[FixedRateB])</f>
        <v>#VALUE!</v>
      </c>
      <c r="O185" s="3" t="e">
        <f>IF(G185 + I185 = 0, "", (G185 * K185 + I185 * M185) / (G185 + I185))</f>
        <v>#VALUE!</v>
      </c>
      <c r="P185" s="3" t="e">
        <f>IF(H185 + J185 = 0, "", (H185 * L185 + J185 * N185) / (H185 + J185))</f>
        <v>#VALUE!</v>
      </c>
      <c r="Q185" s="3" t="e">
        <f>IF(O185 = "", "", O185 - P185)</f>
        <v>#VALUE!</v>
      </c>
      <c r="R185" s="3" t="e">
        <f>LOOKUP(C185, SweepStudyConfig[StudyId], SweepStudyConfig[SweepCorrectedGap])</f>
        <v>#VALUE!</v>
      </c>
      <c r="S185" s="3" t="e">
        <f>IF(Q185 = "", "", Q185 - R185)</f>
        <v>#VALUE!</v>
      </c>
    </row>
    <row r="186">
      <c r="A186" s="2" t="s">
        <v>3474</v>
      </c>
      <c r="B186" s="3" t="str">
        <f>A186</f>
        <v>wilson-batting-2000-f045</v>
      </c>
      <c r="C186" s="2" t="s">
        <v>495</v>
      </c>
      <c r="D186" s="2">
        <v>0.45</v>
      </c>
      <c r="E186" s="3" t="e">
        <f>ABS(D186 - LOOKUP(C186, SweepStudyConfig[StudyId], SweepStudyConfig[OriginalAllocFractionA])) &lt; 0.03</f>
        <v>#VALUE!</v>
      </c>
      <c r="F186" s="3" t="e">
        <f>LOOKUP(C186, SweepStudyConfig[StudyId], SweepStudyConfig[NSweepStratumTotal])</f>
        <v>#VALUE!</v>
      </c>
      <c r="G186" s="3" t="e">
        <f>ROUND(F186 * D186)</f>
        <v>#VALUE!</v>
      </c>
      <c r="H186" s="3" t="e">
        <f>F186 - G186</f>
        <v>#VALUE!</v>
      </c>
      <c r="I186" s="3" t="e">
        <f>LOOKUP(C186, SweepStudyConfig[StudyId], SweepStudyConfig[NFixedA])</f>
        <v>#VALUE!</v>
      </c>
      <c r="J186" s="3" t="e">
        <f>LOOKUP(C186, SweepStudyConfig[StudyId], SweepStudyConfig[NFixedB])</f>
        <v>#VALUE!</v>
      </c>
      <c r="K186" s="3" t="e">
        <f>LOOKUP(C186, SweepStudyConfig[StudyId], SweepStudyConfig[SweepRateA])</f>
        <v>#VALUE!</v>
      </c>
      <c r="L186" s="3" t="e">
        <f>LOOKUP(C186, SweepStudyConfig[StudyId], SweepStudyConfig[SweepRateB])</f>
        <v>#VALUE!</v>
      </c>
      <c r="M186" s="3" t="e">
        <f>LOOKUP(C186, SweepStudyConfig[StudyId], SweepStudyConfig[FixedRateA])</f>
        <v>#VALUE!</v>
      </c>
      <c r="N186" s="3" t="e">
        <f>LOOKUP(C186, SweepStudyConfig[StudyId], SweepStudyConfig[FixedRateB])</f>
        <v>#VALUE!</v>
      </c>
      <c r="O186" s="3" t="e">
        <f>IF(G186 + I186 = 0, "", (G186 * K186 + I186 * M186) / (G186 + I186))</f>
        <v>#VALUE!</v>
      </c>
      <c r="P186" s="3" t="e">
        <f>IF(H186 + J186 = 0, "", (H186 * L186 + J186 * N186) / (H186 + J186))</f>
        <v>#VALUE!</v>
      </c>
      <c r="Q186" s="3" t="e">
        <f>IF(O186 = "", "", O186 - P186)</f>
        <v>#VALUE!</v>
      </c>
      <c r="R186" s="3" t="e">
        <f>LOOKUP(C186, SweepStudyConfig[StudyId], SweepStudyConfig[SweepCorrectedGap])</f>
        <v>#VALUE!</v>
      </c>
      <c r="S186" s="3" t="e">
        <f>IF(Q186 = "", "", Q186 - R186)</f>
        <v>#VALUE!</v>
      </c>
    </row>
    <row r="187">
      <c r="A187" s="2" t="s">
        <v>3475</v>
      </c>
      <c r="B187" s="3" t="str">
        <f>A187</f>
        <v>wilson-batting-2000-f055</v>
      </c>
      <c r="C187" s="2" t="s">
        <v>495</v>
      </c>
      <c r="D187" s="2">
        <v>0.55</v>
      </c>
      <c r="E187" s="3" t="e">
        <f>ABS(D187 - LOOKUP(C187, SweepStudyConfig[StudyId], SweepStudyConfig[OriginalAllocFractionA])) &lt; 0.03</f>
        <v>#VALUE!</v>
      </c>
      <c r="F187" s="3" t="e">
        <f>LOOKUP(C187, SweepStudyConfig[StudyId], SweepStudyConfig[NSweepStratumTotal])</f>
        <v>#VALUE!</v>
      </c>
      <c r="G187" s="3" t="e">
        <f>ROUND(F187 * D187)</f>
        <v>#VALUE!</v>
      </c>
      <c r="H187" s="3" t="e">
        <f>F187 - G187</f>
        <v>#VALUE!</v>
      </c>
      <c r="I187" s="3" t="e">
        <f>LOOKUP(C187, SweepStudyConfig[StudyId], SweepStudyConfig[NFixedA])</f>
        <v>#VALUE!</v>
      </c>
      <c r="J187" s="3" t="e">
        <f>LOOKUP(C187, SweepStudyConfig[StudyId], SweepStudyConfig[NFixedB])</f>
        <v>#VALUE!</v>
      </c>
      <c r="K187" s="3" t="e">
        <f>LOOKUP(C187, SweepStudyConfig[StudyId], SweepStudyConfig[SweepRateA])</f>
        <v>#VALUE!</v>
      </c>
      <c r="L187" s="3" t="e">
        <f>LOOKUP(C187, SweepStudyConfig[StudyId], SweepStudyConfig[SweepRateB])</f>
        <v>#VALUE!</v>
      </c>
      <c r="M187" s="3" t="e">
        <f>LOOKUP(C187, SweepStudyConfig[StudyId], SweepStudyConfig[FixedRateA])</f>
        <v>#VALUE!</v>
      </c>
      <c r="N187" s="3" t="e">
        <f>LOOKUP(C187, SweepStudyConfig[StudyId], SweepStudyConfig[FixedRateB])</f>
        <v>#VALUE!</v>
      </c>
      <c r="O187" s="3" t="e">
        <f>IF(G187 + I187 = 0, "", (G187 * K187 + I187 * M187) / (G187 + I187))</f>
        <v>#VALUE!</v>
      </c>
      <c r="P187" s="3" t="e">
        <f>IF(H187 + J187 = 0, "", (H187 * L187 + J187 * N187) / (H187 + J187))</f>
        <v>#VALUE!</v>
      </c>
      <c r="Q187" s="3" t="e">
        <f>IF(O187 = "", "", O187 - P187)</f>
        <v>#VALUE!</v>
      </c>
      <c r="R187" s="3" t="e">
        <f>LOOKUP(C187, SweepStudyConfig[StudyId], SweepStudyConfig[SweepCorrectedGap])</f>
        <v>#VALUE!</v>
      </c>
      <c r="S187" s="3" t="e">
        <f>IF(Q187 = "", "", Q187 - R187)</f>
        <v>#VALUE!</v>
      </c>
    </row>
    <row r="188">
      <c r="A188" s="2" t="s">
        <v>3476</v>
      </c>
      <c r="B188" s="3" t="str">
        <f>A188</f>
        <v>wilson-batting-2000-f065</v>
      </c>
      <c r="C188" s="2" t="s">
        <v>495</v>
      </c>
      <c r="D188" s="2">
        <v>0.65</v>
      </c>
      <c r="E188" s="3" t="e">
        <f>ABS(D188 - LOOKUP(C188, SweepStudyConfig[StudyId], SweepStudyConfig[OriginalAllocFractionA])) &lt; 0.03</f>
        <v>#VALUE!</v>
      </c>
      <c r="F188" s="3" t="e">
        <f>LOOKUP(C188, SweepStudyConfig[StudyId], SweepStudyConfig[NSweepStratumTotal])</f>
        <v>#VALUE!</v>
      </c>
      <c r="G188" s="3" t="e">
        <f>ROUND(F188 * D188)</f>
        <v>#VALUE!</v>
      </c>
      <c r="H188" s="3" t="e">
        <f>F188 - G188</f>
        <v>#VALUE!</v>
      </c>
      <c r="I188" s="3" t="e">
        <f>LOOKUP(C188, SweepStudyConfig[StudyId], SweepStudyConfig[NFixedA])</f>
        <v>#VALUE!</v>
      </c>
      <c r="J188" s="3" t="e">
        <f>LOOKUP(C188, SweepStudyConfig[StudyId], SweepStudyConfig[NFixedB])</f>
        <v>#VALUE!</v>
      </c>
      <c r="K188" s="3" t="e">
        <f>LOOKUP(C188, SweepStudyConfig[StudyId], SweepStudyConfig[SweepRateA])</f>
        <v>#VALUE!</v>
      </c>
      <c r="L188" s="3" t="e">
        <f>LOOKUP(C188, SweepStudyConfig[StudyId], SweepStudyConfig[SweepRateB])</f>
        <v>#VALUE!</v>
      </c>
      <c r="M188" s="3" t="e">
        <f>LOOKUP(C188, SweepStudyConfig[StudyId], SweepStudyConfig[FixedRateA])</f>
        <v>#VALUE!</v>
      </c>
      <c r="N188" s="3" t="e">
        <f>LOOKUP(C188, SweepStudyConfig[StudyId], SweepStudyConfig[FixedRateB])</f>
        <v>#VALUE!</v>
      </c>
      <c r="O188" s="3" t="e">
        <f>IF(G188 + I188 = 0, "", (G188 * K188 + I188 * M188) / (G188 + I188))</f>
        <v>#VALUE!</v>
      </c>
      <c r="P188" s="3" t="e">
        <f>IF(H188 + J188 = 0, "", (H188 * L188 + J188 * N188) / (H188 + J188))</f>
        <v>#VALUE!</v>
      </c>
      <c r="Q188" s="3" t="e">
        <f>IF(O188 = "", "", O188 - P188)</f>
        <v>#VALUE!</v>
      </c>
      <c r="R188" s="3" t="e">
        <f>LOOKUP(C188, SweepStudyConfig[StudyId], SweepStudyConfig[SweepCorrectedGap])</f>
        <v>#VALUE!</v>
      </c>
      <c r="S188" s="3" t="e">
        <f>IF(Q188 = "", "", Q188 - R188)</f>
        <v>#VALUE!</v>
      </c>
    </row>
    <row r="189">
      <c r="A189" s="2" t="s">
        <v>3477</v>
      </c>
      <c r="B189" s="3" t="str">
        <f>A189</f>
        <v>wilson-batting-2000-f075</v>
      </c>
      <c r="C189" s="2" t="s">
        <v>495</v>
      </c>
      <c r="D189" s="2">
        <v>0.75</v>
      </c>
      <c r="E189" s="3" t="e">
        <f>ABS(D189 - LOOKUP(C189, SweepStudyConfig[StudyId], SweepStudyConfig[OriginalAllocFractionA])) &lt; 0.03</f>
        <v>#VALUE!</v>
      </c>
      <c r="F189" s="3" t="e">
        <f>LOOKUP(C189, SweepStudyConfig[StudyId], SweepStudyConfig[NSweepStratumTotal])</f>
        <v>#VALUE!</v>
      </c>
      <c r="G189" s="3" t="e">
        <f>ROUND(F189 * D189)</f>
        <v>#VALUE!</v>
      </c>
      <c r="H189" s="3" t="e">
        <f>F189 - G189</f>
        <v>#VALUE!</v>
      </c>
      <c r="I189" s="3" t="e">
        <f>LOOKUP(C189, SweepStudyConfig[StudyId], SweepStudyConfig[NFixedA])</f>
        <v>#VALUE!</v>
      </c>
      <c r="J189" s="3" t="e">
        <f>LOOKUP(C189, SweepStudyConfig[StudyId], SweepStudyConfig[NFixedB])</f>
        <v>#VALUE!</v>
      </c>
      <c r="K189" s="3" t="e">
        <f>LOOKUP(C189, SweepStudyConfig[StudyId], SweepStudyConfig[SweepRateA])</f>
        <v>#VALUE!</v>
      </c>
      <c r="L189" s="3" t="e">
        <f>LOOKUP(C189, SweepStudyConfig[StudyId], SweepStudyConfig[SweepRateB])</f>
        <v>#VALUE!</v>
      </c>
      <c r="M189" s="3" t="e">
        <f>LOOKUP(C189, SweepStudyConfig[StudyId], SweepStudyConfig[FixedRateA])</f>
        <v>#VALUE!</v>
      </c>
      <c r="N189" s="3" t="e">
        <f>LOOKUP(C189, SweepStudyConfig[StudyId], SweepStudyConfig[FixedRateB])</f>
        <v>#VALUE!</v>
      </c>
      <c r="O189" s="3" t="e">
        <f>IF(G189 + I189 = 0, "", (G189 * K189 + I189 * M189) / (G189 + I189))</f>
        <v>#VALUE!</v>
      </c>
      <c r="P189" s="3" t="e">
        <f>IF(H189 + J189 = 0, "", (H189 * L189 + J189 * N189) / (H189 + J189))</f>
        <v>#VALUE!</v>
      </c>
      <c r="Q189" s="3" t="e">
        <f>IF(O189 = "", "", O189 - P189)</f>
        <v>#VALUE!</v>
      </c>
      <c r="R189" s="3" t="e">
        <f>LOOKUP(C189, SweepStudyConfig[StudyId], SweepStudyConfig[SweepCorrectedGap])</f>
        <v>#VALUE!</v>
      </c>
      <c r="S189" s="3" t="e">
        <f>IF(Q189 = "", "", Q189 - R189)</f>
        <v>#VALUE!</v>
      </c>
    </row>
    <row r="190">
      <c r="A190" s="2" t="s">
        <v>3478</v>
      </c>
      <c r="B190" s="3" t="str">
        <f>A190</f>
        <v>wilson-batting-2000-f085</v>
      </c>
      <c r="C190" s="2" t="s">
        <v>495</v>
      </c>
      <c r="D190" s="2">
        <v>0.85</v>
      </c>
      <c r="E190" s="3" t="e">
        <f>ABS(D190 - LOOKUP(C190, SweepStudyConfig[StudyId], SweepStudyConfig[OriginalAllocFractionA])) &lt; 0.03</f>
        <v>#VALUE!</v>
      </c>
      <c r="F190" s="3" t="e">
        <f>LOOKUP(C190, SweepStudyConfig[StudyId], SweepStudyConfig[NSweepStratumTotal])</f>
        <v>#VALUE!</v>
      </c>
      <c r="G190" s="3" t="e">
        <f>ROUND(F190 * D190)</f>
        <v>#VALUE!</v>
      </c>
      <c r="H190" s="3" t="e">
        <f>F190 - G190</f>
        <v>#VALUE!</v>
      </c>
      <c r="I190" s="3" t="e">
        <f>LOOKUP(C190, SweepStudyConfig[StudyId], SweepStudyConfig[NFixedA])</f>
        <v>#VALUE!</v>
      </c>
      <c r="J190" s="3" t="e">
        <f>LOOKUP(C190, SweepStudyConfig[StudyId], SweepStudyConfig[NFixedB])</f>
        <v>#VALUE!</v>
      </c>
      <c r="K190" s="3" t="e">
        <f>LOOKUP(C190, SweepStudyConfig[StudyId], SweepStudyConfig[SweepRateA])</f>
        <v>#VALUE!</v>
      </c>
      <c r="L190" s="3" t="e">
        <f>LOOKUP(C190, SweepStudyConfig[StudyId], SweepStudyConfig[SweepRateB])</f>
        <v>#VALUE!</v>
      </c>
      <c r="M190" s="3" t="e">
        <f>LOOKUP(C190, SweepStudyConfig[StudyId], SweepStudyConfig[FixedRateA])</f>
        <v>#VALUE!</v>
      </c>
      <c r="N190" s="3" t="e">
        <f>LOOKUP(C190, SweepStudyConfig[StudyId], SweepStudyConfig[FixedRateB])</f>
        <v>#VALUE!</v>
      </c>
      <c r="O190" s="3" t="e">
        <f>IF(G190 + I190 = 0, "", (G190 * K190 + I190 * M190) / (G190 + I190))</f>
        <v>#VALUE!</v>
      </c>
      <c r="P190" s="3" t="e">
        <f>IF(H190 + J190 = 0, "", (H190 * L190 + J190 * N190) / (H190 + J190))</f>
        <v>#VALUE!</v>
      </c>
      <c r="Q190" s="3" t="e">
        <f>IF(O190 = "", "", O190 - P190)</f>
        <v>#VALUE!</v>
      </c>
      <c r="R190" s="3" t="e">
        <f>LOOKUP(C190, SweepStudyConfig[StudyId], SweepStudyConfig[SweepCorrectedGap])</f>
        <v>#VALUE!</v>
      </c>
      <c r="S190" s="3" t="e">
        <f>IF(Q190 = "", "", Q190 - R190)</f>
        <v>#VALUE!</v>
      </c>
    </row>
    <row r="191">
      <c r="A191" s="2" t="s">
        <v>3479</v>
      </c>
      <c r="B191" s="3" t="str">
        <f>A191</f>
        <v>wilson-batting-2000-f095</v>
      </c>
      <c r="C191" s="2" t="s">
        <v>495</v>
      </c>
      <c r="D191" s="2">
        <v>0.95</v>
      </c>
      <c r="E191" s="3" t="e">
        <f>ABS(D191 - LOOKUP(C191, SweepStudyConfig[StudyId], SweepStudyConfig[OriginalAllocFractionA])) &lt; 0.03</f>
        <v>#VALUE!</v>
      </c>
      <c r="F191" s="3" t="e">
        <f>LOOKUP(C191, SweepStudyConfig[StudyId], SweepStudyConfig[NSweepStratumTotal])</f>
        <v>#VALUE!</v>
      </c>
      <c r="G191" s="3" t="e">
        <f>ROUND(F191 * D191)</f>
        <v>#VALUE!</v>
      </c>
      <c r="H191" s="3" t="e">
        <f>F191 - G191</f>
        <v>#VALUE!</v>
      </c>
      <c r="I191" s="3" t="e">
        <f>LOOKUP(C191, SweepStudyConfig[StudyId], SweepStudyConfig[NFixedA])</f>
        <v>#VALUE!</v>
      </c>
      <c r="J191" s="3" t="e">
        <f>LOOKUP(C191, SweepStudyConfig[StudyId], SweepStudyConfig[NFixedB])</f>
        <v>#VALUE!</v>
      </c>
      <c r="K191" s="3" t="e">
        <f>LOOKUP(C191, SweepStudyConfig[StudyId], SweepStudyConfig[SweepRateA])</f>
        <v>#VALUE!</v>
      </c>
      <c r="L191" s="3" t="e">
        <f>LOOKUP(C191, SweepStudyConfig[StudyId], SweepStudyConfig[SweepRateB])</f>
        <v>#VALUE!</v>
      </c>
      <c r="M191" s="3" t="e">
        <f>LOOKUP(C191, SweepStudyConfig[StudyId], SweepStudyConfig[FixedRateA])</f>
        <v>#VALUE!</v>
      </c>
      <c r="N191" s="3" t="e">
        <f>LOOKUP(C191, SweepStudyConfig[StudyId], SweepStudyConfig[FixedRateB])</f>
        <v>#VALUE!</v>
      </c>
      <c r="O191" s="3" t="e">
        <f>IF(G191 + I191 = 0, "", (G191 * K191 + I191 * M191) / (G191 + I191))</f>
        <v>#VALUE!</v>
      </c>
      <c r="P191" s="3" t="e">
        <f>IF(H191 + J191 = 0, "", (H191 * L191 + J191 * N191) / (H191 + J191))</f>
        <v>#VALUE!</v>
      </c>
      <c r="Q191" s="3" t="e">
        <f>IF(O191 = "", "", O191 - P191)</f>
        <v>#VALUE!</v>
      </c>
      <c r="R191" s="3" t="e">
        <f>LOOKUP(C191, SweepStudyConfig[StudyId], SweepStudyConfig[SweepCorrectedGap])</f>
        <v>#VALUE!</v>
      </c>
      <c r="S191" s="3" t="e">
        <f>IF(Q191 = "", "", Q191 - R191)</f>
        <v>#VALUE!</v>
      </c>
    </row>
    <row r="192">
      <c r="A192" s="2" t="s">
        <v>3480</v>
      </c>
      <c r="B192" s="3" t="str">
        <f>A192</f>
        <v>clemens-bly-1998-f005</v>
      </c>
      <c r="C192" s="2" t="s">
        <v>498</v>
      </c>
      <c r="D192" s="2">
        <v>0.05</v>
      </c>
      <c r="E192" s="3" t="e">
        <f>ABS(D192 - LOOKUP(C192, SweepStudyConfig[StudyId], SweepStudyConfig[OriginalAllocFractionA])) &lt; 0.03</f>
        <v>#VALUE!</v>
      </c>
      <c r="F192" s="3" t="e">
        <f>LOOKUP(C192, SweepStudyConfig[StudyId], SweepStudyConfig[NSweepStratumTotal])</f>
        <v>#VALUE!</v>
      </c>
      <c r="G192" s="3" t="e">
        <f>ROUND(F192 * D192)</f>
        <v>#VALUE!</v>
      </c>
      <c r="H192" s="3" t="e">
        <f>F192 - G192</f>
        <v>#VALUE!</v>
      </c>
      <c r="I192" s="3" t="e">
        <f>LOOKUP(C192, SweepStudyConfig[StudyId], SweepStudyConfig[NFixedA])</f>
        <v>#VALUE!</v>
      </c>
      <c r="J192" s="3" t="e">
        <f>LOOKUP(C192, SweepStudyConfig[StudyId], SweepStudyConfig[NFixedB])</f>
        <v>#VALUE!</v>
      </c>
      <c r="K192" s="3" t="e">
        <f>LOOKUP(C192, SweepStudyConfig[StudyId], SweepStudyConfig[SweepRateA])</f>
        <v>#VALUE!</v>
      </c>
      <c r="L192" s="3" t="e">
        <f>LOOKUP(C192, SweepStudyConfig[StudyId], SweepStudyConfig[SweepRateB])</f>
        <v>#VALUE!</v>
      </c>
      <c r="M192" s="3" t="e">
        <f>LOOKUP(C192, SweepStudyConfig[StudyId], SweepStudyConfig[FixedRateA])</f>
        <v>#VALUE!</v>
      </c>
      <c r="N192" s="3" t="e">
        <f>LOOKUP(C192, SweepStudyConfig[StudyId], SweepStudyConfig[FixedRateB])</f>
        <v>#VALUE!</v>
      </c>
      <c r="O192" s="3" t="e">
        <f>IF(G192 + I192 = 0, "", (G192 * K192 + I192 * M192) / (G192 + I192))</f>
        <v>#VALUE!</v>
      </c>
      <c r="P192" s="3" t="e">
        <f>IF(H192 + J192 = 0, "", (H192 * L192 + J192 * N192) / (H192 + J192))</f>
        <v>#VALUE!</v>
      </c>
      <c r="Q192" s="3" t="e">
        <f>IF(O192 = "", "", O192 - P192)</f>
        <v>#VALUE!</v>
      </c>
      <c r="R192" s="3" t="e">
        <f>LOOKUP(C192, SweepStudyConfig[StudyId], SweepStudyConfig[SweepCorrectedGap])</f>
        <v>#VALUE!</v>
      </c>
      <c r="S192" s="3" t="e">
        <f>IF(Q192 = "", "", Q192 - R192)</f>
        <v>#VALUE!</v>
      </c>
    </row>
    <row r="193">
      <c r="A193" s="2" t="s">
        <v>3481</v>
      </c>
      <c r="B193" s="3" t="str">
        <f>A193</f>
        <v>clemens-bly-1998-f015</v>
      </c>
      <c r="C193" s="2" t="s">
        <v>498</v>
      </c>
      <c r="D193" s="2">
        <v>0.15</v>
      </c>
      <c r="E193" s="3" t="e">
        <f>ABS(D193 - LOOKUP(C193, SweepStudyConfig[StudyId], SweepStudyConfig[OriginalAllocFractionA])) &lt; 0.03</f>
        <v>#VALUE!</v>
      </c>
      <c r="F193" s="3" t="e">
        <f>LOOKUP(C193, SweepStudyConfig[StudyId], SweepStudyConfig[NSweepStratumTotal])</f>
        <v>#VALUE!</v>
      </c>
      <c r="G193" s="3" t="e">
        <f>ROUND(F193 * D193)</f>
        <v>#VALUE!</v>
      </c>
      <c r="H193" s="3" t="e">
        <f>F193 - G193</f>
        <v>#VALUE!</v>
      </c>
      <c r="I193" s="3" t="e">
        <f>LOOKUP(C193, SweepStudyConfig[StudyId], SweepStudyConfig[NFixedA])</f>
        <v>#VALUE!</v>
      </c>
      <c r="J193" s="3" t="e">
        <f>LOOKUP(C193, SweepStudyConfig[StudyId], SweepStudyConfig[NFixedB])</f>
        <v>#VALUE!</v>
      </c>
      <c r="K193" s="3" t="e">
        <f>LOOKUP(C193, SweepStudyConfig[StudyId], SweepStudyConfig[SweepRateA])</f>
        <v>#VALUE!</v>
      </c>
      <c r="L193" s="3" t="e">
        <f>LOOKUP(C193, SweepStudyConfig[StudyId], SweepStudyConfig[SweepRateB])</f>
        <v>#VALUE!</v>
      </c>
      <c r="M193" s="3" t="e">
        <f>LOOKUP(C193, SweepStudyConfig[StudyId], SweepStudyConfig[FixedRateA])</f>
        <v>#VALUE!</v>
      </c>
      <c r="N193" s="3" t="e">
        <f>LOOKUP(C193, SweepStudyConfig[StudyId], SweepStudyConfig[FixedRateB])</f>
        <v>#VALUE!</v>
      </c>
      <c r="O193" s="3" t="e">
        <f>IF(G193 + I193 = 0, "", (G193 * K193 + I193 * M193) / (G193 + I193))</f>
        <v>#VALUE!</v>
      </c>
      <c r="P193" s="3" t="e">
        <f>IF(H193 + J193 = 0, "", (H193 * L193 + J193 * N193) / (H193 + J193))</f>
        <v>#VALUE!</v>
      </c>
      <c r="Q193" s="3" t="e">
        <f>IF(O193 = "", "", O193 - P193)</f>
        <v>#VALUE!</v>
      </c>
      <c r="R193" s="3" t="e">
        <f>LOOKUP(C193, SweepStudyConfig[StudyId], SweepStudyConfig[SweepCorrectedGap])</f>
        <v>#VALUE!</v>
      </c>
      <c r="S193" s="3" t="e">
        <f>IF(Q193 = "", "", Q193 - R193)</f>
        <v>#VALUE!</v>
      </c>
    </row>
    <row r="194">
      <c r="A194" s="2" t="s">
        <v>3482</v>
      </c>
      <c r="B194" s="3" t="str">
        <f>A194</f>
        <v>clemens-bly-1998-f025</v>
      </c>
      <c r="C194" s="2" t="s">
        <v>498</v>
      </c>
      <c r="D194" s="2">
        <v>0.25</v>
      </c>
      <c r="E194" s="3" t="e">
        <f>ABS(D194 - LOOKUP(C194, SweepStudyConfig[StudyId], SweepStudyConfig[OriginalAllocFractionA])) &lt; 0.03</f>
        <v>#VALUE!</v>
      </c>
      <c r="F194" s="3" t="e">
        <f>LOOKUP(C194, SweepStudyConfig[StudyId], SweepStudyConfig[NSweepStratumTotal])</f>
        <v>#VALUE!</v>
      </c>
      <c r="G194" s="3" t="e">
        <f>ROUND(F194 * D194)</f>
        <v>#VALUE!</v>
      </c>
      <c r="H194" s="3" t="e">
        <f>F194 - G194</f>
        <v>#VALUE!</v>
      </c>
      <c r="I194" s="3" t="e">
        <f>LOOKUP(C194, SweepStudyConfig[StudyId], SweepStudyConfig[NFixedA])</f>
        <v>#VALUE!</v>
      </c>
      <c r="J194" s="3" t="e">
        <f>LOOKUP(C194, SweepStudyConfig[StudyId], SweepStudyConfig[NFixedB])</f>
        <v>#VALUE!</v>
      </c>
      <c r="K194" s="3" t="e">
        <f>LOOKUP(C194, SweepStudyConfig[StudyId], SweepStudyConfig[SweepRateA])</f>
        <v>#VALUE!</v>
      </c>
      <c r="L194" s="3" t="e">
        <f>LOOKUP(C194, SweepStudyConfig[StudyId], SweepStudyConfig[SweepRateB])</f>
        <v>#VALUE!</v>
      </c>
      <c r="M194" s="3" t="e">
        <f>LOOKUP(C194, SweepStudyConfig[StudyId], SweepStudyConfig[FixedRateA])</f>
        <v>#VALUE!</v>
      </c>
      <c r="N194" s="3" t="e">
        <f>LOOKUP(C194, SweepStudyConfig[StudyId], SweepStudyConfig[FixedRateB])</f>
        <v>#VALUE!</v>
      </c>
      <c r="O194" s="3" t="e">
        <f>IF(G194 + I194 = 0, "", (G194 * K194 + I194 * M194) / (G194 + I194))</f>
        <v>#VALUE!</v>
      </c>
      <c r="P194" s="3" t="e">
        <f>IF(H194 + J194 = 0, "", (H194 * L194 + J194 * N194) / (H194 + J194))</f>
        <v>#VALUE!</v>
      </c>
      <c r="Q194" s="3" t="e">
        <f>IF(O194 = "", "", O194 - P194)</f>
        <v>#VALUE!</v>
      </c>
      <c r="R194" s="3" t="e">
        <f>LOOKUP(C194, SweepStudyConfig[StudyId], SweepStudyConfig[SweepCorrectedGap])</f>
        <v>#VALUE!</v>
      </c>
      <c r="S194" s="3" t="e">
        <f>IF(Q194 = "", "", Q194 - R194)</f>
        <v>#VALUE!</v>
      </c>
    </row>
    <row r="195">
      <c r="A195" s="2" t="s">
        <v>3483</v>
      </c>
      <c r="B195" s="3" t="str">
        <f>A195</f>
        <v>clemens-bly-1998-f035</v>
      </c>
      <c r="C195" s="2" t="s">
        <v>498</v>
      </c>
      <c r="D195" s="2">
        <v>0.35</v>
      </c>
      <c r="E195" s="3" t="e">
        <f>ABS(D195 - LOOKUP(C195, SweepStudyConfig[StudyId], SweepStudyConfig[OriginalAllocFractionA])) &lt; 0.03</f>
        <v>#VALUE!</v>
      </c>
      <c r="F195" s="3" t="e">
        <f>LOOKUP(C195, SweepStudyConfig[StudyId], SweepStudyConfig[NSweepStratumTotal])</f>
        <v>#VALUE!</v>
      </c>
      <c r="G195" s="3" t="e">
        <f>ROUND(F195 * D195)</f>
        <v>#VALUE!</v>
      </c>
      <c r="H195" s="3" t="e">
        <f>F195 - G195</f>
        <v>#VALUE!</v>
      </c>
      <c r="I195" s="3" t="e">
        <f>LOOKUP(C195, SweepStudyConfig[StudyId], SweepStudyConfig[NFixedA])</f>
        <v>#VALUE!</v>
      </c>
      <c r="J195" s="3" t="e">
        <f>LOOKUP(C195, SweepStudyConfig[StudyId], SweepStudyConfig[NFixedB])</f>
        <v>#VALUE!</v>
      </c>
      <c r="K195" s="3" t="e">
        <f>LOOKUP(C195, SweepStudyConfig[StudyId], SweepStudyConfig[SweepRateA])</f>
        <v>#VALUE!</v>
      </c>
      <c r="L195" s="3" t="e">
        <f>LOOKUP(C195, SweepStudyConfig[StudyId], SweepStudyConfig[SweepRateB])</f>
        <v>#VALUE!</v>
      </c>
      <c r="M195" s="3" t="e">
        <f>LOOKUP(C195, SweepStudyConfig[StudyId], SweepStudyConfig[FixedRateA])</f>
        <v>#VALUE!</v>
      </c>
      <c r="N195" s="3" t="e">
        <f>LOOKUP(C195, SweepStudyConfig[StudyId], SweepStudyConfig[FixedRateB])</f>
        <v>#VALUE!</v>
      </c>
      <c r="O195" s="3" t="e">
        <f>IF(G195 + I195 = 0, "", (G195 * K195 + I195 * M195) / (G195 + I195))</f>
        <v>#VALUE!</v>
      </c>
      <c r="P195" s="3" t="e">
        <f>IF(H195 + J195 = 0, "", (H195 * L195 + J195 * N195) / (H195 + J195))</f>
        <v>#VALUE!</v>
      </c>
      <c r="Q195" s="3" t="e">
        <f>IF(O195 = "", "", O195 - P195)</f>
        <v>#VALUE!</v>
      </c>
      <c r="R195" s="3" t="e">
        <f>LOOKUP(C195, SweepStudyConfig[StudyId], SweepStudyConfig[SweepCorrectedGap])</f>
        <v>#VALUE!</v>
      </c>
      <c r="S195" s="3" t="e">
        <f>IF(Q195 = "", "", Q195 - R195)</f>
        <v>#VALUE!</v>
      </c>
    </row>
    <row r="196">
      <c r="A196" s="2" t="s">
        <v>3484</v>
      </c>
      <c r="B196" s="3" t="str">
        <f>A196</f>
        <v>clemens-bly-1998-f045</v>
      </c>
      <c r="C196" s="2" t="s">
        <v>498</v>
      </c>
      <c r="D196" s="2">
        <v>0.45</v>
      </c>
      <c r="E196" s="3" t="e">
        <f>ABS(D196 - LOOKUP(C196, SweepStudyConfig[StudyId], SweepStudyConfig[OriginalAllocFractionA])) &lt; 0.03</f>
        <v>#VALUE!</v>
      </c>
      <c r="F196" s="3" t="e">
        <f>LOOKUP(C196, SweepStudyConfig[StudyId], SweepStudyConfig[NSweepStratumTotal])</f>
        <v>#VALUE!</v>
      </c>
      <c r="G196" s="3" t="e">
        <f>ROUND(F196 * D196)</f>
        <v>#VALUE!</v>
      </c>
      <c r="H196" s="3" t="e">
        <f>F196 - G196</f>
        <v>#VALUE!</v>
      </c>
      <c r="I196" s="3" t="e">
        <f>LOOKUP(C196, SweepStudyConfig[StudyId], SweepStudyConfig[NFixedA])</f>
        <v>#VALUE!</v>
      </c>
      <c r="J196" s="3" t="e">
        <f>LOOKUP(C196, SweepStudyConfig[StudyId], SweepStudyConfig[NFixedB])</f>
        <v>#VALUE!</v>
      </c>
      <c r="K196" s="3" t="e">
        <f>LOOKUP(C196, SweepStudyConfig[StudyId], SweepStudyConfig[SweepRateA])</f>
        <v>#VALUE!</v>
      </c>
      <c r="L196" s="3" t="e">
        <f>LOOKUP(C196, SweepStudyConfig[StudyId], SweepStudyConfig[SweepRateB])</f>
        <v>#VALUE!</v>
      </c>
      <c r="M196" s="3" t="e">
        <f>LOOKUP(C196, SweepStudyConfig[StudyId], SweepStudyConfig[FixedRateA])</f>
        <v>#VALUE!</v>
      </c>
      <c r="N196" s="3" t="e">
        <f>LOOKUP(C196, SweepStudyConfig[StudyId], SweepStudyConfig[FixedRateB])</f>
        <v>#VALUE!</v>
      </c>
      <c r="O196" s="3" t="e">
        <f>IF(G196 + I196 = 0, "", (G196 * K196 + I196 * M196) / (G196 + I196))</f>
        <v>#VALUE!</v>
      </c>
      <c r="P196" s="3" t="e">
        <f>IF(H196 + J196 = 0, "", (H196 * L196 + J196 * N196) / (H196 + J196))</f>
        <v>#VALUE!</v>
      </c>
      <c r="Q196" s="3" t="e">
        <f>IF(O196 = "", "", O196 - P196)</f>
        <v>#VALUE!</v>
      </c>
      <c r="R196" s="3" t="e">
        <f>LOOKUP(C196, SweepStudyConfig[StudyId], SweepStudyConfig[SweepCorrectedGap])</f>
        <v>#VALUE!</v>
      </c>
      <c r="S196" s="3" t="e">
        <f>IF(Q196 = "", "", Q196 - R196)</f>
        <v>#VALUE!</v>
      </c>
    </row>
    <row r="197">
      <c r="A197" s="2" t="s">
        <v>3485</v>
      </c>
      <c r="B197" s="3" t="str">
        <f>A197</f>
        <v>clemens-bly-1998-f055</v>
      </c>
      <c r="C197" s="2" t="s">
        <v>498</v>
      </c>
      <c r="D197" s="2">
        <v>0.55</v>
      </c>
      <c r="E197" s="3" t="e">
        <f>ABS(D197 - LOOKUP(C197, SweepStudyConfig[StudyId], SweepStudyConfig[OriginalAllocFractionA])) &lt; 0.03</f>
        <v>#VALUE!</v>
      </c>
      <c r="F197" s="3" t="e">
        <f>LOOKUP(C197, SweepStudyConfig[StudyId], SweepStudyConfig[NSweepStratumTotal])</f>
        <v>#VALUE!</v>
      </c>
      <c r="G197" s="3" t="e">
        <f>ROUND(F197 * D197)</f>
        <v>#VALUE!</v>
      </c>
      <c r="H197" s="3" t="e">
        <f>F197 - G197</f>
        <v>#VALUE!</v>
      </c>
      <c r="I197" s="3" t="e">
        <f>LOOKUP(C197, SweepStudyConfig[StudyId], SweepStudyConfig[NFixedA])</f>
        <v>#VALUE!</v>
      </c>
      <c r="J197" s="3" t="e">
        <f>LOOKUP(C197, SweepStudyConfig[StudyId], SweepStudyConfig[NFixedB])</f>
        <v>#VALUE!</v>
      </c>
      <c r="K197" s="3" t="e">
        <f>LOOKUP(C197, SweepStudyConfig[StudyId], SweepStudyConfig[SweepRateA])</f>
        <v>#VALUE!</v>
      </c>
      <c r="L197" s="3" t="e">
        <f>LOOKUP(C197, SweepStudyConfig[StudyId], SweepStudyConfig[SweepRateB])</f>
        <v>#VALUE!</v>
      </c>
      <c r="M197" s="3" t="e">
        <f>LOOKUP(C197, SweepStudyConfig[StudyId], SweepStudyConfig[FixedRateA])</f>
        <v>#VALUE!</v>
      </c>
      <c r="N197" s="3" t="e">
        <f>LOOKUP(C197, SweepStudyConfig[StudyId], SweepStudyConfig[FixedRateB])</f>
        <v>#VALUE!</v>
      </c>
      <c r="O197" s="3" t="e">
        <f>IF(G197 + I197 = 0, "", (G197 * K197 + I197 * M197) / (G197 + I197))</f>
        <v>#VALUE!</v>
      </c>
      <c r="P197" s="3" t="e">
        <f>IF(H197 + J197 = 0, "", (H197 * L197 + J197 * N197) / (H197 + J197))</f>
        <v>#VALUE!</v>
      </c>
      <c r="Q197" s="3" t="e">
        <f>IF(O197 = "", "", O197 - P197)</f>
        <v>#VALUE!</v>
      </c>
      <c r="R197" s="3" t="e">
        <f>LOOKUP(C197, SweepStudyConfig[StudyId], SweepStudyConfig[SweepCorrectedGap])</f>
        <v>#VALUE!</v>
      </c>
      <c r="S197" s="3" t="e">
        <f>IF(Q197 = "", "", Q197 - R197)</f>
        <v>#VALUE!</v>
      </c>
    </row>
    <row r="198">
      <c r="A198" s="2" t="s">
        <v>3486</v>
      </c>
      <c r="B198" s="3" t="str">
        <f>A198</f>
        <v>clemens-bly-1998-f065</v>
      </c>
      <c r="C198" s="2" t="s">
        <v>498</v>
      </c>
      <c r="D198" s="2">
        <v>0.65</v>
      </c>
      <c r="E198" s="3" t="e">
        <f>ABS(D198 - LOOKUP(C198, SweepStudyConfig[StudyId], SweepStudyConfig[OriginalAllocFractionA])) &lt; 0.03</f>
        <v>#VALUE!</v>
      </c>
      <c r="F198" s="3" t="e">
        <f>LOOKUP(C198, SweepStudyConfig[StudyId], SweepStudyConfig[NSweepStratumTotal])</f>
        <v>#VALUE!</v>
      </c>
      <c r="G198" s="3" t="e">
        <f>ROUND(F198 * D198)</f>
        <v>#VALUE!</v>
      </c>
      <c r="H198" s="3" t="e">
        <f>F198 - G198</f>
        <v>#VALUE!</v>
      </c>
      <c r="I198" s="3" t="e">
        <f>LOOKUP(C198, SweepStudyConfig[StudyId], SweepStudyConfig[NFixedA])</f>
        <v>#VALUE!</v>
      </c>
      <c r="J198" s="3" t="e">
        <f>LOOKUP(C198, SweepStudyConfig[StudyId], SweepStudyConfig[NFixedB])</f>
        <v>#VALUE!</v>
      </c>
      <c r="K198" s="3" t="e">
        <f>LOOKUP(C198, SweepStudyConfig[StudyId], SweepStudyConfig[SweepRateA])</f>
        <v>#VALUE!</v>
      </c>
      <c r="L198" s="3" t="e">
        <f>LOOKUP(C198, SweepStudyConfig[StudyId], SweepStudyConfig[SweepRateB])</f>
        <v>#VALUE!</v>
      </c>
      <c r="M198" s="3" t="e">
        <f>LOOKUP(C198, SweepStudyConfig[StudyId], SweepStudyConfig[FixedRateA])</f>
        <v>#VALUE!</v>
      </c>
      <c r="N198" s="3" t="e">
        <f>LOOKUP(C198, SweepStudyConfig[StudyId], SweepStudyConfig[FixedRateB])</f>
        <v>#VALUE!</v>
      </c>
      <c r="O198" s="3" t="e">
        <f>IF(G198 + I198 = 0, "", (G198 * K198 + I198 * M198) / (G198 + I198))</f>
        <v>#VALUE!</v>
      </c>
      <c r="P198" s="3" t="e">
        <f>IF(H198 + J198 = 0, "", (H198 * L198 + J198 * N198) / (H198 + J198))</f>
        <v>#VALUE!</v>
      </c>
      <c r="Q198" s="3" t="e">
        <f>IF(O198 = "", "", O198 - P198)</f>
        <v>#VALUE!</v>
      </c>
      <c r="R198" s="3" t="e">
        <f>LOOKUP(C198, SweepStudyConfig[StudyId], SweepStudyConfig[SweepCorrectedGap])</f>
        <v>#VALUE!</v>
      </c>
      <c r="S198" s="3" t="e">
        <f>IF(Q198 = "", "", Q198 - R198)</f>
        <v>#VALUE!</v>
      </c>
    </row>
    <row r="199">
      <c r="A199" s="2" t="s">
        <v>3487</v>
      </c>
      <c r="B199" s="3" t="str">
        <f>A199</f>
        <v>clemens-bly-1998-f075</v>
      </c>
      <c r="C199" s="2" t="s">
        <v>498</v>
      </c>
      <c r="D199" s="2">
        <v>0.75</v>
      </c>
      <c r="E199" s="3" t="e">
        <f>ABS(D199 - LOOKUP(C199, SweepStudyConfig[StudyId], SweepStudyConfig[OriginalAllocFractionA])) &lt; 0.03</f>
        <v>#VALUE!</v>
      </c>
      <c r="F199" s="3" t="e">
        <f>LOOKUP(C199, SweepStudyConfig[StudyId], SweepStudyConfig[NSweepStratumTotal])</f>
        <v>#VALUE!</v>
      </c>
      <c r="G199" s="3" t="e">
        <f>ROUND(F199 * D199)</f>
        <v>#VALUE!</v>
      </c>
      <c r="H199" s="3" t="e">
        <f>F199 - G199</f>
        <v>#VALUE!</v>
      </c>
      <c r="I199" s="3" t="e">
        <f>LOOKUP(C199, SweepStudyConfig[StudyId], SweepStudyConfig[NFixedA])</f>
        <v>#VALUE!</v>
      </c>
      <c r="J199" s="3" t="e">
        <f>LOOKUP(C199, SweepStudyConfig[StudyId], SweepStudyConfig[NFixedB])</f>
        <v>#VALUE!</v>
      </c>
      <c r="K199" s="3" t="e">
        <f>LOOKUP(C199, SweepStudyConfig[StudyId], SweepStudyConfig[SweepRateA])</f>
        <v>#VALUE!</v>
      </c>
      <c r="L199" s="3" t="e">
        <f>LOOKUP(C199, SweepStudyConfig[StudyId], SweepStudyConfig[SweepRateB])</f>
        <v>#VALUE!</v>
      </c>
      <c r="M199" s="3" t="e">
        <f>LOOKUP(C199, SweepStudyConfig[StudyId], SweepStudyConfig[FixedRateA])</f>
        <v>#VALUE!</v>
      </c>
      <c r="N199" s="3" t="e">
        <f>LOOKUP(C199, SweepStudyConfig[StudyId], SweepStudyConfig[FixedRateB])</f>
        <v>#VALUE!</v>
      </c>
      <c r="O199" s="3" t="e">
        <f>IF(G199 + I199 = 0, "", (G199 * K199 + I199 * M199) / (G199 + I199))</f>
        <v>#VALUE!</v>
      </c>
      <c r="P199" s="3" t="e">
        <f>IF(H199 + J199 = 0, "", (H199 * L199 + J199 * N199) / (H199 + J199))</f>
        <v>#VALUE!</v>
      </c>
      <c r="Q199" s="3" t="e">
        <f>IF(O199 = "", "", O199 - P199)</f>
        <v>#VALUE!</v>
      </c>
      <c r="R199" s="3" t="e">
        <f>LOOKUP(C199, SweepStudyConfig[StudyId], SweepStudyConfig[SweepCorrectedGap])</f>
        <v>#VALUE!</v>
      </c>
      <c r="S199" s="3" t="e">
        <f>IF(Q199 = "", "", Q199 - R199)</f>
        <v>#VALUE!</v>
      </c>
    </row>
    <row r="200">
      <c r="A200" s="2" t="s">
        <v>3488</v>
      </c>
      <c r="B200" s="3" t="str">
        <f>A200</f>
        <v>clemens-bly-1998-f085</v>
      </c>
      <c r="C200" s="2" t="s">
        <v>498</v>
      </c>
      <c r="D200" s="2">
        <v>0.85</v>
      </c>
      <c r="E200" s="3" t="e">
        <f>ABS(D200 - LOOKUP(C200, SweepStudyConfig[StudyId], SweepStudyConfig[OriginalAllocFractionA])) &lt; 0.03</f>
        <v>#VALUE!</v>
      </c>
      <c r="F200" s="3" t="e">
        <f>LOOKUP(C200, SweepStudyConfig[StudyId], SweepStudyConfig[NSweepStratumTotal])</f>
        <v>#VALUE!</v>
      </c>
      <c r="G200" s="3" t="e">
        <f>ROUND(F200 * D200)</f>
        <v>#VALUE!</v>
      </c>
      <c r="H200" s="3" t="e">
        <f>F200 - G200</f>
        <v>#VALUE!</v>
      </c>
      <c r="I200" s="3" t="e">
        <f>LOOKUP(C200, SweepStudyConfig[StudyId], SweepStudyConfig[NFixedA])</f>
        <v>#VALUE!</v>
      </c>
      <c r="J200" s="3" t="e">
        <f>LOOKUP(C200, SweepStudyConfig[StudyId], SweepStudyConfig[NFixedB])</f>
        <v>#VALUE!</v>
      </c>
      <c r="K200" s="3" t="e">
        <f>LOOKUP(C200, SweepStudyConfig[StudyId], SweepStudyConfig[SweepRateA])</f>
        <v>#VALUE!</v>
      </c>
      <c r="L200" s="3" t="e">
        <f>LOOKUP(C200, SweepStudyConfig[StudyId], SweepStudyConfig[SweepRateB])</f>
        <v>#VALUE!</v>
      </c>
      <c r="M200" s="3" t="e">
        <f>LOOKUP(C200, SweepStudyConfig[StudyId], SweepStudyConfig[FixedRateA])</f>
        <v>#VALUE!</v>
      </c>
      <c r="N200" s="3" t="e">
        <f>LOOKUP(C200, SweepStudyConfig[StudyId], SweepStudyConfig[FixedRateB])</f>
        <v>#VALUE!</v>
      </c>
      <c r="O200" s="3" t="e">
        <f>IF(G200 + I200 = 0, "", (G200 * K200 + I200 * M200) / (G200 + I200))</f>
        <v>#VALUE!</v>
      </c>
      <c r="P200" s="3" t="e">
        <f>IF(H200 + J200 = 0, "", (H200 * L200 + J200 * N200) / (H200 + J200))</f>
        <v>#VALUE!</v>
      </c>
      <c r="Q200" s="3" t="e">
        <f>IF(O200 = "", "", O200 - P200)</f>
        <v>#VALUE!</v>
      </c>
      <c r="R200" s="3" t="e">
        <f>LOOKUP(C200, SweepStudyConfig[StudyId], SweepStudyConfig[SweepCorrectedGap])</f>
        <v>#VALUE!</v>
      </c>
      <c r="S200" s="3" t="e">
        <f>IF(Q200 = "", "", Q200 - R200)</f>
        <v>#VALUE!</v>
      </c>
    </row>
    <row r="201">
      <c r="A201" s="2" t="s">
        <v>3489</v>
      </c>
      <c r="B201" s="3" t="str">
        <f>A201</f>
        <v>clemens-bly-1998-f095</v>
      </c>
      <c r="C201" s="2" t="s">
        <v>498</v>
      </c>
      <c r="D201" s="2">
        <v>0.95</v>
      </c>
      <c r="E201" s="3" t="e">
        <f>ABS(D201 - LOOKUP(C201, SweepStudyConfig[StudyId], SweepStudyConfig[OriginalAllocFractionA])) &lt; 0.03</f>
        <v>#VALUE!</v>
      </c>
      <c r="F201" s="3" t="e">
        <f>LOOKUP(C201, SweepStudyConfig[StudyId], SweepStudyConfig[NSweepStratumTotal])</f>
        <v>#VALUE!</v>
      </c>
      <c r="G201" s="3" t="e">
        <f>ROUND(F201 * D201)</f>
        <v>#VALUE!</v>
      </c>
      <c r="H201" s="3" t="e">
        <f>F201 - G201</f>
        <v>#VALUE!</v>
      </c>
      <c r="I201" s="3" t="e">
        <f>LOOKUP(C201, SweepStudyConfig[StudyId], SweepStudyConfig[NFixedA])</f>
        <v>#VALUE!</v>
      </c>
      <c r="J201" s="3" t="e">
        <f>LOOKUP(C201, SweepStudyConfig[StudyId], SweepStudyConfig[NFixedB])</f>
        <v>#VALUE!</v>
      </c>
      <c r="K201" s="3" t="e">
        <f>LOOKUP(C201, SweepStudyConfig[StudyId], SweepStudyConfig[SweepRateA])</f>
        <v>#VALUE!</v>
      </c>
      <c r="L201" s="3" t="e">
        <f>LOOKUP(C201, SweepStudyConfig[StudyId], SweepStudyConfig[SweepRateB])</f>
        <v>#VALUE!</v>
      </c>
      <c r="M201" s="3" t="e">
        <f>LOOKUP(C201, SweepStudyConfig[StudyId], SweepStudyConfig[FixedRateA])</f>
        <v>#VALUE!</v>
      </c>
      <c r="N201" s="3" t="e">
        <f>LOOKUP(C201, SweepStudyConfig[StudyId], SweepStudyConfig[FixedRateB])</f>
        <v>#VALUE!</v>
      </c>
      <c r="O201" s="3" t="e">
        <f>IF(G201 + I201 = 0, "", (G201 * K201 + I201 * M201) / (G201 + I201))</f>
        <v>#VALUE!</v>
      </c>
      <c r="P201" s="3" t="e">
        <f>IF(H201 + J201 = 0, "", (H201 * L201 + J201 * N201) / (H201 + J201))</f>
        <v>#VALUE!</v>
      </c>
      <c r="Q201" s="3" t="e">
        <f>IF(O201 = "", "", O201 - P201)</f>
        <v>#VALUE!</v>
      </c>
      <c r="R201" s="3" t="e">
        <f>LOOKUP(C201, SweepStudyConfig[StudyId], SweepStudyConfig[SweepCorrectedGap])</f>
        <v>#VALUE!</v>
      </c>
      <c r="S201" s="3" t="e">
        <f>IF(Q201 = "", "", Q201 - R201)</f>
        <v>#VALUE!</v>
      </c>
    </row>
    <row r="202">
      <c r="A202" s="2" t="s">
        <v>3490</v>
      </c>
      <c r="B202" s="3" t="str">
        <f>A202</f>
        <v>open-university-1975-f005</v>
      </c>
      <c r="C202" s="2" t="s">
        <v>501</v>
      </c>
      <c r="D202" s="2">
        <v>0.05</v>
      </c>
      <c r="E202" s="3" t="e">
        <f>ABS(D202 - LOOKUP(C202, SweepStudyConfig[StudyId], SweepStudyConfig[OriginalAllocFractionA])) &lt; 0.03</f>
        <v>#VALUE!</v>
      </c>
      <c r="F202" s="3" t="e">
        <f>LOOKUP(C202, SweepStudyConfig[StudyId], SweepStudyConfig[NSweepStratumTotal])</f>
        <v>#VALUE!</v>
      </c>
      <c r="G202" s="3" t="e">
        <f>ROUND(F202 * D202)</f>
        <v>#VALUE!</v>
      </c>
      <c r="H202" s="3" t="e">
        <f>F202 - G202</f>
        <v>#VALUE!</v>
      </c>
      <c r="I202" s="3" t="e">
        <f>LOOKUP(C202, SweepStudyConfig[StudyId], SweepStudyConfig[NFixedA])</f>
        <v>#VALUE!</v>
      </c>
      <c r="J202" s="3" t="e">
        <f>LOOKUP(C202, SweepStudyConfig[StudyId], SweepStudyConfig[NFixedB])</f>
        <v>#VALUE!</v>
      </c>
      <c r="K202" s="3" t="e">
        <f>LOOKUP(C202, SweepStudyConfig[StudyId], SweepStudyConfig[SweepRateA])</f>
        <v>#VALUE!</v>
      </c>
      <c r="L202" s="3" t="e">
        <f>LOOKUP(C202, SweepStudyConfig[StudyId], SweepStudyConfig[SweepRateB])</f>
        <v>#VALUE!</v>
      </c>
      <c r="M202" s="3" t="e">
        <f>LOOKUP(C202, SweepStudyConfig[StudyId], SweepStudyConfig[FixedRateA])</f>
        <v>#VALUE!</v>
      </c>
      <c r="N202" s="3" t="e">
        <f>LOOKUP(C202, SweepStudyConfig[StudyId], SweepStudyConfig[FixedRateB])</f>
        <v>#VALUE!</v>
      </c>
      <c r="O202" s="3" t="e">
        <f>IF(G202 + I202 = 0, "", (G202 * K202 + I202 * M202) / (G202 + I202))</f>
        <v>#VALUE!</v>
      </c>
      <c r="P202" s="3" t="e">
        <f>IF(H202 + J202 = 0, "", (H202 * L202 + J202 * N202) / (H202 + J202))</f>
        <v>#VALUE!</v>
      </c>
      <c r="Q202" s="3" t="e">
        <f>IF(O202 = "", "", O202 - P202)</f>
        <v>#VALUE!</v>
      </c>
      <c r="R202" s="3" t="e">
        <f>LOOKUP(C202, SweepStudyConfig[StudyId], SweepStudyConfig[SweepCorrectedGap])</f>
        <v>#VALUE!</v>
      </c>
      <c r="S202" s="3" t="e">
        <f>IF(Q202 = "", "", Q202 - R202)</f>
        <v>#VALUE!</v>
      </c>
    </row>
    <row r="203">
      <c r="A203" s="2" t="s">
        <v>3491</v>
      </c>
      <c r="B203" s="3" t="str">
        <f>A203</f>
        <v>open-university-1975-f015</v>
      </c>
      <c r="C203" s="2" t="s">
        <v>501</v>
      </c>
      <c r="D203" s="2">
        <v>0.15</v>
      </c>
      <c r="E203" s="3" t="e">
        <f>ABS(D203 - LOOKUP(C203, SweepStudyConfig[StudyId], SweepStudyConfig[OriginalAllocFractionA])) &lt; 0.03</f>
        <v>#VALUE!</v>
      </c>
      <c r="F203" s="3" t="e">
        <f>LOOKUP(C203, SweepStudyConfig[StudyId], SweepStudyConfig[NSweepStratumTotal])</f>
        <v>#VALUE!</v>
      </c>
      <c r="G203" s="3" t="e">
        <f>ROUND(F203 * D203)</f>
        <v>#VALUE!</v>
      </c>
      <c r="H203" s="3" t="e">
        <f>F203 - G203</f>
        <v>#VALUE!</v>
      </c>
      <c r="I203" s="3" t="e">
        <f>LOOKUP(C203, SweepStudyConfig[StudyId], SweepStudyConfig[NFixedA])</f>
        <v>#VALUE!</v>
      </c>
      <c r="J203" s="3" t="e">
        <f>LOOKUP(C203, SweepStudyConfig[StudyId], SweepStudyConfig[NFixedB])</f>
        <v>#VALUE!</v>
      </c>
      <c r="K203" s="3" t="e">
        <f>LOOKUP(C203, SweepStudyConfig[StudyId], SweepStudyConfig[SweepRateA])</f>
        <v>#VALUE!</v>
      </c>
      <c r="L203" s="3" t="e">
        <f>LOOKUP(C203, SweepStudyConfig[StudyId], SweepStudyConfig[SweepRateB])</f>
        <v>#VALUE!</v>
      </c>
      <c r="M203" s="3" t="e">
        <f>LOOKUP(C203, SweepStudyConfig[StudyId], SweepStudyConfig[FixedRateA])</f>
        <v>#VALUE!</v>
      </c>
      <c r="N203" s="3" t="e">
        <f>LOOKUP(C203, SweepStudyConfig[StudyId], SweepStudyConfig[FixedRateB])</f>
        <v>#VALUE!</v>
      </c>
      <c r="O203" s="3" t="e">
        <f>IF(G203 + I203 = 0, "", (G203 * K203 + I203 * M203) / (G203 + I203))</f>
        <v>#VALUE!</v>
      </c>
      <c r="P203" s="3" t="e">
        <f>IF(H203 + J203 = 0, "", (H203 * L203 + J203 * N203) / (H203 + J203))</f>
        <v>#VALUE!</v>
      </c>
      <c r="Q203" s="3" t="e">
        <f>IF(O203 = "", "", O203 - P203)</f>
        <v>#VALUE!</v>
      </c>
      <c r="R203" s="3" t="e">
        <f>LOOKUP(C203, SweepStudyConfig[StudyId], SweepStudyConfig[SweepCorrectedGap])</f>
        <v>#VALUE!</v>
      </c>
      <c r="S203" s="3" t="e">
        <f>IF(Q203 = "", "", Q203 - R203)</f>
        <v>#VALUE!</v>
      </c>
    </row>
    <row r="204">
      <c r="A204" s="2" t="s">
        <v>3492</v>
      </c>
      <c r="B204" s="3" t="str">
        <f>A204</f>
        <v>open-university-1975-f025</v>
      </c>
      <c r="C204" s="2" t="s">
        <v>501</v>
      </c>
      <c r="D204" s="2">
        <v>0.25</v>
      </c>
      <c r="E204" s="3" t="e">
        <f>ABS(D204 - LOOKUP(C204, SweepStudyConfig[StudyId], SweepStudyConfig[OriginalAllocFractionA])) &lt; 0.03</f>
        <v>#VALUE!</v>
      </c>
      <c r="F204" s="3" t="e">
        <f>LOOKUP(C204, SweepStudyConfig[StudyId], SweepStudyConfig[NSweepStratumTotal])</f>
        <v>#VALUE!</v>
      </c>
      <c r="G204" s="3" t="e">
        <f>ROUND(F204 * D204)</f>
        <v>#VALUE!</v>
      </c>
      <c r="H204" s="3" t="e">
        <f>F204 - G204</f>
        <v>#VALUE!</v>
      </c>
      <c r="I204" s="3" t="e">
        <f>LOOKUP(C204, SweepStudyConfig[StudyId], SweepStudyConfig[NFixedA])</f>
        <v>#VALUE!</v>
      </c>
      <c r="J204" s="3" t="e">
        <f>LOOKUP(C204, SweepStudyConfig[StudyId], SweepStudyConfig[NFixedB])</f>
        <v>#VALUE!</v>
      </c>
      <c r="K204" s="3" t="e">
        <f>LOOKUP(C204, SweepStudyConfig[StudyId], SweepStudyConfig[SweepRateA])</f>
        <v>#VALUE!</v>
      </c>
      <c r="L204" s="3" t="e">
        <f>LOOKUP(C204, SweepStudyConfig[StudyId], SweepStudyConfig[SweepRateB])</f>
        <v>#VALUE!</v>
      </c>
      <c r="M204" s="3" t="e">
        <f>LOOKUP(C204, SweepStudyConfig[StudyId], SweepStudyConfig[FixedRateA])</f>
        <v>#VALUE!</v>
      </c>
      <c r="N204" s="3" t="e">
        <f>LOOKUP(C204, SweepStudyConfig[StudyId], SweepStudyConfig[FixedRateB])</f>
        <v>#VALUE!</v>
      </c>
      <c r="O204" s="3" t="e">
        <f>IF(G204 + I204 = 0, "", (G204 * K204 + I204 * M204) / (G204 + I204))</f>
        <v>#VALUE!</v>
      </c>
      <c r="P204" s="3" t="e">
        <f>IF(H204 + J204 = 0, "", (H204 * L204 + J204 * N204) / (H204 + J204))</f>
        <v>#VALUE!</v>
      </c>
      <c r="Q204" s="3" t="e">
        <f>IF(O204 = "", "", O204 - P204)</f>
        <v>#VALUE!</v>
      </c>
      <c r="R204" s="3" t="e">
        <f>LOOKUP(C204, SweepStudyConfig[StudyId], SweepStudyConfig[SweepCorrectedGap])</f>
        <v>#VALUE!</v>
      </c>
      <c r="S204" s="3" t="e">
        <f>IF(Q204 = "", "", Q204 - R204)</f>
        <v>#VALUE!</v>
      </c>
    </row>
    <row r="205">
      <c r="A205" s="2" t="s">
        <v>3493</v>
      </c>
      <c r="B205" s="3" t="str">
        <f>A205</f>
        <v>open-university-1975-f035</v>
      </c>
      <c r="C205" s="2" t="s">
        <v>501</v>
      </c>
      <c r="D205" s="2">
        <v>0.35</v>
      </c>
      <c r="E205" s="3" t="e">
        <f>ABS(D205 - LOOKUP(C205, SweepStudyConfig[StudyId], SweepStudyConfig[OriginalAllocFractionA])) &lt; 0.03</f>
        <v>#VALUE!</v>
      </c>
      <c r="F205" s="3" t="e">
        <f>LOOKUP(C205, SweepStudyConfig[StudyId], SweepStudyConfig[NSweepStratumTotal])</f>
        <v>#VALUE!</v>
      </c>
      <c r="G205" s="3" t="e">
        <f>ROUND(F205 * D205)</f>
        <v>#VALUE!</v>
      </c>
      <c r="H205" s="3" t="e">
        <f>F205 - G205</f>
        <v>#VALUE!</v>
      </c>
      <c r="I205" s="3" t="e">
        <f>LOOKUP(C205, SweepStudyConfig[StudyId], SweepStudyConfig[NFixedA])</f>
        <v>#VALUE!</v>
      </c>
      <c r="J205" s="3" t="e">
        <f>LOOKUP(C205, SweepStudyConfig[StudyId], SweepStudyConfig[NFixedB])</f>
        <v>#VALUE!</v>
      </c>
      <c r="K205" s="3" t="e">
        <f>LOOKUP(C205, SweepStudyConfig[StudyId], SweepStudyConfig[SweepRateA])</f>
        <v>#VALUE!</v>
      </c>
      <c r="L205" s="3" t="e">
        <f>LOOKUP(C205, SweepStudyConfig[StudyId], SweepStudyConfig[SweepRateB])</f>
        <v>#VALUE!</v>
      </c>
      <c r="M205" s="3" t="e">
        <f>LOOKUP(C205, SweepStudyConfig[StudyId], SweepStudyConfig[FixedRateA])</f>
        <v>#VALUE!</v>
      </c>
      <c r="N205" s="3" t="e">
        <f>LOOKUP(C205, SweepStudyConfig[StudyId], SweepStudyConfig[FixedRateB])</f>
        <v>#VALUE!</v>
      </c>
      <c r="O205" s="3" t="e">
        <f>IF(G205 + I205 = 0, "", (G205 * K205 + I205 * M205) / (G205 + I205))</f>
        <v>#VALUE!</v>
      </c>
      <c r="P205" s="3" t="e">
        <f>IF(H205 + J205 = 0, "", (H205 * L205 + J205 * N205) / (H205 + J205))</f>
        <v>#VALUE!</v>
      </c>
      <c r="Q205" s="3" t="e">
        <f>IF(O205 = "", "", O205 - P205)</f>
        <v>#VALUE!</v>
      </c>
      <c r="R205" s="3" t="e">
        <f>LOOKUP(C205, SweepStudyConfig[StudyId], SweepStudyConfig[SweepCorrectedGap])</f>
        <v>#VALUE!</v>
      </c>
      <c r="S205" s="3" t="e">
        <f>IF(Q205 = "", "", Q205 - R205)</f>
        <v>#VALUE!</v>
      </c>
    </row>
    <row r="206">
      <c r="A206" s="2" t="s">
        <v>3494</v>
      </c>
      <c r="B206" s="3" t="str">
        <f>A206</f>
        <v>open-university-1975-f045</v>
      </c>
      <c r="C206" s="2" t="s">
        <v>501</v>
      </c>
      <c r="D206" s="2">
        <v>0.45</v>
      </c>
      <c r="E206" s="3" t="e">
        <f>ABS(D206 - LOOKUP(C206, SweepStudyConfig[StudyId], SweepStudyConfig[OriginalAllocFractionA])) &lt; 0.03</f>
        <v>#VALUE!</v>
      </c>
      <c r="F206" s="3" t="e">
        <f>LOOKUP(C206, SweepStudyConfig[StudyId], SweepStudyConfig[NSweepStratumTotal])</f>
        <v>#VALUE!</v>
      </c>
      <c r="G206" s="3" t="e">
        <f>ROUND(F206 * D206)</f>
        <v>#VALUE!</v>
      </c>
      <c r="H206" s="3" t="e">
        <f>F206 - G206</f>
        <v>#VALUE!</v>
      </c>
      <c r="I206" s="3" t="e">
        <f>LOOKUP(C206, SweepStudyConfig[StudyId], SweepStudyConfig[NFixedA])</f>
        <v>#VALUE!</v>
      </c>
      <c r="J206" s="3" t="e">
        <f>LOOKUP(C206, SweepStudyConfig[StudyId], SweepStudyConfig[NFixedB])</f>
        <v>#VALUE!</v>
      </c>
      <c r="K206" s="3" t="e">
        <f>LOOKUP(C206, SweepStudyConfig[StudyId], SweepStudyConfig[SweepRateA])</f>
        <v>#VALUE!</v>
      </c>
      <c r="L206" s="3" t="e">
        <f>LOOKUP(C206, SweepStudyConfig[StudyId], SweepStudyConfig[SweepRateB])</f>
        <v>#VALUE!</v>
      </c>
      <c r="M206" s="3" t="e">
        <f>LOOKUP(C206, SweepStudyConfig[StudyId], SweepStudyConfig[FixedRateA])</f>
        <v>#VALUE!</v>
      </c>
      <c r="N206" s="3" t="e">
        <f>LOOKUP(C206, SweepStudyConfig[StudyId], SweepStudyConfig[FixedRateB])</f>
        <v>#VALUE!</v>
      </c>
      <c r="O206" s="3" t="e">
        <f>IF(G206 + I206 = 0, "", (G206 * K206 + I206 * M206) / (G206 + I206))</f>
        <v>#VALUE!</v>
      </c>
      <c r="P206" s="3" t="e">
        <f>IF(H206 + J206 = 0, "", (H206 * L206 + J206 * N206) / (H206 + J206))</f>
        <v>#VALUE!</v>
      </c>
      <c r="Q206" s="3" t="e">
        <f>IF(O206 = "", "", O206 - P206)</f>
        <v>#VALUE!</v>
      </c>
      <c r="R206" s="3" t="e">
        <f>LOOKUP(C206, SweepStudyConfig[StudyId], SweepStudyConfig[SweepCorrectedGap])</f>
        <v>#VALUE!</v>
      </c>
      <c r="S206" s="3" t="e">
        <f>IF(Q206 = "", "", Q206 - R206)</f>
        <v>#VALUE!</v>
      </c>
    </row>
    <row r="207">
      <c r="A207" s="2" t="s">
        <v>3495</v>
      </c>
      <c r="B207" s="3" t="str">
        <f>A207</f>
        <v>open-university-1975-f055</v>
      </c>
      <c r="C207" s="2" t="s">
        <v>501</v>
      </c>
      <c r="D207" s="2">
        <v>0.55</v>
      </c>
      <c r="E207" s="3" t="e">
        <f>ABS(D207 - LOOKUP(C207, SweepStudyConfig[StudyId], SweepStudyConfig[OriginalAllocFractionA])) &lt; 0.03</f>
        <v>#VALUE!</v>
      </c>
      <c r="F207" s="3" t="e">
        <f>LOOKUP(C207, SweepStudyConfig[StudyId], SweepStudyConfig[NSweepStratumTotal])</f>
        <v>#VALUE!</v>
      </c>
      <c r="G207" s="3" t="e">
        <f>ROUND(F207 * D207)</f>
        <v>#VALUE!</v>
      </c>
      <c r="H207" s="3" t="e">
        <f>F207 - G207</f>
        <v>#VALUE!</v>
      </c>
      <c r="I207" s="3" t="e">
        <f>LOOKUP(C207, SweepStudyConfig[StudyId], SweepStudyConfig[NFixedA])</f>
        <v>#VALUE!</v>
      </c>
      <c r="J207" s="3" t="e">
        <f>LOOKUP(C207, SweepStudyConfig[StudyId], SweepStudyConfig[NFixedB])</f>
        <v>#VALUE!</v>
      </c>
      <c r="K207" s="3" t="e">
        <f>LOOKUP(C207, SweepStudyConfig[StudyId], SweepStudyConfig[SweepRateA])</f>
        <v>#VALUE!</v>
      </c>
      <c r="L207" s="3" t="e">
        <f>LOOKUP(C207, SweepStudyConfig[StudyId], SweepStudyConfig[SweepRateB])</f>
        <v>#VALUE!</v>
      </c>
      <c r="M207" s="3" t="e">
        <f>LOOKUP(C207, SweepStudyConfig[StudyId], SweepStudyConfig[FixedRateA])</f>
        <v>#VALUE!</v>
      </c>
      <c r="N207" s="3" t="e">
        <f>LOOKUP(C207, SweepStudyConfig[StudyId], SweepStudyConfig[FixedRateB])</f>
        <v>#VALUE!</v>
      </c>
      <c r="O207" s="3" t="e">
        <f>IF(G207 + I207 = 0, "", (G207 * K207 + I207 * M207) / (G207 + I207))</f>
        <v>#VALUE!</v>
      </c>
      <c r="P207" s="3" t="e">
        <f>IF(H207 + J207 = 0, "", (H207 * L207 + J207 * N207) / (H207 + J207))</f>
        <v>#VALUE!</v>
      </c>
      <c r="Q207" s="3" t="e">
        <f>IF(O207 = "", "", O207 - P207)</f>
        <v>#VALUE!</v>
      </c>
      <c r="R207" s="3" t="e">
        <f>LOOKUP(C207, SweepStudyConfig[StudyId], SweepStudyConfig[SweepCorrectedGap])</f>
        <v>#VALUE!</v>
      </c>
      <c r="S207" s="3" t="e">
        <f>IF(Q207 = "", "", Q207 - R207)</f>
        <v>#VALUE!</v>
      </c>
    </row>
    <row r="208">
      <c r="A208" s="2" t="s">
        <v>3496</v>
      </c>
      <c r="B208" s="3" t="str">
        <f>A208</f>
        <v>open-university-1975-f065</v>
      </c>
      <c r="C208" s="2" t="s">
        <v>501</v>
      </c>
      <c r="D208" s="2">
        <v>0.65</v>
      </c>
      <c r="E208" s="3" t="e">
        <f>ABS(D208 - LOOKUP(C208, SweepStudyConfig[StudyId], SweepStudyConfig[OriginalAllocFractionA])) &lt; 0.03</f>
        <v>#VALUE!</v>
      </c>
      <c r="F208" s="3" t="e">
        <f>LOOKUP(C208, SweepStudyConfig[StudyId], SweepStudyConfig[NSweepStratumTotal])</f>
        <v>#VALUE!</v>
      </c>
      <c r="G208" s="3" t="e">
        <f>ROUND(F208 * D208)</f>
        <v>#VALUE!</v>
      </c>
      <c r="H208" s="3" t="e">
        <f>F208 - G208</f>
        <v>#VALUE!</v>
      </c>
      <c r="I208" s="3" t="e">
        <f>LOOKUP(C208, SweepStudyConfig[StudyId], SweepStudyConfig[NFixedA])</f>
        <v>#VALUE!</v>
      </c>
      <c r="J208" s="3" t="e">
        <f>LOOKUP(C208, SweepStudyConfig[StudyId], SweepStudyConfig[NFixedB])</f>
        <v>#VALUE!</v>
      </c>
      <c r="K208" s="3" t="e">
        <f>LOOKUP(C208, SweepStudyConfig[StudyId], SweepStudyConfig[SweepRateA])</f>
        <v>#VALUE!</v>
      </c>
      <c r="L208" s="3" t="e">
        <f>LOOKUP(C208, SweepStudyConfig[StudyId], SweepStudyConfig[SweepRateB])</f>
        <v>#VALUE!</v>
      </c>
      <c r="M208" s="3" t="e">
        <f>LOOKUP(C208, SweepStudyConfig[StudyId], SweepStudyConfig[FixedRateA])</f>
        <v>#VALUE!</v>
      </c>
      <c r="N208" s="3" t="e">
        <f>LOOKUP(C208, SweepStudyConfig[StudyId], SweepStudyConfig[FixedRateB])</f>
        <v>#VALUE!</v>
      </c>
      <c r="O208" s="3" t="e">
        <f>IF(G208 + I208 = 0, "", (G208 * K208 + I208 * M208) / (G208 + I208))</f>
        <v>#VALUE!</v>
      </c>
      <c r="P208" s="3" t="e">
        <f>IF(H208 + J208 = 0, "", (H208 * L208 + J208 * N208) / (H208 + J208))</f>
        <v>#VALUE!</v>
      </c>
      <c r="Q208" s="3" t="e">
        <f>IF(O208 = "", "", O208 - P208)</f>
        <v>#VALUE!</v>
      </c>
      <c r="R208" s="3" t="e">
        <f>LOOKUP(C208, SweepStudyConfig[StudyId], SweepStudyConfig[SweepCorrectedGap])</f>
        <v>#VALUE!</v>
      </c>
      <c r="S208" s="3" t="e">
        <f>IF(Q208 = "", "", Q208 - R208)</f>
        <v>#VALUE!</v>
      </c>
    </row>
    <row r="209">
      <c r="A209" s="2" t="s">
        <v>3497</v>
      </c>
      <c r="B209" s="3" t="str">
        <f>A209</f>
        <v>open-university-1975-f075</v>
      </c>
      <c r="C209" s="2" t="s">
        <v>501</v>
      </c>
      <c r="D209" s="2">
        <v>0.75</v>
      </c>
      <c r="E209" s="3" t="e">
        <f>ABS(D209 - LOOKUP(C209, SweepStudyConfig[StudyId], SweepStudyConfig[OriginalAllocFractionA])) &lt; 0.03</f>
        <v>#VALUE!</v>
      </c>
      <c r="F209" s="3" t="e">
        <f>LOOKUP(C209, SweepStudyConfig[StudyId], SweepStudyConfig[NSweepStratumTotal])</f>
        <v>#VALUE!</v>
      </c>
      <c r="G209" s="3" t="e">
        <f>ROUND(F209 * D209)</f>
        <v>#VALUE!</v>
      </c>
      <c r="H209" s="3" t="e">
        <f>F209 - G209</f>
        <v>#VALUE!</v>
      </c>
      <c r="I209" s="3" t="e">
        <f>LOOKUP(C209, SweepStudyConfig[StudyId], SweepStudyConfig[NFixedA])</f>
        <v>#VALUE!</v>
      </c>
      <c r="J209" s="3" t="e">
        <f>LOOKUP(C209, SweepStudyConfig[StudyId], SweepStudyConfig[NFixedB])</f>
        <v>#VALUE!</v>
      </c>
      <c r="K209" s="3" t="e">
        <f>LOOKUP(C209, SweepStudyConfig[StudyId], SweepStudyConfig[SweepRateA])</f>
        <v>#VALUE!</v>
      </c>
      <c r="L209" s="3" t="e">
        <f>LOOKUP(C209, SweepStudyConfig[StudyId], SweepStudyConfig[SweepRateB])</f>
        <v>#VALUE!</v>
      </c>
      <c r="M209" s="3" t="e">
        <f>LOOKUP(C209, SweepStudyConfig[StudyId], SweepStudyConfig[FixedRateA])</f>
        <v>#VALUE!</v>
      </c>
      <c r="N209" s="3" t="e">
        <f>LOOKUP(C209, SweepStudyConfig[StudyId], SweepStudyConfig[FixedRateB])</f>
        <v>#VALUE!</v>
      </c>
      <c r="O209" s="3" t="e">
        <f>IF(G209 + I209 = 0, "", (G209 * K209 + I209 * M209) / (G209 + I209))</f>
        <v>#VALUE!</v>
      </c>
      <c r="P209" s="3" t="e">
        <f>IF(H209 + J209 = 0, "", (H209 * L209 + J209 * N209) / (H209 + J209))</f>
        <v>#VALUE!</v>
      </c>
      <c r="Q209" s="3" t="e">
        <f>IF(O209 = "", "", O209 - P209)</f>
        <v>#VALUE!</v>
      </c>
      <c r="R209" s="3" t="e">
        <f>LOOKUP(C209, SweepStudyConfig[StudyId], SweepStudyConfig[SweepCorrectedGap])</f>
        <v>#VALUE!</v>
      </c>
      <c r="S209" s="3" t="e">
        <f>IF(Q209 = "", "", Q209 - R209)</f>
        <v>#VALUE!</v>
      </c>
    </row>
    <row r="210">
      <c r="A210" s="2" t="s">
        <v>3498</v>
      </c>
      <c r="B210" s="3" t="str">
        <f>A210</f>
        <v>open-university-1975-f085</v>
      </c>
      <c r="C210" s="2" t="s">
        <v>501</v>
      </c>
      <c r="D210" s="2">
        <v>0.85</v>
      </c>
      <c r="E210" s="3" t="e">
        <f>ABS(D210 - LOOKUP(C210, SweepStudyConfig[StudyId], SweepStudyConfig[OriginalAllocFractionA])) &lt; 0.03</f>
        <v>#VALUE!</v>
      </c>
      <c r="F210" s="3" t="e">
        <f>LOOKUP(C210, SweepStudyConfig[StudyId], SweepStudyConfig[NSweepStratumTotal])</f>
        <v>#VALUE!</v>
      </c>
      <c r="G210" s="3" t="e">
        <f>ROUND(F210 * D210)</f>
        <v>#VALUE!</v>
      </c>
      <c r="H210" s="3" t="e">
        <f>F210 - G210</f>
        <v>#VALUE!</v>
      </c>
      <c r="I210" s="3" t="e">
        <f>LOOKUP(C210, SweepStudyConfig[StudyId], SweepStudyConfig[NFixedA])</f>
        <v>#VALUE!</v>
      </c>
      <c r="J210" s="3" t="e">
        <f>LOOKUP(C210, SweepStudyConfig[StudyId], SweepStudyConfig[NFixedB])</f>
        <v>#VALUE!</v>
      </c>
      <c r="K210" s="3" t="e">
        <f>LOOKUP(C210, SweepStudyConfig[StudyId], SweepStudyConfig[SweepRateA])</f>
        <v>#VALUE!</v>
      </c>
      <c r="L210" s="3" t="e">
        <f>LOOKUP(C210, SweepStudyConfig[StudyId], SweepStudyConfig[SweepRateB])</f>
        <v>#VALUE!</v>
      </c>
      <c r="M210" s="3" t="e">
        <f>LOOKUP(C210, SweepStudyConfig[StudyId], SweepStudyConfig[FixedRateA])</f>
        <v>#VALUE!</v>
      </c>
      <c r="N210" s="3" t="e">
        <f>LOOKUP(C210, SweepStudyConfig[StudyId], SweepStudyConfig[FixedRateB])</f>
        <v>#VALUE!</v>
      </c>
      <c r="O210" s="3" t="e">
        <f>IF(G210 + I210 = 0, "", (G210 * K210 + I210 * M210) / (G210 + I210))</f>
        <v>#VALUE!</v>
      </c>
      <c r="P210" s="3" t="e">
        <f>IF(H210 + J210 = 0, "", (H210 * L210 + J210 * N210) / (H210 + J210))</f>
        <v>#VALUE!</v>
      </c>
      <c r="Q210" s="3" t="e">
        <f>IF(O210 = "", "", O210 - P210)</f>
        <v>#VALUE!</v>
      </c>
      <c r="R210" s="3" t="e">
        <f>LOOKUP(C210, SweepStudyConfig[StudyId], SweepStudyConfig[SweepCorrectedGap])</f>
        <v>#VALUE!</v>
      </c>
      <c r="S210" s="3" t="e">
        <f>IF(Q210 = "", "", Q210 - R210)</f>
        <v>#VALUE!</v>
      </c>
    </row>
    <row r="211">
      <c r="A211" s="2" t="s">
        <v>3499</v>
      </c>
      <c r="B211" s="3" t="str">
        <f>A211</f>
        <v>open-university-1975-f095</v>
      </c>
      <c r="C211" s="2" t="s">
        <v>501</v>
      </c>
      <c r="D211" s="2">
        <v>0.95</v>
      </c>
      <c r="E211" s="3" t="e">
        <f>ABS(D211 - LOOKUP(C211, SweepStudyConfig[StudyId], SweepStudyConfig[OriginalAllocFractionA])) &lt; 0.03</f>
        <v>#VALUE!</v>
      </c>
      <c r="F211" s="3" t="e">
        <f>LOOKUP(C211, SweepStudyConfig[StudyId], SweepStudyConfig[NSweepStratumTotal])</f>
        <v>#VALUE!</v>
      </c>
      <c r="G211" s="3" t="e">
        <f>ROUND(F211 * D211)</f>
        <v>#VALUE!</v>
      </c>
      <c r="H211" s="3" t="e">
        <f>F211 - G211</f>
        <v>#VALUE!</v>
      </c>
      <c r="I211" s="3" t="e">
        <f>LOOKUP(C211, SweepStudyConfig[StudyId], SweepStudyConfig[NFixedA])</f>
        <v>#VALUE!</v>
      </c>
      <c r="J211" s="3" t="e">
        <f>LOOKUP(C211, SweepStudyConfig[StudyId], SweepStudyConfig[NFixedB])</f>
        <v>#VALUE!</v>
      </c>
      <c r="K211" s="3" t="e">
        <f>LOOKUP(C211, SweepStudyConfig[StudyId], SweepStudyConfig[SweepRateA])</f>
        <v>#VALUE!</v>
      </c>
      <c r="L211" s="3" t="e">
        <f>LOOKUP(C211, SweepStudyConfig[StudyId], SweepStudyConfig[SweepRateB])</f>
        <v>#VALUE!</v>
      </c>
      <c r="M211" s="3" t="e">
        <f>LOOKUP(C211, SweepStudyConfig[StudyId], SweepStudyConfig[FixedRateA])</f>
        <v>#VALUE!</v>
      </c>
      <c r="N211" s="3" t="e">
        <f>LOOKUP(C211, SweepStudyConfig[StudyId], SweepStudyConfig[FixedRateB])</f>
        <v>#VALUE!</v>
      </c>
      <c r="O211" s="3" t="e">
        <f>IF(G211 + I211 = 0, "", (G211 * K211 + I211 * M211) / (G211 + I211))</f>
        <v>#VALUE!</v>
      </c>
      <c r="P211" s="3" t="e">
        <f>IF(H211 + J211 = 0, "", (H211 * L211 + J211 * N211) / (H211 + J211))</f>
        <v>#VALUE!</v>
      </c>
      <c r="Q211" s="3" t="e">
        <f>IF(O211 = "", "", O211 - P211)</f>
        <v>#VALUE!</v>
      </c>
      <c r="R211" s="3" t="e">
        <f>LOOKUP(C211, SweepStudyConfig[StudyId], SweepStudyConfig[SweepCorrectedGap])</f>
        <v>#VALUE!</v>
      </c>
      <c r="S211" s="3" t="e">
        <f>IF(Q211 = "", "", Q211 - R211)</f>
        <v>#VALUE!</v>
      </c>
    </row>
    <row r="212">
      <c r="A212" s="2" t="s">
        <v>3500</v>
      </c>
      <c r="B212" s="3" t="str">
        <f>A212</f>
        <v>pisa-immigration-2015-f005</v>
      </c>
      <c r="C212" s="2" t="s">
        <v>504</v>
      </c>
      <c r="D212" s="2">
        <v>0.05</v>
      </c>
      <c r="E212" s="3" t="e">
        <f>ABS(D212 - LOOKUP(C212, SweepStudyConfig[StudyId], SweepStudyConfig[OriginalAllocFractionA])) &lt; 0.03</f>
        <v>#VALUE!</v>
      </c>
      <c r="F212" s="3" t="e">
        <f>LOOKUP(C212, SweepStudyConfig[StudyId], SweepStudyConfig[NSweepStratumTotal])</f>
        <v>#VALUE!</v>
      </c>
      <c r="G212" s="3" t="e">
        <f>ROUND(F212 * D212)</f>
        <v>#VALUE!</v>
      </c>
      <c r="H212" s="3" t="e">
        <f>F212 - G212</f>
        <v>#VALUE!</v>
      </c>
      <c r="I212" s="3" t="e">
        <f>LOOKUP(C212, SweepStudyConfig[StudyId], SweepStudyConfig[NFixedA])</f>
        <v>#VALUE!</v>
      </c>
      <c r="J212" s="3" t="e">
        <f>LOOKUP(C212, SweepStudyConfig[StudyId], SweepStudyConfig[NFixedB])</f>
        <v>#VALUE!</v>
      </c>
      <c r="K212" s="3" t="e">
        <f>LOOKUP(C212, SweepStudyConfig[StudyId], SweepStudyConfig[SweepRateA])</f>
        <v>#VALUE!</v>
      </c>
      <c r="L212" s="3" t="e">
        <f>LOOKUP(C212, SweepStudyConfig[StudyId], SweepStudyConfig[SweepRateB])</f>
        <v>#VALUE!</v>
      </c>
      <c r="M212" s="3" t="e">
        <f>LOOKUP(C212, SweepStudyConfig[StudyId], SweepStudyConfig[FixedRateA])</f>
        <v>#VALUE!</v>
      </c>
      <c r="N212" s="3" t="e">
        <f>LOOKUP(C212, SweepStudyConfig[StudyId], SweepStudyConfig[FixedRateB])</f>
        <v>#VALUE!</v>
      </c>
      <c r="O212" s="3" t="e">
        <f>IF(G212 + I212 = 0, "", (G212 * K212 + I212 * M212) / (G212 + I212))</f>
        <v>#VALUE!</v>
      </c>
      <c r="P212" s="3" t="e">
        <f>IF(H212 + J212 = 0, "", (H212 * L212 + J212 * N212) / (H212 + J212))</f>
        <v>#VALUE!</v>
      </c>
      <c r="Q212" s="3" t="e">
        <f>IF(O212 = "", "", O212 - P212)</f>
        <v>#VALUE!</v>
      </c>
      <c r="R212" s="3" t="e">
        <f>LOOKUP(C212, SweepStudyConfig[StudyId], SweepStudyConfig[SweepCorrectedGap])</f>
        <v>#VALUE!</v>
      </c>
      <c r="S212" s="3" t="e">
        <f>IF(Q212 = "", "", Q212 - R212)</f>
        <v>#VALUE!</v>
      </c>
    </row>
    <row r="213">
      <c r="A213" s="2" t="s">
        <v>3501</v>
      </c>
      <c r="B213" s="3" t="str">
        <f>A213</f>
        <v>pisa-immigration-2015-f015</v>
      </c>
      <c r="C213" s="2" t="s">
        <v>504</v>
      </c>
      <c r="D213" s="2">
        <v>0.15</v>
      </c>
      <c r="E213" s="3" t="e">
        <f>ABS(D213 - LOOKUP(C213, SweepStudyConfig[StudyId], SweepStudyConfig[OriginalAllocFractionA])) &lt; 0.03</f>
        <v>#VALUE!</v>
      </c>
      <c r="F213" s="3" t="e">
        <f>LOOKUP(C213, SweepStudyConfig[StudyId], SweepStudyConfig[NSweepStratumTotal])</f>
        <v>#VALUE!</v>
      </c>
      <c r="G213" s="3" t="e">
        <f>ROUND(F213 * D213)</f>
        <v>#VALUE!</v>
      </c>
      <c r="H213" s="3" t="e">
        <f>F213 - G213</f>
        <v>#VALUE!</v>
      </c>
      <c r="I213" s="3" t="e">
        <f>LOOKUP(C213, SweepStudyConfig[StudyId], SweepStudyConfig[NFixedA])</f>
        <v>#VALUE!</v>
      </c>
      <c r="J213" s="3" t="e">
        <f>LOOKUP(C213, SweepStudyConfig[StudyId], SweepStudyConfig[NFixedB])</f>
        <v>#VALUE!</v>
      </c>
      <c r="K213" s="3" t="e">
        <f>LOOKUP(C213, SweepStudyConfig[StudyId], SweepStudyConfig[SweepRateA])</f>
        <v>#VALUE!</v>
      </c>
      <c r="L213" s="3" t="e">
        <f>LOOKUP(C213, SweepStudyConfig[StudyId], SweepStudyConfig[SweepRateB])</f>
        <v>#VALUE!</v>
      </c>
      <c r="M213" s="3" t="e">
        <f>LOOKUP(C213, SweepStudyConfig[StudyId], SweepStudyConfig[FixedRateA])</f>
        <v>#VALUE!</v>
      </c>
      <c r="N213" s="3" t="e">
        <f>LOOKUP(C213, SweepStudyConfig[StudyId], SweepStudyConfig[FixedRateB])</f>
        <v>#VALUE!</v>
      </c>
      <c r="O213" s="3" t="e">
        <f>IF(G213 + I213 = 0, "", (G213 * K213 + I213 * M213) / (G213 + I213))</f>
        <v>#VALUE!</v>
      </c>
      <c r="P213" s="3" t="e">
        <f>IF(H213 + J213 = 0, "", (H213 * L213 + J213 * N213) / (H213 + J213))</f>
        <v>#VALUE!</v>
      </c>
      <c r="Q213" s="3" t="e">
        <f>IF(O213 = "", "", O213 - P213)</f>
        <v>#VALUE!</v>
      </c>
      <c r="R213" s="3" t="e">
        <f>LOOKUP(C213, SweepStudyConfig[StudyId], SweepStudyConfig[SweepCorrectedGap])</f>
        <v>#VALUE!</v>
      </c>
      <c r="S213" s="3" t="e">
        <f>IF(Q213 = "", "", Q213 - R213)</f>
        <v>#VALUE!</v>
      </c>
    </row>
    <row r="214">
      <c r="A214" s="2" t="s">
        <v>3502</v>
      </c>
      <c r="B214" s="3" t="str">
        <f>A214</f>
        <v>pisa-immigration-2015-f025</v>
      </c>
      <c r="C214" s="2" t="s">
        <v>504</v>
      </c>
      <c r="D214" s="2">
        <v>0.25</v>
      </c>
      <c r="E214" s="3" t="e">
        <f>ABS(D214 - LOOKUP(C214, SweepStudyConfig[StudyId], SweepStudyConfig[OriginalAllocFractionA])) &lt; 0.03</f>
        <v>#VALUE!</v>
      </c>
      <c r="F214" s="3" t="e">
        <f>LOOKUP(C214, SweepStudyConfig[StudyId], SweepStudyConfig[NSweepStratumTotal])</f>
        <v>#VALUE!</v>
      </c>
      <c r="G214" s="3" t="e">
        <f>ROUND(F214 * D214)</f>
        <v>#VALUE!</v>
      </c>
      <c r="H214" s="3" t="e">
        <f>F214 - G214</f>
        <v>#VALUE!</v>
      </c>
      <c r="I214" s="3" t="e">
        <f>LOOKUP(C214, SweepStudyConfig[StudyId], SweepStudyConfig[NFixedA])</f>
        <v>#VALUE!</v>
      </c>
      <c r="J214" s="3" t="e">
        <f>LOOKUP(C214, SweepStudyConfig[StudyId], SweepStudyConfig[NFixedB])</f>
        <v>#VALUE!</v>
      </c>
      <c r="K214" s="3" t="e">
        <f>LOOKUP(C214, SweepStudyConfig[StudyId], SweepStudyConfig[SweepRateA])</f>
        <v>#VALUE!</v>
      </c>
      <c r="L214" s="3" t="e">
        <f>LOOKUP(C214, SweepStudyConfig[StudyId], SweepStudyConfig[SweepRateB])</f>
        <v>#VALUE!</v>
      </c>
      <c r="M214" s="3" t="e">
        <f>LOOKUP(C214, SweepStudyConfig[StudyId], SweepStudyConfig[FixedRateA])</f>
        <v>#VALUE!</v>
      </c>
      <c r="N214" s="3" t="e">
        <f>LOOKUP(C214, SweepStudyConfig[StudyId], SweepStudyConfig[FixedRateB])</f>
        <v>#VALUE!</v>
      </c>
      <c r="O214" s="3" t="e">
        <f>IF(G214 + I214 = 0, "", (G214 * K214 + I214 * M214) / (G214 + I214))</f>
        <v>#VALUE!</v>
      </c>
      <c r="P214" s="3" t="e">
        <f>IF(H214 + J214 = 0, "", (H214 * L214 + J214 * N214) / (H214 + J214))</f>
        <v>#VALUE!</v>
      </c>
      <c r="Q214" s="3" t="e">
        <f>IF(O214 = "", "", O214 - P214)</f>
        <v>#VALUE!</v>
      </c>
      <c r="R214" s="3" t="e">
        <f>LOOKUP(C214, SweepStudyConfig[StudyId], SweepStudyConfig[SweepCorrectedGap])</f>
        <v>#VALUE!</v>
      </c>
      <c r="S214" s="3" t="e">
        <f>IF(Q214 = "", "", Q214 - R214)</f>
        <v>#VALUE!</v>
      </c>
    </row>
    <row r="215">
      <c r="A215" s="2" t="s">
        <v>3503</v>
      </c>
      <c r="B215" s="3" t="str">
        <f>A215</f>
        <v>pisa-immigration-2015-f035</v>
      </c>
      <c r="C215" s="2" t="s">
        <v>504</v>
      </c>
      <c r="D215" s="2">
        <v>0.35</v>
      </c>
      <c r="E215" s="3" t="e">
        <f>ABS(D215 - LOOKUP(C215, SweepStudyConfig[StudyId], SweepStudyConfig[OriginalAllocFractionA])) &lt; 0.03</f>
        <v>#VALUE!</v>
      </c>
      <c r="F215" s="3" t="e">
        <f>LOOKUP(C215, SweepStudyConfig[StudyId], SweepStudyConfig[NSweepStratumTotal])</f>
        <v>#VALUE!</v>
      </c>
      <c r="G215" s="3" t="e">
        <f>ROUND(F215 * D215)</f>
        <v>#VALUE!</v>
      </c>
      <c r="H215" s="3" t="e">
        <f>F215 - G215</f>
        <v>#VALUE!</v>
      </c>
      <c r="I215" s="3" t="e">
        <f>LOOKUP(C215, SweepStudyConfig[StudyId], SweepStudyConfig[NFixedA])</f>
        <v>#VALUE!</v>
      </c>
      <c r="J215" s="3" t="e">
        <f>LOOKUP(C215, SweepStudyConfig[StudyId], SweepStudyConfig[NFixedB])</f>
        <v>#VALUE!</v>
      </c>
      <c r="K215" s="3" t="e">
        <f>LOOKUP(C215, SweepStudyConfig[StudyId], SweepStudyConfig[SweepRateA])</f>
        <v>#VALUE!</v>
      </c>
      <c r="L215" s="3" t="e">
        <f>LOOKUP(C215, SweepStudyConfig[StudyId], SweepStudyConfig[SweepRateB])</f>
        <v>#VALUE!</v>
      </c>
      <c r="M215" s="3" t="e">
        <f>LOOKUP(C215, SweepStudyConfig[StudyId], SweepStudyConfig[FixedRateA])</f>
        <v>#VALUE!</v>
      </c>
      <c r="N215" s="3" t="e">
        <f>LOOKUP(C215, SweepStudyConfig[StudyId], SweepStudyConfig[FixedRateB])</f>
        <v>#VALUE!</v>
      </c>
      <c r="O215" s="3" t="e">
        <f>IF(G215 + I215 = 0, "", (G215 * K215 + I215 * M215) / (G215 + I215))</f>
        <v>#VALUE!</v>
      </c>
      <c r="P215" s="3" t="e">
        <f>IF(H215 + J215 = 0, "", (H215 * L215 + J215 * N215) / (H215 + J215))</f>
        <v>#VALUE!</v>
      </c>
      <c r="Q215" s="3" t="e">
        <f>IF(O215 = "", "", O215 - P215)</f>
        <v>#VALUE!</v>
      </c>
      <c r="R215" s="3" t="e">
        <f>LOOKUP(C215, SweepStudyConfig[StudyId], SweepStudyConfig[SweepCorrectedGap])</f>
        <v>#VALUE!</v>
      </c>
      <c r="S215" s="3" t="e">
        <f>IF(Q215 = "", "", Q215 - R215)</f>
        <v>#VALUE!</v>
      </c>
    </row>
    <row r="216">
      <c r="A216" s="2" t="s">
        <v>3504</v>
      </c>
      <c r="B216" s="3" t="str">
        <f>A216</f>
        <v>pisa-immigration-2015-f045</v>
      </c>
      <c r="C216" s="2" t="s">
        <v>504</v>
      </c>
      <c r="D216" s="2">
        <v>0.45</v>
      </c>
      <c r="E216" s="3" t="e">
        <f>ABS(D216 - LOOKUP(C216, SweepStudyConfig[StudyId], SweepStudyConfig[OriginalAllocFractionA])) &lt; 0.03</f>
        <v>#VALUE!</v>
      </c>
      <c r="F216" s="3" t="e">
        <f>LOOKUP(C216, SweepStudyConfig[StudyId], SweepStudyConfig[NSweepStratumTotal])</f>
        <v>#VALUE!</v>
      </c>
      <c r="G216" s="3" t="e">
        <f>ROUND(F216 * D216)</f>
        <v>#VALUE!</v>
      </c>
      <c r="H216" s="3" t="e">
        <f>F216 - G216</f>
        <v>#VALUE!</v>
      </c>
      <c r="I216" s="3" t="e">
        <f>LOOKUP(C216, SweepStudyConfig[StudyId], SweepStudyConfig[NFixedA])</f>
        <v>#VALUE!</v>
      </c>
      <c r="J216" s="3" t="e">
        <f>LOOKUP(C216, SweepStudyConfig[StudyId], SweepStudyConfig[NFixedB])</f>
        <v>#VALUE!</v>
      </c>
      <c r="K216" s="3" t="e">
        <f>LOOKUP(C216, SweepStudyConfig[StudyId], SweepStudyConfig[SweepRateA])</f>
        <v>#VALUE!</v>
      </c>
      <c r="L216" s="3" t="e">
        <f>LOOKUP(C216, SweepStudyConfig[StudyId], SweepStudyConfig[SweepRateB])</f>
        <v>#VALUE!</v>
      </c>
      <c r="M216" s="3" t="e">
        <f>LOOKUP(C216, SweepStudyConfig[StudyId], SweepStudyConfig[FixedRateA])</f>
        <v>#VALUE!</v>
      </c>
      <c r="N216" s="3" t="e">
        <f>LOOKUP(C216, SweepStudyConfig[StudyId], SweepStudyConfig[FixedRateB])</f>
        <v>#VALUE!</v>
      </c>
      <c r="O216" s="3" t="e">
        <f>IF(G216 + I216 = 0, "", (G216 * K216 + I216 * M216) / (G216 + I216))</f>
        <v>#VALUE!</v>
      </c>
      <c r="P216" s="3" t="e">
        <f>IF(H216 + J216 = 0, "", (H216 * L216 + J216 * N216) / (H216 + J216))</f>
        <v>#VALUE!</v>
      </c>
      <c r="Q216" s="3" t="e">
        <f>IF(O216 = "", "", O216 - P216)</f>
        <v>#VALUE!</v>
      </c>
      <c r="R216" s="3" t="e">
        <f>LOOKUP(C216, SweepStudyConfig[StudyId], SweepStudyConfig[SweepCorrectedGap])</f>
        <v>#VALUE!</v>
      </c>
      <c r="S216" s="3" t="e">
        <f>IF(Q216 = "", "", Q216 - R216)</f>
        <v>#VALUE!</v>
      </c>
    </row>
    <row r="217">
      <c r="A217" s="2" t="s">
        <v>3505</v>
      </c>
      <c r="B217" s="3" t="str">
        <f>A217</f>
        <v>pisa-immigration-2015-f055</v>
      </c>
      <c r="C217" s="2" t="s">
        <v>504</v>
      </c>
      <c r="D217" s="2">
        <v>0.55</v>
      </c>
      <c r="E217" s="3" t="e">
        <f>ABS(D217 - LOOKUP(C217, SweepStudyConfig[StudyId], SweepStudyConfig[OriginalAllocFractionA])) &lt; 0.03</f>
        <v>#VALUE!</v>
      </c>
      <c r="F217" s="3" t="e">
        <f>LOOKUP(C217, SweepStudyConfig[StudyId], SweepStudyConfig[NSweepStratumTotal])</f>
        <v>#VALUE!</v>
      </c>
      <c r="G217" s="3" t="e">
        <f>ROUND(F217 * D217)</f>
        <v>#VALUE!</v>
      </c>
      <c r="H217" s="3" t="e">
        <f>F217 - G217</f>
        <v>#VALUE!</v>
      </c>
      <c r="I217" s="3" t="e">
        <f>LOOKUP(C217, SweepStudyConfig[StudyId], SweepStudyConfig[NFixedA])</f>
        <v>#VALUE!</v>
      </c>
      <c r="J217" s="3" t="e">
        <f>LOOKUP(C217, SweepStudyConfig[StudyId], SweepStudyConfig[NFixedB])</f>
        <v>#VALUE!</v>
      </c>
      <c r="K217" s="3" t="e">
        <f>LOOKUP(C217, SweepStudyConfig[StudyId], SweepStudyConfig[SweepRateA])</f>
        <v>#VALUE!</v>
      </c>
      <c r="L217" s="3" t="e">
        <f>LOOKUP(C217, SweepStudyConfig[StudyId], SweepStudyConfig[SweepRateB])</f>
        <v>#VALUE!</v>
      </c>
      <c r="M217" s="3" t="e">
        <f>LOOKUP(C217, SweepStudyConfig[StudyId], SweepStudyConfig[FixedRateA])</f>
        <v>#VALUE!</v>
      </c>
      <c r="N217" s="3" t="e">
        <f>LOOKUP(C217, SweepStudyConfig[StudyId], SweepStudyConfig[FixedRateB])</f>
        <v>#VALUE!</v>
      </c>
      <c r="O217" s="3" t="e">
        <f>IF(G217 + I217 = 0, "", (G217 * K217 + I217 * M217) / (G217 + I217))</f>
        <v>#VALUE!</v>
      </c>
      <c r="P217" s="3" t="e">
        <f>IF(H217 + J217 = 0, "", (H217 * L217 + J217 * N217) / (H217 + J217))</f>
        <v>#VALUE!</v>
      </c>
      <c r="Q217" s="3" t="e">
        <f>IF(O217 = "", "", O217 - P217)</f>
        <v>#VALUE!</v>
      </c>
      <c r="R217" s="3" t="e">
        <f>LOOKUP(C217, SweepStudyConfig[StudyId], SweepStudyConfig[SweepCorrectedGap])</f>
        <v>#VALUE!</v>
      </c>
      <c r="S217" s="3" t="e">
        <f>IF(Q217 = "", "", Q217 - R217)</f>
        <v>#VALUE!</v>
      </c>
    </row>
    <row r="218">
      <c r="A218" s="2" t="s">
        <v>3506</v>
      </c>
      <c r="B218" s="3" t="str">
        <f>A218</f>
        <v>pisa-immigration-2015-f065</v>
      </c>
      <c r="C218" s="2" t="s">
        <v>504</v>
      </c>
      <c r="D218" s="2">
        <v>0.65</v>
      </c>
      <c r="E218" s="3" t="e">
        <f>ABS(D218 - LOOKUP(C218, SweepStudyConfig[StudyId], SweepStudyConfig[OriginalAllocFractionA])) &lt; 0.03</f>
        <v>#VALUE!</v>
      </c>
      <c r="F218" s="3" t="e">
        <f>LOOKUP(C218, SweepStudyConfig[StudyId], SweepStudyConfig[NSweepStratumTotal])</f>
        <v>#VALUE!</v>
      </c>
      <c r="G218" s="3" t="e">
        <f>ROUND(F218 * D218)</f>
        <v>#VALUE!</v>
      </c>
      <c r="H218" s="3" t="e">
        <f>F218 - G218</f>
        <v>#VALUE!</v>
      </c>
      <c r="I218" s="3" t="e">
        <f>LOOKUP(C218, SweepStudyConfig[StudyId], SweepStudyConfig[NFixedA])</f>
        <v>#VALUE!</v>
      </c>
      <c r="J218" s="3" t="e">
        <f>LOOKUP(C218, SweepStudyConfig[StudyId], SweepStudyConfig[NFixedB])</f>
        <v>#VALUE!</v>
      </c>
      <c r="K218" s="3" t="e">
        <f>LOOKUP(C218, SweepStudyConfig[StudyId], SweepStudyConfig[SweepRateA])</f>
        <v>#VALUE!</v>
      </c>
      <c r="L218" s="3" t="e">
        <f>LOOKUP(C218, SweepStudyConfig[StudyId], SweepStudyConfig[SweepRateB])</f>
        <v>#VALUE!</v>
      </c>
      <c r="M218" s="3" t="e">
        <f>LOOKUP(C218, SweepStudyConfig[StudyId], SweepStudyConfig[FixedRateA])</f>
        <v>#VALUE!</v>
      </c>
      <c r="N218" s="3" t="e">
        <f>LOOKUP(C218, SweepStudyConfig[StudyId], SweepStudyConfig[FixedRateB])</f>
        <v>#VALUE!</v>
      </c>
      <c r="O218" s="3" t="e">
        <f>IF(G218 + I218 = 0, "", (G218 * K218 + I218 * M218) / (G218 + I218))</f>
        <v>#VALUE!</v>
      </c>
      <c r="P218" s="3" t="e">
        <f>IF(H218 + J218 = 0, "", (H218 * L218 + J218 * N218) / (H218 + J218))</f>
        <v>#VALUE!</v>
      </c>
      <c r="Q218" s="3" t="e">
        <f>IF(O218 = "", "", O218 - P218)</f>
        <v>#VALUE!</v>
      </c>
      <c r="R218" s="3" t="e">
        <f>LOOKUP(C218, SweepStudyConfig[StudyId], SweepStudyConfig[SweepCorrectedGap])</f>
        <v>#VALUE!</v>
      </c>
      <c r="S218" s="3" t="e">
        <f>IF(Q218 = "", "", Q218 - R218)</f>
        <v>#VALUE!</v>
      </c>
    </row>
    <row r="219">
      <c r="A219" s="2" t="s">
        <v>3507</v>
      </c>
      <c r="B219" s="3" t="str">
        <f>A219</f>
        <v>pisa-immigration-2015-f075</v>
      </c>
      <c r="C219" s="2" t="s">
        <v>504</v>
      </c>
      <c r="D219" s="2">
        <v>0.75</v>
      </c>
      <c r="E219" s="3" t="e">
        <f>ABS(D219 - LOOKUP(C219, SweepStudyConfig[StudyId], SweepStudyConfig[OriginalAllocFractionA])) &lt; 0.03</f>
        <v>#VALUE!</v>
      </c>
      <c r="F219" s="3" t="e">
        <f>LOOKUP(C219, SweepStudyConfig[StudyId], SweepStudyConfig[NSweepStratumTotal])</f>
        <v>#VALUE!</v>
      </c>
      <c r="G219" s="3" t="e">
        <f>ROUND(F219 * D219)</f>
        <v>#VALUE!</v>
      </c>
      <c r="H219" s="3" t="e">
        <f>F219 - G219</f>
        <v>#VALUE!</v>
      </c>
      <c r="I219" s="3" t="e">
        <f>LOOKUP(C219, SweepStudyConfig[StudyId], SweepStudyConfig[NFixedA])</f>
        <v>#VALUE!</v>
      </c>
      <c r="J219" s="3" t="e">
        <f>LOOKUP(C219, SweepStudyConfig[StudyId], SweepStudyConfig[NFixedB])</f>
        <v>#VALUE!</v>
      </c>
      <c r="K219" s="3" t="e">
        <f>LOOKUP(C219, SweepStudyConfig[StudyId], SweepStudyConfig[SweepRateA])</f>
        <v>#VALUE!</v>
      </c>
      <c r="L219" s="3" t="e">
        <f>LOOKUP(C219, SweepStudyConfig[StudyId], SweepStudyConfig[SweepRateB])</f>
        <v>#VALUE!</v>
      </c>
      <c r="M219" s="3" t="e">
        <f>LOOKUP(C219, SweepStudyConfig[StudyId], SweepStudyConfig[FixedRateA])</f>
        <v>#VALUE!</v>
      </c>
      <c r="N219" s="3" t="e">
        <f>LOOKUP(C219, SweepStudyConfig[StudyId], SweepStudyConfig[FixedRateB])</f>
        <v>#VALUE!</v>
      </c>
      <c r="O219" s="3" t="e">
        <f>IF(G219 + I219 = 0, "", (G219 * K219 + I219 * M219) / (G219 + I219))</f>
        <v>#VALUE!</v>
      </c>
      <c r="P219" s="3" t="e">
        <f>IF(H219 + J219 = 0, "", (H219 * L219 + J219 * N219) / (H219 + J219))</f>
        <v>#VALUE!</v>
      </c>
      <c r="Q219" s="3" t="e">
        <f>IF(O219 = "", "", O219 - P219)</f>
        <v>#VALUE!</v>
      </c>
      <c r="R219" s="3" t="e">
        <f>LOOKUP(C219, SweepStudyConfig[StudyId], SweepStudyConfig[SweepCorrectedGap])</f>
        <v>#VALUE!</v>
      </c>
      <c r="S219" s="3" t="e">
        <f>IF(Q219 = "", "", Q219 - R219)</f>
        <v>#VALUE!</v>
      </c>
    </row>
    <row r="220">
      <c r="A220" s="2" t="s">
        <v>3508</v>
      </c>
      <c r="B220" s="3" t="str">
        <f>A220</f>
        <v>pisa-immigration-2015-f085</v>
      </c>
      <c r="C220" s="2" t="s">
        <v>504</v>
      </c>
      <c r="D220" s="2">
        <v>0.85</v>
      </c>
      <c r="E220" s="3" t="e">
        <f>ABS(D220 - LOOKUP(C220, SweepStudyConfig[StudyId], SweepStudyConfig[OriginalAllocFractionA])) &lt; 0.03</f>
        <v>#VALUE!</v>
      </c>
      <c r="F220" s="3" t="e">
        <f>LOOKUP(C220, SweepStudyConfig[StudyId], SweepStudyConfig[NSweepStratumTotal])</f>
        <v>#VALUE!</v>
      </c>
      <c r="G220" s="3" t="e">
        <f>ROUND(F220 * D220)</f>
        <v>#VALUE!</v>
      </c>
      <c r="H220" s="3" t="e">
        <f>F220 - G220</f>
        <v>#VALUE!</v>
      </c>
      <c r="I220" s="3" t="e">
        <f>LOOKUP(C220, SweepStudyConfig[StudyId], SweepStudyConfig[NFixedA])</f>
        <v>#VALUE!</v>
      </c>
      <c r="J220" s="3" t="e">
        <f>LOOKUP(C220, SweepStudyConfig[StudyId], SweepStudyConfig[NFixedB])</f>
        <v>#VALUE!</v>
      </c>
      <c r="K220" s="3" t="e">
        <f>LOOKUP(C220, SweepStudyConfig[StudyId], SweepStudyConfig[SweepRateA])</f>
        <v>#VALUE!</v>
      </c>
      <c r="L220" s="3" t="e">
        <f>LOOKUP(C220, SweepStudyConfig[StudyId], SweepStudyConfig[SweepRateB])</f>
        <v>#VALUE!</v>
      </c>
      <c r="M220" s="3" t="e">
        <f>LOOKUP(C220, SweepStudyConfig[StudyId], SweepStudyConfig[FixedRateA])</f>
        <v>#VALUE!</v>
      </c>
      <c r="N220" s="3" t="e">
        <f>LOOKUP(C220, SweepStudyConfig[StudyId], SweepStudyConfig[FixedRateB])</f>
        <v>#VALUE!</v>
      </c>
      <c r="O220" s="3" t="e">
        <f>IF(G220 + I220 = 0, "", (G220 * K220 + I220 * M220) / (G220 + I220))</f>
        <v>#VALUE!</v>
      </c>
      <c r="P220" s="3" t="e">
        <f>IF(H220 + J220 = 0, "", (H220 * L220 + J220 * N220) / (H220 + J220))</f>
        <v>#VALUE!</v>
      </c>
      <c r="Q220" s="3" t="e">
        <f>IF(O220 = "", "", O220 - P220)</f>
        <v>#VALUE!</v>
      </c>
      <c r="R220" s="3" t="e">
        <f>LOOKUP(C220, SweepStudyConfig[StudyId], SweepStudyConfig[SweepCorrectedGap])</f>
        <v>#VALUE!</v>
      </c>
      <c r="S220" s="3" t="e">
        <f>IF(Q220 = "", "", Q220 - R220)</f>
        <v>#VALUE!</v>
      </c>
    </row>
    <row r="221">
      <c r="A221" s="2" t="s">
        <v>3509</v>
      </c>
      <c r="B221" s="3" t="str">
        <f>A221</f>
        <v>pisa-immigration-2015-f095</v>
      </c>
      <c r="C221" s="2" t="s">
        <v>504</v>
      </c>
      <c r="D221" s="2">
        <v>0.95</v>
      </c>
      <c r="E221" s="3" t="e">
        <f>ABS(D221 - LOOKUP(C221, SweepStudyConfig[StudyId], SweepStudyConfig[OriginalAllocFractionA])) &lt; 0.03</f>
        <v>#VALUE!</v>
      </c>
      <c r="F221" s="3" t="e">
        <f>LOOKUP(C221, SweepStudyConfig[StudyId], SweepStudyConfig[NSweepStratumTotal])</f>
        <v>#VALUE!</v>
      </c>
      <c r="G221" s="3" t="e">
        <f>ROUND(F221 * D221)</f>
        <v>#VALUE!</v>
      </c>
      <c r="H221" s="3" t="e">
        <f>F221 - G221</f>
        <v>#VALUE!</v>
      </c>
      <c r="I221" s="3" t="e">
        <f>LOOKUP(C221, SweepStudyConfig[StudyId], SweepStudyConfig[NFixedA])</f>
        <v>#VALUE!</v>
      </c>
      <c r="J221" s="3" t="e">
        <f>LOOKUP(C221, SweepStudyConfig[StudyId], SweepStudyConfig[NFixedB])</f>
        <v>#VALUE!</v>
      </c>
      <c r="K221" s="3" t="e">
        <f>LOOKUP(C221, SweepStudyConfig[StudyId], SweepStudyConfig[SweepRateA])</f>
        <v>#VALUE!</v>
      </c>
      <c r="L221" s="3" t="e">
        <f>LOOKUP(C221, SweepStudyConfig[StudyId], SweepStudyConfig[SweepRateB])</f>
        <v>#VALUE!</v>
      </c>
      <c r="M221" s="3" t="e">
        <f>LOOKUP(C221, SweepStudyConfig[StudyId], SweepStudyConfig[FixedRateA])</f>
        <v>#VALUE!</v>
      </c>
      <c r="N221" s="3" t="e">
        <f>LOOKUP(C221, SweepStudyConfig[StudyId], SweepStudyConfig[FixedRateB])</f>
        <v>#VALUE!</v>
      </c>
      <c r="O221" s="3" t="e">
        <f>IF(G221 + I221 = 0, "", (G221 * K221 + I221 * M221) / (G221 + I221))</f>
        <v>#VALUE!</v>
      </c>
      <c r="P221" s="3" t="e">
        <f>IF(H221 + J221 = 0, "", (H221 * L221 + J221 * N221) / (H221 + J221))</f>
        <v>#VALUE!</v>
      </c>
      <c r="Q221" s="3" t="e">
        <f>IF(O221 = "", "", O221 - P221)</f>
        <v>#VALUE!</v>
      </c>
      <c r="R221" s="3" t="e">
        <f>LOOKUP(C221, SweepStudyConfig[StudyId], SweepStudyConfig[SweepCorrectedGap])</f>
        <v>#VALUE!</v>
      </c>
      <c r="S221" s="3" t="e">
        <f>IF(Q221 = "", "", Q221 - R221)</f>
        <v>#VALUE!</v>
      </c>
    </row>
    <row r="222">
      <c r="A222" s="2" t="s">
        <v>3510</v>
      </c>
      <c r="B222" s="3" t="str">
        <f>A222</f>
        <v>wainer-sat-states-1992-f005</v>
      </c>
      <c r="C222" s="2" t="s">
        <v>508</v>
      </c>
      <c r="D222" s="2">
        <v>0.05</v>
      </c>
      <c r="E222" s="3" t="e">
        <f>ABS(D222 - LOOKUP(C222, SweepStudyConfig[StudyId], SweepStudyConfig[OriginalAllocFractionA])) &lt; 0.03</f>
        <v>#VALUE!</v>
      </c>
      <c r="F222" s="3" t="e">
        <f>LOOKUP(C222, SweepStudyConfig[StudyId], SweepStudyConfig[NSweepStratumTotal])</f>
        <v>#VALUE!</v>
      </c>
      <c r="G222" s="3" t="e">
        <f>ROUND(F222 * D222)</f>
        <v>#VALUE!</v>
      </c>
      <c r="H222" s="3" t="e">
        <f>F222 - G222</f>
        <v>#VALUE!</v>
      </c>
      <c r="I222" s="3" t="e">
        <f>LOOKUP(C222, SweepStudyConfig[StudyId], SweepStudyConfig[NFixedA])</f>
        <v>#VALUE!</v>
      </c>
      <c r="J222" s="3" t="e">
        <f>LOOKUP(C222, SweepStudyConfig[StudyId], SweepStudyConfig[NFixedB])</f>
        <v>#VALUE!</v>
      </c>
      <c r="K222" s="3" t="e">
        <f>LOOKUP(C222, SweepStudyConfig[StudyId], SweepStudyConfig[SweepRateA])</f>
        <v>#VALUE!</v>
      </c>
      <c r="L222" s="3" t="e">
        <f>LOOKUP(C222, SweepStudyConfig[StudyId], SweepStudyConfig[SweepRateB])</f>
        <v>#VALUE!</v>
      </c>
      <c r="M222" s="3" t="e">
        <f>LOOKUP(C222, SweepStudyConfig[StudyId], SweepStudyConfig[FixedRateA])</f>
        <v>#VALUE!</v>
      </c>
      <c r="N222" s="3" t="e">
        <f>LOOKUP(C222, SweepStudyConfig[StudyId], SweepStudyConfig[FixedRateB])</f>
        <v>#VALUE!</v>
      </c>
      <c r="O222" s="3" t="e">
        <f>IF(G222 + I222 = 0, "", (G222 * K222 + I222 * M222) / (G222 + I222))</f>
        <v>#VALUE!</v>
      </c>
      <c r="P222" s="3" t="e">
        <f>IF(H222 + J222 = 0, "", (H222 * L222 + J222 * N222) / (H222 + J222))</f>
        <v>#VALUE!</v>
      </c>
      <c r="Q222" s="3" t="e">
        <f>IF(O222 = "", "", O222 - P222)</f>
        <v>#VALUE!</v>
      </c>
      <c r="R222" s="3" t="e">
        <f>LOOKUP(C222, SweepStudyConfig[StudyId], SweepStudyConfig[SweepCorrectedGap])</f>
        <v>#VALUE!</v>
      </c>
      <c r="S222" s="3" t="e">
        <f>IF(Q222 = "", "", Q222 - R222)</f>
        <v>#VALUE!</v>
      </c>
    </row>
    <row r="223">
      <c r="A223" s="2" t="s">
        <v>3511</v>
      </c>
      <c r="B223" s="3" t="str">
        <f>A223</f>
        <v>wainer-sat-states-1992-f015</v>
      </c>
      <c r="C223" s="2" t="s">
        <v>508</v>
      </c>
      <c r="D223" s="2">
        <v>0.15</v>
      </c>
      <c r="E223" s="3" t="e">
        <f>ABS(D223 - LOOKUP(C223, SweepStudyConfig[StudyId], SweepStudyConfig[OriginalAllocFractionA])) &lt; 0.03</f>
        <v>#VALUE!</v>
      </c>
      <c r="F223" s="3" t="e">
        <f>LOOKUP(C223, SweepStudyConfig[StudyId], SweepStudyConfig[NSweepStratumTotal])</f>
        <v>#VALUE!</v>
      </c>
      <c r="G223" s="3" t="e">
        <f>ROUND(F223 * D223)</f>
        <v>#VALUE!</v>
      </c>
      <c r="H223" s="3" t="e">
        <f>F223 - G223</f>
        <v>#VALUE!</v>
      </c>
      <c r="I223" s="3" t="e">
        <f>LOOKUP(C223, SweepStudyConfig[StudyId], SweepStudyConfig[NFixedA])</f>
        <v>#VALUE!</v>
      </c>
      <c r="J223" s="3" t="e">
        <f>LOOKUP(C223, SweepStudyConfig[StudyId], SweepStudyConfig[NFixedB])</f>
        <v>#VALUE!</v>
      </c>
      <c r="K223" s="3" t="e">
        <f>LOOKUP(C223, SweepStudyConfig[StudyId], SweepStudyConfig[SweepRateA])</f>
        <v>#VALUE!</v>
      </c>
      <c r="L223" s="3" t="e">
        <f>LOOKUP(C223, SweepStudyConfig[StudyId], SweepStudyConfig[SweepRateB])</f>
        <v>#VALUE!</v>
      </c>
      <c r="M223" s="3" t="e">
        <f>LOOKUP(C223, SweepStudyConfig[StudyId], SweepStudyConfig[FixedRateA])</f>
        <v>#VALUE!</v>
      </c>
      <c r="N223" s="3" t="e">
        <f>LOOKUP(C223, SweepStudyConfig[StudyId], SweepStudyConfig[FixedRateB])</f>
        <v>#VALUE!</v>
      </c>
      <c r="O223" s="3" t="e">
        <f>IF(G223 + I223 = 0, "", (G223 * K223 + I223 * M223) / (G223 + I223))</f>
        <v>#VALUE!</v>
      </c>
      <c r="P223" s="3" t="e">
        <f>IF(H223 + J223 = 0, "", (H223 * L223 + J223 * N223) / (H223 + J223))</f>
        <v>#VALUE!</v>
      </c>
      <c r="Q223" s="3" t="e">
        <f>IF(O223 = "", "", O223 - P223)</f>
        <v>#VALUE!</v>
      </c>
      <c r="R223" s="3" t="e">
        <f>LOOKUP(C223, SweepStudyConfig[StudyId], SweepStudyConfig[SweepCorrectedGap])</f>
        <v>#VALUE!</v>
      </c>
      <c r="S223" s="3" t="e">
        <f>IF(Q223 = "", "", Q223 - R223)</f>
        <v>#VALUE!</v>
      </c>
    </row>
    <row r="224">
      <c r="A224" s="2" t="s">
        <v>3512</v>
      </c>
      <c r="B224" s="3" t="str">
        <f>A224</f>
        <v>wainer-sat-states-1992-f025</v>
      </c>
      <c r="C224" s="2" t="s">
        <v>508</v>
      </c>
      <c r="D224" s="2">
        <v>0.25</v>
      </c>
      <c r="E224" s="3" t="e">
        <f>ABS(D224 - LOOKUP(C224, SweepStudyConfig[StudyId], SweepStudyConfig[OriginalAllocFractionA])) &lt; 0.03</f>
        <v>#VALUE!</v>
      </c>
      <c r="F224" s="3" t="e">
        <f>LOOKUP(C224, SweepStudyConfig[StudyId], SweepStudyConfig[NSweepStratumTotal])</f>
        <v>#VALUE!</v>
      </c>
      <c r="G224" s="3" t="e">
        <f>ROUND(F224 * D224)</f>
        <v>#VALUE!</v>
      </c>
      <c r="H224" s="3" t="e">
        <f>F224 - G224</f>
        <v>#VALUE!</v>
      </c>
      <c r="I224" s="3" t="e">
        <f>LOOKUP(C224, SweepStudyConfig[StudyId], SweepStudyConfig[NFixedA])</f>
        <v>#VALUE!</v>
      </c>
      <c r="J224" s="3" t="e">
        <f>LOOKUP(C224, SweepStudyConfig[StudyId], SweepStudyConfig[NFixedB])</f>
        <v>#VALUE!</v>
      </c>
      <c r="K224" s="3" t="e">
        <f>LOOKUP(C224, SweepStudyConfig[StudyId], SweepStudyConfig[SweepRateA])</f>
        <v>#VALUE!</v>
      </c>
      <c r="L224" s="3" t="e">
        <f>LOOKUP(C224, SweepStudyConfig[StudyId], SweepStudyConfig[SweepRateB])</f>
        <v>#VALUE!</v>
      </c>
      <c r="M224" s="3" t="e">
        <f>LOOKUP(C224, SweepStudyConfig[StudyId], SweepStudyConfig[FixedRateA])</f>
        <v>#VALUE!</v>
      </c>
      <c r="N224" s="3" t="e">
        <f>LOOKUP(C224, SweepStudyConfig[StudyId], SweepStudyConfig[FixedRateB])</f>
        <v>#VALUE!</v>
      </c>
      <c r="O224" s="3" t="e">
        <f>IF(G224 + I224 = 0, "", (G224 * K224 + I224 * M224) / (G224 + I224))</f>
        <v>#VALUE!</v>
      </c>
      <c r="P224" s="3" t="e">
        <f>IF(H224 + J224 = 0, "", (H224 * L224 + J224 * N224) / (H224 + J224))</f>
        <v>#VALUE!</v>
      </c>
      <c r="Q224" s="3" t="e">
        <f>IF(O224 = "", "", O224 - P224)</f>
        <v>#VALUE!</v>
      </c>
      <c r="R224" s="3" t="e">
        <f>LOOKUP(C224, SweepStudyConfig[StudyId], SweepStudyConfig[SweepCorrectedGap])</f>
        <v>#VALUE!</v>
      </c>
      <c r="S224" s="3" t="e">
        <f>IF(Q224 = "", "", Q224 - R224)</f>
        <v>#VALUE!</v>
      </c>
    </row>
    <row r="225">
      <c r="A225" s="2" t="s">
        <v>3513</v>
      </c>
      <c r="B225" s="3" t="str">
        <f>A225</f>
        <v>wainer-sat-states-1992-f035</v>
      </c>
      <c r="C225" s="2" t="s">
        <v>508</v>
      </c>
      <c r="D225" s="2">
        <v>0.35</v>
      </c>
      <c r="E225" s="3" t="e">
        <f>ABS(D225 - LOOKUP(C225, SweepStudyConfig[StudyId], SweepStudyConfig[OriginalAllocFractionA])) &lt; 0.03</f>
        <v>#VALUE!</v>
      </c>
      <c r="F225" s="3" t="e">
        <f>LOOKUP(C225, SweepStudyConfig[StudyId], SweepStudyConfig[NSweepStratumTotal])</f>
        <v>#VALUE!</v>
      </c>
      <c r="G225" s="3" t="e">
        <f>ROUND(F225 * D225)</f>
        <v>#VALUE!</v>
      </c>
      <c r="H225" s="3" t="e">
        <f>F225 - G225</f>
        <v>#VALUE!</v>
      </c>
      <c r="I225" s="3" t="e">
        <f>LOOKUP(C225, SweepStudyConfig[StudyId], SweepStudyConfig[NFixedA])</f>
        <v>#VALUE!</v>
      </c>
      <c r="J225" s="3" t="e">
        <f>LOOKUP(C225, SweepStudyConfig[StudyId], SweepStudyConfig[NFixedB])</f>
        <v>#VALUE!</v>
      </c>
      <c r="K225" s="3" t="e">
        <f>LOOKUP(C225, SweepStudyConfig[StudyId], SweepStudyConfig[SweepRateA])</f>
        <v>#VALUE!</v>
      </c>
      <c r="L225" s="3" t="e">
        <f>LOOKUP(C225, SweepStudyConfig[StudyId], SweepStudyConfig[SweepRateB])</f>
        <v>#VALUE!</v>
      </c>
      <c r="M225" s="3" t="e">
        <f>LOOKUP(C225, SweepStudyConfig[StudyId], SweepStudyConfig[FixedRateA])</f>
        <v>#VALUE!</v>
      </c>
      <c r="N225" s="3" t="e">
        <f>LOOKUP(C225, SweepStudyConfig[StudyId], SweepStudyConfig[FixedRateB])</f>
        <v>#VALUE!</v>
      </c>
      <c r="O225" s="3" t="e">
        <f>IF(G225 + I225 = 0, "", (G225 * K225 + I225 * M225) / (G225 + I225))</f>
        <v>#VALUE!</v>
      </c>
      <c r="P225" s="3" t="e">
        <f>IF(H225 + J225 = 0, "", (H225 * L225 + J225 * N225) / (H225 + J225))</f>
        <v>#VALUE!</v>
      </c>
      <c r="Q225" s="3" t="e">
        <f>IF(O225 = "", "", O225 - P225)</f>
        <v>#VALUE!</v>
      </c>
      <c r="R225" s="3" t="e">
        <f>LOOKUP(C225, SweepStudyConfig[StudyId], SweepStudyConfig[SweepCorrectedGap])</f>
        <v>#VALUE!</v>
      </c>
      <c r="S225" s="3" t="e">
        <f>IF(Q225 = "", "", Q225 - R225)</f>
        <v>#VALUE!</v>
      </c>
    </row>
    <row r="226">
      <c r="A226" s="2" t="s">
        <v>3514</v>
      </c>
      <c r="B226" s="3" t="str">
        <f>A226</f>
        <v>wainer-sat-states-1992-f045</v>
      </c>
      <c r="C226" s="2" t="s">
        <v>508</v>
      </c>
      <c r="D226" s="2">
        <v>0.45</v>
      </c>
      <c r="E226" s="3" t="e">
        <f>ABS(D226 - LOOKUP(C226, SweepStudyConfig[StudyId], SweepStudyConfig[OriginalAllocFractionA])) &lt; 0.03</f>
        <v>#VALUE!</v>
      </c>
      <c r="F226" s="3" t="e">
        <f>LOOKUP(C226, SweepStudyConfig[StudyId], SweepStudyConfig[NSweepStratumTotal])</f>
        <v>#VALUE!</v>
      </c>
      <c r="G226" s="3" t="e">
        <f>ROUND(F226 * D226)</f>
        <v>#VALUE!</v>
      </c>
      <c r="H226" s="3" t="e">
        <f>F226 - G226</f>
        <v>#VALUE!</v>
      </c>
      <c r="I226" s="3" t="e">
        <f>LOOKUP(C226, SweepStudyConfig[StudyId], SweepStudyConfig[NFixedA])</f>
        <v>#VALUE!</v>
      </c>
      <c r="J226" s="3" t="e">
        <f>LOOKUP(C226, SweepStudyConfig[StudyId], SweepStudyConfig[NFixedB])</f>
        <v>#VALUE!</v>
      </c>
      <c r="K226" s="3" t="e">
        <f>LOOKUP(C226, SweepStudyConfig[StudyId], SweepStudyConfig[SweepRateA])</f>
        <v>#VALUE!</v>
      </c>
      <c r="L226" s="3" t="e">
        <f>LOOKUP(C226, SweepStudyConfig[StudyId], SweepStudyConfig[SweepRateB])</f>
        <v>#VALUE!</v>
      </c>
      <c r="M226" s="3" t="e">
        <f>LOOKUP(C226, SweepStudyConfig[StudyId], SweepStudyConfig[FixedRateA])</f>
        <v>#VALUE!</v>
      </c>
      <c r="N226" s="3" t="e">
        <f>LOOKUP(C226, SweepStudyConfig[StudyId], SweepStudyConfig[FixedRateB])</f>
        <v>#VALUE!</v>
      </c>
      <c r="O226" s="3" t="e">
        <f>IF(G226 + I226 = 0, "", (G226 * K226 + I226 * M226) / (G226 + I226))</f>
        <v>#VALUE!</v>
      </c>
      <c r="P226" s="3" t="e">
        <f>IF(H226 + J226 = 0, "", (H226 * L226 + J226 * N226) / (H226 + J226))</f>
        <v>#VALUE!</v>
      </c>
      <c r="Q226" s="3" t="e">
        <f>IF(O226 = "", "", O226 - P226)</f>
        <v>#VALUE!</v>
      </c>
      <c r="R226" s="3" t="e">
        <f>LOOKUP(C226, SweepStudyConfig[StudyId], SweepStudyConfig[SweepCorrectedGap])</f>
        <v>#VALUE!</v>
      </c>
      <c r="S226" s="3" t="e">
        <f>IF(Q226 = "", "", Q226 - R226)</f>
        <v>#VALUE!</v>
      </c>
    </row>
    <row r="227">
      <c r="A227" s="2" t="s">
        <v>3515</v>
      </c>
      <c r="B227" s="3" t="str">
        <f>A227</f>
        <v>wainer-sat-states-1992-f055</v>
      </c>
      <c r="C227" s="2" t="s">
        <v>508</v>
      </c>
      <c r="D227" s="2">
        <v>0.55</v>
      </c>
      <c r="E227" s="3" t="e">
        <f>ABS(D227 - LOOKUP(C227, SweepStudyConfig[StudyId], SweepStudyConfig[OriginalAllocFractionA])) &lt; 0.03</f>
        <v>#VALUE!</v>
      </c>
      <c r="F227" s="3" t="e">
        <f>LOOKUP(C227, SweepStudyConfig[StudyId], SweepStudyConfig[NSweepStratumTotal])</f>
        <v>#VALUE!</v>
      </c>
      <c r="G227" s="3" t="e">
        <f>ROUND(F227 * D227)</f>
        <v>#VALUE!</v>
      </c>
      <c r="H227" s="3" t="e">
        <f>F227 - G227</f>
        <v>#VALUE!</v>
      </c>
      <c r="I227" s="3" t="e">
        <f>LOOKUP(C227, SweepStudyConfig[StudyId], SweepStudyConfig[NFixedA])</f>
        <v>#VALUE!</v>
      </c>
      <c r="J227" s="3" t="e">
        <f>LOOKUP(C227, SweepStudyConfig[StudyId], SweepStudyConfig[NFixedB])</f>
        <v>#VALUE!</v>
      </c>
      <c r="K227" s="3" t="e">
        <f>LOOKUP(C227, SweepStudyConfig[StudyId], SweepStudyConfig[SweepRateA])</f>
        <v>#VALUE!</v>
      </c>
      <c r="L227" s="3" t="e">
        <f>LOOKUP(C227, SweepStudyConfig[StudyId], SweepStudyConfig[SweepRateB])</f>
        <v>#VALUE!</v>
      </c>
      <c r="M227" s="3" t="e">
        <f>LOOKUP(C227, SweepStudyConfig[StudyId], SweepStudyConfig[FixedRateA])</f>
        <v>#VALUE!</v>
      </c>
      <c r="N227" s="3" t="e">
        <f>LOOKUP(C227, SweepStudyConfig[StudyId], SweepStudyConfig[FixedRateB])</f>
        <v>#VALUE!</v>
      </c>
      <c r="O227" s="3" t="e">
        <f>IF(G227 + I227 = 0, "", (G227 * K227 + I227 * M227) / (G227 + I227))</f>
        <v>#VALUE!</v>
      </c>
      <c r="P227" s="3" t="e">
        <f>IF(H227 + J227 = 0, "", (H227 * L227 + J227 * N227) / (H227 + J227))</f>
        <v>#VALUE!</v>
      </c>
      <c r="Q227" s="3" t="e">
        <f>IF(O227 = "", "", O227 - P227)</f>
        <v>#VALUE!</v>
      </c>
      <c r="R227" s="3" t="e">
        <f>LOOKUP(C227, SweepStudyConfig[StudyId], SweepStudyConfig[SweepCorrectedGap])</f>
        <v>#VALUE!</v>
      </c>
      <c r="S227" s="3" t="e">
        <f>IF(Q227 = "", "", Q227 - R227)</f>
        <v>#VALUE!</v>
      </c>
    </row>
    <row r="228">
      <c r="A228" s="2" t="s">
        <v>3516</v>
      </c>
      <c r="B228" s="3" t="str">
        <f>A228</f>
        <v>wainer-sat-states-1992-f065</v>
      </c>
      <c r="C228" s="2" t="s">
        <v>508</v>
      </c>
      <c r="D228" s="2">
        <v>0.65</v>
      </c>
      <c r="E228" s="3" t="e">
        <f>ABS(D228 - LOOKUP(C228, SweepStudyConfig[StudyId], SweepStudyConfig[OriginalAllocFractionA])) &lt; 0.03</f>
        <v>#VALUE!</v>
      </c>
      <c r="F228" s="3" t="e">
        <f>LOOKUP(C228, SweepStudyConfig[StudyId], SweepStudyConfig[NSweepStratumTotal])</f>
        <v>#VALUE!</v>
      </c>
      <c r="G228" s="3" t="e">
        <f>ROUND(F228 * D228)</f>
        <v>#VALUE!</v>
      </c>
      <c r="H228" s="3" t="e">
        <f>F228 - G228</f>
        <v>#VALUE!</v>
      </c>
      <c r="I228" s="3" t="e">
        <f>LOOKUP(C228, SweepStudyConfig[StudyId], SweepStudyConfig[NFixedA])</f>
        <v>#VALUE!</v>
      </c>
      <c r="J228" s="3" t="e">
        <f>LOOKUP(C228, SweepStudyConfig[StudyId], SweepStudyConfig[NFixedB])</f>
        <v>#VALUE!</v>
      </c>
      <c r="K228" s="3" t="e">
        <f>LOOKUP(C228, SweepStudyConfig[StudyId], SweepStudyConfig[SweepRateA])</f>
        <v>#VALUE!</v>
      </c>
      <c r="L228" s="3" t="e">
        <f>LOOKUP(C228, SweepStudyConfig[StudyId], SweepStudyConfig[SweepRateB])</f>
        <v>#VALUE!</v>
      </c>
      <c r="M228" s="3" t="e">
        <f>LOOKUP(C228, SweepStudyConfig[StudyId], SweepStudyConfig[FixedRateA])</f>
        <v>#VALUE!</v>
      </c>
      <c r="N228" s="3" t="e">
        <f>LOOKUP(C228, SweepStudyConfig[StudyId], SweepStudyConfig[FixedRateB])</f>
        <v>#VALUE!</v>
      </c>
      <c r="O228" s="3" t="e">
        <f>IF(G228 + I228 = 0, "", (G228 * K228 + I228 * M228) / (G228 + I228))</f>
        <v>#VALUE!</v>
      </c>
      <c r="P228" s="3" t="e">
        <f>IF(H228 + J228 = 0, "", (H228 * L228 + J228 * N228) / (H228 + J228))</f>
        <v>#VALUE!</v>
      </c>
      <c r="Q228" s="3" t="e">
        <f>IF(O228 = "", "", O228 - P228)</f>
        <v>#VALUE!</v>
      </c>
      <c r="R228" s="3" t="e">
        <f>LOOKUP(C228, SweepStudyConfig[StudyId], SweepStudyConfig[SweepCorrectedGap])</f>
        <v>#VALUE!</v>
      </c>
      <c r="S228" s="3" t="e">
        <f>IF(Q228 = "", "", Q228 - R228)</f>
        <v>#VALUE!</v>
      </c>
    </row>
    <row r="229">
      <c r="A229" s="2" t="s">
        <v>3517</v>
      </c>
      <c r="B229" s="3" t="str">
        <f>A229</f>
        <v>wainer-sat-states-1992-f075</v>
      </c>
      <c r="C229" s="2" t="s">
        <v>508</v>
      </c>
      <c r="D229" s="2">
        <v>0.75</v>
      </c>
      <c r="E229" s="3" t="e">
        <f>ABS(D229 - LOOKUP(C229, SweepStudyConfig[StudyId], SweepStudyConfig[OriginalAllocFractionA])) &lt; 0.03</f>
        <v>#VALUE!</v>
      </c>
      <c r="F229" s="3" t="e">
        <f>LOOKUP(C229, SweepStudyConfig[StudyId], SweepStudyConfig[NSweepStratumTotal])</f>
        <v>#VALUE!</v>
      </c>
      <c r="G229" s="3" t="e">
        <f>ROUND(F229 * D229)</f>
        <v>#VALUE!</v>
      </c>
      <c r="H229" s="3" t="e">
        <f>F229 - G229</f>
        <v>#VALUE!</v>
      </c>
      <c r="I229" s="3" t="e">
        <f>LOOKUP(C229, SweepStudyConfig[StudyId], SweepStudyConfig[NFixedA])</f>
        <v>#VALUE!</v>
      </c>
      <c r="J229" s="3" t="e">
        <f>LOOKUP(C229, SweepStudyConfig[StudyId], SweepStudyConfig[NFixedB])</f>
        <v>#VALUE!</v>
      </c>
      <c r="K229" s="3" t="e">
        <f>LOOKUP(C229, SweepStudyConfig[StudyId], SweepStudyConfig[SweepRateA])</f>
        <v>#VALUE!</v>
      </c>
      <c r="L229" s="3" t="e">
        <f>LOOKUP(C229, SweepStudyConfig[StudyId], SweepStudyConfig[SweepRateB])</f>
        <v>#VALUE!</v>
      </c>
      <c r="M229" s="3" t="e">
        <f>LOOKUP(C229, SweepStudyConfig[StudyId], SweepStudyConfig[FixedRateA])</f>
        <v>#VALUE!</v>
      </c>
      <c r="N229" s="3" t="e">
        <f>LOOKUP(C229, SweepStudyConfig[StudyId], SweepStudyConfig[FixedRateB])</f>
        <v>#VALUE!</v>
      </c>
      <c r="O229" s="3" t="e">
        <f>IF(G229 + I229 = 0, "", (G229 * K229 + I229 * M229) / (G229 + I229))</f>
        <v>#VALUE!</v>
      </c>
      <c r="P229" s="3" t="e">
        <f>IF(H229 + J229 = 0, "", (H229 * L229 + J229 * N229) / (H229 + J229))</f>
        <v>#VALUE!</v>
      </c>
      <c r="Q229" s="3" t="e">
        <f>IF(O229 = "", "", O229 - P229)</f>
        <v>#VALUE!</v>
      </c>
      <c r="R229" s="3" t="e">
        <f>LOOKUP(C229, SweepStudyConfig[StudyId], SweepStudyConfig[SweepCorrectedGap])</f>
        <v>#VALUE!</v>
      </c>
      <c r="S229" s="3" t="e">
        <f>IF(Q229 = "", "", Q229 - R229)</f>
        <v>#VALUE!</v>
      </c>
    </row>
    <row r="230">
      <c r="A230" s="2" t="s">
        <v>3518</v>
      </c>
      <c r="B230" s="3" t="str">
        <f>A230</f>
        <v>wainer-sat-states-1992-f085</v>
      </c>
      <c r="C230" s="2" t="s">
        <v>508</v>
      </c>
      <c r="D230" s="2">
        <v>0.85</v>
      </c>
      <c r="E230" s="3" t="e">
        <f>ABS(D230 - LOOKUP(C230, SweepStudyConfig[StudyId], SweepStudyConfig[OriginalAllocFractionA])) &lt; 0.03</f>
        <v>#VALUE!</v>
      </c>
      <c r="F230" s="3" t="e">
        <f>LOOKUP(C230, SweepStudyConfig[StudyId], SweepStudyConfig[NSweepStratumTotal])</f>
        <v>#VALUE!</v>
      </c>
      <c r="G230" s="3" t="e">
        <f>ROUND(F230 * D230)</f>
        <v>#VALUE!</v>
      </c>
      <c r="H230" s="3" t="e">
        <f>F230 - G230</f>
        <v>#VALUE!</v>
      </c>
      <c r="I230" s="3" t="e">
        <f>LOOKUP(C230, SweepStudyConfig[StudyId], SweepStudyConfig[NFixedA])</f>
        <v>#VALUE!</v>
      </c>
      <c r="J230" s="3" t="e">
        <f>LOOKUP(C230, SweepStudyConfig[StudyId], SweepStudyConfig[NFixedB])</f>
        <v>#VALUE!</v>
      </c>
      <c r="K230" s="3" t="e">
        <f>LOOKUP(C230, SweepStudyConfig[StudyId], SweepStudyConfig[SweepRateA])</f>
        <v>#VALUE!</v>
      </c>
      <c r="L230" s="3" t="e">
        <f>LOOKUP(C230, SweepStudyConfig[StudyId], SweepStudyConfig[SweepRateB])</f>
        <v>#VALUE!</v>
      </c>
      <c r="M230" s="3" t="e">
        <f>LOOKUP(C230, SweepStudyConfig[StudyId], SweepStudyConfig[FixedRateA])</f>
        <v>#VALUE!</v>
      </c>
      <c r="N230" s="3" t="e">
        <f>LOOKUP(C230, SweepStudyConfig[StudyId], SweepStudyConfig[FixedRateB])</f>
        <v>#VALUE!</v>
      </c>
      <c r="O230" s="3" t="e">
        <f>IF(G230 + I230 = 0, "", (G230 * K230 + I230 * M230) / (G230 + I230))</f>
        <v>#VALUE!</v>
      </c>
      <c r="P230" s="3" t="e">
        <f>IF(H230 + J230 = 0, "", (H230 * L230 + J230 * N230) / (H230 + J230))</f>
        <v>#VALUE!</v>
      </c>
      <c r="Q230" s="3" t="e">
        <f>IF(O230 = "", "", O230 - P230)</f>
        <v>#VALUE!</v>
      </c>
      <c r="R230" s="3" t="e">
        <f>LOOKUP(C230, SweepStudyConfig[StudyId], SweepStudyConfig[SweepCorrectedGap])</f>
        <v>#VALUE!</v>
      </c>
      <c r="S230" s="3" t="e">
        <f>IF(Q230 = "", "", Q230 - R230)</f>
        <v>#VALUE!</v>
      </c>
    </row>
    <row r="231">
      <c r="A231" s="2" t="s">
        <v>3519</v>
      </c>
      <c r="B231" s="3" t="str">
        <f>A231</f>
        <v>wainer-sat-states-1992-f095</v>
      </c>
      <c r="C231" s="2" t="s">
        <v>508</v>
      </c>
      <c r="D231" s="2">
        <v>0.95</v>
      </c>
      <c r="E231" s="3" t="e">
        <f>ABS(D231 - LOOKUP(C231, SweepStudyConfig[StudyId], SweepStudyConfig[OriginalAllocFractionA])) &lt; 0.03</f>
        <v>#VALUE!</v>
      </c>
      <c r="F231" s="3" t="e">
        <f>LOOKUP(C231, SweepStudyConfig[StudyId], SweepStudyConfig[NSweepStratumTotal])</f>
        <v>#VALUE!</v>
      </c>
      <c r="G231" s="3" t="e">
        <f>ROUND(F231 * D231)</f>
        <v>#VALUE!</v>
      </c>
      <c r="H231" s="3" t="e">
        <f>F231 - G231</f>
        <v>#VALUE!</v>
      </c>
      <c r="I231" s="3" t="e">
        <f>LOOKUP(C231, SweepStudyConfig[StudyId], SweepStudyConfig[NFixedA])</f>
        <v>#VALUE!</v>
      </c>
      <c r="J231" s="3" t="e">
        <f>LOOKUP(C231, SweepStudyConfig[StudyId], SweepStudyConfig[NFixedB])</f>
        <v>#VALUE!</v>
      </c>
      <c r="K231" s="3" t="e">
        <f>LOOKUP(C231, SweepStudyConfig[StudyId], SweepStudyConfig[SweepRateA])</f>
        <v>#VALUE!</v>
      </c>
      <c r="L231" s="3" t="e">
        <f>LOOKUP(C231, SweepStudyConfig[StudyId], SweepStudyConfig[SweepRateB])</f>
        <v>#VALUE!</v>
      </c>
      <c r="M231" s="3" t="e">
        <f>LOOKUP(C231, SweepStudyConfig[StudyId], SweepStudyConfig[FixedRateA])</f>
        <v>#VALUE!</v>
      </c>
      <c r="N231" s="3" t="e">
        <f>LOOKUP(C231, SweepStudyConfig[StudyId], SweepStudyConfig[FixedRateB])</f>
        <v>#VALUE!</v>
      </c>
      <c r="O231" s="3" t="e">
        <f>IF(G231 + I231 = 0, "", (G231 * K231 + I231 * M231) / (G231 + I231))</f>
        <v>#VALUE!</v>
      </c>
      <c r="P231" s="3" t="e">
        <f>IF(H231 + J231 = 0, "", (H231 * L231 + J231 * N231) / (H231 + J231))</f>
        <v>#VALUE!</v>
      </c>
      <c r="Q231" s="3" t="e">
        <f>IF(O231 = "", "", O231 - P231)</f>
        <v>#VALUE!</v>
      </c>
      <c r="R231" s="3" t="e">
        <f>LOOKUP(C231, SweepStudyConfig[StudyId], SweepStudyConfig[SweepCorrectedGap])</f>
        <v>#VALUE!</v>
      </c>
      <c r="S231" s="3" t="e">
        <f>IF(Q231 = "", "", Q231 - R231)</f>
        <v>#VALUE!</v>
      </c>
    </row>
    <row r="232">
      <c r="A232" s="2" t="s">
        <v>3520</v>
      </c>
      <c r="B232" s="3" t="str">
        <f>A232</f>
        <v>folic-acid-neural-tube-1991-f005</v>
      </c>
      <c r="C232" s="2" t="s">
        <v>511</v>
      </c>
      <c r="D232" s="2">
        <v>0.05</v>
      </c>
      <c r="E232" s="3" t="e">
        <f>ABS(D232 - LOOKUP(C232, SweepStudyConfig[StudyId], SweepStudyConfig[OriginalAllocFractionA])) &lt; 0.03</f>
        <v>#VALUE!</v>
      </c>
      <c r="F232" s="3" t="e">
        <f>LOOKUP(C232, SweepStudyConfig[StudyId], SweepStudyConfig[NSweepStratumTotal])</f>
        <v>#VALUE!</v>
      </c>
      <c r="G232" s="3" t="e">
        <f>ROUND(F232 * D232)</f>
        <v>#VALUE!</v>
      </c>
      <c r="H232" s="3" t="e">
        <f>F232 - G232</f>
        <v>#VALUE!</v>
      </c>
      <c r="I232" s="3" t="e">
        <f>LOOKUP(C232, SweepStudyConfig[StudyId], SweepStudyConfig[NFixedA])</f>
        <v>#VALUE!</v>
      </c>
      <c r="J232" s="3" t="e">
        <f>LOOKUP(C232, SweepStudyConfig[StudyId], SweepStudyConfig[NFixedB])</f>
        <v>#VALUE!</v>
      </c>
      <c r="K232" s="3" t="e">
        <f>LOOKUP(C232, SweepStudyConfig[StudyId], SweepStudyConfig[SweepRateA])</f>
        <v>#VALUE!</v>
      </c>
      <c r="L232" s="3" t="e">
        <f>LOOKUP(C232, SweepStudyConfig[StudyId], SweepStudyConfig[SweepRateB])</f>
        <v>#VALUE!</v>
      </c>
      <c r="M232" s="3" t="e">
        <f>LOOKUP(C232, SweepStudyConfig[StudyId], SweepStudyConfig[FixedRateA])</f>
        <v>#VALUE!</v>
      </c>
      <c r="N232" s="3" t="e">
        <f>LOOKUP(C232, SweepStudyConfig[StudyId], SweepStudyConfig[FixedRateB])</f>
        <v>#VALUE!</v>
      </c>
      <c r="O232" s="3" t="e">
        <f>IF(G232 + I232 = 0, "", (G232 * K232 + I232 * M232) / (G232 + I232))</f>
        <v>#VALUE!</v>
      </c>
      <c r="P232" s="3" t="e">
        <f>IF(H232 + J232 = 0, "", (H232 * L232 + J232 * N232) / (H232 + J232))</f>
        <v>#VALUE!</v>
      </c>
      <c r="Q232" s="3" t="e">
        <f>IF(O232 = "", "", O232 - P232)</f>
        <v>#VALUE!</v>
      </c>
      <c r="R232" s="3" t="e">
        <f>LOOKUP(C232, SweepStudyConfig[StudyId], SweepStudyConfig[SweepCorrectedGap])</f>
        <v>#VALUE!</v>
      </c>
      <c r="S232" s="3" t="e">
        <f>IF(Q232 = "", "", Q232 - R232)</f>
        <v>#VALUE!</v>
      </c>
    </row>
    <row r="233">
      <c r="A233" s="2" t="s">
        <v>3521</v>
      </c>
      <c r="B233" s="3" t="str">
        <f>A233</f>
        <v>folic-acid-neural-tube-1991-f015</v>
      </c>
      <c r="C233" s="2" t="s">
        <v>511</v>
      </c>
      <c r="D233" s="2">
        <v>0.15</v>
      </c>
      <c r="E233" s="3" t="e">
        <f>ABS(D233 - LOOKUP(C233, SweepStudyConfig[StudyId], SweepStudyConfig[OriginalAllocFractionA])) &lt; 0.03</f>
        <v>#VALUE!</v>
      </c>
      <c r="F233" s="3" t="e">
        <f>LOOKUP(C233, SweepStudyConfig[StudyId], SweepStudyConfig[NSweepStratumTotal])</f>
        <v>#VALUE!</v>
      </c>
      <c r="G233" s="3" t="e">
        <f>ROUND(F233 * D233)</f>
        <v>#VALUE!</v>
      </c>
      <c r="H233" s="3" t="e">
        <f>F233 - G233</f>
        <v>#VALUE!</v>
      </c>
      <c r="I233" s="3" t="e">
        <f>LOOKUP(C233, SweepStudyConfig[StudyId], SweepStudyConfig[NFixedA])</f>
        <v>#VALUE!</v>
      </c>
      <c r="J233" s="3" t="e">
        <f>LOOKUP(C233, SweepStudyConfig[StudyId], SweepStudyConfig[NFixedB])</f>
        <v>#VALUE!</v>
      </c>
      <c r="K233" s="3" t="e">
        <f>LOOKUP(C233, SweepStudyConfig[StudyId], SweepStudyConfig[SweepRateA])</f>
        <v>#VALUE!</v>
      </c>
      <c r="L233" s="3" t="e">
        <f>LOOKUP(C233, SweepStudyConfig[StudyId], SweepStudyConfig[SweepRateB])</f>
        <v>#VALUE!</v>
      </c>
      <c r="M233" s="3" t="e">
        <f>LOOKUP(C233, SweepStudyConfig[StudyId], SweepStudyConfig[FixedRateA])</f>
        <v>#VALUE!</v>
      </c>
      <c r="N233" s="3" t="e">
        <f>LOOKUP(C233, SweepStudyConfig[StudyId], SweepStudyConfig[FixedRateB])</f>
        <v>#VALUE!</v>
      </c>
      <c r="O233" s="3" t="e">
        <f>IF(G233 + I233 = 0, "", (G233 * K233 + I233 * M233) / (G233 + I233))</f>
        <v>#VALUE!</v>
      </c>
      <c r="P233" s="3" t="e">
        <f>IF(H233 + J233 = 0, "", (H233 * L233 + J233 * N233) / (H233 + J233))</f>
        <v>#VALUE!</v>
      </c>
      <c r="Q233" s="3" t="e">
        <f>IF(O233 = "", "", O233 - P233)</f>
        <v>#VALUE!</v>
      </c>
      <c r="R233" s="3" t="e">
        <f>LOOKUP(C233, SweepStudyConfig[StudyId], SweepStudyConfig[SweepCorrectedGap])</f>
        <v>#VALUE!</v>
      </c>
      <c r="S233" s="3" t="e">
        <f>IF(Q233 = "", "", Q233 - R233)</f>
        <v>#VALUE!</v>
      </c>
    </row>
    <row r="234">
      <c r="A234" s="2" t="s">
        <v>3522</v>
      </c>
      <c r="B234" s="3" t="str">
        <f>A234</f>
        <v>folic-acid-neural-tube-1991-f025</v>
      </c>
      <c r="C234" s="2" t="s">
        <v>511</v>
      </c>
      <c r="D234" s="2">
        <v>0.25</v>
      </c>
      <c r="E234" s="3" t="e">
        <f>ABS(D234 - LOOKUP(C234, SweepStudyConfig[StudyId], SweepStudyConfig[OriginalAllocFractionA])) &lt; 0.03</f>
        <v>#VALUE!</v>
      </c>
      <c r="F234" s="3" t="e">
        <f>LOOKUP(C234, SweepStudyConfig[StudyId], SweepStudyConfig[NSweepStratumTotal])</f>
        <v>#VALUE!</v>
      </c>
      <c r="G234" s="3" t="e">
        <f>ROUND(F234 * D234)</f>
        <v>#VALUE!</v>
      </c>
      <c r="H234" s="3" t="e">
        <f>F234 - G234</f>
        <v>#VALUE!</v>
      </c>
      <c r="I234" s="3" t="e">
        <f>LOOKUP(C234, SweepStudyConfig[StudyId], SweepStudyConfig[NFixedA])</f>
        <v>#VALUE!</v>
      </c>
      <c r="J234" s="3" t="e">
        <f>LOOKUP(C234, SweepStudyConfig[StudyId], SweepStudyConfig[NFixedB])</f>
        <v>#VALUE!</v>
      </c>
      <c r="K234" s="3" t="e">
        <f>LOOKUP(C234, SweepStudyConfig[StudyId], SweepStudyConfig[SweepRateA])</f>
        <v>#VALUE!</v>
      </c>
      <c r="L234" s="3" t="e">
        <f>LOOKUP(C234, SweepStudyConfig[StudyId], SweepStudyConfig[SweepRateB])</f>
        <v>#VALUE!</v>
      </c>
      <c r="M234" s="3" t="e">
        <f>LOOKUP(C234, SweepStudyConfig[StudyId], SweepStudyConfig[FixedRateA])</f>
        <v>#VALUE!</v>
      </c>
      <c r="N234" s="3" t="e">
        <f>LOOKUP(C234, SweepStudyConfig[StudyId], SweepStudyConfig[FixedRateB])</f>
        <v>#VALUE!</v>
      </c>
      <c r="O234" s="3" t="e">
        <f>IF(G234 + I234 = 0, "", (G234 * K234 + I234 * M234) / (G234 + I234))</f>
        <v>#VALUE!</v>
      </c>
      <c r="P234" s="3" t="e">
        <f>IF(H234 + J234 = 0, "", (H234 * L234 + J234 * N234) / (H234 + J234))</f>
        <v>#VALUE!</v>
      </c>
      <c r="Q234" s="3" t="e">
        <f>IF(O234 = "", "", O234 - P234)</f>
        <v>#VALUE!</v>
      </c>
      <c r="R234" s="3" t="e">
        <f>LOOKUP(C234, SweepStudyConfig[StudyId], SweepStudyConfig[SweepCorrectedGap])</f>
        <v>#VALUE!</v>
      </c>
      <c r="S234" s="3" t="e">
        <f>IF(Q234 = "", "", Q234 - R234)</f>
        <v>#VALUE!</v>
      </c>
    </row>
    <row r="235">
      <c r="A235" s="2" t="s">
        <v>3523</v>
      </c>
      <c r="B235" s="3" t="str">
        <f>A235</f>
        <v>folic-acid-neural-tube-1991-f035</v>
      </c>
      <c r="C235" s="2" t="s">
        <v>511</v>
      </c>
      <c r="D235" s="2">
        <v>0.35</v>
      </c>
      <c r="E235" s="3" t="e">
        <f>ABS(D235 - LOOKUP(C235, SweepStudyConfig[StudyId], SweepStudyConfig[OriginalAllocFractionA])) &lt; 0.03</f>
        <v>#VALUE!</v>
      </c>
      <c r="F235" s="3" t="e">
        <f>LOOKUP(C235, SweepStudyConfig[StudyId], SweepStudyConfig[NSweepStratumTotal])</f>
        <v>#VALUE!</v>
      </c>
      <c r="G235" s="3" t="e">
        <f>ROUND(F235 * D235)</f>
        <v>#VALUE!</v>
      </c>
      <c r="H235" s="3" t="e">
        <f>F235 - G235</f>
        <v>#VALUE!</v>
      </c>
      <c r="I235" s="3" t="e">
        <f>LOOKUP(C235, SweepStudyConfig[StudyId], SweepStudyConfig[NFixedA])</f>
        <v>#VALUE!</v>
      </c>
      <c r="J235" s="3" t="e">
        <f>LOOKUP(C235, SweepStudyConfig[StudyId], SweepStudyConfig[NFixedB])</f>
        <v>#VALUE!</v>
      </c>
      <c r="K235" s="3" t="e">
        <f>LOOKUP(C235, SweepStudyConfig[StudyId], SweepStudyConfig[SweepRateA])</f>
        <v>#VALUE!</v>
      </c>
      <c r="L235" s="3" t="e">
        <f>LOOKUP(C235, SweepStudyConfig[StudyId], SweepStudyConfig[SweepRateB])</f>
        <v>#VALUE!</v>
      </c>
      <c r="M235" s="3" t="e">
        <f>LOOKUP(C235, SweepStudyConfig[StudyId], SweepStudyConfig[FixedRateA])</f>
        <v>#VALUE!</v>
      </c>
      <c r="N235" s="3" t="e">
        <f>LOOKUP(C235, SweepStudyConfig[StudyId], SweepStudyConfig[FixedRateB])</f>
        <v>#VALUE!</v>
      </c>
      <c r="O235" s="3" t="e">
        <f>IF(G235 + I235 = 0, "", (G235 * K235 + I235 * M235) / (G235 + I235))</f>
        <v>#VALUE!</v>
      </c>
      <c r="P235" s="3" t="e">
        <f>IF(H235 + J235 = 0, "", (H235 * L235 + J235 * N235) / (H235 + J235))</f>
        <v>#VALUE!</v>
      </c>
      <c r="Q235" s="3" t="e">
        <f>IF(O235 = "", "", O235 - P235)</f>
        <v>#VALUE!</v>
      </c>
      <c r="R235" s="3" t="e">
        <f>LOOKUP(C235, SweepStudyConfig[StudyId], SweepStudyConfig[SweepCorrectedGap])</f>
        <v>#VALUE!</v>
      </c>
      <c r="S235" s="3" t="e">
        <f>IF(Q235 = "", "", Q235 - R235)</f>
        <v>#VALUE!</v>
      </c>
    </row>
    <row r="236">
      <c r="A236" s="2" t="s">
        <v>3524</v>
      </c>
      <c r="B236" s="3" t="str">
        <f>A236</f>
        <v>folic-acid-neural-tube-1991-f045</v>
      </c>
      <c r="C236" s="2" t="s">
        <v>511</v>
      </c>
      <c r="D236" s="2">
        <v>0.45</v>
      </c>
      <c r="E236" s="3" t="e">
        <f>ABS(D236 - LOOKUP(C236, SweepStudyConfig[StudyId], SweepStudyConfig[OriginalAllocFractionA])) &lt; 0.03</f>
        <v>#VALUE!</v>
      </c>
      <c r="F236" s="3" t="e">
        <f>LOOKUP(C236, SweepStudyConfig[StudyId], SweepStudyConfig[NSweepStratumTotal])</f>
        <v>#VALUE!</v>
      </c>
      <c r="G236" s="3" t="e">
        <f>ROUND(F236 * D236)</f>
        <v>#VALUE!</v>
      </c>
      <c r="H236" s="3" t="e">
        <f>F236 - G236</f>
        <v>#VALUE!</v>
      </c>
      <c r="I236" s="3" t="e">
        <f>LOOKUP(C236, SweepStudyConfig[StudyId], SweepStudyConfig[NFixedA])</f>
        <v>#VALUE!</v>
      </c>
      <c r="J236" s="3" t="e">
        <f>LOOKUP(C236, SweepStudyConfig[StudyId], SweepStudyConfig[NFixedB])</f>
        <v>#VALUE!</v>
      </c>
      <c r="K236" s="3" t="e">
        <f>LOOKUP(C236, SweepStudyConfig[StudyId], SweepStudyConfig[SweepRateA])</f>
        <v>#VALUE!</v>
      </c>
      <c r="L236" s="3" t="e">
        <f>LOOKUP(C236, SweepStudyConfig[StudyId], SweepStudyConfig[SweepRateB])</f>
        <v>#VALUE!</v>
      </c>
      <c r="M236" s="3" t="e">
        <f>LOOKUP(C236, SweepStudyConfig[StudyId], SweepStudyConfig[FixedRateA])</f>
        <v>#VALUE!</v>
      </c>
      <c r="N236" s="3" t="e">
        <f>LOOKUP(C236, SweepStudyConfig[StudyId], SweepStudyConfig[FixedRateB])</f>
        <v>#VALUE!</v>
      </c>
      <c r="O236" s="3" t="e">
        <f>IF(G236 + I236 = 0, "", (G236 * K236 + I236 * M236) / (G236 + I236))</f>
        <v>#VALUE!</v>
      </c>
      <c r="P236" s="3" t="e">
        <f>IF(H236 + J236 = 0, "", (H236 * L236 + J236 * N236) / (H236 + J236))</f>
        <v>#VALUE!</v>
      </c>
      <c r="Q236" s="3" t="e">
        <f>IF(O236 = "", "", O236 - P236)</f>
        <v>#VALUE!</v>
      </c>
      <c r="R236" s="3" t="e">
        <f>LOOKUP(C236, SweepStudyConfig[StudyId], SweepStudyConfig[SweepCorrectedGap])</f>
        <v>#VALUE!</v>
      </c>
      <c r="S236" s="3" t="e">
        <f>IF(Q236 = "", "", Q236 - R236)</f>
        <v>#VALUE!</v>
      </c>
    </row>
    <row r="237">
      <c r="A237" s="2" t="s">
        <v>3525</v>
      </c>
      <c r="B237" s="3" t="str">
        <f>A237</f>
        <v>folic-acid-neural-tube-1991-f055</v>
      </c>
      <c r="C237" s="2" t="s">
        <v>511</v>
      </c>
      <c r="D237" s="2">
        <v>0.55</v>
      </c>
      <c r="E237" s="3" t="e">
        <f>ABS(D237 - LOOKUP(C237, SweepStudyConfig[StudyId], SweepStudyConfig[OriginalAllocFractionA])) &lt; 0.03</f>
        <v>#VALUE!</v>
      </c>
      <c r="F237" s="3" t="e">
        <f>LOOKUP(C237, SweepStudyConfig[StudyId], SweepStudyConfig[NSweepStratumTotal])</f>
        <v>#VALUE!</v>
      </c>
      <c r="G237" s="3" t="e">
        <f>ROUND(F237 * D237)</f>
        <v>#VALUE!</v>
      </c>
      <c r="H237" s="3" t="e">
        <f>F237 - G237</f>
        <v>#VALUE!</v>
      </c>
      <c r="I237" s="3" t="e">
        <f>LOOKUP(C237, SweepStudyConfig[StudyId], SweepStudyConfig[NFixedA])</f>
        <v>#VALUE!</v>
      </c>
      <c r="J237" s="3" t="e">
        <f>LOOKUP(C237, SweepStudyConfig[StudyId], SweepStudyConfig[NFixedB])</f>
        <v>#VALUE!</v>
      </c>
      <c r="K237" s="3" t="e">
        <f>LOOKUP(C237, SweepStudyConfig[StudyId], SweepStudyConfig[SweepRateA])</f>
        <v>#VALUE!</v>
      </c>
      <c r="L237" s="3" t="e">
        <f>LOOKUP(C237, SweepStudyConfig[StudyId], SweepStudyConfig[SweepRateB])</f>
        <v>#VALUE!</v>
      </c>
      <c r="M237" s="3" t="e">
        <f>LOOKUP(C237, SweepStudyConfig[StudyId], SweepStudyConfig[FixedRateA])</f>
        <v>#VALUE!</v>
      </c>
      <c r="N237" s="3" t="e">
        <f>LOOKUP(C237, SweepStudyConfig[StudyId], SweepStudyConfig[FixedRateB])</f>
        <v>#VALUE!</v>
      </c>
      <c r="O237" s="3" t="e">
        <f>IF(G237 + I237 = 0, "", (G237 * K237 + I237 * M237) / (G237 + I237))</f>
        <v>#VALUE!</v>
      </c>
      <c r="P237" s="3" t="e">
        <f>IF(H237 + J237 = 0, "", (H237 * L237 + J237 * N237) / (H237 + J237))</f>
        <v>#VALUE!</v>
      </c>
      <c r="Q237" s="3" t="e">
        <f>IF(O237 = "", "", O237 - P237)</f>
        <v>#VALUE!</v>
      </c>
      <c r="R237" s="3" t="e">
        <f>LOOKUP(C237, SweepStudyConfig[StudyId], SweepStudyConfig[SweepCorrectedGap])</f>
        <v>#VALUE!</v>
      </c>
      <c r="S237" s="3" t="e">
        <f>IF(Q237 = "", "", Q237 - R237)</f>
        <v>#VALUE!</v>
      </c>
    </row>
    <row r="238">
      <c r="A238" s="2" t="s">
        <v>3526</v>
      </c>
      <c r="B238" s="3" t="str">
        <f>A238</f>
        <v>folic-acid-neural-tube-1991-f065</v>
      </c>
      <c r="C238" s="2" t="s">
        <v>511</v>
      </c>
      <c r="D238" s="2">
        <v>0.65</v>
      </c>
      <c r="E238" s="3" t="e">
        <f>ABS(D238 - LOOKUP(C238, SweepStudyConfig[StudyId], SweepStudyConfig[OriginalAllocFractionA])) &lt; 0.03</f>
        <v>#VALUE!</v>
      </c>
      <c r="F238" s="3" t="e">
        <f>LOOKUP(C238, SweepStudyConfig[StudyId], SweepStudyConfig[NSweepStratumTotal])</f>
        <v>#VALUE!</v>
      </c>
      <c r="G238" s="3" t="e">
        <f>ROUND(F238 * D238)</f>
        <v>#VALUE!</v>
      </c>
      <c r="H238" s="3" t="e">
        <f>F238 - G238</f>
        <v>#VALUE!</v>
      </c>
      <c r="I238" s="3" t="e">
        <f>LOOKUP(C238, SweepStudyConfig[StudyId], SweepStudyConfig[NFixedA])</f>
        <v>#VALUE!</v>
      </c>
      <c r="J238" s="3" t="e">
        <f>LOOKUP(C238, SweepStudyConfig[StudyId], SweepStudyConfig[NFixedB])</f>
        <v>#VALUE!</v>
      </c>
      <c r="K238" s="3" t="e">
        <f>LOOKUP(C238, SweepStudyConfig[StudyId], SweepStudyConfig[SweepRateA])</f>
        <v>#VALUE!</v>
      </c>
      <c r="L238" s="3" t="e">
        <f>LOOKUP(C238, SweepStudyConfig[StudyId], SweepStudyConfig[SweepRateB])</f>
        <v>#VALUE!</v>
      </c>
      <c r="M238" s="3" t="e">
        <f>LOOKUP(C238, SweepStudyConfig[StudyId], SweepStudyConfig[FixedRateA])</f>
        <v>#VALUE!</v>
      </c>
      <c r="N238" s="3" t="e">
        <f>LOOKUP(C238, SweepStudyConfig[StudyId], SweepStudyConfig[FixedRateB])</f>
        <v>#VALUE!</v>
      </c>
      <c r="O238" s="3" t="e">
        <f>IF(G238 + I238 = 0, "", (G238 * K238 + I238 * M238) / (G238 + I238))</f>
        <v>#VALUE!</v>
      </c>
      <c r="P238" s="3" t="e">
        <f>IF(H238 + J238 = 0, "", (H238 * L238 + J238 * N238) / (H238 + J238))</f>
        <v>#VALUE!</v>
      </c>
      <c r="Q238" s="3" t="e">
        <f>IF(O238 = "", "", O238 - P238)</f>
        <v>#VALUE!</v>
      </c>
      <c r="R238" s="3" t="e">
        <f>LOOKUP(C238, SweepStudyConfig[StudyId], SweepStudyConfig[SweepCorrectedGap])</f>
        <v>#VALUE!</v>
      </c>
      <c r="S238" s="3" t="e">
        <f>IF(Q238 = "", "", Q238 - R238)</f>
        <v>#VALUE!</v>
      </c>
    </row>
    <row r="239">
      <c r="A239" s="2" t="s">
        <v>3527</v>
      </c>
      <c r="B239" s="3" t="str">
        <f>A239</f>
        <v>folic-acid-neural-tube-1991-f075</v>
      </c>
      <c r="C239" s="2" t="s">
        <v>511</v>
      </c>
      <c r="D239" s="2">
        <v>0.75</v>
      </c>
      <c r="E239" s="3" t="e">
        <f>ABS(D239 - LOOKUP(C239, SweepStudyConfig[StudyId], SweepStudyConfig[OriginalAllocFractionA])) &lt; 0.03</f>
        <v>#VALUE!</v>
      </c>
      <c r="F239" s="3" t="e">
        <f>LOOKUP(C239, SweepStudyConfig[StudyId], SweepStudyConfig[NSweepStratumTotal])</f>
        <v>#VALUE!</v>
      </c>
      <c r="G239" s="3" t="e">
        <f>ROUND(F239 * D239)</f>
        <v>#VALUE!</v>
      </c>
      <c r="H239" s="3" t="e">
        <f>F239 - G239</f>
        <v>#VALUE!</v>
      </c>
      <c r="I239" s="3" t="e">
        <f>LOOKUP(C239, SweepStudyConfig[StudyId], SweepStudyConfig[NFixedA])</f>
        <v>#VALUE!</v>
      </c>
      <c r="J239" s="3" t="e">
        <f>LOOKUP(C239, SweepStudyConfig[StudyId], SweepStudyConfig[NFixedB])</f>
        <v>#VALUE!</v>
      </c>
      <c r="K239" s="3" t="e">
        <f>LOOKUP(C239, SweepStudyConfig[StudyId], SweepStudyConfig[SweepRateA])</f>
        <v>#VALUE!</v>
      </c>
      <c r="L239" s="3" t="e">
        <f>LOOKUP(C239, SweepStudyConfig[StudyId], SweepStudyConfig[SweepRateB])</f>
        <v>#VALUE!</v>
      </c>
      <c r="M239" s="3" t="e">
        <f>LOOKUP(C239, SweepStudyConfig[StudyId], SweepStudyConfig[FixedRateA])</f>
        <v>#VALUE!</v>
      </c>
      <c r="N239" s="3" t="e">
        <f>LOOKUP(C239, SweepStudyConfig[StudyId], SweepStudyConfig[FixedRateB])</f>
        <v>#VALUE!</v>
      </c>
      <c r="O239" s="3" t="e">
        <f>IF(G239 + I239 = 0, "", (G239 * K239 + I239 * M239) / (G239 + I239))</f>
        <v>#VALUE!</v>
      </c>
      <c r="P239" s="3" t="e">
        <f>IF(H239 + J239 = 0, "", (H239 * L239 + J239 * N239) / (H239 + J239))</f>
        <v>#VALUE!</v>
      </c>
      <c r="Q239" s="3" t="e">
        <f>IF(O239 = "", "", O239 - P239)</f>
        <v>#VALUE!</v>
      </c>
      <c r="R239" s="3" t="e">
        <f>LOOKUP(C239, SweepStudyConfig[StudyId], SweepStudyConfig[SweepCorrectedGap])</f>
        <v>#VALUE!</v>
      </c>
      <c r="S239" s="3" t="e">
        <f>IF(Q239 = "", "", Q239 - R239)</f>
        <v>#VALUE!</v>
      </c>
    </row>
    <row r="240">
      <c r="A240" s="2" t="s">
        <v>3528</v>
      </c>
      <c r="B240" s="3" t="str">
        <f>A240</f>
        <v>folic-acid-neural-tube-1991-f085</v>
      </c>
      <c r="C240" s="2" t="s">
        <v>511</v>
      </c>
      <c r="D240" s="2">
        <v>0.85</v>
      </c>
      <c r="E240" s="3" t="e">
        <f>ABS(D240 - LOOKUP(C240, SweepStudyConfig[StudyId], SweepStudyConfig[OriginalAllocFractionA])) &lt; 0.03</f>
        <v>#VALUE!</v>
      </c>
      <c r="F240" s="3" t="e">
        <f>LOOKUP(C240, SweepStudyConfig[StudyId], SweepStudyConfig[NSweepStratumTotal])</f>
        <v>#VALUE!</v>
      </c>
      <c r="G240" s="3" t="e">
        <f>ROUND(F240 * D240)</f>
        <v>#VALUE!</v>
      </c>
      <c r="H240" s="3" t="e">
        <f>F240 - G240</f>
        <v>#VALUE!</v>
      </c>
      <c r="I240" s="3" t="e">
        <f>LOOKUP(C240, SweepStudyConfig[StudyId], SweepStudyConfig[NFixedA])</f>
        <v>#VALUE!</v>
      </c>
      <c r="J240" s="3" t="e">
        <f>LOOKUP(C240, SweepStudyConfig[StudyId], SweepStudyConfig[NFixedB])</f>
        <v>#VALUE!</v>
      </c>
      <c r="K240" s="3" t="e">
        <f>LOOKUP(C240, SweepStudyConfig[StudyId], SweepStudyConfig[SweepRateA])</f>
        <v>#VALUE!</v>
      </c>
      <c r="L240" s="3" t="e">
        <f>LOOKUP(C240, SweepStudyConfig[StudyId], SweepStudyConfig[SweepRateB])</f>
        <v>#VALUE!</v>
      </c>
      <c r="M240" s="3" t="e">
        <f>LOOKUP(C240, SweepStudyConfig[StudyId], SweepStudyConfig[FixedRateA])</f>
        <v>#VALUE!</v>
      </c>
      <c r="N240" s="3" t="e">
        <f>LOOKUP(C240, SweepStudyConfig[StudyId], SweepStudyConfig[FixedRateB])</f>
        <v>#VALUE!</v>
      </c>
      <c r="O240" s="3" t="e">
        <f>IF(G240 + I240 = 0, "", (G240 * K240 + I240 * M240) / (G240 + I240))</f>
        <v>#VALUE!</v>
      </c>
      <c r="P240" s="3" t="e">
        <f>IF(H240 + J240 = 0, "", (H240 * L240 + J240 * N240) / (H240 + J240))</f>
        <v>#VALUE!</v>
      </c>
      <c r="Q240" s="3" t="e">
        <f>IF(O240 = "", "", O240 - P240)</f>
        <v>#VALUE!</v>
      </c>
      <c r="R240" s="3" t="e">
        <f>LOOKUP(C240, SweepStudyConfig[StudyId], SweepStudyConfig[SweepCorrectedGap])</f>
        <v>#VALUE!</v>
      </c>
      <c r="S240" s="3" t="e">
        <f>IF(Q240 = "", "", Q240 - R240)</f>
        <v>#VALUE!</v>
      </c>
    </row>
    <row r="241">
      <c r="A241" s="2" t="s">
        <v>3529</v>
      </c>
      <c r="B241" s="3" t="str">
        <f>A241</f>
        <v>folic-acid-neural-tube-1991-f095</v>
      </c>
      <c r="C241" s="2" t="s">
        <v>511</v>
      </c>
      <c r="D241" s="2">
        <v>0.95</v>
      </c>
      <c r="E241" s="3" t="e">
        <f>ABS(D241 - LOOKUP(C241, SweepStudyConfig[StudyId], SweepStudyConfig[OriginalAllocFractionA])) &lt; 0.03</f>
        <v>#VALUE!</v>
      </c>
      <c r="F241" s="3" t="e">
        <f>LOOKUP(C241, SweepStudyConfig[StudyId], SweepStudyConfig[NSweepStratumTotal])</f>
        <v>#VALUE!</v>
      </c>
      <c r="G241" s="3" t="e">
        <f>ROUND(F241 * D241)</f>
        <v>#VALUE!</v>
      </c>
      <c r="H241" s="3" t="e">
        <f>F241 - G241</f>
        <v>#VALUE!</v>
      </c>
      <c r="I241" s="3" t="e">
        <f>LOOKUP(C241, SweepStudyConfig[StudyId], SweepStudyConfig[NFixedA])</f>
        <v>#VALUE!</v>
      </c>
      <c r="J241" s="3" t="e">
        <f>LOOKUP(C241, SweepStudyConfig[StudyId], SweepStudyConfig[NFixedB])</f>
        <v>#VALUE!</v>
      </c>
      <c r="K241" s="3" t="e">
        <f>LOOKUP(C241, SweepStudyConfig[StudyId], SweepStudyConfig[SweepRateA])</f>
        <v>#VALUE!</v>
      </c>
      <c r="L241" s="3" t="e">
        <f>LOOKUP(C241, SweepStudyConfig[StudyId], SweepStudyConfig[SweepRateB])</f>
        <v>#VALUE!</v>
      </c>
      <c r="M241" s="3" t="e">
        <f>LOOKUP(C241, SweepStudyConfig[StudyId], SweepStudyConfig[FixedRateA])</f>
        <v>#VALUE!</v>
      </c>
      <c r="N241" s="3" t="e">
        <f>LOOKUP(C241, SweepStudyConfig[StudyId], SweepStudyConfig[FixedRateB])</f>
        <v>#VALUE!</v>
      </c>
      <c r="O241" s="3" t="e">
        <f>IF(G241 + I241 = 0, "", (G241 * K241 + I241 * M241) / (G241 + I241))</f>
        <v>#VALUE!</v>
      </c>
      <c r="P241" s="3" t="e">
        <f>IF(H241 + J241 = 0, "", (H241 * L241 + J241 * N241) / (H241 + J241))</f>
        <v>#VALUE!</v>
      </c>
      <c r="Q241" s="3" t="e">
        <f>IF(O241 = "", "", O241 - P241)</f>
        <v>#VALUE!</v>
      </c>
      <c r="R241" s="3" t="e">
        <f>LOOKUP(C241, SweepStudyConfig[StudyId], SweepStudyConfig[SweepCorrectedGap])</f>
        <v>#VALUE!</v>
      </c>
      <c r="S241" s="3" t="e">
        <f>IF(Q241 = "", "", Q241 - R241)</f>
        <v>#VALUE!</v>
      </c>
    </row>
    <row r="242">
      <c r="A242" s="2" t="s">
        <v>3530</v>
      </c>
      <c r="B242" s="3" t="str">
        <f>A242</f>
        <v>steroid-asthma-severity-f005</v>
      </c>
      <c r="C242" s="2" t="s">
        <v>515</v>
      </c>
      <c r="D242" s="2">
        <v>0.05</v>
      </c>
      <c r="E242" s="3" t="e">
        <f>ABS(D242 - LOOKUP(C242, SweepStudyConfig[StudyId], SweepStudyConfig[OriginalAllocFractionA])) &lt; 0.03</f>
        <v>#VALUE!</v>
      </c>
      <c r="F242" s="3" t="e">
        <f>LOOKUP(C242, SweepStudyConfig[StudyId], SweepStudyConfig[NSweepStratumTotal])</f>
        <v>#VALUE!</v>
      </c>
      <c r="G242" s="3" t="e">
        <f>ROUND(F242 * D242)</f>
        <v>#VALUE!</v>
      </c>
      <c r="H242" s="3" t="e">
        <f>F242 - G242</f>
        <v>#VALUE!</v>
      </c>
      <c r="I242" s="3" t="e">
        <f>LOOKUP(C242, SweepStudyConfig[StudyId], SweepStudyConfig[NFixedA])</f>
        <v>#VALUE!</v>
      </c>
      <c r="J242" s="3" t="e">
        <f>LOOKUP(C242, SweepStudyConfig[StudyId], SweepStudyConfig[NFixedB])</f>
        <v>#VALUE!</v>
      </c>
      <c r="K242" s="3" t="e">
        <f>LOOKUP(C242, SweepStudyConfig[StudyId], SweepStudyConfig[SweepRateA])</f>
        <v>#VALUE!</v>
      </c>
      <c r="L242" s="3" t="e">
        <f>LOOKUP(C242, SweepStudyConfig[StudyId], SweepStudyConfig[SweepRateB])</f>
        <v>#VALUE!</v>
      </c>
      <c r="M242" s="3" t="e">
        <f>LOOKUP(C242, SweepStudyConfig[StudyId], SweepStudyConfig[FixedRateA])</f>
        <v>#VALUE!</v>
      </c>
      <c r="N242" s="3" t="e">
        <f>LOOKUP(C242, SweepStudyConfig[StudyId], SweepStudyConfig[FixedRateB])</f>
        <v>#VALUE!</v>
      </c>
      <c r="O242" s="3" t="e">
        <f>IF(G242 + I242 = 0, "", (G242 * K242 + I242 * M242) / (G242 + I242))</f>
        <v>#VALUE!</v>
      </c>
      <c r="P242" s="3" t="e">
        <f>IF(H242 + J242 = 0, "", (H242 * L242 + J242 * N242) / (H242 + J242))</f>
        <v>#VALUE!</v>
      </c>
      <c r="Q242" s="3" t="e">
        <f>IF(O242 = "", "", O242 - P242)</f>
        <v>#VALUE!</v>
      </c>
      <c r="R242" s="3" t="e">
        <f>LOOKUP(C242, SweepStudyConfig[StudyId], SweepStudyConfig[SweepCorrectedGap])</f>
        <v>#VALUE!</v>
      </c>
      <c r="S242" s="3" t="e">
        <f>IF(Q242 = "", "", Q242 - R242)</f>
        <v>#VALUE!</v>
      </c>
    </row>
    <row r="243">
      <c r="A243" s="2" t="s">
        <v>3531</v>
      </c>
      <c r="B243" s="3" t="str">
        <f>A243</f>
        <v>steroid-asthma-severity-f015</v>
      </c>
      <c r="C243" s="2" t="s">
        <v>515</v>
      </c>
      <c r="D243" s="2">
        <v>0.15</v>
      </c>
      <c r="E243" s="3" t="e">
        <f>ABS(D243 - LOOKUP(C243, SweepStudyConfig[StudyId], SweepStudyConfig[OriginalAllocFractionA])) &lt; 0.03</f>
        <v>#VALUE!</v>
      </c>
      <c r="F243" s="3" t="e">
        <f>LOOKUP(C243, SweepStudyConfig[StudyId], SweepStudyConfig[NSweepStratumTotal])</f>
        <v>#VALUE!</v>
      </c>
      <c r="G243" s="3" t="e">
        <f>ROUND(F243 * D243)</f>
        <v>#VALUE!</v>
      </c>
      <c r="H243" s="3" t="e">
        <f>F243 - G243</f>
        <v>#VALUE!</v>
      </c>
      <c r="I243" s="3" t="e">
        <f>LOOKUP(C243, SweepStudyConfig[StudyId], SweepStudyConfig[NFixedA])</f>
        <v>#VALUE!</v>
      </c>
      <c r="J243" s="3" t="e">
        <f>LOOKUP(C243, SweepStudyConfig[StudyId], SweepStudyConfig[NFixedB])</f>
        <v>#VALUE!</v>
      </c>
      <c r="K243" s="3" t="e">
        <f>LOOKUP(C243, SweepStudyConfig[StudyId], SweepStudyConfig[SweepRateA])</f>
        <v>#VALUE!</v>
      </c>
      <c r="L243" s="3" t="e">
        <f>LOOKUP(C243, SweepStudyConfig[StudyId], SweepStudyConfig[SweepRateB])</f>
        <v>#VALUE!</v>
      </c>
      <c r="M243" s="3" t="e">
        <f>LOOKUP(C243, SweepStudyConfig[StudyId], SweepStudyConfig[FixedRateA])</f>
        <v>#VALUE!</v>
      </c>
      <c r="N243" s="3" t="e">
        <f>LOOKUP(C243, SweepStudyConfig[StudyId], SweepStudyConfig[FixedRateB])</f>
        <v>#VALUE!</v>
      </c>
      <c r="O243" s="3" t="e">
        <f>IF(G243 + I243 = 0, "", (G243 * K243 + I243 * M243) / (G243 + I243))</f>
        <v>#VALUE!</v>
      </c>
      <c r="P243" s="3" t="e">
        <f>IF(H243 + J243 = 0, "", (H243 * L243 + J243 * N243) / (H243 + J243))</f>
        <v>#VALUE!</v>
      </c>
      <c r="Q243" s="3" t="e">
        <f>IF(O243 = "", "", O243 - P243)</f>
        <v>#VALUE!</v>
      </c>
      <c r="R243" s="3" t="e">
        <f>LOOKUP(C243, SweepStudyConfig[StudyId], SweepStudyConfig[SweepCorrectedGap])</f>
        <v>#VALUE!</v>
      </c>
      <c r="S243" s="3" t="e">
        <f>IF(Q243 = "", "", Q243 - R243)</f>
        <v>#VALUE!</v>
      </c>
    </row>
    <row r="244">
      <c r="A244" s="2" t="s">
        <v>3532</v>
      </c>
      <c r="B244" s="3" t="str">
        <f>A244</f>
        <v>steroid-asthma-severity-f025</v>
      </c>
      <c r="C244" s="2" t="s">
        <v>515</v>
      </c>
      <c r="D244" s="2">
        <v>0.25</v>
      </c>
      <c r="E244" s="3" t="e">
        <f>ABS(D244 - LOOKUP(C244, SweepStudyConfig[StudyId], SweepStudyConfig[OriginalAllocFractionA])) &lt; 0.03</f>
        <v>#VALUE!</v>
      </c>
      <c r="F244" s="3" t="e">
        <f>LOOKUP(C244, SweepStudyConfig[StudyId], SweepStudyConfig[NSweepStratumTotal])</f>
        <v>#VALUE!</v>
      </c>
      <c r="G244" s="3" t="e">
        <f>ROUND(F244 * D244)</f>
        <v>#VALUE!</v>
      </c>
      <c r="H244" s="3" t="e">
        <f>F244 - G244</f>
        <v>#VALUE!</v>
      </c>
      <c r="I244" s="3" t="e">
        <f>LOOKUP(C244, SweepStudyConfig[StudyId], SweepStudyConfig[NFixedA])</f>
        <v>#VALUE!</v>
      </c>
      <c r="J244" s="3" t="e">
        <f>LOOKUP(C244, SweepStudyConfig[StudyId], SweepStudyConfig[NFixedB])</f>
        <v>#VALUE!</v>
      </c>
      <c r="K244" s="3" t="e">
        <f>LOOKUP(C244, SweepStudyConfig[StudyId], SweepStudyConfig[SweepRateA])</f>
        <v>#VALUE!</v>
      </c>
      <c r="L244" s="3" t="e">
        <f>LOOKUP(C244, SweepStudyConfig[StudyId], SweepStudyConfig[SweepRateB])</f>
        <v>#VALUE!</v>
      </c>
      <c r="M244" s="3" t="e">
        <f>LOOKUP(C244, SweepStudyConfig[StudyId], SweepStudyConfig[FixedRateA])</f>
        <v>#VALUE!</v>
      </c>
      <c r="N244" s="3" t="e">
        <f>LOOKUP(C244, SweepStudyConfig[StudyId], SweepStudyConfig[FixedRateB])</f>
        <v>#VALUE!</v>
      </c>
      <c r="O244" s="3" t="e">
        <f>IF(G244 + I244 = 0, "", (G244 * K244 + I244 * M244) / (G244 + I244))</f>
        <v>#VALUE!</v>
      </c>
      <c r="P244" s="3" t="e">
        <f>IF(H244 + J244 = 0, "", (H244 * L244 + J244 * N244) / (H244 + J244))</f>
        <v>#VALUE!</v>
      </c>
      <c r="Q244" s="3" t="e">
        <f>IF(O244 = "", "", O244 - P244)</f>
        <v>#VALUE!</v>
      </c>
      <c r="R244" s="3" t="e">
        <f>LOOKUP(C244, SweepStudyConfig[StudyId], SweepStudyConfig[SweepCorrectedGap])</f>
        <v>#VALUE!</v>
      </c>
      <c r="S244" s="3" t="e">
        <f>IF(Q244 = "", "", Q244 - R244)</f>
        <v>#VALUE!</v>
      </c>
    </row>
    <row r="245">
      <c r="A245" s="2" t="s">
        <v>3533</v>
      </c>
      <c r="B245" s="3" t="str">
        <f>A245</f>
        <v>steroid-asthma-severity-f035</v>
      </c>
      <c r="C245" s="2" t="s">
        <v>515</v>
      </c>
      <c r="D245" s="2">
        <v>0.35</v>
      </c>
      <c r="E245" s="3" t="e">
        <f>ABS(D245 - LOOKUP(C245, SweepStudyConfig[StudyId], SweepStudyConfig[OriginalAllocFractionA])) &lt; 0.03</f>
        <v>#VALUE!</v>
      </c>
      <c r="F245" s="3" t="e">
        <f>LOOKUP(C245, SweepStudyConfig[StudyId], SweepStudyConfig[NSweepStratumTotal])</f>
        <v>#VALUE!</v>
      </c>
      <c r="G245" s="3" t="e">
        <f>ROUND(F245 * D245)</f>
        <v>#VALUE!</v>
      </c>
      <c r="H245" s="3" t="e">
        <f>F245 - G245</f>
        <v>#VALUE!</v>
      </c>
      <c r="I245" s="3" t="e">
        <f>LOOKUP(C245, SweepStudyConfig[StudyId], SweepStudyConfig[NFixedA])</f>
        <v>#VALUE!</v>
      </c>
      <c r="J245" s="3" t="e">
        <f>LOOKUP(C245, SweepStudyConfig[StudyId], SweepStudyConfig[NFixedB])</f>
        <v>#VALUE!</v>
      </c>
      <c r="K245" s="3" t="e">
        <f>LOOKUP(C245, SweepStudyConfig[StudyId], SweepStudyConfig[SweepRateA])</f>
        <v>#VALUE!</v>
      </c>
      <c r="L245" s="3" t="e">
        <f>LOOKUP(C245, SweepStudyConfig[StudyId], SweepStudyConfig[SweepRateB])</f>
        <v>#VALUE!</v>
      </c>
      <c r="M245" s="3" t="e">
        <f>LOOKUP(C245, SweepStudyConfig[StudyId], SweepStudyConfig[FixedRateA])</f>
        <v>#VALUE!</v>
      </c>
      <c r="N245" s="3" t="e">
        <f>LOOKUP(C245, SweepStudyConfig[StudyId], SweepStudyConfig[FixedRateB])</f>
        <v>#VALUE!</v>
      </c>
      <c r="O245" s="3" t="e">
        <f>IF(G245 + I245 = 0, "", (G245 * K245 + I245 * M245) / (G245 + I245))</f>
        <v>#VALUE!</v>
      </c>
      <c r="P245" s="3" t="e">
        <f>IF(H245 + J245 = 0, "", (H245 * L245 + J245 * N245) / (H245 + J245))</f>
        <v>#VALUE!</v>
      </c>
      <c r="Q245" s="3" t="e">
        <f>IF(O245 = "", "", O245 - P245)</f>
        <v>#VALUE!</v>
      </c>
      <c r="R245" s="3" t="e">
        <f>LOOKUP(C245, SweepStudyConfig[StudyId], SweepStudyConfig[SweepCorrectedGap])</f>
        <v>#VALUE!</v>
      </c>
      <c r="S245" s="3" t="e">
        <f>IF(Q245 = "", "", Q245 - R245)</f>
        <v>#VALUE!</v>
      </c>
    </row>
    <row r="246">
      <c r="A246" s="2" t="s">
        <v>3534</v>
      </c>
      <c r="B246" s="3" t="str">
        <f>A246</f>
        <v>steroid-asthma-severity-f045</v>
      </c>
      <c r="C246" s="2" t="s">
        <v>515</v>
      </c>
      <c r="D246" s="2">
        <v>0.45</v>
      </c>
      <c r="E246" s="3" t="e">
        <f>ABS(D246 - LOOKUP(C246, SweepStudyConfig[StudyId], SweepStudyConfig[OriginalAllocFractionA])) &lt; 0.03</f>
        <v>#VALUE!</v>
      </c>
      <c r="F246" s="3" t="e">
        <f>LOOKUP(C246, SweepStudyConfig[StudyId], SweepStudyConfig[NSweepStratumTotal])</f>
        <v>#VALUE!</v>
      </c>
      <c r="G246" s="3" t="e">
        <f>ROUND(F246 * D246)</f>
        <v>#VALUE!</v>
      </c>
      <c r="H246" s="3" t="e">
        <f>F246 - G246</f>
        <v>#VALUE!</v>
      </c>
      <c r="I246" s="3" t="e">
        <f>LOOKUP(C246, SweepStudyConfig[StudyId], SweepStudyConfig[NFixedA])</f>
        <v>#VALUE!</v>
      </c>
      <c r="J246" s="3" t="e">
        <f>LOOKUP(C246, SweepStudyConfig[StudyId], SweepStudyConfig[NFixedB])</f>
        <v>#VALUE!</v>
      </c>
      <c r="K246" s="3" t="e">
        <f>LOOKUP(C246, SweepStudyConfig[StudyId], SweepStudyConfig[SweepRateA])</f>
        <v>#VALUE!</v>
      </c>
      <c r="L246" s="3" t="e">
        <f>LOOKUP(C246, SweepStudyConfig[StudyId], SweepStudyConfig[SweepRateB])</f>
        <v>#VALUE!</v>
      </c>
      <c r="M246" s="3" t="e">
        <f>LOOKUP(C246, SweepStudyConfig[StudyId], SweepStudyConfig[FixedRateA])</f>
        <v>#VALUE!</v>
      </c>
      <c r="N246" s="3" t="e">
        <f>LOOKUP(C246, SweepStudyConfig[StudyId], SweepStudyConfig[FixedRateB])</f>
        <v>#VALUE!</v>
      </c>
      <c r="O246" s="3" t="e">
        <f>IF(G246 + I246 = 0, "", (G246 * K246 + I246 * M246) / (G246 + I246))</f>
        <v>#VALUE!</v>
      </c>
      <c r="P246" s="3" t="e">
        <f>IF(H246 + J246 = 0, "", (H246 * L246 + J246 * N246) / (H246 + J246))</f>
        <v>#VALUE!</v>
      </c>
      <c r="Q246" s="3" t="e">
        <f>IF(O246 = "", "", O246 - P246)</f>
        <v>#VALUE!</v>
      </c>
      <c r="R246" s="3" t="e">
        <f>LOOKUP(C246, SweepStudyConfig[StudyId], SweepStudyConfig[SweepCorrectedGap])</f>
        <v>#VALUE!</v>
      </c>
      <c r="S246" s="3" t="e">
        <f>IF(Q246 = "", "", Q246 - R246)</f>
        <v>#VALUE!</v>
      </c>
    </row>
    <row r="247">
      <c r="A247" s="2" t="s">
        <v>3535</v>
      </c>
      <c r="B247" s="3" t="str">
        <f>A247</f>
        <v>steroid-asthma-severity-f055</v>
      </c>
      <c r="C247" s="2" t="s">
        <v>515</v>
      </c>
      <c r="D247" s="2">
        <v>0.55</v>
      </c>
      <c r="E247" s="3" t="e">
        <f>ABS(D247 - LOOKUP(C247, SweepStudyConfig[StudyId], SweepStudyConfig[OriginalAllocFractionA])) &lt; 0.03</f>
        <v>#VALUE!</v>
      </c>
      <c r="F247" s="3" t="e">
        <f>LOOKUP(C247, SweepStudyConfig[StudyId], SweepStudyConfig[NSweepStratumTotal])</f>
        <v>#VALUE!</v>
      </c>
      <c r="G247" s="3" t="e">
        <f>ROUND(F247 * D247)</f>
        <v>#VALUE!</v>
      </c>
      <c r="H247" s="3" t="e">
        <f>F247 - G247</f>
        <v>#VALUE!</v>
      </c>
      <c r="I247" s="3" t="e">
        <f>LOOKUP(C247, SweepStudyConfig[StudyId], SweepStudyConfig[NFixedA])</f>
        <v>#VALUE!</v>
      </c>
      <c r="J247" s="3" t="e">
        <f>LOOKUP(C247, SweepStudyConfig[StudyId], SweepStudyConfig[NFixedB])</f>
        <v>#VALUE!</v>
      </c>
      <c r="K247" s="3" t="e">
        <f>LOOKUP(C247, SweepStudyConfig[StudyId], SweepStudyConfig[SweepRateA])</f>
        <v>#VALUE!</v>
      </c>
      <c r="L247" s="3" t="e">
        <f>LOOKUP(C247, SweepStudyConfig[StudyId], SweepStudyConfig[SweepRateB])</f>
        <v>#VALUE!</v>
      </c>
      <c r="M247" s="3" t="e">
        <f>LOOKUP(C247, SweepStudyConfig[StudyId], SweepStudyConfig[FixedRateA])</f>
        <v>#VALUE!</v>
      </c>
      <c r="N247" s="3" t="e">
        <f>LOOKUP(C247, SweepStudyConfig[StudyId], SweepStudyConfig[FixedRateB])</f>
        <v>#VALUE!</v>
      </c>
      <c r="O247" s="3" t="e">
        <f>IF(G247 + I247 = 0, "", (G247 * K247 + I247 * M247) / (G247 + I247))</f>
        <v>#VALUE!</v>
      </c>
      <c r="P247" s="3" t="e">
        <f>IF(H247 + J247 = 0, "", (H247 * L247 + J247 * N247) / (H247 + J247))</f>
        <v>#VALUE!</v>
      </c>
      <c r="Q247" s="3" t="e">
        <f>IF(O247 = "", "", O247 - P247)</f>
        <v>#VALUE!</v>
      </c>
      <c r="R247" s="3" t="e">
        <f>LOOKUP(C247, SweepStudyConfig[StudyId], SweepStudyConfig[SweepCorrectedGap])</f>
        <v>#VALUE!</v>
      </c>
      <c r="S247" s="3" t="e">
        <f>IF(Q247 = "", "", Q247 - R247)</f>
        <v>#VALUE!</v>
      </c>
    </row>
    <row r="248">
      <c r="A248" s="2" t="s">
        <v>3536</v>
      </c>
      <c r="B248" s="3" t="str">
        <f>A248</f>
        <v>steroid-asthma-severity-f065</v>
      </c>
      <c r="C248" s="2" t="s">
        <v>515</v>
      </c>
      <c r="D248" s="2">
        <v>0.65</v>
      </c>
      <c r="E248" s="3" t="e">
        <f>ABS(D248 - LOOKUP(C248, SweepStudyConfig[StudyId], SweepStudyConfig[OriginalAllocFractionA])) &lt; 0.03</f>
        <v>#VALUE!</v>
      </c>
      <c r="F248" s="3" t="e">
        <f>LOOKUP(C248, SweepStudyConfig[StudyId], SweepStudyConfig[NSweepStratumTotal])</f>
        <v>#VALUE!</v>
      </c>
      <c r="G248" s="3" t="e">
        <f>ROUND(F248 * D248)</f>
        <v>#VALUE!</v>
      </c>
      <c r="H248" s="3" t="e">
        <f>F248 - G248</f>
        <v>#VALUE!</v>
      </c>
      <c r="I248" s="3" t="e">
        <f>LOOKUP(C248, SweepStudyConfig[StudyId], SweepStudyConfig[NFixedA])</f>
        <v>#VALUE!</v>
      </c>
      <c r="J248" s="3" t="e">
        <f>LOOKUP(C248, SweepStudyConfig[StudyId], SweepStudyConfig[NFixedB])</f>
        <v>#VALUE!</v>
      </c>
      <c r="K248" s="3" t="e">
        <f>LOOKUP(C248, SweepStudyConfig[StudyId], SweepStudyConfig[SweepRateA])</f>
        <v>#VALUE!</v>
      </c>
      <c r="L248" s="3" t="e">
        <f>LOOKUP(C248, SweepStudyConfig[StudyId], SweepStudyConfig[SweepRateB])</f>
        <v>#VALUE!</v>
      </c>
      <c r="M248" s="3" t="e">
        <f>LOOKUP(C248, SweepStudyConfig[StudyId], SweepStudyConfig[FixedRateA])</f>
        <v>#VALUE!</v>
      </c>
      <c r="N248" s="3" t="e">
        <f>LOOKUP(C248, SweepStudyConfig[StudyId], SweepStudyConfig[FixedRateB])</f>
        <v>#VALUE!</v>
      </c>
      <c r="O248" s="3" t="e">
        <f>IF(G248 + I248 = 0, "", (G248 * K248 + I248 * M248) / (G248 + I248))</f>
        <v>#VALUE!</v>
      </c>
      <c r="P248" s="3" t="e">
        <f>IF(H248 + J248 = 0, "", (H248 * L248 + J248 * N248) / (H248 + J248))</f>
        <v>#VALUE!</v>
      </c>
      <c r="Q248" s="3" t="e">
        <f>IF(O248 = "", "", O248 - P248)</f>
        <v>#VALUE!</v>
      </c>
      <c r="R248" s="3" t="e">
        <f>LOOKUP(C248, SweepStudyConfig[StudyId], SweepStudyConfig[SweepCorrectedGap])</f>
        <v>#VALUE!</v>
      </c>
      <c r="S248" s="3" t="e">
        <f>IF(Q248 = "", "", Q248 - R248)</f>
        <v>#VALUE!</v>
      </c>
    </row>
    <row r="249">
      <c r="A249" s="2" t="s">
        <v>3537</v>
      </c>
      <c r="B249" s="3" t="str">
        <f>A249</f>
        <v>steroid-asthma-severity-f075</v>
      </c>
      <c r="C249" s="2" t="s">
        <v>515</v>
      </c>
      <c r="D249" s="2">
        <v>0.75</v>
      </c>
      <c r="E249" s="3" t="e">
        <f>ABS(D249 - LOOKUP(C249, SweepStudyConfig[StudyId], SweepStudyConfig[OriginalAllocFractionA])) &lt; 0.03</f>
        <v>#VALUE!</v>
      </c>
      <c r="F249" s="3" t="e">
        <f>LOOKUP(C249, SweepStudyConfig[StudyId], SweepStudyConfig[NSweepStratumTotal])</f>
        <v>#VALUE!</v>
      </c>
      <c r="G249" s="3" t="e">
        <f>ROUND(F249 * D249)</f>
        <v>#VALUE!</v>
      </c>
      <c r="H249" s="3" t="e">
        <f>F249 - G249</f>
        <v>#VALUE!</v>
      </c>
      <c r="I249" s="3" t="e">
        <f>LOOKUP(C249, SweepStudyConfig[StudyId], SweepStudyConfig[NFixedA])</f>
        <v>#VALUE!</v>
      </c>
      <c r="J249" s="3" t="e">
        <f>LOOKUP(C249, SweepStudyConfig[StudyId], SweepStudyConfig[NFixedB])</f>
        <v>#VALUE!</v>
      </c>
      <c r="K249" s="3" t="e">
        <f>LOOKUP(C249, SweepStudyConfig[StudyId], SweepStudyConfig[SweepRateA])</f>
        <v>#VALUE!</v>
      </c>
      <c r="L249" s="3" t="e">
        <f>LOOKUP(C249, SweepStudyConfig[StudyId], SweepStudyConfig[SweepRateB])</f>
        <v>#VALUE!</v>
      </c>
      <c r="M249" s="3" t="e">
        <f>LOOKUP(C249, SweepStudyConfig[StudyId], SweepStudyConfig[FixedRateA])</f>
        <v>#VALUE!</v>
      </c>
      <c r="N249" s="3" t="e">
        <f>LOOKUP(C249, SweepStudyConfig[StudyId], SweepStudyConfig[FixedRateB])</f>
        <v>#VALUE!</v>
      </c>
      <c r="O249" s="3" t="e">
        <f>IF(G249 + I249 = 0, "", (G249 * K249 + I249 * M249) / (G249 + I249))</f>
        <v>#VALUE!</v>
      </c>
      <c r="P249" s="3" t="e">
        <f>IF(H249 + J249 = 0, "", (H249 * L249 + J249 * N249) / (H249 + J249))</f>
        <v>#VALUE!</v>
      </c>
      <c r="Q249" s="3" t="e">
        <f>IF(O249 = "", "", O249 - P249)</f>
        <v>#VALUE!</v>
      </c>
      <c r="R249" s="3" t="e">
        <f>LOOKUP(C249, SweepStudyConfig[StudyId], SweepStudyConfig[SweepCorrectedGap])</f>
        <v>#VALUE!</v>
      </c>
      <c r="S249" s="3" t="e">
        <f>IF(Q249 = "", "", Q249 - R249)</f>
        <v>#VALUE!</v>
      </c>
    </row>
    <row r="250">
      <c r="A250" s="2" t="s">
        <v>3538</v>
      </c>
      <c r="B250" s="3" t="str">
        <f>A250</f>
        <v>steroid-asthma-severity-f085</v>
      </c>
      <c r="C250" s="2" t="s">
        <v>515</v>
      </c>
      <c r="D250" s="2">
        <v>0.85</v>
      </c>
      <c r="E250" s="3" t="e">
        <f>ABS(D250 - LOOKUP(C250, SweepStudyConfig[StudyId], SweepStudyConfig[OriginalAllocFractionA])) &lt; 0.03</f>
        <v>#VALUE!</v>
      </c>
      <c r="F250" s="3" t="e">
        <f>LOOKUP(C250, SweepStudyConfig[StudyId], SweepStudyConfig[NSweepStratumTotal])</f>
        <v>#VALUE!</v>
      </c>
      <c r="G250" s="3" t="e">
        <f>ROUND(F250 * D250)</f>
        <v>#VALUE!</v>
      </c>
      <c r="H250" s="3" t="e">
        <f>F250 - G250</f>
        <v>#VALUE!</v>
      </c>
      <c r="I250" s="3" t="e">
        <f>LOOKUP(C250, SweepStudyConfig[StudyId], SweepStudyConfig[NFixedA])</f>
        <v>#VALUE!</v>
      </c>
      <c r="J250" s="3" t="e">
        <f>LOOKUP(C250, SweepStudyConfig[StudyId], SweepStudyConfig[NFixedB])</f>
        <v>#VALUE!</v>
      </c>
      <c r="K250" s="3" t="e">
        <f>LOOKUP(C250, SweepStudyConfig[StudyId], SweepStudyConfig[SweepRateA])</f>
        <v>#VALUE!</v>
      </c>
      <c r="L250" s="3" t="e">
        <f>LOOKUP(C250, SweepStudyConfig[StudyId], SweepStudyConfig[SweepRateB])</f>
        <v>#VALUE!</v>
      </c>
      <c r="M250" s="3" t="e">
        <f>LOOKUP(C250, SweepStudyConfig[StudyId], SweepStudyConfig[FixedRateA])</f>
        <v>#VALUE!</v>
      </c>
      <c r="N250" s="3" t="e">
        <f>LOOKUP(C250, SweepStudyConfig[StudyId], SweepStudyConfig[FixedRateB])</f>
        <v>#VALUE!</v>
      </c>
      <c r="O250" s="3" t="e">
        <f>IF(G250 + I250 = 0, "", (G250 * K250 + I250 * M250) / (G250 + I250))</f>
        <v>#VALUE!</v>
      </c>
      <c r="P250" s="3" t="e">
        <f>IF(H250 + J250 = 0, "", (H250 * L250 + J250 * N250) / (H250 + J250))</f>
        <v>#VALUE!</v>
      </c>
      <c r="Q250" s="3" t="e">
        <f>IF(O250 = "", "", O250 - P250)</f>
        <v>#VALUE!</v>
      </c>
      <c r="R250" s="3" t="e">
        <f>LOOKUP(C250, SweepStudyConfig[StudyId], SweepStudyConfig[SweepCorrectedGap])</f>
        <v>#VALUE!</v>
      </c>
      <c r="S250" s="3" t="e">
        <f>IF(Q250 = "", "", Q250 - R250)</f>
        <v>#VALUE!</v>
      </c>
    </row>
    <row r="251">
      <c r="A251" s="2" t="s">
        <v>3539</v>
      </c>
      <c r="B251" s="3" t="str">
        <f>A251</f>
        <v>steroid-asthma-severity-f095</v>
      </c>
      <c r="C251" s="2" t="s">
        <v>515</v>
      </c>
      <c r="D251" s="2">
        <v>0.95</v>
      </c>
      <c r="E251" s="3" t="e">
        <f>ABS(D251 - LOOKUP(C251, SweepStudyConfig[StudyId], SweepStudyConfig[OriginalAllocFractionA])) &lt; 0.03</f>
        <v>#VALUE!</v>
      </c>
      <c r="F251" s="3" t="e">
        <f>LOOKUP(C251, SweepStudyConfig[StudyId], SweepStudyConfig[NSweepStratumTotal])</f>
        <v>#VALUE!</v>
      </c>
      <c r="G251" s="3" t="e">
        <f>ROUND(F251 * D251)</f>
        <v>#VALUE!</v>
      </c>
      <c r="H251" s="3" t="e">
        <f>F251 - G251</f>
        <v>#VALUE!</v>
      </c>
      <c r="I251" s="3" t="e">
        <f>LOOKUP(C251, SweepStudyConfig[StudyId], SweepStudyConfig[NFixedA])</f>
        <v>#VALUE!</v>
      </c>
      <c r="J251" s="3" t="e">
        <f>LOOKUP(C251, SweepStudyConfig[StudyId], SweepStudyConfig[NFixedB])</f>
        <v>#VALUE!</v>
      </c>
      <c r="K251" s="3" t="e">
        <f>LOOKUP(C251, SweepStudyConfig[StudyId], SweepStudyConfig[SweepRateA])</f>
        <v>#VALUE!</v>
      </c>
      <c r="L251" s="3" t="e">
        <f>LOOKUP(C251, SweepStudyConfig[StudyId], SweepStudyConfig[SweepRateB])</f>
        <v>#VALUE!</v>
      </c>
      <c r="M251" s="3" t="e">
        <f>LOOKUP(C251, SweepStudyConfig[StudyId], SweepStudyConfig[FixedRateA])</f>
        <v>#VALUE!</v>
      </c>
      <c r="N251" s="3" t="e">
        <f>LOOKUP(C251, SweepStudyConfig[StudyId], SweepStudyConfig[FixedRateB])</f>
        <v>#VALUE!</v>
      </c>
      <c r="O251" s="3" t="e">
        <f>IF(G251 + I251 = 0, "", (G251 * K251 + I251 * M251) / (G251 + I251))</f>
        <v>#VALUE!</v>
      </c>
      <c r="P251" s="3" t="e">
        <f>IF(H251 + J251 = 0, "", (H251 * L251 + J251 * N251) / (H251 + J251))</f>
        <v>#VALUE!</v>
      </c>
      <c r="Q251" s="3" t="e">
        <f>IF(O251 = "", "", O251 - P251)</f>
        <v>#VALUE!</v>
      </c>
      <c r="R251" s="3" t="e">
        <f>LOOKUP(C251, SweepStudyConfig[StudyId], SweepStudyConfig[SweepCorrectedGap])</f>
        <v>#VALUE!</v>
      </c>
      <c r="S251" s="3" t="e">
        <f>IF(Q251 = "", "", Q251 - R251)</f>
        <v>#VALUE!</v>
      </c>
    </row>
    <row r="252">
      <c r="A252" s="2" t="s">
        <v>3540</v>
      </c>
      <c r="B252" s="3" t="str">
        <f>A252</f>
        <v>kidney-dialysis-facility-1990-f005</v>
      </c>
      <c r="C252" s="2" t="s">
        <v>518</v>
      </c>
      <c r="D252" s="2">
        <v>0.05</v>
      </c>
      <c r="E252" s="3" t="e">
        <f>ABS(D252 - LOOKUP(C252, SweepStudyConfig[StudyId], SweepStudyConfig[OriginalAllocFractionA])) &lt; 0.03</f>
        <v>#VALUE!</v>
      </c>
      <c r="F252" s="3" t="e">
        <f>LOOKUP(C252, SweepStudyConfig[StudyId], SweepStudyConfig[NSweepStratumTotal])</f>
        <v>#VALUE!</v>
      </c>
      <c r="G252" s="3" t="e">
        <f>ROUND(F252 * D252)</f>
        <v>#VALUE!</v>
      </c>
      <c r="H252" s="3" t="e">
        <f>F252 - G252</f>
        <v>#VALUE!</v>
      </c>
      <c r="I252" s="3" t="e">
        <f>LOOKUP(C252, SweepStudyConfig[StudyId], SweepStudyConfig[NFixedA])</f>
        <v>#VALUE!</v>
      </c>
      <c r="J252" s="3" t="e">
        <f>LOOKUP(C252, SweepStudyConfig[StudyId], SweepStudyConfig[NFixedB])</f>
        <v>#VALUE!</v>
      </c>
      <c r="K252" s="3" t="e">
        <f>LOOKUP(C252, SweepStudyConfig[StudyId], SweepStudyConfig[SweepRateA])</f>
        <v>#VALUE!</v>
      </c>
      <c r="L252" s="3" t="e">
        <f>LOOKUP(C252, SweepStudyConfig[StudyId], SweepStudyConfig[SweepRateB])</f>
        <v>#VALUE!</v>
      </c>
      <c r="M252" s="3" t="e">
        <f>LOOKUP(C252, SweepStudyConfig[StudyId], SweepStudyConfig[FixedRateA])</f>
        <v>#VALUE!</v>
      </c>
      <c r="N252" s="3" t="e">
        <f>LOOKUP(C252, SweepStudyConfig[StudyId], SweepStudyConfig[FixedRateB])</f>
        <v>#VALUE!</v>
      </c>
      <c r="O252" s="3" t="e">
        <f>IF(G252 + I252 = 0, "", (G252 * K252 + I252 * M252) / (G252 + I252))</f>
        <v>#VALUE!</v>
      </c>
      <c r="P252" s="3" t="e">
        <f>IF(H252 + J252 = 0, "", (H252 * L252 + J252 * N252) / (H252 + J252))</f>
        <v>#VALUE!</v>
      </c>
      <c r="Q252" s="3" t="e">
        <f>IF(O252 = "", "", O252 - P252)</f>
        <v>#VALUE!</v>
      </c>
      <c r="R252" s="3" t="e">
        <f>LOOKUP(C252, SweepStudyConfig[StudyId], SweepStudyConfig[SweepCorrectedGap])</f>
        <v>#VALUE!</v>
      </c>
      <c r="S252" s="3" t="e">
        <f>IF(Q252 = "", "", Q252 - R252)</f>
        <v>#VALUE!</v>
      </c>
    </row>
    <row r="253">
      <c r="A253" s="2" t="s">
        <v>3541</v>
      </c>
      <c r="B253" s="3" t="str">
        <f>A253</f>
        <v>kidney-dialysis-facility-1990-f015</v>
      </c>
      <c r="C253" s="2" t="s">
        <v>518</v>
      </c>
      <c r="D253" s="2">
        <v>0.15</v>
      </c>
      <c r="E253" s="3" t="e">
        <f>ABS(D253 - LOOKUP(C253, SweepStudyConfig[StudyId], SweepStudyConfig[OriginalAllocFractionA])) &lt; 0.03</f>
        <v>#VALUE!</v>
      </c>
      <c r="F253" s="3" t="e">
        <f>LOOKUP(C253, SweepStudyConfig[StudyId], SweepStudyConfig[NSweepStratumTotal])</f>
        <v>#VALUE!</v>
      </c>
      <c r="G253" s="3" t="e">
        <f>ROUND(F253 * D253)</f>
        <v>#VALUE!</v>
      </c>
      <c r="H253" s="3" t="e">
        <f>F253 - G253</f>
        <v>#VALUE!</v>
      </c>
      <c r="I253" s="3" t="e">
        <f>LOOKUP(C253, SweepStudyConfig[StudyId], SweepStudyConfig[NFixedA])</f>
        <v>#VALUE!</v>
      </c>
      <c r="J253" s="3" t="e">
        <f>LOOKUP(C253, SweepStudyConfig[StudyId], SweepStudyConfig[NFixedB])</f>
        <v>#VALUE!</v>
      </c>
      <c r="K253" s="3" t="e">
        <f>LOOKUP(C253, SweepStudyConfig[StudyId], SweepStudyConfig[SweepRateA])</f>
        <v>#VALUE!</v>
      </c>
      <c r="L253" s="3" t="e">
        <f>LOOKUP(C253, SweepStudyConfig[StudyId], SweepStudyConfig[SweepRateB])</f>
        <v>#VALUE!</v>
      </c>
      <c r="M253" s="3" t="e">
        <f>LOOKUP(C253, SweepStudyConfig[StudyId], SweepStudyConfig[FixedRateA])</f>
        <v>#VALUE!</v>
      </c>
      <c r="N253" s="3" t="e">
        <f>LOOKUP(C253, SweepStudyConfig[StudyId], SweepStudyConfig[FixedRateB])</f>
        <v>#VALUE!</v>
      </c>
      <c r="O253" s="3" t="e">
        <f>IF(G253 + I253 = 0, "", (G253 * K253 + I253 * M253) / (G253 + I253))</f>
        <v>#VALUE!</v>
      </c>
      <c r="P253" s="3" t="e">
        <f>IF(H253 + J253 = 0, "", (H253 * L253 + J253 * N253) / (H253 + J253))</f>
        <v>#VALUE!</v>
      </c>
      <c r="Q253" s="3" t="e">
        <f>IF(O253 = "", "", O253 - P253)</f>
        <v>#VALUE!</v>
      </c>
      <c r="R253" s="3" t="e">
        <f>LOOKUP(C253, SweepStudyConfig[StudyId], SweepStudyConfig[SweepCorrectedGap])</f>
        <v>#VALUE!</v>
      </c>
      <c r="S253" s="3" t="e">
        <f>IF(Q253 = "", "", Q253 - R253)</f>
        <v>#VALUE!</v>
      </c>
    </row>
    <row r="254">
      <c r="A254" s="2" t="s">
        <v>3542</v>
      </c>
      <c r="B254" s="3" t="str">
        <f>A254</f>
        <v>kidney-dialysis-facility-1990-f025</v>
      </c>
      <c r="C254" s="2" t="s">
        <v>518</v>
      </c>
      <c r="D254" s="2">
        <v>0.25</v>
      </c>
      <c r="E254" s="3" t="e">
        <f>ABS(D254 - LOOKUP(C254, SweepStudyConfig[StudyId], SweepStudyConfig[OriginalAllocFractionA])) &lt; 0.03</f>
        <v>#VALUE!</v>
      </c>
      <c r="F254" s="3" t="e">
        <f>LOOKUP(C254, SweepStudyConfig[StudyId], SweepStudyConfig[NSweepStratumTotal])</f>
        <v>#VALUE!</v>
      </c>
      <c r="G254" s="3" t="e">
        <f>ROUND(F254 * D254)</f>
        <v>#VALUE!</v>
      </c>
      <c r="H254" s="3" t="e">
        <f>F254 - G254</f>
        <v>#VALUE!</v>
      </c>
      <c r="I254" s="3" t="e">
        <f>LOOKUP(C254, SweepStudyConfig[StudyId], SweepStudyConfig[NFixedA])</f>
        <v>#VALUE!</v>
      </c>
      <c r="J254" s="3" t="e">
        <f>LOOKUP(C254, SweepStudyConfig[StudyId], SweepStudyConfig[NFixedB])</f>
        <v>#VALUE!</v>
      </c>
      <c r="K254" s="3" t="e">
        <f>LOOKUP(C254, SweepStudyConfig[StudyId], SweepStudyConfig[SweepRateA])</f>
        <v>#VALUE!</v>
      </c>
      <c r="L254" s="3" t="e">
        <f>LOOKUP(C254, SweepStudyConfig[StudyId], SweepStudyConfig[SweepRateB])</f>
        <v>#VALUE!</v>
      </c>
      <c r="M254" s="3" t="e">
        <f>LOOKUP(C254, SweepStudyConfig[StudyId], SweepStudyConfig[FixedRateA])</f>
        <v>#VALUE!</v>
      </c>
      <c r="N254" s="3" t="e">
        <f>LOOKUP(C254, SweepStudyConfig[StudyId], SweepStudyConfig[FixedRateB])</f>
        <v>#VALUE!</v>
      </c>
      <c r="O254" s="3" t="e">
        <f>IF(G254 + I254 = 0, "", (G254 * K254 + I254 * M254) / (G254 + I254))</f>
        <v>#VALUE!</v>
      </c>
      <c r="P254" s="3" t="e">
        <f>IF(H254 + J254 = 0, "", (H254 * L254 + J254 * N254) / (H254 + J254))</f>
        <v>#VALUE!</v>
      </c>
      <c r="Q254" s="3" t="e">
        <f>IF(O254 = "", "", O254 - P254)</f>
        <v>#VALUE!</v>
      </c>
      <c r="R254" s="3" t="e">
        <f>LOOKUP(C254, SweepStudyConfig[StudyId], SweepStudyConfig[SweepCorrectedGap])</f>
        <v>#VALUE!</v>
      </c>
      <c r="S254" s="3" t="e">
        <f>IF(Q254 = "", "", Q254 - R254)</f>
        <v>#VALUE!</v>
      </c>
    </row>
    <row r="255">
      <c r="A255" s="2" t="s">
        <v>3543</v>
      </c>
      <c r="B255" s="3" t="str">
        <f>A255</f>
        <v>kidney-dialysis-facility-1990-f035</v>
      </c>
      <c r="C255" s="2" t="s">
        <v>518</v>
      </c>
      <c r="D255" s="2">
        <v>0.35</v>
      </c>
      <c r="E255" s="3" t="e">
        <f>ABS(D255 - LOOKUP(C255, SweepStudyConfig[StudyId], SweepStudyConfig[OriginalAllocFractionA])) &lt; 0.03</f>
        <v>#VALUE!</v>
      </c>
      <c r="F255" s="3" t="e">
        <f>LOOKUP(C255, SweepStudyConfig[StudyId], SweepStudyConfig[NSweepStratumTotal])</f>
        <v>#VALUE!</v>
      </c>
      <c r="G255" s="3" t="e">
        <f>ROUND(F255 * D255)</f>
        <v>#VALUE!</v>
      </c>
      <c r="H255" s="3" t="e">
        <f>F255 - G255</f>
        <v>#VALUE!</v>
      </c>
      <c r="I255" s="3" t="e">
        <f>LOOKUP(C255, SweepStudyConfig[StudyId], SweepStudyConfig[NFixedA])</f>
        <v>#VALUE!</v>
      </c>
      <c r="J255" s="3" t="e">
        <f>LOOKUP(C255, SweepStudyConfig[StudyId], SweepStudyConfig[NFixedB])</f>
        <v>#VALUE!</v>
      </c>
      <c r="K255" s="3" t="e">
        <f>LOOKUP(C255, SweepStudyConfig[StudyId], SweepStudyConfig[SweepRateA])</f>
        <v>#VALUE!</v>
      </c>
      <c r="L255" s="3" t="e">
        <f>LOOKUP(C255, SweepStudyConfig[StudyId], SweepStudyConfig[SweepRateB])</f>
        <v>#VALUE!</v>
      </c>
      <c r="M255" s="3" t="e">
        <f>LOOKUP(C255, SweepStudyConfig[StudyId], SweepStudyConfig[FixedRateA])</f>
        <v>#VALUE!</v>
      </c>
      <c r="N255" s="3" t="e">
        <f>LOOKUP(C255, SweepStudyConfig[StudyId], SweepStudyConfig[FixedRateB])</f>
        <v>#VALUE!</v>
      </c>
      <c r="O255" s="3" t="e">
        <f>IF(G255 + I255 = 0, "", (G255 * K255 + I255 * M255) / (G255 + I255))</f>
        <v>#VALUE!</v>
      </c>
      <c r="P255" s="3" t="e">
        <f>IF(H255 + J255 = 0, "", (H255 * L255 + J255 * N255) / (H255 + J255))</f>
        <v>#VALUE!</v>
      </c>
      <c r="Q255" s="3" t="e">
        <f>IF(O255 = "", "", O255 - P255)</f>
        <v>#VALUE!</v>
      </c>
      <c r="R255" s="3" t="e">
        <f>LOOKUP(C255, SweepStudyConfig[StudyId], SweepStudyConfig[SweepCorrectedGap])</f>
        <v>#VALUE!</v>
      </c>
      <c r="S255" s="3" t="e">
        <f>IF(Q255 = "", "", Q255 - R255)</f>
        <v>#VALUE!</v>
      </c>
    </row>
    <row r="256">
      <c r="A256" s="2" t="s">
        <v>3544</v>
      </c>
      <c r="B256" s="3" t="str">
        <f>A256</f>
        <v>kidney-dialysis-facility-1990-f045</v>
      </c>
      <c r="C256" s="2" t="s">
        <v>518</v>
      </c>
      <c r="D256" s="2">
        <v>0.45</v>
      </c>
      <c r="E256" s="3" t="e">
        <f>ABS(D256 - LOOKUP(C256, SweepStudyConfig[StudyId], SweepStudyConfig[OriginalAllocFractionA])) &lt; 0.03</f>
        <v>#VALUE!</v>
      </c>
      <c r="F256" s="3" t="e">
        <f>LOOKUP(C256, SweepStudyConfig[StudyId], SweepStudyConfig[NSweepStratumTotal])</f>
        <v>#VALUE!</v>
      </c>
      <c r="G256" s="3" t="e">
        <f>ROUND(F256 * D256)</f>
        <v>#VALUE!</v>
      </c>
      <c r="H256" s="3" t="e">
        <f>F256 - G256</f>
        <v>#VALUE!</v>
      </c>
      <c r="I256" s="3" t="e">
        <f>LOOKUP(C256, SweepStudyConfig[StudyId], SweepStudyConfig[NFixedA])</f>
        <v>#VALUE!</v>
      </c>
      <c r="J256" s="3" t="e">
        <f>LOOKUP(C256, SweepStudyConfig[StudyId], SweepStudyConfig[NFixedB])</f>
        <v>#VALUE!</v>
      </c>
      <c r="K256" s="3" t="e">
        <f>LOOKUP(C256, SweepStudyConfig[StudyId], SweepStudyConfig[SweepRateA])</f>
        <v>#VALUE!</v>
      </c>
      <c r="L256" s="3" t="e">
        <f>LOOKUP(C256, SweepStudyConfig[StudyId], SweepStudyConfig[SweepRateB])</f>
        <v>#VALUE!</v>
      </c>
      <c r="M256" s="3" t="e">
        <f>LOOKUP(C256, SweepStudyConfig[StudyId], SweepStudyConfig[FixedRateA])</f>
        <v>#VALUE!</v>
      </c>
      <c r="N256" s="3" t="e">
        <f>LOOKUP(C256, SweepStudyConfig[StudyId], SweepStudyConfig[FixedRateB])</f>
        <v>#VALUE!</v>
      </c>
      <c r="O256" s="3" t="e">
        <f>IF(G256 + I256 = 0, "", (G256 * K256 + I256 * M256) / (G256 + I256))</f>
        <v>#VALUE!</v>
      </c>
      <c r="P256" s="3" t="e">
        <f>IF(H256 + J256 = 0, "", (H256 * L256 + J256 * N256) / (H256 + J256))</f>
        <v>#VALUE!</v>
      </c>
      <c r="Q256" s="3" t="e">
        <f>IF(O256 = "", "", O256 - P256)</f>
        <v>#VALUE!</v>
      </c>
      <c r="R256" s="3" t="e">
        <f>LOOKUP(C256, SweepStudyConfig[StudyId], SweepStudyConfig[SweepCorrectedGap])</f>
        <v>#VALUE!</v>
      </c>
      <c r="S256" s="3" t="e">
        <f>IF(Q256 = "", "", Q256 - R256)</f>
        <v>#VALUE!</v>
      </c>
    </row>
    <row r="257">
      <c r="A257" s="2" t="s">
        <v>3545</v>
      </c>
      <c r="B257" s="3" t="str">
        <f>A257</f>
        <v>kidney-dialysis-facility-1990-f055</v>
      </c>
      <c r="C257" s="2" t="s">
        <v>518</v>
      </c>
      <c r="D257" s="2">
        <v>0.55</v>
      </c>
      <c r="E257" s="3" t="e">
        <f>ABS(D257 - LOOKUP(C257, SweepStudyConfig[StudyId], SweepStudyConfig[OriginalAllocFractionA])) &lt; 0.03</f>
        <v>#VALUE!</v>
      </c>
      <c r="F257" s="3" t="e">
        <f>LOOKUP(C257, SweepStudyConfig[StudyId], SweepStudyConfig[NSweepStratumTotal])</f>
        <v>#VALUE!</v>
      </c>
      <c r="G257" s="3" t="e">
        <f>ROUND(F257 * D257)</f>
        <v>#VALUE!</v>
      </c>
      <c r="H257" s="3" t="e">
        <f>F257 - G257</f>
        <v>#VALUE!</v>
      </c>
      <c r="I257" s="3" t="e">
        <f>LOOKUP(C257, SweepStudyConfig[StudyId], SweepStudyConfig[NFixedA])</f>
        <v>#VALUE!</v>
      </c>
      <c r="J257" s="3" t="e">
        <f>LOOKUP(C257, SweepStudyConfig[StudyId], SweepStudyConfig[NFixedB])</f>
        <v>#VALUE!</v>
      </c>
      <c r="K257" s="3" t="e">
        <f>LOOKUP(C257, SweepStudyConfig[StudyId], SweepStudyConfig[SweepRateA])</f>
        <v>#VALUE!</v>
      </c>
      <c r="L257" s="3" t="e">
        <f>LOOKUP(C257, SweepStudyConfig[StudyId], SweepStudyConfig[SweepRateB])</f>
        <v>#VALUE!</v>
      </c>
      <c r="M257" s="3" t="e">
        <f>LOOKUP(C257, SweepStudyConfig[StudyId], SweepStudyConfig[FixedRateA])</f>
        <v>#VALUE!</v>
      </c>
      <c r="N257" s="3" t="e">
        <f>LOOKUP(C257, SweepStudyConfig[StudyId], SweepStudyConfig[FixedRateB])</f>
        <v>#VALUE!</v>
      </c>
      <c r="O257" s="3" t="e">
        <f>IF(G257 + I257 = 0, "", (G257 * K257 + I257 * M257) / (G257 + I257))</f>
        <v>#VALUE!</v>
      </c>
      <c r="P257" s="3" t="e">
        <f>IF(H257 + J257 = 0, "", (H257 * L257 + J257 * N257) / (H257 + J257))</f>
        <v>#VALUE!</v>
      </c>
      <c r="Q257" s="3" t="e">
        <f>IF(O257 = "", "", O257 - P257)</f>
        <v>#VALUE!</v>
      </c>
      <c r="R257" s="3" t="e">
        <f>LOOKUP(C257, SweepStudyConfig[StudyId], SweepStudyConfig[SweepCorrectedGap])</f>
        <v>#VALUE!</v>
      </c>
      <c r="S257" s="3" t="e">
        <f>IF(Q257 = "", "", Q257 - R257)</f>
        <v>#VALUE!</v>
      </c>
    </row>
    <row r="258">
      <c r="A258" s="2" t="s">
        <v>3546</v>
      </c>
      <c r="B258" s="3" t="str">
        <f>A258</f>
        <v>kidney-dialysis-facility-1990-f065</v>
      </c>
      <c r="C258" s="2" t="s">
        <v>518</v>
      </c>
      <c r="D258" s="2">
        <v>0.65</v>
      </c>
      <c r="E258" s="3" t="e">
        <f>ABS(D258 - LOOKUP(C258, SweepStudyConfig[StudyId], SweepStudyConfig[OriginalAllocFractionA])) &lt; 0.03</f>
        <v>#VALUE!</v>
      </c>
      <c r="F258" s="3" t="e">
        <f>LOOKUP(C258, SweepStudyConfig[StudyId], SweepStudyConfig[NSweepStratumTotal])</f>
        <v>#VALUE!</v>
      </c>
      <c r="G258" s="3" t="e">
        <f>ROUND(F258 * D258)</f>
        <v>#VALUE!</v>
      </c>
      <c r="H258" s="3" t="e">
        <f>F258 - G258</f>
        <v>#VALUE!</v>
      </c>
      <c r="I258" s="3" t="e">
        <f>LOOKUP(C258, SweepStudyConfig[StudyId], SweepStudyConfig[NFixedA])</f>
        <v>#VALUE!</v>
      </c>
      <c r="J258" s="3" t="e">
        <f>LOOKUP(C258, SweepStudyConfig[StudyId], SweepStudyConfig[NFixedB])</f>
        <v>#VALUE!</v>
      </c>
      <c r="K258" s="3" t="e">
        <f>LOOKUP(C258, SweepStudyConfig[StudyId], SweepStudyConfig[SweepRateA])</f>
        <v>#VALUE!</v>
      </c>
      <c r="L258" s="3" t="e">
        <f>LOOKUP(C258, SweepStudyConfig[StudyId], SweepStudyConfig[SweepRateB])</f>
        <v>#VALUE!</v>
      </c>
      <c r="M258" s="3" t="e">
        <f>LOOKUP(C258, SweepStudyConfig[StudyId], SweepStudyConfig[FixedRateA])</f>
        <v>#VALUE!</v>
      </c>
      <c r="N258" s="3" t="e">
        <f>LOOKUP(C258, SweepStudyConfig[StudyId], SweepStudyConfig[FixedRateB])</f>
        <v>#VALUE!</v>
      </c>
      <c r="O258" s="3" t="e">
        <f>IF(G258 + I258 = 0, "", (G258 * K258 + I258 * M258) / (G258 + I258))</f>
        <v>#VALUE!</v>
      </c>
      <c r="P258" s="3" t="e">
        <f>IF(H258 + J258 = 0, "", (H258 * L258 + J258 * N258) / (H258 + J258))</f>
        <v>#VALUE!</v>
      </c>
      <c r="Q258" s="3" t="e">
        <f>IF(O258 = "", "", O258 - P258)</f>
        <v>#VALUE!</v>
      </c>
      <c r="R258" s="3" t="e">
        <f>LOOKUP(C258, SweepStudyConfig[StudyId], SweepStudyConfig[SweepCorrectedGap])</f>
        <v>#VALUE!</v>
      </c>
      <c r="S258" s="3" t="e">
        <f>IF(Q258 = "", "", Q258 - R258)</f>
        <v>#VALUE!</v>
      </c>
    </row>
    <row r="259">
      <c r="A259" s="2" t="s">
        <v>3547</v>
      </c>
      <c r="B259" s="3" t="str">
        <f>A259</f>
        <v>kidney-dialysis-facility-1990-f075</v>
      </c>
      <c r="C259" s="2" t="s">
        <v>518</v>
      </c>
      <c r="D259" s="2">
        <v>0.75</v>
      </c>
      <c r="E259" s="3" t="e">
        <f>ABS(D259 - LOOKUP(C259, SweepStudyConfig[StudyId], SweepStudyConfig[OriginalAllocFractionA])) &lt; 0.03</f>
        <v>#VALUE!</v>
      </c>
      <c r="F259" s="3" t="e">
        <f>LOOKUP(C259, SweepStudyConfig[StudyId], SweepStudyConfig[NSweepStratumTotal])</f>
        <v>#VALUE!</v>
      </c>
      <c r="G259" s="3" t="e">
        <f>ROUND(F259 * D259)</f>
        <v>#VALUE!</v>
      </c>
      <c r="H259" s="3" t="e">
        <f>F259 - G259</f>
        <v>#VALUE!</v>
      </c>
      <c r="I259" s="3" t="e">
        <f>LOOKUP(C259, SweepStudyConfig[StudyId], SweepStudyConfig[NFixedA])</f>
        <v>#VALUE!</v>
      </c>
      <c r="J259" s="3" t="e">
        <f>LOOKUP(C259, SweepStudyConfig[StudyId], SweepStudyConfig[NFixedB])</f>
        <v>#VALUE!</v>
      </c>
      <c r="K259" s="3" t="e">
        <f>LOOKUP(C259, SweepStudyConfig[StudyId], SweepStudyConfig[SweepRateA])</f>
        <v>#VALUE!</v>
      </c>
      <c r="L259" s="3" t="e">
        <f>LOOKUP(C259, SweepStudyConfig[StudyId], SweepStudyConfig[SweepRateB])</f>
        <v>#VALUE!</v>
      </c>
      <c r="M259" s="3" t="e">
        <f>LOOKUP(C259, SweepStudyConfig[StudyId], SweepStudyConfig[FixedRateA])</f>
        <v>#VALUE!</v>
      </c>
      <c r="N259" s="3" t="e">
        <f>LOOKUP(C259, SweepStudyConfig[StudyId], SweepStudyConfig[FixedRateB])</f>
        <v>#VALUE!</v>
      </c>
      <c r="O259" s="3" t="e">
        <f>IF(G259 + I259 = 0, "", (G259 * K259 + I259 * M259) / (G259 + I259))</f>
        <v>#VALUE!</v>
      </c>
      <c r="P259" s="3" t="e">
        <f>IF(H259 + J259 = 0, "", (H259 * L259 + J259 * N259) / (H259 + J259))</f>
        <v>#VALUE!</v>
      </c>
      <c r="Q259" s="3" t="e">
        <f>IF(O259 = "", "", O259 - P259)</f>
        <v>#VALUE!</v>
      </c>
      <c r="R259" s="3" t="e">
        <f>LOOKUP(C259, SweepStudyConfig[StudyId], SweepStudyConfig[SweepCorrectedGap])</f>
        <v>#VALUE!</v>
      </c>
      <c r="S259" s="3" t="e">
        <f>IF(Q259 = "", "", Q259 - R259)</f>
        <v>#VALUE!</v>
      </c>
    </row>
    <row r="260">
      <c r="A260" s="2" t="s">
        <v>3548</v>
      </c>
      <c r="B260" s="3" t="str">
        <f>A260</f>
        <v>kidney-dialysis-facility-1990-f085</v>
      </c>
      <c r="C260" s="2" t="s">
        <v>518</v>
      </c>
      <c r="D260" s="2">
        <v>0.85</v>
      </c>
      <c r="E260" s="3" t="e">
        <f>ABS(D260 - LOOKUP(C260, SweepStudyConfig[StudyId], SweepStudyConfig[OriginalAllocFractionA])) &lt; 0.03</f>
        <v>#VALUE!</v>
      </c>
      <c r="F260" s="3" t="e">
        <f>LOOKUP(C260, SweepStudyConfig[StudyId], SweepStudyConfig[NSweepStratumTotal])</f>
        <v>#VALUE!</v>
      </c>
      <c r="G260" s="3" t="e">
        <f>ROUND(F260 * D260)</f>
        <v>#VALUE!</v>
      </c>
      <c r="H260" s="3" t="e">
        <f>F260 - G260</f>
        <v>#VALUE!</v>
      </c>
      <c r="I260" s="3" t="e">
        <f>LOOKUP(C260, SweepStudyConfig[StudyId], SweepStudyConfig[NFixedA])</f>
        <v>#VALUE!</v>
      </c>
      <c r="J260" s="3" t="e">
        <f>LOOKUP(C260, SweepStudyConfig[StudyId], SweepStudyConfig[NFixedB])</f>
        <v>#VALUE!</v>
      </c>
      <c r="K260" s="3" t="e">
        <f>LOOKUP(C260, SweepStudyConfig[StudyId], SweepStudyConfig[SweepRateA])</f>
        <v>#VALUE!</v>
      </c>
      <c r="L260" s="3" t="e">
        <f>LOOKUP(C260, SweepStudyConfig[StudyId], SweepStudyConfig[SweepRateB])</f>
        <v>#VALUE!</v>
      </c>
      <c r="M260" s="3" t="e">
        <f>LOOKUP(C260, SweepStudyConfig[StudyId], SweepStudyConfig[FixedRateA])</f>
        <v>#VALUE!</v>
      </c>
      <c r="N260" s="3" t="e">
        <f>LOOKUP(C260, SweepStudyConfig[StudyId], SweepStudyConfig[FixedRateB])</f>
        <v>#VALUE!</v>
      </c>
      <c r="O260" s="3" t="e">
        <f>IF(G260 + I260 = 0, "", (G260 * K260 + I260 * M260) / (G260 + I260))</f>
        <v>#VALUE!</v>
      </c>
      <c r="P260" s="3" t="e">
        <f>IF(H260 + J260 = 0, "", (H260 * L260 + J260 * N260) / (H260 + J260))</f>
        <v>#VALUE!</v>
      </c>
      <c r="Q260" s="3" t="e">
        <f>IF(O260 = "", "", O260 - P260)</f>
        <v>#VALUE!</v>
      </c>
      <c r="R260" s="3" t="e">
        <f>LOOKUP(C260, SweepStudyConfig[StudyId], SweepStudyConfig[SweepCorrectedGap])</f>
        <v>#VALUE!</v>
      </c>
      <c r="S260" s="3" t="e">
        <f>IF(Q260 = "", "", Q260 - R260)</f>
        <v>#VALUE!</v>
      </c>
    </row>
    <row r="261">
      <c r="A261" s="2" t="s">
        <v>3549</v>
      </c>
      <c r="B261" s="3" t="str">
        <f>A261</f>
        <v>kidney-dialysis-facility-1990-f095</v>
      </c>
      <c r="C261" s="2" t="s">
        <v>518</v>
      </c>
      <c r="D261" s="2">
        <v>0.95</v>
      </c>
      <c r="E261" s="3" t="e">
        <f>ABS(D261 - LOOKUP(C261, SweepStudyConfig[StudyId], SweepStudyConfig[OriginalAllocFractionA])) &lt; 0.03</f>
        <v>#VALUE!</v>
      </c>
      <c r="F261" s="3" t="e">
        <f>LOOKUP(C261, SweepStudyConfig[StudyId], SweepStudyConfig[NSweepStratumTotal])</f>
        <v>#VALUE!</v>
      </c>
      <c r="G261" s="3" t="e">
        <f>ROUND(F261 * D261)</f>
        <v>#VALUE!</v>
      </c>
      <c r="H261" s="3" t="e">
        <f>F261 - G261</f>
        <v>#VALUE!</v>
      </c>
      <c r="I261" s="3" t="e">
        <f>LOOKUP(C261, SweepStudyConfig[StudyId], SweepStudyConfig[NFixedA])</f>
        <v>#VALUE!</v>
      </c>
      <c r="J261" s="3" t="e">
        <f>LOOKUP(C261, SweepStudyConfig[StudyId], SweepStudyConfig[NFixedB])</f>
        <v>#VALUE!</v>
      </c>
      <c r="K261" s="3" t="e">
        <f>LOOKUP(C261, SweepStudyConfig[StudyId], SweepStudyConfig[SweepRateA])</f>
        <v>#VALUE!</v>
      </c>
      <c r="L261" s="3" t="e">
        <f>LOOKUP(C261, SweepStudyConfig[StudyId], SweepStudyConfig[SweepRateB])</f>
        <v>#VALUE!</v>
      </c>
      <c r="M261" s="3" t="e">
        <f>LOOKUP(C261, SweepStudyConfig[StudyId], SweepStudyConfig[FixedRateA])</f>
        <v>#VALUE!</v>
      </c>
      <c r="N261" s="3" t="e">
        <f>LOOKUP(C261, SweepStudyConfig[StudyId], SweepStudyConfig[FixedRateB])</f>
        <v>#VALUE!</v>
      </c>
      <c r="O261" s="3" t="e">
        <f>IF(G261 + I261 = 0, "", (G261 * K261 + I261 * M261) / (G261 + I261))</f>
        <v>#VALUE!</v>
      </c>
      <c r="P261" s="3" t="e">
        <f>IF(H261 + J261 = 0, "", (H261 * L261 + J261 * N261) / (H261 + J261))</f>
        <v>#VALUE!</v>
      </c>
      <c r="Q261" s="3" t="e">
        <f>IF(O261 = "", "", O261 - P261)</f>
        <v>#VALUE!</v>
      </c>
      <c r="R261" s="3" t="e">
        <f>LOOKUP(C261, SweepStudyConfig[StudyId], SweepStudyConfig[SweepCorrectedGap])</f>
        <v>#VALUE!</v>
      </c>
      <c r="S261" s="3" t="e">
        <f>IF(Q261 = "", "", Q261 - R261)</f>
        <v>#VALUE!</v>
      </c>
    </row>
    <row r="262">
      <c r="A262" s="2" t="s">
        <v>3550</v>
      </c>
      <c r="B262" s="3" t="str">
        <f>A262</f>
        <v>warfarin-bleeding-age-f005</v>
      </c>
      <c r="C262" s="2" t="s">
        <v>521</v>
      </c>
      <c r="D262" s="2">
        <v>0.05</v>
      </c>
      <c r="E262" s="3" t="e">
        <f>ABS(D262 - LOOKUP(C262, SweepStudyConfig[StudyId], SweepStudyConfig[OriginalAllocFractionA])) &lt; 0.03</f>
        <v>#VALUE!</v>
      </c>
      <c r="F262" s="3" t="e">
        <f>LOOKUP(C262, SweepStudyConfig[StudyId], SweepStudyConfig[NSweepStratumTotal])</f>
        <v>#VALUE!</v>
      </c>
      <c r="G262" s="3" t="e">
        <f>ROUND(F262 * D262)</f>
        <v>#VALUE!</v>
      </c>
      <c r="H262" s="3" t="e">
        <f>F262 - G262</f>
        <v>#VALUE!</v>
      </c>
      <c r="I262" s="3" t="e">
        <f>LOOKUP(C262, SweepStudyConfig[StudyId], SweepStudyConfig[NFixedA])</f>
        <v>#VALUE!</v>
      </c>
      <c r="J262" s="3" t="e">
        <f>LOOKUP(C262, SweepStudyConfig[StudyId], SweepStudyConfig[NFixedB])</f>
        <v>#VALUE!</v>
      </c>
      <c r="K262" s="3" t="e">
        <f>LOOKUP(C262, SweepStudyConfig[StudyId], SweepStudyConfig[SweepRateA])</f>
        <v>#VALUE!</v>
      </c>
      <c r="L262" s="3" t="e">
        <f>LOOKUP(C262, SweepStudyConfig[StudyId], SweepStudyConfig[SweepRateB])</f>
        <v>#VALUE!</v>
      </c>
      <c r="M262" s="3" t="e">
        <f>LOOKUP(C262, SweepStudyConfig[StudyId], SweepStudyConfig[FixedRateA])</f>
        <v>#VALUE!</v>
      </c>
      <c r="N262" s="3" t="e">
        <f>LOOKUP(C262, SweepStudyConfig[StudyId], SweepStudyConfig[FixedRateB])</f>
        <v>#VALUE!</v>
      </c>
      <c r="O262" s="3" t="e">
        <f>IF(G262 + I262 = 0, "", (G262 * K262 + I262 * M262) / (G262 + I262))</f>
        <v>#VALUE!</v>
      </c>
      <c r="P262" s="3" t="e">
        <f>IF(H262 + J262 = 0, "", (H262 * L262 + J262 * N262) / (H262 + J262))</f>
        <v>#VALUE!</v>
      </c>
      <c r="Q262" s="3" t="e">
        <f>IF(O262 = "", "", O262 - P262)</f>
        <v>#VALUE!</v>
      </c>
      <c r="R262" s="3" t="e">
        <f>LOOKUP(C262, SweepStudyConfig[StudyId], SweepStudyConfig[SweepCorrectedGap])</f>
        <v>#VALUE!</v>
      </c>
      <c r="S262" s="3" t="e">
        <f>IF(Q262 = "", "", Q262 - R262)</f>
        <v>#VALUE!</v>
      </c>
    </row>
    <row r="263">
      <c r="A263" s="2" t="s">
        <v>3551</v>
      </c>
      <c r="B263" s="3" t="str">
        <f>A263</f>
        <v>warfarin-bleeding-age-f015</v>
      </c>
      <c r="C263" s="2" t="s">
        <v>521</v>
      </c>
      <c r="D263" s="2">
        <v>0.15</v>
      </c>
      <c r="E263" s="3" t="e">
        <f>ABS(D263 - LOOKUP(C263, SweepStudyConfig[StudyId], SweepStudyConfig[OriginalAllocFractionA])) &lt; 0.03</f>
        <v>#VALUE!</v>
      </c>
      <c r="F263" s="3" t="e">
        <f>LOOKUP(C263, SweepStudyConfig[StudyId], SweepStudyConfig[NSweepStratumTotal])</f>
        <v>#VALUE!</v>
      </c>
      <c r="G263" s="3" t="e">
        <f>ROUND(F263 * D263)</f>
        <v>#VALUE!</v>
      </c>
      <c r="H263" s="3" t="e">
        <f>F263 - G263</f>
        <v>#VALUE!</v>
      </c>
      <c r="I263" s="3" t="e">
        <f>LOOKUP(C263, SweepStudyConfig[StudyId], SweepStudyConfig[NFixedA])</f>
        <v>#VALUE!</v>
      </c>
      <c r="J263" s="3" t="e">
        <f>LOOKUP(C263, SweepStudyConfig[StudyId], SweepStudyConfig[NFixedB])</f>
        <v>#VALUE!</v>
      </c>
      <c r="K263" s="3" t="e">
        <f>LOOKUP(C263, SweepStudyConfig[StudyId], SweepStudyConfig[SweepRateA])</f>
        <v>#VALUE!</v>
      </c>
      <c r="L263" s="3" t="e">
        <f>LOOKUP(C263, SweepStudyConfig[StudyId], SweepStudyConfig[SweepRateB])</f>
        <v>#VALUE!</v>
      </c>
      <c r="M263" s="3" t="e">
        <f>LOOKUP(C263, SweepStudyConfig[StudyId], SweepStudyConfig[FixedRateA])</f>
        <v>#VALUE!</v>
      </c>
      <c r="N263" s="3" t="e">
        <f>LOOKUP(C263, SweepStudyConfig[StudyId], SweepStudyConfig[FixedRateB])</f>
        <v>#VALUE!</v>
      </c>
      <c r="O263" s="3" t="e">
        <f>IF(G263 + I263 = 0, "", (G263 * K263 + I263 * M263) / (G263 + I263))</f>
        <v>#VALUE!</v>
      </c>
      <c r="P263" s="3" t="e">
        <f>IF(H263 + J263 = 0, "", (H263 * L263 + J263 * N263) / (H263 + J263))</f>
        <v>#VALUE!</v>
      </c>
      <c r="Q263" s="3" t="e">
        <f>IF(O263 = "", "", O263 - P263)</f>
        <v>#VALUE!</v>
      </c>
      <c r="R263" s="3" t="e">
        <f>LOOKUP(C263, SweepStudyConfig[StudyId], SweepStudyConfig[SweepCorrectedGap])</f>
        <v>#VALUE!</v>
      </c>
      <c r="S263" s="3" t="e">
        <f>IF(Q263 = "", "", Q263 - R263)</f>
        <v>#VALUE!</v>
      </c>
    </row>
    <row r="264">
      <c r="A264" s="2" t="s">
        <v>3552</v>
      </c>
      <c r="B264" s="3" t="str">
        <f>A264</f>
        <v>warfarin-bleeding-age-f025</v>
      </c>
      <c r="C264" s="2" t="s">
        <v>521</v>
      </c>
      <c r="D264" s="2">
        <v>0.25</v>
      </c>
      <c r="E264" s="3" t="e">
        <f>ABS(D264 - LOOKUP(C264, SweepStudyConfig[StudyId], SweepStudyConfig[OriginalAllocFractionA])) &lt; 0.03</f>
        <v>#VALUE!</v>
      </c>
      <c r="F264" s="3" t="e">
        <f>LOOKUP(C264, SweepStudyConfig[StudyId], SweepStudyConfig[NSweepStratumTotal])</f>
        <v>#VALUE!</v>
      </c>
      <c r="G264" s="3" t="e">
        <f>ROUND(F264 * D264)</f>
        <v>#VALUE!</v>
      </c>
      <c r="H264" s="3" t="e">
        <f>F264 - G264</f>
        <v>#VALUE!</v>
      </c>
      <c r="I264" s="3" t="e">
        <f>LOOKUP(C264, SweepStudyConfig[StudyId], SweepStudyConfig[NFixedA])</f>
        <v>#VALUE!</v>
      </c>
      <c r="J264" s="3" t="e">
        <f>LOOKUP(C264, SweepStudyConfig[StudyId], SweepStudyConfig[NFixedB])</f>
        <v>#VALUE!</v>
      </c>
      <c r="K264" s="3" t="e">
        <f>LOOKUP(C264, SweepStudyConfig[StudyId], SweepStudyConfig[SweepRateA])</f>
        <v>#VALUE!</v>
      </c>
      <c r="L264" s="3" t="e">
        <f>LOOKUP(C264, SweepStudyConfig[StudyId], SweepStudyConfig[SweepRateB])</f>
        <v>#VALUE!</v>
      </c>
      <c r="M264" s="3" t="e">
        <f>LOOKUP(C264, SweepStudyConfig[StudyId], SweepStudyConfig[FixedRateA])</f>
        <v>#VALUE!</v>
      </c>
      <c r="N264" s="3" t="e">
        <f>LOOKUP(C264, SweepStudyConfig[StudyId], SweepStudyConfig[FixedRateB])</f>
        <v>#VALUE!</v>
      </c>
      <c r="O264" s="3" t="e">
        <f>IF(G264 + I264 = 0, "", (G264 * K264 + I264 * M264) / (G264 + I264))</f>
        <v>#VALUE!</v>
      </c>
      <c r="P264" s="3" t="e">
        <f>IF(H264 + J264 = 0, "", (H264 * L264 + J264 * N264) / (H264 + J264))</f>
        <v>#VALUE!</v>
      </c>
      <c r="Q264" s="3" t="e">
        <f>IF(O264 = "", "", O264 - P264)</f>
        <v>#VALUE!</v>
      </c>
      <c r="R264" s="3" t="e">
        <f>LOOKUP(C264, SweepStudyConfig[StudyId], SweepStudyConfig[SweepCorrectedGap])</f>
        <v>#VALUE!</v>
      </c>
      <c r="S264" s="3" t="e">
        <f>IF(Q264 = "", "", Q264 - R264)</f>
        <v>#VALUE!</v>
      </c>
    </row>
    <row r="265">
      <c r="A265" s="2" t="s">
        <v>3553</v>
      </c>
      <c r="B265" s="3" t="str">
        <f>A265</f>
        <v>warfarin-bleeding-age-f035</v>
      </c>
      <c r="C265" s="2" t="s">
        <v>521</v>
      </c>
      <c r="D265" s="2">
        <v>0.35</v>
      </c>
      <c r="E265" s="3" t="e">
        <f>ABS(D265 - LOOKUP(C265, SweepStudyConfig[StudyId], SweepStudyConfig[OriginalAllocFractionA])) &lt; 0.03</f>
        <v>#VALUE!</v>
      </c>
      <c r="F265" s="3" t="e">
        <f>LOOKUP(C265, SweepStudyConfig[StudyId], SweepStudyConfig[NSweepStratumTotal])</f>
        <v>#VALUE!</v>
      </c>
      <c r="G265" s="3" t="e">
        <f>ROUND(F265 * D265)</f>
        <v>#VALUE!</v>
      </c>
      <c r="H265" s="3" t="e">
        <f>F265 - G265</f>
        <v>#VALUE!</v>
      </c>
      <c r="I265" s="3" t="e">
        <f>LOOKUP(C265, SweepStudyConfig[StudyId], SweepStudyConfig[NFixedA])</f>
        <v>#VALUE!</v>
      </c>
      <c r="J265" s="3" t="e">
        <f>LOOKUP(C265, SweepStudyConfig[StudyId], SweepStudyConfig[NFixedB])</f>
        <v>#VALUE!</v>
      </c>
      <c r="K265" s="3" t="e">
        <f>LOOKUP(C265, SweepStudyConfig[StudyId], SweepStudyConfig[SweepRateA])</f>
        <v>#VALUE!</v>
      </c>
      <c r="L265" s="3" t="e">
        <f>LOOKUP(C265, SweepStudyConfig[StudyId], SweepStudyConfig[SweepRateB])</f>
        <v>#VALUE!</v>
      </c>
      <c r="M265" s="3" t="e">
        <f>LOOKUP(C265, SweepStudyConfig[StudyId], SweepStudyConfig[FixedRateA])</f>
        <v>#VALUE!</v>
      </c>
      <c r="N265" s="3" t="e">
        <f>LOOKUP(C265, SweepStudyConfig[StudyId], SweepStudyConfig[FixedRateB])</f>
        <v>#VALUE!</v>
      </c>
      <c r="O265" s="3" t="e">
        <f>IF(G265 + I265 = 0, "", (G265 * K265 + I265 * M265) / (G265 + I265))</f>
        <v>#VALUE!</v>
      </c>
      <c r="P265" s="3" t="e">
        <f>IF(H265 + J265 = 0, "", (H265 * L265 + J265 * N265) / (H265 + J265))</f>
        <v>#VALUE!</v>
      </c>
      <c r="Q265" s="3" t="e">
        <f>IF(O265 = "", "", O265 - P265)</f>
        <v>#VALUE!</v>
      </c>
      <c r="R265" s="3" t="e">
        <f>LOOKUP(C265, SweepStudyConfig[StudyId], SweepStudyConfig[SweepCorrectedGap])</f>
        <v>#VALUE!</v>
      </c>
      <c r="S265" s="3" t="e">
        <f>IF(Q265 = "", "", Q265 - R265)</f>
        <v>#VALUE!</v>
      </c>
    </row>
    <row r="266">
      <c r="A266" s="2" t="s">
        <v>3554</v>
      </c>
      <c r="B266" s="3" t="str">
        <f>A266</f>
        <v>warfarin-bleeding-age-f045</v>
      </c>
      <c r="C266" s="2" t="s">
        <v>521</v>
      </c>
      <c r="D266" s="2">
        <v>0.45</v>
      </c>
      <c r="E266" s="3" t="e">
        <f>ABS(D266 - LOOKUP(C266, SweepStudyConfig[StudyId], SweepStudyConfig[OriginalAllocFractionA])) &lt; 0.03</f>
        <v>#VALUE!</v>
      </c>
      <c r="F266" s="3" t="e">
        <f>LOOKUP(C266, SweepStudyConfig[StudyId], SweepStudyConfig[NSweepStratumTotal])</f>
        <v>#VALUE!</v>
      </c>
      <c r="G266" s="3" t="e">
        <f>ROUND(F266 * D266)</f>
        <v>#VALUE!</v>
      </c>
      <c r="H266" s="3" t="e">
        <f>F266 - G266</f>
        <v>#VALUE!</v>
      </c>
      <c r="I266" s="3" t="e">
        <f>LOOKUP(C266, SweepStudyConfig[StudyId], SweepStudyConfig[NFixedA])</f>
        <v>#VALUE!</v>
      </c>
      <c r="J266" s="3" t="e">
        <f>LOOKUP(C266, SweepStudyConfig[StudyId], SweepStudyConfig[NFixedB])</f>
        <v>#VALUE!</v>
      </c>
      <c r="K266" s="3" t="e">
        <f>LOOKUP(C266, SweepStudyConfig[StudyId], SweepStudyConfig[SweepRateA])</f>
        <v>#VALUE!</v>
      </c>
      <c r="L266" s="3" t="e">
        <f>LOOKUP(C266, SweepStudyConfig[StudyId], SweepStudyConfig[SweepRateB])</f>
        <v>#VALUE!</v>
      </c>
      <c r="M266" s="3" t="e">
        <f>LOOKUP(C266, SweepStudyConfig[StudyId], SweepStudyConfig[FixedRateA])</f>
        <v>#VALUE!</v>
      </c>
      <c r="N266" s="3" t="e">
        <f>LOOKUP(C266, SweepStudyConfig[StudyId], SweepStudyConfig[FixedRateB])</f>
        <v>#VALUE!</v>
      </c>
      <c r="O266" s="3" t="e">
        <f>IF(G266 + I266 = 0, "", (G266 * K266 + I266 * M266) / (G266 + I266))</f>
        <v>#VALUE!</v>
      </c>
      <c r="P266" s="3" t="e">
        <f>IF(H266 + J266 = 0, "", (H266 * L266 + J266 * N266) / (H266 + J266))</f>
        <v>#VALUE!</v>
      </c>
      <c r="Q266" s="3" t="e">
        <f>IF(O266 = "", "", O266 - P266)</f>
        <v>#VALUE!</v>
      </c>
      <c r="R266" s="3" t="e">
        <f>LOOKUP(C266, SweepStudyConfig[StudyId], SweepStudyConfig[SweepCorrectedGap])</f>
        <v>#VALUE!</v>
      </c>
      <c r="S266" s="3" t="e">
        <f>IF(Q266 = "", "", Q266 - R266)</f>
        <v>#VALUE!</v>
      </c>
    </row>
    <row r="267">
      <c r="A267" s="2" t="s">
        <v>3555</v>
      </c>
      <c r="B267" s="3" t="str">
        <f>A267</f>
        <v>warfarin-bleeding-age-f055</v>
      </c>
      <c r="C267" s="2" t="s">
        <v>521</v>
      </c>
      <c r="D267" s="2">
        <v>0.55</v>
      </c>
      <c r="E267" s="3" t="e">
        <f>ABS(D267 - LOOKUP(C267, SweepStudyConfig[StudyId], SweepStudyConfig[OriginalAllocFractionA])) &lt; 0.03</f>
        <v>#VALUE!</v>
      </c>
      <c r="F267" s="3" t="e">
        <f>LOOKUP(C267, SweepStudyConfig[StudyId], SweepStudyConfig[NSweepStratumTotal])</f>
        <v>#VALUE!</v>
      </c>
      <c r="G267" s="3" t="e">
        <f>ROUND(F267 * D267)</f>
        <v>#VALUE!</v>
      </c>
      <c r="H267" s="3" t="e">
        <f>F267 - G267</f>
        <v>#VALUE!</v>
      </c>
      <c r="I267" s="3" t="e">
        <f>LOOKUP(C267, SweepStudyConfig[StudyId], SweepStudyConfig[NFixedA])</f>
        <v>#VALUE!</v>
      </c>
      <c r="J267" s="3" t="e">
        <f>LOOKUP(C267, SweepStudyConfig[StudyId], SweepStudyConfig[NFixedB])</f>
        <v>#VALUE!</v>
      </c>
      <c r="K267" s="3" t="e">
        <f>LOOKUP(C267, SweepStudyConfig[StudyId], SweepStudyConfig[SweepRateA])</f>
        <v>#VALUE!</v>
      </c>
      <c r="L267" s="3" t="e">
        <f>LOOKUP(C267, SweepStudyConfig[StudyId], SweepStudyConfig[SweepRateB])</f>
        <v>#VALUE!</v>
      </c>
      <c r="M267" s="3" t="e">
        <f>LOOKUP(C267, SweepStudyConfig[StudyId], SweepStudyConfig[FixedRateA])</f>
        <v>#VALUE!</v>
      </c>
      <c r="N267" s="3" t="e">
        <f>LOOKUP(C267, SweepStudyConfig[StudyId], SweepStudyConfig[FixedRateB])</f>
        <v>#VALUE!</v>
      </c>
      <c r="O267" s="3" t="e">
        <f>IF(G267 + I267 = 0, "", (G267 * K267 + I267 * M267) / (G267 + I267))</f>
        <v>#VALUE!</v>
      </c>
      <c r="P267" s="3" t="e">
        <f>IF(H267 + J267 = 0, "", (H267 * L267 + J267 * N267) / (H267 + J267))</f>
        <v>#VALUE!</v>
      </c>
      <c r="Q267" s="3" t="e">
        <f>IF(O267 = "", "", O267 - P267)</f>
        <v>#VALUE!</v>
      </c>
      <c r="R267" s="3" t="e">
        <f>LOOKUP(C267, SweepStudyConfig[StudyId], SweepStudyConfig[SweepCorrectedGap])</f>
        <v>#VALUE!</v>
      </c>
      <c r="S267" s="3" t="e">
        <f>IF(Q267 = "", "", Q267 - R267)</f>
        <v>#VALUE!</v>
      </c>
    </row>
    <row r="268">
      <c r="A268" s="2" t="s">
        <v>3556</v>
      </c>
      <c r="B268" s="3" t="str">
        <f>A268</f>
        <v>warfarin-bleeding-age-f065</v>
      </c>
      <c r="C268" s="2" t="s">
        <v>521</v>
      </c>
      <c r="D268" s="2">
        <v>0.65</v>
      </c>
      <c r="E268" s="3" t="e">
        <f>ABS(D268 - LOOKUP(C268, SweepStudyConfig[StudyId], SweepStudyConfig[OriginalAllocFractionA])) &lt; 0.03</f>
        <v>#VALUE!</v>
      </c>
      <c r="F268" s="3" t="e">
        <f>LOOKUP(C268, SweepStudyConfig[StudyId], SweepStudyConfig[NSweepStratumTotal])</f>
        <v>#VALUE!</v>
      </c>
      <c r="G268" s="3" t="e">
        <f>ROUND(F268 * D268)</f>
        <v>#VALUE!</v>
      </c>
      <c r="H268" s="3" t="e">
        <f>F268 - G268</f>
        <v>#VALUE!</v>
      </c>
      <c r="I268" s="3" t="e">
        <f>LOOKUP(C268, SweepStudyConfig[StudyId], SweepStudyConfig[NFixedA])</f>
        <v>#VALUE!</v>
      </c>
      <c r="J268" s="3" t="e">
        <f>LOOKUP(C268, SweepStudyConfig[StudyId], SweepStudyConfig[NFixedB])</f>
        <v>#VALUE!</v>
      </c>
      <c r="K268" s="3" t="e">
        <f>LOOKUP(C268, SweepStudyConfig[StudyId], SweepStudyConfig[SweepRateA])</f>
        <v>#VALUE!</v>
      </c>
      <c r="L268" s="3" t="e">
        <f>LOOKUP(C268, SweepStudyConfig[StudyId], SweepStudyConfig[SweepRateB])</f>
        <v>#VALUE!</v>
      </c>
      <c r="M268" s="3" t="e">
        <f>LOOKUP(C268, SweepStudyConfig[StudyId], SweepStudyConfig[FixedRateA])</f>
        <v>#VALUE!</v>
      </c>
      <c r="N268" s="3" t="e">
        <f>LOOKUP(C268, SweepStudyConfig[StudyId], SweepStudyConfig[FixedRateB])</f>
        <v>#VALUE!</v>
      </c>
      <c r="O268" s="3" t="e">
        <f>IF(G268 + I268 = 0, "", (G268 * K268 + I268 * M268) / (G268 + I268))</f>
        <v>#VALUE!</v>
      </c>
      <c r="P268" s="3" t="e">
        <f>IF(H268 + J268 = 0, "", (H268 * L268 + J268 * N268) / (H268 + J268))</f>
        <v>#VALUE!</v>
      </c>
      <c r="Q268" s="3" t="e">
        <f>IF(O268 = "", "", O268 - P268)</f>
        <v>#VALUE!</v>
      </c>
      <c r="R268" s="3" t="e">
        <f>LOOKUP(C268, SweepStudyConfig[StudyId], SweepStudyConfig[SweepCorrectedGap])</f>
        <v>#VALUE!</v>
      </c>
      <c r="S268" s="3" t="e">
        <f>IF(Q268 = "", "", Q268 - R268)</f>
        <v>#VALUE!</v>
      </c>
    </row>
    <row r="269">
      <c r="A269" s="2" t="s">
        <v>3557</v>
      </c>
      <c r="B269" s="3" t="str">
        <f>A269</f>
        <v>warfarin-bleeding-age-f075</v>
      </c>
      <c r="C269" s="2" t="s">
        <v>521</v>
      </c>
      <c r="D269" s="2">
        <v>0.75</v>
      </c>
      <c r="E269" s="3" t="e">
        <f>ABS(D269 - LOOKUP(C269, SweepStudyConfig[StudyId], SweepStudyConfig[OriginalAllocFractionA])) &lt; 0.03</f>
        <v>#VALUE!</v>
      </c>
      <c r="F269" s="3" t="e">
        <f>LOOKUP(C269, SweepStudyConfig[StudyId], SweepStudyConfig[NSweepStratumTotal])</f>
        <v>#VALUE!</v>
      </c>
      <c r="G269" s="3" t="e">
        <f>ROUND(F269 * D269)</f>
        <v>#VALUE!</v>
      </c>
      <c r="H269" s="3" t="e">
        <f>F269 - G269</f>
        <v>#VALUE!</v>
      </c>
      <c r="I269" s="3" t="e">
        <f>LOOKUP(C269, SweepStudyConfig[StudyId], SweepStudyConfig[NFixedA])</f>
        <v>#VALUE!</v>
      </c>
      <c r="J269" s="3" t="e">
        <f>LOOKUP(C269, SweepStudyConfig[StudyId], SweepStudyConfig[NFixedB])</f>
        <v>#VALUE!</v>
      </c>
      <c r="K269" s="3" t="e">
        <f>LOOKUP(C269, SweepStudyConfig[StudyId], SweepStudyConfig[SweepRateA])</f>
        <v>#VALUE!</v>
      </c>
      <c r="L269" s="3" t="e">
        <f>LOOKUP(C269, SweepStudyConfig[StudyId], SweepStudyConfig[SweepRateB])</f>
        <v>#VALUE!</v>
      </c>
      <c r="M269" s="3" t="e">
        <f>LOOKUP(C269, SweepStudyConfig[StudyId], SweepStudyConfig[FixedRateA])</f>
        <v>#VALUE!</v>
      </c>
      <c r="N269" s="3" t="e">
        <f>LOOKUP(C269, SweepStudyConfig[StudyId], SweepStudyConfig[FixedRateB])</f>
        <v>#VALUE!</v>
      </c>
      <c r="O269" s="3" t="e">
        <f>IF(G269 + I269 = 0, "", (G269 * K269 + I269 * M269) / (G269 + I269))</f>
        <v>#VALUE!</v>
      </c>
      <c r="P269" s="3" t="e">
        <f>IF(H269 + J269 = 0, "", (H269 * L269 + J269 * N269) / (H269 + J269))</f>
        <v>#VALUE!</v>
      </c>
      <c r="Q269" s="3" t="e">
        <f>IF(O269 = "", "", O269 - P269)</f>
        <v>#VALUE!</v>
      </c>
      <c r="R269" s="3" t="e">
        <f>LOOKUP(C269, SweepStudyConfig[StudyId], SweepStudyConfig[SweepCorrectedGap])</f>
        <v>#VALUE!</v>
      </c>
      <c r="S269" s="3" t="e">
        <f>IF(Q269 = "", "", Q269 - R269)</f>
        <v>#VALUE!</v>
      </c>
    </row>
    <row r="270">
      <c r="A270" s="2" t="s">
        <v>3558</v>
      </c>
      <c r="B270" s="3" t="str">
        <f>A270</f>
        <v>warfarin-bleeding-age-f085</v>
      </c>
      <c r="C270" s="2" t="s">
        <v>521</v>
      </c>
      <c r="D270" s="2">
        <v>0.85</v>
      </c>
      <c r="E270" s="3" t="e">
        <f>ABS(D270 - LOOKUP(C270, SweepStudyConfig[StudyId], SweepStudyConfig[OriginalAllocFractionA])) &lt; 0.03</f>
        <v>#VALUE!</v>
      </c>
      <c r="F270" s="3" t="e">
        <f>LOOKUP(C270, SweepStudyConfig[StudyId], SweepStudyConfig[NSweepStratumTotal])</f>
        <v>#VALUE!</v>
      </c>
      <c r="G270" s="3" t="e">
        <f>ROUND(F270 * D270)</f>
        <v>#VALUE!</v>
      </c>
      <c r="H270" s="3" t="e">
        <f>F270 - G270</f>
        <v>#VALUE!</v>
      </c>
      <c r="I270" s="3" t="e">
        <f>LOOKUP(C270, SweepStudyConfig[StudyId], SweepStudyConfig[NFixedA])</f>
        <v>#VALUE!</v>
      </c>
      <c r="J270" s="3" t="e">
        <f>LOOKUP(C270, SweepStudyConfig[StudyId], SweepStudyConfig[NFixedB])</f>
        <v>#VALUE!</v>
      </c>
      <c r="K270" s="3" t="e">
        <f>LOOKUP(C270, SweepStudyConfig[StudyId], SweepStudyConfig[SweepRateA])</f>
        <v>#VALUE!</v>
      </c>
      <c r="L270" s="3" t="e">
        <f>LOOKUP(C270, SweepStudyConfig[StudyId], SweepStudyConfig[SweepRateB])</f>
        <v>#VALUE!</v>
      </c>
      <c r="M270" s="3" t="e">
        <f>LOOKUP(C270, SweepStudyConfig[StudyId], SweepStudyConfig[FixedRateA])</f>
        <v>#VALUE!</v>
      </c>
      <c r="N270" s="3" t="e">
        <f>LOOKUP(C270, SweepStudyConfig[StudyId], SweepStudyConfig[FixedRateB])</f>
        <v>#VALUE!</v>
      </c>
      <c r="O270" s="3" t="e">
        <f>IF(G270 + I270 = 0, "", (G270 * K270 + I270 * M270) / (G270 + I270))</f>
        <v>#VALUE!</v>
      </c>
      <c r="P270" s="3" t="e">
        <f>IF(H270 + J270 = 0, "", (H270 * L270 + J270 * N270) / (H270 + J270))</f>
        <v>#VALUE!</v>
      </c>
      <c r="Q270" s="3" t="e">
        <f>IF(O270 = "", "", O270 - P270)</f>
        <v>#VALUE!</v>
      </c>
      <c r="R270" s="3" t="e">
        <f>LOOKUP(C270, SweepStudyConfig[StudyId], SweepStudyConfig[SweepCorrectedGap])</f>
        <v>#VALUE!</v>
      </c>
      <c r="S270" s="3" t="e">
        <f>IF(Q270 = "", "", Q270 - R270)</f>
        <v>#VALUE!</v>
      </c>
    </row>
    <row r="271">
      <c r="A271" s="2" t="s">
        <v>3559</v>
      </c>
      <c r="B271" s="3" t="str">
        <f>A271</f>
        <v>warfarin-bleeding-age-f095</v>
      </c>
      <c r="C271" s="2" t="s">
        <v>521</v>
      </c>
      <c r="D271" s="2">
        <v>0.95</v>
      </c>
      <c r="E271" s="3" t="e">
        <f>ABS(D271 - LOOKUP(C271, SweepStudyConfig[StudyId], SweepStudyConfig[OriginalAllocFractionA])) &lt; 0.03</f>
        <v>#VALUE!</v>
      </c>
      <c r="F271" s="3" t="e">
        <f>LOOKUP(C271, SweepStudyConfig[StudyId], SweepStudyConfig[NSweepStratumTotal])</f>
        <v>#VALUE!</v>
      </c>
      <c r="G271" s="3" t="e">
        <f>ROUND(F271 * D271)</f>
        <v>#VALUE!</v>
      </c>
      <c r="H271" s="3" t="e">
        <f>F271 - G271</f>
        <v>#VALUE!</v>
      </c>
      <c r="I271" s="3" t="e">
        <f>LOOKUP(C271, SweepStudyConfig[StudyId], SweepStudyConfig[NFixedA])</f>
        <v>#VALUE!</v>
      </c>
      <c r="J271" s="3" t="e">
        <f>LOOKUP(C271, SweepStudyConfig[StudyId], SweepStudyConfig[NFixedB])</f>
        <v>#VALUE!</v>
      </c>
      <c r="K271" s="3" t="e">
        <f>LOOKUP(C271, SweepStudyConfig[StudyId], SweepStudyConfig[SweepRateA])</f>
        <v>#VALUE!</v>
      </c>
      <c r="L271" s="3" t="e">
        <f>LOOKUP(C271, SweepStudyConfig[StudyId], SweepStudyConfig[SweepRateB])</f>
        <v>#VALUE!</v>
      </c>
      <c r="M271" s="3" t="e">
        <f>LOOKUP(C271, SweepStudyConfig[StudyId], SweepStudyConfig[FixedRateA])</f>
        <v>#VALUE!</v>
      </c>
      <c r="N271" s="3" t="e">
        <f>LOOKUP(C271, SweepStudyConfig[StudyId], SweepStudyConfig[FixedRateB])</f>
        <v>#VALUE!</v>
      </c>
      <c r="O271" s="3" t="e">
        <f>IF(G271 + I271 = 0, "", (G271 * K271 + I271 * M271) / (G271 + I271))</f>
        <v>#VALUE!</v>
      </c>
      <c r="P271" s="3" t="e">
        <f>IF(H271 + J271 = 0, "", (H271 * L271 + J271 * N271) / (H271 + J271))</f>
        <v>#VALUE!</v>
      </c>
      <c r="Q271" s="3" t="e">
        <f>IF(O271 = "", "", O271 - P271)</f>
        <v>#VALUE!</v>
      </c>
      <c r="R271" s="3" t="e">
        <f>LOOKUP(C271, SweepStudyConfig[StudyId], SweepStudyConfig[SweepCorrectedGap])</f>
        <v>#VALUE!</v>
      </c>
      <c r="S271" s="3" t="e">
        <f>IF(Q271 = "", "", Q271 - R271)</f>
        <v>#VALUE!</v>
      </c>
    </row>
    <row r="272">
      <c r="A272" s="2" t="s">
        <v>3560</v>
      </c>
      <c r="B272" s="3" t="str">
        <f>A272</f>
        <v>diabetes-metformin-bmi-f005</v>
      </c>
      <c r="C272" s="2" t="s">
        <v>524</v>
      </c>
      <c r="D272" s="2">
        <v>0.05</v>
      </c>
      <c r="E272" s="3" t="e">
        <f>ABS(D272 - LOOKUP(C272, SweepStudyConfig[StudyId], SweepStudyConfig[OriginalAllocFractionA])) &lt; 0.03</f>
        <v>#VALUE!</v>
      </c>
      <c r="F272" s="3" t="e">
        <f>LOOKUP(C272, SweepStudyConfig[StudyId], SweepStudyConfig[NSweepStratumTotal])</f>
        <v>#VALUE!</v>
      </c>
      <c r="G272" s="3" t="e">
        <f>ROUND(F272 * D272)</f>
        <v>#VALUE!</v>
      </c>
      <c r="H272" s="3" t="e">
        <f>F272 - G272</f>
        <v>#VALUE!</v>
      </c>
      <c r="I272" s="3" t="e">
        <f>LOOKUP(C272, SweepStudyConfig[StudyId], SweepStudyConfig[NFixedA])</f>
        <v>#VALUE!</v>
      </c>
      <c r="J272" s="3" t="e">
        <f>LOOKUP(C272, SweepStudyConfig[StudyId], SweepStudyConfig[NFixedB])</f>
        <v>#VALUE!</v>
      </c>
      <c r="K272" s="3" t="e">
        <f>LOOKUP(C272, SweepStudyConfig[StudyId], SweepStudyConfig[SweepRateA])</f>
        <v>#VALUE!</v>
      </c>
      <c r="L272" s="3" t="e">
        <f>LOOKUP(C272, SweepStudyConfig[StudyId], SweepStudyConfig[SweepRateB])</f>
        <v>#VALUE!</v>
      </c>
      <c r="M272" s="3" t="e">
        <f>LOOKUP(C272, SweepStudyConfig[StudyId], SweepStudyConfig[FixedRateA])</f>
        <v>#VALUE!</v>
      </c>
      <c r="N272" s="3" t="e">
        <f>LOOKUP(C272, SweepStudyConfig[StudyId], SweepStudyConfig[FixedRateB])</f>
        <v>#VALUE!</v>
      </c>
      <c r="O272" s="3" t="e">
        <f>IF(G272 + I272 = 0, "", (G272 * K272 + I272 * M272) / (G272 + I272))</f>
        <v>#VALUE!</v>
      </c>
      <c r="P272" s="3" t="e">
        <f>IF(H272 + J272 = 0, "", (H272 * L272 + J272 * N272) / (H272 + J272))</f>
        <v>#VALUE!</v>
      </c>
      <c r="Q272" s="3" t="e">
        <f>IF(O272 = "", "", O272 - P272)</f>
        <v>#VALUE!</v>
      </c>
      <c r="R272" s="3" t="e">
        <f>LOOKUP(C272, SweepStudyConfig[StudyId], SweepStudyConfig[SweepCorrectedGap])</f>
        <v>#VALUE!</v>
      </c>
      <c r="S272" s="3" t="e">
        <f>IF(Q272 = "", "", Q272 - R272)</f>
        <v>#VALUE!</v>
      </c>
    </row>
    <row r="273">
      <c r="A273" s="2" t="s">
        <v>3561</v>
      </c>
      <c r="B273" s="3" t="str">
        <f>A273</f>
        <v>diabetes-metformin-bmi-f015</v>
      </c>
      <c r="C273" s="2" t="s">
        <v>524</v>
      </c>
      <c r="D273" s="2">
        <v>0.15</v>
      </c>
      <c r="E273" s="3" t="e">
        <f>ABS(D273 - LOOKUP(C273, SweepStudyConfig[StudyId], SweepStudyConfig[OriginalAllocFractionA])) &lt; 0.03</f>
        <v>#VALUE!</v>
      </c>
      <c r="F273" s="3" t="e">
        <f>LOOKUP(C273, SweepStudyConfig[StudyId], SweepStudyConfig[NSweepStratumTotal])</f>
        <v>#VALUE!</v>
      </c>
      <c r="G273" s="3" t="e">
        <f>ROUND(F273 * D273)</f>
        <v>#VALUE!</v>
      </c>
      <c r="H273" s="3" t="e">
        <f>F273 - G273</f>
        <v>#VALUE!</v>
      </c>
      <c r="I273" s="3" t="e">
        <f>LOOKUP(C273, SweepStudyConfig[StudyId], SweepStudyConfig[NFixedA])</f>
        <v>#VALUE!</v>
      </c>
      <c r="J273" s="3" t="e">
        <f>LOOKUP(C273, SweepStudyConfig[StudyId], SweepStudyConfig[NFixedB])</f>
        <v>#VALUE!</v>
      </c>
      <c r="K273" s="3" t="e">
        <f>LOOKUP(C273, SweepStudyConfig[StudyId], SweepStudyConfig[SweepRateA])</f>
        <v>#VALUE!</v>
      </c>
      <c r="L273" s="3" t="e">
        <f>LOOKUP(C273, SweepStudyConfig[StudyId], SweepStudyConfig[SweepRateB])</f>
        <v>#VALUE!</v>
      </c>
      <c r="M273" s="3" t="e">
        <f>LOOKUP(C273, SweepStudyConfig[StudyId], SweepStudyConfig[FixedRateA])</f>
        <v>#VALUE!</v>
      </c>
      <c r="N273" s="3" t="e">
        <f>LOOKUP(C273, SweepStudyConfig[StudyId], SweepStudyConfig[FixedRateB])</f>
        <v>#VALUE!</v>
      </c>
      <c r="O273" s="3" t="e">
        <f>IF(G273 + I273 = 0, "", (G273 * K273 + I273 * M273) / (G273 + I273))</f>
        <v>#VALUE!</v>
      </c>
      <c r="P273" s="3" t="e">
        <f>IF(H273 + J273 = 0, "", (H273 * L273 + J273 * N273) / (H273 + J273))</f>
        <v>#VALUE!</v>
      </c>
      <c r="Q273" s="3" t="e">
        <f>IF(O273 = "", "", O273 - P273)</f>
        <v>#VALUE!</v>
      </c>
      <c r="R273" s="3" t="e">
        <f>LOOKUP(C273, SweepStudyConfig[StudyId], SweepStudyConfig[SweepCorrectedGap])</f>
        <v>#VALUE!</v>
      </c>
      <c r="S273" s="3" t="e">
        <f>IF(Q273 = "", "", Q273 - R273)</f>
        <v>#VALUE!</v>
      </c>
    </row>
    <row r="274">
      <c r="A274" s="2" t="s">
        <v>3562</v>
      </c>
      <c r="B274" s="3" t="str">
        <f>A274</f>
        <v>diabetes-metformin-bmi-f025</v>
      </c>
      <c r="C274" s="2" t="s">
        <v>524</v>
      </c>
      <c r="D274" s="2">
        <v>0.25</v>
      </c>
      <c r="E274" s="3" t="e">
        <f>ABS(D274 - LOOKUP(C274, SweepStudyConfig[StudyId], SweepStudyConfig[OriginalAllocFractionA])) &lt; 0.03</f>
        <v>#VALUE!</v>
      </c>
      <c r="F274" s="3" t="e">
        <f>LOOKUP(C274, SweepStudyConfig[StudyId], SweepStudyConfig[NSweepStratumTotal])</f>
        <v>#VALUE!</v>
      </c>
      <c r="G274" s="3" t="e">
        <f>ROUND(F274 * D274)</f>
        <v>#VALUE!</v>
      </c>
      <c r="H274" s="3" t="e">
        <f>F274 - G274</f>
        <v>#VALUE!</v>
      </c>
      <c r="I274" s="3" t="e">
        <f>LOOKUP(C274, SweepStudyConfig[StudyId], SweepStudyConfig[NFixedA])</f>
        <v>#VALUE!</v>
      </c>
      <c r="J274" s="3" t="e">
        <f>LOOKUP(C274, SweepStudyConfig[StudyId], SweepStudyConfig[NFixedB])</f>
        <v>#VALUE!</v>
      </c>
      <c r="K274" s="3" t="e">
        <f>LOOKUP(C274, SweepStudyConfig[StudyId], SweepStudyConfig[SweepRateA])</f>
        <v>#VALUE!</v>
      </c>
      <c r="L274" s="3" t="e">
        <f>LOOKUP(C274, SweepStudyConfig[StudyId], SweepStudyConfig[SweepRateB])</f>
        <v>#VALUE!</v>
      </c>
      <c r="M274" s="3" t="e">
        <f>LOOKUP(C274, SweepStudyConfig[StudyId], SweepStudyConfig[FixedRateA])</f>
        <v>#VALUE!</v>
      </c>
      <c r="N274" s="3" t="e">
        <f>LOOKUP(C274, SweepStudyConfig[StudyId], SweepStudyConfig[FixedRateB])</f>
        <v>#VALUE!</v>
      </c>
      <c r="O274" s="3" t="e">
        <f>IF(G274 + I274 = 0, "", (G274 * K274 + I274 * M274) / (G274 + I274))</f>
        <v>#VALUE!</v>
      </c>
      <c r="P274" s="3" t="e">
        <f>IF(H274 + J274 = 0, "", (H274 * L274 + J274 * N274) / (H274 + J274))</f>
        <v>#VALUE!</v>
      </c>
      <c r="Q274" s="3" t="e">
        <f>IF(O274 = "", "", O274 - P274)</f>
        <v>#VALUE!</v>
      </c>
      <c r="R274" s="3" t="e">
        <f>LOOKUP(C274, SweepStudyConfig[StudyId], SweepStudyConfig[SweepCorrectedGap])</f>
        <v>#VALUE!</v>
      </c>
      <c r="S274" s="3" t="e">
        <f>IF(Q274 = "", "", Q274 - R274)</f>
        <v>#VALUE!</v>
      </c>
    </row>
    <row r="275">
      <c r="A275" s="2" t="s">
        <v>3563</v>
      </c>
      <c r="B275" s="3" t="str">
        <f>A275</f>
        <v>diabetes-metformin-bmi-f035</v>
      </c>
      <c r="C275" s="2" t="s">
        <v>524</v>
      </c>
      <c r="D275" s="2">
        <v>0.35</v>
      </c>
      <c r="E275" s="3" t="e">
        <f>ABS(D275 - LOOKUP(C275, SweepStudyConfig[StudyId], SweepStudyConfig[OriginalAllocFractionA])) &lt; 0.03</f>
        <v>#VALUE!</v>
      </c>
      <c r="F275" s="3" t="e">
        <f>LOOKUP(C275, SweepStudyConfig[StudyId], SweepStudyConfig[NSweepStratumTotal])</f>
        <v>#VALUE!</v>
      </c>
      <c r="G275" s="3" t="e">
        <f>ROUND(F275 * D275)</f>
        <v>#VALUE!</v>
      </c>
      <c r="H275" s="3" t="e">
        <f>F275 - G275</f>
        <v>#VALUE!</v>
      </c>
      <c r="I275" s="3" t="e">
        <f>LOOKUP(C275, SweepStudyConfig[StudyId], SweepStudyConfig[NFixedA])</f>
        <v>#VALUE!</v>
      </c>
      <c r="J275" s="3" t="e">
        <f>LOOKUP(C275, SweepStudyConfig[StudyId], SweepStudyConfig[NFixedB])</f>
        <v>#VALUE!</v>
      </c>
      <c r="K275" s="3" t="e">
        <f>LOOKUP(C275, SweepStudyConfig[StudyId], SweepStudyConfig[SweepRateA])</f>
        <v>#VALUE!</v>
      </c>
      <c r="L275" s="3" t="e">
        <f>LOOKUP(C275, SweepStudyConfig[StudyId], SweepStudyConfig[SweepRateB])</f>
        <v>#VALUE!</v>
      </c>
      <c r="M275" s="3" t="e">
        <f>LOOKUP(C275, SweepStudyConfig[StudyId], SweepStudyConfig[FixedRateA])</f>
        <v>#VALUE!</v>
      </c>
      <c r="N275" s="3" t="e">
        <f>LOOKUP(C275, SweepStudyConfig[StudyId], SweepStudyConfig[FixedRateB])</f>
        <v>#VALUE!</v>
      </c>
      <c r="O275" s="3" t="e">
        <f>IF(G275 + I275 = 0, "", (G275 * K275 + I275 * M275) / (G275 + I275))</f>
        <v>#VALUE!</v>
      </c>
      <c r="P275" s="3" t="e">
        <f>IF(H275 + J275 = 0, "", (H275 * L275 + J275 * N275) / (H275 + J275))</f>
        <v>#VALUE!</v>
      </c>
      <c r="Q275" s="3" t="e">
        <f>IF(O275 = "", "", O275 - P275)</f>
        <v>#VALUE!</v>
      </c>
      <c r="R275" s="3" t="e">
        <f>LOOKUP(C275, SweepStudyConfig[StudyId], SweepStudyConfig[SweepCorrectedGap])</f>
        <v>#VALUE!</v>
      </c>
      <c r="S275" s="3" t="e">
        <f>IF(Q275 = "", "", Q275 - R275)</f>
        <v>#VALUE!</v>
      </c>
    </row>
    <row r="276">
      <c r="A276" s="2" t="s">
        <v>3564</v>
      </c>
      <c r="B276" s="3" t="str">
        <f>A276</f>
        <v>diabetes-metformin-bmi-f045</v>
      </c>
      <c r="C276" s="2" t="s">
        <v>524</v>
      </c>
      <c r="D276" s="2">
        <v>0.45</v>
      </c>
      <c r="E276" s="3" t="e">
        <f>ABS(D276 - LOOKUP(C276, SweepStudyConfig[StudyId], SweepStudyConfig[OriginalAllocFractionA])) &lt; 0.03</f>
        <v>#VALUE!</v>
      </c>
      <c r="F276" s="3" t="e">
        <f>LOOKUP(C276, SweepStudyConfig[StudyId], SweepStudyConfig[NSweepStratumTotal])</f>
        <v>#VALUE!</v>
      </c>
      <c r="G276" s="3" t="e">
        <f>ROUND(F276 * D276)</f>
        <v>#VALUE!</v>
      </c>
      <c r="H276" s="3" t="e">
        <f>F276 - G276</f>
        <v>#VALUE!</v>
      </c>
      <c r="I276" s="3" t="e">
        <f>LOOKUP(C276, SweepStudyConfig[StudyId], SweepStudyConfig[NFixedA])</f>
        <v>#VALUE!</v>
      </c>
      <c r="J276" s="3" t="e">
        <f>LOOKUP(C276, SweepStudyConfig[StudyId], SweepStudyConfig[NFixedB])</f>
        <v>#VALUE!</v>
      </c>
      <c r="K276" s="3" t="e">
        <f>LOOKUP(C276, SweepStudyConfig[StudyId], SweepStudyConfig[SweepRateA])</f>
        <v>#VALUE!</v>
      </c>
      <c r="L276" s="3" t="e">
        <f>LOOKUP(C276, SweepStudyConfig[StudyId], SweepStudyConfig[SweepRateB])</f>
        <v>#VALUE!</v>
      </c>
      <c r="M276" s="3" t="e">
        <f>LOOKUP(C276, SweepStudyConfig[StudyId], SweepStudyConfig[FixedRateA])</f>
        <v>#VALUE!</v>
      </c>
      <c r="N276" s="3" t="e">
        <f>LOOKUP(C276, SweepStudyConfig[StudyId], SweepStudyConfig[FixedRateB])</f>
        <v>#VALUE!</v>
      </c>
      <c r="O276" s="3" t="e">
        <f>IF(G276 + I276 = 0, "", (G276 * K276 + I276 * M276) / (G276 + I276))</f>
        <v>#VALUE!</v>
      </c>
      <c r="P276" s="3" t="e">
        <f>IF(H276 + J276 = 0, "", (H276 * L276 + J276 * N276) / (H276 + J276))</f>
        <v>#VALUE!</v>
      </c>
      <c r="Q276" s="3" t="e">
        <f>IF(O276 = "", "", O276 - P276)</f>
        <v>#VALUE!</v>
      </c>
      <c r="R276" s="3" t="e">
        <f>LOOKUP(C276, SweepStudyConfig[StudyId], SweepStudyConfig[SweepCorrectedGap])</f>
        <v>#VALUE!</v>
      </c>
      <c r="S276" s="3" t="e">
        <f>IF(Q276 = "", "", Q276 - R276)</f>
        <v>#VALUE!</v>
      </c>
    </row>
    <row r="277">
      <c r="A277" s="2" t="s">
        <v>3565</v>
      </c>
      <c r="B277" s="3" t="str">
        <f>A277</f>
        <v>diabetes-metformin-bmi-f055</v>
      </c>
      <c r="C277" s="2" t="s">
        <v>524</v>
      </c>
      <c r="D277" s="2">
        <v>0.55</v>
      </c>
      <c r="E277" s="3" t="e">
        <f>ABS(D277 - LOOKUP(C277, SweepStudyConfig[StudyId], SweepStudyConfig[OriginalAllocFractionA])) &lt; 0.03</f>
        <v>#VALUE!</v>
      </c>
      <c r="F277" s="3" t="e">
        <f>LOOKUP(C277, SweepStudyConfig[StudyId], SweepStudyConfig[NSweepStratumTotal])</f>
        <v>#VALUE!</v>
      </c>
      <c r="G277" s="3" t="e">
        <f>ROUND(F277 * D277)</f>
        <v>#VALUE!</v>
      </c>
      <c r="H277" s="3" t="e">
        <f>F277 - G277</f>
        <v>#VALUE!</v>
      </c>
      <c r="I277" s="3" t="e">
        <f>LOOKUP(C277, SweepStudyConfig[StudyId], SweepStudyConfig[NFixedA])</f>
        <v>#VALUE!</v>
      </c>
      <c r="J277" s="3" t="e">
        <f>LOOKUP(C277, SweepStudyConfig[StudyId], SweepStudyConfig[NFixedB])</f>
        <v>#VALUE!</v>
      </c>
      <c r="K277" s="3" t="e">
        <f>LOOKUP(C277, SweepStudyConfig[StudyId], SweepStudyConfig[SweepRateA])</f>
        <v>#VALUE!</v>
      </c>
      <c r="L277" s="3" t="e">
        <f>LOOKUP(C277, SweepStudyConfig[StudyId], SweepStudyConfig[SweepRateB])</f>
        <v>#VALUE!</v>
      </c>
      <c r="M277" s="3" t="e">
        <f>LOOKUP(C277, SweepStudyConfig[StudyId], SweepStudyConfig[FixedRateA])</f>
        <v>#VALUE!</v>
      </c>
      <c r="N277" s="3" t="e">
        <f>LOOKUP(C277, SweepStudyConfig[StudyId], SweepStudyConfig[FixedRateB])</f>
        <v>#VALUE!</v>
      </c>
      <c r="O277" s="3" t="e">
        <f>IF(G277 + I277 = 0, "", (G277 * K277 + I277 * M277) / (G277 + I277))</f>
        <v>#VALUE!</v>
      </c>
      <c r="P277" s="3" t="e">
        <f>IF(H277 + J277 = 0, "", (H277 * L277 + J277 * N277) / (H277 + J277))</f>
        <v>#VALUE!</v>
      </c>
      <c r="Q277" s="3" t="e">
        <f>IF(O277 = "", "", O277 - P277)</f>
        <v>#VALUE!</v>
      </c>
      <c r="R277" s="3" t="e">
        <f>LOOKUP(C277, SweepStudyConfig[StudyId], SweepStudyConfig[SweepCorrectedGap])</f>
        <v>#VALUE!</v>
      </c>
      <c r="S277" s="3" t="e">
        <f>IF(Q277 = "", "", Q277 - R277)</f>
        <v>#VALUE!</v>
      </c>
    </row>
    <row r="278">
      <c r="A278" s="2" t="s">
        <v>3566</v>
      </c>
      <c r="B278" s="3" t="str">
        <f>A278</f>
        <v>diabetes-metformin-bmi-f065</v>
      </c>
      <c r="C278" s="2" t="s">
        <v>524</v>
      </c>
      <c r="D278" s="2">
        <v>0.65</v>
      </c>
      <c r="E278" s="3" t="e">
        <f>ABS(D278 - LOOKUP(C278, SweepStudyConfig[StudyId], SweepStudyConfig[OriginalAllocFractionA])) &lt; 0.03</f>
        <v>#VALUE!</v>
      </c>
      <c r="F278" s="3" t="e">
        <f>LOOKUP(C278, SweepStudyConfig[StudyId], SweepStudyConfig[NSweepStratumTotal])</f>
        <v>#VALUE!</v>
      </c>
      <c r="G278" s="3" t="e">
        <f>ROUND(F278 * D278)</f>
        <v>#VALUE!</v>
      </c>
      <c r="H278" s="3" t="e">
        <f>F278 - G278</f>
        <v>#VALUE!</v>
      </c>
      <c r="I278" s="3" t="e">
        <f>LOOKUP(C278, SweepStudyConfig[StudyId], SweepStudyConfig[NFixedA])</f>
        <v>#VALUE!</v>
      </c>
      <c r="J278" s="3" t="e">
        <f>LOOKUP(C278, SweepStudyConfig[StudyId], SweepStudyConfig[NFixedB])</f>
        <v>#VALUE!</v>
      </c>
      <c r="K278" s="3" t="e">
        <f>LOOKUP(C278, SweepStudyConfig[StudyId], SweepStudyConfig[SweepRateA])</f>
        <v>#VALUE!</v>
      </c>
      <c r="L278" s="3" t="e">
        <f>LOOKUP(C278, SweepStudyConfig[StudyId], SweepStudyConfig[SweepRateB])</f>
        <v>#VALUE!</v>
      </c>
      <c r="M278" s="3" t="e">
        <f>LOOKUP(C278, SweepStudyConfig[StudyId], SweepStudyConfig[FixedRateA])</f>
        <v>#VALUE!</v>
      </c>
      <c r="N278" s="3" t="e">
        <f>LOOKUP(C278, SweepStudyConfig[StudyId], SweepStudyConfig[FixedRateB])</f>
        <v>#VALUE!</v>
      </c>
      <c r="O278" s="3" t="e">
        <f>IF(G278 + I278 = 0, "", (G278 * K278 + I278 * M278) / (G278 + I278))</f>
        <v>#VALUE!</v>
      </c>
      <c r="P278" s="3" t="e">
        <f>IF(H278 + J278 = 0, "", (H278 * L278 + J278 * N278) / (H278 + J278))</f>
        <v>#VALUE!</v>
      </c>
      <c r="Q278" s="3" t="e">
        <f>IF(O278 = "", "", O278 - P278)</f>
        <v>#VALUE!</v>
      </c>
      <c r="R278" s="3" t="e">
        <f>LOOKUP(C278, SweepStudyConfig[StudyId], SweepStudyConfig[SweepCorrectedGap])</f>
        <v>#VALUE!</v>
      </c>
      <c r="S278" s="3" t="e">
        <f>IF(Q278 = "", "", Q278 - R278)</f>
        <v>#VALUE!</v>
      </c>
    </row>
    <row r="279">
      <c r="A279" s="2" t="s">
        <v>3567</v>
      </c>
      <c r="B279" s="3" t="str">
        <f>A279</f>
        <v>diabetes-metformin-bmi-f075</v>
      </c>
      <c r="C279" s="2" t="s">
        <v>524</v>
      </c>
      <c r="D279" s="2">
        <v>0.75</v>
      </c>
      <c r="E279" s="3" t="e">
        <f>ABS(D279 - LOOKUP(C279, SweepStudyConfig[StudyId], SweepStudyConfig[OriginalAllocFractionA])) &lt; 0.03</f>
        <v>#VALUE!</v>
      </c>
      <c r="F279" s="3" t="e">
        <f>LOOKUP(C279, SweepStudyConfig[StudyId], SweepStudyConfig[NSweepStratumTotal])</f>
        <v>#VALUE!</v>
      </c>
      <c r="G279" s="3" t="e">
        <f>ROUND(F279 * D279)</f>
        <v>#VALUE!</v>
      </c>
      <c r="H279" s="3" t="e">
        <f>F279 - G279</f>
        <v>#VALUE!</v>
      </c>
      <c r="I279" s="3" t="e">
        <f>LOOKUP(C279, SweepStudyConfig[StudyId], SweepStudyConfig[NFixedA])</f>
        <v>#VALUE!</v>
      </c>
      <c r="J279" s="3" t="e">
        <f>LOOKUP(C279, SweepStudyConfig[StudyId], SweepStudyConfig[NFixedB])</f>
        <v>#VALUE!</v>
      </c>
      <c r="K279" s="3" t="e">
        <f>LOOKUP(C279, SweepStudyConfig[StudyId], SweepStudyConfig[SweepRateA])</f>
        <v>#VALUE!</v>
      </c>
      <c r="L279" s="3" t="e">
        <f>LOOKUP(C279, SweepStudyConfig[StudyId], SweepStudyConfig[SweepRateB])</f>
        <v>#VALUE!</v>
      </c>
      <c r="M279" s="3" t="e">
        <f>LOOKUP(C279, SweepStudyConfig[StudyId], SweepStudyConfig[FixedRateA])</f>
        <v>#VALUE!</v>
      </c>
      <c r="N279" s="3" t="e">
        <f>LOOKUP(C279, SweepStudyConfig[StudyId], SweepStudyConfig[FixedRateB])</f>
        <v>#VALUE!</v>
      </c>
      <c r="O279" s="3" t="e">
        <f>IF(G279 + I279 = 0, "", (G279 * K279 + I279 * M279) / (G279 + I279))</f>
        <v>#VALUE!</v>
      </c>
      <c r="P279" s="3" t="e">
        <f>IF(H279 + J279 = 0, "", (H279 * L279 + J279 * N279) / (H279 + J279))</f>
        <v>#VALUE!</v>
      </c>
      <c r="Q279" s="3" t="e">
        <f>IF(O279 = "", "", O279 - P279)</f>
        <v>#VALUE!</v>
      </c>
      <c r="R279" s="3" t="e">
        <f>LOOKUP(C279, SweepStudyConfig[StudyId], SweepStudyConfig[SweepCorrectedGap])</f>
        <v>#VALUE!</v>
      </c>
      <c r="S279" s="3" t="e">
        <f>IF(Q279 = "", "", Q279 - R279)</f>
        <v>#VALUE!</v>
      </c>
    </row>
    <row r="280">
      <c r="A280" s="2" t="s">
        <v>3568</v>
      </c>
      <c r="B280" s="3" t="str">
        <f>A280</f>
        <v>diabetes-metformin-bmi-f085</v>
      </c>
      <c r="C280" s="2" t="s">
        <v>524</v>
      </c>
      <c r="D280" s="2">
        <v>0.85</v>
      </c>
      <c r="E280" s="3" t="e">
        <f>ABS(D280 - LOOKUP(C280, SweepStudyConfig[StudyId], SweepStudyConfig[OriginalAllocFractionA])) &lt; 0.03</f>
        <v>#VALUE!</v>
      </c>
      <c r="F280" s="3" t="e">
        <f>LOOKUP(C280, SweepStudyConfig[StudyId], SweepStudyConfig[NSweepStratumTotal])</f>
        <v>#VALUE!</v>
      </c>
      <c r="G280" s="3" t="e">
        <f>ROUND(F280 * D280)</f>
        <v>#VALUE!</v>
      </c>
      <c r="H280" s="3" t="e">
        <f>F280 - G280</f>
        <v>#VALUE!</v>
      </c>
      <c r="I280" s="3" t="e">
        <f>LOOKUP(C280, SweepStudyConfig[StudyId], SweepStudyConfig[NFixedA])</f>
        <v>#VALUE!</v>
      </c>
      <c r="J280" s="3" t="e">
        <f>LOOKUP(C280, SweepStudyConfig[StudyId], SweepStudyConfig[NFixedB])</f>
        <v>#VALUE!</v>
      </c>
      <c r="K280" s="3" t="e">
        <f>LOOKUP(C280, SweepStudyConfig[StudyId], SweepStudyConfig[SweepRateA])</f>
        <v>#VALUE!</v>
      </c>
      <c r="L280" s="3" t="e">
        <f>LOOKUP(C280, SweepStudyConfig[StudyId], SweepStudyConfig[SweepRateB])</f>
        <v>#VALUE!</v>
      </c>
      <c r="M280" s="3" t="e">
        <f>LOOKUP(C280, SweepStudyConfig[StudyId], SweepStudyConfig[FixedRateA])</f>
        <v>#VALUE!</v>
      </c>
      <c r="N280" s="3" t="e">
        <f>LOOKUP(C280, SweepStudyConfig[StudyId], SweepStudyConfig[FixedRateB])</f>
        <v>#VALUE!</v>
      </c>
      <c r="O280" s="3" t="e">
        <f>IF(G280 + I280 = 0, "", (G280 * K280 + I280 * M280) / (G280 + I280))</f>
        <v>#VALUE!</v>
      </c>
      <c r="P280" s="3" t="e">
        <f>IF(H280 + J280 = 0, "", (H280 * L280 + J280 * N280) / (H280 + J280))</f>
        <v>#VALUE!</v>
      </c>
      <c r="Q280" s="3" t="e">
        <f>IF(O280 = "", "", O280 - P280)</f>
        <v>#VALUE!</v>
      </c>
      <c r="R280" s="3" t="e">
        <f>LOOKUP(C280, SweepStudyConfig[StudyId], SweepStudyConfig[SweepCorrectedGap])</f>
        <v>#VALUE!</v>
      </c>
      <c r="S280" s="3" t="e">
        <f>IF(Q280 = "", "", Q280 - R280)</f>
        <v>#VALUE!</v>
      </c>
    </row>
    <row r="281">
      <c r="A281" s="2" t="s">
        <v>3569</v>
      </c>
      <c r="B281" s="3" t="str">
        <f>A281</f>
        <v>diabetes-metformin-bmi-f095</v>
      </c>
      <c r="C281" s="2" t="s">
        <v>524</v>
      </c>
      <c r="D281" s="2">
        <v>0.95</v>
      </c>
      <c r="E281" s="3" t="e">
        <f>ABS(D281 - LOOKUP(C281, SweepStudyConfig[StudyId], SweepStudyConfig[OriginalAllocFractionA])) &lt; 0.03</f>
        <v>#VALUE!</v>
      </c>
      <c r="F281" s="3" t="e">
        <f>LOOKUP(C281, SweepStudyConfig[StudyId], SweepStudyConfig[NSweepStratumTotal])</f>
        <v>#VALUE!</v>
      </c>
      <c r="G281" s="3" t="e">
        <f>ROUND(F281 * D281)</f>
        <v>#VALUE!</v>
      </c>
      <c r="H281" s="3" t="e">
        <f>F281 - G281</f>
        <v>#VALUE!</v>
      </c>
      <c r="I281" s="3" t="e">
        <f>LOOKUP(C281, SweepStudyConfig[StudyId], SweepStudyConfig[NFixedA])</f>
        <v>#VALUE!</v>
      </c>
      <c r="J281" s="3" t="e">
        <f>LOOKUP(C281, SweepStudyConfig[StudyId], SweepStudyConfig[NFixedB])</f>
        <v>#VALUE!</v>
      </c>
      <c r="K281" s="3" t="e">
        <f>LOOKUP(C281, SweepStudyConfig[StudyId], SweepStudyConfig[SweepRateA])</f>
        <v>#VALUE!</v>
      </c>
      <c r="L281" s="3" t="e">
        <f>LOOKUP(C281, SweepStudyConfig[StudyId], SweepStudyConfig[SweepRateB])</f>
        <v>#VALUE!</v>
      </c>
      <c r="M281" s="3" t="e">
        <f>LOOKUP(C281, SweepStudyConfig[StudyId], SweepStudyConfig[FixedRateA])</f>
        <v>#VALUE!</v>
      </c>
      <c r="N281" s="3" t="e">
        <f>LOOKUP(C281, SweepStudyConfig[StudyId], SweepStudyConfig[FixedRateB])</f>
        <v>#VALUE!</v>
      </c>
      <c r="O281" s="3" t="e">
        <f>IF(G281 + I281 = 0, "", (G281 * K281 + I281 * M281) / (G281 + I281))</f>
        <v>#VALUE!</v>
      </c>
      <c r="P281" s="3" t="e">
        <f>IF(H281 + J281 = 0, "", (H281 * L281 + J281 * N281) / (H281 + J281))</f>
        <v>#VALUE!</v>
      </c>
      <c r="Q281" s="3" t="e">
        <f>IF(O281 = "", "", O281 - P281)</f>
        <v>#VALUE!</v>
      </c>
      <c r="R281" s="3" t="e">
        <f>LOOKUP(C281, SweepStudyConfig[StudyId], SweepStudyConfig[SweepCorrectedGap])</f>
        <v>#VALUE!</v>
      </c>
      <c r="S281" s="3" t="e">
        <f>IF(Q281 = "", "", Q281 - R281)</f>
        <v>#VALUE!</v>
      </c>
    </row>
    <row r="282">
      <c r="A282" s="2" t="s">
        <v>3570</v>
      </c>
      <c r="B282" s="3" t="str">
        <f>A282</f>
        <v>oncology-trial-stage-f005</v>
      </c>
      <c r="C282" s="2" t="s">
        <v>527</v>
      </c>
      <c r="D282" s="2">
        <v>0.05</v>
      </c>
      <c r="E282" s="3" t="e">
        <f>ABS(D282 - LOOKUP(C282, SweepStudyConfig[StudyId], SweepStudyConfig[OriginalAllocFractionA])) &lt; 0.03</f>
        <v>#VALUE!</v>
      </c>
      <c r="F282" s="3" t="e">
        <f>LOOKUP(C282, SweepStudyConfig[StudyId], SweepStudyConfig[NSweepStratumTotal])</f>
        <v>#VALUE!</v>
      </c>
      <c r="G282" s="3" t="e">
        <f>ROUND(F282 * D282)</f>
        <v>#VALUE!</v>
      </c>
      <c r="H282" s="3" t="e">
        <f>F282 - G282</f>
        <v>#VALUE!</v>
      </c>
      <c r="I282" s="3" t="e">
        <f>LOOKUP(C282, SweepStudyConfig[StudyId], SweepStudyConfig[NFixedA])</f>
        <v>#VALUE!</v>
      </c>
      <c r="J282" s="3" t="e">
        <f>LOOKUP(C282, SweepStudyConfig[StudyId], SweepStudyConfig[NFixedB])</f>
        <v>#VALUE!</v>
      </c>
      <c r="K282" s="3" t="e">
        <f>LOOKUP(C282, SweepStudyConfig[StudyId], SweepStudyConfig[SweepRateA])</f>
        <v>#VALUE!</v>
      </c>
      <c r="L282" s="3" t="e">
        <f>LOOKUP(C282, SweepStudyConfig[StudyId], SweepStudyConfig[SweepRateB])</f>
        <v>#VALUE!</v>
      </c>
      <c r="M282" s="3" t="e">
        <f>LOOKUP(C282, SweepStudyConfig[StudyId], SweepStudyConfig[FixedRateA])</f>
        <v>#VALUE!</v>
      </c>
      <c r="N282" s="3" t="e">
        <f>LOOKUP(C282, SweepStudyConfig[StudyId], SweepStudyConfig[FixedRateB])</f>
        <v>#VALUE!</v>
      </c>
      <c r="O282" s="3" t="e">
        <f>IF(G282 + I282 = 0, "", (G282 * K282 + I282 * M282) / (G282 + I282))</f>
        <v>#VALUE!</v>
      </c>
      <c r="P282" s="3" t="e">
        <f>IF(H282 + J282 = 0, "", (H282 * L282 + J282 * N282) / (H282 + J282))</f>
        <v>#VALUE!</v>
      </c>
      <c r="Q282" s="3" t="e">
        <f>IF(O282 = "", "", O282 - P282)</f>
        <v>#VALUE!</v>
      </c>
      <c r="R282" s="3" t="e">
        <f>LOOKUP(C282, SweepStudyConfig[StudyId], SweepStudyConfig[SweepCorrectedGap])</f>
        <v>#VALUE!</v>
      </c>
      <c r="S282" s="3" t="e">
        <f>IF(Q282 = "", "", Q282 - R282)</f>
        <v>#VALUE!</v>
      </c>
    </row>
    <row r="283">
      <c r="A283" s="2" t="s">
        <v>3571</v>
      </c>
      <c r="B283" s="3" t="str">
        <f>A283</f>
        <v>oncology-trial-stage-f015</v>
      </c>
      <c r="C283" s="2" t="s">
        <v>527</v>
      </c>
      <c r="D283" s="2">
        <v>0.15</v>
      </c>
      <c r="E283" s="3" t="e">
        <f>ABS(D283 - LOOKUP(C283, SweepStudyConfig[StudyId], SweepStudyConfig[OriginalAllocFractionA])) &lt; 0.03</f>
        <v>#VALUE!</v>
      </c>
      <c r="F283" s="3" t="e">
        <f>LOOKUP(C283, SweepStudyConfig[StudyId], SweepStudyConfig[NSweepStratumTotal])</f>
        <v>#VALUE!</v>
      </c>
      <c r="G283" s="3" t="e">
        <f>ROUND(F283 * D283)</f>
        <v>#VALUE!</v>
      </c>
      <c r="H283" s="3" t="e">
        <f>F283 - G283</f>
        <v>#VALUE!</v>
      </c>
      <c r="I283" s="3" t="e">
        <f>LOOKUP(C283, SweepStudyConfig[StudyId], SweepStudyConfig[NFixedA])</f>
        <v>#VALUE!</v>
      </c>
      <c r="J283" s="3" t="e">
        <f>LOOKUP(C283, SweepStudyConfig[StudyId], SweepStudyConfig[NFixedB])</f>
        <v>#VALUE!</v>
      </c>
      <c r="K283" s="3" t="e">
        <f>LOOKUP(C283, SweepStudyConfig[StudyId], SweepStudyConfig[SweepRateA])</f>
        <v>#VALUE!</v>
      </c>
      <c r="L283" s="3" t="e">
        <f>LOOKUP(C283, SweepStudyConfig[StudyId], SweepStudyConfig[SweepRateB])</f>
        <v>#VALUE!</v>
      </c>
      <c r="M283" s="3" t="e">
        <f>LOOKUP(C283, SweepStudyConfig[StudyId], SweepStudyConfig[FixedRateA])</f>
        <v>#VALUE!</v>
      </c>
      <c r="N283" s="3" t="e">
        <f>LOOKUP(C283, SweepStudyConfig[StudyId], SweepStudyConfig[FixedRateB])</f>
        <v>#VALUE!</v>
      </c>
      <c r="O283" s="3" t="e">
        <f>IF(G283 + I283 = 0, "", (G283 * K283 + I283 * M283) / (G283 + I283))</f>
        <v>#VALUE!</v>
      </c>
      <c r="P283" s="3" t="e">
        <f>IF(H283 + J283 = 0, "", (H283 * L283 + J283 * N283) / (H283 + J283))</f>
        <v>#VALUE!</v>
      </c>
      <c r="Q283" s="3" t="e">
        <f>IF(O283 = "", "", O283 - P283)</f>
        <v>#VALUE!</v>
      </c>
      <c r="R283" s="3" t="e">
        <f>LOOKUP(C283, SweepStudyConfig[StudyId], SweepStudyConfig[SweepCorrectedGap])</f>
        <v>#VALUE!</v>
      </c>
      <c r="S283" s="3" t="e">
        <f>IF(Q283 = "", "", Q283 - R283)</f>
        <v>#VALUE!</v>
      </c>
    </row>
    <row r="284">
      <c r="A284" s="2" t="s">
        <v>3572</v>
      </c>
      <c r="B284" s="3" t="str">
        <f>A284</f>
        <v>oncology-trial-stage-f025</v>
      </c>
      <c r="C284" s="2" t="s">
        <v>527</v>
      </c>
      <c r="D284" s="2">
        <v>0.25</v>
      </c>
      <c r="E284" s="3" t="e">
        <f>ABS(D284 - LOOKUP(C284, SweepStudyConfig[StudyId], SweepStudyConfig[OriginalAllocFractionA])) &lt; 0.03</f>
        <v>#VALUE!</v>
      </c>
      <c r="F284" s="3" t="e">
        <f>LOOKUP(C284, SweepStudyConfig[StudyId], SweepStudyConfig[NSweepStratumTotal])</f>
        <v>#VALUE!</v>
      </c>
      <c r="G284" s="3" t="e">
        <f>ROUND(F284 * D284)</f>
        <v>#VALUE!</v>
      </c>
      <c r="H284" s="3" t="e">
        <f>F284 - G284</f>
        <v>#VALUE!</v>
      </c>
      <c r="I284" s="3" t="e">
        <f>LOOKUP(C284, SweepStudyConfig[StudyId], SweepStudyConfig[NFixedA])</f>
        <v>#VALUE!</v>
      </c>
      <c r="J284" s="3" t="e">
        <f>LOOKUP(C284, SweepStudyConfig[StudyId], SweepStudyConfig[NFixedB])</f>
        <v>#VALUE!</v>
      </c>
      <c r="K284" s="3" t="e">
        <f>LOOKUP(C284, SweepStudyConfig[StudyId], SweepStudyConfig[SweepRateA])</f>
        <v>#VALUE!</v>
      </c>
      <c r="L284" s="3" t="e">
        <f>LOOKUP(C284, SweepStudyConfig[StudyId], SweepStudyConfig[SweepRateB])</f>
        <v>#VALUE!</v>
      </c>
      <c r="M284" s="3" t="e">
        <f>LOOKUP(C284, SweepStudyConfig[StudyId], SweepStudyConfig[FixedRateA])</f>
        <v>#VALUE!</v>
      </c>
      <c r="N284" s="3" t="e">
        <f>LOOKUP(C284, SweepStudyConfig[StudyId], SweepStudyConfig[FixedRateB])</f>
        <v>#VALUE!</v>
      </c>
      <c r="O284" s="3" t="e">
        <f>IF(G284 + I284 = 0, "", (G284 * K284 + I284 * M284) / (G284 + I284))</f>
        <v>#VALUE!</v>
      </c>
      <c r="P284" s="3" t="e">
        <f>IF(H284 + J284 = 0, "", (H284 * L284 + J284 * N284) / (H284 + J284))</f>
        <v>#VALUE!</v>
      </c>
      <c r="Q284" s="3" t="e">
        <f>IF(O284 = "", "", O284 - P284)</f>
        <v>#VALUE!</v>
      </c>
      <c r="R284" s="3" t="e">
        <f>LOOKUP(C284, SweepStudyConfig[StudyId], SweepStudyConfig[SweepCorrectedGap])</f>
        <v>#VALUE!</v>
      </c>
      <c r="S284" s="3" t="e">
        <f>IF(Q284 = "", "", Q284 - R284)</f>
        <v>#VALUE!</v>
      </c>
    </row>
    <row r="285">
      <c r="A285" s="2" t="s">
        <v>3573</v>
      </c>
      <c r="B285" s="3" t="str">
        <f>A285</f>
        <v>oncology-trial-stage-f035</v>
      </c>
      <c r="C285" s="2" t="s">
        <v>527</v>
      </c>
      <c r="D285" s="2">
        <v>0.35</v>
      </c>
      <c r="E285" s="3" t="e">
        <f>ABS(D285 - LOOKUP(C285, SweepStudyConfig[StudyId], SweepStudyConfig[OriginalAllocFractionA])) &lt; 0.03</f>
        <v>#VALUE!</v>
      </c>
      <c r="F285" s="3" t="e">
        <f>LOOKUP(C285, SweepStudyConfig[StudyId], SweepStudyConfig[NSweepStratumTotal])</f>
        <v>#VALUE!</v>
      </c>
      <c r="G285" s="3" t="e">
        <f>ROUND(F285 * D285)</f>
        <v>#VALUE!</v>
      </c>
      <c r="H285" s="3" t="e">
        <f>F285 - G285</f>
        <v>#VALUE!</v>
      </c>
      <c r="I285" s="3" t="e">
        <f>LOOKUP(C285, SweepStudyConfig[StudyId], SweepStudyConfig[NFixedA])</f>
        <v>#VALUE!</v>
      </c>
      <c r="J285" s="3" t="e">
        <f>LOOKUP(C285, SweepStudyConfig[StudyId], SweepStudyConfig[NFixedB])</f>
        <v>#VALUE!</v>
      </c>
      <c r="K285" s="3" t="e">
        <f>LOOKUP(C285, SweepStudyConfig[StudyId], SweepStudyConfig[SweepRateA])</f>
        <v>#VALUE!</v>
      </c>
      <c r="L285" s="3" t="e">
        <f>LOOKUP(C285, SweepStudyConfig[StudyId], SweepStudyConfig[SweepRateB])</f>
        <v>#VALUE!</v>
      </c>
      <c r="M285" s="3" t="e">
        <f>LOOKUP(C285, SweepStudyConfig[StudyId], SweepStudyConfig[FixedRateA])</f>
        <v>#VALUE!</v>
      </c>
      <c r="N285" s="3" t="e">
        <f>LOOKUP(C285, SweepStudyConfig[StudyId], SweepStudyConfig[FixedRateB])</f>
        <v>#VALUE!</v>
      </c>
      <c r="O285" s="3" t="e">
        <f>IF(G285 + I285 = 0, "", (G285 * K285 + I285 * M285) / (G285 + I285))</f>
        <v>#VALUE!</v>
      </c>
      <c r="P285" s="3" t="e">
        <f>IF(H285 + J285 = 0, "", (H285 * L285 + J285 * N285) / (H285 + J285))</f>
        <v>#VALUE!</v>
      </c>
      <c r="Q285" s="3" t="e">
        <f>IF(O285 = "", "", O285 - P285)</f>
        <v>#VALUE!</v>
      </c>
      <c r="R285" s="3" t="e">
        <f>LOOKUP(C285, SweepStudyConfig[StudyId], SweepStudyConfig[SweepCorrectedGap])</f>
        <v>#VALUE!</v>
      </c>
      <c r="S285" s="3" t="e">
        <f>IF(Q285 = "", "", Q285 - R285)</f>
        <v>#VALUE!</v>
      </c>
    </row>
    <row r="286">
      <c r="A286" s="2" t="s">
        <v>3574</v>
      </c>
      <c r="B286" s="3" t="str">
        <f>A286</f>
        <v>oncology-trial-stage-f045</v>
      </c>
      <c r="C286" s="2" t="s">
        <v>527</v>
      </c>
      <c r="D286" s="2">
        <v>0.45</v>
      </c>
      <c r="E286" s="3" t="e">
        <f>ABS(D286 - LOOKUP(C286, SweepStudyConfig[StudyId], SweepStudyConfig[OriginalAllocFractionA])) &lt; 0.03</f>
        <v>#VALUE!</v>
      </c>
      <c r="F286" s="3" t="e">
        <f>LOOKUP(C286, SweepStudyConfig[StudyId], SweepStudyConfig[NSweepStratumTotal])</f>
        <v>#VALUE!</v>
      </c>
      <c r="G286" s="3" t="e">
        <f>ROUND(F286 * D286)</f>
        <v>#VALUE!</v>
      </c>
      <c r="H286" s="3" t="e">
        <f>F286 - G286</f>
        <v>#VALUE!</v>
      </c>
      <c r="I286" s="3" t="e">
        <f>LOOKUP(C286, SweepStudyConfig[StudyId], SweepStudyConfig[NFixedA])</f>
        <v>#VALUE!</v>
      </c>
      <c r="J286" s="3" t="e">
        <f>LOOKUP(C286, SweepStudyConfig[StudyId], SweepStudyConfig[NFixedB])</f>
        <v>#VALUE!</v>
      </c>
      <c r="K286" s="3" t="e">
        <f>LOOKUP(C286, SweepStudyConfig[StudyId], SweepStudyConfig[SweepRateA])</f>
        <v>#VALUE!</v>
      </c>
      <c r="L286" s="3" t="e">
        <f>LOOKUP(C286, SweepStudyConfig[StudyId], SweepStudyConfig[SweepRateB])</f>
        <v>#VALUE!</v>
      </c>
      <c r="M286" s="3" t="e">
        <f>LOOKUP(C286, SweepStudyConfig[StudyId], SweepStudyConfig[FixedRateA])</f>
        <v>#VALUE!</v>
      </c>
      <c r="N286" s="3" t="e">
        <f>LOOKUP(C286, SweepStudyConfig[StudyId], SweepStudyConfig[FixedRateB])</f>
        <v>#VALUE!</v>
      </c>
      <c r="O286" s="3" t="e">
        <f>IF(G286 + I286 = 0, "", (G286 * K286 + I286 * M286) / (G286 + I286))</f>
        <v>#VALUE!</v>
      </c>
      <c r="P286" s="3" t="e">
        <f>IF(H286 + J286 = 0, "", (H286 * L286 + J286 * N286) / (H286 + J286))</f>
        <v>#VALUE!</v>
      </c>
      <c r="Q286" s="3" t="e">
        <f>IF(O286 = "", "", O286 - P286)</f>
        <v>#VALUE!</v>
      </c>
      <c r="R286" s="3" t="e">
        <f>LOOKUP(C286, SweepStudyConfig[StudyId], SweepStudyConfig[SweepCorrectedGap])</f>
        <v>#VALUE!</v>
      </c>
      <c r="S286" s="3" t="e">
        <f>IF(Q286 = "", "", Q286 - R286)</f>
        <v>#VALUE!</v>
      </c>
    </row>
    <row r="287">
      <c r="A287" s="2" t="s">
        <v>3575</v>
      </c>
      <c r="B287" s="3" t="str">
        <f>A287</f>
        <v>oncology-trial-stage-f055</v>
      </c>
      <c r="C287" s="2" t="s">
        <v>527</v>
      </c>
      <c r="D287" s="2">
        <v>0.55</v>
      </c>
      <c r="E287" s="3" t="e">
        <f>ABS(D287 - LOOKUP(C287, SweepStudyConfig[StudyId], SweepStudyConfig[OriginalAllocFractionA])) &lt; 0.03</f>
        <v>#VALUE!</v>
      </c>
      <c r="F287" s="3" t="e">
        <f>LOOKUP(C287, SweepStudyConfig[StudyId], SweepStudyConfig[NSweepStratumTotal])</f>
        <v>#VALUE!</v>
      </c>
      <c r="G287" s="3" t="e">
        <f>ROUND(F287 * D287)</f>
        <v>#VALUE!</v>
      </c>
      <c r="H287" s="3" t="e">
        <f>F287 - G287</f>
        <v>#VALUE!</v>
      </c>
      <c r="I287" s="3" t="e">
        <f>LOOKUP(C287, SweepStudyConfig[StudyId], SweepStudyConfig[NFixedA])</f>
        <v>#VALUE!</v>
      </c>
      <c r="J287" s="3" t="e">
        <f>LOOKUP(C287, SweepStudyConfig[StudyId], SweepStudyConfig[NFixedB])</f>
        <v>#VALUE!</v>
      </c>
      <c r="K287" s="3" t="e">
        <f>LOOKUP(C287, SweepStudyConfig[StudyId], SweepStudyConfig[SweepRateA])</f>
        <v>#VALUE!</v>
      </c>
      <c r="L287" s="3" t="e">
        <f>LOOKUP(C287, SweepStudyConfig[StudyId], SweepStudyConfig[SweepRateB])</f>
        <v>#VALUE!</v>
      </c>
      <c r="M287" s="3" t="e">
        <f>LOOKUP(C287, SweepStudyConfig[StudyId], SweepStudyConfig[FixedRateA])</f>
        <v>#VALUE!</v>
      </c>
      <c r="N287" s="3" t="e">
        <f>LOOKUP(C287, SweepStudyConfig[StudyId], SweepStudyConfig[FixedRateB])</f>
        <v>#VALUE!</v>
      </c>
      <c r="O287" s="3" t="e">
        <f>IF(G287 + I287 = 0, "", (G287 * K287 + I287 * M287) / (G287 + I287))</f>
        <v>#VALUE!</v>
      </c>
      <c r="P287" s="3" t="e">
        <f>IF(H287 + J287 = 0, "", (H287 * L287 + J287 * N287) / (H287 + J287))</f>
        <v>#VALUE!</v>
      </c>
      <c r="Q287" s="3" t="e">
        <f>IF(O287 = "", "", O287 - P287)</f>
        <v>#VALUE!</v>
      </c>
      <c r="R287" s="3" t="e">
        <f>LOOKUP(C287, SweepStudyConfig[StudyId], SweepStudyConfig[SweepCorrectedGap])</f>
        <v>#VALUE!</v>
      </c>
      <c r="S287" s="3" t="e">
        <f>IF(Q287 = "", "", Q287 - R287)</f>
        <v>#VALUE!</v>
      </c>
    </row>
    <row r="288">
      <c r="A288" s="2" t="s">
        <v>3576</v>
      </c>
      <c r="B288" s="3" t="str">
        <f>A288</f>
        <v>oncology-trial-stage-f065</v>
      </c>
      <c r="C288" s="2" t="s">
        <v>527</v>
      </c>
      <c r="D288" s="2">
        <v>0.65</v>
      </c>
      <c r="E288" s="3" t="e">
        <f>ABS(D288 - LOOKUP(C288, SweepStudyConfig[StudyId], SweepStudyConfig[OriginalAllocFractionA])) &lt; 0.03</f>
        <v>#VALUE!</v>
      </c>
      <c r="F288" s="3" t="e">
        <f>LOOKUP(C288, SweepStudyConfig[StudyId], SweepStudyConfig[NSweepStratumTotal])</f>
        <v>#VALUE!</v>
      </c>
      <c r="G288" s="3" t="e">
        <f>ROUND(F288 * D288)</f>
        <v>#VALUE!</v>
      </c>
      <c r="H288" s="3" t="e">
        <f>F288 - G288</f>
        <v>#VALUE!</v>
      </c>
      <c r="I288" s="3" t="e">
        <f>LOOKUP(C288, SweepStudyConfig[StudyId], SweepStudyConfig[NFixedA])</f>
        <v>#VALUE!</v>
      </c>
      <c r="J288" s="3" t="e">
        <f>LOOKUP(C288, SweepStudyConfig[StudyId], SweepStudyConfig[NFixedB])</f>
        <v>#VALUE!</v>
      </c>
      <c r="K288" s="3" t="e">
        <f>LOOKUP(C288, SweepStudyConfig[StudyId], SweepStudyConfig[SweepRateA])</f>
        <v>#VALUE!</v>
      </c>
      <c r="L288" s="3" t="e">
        <f>LOOKUP(C288, SweepStudyConfig[StudyId], SweepStudyConfig[SweepRateB])</f>
        <v>#VALUE!</v>
      </c>
      <c r="M288" s="3" t="e">
        <f>LOOKUP(C288, SweepStudyConfig[StudyId], SweepStudyConfig[FixedRateA])</f>
        <v>#VALUE!</v>
      </c>
      <c r="N288" s="3" t="e">
        <f>LOOKUP(C288, SweepStudyConfig[StudyId], SweepStudyConfig[FixedRateB])</f>
        <v>#VALUE!</v>
      </c>
      <c r="O288" s="3" t="e">
        <f>IF(G288 + I288 = 0, "", (G288 * K288 + I288 * M288) / (G288 + I288))</f>
        <v>#VALUE!</v>
      </c>
      <c r="P288" s="3" t="e">
        <f>IF(H288 + J288 = 0, "", (H288 * L288 + J288 * N288) / (H288 + J288))</f>
        <v>#VALUE!</v>
      </c>
      <c r="Q288" s="3" t="e">
        <f>IF(O288 = "", "", O288 - P288)</f>
        <v>#VALUE!</v>
      </c>
      <c r="R288" s="3" t="e">
        <f>LOOKUP(C288, SweepStudyConfig[StudyId], SweepStudyConfig[SweepCorrectedGap])</f>
        <v>#VALUE!</v>
      </c>
      <c r="S288" s="3" t="e">
        <f>IF(Q288 = "", "", Q288 - R288)</f>
        <v>#VALUE!</v>
      </c>
    </row>
    <row r="289">
      <c r="A289" s="2" t="s">
        <v>3577</v>
      </c>
      <c r="B289" s="3" t="str">
        <f>A289</f>
        <v>oncology-trial-stage-f075</v>
      </c>
      <c r="C289" s="2" t="s">
        <v>527</v>
      </c>
      <c r="D289" s="2">
        <v>0.75</v>
      </c>
      <c r="E289" s="3" t="e">
        <f>ABS(D289 - LOOKUP(C289, SweepStudyConfig[StudyId], SweepStudyConfig[OriginalAllocFractionA])) &lt; 0.03</f>
        <v>#VALUE!</v>
      </c>
      <c r="F289" s="3" t="e">
        <f>LOOKUP(C289, SweepStudyConfig[StudyId], SweepStudyConfig[NSweepStratumTotal])</f>
        <v>#VALUE!</v>
      </c>
      <c r="G289" s="3" t="e">
        <f>ROUND(F289 * D289)</f>
        <v>#VALUE!</v>
      </c>
      <c r="H289" s="3" t="e">
        <f>F289 - G289</f>
        <v>#VALUE!</v>
      </c>
      <c r="I289" s="3" t="e">
        <f>LOOKUP(C289, SweepStudyConfig[StudyId], SweepStudyConfig[NFixedA])</f>
        <v>#VALUE!</v>
      </c>
      <c r="J289" s="3" t="e">
        <f>LOOKUP(C289, SweepStudyConfig[StudyId], SweepStudyConfig[NFixedB])</f>
        <v>#VALUE!</v>
      </c>
      <c r="K289" s="3" t="e">
        <f>LOOKUP(C289, SweepStudyConfig[StudyId], SweepStudyConfig[SweepRateA])</f>
        <v>#VALUE!</v>
      </c>
      <c r="L289" s="3" t="e">
        <f>LOOKUP(C289, SweepStudyConfig[StudyId], SweepStudyConfig[SweepRateB])</f>
        <v>#VALUE!</v>
      </c>
      <c r="M289" s="3" t="e">
        <f>LOOKUP(C289, SweepStudyConfig[StudyId], SweepStudyConfig[FixedRateA])</f>
        <v>#VALUE!</v>
      </c>
      <c r="N289" s="3" t="e">
        <f>LOOKUP(C289, SweepStudyConfig[StudyId], SweepStudyConfig[FixedRateB])</f>
        <v>#VALUE!</v>
      </c>
      <c r="O289" s="3" t="e">
        <f>IF(G289 + I289 = 0, "", (G289 * K289 + I289 * M289) / (G289 + I289))</f>
        <v>#VALUE!</v>
      </c>
      <c r="P289" s="3" t="e">
        <f>IF(H289 + J289 = 0, "", (H289 * L289 + J289 * N289) / (H289 + J289))</f>
        <v>#VALUE!</v>
      </c>
      <c r="Q289" s="3" t="e">
        <f>IF(O289 = "", "", O289 - P289)</f>
        <v>#VALUE!</v>
      </c>
      <c r="R289" s="3" t="e">
        <f>LOOKUP(C289, SweepStudyConfig[StudyId], SweepStudyConfig[SweepCorrectedGap])</f>
        <v>#VALUE!</v>
      </c>
      <c r="S289" s="3" t="e">
        <f>IF(Q289 = "", "", Q289 - R289)</f>
        <v>#VALUE!</v>
      </c>
    </row>
    <row r="290">
      <c r="A290" s="2" t="s">
        <v>3578</v>
      </c>
      <c r="B290" s="3" t="str">
        <f>A290</f>
        <v>oncology-trial-stage-f085</v>
      </c>
      <c r="C290" s="2" t="s">
        <v>527</v>
      </c>
      <c r="D290" s="2">
        <v>0.85</v>
      </c>
      <c r="E290" s="3" t="e">
        <f>ABS(D290 - LOOKUP(C290, SweepStudyConfig[StudyId], SweepStudyConfig[OriginalAllocFractionA])) &lt; 0.03</f>
        <v>#VALUE!</v>
      </c>
      <c r="F290" s="3" t="e">
        <f>LOOKUP(C290, SweepStudyConfig[StudyId], SweepStudyConfig[NSweepStratumTotal])</f>
        <v>#VALUE!</v>
      </c>
      <c r="G290" s="3" t="e">
        <f>ROUND(F290 * D290)</f>
        <v>#VALUE!</v>
      </c>
      <c r="H290" s="3" t="e">
        <f>F290 - G290</f>
        <v>#VALUE!</v>
      </c>
      <c r="I290" s="3" t="e">
        <f>LOOKUP(C290, SweepStudyConfig[StudyId], SweepStudyConfig[NFixedA])</f>
        <v>#VALUE!</v>
      </c>
      <c r="J290" s="3" t="e">
        <f>LOOKUP(C290, SweepStudyConfig[StudyId], SweepStudyConfig[NFixedB])</f>
        <v>#VALUE!</v>
      </c>
      <c r="K290" s="3" t="e">
        <f>LOOKUP(C290, SweepStudyConfig[StudyId], SweepStudyConfig[SweepRateA])</f>
        <v>#VALUE!</v>
      </c>
      <c r="L290" s="3" t="e">
        <f>LOOKUP(C290, SweepStudyConfig[StudyId], SweepStudyConfig[SweepRateB])</f>
        <v>#VALUE!</v>
      </c>
      <c r="M290" s="3" t="e">
        <f>LOOKUP(C290, SweepStudyConfig[StudyId], SweepStudyConfig[FixedRateA])</f>
        <v>#VALUE!</v>
      </c>
      <c r="N290" s="3" t="e">
        <f>LOOKUP(C290, SweepStudyConfig[StudyId], SweepStudyConfig[FixedRateB])</f>
        <v>#VALUE!</v>
      </c>
      <c r="O290" s="3" t="e">
        <f>IF(G290 + I290 = 0, "", (G290 * K290 + I290 * M290) / (G290 + I290))</f>
        <v>#VALUE!</v>
      </c>
      <c r="P290" s="3" t="e">
        <f>IF(H290 + J290 = 0, "", (H290 * L290 + J290 * N290) / (H290 + J290))</f>
        <v>#VALUE!</v>
      </c>
      <c r="Q290" s="3" t="e">
        <f>IF(O290 = "", "", O290 - P290)</f>
        <v>#VALUE!</v>
      </c>
      <c r="R290" s="3" t="e">
        <f>LOOKUP(C290, SweepStudyConfig[StudyId], SweepStudyConfig[SweepCorrectedGap])</f>
        <v>#VALUE!</v>
      </c>
      <c r="S290" s="3" t="e">
        <f>IF(Q290 = "", "", Q290 - R290)</f>
        <v>#VALUE!</v>
      </c>
    </row>
    <row r="291">
      <c r="A291" s="2" t="s">
        <v>3579</v>
      </c>
      <c r="B291" s="3" t="str">
        <f>A291</f>
        <v>oncology-trial-stage-f095</v>
      </c>
      <c r="C291" s="2" t="s">
        <v>527</v>
      </c>
      <c r="D291" s="2">
        <v>0.95</v>
      </c>
      <c r="E291" s="3" t="e">
        <f>ABS(D291 - LOOKUP(C291, SweepStudyConfig[StudyId], SweepStudyConfig[OriginalAllocFractionA])) &lt; 0.03</f>
        <v>#VALUE!</v>
      </c>
      <c r="F291" s="3" t="e">
        <f>LOOKUP(C291, SweepStudyConfig[StudyId], SweepStudyConfig[NSweepStratumTotal])</f>
        <v>#VALUE!</v>
      </c>
      <c r="G291" s="3" t="e">
        <f>ROUND(F291 * D291)</f>
        <v>#VALUE!</v>
      </c>
      <c r="H291" s="3" t="e">
        <f>F291 - G291</f>
        <v>#VALUE!</v>
      </c>
      <c r="I291" s="3" t="e">
        <f>LOOKUP(C291, SweepStudyConfig[StudyId], SweepStudyConfig[NFixedA])</f>
        <v>#VALUE!</v>
      </c>
      <c r="J291" s="3" t="e">
        <f>LOOKUP(C291, SweepStudyConfig[StudyId], SweepStudyConfig[NFixedB])</f>
        <v>#VALUE!</v>
      </c>
      <c r="K291" s="3" t="e">
        <f>LOOKUP(C291, SweepStudyConfig[StudyId], SweepStudyConfig[SweepRateA])</f>
        <v>#VALUE!</v>
      </c>
      <c r="L291" s="3" t="e">
        <f>LOOKUP(C291, SweepStudyConfig[StudyId], SweepStudyConfig[SweepRateB])</f>
        <v>#VALUE!</v>
      </c>
      <c r="M291" s="3" t="e">
        <f>LOOKUP(C291, SweepStudyConfig[StudyId], SweepStudyConfig[FixedRateA])</f>
        <v>#VALUE!</v>
      </c>
      <c r="N291" s="3" t="e">
        <f>LOOKUP(C291, SweepStudyConfig[StudyId], SweepStudyConfig[FixedRateB])</f>
        <v>#VALUE!</v>
      </c>
      <c r="O291" s="3" t="e">
        <f>IF(G291 + I291 = 0, "", (G291 * K291 + I291 * M291) / (G291 + I291))</f>
        <v>#VALUE!</v>
      </c>
      <c r="P291" s="3" t="e">
        <f>IF(H291 + J291 = 0, "", (H291 * L291 + J291 * N291) / (H291 + J291))</f>
        <v>#VALUE!</v>
      </c>
      <c r="Q291" s="3" t="e">
        <f>IF(O291 = "", "", O291 - P291)</f>
        <v>#VALUE!</v>
      </c>
      <c r="R291" s="3" t="e">
        <f>LOOKUP(C291, SweepStudyConfig[StudyId], SweepStudyConfig[SweepCorrectedGap])</f>
        <v>#VALUE!</v>
      </c>
      <c r="S291" s="3" t="e">
        <f>IF(Q291 = "", "", Q291 - R291)</f>
        <v>#VALUE!</v>
      </c>
    </row>
    <row r="292">
      <c r="A292" s="2" t="s">
        <v>3580</v>
      </c>
      <c r="B292" s="3" t="str">
        <f>A292</f>
        <v>exercise-cholesterol-age-f005</v>
      </c>
      <c r="C292" s="2" t="s">
        <v>530</v>
      </c>
      <c r="D292" s="2">
        <v>0.05</v>
      </c>
      <c r="E292" s="3" t="e">
        <f>ABS(D292 - LOOKUP(C292, SweepStudyConfig[StudyId], SweepStudyConfig[OriginalAllocFractionA])) &lt; 0.03</f>
        <v>#VALUE!</v>
      </c>
      <c r="F292" s="3" t="e">
        <f>LOOKUP(C292, SweepStudyConfig[StudyId], SweepStudyConfig[NSweepStratumTotal])</f>
        <v>#VALUE!</v>
      </c>
      <c r="G292" s="3" t="e">
        <f>ROUND(F292 * D292)</f>
        <v>#VALUE!</v>
      </c>
      <c r="H292" s="3" t="e">
        <f>F292 - G292</f>
        <v>#VALUE!</v>
      </c>
      <c r="I292" s="3" t="e">
        <f>LOOKUP(C292, SweepStudyConfig[StudyId], SweepStudyConfig[NFixedA])</f>
        <v>#VALUE!</v>
      </c>
      <c r="J292" s="3" t="e">
        <f>LOOKUP(C292, SweepStudyConfig[StudyId], SweepStudyConfig[NFixedB])</f>
        <v>#VALUE!</v>
      </c>
      <c r="K292" s="3" t="e">
        <f>LOOKUP(C292, SweepStudyConfig[StudyId], SweepStudyConfig[SweepRateA])</f>
        <v>#VALUE!</v>
      </c>
      <c r="L292" s="3" t="e">
        <f>LOOKUP(C292, SweepStudyConfig[StudyId], SweepStudyConfig[SweepRateB])</f>
        <v>#VALUE!</v>
      </c>
      <c r="M292" s="3" t="e">
        <f>LOOKUP(C292, SweepStudyConfig[StudyId], SweepStudyConfig[FixedRateA])</f>
        <v>#VALUE!</v>
      </c>
      <c r="N292" s="3" t="e">
        <f>LOOKUP(C292, SweepStudyConfig[StudyId], SweepStudyConfig[FixedRateB])</f>
        <v>#VALUE!</v>
      </c>
      <c r="O292" s="3" t="e">
        <f>IF(G292 + I292 = 0, "", (G292 * K292 + I292 * M292) / (G292 + I292))</f>
        <v>#VALUE!</v>
      </c>
      <c r="P292" s="3" t="e">
        <f>IF(H292 + J292 = 0, "", (H292 * L292 + J292 * N292) / (H292 + J292))</f>
        <v>#VALUE!</v>
      </c>
      <c r="Q292" s="3" t="e">
        <f>IF(O292 = "", "", O292 - P292)</f>
        <v>#VALUE!</v>
      </c>
      <c r="R292" s="3" t="e">
        <f>LOOKUP(C292, SweepStudyConfig[StudyId], SweepStudyConfig[SweepCorrectedGap])</f>
        <v>#VALUE!</v>
      </c>
      <c r="S292" s="3" t="e">
        <f>IF(Q292 = "", "", Q292 - R292)</f>
        <v>#VALUE!</v>
      </c>
    </row>
    <row r="293">
      <c r="A293" s="2" t="s">
        <v>3581</v>
      </c>
      <c r="B293" s="3" t="str">
        <f>A293</f>
        <v>exercise-cholesterol-age-f015</v>
      </c>
      <c r="C293" s="2" t="s">
        <v>530</v>
      </c>
      <c r="D293" s="2">
        <v>0.15</v>
      </c>
      <c r="E293" s="3" t="e">
        <f>ABS(D293 - LOOKUP(C293, SweepStudyConfig[StudyId], SweepStudyConfig[OriginalAllocFractionA])) &lt; 0.03</f>
        <v>#VALUE!</v>
      </c>
      <c r="F293" s="3" t="e">
        <f>LOOKUP(C293, SweepStudyConfig[StudyId], SweepStudyConfig[NSweepStratumTotal])</f>
        <v>#VALUE!</v>
      </c>
      <c r="G293" s="3" t="e">
        <f>ROUND(F293 * D293)</f>
        <v>#VALUE!</v>
      </c>
      <c r="H293" s="3" t="e">
        <f>F293 - G293</f>
        <v>#VALUE!</v>
      </c>
      <c r="I293" s="3" t="e">
        <f>LOOKUP(C293, SweepStudyConfig[StudyId], SweepStudyConfig[NFixedA])</f>
        <v>#VALUE!</v>
      </c>
      <c r="J293" s="3" t="e">
        <f>LOOKUP(C293, SweepStudyConfig[StudyId], SweepStudyConfig[NFixedB])</f>
        <v>#VALUE!</v>
      </c>
      <c r="K293" s="3" t="e">
        <f>LOOKUP(C293, SweepStudyConfig[StudyId], SweepStudyConfig[SweepRateA])</f>
        <v>#VALUE!</v>
      </c>
      <c r="L293" s="3" t="e">
        <f>LOOKUP(C293, SweepStudyConfig[StudyId], SweepStudyConfig[SweepRateB])</f>
        <v>#VALUE!</v>
      </c>
      <c r="M293" s="3" t="e">
        <f>LOOKUP(C293, SweepStudyConfig[StudyId], SweepStudyConfig[FixedRateA])</f>
        <v>#VALUE!</v>
      </c>
      <c r="N293" s="3" t="e">
        <f>LOOKUP(C293, SweepStudyConfig[StudyId], SweepStudyConfig[FixedRateB])</f>
        <v>#VALUE!</v>
      </c>
      <c r="O293" s="3" t="e">
        <f>IF(G293 + I293 = 0, "", (G293 * K293 + I293 * M293) / (G293 + I293))</f>
        <v>#VALUE!</v>
      </c>
      <c r="P293" s="3" t="e">
        <f>IF(H293 + J293 = 0, "", (H293 * L293 + J293 * N293) / (H293 + J293))</f>
        <v>#VALUE!</v>
      </c>
      <c r="Q293" s="3" t="e">
        <f>IF(O293 = "", "", O293 - P293)</f>
        <v>#VALUE!</v>
      </c>
      <c r="R293" s="3" t="e">
        <f>LOOKUP(C293, SweepStudyConfig[StudyId], SweepStudyConfig[SweepCorrectedGap])</f>
        <v>#VALUE!</v>
      </c>
      <c r="S293" s="3" t="e">
        <f>IF(Q293 = "", "", Q293 - R293)</f>
        <v>#VALUE!</v>
      </c>
    </row>
    <row r="294">
      <c r="A294" s="2" t="s">
        <v>3582</v>
      </c>
      <c r="B294" s="3" t="str">
        <f>A294</f>
        <v>exercise-cholesterol-age-f025</v>
      </c>
      <c r="C294" s="2" t="s">
        <v>530</v>
      </c>
      <c r="D294" s="2">
        <v>0.25</v>
      </c>
      <c r="E294" s="3" t="e">
        <f>ABS(D294 - LOOKUP(C294, SweepStudyConfig[StudyId], SweepStudyConfig[OriginalAllocFractionA])) &lt; 0.03</f>
        <v>#VALUE!</v>
      </c>
      <c r="F294" s="3" t="e">
        <f>LOOKUP(C294, SweepStudyConfig[StudyId], SweepStudyConfig[NSweepStratumTotal])</f>
        <v>#VALUE!</v>
      </c>
      <c r="G294" s="3" t="e">
        <f>ROUND(F294 * D294)</f>
        <v>#VALUE!</v>
      </c>
      <c r="H294" s="3" t="e">
        <f>F294 - G294</f>
        <v>#VALUE!</v>
      </c>
      <c r="I294" s="3" t="e">
        <f>LOOKUP(C294, SweepStudyConfig[StudyId], SweepStudyConfig[NFixedA])</f>
        <v>#VALUE!</v>
      </c>
      <c r="J294" s="3" t="e">
        <f>LOOKUP(C294, SweepStudyConfig[StudyId], SweepStudyConfig[NFixedB])</f>
        <v>#VALUE!</v>
      </c>
      <c r="K294" s="3" t="e">
        <f>LOOKUP(C294, SweepStudyConfig[StudyId], SweepStudyConfig[SweepRateA])</f>
        <v>#VALUE!</v>
      </c>
      <c r="L294" s="3" t="e">
        <f>LOOKUP(C294, SweepStudyConfig[StudyId], SweepStudyConfig[SweepRateB])</f>
        <v>#VALUE!</v>
      </c>
      <c r="M294" s="3" t="e">
        <f>LOOKUP(C294, SweepStudyConfig[StudyId], SweepStudyConfig[FixedRateA])</f>
        <v>#VALUE!</v>
      </c>
      <c r="N294" s="3" t="e">
        <f>LOOKUP(C294, SweepStudyConfig[StudyId], SweepStudyConfig[FixedRateB])</f>
        <v>#VALUE!</v>
      </c>
      <c r="O294" s="3" t="e">
        <f>IF(G294 + I294 = 0, "", (G294 * K294 + I294 * M294) / (G294 + I294))</f>
        <v>#VALUE!</v>
      </c>
      <c r="P294" s="3" t="e">
        <f>IF(H294 + J294 = 0, "", (H294 * L294 + J294 * N294) / (H294 + J294))</f>
        <v>#VALUE!</v>
      </c>
      <c r="Q294" s="3" t="e">
        <f>IF(O294 = "", "", O294 - P294)</f>
        <v>#VALUE!</v>
      </c>
      <c r="R294" s="3" t="e">
        <f>LOOKUP(C294, SweepStudyConfig[StudyId], SweepStudyConfig[SweepCorrectedGap])</f>
        <v>#VALUE!</v>
      </c>
      <c r="S294" s="3" t="e">
        <f>IF(Q294 = "", "", Q294 - R294)</f>
        <v>#VALUE!</v>
      </c>
    </row>
    <row r="295">
      <c r="A295" s="2" t="s">
        <v>3583</v>
      </c>
      <c r="B295" s="3" t="str">
        <f>A295</f>
        <v>exercise-cholesterol-age-f035</v>
      </c>
      <c r="C295" s="2" t="s">
        <v>530</v>
      </c>
      <c r="D295" s="2">
        <v>0.35</v>
      </c>
      <c r="E295" s="3" t="e">
        <f>ABS(D295 - LOOKUP(C295, SweepStudyConfig[StudyId], SweepStudyConfig[OriginalAllocFractionA])) &lt; 0.03</f>
        <v>#VALUE!</v>
      </c>
      <c r="F295" s="3" t="e">
        <f>LOOKUP(C295, SweepStudyConfig[StudyId], SweepStudyConfig[NSweepStratumTotal])</f>
        <v>#VALUE!</v>
      </c>
      <c r="G295" s="3" t="e">
        <f>ROUND(F295 * D295)</f>
        <v>#VALUE!</v>
      </c>
      <c r="H295" s="3" t="e">
        <f>F295 - G295</f>
        <v>#VALUE!</v>
      </c>
      <c r="I295" s="3" t="e">
        <f>LOOKUP(C295, SweepStudyConfig[StudyId], SweepStudyConfig[NFixedA])</f>
        <v>#VALUE!</v>
      </c>
      <c r="J295" s="3" t="e">
        <f>LOOKUP(C295, SweepStudyConfig[StudyId], SweepStudyConfig[NFixedB])</f>
        <v>#VALUE!</v>
      </c>
      <c r="K295" s="3" t="e">
        <f>LOOKUP(C295, SweepStudyConfig[StudyId], SweepStudyConfig[SweepRateA])</f>
        <v>#VALUE!</v>
      </c>
      <c r="L295" s="3" t="e">
        <f>LOOKUP(C295, SweepStudyConfig[StudyId], SweepStudyConfig[SweepRateB])</f>
        <v>#VALUE!</v>
      </c>
      <c r="M295" s="3" t="e">
        <f>LOOKUP(C295, SweepStudyConfig[StudyId], SweepStudyConfig[FixedRateA])</f>
        <v>#VALUE!</v>
      </c>
      <c r="N295" s="3" t="e">
        <f>LOOKUP(C295, SweepStudyConfig[StudyId], SweepStudyConfig[FixedRateB])</f>
        <v>#VALUE!</v>
      </c>
      <c r="O295" s="3" t="e">
        <f>IF(G295 + I295 = 0, "", (G295 * K295 + I295 * M295) / (G295 + I295))</f>
        <v>#VALUE!</v>
      </c>
      <c r="P295" s="3" t="e">
        <f>IF(H295 + J295 = 0, "", (H295 * L295 + J295 * N295) / (H295 + J295))</f>
        <v>#VALUE!</v>
      </c>
      <c r="Q295" s="3" t="e">
        <f>IF(O295 = "", "", O295 - P295)</f>
        <v>#VALUE!</v>
      </c>
      <c r="R295" s="3" t="e">
        <f>LOOKUP(C295, SweepStudyConfig[StudyId], SweepStudyConfig[SweepCorrectedGap])</f>
        <v>#VALUE!</v>
      </c>
      <c r="S295" s="3" t="e">
        <f>IF(Q295 = "", "", Q295 - R295)</f>
        <v>#VALUE!</v>
      </c>
    </row>
    <row r="296">
      <c r="A296" s="2" t="s">
        <v>3584</v>
      </c>
      <c r="B296" s="3" t="str">
        <f>A296</f>
        <v>exercise-cholesterol-age-f045</v>
      </c>
      <c r="C296" s="2" t="s">
        <v>530</v>
      </c>
      <c r="D296" s="2">
        <v>0.45</v>
      </c>
      <c r="E296" s="3" t="e">
        <f>ABS(D296 - LOOKUP(C296, SweepStudyConfig[StudyId], SweepStudyConfig[OriginalAllocFractionA])) &lt; 0.03</f>
        <v>#VALUE!</v>
      </c>
      <c r="F296" s="3" t="e">
        <f>LOOKUP(C296, SweepStudyConfig[StudyId], SweepStudyConfig[NSweepStratumTotal])</f>
        <v>#VALUE!</v>
      </c>
      <c r="G296" s="3" t="e">
        <f>ROUND(F296 * D296)</f>
        <v>#VALUE!</v>
      </c>
      <c r="H296" s="3" t="e">
        <f>F296 - G296</f>
        <v>#VALUE!</v>
      </c>
      <c r="I296" s="3" t="e">
        <f>LOOKUP(C296, SweepStudyConfig[StudyId], SweepStudyConfig[NFixedA])</f>
        <v>#VALUE!</v>
      </c>
      <c r="J296" s="3" t="e">
        <f>LOOKUP(C296, SweepStudyConfig[StudyId], SweepStudyConfig[NFixedB])</f>
        <v>#VALUE!</v>
      </c>
      <c r="K296" s="3" t="e">
        <f>LOOKUP(C296, SweepStudyConfig[StudyId], SweepStudyConfig[SweepRateA])</f>
        <v>#VALUE!</v>
      </c>
      <c r="L296" s="3" t="e">
        <f>LOOKUP(C296, SweepStudyConfig[StudyId], SweepStudyConfig[SweepRateB])</f>
        <v>#VALUE!</v>
      </c>
      <c r="M296" s="3" t="e">
        <f>LOOKUP(C296, SweepStudyConfig[StudyId], SweepStudyConfig[FixedRateA])</f>
        <v>#VALUE!</v>
      </c>
      <c r="N296" s="3" t="e">
        <f>LOOKUP(C296, SweepStudyConfig[StudyId], SweepStudyConfig[FixedRateB])</f>
        <v>#VALUE!</v>
      </c>
      <c r="O296" s="3" t="e">
        <f>IF(G296 + I296 = 0, "", (G296 * K296 + I296 * M296) / (G296 + I296))</f>
        <v>#VALUE!</v>
      </c>
      <c r="P296" s="3" t="e">
        <f>IF(H296 + J296 = 0, "", (H296 * L296 + J296 * N296) / (H296 + J296))</f>
        <v>#VALUE!</v>
      </c>
      <c r="Q296" s="3" t="e">
        <f>IF(O296 = "", "", O296 - P296)</f>
        <v>#VALUE!</v>
      </c>
      <c r="R296" s="3" t="e">
        <f>LOOKUP(C296, SweepStudyConfig[StudyId], SweepStudyConfig[SweepCorrectedGap])</f>
        <v>#VALUE!</v>
      </c>
      <c r="S296" s="3" t="e">
        <f>IF(Q296 = "", "", Q296 - R296)</f>
        <v>#VALUE!</v>
      </c>
    </row>
    <row r="297">
      <c r="A297" s="2" t="s">
        <v>3585</v>
      </c>
      <c r="B297" s="3" t="str">
        <f>A297</f>
        <v>exercise-cholesterol-age-f055</v>
      </c>
      <c r="C297" s="2" t="s">
        <v>530</v>
      </c>
      <c r="D297" s="2">
        <v>0.55</v>
      </c>
      <c r="E297" s="3" t="e">
        <f>ABS(D297 - LOOKUP(C297, SweepStudyConfig[StudyId], SweepStudyConfig[OriginalAllocFractionA])) &lt; 0.03</f>
        <v>#VALUE!</v>
      </c>
      <c r="F297" s="3" t="e">
        <f>LOOKUP(C297, SweepStudyConfig[StudyId], SweepStudyConfig[NSweepStratumTotal])</f>
        <v>#VALUE!</v>
      </c>
      <c r="G297" s="3" t="e">
        <f>ROUND(F297 * D297)</f>
        <v>#VALUE!</v>
      </c>
      <c r="H297" s="3" t="e">
        <f>F297 - G297</f>
        <v>#VALUE!</v>
      </c>
      <c r="I297" s="3" t="e">
        <f>LOOKUP(C297, SweepStudyConfig[StudyId], SweepStudyConfig[NFixedA])</f>
        <v>#VALUE!</v>
      </c>
      <c r="J297" s="3" t="e">
        <f>LOOKUP(C297, SweepStudyConfig[StudyId], SweepStudyConfig[NFixedB])</f>
        <v>#VALUE!</v>
      </c>
      <c r="K297" s="3" t="e">
        <f>LOOKUP(C297, SweepStudyConfig[StudyId], SweepStudyConfig[SweepRateA])</f>
        <v>#VALUE!</v>
      </c>
      <c r="L297" s="3" t="e">
        <f>LOOKUP(C297, SweepStudyConfig[StudyId], SweepStudyConfig[SweepRateB])</f>
        <v>#VALUE!</v>
      </c>
      <c r="M297" s="3" t="e">
        <f>LOOKUP(C297, SweepStudyConfig[StudyId], SweepStudyConfig[FixedRateA])</f>
        <v>#VALUE!</v>
      </c>
      <c r="N297" s="3" t="e">
        <f>LOOKUP(C297, SweepStudyConfig[StudyId], SweepStudyConfig[FixedRateB])</f>
        <v>#VALUE!</v>
      </c>
      <c r="O297" s="3" t="e">
        <f>IF(G297 + I297 = 0, "", (G297 * K297 + I297 * M297) / (G297 + I297))</f>
        <v>#VALUE!</v>
      </c>
      <c r="P297" s="3" t="e">
        <f>IF(H297 + J297 = 0, "", (H297 * L297 + J297 * N297) / (H297 + J297))</f>
        <v>#VALUE!</v>
      </c>
      <c r="Q297" s="3" t="e">
        <f>IF(O297 = "", "", O297 - P297)</f>
        <v>#VALUE!</v>
      </c>
      <c r="R297" s="3" t="e">
        <f>LOOKUP(C297, SweepStudyConfig[StudyId], SweepStudyConfig[SweepCorrectedGap])</f>
        <v>#VALUE!</v>
      </c>
      <c r="S297" s="3" t="e">
        <f>IF(Q297 = "", "", Q297 - R297)</f>
        <v>#VALUE!</v>
      </c>
    </row>
    <row r="298">
      <c r="A298" s="2" t="s">
        <v>3586</v>
      </c>
      <c r="B298" s="3" t="str">
        <f>A298</f>
        <v>exercise-cholesterol-age-f065</v>
      </c>
      <c r="C298" s="2" t="s">
        <v>530</v>
      </c>
      <c r="D298" s="2">
        <v>0.65</v>
      </c>
      <c r="E298" s="3" t="e">
        <f>ABS(D298 - LOOKUP(C298, SweepStudyConfig[StudyId], SweepStudyConfig[OriginalAllocFractionA])) &lt; 0.03</f>
        <v>#VALUE!</v>
      </c>
      <c r="F298" s="3" t="e">
        <f>LOOKUP(C298, SweepStudyConfig[StudyId], SweepStudyConfig[NSweepStratumTotal])</f>
        <v>#VALUE!</v>
      </c>
      <c r="G298" s="3" t="e">
        <f>ROUND(F298 * D298)</f>
        <v>#VALUE!</v>
      </c>
      <c r="H298" s="3" t="e">
        <f>F298 - G298</f>
        <v>#VALUE!</v>
      </c>
      <c r="I298" s="3" t="e">
        <f>LOOKUP(C298, SweepStudyConfig[StudyId], SweepStudyConfig[NFixedA])</f>
        <v>#VALUE!</v>
      </c>
      <c r="J298" s="3" t="e">
        <f>LOOKUP(C298, SweepStudyConfig[StudyId], SweepStudyConfig[NFixedB])</f>
        <v>#VALUE!</v>
      </c>
      <c r="K298" s="3" t="e">
        <f>LOOKUP(C298, SweepStudyConfig[StudyId], SweepStudyConfig[SweepRateA])</f>
        <v>#VALUE!</v>
      </c>
      <c r="L298" s="3" t="e">
        <f>LOOKUP(C298, SweepStudyConfig[StudyId], SweepStudyConfig[SweepRateB])</f>
        <v>#VALUE!</v>
      </c>
      <c r="M298" s="3" t="e">
        <f>LOOKUP(C298, SweepStudyConfig[StudyId], SweepStudyConfig[FixedRateA])</f>
        <v>#VALUE!</v>
      </c>
      <c r="N298" s="3" t="e">
        <f>LOOKUP(C298, SweepStudyConfig[StudyId], SweepStudyConfig[FixedRateB])</f>
        <v>#VALUE!</v>
      </c>
      <c r="O298" s="3" t="e">
        <f>IF(G298 + I298 = 0, "", (G298 * K298 + I298 * M298) / (G298 + I298))</f>
        <v>#VALUE!</v>
      </c>
      <c r="P298" s="3" t="e">
        <f>IF(H298 + J298 = 0, "", (H298 * L298 + J298 * N298) / (H298 + J298))</f>
        <v>#VALUE!</v>
      </c>
      <c r="Q298" s="3" t="e">
        <f>IF(O298 = "", "", O298 - P298)</f>
        <v>#VALUE!</v>
      </c>
      <c r="R298" s="3" t="e">
        <f>LOOKUP(C298, SweepStudyConfig[StudyId], SweepStudyConfig[SweepCorrectedGap])</f>
        <v>#VALUE!</v>
      </c>
      <c r="S298" s="3" t="e">
        <f>IF(Q298 = "", "", Q298 - R298)</f>
        <v>#VALUE!</v>
      </c>
    </row>
    <row r="299">
      <c r="A299" s="2" t="s">
        <v>3587</v>
      </c>
      <c r="B299" s="3" t="str">
        <f>A299</f>
        <v>exercise-cholesterol-age-f075</v>
      </c>
      <c r="C299" s="2" t="s">
        <v>530</v>
      </c>
      <c r="D299" s="2">
        <v>0.75</v>
      </c>
      <c r="E299" s="3" t="e">
        <f>ABS(D299 - LOOKUP(C299, SweepStudyConfig[StudyId], SweepStudyConfig[OriginalAllocFractionA])) &lt; 0.03</f>
        <v>#VALUE!</v>
      </c>
      <c r="F299" s="3" t="e">
        <f>LOOKUP(C299, SweepStudyConfig[StudyId], SweepStudyConfig[NSweepStratumTotal])</f>
        <v>#VALUE!</v>
      </c>
      <c r="G299" s="3" t="e">
        <f>ROUND(F299 * D299)</f>
        <v>#VALUE!</v>
      </c>
      <c r="H299" s="3" t="e">
        <f>F299 - G299</f>
        <v>#VALUE!</v>
      </c>
      <c r="I299" s="3" t="e">
        <f>LOOKUP(C299, SweepStudyConfig[StudyId], SweepStudyConfig[NFixedA])</f>
        <v>#VALUE!</v>
      </c>
      <c r="J299" s="3" t="e">
        <f>LOOKUP(C299, SweepStudyConfig[StudyId], SweepStudyConfig[NFixedB])</f>
        <v>#VALUE!</v>
      </c>
      <c r="K299" s="3" t="e">
        <f>LOOKUP(C299, SweepStudyConfig[StudyId], SweepStudyConfig[SweepRateA])</f>
        <v>#VALUE!</v>
      </c>
      <c r="L299" s="3" t="e">
        <f>LOOKUP(C299, SweepStudyConfig[StudyId], SweepStudyConfig[SweepRateB])</f>
        <v>#VALUE!</v>
      </c>
      <c r="M299" s="3" t="e">
        <f>LOOKUP(C299, SweepStudyConfig[StudyId], SweepStudyConfig[FixedRateA])</f>
        <v>#VALUE!</v>
      </c>
      <c r="N299" s="3" t="e">
        <f>LOOKUP(C299, SweepStudyConfig[StudyId], SweepStudyConfig[FixedRateB])</f>
        <v>#VALUE!</v>
      </c>
      <c r="O299" s="3" t="e">
        <f>IF(G299 + I299 = 0, "", (G299 * K299 + I299 * M299) / (G299 + I299))</f>
        <v>#VALUE!</v>
      </c>
      <c r="P299" s="3" t="e">
        <f>IF(H299 + J299 = 0, "", (H299 * L299 + J299 * N299) / (H299 + J299))</f>
        <v>#VALUE!</v>
      </c>
      <c r="Q299" s="3" t="e">
        <f>IF(O299 = "", "", O299 - P299)</f>
        <v>#VALUE!</v>
      </c>
      <c r="R299" s="3" t="e">
        <f>LOOKUP(C299, SweepStudyConfig[StudyId], SweepStudyConfig[SweepCorrectedGap])</f>
        <v>#VALUE!</v>
      </c>
      <c r="S299" s="3" t="e">
        <f>IF(Q299 = "", "", Q299 - R299)</f>
        <v>#VALUE!</v>
      </c>
    </row>
    <row r="300">
      <c r="A300" s="2" t="s">
        <v>3588</v>
      </c>
      <c r="B300" s="3" t="str">
        <f>A300</f>
        <v>exercise-cholesterol-age-f085</v>
      </c>
      <c r="C300" s="2" t="s">
        <v>530</v>
      </c>
      <c r="D300" s="2">
        <v>0.85</v>
      </c>
      <c r="E300" s="3" t="e">
        <f>ABS(D300 - LOOKUP(C300, SweepStudyConfig[StudyId], SweepStudyConfig[OriginalAllocFractionA])) &lt; 0.03</f>
        <v>#VALUE!</v>
      </c>
      <c r="F300" s="3" t="e">
        <f>LOOKUP(C300, SweepStudyConfig[StudyId], SweepStudyConfig[NSweepStratumTotal])</f>
        <v>#VALUE!</v>
      </c>
      <c r="G300" s="3" t="e">
        <f>ROUND(F300 * D300)</f>
        <v>#VALUE!</v>
      </c>
      <c r="H300" s="3" t="e">
        <f>F300 - G300</f>
        <v>#VALUE!</v>
      </c>
      <c r="I300" s="3" t="e">
        <f>LOOKUP(C300, SweepStudyConfig[StudyId], SweepStudyConfig[NFixedA])</f>
        <v>#VALUE!</v>
      </c>
      <c r="J300" s="3" t="e">
        <f>LOOKUP(C300, SweepStudyConfig[StudyId], SweepStudyConfig[NFixedB])</f>
        <v>#VALUE!</v>
      </c>
      <c r="K300" s="3" t="e">
        <f>LOOKUP(C300, SweepStudyConfig[StudyId], SweepStudyConfig[SweepRateA])</f>
        <v>#VALUE!</v>
      </c>
      <c r="L300" s="3" t="e">
        <f>LOOKUP(C300, SweepStudyConfig[StudyId], SweepStudyConfig[SweepRateB])</f>
        <v>#VALUE!</v>
      </c>
      <c r="M300" s="3" t="e">
        <f>LOOKUP(C300, SweepStudyConfig[StudyId], SweepStudyConfig[FixedRateA])</f>
        <v>#VALUE!</v>
      </c>
      <c r="N300" s="3" t="e">
        <f>LOOKUP(C300, SweepStudyConfig[StudyId], SweepStudyConfig[FixedRateB])</f>
        <v>#VALUE!</v>
      </c>
      <c r="O300" s="3" t="e">
        <f>IF(G300 + I300 = 0, "", (G300 * K300 + I300 * M300) / (G300 + I300))</f>
        <v>#VALUE!</v>
      </c>
      <c r="P300" s="3" t="e">
        <f>IF(H300 + J300 = 0, "", (H300 * L300 + J300 * N300) / (H300 + J300))</f>
        <v>#VALUE!</v>
      </c>
      <c r="Q300" s="3" t="e">
        <f>IF(O300 = "", "", O300 - P300)</f>
        <v>#VALUE!</v>
      </c>
      <c r="R300" s="3" t="e">
        <f>LOOKUP(C300, SweepStudyConfig[StudyId], SweepStudyConfig[SweepCorrectedGap])</f>
        <v>#VALUE!</v>
      </c>
      <c r="S300" s="3" t="e">
        <f>IF(Q300 = "", "", Q300 - R300)</f>
        <v>#VALUE!</v>
      </c>
    </row>
    <row r="301">
      <c r="A301" s="2" t="s">
        <v>3589</v>
      </c>
      <c r="B301" s="3" t="str">
        <f>A301</f>
        <v>exercise-cholesterol-age-f095</v>
      </c>
      <c r="C301" s="2" t="s">
        <v>530</v>
      </c>
      <c r="D301" s="2">
        <v>0.95</v>
      </c>
      <c r="E301" s="3" t="e">
        <f>ABS(D301 - LOOKUP(C301, SweepStudyConfig[StudyId], SweepStudyConfig[OriginalAllocFractionA])) &lt; 0.03</f>
        <v>#VALUE!</v>
      </c>
      <c r="F301" s="3" t="e">
        <f>LOOKUP(C301, SweepStudyConfig[StudyId], SweepStudyConfig[NSweepStratumTotal])</f>
        <v>#VALUE!</v>
      </c>
      <c r="G301" s="3" t="e">
        <f>ROUND(F301 * D301)</f>
        <v>#VALUE!</v>
      </c>
      <c r="H301" s="3" t="e">
        <f>F301 - G301</f>
        <v>#VALUE!</v>
      </c>
      <c r="I301" s="3" t="e">
        <f>LOOKUP(C301, SweepStudyConfig[StudyId], SweepStudyConfig[NFixedA])</f>
        <v>#VALUE!</v>
      </c>
      <c r="J301" s="3" t="e">
        <f>LOOKUP(C301, SweepStudyConfig[StudyId], SweepStudyConfig[NFixedB])</f>
        <v>#VALUE!</v>
      </c>
      <c r="K301" s="3" t="e">
        <f>LOOKUP(C301, SweepStudyConfig[StudyId], SweepStudyConfig[SweepRateA])</f>
        <v>#VALUE!</v>
      </c>
      <c r="L301" s="3" t="e">
        <f>LOOKUP(C301, SweepStudyConfig[StudyId], SweepStudyConfig[SweepRateB])</f>
        <v>#VALUE!</v>
      </c>
      <c r="M301" s="3" t="e">
        <f>LOOKUP(C301, SweepStudyConfig[StudyId], SweepStudyConfig[FixedRateA])</f>
        <v>#VALUE!</v>
      </c>
      <c r="N301" s="3" t="e">
        <f>LOOKUP(C301, SweepStudyConfig[StudyId], SweepStudyConfig[FixedRateB])</f>
        <v>#VALUE!</v>
      </c>
      <c r="O301" s="3" t="e">
        <f>IF(G301 + I301 = 0, "", (G301 * K301 + I301 * M301) / (G301 + I301))</f>
        <v>#VALUE!</v>
      </c>
      <c r="P301" s="3" t="e">
        <f>IF(H301 + J301 = 0, "", (H301 * L301 + J301 * N301) / (H301 + J301))</f>
        <v>#VALUE!</v>
      </c>
      <c r="Q301" s="3" t="e">
        <f>IF(O301 = "", "", O301 - P301)</f>
        <v>#VALUE!</v>
      </c>
      <c r="R301" s="3" t="e">
        <f>LOOKUP(C301, SweepStudyConfig[StudyId], SweepStudyConfig[SweepCorrectedGap])</f>
        <v>#VALUE!</v>
      </c>
      <c r="S301" s="3" t="e">
        <f>IF(Q301 = "", "", Q301 - R301)</f>
        <v>#VALUE!</v>
      </c>
    </row>
    <row r="302">
      <c r="A302" s="2" t="s">
        <v>3590</v>
      </c>
      <c r="B302" s="3" t="str">
        <f>A302</f>
        <v>red-meat-colorectal-bmi-f005</v>
      </c>
      <c r="C302" s="2" t="s">
        <v>533</v>
      </c>
      <c r="D302" s="2">
        <v>0.05</v>
      </c>
      <c r="E302" s="3" t="e">
        <f>ABS(D302 - LOOKUP(C302, SweepStudyConfig[StudyId], SweepStudyConfig[OriginalAllocFractionA])) &lt; 0.03</f>
        <v>#VALUE!</v>
      </c>
      <c r="F302" s="3" t="e">
        <f>LOOKUP(C302, SweepStudyConfig[StudyId], SweepStudyConfig[NSweepStratumTotal])</f>
        <v>#VALUE!</v>
      </c>
      <c r="G302" s="3" t="e">
        <f>ROUND(F302 * D302)</f>
        <v>#VALUE!</v>
      </c>
      <c r="H302" s="3" t="e">
        <f>F302 - G302</f>
        <v>#VALUE!</v>
      </c>
      <c r="I302" s="3" t="e">
        <f>LOOKUP(C302, SweepStudyConfig[StudyId], SweepStudyConfig[NFixedA])</f>
        <v>#VALUE!</v>
      </c>
      <c r="J302" s="3" t="e">
        <f>LOOKUP(C302, SweepStudyConfig[StudyId], SweepStudyConfig[NFixedB])</f>
        <v>#VALUE!</v>
      </c>
      <c r="K302" s="3" t="e">
        <f>LOOKUP(C302, SweepStudyConfig[StudyId], SweepStudyConfig[SweepRateA])</f>
        <v>#VALUE!</v>
      </c>
      <c r="L302" s="3" t="e">
        <f>LOOKUP(C302, SweepStudyConfig[StudyId], SweepStudyConfig[SweepRateB])</f>
        <v>#VALUE!</v>
      </c>
      <c r="M302" s="3" t="e">
        <f>LOOKUP(C302, SweepStudyConfig[StudyId], SweepStudyConfig[FixedRateA])</f>
        <v>#VALUE!</v>
      </c>
      <c r="N302" s="3" t="e">
        <f>LOOKUP(C302, SweepStudyConfig[StudyId], SweepStudyConfig[FixedRateB])</f>
        <v>#VALUE!</v>
      </c>
      <c r="O302" s="3" t="e">
        <f>IF(G302 + I302 = 0, "", (G302 * K302 + I302 * M302) / (G302 + I302))</f>
        <v>#VALUE!</v>
      </c>
      <c r="P302" s="3" t="e">
        <f>IF(H302 + J302 = 0, "", (H302 * L302 + J302 * N302) / (H302 + J302))</f>
        <v>#VALUE!</v>
      </c>
      <c r="Q302" s="3" t="e">
        <f>IF(O302 = "", "", O302 - P302)</f>
        <v>#VALUE!</v>
      </c>
      <c r="R302" s="3" t="e">
        <f>LOOKUP(C302, SweepStudyConfig[StudyId], SweepStudyConfig[SweepCorrectedGap])</f>
        <v>#VALUE!</v>
      </c>
      <c r="S302" s="3" t="e">
        <f>IF(Q302 = "", "", Q302 - R302)</f>
        <v>#VALUE!</v>
      </c>
    </row>
    <row r="303">
      <c r="A303" s="2" t="s">
        <v>3591</v>
      </c>
      <c r="B303" s="3" t="str">
        <f>A303</f>
        <v>red-meat-colorectal-bmi-f015</v>
      </c>
      <c r="C303" s="2" t="s">
        <v>533</v>
      </c>
      <c r="D303" s="2">
        <v>0.15</v>
      </c>
      <c r="E303" s="3" t="e">
        <f>ABS(D303 - LOOKUP(C303, SweepStudyConfig[StudyId], SweepStudyConfig[OriginalAllocFractionA])) &lt; 0.03</f>
        <v>#VALUE!</v>
      </c>
      <c r="F303" s="3" t="e">
        <f>LOOKUP(C303, SweepStudyConfig[StudyId], SweepStudyConfig[NSweepStratumTotal])</f>
        <v>#VALUE!</v>
      </c>
      <c r="G303" s="3" t="e">
        <f>ROUND(F303 * D303)</f>
        <v>#VALUE!</v>
      </c>
      <c r="H303" s="3" t="e">
        <f>F303 - G303</f>
        <v>#VALUE!</v>
      </c>
      <c r="I303" s="3" t="e">
        <f>LOOKUP(C303, SweepStudyConfig[StudyId], SweepStudyConfig[NFixedA])</f>
        <v>#VALUE!</v>
      </c>
      <c r="J303" s="3" t="e">
        <f>LOOKUP(C303, SweepStudyConfig[StudyId], SweepStudyConfig[NFixedB])</f>
        <v>#VALUE!</v>
      </c>
      <c r="K303" s="3" t="e">
        <f>LOOKUP(C303, SweepStudyConfig[StudyId], SweepStudyConfig[SweepRateA])</f>
        <v>#VALUE!</v>
      </c>
      <c r="L303" s="3" t="e">
        <f>LOOKUP(C303, SweepStudyConfig[StudyId], SweepStudyConfig[SweepRateB])</f>
        <v>#VALUE!</v>
      </c>
      <c r="M303" s="3" t="e">
        <f>LOOKUP(C303, SweepStudyConfig[StudyId], SweepStudyConfig[FixedRateA])</f>
        <v>#VALUE!</v>
      </c>
      <c r="N303" s="3" t="e">
        <f>LOOKUP(C303, SweepStudyConfig[StudyId], SweepStudyConfig[FixedRateB])</f>
        <v>#VALUE!</v>
      </c>
      <c r="O303" s="3" t="e">
        <f>IF(G303 + I303 = 0, "", (G303 * K303 + I303 * M303) / (G303 + I303))</f>
        <v>#VALUE!</v>
      </c>
      <c r="P303" s="3" t="e">
        <f>IF(H303 + J303 = 0, "", (H303 * L303 + J303 * N303) / (H303 + J303))</f>
        <v>#VALUE!</v>
      </c>
      <c r="Q303" s="3" t="e">
        <f>IF(O303 = "", "", O303 - P303)</f>
        <v>#VALUE!</v>
      </c>
      <c r="R303" s="3" t="e">
        <f>LOOKUP(C303, SweepStudyConfig[StudyId], SweepStudyConfig[SweepCorrectedGap])</f>
        <v>#VALUE!</v>
      </c>
      <c r="S303" s="3" t="e">
        <f>IF(Q303 = "", "", Q303 - R303)</f>
        <v>#VALUE!</v>
      </c>
    </row>
    <row r="304">
      <c r="A304" s="2" t="s">
        <v>3592</v>
      </c>
      <c r="B304" s="3" t="str">
        <f>A304</f>
        <v>red-meat-colorectal-bmi-f025</v>
      </c>
      <c r="C304" s="2" t="s">
        <v>533</v>
      </c>
      <c r="D304" s="2">
        <v>0.25</v>
      </c>
      <c r="E304" s="3" t="e">
        <f>ABS(D304 - LOOKUP(C304, SweepStudyConfig[StudyId], SweepStudyConfig[OriginalAllocFractionA])) &lt; 0.03</f>
        <v>#VALUE!</v>
      </c>
      <c r="F304" s="3" t="e">
        <f>LOOKUP(C304, SweepStudyConfig[StudyId], SweepStudyConfig[NSweepStratumTotal])</f>
        <v>#VALUE!</v>
      </c>
      <c r="G304" s="3" t="e">
        <f>ROUND(F304 * D304)</f>
        <v>#VALUE!</v>
      </c>
      <c r="H304" s="3" t="e">
        <f>F304 - G304</f>
        <v>#VALUE!</v>
      </c>
      <c r="I304" s="3" t="e">
        <f>LOOKUP(C304, SweepStudyConfig[StudyId], SweepStudyConfig[NFixedA])</f>
        <v>#VALUE!</v>
      </c>
      <c r="J304" s="3" t="e">
        <f>LOOKUP(C304, SweepStudyConfig[StudyId], SweepStudyConfig[NFixedB])</f>
        <v>#VALUE!</v>
      </c>
      <c r="K304" s="3" t="e">
        <f>LOOKUP(C304, SweepStudyConfig[StudyId], SweepStudyConfig[SweepRateA])</f>
        <v>#VALUE!</v>
      </c>
      <c r="L304" s="3" t="e">
        <f>LOOKUP(C304, SweepStudyConfig[StudyId], SweepStudyConfig[SweepRateB])</f>
        <v>#VALUE!</v>
      </c>
      <c r="M304" s="3" t="e">
        <f>LOOKUP(C304, SweepStudyConfig[StudyId], SweepStudyConfig[FixedRateA])</f>
        <v>#VALUE!</v>
      </c>
      <c r="N304" s="3" t="e">
        <f>LOOKUP(C304, SweepStudyConfig[StudyId], SweepStudyConfig[FixedRateB])</f>
        <v>#VALUE!</v>
      </c>
      <c r="O304" s="3" t="e">
        <f>IF(G304 + I304 = 0, "", (G304 * K304 + I304 * M304) / (G304 + I304))</f>
        <v>#VALUE!</v>
      </c>
      <c r="P304" s="3" t="e">
        <f>IF(H304 + J304 = 0, "", (H304 * L304 + J304 * N304) / (H304 + J304))</f>
        <v>#VALUE!</v>
      </c>
      <c r="Q304" s="3" t="e">
        <f>IF(O304 = "", "", O304 - P304)</f>
        <v>#VALUE!</v>
      </c>
      <c r="R304" s="3" t="e">
        <f>LOOKUP(C304, SweepStudyConfig[StudyId], SweepStudyConfig[SweepCorrectedGap])</f>
        <v>#VALUE!</v>
      </c>
      <c r="S304" s="3" t="e">
        <f>IF(Q304 = "", "", Q304 - R304)</f>
        <v>#VALUE!</v>
      </c>
    </row>
    <row r="305">
      <c r="A305" s="2" t="s">
        <v>3593</v>
      </c>
      <c r="B305" s="3" t="str">
        <f>A305</f>
        <v>red-meat-colorectal-bmi-f035</v>
      </c>
      <c r="C305" s="2" t="s">
        <v>533</v>
      </c>
      <c r="D305" s="2">
        <v>0.35</v>
      </c>
      <c r="E305" s="3" t="e">
        <f>ABS(D305 - LOOKUP(C305, SweepStudyConfig[StudyId], SweepStudyConfig[OriginalAllocFractionA])) &lt; 0.03</f>
        <v>#VALUE!</v>
      </c>
      <c r="F305" s="3" t="e">
        <f>LOOKUP(C305, SweepStudyConfig[StudyId], SweepStudyConfig[NSweepStratumTotal])</f>
        <v>#VALUE!</v>
      </c>
      <c r="G305" s="3" t="e">
        <f>ROUND(F305 * D305)</f>
        <v>#VALUE!</v>
      </c>
      <c r="H305" s="3" t="e">
        <f>F305 - G305</f>
        <v>#VALUE!</v>
      </c>
      <c r="I305" s="3" t="e">
        <f>LOOKUP(C305, SweepStudyConfig[StudyId], SweepStudyConfig[NFixedA])</f>
        <v>#VALUE!</v>
      </c>
      <c r="J305" s="3" t="e">
        <f>LOOKUP(C305, SweepStudyConfig[StudyId], SweepStudyConfig[NFixedB])</f>
        <v>#VALUE!</v>
      </c>
      <c r="K305" s="3" t="e">
        <f>LOOKUP(C305, SweepStudyConfig[StudyId], SweepStudyConfig[SweepRateA])</f>
        <v>#VALUE!</v>
      </c>
      <c r="L305" s="3" t="e">
        <f>LOOKUP(C305, SweepStudyConfig[StudyId], SweepStudyConfig[SweepRateB])</f>
        <v>#VALUE!</v>
      </c>
      <c r="M305" s="3" t="e">
        <f>LOOKUP(C305, SweepStudyConfig[StudyId], SweepStudyConfig[FixedRateA])</f>
        <v>#VALUE!</v>
      </c>
      <c r="N305" s="3" t="e">
        <f>LOOKUP(C305, SweepStudyConfig[StudyId], SweepStudyConfig[FixedRateB])</f>
        <v>#VALUE!</v>
      </c>
      <c r="O305" s="3" t="e">
        <f>IF(G305 + I305 = 0, "", (G305 * K305 + I305 * M305) / (G305 + I305))</f>
        <v>#VALUE!</v>
      </c>
      <c r="P305" s="3" t="e">
        <f>IF(H305 + J305 = 0, "", (H305 * L305 + J305 * N305) / (H305 + J305))</f>
        <v>#VALUE!</v>
      </c>
      <c r="Q305" s="3" t="e">
        <f>IF(O305 = "", "", O305 - P305)</f>
        <v>#VALUE!</v>
      </c>
      <c r="R305" s="3" t="e">
        <f>LOOKUP(C305, SweepStudyConfig[StudyId], SweepStudyConfig[SweepCorrectedGap])</f>
        <v>#VALUE!</v>
      </c>
      <c r="S305" s="3" t="e">
        <f>IF(Q305 = "", "", Q305 - R305)</f>
        <v>#VALUE!</v>
      </c>
    </row>
    <row r="306">
      <c r="A306" s="2" t="s">
        <v>3594</v>
      </c>
      <c r="B306" s="3" t="str">
        <f>A306</f>
        <v>red-meat-colorectal-bmi-f045</v>
      </c>
      <c r="C306" s="2" t="s">
        <v>533</v>
      </c>
      <c r="D306" s="2">
        <v>0.45</v>
      </c>
      <c r="E306" s="3" t="e">
        <f>ABS(D306 - LOOKUP(C306, SweepStudyConfig[StudyId], SweepStudyConfig[OriginalAllocFractionA])) &lt; 0.03</f>
        <v>#VALUE!</v>
      </c>
      <c r="F306" s="3" t="e">
        <f>LOOKUP(C306, SweepStudyConfig[StudyId], SweepStudyConfig[NSweepStratumTotal])</f>
        <v>#VALUE!</v>
      </c>
      <c r="G306" s="3" t="e">
        <f>ROUND(F306 * D306)</f>
        <v>#VALUE!</v>
      </c>
      <c r="H306" s="3" t="e">
        <f>F306 - G306</f>
        <v>#VALUE!</v>
      </c>
      <c r="I306" s="3" t="e">
        <f>LOOKUP(C306, SweepStudyConfig[StudyId], SweepStudyConfig[NFixedA])</f>
        <v>#VALUE!</v>
      </c>
      <c r="J306" s="3" t="e">
        <f>LOOKUP(C306, SweepStudyConfig[StudyId], SweepStudyConfig[NFixedB])</f>
        <v>#VALUE!</v>
      </c>
      <c r="K306" s="3" t="e">
        <f>LOOKUP(C306, SweepStudyConfig[StudyId], SweepStudyConfig[SweepRateA])</f>
        <v>#VALUE!</v>
      </c>
      <c r="L306" s="3" t="e">
        <f>LOOKUP(C306, SweepStudyConfig[StudyId], SweepStudyConfig[SweepRateB])</f>
        <v>#VALUE!</v>
      </c>
      <c r="M306" s="3" t="e">
        <f>LOOKUP(C306, SweepStudyConfig[StudyId], SweepStudyConfig[FixedRateA])</f>
        <v>#VALUE!</v>
      </c>
      <c r="N306" s="3" t="e">
        <f>LOOKUP(C306, SweepStudyConfig[StudyId], SweepStudyConfig[FixedRateB])</f>
        <v>#VALUE!</v>
      </c>
      <c r="O306" s="3" t="e">
        <f>IF(G306 + I306 = 0, "", (G306 * K306 + I306 * M306) / (G306 + I306))</f>
        <v>#VALUE!</v>
      </c>
      <c r="P306" s="3" t="e">
        <f>IF(H306 + J306 = 0, "", (H306 * L306 + J306 * N306) / (H306 + J306))</f>
        <v>#VALUE!</v>
      </c>
      <c r="Q306" s="3" t="e">
        <f>IF(O306 = "", "", O306 - P306)</f>
        <v>#VALUE!</v>
      </c>
      <c r="R306" s="3" t="e">
        <f>LOOKUP(C306, SweepStudyConfig[StudyId], SweepStudyConfig[SweepCorrectedGap])</f>
        <v>#VALUE!</v>
      </c>
      <c r="S306" s="3" t="e">
        <f>IF(Q306 = "", "", Q306 - R306)</f>
        <v>#VALUE!</v>
      </c>
    </row>
    <row r="307">
      <c r="A307" s="2" t="s">
        <v>3595</v>
      </c>
      <c r="B307" s="3" t="str">
        <f>A307</f>
        <v>red-meat-colorectal-bmi-f055</v>
      </c>
      <c r="C307" s="2" t="s">
        <v>533</v>
      </c>
      <c r="D307" s="2">
        <v>0.55</v>
      </c>
      <c r="E307" s="3" t="e">
        <f>ABS(D307 - LOOKUP(C307, SweepStudyConfig[StudyId], SweepStudyConfig[OriginalAllocFractionA])) &lt; 0.03</f>
        <v>#VALUE!</v>
      </c>
      <c r="F307" s="3" t="e">
        <f>LOOKUP(C307, SweepStudyConfig[StudyId], SweepStudyConfig[NSweepStratumTotal])</f>
        <v>#VALUE!</v>
      </c>
      <c r="G307" s="3" t="e">
        <f>ROUND(F307 * D307)</f>
        <v>#VALUE!</v>
      </c>
      <c r="H307" s="3" t="e">
        <f>F307 - G307</f>
        <v>#VALUE!</v>
      </c>
      <c r="I307" s="3" t="e">
        <f>LOOKUP(C307, SweepStudyConfig[StudyId], SweepStudyConfig[NFixedA])</f>
        <v>#VALUE!</v>
      </c>
      <c r="J307" s="3" t="e">
        <f>LOOKUP(C307, SweepStudyConfig[StudyId], SweepStudyConfig[NFixedB])</f>
        <v>#VALUE!</v>
      </c>
      <c r="K307" s="3" t="e">
        <f>LOOKUP(C307, SweepStudyConfig[StudyId], SweepStudyConfig[SweepRateA])</f>
        <v>#VALUE!</v>
      </c>
      <c r="L307" s="3" t="e">
        <f>LOOKUP(C307, SweepStudyConfig[StudyId], SweepStudyConfig[SweepRateB])</f>
        <v>#VALUE!</v>
      </c>
      <c r="M307" s="3" t="e">
        <f>LOOKUP(C307, SweepStudyConfig[StudyId], SweepStudyConfig[FixedRateA])</f>
        <v>#VALUE!</v>
      </c>
      <c r="N307" s="3" t="e">
        <f>LOOKUP(C307, SweepStudyConfig[StudyId], SweepStudyConfig[FixedRateB])</f>
        <v>#VALUE!</v>
      </c>
      <c r="O307" s="3" t="e">
        <f>IF(G307 + I307 = 0, "", (G307 * K307 + I307 * M307) / (G307 + I307))</f>
        <v>#VALUE!</v>
      </c>
      <c r="P307" s="3" t="e">
        <f>IF(H307 + J307 = 0, "", (H307 * L307 + J307 * N307) / (H307 + J307))</f>
        <v>#VALUE!</v>
      </c>
      <c r="Q307" s="3" t="e">
        <f>IF(O307 = "", "", O307 - P307)</f>
        <v>#VALUE!</v>
      </c>
      <c r="R307" s="3" t="e">
        <f>LOOKUP(C307, SweepStudyConfig[StudyId], SweepStudyConfig[SweepCorrectedGap])</f>
        <v>#VALUE!</v>
      </c>
      <c r="S307" s="3" t="e">
        <f>IF(Q307 = "", "", Q307 - R307)</f>
        <v>#VALUE!</v>
      </c>
    </row>
    <row r="308">
      <c r="A308" s="2" t="s">
        <v>3596</v>
      </c>
      <c r="B308" s="3" t="str">
        <f>A308</f>
        <v>red-meat-colorectal-bmi-f065</v>
      </c>
      <c r="C308" s="2" t="s">
        <v>533</v>
      </c>
      <c r="D308" s="2">
        <v>0.65</v>
      </c>
      <c r="E308" s="3" t="e">
        <f>ABS(D308 - LOOKUP(C308, SweepStudyConfig[StudyId], SweepStudyConfig[OriginalAllocFractionA])) &lt; 0.03</f>
        <v>#VALUE!</v>
      </c>
      <c r="F308" s="3" t="e">
        <f>LOOKUP(C308, SweepStudyConfig[StudyId], SweepStudyConfig[NSweepStratumTotal])</f>
        <v>#VALUE!</v>
      </c>
      <c r="G308" s="3" t="e">
        <f>ROUND(F308 * D308)</f>
        <v>#VALUE!</v>
      </c>
      <c r="H308" s="3" t="e">
        <f>F308 - G308</f>
        <v>#VALUE!</v>
      </c>
      <c r="I308" s="3" t="e">
        <f>LOOKUP(C308, SweepStudyConfig[StudyId], SweepStudyConfig[NFixedA])</f>
        <v>#VALUE!</v>
      </c>
      <c r="J308" s="3" t="e">
        <f>LOOKUP(C308, SweepStudyConfig[StudyId], SweepStudyConfig[NFixedB])</f>
        <v>#VALUE!</v>
      </c>
      <c r="K308" s="3" t="e">
        <f>LOOKUP(C308, SweepStudyConfig[StudyId], SweepStudyConfig[SweepRateA])</f>
        <v>#VALUE!</v>
      </c>
      <c r="L308" s="3" t="e">
        <f>LOOKUP(C308, SweepStudyConfig[StudyId], SweepStudyConfig[SweepRateB])</f>
        <v>#VALUE!</v>
      </c>
      <c r="M308" s="3" t="e">
        <f>LOOKUP(C308, SweepStudyConfig[StudyId], SweepStudyConfig[FixedRateA])</f>
        <v>#VALUE!</v>
      </c>
      <c r="N308" s="3" t="e">
        <f>LOOKUP(C308, SweepStudyConfig[StudyId], SweepStudyConfig[FixedRateB])</f>
        <v>#VALUE!</v>
      </c>
      <c r="O308" s="3" t="e">
        <f>IF(G308 + I308 = 0, "", (G308 * K308 + I308 * M308) / (G308 + I308))</f>
        <v>#VALUE!</v>
      </c>
      <c r="P308" s="3" t="e">
        <f>IF(H308 + J308 = 0, "", (H308 * L308 + J308 * N308) / (H308 + J308))</f>
        <v>#VALUE!</v>
      </c>
      <c r="Q308" s="3" t="e">
        <f>IF(O308 = "", "", O308 - P308)</f>
        <v>#VALUE!</v>
      </c>
      <c r="R308" s="3" t="e">
        <f>LOOKUP(C308, SweepStudyConfig[StudyId], SweepStudyConfig[SweepCorrectedGap])</f>
        <v>#VALUE!</v>
      </c>
      <c r="S308" s="3" t="e">
        <f>IF(Q308 = "", "", Q308 - R308)</f>
        <v>#VALUE!</v>
      </c>
    </row>
    <row r="309">
      <c r="A309" s="2" t="s">
        <v>3597</v>
      </c>
      <c r="B309" s="3" t="str">
        <f>A309</f>
        <v>red-meat-colorectal-bmi-f075</v>
      </c>
      <c r="C309" s="2" t="s">
        <v>533</v>
      </c>
      <c r="D309" s="2">
        <v>0.75</v>
      </c>
      <c r="E309" s="3" t="e">
        <f>ABS(D309 - LOOKUP(C309, SweepStudyConfig[StudyId], SweepStudyConfig[OriginalAllocFractionA])) &lt; 0.03</f>
        <v>#VALUE!</v>
      </c>
      <c r="F309" s="3" t="e">
        <f>LOOKUP(C309, SweepStudyConfig[StudyId], SweepStudyConfig[NSweepStratumTotal])</f>
        <v>#VALUE!</v>
      </c>
      <c r="G309" s="3" t="e">
        <f>ROUND(F309 * D309)</f>
        <v>#VALUE!</v>
      </c>
      <c r="H309" s="3" t="e">
        <f>F309 - G309</f>
        <v>#VALUE!</v>
      </c>
      <c r="I309" s="3" t="e">
        <f>LOOKUP(C309, SweepStudyConfig[StudyId], SweepStudyConfig[NFixedA])</f>
        <v>#VALUE!</v>
      </c>
      <c r="J309" s="3" t="e">
        <f>LOOKUP(C309, SweepStudyConfig[StudyId], SweepStudyConfig[NFixedB])</f>
        <v>#VALUE!</v>
      </c>
      <c r="K309" s="3" t="e">
        <f>LOOKUP(C309, SweepStudyConfig[StudyId], SweepStudyConfig[SweepRateA])</f>
        <v>#VALUE!</v>
      </c>
      <c r="L309" s="3" t="e">
        <f>LOOKUP(C309, SweepStudyConfig[StudyId], SweepStudyConfig[SweepRateB])</f>
        <v>#VALUE!</v>
      </c>
      <c r="M309" s="3" t="e">
        <f>LOOKUP(C309, SweepStudyConfig[StudyId], SweepStudyConfig[FixedRateA])</f>
        <v>#VALUE!</v>
      </c>
      <c r="N309" s="3" t="e">
        <f>LOOKUP(C309, SweepStudyConfig[StudyId], SweepStudyConfig[FixedRateB])</f>
        <v>#VALUE!</v>
      </c>
      <c r="O309" s="3" t="e">
        <f>IF(G309 + I309 = 0, "", (G309 * K309 + I309 * M309) / (G309 + I309))</f>
        <v>#VALUE!</v>
      </c>
      <c r="P309" s="3" t="e">
        <f>IF(H309 + J309 = 0, "", (H309 * L309 + J309 * N309) / (H309 + J309))</f>
        <v>#VALUE!</v>
      </c>
      <c r="Q309" s="3" t="e">
        <f>IF(O309 = "", "", O309 - P309)</f>
        <v>#VALUE!</v>
      </c>
      <c r="R309" s="3" t="e">
        <f>LOOKUP(C309, SweepStudyConfig[StudyId], SweepStudyConfig[SweepCorrectedGap])</f>
        <v>#VALUE!</v>
      </c>
      <c r="S309" s="3" t="e">
        <f>IF(Q309 = "", "", Q309 - R309)</f>
        <v>#VALUE!</v>
      </c>
    </row>
    <row r="310">
      <c r="A310" s="2" t="s">
        <v>3598</v>
      </c>
      <c r="B310" s="3" t="str">
        <f>A310</f>
        <v>red-meat-colorectal-bmi-f085</v>
      </c>
      <c r="C310" s="2" t="s">
        <v>533</v>
      </c>
      <c r="D310" s="2">
        <v>0.85</v>
      </c>
      <c r="E310" s="3" t="e">
        <f>ABS(D310 - LOOKUP(C310, SweepStudyConfig[StudyId], SweepStudyConfig[OriginalAllocFractionA])) &lt; 0.03</f>
        <v>#VALUE!</v>
      </c>
      <c r="F310" s="3" t="e">
        <f>LOOKUP(C310, SweepStudyConfig[StudyId], SweepStudyConfig[NSweepStratumTotal])</f>
        <v>#VALUE!</v>
      </c>
      <c r="G310" s="3" t="e">
        <f>ROUND(F310 * D310)</f>
        <v>#VALUE!</v>
      </c>
      <c r="H310" s="3" t="e">
        <f>F310 - G310</f>
        <v>#VALUE!</v>
      </c>
      <c r="I310" s="3" t="e">
        <f>LOOKUP(C310, SweepStudyConfig[StudyId], SweepStudyConfig[NFixedA])</f>
        <v>#VALUE!</v>
      </c>
      <c r="J310" s="3" t="e">
        <f>LOOKUP(C310, SweepStudyConfig[StudyId], SweepStudyConfig[NFixedB])</f>
        <v>#VALUE!</v>
      </c>
      <c r="K310" s="3" t="e">
        <f>LOOKUP(C310, SweepStudyConfig[StudyId], SweepStudyConfig[SweepRateA])</f>
        <v>#VALUE!</v>
      </c>
      <c r="L310" s="3" t="e">
        <f>LOOKUP(C310, SweepStudyConfig[StudyId], SweepStudyConfig[SweepRateB])</f>
        <v>#VALUE!</v>
      </c>
      <c r="M310" s="3" t="e">
        <f>LOOKUP(C310, SweepStudyConfig[StudyId], SweepStudyConfig[FixedRateA])</f>
        <v>#VALUE!</v>
      </c>
      <c r="N310" s="3" t="e">
        <f>LOOKUP(C310, SweepStudyConfig[StudyId], SweepStudyConfig[FixedRateB])</f>
        <v>#VALUE!</v>
      </c>
      <c r="O310" s="3" t="e">
        <f>IF(G310 + I310 = 0, "", (G310 * K310 + I310 * M310) / (G310 + I310))</f>
        <v>#VALUE!</v>
      </c>
      <c r="P310" s="3" t="e">
        <f>IF(H310 + J310 = 0, "", (H310 * L310 + J310 * N310) / (H310 + J310))</f>
        <v>#VALUE!</v>
      </c>
      <c r="Q310" s="3" t="e">
        <f>IF(O310 = "", "", O310 - P310)</f>
        <v>#VALUE!</v>
      </c>
      <c r="R310" s="3" t="e">
        <f>LOOKUP(C310, SweepStudyConfig[StudyId], SweepStudyConfig[SweepCorrectedGap])</f>
        <v>#VALUE!</v>
      </c>
      <c r="S310" s="3" t="e">
        <f>IF(Q310 = "", "", Q310 - R310)</f>
        <v>#VALUE!</v>
      </c>
    </row>
    <row r="311">
      <c r="A311" s="2" t="s">
        <v>3599</v>
      </c>
      <c r="B311" s="3" t="str">
        <f>A311</f>
        <v>red-meat-colorectal-bmi-f095</v>
      </c>
      <c r="C311" s="2" t="s">
        <v>533</v>
      </c>
      <c r="D311" s="2">
        <v>0.95</v>
      </c>
      <c r="E311" s="3" t="e">
        <f>ABS(D311 - LOOKUP(C311, SweepStudyConfig[StudyId], SweepStudyConfig[OriginalAllocFractionA])) &lt; 0.03</f>
        <v>#VALUE!</v>
      </c>
      <c r="F311" s="3" t="e">
        <f>LOOKUP(C311, SweepStudyConfig[StudyId], SweepStudyConfig[NSweepStratumTotal])</f>
        <v>#VALUE!</v>
      </c>
      <c r="G311" s="3" t="e">
        <f>ROUND(F311 * D311)</f>
        <v>#VALUE!</v>
      </c>
      <c r="H311" s="3" t="e">
        <f>F311 - G311</f>
        <v>#VALUE!</v>
      </c>
      <c r="I311" s="3" t="e">
        <f>LOOKUP(C311, SweepStudyConfig[StudyId], SweepStudyConfig[NFixedA])</f>
        <v>#VALUE!</v>
      </c>
      <c r="J311" s="3" t="e">
        <f>LOOKUP(C311, SweepStudyConfig[StudyId], SweepStudyConfig[NFixedB])</f>
        <v>#VALUE!</v>
      </c>
      <c r="K311" s="3" t="e">
        <f>LOOKUP(C311, SweepStudyConfig[StudyId], SweepStudyConfig[SweepRateA])</f>
        <v>#VALUE!</v>
      </c>
      <c r="L311" s="3" t="e">
        <f>LOOKUP(C311, SweepStudyConfig[StudyId], SweepStudyConfig[SweepRateB])</f>
        <v>#VALUE!</v>
      </c>
      <c r="M311" s="3" t="e">
        <f>LOOKUP(C311, SweepStudyConfig[StudyId], SweepStudyConfig[FixedRateA])</f>
        <v>#VALUE!</v>
      </c>
      <c r="N311" s="3" t="e">
        <f>LOOKUP(C311, SweepStudyConfig[StudyId], SweepStudyConfig[FixedRateB])</f>
        <v>#VALUE!</v>
      </c>
      <c r="O311" s="3" t="e">
        <f>IF(G311 + I311 = 0, "", (G311 * K311 + I311 * M311) / (G311 + I311))</f>
        <v>#VALUE!</v>
      </c>
      <c r="P311" s="3" t="e">
        <f>IF(H311 + J311 = 0, "", (H311 * L311 + J311 * N311) / (H311 + J311))</f>
        <v>#VALUE!</v>
      </c>
      <c r="Q311" s="3" t="e">
        <f>IF(O311 = "", "", O311 - P311)</f>
        <v>#VALUE!</v>
      </c>
      <c r="R311" s="3" t="e">
        <f>LOOKUP(C311, SweepStudyConfig[StudyId], SweepStudyConfig[SweepCorrectedGap])</f>
        <v>#VALUE!</v>
      </c>
      <c r="S311" s="3" t="e">
        <f>IF(Q311 = "", "", Q311 - R311)</f>
        <v>#VALUE!</v>
      </c>
    </row>
    <row r="312">
      <c r="A312" s="2" t="s">
        <v>3600</v>
      </c>
      <c r="B312" s="3" t="str">
        <f>A312</f>
        <v>folic-fortification-2000-f005</v>
      </c>
      <c r="C312" s="2" t="s">
        <v>536</v>
      </c>
      <c r="D312" s="2">
        <v>0.05</v>
      </c>
      <c r="E312" s="3" t="e">
        <f>ABS(D312 - LOOKUP(C312, SweepStudyConfig[StudyId], SweepStudyConfig[OriginalAllocFractionA])) &lt; 0.03</f>
        <v>#VALUE!</v>
      </c>
      <c r="F312" s="3" t="e">
        <f>LOOKUP(C312, SweepStudyConfig[StudyId], SweepStudyConfig[NSweepStratumTotal])</f>
        <v>#VALUE!</v>
      </c>
      <c r="G312" s="3" t="e">
        <f>ROUND(F312 * D312)</f>
        <v>#VALUE!</v>
      </c>
      <c r="H312" s="3" t="e">
        <f>F312 - G312</f>
        <v>#VALUE!</v>
      </c>
      <c r="I312" s="3" t="e">
        <f>LOOKUP(C312, SweepStudyConfig[StudyId], SweepStudyConfig[NFixedA])</f>
        <v>#VALUE!</v>
      </c>
      <c r="J312" s="3" t="e">
        <f>LOOKUP(C312, SweepStudyConfig[StudyId], SweepStudyConfig[NFixedB])</f>
        <v>#VALUE!</v>
      </c>
      <c r="K312" s="3" t="e">
        <f>LOOKUP(C312, SweepStudyConfig[StudyId], SweepStudyConfig[SweepRateA])</f>
        <v>#VALUE!</v>
      </c>
      <c r="L312" s="3" t="e">
        <f>LOOKUP(C312, SweepStudyConfig[StudyId], SweepStudyConfig[SweepRateB])</f>
        <v>#VALUE!</v>
      </c>
      <c r="M312" s="3" t="e">
        <f>LOOKUP(C312, SweepStudyConfig[StudyId], SweepStudyConfig[FixedRateA])</f>
        <v>#VALUE!</v>
      </c>
      <c r="N312" s="3" t="e">
        <f>LOOKUP(C312, SweepStudyConfig[StudyId], SweepStudyConfig[FixedRateB])</f>
        <v>#VALUE!</v>
      </c>
      <c r="O312" s="3" t="e">
        <f>IF(G312 + I312 = 0, "", (G312 * K312 + I312 * M312) / (G312 + I312))</f>
        <v>#VALUE!</v>
      </c>
      <c r="P312" s="3" t="e">
        <f>IF(H312 + J312 = 0, "", (H312 * L312 + J312 * N312) / (H312 + J312))</f>
        <v>#VALUE!</v>
      </c>
      <c r="Q312" s="3" t="e">
        <f>IF(O312 = "", "", O312 - P312)</f>
        <v>#VALUE!</v>
      </c>
      <c r="R312" s="3" t="e">
        <f>LOOKUP(C312, SweepStudyConfig[StudyId], SweepStudyConfig[SweepCorrectedGap])</f>
        <v>#VALUE!</v>
      </c>
      <c r="S312" s="3" t="e">
        <f>IF(Q312 = "", "", Q312 - R312)</f>
        <v>#VALUE!</v>
      </c>
    </row>
    <row r="313">
      <c r="A313" s="2" t="s">
        <v>3601</v>
      </c>
      <c r="B313" s="3" t="str">
        <f>A313</f>
        <v>folic-fortification-2000-f015</v>
      </c>
      <c r="C313" s="2" t="s">
        <v>536</v>
      </c>
      <c r="D313" s="2">
        <v>0.15</v>
      </c>
      <c r="E313" s="3" t="e">
        <f>ABS(D313 - LOOKUP(C313, SweepStudyConfig[StudyId], SweepStudyConfig[OriginalAllocFractionA])) &lt; 0.03</f>
        <v>#VALUE!</v>
      </c>
      <c r="F313" s="3" t="e">
        <f>LOOKUP(C313, SweepStudyConfig[StudyId], SweepStudyConfig[NSweepStratumTotal])</f>
        <v>#VALUE!</v>
      </c>
      <c r="G313" s="3" t="e">
        <f>ROUND(F313 * D313)</f>
        <v>#VALUE!</v>
      </c>
      <c r="H313" s="3" t="e">
        <f>F313 - G313</f>
        <v>#VALUE!</v>
      </c>
      <c r="I313" s="3" t="e">
        <f>LOOKUP(C313, SweepStudyConfig[StudyId], SweepStudyConfig[NFixedA])</f>
        <v>#VALUE!</v>
      </c>
      <c r="J313" s="3" t="e">
        <f>LOOKUP(C313, SweepStudyConfig[StudyId], SweepStudyConfig[NFixedB])</f>
        <v>#VALUE!</v>
      </c>
      <c r="K313" s="3" t="e">
        <f>LOOKUP(C313, SweepStudyConfig[StudyId], SweepStudyConfig[SweepRateA])</f>
        <v>#VALUE!</v>
      </c>
      <c r="L313" s="3" t="e">
        <f>LOOKUP(C313, SweepStudyConfig[StudyId], SweepStudyConfig[SweepRateB])</f>
        <v>#VALUE!</v>
      </c>
      <c r="M313" s="3" t="e">
        <f>LOOKUP(C313, SweepStudyConfig[StudyId], SweepStudyConfig[FixedRateA])</f>
        <v>#VALUE!</v>
      </c>
      <c r="N313" s="3" t="e">
        <f>LOOKUP(C313, SweepStudyConfig[StudyId], SweepStudyConfig[FixedRateB])</f>
        <v>#VALUE!</v>
      </c>
      <c r="O313" s="3" t="e">
        <f>IF(G313 + I313 = 0, "", (G313 * K313 + I313 * M313) / (G313 + I313))</f>
        <v>#VALUE!</v>
      </c>
      <c r="P313" s="3" t="e">
        <f>IF(H313 + J313 = 0, "", (H313 * L313 + J313 * N313) / (H313 + J313))</f>
        <v>#VALUE!</v>
      </c>
      <c r="Q313" s="3" t="e">
        <f>IF(O313 = "", "", O313 - P313)</f>
        <v>#VALUE!</v>
      </c>
      <c r="R313" s="3" t="e">
        <f>LOOKUP(C313, SweepStudyConfig[StudyId], SweepStudyConfig[SweepCorrectedGap])</f>
        <v>#VALUE!</v>
      </c>
      <c r="S313" s="3" t="e">
        <f>IF(Q313 = "", "", Q313 - R313)</f>
        <v>#VALUE!</v>
      </c>
    </row>
    <row r="314">
      <c r="A314" s="2" t="s">
        <v>3602</v>
      </c>
      <c r="B314" s="3" t="str">
        <f>A314</f>
        <v>folic-fortification-2000-f025</v>
      </c>
      <c r="C314" s="2" t="s">
        <v>536</v>
      </c>
      <c r="D314" s="2">
        <v>0.25</v>
      </c>
      <c r="E314" s="3" t="e">
        <f>ABS(D314 - LOOKUP(C314, SweepStudyConfig[StudyId], SweepStudyConfig[OriginalAllocFractionA])) &lt; 0.03</f>
        <v>#VALUE!</v>
      </c>
      <c r="F314" s="3" t="e">
        <f>LOOKUP(C314, SweepStudyConfig[StudyId], SweepStudyConfig[NSweepStratumTotal])</f>
        <v>#VALUE!</v>
      </c>
      <c r="G314" s="3" t="e">
        <f>ROUND(F314 * D314)</f>
        <v>#VALUE!</v>
      </c>
      <c r="H314" s="3" t="e">
        <f>F314 - G314</f>
        <v>#VALUE!</v>
      </c>
      <c r="I314" s="3" t="e">
        <f>LOOKUP(C314, SweepStudyConfig[StudyId], SweepStudyConfig[NFixedA])</f>
        <v>#VALUE!</v>
      </c>
      <c r="J314" s="3" t="e">
        <f>LOOKUP(C314, SweepStudyConfig[StudyId], SweepStudyConfig[NFixedB])</f>
        <v>#VALUE!</v>
      </c>
      <c r="K314" s="3" t="e">
        <f>LOOKUP(C314, SweepStudyConfig[StudyId], SweepStudyConfig[SweepRateA])</f>
        <v>#VALUE!</v>
      </c>
      <c r="L314" s="3" t="e">
        <f>LOOKUP(C314, SweepStudyConfig[StudyId], SweepStudyConfig[SweepRateB])</f>
        <v>#VALUE!</v>
      </c>
      <c r="M314" s="3" t="e">
        <f>LOOKUP(C314, SweepStudyConfig[StudyId], SweepStudyConfig[FixedRateA])</f>
        <v>#VALUE!</v>
      </c>
      <c r="N314" s="3" t="e">
        <f>LOOKUP(C314, SweepStudyConfig[StudyId], SweepStudyConfig[FixedRateB])</f>
        <v>#VALUE!</v>
      </c>
      <c r="O314" s="3" t="e">
        <f>IF(G314 + I314 = 0, "", (G314 * K314 + I314 * M314) / (G314 + I314))</f>
        <v>#VALUE!</v>
      </c>
      <c r="P314" s="3" t="e">
        <f>IF(H314 + J314 = 0, "", (H314 * L314 + J314 * N314) / (H314 + J314))</f>
        <v>#VALUE!</v>
      </c>
      <c r="Q314" s="3" t="e">
        <f>IF(O314 = "", "", O314 - P314)</f>
        <v>#VALUE!</v>
      </c>
      <c r="R314" s="3" t="e">
        <f>LOOKUP(C314, SweepStudyConfig[StudyId], SweepStudyConfig[SweepCorrectedGap])</f>
        <v>#VALUE!</v>
      </c>
      <c r="S314" s="3" t="e">
        <f>IF(Q314 = "", "", Q314 - R314)</f>
        <v>#VALUE!</v>
      </c>
    </row>
    <row r="315">
      <c r="A315" s="2" t="s">
        <v>3603</v>
      </c>
      <c r="B315" s="3" t="str">
        <f>A315</f>
        <v>folic-fortification-2000-f035</v>
      </c>
      <c r="C315" s="2" t="s">
        <v>536</v>
      </c>
      <c r="D315" s="2">
        <v>0.35</v>
      </c>
      <c r="E315" s="3" t="e">
        <f>ABS(D315 - LOOKUP(C315, SweepStudyConfig[StudyId], SweepStudyConfig[OriginalAllocFractionA])) &lt; 0.03</f>
        <v>#VALUE!</v>
      </c>
      <c r="F315" s="3" t="e">
        <f>LOOKUP(C315, SweepStudyConfig[StudyId], SweepStudyConfig[NSweepStratumTotal])</f>
        <v>#VALUE!</v>
      </c>
      <c r="G315" s="3" t="e">
        <f>ROUND(F315 * D315)</f>
        <v>#VALUE!</v>
      </c>
      <c r="H315" s="3" t="e">
        <f>F315 - G315</f>
        <v>#VALUE!</v>
      </c>
      <c r="I315" s="3" t="e">
        <f>LOOKUP(C315, SweepStudyConfig[StudyId], SweepStudyConfig[NFixedA])</f>
        <v>#VALUE!</v>
      </c>
      <c r="J315" s="3" t="e">
        <f>LOOKUP(C315, SweepStudyConfig[StudyId], SweepStudyConfig[NFixedB])</f>
        <v>#VALUE!</v>
      </c>
      <c r="K315" s="3" t="e">
        <f>LOOKUP(C315, SweepStudyConfig[StudyId], SweepStudyConfig[SweepRateA])</f>
        <v>#VALUE!</v>
      </c>
      <c r="L315" s="3" t="e">
        <f>LOOKUP(C315, SweepStudyConfig[StudyId], SweepStudyConfig[SweepRateB])</f>
        <v>#VALUE!</v>
      </c>
      <c r="M315" s="3" t="e">
        <f>LOOKUP(C315, SweepStudyConfig[StudyId], SweepStudyConfig[FixedRateA])</f>
        <v>#VALUE!</v>
      </c>
      <c r="N315" s="3" t="e">
        <f>LOOKUP(C315, SweepStudyConfig[StudyId], SweepStudyConfig[FixedRateB])</f>
        <v>#VALUE!</v>
      </c>
      <c r="O315" s="3" t="e">
        <f>IF(G315 + I315 = 0, "", (G315 * K315 + I315 * M315) / (G315 + I315))</f>
        <v>#VALUE!</v>
      </c>
      <c r="P315" s="3" t="e">
        <f>IF(H315 + J315 = 0, "", (H315 * L315 + J315 * N315) / (H315 + J315))</f>
        <v>#VALUE!</v>
      </c>
      <c r="Q315" s="3" t="e">
        <f>IF(O315 = "", "", O315 - P315)</f>
        <v>#VALUE!</v>
      </c>
      <c r="R315" s="3" t="e">
        <f>LOOKUP(C315, SweepStudyConfig[StudyId], SweepStudyConfig[SweepCorrectedGap])</f>
        <v>#VALUE!</v>
      </c>
      <c r="S315" s="3" t="e">
        <f>IF(Q315 = "", "", Q315 - R315)</f>
        <v>#VALUE!</v>
      </c>
    </row>
    <row r="316">
      <c r="A316" s="2" t="s">
        <v>3604</v>
      </c>
      <c r="B316" s="3" t="str">
        <f>A316</f>
        <v>folic-fortification-2000-f045</v>
      </c>
      <c r="C316" s="2" t="s">
        <v>536</v>
      </c>
      <c r="D316" s="2">
        <v>0.45</v>
      </c>
      <c r="E316" s="3" t="e">
        <f>ABS(D316 - LOOKUP(C316, SweepStudyConfig[StudyId], SweepStudyConfig[OriginalAllocFractionA])) &lt; 0.03</f>
        <v>#VALUE!</v>
      </c>
      <c r="F316" s="3" t="e">
        <f>LOOKUP(C316, SweepStudyConfig[StudyId], SweepStudyConfig[NSweepStratumTotal])</f>
        <v>#VALUE!</v>
      </c>
      <c r="G316" s="3" t="e">
        <f>ROUND(F316 * D316)</f>
        <v>#VALUE!</v>
      </c>
      <c r="H316" s="3" t="e">
        <f>F316 - G316</f>
        <v>#VALUE!</v>
      </c>
      <c r="I316" s="3" t="e">
        <f>LOOKUP(C316, SweepStudyConfig[StudyId], SweepStudyConfig[NFixedA])</f>
        <v>#VALUE!</v>
      </c>
      <c r="J316" s="3" t="e">
        <f>LOOKUP(C316, SweepStudyConfig[StudyId], SweepStudyConfig[NFixedB])</f>
        <v>#VALUE!</v>
      </c>
      <c r="K316" s="3" t="e">
        <f>LOOKUP(C316, SweepStudyConfig[StudyId], SweepStudyConfig[SweepRateA])</f>
        <v>#VALUE!</v>
      </c>
      <c r="L316" s="3" t="e">
        <f>LOOKUP(C316, SweepStudyConfig[StudyId], SweepStudyConfig[SweepRateB])</f>
        <v>#VALUE!</v>
      </c>
      <c r="M316" s="3" t="e">
        <f>LOOKUP(C316, SweepStudyConfig[StudyId], SweepStudyConfig[FixedRateA])</f>
        <v>#VALUE!</v>
      </c>
      <c r="N316" s="3" t="e">
        <f>LOOKUP(C316, SweepStudyConfig[StudyId], SweepStudyConfig[FixedRateB])</f>
        <v>#VALUE!</v>
      </c>
      <c r="O316" s="3" t="e">
        <f>IF(G316 + I316 = 0, "", (G316 * K316 + I316 * M316) / (G316 + I316))</f>
        <v>#VALUE!</v>
      </c>
      <c r="P316" s="3" t="e">
        <f>IF(H316 + J316 = 0, "", (H316 * L316 + J316 * N316) / (H316 + J316))</f>
        <v>#VALUE!</v>
      </c>
      <c r="Q316" s="3" t="e">
        <f>IF(O316 = "", "", O316 - P316)</f>
        <v>#VALUE!</v>
      </c>
      <c r="R316" s="3" t="e">
        <f>LOOKUP(C316, SweepStudyConfig[StudyId], SweepStudyConfig[SweepCorrectedGap])</f>
        <v>#VALUE!</v>
      </c>
      <c r="S316" s="3" t="e">
        <f>IF(Q316 = "", "", Q316 - R316)</f>
        <v>#VALUE!</v>
      </c>
    </row>
    <row r="317">
      <c r="A317" s="2" t="s">
        <v>3605</v>
      </c>
      <c r="B317" s="3" t="str">
        <f>A317</f>
        <v>folic-fortification-2000-f055</v>
      </c>
      <c r="C317" s="2" t="s">
        <v>536</v>
      </c>
      <c r="D317" s="2">
        <v>0.55</v>
      </c>
      <c r="E317" s="3" t="e">
        <f>ABS(D317 - LOOKUP(C317, SweepStudyConfig[StudyId], SweepStudyConfig[OriginalAllocFractionA])) &lt; 0.03</f>
        <v>#VALUE!</v>
      </c>
      <c r="F317" s="3" t="e">
        <f>LOOKUP(C317, SweepStudyConfig[StudyId], SweepStudyConfig[NSweepStratumTotal])</f>
        <v>#VALUE!</v>
      </c>
      <c r="G317" s="3" t="e">
        <f>ROUND(F317 * D317)</f>
        <v>#VALUE!</v>
      </c>
      <c r="H317" s="3" t="e">
        <f>F317 - G317</f>
        <v>#VALUE!</v>
      </c>
      <c r="I317" s="3" t="e">
        <f>LOOKUP(C317, SweepStudyConfig[StudyId], SweepStudyConfig[NFixedA])</f>
        <v>#VALUE!</v>
      </c>
      <c r="J317" s="3" t="e">
        <f>LOOKUP(C317, SweepStudyConfig[StudyId], SweepStudyConfig[NFixedB])</f>
        <v>#VALUE!</v>
      </c>
      <c r="K317" s="3" t="e">
        <f>LOOKUP(C317, SweepStudyConfig[StudyId], SweepStudyConfig[SweepRateA])</f>
        <v>#VALUE!</v>
      </c>
      <c r="L317" s="3" t="e">
        <f>LOOKUP(C317, SweepStudyConfig[StudyId], SweepStudyConfig[SweepRateB])</f>
        <v>#VALUE!</v>
      </c>
      <c r="M317" s="3" t="e">
        <f>LOOKUP(C317, SweepStudyConfig[StudyId], SweepStudyConfig[FixedRateA])</f>
        <v>#VALUE!</v>
      </c>
      <c r="N317" s="3" t="e">
        <f>LOOKUP(C317, SweepStudyConfig[StudyId], SweepStudyConfig[FixedRateB])</f>
        <v>#VALUE!</v>
      </c>
      <c r="O317" s="3" t="e">
        <f>IF(G317 + I317 = 0, "", (G317 * K317 + I317 * M317) / (G317 + I317))</f>
        <v>#VALUE!</v>
      </c>
      <c r="P317" s="3" t="e">
        <f>IF(H317 + J317 = 0, "", (H317 * L317 + J317 * N317) / (H317 + J317))</f>
        <v>#VALUE!</v>
      </c>
      <c r="Q317" s="3" t="e">
        <f>IF(O317 = "", "", O317 - P317)</f>
        <v>#VALUE!</v>
      </c>
      <c r="R317" s="3" t="e">
        <f>LOOKUP(C317, SweepStudyConfig[StudyId], SweepStudyConfig[SweepCorrectedGap])</f>
        <v>#VALUE!</v>
      </c>
      <c r="S317" s="3" t="e">
        <f>IF(Q317 = "", "", Q317 - R317)</f>
        <v>#VALUE!</v>
      </c>
    </row>
    <row r="318">
      <c r="A318" s="2" t="s">
        <v>3606</v>
      </c>
      <c r="B318" s="3" t="str">
        <f>A318</f>
        <v>folic-fortification-2000-f065</v>
      </c>
      <c r="C318" s="2" t="s">
        <v>536</v>
      </c>
      <c r="D318" s="2">
        <v>0.65</v>
      </c>
      <c r="E318" s="3" t="e">
        <f>ABS(D318 - LOOKUP(C318, SweepStudyConfig[StudyId], SweepStudyConfig[OriginalAllocFractionA])) &lt; 0.03</f>
        <v>#VALUE!</v>
      </c>
      <c r="F318" s="3" t="e">
        <f>LOOKUP(C318, SweepStudyConfig[StudyId], SweepStudyConfig[NSweepStratumTotal])</f>
        <v>#VALUE!</v>
      </c>
      <c r="G318" s="3" t="e">
        <f>ROUND(F318 * D318)</f>
        <v>#VALUE!</v>
      </c>
      <c r="H318" s="3" t="e">
        <f>F318 - G318</f>
        <v>#VALUE!</v>
      </c>
      <c r="I318" s="3" t="e">
        <f>LOOKUP(C318, SweepStudyConfig[StudyId], SweepStudyConfig[NFixedA])</f>
        <v>#VALUE!</v>
      </c>
      <c r="J318" s="3" t="e">
        <f>LOOKUP(C318, SweepStudyConfig[StudyId], SweepStudyConfig[NFixedB])</f>
        <v>#VALUE!</v>
      </c>
      <c r="K318" s="3" t="e">
        <f>LOOKUP(C318, SweepStudyConfig[StudyId], SweepStudyConfig[SweepRateA])</f>
        <v>#VALUE!</v>
      </c>
      <c r="L318" s="3" t="e">
        <f>LOOKUP(C318, SweepStudyConfig[StudyId], SweepStudyConfig[SweepRateB])</f>
        <v>#VALUE!</v>
      </c>
      <c r="M318" s="3" t="e">
        <f>LOOKUP(C318, SweepStudyConfig[StudyId], SweepStudyConfig[FixedRateA])</f>
        <v>#VALUE!</v>
      </c>
      <c r="N318" s="3" t="e">
        <f>LOOKUP(C318, SweepStudyConfig[StudyId], SweepStudyConfig[FixedRateB])</f>
        <v>#VALUE!</v>
      </c>
      <c r="O318" s="3" t="e">
        <f>IF(G318 + I318 = 0, "", (G318 * K318 + I318 * M318) / (G318 + I318))</f>
        <v>#VALUE!</v>
      </c>
      <c r="P318" s="3" t="e">
        <f>IF(H318 + J318 = 0, "", (H318 * L318 + J318 * N318) / (H318 + J318))</f>
        <v>#VALUE!</v>
      </c>
      <c r="Q318" s="3" t="e">
        <f>IF(O318 = "", "", O318 - P318)</f>
        <v>#VALUE!</v>
      </c>
      <c r="R318" s="3" t="e">
        <f>LOOKUP(C318, SweepStudyConfig[StudyId], SweepStudyConfig[SweepCorrectedGap])</f>
        <v>#VALUE!</v>
      </c>
      <c r="S318" s="3" t="e">
        <f>IF(Q318 = "", "", Q318 - R318)</f>
        <v>#VALUE!</v>
      </c>
    </row>
    <row r="319">
      <c r="A319" s="2" t="s">
        <v>3607</v>
      </c>
      <c r="B319" s="3" t="str">
        <f>A319</f>
        <v>folic-fortification-2000-f075</v>
      </c>
      <c r="C319" s="2" t="s">
        <v>536</v>
      </c>
      <c r="D319" s="2">
        <v>0.75</v>
      </c>
      <c r="E319" s="3" t="e">
        <f>ABS(D319 - LOOKUP(C319, SweepStudyConfig[StudyId], SweepStudyConfig[OriginalAllocFractionA])) &lt; 0.03</f>
        <v>#VALUE!</v>
      </c>
      <c r="F319" s="3" t="e">
        <f>LOOKUP(C319, SweepStudyConfig[StudyId], SweepStudyConfig[NSweepStratumTotal])</f>
        <v>#VALUE!</v>
      </c>
      <c r="G319" s="3" t="e">
        <f>ROUND(F319 * D319)</f>
        <v>#VALUE!</v>
      </c>
      <c r="H319" s="3" t="e">
        <f>F319 - G319</f>
        <v>#VALUE!</v>
      </c>
      <c r="I319" s="3" t="e">
        <f>LOOKUP(C319, SweepStudyConfig[StudyId], SweepStudyConfig[NFixedA])</f>
        <v>#VALUE!</v>
      </c>
      <c r="J319" s="3" t="e">
        <f>LOOKUP(C319, SweepStudyConfig[StudyId], SweepStudyConfig[NFixedB])</f>
        <v>#VALUE!</v>
      </c>
      <c r="K319" s="3" t="e">
        <f>LOOKUP(C319, SweepStudyConfig[StudyId], SweepStudyConfig[SweepRateA])</f>
        <v>#VALUE!</v>
      </c>
      <c r="L319" s="3" t="e">
        <f>LOOKUP(C319, SweepStudyConfig[StudyId], SweepStudyConfig[SweepRateB])</f>
        <v>#VALUE!</v>
      </c>
      <c r="M319" s="3" t="e">
        <f>LOOKUP(C319, SweepStudyConfig[StudyId], SweepStudyConfig[FixedRateA])</f>
        <v>#VALUE!</v>
      </c>
      <c r="N319" s="3" t="e">
        <f>LOOKUP(C319, SweepStudyConfig[StudyId], SweepStudyConfig[FixedRateB])</f>
        <v>#VALUE!</v>
      </c>
      <c r="O319" s="3" t="e">
        <f>IF(G319 + I319 = 0, "", (G319 * K319 + I319 * M319) / (G319 + I319))</f>
        <v>#VALUE!</v>
      </c>
      <c r="P319" s="3" t="e">
        <f>IF(H319 + J319 = 0, "", (H319 * L319 + J319 * N319) / (H319 + J319))</f>
        <v>#VALUE!</v>
      </c>
      <c r="Q319" s="3" t="e">
        <f>IF(O319 = "", "", O319 - P319)</f>
        <v>#VALUE!</v>
      </c>
      <c r="R319" s="3" t="e">
        <f>LOOKUP(C319, SweepStudyConfig[StudyId], SweepStudyConfig[SweepCorrectedGap])</f>
        <v>#VALUE!</v>
      </c>
      <c r="S319" s="3" t="e">
        <f>IF(Q319 = "", "", Q319 - R319)</f>
        <v>#VALUE!</v>
      </c>
    </row>
    <row r="320">
      <c r="A320" s="2" t="s">
        <v>3608</v>
      </c>
      <c r="B320" s="3" t="str">
        <f>A320</f>
        <v>folic-fortification-2000-f085</v>
      </c>
      <c r="C320" s="2" t="s">
        <v>536</v>
      </c>
      <c r="D320" s="2">
        <v>0.85</v>
      </c>
      <c r="E320" s="3" t="e">
        <f>ABS(D320 - LOOKUP(C320, SweepStudyConfig[StudyId], SweepStudyConfig[OriginalAllocFractionA])) &lt; 0.03</f>
        <v>#VALUE!</v>
      </c>
      <c r="F320" s="3" t="e">
        <f>LOOKUP(C320, SweepStudyConfig[StudyId], SweepStudyConfig[NSweepStratumTotal])</f>
        <v>#VALUE!</v>
      </c>
      <c r="G320" s="3" t="e">
        <f>ROUND(F320 * D320)</f>
        <v>#VALUE!</v>
      </c>
      <c r="H320" s="3" t="e">
        <f>F320 - G320</f>
        <v>#VALUE!</v>
      </c>
      <c r="I320" s="3" t="e">
        <f>LOOKUP(C320, SweepStudyConfig[StudyId], SweepStudyConfig[NFixedA])</f>
        <v>#VALUE!</v>
      </c>
      <c r="J320" s="3" t="e">
        <f>LOOKUP(C320, SweepStudyConfig[StudyId], SweepStudyConfig[NFixedB])</f>
        <v>#VALUE!</v>
      </c>
      <c r="K320" s="3" t="e">
        <f>LOOKUP(C320, SweepStudyConfig[StudyId], SweepStudyConfig[SweepRateA])</f>
        <v>#VALUE!</v>
      </c>
      <c r="L320" s="3" t="e">
        <f>LOOKUP(C320, SweepStudyConfig[StudyId], SweepStudyConfig[SweepRateB])</f>
        <v>#VALUE!</v>
      </c>
      <c r="M320" s="3" t="e">
        <f>LOOKUP(C320, SweepStudyConfig[StudyId], SweepStudyConfig[FixedRateA])</f>
        <v>#VALUE!</v>
      </c>
      <c r="N320" s="3" t="e">
        <f>LOOKUP(C320, SweepStudyConfig[StudyId], SweepStudyConfig[FixedRateB])</f>
        <v>#VALUE!</v>
      </c>
      <c r="O320" s="3" t="e">
        <f>IF(G320 + I320 = 0, "", (G320 * K320 + I320 * M320) / (G320 + I320))</f>
        <v>#VALUE!</v>
      </c>
      <c r="P320" s="3" t="e">
        <f>IF(H320 + J320 = 0, "", (H320 * L320 + J320 * N320) / (H320 + J320))</f>
        <v>#VALUE!</v>
      </c>
      <c r="Q320" s="3" t="e">
        <f>IF(O320 = "", "", O320 - P320)</f>
        <v>#VALUE!</v>
      </c>
      <c r="R320" s="3" t="e">
        <f>LOOKUP(C320, SweepStudyConfig[StudyId], SweepStudyConfig[SweepCorrectedGap])</f>
        <v>#VALUE!</v>
      </c>
      <c r="S320" s="3" t="e">
        <f>IF(Q320 = "", "", Q320 - R320)</f>
        <v>#VALUE!</v>
      </c>
    </row>
    <row r="321">
      <c r="A321" s="2" t="s">
        <v>3609</v>
      </c>
      <c r="B321" s="3" t="str">
        <f>A321</f>
        <v>folic-fortification-2000-f095</v>
      </c>
      <c r="C321" s="2" t="s">
        <v>536</v>
      </c>
      <c r="D321" s="2">
        <v>0.95</v>
      </c>
      <c r="E321" s="3" t="e">
        <f>ABS(D321 - LOOKUP(C321, SweepStudyConfig[StudyId], SweepStudyConfig[OriginalAllocFractionA])) &lt; 0.03</f>
        <v>#VALUE!</v>
      </c>
      <c r="F321" s="3" t="e">
        <f>LOOKUP(C321, SweepStudyConfig[StudyId], SweepStudyConfig[NSweepStratumTotal])</f>
        <v>#VALUE!</v>
      </c>
      <c r="G321" s="3" t="e">
        <f>ROUND(F321 * D321)</f>
        <v>#VALUE!</v>
      </c>
      <c r="H321" s="3" t="e">
        <f>F321 - G321</f>
        <v>#VALUE!</v>
      </c>
      <c r="I321" s="3" t="e">
        <f>LOOKUP(C321, SweepStudyConfig[StudyId], SweepStudyConfig[NFixedA])</f>
        <v>#VALUE!</v>
      </c>
      <c r="J321" s="3" t="e">
        <f>LOOKUP(C321, SweepStudyConfig[StudyId], SweepStudyConfig[NFixedB])</f>
        <v>#VALUE!</v>
      </c>
      <c r="K321" s="3" t="e">
        <f>LOOKUP(C321, SweepStudyConfig[StudyId], SweepStudyConfig[SweepRateA])</f>
        <v>#VALUE!</v>
      </c>
      <c r="L321" s="3" t="e">
        <f>LOOKUP(C321, SweepStudyConfig[StudyId], SweepStudyConfig[SweepRateB])</f>
        <v>#VALUE!</v>
      </c>
      <c r="M321" s="3" t="e">
        <f>LOOKUP(C321, SweepStudyConfig[StudyId], SweepStudyConfig[FixedRateA])</f>
        <v>#VALUE!</v>
      </c>
      <c r="N321" s="3" t="e">
        <f>LOOKUP(C321, SweepStudyConfig[StudyId], SweepStudyConfig[FixedRateB])</f>
        <v>#VALUE!</v>
      </c>
      <c r="O321" s="3" t="e">
        <f>IF(G321 + I321 = 0, "", (G321 * K321 + I321 * M321) / (G321 + I321))</f>
        <v>#VALUE!</v>
      </c>
      <c r="P321" s="3" t="e">
        <f>IF(H321 + J321 = 0, "", (H321 * L321 + J321 * N321) / (H321 + J321))</f>
        <v>#VALUE!</v>
      </c>
      <c r="Q321" s="3" t="e">
        <f>IF(O321 = "", "", O321 - P321)</f>
        <v>#VALUE!</v>
      </c>
      <c r="R321" s="3" t="e">
        <f>LOOKUP(C321, SweepStudyConfig[StudyId], SweepStudyConfig[SweepCorrectedGap])</f>
        <v>#VALUE!</v>
      </c>
      <c r="S321" s="3" t="e">
        <f>IF(Q321 = "", "", Q321 - R321)</f>
        <v>#VALUE!</v>
      </c>
    </row>
    <row r="322">
      <c r="A322" s="2" t="s">
        <v>3610</v>
      </c>
      <c r="B322" s="3" t="str">
        <f>A322</f>
        <v>north-carolina-death-penalty-1990-f005</v>
      </c>
      <c r="C322" s="2" t="s">
        <v>539</v>
      </c>
      <c r="D322" s="2">
        <v>0.05</v>
      </c>
      <c r="E322" s="3" t="e">
        <f>ABS(D322 - LOOKUP(C322, SweepStudyConfig[StudyId], SweepStudyConfig[OriginalAllocFractionA])) &lt; 0.03</f>
        <v>#VALUE!</v>
      </c>
      <c r="F322" s="3" t="e">
        <f>LOOKUP(C322, SweepStudyConfig[StudyId], SweepStudyConfig[NSweepStratumTotal])</f>
        <v>#VALUE!</v>
      </c>
      <c r="G322" s="3" t="e">
        <f>ROUND(F322 * D322)</f>
        <v>#VALUE!</v>
      </c>
      <c r="H322" s="3" t="e">
        <f>F322 - G322</f>
        <v>#VALUE!</v>
      </c>
      <c r="I322" s="3" t="e">
        <f>LOOKUP(C322, SweepStudyConfig[StudyId], SweepStudyConfig[NFixedA])</f>
        <v>#VALUE!</v>
      </c>
      <c r="J322" s="3" t="e">
        <f>LOOKUP(C322, SweepStudyConfig[StudyId], SweepStudyConfig[NFixedB])</f>
        <v>#VALUE!</v>
      </c>
      <c r="K322" s="3" t="e">
        <f>LOOKUP(C322, SweepStudyConfig[StudyId], SweepStudyConfig[SweepRateA])</f>
        <v>#VALUE!</v>
      </c>
      <c r="L322" s="3" t="e">
        <f>LOOKUP(C322, SweepStudyConfig[StudyId], SweepStudyConfig[SweepRateB])</f>
        <v>#VALUE!</v>
      </c>
      <c r="M322" s="3" t="e">
        <f>LOOKUP(C322, SweepStudyConfig[StudyId], SweepStudyConfig[FixedRateA])</f>
        <v>#VALUE!</v>
      </c>
      <c r="N322" s="3" t="e">
        <f>LOOKUP(C322, SweepStudyConfig[StudyId], SweepStudyConfig[FixedRateB])</f>
        <v>#VALUE!</v>
      </c>
      <c r="O322" s="3" t="e">
        <f>IF(G322 + I322 = 0, "", (G322 * K322 + I322 * M322) / (G322 + I322))</f>
        <v>#VALUE!</v>
      </c>
      <c r="P322" s="3" t="e">
        <f>IF(H322 + J322 = 0, "", (H322 * L322 + J322 * N322) / (H322 + J322))</f>
        <v>#VALUE!</v>
      </c>
      <c r="Q322" s="3" t="e">
        <f>IF(O322 = "", "", O322 - P322)</f>
        <v>#VALUE!</v>
      </c>
      <c r="R322" s="3" t="e">
        <f>LOOKUP(C322, SweepStudyConfig[StudyId], SweepStudyConfig[SweepCorrectedGap])</f>
        <v>#VALUE!</v>
      </c>
      <c r="S322" s="3" t="e">
        <f>IF(Q322 = "", "", Q322 - R322)</f>
        <v>#VALUE!</v>
      </c>
    </row>
    <row r="323">
      <c r="A323" s="2" t="s">
        <v>3611</v>
      </c>
      <c r="B323" s="3" t="str">
        <f>A323</f>
        <v>north-carolina-death-penalty-1990-f015</v>
      </c>
      <c r="C323" s="2" t="s">
        <v>539</v>
      </c>
      <c r="D323" s="2">
        <v>0.15</v>
      </c>
      <c r="E323" s="3" t="e">
        <f>ABS(D323 - LOOKUP(C323, SweepStudyConfig[StudyId], SweepStudyConfig[OriginalAllocFractionA])) &lt; 0.03</f>
        <v>#VALUE!</v>
      </c>
      <c r="F323" s="3" t="e">
        <f>LOOKUP(C323, SweepStudyConfig[StudyId], SweepStudyConfig[NSweepStratumTotal])</f>
        <v>#VALUE!</v>
      </c>
      <c r="G323" s="3" t="e">
        <f>ROUND(F323 * D323)</f>
        <v>#VALUE!</v>
      </c>
      <c r="H323" s="3" t="e">
        <f>F323 - G323</f>
        <v>#VALUE!</v>
      </c>
      <c r="I323" s="3" t="e">
        <f>LOOKUP(C323, SweepStudyConfig[StudyId], SweepStudyConfig[NFixedA])</f>
        <v>#VALUE!</v>
      </c>
      <c r="J323" s="3" t="e">
        <f>LOOKUP(C323, SweepStudyConfig[StudyId], SweepStudyConfig[NFixedB])</f>
        <v>#VALUE!</v>
      </c>
      <c r="K323" s="3" t="e">
        <f>LOOKUP(C323, SweepStudyConfig[StudyId], SweepStudyConfig[SweepRateA])</f>
        <v>#VALUE!</v>
      </c>
      <c r="L323" s="3" t="e">
        <f>LOOKUP(C323, SweepStudyConfig[StudyId], SweepStudyConfig[SweepRateB])</f>
        <v>#VALUE!</v>
      </c>
      <c r="M323" s="3" t="e">
        <f>LOOKUP(C323, SweepStudyConfig[StudyId], SweepStudyConfig[FixedRateA])</f>
        <v>#VALUE!</v>
      </c>
      <c r="N323" s="3" t="e">
        <f>LOOKUP(C323, SweepStudyConfig[StudyId], SweepStudyConfig[FixedRateB])</f>
        <v>#VALUE!</v>
      </c>
      <c r="O323" s="3" t="e">
        <f>IF(G323 + I323 = 0, "", (G323 * K323 + I323 * M323) / (G323 + I323))</f>
        <v>#VALUE!</v>
      </c>
      <c r="P323" s="3" t="e">
        <f>IF(H323 + J323 = 0, "", (H323 * L323 + J323 * N323) / (H323 + J323))</f>
        <v>#VALUE!</v>
      </c>
      <c r="Q323" s="3" t="e">
        <f>IF(O323 = "", "", O323 - P323)</f>
        <v>#VALUE!</v>
      </c>
      <c r="R323" s="3" t="e">
        <f>LOOKUP(C323, SweepStudyConfig[StudyId], SweepStudyConfig[SweepCorrectedGap])</f>
        <v>#VALUE!</v>
      </c>
      <c r="S323" s="3" t="e">
        <f>IF(Q323 = "", "", Q323 - R323)</f>
        <v>#VALUE!</v>
      </c>
    </row>
    <row r="324">
      <c r="A324" s="2" t="s">
        <v>3612</v>
      </c>
      <c r="B324" s="3" t="str">
        <f>A324</f>
        <v>north-carolina-death-penalty-1990-f025</v>
      </c>
      <c r="C324" s="2" t="s">
        <v>539</v>
      </c>
      <c r="D324" s="2">
        <v>0.25</v>
      </c>
      <c r="E324" s="3" t="e">
        <f>ABS(D324 - LOOKUP(C324, SweepStudyConfig[StudyId], SweepStudyConfig[OriginalAllocFractionA])) &lt; 0.03</f>
        <v>#VALUE!</v>
      </c>
      <c r="F324" s="3" t="e">
        <f>LOOKUP(C324, SweepStudyConfig[StudyId], SweepStudyConfig[NSweepStratumTotal])</f>
        <v>#VALUE!</v>
      </c>
      <c r="G324" s="3" t="e">
        <f>ROUND(F324 * D324)</f>
        <v>#VALUE!</v>
      </c>
      <c r="H324" s="3" t="e">
        <f>F324 - G324</f>
        <v>#VALUE!</v>
      </c>
      <c r="I324" s="3" t="e">
        <f>LOOKUP(C324, SweepStudyConfig[StudyId], SweepStudyConfig[NFixedA])</f>
        <v>#VALUE!</v>
      </c>
      <c r="J324" s="3" t="e">
        <f>LOOKUP(C324, SweepStudyConfig[StudyId], SweepStudyConfig[NFixedB])</f>
        <v>#VALUE!</v>
      </c>
      <c r="K324" s="3" t="e">
        <f>LOOKUP(C324, SweepStudyConfig[StudyId], SweepStudyConfig[SweepRateA])</f>
        <v>#VALUE!</v>
      </c>
      <c r="L324" s="3" t="e">
        <f>LOOKUP(C324, SweepStudyConfig[StudyId], SweepStudyConfig[SweepRateB])</f>
        <v>#VALUE!</v>
      </c>
      <c r="M324" s="3" t="e">
        <f>LOOKUP(C324, SweepStudyConfig[StudyId], SweepStudyConfig[FixedRateA])</f>
        <v>#VALUE!</v>
      </c>
      <c r="N324" s="3" t="e">
        <f>LOOKUP(C324, SweepStudyConfig[StudyId], SweepStudyConfig[FixedRateB])</f>
        <v>#VALUE!</v>
      </c>
      <c r="O324" s="3" t="e">
        <f>IF(G324 + I324 = 0, "", (G324 * K324 + I324 * M324) / (G324 + I324))</f>
        <v>#VALUE!</v>
      </c>
      <c r="P324" s="3" t="e">
        <f>IF(H324 + J324 = 0, "", (H324 * L324 + J324 * N324) / (H324 + J324))</f>
        <v>#VALUE!</v>
      </c>
      <c r="Q324" s="3" t="e">
        <f>IF(O324 = "", "", O324 - P324)</f>
        <v>#VALUE!</v>
      </c>
      <c r="R324" s="3" t="e">
        <f>LOOKUP(C324, SweepStudyConfig[StudyId], SweepStudyConfig[SweepCorrectedGap])</f>
        <v>#VALUE!</v>
      </c>
      <c r="S324" s="3" t="e">
        <f>IF(Q324 = "", "", Q324 - R324)</f>
        <v>#VALUE!</v>
      </c>
    </row>
    <row r="325">
      <c r="A325" s="2" t="s">
        <v>3613</v>
      </c>
      <c r="B325" s="3" t="str">
        <f>A325</f>
        <v>north-carolina-death-penalty-1990-f035</v>
      </c>
      <c r="C325" s="2" t="s">
        <v>539</v>
      </c>
      <c r="D325" s="2">
        <v>0.35</v>
      </c>
      <c r="E325" s="3" t="e">
        <f>ABS(D325 - LOOKUP(C325, SweepStudyConfig[StudyId], SweepStudyConfig[OriginalAllocFractionA])) &lt; 0.03</f>
        <v>#VALUE!</v>
      </c>
      <c r="F325" s="3" t="e">
        <f>LOOKUP(C325, SweepStudyConfig[StudyId], SweepStudyConfig[NSweepStratumTotal])</f>
        <v>#VALUE!</v>
      </c>
      <c r="G325" s="3" t="e">
        <f>ROUND(F325 * D325)</f>
        <v>#VALUE!</v>
      </c>
      <c r="H325" s="3" t="e">
        <f>F325 - G325</f>
        <v>#VALUE!</v>
      </c>
      <c r="I325" s="3" t="e">
        <f>LOOKUP(C325, SweepStudyConfig[StudyId], SweepStudyConfig[NFixedA])</f>
        <v>#VALUE!</v>
      </c>
      <c r="J325" s="3" t="e">
        <f>LOOKUP(C325, SweepStudyConfig[StudyId], SweepStudyConfig[NFixedB])</f>
        <v>#VALUE!</v>
      </c>
      <c r="K325" s="3" t="e">
        <f>LOOKUP(C325, SweepStudyConfig[StudyId], SweepStudyConfig[SweepRateA])</f>
        <v>#VALUE!</v>
      </c>
      <c r="L325" s="3" t="e">
        <f>LOOKUP(C325, SweepStudyConfig[StudyId], SweepStudyConfig[SweepRateB])</f>
        <v>#VALUE!</v>
      </c>
      <c r="M325" s="3" t="e">
        <f>LOOKUP(C325, SweepStudyConfig[StudyId], SweepStudyConfig[FixedRateA])</f>
        <v>#VALUE!</v>
      </c>
      <c r="N325" s="3" t="e">
        <f>LOOKUP(C325, SweepStudyConfig[StudyId], SweepStudyConfig[FixedRateB])</f>
        <v>#VALUE!</v>
      </c>
      <c r="O325" s="3" t="e">
        <f>IF(G325 + I325 = 0, "", (G325 * K325 + I325 * M325) / (G325 + I325))</f>
        <v>#VALUE!</v>
      </c>
      <c r="P325" s="3" t="e">
        <f>IF(H325 + J325 = 0, "", (H325 * L325 + J325 * N325) / (H325 + J325))</f>
        <v>#VALUE!</v>
      </c>
      <c r="Q325" s="3" t="e">
        <f>IF(O325 = "", "", O325 - P325)</f>
        <v>#VALUE!</v>
      </c>
      <c r="R325" s="3" t="e">
        <f>LOOKUP(C325, SweepStudyConfig[StudyId], SweepStudyConfig[SweepCorrectedGap])</f>
        <v>#VALUE!</v>
      </c>
      <c r="S325" s="3" t="e">
        <f>IF(Q325 = "", "", Q325 - R325)</f>
        <v>#VALUE!</v>
      </c>
    </row>
    <row r="326">
      <c r="A326" s="2" t="s">
        <v>3614</v>
      </c>
      <c r="B326" s="3" t="str">
        <f>A326</f>
        <v>north-carolina-death-penalty-1990-f045</v>
      </c>
      <c r="C326" s="2" t="s">
        <v>539</v>
      </c>
      <c r="D326" s="2">
        <v>0.45</v>
      </c>
      <c r="E326" s="3" t="e">
        <f>ABS(D326 - LOOKUP(C326, SweepStudyConfig[StudyId], SweepStudyConfig[OriginalAllocFractionA])) &lt; 0.03</f>
        <v>#VALUE!</v>
      </c>
      <c r="F326" s="3" t="e">
        <f>LOOKUP(C326, SweepStudyConfig[StudyId], SweepStudyConfig[NSweepStratumTotal])</f>
        <v>#VALUE!</v>
      </c>
      <c r="G326" s="3" t="e">
        <f>ROUND(F326 * D326)</f>
        <v>#VALUE!</v>
      </c>
      <c r="H326" s="3" t="e">
        <f>F326 - G326</f>
        <v>#VALUE!</v>
      </c>
      <c r="I326" s="3" t="e">
        <f>LOOKUP(C326, SweepStudyConfig[StudyId], SweepStudyConfig[NFixedA])</f>
        <v>#VALUE!</v>
      </c>
      <c r="J326" s="3" t="e">
        <f>LOOKUP(C326, SweepStudyConfig[StudyId], SweepStudyConfig[NFixedB])</f>
        <v>#VALUE!</v>
      </c>
      <c r="K326" s="3" t="e">
        <f>LOOKUP(C326, SweepStudyConfig[StudyId], SweepStudyConfig[SweepRateA])</f>
        <v>#VALUE!</v>
      </c>
      <c r="L326" s="3" t="e">
        <f>LOOKUP(C326, SweepStudyConfig[StudyId], SweepStudyConfig[SweepRateB])</f>
        <v>#VALUE!</v>
      </c>
      <c r="M326" s="3" t="e">
        <f>LOOKUP(C326, SweepStudyConfig[StudyId], SweepStudyConfig[FixedRateA])</f>
        <v>#VALUE!</v>
      </c>
      <c r="N326" s="3" t="e">
        <f>LOOKUP(C326, SweepStudyConfig[StudyId], SweepStudyConfig[FixedRateB])</f>
        <v>#VALUE!</v>
      </c>
      <c r="O326" s="3" t="e">
        <f>IF(G326 + I326 = 0, "", (G326 * K326 + I326 * M326) / (G326 + I326))</f>
        <v>#VALUE!</v>
      </c>
      <c r="P326" s="3" t="e">
        <f>IF(H326 + J326 = 0, "", (H326 * L326 + J326 * N326) / (H326 + J326))</f>
        <v>#VALUE!</v>
      </c>
      <c r="Q326" s="3" t="e">
        <f>IF(O326 = "", "", O326 - P326)</f>
        <v>#VALUE!</v>
      </c>
      <c r="R326" s="3" t="e">
        <f>LOOKUP(C326, SweepStudyConfig[StudyId], SweepStudyConfig[SweepCorrectedGap])</f>
        <v>#VALUE!</v>
      </c>
      <c r="S326" s="3" t="e">
        <f>IF(Q326 = "", "", Q326 - R326)</f>
        <v>#VALUE!</v>
      </c>
    </row>
    <row r="327">
      <c r="A327" s="2" t="s">
        <v>3615</v>
      </c>
      <c r="B327" s="3" t="str">
        <f>A327</f>
        <v>north-carolina-death-penalty-1990-f055</v>
      </c>
      <c r="C327" s="2" t="s">
        <v>539</v>
      </c>
      <c r="D327" s="2">
        <v>0.55</v>
      </c>
      <c r="E327" s="3" t="e">
        <f>ABS(D327 - LOOKUP(C327, SweepStudyConfig[StudyId], SweepStudyConfig[OriginalAllocFractionA])) &lt; 0.03</f>
        <v>#VALUE!</v>
      </c>
      <c r="F327" s="3" t="e">
        <f>LOOKUP(C327, SweepStudyConfig[StudyId], SweepStudyConfig[NSweepStratumTotal])</f>
        <v>#VALUE!</v>
      </c>
      <c r="G327" s="3" t="e">
        <f>ROUND(F327 * D327)</f>
        <v>#VALUE!</v>
      </c>
      <c r="H327" s="3" t="e">
        <f>F327 - G327</f>
        <v>#VALUE!</v>
      </c>
      <c r="I327" s="3" t="e">
        <f>LOOKUP(C327, SweepStudyConfig[StudyId], SweepStudyConfig[NFixedA])</f>
        <v>#VALUE!</v>
      </c>
      <c r="J327" s="3" t="e">
        <f>LOOKUP(C327, SweepStudyConfig[StudyId], SweepStudyConfig[NFixedB])</f>
        <v>#VALUE!</v>
      </c>
      <c r="K327" s="3" t="e">
        <f>LOOKUP(C327, SweepStudyConfig[StudyId], SweepStudyConfig[SweepRateA])</f>
        <v>#VALUE!</v>
      </c>
      <c r="L327" s="3" t="e">
        <f>LOOKUP(C327, SweepStudyConfig[StudyId], SweepStudyConfig[SweepRateB])</f>
        <v>#VALUE!</v>
      </c>
      <c r="M327" s="3" t="e">
        <f>LOOKUP(C327, SweepStudyConfig[StudyId], SweepStudyConfig[FixedRateA])</f>
        <v>#VALUE!</v>
      </c>
      <c r="N327" s="3" t="e">
        <f>LOOKUP(C327, SweepStudyConfig[StudyId], SweepStudyConfig[FixedRateB])</f>
        <v>#VALUE!</v>
      </c>
      <c r="O327" s="3" t="e">
        <f>IF(G327 + I327 = 0, "", (G327 * K327 + I327 * M327) / (G327 + I327))</f>
        <v>#VALUE!</v>
      </c>
      <c r="P327" s="3" t="e">
        <f>IF(H327 + J327 = 0, "", (H327 * L327 + J327 * N327) / (H327 + J327))</f>
        <v>#VALUE!</v>
      </c>
      <c r="Q327" s="3" t="e">
        <f>IF(O327 = "", "", O327 - P327)</f>
        <v>#VALUE!</v>
      </c>
      <c r="R327" s="3" t="e">
        <f>LOOKUP(C327, SweepStudyConfig[StudyId], SweepStudyConfig[SweepCorrectedGap])</f>
        <v>#VALUE!</v>
      </c>
      <c r="S327" s="3" t="e">
        <f>IF(Q327 = "", "", Q327 - R327)</f>
        <v>#VALUE!</v>
      </c>
    </row>
    <row r="328">
      <c r="A328" s="2" t="s">
        <v>3616</v>
      </c>
      <c r="B328" s="3" t="str">
        <f>A328</f>
        <v>north-carolina-death-penalty-1990-f065</v>
      </c>
      <c r="C328" s="2" t="s">
        <v>539</v>
      </c>
      <c r="D328" s="2">
        <v>0.65</v>
      </c>
      <c r="E328" s="3" t="e">
        <f>ABS(D328 - LOOKUP(C328, SweepStudyConfig[StudyId], SweepStudyConfig[OriginalAllocFractionA])) &lt; 0.03</f>
        <v>#VALUE!</v>
      </c>
      <c r="F328" s="3" t="e">
        <f>LOOKUP(C328, SweepStudyConfig[StudyId], SweepStudyConfig[NSweepStratumTotal])</f>
        <v>#VALUE!</v>
      </c>
      <c r="G328" s="3" t="e">
        <f>ROUND(F328 * D328)</f>
        <v>#VALUE!</v>
      </c>
      <c r="H328" s="3" t="e">
        <f>F328 - G328</f>
        <v>#VALUE!</v>
      </c>
      <c r="I328" s="3" t="e">
        <f>LOOKUP(C328, SweepStudyConfig[StudyId], SweepStudyConfig[NFixedA])</f>
        <v>#VALUE!</v>
      </c>
      <c r="J328" s="3" t="e">
        <f>LOOKUP(C328, SweepStudyConfig[StudyId], SweepStudyConfig[NFixedB])</f>
        <v>#VALUE!</v>
      </c>
      <c r="K328" s="3" t="e">
        <f>LOOKUP(C328, SweepStudyConfig[StudyId], SweepStudyConfig[SweepRateA])</f>
        <v>#VALUE!</v>
      </c>
      <c r="L328" s="3" t="e">
        <f>LOOKUP(C328, SweepStudyConfig[StudyId], SweepStudyConfig[SweepRateB])</f>
        <v>#VALUE!</v>
      </c>
      <c r="M328" s="3" t="e">
        <f>LOOKUP(C328, SweepStudyConfig[StudyId], SweepStudyConfig[FixedRateA])</f>
        <v>#VALUE!</v>
      </c>
      <c r="N328" s="3" t="e">
        <f>LOOKUP(C328, SweepStudyConfig[StudyId], SweepStudyConfig[FixedRateB])</f>
        <v>#VALUE!</v>
      </c>
      <c r="O328" s="3" t="e">
        <f>IF(G328 + I328 = 0, "", (G328 * K328 + I328 * M328) / (G328 + I328))</f>
        <v>#VALUE!</v>
      </c>
      <c r="P328" s="3" t="e">
        <f>IF(H328 + J328 = 0, "", (H328 * L328 + J328 * N328) / (H328 + J328))</f>
        <v>#VALUE!</v>
      </c>
      <c r="Q328" s="3" t="e">
        <f>IF(O328 = "", "", O328 - P328)</f>
        <v>#VALUE!</v>
      </c>
      <c r="R328" s="3" t="e">
        <f>LOOKUP(C328, SweepStudyConfig[StudyId], SweepStudyConfig[SweepCorrectedGap])</f>
        <v>#VALUE!</v>
      </c>
      <c r="S328" s="3" t="e">
        <f>IF(Q328 = "", "", Q328 - R328)</f>
        <v>#VALUE!</v>
      </c>
    </row>
    <row r="329">
      <c r="A329" s="2" t="s">
        <v>3617</v>
      </c>
      <c r="B329" s="3" t="str">
        <f>A329</f>
        <v>north-carolina-death-penalty-1990-f075</v>
      </c>
      <c r="C329" s="2" t="s">
        <v>539</v>
      </c>
      <c r="D329" s="2">
        <v>0.75</v>
      </c>
      <c r="E329" s="3" t="e">
        <f>ABS(D329 - LOOKUP(C329, SweepStudyConfig[StudyId], SweepStudyConfig[OriginalAllocFractionA])) &lt; 0.03</f>
        <v>#VALUE!</v>
      </c>
      <c r="F329" s="3" t="e">
        <f>LOOKUP(C329, SweepStudyConfig[StudyId], SweepStudyConfig[NSweepStratumTotal])</f>
        <v>#VALUE!</v>
      </c>
      <c r="G329" s="3" t="e">
        <f>ROUND(F329 * D329)</f>
        <v>#VALUE!</v>
      </c>
      <c r="H329" s="3" t="e">
        <f>F329 - G329</f>
        <v>#VALUE!</v>
      </c>
      <c r="I329" s="3" t="e">
        <f>LOOKUP(C329, SweepStudyConfig[StudyId], SweepStudyConfig[NFixedA])</f>
        <v>#VALUE!</v>
      </c>
      <c r="J329" s="3" t="e">
        <f>LOOKUP(C329, SweepStudyConfig[StudyId], SweepStudyConfig[NFixedB])</f>
        <v>#VALUE!</v>
      </c>
      <c r="K329" s="3" t="e">
        <f>LOOKUP(C329, SweepStudyConfig[StudyId], SweepStudyConfig[SweepRateA])</f>
        <v>#VALUE!</v>
      </c>
      <c r="L329" s="3" t="e">
        <f>LOOKUP(C329, SweepStudyConfig[StudyId], SweepStudyConfig[SweepRateB])</f>
        <v>#VALUE!</v>
      </c>
      <c r="M329" s="3" t="e">
        <f>LOOKUP(C329, SweepStudyConfig[StudyId], SweepStudyConfig[FixedRateA])</f>
        <v>#VALUE!</v>
      </c>
      <c r="N329" s="3" t="e">
        <f>LOOKUP(C329, SweepStudyConfig[StudyId], SweepStudyConfig[FixedRateB])</f>
        <v>#VALUE!</v>
      </c>
      <c r="O329" s="3" t="e">
        <f>IF(G329 + I329 = 0, "", (G329 * K329 + I329 * M329) / (G329 + I329))</f>
        <v>#VALUE!</v>
      </c>
      <c r="P329" s="3" t="e">
        <f>IF(H329 + J329 = 0, "", (H329 * L329 + J329 * N329) / (H329 + J329))</f>
        <v>#VALUE!</v>
      </c>
      <c r="Q329" s="3" t="e">
        <f>IF(O329 = "", "", O329 - P329)</f>
        <v>#VALUE!</v>
      </c>
      <c r="R329" s="3" t="e">
        <f>LOOKUP(C329, SweepStudyConfig[StudyId], SweepStudyConfig[SweepCorrectedGap])</f>
        <v>#VALUE!</v>
      </c>
      <c r="S329" s="3" t="e">
        <f>IF(Q329 = "", "", Q329 - R329)</f>
        <v>#VALUE!</v>
      </c>
    </row>
    <row r="330">
      <c r="A330" s="2" t="s">
        <v>3618</v>
      </c>
      <c r="B330" s="3" t="str">
        <f>A330</f>
        <v>north-carolina-death-penalty-1990-f085</v>
      </c>
      <c r="C330" s="2" t="s">
        <v>539</v>
      </c>
      <c r="D330" s="2">
        <v>0.85</v>
      </c>
      <c r="E330" s="3" t="e">
        <f>ABS(D330 - LOOKUP(C330, SweepStudyConfig[StudyId], SweepStudyConfig[OriginalAllocFractionA])) &lt; 0.03</f>
        <v>#VALUE!</v>
      </c>
      <c r="F330" s="3" t="e">
        <f>LOOKUP(C330, SweepStudyConfig[StudyId], SweepStudyConfig[NSweepStratumTotal])</f>
        <v>#VALUE!</v>
      </c>
      <c r="G330" s="3" t="e">
        <f>ROUND(F330 * D330)</f>
        <v>#VALUE!</v>
      </c>
      <c r="H330" s="3" t="e">
        <f>F330 - G330</f>
        <v>#VALUE!</v>
      </c>
      <c r="I330" s="3" t="e">
        <f>LOOKUP(C330, SweepStudyConfig[StudyId], SweepStudyConfig[NFixedA])</f>
        <v>#VALUE!</v>
      </c>
      <c r="J330" s="3" t="e">
        <f>LOOKUP(C330, SweepStudyConfig[StudyId], SweepStudyConfig[NFixedB])</f>
        <v>#VALUE!</v>
      </c>
      <c r="K330" s="3" t="e">
        <f>LOOKUP(C330, SweepStudyConfig[StudyId], SweepStudyConfig[SweepRateA])</f>
        <v>#VALUE!</v>
      </c>
      <c r="L330" s="3" t="e">
        <f>LOOKUP(C330, SweepStudyConfig[StudyId], SweepStudyConfig[SweepRateB])</f>
        <v>#VALUE!</v>
      </c>
      <c r="M330" s="3" t="e">
        <f>LOOKUP(C330, SweepStudyConfig[StudyId], SweepStudyConfig[FixedRateA])</f>
        <v>#VALUE!</v>
      </c>
      <c r="N330" s="3" t="e">
        <f>LOOKUP(C330, SweepStudyConfig[StudyId], SweepStudyConfig[FixedRateB])</f>
        <v>#VALUE!</v>
      </c>
      <c r="O330" s="3" t="e">
        <f>IF(G330 + I330 = 0, "", (G330 * K330 + I330 * M330) / (G330 + I330))</f>
        <v>#VALUE!</v>
      </c>
      <c r="P330" s="3" t="e">
        <f>IF(H330 + J330 = 0, "", (H330 * L330 + J330 * N330) / (H330 + J330))</f>
        <v>#VALUE!</v>
      </c>
      <c r="Q330" s="3" t="e">
        <f>IF(O330 = "", "", O330 - P330)</f>
        <v>#VALUE!</v>
      </c>
      <c r="R330" s="3" t="e">
        <f>LOOKUP(C330, SweepStudyConfig[StudyId], SweepStudyConfig[SweepCorrectedGap])</f>
        <v>#VALUE!</v>
      </c>
      <c r="S330" s="3" t="e">
        <f>IF(Q330 = "", "", Q330 - R330)</f>
        <v>#VALUE!</v>
      </c>
    </row>
    <row r="331">
      <c r="A331" s="2" t="s">
        <v>3619</v>
      </c>
      <c r="B331" s="3" t="str">
        <f>A331</f>
        <v>north-carolina-death-penalty-1990-f095</v>
      </c>
      <c r="C331" s="2" t="s">
        <v>539</v>
      </c>
      <c r="D331" s="2">
        <v>0.95</v>
      </c>
      <c r="E331" s="3" t="e">
        <f>ABS(D331 - LOOKUP(C331, SweepStudyConfig[StudyId], SweepStudyConfig[OriginalAllocFractionA])) &lt; 0.03</f>
        <v>#VALUE!</v>
      </c>
      <c r="F331" s="3" t="e">
        <f>LOOKUP(C331, SweepStudyConfig[StudyId], SweepStudyConfig[NSweepStratumTotal])</f>
        <v>#VALUE!</v>
      </c>
      <c r="G331" s="3" t="e">
        <f>ROUND(F331 * D331)</f>
        <v>#VALUE!</v>
      </c>
      <c r="H331" s="3" t="e">
        <f>F331 - G331</f>
        <v>#VALUE!</v>
      </c>
      <c r="I331" s="3" t="e">
        <f>LOOKUP(C331, SweepStudyConfig[StudyId], SweepStudyConfig[NFixedA])</f>
        <v>#VALUE!</v>
      </c>
      <c r="J331" s="3" t="e">
        <f>LOOKUP(C331, SweepStudyConfig[StudyId], SweepStudyConfig[NFixedB])</f>
        <v>#VALUE!</v>
      </c>
      <c r="K331" s="3" t="e">
        <f>LOOKUP(C331, SweepStudyConfig[StudyId], SweepStudyConfig[SweepRateA])</f>
        <v>#VALUE!</v>
      </c>
      <c r="L331" s="3" t="e">
        <f>LOOKUP(C331, SweepStudyConfig[StudyId], SweepStudyConfig[SweepRateB])</f>
        <v>#VALUE!</v>
      </c>
      <c r="M331" s="3" t="e">
        <f>LOOKUP(C331, SweepStudyConfig[StudyId], SweepStudyConfig[FixedRateA])</f>
        <v>#VALUE!</v>
      </c>
      <c r="N331" s="3" t="e">
        <f>LOOKUP(C331, SweepStudyConfig[StudyId], SweepStudyConfig[FixedRateB])</f>
        <v>#VALUE!</v>
      </c>
      <c r="O331" s="3" t="e">
        <f>IF(G331 + I331 = 0, "", (G331 * K331 + I331 * M331) / (G331 + I331))</f>
        <v>#VALUE!</v>
      </c>
      <c r="P331" s="3" t="e">
        <f>IF(H331 + J331 = 0, "", (H331 * L331 + J331 * N331) / (H331 + J331))</f>
        <v>#VALUE!</v>
      </c>
      <c r="Q331" s="3" t="e">
        <f>IF(O331 = "", "", O331 - P331)</f>
        <v>#VALUE!</v>
      </c>
      <c r="R331" s="3" t="e">
        <f>LOOKUP(C331, SweepStudyConfig[StudyId], SweepStudyConfig[SweepCorrectedGap])</f>
        <v>#VALUE!</v>
      </c>
      <c r="S331" s="3" t="e">
        <f>IF(Q331 = "", "", Q331 - R331)</f>
        <v>#VALUE!</v>
      </c>
    </row>
    <row r="332">
      <c r="A332" s="2" t="s">
        <v>3620</v>
      </c>
      <c r="B332" s="3" t="str">
        <f>A332</f>
        <v>housing-discrimination-audit-f005</v>
      </c>
      <c r="C332" s="2" t="s">
        <v>542</v>
      </c>
      <c r="D332" s="2">
        <v>0.05</v>
      </c>
      <c r="E332" s="3" t="e">
        <f>ABS(D332 - LOOKUP(C332, SweepStudyConfig[StudyId], SweepStudyConfig[OriginalAllocFractionA])) &lt; 0.03</f>
        <v>#VALUE!</v>
      </c>
      <c r="F332" s="3" t="e">
        <f>LOOKUP(C332, SweepStudyConfig[StudyId], SweepStudyConfig[NSweepStratumTotal])</f>
        <v>#VALUE!</v>
      </c>
      <c r="G332" s="3" t="e">
        <f>ROUND(F332 * D332)</f>
        <v>#VALUE!</v>
      </c>
      <c r="H332" s="3" t="e">
        <f>F332 - G332</f>
        <v>#VALUE!</v>
      </c>
      <c r="I332" s="3" t="e">
        <f>LOOKUP(C332, SweepStudyConfig[StudyId], SweepStudyConfig[NFixedA])</f>
        <v>#VALUE!</v>
      </c>
      <c r="J332" s="3" t="e">
        <f>LOOKUP(C332, SweepStudyConfig[StudyId], SweepStudyConfig[NFixedB])</f>
        <v>#VALUE!</v>
      </c>
      <c r="K332" s="3" t="e">
        <f>LOOKUP(C332, SweepStudyConfig[StudyId], SweepStudyConfig[SweepRateA])</f>
        <v>#VALUE!</v>
      </c>
      <c r="L332" s="3" t="e">
        <f>LOOKUP(C332, SweepStudyConfig[StudyId], SweepStudyConfig[SweepRateB])</f>
        <v>#VALUE!</v>
      </c>
      <c r="M332" s="3" t="e">
        <f>LOOKUP(C332, SweepStudyConfig[StudyId], SweepStudyConfig[FixedRateA])</f>
        <v>#VALUE!</v>
      </c>
      <c r="N332" s="3" t="e">
        <f>LOOKUP(C332, SweepStudyConfig[StudyId], SweepStudyConfig[FixedRateB])</f>
        <v>#VALUE!</v>
      </c>
      <c r="O332" s="3" t="e">
        <f>IF(G332 + I332 = 0, "", (G332 * K332 + I332 * M332) / (G332 + I332))</f>
        <v>#VALUE!</v>
      </c>
      <c r="P332" s="3" t="e">
        <f>IF(H332 + J332 = 0, "", (H332 * L332 + J332 * N332) / (H332 + J332))</f>
        <v>#VALUE!</v>
      </c>
      <c r="Q332" s="3" t="e">
        <f>IF(O332 = "", "", O332 - P332)</f>
        <v>#VALUE!</v>
      </c>
      <c r="R332" s="3" t="e">
        <f>LOOKUP(C332, SweepStudyConfig[StudyId], SweepStudyConfig[SweepCorrectedGap])</f>
        <v>#VALUE!</v>
      </c>
      <c r="S332" s="3" t="e">
        <f>IF(Q332 = "", "", Q332 - R332)</f>
        <v>#VALUE!</v>
      </c>
    </row>
    <row r="333">
      <c r="A333" s="2" t="s">
        <v>3621</v>
      </c>
      <c r="B333" s="3" t="str">
        <f>A333</f>
        <v>housing-discrimination-audit-f015</v>
      </c>
      <c r="C333" s="2" t="s">
        <v>542</v>
      </c>
      <c r="D333" s="2">
        <v>0.15</v>
      </c>
      <c r="E333" s="3" t="e">
        <f>ABS(D333 - LOOKUP(C333, SweepStudyConfig[StudyId], SweepStudyConfig[OriginalAllocFractionA])) &lt; 0.03</f>
        <v>#VALUE!</v>
      </c>
      <c r="F333" s="3" t="e">
        <f>LOOKUP(C333, SweepStudyConfig[StudyId], SweepStudyConfig[NSweepStratumTotal])</f>
        <v>#VALUE!</v>
      </c>
      <c r="G333" s="3" t="e">
        <f>ROUND(F333 * D333)</f>
        <v>#VALUE!</v>
      </c>
      <c r="H333" s="3" t="e">
        <f>F333 - G333</f>
        <v>#VALUE!</v>
      </c>
      <c r="I333" s="3" t="e">
        <f>LOOKUP(C333, SweepStudyConfig[StudyId], SweepStudyConfig[NFixedA])</f>
        <v>#VALUE!</v>
      </c>
      <c r="J333" s="3" t="e">
        <f>LOOKUP(C333, SweepStudyConfig[StudyId], SweepStudyConfig[NFixedB])</f>
        <v>#VALUE!</v>
      </c>
      <c r="K333" s="3" t="e">
        <f>LOOKUP(C333, SweepStudyConfig[StudyId], SweepStudyConfig[SweepRateA])</f>
        <v>#VALUE!</v>
      </c>
      <c r="L333" s="3" t="e">
        <f>LOOKUP(C333, SweepStudyConfig[StudyId], SweepStudyConfig[SweepRateB])</f>
        <v>#VALUE!</v>
      </c>
      <c r="M333" s="3" t="e">
        <f>LOOKUP(C333, SweepStudyConfig[StudyId], SweepStudyConfig[FixedRateA])</f>
        <v>#VALUE!</v>
      </c>
      <c r="N333" s="3" t="e">
        <f>LOOKUP(C333, SweepStudyConfig[StudyId], SweepStudyConfig[FixedRateB])</f>
        <v>#VALUE!</v>
      </c>
      <c r="O333" s="3" t="e">
        <f>IF(G333 + I333 = 0, "", (G333 * K333 + I333 * M333) / (G333 + I333))</f>
        <v>#VALUE!</v>
      </c>
      <c r="P333" s="3" t="e">
        <f>IF(H333 + J333 = 0, "", (H333 * L333 + J333 * N333) / (H333 + J333))</f>
        <v>#VALUE!</v>
      </c>
      <c r="Q333" s="3" t="e">
        <f>IF(O333 = "", "", O333 - P333)</f>
        <v>#VALUE!</v>
      </c>
      <c r="R333" s="3" t="e">
        <f>LOOKUP(C333, SweepStudyConfig[StudyId], SweepStudyConfig[SweepCorrectedGap])</f>
        <v>#VALUE!</v>
      </c>
      <c r="S333" s="3" t="e">
        <f>IF(Q333 = "", "", Q333 - R333)</f>
        <v>#VALUE!</v>
      </c>
    </row>
    <row r="334">
      <c r="A334" s="2" t="s">
        <v>3622</v>
      </c>
      <c r="B334" s="3" t="str">
        <f>A334</f>
        <v>housing-discrimination-audit-f025</v>
      </c>
      <c r="C334" s="2" t="s">
        <v>542</v>
      </c>
      <c r="D334" s="2">
        <v>0.25</v>
      </c>
      <c r="E334" s="3" t="e">
        <f>ABS(D334 - LOOKUP(C334, SweepStudyConfig[StudyId], SweepStudyConfig[OriginalAllocFractionA])) &lt; 0.03</f>
        <v>#VALUE!</v>
      </c>
      <c r="F334" s="3" t="e">
        <f>LOOKUP(C334, SweepStudyConfig[StudyId], SweepStudyConfig[NSweepStratumTotal])</f>
        <v>#VALUE!</v>
      </c>
      <c r="G334" s="3" t="e">
        <f>ROUND(F334 * D334)</f>
        <v>#VALUE!</v>
      </c>
      <c r="H334" s="3" t="e">
        <f>F334 - G334</f>
        <v>#VALUE!</v>
      </c>
      <c r="I334" s="3" t="e">
        <f>LOOKUP(C334, SweepStudyConfig[StudyId], SweepStudyConfig[NFixedA])</f>
        <v>#VALUE!</v>
      </c>
      <c r="J334" s="3" t="e">
        <f>LOOKUP(C334, SweepStudyConfig[StudyId], SweepStudyConfig[NFixedB])</f>
        <v>#VALUE!</v>
      </c>
      <c r="K334" s="3" t="e">
        <f>LOOKUP(C334, SweepStudyConfig[StudyId], SweepStudyConfig[SweepRateA])</f>
        <v>#VALUE!</v>
      </c>
      <c r="L334" s="3" t="e">
        <f>LOOKUP(C334, SweepStudyConfig[StudyId], SweepStudyConfig[SweepRateB])</f>
        <v>#VALUE!</v>
      </c>
      <c r="M334" s="3" t="e">
        <f>LOOKUP(C334, SweepStudyConfig[StudyId], SweepStudyConfig[FixedRateA])</f>
        <v>#VALUE!</v>
      </c>
      <c r="N334" s="3" t="e">
        <f>LOOKUP(C334, SweepStudyConfig[StudyId], SweepStudyConfig[FixedRateB])</f>
        <v>#VALUE!</v>
      </c>
      <c r="O334" s="3" t="e">
        <f>IF(G334 + I334 = 0, "", (G334 * K334 + I334 * M334) / (G334 + I334))</f>
        <v>#VALUE!</v>
      </c>
      <c r="P334" s="3" t="e">
        <f>IF(H334 + J334 = 0, "", (H334 * L334 + J334 * N334) / (H334 + J334))</f>
        <v>#VALUE!</v>
      </c>
      <c r="Q334" s="3" t="e">
        <f>IF(O334 = "", "", O334 - P334)</f>
        <v>#VALUE!</v>
      </c>
      <c r="R334" s="3" t="e">
        <f>LOOKUP(C334, SweepStudyConfig[StudyId], SweepStudyConfig[SweepCorrectedGap])</f>
        <v>#VALUE!</v>
      </c>
      <c r="S334" s="3" t="e">
        <f>IF(Q334 = "", "", Q334 - R334)</f>
        <v>#VALUE!</v>
      </c>
    </row>
    <row r="335">
      <c r="A335" s="2" t="s">
        <v>3623</v>
      </c>
      <c r="B335" s="3" t="str">
        <f>A335</f>
        <v>housing-discrimination-audit-f035</v>
      </c>
      <c r="C335" s="2" t="s">
        <v>542</v>
      </c>
      <c r="D335" s="2">
        <v>0.35</v>
      </c>
      <c r="E335" s="3" t="e">
        <f>ABS(D335 - LOOKUP(C335, SweepStudyConfig[StudyId], SweepStudyConfig[OriginalAllocFractionA])) &lt; 0.03</f>
        <v>#VALUE!</v>
      </c>
      <c r="F335" s="3" t="e">
        <f>LOOKUP(C335, SweepStudyConfig[StudyId], SweepStudyConfig[NSweepStratumTotal])</f>
        <v>#VALUE!</v>
      </c>
      <c r="G335" s="3" t="e">
        <f>ROUND(F335 * D335)</f>
        <v>#VALUE!</v>
      </c>
      <c r="H335" s="3" t="e">
        <f>F335 - G335</f>
        <v>#VALUE!</v>
      </c>
      <c r="I335" s="3" t="e">
        <f>LOOKUP(C335, SweepStudyConfig[StudyId], SweepStudyConfig[NFixedA])</f>
        <v>#VALUE!</v>
      </c>
      <c r="J335" s="3" t="e">
        <f>LOOKUP(C335, SweepStudyConfig[StudyId], SweepStudyConfig[NFixedB])</f>
        <v>#VALUE!</v>
      </c>
      <c r="K335" s="3" t="e">
        <f>LOOKUP(C335, SweepStudyConfig[StudyId], SweepStudyConfig[SweepRateA])</f>
        <v>#VALUE!</v>
      </c>
      <c r="L335" s="3" t="e">
        <f>LOOKUP(C335, SweepStudyConfig[StudyId], SweepStudyConfig[SweepRateB])</f>
        <v>#VALUE!</v>
      </c>
      <c r="M335" s="3" t="e">
        <f>LOOKUP(C335, SweepStudyConfig[StudyId], SweepStudyConfig[FixedRateA])</f>
        <v>#VALUE!</v>
      </c>
      <c r="N335" s="3" t="e">
        <f>LOOKUP(C335, SweepStudyConfig[StudyId], SweepStudyConfig[FixedRateB])</f>
        <v>#VALUE!</v>
      </c>
      <c r="O335" s="3" t="e">
        <f>IF(G335 + I335 = 0, "", (G335 * K335 + I335 * M335) / (G335 + I335))</f>
        <v>#VALUE!</v>
      </c>
      <c r="P335" s="3" t="e">
        <f>IF(H335 + J335 = 0, "", (H335 * L335 + J335 * N335) / (H335 + J335))</f>
        <v>#VALUE!</v>
      </c>
      <c r="Q335" s="3" t="e">
        <f>IF(O335 = "", "", O335 - P335)</f>
        <v>#VALUE!</v>
      </c>
      <c r="R335" s="3" t="e">
        <f>LOOKUP(C335, SweepStudyConfig[StudyId], SweepStudyConfig[SweepCorrectedGap])</f>
        <v>#VALUE!</v>
      </c>
      <c r="S335" s="3" t="e">
        <f>IF(Q335 = "", "", Q335 - R335)</f>
        <v>#VALUE!</v>
      </c>
    </row>
    <row r="336">
      <c r="A336" s="2" t="s">
        <v>3624</v>
      </c>
      <c r="B336" s="3" t="str">
        <f>A336</f>
        <v>housing-discrimination-audit-f045</v>
      </c>
      <c r="C336" s="2" t="s">
        <v>542</v>
      </c>
      <c r="D336" s="2">
        <v>0.45</v>
      </c>
      <c r="E336" s="3" t="e">
        <f>ABS(D336 - LOOKUP(C336, SweepStudyConfig[StudyId], SweepStudyConfig[OriginalAllocFractionA])) &lt; 0.03</f>
        <v>#VALUE!</v>
      </c>
      <c r="F336" s="3" t="e">
        <f>LOOKUP(C336, SweepStudyConfig[StudyId], SweepStudyConfig[NSweepStratumTotal])</f>
        <v>#VALUE!</v>
      </c>
      <c r="G336" s="3" t="e">
        <f>ROUND(F336 * D336)</f>
        <v>#VALUE!</v>
      </c>
      <c r="H336" s="3" t="e">
        <f>F336 - G336</f>
        <v>#VALUE!</v>
      </c>
      <c r="I336" s="3" t="e">
        <f>LOOKUP(C336, SweepStudyConfig[StudyId], SweepStudyConfig[NFixedA])</f>
        <v>#VALUE!</v>
      </c>
      <c r="J336" s="3" t="e">
        <f>LOOKUP(C336, SweepStudyConfig[StudyId], SweepStudyConfig[NFixedB])</f>
        <v>#VALUE!</v>
      </c>
      <c r="K336" s="3" t="e">
        <f>LOOKUP(C336, SweepStudyConfig[StudyId], SweepStudyConfig[SweepRateA])</f>
        <v>#VALUE!</v>
      </c>
      <c r="L336" s="3" t="e">
        <f>LOOKUP(C336, SweepStudyConfig[StudyId], SweepStudyConfig[SweepRateB])</f>
        <v>#VALUE!</v>
      </c>
      <c r="M336" s="3" t="e">
        <f>LOOKUP(C336, SweepStudyConfig[StudyId], SweepStudyConfig[FixedRateA])</f>
        <v>#VALUE!</v>
      </c>
      <c r="N336" s="3" t="e">
        <f>LOOKUP(C336, SweepStudyConfig[StudyId], SweepStudyConfig[FixedRateB])</f>
        <v>#VALUE!</v>
      </c>
      <c r="O336" s="3" t="e">
        <f>IF(G336 + I336 = 0, "", (G336 * K336 + I336 * M336) / (G336 + I336))</f>
        <v>#VALUE!</v>
      </c>
      <c r="P336" s="3" t="e">
        <f>IF(H336 + J336 = 0, "", (H336 * L336 + J336 * N336) / (H336 + J336))</f>
        <v>#VALUE!</v>
      </c>
      <c r="Q336" s="3" t="e">
        <f>IF(O336 = "", "", O336 - P336)</f>
        <v>#VALUE!</v>
      </c>
      <c r="R336" s="3" t="e">
        <f>LOOKUP(C336, SweepStudyConfig[StudyId], SweepStudyConfig[SweepCorrectedGap])</f>
        <v>#VALUE!</v>
      </c>
      <c r="S336" s="3" t="e">
        <f>IF(Q336 = "", "", Q336 - R336)</f>
        <v>#VALUE!</v>
      </c>
    </row>
    <row r="337">
      <c r="A337" s="2" t="s">
        <v>3625</v>
      </c>
      <c r="B337" s="3" t="str">
        <f>A337</f>
        <v>housing-discrimination-audit-f055</v>
      </c>
      <c r="C337" s="2" t="s">
        <v>542</v>
      </c>
      <c r="D337" s="2">
        <v>0.55</v>
      </c>
      <c r="E337" s="3" t="e">
        <f>ABS(D337 - LOOKUP(C337, SweepStudyConfig[StudyId], SweepStudyConfig[OriginalAllocFractionA])) &lt; 0.03</f>
        <v>#VALUE!</v>
      </c>
      <c r="F337" s="3" t="e">
        <f>LOOKUP(C337, SweepStudyConfig[StudyId], SweepStudyConfig[NSweepStratumTotal])</f>
        <v>#VALUE!</v>
      </c>
      <c r="G337" s="3" t="e">
        <f>ROUND(F337 * D337)</f>
        <v>#VALUE!</v>
      </c>
      <c r="H337" s="3" t="e">
        <f>F337 - G337</f>
        <v>#VALUE!</v>
      </c>
      <c r="I337" s="3" t="e">
        <f>LOOKUP(C337, SweepStudyConfig[StudyId], SweepStudyConfig[NFixedA])</f>
        <v>#VALUE!</v>
      </c>
      <c r="J337" s="3" t="e">
        <f>LOOKUP(C337, SweepStudyConfig[StudyId], SweepStudyConfig[NFixedB])</f>
        <v>#VALUE!</v>
      </c>
      <c r="K337" s="3" t="e">
        <f>LOOKUP(C337, SweepStudyConfig[StudyId], SweepStudyConfig[SweepRateA])</f>
        <v>#VALUE!</v>
      </c>
      <c r="L337" s="3" t="e">
        <f>LOOKUP(C337, SweepStudyConfig[StudyId], SweepStudyConfig[SweepRateB])</f>
        <v>#VALUE!</v>
      </c>
      <c r="M337" s="3" t="e">
        <f>LOOKUP(C337, SweepStudyConfig[StudyId], SweepStudyConfig[FixedRateA])</f>
        <v>#VALUE!</v>
      </c>
      <c r="N337" s="3" t="e">
        <f>LOOKUP(C337, SweepStudyConfig[StudyId], SweepStudyConfig[FixedRateB])</f>
        <v>#VALUE!</v>
      </c>
      <c r="O337" s="3" t="e">
        <f>IF(G337 + I337 = 0, "", (G337 * K337 + I337 * M337) / (G337 + I337))</f>
        <v>#VALUE!</v>
      </c>
      <c r="P337" s="3" t="e">
        <f>IF(H337 + J337 = 0, "", (H337 * L337 + J337 * N337) / (H337 + J337))</f>
        <v>#VALUE!</v>
      </c>
      <c r="Q337" s="3" t="e">
        <f>IF(O337 = "", "", O337 - P337)</f>
        <v>#VALUE!</v>
      </c>
      <c r="R337" s="3" t="e">
        <f>LOOKUP(C337, SweepStudyConfig[StudyId], SweepStudyConfig[SweepCorrectedGap])</f>
        <v>#VALUE!</v>
      </c>
      <c r="S337" s="3" t="e">
        <f>IF(Q337 = "", "", Q337 - R337)</f>
        <v>#VALUE!</v>
      </c>
    </row>
    <row r="338">
      <c r="A338" s="2" t="s">
        <v>3626</v>
      </c>
      <c r="B338" s="3" t="str">
        <f>A338</f>
        <v>housing-discrimination-audit-f065</v>
      </c>
      <c r="C338" s="2" t="s">
        <v>542</v>
      </c>
      <c r="D338" s="2">
        <v>0.65</v>
      </c>
      <c r="E338" s="3" t="e">
        <f>ABS(D338 - LOOKUP(C338, SweepStudyConfig[StudyId], SweepStudyConfig[OriginalAllocFractionA])) &lt; 0.03</f>
        <v>#VALUE!</v>
      </c>
      <c r="F338" s="3" t="e">
        <f>LOOKUP(C338, SweepStudyConfig[StudyId], SweepStudyConfig[NSweepStratumTotal])</f>
        <v>#VALUE!</v>
      </c>
      <c r="G338" s="3" t="e">
        <f>ROUND(F338 * D338)</f>
        <v>#VALUE!</v>
      </c>
      <c r="H338" s="3" t="e">
        <f>F338 - G338</f>
        <v>#VALUE!</v>
      </c>
      <c r="I338" s="3" t="e">
        <f>LOOKUP(C338, SweepStudyConfig[StudyId], SweepStudyConfig[NFixedA])</f>
        <v>#VALUE!</v>
      </c>
      <c r="J338" s="3" t="e">
        <f>LOOKUP(C338, SweepStudyConfig[StudyId], SweepStudyConfig[NFixedB])</f>
        <v>#VALUE!</v>
      </c>
      <c r="K338" s="3" t="e">
        <f>LOOKUP(C338, SweepStudyConfig[StudyId], SweepStudyConfig[SweepRateA])</f>
        <v>#VALUE!</v>
      </c>
      <c r="L338" s="3" t="e">
        <f>LOOKUP(C338, SweepStudyConfig[StudyId], SweepStudyConfig[SweepRateB])</f>
        <v>#VALUE!</v>
      </c>
      <c r="M338" s="3" t="e">
        <f>LOOKUP(C338, SweepStudyConfig[StudyId], SweepStudyConfig[FixedRateA])</f>
        <v>#VALUE!</v>
      </c>
      <c r="N338" s="3" t="e">
        <f>LOOKUP(C338, SweepStudyConfig[StudyId], SweepStudyConfig[FixedRateB])</f>
        <v>#VALUE!</v>
      </c>
      <c r="O338" s="3" t="e">
        <f>IF(G338 + I338 = 0, "", (G338 * K338 + I338 * M338) / (G338 + I338))</f>
        <v>#VALUE!</v>
      </c>
      <c r="P338" s="3" t="e">
        <f>IF(H338 + J338 = 0, "", (H338 * L338 + J338 * N338) / (H338 + J338))</f>
        <v>#VALUE!</v>
      </c>
      <c r="Q338" s="3" t="e">
        <f>IF(O338 = "", "", O338 - P338)</f>
        <v>#VALUE!</v>
      </c>
      <c r="R338" s="3" t="e">
        <f>LOOKUP(C338, SweepStudyConfig[StudyId], SweepStudyConfig[SweepCorrectedGap])</f>
        <v>#VALUE!</v>
      </c>
      <c r="S338" s="3" t="e">
        <f>IF(Q338 = "", "", Q338 - R338)</f>
        <v>#VALUE!</v>
      </c>
    </row>
    <row r="339">
      <c r="A339" s="2" t="s">
        <v>3627</v>
      </c>
      <c r="B339" s="3" t="str">
        <f>A339</f>
        <v>housing-discrimination-audit-f075</v>
      </c>
      <c r="C339" s="2" t="s">
        <v>542</v>
      </c>
      <c r="D339" s="2">
        <v>0.75</v>
      </c>
      <c r="E339" s="3" t="e">
        <f>ABS(D339 - LOOKUP(C339, SweepStudyConfig[StudyId], SweepStudyConfig[OriginalAllocFractionA])) &lt; 0.03</f>
        <v>#VALUE!</v>
      </c>
      <c r="F339" s="3" t="e">
        <f>LOOKUP(C339, SweepStudyConfig[StudyId], SweepStudyConfig[NSweepStratumTotal])</f>
        <v>#VALUE!</v>
      </c>
      <c r="G339" s="3" t="e">
        <f>ROUND(F339 * D339)</f>
        <v>#VALUE!</v>
      </c>
      <c r="H339" s="3" t="e">
        <f>F339 - G339</f>
        <v>#VALUE!</v>
      </c>
      <c r="I339" s="3" t="e">
        <f>LOOKUP(C339, SweepStudyConfig[StudyId], SweepStudyConfig[NFixedA])</f>
        <v>#VALUE!</v>
      </c>
      <c r="J339" s="3" t="e">
        <f>LOOKUP(C339, SweepStudyConfig[StudyId], SweepStudyConfig[NFixedB])</f>
        <v>#VALUE!</v>
      </c>
      <c r="K339" s="3" t="e">
        <f>LOOKUP(C339, SweepStudyConfig[StudyId], SweepStudyConfig[SweepRateA])</f>
        <v>#VALUE!</v>
      </c>
      <c r="L339" s="3" t="e">
        <f>LOOKUP(C339, SweepStudyConfig[StudyId], SweepStudyConfig[SweepRateB])</f>
        <v>#VALUE!</v>
      </c>
      <c r="M339" s="3" t="e">
        <f>LOOKUP(C339, SweepStudyConfig[StudyId], SweepStudyConfig[FixedRateA])</f>
        <v>#VALUE!</v>
      </c>
      <c r="N339" s="3" t="e">
        <f>LOOKUP(C339, SweepStudyConfig[StudyId], SweepStudyConfig[FixedRateB])</f>
        <v>#VALUE!</v>
      </c>
      <c r="O339" s="3" t="e">
        <f>IF(G339 + I339 = 0, "", (G339 * K339 + I339 * M339) / (G339 + I339))</f>
        <v>#VALUE!</v>
      </c>
      <c r="P339" s="3" t="e">
        <f>IF(H339 + J339 = 0, "", (H339 * L339 + J339 * N339) / (H339 + J339))</f>
        <v>#VALUE!</v>
      </c>
      <c r="Q339" s="3" t="e">
        <f>IF(O339 = "", "", O339 - P339)</f>
        <v>#VALUE!</v>
      </c>
      <c r="R339" s="3" t="e">
        <f>LOOKUP(C339, SweepStudyConfig[StudyId], SweepStudyConfig[SweepCorrectedGap])</f>
        <v>#VALUE!</v>
      </c>
      <c r="S339" s="3" t="e">
        <f>IF(Q339 = "", "", Q339 - R339)</f>
        <v>#VALUE!</v>
      </c>
    </row>
    <row r="340">
      <c r="A340" s="2" t="s">
        <v>3628</v>
      </c>
      <c r="B340" s="3" t="str">
        <f>A340</f>
        <v>housing-discrimination-audit-f085</v>
      </c>
      <c r="C340" s="2" t="s">
        <v>542</v>
      </c>
      <c r="D340" s="2">
        <v>0.85</v>
      </c>
      <c r="E340" s="3" t="e">
        <f>ABS(D340 - LOOKUP(C340, SweepStudyConfig[StudyId], SweepStudyConfig[OriginalAllocFractionA])) &lt; 0.03</f>
        <v>#VALUE!</v>
      </c>
      <c r="F340" s="3" t="e">
        <f>LOOKUP(C340, SweepStudyConfig[StudyId], SweepStudyConfig[NSweepStratumTotal])</f>
        <v>#VALUE!</v>
      </c>
      <c r="G340" s="3" t="e">
        <f>ROUND(F340 * D340)</f>
        <v>#VALUE!</v>
      </c>
      <c r="H340" s="3" t="e">
        <f>F340 - G340</f>
        <v>#VALUE!</v>
      </c>
      <c r="I340" s="3" t="e">
        <f>LOOKUP(C340, SweepStudyConfig[StudyId], SweepStudyConfig[NFixedA])</f>
        <v>#VALUE!</v>
      </c>
      <c r="J340" s="3" t="e">
        <f>LOOKUP(C340, SweepStudyConfig[StudyId], SweepStudyConfig[NFixedB])</f>
        <v>#VALUE!</v>
      </c>
      <c r="K340" s="3" t="e">
        <f>LOOKUP(C340, SweepStudyConfig[StudyId], SweepStudyConfig[SweepRateA])</f>
        <v>#VALUE!</v>
      </c>
      <c r="L340" s="3" t="e">
        <f>LOOKUP(C340, SweepStudyConfig[StudyId], SweepStudyConfig[SweepRateB])</f>
        <v>#VALUE!</v>
      </c>
      <c r="M340" s="3" t="e">
        <f>LOOKUP(C340, SweepStudyConfig[StudyId], SweepStudyConfig[FixedRateA])</f>
        <v>#VALUE!</v>
      </c>
      <c r="N340" s="3" t="e">
        <f>LOOKUP(C340, SweepStudyConfig[StudyId], SweepStudyConfig[FixedRateB])</f>
        <v>#VALUE!</v>
      </c>
      <c r="O340" s="3" t="e">
        <f>IF(G340 + I340 = 0, "", (G340 * K340 + I340 * M340) / (G340 + I340))</f>
        <v>#VALUE!</v>
      </c>
      <c r="P340" s="3" t="e">
        <f>IF(H340 + J340 = 0, "", (H340 * L340 + J340 * N340) / (H340 + J340))</f>
        <v>#VALUE!</v>
      </c>
      <c r="Q340" s="3" t="e">
        <f>IF(O340 = "", "", O340 - P340)</f>
        <v>#VALUE!</v>
      </c>
      <c r="R340" s="3" t="e">
        <f>LOOKUP(C340, SweepStudyConfig[StudyId], SweepStudyConfig[SweepCorrectedGap])</f>
        <v>#VALUE!</v>
      </c>
      <c r="S340" s="3" t="e">
        <f>IF(Q340 = "", "", Q340 - R340)</f>
        <v>#VALUE!</v>
      </c>
    </row>
    <row r="341">
      <c r="A341" s="2" t="s">
        <v>3629</v>
      </c>
      <c r="B341" s="3" t="str">
        <f>A341</f>
        <v>housing-discrimination-audit-f095</v>
      </c>
      <c r="C341" s="2" t="s">
        <v>542</v>
      </c>
      <c r="D341" s="2">
        <v>0.95</v>
      </c>
      <c r="E341" s="3" t="e">
        <f>ABS(D341 - LOOKUP(C341, SweepStudyConfig[StudyId], SweepStudyConfig[OriginalAllocFractionA])) &lt; 0.03</f>
        <v>#VALUE!</v>
      </c>
      <c r="F341" s="3" t="e">
        <f>LOOKUP(C341, SweepStudyConfig[StudyId], SweepStudyConfig[NSweepStratumTotal])</f>
        <v>#VALUE!</v>
      </c>
      <c r="G341" s="3" t="e">
        <f>ROUND(F341 * D341)</f>
        <v>#VALUE!</v>
      </c>
      <c r="H341" s="3" t="e">
        <f>F341 - G341</f>
        <v>#VALUE!</v>
      </c>
      <c r="I341" s="3" t="e">
        <f>LOOKUP(C341, SweepStudyConfig[StudyId], SweepStudyConfig[NFixedA])</f>
        <v>#VALUE!</v>
      </c>
      <c r="J341" s="3" t="e">
        <f>LOOKUP(C341, SweepStudyConfig[StudyId], SweepStudyConfig[NFixedB])</f>
        <v>#VALUE!</v>
      </c>
      <c r="K341" s="3" t="e">
        <f>LOOKUP(C341, SweepStudyConfig[StudyId], SweepStudyConfig[SweepRateA])</f>
        <v>#VALUE!</v>
      </c>
      <c r="L341" s="3" t="e">
        <f>LOOKUP(C341, SweepStudyConfig[StudyId], SweepStudyConfig[SweepRateB])</f>
        <v>#VALUE!</v>
      </c>
      <c r="M341" s="3" t="e">
        <f>LOOKUP(C341, SweepStudyConfig[StudyId], SweepStudyConfig[FixedRateA])</f>
        <v>#VALUE!</v>
      </c>
      <c r="N341" s="3" t="e">
        <f>LOOKUP(C341, SweepStudyConfig[StudyId], SweepStudyConfig[FixedRateB])</f>
        <v>#VALUE!</v>
      </c>
      <c r="O341" s="3" t="e">
        <f>IF(G341 + I341 = 0, "", (G341 * K341 + I341 * M341) / (G341 + I341))</f>
        <v>#VALUE!</v>
      </c>
      <c r="P341" s="3" t="e">
        <f>IF(H341 + J341 = 0, "", (H341 * L341 + J341 * N341) / (H341 + J341))</f>
        <v>#VALUE!</v>
      </c>
      <c r="Q341" s="3" t="e">
        <f>IF(O341 = "", "", O341 - P341)</f>
        <v>#VALUE!</v>
      </c>
      <c r="R341" s="3" t="e">
        <f>LOOKUP(C341, SweepStudyConfig[StudyId], SweepStudyConfig[SweepCorrectedGap])</f>
        <v>#VALUE!</v>
      </c>
      <c r="S341" s="3" t="e">
        <f>IF(Q341 = "", "", Q341 - R341)</f>
        <v>#VALUE!</v>
      </c>
    </row>
    <row r="342">
      <c r="A342" s="2" t="s">
        <v>3630</v>
      </c>
      <c r="B342" s="3" t="str">
        <f>A342</f>
        <v>gender-pay-gap-industry-f005</v>
      </c>
      <c r="C342" s="2" t="s">
        <v>547</v>
      </c>
      <c r="D342" s="2">
        <v>0.05</v>
      </c>
      <c r="E342" s="3" t="e">
        <f>ABS(D342 - LOOKUP(C342, SweepStudyConfig[StudyId], SweepStudyConfig[OriginalAllocFractionA])) &lt; 0.03</f>
        <v>#VALUE!</v>
      </c>
      <c r="F342" s="3" t="e">
        <f>LOOKUP(C342, SweepStudyConfig[StudyId], SweepStudyConfig[NSweepStratumTotal])</f>
        <v>#VALUE!</v>
      </c>
      <c r="G342" s="3" t="e">
        <f>ROUND(F342 * D342)</f>
        <v>#VALUE!</v>
      </c>
      <c r="H342" s="3" t="e">
        <f>F342 - G342</f>
        <v>#VALUE!</v>
      </c>
      <c r="I342" s="3" t="e">
        <f>LOOKUP(C342, SweepStudyConfig[StudyId], SweepStudyConfig[NFixedA])</f>
        <v>#VALUE!</v>
      </c>
      <c r="J342" s="3" t="e">
        <f>LOOKUP(C342, SweepStudyConfig[StudyId], SweepStudyConfig[NFixedB])</f>
        <v>#VALUE!</v>
      </c>
      <c r="K342" s="3" t="e">
        <f>LOOKUP(C342, SweepStudyConfig[StudyId], SweepStudyConfig[SweepRateA])</f>
        <v>#VALUE!</v>
      </c>
      <c r="L342" s="3" t="e">
        <f>LOOKUP(C342, SweepStudyConfig[StudyId], SweepStudyConfig[SweepRateB])</f>
        <v>#VALUE!</v>
      </c>
      <c r="M342" s="3" t="e">
        <f>LOOKUP(C342, SweepStudyConfig[StudyId], SweepStudyConfig[FixedRateA])</f>
        <v>#VALUE!</v>
      </c>
      <c r="N342" s="3" t="e">
        <f>LOOKUP(C342, SweepStudyConfig[StudyId], SweepStudyConfig[FixedRateB])</f>
        <v>#VALUE!</v>
      </c>
      <c r="O342" s="3" t="e">
        <f>IF(G342 + I342 = 0, "", (G342 * K342 + I342 * M342) / (G342 + I342))</f>
        <v>#VALUE!</v>
      </c>
      <c r="P342" s="3" t="e">
        <f>IF(H342 + J342 = 0, "", (H342 * L342 + J342 * N342) / (H342 + J342))</f>
        <v>#VALUE!</v>
      </c>
      <c r="Q342" s="3" t="e">
        <f>IF(O342 = "", "", O342 - P342)</f>
        <v>#VALUE!</v>
      </c>
      <c r="R342" s="3" t="e">
        <f>LOOKUP(C342, SweepStudyConfig[StudyId], SweepStudyConfig[SweepCorrectedGap])</f>
        <v>#VALUE!</v>
      </c>
      <c r="S342" s="3" t="e">
        <f>IF(Q342 = "", "", Q342 - R342)</f>
        <v>#VALUE!</v>
      </c>
    </row>
    <row r="343">
      <c r="A343" s="2" t="s">
        <v>3631</v>
      </c>
      <c r="B343" s="3" t="str">
        <f>A343</f>
        <v>gender-pay-gap-industry-f015</v>
      </c>
      <c r="C343" s="2" t="s">
        <v>547</v>
      </c>
      <c r="D343" s="2">
        <v>0.15</v>
      </c>
      <c r="E343" s="3" t="e">
        <f>ABS(D343 - LOOKUP(C343, SweepStudyConfig[StudyId], SweepStudyConfig[OriginalAllocFractionA])) &lt; 0.03</f>
        <v>#VALUE!</v>
      </c>
      <c r="F343" s="3" t="e">
        <f>LOOKUP(C343, SweepStudyConfig[StudyId], SweepStudyConfig[NSweepStratumTotal])</f>
        <v>#VALUE!</v>
      </c>
      <c r="G343" s="3" t="e">
        <f>ROUND(F343 * D343)</f>
        <v>#VALUE!</v>
      </c>
      <c r="H343" s="3" t="e">
        <f>F343 - G343</f>
        <v>#VALUE!</v>
      </c>
      <c r="I343" s="3" t="e">
        <f>LOOKUP(C343, SweepStudyConfig[StudyId], SweepStudyConfig[NFixedA])</f>
        <v>#VALUE!</v>
      </c>
      <c r="J343" s="3" t="e">
        <f>LOOKUP(C343, SweepStudyConfig[StudyId], SweepStudyConfig[NFixedB])</f>
        <v>#VALUE!</v>
      </c>
      <c r="K343" s="3" t="e">
        <f>LOOKUP(C343, SweepStudyConfig[StudyId], SweepStudyConfig[SweepRateA])</f>
        <v>#VALUE!</v>
      </c>
      <c r="L343" s="3" t="e">
        <f>LOOKUP(C343, SweepStudyConfig[StudyId], SweepStudyConfig[SweepRateB])</f>
        <v>#VALUE!</v>
      </c>
      <c r="M343" s="3" t="e">
        <f>LOOKUP(C343, SweepStudyConfig[StudyId], SweepStudyConfig[FixedRateA])</f>
        <v>#VALUE!</v>
      </c>
      <c r="N343" s="3" t="e">
        <f>LOOKUP(C343, SweepStudyConfig[StudyId], SweepStudyConfig[FixedRateB])</f>
        <v>#VALUE!</v>
      </c>
      <c r="O343" s="3" t="e">
        <f>IF(G343 + I343 = 0, "", (G343 * K343 + I343 * M343) / (G343 + I343))</f>
        <v>#VALUE!</v>
      </c>
      <c r="P343" s="3" t="e">
        <f>IF(H343 + J343 = 0, "", (H343 * L343 + J343 * N343) / (H343 + J343))</f>
        <v>#VALUE!</v>
      </c>
      <c r="Q343" s="3" t="e">
        <f>IF(O343 = "", "", O343 - P343)</f>
        <v>#VALUE!</v>
      </c>
      <c r="R343" s="3" t="e">
        <f>LOOKUP(C343, SweepStudyConfig[StudyId], SweepStudyConfig[SweepCorrectedGap])</f>
        <v>#VALUE!</v>
      </c>
      <c r="S343" s="3" t="e">
        <f>IF(Q343 = "", "", Q343 - R343)</f>
        <v>#VALUE!</v>
      </c>
    </row>
    <row r="344">
      <c r="A344" s="2" t="s">
        <v>3632</v>
      </c>
      <c r="B344" s="3" t="str">
        <f>A344</f>
        <v>gender-pay-gap-industry-f025</v>
      </c>
      <c r="C344" s="2" t="s">
        <v>547</v>
      </c>
      <c r="D344" s="2">
        <v>0.25</v>
      </c>
      <c r="E344" s="3" t="e">
        <f>ABS(D344 - LOOKUP(C344, SweepStudyConfig[StudyId], SweepStudyConfig[OriginalAllocFractionA])) &lt; 0.03</f>
        <v>#VALUE!</v>
      </c>
      <c r="F344" s="3" t="e">
        <f>LOOKUP(C344, SweepStudyConfig[StudyId], SweepStudyConfig[NSweepStratumTotal])</f>
        <v>#VALUE!</v>
      </c>
      <c r="G344" s="3" t="e">
        <f>ROUND(F344 * D344)</f>
        <v>#VALUE!</v>
      </c>
      <c r="H344" s="3" t="e">
        <f>F344 - G344</f>
        <v>#VALUE!</v>
      </c>
      <c r="I344" s="3" t="e">
        <f>LOOKUP(C344, SweepStudyConfig[StudyId], SweepStudyConfig[NFixedA])</f>
        <v>#VALUE!</v>
      </c>
      <c r="J344" s="3" t="e">
        <f>LOOKUP(C344, SweepStudyConfig[StudyId], SweepStudyConfig[NFixedB])</f>
        <v>#VALUE!</v>
      </c>
      <c r="K344" s="3" t="e">
        <f>LOOKUP(C344, SweepStudyConfig[StudyId], SweepStudyConfig[SweepRateA])</f>
        <v>#VALUE!</v>
      </c>
      <c r="L344" s="3" t="e">
        <f>LOOKUP(C344, SweepStudyConfig[StudyId], SweepStudyConfig[SweepRateB])</f>
        <v>#VALUE!</v>
      </c>
      <c r="M344" s="3" t="e">
        <f>LOOKUP(C344, SweepStudyConfig[StudyId], SweepStudyConfig[FixedRateA])</f>
        <v>#VALUE!</v>
      </c>
      <c r="N344" s="3" t="e">
        <f>LOOKUP(C344, SweepStudyConfig[StudyId], SweepStudyConfig[FixedRateB])</f>
        <v>#VALUE!</v>
      </c>
      <c r="O344" s="3" t="e">
        <f>IF(G344 + I344 = 0, "", (G344 * K344 + I344 * M344) / (G344 + I344))</f>
        <v>#VALUE!</v>
      </c>
      <c r="P344" s="3" t="e">
        <f>IF(H344 + J344 = 0, "", (H344 * L344 + J344 * N344) / (H344 + J344))</f>
        <v>#VALUE!</v>
      </c>
      <c r="Q344" s="3" t="e">
        <f>IF(O344 = "", "", O344 - P344)</f>
        <v>#VALUE!</v>
      </c>
      <c r="R344" s="3" t="e">
        <f>LOOKUP(C344, SweepStudyConfig[StudyId], SweepStudyConfig[SweepCorrectedGap])</f>
        <v>#VALUE!</v>
      </c>
      <c r="S344" s="3" t="e">
        <f>IF(Q344 = "", "", Q344 - R344)</f>
        <v>#VALUE!</v>
      </c>
    </row>
    <row r="345">
      <c r="A345" s="2" t="s">
        <v>3633</v>
      </c>
      <c r="B345" s="3" t="str">
        <f>A345</f>
        <v>gender-pay-gap-industry-f035</v>
      </c>
      <c r="C345" s="2" t="s">
        <v>547</v>
      </c>
      <c r="D345" s="2">
        <v>0.35</v>
      </c>
      <c r="E345" s="3" t="e">
        <f>ABS(D345 - LOOKUP(C345, SweepStudyConfig[StudyId], SweepStudyConfig[OriginalAllocFractionA])) &lt; 0.03</f>
        <v>#VALUE!</v>
      </c>
      <c r="F345" s="3" t="e">
        <f>LOOKUP(C345, SweepStudyConfig[StudyId], SweepStudyConfig[NSweepStratumTotal])</f>
        <v>#VALUE!</v>
      </c>
      <c r="G345" s="3" t="e">
        <f>ROUND(F345 * D345)</f>
        <v>#VALUE!</v>
      </c>
      <c r="H345" s="3" t="e">
        <f>F345 - G345</f>
        <v>#VALUE!</v>
      </c>
      <c r="I345" s="3" t="e">
        <f>LOOKUP(C345, SweepStudyConfig[StudyId], SweepStudyConfig[NFixedA])</f>
        <v>#VALUE!</v>
      </c>
      <c r="J345" s="3" t="e">
        <f>LOOKUP(C345, SweepStudyConfig[StudyId], SweepStudyConfig[NFixedB])</f>
        <v>#VALUE!</v>
      </c>
      <c r="K345" s="3" t="e">
        <f>LOOKUP(C345, SweepStudyConfig[StudyId], SweepStudyConfig[SweepRateA])</f>
        <v>#VALUE!</v>
      </c>
      <c r="L345" s="3" t="e">
        <f>LOOKUP(C345, SweepStudyConfig[StudyId], SweepStudyConfig[SweepRateB])</f>
        <v>#VALUE!</v>
      </c>
      <c r="M345" s="3" t="e">
        <f>LOOKUP(C345, SweepStudyConfig[StudyId], SweepStudyConfig[FixedRateA])</f>
        <v>#VALUE!</v>
      </c>
      <c r="N345" s="3" t="e">
        <f>LOOKUP(C345, SweepStudyConfig[StudyId], SweepStudyConfig[FixedRateB])</f>
        <v>#VALUE!</v>
      </c>
      <c r="O345" s="3" t="e">
        <f>IF(G345 + I345 = 0, "", (G345 * K345 + I345 * M345) / (G345 + I345))</f>
        <v>#VALUE!</v>
      </c>
      <c r="P345" s="3" t="e">
        <f>IF(H345 + J345 = 0, "", (H345 * L345 + J345 * N345) / (H345 + J345))</f>
        <v>#VALUE!</v>
      </c>
      <c r="Q345" s="3" t="e">
        <f>IF(O345 = "", "", O345 - P345)</f>
        <v>#VALUE!</v>
      </c>
      <c r="R345" s="3" t="e">
        <f>LOOKUP(C345, SweepStudyConfig[StudyId], SweepStudyConfig[SweepCorrectedGap])</f>
        <v>#VALUE!</v>
      </c>
      <c r="S345" s="3" t="e">
        <f>IF(Q345 = "", "", Q345 - R345)</f>
        <v>#VALUE!</v>
      </c>
    </row>
    <row r="346">
      <c r="A346" s="2" t="s">
        <v>3634</v>
      </c>
      <c r="B346" s="3" t="str">
        <f>A346</f>
        <v>gender-pay-gap-industry-f045</v>
      </c>
      <c r="C346" s="2" t="s">
        <v>547</v>
      </c>
      <c r="D346" s="2">
        <v>0.45</v>
      </c>
      <c r="E346" s="3" t="e">
        <f>ABS(D346 - LOOKUP(C346, SweepStudyConfig[StudyId], SweepStudyConfig[OriginalAllocFractionA])) &lt; 0.03</f>
        <v>#VALUE!</v>
      </c>
      <c r="F346" s="3" t="e">
        <f>LOOKUP(C346, SweepStudyConfig[StudyId], SweepStudyConfig[NSweepStratumTotal])</f>
        <v>#VALUE!</v>
      </c>
      <c r="G346" s="3" t="e">
        <f>ROUND(F346 * D346)</f>
        <v>#VALUE!</v>
      </c>
      <c r="H346" s="3" t="e">
        <f>F346 - G346</f>
        <v>#VALUE!</v>
      </c>
      <c r="I346" s="3" t="e">
        <f>LOOKUP(C346, SweepStudyConfig[StudyId], SweepStudyConfig[NFixedA])</f>
        <v>#VALUE!</v>
      </c>
      <c r="J346" s="3" t="e">
        <f>LOOKUP(C346, SweepStudyConfig[StudyId], SweepStudyConfig[NFixedB])</f>
        <v>#VALUE!</v>
      </c>
      <c r="K346" s="3" t="e">
        <f>LOOKUP(C346, SweepStudyConfig[StudyId], SweepStudyConfig[SweepRateA])</f>
        <v>#VALUE!</v>
      </c>
      <c r="L346" s="3" t="e">
        <f>LOOKUP(C346, SweepStudyConfig[StudyId], SweepStudyConfig[SweepRateB])</f>
        <v>#VALUE!</v>
      </c>
      <c r="M346" s="3" t="e">
        <f>LOOKUP(C346, SweepStudyConfig[StudyId], SweepStudyConfig[FixedRateA])</f>
        <v>#VALUE!</v>
      </c>
      <c r="N346" s="3" t="e">
        <f>LOOKUP(C346, SweepStudyConfig[StudyId], SweepStudyConfig[FixedRateB])</f>
        <v>#VALUE!</v>
      </c>
      <c r="O346" s="3" t="e">
        <f>IF(G346 + I346 = 0, "", (G346 * K346 + I346 * M346) / (G346 + I346))</f>
        <v>#VALUE!</v>
      </c>
      <c r="P346" s="3" t="e">
        <f>IF(H346 + J346 = 0, "", (H346 * L346 + J346 * N346) / (H346 + J346))</f>
        <v>#VALUE!</v>
      </c>
      <c r="Q346" s="3" t="e">
        <f>IF(O346 = "", "", O346 - P346)</f>
        <v>#VALUE!</v>
      </c>
      <c r="R346" s="3" t="e">
        <f>LOOKUP(C346, SweepStudyConfig[StudyId], SweepStudyConfig[SweepCorrectedGap])</f>
        <v>#VALUE!</v>
      </c>
      <c r="S346" s="3" t="e">
        <f>IF(Q346 = "", "", Q346 - R346)</f>
        <v>#VALUE!</v>
      </c>
    </row>
    <row r="347">
      <c r="A347" s="2" t="s">
        <v>3635</v>
      </c>
      <c r="B347" s="3" t="str">
        <f>A347</f>
        <v>gender-pay-gap-industry-f055</v>
      </c>
      <c r="C347" s="2" t="s">
        <v>547</v>
      </c>
      <c r="D347" s="2">
        <v>0.55</v>
      </c>
      <c r="E347" s="3" t="e">
        <f>ABS(D347 - LOOKUP(C347, SweepStudyConfig[StudyId], SweepStudyConfig[OriginalAllocFractionA])) &lt; 0.03</f>
        <v>#VALUE!</v>
      </c>
      <c r="F347" s="3" t="e">
        <f>LOOKUP(C347, SweepStudyConfig[StudyId], SweepStudyConfig[NSweepStratumTotal])</f>
        <v>#VALUE!</v>
      </c>
      <c r="G347" s="3" t="e">
        <f>ROUND(F347 * D347)</f>
        <v>#VALUE!</v>
      </c>
      <c r="H347" s="3" t="e">
        <f>F347 - G347</f>
        <v>#VALUE!</v>
      </c>
      <c r="I347" s="3" t="e">
        <f>LOOKUP(C347, SweepStudyConfig[StudyId], SweepStudyConfig[NFixedA])</f>
        <v>#VALUE!</v>
      </c>
      <c r="J347" s="3" t="e">
        <f>LOOKUP(C347, SweepStudyConfig[StudyId], SweepStudyConfig[NFixedB])</f>
        <v>#VALUE!</v>
      </c>
      <c r="K347" s="3" t="e">
        <f>LOOKUP(C347, SweepStudyConfig[StudyId], SweepStudyConfig[SweepRateA])</f>
        <v>#VALUE!</v>
      </c>
      <c r="L347" s="3" t="e">
        <f>LOOKUP(C347, SweepStudyConfig[StudyId], SweepStudyConfig[SweepRateB])</f>
        <v>#VALUE!</v>
      </c>
      <c r="M347" s="3" t="e">
        <f>LOOKUP(C347, SweepStudyConfig[StudyId], SweepStudyConfig[FixedRateA])</f>
        <v>#VALUE!</v>
      </c>
      <c r="N347" s="3" t="e">
        <f>LOOKUP(C347, SweepStudyConfig[StudyId], SweepStudyConfig[FixedRateB])</f>
        <v>#VALUE!</v>
      </c>
      <c r="O347" s="3" t="e">
        <f>IF(G347 + I347 = 0, "", (G347 * K347 + I347 * M347) / (G347 + I347))</f>
        <v>#VALUE!</v>
      </c>
      <c r="P347" s="3" t="e">
        <f>IF(H347 + J347 = 0, "", (H347 * L347 + J347 * N347) / (H347 + J347))</f>
        <v>#VALUE!</v>
      </c>
      <c r="Q347" s="3" t="e">
        <f>IF(O347 = "", "", O347 - P347)</f>
        <v>#VALUE!</v>
      </c>
      <c r="R347" s="3" t="e">
        <f>LOOKUP(C347, SweepStudyConfig[StudyId], SweepStudyConfig[SweepCorrectedGap])</f>
        <v>#VALUE!</v>
      </c>
      <c r="S347" s="3" t="e">
        <f>IF(Q347 = "", "", Q347 - R347)</f>
        <v>#VALUE!</v>
      </c>
    </row>
    <row r="348">
      <c r="A348" s="2" t="s">
        <v>3636</v>
      </c>
      <c r="B348" s="3" t="str">
        <f>A348</f>
        <v>gender-pay-gap-industry-f065</v>
      </c>
      <c r="C348" s="2" t="s">
        <v>547</v>
      </c>
      <c r="D348" s="2">
        <v>0.65</v>
      </c>
      <c r="E348" s="3" t="e">
        <f>ABS(D348 - LOOKUP(C348, SweepStudyConfig[StudyId], SweepStudyConfig[OriginalAllocFractionA])) &lt; 0.03</f>
        <v>#VALUE!</v>
      </c>
      <c r="F348" s="3" t="e">
        <f>LOOKUP(C348, SweepStudyConfig[StudyId], SweepStudyConfig[NSweepStratumTotal])</f>
        <v>#VALUE!</v>
      </c>
      <c r="G348" s="3" t="e">
        <f>ROUND(F348 * D348)</f>
        <v>#VALUE!</v>
      </c>
      <c r="H348" s="3" t="e">
        <f>F348 - G348</f>
        <v>#VALUE!</v>
      </c>
      <c r="I348" s="3" t="e">
        <f>LOOKUP(C348, SweepStudyConfig[StudyId], SweepStudyConfig[NFixedA])</f>
        <v>#VALUE!</v>
      </c>
      <c r="J348" s="3" t="e">
        <f>LOOKUP(C348, SweepStudyConfig[StudyId], SweepStudyConfig[NFixedB])</f>
        <v>#VALUE!</v>
      </c>
      <c r="K348" s="3" t="e">
        <f>LOOKUP(C348, SweepStudyConfig[StudyId], SweepStudyConfig[SweepRateA])</f>
        <v>#VALUE!</v>
      </c>
      <c r="L348" s="3" t="e">
        <f>LOOKUP(C348, SweepStudyConfig[StudyId], SweepStudyConfig[SweepRateB])</f>
        <v>#VALUE!</v>
      </c>
      <c r="M348" s="3" t="e">
        <f>LOOKUP(C348, SweepStudyConfig[StudyId], SweepStudyConfig[FixedRateA])</f>
        <v>#VALUE!</v>
      </c>
      <c r="N348" s="3" t="e">
        <f>LOOKUP(C348, SweepStudyConfig[StudyId], SweepStudyConfig[FixedRateB])</f>
        <v>#VALUE!</v>
      </c>
      <c r="O348" s="3" t="e">
        <f>IF(G348 + I348 = 0, "", (G348 * K348 + I348 * M348) / (G348 + I348))</f>
        <v>#VALUE!</v>
      </c>
      <c r="P348" s="3" t="e">
        <f>IF(H348 + J348 = 0, "", (H348 * L348 + J348 * N348) / (H348 + J348))</f>
        <v>#VALUE!</v>
      </c>
      <c r="Q348" s="3" t="e">
        <f>IF(O348 = "", "", O348 - P348)</f>
        <v>#VALUE!</v>
      </c>
      <c r="R348" s="3" t="e">
        <f>LOOKUP(C348, SweepStudyConfig[StudyId], SweepStudyConfig[SweepCorrectedGap])</f>
        <v>#VALUE!</v>
      </c>
      <c r="S348" s="3" t="e">
        <f>IF(Q348 = "", "", Q348 - R348)</f>
        <v>#VALUE!</v>
      </c>
    </row>
    <row r="349">
      <c r="A349" s="2" t="s">
        <v>3637</v>
      </c>
      <c r="B349" s="3" t="str">
        <f>A349</f>
        <v>gender-pay-gap-industry-f075</v>
      </c>
      <c r="C349" s="2" t="s">
        <v>547</v>
      </c>
      <c r="D349" s="2">
        <v>0.75</v>
      </c>
      <c r="E349" s="3" t="e">
        <f>ABS(D349 - LOOKUP(C349, SweepStudyConfig[StudyId], SweepStudyConfig[OriginalAllocFractionA])) &lt; 0.03</f>
        <v>#VALUE!</v>
      </c>
      <c r="F349" s="3" t="e">
        <f>LOOKUP(C349, SweepStudyConfig[StudyId], SweepStudyConfig[NSweepStratumTotal])</f>
        <v>#VALUE!</v>
      </c>
      <c r="G349" s="3" t="e">
        <f>ROUND(F349 * D349)</f>
        <v>#VALUE!</v>
      </c>
      <c r="H349" s="3" t="e">
        <f>F349 - G349</f>
        <v>#VALUE!</v>
      </c>
      <c r="I349" s="3" t="e">
        <f>LOOKUP(C349, SweepStudyConfig[StudyId], SweepStudyConfig[NFixedA])</f>
        <v>#VALUE!</v>
      </c>
      <c r="J349" s="3" t="e">
        <f>LOOKUP(C349, SweepStudyConfig[StudyId], SweepStudyConfig[NFixedB])</f>
        <v>#VALUE!</v>
      </c>
      <c r="K349" s="3" t="e">
        <f>LOOKUP(C349, SweepStudyConfig[StudyId], SweepStudyConfig[SweepRateA])</f>
        <v>#VALUE!</v>
      </c>
      <c r="L349" s="3" t="e">
        <f>LOOKUP(C349, SweepStudyConfig[StudyId], SweepStudyConfig[SweepRateB])</f>
        <v>#VALUE!</v>
      </c>
      <c r="M349" s="3" t="e">
        <f>LOOKUP(C349, SweepStudyConfig[StudyId], SweepStudyConfig[FixedRateA])</f>
        <v>#VALUE!</v>
      </c>
      <c r="N349" s="3" t="e">
        <f>LOOKUP(C349, SweepStudyConfig[StudyId], SweepStudyConfig[FixedRateB])</f>
        <v>#VALUE!</v>
      </c>
      <c r="O349" s="3" t="e">
        <f>IF(G349 + I349 = 0, "", (G349 * K349 + I349 * M349) / (G349 + I349))</f>
        <v>#VALUE!</v>
      </c>
      <c r="P349" s="3" t="e">
        <f>IF(H349 + J349 = 0, "", (H349 * L349 + J349 * N349) / (H349 + J349))</f>
        <v>#VALUE!</v>
      </c>
      <c r="Q349" s="3" t="e">
        <f>IF(O349 = "", "", O349 - P349)</f>
        <v>#VALUE!</v>
      </c>
      <c r="R349" s="3" t="e">
        <f>LOOKUP(C349, SweepStudyConfig[StudyId], SweepStudyConfig[SweepCorrectedGap])</f>
        <v>#VALUE!</v>
      </c>
      <c r="S349" s="3" t="e">
        <f>IF(Q349 = "", "", Q349 - R349)</f>
        <v>#VALUE!</v>
      </c>
    </row>
    <row r="350">
      <c r="A350" s="2" t="s">
        <v>3638</v>
      </c>
      <c r="B350" s="3" t="str">
        <f>A350</f>
        <v>gender-pay-gap-industry-f085</v>
      </c>
      <c r="C350" s="2" t="s">
        <v>547</v>
      </c>
      <c r="D350" s="2">
        <v>0.85</v>
      </c>
      <c r="E350" s="3" t="e">
        <f>ABS(D350 - LOOKUP(C350, SweepStudyConfig[StudyId], SweepStudyConfig[OriginalAllocFractionA])) &lt; 0.03</f>
        <v>#VALUE!</v>
      </c>
      <c r="F350" s="3" t="e">
        <f>LOOKUP(C350, SweepStudyConfig[StudyId], SweepStudyConfig[NSweepStratumTotal])</f>
        <v>#VALUE!</v>
      </c>
      <c r="G350" s="3" t="e">
        <f>ROUND(F350 * D350)</f>
        <v>#VALUE!</v>
      </c>
      <c r="H350" s="3" t="e">
        <f>F350 - G350</f>
        <v>#VALUE!</v>
      </c>
      <c r="I350" s="3" t="e">
        <f>LOOKUP(C350, SweepStudyConfig[StudyId], SweepStudyConfig[NFixedA])</f>
        <v>#VALUE!</v>
      </c>
      <c r="J350" s="3" t="e">
        <f>LOOKUP(C350, SweepStudyConfig[StudyId], SweepStudyConfig[NFixedB])</f>
        <v>#VALUE!</v>
      </c>
      <c r="K350" s="3" t="e">
        <f>LOOKUP(C350, SweepStudyConfig[StudyId], SweepStudyConfig[SweepRateA])</f>
        <v>#VALUE!</v>
      </c>
      <c r="L350" s="3" t="e">
        <f>LOOKUP(C350, SweepStudyConfig[StudyId], SweepStudyConfig[SweepRateB])</f>
        <v>#VALUE!</v>
      </c>
      <c r="M350" s="3" t="e">
        <f>LOOKUP(C350, SweepStudyConfig[StudyId], SweepStudyConfig[FixedRateA])</f>
        <v>#VALUE!</v>
      </c>
      <c r="N350" s="3" t="e">
        <f>LOOKUP(C350, SweepStudyConfig[StudyId], SweepStudyConfig[FixedRateB])</f>
        <v>#VALUE!</v>
      </c>
      <c r="O350" s="3" t="e">
        <f>IF(G350 + I350 = 0, "", (G350 * K350 + I350 * M350) / (G350 + I350))</f>
        <v>#VALUE!</v>
      </c>
      <c r="P350" s="3" t="e">
        <f>IF(H350 + J350 = 0, "", (H350 * L350 + J350 * N350) / (H350 + J350))</f>
        <v>#VALUE!</v>
      </c>
      <c r="Q350" s="3" t="e">
        <f>IF(O350 = "", "", O350 - P350)</f>
        <v>#VALUE!</v>
      </c>
      <c r="R350" s="3" t="e">
        <f>LOOKUP(C350, SweepStudyConfig[StudyId], SweepStudyConfig[SweepCorrectedGap])</f>
        <v>#VALUE!</v>
      </c>
      <c r="S350" s="3" t="e">
        <f>IF(Q350 = "", "", Q350 - R350)</f>
        <v>#VALUE!</v>
      </c>
    </row>
    <row r="351">
      <c r="A351" s="2" t="s">
        <v>3639</v>
      </c>
      <c r="B351" s="3" t="str">
        <f>A351</f>
        <v>gender-pay-gap-industry-f095</v>
      </c>
      <c r="C351" s="2" t="s">
        <v>547</v>
      </c>
      <c r="D351" s="2">
        <v>0.95</v>
      </c>
      <c r="E351" s="3" t="e">
        <f>ABS(D351 - LOOKUP(C351, SweepStudyConfig[StudyId], SweepStudyConfig[OriginalAllocFractionA])) &lt; 0.03</f>
        <v>#VALUE!</v>
      </c>
      <c r="F351" s="3" t="e">
        <f>LOOKUP(C351, SweepStudyConfig[StudyId], SweepStudyConfig[NSweepStratumTotal])</f>
        <v>#VALUE!</v>
      </c>
      <c r="G351" s="3" t="e">
        <f>ROUND(F351 * D351)</f>
        <v>#VALUE!</v>
      </c>
      <c r="H351" s="3" t="e">
        <f>F351 - G351</f>
        <v>#VALUE!</v>
      </c>
      <c r="I351" s="3" t="e">
        <f>LOOKUP(C351, SweepStudyConfig[StudyId], SweepStudyConfig[NFixedA])</f>
        <v>#VALUE!</v>
      </c>
      <c r="J351" s="3" t="e">
        <f>LOOKUP(C351, SweepStudyConfig[StudyId], SweepStudyConfig[NFixedB])</f>
        <v>#VALUE!</v>
      </c>
      <c r="K351" s="3" t="e">
        <f>LOOKUP(C351, SweepStudyConfig[StudyId], SweepStudyConfig[SweepRateA])</f>
        <v>#VALUE!</v>
      </c>
      <c r="L351" s="3" t="e">
        <f>LOOKUP(C351, SweepStudyConfig[StudyId], SweepStudyConfig[SweepRateB])</f>
        <v>#VALUE!</v>
      </c>
      <c r="M351" s="3" t="e">
        <f>LOOKUP(C351, SweepStudyConfig[StudyId], SweepStudyConfig[FixedRateA])</f>
        <v>#VALUE!</v>
      </c>
      <c r="N351" s="3" t="e">
        <f>LOOKUP(C351, SweepStudyConfig[StudyId], SweepStudyConfig[FixedRateB])</f>
        <v>#VALUE!</v>
      </c>
      <c r="O351" s="3" t="e">
        <f>IF(G351 + I351 = 0, "", (G351 * K351 + I351 * M351) / (G351 + I351))</f>
        <v>#VALUE!</v>
      </c>
      <c r="P351" s="3" t="e">
        <f>IF(H351 + J351 = 0, "", (H351 * L351 + J351 * N351) / (H351 + J351))</f>
        <v>#VALUE!</v>
      </c>
      <c r="Q351" s="3" t="e">
        <f>IF(O351 = "", "", O351 - P351)</f>
        <v>#VALUE!</v>
      </c>
      <c r="R351" s="3" t="e">
        <f>LOOKUP(C351, SweepStudyConfig[StudyId], SweepStudyConfig[SweepCorrectedGap])</f>
        <v>#VALUE!</v>
      </c>
      <c r="S351" s="3" t="e">
        <f>IF(Q351 = "", "", Q351 - R351)</f>
        <v>#VALUE!</v>
      </c>
    </row>
    <row r="352">
      <c r="A352" s="2" t="s">
        <v>3640</v>
      </c>
      <c r="B352" s="3" t="str">
        <f>A352</f>
        <v>income-education-state-f005</v>
      </c>
      <c r="C352" s="2" t="s">
        <v>551</v>
      </c>
      <c r="D352" s="2">
        <v>0.05</v>
      </c>
      <c r="E352" s="3" t="e">
        <f>ABS(D352 - LOOKUP(C352, SweepStudyConfig[StudyId], SweepStudyConfig[OriginalAllocFractionA])) &lt; 0.03</f>
        <v>#VALUE!</v>
      </c>
      <c r="F352" s="3" t="e">
        <f>LOOKUP(C352, SweepStudyConfig[StudyId], SweepStudyConfig[NSweepStratumTotal])</f>
        <v>#VALUE!</v>
      </c>
      <c r="G352" s="3" t="e">
        <f>ROUND(F352 * D352)</f>
        <v>#VALUE!</v>
      </c>
      <c r="H352" s="3" t="e">
        <f>F352 - G352</f>
        <v>#VALUE!</v>
      </c>
      <c r="I352" s="3" t="e">
        <f>LOOKUP(C352, SweepStudyConfig[StudyId], SweepStudyConfig[NFixedA])</f>
        <v>#VALUE!</v>
      </c>
      <c r="J352" s="3" t="e">
        <f>LOOKUP(C352, SweepStudyConfig[StudyId], SweepStudyConfig[NFixedB])</f>
        <v>#VALUE!</v>
      </c>
      <c r="K352" s="3" t="e">
        <f>LOOKUP(C352, SweepStudyConfig[StudyId], SweepStudyConfig[SweepRateA])</f>
        <v>#VALUE!</v>
      </c>
      <c r="L352" s="3" t="e">
        <f>LOOKUP(C352, SweepStudyConfig[StudyId], SweepStudyConfig[SweepRateB])</f>
        <v>#VALUE!</v>
      </c>
      <c r="M352" s="3" t="e">
        <f>LOOKUP(C352, SweepStudyConfig[StudyId], SweepStudyConfig[FixedRateA])</f>
        <v>#VALUE!</v>
      </c>
      <c r="N352" s="3" t="e">
        <f>LOOKUP(C352, SweepStudyConfig[StudyId], SweepStudyConfig[FixedRateB])</f>
        <v>#VALUE!</v>
      </c>
      <c r="O352" s="3" t="e">
        <f>IF(G352 + I352 = 0, "", (G352 * K352 + I352 * M352) / (G352 + I352))</f>
        <v>#VALUE!</v>
      </c>
      <c r="P352" s="3" t="e">
        <f>IF(H352 + J352 = 0, "", (H352 * L352 + J352 * N352) / (H352 + J352))</f>
        <v>#VALUE!</v>
      </c>
      <c r="Q352" s="3" t="e">
        <f>IF(O352 = "", "", O352 - P352)</f>
        <v>#VALUE!</v>
      </c>
      <c r="R352" s="3" t="e">
        <f>LOOKUP(C352, SweepStudyConfig[StudyId], SweepStudyConfig[SweepCorrectedGap])</f>
        <v>#VALUE!</v>
      </c>
      <c r="S352" s="3" t="e">
        <f>IF(Q352 = "", "", Q352 - R352)</f>
        <v>#VALUE!</v>
      </c>
    </row>
    <row r="353">
      <c r="A353" s="2" t="s">
        <v>3641</v>
      </c>
      <c r="B353" s="3" t="str">
        <f>A353</f>
        <v>income-education-state-f015</v>
      </c>
      <c r="C353" s="2" t="s">
        <v>551</v>
      </c>
      <c r="D353" s="2">
        <v>0.15</v>
      </c>
      <c r="E353" s="3" t="e">
        <f>ABS(D353 - LOOKUP(C353, SweepStudyConfig[StudyId], SweepStudyConfig[OriginalAllocFractionA])) &lt; 0.03</f>
        <v>#VALUE!</v>
      </c>
      <c r="F353" s="3" t="e">
        <f>LOOKUP(C353, SweepStudyConfig[StudyId], SweepStudyConfig[NSweepStratumTotal])</f>
        <v>#VALUE!</v>
      </c>
      <c r="G353" s="3" t="e">
        <f>ROUND(F353 * D353)</f>
        <v>#VALUE!</v>
      </c>
      <c r="H353" s="3" t="e">
        <f>F353 - G353</f>
        <v>#VALUE!</v>
      </c>
      <c r="I353" s="3" t="e">
        <f>LOOKUP(C353, SweepStudyConfig[StudyId], SweepStudyConfig[NFixedA])</f>
        <v>#VALUE!</v>
      </c>
      <c r="J353" s="3" t="e">
        <f>LOOKUP(C353, SweepStudyConfig[StudyId], SweepStudyConfig[NFixedB])</f>
        <v>#VALUE!</v>
      </c>
      <c r="K353" s="3" t="e">
        <f>LOOKUP(C353, SweepStudyConfig[StudyId], SweepStudyConfig[SweepRateA])</f>
        <v>#VALUE!</v>
      </c>
      <c r="L353" s="3" t="e">
        <f>LOOKUP(C353, SweepStudyConfig[StudyId], SweepStudyConfig[SweepRateB])</f>
        <v>#VALUE!</v>
      </c>
      <c r="M353" s="3" t="e">
        <f>LOOKUP(C353, SweepStudyConfig[StudyId], SweepStudyConfig[FixedRateA])</f>
        <v>#VALUE!</v>
      </c>
      <c r="N353" s="3" t="e">
        <f>LOOKUP(C353, SweepStudyConfig[StudyId], SweepStudyConfig[FixedRateB])</f>
        <v>#VALUE!</v>
      </c>
      <c r="O353" s="3" t="e">
        <f>IF(G353 + I353 = 0, "", (G353 * K353 + I353 * M353) / (G353 + I353))</f>
        <v>#VALUE!</v>
      </c>
      <c r="P353" s="3" t="e">
        <f>IF(H353 + J353 = 0, "", (H353 * L353 + J353 * N353) / (H353 + J353))</f>
        <v>#VALUE!</v>
      </c>
      <c r="Q353" s="3" t="e">
        <f>IF(O353 = "", "", O353 - P353)</f>
        <v>#VALUE!</v>
      </c>
      <c r="R353" s="3" t="e">
        <f>LOOKUP(C353, SweepStudyConfig[StudyId], SweepStudyConfig[SweepCorrectedGap])</f>
        <v>#VALUE!</v>
      </c>
      <c r="S353" s="3" t="e">
        <f>IF(Q353 = "", "", Q353 - R353)</f>
        <v>#VALUE!</v>
      </c>
    </row>
    <row r="354">
      <c r="A354" s="2" t="s">
        <v>3642</v>
      </c>
      <c r="B354" s="3" t="str">
        <f>A354</f>
        <v>income-education-state-f025</v>
      </c>
      <c r="C354" s="2" t="s">
        <v>551</v>
      </c>
      <c r="D354" s="2">
        <v>0.25</v>
      </c>
      <c r="E354" s="3" t="e">
        <f>ABS(D354 - LOOKUP(C354, SweepStudyConfig[StudyId], SweepStudyConfig[OriginalAllocFractionA])) &lt; 0.03</f>
        <v>#VALUE!</v>
      </c>
      <c r="F354" s="3" t="e">
        <f>LOOKUP(C354, SweepStudyConfig[StudyId], SweepStudyConfig[NSweepStratumTotal])</f>
        <v>#VALUE!</v>
      </c>
      <c r="G354" s="3" t="e">
        <f>ROUND(F354 * D354)</f>
        <v>#VALUE!</v>
      </c>
      <c r="H354" s="3" t="e">
        <f>F354 - G354</f>
        <v>#VALUE!</v>
      </c>
      <c r="I354" s="3" t="e">
        <f>LOOKUP(C354, SweepStudyConfig[StudyId], SweepStudyConfig[NFixedA])</f>
        <v>#VALUE!</v>
      </c>
      <c r="J354" s="3" t="e">
        <f>LOOKUP(C354, SweepStudyConfig[StudyId], SweepStudyConfig[NFixedB])</f>
        <v>#VALUE!</v>
      </c>
      <c r="K354" s="3" t="e">
        <f>LOOKUP(C354, SweepStudyConfig[StudyId], SweepStudyConfig[SweepRateA])</f>
        <v>#VALUE!</v>
      </c>
      <c r="L354" s="3" t="e">
        <f>LOOKUP(C354, SweepStudyConfig[StudyId], SweepStudyConfig[SweepRateB])</f>
        <v>#VALUE!</v>
      </c>
      <c r="M354" s="3" t="e">
        <f>LOOKUP(C354, SweepStudyConfig[StudyId], SweepStudyConfig[FixedRateA])</f>
        <v>#VALUE!</v>
      </c>
      <c r="N354" s="3" t="e">
        <f>LOOKUP(C354, SweepStudyConfig[StudyId], SweepStudyConfig[FixedRateB])</f>
        <v>#VALUE!</v>
      </c>
      <c r="O354" s="3" t="e">
        <f>IF(G354 + I354 = 0, "", (G354 * K354 + I354 * M354) / (G354 + I354))</f>
        <v>#VALUE!</v>
      </c>
      <c r="P354" s="3" t="e">
        <f>IF(H354 + J354 = 0, "", (H354 * L354 + J354 * N354) / (H354 + J354))</f>
        <v>#VALUE!</v>
      </c>
      <c r="Q354" s="3" t="e">
        <f>IF(O354 = "", "", O354 - P354)</f>
        <v>#VALUE!</v>
      </c>
      <c r="R354" s="3" t="e">
        <f>LOOKUP(C354, SweepStudyConfig[StudyId], SweepStudyConfig[SweepCorrectedGap])</f>
        <v>#VALUE!</v>
      </c>
      <c r="S354" s="3" t="e">
        <f>IF(Q354 = "", "", Q354 - R354)</f>
        <v>#VALUE!</v>
      </c>
    </row>
    <row r="355">
      <c r="A355" s="2" t="s">
        <v>3643</v>
      </c>
      <c r="B355" s="3" t="str">
        <f>A355</f>
        <v>income-education-state-f035</v>
      </c>
      <c r="C355" s="2" t="s">
        <v>551</v>
      </c>
      <c r="D355" s="2">
        <v>0.35</v>
      </c>
      <c r="E355" s="3" t="e">
        <f>ABS(D355 - LOOKUP(C355, SweepStudyConfig[StudyId], SweepStudyConfig[OriginalAllocFractionA])) &lt; 0.03</f>
        <v>#VALUE!</v>
      </c>
      <c r="F355" s="3" t="e">
        <f>LOOKUP(C355, SweepStudyConfig[StudyId], SweepStudyConfig[NSweepStratumTotal])</f>
        <v>#VALUE!</v>
      </c>
      <c r="G355" s="3" t="e">
        <f>ROUND(F355 * D355)</f>
        <v>#VALUE!</v>
      </c>
      <c r="H355" s="3" t="e">
        <f>F355 - G355</f>
        <v>#VALUE!</v>
      </c>
      <c r="I355" s="3" t="e">
        <f>LOOKUP(C355, SweepStudyConfig[StudyId], SweepStudyConfig[NFixedA])</f>
        <v>#VALUE!</v>
      </c>
      <c r="J355" s="3" t="e">
        <f>LOOKUP(C355, SweepStudyConfig[StudyId], SweepStudyConfig[NFixedB])</f>
        <v>#VALUE!</v>
      </c>
      <c r="K355" s="3" t="e">
        <f>LOOKUP(C355, SweepStudyConfig[StudyId], SweepStudyConfig[SweepRateA])</f>
        <v>#VALUE!</v>
      </c>
      <c r="L355" s="3" t="e">
        <f>LOOKUP(C355, SweepStudyConfig[StudyId], SweepStudyConfig[SweepRateB])</f>
        <v>#VALUE!</v>
      </c>
      <c r="M355" s="3" t="e">
        <f>LOOKUP(C355, SweepStudyConfig[StudyId], SweepStudyConfig[FixedRateA])</f>
        <v>#VALUE!</v>
      </c>
      <c r="N355" s="3" t="e">
        <f>LOOKUP(C355, SweepStudyConfig[StudyId], SweepStudyConfig[FixedRateB])</f>
        <v>#VALUE!</v>
      </c>
      <c r="O355" s="3" t="e">
        <f>IF(G355 + I355 = 0, "", (G355 * K355 + I355 * M355) / (G355 + I355))</f>
        <v>#VALUE!</v>
      </c>
      <c r="P355" s="3" t="e">
        <f>IF(H355 + J355 = 0, "", (H355 * L355 + J355 * N355) / (H355 + J355))</f>
        <v>#VALUE!</v>
      </c>
      <c r="Q355" s="3" t="e">
        <f>IF(O355 = "", "", O355 - P355)</f>
        <v>#VALUE!</v>
      </c>
      <c r="R355" s="3" t="e">
        <f>LOOKUP(C355, SweepStudyConfig[StudyId], SweepStudyConfig[SweepCorrectedGap])</f>
        <v>#VALUE!</v>
      </c>
      <c r="S355" s="3" t="e">
        <f>IF(Q355 = "", "", Q355 - R355)</f>
        <v>#VALUE!</v>
      </c>
    </row>
    <row r="356">
      <c r="A356" s="2" t="s">
        <v>3644</v>
      </c>
      <c r="B356" s="3" t="str">
        <f>A356</f>
        <v>income-education-state-f045</v>
      </c>
      <c r="C356" s="2" t="s">
        <v>551</v>
      </c>
      <c r="D356" s="2">
        <v>0.45</v>
      </c>
      <c r="E356" s="3" t="e">
        <f>ABS(D356 - LOOKUP(C356, SweepStudyConfig[StudyId], SweepStudyConfig[OriginalAllocFractionA])) &lt; 0.03</f>
        <v>#VALUE!</v>
      </c>
      <c r="F356" s="3" t="e">
        <f>LOOKUP(C356, SweepStudyConfig[StudyId], SweepStudyConfig[NSweepStratumTotal])</f>
        <v>#VALUE!</v>
      </c>
      <c r="G356" s="3" t="e">
        <f>ROUND(F356 * D356)</f>
        <v>#VALUE!</v>
      </c>
      <c r="H356" s="3" t="e">
        <f>F356 - G356</f>
        <v>#VALUE!</v>
      </c>
      <c r="I356" s="3" t="e">
        <f>LOOKUP(C356, SweepStudyConfig[StudyId], SweepStudyConfig[NFixedA])</f>
        <v>#VALUE!</v>
      </c>
      <c r="J356" s="3" t="e">
        <f>LOOKUP(C356, SweepStudyConfig[StudyId], SweepStudyConfig[NFixedB])</f>
        <v>#VALUE!</v>
      </c>
      <c r="K356" s="3" t="e">
        <f>LOOKUP(C356, SweepStudyConfig[StudyId], SweepStudyConfig[SweepRateA])</f>
        <v>#VALUE!</v>
      </c>
      <c r="L356" s="3" t="e">
        <f>LOOKUP(C356, SweepStudyConfig[StudyId], SweepStudyConfig[SweepRateB])</f>
        <v>#VALUE!</v>
      </c>
      <c r="M356" s="3" t="e">
        <f>LOOKUP(C356, SweepStudyConfig[StudyId], SweepStudyConfig[FixedRateA])</f>
        <v>#VALUE!</v>
      </c>
      <c r="N356" s="3" t="e">
        <f>LOOKUP(C356, SweepStudyConfig[StudyId], SweepStudyConfig[FixedRateB])</f>
        <v>#VALUE!</v>
      </c>
      <c r="O356" s="3" t="e">
        <f>IF(G356 + I356 = 0, "", (G356 * K356 + I356 * M356) / (G356 + I356))</f>
        <v>#VALUE!</v>
      </c>
      <c r="P356" s="3" t="e">
        <f>IF(H356 + J356 = 0, "", (H356 * L356 + J356 * N356) / (H356 + J356))</f>
        <v>#VALUE!</v>
      </c>
      <c r="Q356" s="3" t="e">
        <f>IF(O356 = "", "", O356 - P356)</f>
        <v>#VALUE!</v>
      </c>
      <c r="R356" s="3" t="e">
        <f>LOOKUP(C356, SweepStudyConfig[StudyId], SweepStudyConfig[SweepCorrectedGap])</f>
        <v>#VALUE!</v>
      </c>
      <c r="S356" s="3" t="e">
        <f>IF(Q356 = "", "", Q356 - R356)</f>
        <v>#VALUE!</v>
      </c>
    </row>
    <row r="357">
      <c r="A357" s="2" t="s">
        <v>3645</v>
      </c>
      <c r="B357" s="3" t="str">
        <f>A357</f>
        <v>income-education-state-f055</v>
      </c>
      <c r="C357" s="2" t="s">
        <v>551</v>
      </c>
      <c r="D357" s="2">
        <v>0.55</v>
      </c>
      <c r="E357" s="3" t="e">
        <f>ABS(D357 - LOOKUP(C357, SweepStudyConfig[StudyId], SweepStudyConfig[OriginalAllocFractionA])) &lt; 0.03</f>
        <v>#VALUE!</v>
      </c>
      <c r="F357" s="3" t="e">
        <f>LOOKUP(C357, SweepStudyConfig[StudyId], SweepStudyConfig[NSweepStratumTotal])</f>
        <v>#VALUE!</v>
      </c>
      <c r="G357" s="3" t="e">
        <f>ROUND(F357 * D357)</f>
        <v>#VALUE!</v>
      </c>
      <c r="H357" s="3" t="e">
        <f>F357 - G357</f>
        <v>#VALUE!</v>
      </c>
      <c r="I357" s="3" t="e">
        <f>LOOKUP(C357, SweepStudyConfig[StudyId], SweepStudyConfig[NFixedA])</f>
        <v>#VALUE!</v>
      </c>
      <c r="J357" s="3" t="e">
        <f>LOOKUP(C357, SweepStudyConfig[StudyId], SweepStudyConfig[NFixedB])</f>
        <v>#VALUE!</v>
      </c>
      <c r="K357" s="3" t="e">
        <f>LOOKUP(C357, SweepStudyConfig[StudyId], SweepStudyConfig[SweepRateA])</f>
        <v>#VALUE!</v>
      </c>
      <c r="L357" s="3" t="e">
        <f>LOOKUP(C357, SweepStudyConfig[StudyId], SweepStudyConfig[SweepRateB])</f>
        <v>#VALUE!</v>
      </c>
      <c r="M357" s="3" t="e">
        <f>LOOKUP(C357, SweepStudyConfig[StudyId], SweepStudyConfig[FixedRateA])</f>
        <v>#VALUE!</v>
      </c>
      <c r="N357" s="3" t="e">
        <f>LOOKUP(C357, SweepStudyConfig[StudyId], SweepStudyConfig[FixedRateB])</f>
        <v>#VALUE!</v>
      </c>
      <c r="O357" s="3" t="e">
        <f>IF(G357 + I357 = 0, "", (G357 * K357 + I357 * M357) / (G357 + I357))</f>
        <v>#VALUE!</v>
      </c>
      <c r="P357" s="3" t="e">
        <f>IF(H357 + J357 = 0, "", (H357 * L357 + J357 * N357) / (H357 + J357))</f>
        <v>#VALUE!</v>
      </c>
      <c r="Q357" s="3" t="e">
        <f>IF(O357 = "", "", O357 - P357)</f>
        <v>#VALUE!</v>
      </c>
      <c r="R357" s="3" t="e">
        <f>LOOKUP(C357, SweepStudyConfig[StudyId], SweepStudyConfig[SweepCorrectedGap])</f>
        <v>#VALUE!</v>
      </c>
      <c r="S357" s="3" t="e">
        <f>IF(Q357 = "", "", Q357 - R357)</f>
        <v>#VALUE!</v>
      </c>
    </row>
    <row r="358">
      <c r="A358" s="2" t="s">
        <v>3646</v>
      </c>
      <c r="B358" s="3" t="str">
        <f>A358</f>
        <v>income-education-state-f065</v>
      </c>
      <c r="C358" s="2" t="s">
        <v>551</v>
      </c>
      <c r="D358" s="2">
        <v>0.65</v>
      </c>
      <c r="E358" s="3" t="e">
        <f>ABS(D358 - LOOKUP(C358, SweepStudyConfig[StudyId], SweepStudyConfig[OriginalAllocFractionA])) &lt; 0.03</f>
        <v>#VALUE!</v>
      </c>
      <c r="F358" s="3" t="e">
        <f>LOOKUP(C358, SweepStudyConfig[StudyId], SweepStudyConfig[NSweepStratumTotal])</f>
        <v>#VALUE!</v>
      </c>
      <c r="G358" s="3" t="e">
        <f>ROUND(F358 * D358)</f>
        <v>#VALUE!</v>
      </c>
      <c r="H358" s="3" t="e">
        <f>F358 - G358</f>
        <v>#VALUE!</v>
      </c>
      <c r="I358" s="3" t="e">
        <f>LOOKUP(C358, SweepStudyConfig[StudyId], SweepStudyConfig[NFixedA])</f>
        <v>#VALUE!</v>
      </c>
      <c r="J358" s="3" t="e">
        <f>LOOKUP(C358, SweepStudyConfig[StudyId], SweepStudyConfig[NFixedB])</f>
        <v>#VALUE!</v>
      </c>
      <c r="K358" s="3" t="e">
        <f>LOOKUP(C358, SweepStudyConfig[StudyId], SweepStudyConfig[SweepRateA])</f>
        <v>#VALUE!</v>
      </c>
      <c r="L358" s="3" t="e">
        <f>LOOKUP(C358, SweepStudyConfig[StudyId], SweepStudyConfig[SweepRateB])</f>
        <v>#VALUE!</v>
      </c>
      <c r="M358" s="3" t="e">
        <f>LOOKUP(C358, SweepStudyConfig[StudyId], SweepStudyConfig[FixedRateA])</f>
        <v>#VALUE!</v>
      </c>
      <c r="N358" s="3" t="e">
        <f>LOOKUP(C358, SweepStudyConfig[StudyId], SweepStudyConfig[FixedRateB])</f>
        <v>#VALUE!</v>
      </c>
      <c r="O358" s="3" t="e">
        <f>IF(G358 + I358 = 0, "", (G358 * K358 + I358 * M358) / (G358 + I358))</f>
        <v>#VALUE!</v>
      </c>
      <c r="P358" s="3" t="e">
        <f>IF(H358 + J358 = 0, "", (H358 * L358 + J358 * N358) / (H358 + J358))</f>
        <v>#VALUE!</v>
      </c>
      <c r="Q358" s="3" t="e">
        <f>IF(O358 = "", "", O358 - P358)</f>
        <v>#VALUE!</v>
      </c>
      <c r="R358" s="3" t="e">
        <f>LOOKUP(C358, SweepStudyConfig[StudyId], SweepStudyConfig[SweepCorrectedGap])</f>
        <v>#VALUE!</v>
      </c>
      <c r="S358" s="3" t="e">
        <f>IF(Q358 = "", "", Q358 - R358)</f>
        <v>#VALUE!</v>
      </c>
    </row>
    <row r="359">
      <c r="A359" s="2" t="s">
        <v>3647</v>
      </c>
      <c r="B359" s="3" t="str">
        <f>A359</f>
        <v>income-education-state-f075</v>
      </c>
      <c r="C359" s="2" t="s">
        <v>551</v>
      </c>
      <c r="D359" s="2">
        <v>0.75</v>
      </c>
      <c r="E359" s="3" t="e">
        <f>ABS(D359 - LOOKUP(C359, SweepStudyConfig[StudyId], SweepStudyConfig[OriginalAllocFractionA])) &lt; 0.03</f>
        <v>#VALUE!</v>
      </c>
      <c r="F359" s="3" t="e">
        <f>LOOKUP(C359, SweepStudyConfig[StudyId], SweepStudyConfig[NSweepStratumTotal])</f>
        <v>#VALUE!</v>
      </c>
      <c r="G359" s="3" t="e">
        <f>ROUND(F359 * D359)</f>
        <v>#VALUE!</v>
      </c>
      <c r="H359" s="3" t="e">
        <f>F359 - G359</f>
        <v>#VALUE!</v>
      </c>
      <c r="I359" s="3" t="e">
        <f>LOOKUP(C359, SweepStudyConfig[StudyId], SweepStudyConfig[NFixedA])</f>
        <v>#VALUE!</v>
      </c>
      <c r="J359" s="3" t="e">
        <f>LOOKUP(C359, SweepStudyConfig[StudyId], SweepStudyConfig[NFixedB])</f>
        <v>#VALUE!</v>
      </c>
      <c r="K359" s="3" t="e">
        <f>LOOKUP(C359, SweepStudyConfig[StudyId], SweepStudyConfig[SweepRateA])</f>
        <v>#VALUE!</v>
      </c>
      <c r="L359" s="3" t="e">
        <f>LOOKUP(C359, SweepStudyConfig[StudyId], SweepStudyConfig[SweepRateB])</f>
        <v>#VALUE!</v>
      </c>
      <c r="M359" s="3" t="e">
        <f>LOOKUP(C359, SweepStudyConfig[StudyId], SweepStudyConfig[FixedRateA])</f>
        <v>#VALUE!</v>
      </c>
      <c r="N359" s="3" t="e">
        <f>LOOKUP(C359, SweepStudyConfig[StudyId], SweepStudyConfig[FixedRateB])</f>
        <v>#VALUE!</v>
      </c>
      <c r="O359" s="3" t="e">
        <f>IF(G359 + I359 = 0, "", (G359 * K359 + I359 * M359) / (G359 + I359))</f>
        <v>#VALUE!</v>
      </c>
      <c r="P359" s="3" t="e">
        <f>IF(H359 + J359 = 0, "", (H359 * L359 + J359 * N359) / (H359 + J359))</f>
        <v>#VALUE!</v>
      </c>
      <c r="Q359" s="3" t="e">
        <f>IF(O359 = "", "", O359 - P359)</f>
        <v>#VALUE!</v>
      </c>
      <c r="R359" s="3" t="e">
        <f>LOOKUP(C359, SweepStudyConfig[StudyId], SweepStudyConfig[SweepCorrectedGap])</f>
        <v>#VALUE!</v>
      </c>
      <c r="S359" s="3" t="e">
        <f>IF(Q359 = "", "", Q359 - R359)</f>
        <v>#VALUE!</v>
      </c>
    </row>
    <row r="360">
      <c r="A360" s="2" t="s">
        <v>3648</v>
      </c>
      <c r="B360" s="3" t="str">
        <f>A360</f>
        <v>income-education-state-f085</v>
      </c>
      <c r="C360" s="2" t="s">
        <v>551</v>
      </c>
      <c r="D360" s="2">
        <v>0.85</v>
      </c>
      <c r="E360" s="3" t="e">
        <f>ABS(D360 - LOOKUP(C360, SweepStudyConfig[StudyId], SweepStudyConfig[OriginalAllocFractionA])) &lt; 0.03</f>
        <v>#VALUE!</v>
      </c>
      <c r="F360" s="3" t="e">
        <f>LOOKUP(C360, SweepStudyConfig[StudyId], SweepStudyConfig[NSweepStratumTotal])</f>
        <v>#VALUE!</v>
      </c>
      <c r="G360" s="3" t="e">
        <f>ROUND(F360 * D360)</f>
        <v>#VALUE!</v>
      </c>
      <c r="H360" s="3" t="e">
        <f>F360 - G360</f>
        <v>#VALUE!</v>
      </c>
      <c r="I360" s="3" t="e">
        <f>LOOKUP(C360, SweepStudyConfig[StudyId], SweepStudyConfig[NFixedA])</f>
        <v>#VALUE!</v>
      </c>
      <c r="J360" s="3" t="e">
        <f>LOOKUP(C360, SweepStudyConfig[StudyId], SweepStudyConfig[NFixedB])</f>
        <v>#VALUE!</v>
      </c>
      <c r="K360" s="3" t="e">
        <f>LOOKUP(C360, SweepStudyConfig[StudyId], SweepStudyConfig[SweepRateA])</f>
        <v>#VALUE!</v>
      </c>
      <c r="L360" s="3" t="e">
        <f>LOOKUP(C360, SweepStudyConfig[StudyId], SweepStudyConfig[SweepRateB])</f>
        <v>#VALUE!</v>
      </c>
      <c r="M360" s="3" t="e">
        <f>LOOKUP(C360, SweepStudyConfig[StudyId], SweepStudyConfig[FixedRateA])</f>
        <v>#VALUE!</v>
      </c>
      <c r="N360" s="3" t="e">
        <f>LOOKUP(C360, SweepStudyConfig[StudyId], SweepStudyConfig[FixedRateB])</f>
        <v>#VALUE!</v>
      </c>
      <c r="O360" s="3" t="e">
        <f>IF(G360 + I360 = 0, "", (G360 * K360 + I360 * M360) / (G360 + I360))</f>
        <v>#VALUE!</v>
      </c>
      <c r="P360" s="3" t="e">
        <f>IF(H360 + J360 = 0, "", (H360 * L360 + J360 * N360) / (H360 + J360))</f>
        <v>#VALUE!</v>
      </c>
      <c r="Q360" s="3" t="e">
        <f>IF(O360 = "", "", O360 - P360)</f>
        <v>#VALUE!</v>
      </c>
      <c r="R360" s="3" t="e">
        <f>LOOKUP(C360, SweepStudyConfig[StudyId], SweepStudyConfig[SweepCorrectedGap])</f>
        <v>#VALUE!</v>
      </c>
      <c r="S360" s="3" t="e">
        <f>IF(Q360 = "", "", Q360 - R360)</f>
        <v>#VALUE!</v>
      </c>
    </row>
    <row r="361">
      <c r="A361" s="2" t="s">
        <v>3649</v>
      </c>
      <c r="B361" s="3" t="str">
        <f>A361</f>
        <v>income-education-state-f095</v>
      </c>
      <c r="C361" s="2" t="s">
        <v>551</v>
      </c>
      <c r="D361" s="2">
        <v>0.95</v>
      </c>
      <c r="E361" s="3" t="e">
        <f>ABS(D361 - LOOKUP(C361, SweepStudyConfig[StudyId], SweepStudyConfig[OriginalAllocFractionA])) &lt; 0.03</f>
        <v>#VALUE!</v>
      </c>
      <c r="F361" s="3" t="e">
        <f>LOOKUP(C361, SweepStudyConfig[StudyId], SweepStudyConfig[NSweepStratumTotal])</f>
        <v>#VALUE!</v>
      </c>
      <c r="G361" s="3" t="e">
        <f>ROUND(F361 * D361)</f>
        <v>#VALUE!</v>
      </c>
      <c r="H361" s="3" t="e">
        <f>F361 - G361</f>
        <v>#VALUE!</v>
      </c>
      <c r="I361" s="3" t="e">
        <f>LOOKUP(C361, SweepStudyConfig[StudyId], SweepStudyConfig[NFixedA])</f>
        <v>#VALUE!</v>
      </c>
      <c r="J361" s="3" t="e">
        <f>LOOKUP(C361, SweepStudyConfig[StudyId], SweepStudyConfig[NFixedB])</f>
        <v>#VALUE!</v>
      </c>
      <c r="K361" s="3" t="e">
        <f>LOOKUP(C361, SweepStudyConfig[StudyId], SweepStudyConfig[SweepRateA])</f>
        <v>#VALUE!</v>
      </c>
      <c r="L361" s="3" t="e">
        <f>LOOKUP(C361, SweepStudyConfig[StudyId], SweepStudyConfig[SweepRateB])</f>
        <v>#VALUE!</v>
      </c>
      <c r="M361" s="3" t="e">
        <f>LOOKUP(C361, SweepStudyConfig[StudyId], SweepStudyConfig[FixedRateA])</f>
        <v>#VALUE!</v>
      </c>
      <c r="N361" s="3" t="e">
        <f>LOOKUP(C361, SweepStudyConfig[StudyId], SweepStudyConfig[FixedRateB])</f>
        <v>#VALUE!</v>
      </c>
      <c r="O361" s="3" t="e">
        <f>IF(G361 + I361 = 0, "", (G361 * K361 + I361 * M361) / (G361 + I361))</f>
        <v>#VALUE!</v>
      </c>
      <c r="P361" s="3" t="e">
        <f>IF(H361 + J361 = 0, "", (H361 * L361 + J361 * N361) / (H361 + J361))</f>
        <v>#VALUE!</v>
      </c>
      <c r="Q361" s="3" t="e">
        <f>IF(O361 = "", "", O361 - P361)</f>
        <v>#VALUE!</v>
      </c>
      <c r="R361" s="3" t="e">
        <f>LOOKUP(C361, SweepStudyConfig[StudyId], SweepStudyConfig[SweepCorrectedGap])</f>
        <v>#VALUE!</v>
      </c>
      <c r="S361" s="3" t="e">
        <f>IF(Q361 = "", "", Q361 - R361)</f>
        <v>#VALUE!</v>
      </c>
    </row>
    <row r="362">
      <c r="A362" s="2" t="s">
        <v>3650</v>
      </c>
      <c r="B362" s="3" t="str">
        <f>A362</f>
        <v>florida-reef-fish-1994-f005</v>
      </c>
      <c r="C362" s="2" t="s">
        <v>555</v>
      </c>
      <c r="D362" s="2">
        <v>0.05</v>
      </c>
      <c r="E362" s="3" t="e">
        <f>ABS(D362 - LOOKUP(C362, SweepStudyConfig[StudyId], SweepStudyConfig[OriginalAllocFractionA])) &lt; 0.03</f>
        <v>#VALUE!</v>
      </c>
      <c r="F362" s="3" t="e">
        <f>LOOKUP(C362, SweepStudyConfig[StudyId], SweepStudyConfig[NSweepStratumTotal])</f>
        <v>#VALUE!</v>
      </c>
      <c r="G362" s="3" t="e">
        <f>ROUND(F362 * D362)</f>
        <v>#VALUE!</v>
      </c>
      <c r="H362" s="3" t="e">
        <f>F362 - G362</f>
        <v>#VALUE!</v>
      </c>
      <c r="I362" s="3" t="e">
        <f>LOOKUP(C362, SweepStudyConfig[StudyId], SweepStudyConfig[NFixedA])</f>
        <v>#VALUE!</v>
      </c>
      <c r="J362" s="3" t="e">
        <f>LOOKUP(C362, SweepStudyConfig[StudyId], SweepStudyConfig[NFixedB])</f>
        <v>#VALUE!</v>
      </c>
      <c r="K362" s="3" t="e">
        <f>LOOKUP(C362, SweepStudyConfig[StudyId], SweepStudyConfig[SweepRateA])</f>
        <v>#VALUE!</v>
      </c>
      <c r="L362" s="3" t="e">
        <f>LOOKUP(C362, SweepStudyConfig[StudyId], SweepStudyConfig[SweepRateB])</f>
        <v>#VALUE!</v>
      </c>
      <c r="M362" s="3" t="e">
        <f>LOOKUP(C362, SweepStudyConfig[StudyId], SweepStudyConfig[FixedRateA])</f>
        <v>#VALUE!</v>
      </c>
      <c r="N362" s="3" t="e">
        <f>LOOKUP(C362, SweepStudyConfig[StudyId], SweepStudyConfig[FixedRateB])</f>
        <v>#VALUE!</v>
      </c>
      <c r="O362" s="3" t="e">
        <f>IF(G362 + I362 = 0, "", (G362 * K362 + I362 * M362) / (G362 + I362))</f>
        <v>#VALUE!</v>
      </c>
      <c r="P362" s="3" t="e">
        <f>IF(H362 + J362 = 0, "", (H362 * L362 + J362 * N362) / (H362 + J362))</f>
        <v>#VALUE!</v>
      </c>
      <c r="Q362" s="3" t="e">
        <f>IF(O362 = "", "", O362 - P362)</f>
        <v>#VALUE!</v>
      </c>
      <c r="R362" s="3" t="e">
        <f>LOOKUP(C362, SweepStudyConfig[StudyId], SweepStudyConfig[SweepCorrectedGap])</f>
        <v>#VALUE!</v>
      </c>
      <c r="S362" s="3" t="e">
        <f>IF(Q362 = "", "", Q362 - R362)</f>
        <v>#VALUE!</v>
      </c>
    </row>
    <row r="363">
      <c r="A363" s="2" t="s">
        <v>3651</v>
      </c>
      <c r="B363" s="3" t="str">
        <f>A363</f>
        <v>florida-reef-fish-1994-f015</v>
      </c>
      <c r="C363" s="2" t="s">
        <v>555</v>
      </c>
      <c r="D363" s="2">
        <v>0.15</v>
      </c>
      <c r="E363" s="3" t="e">
        <f>ABS(D363 - LOOKUP(C363, SweepStudyConfig[StudyId], SweepStudyConfig[OriginalAllocFractionA])) &lt; 0.03</f>
        <v>#VALUE!</v>
      </c>
      <c r="F363" s="3" t="e">
        <f>LOOKUP(C363, SweepStudyConfig[StudyId], SweepStudyConfig[NSweepStratumTotal])</f>
        <v>#VALUE!</v>
      </c>
      <c r="G363" s="3" t="e">
        <f>ROUND(F363 * D363)</f>
        <v>#VALUE!</v>
      </c>
      <c r="H363" s="3" t="e">
        <f>F363 - G363</f>
        <v>#VALUE!</v>
      </c>
      <c r="I363" s="3" t="e">
        <f>LOOKUP(C363, SweepStudyConfig[StudyId], SweepStudyConfig[NFixedA])</f>
        <v>#VALUE!</v>
      </c>
      <c r="J363" s="3" t="e">
        <f>LOOKUP(C363, SweepStudyConfig[StudyId], SweepStudyConfig[NFixedB])</f>
        <v>#VALUE!</v>
      </c>
      <c r="K363" s="3" t="e">
        <f>LOOKUP(C363, SweepStudyConfig[StudyId], SweepStudyConfig[SweepRateA])</f>
        <v>#VALUE!</v>
      </c>
      <c r="L363" s="3" t="e">
        <f>LOOKUP(C363, SweepStudyConfig[StudyId], SweepStudyConfig[SweepRateB])</f>
        <v>#VALUE!</v>
      </c>
      <c r="M363" s="3" t="e">
        <f>LOOKUP(C363, SweepStudyConfig[StudyId], SweepStudyConfig[FixedRateA])</f>
        <v>#VALUE!</v>
      </c>
      <c r="N363" s="3" t="e">
        <f>LOOKUP(C363, SweepStudyConfig[StudyId], SweepStudyConfig[FixedRateB])</f>
        <v>#VALUE!</v>
      </c>
      <c r="O363" s="3" t="e">
        <f>IF(G363 + I363 = 0, "", (G363 * K363 + I363 * M363) / (G363 + I363))</f>
        <v>#VALUE!</v>
      </c>
      <c r="P363" s="3" t="e">
        <f>IF(H363 + J363 = 0, "", (H363 * L363 + J363 * N363) / (H363 + J363))</f>
        <v>#VALUE!</v>
      </c>
      <c r="Q363" s="3" t="e">
        <f>IF(O363 = "", "", O363 - P363)</f>
        <v>#VALUE!</v>
      </c>
      <c r="R363" s="3" t="e">
        <f>LOOKUP(C363, SweepStudyConfig[StudyId], SweepStudyConfig[SweepCorrectedGap])</f>
        <v>#VALUE!</v>
      </c>
      <c r="S363" s="3" t="e">
        <f>IF(Q363 = "", "", Q363 - R363)</f>
        <v>#VALUE!</v>
      </c>
    </row>
    <row r="364">
      <c r="A364" s="2" t="s">
        <v>3652</v>
      </c>
      <c r="B364" s="3" t="str">
        <f>A364</f>
        <v>florida-reef-fish-1994-f025</v>
      </c>
      <c r="C364" s="2" t="s">
        <v>555</v>
      </c>
      <c r="D364" s="2">
        <v>0.25</v>
      </c>
      <c r="E364" s="3" t="e">
        <f>ABS(D364 - LOOKUP(C364, SweepStudyConfig[StudyId], SweepStudyConfig[OriginalAllocFractionA])) &lt; 0.03</f>
        <v>#VALUE!</v>
      </c>
      <c r="F364" s="3" t="e">
        <f>LOOKUP(C364, SweepStudyConfig[StudyId], SweepStudyConfig[NSweepStratumTotal])</f>
        <v>#VALUE!</v>
      </c>
      <c r="G364" s="3" t="e">
        <f>ROUND(F364 * D364)</f>
        <v>#VALUE!</v>
      </c>
      <c r="H364" s="3" t="e">
        <f>F364 - G364</f>
        <v>#VALUE!</v>
      </c>
      <c r="I364" s="3" t="e">
        <f>LOOKUP(C364, SweepStudyConfig[StudyId], SweepStudyConfig[NFixedA])</f>
        <v>#VALUE!</v>
      </c>
      <c r="J364" s="3" t="e">
        <f>LOOKUP(C364, SweepStudyConfig[StudyId], SweepStudyConfig[NFixedB])</f>
        <v>#VALUE!</v>
      </c>
      <c r="K364" s="3" t="e">
        <f>LOOKUP(C364, SweepStudyConfig[StudyId], SweepStudyConfig[SweepRateA])</f>
        <v>#VALUE!</v>
      </c>
      <c r="L364" s="3" t="e">
        <f>LOOKUP(C364, SweepStudyConfig[StudyId], SweepStudyConfig[SweepRateB])</f>
        <v>#VALUE!</v>
      </c>
      <c r="M364" s="3" t="e">
        <f>LOOKUP(C364, SweepStudyConfig[StudyId], SweepStudyConfig[FixedRateA])</f>
        <v>#VALUE!</v>
      </c>
      <c r="N364" s="3" t="e">
        <f>LOOKUP(C364, SweepStudyConfig[StudyId], SweepStudyConfig[FixedRateB])</f>
        <v>#VALUE!</v>
      </c>
      <c r="O364" s="3" t="e">
        <f>IF(G364 + I364 = 0, "", (G364 * K364 + I364 * M364) / (G364 + I364))</f>
        <v>#VALUE!</v>
      </c>
      <c r="P364" s="3" t="e">
        <f>IF(H364 + J364 = 0, "", (H364 * L364 + J364 * N364) / (H364 + J364))</f>
        <v>#VALUE!</v>
      </c>
      <c r="Q364" s="3" t="e">
        <f>IF(O364 = "", "", O364 - P364)</f>
        <v>#VALUE!</v>
      </c>
      <c r="R364" s="3" t="e">
        <f>LOOKUP(C364, SweepStudyConfig[StudyId], SweepStudyConfig[SweepCorrectedGap])</f>
        <v>#VALUE!</v>
      </c>
      <c r="S364" s="3" t="e">
        <f>IF(Q364 = "", "", Q364 - R364)</f>
        <v>#VALUE!</v>
      </c>
    </row>
    <row r="365">
      <c r="A365" s="2" t="s">
        <v>3653</v>
      </c>
      <c r="B365" s="3" t="str">
        <f>A365</f>
        <v>florida-reef-fish-1994-f035</v>
      </c>
      <c r="C365" s="2" t="s">
        <v>555</v>
      </c>
      <c r="D365" s="2">
        <v>0.35</v>
      </c>
      <c r="E365" s="3" t="e">
        <f>ABS(D365 - LOOKUP(C365, SweepStudyConfig[StudyId], SweepStudyConfig[OriginalAllocFractionA])) &lt; 0.03</f>
        <v>#VALUE!</v>
      </c>
      <c r="F365" s="3" t="e">
        <f>LOOKUP(C365, SweepStudyConfig[StudyId], SweepStudyConfig[NSweepStratumTotal])</f>
        <v>#VALUE!</v>
      </c>
      <c r="G365" s="3" t="e">
        <f>ROUND(F365 * D365)</f>
        <v>#VALUE!</v>
      </c>
      <c r="H365" s="3" t="e">
        <f>F365 - G365</f>
        <v>#VALUE!</v>
      </c>
      <c r="I365" s="3" t="e">
        <f>LOOKUP(C365, SweepStudyConfig[StudyId], SweepStudyConfig[NFixedA])</f>
        <v>#VALUE!</v>
      </c>
      <c r="J365" s="3" t="e">
        <f>LOOKUP(C365, SweepStudyConfig[StudyId], SweepStudyConfig[NFixedB])</f>
        <v>#VALUE!</v>
      </c>
      <c r="K365" s="3" t="e">
        <f>LOOKUP(C365, SweepStudyConfig[StudyId], SweepStudyConfig[SweepRateA])</f>
        <v>#VALUE!</v>
      </c>
      <c r="L365" s="3" t="e">
        <f>LOOKUP(C365, SweepStudyConfig[StudyId], SweepStudyConfig[SweepRateB])</f>
        <v>#VALUE!</v>
      </c>
      <c r="M365" s="3" t="e">
        <f>LOOKUP(C365, SweepStudyConfig[StudyId], SweepStudyConfig[FixedRateA])</f>
        <v>#VALUE!</v>
      </c>
      <c r="N365" s="3" t="e">
        <f>LOOKUP(C365, SweepStudyConfig[StudyId], SweepStudyConfig[FixedRateB])</f>
        <v>#VALUE!</v>
      </c>
      <c r="O365" s="3" t="e">
        <f>IF(G365 + I365 = 0, "", (G365 * K365 + I365 * M365) / (G365 + I365))</f>
        <v>#VALUE!</v>
      </c>
      <c r="P365" s="3" t="e">
        <f>IF(H365 + J365 = 0, "", (H365 * L365 + J365 * N365) / (H365 + J365))</f>
        <v>#VALUE!</v>
      </c>
      <c r="Q365" s="3" t="e">
        <f>IF(O365 = "", "", O365 - P365)</f>
        <v>#VALUE!</v>
      </c>
      <c r="R365" s="3" t="e">
        <f>LOOKUP(C365, SweepStudyConfig[StudyId], SweepStudyConfig[SweepCorrectedGap])</f>
        <v>#VALUE!</v>
      </c>
      <c r="S365" s="3" t="e">
        <f>IF(Q365 = "", "", Q365 - R365)</f>
        <v>#VALUE!</v>
      </c>
    </row>
    <row r="366">
      <c r="A366" s="2" t="s">
        <v>3654</v>
      </c>
      <c r="B366" s="3" t="str">
        <f>A366</f>
        <v>florida-reef-fish-1994-f045</v>
      </c>
      <c r="C366" s="2" t="s">
        <v>555</v>
      </c>
      <c r="D366" s="2">
        <v>0.45</v>
      </c>
      <c r="E366" s="3" t="e">
        <f>ABS(D366 - LOOKUP(C366, SweepStudyConfig[StudyId], SweepStudyConfig[OriginalAllocFractionA])) &lt; 0.03</f>
        <v>#VALUE!</v>
      </c>
      <c r="F366" s="3" t="e">
        <f>LOOKUP(C366, SweepStudyConfig[StudyId], SweepStudyConfig[NSweepStratumTotal])</f>
        <v>#VALUE!</v>
      </c>
      <c r="G366" s="3" t="e">
        <f>ROUND(F366 * D366)</f>
        <v>#VALUE!</v>
      </c>
      <c r="H366" s="3" t="e">
        <f>F366 - G366</f>
        <v>#VALUE!</v>
      </c>
      <c r="I366" s="3" t="e">
        <f>LOOKUP(C366, SweepStudyConfig[StudyId], SweepStudyConfig[NFixedA])</f>
        <v>#VALUE!</v>
      </c>
      <c r="J366" s="3" t="e">
        <f>LOOKUP(C366, SweepStudyConfig[StudyId], SweepStudyConfig[NFixedB])</f>
        <v>#VALUE!</v>
      </c>
      <c r="K366" s="3" t="e">
        <f>LOOKUP(C366, SweepStudyConfig[StudyId], SweepStudyConfig[SweepRateA])</f>
        <v>#VALUE!</v>
      </c>
      <c r="L366" s="3" t="e">
        <f>LOOKUP(C366, SweepStudyConfig[StudyId], SweepStudyConfig[SweepRateB])</f>
        <v>#VALUE!</v>
      </c>
      <c r="M366" s="3" t="e">
        <f>LOOKUP(C366, SweepStudyConfig[StudyId], SweepStudyConfig[FixedRateA])</f>
        <v>#VALUE!</v>
      </c>
      <c r="N366" s="3" t="e">
        <f>LOOKUP(C366, SweepStudyConfig[StudyId], SweepStudyConfig[FixedRateB])</f>
        <v>#VALUE!</v>
      </c>
      <c r="O366" s="3" t="e">
        <f>IF(G366 + I366 = 0, "", (G366 * K366 + I366 * M366) / (G366 + I366))</f>
        <v>#VALUE!</v>
      </c>
      <c r="P366" s="3" t="e">
        <f>IF(H366 + J366 = 0, "", (H366 * L366 + J366 * N366) / (H366 + J366))</f>
        <v>#VALUE!</v>
      </c>
      <c r="Q366" s="3" t="e">
        <f>IF(O366 = "", "", O366 - P366)</f>
        <v>#VALUE!</v>
      </c>
      <c r="R366" s="3" t="e">
        <f>LOOKUP(C366, SweepStudyConfig[StudyId], SweepStudyConfig[SweepCorrectedGap])</f>
        <v>#VALUE!</v>
      </c>
      <c r="S366" s="3" t="e">
        <f>IF(Q366 = "", "", Q366 - R366)</f>
        <v>#VALUE!</v>
      </c>
    </row>
    <row r="367">
      <c r="A367" s="2" t="s">
        <v>3655</v>
      </c>
      <c r="B367" s="3" t="str">
        <f>A367</f>
        <v>florida-reef-fish-1994-f055</v>
      </c>
      <c r="C367" s="2" t="s">
        <v>555</v>
      </c>
      <c r="D367" s="2">
        <v>0.55</v>
      </c>
      <c r="E367" s="3" t="e">
        <f>ABS(D367 - LOOKUP(C367, SweepStudyConfig[StudyId], SweepStudyConfig[OriginalAllocFractionA])) &lt; 0.03</f>
        <v>#VALUE!</v>
      </c>
      <c r="F367" s="3" t="e">
        <f>LOOKUP(C367, SweepStudyConfig[StudyId], SweepStudyConfig[NSweepStratumTotal])</f>
        <v>#VALUE!</v>
      </c>
      <c r="G367" s="3" t="e">
        <f>ROUND(F367 * D367)</f>
        <v>#VALUE!</v>
      </c>
      <c r="H367" s="3" t="e">
        <f>F367 - G367</f>
        <v>#VALUE!</v>
      </c>
      <c r="I367" s="3" t="e">
        <f>LOOKUP(C367, SweepStudyConfig[StudyId], SweepStudyConfig[NFixedA])</f>
        <v>#VALUE!</v>
      </c>
      <c r="J367" s="3" t="e">
        <f>LOOKUP(C367, SweepStudyConfig[StudyId], SweepStudyConfig[NFixedB])</f>
        <v>#VALUE!</v>
      </c>
      <c r="K367" s="3" t="e">
        <f>LOOKUP(C367, SweepStudyConfig[StudyId], SweepStudyConfig[SweepRateA])</f>
        <v>#VALUE!</v>
      </c>
      <c r="L367" s="3" t="e">
        <f>LOOKUP(C367, SweepStudyConfig[StudyId], SweepStudyConfig[SweepRateB])</f>
        <v>#VALUE!</v>
      </c>
      <c r="M367" s="3" t="e">
        <f>LOOKUP(C367, SweepStudyConfig[StudyId], SweepStudyConfig[FixedRateA])</f>
        <v>#VALUE!</v>
      </c>
      <c r="N367" s="3" t="e">
        <f>LOOKUP(C367, SweepStudyConfig[StudyId], SweepStudyConfig[FixedRateB])</f>
        <v>#VALUE!</v>
      </c>
      <c r="O367" s="3" t="e">
        <f>IF(G367 + I367 = 0, "", (G367 * K367 + I367 * M367) / (G367 + I367))</f>
        <v>#VALUE!</v>
      </c>
      <c r="P367" s="3" t="e">
        <f>IF(H367 + J367 = 0, "", (H367 * L367 + J367 * N367) / (H367 + J367))</f>
        <v>#VALUE!</v>
      </c>
      <c r="Q367" s="3" t="e">
        <f>IF(O367 = "", "", O367 - P367)</f>
        <v>#VALUE!</v>
      </c>
      <c r="R367" s="3" t="e">
        <f>LOOKUP(C367, SweepStudyConfig[StudyId], SweepStudyConfig[SweepCorrectedGap])</f>
        <v>#VALUE!</v>
      </c>
      <c r="S367" s="3" t="e">
        <f>IF(Q367 = "", "", Q367 - R367)</f>
        <v>#VALUE!</v>
      </c>
    </row>
    <row r="368">
      <c r="A368" s="2" t="s">
        <v>3656</v>
      </c>
      <c r="B368" s="3" t="str">
        <f>A368</f>
        <v>florida-reef-fish-1994-f065</v>
      </c>
      <c r="C368" s="2" t="s">
        <v>555</v>
      </c>
      <c r="D368" s="2">
        <v>0.65</v>
      </c>
      <c r="E368" s="3" t="e">
        <f>ABS(D368 - LOOKUP(C368, SweepStudyConfig[StudyId], SweepStudyConfig[OriginalAllocFractionA])) &lt; 0.03</f>
        <v>#VALUE!</v>
      </c>
      <c r="F368" s="3" t="e">
        <f>LOOKUP(C368, SweepStudyConfig[StudyId], SweepStudyConfig[NSweepStratumTotal])</f>
        <v>#VALUE!</v>
      </c>
      <c r="G368" s="3" t="e">
        <f>ROUND(F368 * D368)</f>
        <v>#VALUE!</v>
      </c>
      <c r="H368" s="3" t="e">
        <f>F368 - G368</f>
        <v>#VALUE!</v>
      </c>
      <c r="I368" s="3" t="e">
        <f>LOOKUP(C368, SweepStudyConfig[StudyId], SweepStudyConfig[NFixedA])</f>
        <v>#VALUE!</v>
      </c>
      <c r="J368" s="3" t="e">
        <f>LOOKUP(C368, SweepStudyConfig[StudyId], SweepStudyConfig[NFixedB])</f>
        <v>#VALUE!</v>
      </c>
      <c r="K368" s="3" t="e">
        <f>LOOKUP(C368, SweepStudyConfig[StudyId], SweepStudyConfig[SweepRateA])</f>
        <v>#VALUE!</v>
      </c>
      <c r="L368" s="3" t="e">
        <f>LOOKUP(C368, SweepStudyConfig[StudyId], SweepStudyConfig[SweepRateB])</f>
        <v>#VALUE!</v>
      </c>
      <c r="M368" s="3" t="e">
        <f>LOOKUP(C368, SweepStudyConfig[StudyId], SweepStudyConfig[FixedRateA])</f>
        <v>#VALUE!</v>
      </c>
      <c r="N368" s="3" t="e">
        <f>LOOKUP(C368, SweepStudyConfig[StudyId], SweepStudyConfig[FixedRateB])</f>
        <v>#VALUE!</v>
      </c>
      <c r="O368" s="3" t="e">
        <f>IF(G368 + I368 = 0, "", (G368 * K368 + I368 * M368) / (G368 + I368))</f>
        <v>#VALUE!</v>
      </c>
      <c r="P368" s="3" t="e">
        <f>IF(H368 + J368 = 0, "", (H368 * L368 + J368 * N368) / (H368 + J368))</f>
        <v>#VALUE!</v>
      </c>
      <c r="Q368" s="3" t="e">
        <f>IF(O368 = "", "", O368 - P368)</f>
        <v>#VALUE!</v>
      </c>
      <c r="R368" s="3" t="e">
        <f>LOOKUP(C368, SweepStudyConfig[StudyId], SweepStudyConfig[SweepCorrectedGap])</f>
        <v>#VALUE!</v>
      </c>
      <c r="S368" s="3" t="e">
        <f>IF(Q368 = "", "", Q368 - R368)</f>
        <v>#VALUE!</v>
      </c>
    </row>
    <row r="369">
      <c r="A369" s="2" t="s">
        <v>3657</v>
      </c>
      <c r="B369" s="3" t="str">
        <f>A369</f>
        <v>florida-reef-fish-1994-f075</v>
      </c>
      <c r="C369" s="2" t="s">
        <v>555</v>
      </c>
      <c r="D369" s="2">
        <v>0.75</v>
      </c>
      <c r="E369" s="3" t="e">
        <f>ABS(D369 - LOOKUP(C369, SweepStudyConfig[StudyId], SweepStudyConfig[OriginalAllocFractionA])) &lt; 0.03</f>
        <v>#VALUE!</v>
      </c>
      <c r="F369" s="3" t="e">
        <f>LOOKUP(C369, SweepStudyConfig[StudyId], SweepStudyConfig[NSweepStratumTotal])</f>
        <v>#VALUE!</v>
      </c>
      <c r="G369" s="3" t="e">
        <f>ROUND(F369 * D369)</f>
        <v>#VALUE!</v>
      </c>
      <c r="H369" s="3" t="e">
        <f>F369 - G369</f>
        <v>#VALUE!</v>
      </c>
      <c r="I369" s="3" t="e">
        <f>LOOKUP(C369, SweepStudyConfig[StudyId], SweepStudyConfig[NFixedA])</f>
        <v>#VALUE!</v>
      </c>
      <c r="J369" s="3" t="e">
        <f>LOOKUP(C369, SweepStudyConfig[StudyId], SweepStudyConfig[NFixedB])</f>
        <v>#VALUE!</v>
      </c>
      <c r="K369" s="3" t="e">
        <f>LOOKUP(C369, SweepStudyConfig[StudyId], SweepStudyConfig[SweepRateA])</f>
        <v>#VALUE!</v>
      </c>
      <c r="L369" s="3" t="e">
        <f>LOOKUP(C369, SweepStudyConfig[StudyId], SweepStudyConfig[SweepRateB])</f>
        <v>#VALUE!</v>
      </c>
      <c r="M369" s="3" t="e">
        <f>LOOKUP(C369, SweepStudyConfig[StudyId], SweepStudyConfig[FixedRateA])</f>
        <v>#VALUE!</v>
      </c>
      <c r="N369" s="3" t="e">
        <f>LOOKUP(C369, SweepStudyConfig[StudyId], SweepStudyConfig[FixedRateB])</f>
        <v>#VALUE!</v>
      </c>
      <c r="O369" s="3" t="e">
        <f>IF(G369 + I369 = 0, "", (G369 * K369 + I369 * M369) / (G369 + I369))</f>
        <v>#VALUE!</v>
      </c>
      <c r="P369" s="3" t="e">
        <f>IF(H369 + J369 = 0, "", (H369 * L369 + J369 * N369) / (H369 + J369))</f>
        <v>#VALUE!</v>
      </c>
      <c r="Q369" s="3" t="e">
        <f>IF(O369 = "", "", O369 - P369)</f>
        <v>#VALUE!</v>
      </c>
      <c r="R369" s="3" t="e">
        <f>LOOKUP(C369, SweepStudyConfig[StudyId], SweepStudyConfig[SweepCorrectedGap])</f>
        <v>#VALUE!</v>
      </c>
      <c r="S369" s="3" t="e">
        <f>IF(Q369 = "", "", Q369 - R369)</f>
        <v>#VALUE!</v>
      </c>
    </row>
    <row r="370">
      <c r="A370" s="2" t="s">
        <v>3658</v>
      </c>
      <c r="B370" s="3" t="str">
        <f>A370</f>
        <v>florida-reef-fish-1994-f085</v>
      </c>
      <c r="C370" s="2" t="s">
        <v>555</v>
      </c>
      <c r="D370" s="2">
        <v>0.85</v>
      </c>
      <c r="E370" s="3" t="e">
        <f>ABS(D370 - LOOKUP(C370, SweepStudyConfig[StudyId], SweepStudyConfig[OriginalAllocFractionA])) &lt; 0.03</f>
        <v>#VALUE!</v>
      </c>
      <c r="F370" s="3" t="e">
        <f>LOOKUP(C370, SweepStudyConfig[StudyId], SweepStudyConfig[NSweepStratumTotal])</f>
        <v>#VALUE!</v>
      </c>
      <c r="G370" s="3" t="e">
        <f>ROUND(F370 * D370)</f>
        <v>#VALUE!</v>
      </c>
      <c r="H370" s="3" t="e">
        <f>F370 - G370</f>
        <v>#VALUE!</v>
      </c>
      <c r="I370" s="3" t="e">
        <f>LOOKUP(C370, SweepStudyConfig[StudyId], SweepStudyConfig[NFixedA])</f>
        <v>#VALUE!</v>
      </c>
      <c r="J370" s="3" t="e">
        <f>LOOKUP(C370, SweepStudyConfig[StudyId], SweepStudyConfig[NFixedB])</f>
        <v>#VALUE!</v>
      </c>
      <c r="K370" s="3" t="e">
        <f>LOOKUP(C370, SweepStudyConfig[StudyId], SweepStudyConfig[SweepRateA])</f>
        <v>#VALUE!</v>
      </c>
      <c r="L370" s="3" t="e">
        <f>LOOKUP(C370, SweepStudyConfig[StudyId], SweepStudyConfig[SweepRateB])</f>
        <v>#VALUE!</v>
      </c>
      <c r="M370" s="3" t="e">
        <f>LOOKUP(C370, SweepStudyConfig[StudyId], SweepStudyConfig[FixedRateA])</f>
        <v>#VALUE!</v>
      </c>
      <c r="N370" s="3" t="e">
        <f>LOOKUP(C370, SweepStudyConfig[StudyId], SweepStudyConfig[FixedRateB])</f>
        <v>#VALUE!</v>
      </c>
      <c r="O370" s="3" t="e">
        <f>IF(G370 + I370 = 0, "", (G370 * K370 + I370 * M370) / (G370 + I370))</f>
        <v>#VALUE!</v>
      </c>
      <c r="P370" s="3" t="e">
        <f>IF(H370 + J370 = 0, "", (H370 * L370 + J370 * N370) / (H370 + J370))</f>
        <v>#VALUE!</v>
      </c>
      <c r="Q370" s="3" t="e">
        <f>IF(O370 = "", "", O370 - P370)</f>
        <v>#VALUE!</v>
      </c>
      <c r="R370" s="3" t="e">
        <f>LOOKUP(C370, SweepStudyConfig[StudyId], SweepStudyConfig[SweepCorrectedGap])</f>
        <v>#VALUE!</v>
      </c>
      <c r="S370" s="3" t="e">
        <f>IF(Q370 = "", "", Q370 - R370)</f>
        <v>#VALUE!</v>
      </c>
    </row>
    <row r="371">
      <c r="A371" s="2" t="s">
        <v>3659</v>
      </c>
      <c r="B371" s="3" t="str">
        <f>A371</f>
        <v>florida-reef-fish-1994-f095</v>
      </c>
      <c r="C371" s="2" t="s">
        <v>555</v>
      </c>
      <c r="D371" s="2">
        <v>0.95</v>
      </c>
      <c r="E371" s="3" t="e">
        <f>ABS(D371 - LOOKUP(C371, SweepStudyConfig[StudyId], SweepStudyConfig[OriginalAllocFractionA])) &lt; 0.03</f>
        <v>#VALUE!</v>
      </c>
      <c r="F371" s="3" t="e">
        <f>LOOKUP(C371, SweepStudyConfig[StudyId], SweepStudyConfig[NSweepStratumTotal])</f>
        <v>#VALUE!</v>
      </c>
      <c r="G371" s="3" t="e">
        <f>ROUND(F371 * D371)</f>
        <v>#VALUE!</v>
      </c>
      <c r="H371" s="3" t="e">
        <f>F371 - G371</f>
        <v>#VALUE!</v>
      </c>
      <c r="I371" s="3" t="e">
        <f>LOOKUP(C371, SweepStudyConfig[StudyId], SweepStudyConfig[NFixedA])</f>
        <v>#VALUE!</v>
      </c>
      <c r="J371" s="3" t="e">
        <f>LOOKUP(C371, SweepStudyConfig[StudyId], SweepStudyConfig[NFixedB])</f>
        <v>#VALUE!</v>
      </c>
      <c r="K371" s="3" t="e">
        <f>LOOKUP(C371, SweepStudyConfig[StudyId], SweepStudyConfig[SweepRateA])</f>
        <v>#VALUE!</v>
      </c>
      <c r="L371" s="3" t="e">
        <f>LOOKUP(C371, SweepStudyConfig[StudyId], SweepStudyConfig[SweepRateB])</f>
        <v>#VALUE!</v>
      </c>
      <c r="M371" s="3" t="e">
        <f>LOOKUP(C371, SweepStudyConfig[StudyId], SweepStudyConfig[FixedRateA])</f>
        <v>#VALUE!</v>
      </c>
      <c r="N371" s="3" t="e">
        <f>LOOKUP(C371, SweepStudyConfig[StudyId], SweepStudyConfig[FixedRateB])</f>
        <v>#VALUE!</v>
      </c>
      <c r="O371" s="3" t="e">
        <f>IF(G371 + I371 = 0, "", (G371 * K371 + I371 * M371) / (G371 + I371))</f>
        <v>#VALUE!</v>
      </c>
      <c r="P371" s="3" t="e">
        <f>IF(H371 + J371 = 0, "", (H371 * L371 + J371 * N371) / (H371 + J371))</f>
        <v>#VALUE!</v>
      </c>
      <c r="Q371" s="3" t="e">
        <f>IF(O371 = "", "", O371 - P371)</f>
        <v>#VALUE!</v>
      </c>
      <c r="R371" s="3" t="e">
        <f>LOOKUP(C371, SweepStudyConfig[StudyId], SweepStudyConfig[SweepCorrectedGap])</f>
        <v>#VALUE!</v>
      </c>
      <c r="S371" s="3" t="e">
        <f>IF(Q371 = "", "", Q371 - R371)</f>
        <v>#VALUE!</v>
      </c>
    </row>
    <row r="372">
      <c r="A372" s="2" t="s">
        <v>3660</v>
      </c>
      <c r="B372" s="3" t="str">
        <f>A372</f>
        <v>uc-irvine-admissions-1985-f005</v>
      </c>
      <c r="C372" s="2" t="s">
        <v>558</v>
      </c>
      <c r="D372" s="2">
        <v>0.05</v>
      </c>
      <c r="E372" s="3" t="e">
        <f>ABS(D372 - LOOKUP(C372, SweepStudyConfig[StudyId], SweepStudyConfig[OriginalAllocFractionA])) &lt; 0.03</f>
        <v>#VALUE!</v>
      </c>
      <c r="F372" s="3" t="e">
        <f>LOOKUP(C372, SweepStudyConfig[StudyId], SweepStudyConfig[NSweepStratumTotal])</f>
        <v>#VALUE!</v>
      </c>
      <c r="G372" s="3" t="e">
        <f>ROUND(F372 * D372)</f>
        <v>#VALUE!</v>
      </c>
      <c r="H372" s="3" t="e">
        <f>F372 - G372</f>
        <v>#VALUE!</v>
      </c>
      <c r="I372" s="3" t="e">
        <f>LOOKUP(C372, SweepStudyConfig[StudyId], SweepStudyConfig[NFixedA])</f>
        <v>#VALUE!</v>
      </c>
      <c r="J372" s="3" t="e">
        <f>LOOKUP(C372, SweepStudyConfig[StudyId], SweepStudyConfig[NFixedB])</f>
        <v>#VALUE!</v>
      </c>
      <c r="K372" s="3" t="e">
        <f>LOOKUP(C372, SweepStudyConfig[StudyId], SweepStudyConfig[SweepRateA])</f>
        <v>#VALUE!</v>
      </c>
      <c r="L372" s="3" t="e">
        <f>LOOKUP(C372, SweepStudyConfig[StudyId], SweepStudyConfig[SweepRateB])</f>
        <v>#VALUE!</v>
      </c>
      <c r="M372" s="3" t="e">
        <f>LOOKUP(C372, SweepStudyConfig[StudyId], SweepStudyConfig[FixedRateA])</f>
        <v>#VALUE!</v>
      </c>
      <c r="N372" s="3" t="e">
        <f>LOOKUP(C372, SweepStudyConfig[StudyId], SweepStudyConfig[FixedRateB])</f>
        <v>#VALUE!</v>
      </c>
      <c r="O372" s="3" t="e">
        <f>IF(G372 + I372 = 0, "", (G372 * K372 + I372 * M372) / (G372 + I372))</f>
        <v>#VALUE!</v>
      </c>
      <c r="P372" s="3" t="e">
        <f>IF(H372 + J372 = 0, "", (H372 * L372 + J372 * N372) / (H372 + J372))</f>
        <v>#VALUE!</v>
      </c>
      <c r="Q372" s="3" t="e">
        <f>IF(O372 = "", "", O372 - P372)</f>
        <v>#VALUE!</v>
      </c>
      <c r="R372" s="3" t="e">
        <f>LOOKUP(C372, SweepStudyConfig[StudyId], SweepStudyConfig[SweepCorrectedGap])</f>
        <v>#VALUE!</v>
      </c>
      <c r="S372" s="3" t="e">
        <f>IF(Q372 = "", "", Q372 - R372)</f>
        <v>#VALUE!</v>
      </c>
    </row>
    <row r="373">
      <c r="A373" s="2" t="s">
        <v>3661</v>
      </c>
      <c r="B373" s="3" t="str">
        <f>A373</f>
        <v>uc-irvine-admissions-1985-f015</v>
      </c>
      <c r="C373" s="2" t="s">
        <v>558</v>
      </c>
      <c r="D373" s="2">
        <v>0.15</v>
      </c>
      <c r="E373" s="3" t="e">
        <f>ABS(D373 - LOOKUP(C373, SweepStudyConfig[StudyId], SweepStudyConfig[OriginalAllocFractionA])) &lt; 0.03</f>
        <v>#VALUE!</v>
      </c>
      <c r="F373" s="3" t="e">
        <f>LOOKUP(C373, SweepStudyConfig[StudyId], SweepStudyConfig[NSweepStratumTotal])</f>
        <v>#VALUE!</v>
      </c>
      <c r="G373" s="3" t="e">
        <f>ROUND(F373 * D373)</f>
        <v>#VALUE!</v>
      </c>
      <c r="H373" s="3" t="e">
        <f>F373 - G373</f>
        <v>#VALUE!</v>
      </c>
      <c r="I373" s="3" t="e">
        <f>LOOKUP(C373, SweepStudyConfig[StudyId], SweepStudyConfig[NFixedA])</f>
        <v>#VALUE!</v>
      </c>
      <c r="J373" s="3" t="e">
        <f>LOOKUP(C373, SweepStudyConfig[StudyId], SweepStudyConfig[NFixedB])</f>
        <v>#VALUE!</v>
      </c>
      <c r="K373" s="3" t="e">
        <f>LOOKUP(C373, SweepStudyConfig[StudyId], SweepStudyConfig[SweepRateA])</f>
        <v>#VALUE!</v>
      </c>
      <c r="L373" s="3" t="e">
        <f>LOOKUP(C373, SweepStudyConfig[StudyId], SweepStudyConfig[SweepRateB])</f>
        <v>#VALUE!</v>
      </c>
      <c r="M373" s="3" t="e">
        <f>LOOKUP(C373, SweepStudyConfig[StudyId], SweepStudyConfig[FixedRateA])</f>
        <v>#VALUE!</v>
      </c>
      <c r="N373" s="3" t="e">
        <f>LOOKUP(C373, SweepStudyConfig[StudyId], SweepStudyConfig[FixedRateB])</f>
        <v>#VALUE!</v>
      </c>
      <c r="O373" s="3" t="e">
        <f>IF(G373 + I373 = 0, "", (G373 * K373 + I373 * M373) / (G373 + I373))</f>
        <v>#VALUE!</v>
      </c>
      <c r="P373" s="3" t="e">
        <f>IF(H373 + J373 = 0, "", (H373 * L373 + J373 * N373) / (H373 + J373))</f>
        <v>#VALUE!</v>
      </c>
      <c r="Q373" s="3" t="e">
        <f>IF(O373 = "", "", O373 - P373)</f>
        <v>#VALUE!</v>
      </c>
      <c r="R373" s="3" t="e">
        <f>LOOKUP(C373, SweepStudyConfig[StudyId], SweepStudyConfig[SweepCorrectedGap])</f>
        <v>#VALUE!</v>
      </c>
      <c r="S373" s="3" t="e">
        <f>IF(Q373 = "", "", Q373 - R373)</f>
        <v>#VALUE!</v>
      </c>
    </row>
    <row r="374">
      <c r="A374" s="2" t="s">
        <v>3662</v>
      </c>
      <c r="B374" s="3" t="str">
        <f>A374</f>
        <v>uc-irvine-admissions-1985-f025</v>
      </c>
      <c r="C374" s="2" t="s">
        <v>558</v>
      </c>
      <c r="D374" s="2">
        <v>0.25</v>
      </c>
      <c r="E374" s="3" t="e">
        <f>ABS(D374 - LOOKUP(C374, SweepStudyConfig[StudyId], SweepStudyConfig[OriginalAllocFractionA])) &lt; 0.03</f>
        <v>#VALUE!</v>
      </c>
      <c r="F374" s="3" t="e">
        <f>LOOKUP(C374, SweepStudyConfig[StudyId], SweepStudyConfig[NSweepStratumTotal])</f>
        <v>#VALUE!</v>
      </c>
      <c r="G374" s="3" t="e">
        <f>ROUND(F374 * D374)</f>
        <v>#VALUE!</v>
      </c>
      <c r="H374" s="3" t="e">
        <f>F374 - G374</f>
        <v>#VALUE!</v>
      </c>
      <c r="I374" s="3" t="e">
        <f>LOOKUP(C374, SweepStudyConfig[StudyId], SweepStudyConfig[NFixedA])</f>
        <v>#VALUE!</v>
      </c>
      <c r="J374" s="3" t="e">
        <f>LOOKUP(C374, SweepStudyConfig[StudyId], SweepStudyConfig[NFixedB])</f>
        <v>#VALUE!</v>
      </c>
      <c r="K374" s="3" t="e">
        <f>LOOKUP(C374, SweepStudyConfig[StudyId], SweepStudyConfig[SweepRateA])</f>
        <v>#VALUE!</v>
      </c>
      <c r="L374" s="3" t="e">
        <f>LOOKUP(C374, SweepStudyConfig[StudyId], SweepStudyConfig[SweepRateB])</f>
        <v>#VALUE!</v>
      </c>
      <c r="M374" s="3" t="e">
        <f>LOOKUP(C374, SweepStudyConfig[StudyId], SweepStudyConfig[FixedRateA])</f>
        <v>#VALUE!</v>
      </c>
      <c r="N374" s="3" t="e">
        <f>LOOKUP(C374, SweepStudyConfig[StudyId], SweepStudyConfig[FixedRateB])</f>
        <v>#VALUE!</v>
      </c>
      <c r="O374" s="3" t="e">
        <f>IF(G374 + I374 = 0, "", (G374 * K374 + I374 * M374) / (G374 + I374))</f>
        <v>#VALUE!</v>
      </c>
      <c r="P374" s="3" t="e">
        <f>IF(H374 + J374 = 0, "", (H374 * L374 + J374 * N374) / (H374 + J374))</f>
        <v>#VALUE!</v>
      </c>
      <c r="Q374" s="3" t="e">
        <f>IF(O374 = "", "", O374 - P374)</f>
        <v>#VALUE!</v>
      </c>
      <c r="R374" s="3" t="e">
        <f>LOOKUP(C374, SweepStudyConfig[StudyId], SweepStudyConfig[SweepCorrectedGap])</f>
        <v>#VALUE!</v>
      </c>
      <c r="S374" s="3" t="e">
        <f>IF(Q374 = "", "", Q374 - R374)</f>
        <v>#VALUE!</v>
      </c>
    </row>
    <row r="375">
      <c r="A375" s="2" t="s">
        <v>3663</v>
      </c>
      <c r="B375" s="3" t="str">
        <f>A375</f>
        <v>uc-irvine-admissions-1985-f035</v>
      </c>
      <c r="C375" s="2" t="s">
        <v>558</v>
      </c>
      <c r="D375" s="2">
        <v>0.35</v>
      </c>
      <c r="E375" s="3" t="e">
        <f>ABS(D375 - LOOKUP(C375, SweepStudyConfig[StudyId], SweepStudyConfig[OriginalAllocFractionA])) &lt; 0.03</f>
        <v>#VALUE!</v>
      </c>
      <c r="F375" s="3" t="e">
        <f>LOOKUP(C375, SweepStudyConfig[StudyId], SweepStudyConfig[NSweepStratumTotal])</f>
        <v>#VALUE!</v>
      </c>
      <c r="G375" s="3" t="e">
        <f>ROUND(F375 * D375)</f>
        <v>#VALUE!</v>
      </c>
      <c r="H375" s="3" t="e">
        <f>F375 - G375</f>
        <v>#VALUE!</v>
      </c>
      <c r="I375" s="3" t="e">
        <f>LOOKUP(C375, SweepStudyConfig[StudyId], SweepStudyConfig[NFixedA])</f>
        <v>#VALUE!</v>
      </c>
      <c r="J375" s="3" t="e">
        <f>LOOKUP(C375, SweepStudyConfig[StudyId], SweepStudyConfig[NFixedB])</f>
        <v>#VALUE!</v>
      </c>
      <c r="K375" s="3" t="e">
        <f>LOOKUP(C375, SweepStudyConfig[StudyId], SweepStudyConfig[SweepRateA])</f>
        <v>#VALUE!</v>
      </c>
      <c r="L375" s="3" t="e">
        <f>LOOKUP(C375, SweepStudyConfig[StudyId], SweepStudyConfig[SweepRateB])</f>
        <v>#VALUE!</v>
      </c>
      <c r="M375" s="3" t="e">
        <f>LOOKUP(C375, SweepStudyConfig[StudyId], SweepStudyConfig[FixedRateA])</f>
        <v>#VALUE!</v>
      </c>
      <c r="N375" s="3" t="e">
        <f>LOOKUP(C375, SweepStudyConfig[StudyId], SweepStudyConfig[FixedRateB])</f>
        <v>#VALUE!</v>
      </c>
      <c r="O375" s="3" t="e">
        <f>IF(G375 + I375 = 0, "", (G375 * K375 + I375 * M375) / (G375 + I375))</f>
        <v>#VALUE!</v>
      </c>
      <c r="P375" s="3" t="e">
        <f>IF(H375 + J375 = 0, "", (H375 * L375 + J375 * N375) / (H375 + J375))</f>
        <v>#VALUE!</v>
      </c>
      <c r="Q375" s="3" t="e">
        <f>IF(O375 = "", "", O375 - P375)</f>
        <v>#VALUE!</v>
      </c>
      <c r="R375" s="3" t="e">
        <f>LOOKUP(C375, SweepStudyConfig[StudyId], SweepStudyConfig[SweepCorrectedGap])</f>
        <v>#VALUE!</v>
      </c>
      <c r="S375" s="3" t="e">
        <f>IF(Q375 = "", "", Q375 - R375)</f>
        <v>#VALUE!</v>
      </c>
    </row>
    <row r="376">
      <c r="A376" s="2" t="s">
        <v>3664</v>
      </c>
      <c r="B376" s="3" t="str">
        <f>A376</f>
        <v>uc-irvine-admissions-1985-f045</v>
      </c>
      <c r="C376" s="2" t="s">
        <v>558</v>
      </c>
      <c r="D376" s="2">
        <v>0.45</v>
      </c>
      <c r="E376" s="3" t="e">
        <f>ABS(D376 - LOOKUP(C376, SweepStudyConfig[StudyId], SweepStudyConfig[OriginalAllocFractionA])) &lt; 0.03</f>
        <v>#VALUE!</v>
      </c>
      <c r="F376" s="3" t="e">
        <f>LOOKUP(C376, SweepStudyConfig[StudyId], SweepStudyConfig[NSweepStratumTotal])</f>
        <v>#VALUE!</v>
      </c>
      <c r="G376" s="3" t="e">
        <f>ROUND(F376 * D376)</f>
        <v>#VALUE!</v>
      </c>
      <c r="H376" s="3" t="e">
        <f>F376 - G376</f>
        <v>#VALUE!</v>
      </c>
      <c r="I376" s="3" t="e">
        <f>LOOKUP(C376, SweepStudyConfig[StudyId], SweepStudyConfig[NFixedA])</f>
        <v>#VALUE!</v>
      </c>
      <c r="J376" s="3" t="e">
        <f>LOOKUP(C376, SweepStudyConfig[StudyId], SweepStudyConfig[NFixedB])</f>
        <v>#VALUE!</v>
      </c>
      <c r="K376" s="3" t="e">
        <f>LOOKUP(C376, SweepStudyConfig[StudyId], SweepStudyConfig[SweepRateA])</f>
        <v>#VALUE!</v>
      </c>
      <c r="L376" s="3" t="e">
        <f>LOOKUP(C376, SweepStudyConfig[StudyId], SweepStudyConfig[SweepRateB])</f>
        <v>#VALUE!</v>
      </c>
      <c r="M376" s="3" t="e">
        <f>LOOKUP(C376, SweepStudyConfig[StudyId], SweepStudyConfig[FixedRateA])</f>
        <v>#VALUE!</v>
      </c>
      <c r="N376" s="3" t="e">
        <f>LOOKUP(C376, SweepStudyConfig[StudyId], SweepStudyConfig[FixedRateB])</f>
        <v>#VALUE!</v>
      </c>
      <c r="O376" s="3" t="e">
        <f>IF(G376 + I376 = 0, "", (G376 * K376 + I376 * M376) / (G376 + I376))</f>
        <v>#VALUE!</v>
      </c>
      <c r="P376" s="3" t="e">
        <f>IF(H376 + J376 = 0, "", (H376 * L376 + J376 * N376) / (H376 + J376))</f>
        <v>#VALUE!</v>
      </c>
      <c r="Q376" s="3" t="e">
        <f>IF(O376 = "", "", O376 - P376)</f>
        <v>#VALUE!</v>
      </c>
      <c r="R376" s="3" t="e">
        <f>LOOKUP(C376, SweepStudyConfig[StudyId], SweepStudyConfig[SweepCorrectedGap])</f>
        <v>#VALUE!</v>
      </c>
      <c r="S376" s="3" t="e">
        <f>IF(Q376 = "", "", Q376 - R376)</f>
        <v>#VALUE!</v>
      </c>
    </row>
    <row r="377">
      <c r="A377" s="2" t="s">
        <v>3665</v>
      </c>
      <c r="B377" s="3" t="str">
        <f>A377</f>
        <v>uc-irvine-admissions-1985-f055</v>
      </c>
      <c r="C377" s="2" t="s">
        <v>558</v>
      </c>
      <c r="D377" s="2">
        <v>0.55</v>
      </c>
      <c r="E377" s="3" t="e">
        <f>ABS(D377 - LOOKUP(C377, SweepStudyConfig[StudyId], SweepStudyConfig[OriginalAllocFractionA])) &lt; 0.03</f>
        <v>#VALUE!</v>
      </c>
      <c r="F377" s="3" t="e">
        <f>LOOKUP(C377, SweepStudyConfig[StudyId], SweepStudyConfig[NSweepStratumTotal])</f>
        <v>#VALUE!</v>
      </c>
      <c r="G377" s="3" t="e">
        <f>ROUND(F377 * D377)</f>
        <v>#VALUE!</v>
      </c>
      <c r="H377" s="3" t="e">
        <f>F377 - G377</f>
        <v>#VALUE!</v>
      </c>
      <c r="I377" s="3" t="e">
        <f>LOOKUP(C377, SweepStudyConfig[StudyId], SweepStudyConfig[NFixedA])</f>
        <v>#VALUE!</v>
      </c>
      <c r="J377" s="3" t="e">
        <f>LOOKUP(C377, SweepStudyConfig[StudyId], SweepStudyConfig[NFixedB])</f>
        <v>#VALUE!</v>
      </c>
      <c r="K377" s="3" t="e">
        <f>LOOKUP(C377, SweepStudyConfig[StudyId], SweepStudyConfig[SweepRateA])</f>
        <v>#VALUE!</v>
      </c>
      <c r="L377" s="3" t="e">
        <f>LOOKUP(C377, SweepStudyConfig[StudyId], SweepStudyConfig[SweepRateB])</f>
        <v>#VALUE!</v>
      </c>
      <c r="M377" s="3" t="e">
        <f>LOOKUP(C377, SweepStudyConfig[StudyId], SweepStudyConfig[FixedRateA])</f>
        <v>#VALUE!</v>
      </c>
      <c r="N377" s="3" t="e">
        <f>LOOKUP(C377, SweepStudyConfig[StudyId], SweepStudyConfig[FixedRateB])</f>
        <v>#VALUE!</v>
      </c>
      <c r="O377" s="3" t="e">
        <f>IF(G377 + I377 = 0, "", (G377 * K377 + I377 * M377) / (G377 + I377))</f>
        <v>#VALUE!</v>
      </c>
      <c r="P377" s="3" t="e">
        <f>IF(H377 + J377 = 0, "", (H377 * L377 + J377 * N377) / (H377 + J377))</f>
        <v>#VALUE!</v>
      </c>
      <c r="Q377" s="3" t="e">
        <f>IF(O377 = "", "", O377 - P377)</f>
        <v>#VALUE!</v>
      </c>
      <c r="R377" s="3" t="e">
        <f>LOOKUP(C377, SweepStudyConfig[StudyId], SweepStudyConfig[SweepCorrectedGap])</f>
        <v>#VALUE!</v>
      </c>
      <c r="S377" s="3" t="e">
        <f>IF(Q377 = "", "", Q377 - R377)</f>
        <v>#VALUE!</v>
      </c>
    </row>
    <row r="378">
      <c r="A378" s="2" t="s">
        <v>3666</v>
      </c>
      <c r="B378" s="3" t="str">
        <f>A378</f>
        <v>uc-irvine-admissions-1985-f065</v>
      </c>
      <c r="C378" s="2" t="s">
        <v>558</v>
      </c>
      <c r="D378" s="2">
        <v>0.65</v>
      </c>
      <c r="E378" s="3" t="e">
        <f>ABS(D378 - LOOKUP(C378, SweepStudyConfig[StudyId], SweepStudyConfig[OriginalAllocFractionA])) &lt; 0.03</f>
        <v>#VALUE!</v>
      </c>
      <c r="F378" s="3" t="e">
        <f>LOOKUP(C378, SweepStudyConfig[StudyId], SweepStudyConfig[NSweepStratumTotal])</f>
        <v>#VALUE!</v>
      </c>
      <c r="G378" s="3" t="e">
        <f>ROUND(F378 * D378)</f>
        <v>#VALUE!</v>
      </c>
      <c r="H378" s="3" t="e">
        <f>F378 - G378</f>
        <v>#VALUE!</v>
      </c>
      <c r="I378" s="3" t="e">
        <f>LOOKUP(C378, SweepStudyConfig[StudyId], SweepStudyConfig[NFixedA])</f>
        <v>#VALUE!</v>
      </c>
      <c r="J378" s="3" t="e">
        <f>LOOKUP(C378, SweepStudyConfig[StudyId], SweepStudyConfig[NFixedB])</f>
        <v>#VALUE!</v>
      </c>
      <c r="K378" s="3" t="e">
        <f>LOOKUP(C378, SweepStudyConfig[StudyId], SweepStudyConfig[SweepRateA])</f>
        <v>#VALUE!</v>
      </c>
      <c r="L378" s="3" t="e">
        <f>LOOKUP(C378, SweepStudyConfig[StudyId], SweepStudyConfig[SweepRateB])</f>
        <v>#VALUE!</v>
      </c>
      <c r="M378" s="3" t="e">
        <f>LOOKUP(C378, SweepStudyConfig[StudyId], SweepStudyConfig[FixedRateA])</f>
        <v>#VALUE!</v>
      </c>
      <c r="N378" s="3" t="e">
        <f>LOOKUP(C378, SweepStudyConfig[StudyId], SweepStudyConfig[FixedRateB])</f>
        <v>#VALUE!</v>
      </c>
      <c r="O378" s="3" t="e">
        <f>IF(G378 + I378 = 0, "", (G378 * K378 + I378 * M378) / (G378 + I378))</f>
        <v>#VALUE!</v>
      </c>
      <c r="P378" s="3" t="e">
        <f>IF(H378 + J378 = 0, "", (H378 * L378 + J378 * N378) / (H378 + J378))</f>
        <v>#VALUE!</v>
      </c>
      <c r="Q378" s="3" t="e">
        <f>IF(O378 = "", "", O378 - P378)</f>
        <v>#VALUE!</v>
      </c>
      <c r="R378" s="3" t="e">
        <f>LOOKUP(C378, SweepStudyConfig[StudyId], SweepStudyConfig[SweepCorrectedGap])</f>
        <v>#VALUE!</v>
      </c>
      <c r="S378" s="3" t="e">
        <f>IF(Q378 = "", "", Q378 - R378)</f>
        <v>#VALUE!</v>
      </c>
    </row>
    <row r="379">
      <c r="A379" s="2" t="s">
        <v>3667</v>
      </c>
      <c r="B379" s="3" t="str">
        <f>A379</f>
        <v>uc-irvine-admissions-1985-f075</v>
      </c>
      <c r="C379" s="2" t="s">
        <v>558</v>
      </c>
      <c r="D379" s="2">
        <v>0.75</v>
      </c>
      <c r="E379" s="3" t="e">
        <f>ABS(D379 - LOOKUP(C379, SweepStudyConfig[StudyId], SweepStudyConfig[OriginalAllocFractionA])) &lt; 0.03</f>
        <v>#VALUE!</v>
      </c>
      <c r="F379" s="3" t="e">
        <f>LOOKUP(C379, SweepStudyConfig[StudyId], SweepStudyConfig[NSweepStratumTotal])</f>
        <v>#VALUE!</v>
      </c>
      <c r="G379" s="3" t="e">
        <f>ROUND(F379 * D379)</f>
        <v>#VALUE!</v>
      </c>
      <c r="H379" s="3" t="e">
        <f>F379 - G379</f>
        <v>#VALUE!</v>
      </c>
      <c r="I379" s="3" t="e">
        <f>LOOKUP(C379, SweepStudyConfig[StudyId], SweepStudyConfig[NFixedA])</f>
        <v>#VALUE!</v>
      </c>
      <c r="J379" s="3" t="e">
        <f>LOOKUP(C379, SweepStudyConfig[StudyId], SweepStudyConfig[NFixedB])</f>
        <v>#VALUE!</v>
      </c>
      <c r="K379" s="3" t="e">
        <f>LOOKUP(C379, SweepStudyConfig[StudyId], SweepStudyConfig[SweepRateA])</f>
        <v>#VALUE!</v>
      </c>
      <c r="L379" s="3" t="e">
        <f>LOOKUP(C379, SweepStudyConfig[StudyId], SweepStudyConfig[SweepRateB])</f>
        <v>#VALUE!</v>
      </c>
      <c r="M379" s="3" t="e">
        <f>LOOKUP(C379, SweepStudyConfig[StudyId], SweepStudyConfig[FixedRateA])</f>
        <v>#VALUE!</v>
      </c>
      <c r="N379" s="3" t="e">
        <f>LOOKUP(C379, SweepStudyConfig[StudyId], SweepStudyConfig[FixedRateB])</f>
        <v>#VALUE!</v>
      </c>
      <c r="O379" s="3" t="e">
        <f>IF(G379 + I379 = 0, "", (G379 * K379 + I379 * M379) / (G379 + I379))</f>
        <v>#VALUE!</v>
      </c>
      <c r="P379" s="3" t="e">
        <f>IF(H379 + J379 = 0, "", (H379 * L379 + J379 * N379) / (H379 + J379))</f>
        <v>#VALUE!</v>
      </c>
      <c r="Q379" s="3" t="e">
        <f>IF(O379 = "", "", O379 - P379)</f>
        <v>#VALUE!</v>
      </c>
      <c r="R379" s="3" t="e">
        <f>LOOKUP(C379, SweepStudyConfig[StudyId], SweepStudyConfig[SweepCorrectedGap])</f>
        <v>#VALUE!</v>
      </c>
      <c r="S379" s="3" t="e">
        <f>IF(Q379 = "", "", Q379 - R379)</f>
        <v>#VALUE!</v>
      </c>
    </row>
    <row r="380">
      <c r="A380" s="2" t="s">
        <v>3668</v>
      </c>
      <c r="B380" s="3" t="str">
        <f>A380</f>
        <v>uc-irvine-admissions-1985-f085</v>
      </c>
      <c r="C380" s="2" t="s">
        <v>558</v>
      </c>
      <c r="D380" s="2">
        <v>0.85</v>
      </c>
      <c r="E380" s="3" t="e">
        <f>ABS(D380 - LOOKUP(C380, SweepStudyConfig[StudyId], SweepStudyConfig[OriginalAllocFractionA])) &lt; 0.03</f>
        <v>#VALUE!</v>
      </c>
      <c r="F380" s="3" t="e">
        <f>LOOKUP(C380, SweepStudyConfig[StudyId], SweepStudyConfig[NSweepStratumTotal])</f>
        <v>#VALUE!</v>
      </c>
      <c r="G380" s="3" t="e">
        <f>ROUND(F380 * D380)</f>
        <v>#VALUE!</v>
      </c>
      <c r="H380" s="3" t="e">
        <f>F380 - G380</f>
        <v>#VALUE!</v>
      </c>
      <c r="I380" s="3" t="e">
        <f>LOOKUP(C380, SweepStudyConfig[StudyId], SweepStudyConfig[NFixedA])</f>
        <v>#VALUE!</v>
      </c>
      <c r="J380" s="3" t="e">
        <f>LOOKUP(C380, SweepStudyConfig[StudyId], SweepStudyConfig[NFixedB])</f>
        <v>#VALUE!</v>
      </c>
      <c r="K380" s="3" t="e">
        <f>LOOKUP(C380, SweepStudyConfig[StudyId], SweepStudyConfig[SweepRateA])</f>
        <v>#VALUE!</v>
      </c>
      <c r="L380" s="3" t="e">
        <f>LOOKUP(C380, SweepStudyConfig[StudyId], SweepStudyConfig[SweepRateB])</f>
        <v>#VALUE!</v>
      </c>
      <c r="M380" s="3" t="e">
        <f>LOOKUP(C380, SweepStudyConfig[StudyId], SweepStudyConfig[FixedRateA])</f>
        <v>#VALUE!</v>
      </c>
      <c r="N380" s="3" t="e">
        <f>LOOKUP(C380, SweepStudyConfig[StudyId], SweepStudyConfig[FixedRateB])</f>
        <v>#VALUE!</v>
      </c>
      <c r="O380" s="3" t="e">
        <f>IF(G380 + I380 = 0, "", (G380 * K380 + I380 * M380) / (G380 + I380))</f>
        <v>#VALUE!</v>
      </c>
      <c r="P380" s="3" t="e">
        <f>IF(H380 + J380 = 0, "", (H380 * L380 + J380 * N380) / (H380 + J380))</f>
        <v>#VALUE!</v>
      </c>
      <c r="Q380" s="3" t="e">
        <f>IF(O380 = "", "", O380 - P380)</f>
        <v>#VALUE!</v>
      </c>
      <c r="R380" s="3" t="e">
        <f>LOOKUP(C380, SweepStudyConfig[StudyId], SweepStudyConfig[SweepCorrectedGap])</f>
        <v>#VALUE!</v>
      </c>
      <c r="S380" s="3" t="e">
        <f>IF(Q380 = "", "", Q380 - R380)</f>
        <v>#VALUE!</v>
      </c>
    </row>
    <row r="381">
      <c r="A381" s="2" t="s">
        <v>3669</v>
      </c>
      <c r="B381" s="3" t="str">
        <f>A381</f>
        <v>uc-irvine-admissions-1985-f095</v>
      </c>
      <c r="C381" s="2" t="s">
        <v>558</v>
      </c>
      <c r="D381" s="2">
        <v>0.95</v>
      </c>
      <c r="E381" s="3" t="e">
        <f>ABS(D381 - LOOKUP(C381, SweepStudyConfig[StudyId], SweepStudyConfig[OriginalAllocFractionA])) &lt; 0.03</f>
        <v>#VALUE!</v>
      </c>
      <c r="F381" s="3" t="e">
        <f>LOOKUP(C381, SweepStudyConfig[StudyId], SweepStudyConfig[NSweepStratumTotal])</f>
        <v>#VALUE!</v>
      </c>
      <c r="G381" s="3" t="e">
        <f>ROUND(F381 * D381)</f>
        <v>#VALUE!</v>
      </c>
      <c r="H381" s="3" t="e">
        <f>F381 - G381</f>
        <v>#VALUE!</v>
      </c>
      <c r="I381" s="3" t="e">
        <f>LOOKUP(C381, SweepStudyConfig[StudyId], SweepStudyConfig[NFixedA])</f>
        <v>#VALUE!</v>
      </c>
      <c r="J381" s="3" t="e">
        <f>LOOKUP(C381, SweepStudyConfig[StudyId], SweepStudyConfig[NFixedB])</f>
        <v>#VALUE!</v>
      </c>
      <c r="K381" s="3" t="e">
        <f>LOOKUP(C381, SweepStudyConfig[StudyId], SweepStudyConfig[SweepRateA])</f>
        <v>#VALUE!</v>
      </c>
      <c r="L381" s="3" t="e">
        <f>LOOKUP(C381, SweepStudyConfig[StudyId], SweepStudyConfig[SweepRateB])</f>
        <v>#VALUE!</v>
      </c>
      <c r="M381" s="3" t="e">
        <f>LOOKUP(C381, SweepStudyConfig[StudyId], SweepStudyConfig[FixedRateA])</f>
        <v>#VALUE!</v>
      </c>
      <c r="N381" s="3" t="e">
        <f>LOOKUP(C381, SweepStudyConfig[StudyId], SweepStudyConfig[FixedRateB])</f>
        <v>#VALUE!</v>
      </c>
      <c r="O381" s="3" t="e">
        <f>IF(G381 + I381 = 0, "", (G381 * K381 + I381 * M381) / (G381 + I381))</f>
        <v>#VALUE!</v>
      </c>
      <c r="P381" s="3" t="e">
        <f>IF(H381 + J381 = 0, "", (H381 * L381 + J381 * N381) / (H381 + J381))</f>
        <v>#VALUE!</v>
      </c>
      <c r="Q381" s="3" t="e">
        <f>IF(O381 = "", "", O381 - P381)</f>
        <v>#VALUE!</v>
      </c>
      <c r="R381" s="3" t="e">
        <f>LOOKUP(C381, SweepStudyConfig[StudyId], SweepStudyConfig[SweepCorrectedGap])</f>
        <v>#VALUE!</v>
      </c>
      <c r="S381" s="3" t="e">
        <f>IF(Q381 = "", "", Q381 - R381)</f>
        <v>#VALUE!</v>
      </c>
    </row>
    <row r="382">
      <c r="A382" s="2" t="s">
        <v>3670</v>
      </c>
      <c r="B382" s="3" t="str">
        <f>A382</f>
        <v>cesarean-birth-weight-2006-f005</v>
      </c>
      <c r="C382" s="2" t="s">
        <v>561</v>
      </c>
      <c r="D382" s="2">
        <v>0.05</v>
      </c>
      <c r="E382" s="3" t="e">
        <f>ABS(D382 - LOOKUP(C382, SweepStudyConfig[StudyId], SweepStudyConfig[OriginalAllocFractionA])) &lt; 0.03</f>
        <v>#VALUE!</v>
      </c>
      <c r="F382" s="3" t="e">
        <f>LOOKUP(C382, SweepStudyConfig[StudyId], SweepStudyConfig[NSweepStratumTotal])</f>
        <v>#VALUE!</v>
      </c>
      <c r="G382" s="3" t="e">
        <f>ROUND(F382 * D382)</f>
        <v>#VALUE!</v>
      </c>
      <c r="H382" s="3" t="e">
        <f>F382 - G382</f>
        <v>#VALUE!</v>
      </c>
      <c r="I382" s="3" t="e">
        <f>LOOKUP(C382, SweepStudyConfig[StudyId], SweepStudyConfig[NFixedA])</f>
        <v>#VALUE!</v>
      </c>
      <c r="J382" s="3" t="e">
        <f>LOOKUP(C382, SweepStudyConfig[StudyId], SweepStudyConfig[NFixedB])</f>
        <v>#VALUE!</v>
      </c>
      <c r="K382" s="3" t="e">
        <f>LOOKUP(C382, SweepStudyConfig[StudyId], SweepStudyConfig[SweepRateA])</f>
        <v>#VALUE!</v>
      </c>
      <c r="L382" s="3" t="e">
        <f>LOOKUP(C382, SweepStudyConfig[StudyId], SweepStudyConfig[SweepRateB])</f>
        <v>#VALUE!</v>
      </c>
      <c r="M382" s="3" t="e">
        <f>LOOKUP(C382, SweepStudyConfig[StudyId], SweepStudyConfig[FixedRateA])</f>
        <v>#VALUE!</v>
      </c>
      <c r="N382" s="3" t="e">
        <f>LOOKUP(C382, SweepStudyConfig[StudyId], SweepStudyConfig[FixedRateB])</f>
        <v>#VALUE!</v>
      </c>
      <c r="O382" s="3" t="e">
        <f>IF(G382 + I382 = 0, "", (G382 * K382 + I382 * M382) / (G382 + I382))</f>
        <v>#VALUE!</v>
      </c>
      <c r="P382" s="3" t="e">
        <f>IF(H382 + J382 = 0, "", (H382 * L382 + J382 * N382) / (H382 + J382))</f>
        <v>#VALUE!</v>
      </c>
      <c r="Q382" s="3" t="e">
        <f>IF(O382 = "", "", O382 - P382)</f>
        <v>#VALUE!</v>
      </c>
      <c r="R382" s="3" t="e">
        <f>LOOKUP(C382, SweepStudyConfig[StudyId], SweepStudyConfig[SweepCorrectedGap])</f>
        <v>#VALUE!</v>
      </c>
      <c r="S382" s="3" t="e">
        <f>IF(Q382 = "", "", Q382 - R382)</f>
        <v>#VALUE!</v>
      </c>
    </row>
    <row r="383">
      <c r="A383" s="2" t="s">
        <v>3671</v>
      </c>
      <c r="B383" s="3" t="str">
        <f>A383</f>
        <v>cesarean-birth-weight-2006-f015</v>
      </c>
      <c r="C383" s="2" t="s">
        <v>561</v>
      </c>
      <c r="D383" s="2">
        <v>0.15</v>
      </c>
      <c r="E383" s="3" t="e">
        <f>ABS(D383 - LOOKUP(C383, SweepStudyConfig[StudyId], SweepStudyConfig[OriginalAllocFractionA])) &lt; 0.03</f>
        <v>#VALUE!</v>
      </c>
      <c r="F383" s="3" t="e">
        <f>LOOKUP(C383, SweepStudyConfig[StudyId], SweepStudyConfig[NSweepStratumTotal])</f>
        <v>#VALUE!</v>
      </c>
      <c r="G383" s="3" t="e">
        <f>ROUND(F383 * D383)</f>
        <v>#VALUE!</v>
      </c>
      <c r="H383" s="3" t="e">
        <f>F383 - G383</f>
        <v>#VALUE!</v>
      </c>
      <c r="I383" s="3" t="e">
        <f>LOOKUP(C383, SweepStudyConfig[StudyId], SweepStudyConfig[NFixedA])</f>
        <v>#VALUE!</v>
      </c>
      <c r="J383" s="3" t="e">
        <f>LOOKUP(C383, SweepStudyConfig[StudyId], SweepStudyConfig[NFixedB])</f>
        <v>#VALUE!</v>
      </c>
      <c r="K383" s="3" t="e">
        <f>LOOKUP(C383, SweepStudyConfig[StudyId], SweepStudyConfig[SweepRateA])</f>
        <v>#VALUE!</v>
      </c>
      <c r="L383" s="3" t="e">
        <f>LOOKUP(C383, SweepStudyConfig[StudyId], SweepStudyConfig[SweepRateB])</f>
        <v>#VALUE!</v>
      </c>
      <c r="M383" s="3" t="e">
        <f>LOOKUP(C383, SweepStudyConfig[StudyId], SweepStudyConfig[FixedRateA])</f>
        <v>#VALUE!</v>
      </c>
      <c r="N383" s="3" t="e">
        <f>LOOKUP(C383, SweepStudyConfig[StudyId], SweepStudyConfig[FixedRateB])</f>
        <v>#VALUE!</v>
      </c>
      <c r="O383" s="3" t="e">
        <f>IF(G383 + I383 = 0, "", (G383 * K383 + I383 * M383) / (G383 + I383))</f>
        <v>#VALUE!</v>
      </c>
      <c r="P383" s="3" t="e">
        <f>IF(H383 + J383 = 0, "", (H383 * L383 + J383 * N383) / (H383 + J383))</f>
        <v>#VALUE!</v>
      </c>
      <c r="Q383" s="3" t="e">
        <f>IF(O383 = "", "", O383 - P383)</f>
        <v>#VALUE!</v>
      </c>
      <c r="R383" s="3" t="e">
        <f>LOOKUP(C383, SweepStudyConfig[StudyId], SweepStudyConfig[SweepCorrectedGap])</f>
        <v>#VALUE!</v>
      </c>
      <c r="S383" s="3" t="e">
        <f>IF(Q383 = "", "", Q383 - R383)</f>
        <v>#VALUE!</v>
      </c>
    </row>
    <row r="384">
      <c r="A384" s="2" t="s">
        <v>3672</v>
      </c>
      <c r="B384" s="3" t="str">
        <f>A384</f>
        <v>cesarean-birth-weight-2006-f025</v>
      </c>
      <c r="C384" s="2" t="s">
        <v>561</v>
      </c>
      <c r="D384" s="2">
        <v>0.25</v>
      </c>
      <c r="E384" s="3" t="e">
        <f>ABS(D384 - LOOKUP(C384, SweepStudyConfig[StudyId], SweepStudyConfig[OriginalAllocFractionA])) &lt; 0.03</f>
        <v>#VALUE!</v>
      </c>
      <c r="F384" s="3" t="e">
        <f>LOOKUP(C384, SweepStudyConfig[StudyId], SweepStudyConfig[NSweepStratumTotal])</f>
        <v>#VALUE!</v>
      </c>
      <c r="G384" s="3" t="e">
        <f>ROUND(F384 * D384)</f>
        <v>#VALUE!</v>
      </c>
      <c r="H384" s="3" t="e">
        <f>F384 - G384</f>
        <v>#VALUE!</v>
      </c>
      <c r="I384" s="3" t="e">
        <f>LOOKUP(C384, SweepStudyConfig[StudyId], SweepStudyConfig[NFixedA])</f>
        <v>#VALUE!</v>
      </c>
      <c r="J384" s="3" t="e">
        <f>LOOKUP(C384, SweepStudyConfig[StudyId], SweepStudyConfig[NFixedB])</f>
        <v>#VALUE!</v>
      </c>
      <c r="K384" s="3" t="e">
        <f>LOOKUP(C384, SweepStudyConfig[StudyId], SweepStudyConfig[SweepRateA])</f>
        <v>#VALUE!</v>
      </c>
      <c r="L384" s="3" t="e">
        <f>LOOKUP(C384, SweepStudyConfig[StudyId], SweepStudyConfig[SweepRateB])</f>
        <v>#VALUE!</v>
      </c>
      <c r="M384" s="3" t="e">
        <f>LOOKUP(C384, SweepStudyConfig[StudyId], SweepStudyConfig[FixedRateA])</f>
        <v>#VALUE!</v>
      </c>
      <c r="N384" s="3" t="e">
        <f>LOOKUP(C384, SweepStudyConfig[StudyId], SweepStudyConfig[FixedRateB])</f>
        <v>#VALUE!</v>
      </c>
      <c r="O384" s="3" t="e">
        <f>IF(G384 + I384 = 0, "", (G384 * K384 + I384 * M384) / (G384 + I384))</f>
        <v>#VALUE!</v>
      </c>
      <c r="P384" s="3" t="e">
        <f>IF(H384 + J384 = 0, "", (H384 * L384 + J384 * N384) / (H384 + J384))</f>
        <v>#VALUE!</v>
      </c>
      <c r="Q384" s="3" t="e">
        <f>IF(O384 = "", "", O384 - P384)</f>
        <v>#VALUE!</v>
      </c>
      <c r="R384" s="3" t="e">
        <f>LOOKUP(C384, SweepStudyConfig[StudyId], SweepStudyConfig[SweepCorrectedGap])</f>
        <v>#VALUE!</v>
      </c>
      <c r="S384" s="3" t="e">
        <f>IF(Q384 = "", "", Q384 - R384)</f>
        <v>#VALUE!</v>
      </c>
    </row>
    <row r="385">
      <c r="A385" s="2" t="s">
        <v>3673</v>
      </c>
      <c r="B385" s="3" t="str">
        <f>A385</f>
        <v>cesarean-birth-weight-2006-f035</v>
      </c>
      <c r="C385" s="2" t="s">
        <v>561</v>
      </c>
      <c r="D385" s="2">
        <v>0.35</v>
      </c>
      <c r="E385" s="3" t="e">
        <f>ABS(D385 - LOOKUP(C385, SweepStudyConfig[StudyId], SweepStudyConfig[OriginalAllocFractionA])) &lt; 0.03</f>
        <v>#VALUE!</v>
      </c>
      <c r="F385" s="3" t="e">
        <f>LOOKUP(C385, SweepStudyConfig[StudyId], SweepStudyConfig[NSweepStratumTotal])</f>
        <v>#VALUE!</v>
      </c>
      <c r="G385" s="3" t="e">
        <f>ROUND(F385 * D385)</f>
        <v>#VALUE!</v>
      </c>
      <c r="H385" s="3" t="e">
        <f>F385 - G385</f>
        <v>#VALUE!</v>
      </c>
      <c r="I385" s="3" t="e">
        <f>LOOKUP(C385, SweepStudyConfig[StudyId], SweepStudyConfig[NFixedA])</f>
        <v>#VALUE!</v>
      </c>
      <c r="J385" s="3" t="e">
        <f>LOOKUP(C385, SweepStudyConfig[StudyId], SweepStudyConfig[NFixedB])</f>
        <v>#VALUE!</v>
      </c>
      <c r="K385" s="3" t="e">
        <f>LOOKUP(C385, SweepStudyConfig[StudyId], SweepStudyConfig[SweepRateA])</f>
        <v>#VALUE!</v>
      </c>
      <c r="L385" s="3" t="e">
        <f>LOOKUP(C385, SweepStudyConfig[StudyId], SweepStudyConfig[SweepRateB])</f>
        <v>#VALUE!</v>
      </c>
      <c r="M385" s="3" t="e">
        <f>LOOKUP(C385, SweepStudyConfig[StudyId], SweepStudyConfig[FixedRateA])</f>
        <v>#VALUE!</v>
      </c>
      <c r="N385" s="3" t="e">
        <f>LOOKUP(C385, SweepStudyConfig[StudyId], SweepStudyConfig[FixedRateB])</f>
        <v>#VALUE!</v>
      </c>
      <c r="O385" s="3" t="e">
        <f>IF(G385 + I385 = 0, "", (G385 * K385 + I385 * M385) / (G385 + I385))</f>
        <v>#VALUE!</v>
      </c>
      <c r="P385" s="3" t="e">
        <f>IF(H385 + J385 = 0, "", (H385 * L385 + J385 * N385) / (H385 + J385))</f>
        <v>#VALUE!</v>
      </c>
      <c r="Q385" s="3" t="e">
        <f>IF(O385 = "", "", O385 - P385)</f>
        <v>#VALUE!</v>
      </c>
      <c r="R385" s="3" t="e">
        <f>LOOKUP(C385, SweepStudyConfig[StudyId], SweepStudyConfig[SweepCorrectedGap])</f>
        <v>#VALUE!</v>
      </c>
      <c r="S385" s="3" t="e">
        <f>IF(Q385 = "", "", Q385 - R385)</f>
        <v>#VALUE!</v>
      </c>
    </row>
    <row r="386">
      <c r="A386" s="2" t="s">
        <v>3674</v>
      </c>
      <c r="B386" s="3" t="str">
        <f>A386</f>
        <v>cesarean-birth-weight-2006-f045</v>
      </c>
      <c r="C386" s="2" t="s">
        <v>561</v>
      </c>
      <c r="D386" s="2">
        <v>0.45</v>
      </c>
      <c r="E386" s="3" t="e">
        <f>ABS(D386 - LOOKUP(C386, SweepStudyConfig[StudyId], SweepStudyConfig[OriginalAllocFractionA])) &lt; 0.03</f>
        <v>#VALUE!</v>
      </c>
      <c r="F386" s="3" t="e">
        <f>LOOKUP(C386, SweepStudyConfig[StudyId], SweepStudyConfig[NSweepStratumTotal])</f>
        <v>#VALUE!</v>
      </c>
      <c r="G386" s="3" t="e">
        <f>ROUND(F386 * D386)</f>
        <v>#VALUE!</v>
      </c>
      <c r="H386" s="3" t="e">
        <f>F386 - G386</f>
        <v>#VALUE!</v>
      </c>
      <c r="I386" s="3" t="e">
        <f>LOOKUP(C386, SweepStudyConfig[StudyId], SweepStudyConfig[NFixedA])</f>
        <v>#VALUE!</v>
      </c>
      <c r="J386" s="3" t="e">
        <f>LOOKUP(C386, SweepStudyConfig[StudyId], SweepStudyConfig[NFixedB])</f>
        <v>#VALUE!</v>
      </c>
      <c r="K386" s="3" t="e">
        <f>LOOKUP(C386, SweepStudyConfig[StudyId], SweepStudyConfig[SweepRateA])</f>
        <v>#VALUE!</v>
      </c>
      <c r="L386" s="3" t="e">
        <f>LOOKUP(C386, SweepStudyConfig[StudyId], SweepStudyConfig[SweepRateB])</f>
        <v>#VALUE!</v>
      </c>
      <c r="M386" s="3" t="e">
        <f>LOOKUP(C386, SweepStudyConfig[StudyId], SweepStudyConfig[FixedRateA])</f>
        <v>#VALUE!</v>
      </c>
      <c r="N386" s="3" t="e">
        <f>LOOKUP(C386, SweepStudyConfig[StudyId], SweepStudyConfig[FixedRateB])</f>
        <v>#VALUE!</v>
      </c>
      <c r="O386" s="3" t="e">
        <f>IF(G386 + I386 = 0, "", (G386 * K386 + I386 * M386) / (G386 + I386))</f>
        <v>#VALUE!</v>
      </c>
      <c r="P386" s="3" t="e">
        <f>IF(H386 + J386 = 0, "", (H386 * L386 + J386 * N386) / (H386 + J386))</f>
        <v>#VALUE!</v>
      </c>
      <c r="Q386" s="3" t="e">
        <f>IF(O386 = "", "", O386 - P386)</f>
        <v>#VALUE!</v>
      </c>
      <c r="R386" s="3" t="e">
        <f>LOOKUP(C386, SweepStudyConfig[StudyId], SweepStudyConfig[SweepCorrectedGap])</f>
        <v>#VALUE!</v>
      </c>
      <c r="S386" s="3" t="e">
        <f>IF(Q386 = "", "", Q386 - R386)</f>
        <v>#VALUE!</v>
      </c>
    </row>
    <row r="387">
      <c r="A387" s="2" t="s">
        <v>3675</v>
      </c>
      <c r="B387" s="3" t="str">
        <f>A387</f>
        <v>cesarean-birth-weight-2006-f055</v>
      </c>
      <c r="C387" s="2" t="s">
        <v>561</v>
      </c>
      <c r="D387" s="2">
        <v>0.55</v>
      </c>
      <c r="E387" s="3" t="e">
        <f>ABS(D387 - LOOKUP(C387, SweepStudyConfig[StudyId], SweepStudyConfig[OriginalAllocFractionA])) &lt; 0.03</f>
        <v>#VALUE!</v>
      </c>
      <c r="F387" s="3" t="e">
        <f>LOOKUP(C387, SweepStudyConfig[StudyId], SweepStudyConfig[NSweepStratumTotal])</f>
        <v>#VALUE!</v>
      </c>
      <c r="G387" s="3" t="e">
        <f>ROUND(F387 * D387)</f>
        <v>#VALUE!</v>
      </c>
      <c r="H387" s="3" t="e">
        <f>F387 - G387</f>
        <v>#VALUE!</v>
      </c>
      <c r="I387" s="3" t="e">
        <f>LOOKUP(C387, SweepStudyConfig[StudyId], SweepStudyConfig[NFixedA])</f>
        <v>#VALUE!</v>
      </c>
      <c r="J387" s="3" t="e">
        <f>LOOKUP(C387, SweepStudyConfig[StudyId], SweepStudyConfig[NFixedB])</f>
        <v>#VALUE!</v>
      </c>
      <c r="K387" s="3" t="e">
        <f>LOOKUP(C387, SweepStudyConfig[StudyId], SweepStudyConfig[SweepRateA])</f>
        <v>#VALUE!</v>
      </c>
      <c r="L387" s="3" t="e">
        <f>LOOKUP(C387, SweepStudyConfig[StudyId], SweepStudyConfig[SweepRateB])</f>
        <v>#VALUE!</v>
      </c>
      <c r="M387" s="3" t="e">
        <f>LOOKUP(C387, SweepStudyConfig[StudyId], SweepStudyConfig[FixedRateA])</f>
        <v>#VALUE!</v>
      </c>
      <c r="N387" s="3" t="e">
        <f>LOOKUP(C387, SweepStudyConfig[StudyId], SweepStudyConfig[FixedRateB])</f>
        <v>#VALUE!</v>
      </c>
      <c r="O387" s="3" t="e">
        <f>IF(G387 + I387 = 0, "", (G387 * K387 + I387 * M387) / (G387 + I387))</f>
        <v>#VALUE!</v>
      </c>
      <c r="P387" s="3" t="e">
        <f>IF(H387 + J387 = 0, "", (H387 * L387 + J387 * N387) / (H387 + J387))</f>
        <v>#VALUE!</v>
      </c>
      <c r="Q387" s="3" t="e">
        <f>IF(O387 = "", "", O387 - P387)</f>
        <v>#VALUE!</v>
      </c>
      <c r="R387" s="3" t="e">
        <f>LOOKUP(C387, SweepStudyConfig[StudyId], SweepStudyConfig[SweepCorrectedGap])</f>
        <v>#VALUE!</v>
      </c>
      <c r="S387" s="3" t="e">
        <f>IF(Q387 = "", "", Q387 - R387)</f>
        <v>#VALUE!</v>
      </c>
    </row>
    <row r="388">
      <c r="A388" s="2" t="s">
        <v>3676</v>
      </c>
      <c r="B388" s="3" t="str">
        <f>A388</f>
        <v>cesarean-birth-weight-2006-f065</v>
      </c>
      <c r="C388" s="2" t="s">
        <v>561</v>
      </c>
      <c r="D388" s="2">
        <v>0.65</v>
      </c>
      <c r="E388" s="3" t="e">
        <f>ABS(D388 - LOOKUP(C388, SweepStudyConfig[StudyId], SweepStudyConfig[OriginalAllocFractionA])) &lt; 0.03</f>
        <v>#VALUE!</v>
      </c>
      <c r="F388" s="3" t="e">
        <f>LOOKUP(C388, SweepStudyConfig[StudyId], SweepStudyConfig[NSweepStratumTotal])</f>
        <v>#VALUE!</v>
      </c>
      <c r="G388" s="3" t="e">
        <f>ROUND(F388 * D388)</f>
        <v>#VALUE!</v>
      </c>
      <c r="H388" s="3" t="e">
        <f>F388 - G388</f>
        <v>#VALUE!</v>
      </c>
      <c r="I388" s="3" t="e">
        <f>LOOKUP(C388, SweepStudyConfig[StudyId], SweepStudyConfig[NFixedA])</f>
        <v>#VALUE!</v>
      </c>
      <c r="J388" s="3" t="e">
        <f>LOOKUP(C388, SweepStudyConfig[StudyId], SweepStudyConfig[NFixedB])</f>
        <v>#VALUE!</v>
      </c>
      <c r="K388" s="3" t="e">
        <f>LOOKUP(C388, SweepStudyConfig[StudyId], SweepStudyConfig[SweepRateA])</f>
        <v>#VALUE!</v>
      </c>
      <c r="L388" s="3" t="e">
        <f>LOOKUP(C388, SweepStudyConfig[StudyId], SweepStudyConfig[SweepRateB])</f>
        <v>#VALUE!</v>
      </c>
      <c r="M388" s="3" t="e">
        <f>LOOKUP(C388, SweepStudyConfig[StudyId], SweepStudyConfig[FixedRateA])</f>
        <v>#VALUE!</v>
      </c>
      <c r="N388" s="3" t="e">
        <f>LOOKUP(C388, SweepStudyConfig[StudyId], SweepStudyConfig[FixedRateB])</f>
        <v>#VALUE!</v>
      </c>
      <c r="O388" s="3" t="e">
        <f>IF(G388 + I388 = 0, "", (G388 * K388 + I388 * M388) / (G388 + I388))</f>
        <v>#VALUE!</v>
      </c>
      <c r="P388" s="3" t="e">
        <f>IF(H388 + J388 = 0, "", (H388 * L388 + J388 * N388) / (H388 + J388))</f>
        <v>#VALUE!</v>
      </c>
      <c r="Q388" s="3" t="e">
        <f>IF(O388 = "", "", O388 - P388)</f>
        <v>#VALUE!</v>
      </c>
      <c r="R388" s="3" t="e">
        <f>LOOKUP(C388, SweepStudyConfig[StudyId], SweepStudyConfig[SweepCorrectedGap])</f>
        <v>#VALUE!</v>
      </c>
      <c r="S388" s="3" t="e">
        <f>IF(Q388 = "", "", Q388 - R388)</f>
        <v>#VALUE!</v>
      </c>
    </row>
    <row r="389">
      <c r="A389" s="2" t="s">
        <v>3677</v>
      </c>
      <c r="B389" s="3" t="str">
        <f>A389</f>
        <v>cesarean-birth-weight-2006-f075</v>
      </c>
      <c r="C389" s="2" t="s">
        <v>561</v>
      </c>
      <c r="D389" s="2">
        <v>0.75</v>
      </c>
      <c r="E389" s="3" t="e">
        <f>ABS(D389 - LOOKUP(C389, SweepStudyConfig[StudyId], SweepStudyConfig[OriginalAllocFractionA])) &lt; 0.03</f>
        <v>#VALUE!</v>
      </c>
      <c r="F389" s="3" t="e">
        <f>LOOKUP(C389, SweepStudyConfig[StudyId], SweepStudyConfig[NSweepStratumTotal])</f>
        <v>#VALUE!</v>
      </c>
      <c r="G389" s="3" t="e">
        <f>ROUND(F389 * D389)</f>
        <v>#VALUE!</v>
      </c>
      <c r="H389" s="3" t="e">
        <f>F389 - G389</f>
        <v>#VALUE!</v>
      </c>
      <c r="I389" s="3" t="e">
        <f>LOOKUP(C389, SweepStudyConfig[StudyId], SweepStudyConfig[NFixedA])</f>
        <v>#VALUE!</v>
      </c>
      <c r="J389" s="3" t="e">
        <f>LOOKUP(C389, SweepStudyConfig[StudyId], SweepStudyConfig[NFixedB])</f>
        <v>#VALUE!</v>
      </c>
      <c r="K389" s="3" t="e">
        <f>LOOKUP(C389, SweepStudyConfig[StudyId], SweepStudyConfig[SweepRateA])</f>
        <v>#VALUE!</v>
      </c>
      <c r="L389" s="3" t="e">
        <f>LOOKUP(C389, SweepStudyConfig[StudyId], SweepStudyConfig[SweepRateB])</f>
        <v>#VALUE!</v>
      </c>
      <c r="M389" s="3" t="e">
        <f>LOOKUP(C389, SweepStudyConfig[StudyId], SweepStudyConfig[FixedRateA])</f>
        <v>#VALUE!</v>
      </c>
      <c r="N389" s="3" t="e">
        <f>LOOKUP(C389, SweepStudyConfig[StudyId], SweepStudyConfig[FixedRateB])</f>
        <v>#VALUE!</v>
      </c>
      <c r="O389" s="3" t="e">
        <f>IF(G389 + I389 = 0, "", (G389 * K389 + I389 * M389) / (G389 + I389))</f>
        <v>#VALUE!</v>
      </c>
      <c r="P389" s="3" t="e">
        <f>IF(H389 + J389 = 0, "", (H389 * L389 + J389 * N389) / (H389 + J389))</f>
        <v>#VALUE!</v>
      </c>
      <c r="Q389" s="3" t="e">
        <f>IF(O389 = "", "", O389 - P389)</f>
        <v>#VALUE!</v>
      </c>
      <c r="R389" s="3" t="e">
        <f>LOOKUP(C389, SweepStudyConfig[StudyId], SweepStudyConfig[SweepCorrectedGap])</f>
        <v>#VALUE!</v>
      </c>
      <c r="S389" s="3" t="e">
        <f>IF(Q389 = "", "", Q389 - R389)</f>
        <v>#VALUE!</v>
      </c>
    </row>
    <row r="390">
      <c r="A390" s="2" t="s">
        <v>3678</v>
      </c>
      <c r="B390" s="3" t="str">
        <f>A390</f>
        <v>cesarean-birth-weight-2006-f085</v>
      </c>
      <c r="C390" s="2" t="s">
        <v>561</v>
      </c>
      <c r="D390" s="2">
        <v>0.85</v>
      </c>
      <c r="E390" s="3" t="e">
        <f>ABS(D390 - LOOKUP(C390, SweepStudyConfig[StudyId], SweepStudyConfig[OriginalAllocFractionA])) &lt; 0.03</f>
        <v>#VALUE!</v>
      </c>
      <c r="F390" s="3" t="e">
        <f>LOOKUP(C390, SweepStudyConfig[StudyId], SweepStudyConfig[NSweepStratumTotal])</f>
        <v>#VALUE!</v>
      </c>
      <c r="G390" s="3" t="e">
        <f>ROUND(F390 * D390)</f>
        <v>#VALUE!</v>
      </c>
      <c r="H390" s="3" t="e">
        <f>F390 - G390</f>
        <v>#VALUE!</v>
      </c>
      <c r="I390" s="3" t="e">
        <f>LOOKUP(C390, SweepStudyConfig[StudyId], SweepStudyConfig[NFixedA])</f>
        <v>#VALUE!</v>
      </c>
      <c r="J390" s="3" t="e">
        <f>LOOKUP(C390, SweepStudyConfig[StudyId], SweepStudyConfig[NFixedB])</f>
        <v>#VALUE!</v>
      </c>
      <c r="K390" s="3" t="e">
        <f>LOOKUP(C390, SweepStudyConfig[StudyId], SweepStudyConfig[SweepRateA])</f>
        <v>#VALUE!</v>
      </c>
      <c r="L390" s="3" t="e">
        <f>LOOKUP(C390, SweepStudyConfig[StudyId], SweepStudyConfig[SweepRateB])</f>
        <v>#VALUE!</v>
      </c>
      <c r="M390" s="3" t="e">
        <f>LOOKUP(C390, SweepStudyConfig[StudyId], SweepStudyConfig[FixedRateA])</f>
        <v>#VALUE!</v>
      </c>
      <c r="N390" s="3" t="e">
        <f>LOOKUP(C390, SweepStudyConfig[StudyId], SweepStudyConfig[FixedRateB])</f>
        <v>#VALUE!</v>
      </c>
      <c r="O390" s="3" t="e">
        <f>IF(G390 + I390 = 0, "", (G390 * K390 + I390 * M390) / (G390 + I390))</f>
        <v>#VALUE!</v>
      </c>
      <c r="P390" s="3" t="e">
        <f>IF(H390 + J390 = 0, "", (H390 * L390 + J390 * N390) / (H390 + J390))</f>
        <v>#VALUE!</v>
      </c>
      <c r="Q390" s="3" t="e">
        <f>IF(O390 = "", "", O390 - P390)</f>
        <v>#VALUE!</v>
      </c>
      <c r="R390" s="3" t="e">
        <f>LOOKUP(C390, SweepStudyConfig[StudyId], SweepStudyConfig[SweepCorrectedGap])</f>
        <v>#VALUE!</v>
      </c>
      <c r="S390" s="3" t="e">
        <f>IF(Q390 = "", "", Q390 - R390)</f>
        <v>#VALUE!</v>
      </c>
    </row>
    <row r="391">
      <c r="A391" s="2" t="s">
        <v>3679</v>
      </c>
      <c r="B391" s="3" t="str">
        <f>A391</f>
        <v>cesarean-birth-weight-2006-f095</v>
      </c>
      <c r="C391" s="2" t="s">
        <v>561</v>
      </c>
      <c r="D391" s="2">
        <v>0.95</v>
      </c>
      <c r="E391" s="3" t="e">
        <f>ABS(D391 - LOOKUP(C391, SweepStudyConfig[StudyId], SweepStudyConfig[OriginalAllocFractionA])) &lt; 0.03</f>
        <v>#VALUE!</v>
      </c>
      <c r="F391" s="3" t="e">
        <f>LOOKUP(C391, SweepStudyConfig[StudyId], SweepStudyConfig[NSweepStratumTotal])</f>
        <v>#VALUE!</v>
      </c>
      <c r="G391" s="3" t="e">
        <f>ROUND(F391 * D391)</f>
        <v>#VALUE!</v>
      </c>
      <c r="H391" s="3" t="e">
        <f>F391 - G391</f>
        <v>#VALUE!</v>
      </c>
      <c r="I391" s="3" t="e">
        <f>LOOKUP(C391, SweepStudyConfig[StudyId], SweepStudyConfig[NFixedA])</f>
        <v>#VALUE!</v>
      </c>
      <c r="J391" s="3" t="e">
        <f>LOOKUP(C391, SweepStudyConfig[StudyId], SweepStudyConfig[NFixedB])</f>
        <v>#VALUE!</v>
      </c>
      <c r="K391" s="3" t="e">
        <f>LOOKUP(C391, SweepStudyConfig[StudyId], SweepStudyConfig[SweepRateA])</f>
        <v>#VALUE!</v>
      </c>
      <c r="L391" s="3" t="e">
        <f>LOOKUP(C391, SweepStudyConfig[StudyId], SweepStudyConfig[SweepRateB])</f>
        <v>#VALUE!</v>
      </c>
      <c r="M391" s="3" t="e">
        <f>LOOKUP(C391, SweepStudyConfig[StudyId], SweepStudyConfig[FixedRateA])</f>
        <v>#VALUE!</v>
      </c>
      <c r="N391" s="3" t="e">
        <f>LOOKUP(C391, SweepStudyConfig[StudyId], SweepStudyConfig[FixedRateB])</f>
        <v>#VALUE!</v>
      </c>
      <c r="O391" s="3" t="e">
        <f>IF(G391 + I391 = 0, "", (G391 * K391 + I391 * M391) / (G391 + I391))</f>
        <v>#VALUE!</v>
      </c>
      <c r="P391" s="3" t="e">
        <f>IF(H391 + J391 = 0, "", (H391 * L391 + J391 * N391) / (H391 + J391))</f>
        <v>#VALUE!</v>
      </c>
      <c r="Q391" s="3" t="e">
        <f>IF(O391 = "", "", O391 - P391)</f>
        <v>#VALUE!</v>
      </c>
      <c r="R391" s="3" t="e">
        <f>LOOKUP(C391, SweepStudyConfig[StudyId], SweepStudyConfig[SweepCorrectedGap])</f>
        <v>#VALUE!</v>
      </c>
      <c r="S391" s="3" t="e">
        <f>IF(Q391 = "", "", Q391 - R391)</f>
        <v>#VALUE!</v>
      </c>
    </row>
    <row r="392">
      <c r="A392" s="2" t="s">
        <v>3680</v>
      </c>
      <c r="B392" s="3" t="str">
        <f>A392</f>
        <v>schizophrenia-antipsychotic-f005</v>
      </c>
      <c r="C392" s="2" t="s">
        <v>565</v>
      </c>
      <c r="D392" s="2">
        <v>0.05</v>
      </c>
      <c r="E392" s="3" t="e">
        <f>ABS(D392 - LOOKUP(C392, SweepStudyConfig[StudyId], SweepStudyConfig[OriginalAllocFractionA])) &lt; 0.03</f>
        <v>#VALUE!</v>
      </c>
      <c r="F392" s="3" t="e">
        <f>LOOKUP(C392, SweepStudyConfig[StudyId], SweepStudyConfig[NSweepStratumTotal])</f>
        <v>#VALUE!</v>
      </c>
      <c r="G392" s="3" t="e">
        <f>ROUND(F392 * D392)</f>
        <v>#VALUE!</v>
      </c>
      <c r="H392" s="3" t="e">
        <f>F392 - G392</f>
        <v>#VALUE!</v>
      </c>
      <c r="I392" s="3" t="e">
        <f>LOOKUP(C392, SweepStudyConfig[StudyId], SweepStudyConfig[NFixedA])</f>
        <v>#VALUE!</v>
      </c>
      <c r="J392" s="3" t="e">
        <f>LOOKUP(C392, SweepStudyConfig[StudyId], SweepStudyConfig[NFixedB])</f>
        <v>#VALUE!</v>
      </c>
      <c r="K392" s="3" t="e">
        <f>LOOKUP(C392, SweepStudyConfig[StudyId], SweepStudyConfig[SweepRateA])</f>
        <v>#VALUE!</v>
      </c>
      <c r="L392" s="3" t="e">
        <f>LOOKUP(C392, SweepStudyConfig[StudyId], SweepStudyConfig[SweepRateB])</f>
        <v>#VALUE!</v>
      </c>
      <c r="M392" s="3" t="e">
        <f>LOOKUP(C392, SweepStudyConfig[StudyId], SweepStudyConfig[FixedRateA])</f>
        <v>#VALUE!</v>
      </c>
      <c r="N392" s="3" t="e">
        <f>LOOKUP(C392, SweepStudyConfig[StudyId], SweepStudyConfig[FixedRateB])</f>
        <v>#VALUE!</v>
      </c>
      <c r="O392" s="3" t="e">
        <f>IF(G392 + I392 = 0, "", (G392 * K392 + I392 * M392) / (G392 + I392))</f>
        <v>#VALUE!</v>
      </c>
      <c r="P392" s="3" t="e">
        <f>IF(H392 + J392 = 0, "", (H392 * L392 + J392 * N392) / (H392 + J392))</f>
        <v>#VALUE!</v>
      </c>
      <c r="Q392" s="3" t="e">
        <f>IF(O392 = "", "", O392 - P392)</f>
        <v>#VALUE!</v>
      </c>
      <c r="R392" s="3" t="e">
        <f>LOOKUP(C392, SweepStudyConfig[StudyId], SweepStudyConfig[SweepCorrectedGap])</f>
        <v>#VALUE!</v>
      </c>
      <c r="S392" s="3" t="e">
        <f>IF(Q392 = "", "", Q392 - R392)</f>
        <v>#VALUE!</v>
      </c>
    </row>
    <row r="393">
      <c r="A393" s="2" t="s">
        <v>3681</v>
      </c>
      <c r="B393" s="3" t="str">
        <f>A393</f>
        <v>schizophrenia-antipsychotic-f015</v>
      </c>
      <c r="C393" s="2" t="s">
        <v>565</v>
      </c>
      <c r="D393" s="2">
        <v>0.15</v>
      </c>
      <c r="E393" s="3" t="e">
        <f>ABS(D393 - LOOKUP(C393, SweepStudyConfig[StudyId], SweepStudyConfig[OriginalAllocFractionA])) &lt; 0.03</f>
        <v>#VALUE!</v>
      </c>
      <c r="F393" s="3" t="e">
        <f>LOOKUP(C393, SweepStudyConfig[StudyId], SweepStudyConfig[NSweepStratumTotal])</f>
        <v>#VALUE!</v>
      </c>
      <c r="G393" s="3" t="e">
        <f>ROUND(F393 * D393)</f>
        <v>#VALUE!</v>
      </c>
      <c r="H393" s="3" t="e">
        <f>F393 - G393</f>
        <v>#VALUE!</v>
      </c>
      <c r="I393" s="3" t="e">
        <f>LOOKUP(C393, SweepStudyConfig[StudyId], SweepStudyConfig[NFixedA])</f>
        <v>#VALUE!</v>
      </c>
      <c r="J393" s="3" t="e">
        <f>LOOKUP(C393, SweepStudyConfig[StudyId], SweepStudyConfig[NFixedB])</f>
        <v>#VALUE!</v>
      </c>
      <c r="K393" s="3" t="e">
        <f>LOOKUP(C393, SweepStudyConfig[StudyId], SweepStudyConfig[SweepRateA])</f>
        <v>#VALUE!</v>
      </c>
      <c r="L393" s="3" t="e">
        <f>LOOKUP(C393, SweepStudyConfig[StudyId], SweepStudyConfig[SweepRateB])</f>
        <v>#VALUE!</v>
      </c>
      <c r="M393" s="3" t="e">
        <f>LOOKUP(C393, SweepStudyConfig[StudyId], SweepStudyConfig[FixedRateA])</f>
        <v>#VALUE!</v>
      </c>
      <c r="N393" s="3" t="e">
        <f>LOOKUP(C393, SweepStudyConfig[StudyId], SweepStudyConfig[FixedRateB])</f>
        <v>#VALUE!</v>
      </c>
      <c r="O393" s="3" t="e">
        <f>IF(G393 + I393 = 0, "", (G393 * K393 + I393 * M393) / (G393 + I393))</f>
        <v>#VALUE!</v>
      </c>
      <c r="P393" s="3" t="e">
        <f>IF(H393 + J393 = 0, "", (H393 * L393 + J393 * N393) / (H393 + J393))</f>
        <v>#VALUE!</v>
      </c>
      <c r="Q393" s="3" t="e">
        <f>IF(O393 = "", "", O393 - P393)</f>
        <v>#VALUE!</v>
      </c>
      <c r="R393" s="3" t="e">
        <f>LOOKUP(C393, SweepStudyConfig[StudyId], SweepStudyConfig[SweepCorrectedGap])</f>
        <v>#VALUE!</v>
      </c>
      <c r="S393" s="3" t="e">
        <f>IF(Q393 = "", "", Q393 - R393)</f>
        <v>#VALUE!</v>
      </c>
    </row>
    <row r="394">
      <c r="A394" s="2" t="s">
        <v>3682</v>
      </c>
      <c r="B394" s="3" t="str">
        <f>A394</f>
        <v>schizophrenia-antipsychotic-f025</v>
      </c>
      <c r="C394" s="2" t="s">
        <v>565</v>
      </c>
      <c r="D394" s="2">
        <v>0.25</v>
      </c>
      <c r="E394" s="3" t="e">
        <f>ABS(D394 - LOOKUP(C394, SweepStudyConfig[StudyId], SweepStudyConfig[OriginalAllocFractionA])) &lt; 0.03</f>
        <v>#VALUE!</v>
      </c>
      <c r="F394" s="3" t="e">
        <f>LOOKUP(C394, SweepStudyConfig[StudyId], SweepStudyConfig[NSweepStratumTotal])</f>
        <v>#VALUE!</v>
      </c>
      <c r="G394" s="3" t="e">
        <f>ROUND(F394 * D394)</f>
        <v>#VALUE!</v>
      </c>
      <c r="H394" s="3" t="e">
        <f>F394 - G394</f>
        <v>#VALUE!</v>
      </c>
      <c r="I394" s="3" t="e">
        <f>LOOKUP(C394, SweepStudyConfig[StudyId], SweepStudyConfig[NFixedA])</f>
        <v>#VALUE!</v>
      </c>
      <c r="J394" s="3" t="e">
        <f>LOOKUP(C394, SweepStudyConfig[StudyId], SweepStudyConfig[NFixedB])</f>
        <v>#VALUE!</v>
      </c>
      <c r="K394" s="3" t="e">
        <f>LOOKUP(C394, SweepStudyConfig[StudyId], SweepStudyConfig[SweepRateA])</f>
        <v>#VALUE!</v>
      </c>
      <c r="L394" s="3" t="e">
        <f>LOOKUP(C394, SweepStudyConfig[StudyId], SweepStudyConfig[SweepRateB])</f>
        <v>#VALUE!</v>
      </c>
      <c r="M394" s="3" t="e">
        <f>LOOKUP(C394, SweepStudyConfig[StudyId], SweepStudyConfig[FixedRateA])</f>
        <v>#VALUE!</v>
      </c>
      <c r="N394" s="3" t="e">
        <f>LOOKUP(C394, SweepStudyConfig[StudyId], SweepStudyConfig[FixedRateB])</f>
        <v>#VALUE!</v>
      </c>
      <c r="O394" s="3" t="e">
        <f>IF(G394 + I394 = 0, "", (G394 * K394 + I394 * M394) / (G394 + I394))</f>
        <v>#VALUE!</v>
      </c>
      <c r="P394" s="3" t="e">
        <f>IF(H394 + J394 = 0, "", (H394 * L394 + J394 * N394) / (H394 + J394))</f>
        <v>#VALUE!</v>
      </c>
      <c r="Q394" s="3" t="e">
        <f>IF(O394 = "", "", O394 - P394)</f>
        <v>#VALUE!</v>
      </c>
      <c r="R394" s="3" t="e">
        <f>LOOKUP(C394, SweepStudyConfig[StudyId], SweepStudyConfig[SweepCorrectedGap])</f>
        <v>#VALUE!</v>
      </c>
      <c r="S394" s="3" t="e">
        <f>IF(Q394 = "", "", Q394 - R394)</f>
        <v>#VALUE!</v>
      </c>
    </row>
    <row r="395">
      <c r="A395" s="2" t="s">
        <v>3683</v>
      </c>
      <c r="B395" s="3" t="str">
        <f>A395</f>
        <v>schizophrenia-antipsychotic-f035</v>
      </c>
      <c r="C395" s="2" t="s">
        <v>565</v>
      </c>
      <c r="D395" s="2">
        <v>0.35</v>
      </c>
      <c r="E395" s="3" t="e">
        <f>ABS(D395 - LOOKUP(C395, SweepStudyConfig[StudyId], SweepStudyConfig[OriginalAllocFractionA])) &lt; 0.03</f>
        <v>#VALUE!</v>
      </c>
      <c r="F395" s="3" t="e">
        <f>LOOKUP(C395, SweepStudyConfig[StudyId], SweepStudyConfig[NSweepStratumTotal])</f>
        <v>#VALUE!</v>
      </c>
      <c r="G395" s="3" t="e">
        <f>ROUND(F395 * D395)</f>
        <v>#VALUE!</v>
      </c>
      <c r="H395" s="3" t="e">
        <f>F395 - G395</f>
        <v>#VALUE!</v>
      </c>
      <c r="I395" s="3" t="e">
        <f>LOOKUP(C395, SweepStudyConfig[StudyId], SweepStudyConfig[NFixedA])</f>
        <v>#VALUE!</v>
      </c>
      <c r="J395" s="3" t="e">
        <f>LOOKUP(C395, SweepStudyConfig[StudyId], SweepStudyConfig[NFixedB])</f>
        <v>#VALUE!</v>
      </c>
      <c r="K395" s="3" t="e">
        <f>LOOKUP(C395, SweepStudyConfig[StudyId], SweepStudyConfig[SweepRateA])</f>
        <v>#VALUE!</v>
      </c>
      <c r="L395" s="3" t="e">
        <f>LOOKUP(C395, SweepStudyConfig[StudyId], SweepStudyConfig[SweepRateB])</f>
        <v>#VALUE!</v>
      </c>
      <c r="M395" s="3" t="e">
        <f>LOOKUP(C395, SweepStudyConfig[StudyId], SweepStudyConfig[FixedRateA])</f>
        <v>#VALUE!</v>
      </c>
      <c r="N395" s="3" t="e">
        <f>LOOKUP(C395, SweepStudyConfig[StudyId], SweepStudyConfig[FixedRateB])</f>
        <v>#VALUE!</v>
      </c>
      <c r="O395" s="3" t="e">
        <f>IF(G395 + I395 = 0, "", (G395 * K395 + I395 * M395) / (G395 + I395))</f>
        <v>#VALUE!</v>
      </c>
      <c r="P395" s="3" t="e">
        <f>IF(H395 + J395 = 0, "", (H395 * L395 + J395 * N395) / (H395 + J395))</f>
        <v>#VALUE!</v>
      </c>
      <c r="Q395" s="3" t="e">
        <f>IF(O395 = "", "", O395 - P395)</f>
        <v>#VALUE!</v>
      </c>
      <c r="R395" s="3" t="e">
        <f>LOOKUP(C395, SweepStudyConfig[StudyId], SweepStudyConfig[SweepCorrectedGap])</f>
        <v>#VALUE!</v>
      </c>
      <c r="S395" s="3" t="e">
        <f>IF(Q395 = "", "", Q395 - R395)</f>
        <v>#VALUE!</v>
      </c>
    </row>
    <row r="396">
      <c r="A396" s="2" t="s">
        <v>3684</v>
      </c>
      <c r="B396" s="3" t="str">
        <f>A396</f>
        <v>schizophrenia-antipsychotic-f045</v>
      </c>
      <c r="C396" s="2" t="s">
        <v>565</v>
      </c>
      <c r="D396" s="2">
        <v>0.45</v>
      </c>
      <c r="E396" s="3" t="e">
        <f>ABS(D396 - LOOKUP(C396, SweepStudyConfig[StudyId], SweepStudyConfig[OriginalAllocFractionA])) &lt; 0.03</f>
        <v>#VALUE!</v>
      </c>
      <c r="F396" s="3" t="e">
        <f>LOOKUP(C396, SweepStudyConfig[StudyId], SweepStudyConfig[NSweepStratumTotal])</f>
        <v>#VALUE!</v>
      </c>
      <c r="G396" s="3" t="e">
        <f>ROUND(F396 * D396)</f>
        <v>#VALUE!</v>
      </c>
      <c r="H396" s="3" t="e">
        <f>F396 - G396</f>
        <v>#VALUE!</v>
      </c>
      <c r="I396" s="3" t="e">
        <f>LOOKUP(C396, SweepStudyConfig[StudyId], SweepStudyConfig[NFixedA])</f>
        <v>#VALUE!</v>
      </c>
      <c r="J396" s="3" t="e">
        <f>LOOKUP(C396, SweepStudyConfig[StudyId], SweepStudyConfig[NFixedB])</f>
        <v>#VALUE!</v>
      </c>
      <c r="K396" s="3" t="e">
        <f>LOOKUP(C396, SweepStudyConfig[StudyId], SweepStudyConfig[SweepRateA])</f>
        <v>#VALUE!</v>
      </c>
      <c r="L396" s="3" t="e">
        <f>LOOKUP(C396, SweepStudyConfig[StudyId], SweepStudyConfig[SweepRateB])</f>
        <v>#VALUE!</v>
      </c>
      <c r="M396" s="3" t="e">
        <f>LOOKUP(C396, SweepStudyConfig[StudyId], SweepStudyConfig[FixedRateA])</f>
        <v>#VALUE!</v>
      </c>
      <c r="N396" s="3" t="e">
        <f>LOOKUP(C396, SweepStudyConfig[StudyId], SweepStudyConfig[FixedRateB])</f>
        <v>#VALUE!</v>
      </c>
      <c r="O396" s="3" t="e">
        <f>IF(G396 + I396 = 0, "", (G396 * K396 + I396 * M396) / (G396 + I396))</f>
        <v>#VALUE!</v>
      </c>
      <c r="P396" s="3" t="e">
        <f>IF(H396 + J396 = 0, "", (H396 * L396 + J396 * N396) / (H396 + J396))</f>
        <v>#VALUE!</v>
      </c>
      <c r="Q396" s="3" t="e">
        <f>IF(O396 = "", "", O396 - P396)</f>
        <v>#VALUE!</v>
      </c>
      <c r="R396" s="3" t="e">
        <f>LOOKUP(C396, SweepStudyConfig[StudyId], SweepStudyConfig[SweepCorrectedGap])</f>
        <v>#VALUE!</v>
      </c>
      <c r="S396" s="3" t="e">
        <f>IF(Q396 = "", "", Q396 - R396)</f>
        <v>#VALUE!</v>
      </c>
    </row>
    <row r="397">
      <c r="A397" s="2" t="s">
        <v>3685</v>
      </c>
      <c r="B397" s="3" t="str">
        <f>A397</f>
        <v>schizophrenia-antipsychotic-f055</v>
      </c>
      <c r="C397" s="2" t="s">
        <v>565</v>
      </c>
      <c r="D397" s="2">
        <v>0.55</v>
      </c>
      <c r="E397" s="3" t="e">
        <f>ABS(D397 - LOOKUP(C397, SweepStudyConfig[StudyId], SweepStudyConfig[OriginalAllocFractionA])) &lt; 0.03</f>
        <v>#VALUE!</v>
      </c>
      <c r="F397" s="3" t="e">
        <f>LOOKUP(C397, SweepStudyConfig[StudyId], SweepStudyConfig[NSweepStratumTotal])</f>
        <v>#VALUE!</v>
      </c>
      <c r="G397" s="3" t="e">
        <f>ROUND(F397 * D397)</f>
        <v>#VALUE!</v>
      </c>
      <c r="H397" s="3" t="e">
        <f>F397 - G397</f>
        <v>#VALUE!</v>
      </c>
      <c r="I397" s="3" t="e">
        <f>LOOKUP(C397, SweepStudyConfig[StudyId], SweepStudyConfig[NFixedA])</f>
        <v>#VALUE!</v>
      </c>
      <c r="J397" s="3" t="e">
        <f>LOOKUP(C397, SweepStudyConfig[StudyId], SweepStudyConfig[NFixedB])</f>
        <v>#VALUE!</v>
      </c>
      <c r="K397" s="3" t="e">
        <f>LOOKUP(C397, SweepStudyConfig[StudyId], SweepStudyConfig[SweepRateA])</f>
        <v>#VALUE!</v>
      </c>
      <c r="L397" s="3" t="e">
        <f>LOOKUP(C397, SweepStudyConfig[StudyId], SweepStudyConfig[SweepRateB])</f>
        <v>#VALUE!</v>
      </c>
      <c r="M397" s="3" t="e">
        <f>LOOKUP(C397, SweepStudyConfig[StudyId], SweepStudyConfig[FixedRateA])</f>
        <v>#VALUE!</v>
      </c>
      <c r="N397" s="3" t="e">
        <f>LOOKUP(C397, SweepStudyConfig[StudyId], SweepStudyConfig[FixedRateB])</f>
        <v>#VALUE!</v>
      </c>
      <c r="O397" s="3" t="e">
        <f>IF(G397 + I397 = 0, "", (G397 * K397 + I397 * M397) / (G397 + I397))</f>
        <v>#VALUE!</v>
      </c>
      <c r="P397" s="3" t="e">
        <f>IF(H397 + J397 = 0, "", (H397 * L397 + J397 * N397) / (H397 + J397))</f>
        <v>#VALUE!</v>
      </c>
      <c r="Q397" s="3" t="e">
        <f>IF(O397 = "", "", O397 - P397)</f>
        <v>#VALUE!</v>
      </c>
      <c r="R397" s="3" t="e">
        <f>LOOKUP(C397, SweepStudyConfig[StudyId], SweepStudyConfig[SweepCorrectedGap])</f>
        <v>#VALUE!</v>
      </c>
      <c r="S397" s="3" t="e">
        <f>IF(Q397 = "", "", Q397 - R397)</f>
        <v>#VALUE!</v>
      </c>
    </row>
    <row r="398">
      <c r="A398" s="2" t="s">
        <v>3686</v>
      </c>
      <c r="B398" s="3" t="str">
        <f>A398</f>
        <v>schizophrenia-antipsychotic-f065</v>
      </c>
      <c r="C398" s="2" t="s">
        <v>565</v>
      </c>
      <c r="D398" s="2">
        <v>0.65</v>
      </c>
      <c r="E398" s="3" t="e">
        <f>ABS(D398 - LOOKUP(C398, SweepStudyConfig[StudyId], SweepStudyConfig[OriginalAllocFractionA])) &lt; 0.03</f>
        <v>#VALUE!</v>
      </c>
      <c r="F398" s="3" t="e">
        <f>LOOKUP(C398, SweepStudyConfig[StudyId], SweepStudyConfig[NSweepStratumTotal])</f>
        <v>#VALUE!</v>
      </c>
      <c r="G398" s="3" t="e">
        <f>ROUND(F398 * D398)</f>
        <v>#VALUE!</v>
      </c>
      <c r="H398" s="3" t="e">
        <f>F398 - G398</f>
        <v>#VALUE!</v>
      </c>
      <c r="I398" s="3" t="e">
        <f>LOOKUP(C398, SweepStudyConfig[StudyId], SweepStudyConfig[NFixedA])</f>
        <v>#VALUE!</v>
      </c>
      <c r="J398" s="3" t="e">
        <f>LOOKUP(C398, SweepStudyConfig[StudyId], SweepStudyConfig[NFixedB])</f>
        <v>#VALUE!</v>
      </c>
      <c r="K398" s="3" t="e">
        <f>LOOKUP(C398, SweepStudyConfig[StudyId], SweepStudyConfig[SweepRateA])</f>
        <v>#VALUE!</v>
      </c>
      <c r="L398" s="3" t="e">
        <f>LOOKUP(C398, SweepStudyConfig[StudyId], SweepStudyConfig[SweepRateB])</f>
        <v>#VALUE!</v>
      </c>
      <c r="M398" s="3" t="e">
        <f>LOOKUP(C398, SweepStudyConfig[StudyId], SweepStudyConfig[FixedRateA])</f>
        <v>#VALUE!</v>
      </c>
      <c r="N398" s="3" t="e">
        <f>LOOKUP(C398, SweepStudyConfig[StudyId], SweepStudyConfig[FixedRateB])</f>
        <v>#VALUE!</v>
      </c>
      <c r="O398" s="3" t="e">
        <f>IF(G398 + I398 = 0, "", (G398 * K398 + I398 * M398) / (G398 + I398))</f>
        <v>#VALUE!</v>
      </c>
      <c r="P398" s="3" t="e">
        <f>IF(H398 + J398 = 0, "", (H398 * L398 + J398 * N398) / (H398 + J398))</f>
        <v>#VALUE!</v>
      </c>
      <c r="Q398" s="3" t="e">
        <f>IF(O398 = "", "", O398 - P398)</f>
        <v>#VALUE!</v>
      </c>
      <c r="R398" s="3" t="e">
        <f>LOOKUP(C398, SweepStudyConfig[StudyId], SweepStudyConfig[SweepCorrectedGap])</f>
        <v>#VALUE!</v>
      </c>
      <c r="S398" s="3" t="e">
        <f>IF(Q398 = "", "", Q398 - R398)</f>
        <v>#VALUE!</v>
      </c>
    </row>
    <row r="399">
      <c r="A399" s="2" t="s">
        <v>3687</v>
      </c>
      <c r="B399" s="3" t="str">
        <f>A399</f>
        <v>schizophrenia-antipsychotic-f075</v>
      </c>
      <c r="C399" s="2" t="s">
        <v>565</v>
      </c>
      <c r="D399" s="2">
        <v>0.75</v>
      </c>
      <c r="E399" s="3" t="e">
        <f>ABS(D399 - LOOKUP(C399, SweepStudyConfig[StudyId], SweepStudyConfig[OriginalAllocFractionA])) &lt; 0.03</f>
        <v>#VALUE!</v>
      </c>
      <c r="F399" s="3" t="e">
        <f>LOOKUP(C399, SweepStudyConfig[StudyId], SweepStudyConfig[NSweepStratumTotal])</f>
        <v>#VALUE!</v>
      </c>
      <c r="G399" s="3" t="e">
        <f>ROUND(F399 * D399)</f>
        <v>#VALUE!</v>
      </c>
      <c r="H399" s="3" t="e">
        <f>F399 - G399</f>
        <v>#VALUE!</v>
      </c>
      <c r="I399" s="3" t="e">
        <f>LOOKUP(C399, SweepStudyConfig[StudyId], SweepStudyConfig[NFixedA])</f>
        <v>#VALUE!</v>
      </c>
      <c r="J399" s="3" t="e">
        <f>LOOKUP(C399, SweepStudyConfig[StudyId], SweepStudyConfig[NFixedB])</f>
        <v>#VALUE!</v>
      </c>
      <c r="K399" s="3" t="e">
        <f>LOOKUP(C399, SweepStudyConfig[StudyId], SweepStudyConfig[SweepRateA])</f>
        <v>#VALUE!</v>
      </c>
      <c r="L399" s="3" t="e">
        <f>LOOKUP(C399, SweepStudyConfig[StudyId], SweepStudyConfig[SweepRateB])</f>
        <v>#VALUE!</v>
      </c>
      <c r="M399" s="3" t="e">
        <f>LOOKUP(C399, SweepStudyConfig[StudyId], SweepStudyConfig[FixedRateA])</f>
        <v>#VALUE!</v>
      </c>
      <c r="N399" s="3" t="e">
        <f>LOOKUP(C399, SweepStudyConfig[StudyId], SweepStudyConfig[FixedRateB])</f>
        <v>#VALUE!</v>
      </c>
      <c r="O399" s="3" t="e">
        <f>IF(G399 + I399 = 0, "", (G399 * K399 + I399 * M399) / (G399 + I399))</f>
        <v>#VALUE!</v>
      </c>
      <c r="P399" s="3" t="e">
        <f>IF(H399 + J399 = 0, "", (H399 * L399 + J399 * N399) / (H399 + J399))</f>
        <v>#VALUE!</v>
      </c>
      <c r="Q399" s="3" t="e">
        <f>IF(O399 = "", "", O399 - P399)</f>
        <v>#VALUE!</v>
      </c>
      <c r="R399" s="3" t="e">
        <f>LOOKUP(C399, SweepStudyConfig[StudyId], SweepStudyConfig[SweepCorrectedGap])</f>
        <v>#VALUE!</v>
      </c>
      <c r="S399" s="3" t="e">
        <f>IF(Q399 = "", "", Q399 - R399)</f>
        <v>#VALUE!</v>
      </c>
    </row>
    <row r="400">
      <c r="A400" s="2" t="s">
        <v>3688</v>
      </c>
      <c r="B400" s="3" t="str">
        <f>A400</f>
        <v>schizophrenia-antipsychotic-f085</v>
      </c>
      <c r="C400" s="2" t="s">
        <v>565</v>
      </c>
      <c r="D400" s="2">
        <v>0.85</v>
      </c>
      <c r="E400" s="3" t="e">
        <f>ABS(D400 - LOOKUP(C400, SweepStudyConfig[StudyId], SweepStudyConfig[OriginalAllocFractionA])) &lt; 0.03</f>
        <v>#VALUE!</v>
      </c>
      <c r="F400" s="3" t="e">
        <f>LOOKUP(C400, SweepStudyConfig[StudyId], SweepStudyConfig[NSweepStratumTotal])</f>
        <v>#VALUE!</v>
      </c>
      <c r="G400" s="3" t="e">
        <f>ROUND(F400 * D400)</f>
        <v>#VALUE!</v>
      </c>
      <c r="H400" s="3" t="e">
        <f>F400 - G400</f>
        <v>#VALUE!</v>
      </c>
      <c r="I400" s="3" t="e">
        <f>LOOKUP(C400, SweepStudyConfig[StudyId], SweepStudyConfig[NFixedA])</f>
        <v>#VALUE!</v>
      </c>
      <c r="J400" s="3" t="e">
        <f>LOOKUP(C400, SweepStudyConfig[StudyId], SweepStudyConfig[NFixedB])</f>
        <v>#VALUE!</v>
      </c>
      <c r="K400" s="3" t="e">
        <f>LOOKUP(C400, SweepStudyConfig[StudyId], SweepStudyConfig[SweepRateA])</f>
        <v>#VALUE!</v>
      </c>
      <c r="L400" s="3" t="e">
        <f>LOOKUP(C400, SweepStudyConfig[StudyId], SweepStudyConfig[SweepRateB])</f>
        <v>#VALUE!</v>
      </c>
      <c r="M400" s="3" t="e">
        <f>LOOKUP(C400, SweepStudyConfig[StudyId], SweepStudyConfig[FixedRateA])</f>
        <v>#VALUE!</v>
      </c>
      <c r="N400" s="3" t="e">
        <f>LOOKUP(C400, SweepStudyConfig[StudyId], SweepStudyConfig[FixedRateB])</f>
        <v>#VALUE!</v>
      </c>
      <c r="O400" s="3" t="e">
        <f>IF(G400 + I400 = 0, "", (G400 * K400 + I400 * M400) / (G400 + I400))</f>
        <v>#VALUE!</v>
      </c>
      <c r="P400" s="3" t="e">
        <f>IF(H400 + J400 = 0, "", (H400 * L400 + J400 * N400) / (H400 + J400))</f>
        <v>#VALUE!</v>
      </c>
      <c r="Q400" s="3" t="e">
        <f>IF(O400 = "", "", O400 - P400)</f>
        <v>#VALUE!</v>
      </c>
      <c r="R400" s="3" t="e">
        <f>LOOKUP(C400, SweepStudyConfig[StudyId], SweepStudyConfig[SweepCorrectedGap])</f>
        <v>#VALUE!</v>
      </c>
      <c r="S400" s="3" t="e">
        <f>IF(Q400 = "", "", Q400 - R400)</f>
        <v>#VALUE!</v>
      </c>
    </row>
    <row r="401">
      <c r="A401" s="2" t="s">
        <v>3689</v>
      </c>
      <c r="B401" s="3" t="str">
        <f>A401</f>
        <v>schizophrenia-antipsychotic-f095</v>
      </c>
      <c r="C401" s="2" t="s">
        <v>565</v>
      </c>
      <c r="D401" s="2">
        <v>0.95</v>
      </c>
      <c r="E401" s="3" t="e">
        <f>ABS(D401 - LOOKUP(C401, SweepStudyConfig[StudyId], SweepStudyConfig[OriginalAllocFractionA])) &lt; 0.03</f>
        <v>#VALUE!</v>
      </c>
      <c r="F401" s="3" t="e">
        <f>LOOKUP(C401, SweepStudyConfig[StudyId], SweepStudyConfig[NSweepStratumTotal])</f>
        <v>#VALUE!</v>
      </c>
      <c r="G401" s="3" t="e">
        <f>ROUND(F401 * D401)</f>
        <v>#VALUE!</v>
      </c>
      <c r="H401" s="3" t="e">
        <f>F401 - G401</f>
        <v>#VALUE!</v>
      </c>
      <c r="I401" s="3" t="e">
        <f>LOOKUP(C401, SweepStudyConfig[StudyId], SweepStudyConfig[NFixedA])</f>
        <v>#VALUE!</v>
      </c>
      <c r="J401" s="3" t="e">
        <f>LOOKUP(C401, SweepStudyConfig[StudyId], SweepStudyConfig[NFixedB])</f>
        <v>#VALUE!</v>
      </c>
      <c r="K401" s="3" t="e">
        <f>LOOKUP(C401, SweepStudyConfig[StudyId], SweepStudyConfig[SweepRateA])</f>
        <v>#VALUE!</v>
      </c>
      <c r="L401" s="3" t="e">
        <f>LOOKUP(C401, SweepStudyConfig[StudyId], SweepStudyConfig[SweepRateB])</f>
        <v>#VALUE!</v>
      </c>
      <c r="M401" s="3" t="e">
        <f>LOOKUP(C401, SweepStudyConfig[StudyId], SweepStudyConfig[FixedRateA])</f>
        <v>#VALUE!</v>
      </c>
      <c r="N401" s="3" t="e">
        <f>LOOKUP(C401, SweepStudyConfig[StudyId], SweepStudyConfig[FixedRateB])</f>
        <v>#VALUE!</v>
      </c>
      <c r="O401" s="3" t="e">
        <f>IF(G401 + I401 = 0, "", (G401 * K401 + I401 * M401) / (G401 + I401))</f>
        <v>#VALUE!</v>
      </c>
      <c r="P401" s="3" t="e">
        <f>IF(H401 + J401 = 0, "", (H401 * L401 + J401 * N401) / (H401 + J401))</f>
        <v>#VALUE!</v>
      </c>
      <c r="Q401" s="3" t="e">
        <f>IF(O401 = "", "", O401 - P401)</f>
        <v>#VALUE!</v>
      </c>
      <c r="R401" s="3" t="e">
        <f>LOOKUP(C401, SweepStudyConfig[StudyId], SweepStudyConfig[SweepCorrectedGap])</f>
        <v>#VALUE!</v>
      </c>
      <c r="S401" s="3" t="e">
        <f>IF(Q401 = "", "", Q401 - R401)</f>
        <v>#VALUE!</v>
      </c>
    </row>
    <row r="402">
      <c r="A402" s="2" t="s">
        <v>3690</v>
      </c>
      <c r="B402" s="3" t="str">
        <f>A402</f>
        <v>berkeley-six-dept-1973-f005</v>
      </c>
      <c r="C402" s="2" t="s">
        <v>568</v>
      </c>
      <c r="D402" s="2">
        <v>0.05</v>
      </c>
      <c r="E402" s="3" t="e">
        <f>ABS(D402 - LOOKUP(C402, SweepStudyConfig[StudyId], SweepStudyConfig[OriginalAllocFractionA])) &lt; 0.03</f>
        <v>#VALUE!</v>
      </c>
      <c r="F402" s="3" t="e">
        <f>LOOKUP(C402, SweepStudyConfig[StudyId], SweepStudyConfig[NSweepStratumTotal])</f>
        <v>#VALUE!</v>
      </c>
      <c r="G402" s="3" t="e">
        <f>ROUND(F402 * D402)</f>
        <v>#VALUE!</v>
      </c>
      <c r="H402" s="3" t="e">
        <f>F402 - G402</f>
        <v>#VALUE!</v>
      </c>
      <c r="I402" s="3" t="e">
        <f>LOOKUP(C402, SweepStudyConfig[StudyId], SweepStudyConfig[NFixedA])</f>
        <v>#VALUE!</v>
      </c>
      <c r="J402" s="3" t="e">
        <f>LOOKUP(C402, SweepStudyConfig[StudyId], SweepStudyConfig[NFixedB])</f>
        <v>#VALUE!</v>
      </c>
      <c r="K402" s="3" t="e">
        <f>LOOKUP(C402, SweepStudyConfig[StudyId], SweepStudyConfig[SweepRateA])</f>
        <v>#VALUE!</v>
      </c>
      <c r="L402" s="3" t="e">
        <f>LOOKUP(C402, SweepStudyConfig[StudyId], SweepStudyConfig[SweepRateB])</f>
        <v>#VALUE!</v>
      </c>
      <c r="M402" s="3" t="e">
        <f>LOOKUP(C402, SweepStudyConfig[StudyId], SweepStudyConfig[FixedRateA])</f>
        <v>#VALUE!</v>
      </c>
      <c r="N402" s="3" t="e">
        <f>LOOKUP(C402, SweepStudyConfig[StudyId], SweepStudyConfig[FixedRateB])</f>
        <v>#VALUE!</v>
      </c>
      <c r="O402" s="3" t="e">
        <f>IF(G402 + I402 = 0, "", (G402 * K402 + I402 * M402) / (G402 + I402))</f>
        <v>#VALUE!</v>
      </c>
      <c r="P402" s="3" t="e">
        <f>IF(H402 + J402 = 0, "", (H402 * L402 + J402 * N402) / (H402 + J402))</f>
        <v>#VALUE!</v>
      </c>
      <c r="Q402" s="3" t="e">
        <f>IF(O402 = "", "", O402 - P402)</f>
        <v>#VALUE!</v>
      </c>
      <c r="R402" s="3" t="e">
        <f>LOOKUP(C402, SweepStudyConfig[StudyId], SweepStudyConfig[SweepCorrectedGap])</f>
        <v>#VALUE!</v>
      </c>
      <c r="S402" s="3" t="e">
        <f>IF(Q402 = "", "", Q402 - R402)</f>
        <v>#VALUE!</v>
      </c>
    </row>
    <row r="403">
      <c r="A403" s="2" t="s">
        <v>3691</v>
      </c>
      <c r="B403" s="3" t="str">
        <f>A403</f>
        <v>berkeley-six-dept-1973-f015</v>
      </c>
      <c r="C403" s="2" t="s">
        <v>568</v>
      </c>
      <c r="D403" s="2">
        <v>0.15</v>
      </c>
      <c r="E403" s="3" t="e">
        <f>ABS(D403 - LOOKUP(C403, SweepStudyConfig[StudyId], SweepStudyConfig[OriginalAllocFractionA])) &lt; 0.03</f>
        <v>#VALUE!</v>
      </c>
      <c r="F403" s="3" t="e">
        <f>LOOKUP(C403, SweepStudyConfig[StudyId], SweepStudyConfig[NSweepStratumTotal])</f>
        <v>#VALUE!</v>
      </c>
      <c r="G403" s="3" t="e">
        <f>ROUND(F403 * D403)</f>
        <v>#VALUE!</v>
      </c>
      <c r="H403" s="3" t="e">
        <f>F403 - G403</f>
        <v>#VALUE!</v>
      </c>
      <c r="I403" s="3" t="e">
        <f>LOOKUP(C403, SweepStudyConfig[StudyId], SweepStudyConfig[NFixedA])</f>
        <v>#VALUE!</v>
      </c>
      <c r="J403" s="3" t="e">
        <f>LOOKUP(C403, SweepStudyConfig[StudyId], SweepStudyConfig[NFixedB])</f>
        <v>#VALUE!</v>
      </c>
      <c r="K403" s="3" t="e">
        <f>LOOKUP(C403, SweepStudyConfig[StudyId], SweepStudyConfig[SweepRateA])</f>
        <v>#VALUE!</v>
      </c>
      <c r="L403" s="3" t="e">
        <f>LOOKUP(C403, SweepStudyConfig[StudyId], SweepStudyConfig[SweepRateB])</f>
        <v>#VALUE!</v>
      </c>
      <c r="M403" s="3" t="e">
        <f>LOOKUP(C403, SweepStudyConfig[StudyId], SweepStudyConfig[FixedRateA])</f>
        <v>#VALUE!</v>
      </c>
      <c r="N403" s="3" t="e">
        <f>LOOKUP(C403, SweepStudyConfig[StudyId], SweepStudyConfig[FixedRateB])</f>
        <v>#VALUE!</v>
      </c>
      <c r="O403" s="3" t="e">
        <f>IF(G403 + I403 = 0, "", (G403 * K403 + I403 * M403) / (G403 + I403))</f>
        <v>#VALUE!</v>
      </c>
      <c r="P403" s="3" t="e">
        <f>IF(H403 + J403 = 0, "", (H403 * L403 + J403 * N403) / (H403 + J403))</f>
        <v>#VALUE!</v>
      </c>
      <c r="Q403" s="3" t="e">
        <f>IF(O403 = "", "", O403 - P403)</f>
        <v>#VALUE!</v>
      </c>
      <c r="R403" s="3" t="e">
        <f>LOOKUP(C403, SweepStudyConfig[StudyId], SweepStudyConfig[SweepCorrectedGap])</f>
        <v>#VALUE!</v>
      </c>
      <c r="S403" s="3" t="e">
        <f>IF(Q403 = "", "", Q403 - R403)</f>
        <v>#VALUE!</v>
      </c>
    </row>
    <row r="404">
      <c r="A404" s="2" t="s">
        <v>3692</v>
      </c>
      <c r="B404" s="3" t="str">
        <f>A404</f>
        <v>berkeley-six-dept-1973-f025</v>
      </c>
      <c r="C404" s="2" t="s">
        <v>568</v>
      </c>
      <c r="D404" s="2">
        <v>0.25</v>
      </c>
      <c r="E404" s="3" t="e">
        <f>ABS(D404 - LOOKUP(C404, SweepStudyConfig[StudyId], SweepStudyConfig[OriginalAllocFractionA])) &lt; 0.03</f>
        <v>#VALUE!</v>
      </c>
      <c r="F404" s="3" t="e">
        <f>LOOKUP(C404, SweepStudyConfig[StudyId], SweepStudyConfig[NSweepStratumTotal])</f>
        <v>#VALUE!</v>
      </c>
      <c r="G404" s="3" t="e">
        <f>ROUND(F404 * D404)</f>
        <v>#VALUE!</v>
      </c>
      <c r="H404" s="3" t="e">
        <f>F404 - G404</f>
        <v>#VALUE!</v>
      </c>
      <c r="I404" s="3" t="e">
        <f>LOOKUP(C404, SweepStudyConfig[StudyId], SweepStudyConfig[NFixedA])</f>
        <v>#VALUE!</v>
      </c>
      <c r="J404" s="3" t="e">
        <f>LOOKUP(C404, SweepStudyConfig[StudyId], SweepStudyConfig[NFixedB])</f>
        <v>#VALUE!</v>
      </c>
      <c r="K404" s="3" t="e">
        <f>LOOKUP(C404, SweepStudyConfig[StudyId], SweepStudyConfig[SweepRateA])</f>
        <v>#VALUE!</v>
      </c>
      <c r="L404" s="3" t="e">
        <f>LOOKUP(C404, SweepStudyConfig[StudyId], SweepStudyConfig[SweepRateB])</f>
        <v>#VALUE!</v>
      </c>
      <c r="M404" s="3" t="e">
        <f>LOOKUP(C404, SweepStudyConfig[StudyId], SweepStudyConfig[FixedRateA])</f>
        <v>#VALUE!</v>
      </c>
      <c r="N404" s="3" t="e">
        <f>LOOKUP(C404, SweepStudyConfig[StudyId], SweepStudyConfig[FixedRateB])</f>
        <v>#VALUE!</v>
      </c>
      <c r="O404" s="3" t="e">
        <f>IF(G404 + I404 = 0, "", (G404 * K404 + I404 * M404) / (G404 + I404))</f>
        <v>#VALUE!</v>
      </c>
      <c r="P404" s="3" t="e">
        <f>IF(H404 + J404 = 0, "", (H404 * L404 + J404 * N404) / (H404 + J404))</f>
        <v>#VALUE!</v>
      </c>
      <c r="Q404" s="3" t="e">
        <f>IF(O404 = "", "", O404 - P404)</f>
        <v>#VALUE!</v>
      </c>
      <c r="R404" s="3" t="e">
        <f>LOOKUP(C404, SweepStudyConfig[StudyId], SweepStudyConfig[SweepCorrectedGap])</f>
        <v>#VALUE!</v>
      </c>
      <c r="S404" s="3" t="e">
        <f>IF(Q404 = "", "", Q404 - R404)</f>
        <v>#VALUE!</v>
      </c>
    </row>
    <row r="405">
      <c r="A405" s="2" t="s">
        <v>3693</v>
      </c>
      <c r="B405" s="3" t="str">
        <f>A405</f>
        <v>berkeley-six-dept-1973-f035</v>
      </c>
      <c r="C405" s="2" t="s">
        <v>568</v>
      </c>
      <c r="D405" s="2">
        <v>0.35</v>
      </c>
      <c r="E405" s="3" t="e">
        <f>ABS(D405 - LOOKUP(C405, SweepStudyConfig[StudyId], SweepStudyConfig[OriginalAllocFractionA])) &lt; 0.03</f>
        <v>#VALUE!</v>
      </c>
      <c r="F405" s="3" t="e">
        <f>LOOKUP(C405, SweepStudyConfig[StudyId], SweepStudyConfig[NSweepStratumTotal])</f>
        <v>#VALUE!</v>
      </c>
      <c r="G405" s="3" t="e">
        <f>ROUND(F405 * D405)</f>
        <v>#VALUE!</v>
      </c>
      <c r="H405" s="3" t="e">
        <f>F405 - G405</f>
        <v>#VALUE!</v>
      </c>
      <c r="I405" s="3" t="e">
        <f>LOOKUP(C405, SweepStudyConfig[StudyId], SweepStudyConfig[NFixedA])</f>
        <v>#VALUE!</v>
      </c>
      <c r="J405" s="3" t="e">
        <f>LOOKUP(C405, SweepStudyConfig[StudyId], SweepStudyConfig[NFixedB])</f>
        <v>#VALUE!</v>
      </c>
      <c r="K405" s="3" t="e">
        <f>LOOKUP(C405, SweepStudyConfig[StudyId], SweepStudyConfig[SweepRateA])</f>
        <v>#VALUE!</v>
      </c>
      <c r="L405" s="3" t="e">
        <f>LOOKUP(C405, SweepStudyConfig[StudyId], SweepStudyConfig[SweepRateB])</f>
        <v>#VALUE!</v>
      </c>
      <c r="M405" s="3" t="e">
        <f>LOOKUP(C405, SweepStudyConfig[StudyId], SweepStudyConfig[FixedRateA])</f>
        <v>#VALUE!</v>
      </c>
      <c r="N405" s="3" t="e">
        <f>LOOKUP(C405, SweepStudyConfig[StudyId], SweepStudyConfig[FixedRateB])</f>
        <v>#VALUE!</v>
      </c>
      <c r="O405" s="3" t="e">
        <f>IF(G405 + I405 = 0, "", (G405 * K405 + I405 * M405) / (G405 + I405))</f>
        <v>#VALUE!</v>
      </c>
      <c r="P405" s="3" t="e">
        <f>IF(H405 + J405 = 0, "", (H405 * L405 + J405 * N405) / (H405 + J405))</f>
        <v>#VALUE!</v>
      </c>
      <c r="Q405" s="3" t="e">
        <f>IF(O405 = "", "", O405 - P405)</f>
        <v>#VALUE!</v>
      </c>
      <c r="R405" s="3" t="e">
        <f>LOOKUP(C405, SweepStudyConfig[StudyId], SweepStudyConfig[SweepCorrectedGap])</f>
        <v>#VALUE!</v>
      </c>
      <c r="S405" s="3" t="e">
        <f>IF(Q405 = "", "", Q405 - R405)</f>
        <v>#VALUE!</v>
      </c>
    </row>
    <row r="406">
      <c r="A406" s="2" t="s">
        <v>3694</v>
      </c>
      <c r="B406" s="3" t="str">
        <f>A406</f>
        <v>berkeley-six-dept-1973-f045</v>
      </c>
      <c r="C406" s="2" t="s">
        <v>568</v>
      </c>
      <c r="D406" s="2">
        <v>0.45</v>
      </c>
      <c r="E406" s="3" t="e">
        <f>ABS(D406 - LOOKUP(C406, SweepStudyConfig[StudyId], SweepStudyConfig[OriginalAllocFractionA])) &lt; 0.03</f>
        <v>#VALUE!</v>
      </c>
      <c r="F406" s="3" t="e">
        <f>LOOKUP(C406, SweepStudyConfig[StudyId], SweepStudyConfig[NSweepStratumTotal])</f>
        <v>#VALUE!</v>
      </c>
      <c r="G406" s="3" t="e">
        <f>ROUND(F406 * D406)</f>
        <v>#VALUE!</v>
      </c>
      <c r="H406" s="3" t="e">
        <f>F406 - G406</f>
        <v>#VALUE!</v>
      </c>
      <c r="I406" s="3" t="e">
        <f>LOOKUP(C406, SweepStudyConfig[StudyId], SweepStudyConfig[NFixedA])</f>
        <v>#VALUE!</v>
      </c>
      <c r="J406" s="3" t="e">
        <f>LOOKUP(C406, SweepStudyConfig[StudyId], SweepStudyConfig[NFixedB])</f>
        <v>#VALUE!</v>
      </c>
      <c r="K406" s="3" t="e">
        <f>LOOKUP(C406, SweepStudyConfig[StudyId], SweepStudyConfig[SweepRateA])</f>
        <v>#VALUE!</v>
      </c>
      <c r="L406" s="3" t="e">
        <f>LOOKUP(C406, SweepStudyConfig[StudyId], SweepStudyConfig[SweepRateB])</f>
        <v>#VALUE!</v>
      </c>
      <c r="M406" s="3" t="e">
        <f>LOOKUP(C406, SweepStudyConfig[StudyId], SweepStudyConfig[FixedRateA])</f>
        <v>#VALUE!</v>
      </c>
      <c r="N406" s="3" t="e">
        <f>LOOKUP(C406, SweepStudyConfig[StudyId], SweepStudyConfig[FixedRateB])</f>
        <v>#VALUE!</v>
      </c>
      <c r="O406" s="3" t="e">
        <f>IF(G406 + I406 = 0, "", (G406 * K406 + I406 * M406) / (G406 + I406))</f>
        <v>#VALUE!</v>
      </c>
      <c r="P406" s="3" t="e">
        <f>IF(H406 + J406 = 0, "", (H406 * L406 + J406 * N406) / (H406 + J406))</f>
        <v>#VALUE!</v>
      </c>
      <c r="Q406" s="3" t="e">
        <f>IF(O406 = "", "", O406 - P406)</f>
        <v>#VALUE!</v>
      </c>
      <c r="R406" s="3" t="e">
        <f>LOOKUP(C406, SweepStudyConfig[StudyId], SweepStudyConfig[SweepCorrectedGap])</f>
        <v>#VALUE!</v>
      </c>
      <c r="S406" s="3" t="e">
        <f>IF(Q406 = "", "", Q406 - R406)</f>
        <v>#VALUE!</v>
      </c>
    </row>
    <row r="407">
      <c r="A407" s="2" t="s">
        <v>3695</v>
      </c>
      <c r="B407" s="3" t="str">
        <f>A407</f>
        <v>berkeley-six-dept-1973-f055</v>
      </c>
      <c r="C407" s="2" t="s">
        <v>568</v>
      </c>
      <c r="D407" s="2">
        <v>0.55</v>
      </c>
      <c r="E407" s="3" t="e">
        <f>ABS(D407 - LOOKUP(C407, SweepStudyConfig[StudyId], SweepStudyConfig[OriginalAllocFractionA])) &lt; 0.03</f>
        <v>#VALUE!</v>
      </c>
      <c r="F407" s="3" t="e">
        <f>LOOKUP(C407, SweepStudyConfig[StudyId], SweepStudyConfig[NSweepStratumTotal])</f>
        <v>#VALUE!</v>
      </c>
      <c r="G407" s="3" t="e">
        <f>ROUND(F407 * D407)</f>
        <v>#VALUE!</v>
      </c>
      <c r="H407" s="3" t="e">
        <f>F407 - G407</f>
        <v>#VALUE!</v>
      </c>
      <c r="I407" s="3" t="e">
        <f>LOOKUP(C407, SweepStudyConfig[StudyId], SweepStudyConfig[NFixedA])</f>
        <v>#VALUE!</v>
      </c>
      <c r="J407" s="3" t="e">
        <f>LOOKUP(C407, SweepStudyConfig[StudyId], SweepStudyConfig[NFixedB])</f>
        <v>#VALUE!</v>
      </c>
      <c r="K407" s="3" t="e">
        <f>LOOKUP(C407, SweepStudyConfig[StudyId], SweepStudyConfig[SweepRateA])</f>
        <v>#VALUE!</v>
      </c>
      <c r="L407" s="3" t="e">
        <f>LOOKUP(C407, SweepStudyConfig[StudyId], SweepStudyConfig[SweepRateB])</f>
        <v>#VALUE!</v>
      </c>
      <c r="M407" s="3" t="e">
        <f>LOOKUP(C407, SweepStudyConfig[StudyId], SweepStudyConfig[FixedRateA])</f>
        <v>#VALUE!</v>
      </c>
      <c r="N407" s="3" t="e">
        <f>LOOKUP(C407, SweepStudyConfig[StudyId], SweepStudyConfig[FixedRateB])</f>
        <v>#VALUE!</v>
      </c>
      <c r="O407" s="3" t="e">
        <f>IF(G407 + I407 = 0, "", (G407 * K407 + I407 * M407) / (G407 + I407))</f>
        <v>#VALUE!</v>
      </c>
      <c r="P407" s="3" t="e">
        <f>IF(H407 + J407 = 0, "", (H407 * L407 + J407 * N407) / (H407 + J407))</f>
        <v>#VALUE!</v>
      </c>
      <c r="Q407" s="3" t="e">
        <f>IF(O407 = "", "", O407 - P407)</f>
        <v>#VALUE!</v>
      </c>
      <c r="R407" s="3" t="e">
        <f>LOOKUP(C407, SweepStudyConfig[StudyId], SweepStudyConfig[SweepCorrectedGap])</f>
        <v>#VALUE!</v>
      </c>
      <c r="S407" s="3" t="e">
        <f>IF(Q407 = "", "", Q407 - R407)</f>
        <v>#VALUE!</v>
      </c>
    </row>
    <row r="408">
      <c r="A408" s="2" t="s">
        <v>3696</v>
      </c>
      <c r="B408" s="3" t="str">
        <f>A408</f>
        <v>berkeley-six-dept-1973-f065</v>
      </c>
      <c r="C408" s="2" t="s">
        <v>568</v>
      </c>
      <c r="D408" s="2">
        <v>0.65</v>
      </c>
      <c r="E408" s="3" t="e">
        <f>ABS(D408 - LOOKUP(C408, SweepStudyConfig[StudyId], SweepStudyConfig[OriginalAllocFractionA])) &lt; 0.03</f>
        <v>#VALUE!</v>
      </c>
      <c r="F408" s="3" t="e">
        <f>LOOKUP(C408, SweepStudyConfig[StudyId], SweepStudyConfig[NSweepStratumTotal])</f>
        <v>#VALUE!</v>
      </c>
      <c r="G408" s="3" t="e">
        <f>ROUND(F408 * D408)</f>
        <v>#VALUE!</v>
      </c>
      <c r="H408" s="3" t="e">
        <f>F408 - G408</f>
        <v>#VALUE!</v>
      </c>
      <c r="I408" s="3" t="e">
        <f>LOOKUP(C408, SweepStudyConfig[StudyId], SweepStudyConfig[NFixedA])</f>
        <v>#VALUE!</v>
      </c>
      <c r="J408" s="3" t="e">
        <f>LOOKUP(C408, SweepStudyConfig[StudyId], SweepStudyConfig[NFixedB])</f>
        <v>#VALUE!</v>
      </c>
      <c r="K408" s="3" t="e">
        <f>LOOKUP(C408, SweepStudyConfig[StudyId], SweepStudyConfig[SweepRateA])</f>
        <v>#VALUE!</v>
      </c>
      <c r="L408" s="3" t="e">
        <f>LOOKUP(C408, SweepStudyConfig[StudyId], SweepStudyConfig[SweepRateB])</f>
        <v>#VALUE!</v>
      </c>
      <c r="M408" s="3" t="e">
        <f>LOOKUP(C408, SweepStudyConfig[StudyId], SweepStudyConfig[FixedRateA])</f>
        <v>#VALUE!</v>
      </c>
      <c r="N408" s="3" t="e">
        <f>LOOKUP(C408, SweepStudyConfig[StudyId], SweepStudyConfig[FixedRateB])</f>
        <v>#VALUE!</v>
      </c>
      <c r="O408" s="3" t="e">
        <f>IF(G408 + I408 = 0, "", (G408 * K408 + I408 * M408) / (G408 + I408))</f>
        <v>#VALUE!</v>
      </c>
      <c r="P408" s="3" t="e">
        <f>IF(H408 + J408 = 0, "", (H408 * L408 + J408 * N408) / (H408 + J408))</f>
        <v>#VALUE!</v>
      </c>
      <c r="Q408" s="3" t="e">
        <f>IF(O408 = "", "", O408 - P408)</f>
        <v>#VALUE!</v>
      </c>
      <c r="R408" s="3" t="e">
        <f>LOOKUP(C408, SweepStudyConfig[StudyId], SweepStudyConfig[SweepCorrectedGap])</f>
        <v>#VALUE!</v>
      </c>
      <c r="S408" s="3" t="e">
        <f>IF(Q408 = "", "", Q408 - R408)</f>
        <v>#VALUE!</v>
      </c>
    </row>
    <row r="409">
      <c r="A409" s="2" t="s">
        <v>3697</v>
      </c>
      <c r="B409" s="3" t="str">
        <f>A409</f>
        <v>berkeley-six-dept-1973-f075</v>
      </c>
      <c r="C409" s="2" t="s">
        <v>568</v>
      </c>
      <c r="D409" s="2">
        <v>0.75</v>
      </c>
      <c r="E409" s="3" t="e">
        <f>ABS(D409 - LOOKUP(C409, SweepStudyConfig[StudyId], SweepStudyConfig[OriginalAllocFractionA])) &lt; 0.03</f>
        <v>#VALUE!</v>
      </c>
      <c r="F409" s="3" t="e">
        <f>LOOKUP(C409, SweepStudyConfig[StudyId], SweepStudyConfig[NSweepStratumTotal])</f>
        <v>#VALUE!</v>
      </c>
      <c r="G409" s="3" t="e">
        <f>ROUND(F409 * D409)</f>
        <v>#VALUE!</v>
      </c>
      <c r="H409" s="3" t="e">
        <f>F409 - G409</f>
        <v>#VALUE!</v>
      </c>
      <c r="I409" s="3" t="e">
        <f>LOOKUP(C409, SweepStudyConfig[StudyId], SweepStudyConfig[NFixedA])</f>
        <v>#VALUE!</v>
      </c>
      <c r="J409" s="3" t="e">
        <f>LOOKUP(C409, SweepStudyConfig[StudyId], SweepStudyConfig[NFixedB])</f>
        <v>#VALUE!</v>
      </c>
      <c r="K409" s="3" t="e">
        <f>LOOKUP(C409, SweepStudyConfig[StudyId], SweepStudyConfig[SweepRateA])</f>
        <v>#VALUE!</v>
      </c>
      <c r="L409" s="3" t="e">
        <f>LOOKUP(C409, SweepStudyConfig[StudyId], SweepStudyConfig[SweepRateB])</f>
        <v>#VALUE!</v>
      </c>
      <c r="M409" s="3" t="e">
        <f>LOOKUP(C409, SweepStudyConfig[StudyId], SweepStudyConfig[FixedRateA])</f>
        <v>#VALUE!</v>
      </c>
      <c r="N409" s="3" t="e">
        <f>LOOKUP(C409, SweepStudyConfig[StudyId], SweepStudyConfig[FixedRateB])</f>
        <v>#VALUE!</v>
      </c>
      <c r="O409" s="3" t="e">
        <f>IF(G409 + I409 = 0, "", (G409 * K409 + I409 * M409) / (G409 + I409))</f>
        <v>#VALUE!</v>
      </c>
      <c r="P409" s="3" t="e">
        <f>IF(H409 + J409 = 0, "", (H409 * L409 + J409 * N409) / (H409 + J409))</f>
        <v>#VALUE!</v>
      </c>
      <c r="Q409" s="3" t="e">
        <f>IF(O409 = "", "", O409 - P409)</f>
        <v>#VALUE!</v>
      </c>
      <c r="R409" s="3" t="e">
        <f>LOOKUP(C409, SweepStudyConfig[StudyId], SweepStudyConfig[SweepCorrectedGap])</f>
        <v>#VALUE!</v>
      </c>
      <c r="S409" s="3" t="e">
        <f>IF(Q409 = "", "", Q409 - R409)</f>
        <v>#VALUE!</v>
      </c>
    </row>
    <row r="410">
      <c r="A410" s="2" t="s">
        <v>3698</v>
      </c>
      <c r="B410" s="3" t="str">
        <f>A410</f>
        <v>berkeley-six-dept-1973-f085</v>
      </c>
      <c r="C410" s="2" t="s">
        <v>568</v>
      </c>
      <c r="D410" s="2">
        <v>0.85</v>
      </c>
      <c r="E410" s="3" t="e">
        <f>ABS(D410 - LOOKUP(C410, SweepStudyConfig[StudyId], SweepStudyConfig[OriginalAllocFractionA])) &lt; 0.03</f>
        <v>#VALUE!</v>
      </c>
      <c r="F410" s="3" t="e">
        <f>LOOKUP(C410, SweepStudyConfig[StudyId], SweepStudyConfig[NSweepStratumTotal])</f>
        <v>#VALUE!</v>
      </c>
      <c r="G410" s="3" t="e">
        <f>ROUND(F410 * D410)</f>
        <v>#VALUE!</v>
      </c>
      <c r="H410" s="3" t="e">
        <f>F410 - G410</f>
        <v>#VALUE!</v>
      </c>
      <c r="I410" s="3" t="e">
        <f>LOOKUP(C410, SweepStudyConfig[StudyId], SweepStudyConfig[NFixedA])</f>
        <v>#VALUE!</v>
      </c>
      <c r="J410" s="3" t="e">
        <f>LOOKUP(C410, SweepStudyConfig[StudyId], SweepStudyConfig[NFixedB])</f>
        <v>#VALUE!</v>
      </c>
      <c r="K410" s="3" t="e">
        <f>LOOKUP(C410, SweepStudyConfig[StudyId], SweepStudyConfig[SweepRateA])</f>
        <v>#VALUE!</v>
      </c>
      <c r="L410" s="3" t="e">
        <f>LOOKUP(C410, SweepStudyConfig[StudyId], SweepStudyConfig[SweepRateB])</f>
        <v>#VALUE!</v>
      </c>
      <c r="M410" s="3" t="e">
        <f>LOOKUP(C410, SweepStudyConfig[StudyId], SweepStudyConfig[FixedRateA])</f>
        <v>#VALUE!</v>
      </c>
      <c r="N410" s="3" t="e">
        <f>LOOKUP(C410, SweepStudyConfig[StudyId], SweepStudyConfig[FixedRateB])</f>
        <v>#VALUE!</v>
      </c>
      <c r="O410" s="3" t="e">
        <f>IF(G410 + I410 = 0, "", (G410 * K410 + I410 * M410) / (G410 + I410))</f>
        <v>#VALUE!</v>
      </c>
      <c r="P410" s="3" t="e">
        <f>IF(H410 + J410 = 0, "", (H410 * L410 + J410 * N410) / (H410 + J410))</f>
        <v>#VALUE!</v>
      </c>
      <c r="Q410" s="3" t="e">
        <f>IF(O410 = "", "", O410 - P410)</f>
        <v>#VALUE!</v>
      </c>
      <c r="R410" s="3" t="e">
        <f>LOOKUP(C410, SweepStudyConfig[StudyId], SweepStudyConfig[SweepCorrectedGap])</f>
        <v>#VALUE!</v>
      </c>
      <c r="S410" s="3" t="e">
        <f>IF(Q410 = "", "", Q410 - R410)</f>
        <v>#VALUE!</v>
      </c>
    </row>
    <row r="411">
      <c r="A411" s="2" t="s">
        <v>3699</v>
      </c>
      <c r="B411" s="3" t="str">
        <f>A411</f>
        <v>berkeley-six-dept-1973-f095</v>
      </c>
      <c r="C411" s="2" t="s">
        <v>568</v>
      </c>
      <c r="D411" s="2">
        <v>0.95</v>
      </c>
      <c r="E411" s="3" t="e">
        <f>ABS(D411 - LOOKUP(C411, SweepStudyConfig[StudyId], SweepStudyConfig[OriginalAllocFractionA])) &lt; 0.03</f>
        <v>#VALUE!</v>
      </c>
      <c r="F411" s="3" t="e">
        <f>LOOKUP(C411, SweepStudyConfig[StudyId], SweepStudyConfig[NSweepStratumTotal])</f>
        <v>#VALUE!</v>
      </c>
      <c r="G411" s="3" t="e">
        <f>ROUND(F411 * D411)</f>
        <v>#VALUE!</v>
      </c>
      <c r="H411" s="3" t="e">
        <f>F411 - G411</f>
        <v>#VALUE!</v>
      </c>
      <c r="I411" s="3" t="e">
        <f>LOOKUP(C411, SweepStudyConfig[StudyId], SweepStudyConfig[NFixedA])</f>
        <v>#VALUE!</v>
      </c>
      <c r="J411" s="3" t="e">
        <f>LOOKUP(C411, SweepStudyConfig[StudyId], SweepStudyConfig[NFixedB])</f>
        <v>#VALUE!</v>
      </c>
      <c r="K411" s="3" t="e">
        <f>LOOKUP(C411, SweepStudyConfig[StudyId], SweepStudyConfig[SweepRateA])</f>
        <v>#VALUE!</v>
      </c>
      <c r="L411" s="3" t="e">
        <f>LOOKUP(C411, SweepStudyConfig[StudyId], SweepStudyConfig[SweepRateB])</f>
        <v>#VALUE!</v>
      </c>
      <c r="M411" s="3" t="e">
        <f>LOOKUP(C411, SweepStudyConfig[StudyId], SweepStudyConfig[FixedRateA])</f>
        <v>#VALUE!</v>
      </c>
      <c r="N411" s="3" t="e">
        <f>LOOKUP(C411, SweepStudyConfig[StudyId], SweepStudyConfig[FixedRateB])</f>
        <v>#VALUE!</v>
      </c>
      <c r="O411" s="3" t="e">
        <f>IF(G411 + I411 = 0, "", (G411 * K411 + I411 * M411) / (G411 + I411))</f>
        <v>#VALUE!</v>
      </c>
      <c r="P411" s="3" t="e">
        <f>IF(H411 + J411 = 0, "", (H411 * L411 + J411 * N411) / (H411 + J411))</f>
        <v>#VALUE!</v>
      </c>
      <c r="Q411" s="3" t="e">
        <f>IF(O411 = "", "", O411 - P411)</f>
        <v>#VALUE!</v>
      </c>
      <c r="R411" s="3" t="e">
        <f>LOOKUP(C411, SweepStudyConfig[StudyId], SweepStudyConfig[SweepCorrectedGap])</f>
        <v>#VALUE!</v>
      </c>
      <c r="S411" s="3" t="e">
        <f>IF(Q411 = "", "", Q411 - R411)</f>
        <v>#VALUE!</v>
      </c>
    </row>
    <row r="412">
      <c r="A412" s="2" t="s">
        <v>3700</v>
      </c>
      <c r="B412" s="3" t="str">
        <f>A412</f>
        <v>rosiglitazone-mi-pool-2007-f005</v>
      </c>
      <c r="C412" s="2" t="s">
        <v>572</v>
      </c>
      <c r="D412" s="2">
        <v>0.05</v>
      </c>
      <c r="E412" s="3" t="e">
        <f>ABS(D412 - LOOKUP(C412, SweepStudyConfig[StudyId], SweepStudyConfig[OriginalAllocFractionA])) &lt; 0.03</f>
        <v>#VALUE!</v>
      </c>
      <c r="F412" s="3" t="e">
        <f>LOOKUP(C412, SweepStudyConfig[StudyId], SweepStudyConfig[NSweepStratumTotal])</f>
        <v>#VALUE!</v>
      </c>
      <c r="G412" s="3" t="e">
        <f>ROUND(F412 * D412)</f>
        <v>#VALUE!</v>
      </c>
      <c r="H412" s="3" t="e">
        <f>F412 - G412</f>
        <v>#VALUE!</v>
      </c>
      <c r="I412" s="3" t="e">
        <f>LOOKUP(C412, SweepStudyConfig[StudyId], SweepStudyConfig[NFixedA])</f>
        <v>#VALUE!</v>
      </c>
      <c r="J412" s="3" t="e">
        <f>LOOKUP(C412, SweepStudyConfig[StudyId], SweepStudyConfig[NFixedB])</f>
        <v>#VALUE!</v>
      </c>
      <c r="K412" s="3" t="e">
        <f>LOOKUP(C412, SweepStudyConfig[StudyId], SweepStudyConfig[SweepRateA])</f>
        <v>#VALUE!</v>
      </c>
      <c r="L412" s="3" t="e">
        <f>LOOKUP(C412, SweepStudyConfig[StudyId], SweepStudyConfig[SweepRateB])</f>
        <v>#VALUE!</v>
      </c>
      <c r="M412" s="3" t="e">
        <f>LOOKUP(C412, SweepStudyConfig[StudyId], SweepStudyConfig[FixedRateA])</f>
        <v>#VALUE!</v>
      </c>
      <c r="N412" s="3" t="e">
        <f>LOOKUP(C412, SweepStudyConfig[StudyId], SweepStudyConfig[FixedRateB])</f>
        <v>#VALUE!</v>
      </c>
      <c r="O412" s="3" t="e">
        <f>IF(G412 + I412 = 0, "", (G412 * K412 + I412 * M412) / (G412 + I412))</f>
        <v>#VALUE!</v>
      </c>
      <c r="P412" s="3" t="e">
        <f>IF(H412 + J412 = 0, "", (H412 * L412 + J412 * N412) / (H412 + J412))</f>
        <v>#VALUE!</v>
      </c>
      <c r="Q412" s="3" t="e">
        <f>IF(O412 = "", "", O412 - P412)</f>
        <v>#VALUE!</v>
      </c>
      <c r="R412" s="3" t="e">
        <f>LOOKUP(C412, SweepStudyConfig[StudyId], SweepStudyConfig[SweepCorrectedGap])</f>
        <v>#VALUE!</v>
      </c>
      <c r="S412" s="3" t="e">
        <f>IF(Q412 = "", "", Q412 - R412)</f>
        <v>#VALUE!</v>
      </c>
    </row>
    <row r="413">
      <c r="A413" s="2" t="s">
        <v>3701</v>
      </c>
      <c r="B413" s="3" t="str">
        <f>A413</f>
        <v>rosiglitazone-mi-pool-2007-f015</v>
      </c>
      <c r="C413" s="2" t="s">
        <v>572</v>
      </c>
      <c r="D413" s="2">
        <v>0.15</v>
      </c>
      <c r="E413" s="3" t="e">
        <f>ABS(D413 - LOOKUP(C413, SweepStudyConfig[StudyId], SweepStudyConfig[OriginalAllocFractionA])) &lt; 0.03</f>
        <v>#VALUE!</v>
      </c>
      <c r="F413" s="3" t="e">
        <f>LOOKUP(C413, SweepStudyConfig[StudyId], SweepStudyConfig[NSweepStratumTotal])</f>
        <v>#VALUE!</v>
      </c>
      <c r="G413" s="3" t="e">
        <f>ROUND(F413 * D413)</f>
        <v>#VALUE!</v>
      </c>
      <c r="H413" s="3" t="e">
        <f>F413 - G413</f>
        <v>#VALUE!</v>
      </c>
      <c r="I413" s="3" t="e">
        <f>LOOKUP(C413, SweepStudyConfig[StudyId], SweepStudyConfig[NFixedA])</f>
        <v>#VALUE!</v>
      </c>
      <c r="J413" s="3" t="e">
        <f>LOOKUP(C413, SweepStudyConfig[StudyId], SweepStudyConfig[NFixedB])</f>
        <v>#VALUE!</v>
      </c>
      <c r="K413" s="3" t="e">
        <f>LOOKUP(C413, SweepStudyConfig[StudyId], SweepStudyConfig[SweepRateA])</f>
        <v>#VALUE!</v>
      </c>
      <c r="L413" s="3" t="e">
        <f>LOOKUP(C413, SweepStudyConfig[StudyId], SweepStudyConfig[SweepRateB])</f>
        <v>#VALUE!</v>
      </c>
      <c r="M413" s="3" t="e">
        <f>LOOKUP(C413, SweepStudyConfig[StudyId], SweepStudyConfig[FixedRateA])</f>
        <v>#VALUE!</v>
      </c>
      <c r="N413" s="3" t="e">
        <f>LOOKUP(C413, SweepStudyConfig[StudyId], SweepStudyConfig[FixedRateB])</f>
        <v>#VALUE!</v>
      </c>
      <c r="O413" s="3" t="e">
        <f>IF(G413 + I413 = 0, "", (G413 * K413 + I413 * M413) / (G413 + I413))</f>
        <v>#VALUE!</v>
      </c>
      <c r="P413" s="3" t="e">
        <f>IF(H413 + J413 = 0, "", (H413 * L413 + J413 * N413) / (H413 + J413))</f>
        <v>#VALUE!</v>
      </c>
      <c r="Q413" s="3" t="e">
        <f>IF(O413 = "", "", O413 - P413)</f>
        <v>#VALUE!</v>
      </c>
      <c r="R413" s="3" t="e">
        <f>LOOKUP(C413, SweepStudyConfig[StudyId], SweepStudyConfig[SweepCorrectedGap])</f>
        <v>#VALUE!</v>
      </c>
      <c r="S413" s="3" t="e">
        <f>IF(Q413 = "", "", Q413 - R413)</f>
        <v>#VALUE!</v>
      </c>
    </row>
    <row r="414">
      <c r="A414" s="2" t="s">
        <v>3702</v>
      </c>
      <c r="B414" s="3" t="str">
        <f>A414</f>
        <v>rosiglitazone-mi-pool-2007-f025</v>
      </c>
      <c r="C414" s="2" t="s">
        <v>572</v>
      </c>
      <c r="D414" s="2">
        <v>0.25</v>
      </c>
      <c r="E414" s="3" t="e">
        <f>ABS(D414 - LOOKUP(C414, SweepStudyConfig[StudyId], SweepStudyConfig[OriginalAllocFractionA])) &lt; 0.03</f>
        <v>#VALUE!</v>
      </c>
      <c r="F414" s="3" t="e">
        <f>LOOKUP(C414, SweepStudyConfig[StudyId], SweepStudyConfig[NSweepStratumTotal])</f>
        <v>#VALUE!</v>
      </c>
      <c r="G414" s="3" t="e">
        <f>ROUND(F414 * D414)</f>
        <v>#VALUE!</v>
      </c>
      <c r="H414" s="3" t="e">
        <f>F414 - G414</f>
        <v>#VALUE!</v>
      </c>
      <c r="I414" s="3" t="e">
        <f>LOOKUP(C414, SweepStudyConfig[StudyId], SweepStudyConfig[NFixedA])</f>
        <v>#VALUE!</v>
      </c>
      <c r="J414" s="3" t="e">
        <f>LOOKUP(C414, SweepStudyConfig[StudyId], SweepStudyConfig[NFixedB])</f>
        <v>#VALUE!</v>
      </c>
      <c r="K414" s="3" t="e">
        <f>LOOKUP(C414, SweepStudyConfig[StudyId], SweepStudyConfig[SweepRateA])</f>
        <v>#VALUE!</v>
      </c>
      <c r="L414" s="3" t="e">
        <f>LOOKUP(C414, SweepStudyConfig[StudyId], SweepStudyConfig[SweepRateB])</f>
        <v>#VALUE!</v>
      </c>
      <c r="M414" s="3" t="e">
        <f>LOOKUP(C414, SweepStudyConfig[StudyId], SweepStudyConfig[FixedRateA])</f>
        <v>#VALUE!</v>
      </c>
      <c r="N414" s="3" t="e">
        <f>LOOKUP(C414, SweepStudyConfig[StudyId], SweepStudyConfig[FixedRateB])</f>
        <v>#VALUE!</v>
      </c>
      <c r="O414" s="3" t="e">
        <f>IF(G414 + I414 = 0, "", (G414 * K414 + I414 * M414) / (G414 + I414))</f>
        <v>#VALUE!</v>
      </c>
      <c r="P414" s="3" t="e">
        <f>IF(H414 + J414 = 0, "", (H414 * L414 + J414 * N414) / (H414 + J414))</f>
        <v>#VALUE!</v>
      </c>
      <c r="Q414" s="3" t="e">
        <f>IF(O414 = "", "", O414 - P414)</f>
        <v>#VALUE!</v>
      </c>
      <c r="R414" s="3" t="e">
        <f>LOOKUP(C414, SweepStudyConfig[StudyId], SweepStudyConfig[SweepCorrectedGap])</f>
        <v>#VALUE!</v>
      </c>
      <c r="S414" s="3" t="e">
        <f>IF(Q414 = "", "", Q414 - R414)</f>
        <v>#VALUE!</v>
      </c>
    </row>
    <row r="415">
      <c r="A415" s="2" t="s">
        <v>3703</v>
      </c>
      <c r="B415" s="3" t="str">
        <f>A415</f>
        <v>rosiglitazone-mi-pool-2007-f035</v>
      </c>
      <c r="C415" s="2" t="s">
        <v>572</v>
      </c>
      <c r="D415" s="2">
        <v>0.35</v>
      </c>
      <c r="E415" s="3" t="e">
        <f>ABS(D415 - LOOKUP(C415, SweepStudyConfig[StudyId], SweepStudyConfig[OriginalAllocFractionA])) &lt; 0.03</f>
        <v>#VALUE!</v>
      </c>
      <c r="F415" s="3" t="e">
        <f>LOOKUP(C415, SweepStudyConfig[StudyId], SweepStudyConfig[NSweepStratumTotal])</f>
        <v>#VALUE!</v>
      </c>
      <c r="G415" s="3" t="e">
        <f>ROUND(F415 * D415)</f>
        <v>#VALUE!</v>
      </c>
      <c r="H415" s="3" t="e">
        <f>F415 - G415</f>
        <v>#VALUE!</v>
      </c>
      <c r="I415" s="3" t="e">
        <f>LOOKUP(C415, SweepStudyConfig[StudyId], SweepStudyConfig[NFixedA])</f>
        <v>#VALUE!</v>
      </c>
      <c r="J415" s="3" t="e">
        <f>LOOKUP(C415, SweepStudyConfig[StudyId], SweepStudyConfig[NFixedB])</f>
        <v>#VALUE!</v>
      </c>
      <c r="K415" s="3" t="e">
        <f>LOOKUP(C415, SweepStudyConfig[StudyId], SweepStudyConfig[SweepRateA])</f>
        <v>#VALUE!</v>
      </c>
      <c r="L415" s="3" t="e">
        <f>LOOKUP(C415, SweepStudyConfig[StudyId], SweepStudyConfig[SweepRateB])</f>
        <v>#VALUE!</v>
      </c>
      <c r="M415" s="3" t="e">
        <f>LOOKUP(C415, SweepStudyConfig[StudyId], SweepStudyConfig[FixedRateA])</f>
        <v>#VALUE!</v>
      </c>
      <c r="N415" s="3" t="e">
        <f>LOOKUP(C415, SweepStudyConfig[StudyId], SweepStudyConfig[FixedRateB])</f>
        <v>#VALUE!</v>
      </c>
      <c r="O415" s="3" t="e">
        <f>IF(G415 + I415 = 0, "", (G415 * K415 + I415 * M415) / (G415 + I415))</f>
        <v>#VALUE!</v>
      </c>
      <c r="P415" s="3" t="e">
        <f>IF(H415 + J415 = 0, "", (H415 * L415 + J415 * N415) / (H415 + J415))</f>
        <v>#VALUE!</v>
      </c>
      <c r="Q415" s="3" t="e">
        <f>IF(O415 = "", "", O415 - P415)</f>
        <v>#VALUE!</v>
      </c>
      <c r="R415" s="3" t="e">
        <f>LOOKUP(C415, SweepStudyConfig[StudyId], SweepStudyConfig[SweepCorrectedGap])</f>
        <v>#VALUE!</v>
      </c>
      <c r="S415" s="3" t="e">
        <f>IF(Q415 = "", "", Q415 - R415)</f>
        <v>#VALUE!</v>
      </c>
    </row>
    <row r="416">
      <c r="A416" s="2" t="s">
        <v>3704</v>
      </c>
      <c r="B416" s="3" t="str">
        <f>A416</f>
        <v>rosiglitazone-mi-pool-2007-f045</v>
      </c>
      <c r="C416" s="2" t="s">
        <v>572</v>
      </c>
      <c r="D416" s="2">
        <v>0.45</v>
      </c>
      <c r="E416" s="3" t="e">
        <f>ABS(D416 - LOOKUP(C416, SweepStudyConfig[StudyId], SweepStudyConfig[OriginalAllocFractionA])) &lt; 0.03</f>
        <v>#VALUE!</v>
      </c>
      <c r="F416" s="3" t="e">
        <f>LOOKUP(C416, SweepStudyConfig[StudyId], SweepStudyConfig[NSweepStratumTotal])</f>
        <v>#VALUE!</v>
      </c>
      <c r="G416" s="3" t="e">
        <f>ROUND(F416 * D416)</f>
        <v>#VALUE!</v>
      </c>
      <c r="H416" s="3" t="e">
        <f>F416 - G416</f>
        <v>#VALUE!</v>
      </c>
      <c r="I416" s="3" t="e">
        <f>LOOKUP(C416, SweepStudyConfig[StudyId], SweepStudyConfig[NFixedA])</f>
        <v>#VALUE!</v>
      </c>
      <c r="J416" s="3" t="e">
        <f>LOOKUP(C416, SweepStudyConfig[StudyId], SweepStudyConfig[NFixedB])</f>
        <v>#VALUE!</v>
      </c>
      <c r="K416" s="3" t="e">
        <f>LOOKUP(C416, SweepStudyConfig[StudyId], SweepStudyConfig[SweepRateA])</f>
        <v>#VALUE!</v>
      </c>
      <c r="L416" s="3" t="e">
        <f>LOOKUP(C416, SweepStudyConfig[StudyId], SweepStudyConfig[SweepRateB])</f>
        <v>#VALUE!</v>
      </c>
      <c r="M416" s="3" t="e">
        <f>LOOKUP(C416, SweepStudyConfig[StudyId], SweepStudyConfig[FixedRateA])</f>
        <v>#VALUE!</v>
      </c>
      <c r="N416" s="3" t="e">
        <f>LOOKUP(C416, SweepStudyConfig[StudyId], SweepStudyConfig[FixedRateB])</f>
        <v>#VALUE!</v>
      </c>
      <c r="O416" s="3" t="e">
        <f>IF(G416 + I416 = 0, "", (G416 * K416 + I416 * M416) / (G416 + I416))</f>
        <v>#VALUE!</v>
      </c>
      <c r="P416" s="3" t="e">
        <f>IF(H416 + J416 = 0, "", (H416 * L416 + J416 * N416) / (H416 + J416))</f>
        <v>#VALUE!</v>
      </c>
      <c r="Q416" s="3" t="e">
        <f>IF(O416 = "", "", O416 - P416)</f>
        <v>#VALUE!</v>
      </c>
      <c r="R416" s="3" t="e">
        <f>LOOKUP(C416, SweepStudyConfig[StudyId], SweepStudyConfig[SweepCorrectedGap])</f>
        <v>#VALUE!</v>
      </c>
      <c r="S416" s="3" t="e">
        <f>IF(Q416 = "", "", Q416 - R416)</f>
        <v>#VALUE!</v>
      </c>
    </row>
    <row r="417">
      <c r="A417" s="2" t="s">
        <v>3705</v>
      </c>
      <c r="B417" s="3" t="str">
        <f>A417</f>
        <v>rosiglitazone-mi-pool-2007-f055</v>
      </c>
      <c r="C417" s="2" t="s">
        <v>572</v>
      </c>
      <c r="D417" s="2">
        <v>0.55</v>
      </c>
      <c r="E417" s="3" t="e">
        <f>ABS(D417 - LOOKUP(C417, SweepStudyConfig[StudyId], SweepStudyConfig[OriginalAllocFractionA])) &lt; 0.03</f>
        <v>#VALUE!</v>
      </c>
      <c r="F417" s="3" t="e">
        <f>LOOKUP(C417, SweepStudyConfig[StudyId], SweepStudyConfig[NSweepStratumTotal])</f>
        <v>#VALUE!</v>
      </c>
      <c r="G417" s="3" t="e">
        <f>ROUND(F417 * D417)</f>
        <v>#VALUE!</v>
      </c>
      <c r="H417" s="3" t="e">
        <f>F417 - G417</f>
        <v>#VALUE!</v>
      </c>
      <c r="I417" s="3" t="e">
        <f>LOOKUP(C417, SweepStudyConfig[StudyId], SweepStudyConfig[NFixedA])</f>
        <v>#VALUE!</v>
      </c>
      <c r="J417" s="3" t="e">
        <f>LOOKUP(C417, SweepStudyConfig[StudyId], SweepStudyConfig[NFixedB])</f>
        <v>#VALUE!</v>
      </c>
      <c r="K417" s="3" t="e">
        <f>LOOKUP(C417, SweepStudyConfig[StudyId], SweepStudyConfig[SweepRateA])</f>
        <v>#VALUE!</v>
      </c>
      <c r="L417" s="3" t="e">
        <f>LOOKUP(C417, SweepStudyConfig[StudyId], SweepStudyConfig[SweepRateB])</f>
        <v>#VALUE!</v>
      </c>
      <c r="M417" s="3" t="e">
        <f>LOOKUP(C417, SweepStudyConfig[StudyId], SweepStudyConfig[FixedRateA])</f>
        <v>#VALUE!</v>
      </c>
      <c r="N417" s="3" t="e">
        <f>LOOKUP(C417, SweepStudyConfig[StudyId], SweepStudyConfig[FixedRateB])</f>
        <v>#VALUE!</v>
      </c>
      <c r="O417" s="3" t="e">
        <f>IF(G417 + I417 = 0, "", (G417 * K417 + I417 * M417) / (G417 + I417))</f>
        <v>#VALUE!</v>
      </c>
      <c r="P417" s="3" t="e">
        <f>IF(H417 + J417 = 0, "", (H417 * L417 + J417 * N417) / (H417 + J417))</f>
        <v>#VALUE!</v>
      </c>
      <c r="Q417" s="3" t="e">
        <f>IF(O417 = "", "", O417 - P417)</f>
        <v>#VALUE!</v>
      </c>
      <c r="R417" s="3" t="e">
        <f>LOOKUP(C417, SweepStudyConfig[StudyId], SweepStudyConfig[SweepCorrectedGap])</f>
        <v>#VALUE!</v>
      </c>
      <c r="S417" s="3" t="e">
        <f>IF(Q417 = "", "", Q417 - R417)</f>
        <v>#VALUE!</v>
      </c>
    </row>
    <row r="418">
      <c r="A418" s="2" t="s">
        <v>3706</v>
      </c>
      <c r="B418" s="3" t="str">
        <f>A418</f>
        <v>rosiglitazone-mi-pool-2007-f065</v>
      </c>
      <c r="C418" s="2" t="s">
        <v>572</v>
      </c>
      <c r="D418" s="2">
        <v>0.65</v>
      </c>
      <c r="E418" s="3" t="e">
        <f>ABS(D418 - LOOKUP(C418, SweepStudyConfig[StudyId], SweepStudyConfig[OriginalAllocFractionA])) &lt; 0.03</f>
        <v>#VALUE!</v>
      </c>
      <c r="F418" s="3" t="e">
        <f>LOOKUP(C418, SweepStudyConfig[StudyId], SweepStudyConfig[NSweepStratumTotal])</f>
        <v>#VALUE!</v>
      </c>
      <c r="G418" s="3" t="e">
        <f>ROUND(F418 * D418)</f>
        <v>#VALUE!</v>
      </c>
      <c r="H418" s="3" t="e">
        <f>F418 - G418</f>
        <v>#VALUE!</v>
      </c>
      <c r="I418" s="3" t="e">
        <f>LOOKUP(C418, SweepStudyConfig[StudyId], SweepStudyConfig[NFixedA])</f>
        <v>#VALUE!</v>
      </c>
      <c r="J418" s="3" t="e">
        <f>LOOKUP(C418, SweepStudyConfig[StudyId], SweepStudyConfig[NFixedB])</f>
        <v>#VALUE!</v>
      </c>
      <c r="K418" s="3" t="e">
        <f>LOOKUP(C418, SweepStudyConfig[StudyId], SweepStudyConfig[SweepRateA])</f>
        <v>#VALUE!</v>
      </c>
      <c r="L418" s="3" t="e">
        <f>LOOKUP(C418, SweepStudyConfig[StudyId], SweepStudyConfig[SweepRateB])</f>
        <v>#VALUE!</v>
      </c>
      <c r="M418" s="3" t="e">
        <f>LOOKUP(C418, SweepStudyConfig[StudyId], SweepStudyConfig[FixedRateA])</f>
        <v>#VALUE!</v>
      </c>
      <c r="N418" s="3" t="e">
        <f>LOOKUP(C418, SweepStudyConfig[StudyId], SweepStudyConfig[FixedRateB])</f>
        <v>#VALUE!</v>
      </c>
      <c r="O418" s="3" t="e">
        <f>IF(G418 + I418 = 0, "", (G418 * K418 + I418 * M418) / (G418 + I418))</f>
        <v>#VALUE!</v>
      </c>
      <c r="P418" s="3" t="e">
        <f>IF(H418 + J418 = 0, "", (H418 * L418 + J418 * N418) / (H418 + J418))</f>
        <v>#VALUE!</v>
      </c>
      <c r="Q418" s="3" t="e">
        <f>IF(O418 = "", "", O418 - P418)</f>
        <v>#VALUE!</v>
      </c>
      <c r="R418" s="3" t="e">
        <f>LOOKUP(C418, SweepStudyConfig[StudyId], SweepStudyConfig[SweepCorrectedGap])</f>
        <v>#VALUE!</v>
      </c>
      <c r="S418" s="3" t="e">
        <f>IF(Q418 = "", "", Q418 - R418)</f>
        <v>#VALUE!</v>
      </c>
    </row>
    <row r="419">
      <c r="A419" s="2" t="s">
        <v>3707</v>
      </c>
      <c r="B419" s="3" t="str">
        <f>A419</f>
        <v>rosiglitazone-mi-pool-2007-f075</v>
      </c>
      <c r="C419" s="2" t="s">
        <v>572</v>
      </c>
      <c r="D419" s="2">
        <v>0.75</v>
      </c>
      <c r="E419" s="3" t="e">
        <f>ABS(D419 - LOOKUP(C419, SweepStudyConfig[StudyId], SweepStudyConfig[OriginalAllocFractionA])) &lt; 0.03</f>
        <v>#VALUE!</v>
      </c>
      <c r="F419" s="3" t="e">
        <f>LOOKUP(C419, SweepStudyConfig[StudyId], SweepStudyConfig[NSweepStratumTotal])</f>
        <v>#VALUE!</v>
      </c>
      <c r="G419" s="3" t="e">
        <f>ROUND(F419 * D419)</f>
        <v>#VALUE!</v>
      </c>
      <c r="H419" s="3" t="e">
        <f>F419 - G419</f>
        <v>#VALUE!</v>
      </c>
      <c r="I419" s="3" t="e">
        <f>LOOKUP(C419, SweepStudyConfig[StudyId], SweepStudyConfig[NFixedA])</f>
        <v>#VALUE!</v>
      </c>
      <c r="J419" s="3" t="e">
        <f>LOOKUP(C419, SweepStudyConfig[StudyId], SweepStudyConfig[NFixedB])</f>
        <v>#VALUE!</v>
      </c>
      <c r="K419" s="3" t="e">
        <f>LOOKUP(C419, SweepStudyConfig[StudyId], SweepStudyConfig[SweepRateA])</f>
        <v>#VALUE!</v>
      </c>
      <c r="L419" s="3" t="e">
        <f>LOOKUP(C419, SweepStudyConfig[StudyId], SweepStudyConfig[SweepRateB])</f>
        <v>#VALUE!</v>
      </c>
      <c r="M419" s="3" t="e">
        <f>LOOKUP(C419, SweepStudyConfig[StudyId], SweepStudyConfig[FixedRateA])</f>
        <v>#VALUE!</v>
      </c>
      <c r="N419" s="3" t="e">
        <f>LOOKUP(C419, SweepStudyConfig[StudyId], SweepStudyConfig[FixedRateB])</f>
        <v>#VALUE!</v>
      </c>
      <c r="O419" s="3" t="e">
        <f>IF(G419 + I419 = 0, "", (G419 * K419 + I419 * M419) / (G419 + I419))</f>
        <v>#VALUE!</v>
      </c>
      <c r="P419" s="3" t="e">
        <f>IF(H419 + J419 = 0, "", (H419 * L419 + J419 * N419) / (H419 + J419))</f>
        <v>#VALUE!</v>
      </c>
      <c r="Q419" s="3" t="e">
        <f>IF(O419 = "", "", O419 - P419)</f>
        <v>#VALUE!</v>
      </c>
      <c r="R419" s="3" t="e">
        <f>LOOKUP(C419, SweepStudyConfig[StudyId], SweepStudyConfig[SweepCorrectedGap])</f>
        <v>#VALUE!</v>
      </c>
      <c r="S419" s="3" t="e">
        <f>IF(Q419 = "", "", Q419 - R419)</f>
        <v>#VALUE!</v>
      </c>
    </row>
    <row r="420">
      <c r="A420" s="2" t="s">
        <v>3708</v>
      </c>
      <c r="B420" s="3" t="str">
        <f>A420</f>
        <v>rosiglitazone-mi-pool-2007-f085</v>
      </c>
      <c r="C420" s="2" t="s">
        <v>572</v>
      </c>
      <c r="D420" s="2">
        <v>0.85</v>
      </c>
      <c r="E420" s="3" t="e">
        <f>ABS(D420 - LOOKUP(C420, SweepStudyConfig[StudyId], SweepStudyConfig[OriginalAllocFractionA])) &lt; 0.03</f>
        <v>#VALUE!</v>
      </c>
      <c r="F420" s="3" t="e">
        <f>LOOKUP(C420, SweepStudyConfig[StudyId], SweepStudyConfig[NSweepStratumTotal])</f>
        <v>#VALUE!</v>
      </c>
      <c r="G420" s="3" t="e">
        <f>ROUND(F420 * D420)</f>
        <v>#VALUE!</v>
      </c>
      <c r="H420" s="3" t="e">
        <f>F420 - G420</f>
        <v>#VALUE!</v>
      </c>
      <c r="I420" s="3" t="e">
        <f>LOOKUP(C420, SweepStudyConfig[StudyId], SweepStudyConfig[NFixedA])</f>
        <v>#VALUE!</v>
      </c>
      <c r="J420" s="3" t="e">
        <f>LOOKUP(C420, SweepStudyConfig[StudyId], SweepStudyConfig[NFixedB])</f>
        <v>#VALUE!</v>
      </c>
      <c r="K420" s="3" t="e">
        <f>LOOKUP(C420, SweepStudyConfig[StudyId], SweepStudyConfig[SweepRateA])</f>
        <v>#VALUE!</v>
      </c>
      <c r="L420" s="3" t="e">
        <f>LOOKUP(C420, SweepStudyConfig[StudyId], SweepStudyConfig[SweepRateB])</f>
        <v>#VALUE!</v>
      </c>
      <c r="M420" s="3" t="e">
        <f>LOOKUP(C420, SweepStudyConfig[StudyId], SweepStudyConfig[FixedRateA])</f>
        <v>#VALUE!</v>
      </c>
      <c r="N420" s="3" t="e">
        <f>LOOKUP(C420, SweepStudyConfig[StudyId], SweepStudyConfig[FixedRateB])</f>
        <v>#VALUE!</v>
      </c>
      <c r="O420" s="3" t="e">
        <f>IF(G420 + I420 = 0, "", (G420 * K420 + I420 * M420) / (G420 + I420))</f>
        <v>#VALUE!</v>
      </c>
      <c r="P420" s="3" t="e">
        <f>IF(H420 + J420 = 0, "", (H420 * L420 + J420 * N420) / (H420 + J420))</f>
        <v>#VALUE!</v>
      </c>
      <c r="Q420" s="3" t="e">
        <f>IF(O420 = "", "", O420 - P420)</f>
        <v>#VALUE!</v>
      </c>
      <c r="R420" s="3" t="e">
        <f>LOOKUP(C420, SweepStudyConfig[StudyId], SweepStudyConfig[SweepCorrectedGap])</f>
        <v>#VALUE!</v>
      </c>
      <c r="S420" s="3" t="e">
        <f>IF(Q420 = "", "", Q420 - R420)</f>
        <v>#VALUE!</v>
      </c>
    </row>
    <row r="421">
      <c r="A421" s="2" t="s">
        <v>3709</v>
      </c>
      <c r="B421" s="3" t="str">
        <f>A421</f>
        <v>rosiglitazone-mi-pool-2007-f095</v>
      </c>
      <c r="C421" s="2" t="s">
        <v>572</v>
      </c>
      <c r="D421" s="2">
        <v>0.95</v>
      </c>
      <c r="E421" s="3" t="e">
        <f>ABS(D421 - LOOKUP(C421, SweepStudyConfig[StudyId], SweepStudyConfig[OriginalAllocFractionA])) &lt; 0.03</f>
        <v>#VALUE!</v>
      </c>
      <c r="F421" s="3" t="e">
        <f>LOOKUP(C421, SweepStudyConfig[StudyId], SweepStudyConfig[NSweepStratumTotal])</f>
        <v>#VALUE!</v>
      </c>
      <c r="G421" s="3" t="e">
        <f>ROUND(F421 * D421)</f>
        <v>#VALUE!</v>
      </c>
      <c r="H421" s="3" t="e">
        <f>F421 - G421</f>
        <v>#VALUE!</v>
      </c>
      <c r="I421" s="3" t="e">
        <f>LOOKUP(C421, SweepStudyConfig[StudyId], SweepStudyConfig[NFixedA])</f>
        <v>#VALUE!</v>
      </c>
      <c r="J421" s="3" t="e">
        <f>LOOKUP(C421, SweepStudyConfig[StudyId], SweepStudyConfig[NFixedB])</f>
        <v>#VALUE!</v>
      </c>
      <c r="K421" s="3" t="e">
        <f>LOOKUP(C421, SweepStudyConfig[StudyId], SweepStudyConfig[SweepRateA])</f>
        <v>#VALUE!</v>
      </c>
      <c r="L421" s="3" t="e">
        <f>LOOKUP(C421, SweepStudyConfig[StudyId], SweepStudyConfig[SweepRateB])</f>
        <v>#VALUE!</v>
      </c>
      <c r="M421" s="3" t="e">
        <f>LOOKUP(C421, SweepStudyConfig[StudyId], SweepStudyConfig[FixedRateA])</f>
        <v>#VALUE!</v>
      </c>
      <c r="N421" s="3" t="e">
        <f>LOOKUP(C421, SweepStudyConfig[StudyId], SweepStudyConfig[FixedRateB])</f>
        <v>#VALUE!</v>
      </c>
      <c r="O421" s="3" t="e">
        <f>IF(G421 + I421 = 0, "", (G421 * K421 + I421 * M421) / (G421 + I421))</f>
        <v>#VALUE!</v>
      </c>
      <c r="P421" s="3" t="e">
        <f>IF(H421 + J421 = 0, "", (H421 * L421 + J421 * N421) / (H421 + J421))</f>
        <v>#VALUE!</v>
      </c>
      <c r="Q421" s="3" t="e">
        <f>IF(O421 = "", "", O421 - P421)</f>
        <v>#VALUE!</v>
      </c>
      <c r="R421" s="3" t="e">
        <f>LOOKUP(C421, SweepStudyConfig[StudyId], SweepStudyConfig[SweepCorrectedGap])</f>
        <v>#VALUE!</v>
      </c>
      <c r="S421" s="3" t="e">
        <f>IF(Q421 = "", "", Q421 - R421)</f>
        <v>#VALUE!</v>
      </c>
    </row>
    <row r="422">
      <c r="A422" s="2" t="s">
        <v>3710</v>
      </c>
      <c r="B422" s="3" t="str">
        <f>A422</f>
        <v>ironman-gender-age-2010-f005</v>
      </c>
      <c r="C422" s="2" t="s">
        <v>576</v>
      </c>
      <c r="D422" s="2">
        <v>0.05</v>
      </c>
      <c r="E422" s="3" t="e">
        <f>ABS(D422 - LOOKUP(C422, SweepStudyConfig[StudyId], SweepStudyConfig[OriginalAllocFractionA])) &lt; 0.03</f>
        <v>#VALUE!</v>
      </c>
      <c r="F422" s="3" t="e">
        <f>LOOKUP(C422, SweepStudyConfig[StudyId], SweepStudyConfig[NSweepStratumTotal])</f>
        <v>#VALUE!</v>
      </c>
      <c r="G422" s="3" t="e">
        <f>ROUND(F422 * D422)</f>
        <v>#VALUE!</v>
      </c>
      <c r="H422" s="3" t="e">
        <f>F422 - G422</f>
        <v>#VALUE!</v>
      </c>
      <c r="I422" s="3" t="e">
        <f>LOOKUP(C422, SweepStudyConfig[StudyId], SweepStudyConfig[NFixedA])</f>
        <v>#VALUE!</v>
      </c>
      <c r="J422" s="3" t="e">
        <f>LOOKUP(C422, SweepStudyConfig[StudyId], SweepStudyConfig[NFixedB])</f>
        <v>#VALUE!</v>
      </c>
      <c r="K422" s="3" t="e">
        <f>LOOKUP(C422, SweepStudyConfig[StudyId], SweepStudyConfig[SweepRateA])</f>
        <v>#VALUE!</v>
      </c>
      <c r="L422" s="3" t="e">
        <f>LOOKUP(C422, SweepStudyConfig[StudyId], SweepStudyConfig[SweepRateB])</f>
        <v>#VALUE!</v>
      </c>
      <c r="M422" s="3" t="e">
        <f>LOOKUP(C422, SweepStudyConfig[StudyId], SweepStudyConfig[FixedRateA])</f>
        <v>#VALUE!</v>
      </c>
      <c r="N422" s="3" t="e">
        <f>LOOKUP(C422, SweepStudyConfig[StudyId], SweepStudyConfig[FixedRateB])</f>
        <v>#VALUE!</v>
      </c>
      <c r="O422" s="3" t="e">
        <f>IF(G422 + I422 = 0, "", (G422 * K422 + I422 * M422) / (G422 + I422))</f>
        <v>#VALUE!</v>
      </c>
      <c r="P422" s="3" t="e">
        <f>IF(H422 + J422 = 0, "", (H422 * L422 + J422 * N422) / (H422 + J422))</f>
        <v>#VALUE!</v>
      </c>
      <c r="Q422" s="3" t="e">
        <f>IF(O422 = "", "", O422 - P422)</f>
        <v>#VALUE!</v>
      </c>
      <c r="R422" s="3" t="e">
        <f>LOOKUP(C422, SweepStudyConfig[StudyId], SweepStudyConfig[SweepCorrectedGap])</f>
        <v>#VALUE!</v>
      </c>
      <c r="S422" s="3" t="e">
        <f>IF(Q422 = "", "", Q422 - R422)</f>
        <v>#VALUE!</v>
      </c>
    </row>
    <row r="423">
      <c r="A423" s="2" t="s">
        <v>3711</v>
      </c>
      <c r="B423" s="3" t="str">
        <f>A423</f>
        <v>ironman-gender-age-2010-f015</v>
      </c>
      <c r="C423" s="2" t="s">
        <v>576</v>
      </c>
      <c r="D423" s="2">
        <v>0.15</v>
      </c>
      <c r="E423" s="3" t="e">
        <f>ABS(D423 - LOOKUP(C423, SweepStudyConfig[StudyId], SweepStudyConfig[OriginalAllocFractionA])) &lt; 0.03</f>
        <v>#VALUE!</v>
      </c>
      <c r="F423" s="3" t="e">
        <f>LOOKUP(C423, SweepStudyConfig[StudyId], SweepStudyConfig[NSweepStratumTotal])</f>
        <v>#VALUE!</v>
      </c>
      <c r="G423" s="3" t="e">
        <f>ROUND(F423 * D423)</f>
        <v>#VALUE!</v>
      </c>
      <c r="H423" s="3" t="e">
        <f>F423 - G423</f>
        <v>#VALUE!</v>
      </c>
      <c r="I423" s="3" t="e">
        <f>LOOKUP(C423, SweepStudyConfig[StudyId], SweepStudyConfig[NFixedA])</f>
        <v>#VALUE!</v>
      </c>
      <c r="J423" s="3" t="e">
        <f>LOOKUP(C423, SweepStudyConfig[StudyId], SweepStudyConfig[NFixedB])</f>
        <v>#VALUE!</v>
      </c>
      <c r="K423" s="3" t="e">
        <f>LOOKUP(C423, SweepStudyConfig[StudyId], SweepStudyConfig[SweepRateA])</f>
        <v>#VALUE!</v>
      </c>
      <c r="L423" s="3" t="e">
        <f>LOOKUP(C423, SweepStudyConfig[StudyId], SweepStudyConfig[SweepRateB])</f>
        <v>#VALUE!</v>
      </c>
      <c r="M423" s="3" t="e">
        <f>LOOKUP(C423, SweepStudyConfig[StudyId], SweepStudyConfig[FixedRateA])</f>
        <v>#VALUE!</v>
      </c>
      <c r="N423" s="3" t="e">
        <f>LOOKUP(C423, SweepStudyConfig[StudyId], SweepStudyConfig[FixedRateB])</f>
        <v>#VALUE!</v>
      </c>
      <c r="O423" s="3" t="e">
        <f>IF(G423 + I423 = 0, "", (G423 * K423 + I423 * M423) / (G423 + I423))</f>
        <v>#VALUE!</v>
      </c>
      <c r="P423" s="3" t="e">
        <f>IF(H423 + J423 = 0, "", (H423 * L423 + J423 * N423) / (H423 + J423))</f>
        <v>#VALUE!</v>
      </c>
      <c r="Q423" s="3" t="e">
        <f>IF(O423 = "", "", O423 - P423)</f>
        <v>#VALUE!</v>
      </c>
      <c r="R423" s="3" t="e">
        <f>LOOKUP(C423, SweepStudyConfig[StudyId], SweepStudyConfig[SweepCorrectedGap])</f>
        <v>#VALUE!</v>
      </c>
      <c r="S423" s="3" t="e">
        <f>IF(Q423 = "", "", Q423 - R423)</f>
        <v>#VALUE!</v>
      </c>
    </row>
    <row r="424">
      <c r="A424" s="2" t="s">
        <v>3712</v>
      </c>
      <c r="B424" s="3" t="str">
        <f>A424</f>
        <v>ironman-gender-age-2010-f025</v>
      </c>
      <c r="C424" s="2" t="s">
        <v>576</v>
      </c>
      <c r="D424" s="2">
        <v>0.25</v>
      </c>
      <c r="E424" s="3" t="e">
        <f>ABS(D424 - LOOKUP(C424, SweepStudyConfig[StudyId], SweepStudyConfig[OriginalAllocFractionA])) &lt; 0.03</f>
        <v>#VALUE!</v>
      </c>
      <c r="F424" s="3" t="e">
        <f>LOOKUP(C424, SweepStudyConfig[StudyId], SweepStudyConfig[NSweepStratumTotal])</f>
        <v>#VALUE!</v>
      </c>
      <c r="G424" s="3" t="e">
        <f>ROUND(F424 * D424)</f>
        <v>#VALUE!</v>
      </c>
      <c r="H424" s="3" t="e">
        <f>F424 - G424</f>
        <v>#VALUE!</v>
      </c>
      <c r="I424" s="3" t="e">
        <f>LOOKUP(C424, SweepStudyConfig[StudyId], SweepStudyConfig[NFixedA])</f>
        <v>#VALUE!</v>
      </c>
      <c r="J424" s="3" t="e">
        <f>LOOKUP(C424, SweepStudyConfig[StudyId], SweepStudyConfig[NFixedB])</f>
        <v>#VALUE!</v>
      </c>
      <c r="K424" s="3" t="e">
        <f>LOOKUP(C424, SweepStudyConfig[StudyId], SweepStudyConfig[SweepRateA])</f>
        <v>#VALUE!</v>
      </c>
      <c r="L424" s="3" t="e">
        <f>LOOKUP(C424, SweepStudyConfig[StudyId], SweepStudyConfig[SweepRateB])</f>
        <v>#VALUE!</v>
      </c>
      <c r="M424" s="3" t="e">
        <f>LOOKUP(C424, SweepStudyConfig[StudyId], SweepStudyConfig[FixedRateA])</f>
        <v>#VALUE!</v>
      </c>
      <c r="N424" s="3" t="e">
        <f>LOOKUP(C424, SweepStudyConfig[StudyId], SweepStudyConfig[FixedRateB])</f>
        <v>#VALUE!</v>
      </c>
      <c r="O424" s="3" t="e">
        <f>IF(G424 + I424 = 0, "", (G424 * K424 + I424 * M424) / (G424 + I424))</f>
        <v>#VALUE!</v>
      </c>
      <c r="P424" s="3" t="e">
        <f>IF(H424 + J424 = 0, "", (H424 * L424 + J424 * N424) / (H424 + J424))</f>
        <v>#VALUE!</v>
      </c>
      <c r="Q424" s="3" t="e">
        <f>IF(O424 = "", "", O424 - P424)</f>
        <v>#VALUE!</v>
      </c>
      <c r="R424" s="3" t="e">
        <f>LOOKUP(C424, SweepStudyConfig[StudyId], SweepStudyConfig[SweepCorrectedGap])</f>
        <v>#VALUE!</v>
      </c>
      <c r="S424" s="3" t="e">
        <f>IF(Q424 = "", "", Q424 - R424)</f>
        <v>#VALUE!</v>
      </c>
    </row>
    <row r="425">
      <c r="A425" s="2" t="s">
        <v>3713</v>
      </c>
      <c r="B425" s="3" t="str">
        <f>A425</f>
        <v>ironman-gender-age-2010-f035</v>
      </c>
      <c r="C425" s="2" t="s">
        <v>576</v>
      </c>
      <c r="D425" s="2">
        <v>0.35</v>
      </c>
      <c r="E425" s="3" t="e">
        <f>ABS(D425 - LOOKUP(C425, SweepStudyConfig[StudyId], SweepStudyConfig[OriginalAllocFractionA])) &lt; 0.03</f>
        <v>#VALUE!</v>
      </c>
      <c r="F425" s="3" t="e">
        <f>LOOKUP(C425, SweepStudyConfig[StudyId], SweepStudyConfig[NSweepStratumTotal])</f>
        <v>#VALUE!</v>
      </c>
      <c r="G425" s="3" t="e">
        <f>ROUND(F425 * D425)</f>
        <v>#VALUE!</v>
      </c>
      <c r="H425" s="3" t="e">
        <f>F425 - G425</f>
        <v>#VALUE!</v>
      </c>
      <c r="I425" s="3" t="e">
        <f>LOOKUP(C425, SweepStudyConfig[StudyId], SweepStudyConfig[NFixedA])</f>
        <v>#VALUE!</v>
      </c>
      <c r="J425" s="3" t="e">
        <f>LOOKUP(C425, SweepStudyConfig[StudyId], SweepStudyConfig[NFixedB])</f>
        <v>#VALUE!</v>
      </c>
      <c r="K425" s="3" t="e">
        <f>LOOKUP(C425, SweepStudyConfig[StudyId], SweepStudyConfig[SweepRateA])</f>
        <v>#VALUE!</v>
      </c>
      <c r="L425" s="3" t="e">
        <f>LOOKUP(C425, SweepStudyConfig[StudyId], SweepStudyConfig[SweepRateB])</f>
        <v>#VALUE!</v>
      </c>
      <c r="M425" s="3" t="e">
        <f>LOOKUP(C425, SweepStudyConfig[StudyId], SweepStudyConfig[FixedRateA])</f>
        <v>#VALUE!</v>
      </c>
      <c r="N425" s="3" t="e">
        <f>LOOKUP(C425, SweepStudyConfig[StudyId], SweepStudyConfig[FixedRateB])</f>
        <v>#VALUE!</v>
      </c>
      <c r="O425" s="3" t="e">
        <f>IF(G425 + I425 = 0, "", (G425 * K425 + I425 * M425) / (G425 + I425))</f>
        <v>#VALUE!</v>
      </c>
      <c r="P425" s="3" t="e">
        <f>IF(H425 + J425 = 0, "", (H425 * L425 + J425 * N425) / (H425 + J425))</f>
        <v>#VALUE!</v>
      </c>
      <c r="Q425" s="3" t="e">
        <f>IF(O425 = "", "", O425 - P425)</f>
        <v>#VALUE!</v>
      </c>
      <c r="R425" s="3" t="e">
        <f>LOOKUP(C425, SweepStudyConfig[StudyId], SweepStudyConfig[SweepCorrectedGap])</f>
        <v>#VALUE!</v>
      </c>
      <c r="S425" s="3" t="e">
        <f>IF(Q425 = "", "", Q425 - R425)</f>
        <v>#VALUE!</v>
      </c>
    </row>
    <row r="426">
      <c r="A426" s="2" t="s">
        <v>3714</v>
      </c>
      <c r="B426" s="3" t="str">
        <f>A426</f>
        <v>ironman-gender-age-2010-f045</v>
      </c>
      <c r="C426" s="2" t="s">
        <v>576</v>
      </c>
      <c r="D426" s="2">
        <v>0.45</v>
      </c>
      <c r="E426" s="3" t="e">
        <f>ABS(D426 - LOOKUP(C426, SweepStudyConfig[StudyId], SweepStudyConfig[OriginalAllocFractionA])) &lt; 0.03</f>
        <v>#VALUE!</v>
      </c>
      <c r="F426" s="3" t="e">
        <f>LOOKUP(C426, SweepStudyConfig[StudyId], SweepStudyConfig[NSweepStratumTotal])</f>
        <v>#VALUE!</v>
      </c>
      <c r="G426" s="3" t="e">
        <f>ROUND(F426 * D426)</f>
        <v>#VALUE!</v>
      </c>
      <c r="H426" s="3" t="e">
        <f>F426 - G426</f>
        <v>#VALUE!</v>
      </c>
      <c r="I426" s="3" t="e">
        <f>LOOKUP(C426, SweepStudyConfig[StudyId], SweepStudyConfig[NFixedA])</f>
        <v>#VALUE!</v>
      </c>
      <c r="J426" s="3" t="e">
        <f>LOOKUP(C426, SweepStudyConfig[StudyId], SweepStudyConfig[NFixedB])</f>
        <v>#VALUE!</v>
      </c>
      <c r="K426" s="3" t="e">
        <f>LOOKUP(C426, SweepStudyConfig[StudyId], SweepStudyConfig[SweepRateA])</f>
        <v>#VALUE!</v>
      </c>
      <c r="L426" s="3" t="e">
        <f>LOOKUP(C426, SweepStudyConfig[StudyId], SweepStudyConfig[SweepRateB])</f>
        <v>#VALUE!</v>
      </c>
      <c r="M426" s="3" t="e">
        <f>LOOKUP(C426, SweepStudyConfig[StudyId], SweepStudyConfig[FixedRateA])</f>
        <v>#VALUE!</v>
      </c>
      <c r="N426" s="3" t="e">
        <f>LOOKUP(C426, SweepStudyConfig[StudyId], SweepStudyConfig[FixedRateB])</f>
        <v>#VALUE!</v>
      </c>
      <c r="O426" s="3" t="e">
        <f>IF(G426 + I426 = 0, "", (G426 * K426 + I426 * M426) / (G426 + I426))</f>
        <v>#VALUE!</v>
      </c>
      <c r="P426" s="3" t="e">
        <f>IF(H426 + J426 = 0, "", (H426 * L426 + J426 * N426) / (H426 + J426))</f>
        <v>#VALUE!</v>
      </c>
      <c r="Q426" s="3" t="e">
        <f>IF(O426 = "", "", O426 - P426)</f>
        <v>#VALUE!</v>
      </c>
      <c r="R426" s="3" t="e">
        <f>LOOKUP(C426, SweepStudyConfig[StudyId], SweepStudyConfig[SweepCorrectedGap])</f>
        <v>#VALUE!</v>
      </c>
      <c r="S426" s="3" t="e">
        <f>IF(Q426 = "", "", Q426 - R426)</f>
        <v>#VALUE!</v>
      </c>
    </row>
    <row r="427">
      <c r="A427" s="2" t="s">
        <v>3715</v>
      </c>
      <c r="B427" s="3" t="str">
        <f>A427</f>
        <v>ironman-gender-age-2010-f055</v>
      </c>
      <c r="C427" s="2" t="s">
        <v>576</v>
      </c>
      <c r="D427" s="2">
        <v>0.55</v>
      </c>
      <c r="E427" s="3" t="e">
        <f>ABS(D427 - LOOKUP(C427, SweepStudyConfig[StudyId], SweepStudyConfig[OriginalAllocFractionA])) &lt; 0.03</f>
        <v>#VALUE!</v>
      </c>
      <c r="F427" s="3" t="e">
        <f>LOOKUP(C427, SweepStudyConfig[StudyId], SweepStudyConfig[NSweepStratumTotal])</f>
        <v>#VALUE!</v>
      </c>
      <c r="G427" s="3" t="e">
        <f>ROUND(F427 * D427)</f>
        <v>#VALUE!</v>
      </c>
      <c r="H427" s="3" t="e">
        <f>F427 - G427</f>
        <v>#VALUE!</v>
      </c>
      <c r="I427" s="3" t="e">
        <f>LOOKUP(C427, SweepStudyConfig[StudyId], SweepStudyConfig[NFixedA])</f>
        <v>#VALUE!</v>
      </c>
      <c r="J427" s="3" t="e">
        <f>LOOKUP(C427, SweepStudyConfig[StudyId], SweepStudyConfig[NFixedB])</f>
        <v>#VALUE!</v>
      </c>
      <c r="K427" s="3" t="e">
        <f>LOOKUP(C427, SweepStudyConfig[StudyId], SweepStudyConfig[SweepRateA])</f>
        <v>#VALUE!</v>
      </c>
      <c r="L427" s="3" t="e">
        <f>LOOKUP(C427, SweepStudyConfig[StudyId], SweepStudyConfig[SweepRateB])</f>
        <v>#VALUE!</v>
      </c>
      <c r="M427" s="3" t="e">
        <f>LOOKUP(C427, SweepStudyConfig[StudyId], SweepStudyConfig[FixedRateA])</f>
        <v>#VALUE!</v>
      </c>
      <c r="N427" s="3" t="e">
        <f>LOOKUP(C427, SweepStudyConfig[StudyId], SweepStudyConfig[FixedRateB])</f>
        <v>#VALUE!</v>
      </c>
      <c r="O427" s="3" t="e">
        <f>IF(G427 + I427 = 0, "", (G427 * K427 + I427 * M427) / (G427 + I427))</f>
        <v>#VALUE!</v>
      </c>
      <c r="P427" s="3" t="e">
        <f>IF(H427 + J427 = 0, "", (H427 * L427 + J427 * N427) / (H427 + J427))</f>
        <v>#VALUE!</v>
      </c>
      <c r="Q427" s="3" t="e">
        <f>IF(O427 = "", "", O427 - P427)</f>
        <v>#VALUE!</v>
      </c>
      <c r="R427" s="3" t="e">
        <f>LOOKUP(C427, SweepStudyConfig[StudyId], SweepStudyConfig[SweepCorrectedGap])</f>
        <v>#VALUE!</v>
      </c>
      <c r="S427" s="3" t="e">
        <f>IF(Q427 = "", "", Q427 - R427)</f>
        <v>#VALUE!</v>
      </c>
    </row>
    <row r="428">
      <c r="A428" s="2" t="s">
        <v>3716</v>
      </c>
      <c r="B428" s="3" t="str">
        <f>A428</f>
        <v>ironman-gender-age-2010-f065</v>
      </c>
      <c r="C428" s="2" t="s">
        <v>576</v>
      </c>
      <c r="D428" s="2">
        <v>0.65</v>
      </c>
      <c r="E428" s="3" t="e">
        <f>ABS(D428 - LOOKUP(C428, SweepStudyConfig[StudyId], SweepStudyConfig[OriginalAllocFractionA])) &lt; 0.03</f>
        <v>#VALUE!</v>
      </c>
      <c r="F428" s="3" t="e">
        <f>LOOKUP(C428, SweepStudyConfig[StudyId], SweepStudyConfig[NSweepStratumTotal])</f>
        <v>#VALUE!</v>
      </c>
      <c r="G428" s="3" t="e">
        <f>ROUND(F428 * D428)</f>
        <v>#VALUE!</v>
      </c>
      <c r="H428" s="3" t="e">
        <f>F428 - G428</f>
        <v>#VALUE!</v>
      </c>
      <c r="I428" s="3" t="e">
        <f>LOOKUP(C428, SweepStudyConfig[StudyId], SweepStudyConfig[NFixedA])</f>
        <v>#VALUE!</v>
      </c>
      <c r="J428" s="3" t="e">
        <f>LOOKUP(C428, SweepStudyConfig[StudyId], SweepStudyConfig[NFixedB])</f>
        <v>#VALUE!</v>
      </c>
      <c r="K428" s="3" t="e">
        <f>LOOKUP(C428, SweepStudyConfig[StudyId], SweepStudyConfig[SweepRateA])</f>
        <v>#VALUE!</v>
      </c>
      <c r="L428" s="3" t="e">
        <f>LOOKUP(C428, SweepStudyConfig[StudyId], SweepStudyConfig[SweepRateB])</f>
        <v>#VALUE!</v>
      </c>
      <c r="M428" s="3" t="e">
        <f>LOOKUP(C428, SweepStudyConfig[StudyId], SweepStudyConfig[FixedRateA])</f>
        <v>#VALUE!</v>
      </c>
      <c r="N428" s="3" t="e">
        <f>LOOKUP(C428, SweepStudyConfig[StudyId], SweepStudyConfig[FixedRateB])</f>
        <v>#VALUE!</v>
      </c>
      <c r="O428" s="3" t="e">
        <f>IF(G428 + I428 = 0, "", (G428 * K428 + I428 * M428) / (G428 + I428))</f>
        <v>#VALUE!</v>
      </c>
      <c r="P428" s="3" t="e">
        <f>IF(H428 + J428 = 0, "", (H428 * L428 + J428 * N428) / (H428 + J428))</f>
        <v>#VALUE!</v>
      </c>
      <c r="Q428" s="3" t="e">
        <f>IF(O428 = "", "", O428 - P428)</f>
        <v>#VALUE!</v>
      </c>
      <c r="R428" s="3" t="e">
        <f>LOOKUP(C428, SweepStudyConfig[StudyId], SweepStudyConfig[SweepCorrectedGap])</f>
        <v>#VALUE!</v>
      </c>
      <c r="S428" s="3" t="e">
        <f>IF(Q428 = "", "", Q428 - R428)</f>
        <v>#VALUE!</v>
      </c>
    </row>
    <row r="429">
      <c r="A429" s="2" t="s">
        <v>3717</v>
      </c>
      <c r="B429" s="3" t="str">
        <f>A429</f>
        <v>ironman-gender-age-2010-f075</v>
      </c>
      <c r="C429" s="2" t="s">
        <v>576</v>
      </c>
      <c r="D429" s="2">
        <v>0.75</v>
      </c>
      <c r="E429" s="3" t="e">
        <f>ABS(D429 - LOOKUP(C429, SweepStudyConfig[StudyId], SweepStudyConfig[OriginalAllocFractionA])) &lt; 0.03</f>
        <v>#VALUE!</v>
      </c>
      <c r="F429" s="3" t="e">
        <f>LOOKUP(C429, SweepStudyConfig[StudyId], SweepStudyConfig[NSweepStratumTotal])</f>
        <v>#VALUE!</v>
      </c>
      <c r="G429" s="3" t="e">
        <f>ROUND(F429 * D429)</f>
        <v>#VALUE!</v>
      </c>
      <c r="H429" s="3" t="e">
        <f>F429 - G429</f>
        <v>#VALUE!</v>
      </c>
      <c r="I429" s="3" t="e">
        <f>LOOKUP(C429, SweepStudyConfig[StudyId], SweepStudyConfig[NFixedA])</f>
        <v>#VALUE!</v>
      </c>
      <c r="J429" s="3" t="e">
        <f>LOOKUP(C429, SweepStudyConfig[StudyId], SweepStudyConfig[NFixedB])</f>
        <v>#VALUE!</v>
      </c>
      <c r="K429" s="3" t="e">
        <f>LOOKUP(C429, SweepStudyConfig[StudyId], SweepStudyConfig[SweepRateA])</f>
        <v>#VALUE!</v>
      </c>
      <c r="L429" s="3" t="e">
        <f>LOOKUP(C429, SweepStudyConfig[StudyId], SweepStudyConfig[SweepRateB])</f>
        <v>#VALUE!</v>
      </c>
      <c r="M429" s="3" t="e">
        <f>LOOKUP(C429, SweepStudyConfig[StudyId], SweepStudyConfig[FixedRateA])</f>
        <v>#VALUE!</v>
      </c>
      <c r="N429" s="3" t="e">
        <f>LOOKUP(C429, SweepStudyConfig[StudyId], SweepStudyConfig[FixedRateB])</f>
        <v>#VALUE!</v>
      </c>
      <c r="O429" s="3" t="e">
        <f>IF(G429 + I429 = 0, "", (G429 * K429 + I429 * M429) / (G429 + I429))</f>
        <v>#VALUE!</v>
      </c>
      <c r="P429" s="3" t="e">
        <f>IF(H429 + J429 = 0, "", (H429 * L429 + J429 * N429) / (H429 + J429))</f>
        <v>#VALUE!</v>
      </c>
      <c r="Q429" s="3" t="e">
        <f>IF(O429 = "", "", O429 - P429)</f>
        <v>#VALUE!</v>
      </c>
      <c r="R429" s="3" t="e">
        <f>LOOKUP(C429, SweepStudyConfig[StudyId], SweepStudyConfig[SweepCorrectedGap])</f>
        <v>#VALUE!</v>
      </c>
      <c r="S429" s="3" t="e">
        <f>IF(Q429 = "", "", Q429 - R429)</f>
        <v>#VALUE!</v>
      </c>
    </row>
    <row r="430">
      <c r="A430" s="2" t="s">
        <v>3718</v>
      </c>
      <c r="B430" s="3" t="str">
        <f>A430</f>
        <v>ironman-gender-age-2010-f085</v>
      </c>
      <c r="C430" s="2" t="s">
        <v>576</v>
      </c>
      <c r="D430" s="2">
        <v>0.85</v>
      </c>
      <c r="E430" s="3" t="e">
        <f>ABS(D430 - LOOKUP(C430, SweepStudyConfig[StudyId], SweepStudyConfig[OriginalAllocFractionA])) &lt; 0.03</f>
        <v>#VALUE!</v>
      </c>
      <c r="F430" s="3" t="e">
        <f>LOOKUP(C430, SweepStudyConfig[StudyId], SweepStudyConfig[NSweepStratumTotal])</f>
        <v>#VALUE!</v>
      </c>
      <c r="G430" s="3" t="e">
        <f>ROUND(F430 * D430)</f>
        <v>#VALUE!</v>
      </c>
      <c r="H430" s="3" t="e">
        <f>F430 - G430</f>
        <v>#VALUE!</v>
      </c>
      <c r="I430" s="3" t="e">
        <f>LOOKUP(C430, SweepStudyConfig[StudyId], SweepStudyConfig[NFixedA])</f>
        <v>#VALUE!</v>
      </c>
      <c r="J430" s="3" t="e">
        <f>LOOKUP(C430, SweepStudyConfig[StudyId], SweepStudyConfig[NFixedB])</f>
        <v>#VALUE!</v>
      </c>
      <c r="K430" s="3" t="e">
        <f>LOOKUP(C430, SweepStudyConfig[StudyId], SweepStudyConfig[SweepRateA])</f>
        <v>#VALUE!</v>
      </c>
      <c r="L430" s="3" t="e">
        <f>LOOKUP(C430, SweepStudyConfig[StudyId], SweepStudyConfig[SweepRateB])</f>
        <v>#VALUE!</v>
      </c>
      <c r="M430" s="3" t="e">
        <f>LOOKUP(C430, SweepStudyConfig[StudyId], SweepStudyConfig[FixedRateA])</f>
        <v>#VALUE!</v>
      </c>
      <c r="N430" s="3" t="e">
        <f>LOOKUP(C430, SweepStudyConfig[StudyId], SweepStudyConfig[FixedRateB])</f>
        <v>#VALUE!</v>
      </c>
      <c r="O430" s="3" t="e">
        <f>IF(G430 + I430 = 0, "", (G430 * K430 + I430 * M430) / (G430 + I430))</f>
        <v>#VALUE!</v>
      </c>
      <c r="P430" s="3" t="e">
        <f>IF(H430 + J430 = 0, "", (H430 * L430 + J430 * N430) / (H430 + J430))</f>
        <v>#VALUE!</v>
      </c>
      <c r="Q430" s="3" t="e">
        <f>IF(O430 = "", "", O430 - P430)</f>
        <v>#VALUE!</v>
      </c>
      <c r="R430" s="3" t="e">
        <f>LOOKUP(C430, SweepStudyConfig[StudyId], SweepStudyConfig[SweepCorrectedGap])</f>
        <v>#VALUE!</v>
      </c>
      <c r="S430" s="3" t="e">
        <f>IF(Q430 = "", "", Q430 - R430)</f>
        <v>#VALUE!</v>
      </c>
    </row>
    <row r="431">
      <c r="A431" s="2" t="s">
        <v>3719</v>
      </c>
      <c r="B431" s="3" t="str">
        <f>A431</f>
        <v>ironman-gender-age-2010-f095</v>
      </c>
      <c r="C431" s="2" t="s">
        <v>576</v>
      </c>
      <c r="D431" s="2">
        <v>0.95</v>
      </c>
      <c r="E431" s="3" t="e">
        <f>ABS(D431 - LOOKUP(C431, SweepStudyConfig[StudyId], SweepStudyConfig[OriginalAllocFractionA])) &lt; 0.03</f>
        <v>#VALUE!</v>
      </c>
      <c r="F431" s="3" t="e">
        <f>LOOKUP(C431, SweepStudyConfig[StudyId], SweepStudyConfig[NSweepStratumTotal])</f>
        <v>#VALUE!</v>
      </c>
      <c r="G431" s="3" t="e">
        <f>ROUND(F431 * D431)</f>
        <v>#VALUE!</v>
      </c>
      <c r="H431" s="3" t="e">
        <f>F431 - G431</f>
        <v>#VALUE!</v>
      </c>
      <c r="I431" s="3" t="e">
        <f>LOOKUP(C431, SweepStudyConfig[StudyId], SweepStudyConfig[NFixedA])</f>
        <v>#VALUE!</v>
      </c>
      <c r="J431" s="3" t="e">
        <f>LOOKUP(C431, SweepStudyConfig[StudyId], SweepStudyConfig[NFixedB])</f>
        <v>#VALUE!</v>
      </c>
      <c r="K431" s="3" t="e">
        <f>LOOKUP(C431, SweepStudyConfig[StudyId], SweepStudyConfig[SweepRateA])</f>
        <v>#VALUE!</v>
      </c>
      <c r="L431" s="3" t="e">
        <f>LOOKUP(C431, SweepStudyConfig[StudyId], SweepStudyConfig[SweepRateB])</f>
        <v>#VALUE!</v>
      </c>
      <c r="M431" s="3" t="e">
        <f>LOOKUP(C431, SweepStudyConfig[StudyId], SweepStudyConfig[FixedRateA])</f>
        <v>#VALUE!</v>
      </c>
      <c r="N431" s="3" t="e">
        <f>LOOKUP(C431, SweepStudyConfig[StudyId], SweepStudyConfig[FixedRateB])</f>
        <v>#VALUE!</v>
      </c>
      <c r="O431" s="3" t="e">
        <f>IF(G431 + I431 = 0, "", (G431 * K431 + I431 * M431) / (G431 + I431))</f>
        <v>#VALUE!</v>
      </c>
      <c r="P431" s="3" t="e">
        <f>IF(H431 + J431 = 0, "", (H431 * L431 + J431 * N431) / (H431 + J431))</f>
        <v>#VALUE!</v>
      </c>
      <c r="Q431" s="3" t="e">
        <f>IF(O431 = "", "", O431 - P431)</f>
        <v>#VALUE!</v>
      </c>
      <c r="R431" s="3" t="e">
        <f>LOOKUP(C431, SweepStudyConfig[StudyId], SweepStudyConfig[SweepCorrectedGap])</f>
        <v>#VALUE!</v>
      </c>
      <c r="S431" s="3" t="e">
        <f>IF(Q431 = "", "", Q431 - R431)</f>
        <v>#VALUE!</v>
      </c>
    </row>
    <row r="432">
      <c r="A432" s="2" t="s">
        <v>3720</v>
      </c>
      <c r="B432" s="3" t="str">
        <f>A432</f>
        <v>hanley-power-lines-2000-f005</v>
      </c>
      <c r="C432" s="2" t="s">
        <v>579</v>
      </c>
      <c r="D432" s="2">
        <v>0.05</v>
      </c>
      <c r="E432" s="3" t="e">
        <f>ABS(D432 - LOOKUP(C432, SweepStudyConfig[StudyId], SweepStudyConfig[OriginalAllocFractionA])) &lt; 0.03</f>
        <v>#VALUE!</v>
      </c>
      <c r="F432" s="3" t="e">
        <f>LOOKUP(C432, SweepStudyConfig[StudyId], SweepStudyConfig[NSweepStratumTotal])</f>
        <v>#VALUE!</v>
      </c>
      <c r="G432" s="3" t="e">
        <f>ROUND(F432 * D432)</f>
        <v>#VALUE!</v>
      </c>
      <c r="H432" s="3" t="e">
        <f>F432 - G432</f>
        <v>#VALUE!</v>
      </c>
      <c r="I432" s="3" t="e">
        <f>LOOKUP(C432, SweepStudyConfig[StudyId], SweepStudyConfig[NFixedA])</f>
        <v>#VALUE!</v>
      </c>
      <c r="J432" s="3" t="e">
        <f>LOOKUP(C432, SweepStudyConfig[StudyId], SweepStudyConfig[NFixedB])</f>
        <v>#VALUE!</v>
      </c>
      <c r="K432" s="3" t="e">
        <f>LOOKUP(C432, SweepStudyConfig[StudyId], SweepStudyConfig[SweepRateA])</f>
        <v>#VALUE!</v>
      </c>
      <c r="L432" s="3" t="e">
        <f>LOOKUP(C432, SweepStudyConfig[StudyId], SweepStudyConfig[SweepRateB])</f>
        <v>#VALUE!</v>
      </c>
      <c r="M432" s="3" t="e">
        <f>LOOKUP(C432, SweepStudyConfig[StudyId], SweepStudyConfig[FixedRateA])</f>
        <v>#VALUE!</v>
      </c>
      <c r="N432" s="3" t="e">
        <f>LOOKUP(C432, SweepStudyConfig[StudyId], SweepStudyConfig[FixedRateB])</f>
        <v>#VALUE!</v>
      </c>
      <c r="O432" s="3" t="e">
        <f>IF(G432 + I432 = 0, "", (G432 * K432 + I432 * M432) / (G432 + I432))</f>
        <v>#VALUE!</v>
      </c>
      <c r="P432" s="3" t="e">
        <f>IF(H432 + J432 = 0, "", (H432 * L432 + J432 * N432) / (H432 + J432))</f>
        <v>#VALUE!</v>
      </c>
      <c r="Q432" s="3" t="e">
        <f>IF(O432 = "", "", O432 - P432)</f>
        <v>#VALUE!</v>
      </c>
      <c r="R432" s="3" t="e">
        <f>LOOKUP(C432, SweepStudyConfig[StudyId], SweepStudyConfig[SweepCorrectedGap])</f>
        <v>#VALUE!</v>
      </c>
      <c r="S432" s="3" t="e">
        <f>IF(Q432 = "", "", Q432 - R432)</f>
        <v>#VALUE!</v>
      </c>
    </row>
    <row r="433">
      <c r="A433" s="2" t="s">
        <v>3721</v>
      </c>
      <c r="B433" s="3" t="str">
        <f>A433</f>
        <v>hanley-power-lines-2000-f015</v>
      </c>
      <c r="C433" s="2" t="s">
        <v>579</v>
      </c>
      <c r="D433" s="2">
        <v>0.15</v>
      </c>
      <c r="E433" s="3" t="e">
        <f>ABS(D433 - LOOKUP(C433, SweepStudyConfig[StudyId], SweepStudyConfig[OriginalAllocFractionA])) &lt; 0.03</f>
        <v>#VALUE!</v>
      </c>
      <c r="F433" s="3" t="e">
        <f>LOOKUP(C433, SweepStudyConfig[StudyId], SweepStudyConfig[NSweepStratumTotal])</f>
        <v>#VALUE!</v>
      </c>
      <c r="G433" s="3" t="e">
        <f>ROUND(F433 * D433)</f>
        <v>#VALUE!</v>
      </c>
      <c r="H433" s="3" t="e">
        <f>F433 - G433</f>
        <v>#VALUE!</v>
      </c>
      <c r="I433" s="3" t="e">
        <f>LOOKUP(C433, SweepStudyConfig[StudyId], SweepStudyConfig[NFixedA])</f>
        <v>#VALUE!</v>
      </c>
      <c r="J433" s="3" t="e">
        <f>LOOKUP(C433, SweepStudyConfig[StudyId], SweepStudyConfig[NFixedB])</f>
        <v>#VALUE!</v>
      </c>
      <c r="K433" s="3" t="e">
        <f>LOOKUP(C433, SweepStudyConfig[StudyId], SweepStudyConfig[SweepRateA])</f>
        <v>#VALUE!</v>
      </c>
      <c r="L433" s="3" t="e">
        <f>LOOKUP(C433, SweepStudyConfig[StudyId], SweepStudyConfig[SweepRateB])</f>
        <v>#VALUE!</v>
      </c>
      <c r="M433" s="3" t="e">
        <f>LOOKUP(C433, SweepStudyConfig[StudyId], SweepStudyConfig[FixedRateA])</f>
        <v>#VALUE!</v>
      </c>
      <c r="N433" s="3" t="e">
        <f>LOOKUP(C433, SweepStudyConfig[StudyId], SweepStudyConfig[FixedRateB])</f>
        <v>#VALUE!</v>
      </c>
      <c r="O433" s="3" t="e">
        <f>IF(G433 + I433 = 0, "", (G433 * K433 + I433 * M433) / (G433 + I433))</f>
        <v>#VALUE!</v>
      </c>
      <c r="P433" s="3" t="e">
        <f>IF(H433 + J433 = 0, "", (H433 * L433 + J433 * N433) / (H433 + J433))</f>
        <v>#VALUE!</v>
      </c>
      <c r="Q433" s="3" t="e">
        <f>IF(O433 = "", "", O433 - P433)</f>
        <v>#VALUE!</v>
      </c>
      <c r="R433" s="3" t="e">
        <f>LOOKUP(C433, SweepStudyConfig[StudyId], SweepStudyConfig[SweepCorrectedGap])</f>
        <v>#VALUE!</v>
      </c>
      <c r="S433" s="3" t="e">
        <f>IF(Q433 = "", "", Q433 - R433)</f>
        <v>#VALUE!</v>
      </c>
    </row>
    <row r="434">
      <c r="A434" s="2" t="s">
        <v>3722</v>
      </c>
      <c r="B434" s="3" t="str">
        <f>A434</f>
        <v>hanley-power-lines-2000-f025</v>
      </c>
      <c r="C434" s="2" t="s">
        <v>579</v>
      </c>
      <c r="D434" s="2">
        <v>0.25</v>
      </c>
      <c r="E434" s="3" t="e">
        <f>ABS(D434 - LOOKUP(C434, SweepStudyConfig[StudyId], SweepStudyConfig[OriginalAllocFractionA])) &lt; 0.03</f>
        <v>#VALUE!</v>
      </c>
      <c r="F434" s="3" t="e">
        <f>LOOKUP(C434, SweepStudyConfig[StudyId], SweepStudyConfig[NSweepStratumTotal])</f>
        <v>#VALUE!</v>
      </c>
      <c r="G434" s="3" t="e">
        <f>ROUND(F434 * D434)</f>
        <v>#VALUE!</v>
      </c>
      <c r="H434" s="3" t="e">
        <f>F434 - G434</f>
        <v>#VALUE!</v>
      </c>
      <c r="I434" s="3" t="e">
        <f>LOOKUP(C434, SweepStudyConfig[StudyId], SweepStudyConfig[NFixedA])</f>
        <v>#VALUE!</v>
      </c>
      <c r="J434" s="3" t="e">
        <f>LOOKUP(C434, SweepStudyConfig[StudyId], SweepStudyConfig[NFixedB])</f>
        <v>#VALUE!</v>
      </c>
      <c r="K434" s="3" t="e">
        <f>LOOKUP(C434, SweepStudyConfig[StudyId], SweepStudyConfig[SweepRateA])</f>
        <v>#VALUE!</v>
      </c>
      <c r="L434" s="3" t="e">
        <f>LOOKUP(C434, SweepStudyConfig[StudyId], SweepStudyConfig[SweepRateB])</f>
        <v>#VALUE!</v>
      </c>
      <c r="M434" s="3" t="e">
        <f>LOOKUP(C434, SweepStudyConfig[StudyId], SweepStudyConfig[FixedRateA])</f>
        <v>#VALUE!</v>
      </c>
      <c r="N434" s="3" t="e">
        <f>LOOKUP(C434, SweepStudyConfig[StudyId], SweepStudyConfig[FixedRateB])</f>
        <v>#VALUE!</v>
      </c>
      <c r="O434" s="3" t="e">
        <f>IF(G434 + I434 = 0, "", (G434 * K434 + I434 * M434) / (G434 + I434))</f>
        <v>#VALUE!</v>
      </c>
      <c r="P434" s="3" t="e">
        <f>IF(H434 + J434 = 0, "", (H434 * L434 + J434 * N434) / (H434 + J434))</f>
        <v>#VALUE!</v>
      </c>
      <c r="Q434" s="3" t="e">
        <f>IF(O434 = "", "", O434 - P434)</f>
        <v>#VALUE!</v>
      </c>
      <c r="R434" s="3" t="e">
        <f>LOOKUP(C434, SweepStudyConfig[StudyId], SweepStudyConfig[SweepCorrectedGap])</f>
        <v>#VALUE!</v>
      </c>
      <c r="S434" s="3" t="e">
        <f>IF(Q434 = "", "", Q434 - R434)</f>
        <v>#VALUE!</v>
      </c>
    </row>
    <row r="435">
      <c r="A435" s="2" t="s">
        <v>3723</v>
      </c>
      <c r="B435" s="3" t="str">
        <f>A435</f>
        <v>hanley-power-lines-2000-f035</v>
      </c>
      <c r="C435" s="2" t="s">
        <v>579</v>
      </c>
      <c r="D435" s="2">
        <v>0.35</v>
      </c>
      <c r="E435" s="3" t="e">
        <f>ABS(D435 - LOOKUP(C435, SweepStudyConfig[StudyId], SweepStudyConfig[OriginalAllocFractionA])) &lt; 0.03</f>
        <v>#VALUE!</v>
      </c>
      <c r="F435" s="3" t="e">
        <f>LOOKUP(C435, SweepStudyConfig[StudyId], SweepStudyConfig[NSweepStratumTotal])</f>
        <v>#VALUE!</v>
      </c>
      <c r="G435" s="3" t="e">
        <f>ROUND(F435 * D435)</f>
        <v>#VALUE!</v>
      </c>
      <c r="H435" s="3" t="e">
        <f>F435 - G435</f>
        <v>#VALUE!</v>
      </c>
      <c r="I435" s="3" t="e">
        <f>LOOKUP(C435, SweepStudyConfig[StudyId], SweepStudyConfig[NFixedA])</f>
        <v>#VALUE!</v>
      </c>
      <c r="J435" s="3" t="e">
        <f>LOOKUP(C435, SweepStudyConfig[StudyId], SweepStudyConfig[NFixedB])</f>
        <v>#VALUE!</v>
      </c>
      <c r="K435" s="3" t="e">
        <f>LOOKUP(C435, SweepStudyConfig[StudyId], SweepStudyConfig[SweepRateA])</f>
        <v>#VALUE!</v>
      </c>
      <c r="L435" s="3" t="e">
        <f>LOOKUP(C435, SweepStudyConfig[StudyId], SweepStudyConfig[SweepRateB])</f>
        <v>#VALUE!</v>
      </c>
      <c r="M435" s="3" t="e">
        <f>LOOKUP(C435, SweepStudyConfig[StudyId], SweepStudyConfig[FixedRateA])</f>
        <v>#VALUE!</v>
      </c>
      <c r="N435" s="3" t="e">
        <f>LOOKUP(C435, SweepStudyConfig[StudyId], SweepStudyConfig[FixedRateB])</f>
        <v>#VALUE!</v>
      </c>
      <c r="O435" s="3" t="e">
        <f>IF(G435 + I435 = 0, "", (G435 * K435 + I435 * M435) / (G435 + I435))</f>
        <v>#VALUE!</v>
      </c>
      <c r="P435" s="3" t="e">
        <f>IF(H435 + J435 = 0, "", (H435 * L435 + J435 * N435) / (H435 + J435))</f>
        <v>#VALUE!</v>
      </c>
      <c r="Q435" s="3" t="e">
        <f>IF(O435 = "", "", O435 - P435)</f>
        <v>#VALUE!</v>
      </c>
      <c r="R435" s="3" t="e">
        <f>LOOKUP(C435, SweepStudyConfig[StudyId], SweepStudyConfig[SweepCorrectedGap])</f>
        <v>#VALUE!</v>
      </c>
      <c r="S435" s="3" t="e">
        <f>IF(Q435 = "", "", Q435 - R435)</f>
        <v>#VALUE!</v>
      </c>
    </row>
    <row r="436">
      <c r="A436" s="2" t="s">
        <v>3724</v>
      </c>
      <c r="B436" s="3" t="str">
        <f>A436</f>
        <v>hanley-power-lines-2000-f045</v>
      </c>
      <c r="C436" s="2" t="s">
        <v>579</v>
      </c>
      <c r="D436" s="2">
        <v>0.45</v>
      </c>
      <c r="E436" s="3" t="e">
        <f>ABS(D436 - LOOKUP(C436, SweepStudyConfig[StudyId], SweepStudyConfig[OriginalAllocFractionA])) &lt; 0.03</f>
        <v>#VALUE!</v>
      </c>
      <c r="F436" s="3" t="e">
        <f>LOOKUP(C436, SweepStudyConfig[StudyId], SweepStudyConfig[NSweepStratumTotal])</f>
        <v>#VALUE!</v>
      </c>
      <c r="G436" s="3" t="e">
        <f>ROUND(F436 * D436)</f>
        <v>#VALUE!</v>
      </c>
      <c r="H436" s="3" t="e">
        <f>F436 - G436</f>
        <v>#VALUE!</v>
      </c>
      <c r="I436" s="3" t="e">
        <f>LOOKUP(C436, SweepStudyConfig[StudyId], SweepStudyConfig[NFixedA])</f>
        <v>#VALUE!</v>
      </c>
      <c r="J436" s="3" t="e">
        <f>LOOKUP(C436, SweepStudyConfig[StudyId], SweepStudyConfig[NFixedB])</f>
        <v>#VALUE!</v>
      </c>
      <c r="K436" s="3" t="e">
        <f>LOOKUP(C436, SweepStudyConfig[StudyId], SweepStudyConfig[SweepRateA])</f>
        <v>#VALUE!</v>
      </c>
      <c r="L436" s="3" t="e">
        <f>LOOKUP(C436, SweepStudyConfig[StudyId], SweepStudyConfig[SweepRateB])</f>
        <v>#VALUE!</v>
      </c>
      <c r="M436" s="3" t="e">
        <f>LOOKUP(C436, SweepStudyConfig[StudyId], SweepStudyConfig[FixedRateA])</f>
        <v>#VALUE!</v>
      </c>
      <c r="N436" s="3" t="e">
        <f>LOOKUP(C436, SweepStudyConfig[StudyId], SweepStudyConfig[FixedRateB])</f>
        <v>#VALUE!</v>
      </c>
      <c r="O436" s="3" t="e">
        <f>IF(G436 + I436 = 0, "", (G436 * K436 + I436 * M436) / (G436 + I436))</f>
        <v>#VALUE!</v>
      </c>
      <c r="P436" s="3" t="e">
        <f>IF(H436 + J436 = 0, "", (H436 * L436 + J436 * N436) / (H436 + J436))</f>
        <v>#VALUE!</v>
      </c>
      <c r="Q436" s="3" t="e">
        <f>IF(O436 = "", "", O436 - P436)</f>
        <v>#VALUE!</v>
      </c>
      <c r="R436" s="3" t="e">
        <f>LOOKUP(C436, SweepStudyConfig[StudyId], SweepStudyConfig[SweepCorrectedGap])</f>
        <v>#VALUE!</v>
      </c>
      <c r="S436" s="3" t="e">
        <f>IF(Q436 = "", "", Q436 - R436)</f>
        <v>#VALUE!</v>
      </c>
    </row>
    <row r="437">
      <c r="A437" s="2" t="s">
        <v>3725</v>
      </c>
      <c r="B437" s="3" t="str">
        <f>A437</f>
        <v>hanley-power-lines-2000-f055</v>
      </c>
      <c r="C437" s="2" t="s">
        <v>579</v>
      </c>
      <c r="D437" s="2">
        <v>0.55</v>
      </c>
      <c r="E437" s="3" t="e">
        <f>ABS(D437 - LOOKUP(C437, SweepStudyConfig[StudyId], SweepStudyConfig[OriginalAllocFractionA])) &lt; 0.03</f>
        <v>#VALUE!</v>
      </c>
      <c r="F437" s="3" t="e">
        <f>LOOKUP(C437, SweepStudyConfig[StudyId], SweepStudyConfig[NSweepStratumTotal])</f>
        <v>#VALUE!</v>
      </c>
      <c r="G437" s="3" t="e">
        <f>ROUND(F437 * D437)</f>
        <v>#VALUE!</v>
      </c>
      <c r="H437" s="3" t="e">
        <f>F437 - G437</f>
        <v>#VALUE!</v>
      </c>
      <c r="I437" s="3" t="e">
        <f>LOOKUP(C437, SweepStudyConfig[StudyId], SweepStudyConfig[NFixedA])</f>
        <v>#VALUE!</v>
      </c>
      <c r="J437" s="3" t="e">
        <f>LOOKUP(C437, SweepStudyConfig[StudyId], SweepStudyConfig[NFixedB])</f>
        <v>#VALUE!</v>
      </c>
      <c r="K437" s="3" t="e">
        <f>LOOKUP(C437, SweepStudyConfig[StudyId], SweepStudyConfig[SweepRateA])</f>
        <v>#VALUE!</v>
      </c>
      <c r="L437" s="3" t="e">
        <f>LOOKUP(C437, SweepStudyConfig[StudyId], SweepStudyConfig[SweepRateB])</f>
        <v>#VALUE!</v>
      </c>
      <c r="M437" s="3" t="e">
        <f>LOOKUP(C437, SweepStudyConfig[StudyId], SweepStudyConfig[FixedRateA])</f>
        <v>#VALUE!</v>
      </c>
      <c r="N437" s="3" t="e">
        <f>LOOKUP(C437, SweepStudyConfig[StudyId], SweepStudyConfig[FixedRateB])</f>
        <v>#VALUE!</v>
      </c>
      <c r="O437" s="3" t="e">
        <f>IF(G437 + I437 = 0, "", (G437 * K437 + I437 * M437) / (G437 + I437))</f>
        <v>#VALUE!</v>
      </c>
      <c r="P437" s="3" t="e">
        <f>IF(H437 + J437 = 0, "", (H437 * L437 + J437 * N437) / (H437 + J437))</f>
        <v>#VALUE!</v>
      </c>
      <c r="Q437" s="3" t="e">
        <f>IF(O437 = "", "", O437 - P437)</f>
        <v>#VALUE!</v>
      </c>
      <c r="R437" s="3" t="e">
        <f>LOOKUP(C437, SweepStudyConfig[StudyId], SweepStudyConfig[SweepCorrectedGap])</f>
        <v>#VALUE!</v>
      </c>
      <c r="S437" s="3" t="e">
        <f>IF(Q437 = "", "", Q437 - R437)</f>
        <v>#VALUE!</v>
      </c>
    </row>
    <row r="438">
      <c r="A438" s="2" t="s">
        <v>3726</v>
      </c>
      <c r="B438" s="3" t="str">
        <f>A438</f>
        <v>hanley-power-lines-2000-f065</v>
      </c>
      <c r="C438" s="2" t="s">
        <v>579</v>
      </c>
      <c r="D438" s="2">
        <v>0.65</v>
      </c>
      <c r="E438" s="3" t="e">
        <f>ABS(D438 - LOOKUP(C438, SweepStudyConfig[StudyId], SweepStudyConfig[OriginalAllocFractionA])) &lt; 0.03</f>
        <v>#VALUE!</v>
      </c>
      <c r="F438" s="3" t="e">
        <f>LOOKUP(C438, SweepStudyConfig[StudyId], SweepStudyConfig[NSweepStratumTotal])</f>
        <v>#VALUE!</v>
      </c>
      <c r="G438" s="3" t="e">
        <f>ROUND(F438 * D438)</f>
        <v>#VALUE!</v>
      </c>
      <c r="H438" s="3" t="e">
        <f>F438 - G438</f>
        <v>#VALUE!</v>
      </c>
      <c r="I438" s="3" t="e">
        <f>LOOKUP(C438, SweepStudyConfig[StudyId], SweepStudyConfig[NFixedA])</f>
        <v>#VALUE!</v>
      </c>
      <c r="J438" s="3" t="e">
        <f>LOOKUP(C438, SweepStudyConfig[StudyId], SweepStudyConfig[NFixedB])</f>
        <v>#VALUE!</v>
      </c>
      <c r="K438" s="3" t="e">
        <f>LOOKUP(C438, SweepStudyConfig[StudyId], SweepStudyConfig[SweepRateA])</f>
        <v>#VALUE!</v>
      </c>
      <c r="L438" s="3" t="e">
        <f>LOOKUP(C438, SweepStudyConfig[StudyId], SweepStudyConfig[SweepRateB])</f>
        <v>#VALUE!</v>
      </c>
      <c r="M438" s="3" t="e">
        <f>LOOKUP(C438, SweepStudyConfig[StudyId], SweepStudyConfig[FixedRateA])</f>
        <v>#VALUE!</v>
      </c>
      <c r="N438" s="3" t="e">
        <f>LOOKUP(C438, SweepStudyConfig[StudyId], SweepStudyConfig[FixedRateB])</f>
        <v>#VALUE!</v>
      </c>
      <c r="O438" s="3" t="e">
        <f>IF(G438 + I438 = 0, "", (G438 * K438 + I438 * M438) / (G438 + I438))</f>
        <v>#VALUE!</v>
      </c>
      <c r="P438" s="3" t="e">
        <f>IF(H438 + J438 = 0, "", (H438 * L438 + J438 * N438) / (H438 + J438))</f>
        <v>#VALUE!</v>
      </c>
      <c r="Q438" s="3" t="e">
        <f>IF(O438 = "", "", O438 - P438)</f>
        <v>#VALUE!</v>
      </c>
      <c r="R438" s="3" t="e">
        <f>LOOKUP(C438, SweepStudyConfig[StudyId], SweepStudyConfig[SweepCorrectedGap])</f>
        <v>#VALUE!</v>
      </c>
      <c r="S438" s="3" t="e">
        <f>IF(Q438 = "", "", Q438 - R438)</f>
        <v>#VALUE!</v>
      </c>
    </row>
    <row r="439">
      <c r="A439" s="2" t="s">
        <v>3727</v>
      </c>
      <c r="B439" s="3" t="str">
        <f>A439</f>
        <v>hanley-power-lines-2000-f075</v>
      </c>
      <c r="C439" s="2" t="s">
        <v>579</v>
      </c>
      <c r="D439" s="2">
        <v>0.75</v>
      </c>
      <c r="E439" s="3" t="e">
        <f>ABS(D439 - LOOKUP(C439, SweepStudyConfig[StudyId], SweepStudyConfig[OriginalAllocFractionA])) &lt; 0.03</f>
        <v>#VALUE!</v>
      </c>
      <c r="F439" s="3" t="e">
        <f>LOOKUP(C439, SweepStudyConfig[StudyId], SweepStudyConfig[NSweepStratumTotal])</f>
        <v>#VALUE!</v>
      </c>
      <c r="G439" s="3" t="e">
        <f>ROUND(F439 * D439)</f>
        <v>#VALUE!</v>
      </c>
      <c r="H439" s="3" t="e">
        <f>F439 - G439</f>
        <v>#VALUE!</v>
      </c>
      <c r="I439" s="3" t="e">
        <f>LOOKUP(C439, SweepStudyConfig[StudyId], SweepStudyConfig[NFixedA])</f>
        <v>#VALUE!</v>
      </c>
      <c r="J439" s="3" t="e">
        <f>LOOKUP(C439, SweepStudyConfig[StudyId], SweepStudyConfig[NFixedB])</f>
        <v>#VALUE!</v>
      </c>
      <c r="K439" s="3" t="e">
        <f>LOOKUP(C439, SweepStudyConfig[StudyId], SweepStudyConfig[SweepRateA])</f>
        <v>#VALUE!</v>
      </c>
      <c r="L439" s="3" t="e">
        <f>LOOKUP(C439, SweepStudyConfig[StudyId], SweepStudyConfig[SweepRateB])</f>
        <v>#VALUE!</v>
      </c>
      <c r="M439" s="3" t="e">
        <f>LOOKUP(C439, SweepStudyConfig[StudyId], SweepStudyConfig[FixedRateA])</f>
        <v>#VALUE!</v>
      </c>
      <c r="N439" s="3" t="e">
        <f>LOOKUP(C439, SweepStudyConfig[StudyId], SweepStudyConfig[FixedRateB])</f>
        <v>#VALUE!</v>
      </c>
      <c r="O439" s="3" t="e">
        <f>IF(G439 + I439 = 0, "", (G439 * K439 + I439 * M439) / (G439 + I439))</f>
        <v>#VALUE!</v>
      </c>
      <c r="P439" s="3" t="e">
        <f>IF(H439 + J439 = 0, "", (H439 * L439 + J439 * N439) / (H439 + J439))</f>
        <v>#VALUE!</v>
      </c>
      <c r="Q439" s="3" t="e">
        <f>IF(O439 = "", "", O439 - P439)</f>
        <v>#VALUE!</v>
      </c>
      <c r="R439" s="3" t="e">
        <f>LOOKUP(C439, SweepStudyConfig[StudyId], SweepStudyConfig[SweepCorrectedGap])</f>
        <v>#VALUE!</v>
      </c>
      <c r="S439" s="3" t="e">
        <f>IF(Q439 = "", "", Q439 - R439)</f>
        <v>#VALUE!</v>
      </c>
    </row>
    <row r="440">
      <c r="A440" s="2" t="s">
        <v>3728</v>
      </c>
      <c r="B440" s="3" t="str">
        <f>A440</f>
        <v>hanley-power-lines-2000-f085</v>
      </c>
      <c r="C440" s="2" t="s">
        <v>579</v>
      </c>
      <c r="D440" s="2">
        <v>0.85</v>
      </c>
      <c r="E440" s="3" t="e">
        <f>ABS(D440 - LOOKUP(C440, SweepStudyConfig[StudyId], SweepStudyConfig[OriginalAllocFractionA])) &lt; 0.03</f>
        <v>#VALUE!</v>
      </c>
      <c r="F440" s="3" t="e">
        <f>LOOKUP(C440, SweepStudyConfig[StudyId], SweepStudyConfig[NSweepStratumTotal])</f>
        <v>#VALUE!</v>
      </c>
      <c r="G440" s="3" t="e">
        <f>ROUND(F440 * D440)</f>
        <v>#VALUE!</v>
      </c>
      <c r="H440" s="3" t="e">
        <f>F440 - G440</f>
        <v>#VALUE!</v>
      </c>
      <c r="I440" s="3" t="e">
        <f>LOOKUP(C440, SweepStudyConfig[StudyId], SweepStudyConfig[NFixedA])</f>
        <v>#VALUE!</v>
      </c>
      <c r="J440" s="3" t="e">
        <f>LOOKUP(C440, SweepStudyConfig[StudyId], SweepStudyConfig[NFixedB])</f>
        <v>#VALUE!</v>
      </c>
      <c r="K440" s="3" t="e">
        <f>LOOKUP(C440, SweepStudyConfig[StudyId], SweepStudyConfig[SweepRateA])</f>
        <v>#VALUE!</v>
      </c>
      <c r="L440" s="3" t="e">
        <f>LOOKUP(C440, SweepStudyConfig[StudyId], SweepStudyConfig[SweepRateB])</f>
        <v>#VALUE!</v>
      </c>
      <c r="M440" s="3" t="e">
        <f>LOOKUP(C440, SweepStudyConfig[StudyId], SweepStudyConfig[FixedRateA])</f>
        <v>#VALUE!</v>
      </c>
      <c r="N440" s="3" t="e">
        <f>LOOKUP(C440, SweepStudyConfig[StudyId], SweepStudyConfig[FixedRateB])</f>
        <v>#VALUE!</v>
      </c>
      <c r="O440" s="3" t="e">
        <f>IF(G440 + I440 = 0, "", (G440 * K440 + I440 * M440) / (G440 + I440))</f>
        <v>#VALUE!</v>
      </c>
      <c r="P440" s="3" t="e">
        <f>IF(H440 + J440 = 0, "", (H440 * L440 + J440 * N440) / (H440 + J440))</f>
        <v>#VALUE!</v>
      </c>
      <c r="Q440" s="3" t="e">
        <f>IF(O440 = "", "", O440 - P440)</f>
        <v>#VALUE!</v>
      </c>
      <c r="R440" s="3" t="e">
        <f>LOOKUP(C440, SweepStudyConfig[StudyId], SweepStudyConfig[SweepCorrectedGap])</f>
        <v>#VALUE!</v>
      </c>
      <c r="S440" s="3" t="e">
        <f>IF(Q440 = "", "", Q440 - R440)</f>
        <v>#VALUE!</v>
      </c>
    </row>
    <row r="441">
      <c r="A441" s="2" t="s">
        <v>3729</v>
      </c>
      <c r="B441" s="3" t="str">
        <f>A441</f>
        <v>hanley-power-lines-2000-f095</v>
      </c>
      <c r="C441" s="2" t="s">
        <v>579</v>
      </c>
      <c r="D441" s="2">
        <v>0.95</v>
      </c>
      <c r="E441" s="3" t="e">
        <f>ABS(D441 - LOOKUP(C441, SweepStudyConfig[StudyId], SweepStudyConfig[OriginalAllocFractionA])) &lt; 0.03</f>
        <v>#VALUE!</v>
      </c>
      <c r="F441" s="3" t="e">
        <f>LOOKUP(C441, SweepStudyConfig[StudyId], SweepStudyConfig[NSweepStratumTotal])</f>
        <v>#VALUE!</v>
      </c>
      <c r="G441" s="3" t="e">
        <f>ROUND(F441 * D441)</f>
        <v>#VALUE!</v>
      </c>
      <c r="H441" s="3" t="e">
        <f>F441 - G441</f>
        <v>#VALUE!</v>
      </c>
      <c r="I441" s="3" t="e">
        <f>LOOKUP(C441, SweepStudyConfig[StudyId], SweepStudyConfig[NFixedA])</f>
        <v>#VALUE!</v>
      </c>
      <c r="J441" s="3" t="e">
        <f>LOOKUP(C441, SweepStudyConfig[StudyId], SweepStudyConfig[NFixedB])</f>
        <v>#VALUE!</v>
      </c>
      <c r="K441" s="3" t="e">
        <f>LOOKUP(C441, SweepStudyConfig[StudyId], SweepStudyConfig[SweepRateA])</f>
        <v>#VALUE!</v>
      </c>
      <c r="L441" s="3" t="e">
        <f>LOOKUP(C441, SweepStudyConfig[StudyId], SweepStudyConfig[SweepRateB])</f>
        <v>#VALUE!</v>
      </c>
      <c r="M441" s="3" t="e">
        <f>LOOKUP(C441, SweepStudyConfig[StudyId], SweepStudyConfig[FixedRateA])</f>
        <v>#VALUE!</v>
      </c>
      <c r="N441" s="3" t="e">
        <f>LOOKUP(C441, SweepStudyConfig[StudyId], SweepStudyConfig[FixedRateB])</f>
        <v>#VALUE!</v>
      </c>
      <c r="O441" s="3" t="e">
        <f>IF(G441 + I441 = 0, "", (G441 * K441 + I441 * M441) / (G441 + I441))</f>
        <v>#VALUE!</v>
      </c>
      <c r="P441" s="3" t="e">
        <f>IF(H441 + J441 = 0, "", (H441 * L441 + J441 * N441) / (H441 + J441))</f>
        <v>#VALUE!</v>
      </c>
      <c r="Q441" s="3" t="e">
        <f>IF(O441 = "", "", O441 - P441)</f>
        <v>#VALUE!</v>
      </c>
      <c r="R441" s="3" t="e">
        <f>LOOKUP(C441, SweepStudyConfig[StudyId], SweepStudyConfig[SweepCorrectedGap])</f>
        <v>#VALUE!</v>
      </c>
      <c r="S441" s="3" t="e">
        <f>IF(Q441 = "", "", Q441 - R441)</f>
        <v>#VALUE!</v>
      </c>
    </row>
    <row r="442">
      <c r="A442" s="2" t="s">
        <v>3730</v>
      </c>
      <c r="B442" s="3" t="str">
        <f>A442</f>
        <v>coffee-smoking-lung-1968-f005</v>
      </c>
      <c r="C442" s="2" t="s">
        <v>583</v>
      </c>
      <c r="D442" s="2">
        <v>0.05</v>
      </c>
      <c r="E442" s="3" t="e">
        <f>ABS(D442 - LOOKUP(C442, SweepStudyConfig[StudyId], SweepStudyConfig[OriginalAllocFractionA])) &lt; 0.03</f>
        <v>#VALUE!</v>
      </c>
      <c r="F442" s="3" t="e">
        <f>LOOKUP(C442, SweepStudyConfig[StudyId], SweepStudyConfig[NSweepStratumTotal])</f>
        <v>#VALUE!</v>
      </c>
      <c r="G442" s="3" t="e">
        <f>ROUND(F442 * D442)</f>
        <v>#VALUE!</v>
      </c>
      <c r="H442" s="3" t="e">
        <f>F442 - G442</f>
        <v>#VALUE!</v>
      </c>
      <c r="I442" s="3" t="e">
        <f>LOOKUP(C442, SweepStudyConfig[StudyId], SweepStudyConfig[NFixedA])</f>
        <v>#VALUE!</v>
      </c>
      <c r="J442" s="3" t="e">
        <f>LOOKUP(C442, SweepStudyConfig[StudyId], SweepStudyConfig[NFixedB])</f>
        <v>#VALUE!</v>
      </c>
      <c r="K442" s="3" t="e">
        <f>LOOKUP(C442, SweepStudyConfig[StudyId], SweepStudyConfig[SweepRateA])</f>
        <v>#VALUE!</v>
      </c>
      <c r="L442" s="3" t="e">
        <f>LOOKUP(C442, SweepStudyConfig[StudyId], SweepStudyConfig[SweepRateB])</f>
        <v>#VALUE!</v>
      </c>
      <c r="M442" s="3" t="e">
        <f>LOOKUP(C442, SweepStudyConfig[StudyId], SweepStudyConfig[FixedRateA])</f>
        <v>#VALUE!</v>
      </c>
      <c r="N442" s="3" t="e">
        <f>LOOKUP(C442, SweepStudyConfig[StudyId], SweepStudyConfig[FixedRateB])</f>
        <v>#VALUE!</v>
      </c>
      <c r="O442" s="3" t="e">
        <f>IF(G442 + I442 = 0, "", (G442 * K442 + I442 * M442) / (G442 + I442))</f>
        <v>#VALUE!</v>
      </c>
      <c r="P442" s="3" t="e">
        <f>IF(H442 + J442 = 0, "", (H442 * L442 + J442 * N442) / (H442 + J442))</f>
        <v>#VALUE!</v>
      </c>
      <c r="Q442" s="3" t="e">
        <f>IF(O442 = "", "", O442 - P442)</f>
        <v>#VALUE!</v>
      </c>
      <c r="R442" s="3" t="e">
        <f>LOOKUP(C442, SweepStudyConfig[StudyId], SweepStudyConfig[SweepCorrectedGap])</f>
        <v>#VALUE!</v>
      </c>
      <c r="S442" s="3" t="e">
        <f>IF(Q442 = "", "", Q442 - R442)</f>
        <v>#VALUE!</v>
      </c>
    </row>
    <row r="443">
      <c r="A443" s="2" t="s">
        <v>3731</v>
      </c>
      <c r="B443" s="3" t="str">
        <f>A443</f>
        <v>coffee-smoking-lung-1968-f015</v>
      </c>
      <c r="C443" s="2" t="s">
        <v>583</v>
      </c>
      <c r="D443" s="2">
        <v>0.15</v>
      </c>
      <c r="E443" s="3" t="e">
        <f>ABS(D443 - LOOKUP(C443, SweepStudyConfig[StudyId], SweepStudyConfig[OriginalAllocFractionA])) &lt; 0.03</f>
        <v>#VALUE!</v>
      </c>
      <c r="F443" s="3" t="e">
        <f>LOOKUP(C443, SweepStudyConfig[StudyId], SweepStudyConfig[NSweepStratumTotal])</f>
        <v>#VALUE!</v>
      </c>
      <c r="G443" s="3" t="e">
        <f>ROUND(F443 * D443)</f>
        <v>#VALUE!</v>
      </c>
      <c r="H443" s="3" t="e">
        <f>F443 - G443</f>
        <v>#VALUE!</v>
      </c>
      <c r="I443" s="3" t="e">
        <f>LOOKUP(C443, SweepStudyConfig[StudyId], SweepStudyConfig[NFixedA])</f>
        <v>#VALUE!</v>
      </c>
      <c r="J443" s="3" t="e">
        <f>LOOKUP(C443, SweepStudyConfig[StudyId], SweepStudyConfig[NFixedB])</f>
        <v>#VALUE!</v>
      </c>
      <c r="K443" s="3" t="e">
        <f>LOOKUP(C443, SweepStudyConfig[StudyId], SweepStudyConfig[SweepRateA])</f>
        <v>#VALUE!</v>
      </c>
      <c r="L443" s="3" t="e">
        <f>LOOKUP(C443, SweepStudyConfig[StudyId], SweepStudyConfig[SweepRateB])</f>
        <v>#VALUE!</v>
      </c>
      <c r="M443" s="3" t="e">
        <f>LOOKUP(C443, SweepStudyConfig[StudyId], SweepStudyConfig[FixedRateA])</f>
        <v>#VALUE!</v>
      </c>
      <c r="N443" s="3" t="e">
        <f>LOOKUP(C443, SweepStudyConfig[StudyId], SweepStudyConfig[FixedRateB])</f>
        <v>#VALUE!</v>
      </c>
      <c r="O443" s="3" t="e">
        <f>IF(G443 + I443 = 0, "", (G443 * K443 + I443 * M443) / (G443 + I443))</f>
        <v>#VALUE!</v>
      </c>
      <c r="P443" s="3" t="e">
        <f>IF(H443 + J443 = 0, "", (H443 * L443 + J443 * N443) / (H443 + J443))</f>
        <v>#VALUE!</v>
      </c>
      <c r="Q443" s="3" t="e">
        <f>IF(O443 = "", "", O443 - P443)</f>
        <v>#VALUE!</v>
      </c>
      <c r="R443" s="3" t="e">
        <f>LOOKUP(C443, SweepStudyConfig[StudyId], SweepStudyConfig[SweepCorrectedGap])</f>
        <v>#VALUE!</v>
      </c>
      <c r="S443" s="3" t="e">
        <f>IF(Q443 = "", "", Q443 - R443)</f>
        <v>#VALUE!</v>
      </c>
    </row>
    <row r="444">
      <c r="A444" s="2" t="s">
        <v>3732</v>
      </c>
      <c r="B444" s="3" t="str">
        <f>A444</f>
        <v>coffee-smoking-lung-1968-f025</v>
      </c>
      <c r="C444" s="2" t="s">
        <v>583</v>
      </c>
      <c r="D444" s="2">
        <v>0.25</v>
      </c>
      <c r="E444" s="3" t="e">
        <f>ABS(D444 - LOOKUP(C444, SweepStudyConfig[StudyId], SweepStudyConfig[OriginalAllocFractionA])) &lt; 0.03</f>
        <v>#VALUE!</v>
      </c>
      <c r="F444" s="3" t="e">
        <f>LOOKUP(C444, SweepStudyConfig[StudyId], SweepStudyConfig[NSweepStratumTotal])</f>
        <v>#VALUE!</v>
      </c>
      <c r="G444" s="3" t="e">
        <f>ROUND(F444 * D444)</f>
        <v>#VALUE!</v>
      </c>
      <c r="H444" s="3" t="e">
        <f>F444 - G444</f>
        <v>#VALUE!</v>
      </c>
      <c r="I444" s="3" t="e">
        <f>LOOKUP(C444, SweepStudyConfig[StudyId], SweepStudyConfig[NFixedA])</f>
        <v>#VALUE!</v>
      </c>
      <c r="J444" s="3" t="e">
        <f>LOOKUP(C444, SweepStudyConfig[StudyId], SweepStudyConfig[NFixedB])</f>
        <v>#VALUE!</v>
      </c>
      <c r="K444" s="3" t="e">
        <f>LOOKUP(C444, SweepStudyConfig[StudyId], SweepStudyConfig[SweepRateA])</f>
        <v>#VALUE!</v>
      </c>
      <c r="L444" s="3" t="e">
        <f>LOOKUP(C444, SweepStudyConfig[StudyId], SweepStudyConfig[SweepRateB])</f>
        <v>#VALUE!</v>
      </c>
      <c r="M444" s="3" t="e">
        <f>LOOKUP(C444, SweepStudyConfig[StudyId], SweepStudyConfig[FixedRateA])</f>
        <v>#VALUE!</v>
      </c>
      <c r="N444" s="3" t="e">
        <f>LOOKUP(C444, SweepStudyConfig[StudyId], SweepStudyConfig[FixedRateB])</f>
        <v>#VALUE!</v>
      </c>
      <c r="O444" s="3" t="e">
        <f>IF(G444 + I444 = 0, "", (G444 * K444 + I444 * M444) / (G444 + I444))</f>
        <v>#VALUE!</v>
      </c>
      <c r="P444" s="3" t="e">
        <f>IF(H444 + J444 = 0, "", (H444 * L444 + J444 * N444) / (H444 + J444))</f>
        <v>#VALUE!</v>
      </c>
      <c r="Q444" s="3" t="e">
        <f>IF(O444 = "", "", O444 - P444)</f>
        <v>#VALUE!</v>
      </c>
      <c r="R444" s="3" t="e">
        <f>LOOKUP(C444, SweepStudyConfig[StudyId], SweepStudyConfig[SweepCorrectedGap])</f>
        <v>#VALUE!</v>
      </c>
      <c r="S444" s="3" t="e">
        <f>IF(Q444 = "", "", Q444 - R444)</f>
        <v>#VALUE!</v>
      </c>
    </row>
    <row r="445">
      <c r="A445" s="2" t="s">
        <v>3733</v>
      </c>
      <c r="B445" s="3" t="str">
        <f>A445</f>
        <v>coffee-smoking-lung-1968-f035</v>
      </c>
      <c r="C445" s="2" t="s">
        <v>583</v>
      </c>
      <c r="D445" s="2">
        <v>0.35</v>
      </c>
      <c r="E445" s="3" t="e">
        <f>ABS(D445 - LOOKUP(C445, SweepStudyConfig[StudyId], SweepStudyConfig[OriginalAllocFractionA])) &lt; 0.03</f>
        <v>#VALUE!</v>
      </c>
      <c r="F445" s="3" t="e">
        <f>LOOKUP(C445, SweepStudyConfig[StudyId], SweepStudyConfig[NSweepStratumTotal])</f>
        <v>#VALUE!</v>
      </c>
      <c r="G445" s="3" t="e">
        <f>ROUND(F445 * D445)</f>
        <v>#VALUE!</v>
      </c>
      <c r="H445" s="3" t="e">
        <f>F445 - G445</f>
        <v>#VALUE!</v>
      </c>
      <c r="I445" s="3" t="e">
        <f>LOOKUP(C445, SweepStudyConfig[StudyId], SweepStudyConfig[NFixedA])</f>
        <v>#VALUE!</v>
      </c>
      <c r="J445" s="3" t="e">
        <f>LOOKUP(C445, SweepStudyConfig[StudyId], SweepStudyConfig[NFixedB])</f>
        <v>#VALUE!</v>
      </c>
      <c r="K445" s="3" t="e">
        <f>LOOKUP(C445, SweepStudyConfig[StudyId], SweepStudyConfig[SweepRateA])</f>
        <v>#VALUE!</v>
      </c>
      <c r="L445" s="3" t="e">
        <f>LOOKUP(C445, SweepStudyConfig[StudyId], SweepStudyConfig[SweepRateB])</f>
        <v>#VALUE!</v>
      </c>
      <c r="M445" s="3" t="e">
        <f>LOOKUP(C445, SweepStudyConfig[StudyId], SweepStudyConfig[FixedRateA])</f>
        <v>#VALUE!</v>
      </c>
      <c r="N445" s="3" t="e">
        <f>LOOKUP(C445, SweepStudyConfig[StudyId], SweepStudyConfig[FixedRateB])</f>
        <v>#VALUE!</v>
      </c>
      <c r="O445" s="3" t="e">
        <f>IF(G445 + I445 = 0, "", (G445 * K445 + I445 * M445) / (G445 + I445))</f>
        <v>#VALUE!</v>
      </c>
      <c r="P445" s="3" t="e">
        <f>IF(H445 + J445 = 0, "", (H445 * L445 + J445 * N445) / (H445 + J445))</f>
        <v>#VALUE!</v>
      </c>
      <c r="Q445" s="3" t="e">
        <f>IF(O445 = "", "", O445 - P445)</f>
        <v>#VALUE!</v>
      </c>
      <c r="R445" s="3" t="e">
        <f>LOOKUP(C445, SweepStudyConfig[StudyId], SweepStudyConfig[SweepCorrectedGap])</f>
        <v>#VALUE!</v>
      </c>
      <c r="S445" s="3" t="e">
        <f>IF(Q445 = "", "", Q445 - R445)</f>
        <v>#VALUE!</v>
      </c>
    </row>
    <row r="446">
      <c r="A446" s="2" t="s">
        <v>3734</v>
      </c>
      <c r="B446" s="3" t="str">
        <f>A446</f>
        <v>coffee-smoking-lung-1968-f045</v>
      </c>
      <c r="C446" s="2" t="s">
        <v>583</v>
      </c>
      <c r="D446" s="2">
        <v>0.45</v>
      </c>
      <c r="E446" s="3" t="e">
        <f>ABS(D446 - LOOKUP(C446, SweepStudyConfig[StudyId], SweepStudyConfig[OriginalAllocFractionA])) &lt; 0.03</f>
        <v>#VALUE!</v>
      </c>
      <c r="F446" s="3" t="e">
        <f>LOOKUP(C446, SweepStudyConfig[StudyId], SweepStudyConfig[NSweepStratumTotal])</f>
        <v>#VALUE!</v>
      </c>
      <c r="G446" s="3" t="e">
        <f>ROUND(F446 * D446)</f>
        <v>#VALUE!</v>
      </c>
      <c r="H446" s="3" t="e">
        <f>F446 - G446</f>
        <v>#VALUE!</v>
      </c>
      <c r="I446" s="3" t="e">
        <f>LOOKUP(C446, SweepStudyConfig[StudyId], SweepStudyConfig[NFixedA])</f>
        <v>#VALUE!</v>
      </c>
      <c r="J446" s="3" t="e">
        <f>LOOKUP(C446, SweepStudyConfig[StudyId], SweepStudyConfig[NFixedB])</f>
        <v>#VALUE!</v>
      </c>
      <c r="K446" s="3" t="e">
        <f>LOOKUP(C446, SweepStudyConfig[StudyId], SweepStudyConfig[SweepRateA])</f>
        <v>#VALUE!</v>
      </c>
      <c r="L446" s="3" t="e">
        <f>LOOKUP(C446, SweepStudyConfig[StudyId], SweepStudyConfig[SweepRateB])</f>
        <v>#VALUE!</v>
      </c>
      <c r="M446" s="3" t="e">
        <f>LOOKUP(C446, SweepStudyConfig[StudyId], SweepStudyConfig[FixedRateA])</f>
        <v>#VALUE!</v>
      </c>
      <c r="N446" s="3" t="e">
        <f>LOOKUP(C446, SweepStudyConfig[StudyId], SweepStudyConfig[FixedRateB])</f>
        <v>#VALUE!</v>
      </c>
      <c r="O446" s="3" t="e">
        <f>IF(G446 + I446 = 0, "", (G446 * K446 + I446 * M446) / (G446 + I446))</f>
        <v>#VALUE!</v>
      </c>
      <c r="P446" s="3" t="e">
        <f>IF(H446 + J446 = 0, "", (H446 * L446 + J446 * N446) / (H446 + J446))</f>
        <v>#VALUE!</v>
      </c>
      <c r="Q446" s="3" t="e">
        <f>IF(O446 = "", "", O446 - P446)</f>
        <v>#VALUE!</v>
      </c>
      <c r="R446" s="3" t="e">
        <f>LOOKUP(C446, SweepStudyConfig[StudyId], SweepStudyConfig[SweepCorrectedGap])</f>
        <v>#VALUE!</v>
      </c>
      <c r="S446" s="3" t="e">
        <f>IF(Q446 = "", "", Q446 - R446)</f>
        <v>#VALUE!</v>
      </c>
    </row>
    <row r="447">
      <c r="A447" s="2" t="s">
        <v>3735</v>
      </c>
      <c r="B447" s="3" t="str">
        <f>A447</f>
        <v>coffee-smoking-lung-1968-f055</v>
      </c>
      <c r="C447" s="2" t="s">
        <v>583</v>
      </c>
      <c r="D447" s="2">
        <v>0.55</v>
      </c>
      <c r="E447" s="3" t="e">
        <f>ABS(D447 - LOOKUP(C447, SweepStudyConfig[StudyId], SweepStudyConfig[OriginalAllocFractionA])) &lt; 0.03</f>
        <v>#VALUE!</v>
      </c>
      <c r="F447" s="3" t="e">
        <f>LOOKUP(C447, SweepStudyConfig[StudyId], SweepStudyConfig[NSweepStratumTotal])</f>
        <v>#VALUE!</v>
      </c>
      <c r="G447" s="3" t="e">
        <f>ROUND(F447 * D447)</f>
        <v>#VALUE!</v>
      </c>
      <c r="H447" s="3" t="e">
        <f>F447 - G447</f>
        <v>#VALUE!</v>
      </c>
      <c r="I447" s="3" t="e">
        <f>LOOKUP(C447, SweepStudyConfig[StudyId], SweepStudyConfig[NFixedA])</f>
        <v>#VALUE!</v>
      </c>
      <c r="J447" s="3" t="e">
        <f>LOOKUP(C447, SweepStudyConfig[StudyId], SweepStudyConfig[NFixedB])</f>
        <v>#VALUE!</v>
      </c>
      <c r="K447" s="3" t="e">
        <f>LOOKUP(C447, SweepStudyConfig[StudyId], SweepStudyConfig[SweepRateA])</f>
        <v>#VALUE!</v>
      </c>
      <c r="L447" s="3" t="e">
        <f>LOOKUP(C447, SweepStudyConfig[StudyId], SweepStudyConfig[SweepRateB])</f>
        <v>#VALUE!</v>
      </c>
      <c r="M447" s="3" t="e">
        <f>LOOKUP(C447, SweepStudyConfig[StudyId], SweepStudyConfig[FixedRateA])</f>
        <v>#VALUE!</v>
      </c>
      <c r="N447" s="3" t="e">
        <f>LOOKUP(C447, SweepStudyConfig[StudyId], SweepStudyConfig[FixedRateB])</f>
        <v>#VALUE!</v>
      </c>
      <c r="O447" s="3" t="e">
        <f>IF(G447 + I447 = 0, "", (G447 * K447 + I447 * M447) / (G447 + I447))</f>
        <v>#VALUE!</v>
      </c>
      <c r="P447" s="3" t="e">
        <f>IF(H447 + J447 = 0, "", (H447 * L447 + J447 * N447) / (H447 + J447))</f>
        <v>#VALUE!</v>
      </c>
      <c r="Q447" s="3" t="e">
        <f>IF(O447 = "", "", O447 - P447)</f>
        <v>#VALUE!</v>
      </c>
      <c r="R447" s="3" t="e">
        <f>LOOKUP(C447, SweepStudyConfig[StudyId], SweepStudyConfig[SweepCorrectedGap])</f>
        <v>#VALUE!</v>
      </c>
      <c r="S447" s="3" t="e">
        <f>IF(Q447 = "", "", Q447 - R447)</f>
        <v>#VALUE!</v>
      </c>
    </row>
    <row r="448">
      <c r="A448" s="2" t="s">
        <v>3736</v>
      </c>
      <c r="B448" s="3" t="str">
        <f>A448</f>
        <v>coffee-smoking-lung-1968-f065</v>
      </c>
      <c r="C448" s="2" t="s">
        <v>583</v>
      </c>
      <c r="D448" s="2">
        <v>0.65</v>
      </c>
      <c r="E448" s="3" t="e">
        <f>ABS(D448 - LOOKUP(C448, SweepStudyConfig[StudyId], SweepStudyConfig[OriginalAllocFractionA])) &lt; 0.03</f>
        <v>#VALUE!</v>
      </c>
      <c r="F448" s="3" t="e">
        <f>LOOKUP(C448, SweepStudyConfig[StudyId], SweepStudyConfig[NSweepStratumTotal])</f>
        <v>#VALUE!</v>
      </c>
      <c r="G448" s="3" t="e">
        <f>ROUND(F448 * D448)</f>
        <v>#VALUE!</v>
      </c>
      <c r="H448" s="3" t="e">
        <f>F448 - G448</f>
        <v>#VALUE!</v>
      </c>
      <c r="I448" s="3" t="e">
        <f>LOOKUP(C448, SweepStudyConfig[StudyId], SweepStudyConfig[NFixedA])</f>
        <v>#VALUE!</v>
      </c>
      <c r="J448" s="3" t="e">
        <f>LOOKUP(C448, SweepStudyConfig[StudyId], SweepStudyConfig[NFixedB])</f>
        <v>#VALUE!</v>
      </c>
      <c r="K448" s="3" t="e">
        <f>LOOKUP(C448, SweepStudyConfig[StudyId], SweepStudyConfig[SweepRateA])</f>
        <v>#VALUE!</v>
      </c>
      <c r="L448" s="3" t="e">
        <f>LOOKUP(C448, SweepStudyConfig[StudyId], SweepStudyConfig[SweepRateB])</f>
        <v>#VALUE!</v>
      </c>
      <c r="M448" s="3" t="e">
        <f>LOOKUP(C448, SweepStudyConfig[StudyId], SweepStudyConfig[FixedRateA])</f>
        <v>#VALUE!</v>
      </c>
      <c r="N448" s="3" t="e">
        <f>LOOKUP(C448, SweepStudyConfig[StudyId], SweepStudyConfig[FixedRateB])</f>
        <v>#VALUE!</v>
      </c>
      <c r="O448" s="3" t="e">
        <f>IF(G448 + I448 = 0, "", (G448 * K448 + I448 * M448) / (G448 + I448))</f>
        <v>#VALUE!</v>
      </c>
      <c r="P448" s="3" t="e">
        <f>IF(H448 + J448 = 0, "", (H448 * L448 + J448 * N448) / (H448 + J448))</f>
        <v>#VALUE!</v>
      </c>
      <c r="Q448" s="3" t="e">
        <f>IF(O448 = "", "", O448 - P448)</f>
        <v>#VALUE!</v>
      </c>
      <c r="R448" s="3" t="e">
        <f>LOOKUP(C448, SweepStudyConfig[StudyId], SweepStudyConfig[SweepCorrectedGap])</f>
        <v>#VALUE!</v>
      </c>
      <c r="S448" s="3" t="e">
        <f>IF(Q448 = "", "", Q448 - R448)</f>
        <v>#VALUE!</v>
      </c>
    </row>
    <row r="449">
      <c r="A449" s="2" t="s">
        <v>3737</v>
      </c>
      <c r="B449" s="3" t="str">
        <f>A449</f>
        <v>coffee-smoking-lung-1968-f075</v>
      </c>
      <c r="C449" s="2" t="s">
        <v>583</v>
      </c>
      <c r="D449" s="2">
        <v>0.75</v>
      </c>
      <c r="E449" s="3" t="e">
        <f>ABS(D449 - LOOKUP(C449, SweepStudyConfig[StudyId], SweepStudyConfig[OriginalAllocFractionA])) &lt; 0.03</f>
        <v>#VALUE!</v>
      </c>
      <c r="F449" s="3" t="e">
        <f>LOOKUP(C449, SweepStudyConfig[StudyId], SweepStudyConfig[NSweepStratumTotal])</f>
        <v>#VALUE!</v>
      </c>
      <c r="G449" s="3" t="e">
        <f>ROUND(F449 * D449)</f>
        <v>#VALUE!</v>
      </c>
      <c r="H449" s="3" t="e">
        <f>F449 - G449</f>
        <v>#VALUE!</v>
      </c>
      <c r="I449" s="3" t="e">
        <f>LOOKUP(C449, SweepStudyConfig[StudyId], SweepStudyConfig[NFixedA])</f>
        <v>#VALUE!</v>
      </c>
      <c r="J449" s="3" t="e">
        <f>LOOKUP(C449, SweepStudyConfig[StudyId], SweepStudyConfig[NFixedB])</f>
        <v>#VALUE!</v>
      </c>
      <c r="K449" s="3" t="e">
        <f>LOOKUP(C449, SweepStudyConfig[StudyId], SweepStudyConfig[SweepRateA])</f>
        <v>#VALUE!</v>
      </c>
      <c r="L449" s="3" t="e">
        <f>LOOKUP(C449, SweepStudyConfig[StudyId], SweepStudyConfig[SweepRateB])</f>
        <v>#VALUE!</v>
      </c>
      <c r="M449" s="3" t="e">
        <f>LOOKUP(C449, SweepStudyConfig[StudyId], SweepStudyConfig[FixedRateA])</f>
        <v>#VALUE!</v>
      </c>
      <c r="N449" s="3" t="e">
        <f>LOOKUP(C449, SweepStudyConfig[StudyId], SweepStudyConfig[FixedRateB])</f>
        <v>#VALUE!</v>
      </c>
      <c r="O449" s="3" t="e">
        <f>IF(G449 + I449 = 0, "", (G449 * K449 + I449 * M449) / (G449 + I449))</f>
        <v>#VALUE!</v>
      </c>
      <c r="P449" s="3" t="e">
        <f>IF(H449 + J449 = 0, "", (H449 * L449 + J449 * N449) / (H449 + J449))</f>
        <v>#VALUE!</v>
      </c>
      <c r="Q449" s="3" t="e">
        <f>IF(O449 = "", "", O449 - P449)</f>
        <v>#VALUE!</v>
      </c>
      <c r="R449" s="3" t="e">
        <f>LOOKUP(C449, SweepStudyConfig[StudyId], SweepStudyConfig[SweepCorrectedGap])</f>
        <v>#VALUE!</v>
      </c>
      <c r="S449" s="3" t="e">
        <f>IF(Q449 = "", "", Q449 - R449)</f>
        <v>#VALUE!</v>
      </c>
    </row>
    <row r="450">
      <c r="A450" s="2" t="s">
        <v>3738</v>
      </c>
      <c r="B450" s="3" t="str">
        <f>A450</f>
        <v>coffee-smoking-lung-1968-f085</v>
      </c>
      <c r="C450" s="2" t="s">
        <v>583</v>
      </c>
      <c r="D450" s="2">
        <v>0.85</v>
      </c>
      <c r="E450" s="3" t="e">
        <f>ABS(D450 - LOOKUP(C450, SweepStudyConfig[StudyId], SweepStudyConfig[OriginalAllocFractionA])) &lt; 0.03</f>
        <v>#VALUE!</v>
      </c>
      <c r="F450" s="3" t="e">
        <f>LOOKUP(C450, SweepStudyConfig[StudyId], SweepStudyConfig[NSweepStratumTotal])</f>
        <v>#VALUE!</v>
      </c>
      <c r="G450" s="3" t="e">
        <f>ROUND(F450 * D450)</f>
        <v>#VALUE!</v>
      </c>
      <c r="H450" s="3" t="e">
        <f>F450 - G450</f>
        <v>#VALUE!</v>
      </c>
      <c r="I450" s="3" t="e">
        <f>LOOKUP(C450, SweepStudyConfig[StudyId], SweepStudyConfig[NFixedA])</f>
        <v>#VALUE!</v>
      </c>
      <c r="J450" s="3" t="e">
        <f>LOOKUP(C450, SweepStudyConfig[StudyId], SweepStudyConfig[NFixedB])</f>
        <v>#VALUE!</v>
      </c>
      <c r="K450" s="3" t="e">
        <f>LOOKUP(C450, SweepStudyConfig[StudyId], SweepStudyConfig[SweepRateA])</f>
        <v>#VALUE!</v>
      </c>
      <c r="L450" s="3" t="e">
        <f>LOOKUP(C450, SweepStudyConfig[StudyId], SweepStudyConfig[SweepRateB])</f>
        <v>#VALUE!</v>
      </c>
      <c r="M450" s="3" t="e">
        <f>LOOKUP(C450, SweepStudyConfig[StudyId], SweepStudyConfig[FixedRateA])</f>
        <v>#VALUE!</v>
      </c>
      <c r="N450" s="3" t="e">
        <f>LOOKUP(C450, SweepStudyConfig[StudyId], SweepStudyConfig[FixedRateB])</f>
        <v>#VALUE!</v>
      </c>
      <c r="O450" s="3" t="e">
        <f>IF(G450 + I450 = 0, "", (G450 * K450 + I450 * M450) / (G450 + I450))</f>
        <v>#VALUE!</v>
      </c>
      <c r="P450" s="3" t="e">
        <f>IF(H450 + J450 = 0, "", (H450 * L450 + J450 * N450) / (H450 + J450))</f>
        <v>#VALUE!</v>
      </c>
      <c r="Q450" s="3" t="e">
        <f>IF(O450 = "", "", O450 - P450)</f>
        <v>#VALUE!</v>
      </c>
      <c r="R450" s="3" t="e">
        <f>LOOKUP(C450, SweepStudyConfig[StudyId], SweepStudyConfig[SweepCorrectedGap])</f>
        <v>#VALUE!</v>
      </c>
      <c r="S450" s="3" t="e">
        <f>IF(Q450 = "", "", Q450 - R450)</f>
        <v>#VALUE!</v>
      </c>
    </row>
    <row r="451">
      <c r="A451" s="2" t="s">
        <v>3739</v>
      </c>
      <c r="B451" s="3" t="str">
        <f>A451</f>
        <v>coffee-smoking-lung-1968-f095</v>
      </c>
      <c r="C451" s="2" t="s">
        <v>583</v>
      </c>
      <c r="D451" s="2">
        <v>0.95</v>
      </c>
      <c r="E451" s="3" t="e">
        <f>ABS(D451 - LOOKUP(C451, SweepStudyConfig[StudyId], SweepStudyConfig[OriginalAllocFractionA])) &lt; 0.03</f>
        <v>#VALUE!</v>
      </c>
      <c r="F451" s="3" t="e">
        <f>LOOKUP(C451, SweepStudyConfig[StudyId], SweepStudyConfig[NSweepStratumTotal])</f>
        <v>#VALUE!</v>
      </c>
      <c r="G451" s="3" t="e">
        <f>ROUND(F451 * D451)</f>
        <v>#VALUE!</v>
      </c>
      <c r="H451" s="3" t="e">
        <f>F451 - G451</f>
        <v>#VALUE!</v>
      </c>
      <c r="I451" s="3" t="e">
        <f>LOOKUP(C451, SweepStudyConfig[StudyId], SweepStudyConfig[NFixedA])</f>
        <v>#VALUE!</v>
      </c>
      <c r="J451" s="3" t="e">
        <f>LOOKUP(C451, SweepStudyConfig[StudyId], SweepStudyConfig[NFixedB])</f>
        <v>#VALUE!</v>
      </c>
      <c r="K451" s="3" t="e">
        <f>LOOKUP(C451, SweepStudyConfig[StudyId], SweepStudyConfig[SweepRateA])</f>
        <v>#VALUE!</v>
      </c>
      <c r="L451" s="3" t="e">
        <f>LOOKUP(C451, SweepStudyConfig[StudyId], SweepStudyConfig[SweepRateB])</f>
        <v>#VALUE!</v>
      </c>
      <c r="M451" s="3" t="e">
        <f>LOOKUP(C451, SweepStudyConfig[StudyId], SweepStudyConfig[FixedRateA])</f>
        <v>#VALUE!</v>
      </c>
      <c r="N451" s="3" t="e">
        <f>LOOKUP(C451, SweepStudyConfig[StudyId], SweepStudyConfig[FixedRateB])</f>
        <v>#VALUE!</v>
      </c>
      <c r="O451" s="3" t="e">
        <f>IF(G451 + I451 = 0, "", (G451 * K451 + I451 * M451) / (G451 + I451))</f>
        <v>#VALUE!</v>
      </c>
      <c r="P451" s="3" t="e">
        <f>IF(H451 + J451 = 0, "", (H451 * L451 + J451 * N451) / (H451 + J451))</f>
        <v>#VALUE!</v>
      </c>
      <c r="Q451" s="3" t="e">
        <f>IF(O451 = "", "", O451 - P451)</f>
        <v>#VALUE!</v>
      </c>
      <c r="R451" s="3" t="e">
        <f>LOOKUP(C451, SweepStudyConfig[StudyId], SweepStudyConfig[SweepCorrectedGap])</f>
        <v>#VALUE!</v>
      </c>
      <c r="S451" s="3" t="e">
        <f>IF(Q451 = "", "", Q451 - R451)</f>
        <v>#VALUE!</v>
      </c>
    </row>
    <row r="452">
      <c r="A452" s="2" t="s">
        <v>3740</v>
      </c>
      <c r="B452" s="3" t="str">
        <f>A452</f>
        <v>panama-sweden-mortality-1975-f005</v>
      </c>
      <c r="C452" s="2" t="s">
        <v>586</v>
      </c>
      <c r="D452" s="2">
        <v>0.05</v>
      </c>
      <c r="E452" s="3" t="e">
        <f>ABS(D452 - LOOKUP(C452, SweepStudyConfig[StudyId], SweepStudyConfig[OriginalAllocFractionA])) &lt; 0.03</f>
        <v>#VALUE!</v>
      </c>
      <c r="F452" s="3" t="e">
        <f>LOOKUP(C452, SweepStudyConfig[StudyId], SweepStudyConfig[NSweepStratumTotal])</f>
        <v>#VALUE!</v>
      </c>
      <c r="G452" s="3" t="e">
        <f>ROUND(F452 * D452)</f>
        <v>#VALUE!</v>
      </c>
      <c r="H452" s="3" t="e">
        <f>F452 - G452</f>
        <v>#VALUE!</v>
      </c>
      <c r="I452" s="3" t="e">
        <f>LOOKUP(C452, SweepStudyConfig[StudyId], SweepStudyConfig[NFixedA])</f>
        <v>#VALUE!</v>
      </c>
      <c r="J452" s="3" t="e">
        <f>LOOKUP(C452, SweepStudyConfig[StudyId], SweepStudyConfig[NFixedB])</f>
        <v>#VALUE!</v>
      </c>
      <c r="K452" s="3" t="e">
        <f>LOOKUP(C452, SweepStudyConfig[StudyId], SweepStudyConfig[SweepRateA])</f>
        <v>#VALUE!</v>
      </c>
      <c r="L452" s="3" t="e">
        <f>LOOKUP(C452, SweepStudyConfig[StudyId], SweepStudyConfig[SweepRateB])</f>
        <v>#VALUE!</v>
      </c>
      <c r="M452" s="3" t="e">
        <f>LOOKUP(C452, SweepStudyConfig[StudyId], SweepStudyConfig[FixedRateA])</f>
        <v>#VALUE!</v>
      </c>
      <c r="N452" s="3" t="e">
        <f>LOOKUP(C452, SweepStudyConfig[StudyId], SweepStudyConfig[FixedRateB])</f>
        <v>#VALUE!</v>
      </c>
      <c r="O452" s="3" t="e">
        <f>IF(G452 + I452 = 0, "", (G452 * K452 + I452 * M452) / (G452 + I452))</f>
        <v>#VALUE!</v>
      </c>
      <c r="P452" s="3" t="e">
        <f>IF(H452 + J452 = 0, "", (H452 * L452 + J452 * N452) / (H452 + J452))</f>
        <v>#VALUE!</v>
      </c>
      <c r="Q452" s="3" t="e">
        <f>IF(O452 = "", "", O452 - P452)</f>
        <v>#VALUE!</v>
      </c>
      <c r="R452" s="3" t="e">
        <f>LOOKUP(C452, SweepStudyConfig[StudyId], SweepStudyConfig[SweepCorrectedGap])</f>
        <v>#VALUE!</v>
      </c>
      <c r="S452" s="3" t="e">
        <f>IF(Q452 = "", "", Q452 - R452)</f>
        <v>#VALUE!</v>
      </c>
    </row>
    <row r="453">
      <c r="A453" s="2" t="s">
        <v>3741</v>
      </c>
      <c r="B453" s="3" t="str">
        <f>A453</f>
        <v>panama-sweden-mortality-1975-f015</v>
      </c>
      <c r="C453" s="2" t="s">
        <v>586</v>
      </c>
      <c r="D453" s="2">
        <v>0.15</v>
      </c>
      <c r="E453" s="3" t="e">
        <f>ABS(D453 - LOOKUP(C453, SweepStudyConfig[StudyId], SweepStudyConfig[OriginalAllocFractionA])) &lt; 0.03</f>
        <v>#VALUE!</v>
      </c>
      <c r="F453" s="3" t="e">
        <f>LOOKUP(C453, SweepStudyConfig[StudyId], SweepStudyConfig[NSweepStratumTotal])</f>
        <v>#VALUE!</v>
      </c>
      <c r="G453" s="3" t="e">
        <f>ROUND(F453 * D453)</f>
        <v>#VALUE!</v>
      </c>
      <c r="H453" s="3" t="e">
        <f>F453 - G453</f>
        <v>#VALUE!</v>
      </c>
      <c r="I453" s="3" t="e">
        <f>LOOKUP(C453, SweepStudyConfig[StudyId], SweepStudyConfig[NFixedA])</f>
        <v>#VALUE!</v>
      </c>
      <c r="J453" s="3" t="e">
        <f>LOOKUP(C453, SweepStudyConfig[StudyId], SweepStudyConfig[NFixedB])</f>
        <v>#VALUE!</v>
      </c>
      <c r="K453" s="3" t="e">
        <f>LOOKUP(C453, SweepStudyConfig[StudyId], SweepStudyConfig[SweepRateA])</f>
        <v>#VALUE!</v>
      </c>
      <c r="L453" s="3" t="e">
        <f>LOOKUP(C453, SweepStudyConfig[StudyId], SweepStudyConfig[SweepRateB])</f>
        <v>#VALUE!</v>
      </c>
      <c r="M453" s="3" t="e">
        <f>LOOKUP(C453, SweepStudyConfig[StudyId], SweepStudyConfig[FixedRateA])</f>
        <v>#VALUE!</v>
      </c>
      <c r="N453" s="3" t="e">
        <f>LOOKUP(C453, SweepStudyConfig[StudyId], SweepStudyConfig[FixedRateB])</f>
        <v>#VALUE!</v>
      </c>
      <c r="O453" s="3" t="e">
        <f>IF(G453 + I453 = 0, "", (G453 * K453 + I453 * M453) / (G453 + I453))</f>
        <v>#VALUE!</v>
      </c>
      <c r="P453" s="3" t="e">
        <f>IF(H453 + J453 = 0, "", (H453 * L453 + J453 * N453) / (H453 + J453))</f>
        <v>#VALUE!</v>
      </c>
      <c r="Q453" s="3" t="e">
        <f>IF(O453 = "", "", O453 - P453)</f>
        <v>#VALUE!</v>
      </c>
      <c r="R453" s="3" t="e">
        <f>LOOKUP(C453, SweepStudyConfig[StudyId], SweepStudyConfig[SweepCorrectedGap])</f>
        <v>#VALUE!</v>
      </c>
      <c r="S453" s="3" t="e">
        <f>IF(Q453 = "", "", Q453 - R453)</f>
        <v>#VALUE!</v>
      </c>
    </row>
    <row r="454">
      <c r="A454" s="2" t="s">
        <v>3742</v>
      </c>
      <c r="B454" s="3" t="str">
        <f>A454</f>
        <v>panama-sweden-mortality-1975-f025</v>
      </c>
      <c r="C454" s="2" t="s">
        <v>586</v>
      </c>
      <c r="D454" s="2">
        <v>0.25</v>
      </c>
      <c r="E454" s="3" t="e">
        <f>ABS(D454 - LOOKUP(C454, SweepStudyConfig[StudyId], SweepStudyConfig[OriginalAllocFractionA])) &lt; 0.03</f>
        <v>#VALUE!</v>
      </c>
      <c r="F454" s="3" t="e">
        <f>LOOKUP(C454, SweepStudyConfig[StudyId], SweepStudyConfig[NSweepStratumTotal])</f>
        <v>#VALUE!</v>
      </c>
      <c r="G454" s="3" t="e">
        <f>ROUND(F454 * D454)</f>
        <v>#VALUE!</v>
      </c>
      <c r="H454" s="3" t="e">
        <f>F454 - G454</f>
        <v>#VALUE!</v>
      </c>
      <c r="I454" s="3" t="e">
        <f>LOOKUP(C454, SweepStudyConfig[StudyId], SweepStudyConfig[NFixedA])</f>
        <v>#VALUE!</v>
      </c>
      <c r="J454" s="3" t="e">
        <f>LOOKUP(C454, SweepStudyConfig[StudyId], SweepStudyConfig[NFixedB])</f>
        <v>#VALUE!</v>
      </c>
      <c r="K454" s="3" t="e">
        <f>LOOKUP(C454, SweepStudyConfig[StudyId], SweepStudyConfig[SweepRateA])</f>
        <v>#VALUE!</v>
      </c>
      <c r="L454" s="3" t="e">
        <f>LOOKUP(C454, SweepStudyConfig[StudyId], SweepStudyConfig[SweepRateB])</f>
        <v>#VALUE!</v>
      </c>
      <c r="M454" s="3" t="e">
        <f>LOOKUP(C454, SweepStudyConfig[StudyId], SweepStudyConfig[FixedRateA])</f>
        <v>#VALUE!</v>
      </c>
      <c r="N454" s="3" t="e">
        <f>LOOKUP(C454, SweepStudyConfig[StudyId], SweepStudyConfig[FixedRateB])</f>
        <v>#VALUE!</v>
      </c>
      <c r="O454" s="3" t="e">
        <f>IF(G454 + I454 = 0, "", (G454 * K454 + I454 * M454) / (G454 + I454))</f>
        <v>#VALUE!</v>
      </c>
      <c r="P454" s="3" t="e">
        <f>IF(H454 + J454 = 0, "", (H454 * L454 + J454 * N454) / (H454 + J454))</f>
        <v>#VALUE!</v>
      </c>
      <c r="Q454" s="3" t="e">
        <f>IF(O454 = "", "", O454 - P454)</f>
        <v>#VALUE!</v>
      </c>
      <c r="R454" s="3" t="e">
        <f>LOOKUP(C454, SweepStudyConfig[StudyId], SweepStudyConfig[SweepCorrectedGap])</f>
        <v>#VALUE!</v>
      </c>
      <c r="S454" s="3" t="e">
        <f>IF(Q454 = "", "", Q454 - R454)</f>
        <v>#VALUE!</v>
      </c>
    </row>
    <row r="455">
      <c r="A455" s="2" t="s">
        <v>3743</v>
      </c>
      <c r="B455" s="3" t="str">
        <f>A455</f>
        <v>panama-sweden-mortality-1975-f035</v>
      </c>
      <c r="C455" s="2" t="s">
        <v>586</v>
      </c>
      <c r="D455" s="2">
        <v>0.35</v>
      </c>
      <c r="E455" s="3" t="e">
        <f>ABS(D455 - LOOKUP(C455, SweepStudyConfig[StudyId], SweepStudyConfig[OriginalAllocFractionA])) &lt; 0.03</f>
        <v>#VALUE!</v>
      </c>
      <c r="F455" s="3" t="e">
        <f>LOOKUP(C455, SweepStudyConfig[StudyId], SweepStudyConfig[NSweepStratumTotal])</f>
        <v>#VALUE!</v>
      </c>
      <c r="G455" s="3" t="e">
        <f>ROUND(F455 * D455)</f>
        <v>#VALUE!</v>
      </c>
      <c r="H455" s="3" t="e">
        <f>F455 - G455</f>
        <v>#VALUE!</v>
      </c>
      <c r="I455" s="3" t="e">
        <f>LOOKUP(C455, SweepStudyConfig[StudyId], SweepStudyConfig[NFixedA])</f>
        <v>#VALUE!</v>
      </c>
      <c r="J455" s="3" t="e">
        <f>LOOKUP(C455, SweepStudyConfig[StudyId], SweepStudyConfig[NFixedB])</f>
        <v>#VALUE!</v>
      </c>
      <c r="K455" s="3" t="e">
        <f>LOOKUP(C455, SweepStudyConfig[StudyId], SweepStudyConfig[SweepRateA])</f>
        <v>#VALUE!</v>
      </c>
      <c r="L455" s="3" t="e">
        <f>LOOKUP(C455, SweepStudyConfig[StudyId], SweepStudyConfig[SweepRateB])</f>
        <v>#VALUE!</v>
      </c>
      <c r="M455" s="3" t="e">
        <f>LOOKUP(C455, SweepStudyConfig[StudyId], SweepStudyConfig[FixedRateA])</f>
        <v>#VALUE!</v>
      </c>
      <c r="N455" s="3" t="e">
        <f>LOOKUP(C455, SweepStudyConfig[StudyId], SweepStudyConfig[FixedRateB])</f>
        <v>#VALUE!</v>
      </c>
      <c r="O455" s="3" t="e">
        <f>IF(G455 + I455 = 0, "", (G455 * K455 + I455 * M455) / (G455 + I455))</f>
        <v>#VALUE!</v>
      </c>
      <c r="P455" s="3" t="e">
        <f>IF(H455 + J455 = 0, "", (H455 * L455 + J455 * N455) / (H455 + J455))</f>
        <v>#VALUE!</v>
      </c>
      <c r="Q455" s="3" t="e">
        <f>IF(O455 = "", "", O455 - P455)</f>
        <v>#VALUE!</v>
      </c>
      <c r="R455" s="3" t="e">
        <f>LOOKUP(C455, SweepStudyConfig[StudyId], SweepStudyConfig[SweepCorrectedGap])</f>
        <v>#VALUE!</v>
      </c>
      <c r="S455" s="3" t="e">
        <f>IF(Q455 = "", "", Q455 - R455)</f>
        <v>#VALUE!</v>
      </c>
    </row>
    <row r="456">
      <c r="A456" s="2" t="s">
        <v>3744</v>
      </c>
      <c r="B456" s="3" t="str">
        <f>A456</f>
        <v>panama-sweden-mortality-1975-f045</v>
      </c>
      <c r="C456" s="2" t="s">
        <v>586</v>
      </c>
      <c r="D456" s="2">
        <v>0.45</v>
      </c>
      <c r="E456" s="3" t="e">
        <f>ABS(D456 - LOOKUP(C456, SweepStudyConfig[StudyId], SweepStudyConfig[OriginalAllocFractionA])) &lt; 0.03</f>
        <v>#VALUE!</v>
      </c>
      <c r="F456" s="3" t="e">
        <f>LOOKUP(C456, SweepStudyConfig[StudyId], SweepStudyConfig[NSweepStratumTotal])</f>
        <v>#VALUE!</v>
      </c>
      <c r="G456" s="3" t="e">
        <f>ROUND(F456 * D456)</f>
        <v>#VALUE!</v>
      </c>
      <c r="H456" s="3" t="e">
        <f>F456 - G456</f>
        <v>#VALUE!</v>
      </c>
      <c r="I456" s="3" t="e">
        <f>LOOKUP(C456, SweepStudyConfig[StudyId], SweepStudyConfig[NFixedA])</f>
        <v>#VALUE!</v>
      </c>
      <c r="J456" s="3" t="e">
        <f>LOOKUP(C456, SweepStudyConfig[StudyId], SweepStudyConfig[NFixedB])</f>
        <v>#VALUE!</v>
      </c>
      <c r="K456" s="3" t="e">
        <f>LOOKUP(C456, SweepStudyConfig[StudyId], SweepStudyConfig[SweepRateA])</f>
        <v>#VALUE!</v>
      </c>
      <c r="L456" s="3" t="e">
        <f>LOOKUP(C456, SweepStudyConfig[StudyId], SweepStudyConfig[SweepRateB])</f>
        <v>#VALUE!</v>
      </c>
      <c r="M456" s="3" t="e">
        <f>LOOKUP(C456, SweepStudyConfig[StudyId], SweepStudyConfig[FixedRateA])</f>
        <v>#VALUE!</v>
      </c>
      <c r="N456" s="3" t="e">
        <f>LOOKUP(C456, SweepStudyConfig[StudyId], SweepStudyConfig[FixedRateB])</f>
        <v>#VALUE!</v>
      </c>
      <c r="O456" s="3" t="e">
        <f>IF(G456 + I456 = 0, "", (G456 * K456 + I456 * M456) / (G456 + I456))</f>
        <v>#VALUE!</v>
      </c>
      <c r="P456" s="3" t="e">
        <f>IF(H456 + J456 = 0, "", (H456 * L456 + J456 * N456) / (H456 + J456))</f>
        <v>#VALUE!</v>
      </c>
      <c r="Q456" s="3" t="e">
        <f>IF(O456 = "", "", O456 - P456)</f>
        <v>#VALUE!</v>
      </c>
      <c r="R456" s="3" t="e">
        <f>LOOKUP(C456, SweepStudyConfig[StudyId], SweepStudyConfig[SweepCorrectedGap])</f>
        <v>#VALUE!</v>
      </c>
      <c r="S456" s="3" t="e">
        <f>IF(Q456 = "", "", Q456 - R456)</f>
        <v>#VALUE!</v>
      </c>
    </row>
    <row r="457">
      <c r="A457" s="2" t="s">
        <v>3745</v>
      </c>
      <c r="B457" s="3" t="str">
        <f>A457</f>
        <v>panama-sweden-mortality-1975-f055</v>
      </c>
      <c r="C457" s="2" t="s">
        <v>586</v>
      </c>
      <c r="D457" s="2">
        <v>0.55</v>
      </c>
      <c r="E457" s="3" t="e">
        <f>ABS(D457 - LOOKUP(C457, SweepStudyConfig[StudyId], SweepStudyConfig[OriginalAllocFractionA])) &lt; 0.03</f>
        <v>#VALUE!</v>
      </c>
      <c r="F457" s="3" t="e">
        <f>LOOKUP(C457, SweepStudyConfig[StudyId], SweepStudyConfig[NSweepStratumTotal])</f>
        <v>#VALUE!</v>
      </c>
      <c r="G457" s="3" t="e">
        <f>ROUND(F457 * D457)</f>
        <v>#VALUE!</v>
      </c>
      <c r="H457" s="3" t="e">
        <f>F457 - G457</f>
        <v>#VALUE!</v>
      </c>
      <c r="I457" s="3" t="e">
        <f>LOOKUP(C457, SweepStudyConfig[StudyId], SweepStudyConfig[NFixedA])</f>
        <v>#VALUE!</v>
      </c>
      <c r="J457" s="3" t="e">
        <f>LOOKUP(C457, SweepStudyConfig[StudyId], SweepStudyConfig[NFixedB])</f>
        <v>#VALUE!</v>
      </c>
      <c r="K457" s="3" t="e">
        <f>LOOKUP(C457, SweepStudyConfig[StudyId], SweepStudyConfig[SweepRateA])</f>
        <v>#VALUE!</v>
      </c>
      <c r="L457" s="3" t="e">
        <f>LOOKUP(C457, SweepStudyConfig[StudyId], SweepStudyConfig[SweepRateB])</f>
        <v>#VALUE!</v>
      </c>
      <c r="M457" s="3" t="e">
        <f>LOOKUP(C457, SweepStudyConfig[StudyId], SweepStudyConfig[FixedRateA])</f>
        <v>#VALUE!</v>
      </c>
      <c r="N457" s="3" t="e">
        <f>LOOKUP(C457, SweepStudyConfig[StudyId], SweepStudyConfig[FixedRateB])</f>
        <v>#VALUE!</v>
      </c>
      <c r="O457" s="3" t="e">
        <f>IF(G457 + I457 = 0, "", (G457 * K457 + I457 * M457) / (G457 + I457))</f>
        <v>#VALUE!</v>
      </c>
      <c r="P457" s="3" t="e">
        <f>IF(H457 + J457 = 0, "", (H457 * L457 + J457 * N457) / (H457 + J457))</f>
        <v>#VALUE!</v>
      </c>
      <c r="Q457" s="3" t="e">
        <f>IF(O457 = "", "", O457 - P457)</f>
        <v>#VALUE!</v>
      </c>
      <c r="R457" s="3" t="e">
        <f>LOOKUP(C457, SweepStudyConfig[StudyId], SweepStudyConfig[SweepCorrectedGap])</f>
        <v>#VALUE!</v>
      </c>
      <c r="S457" s="3" t="e">
        <f>IF(Q457 = "", "", Q457 - R457)</f>
        <v>#VALUE!</v>
      </c>
    </row>
    <row r="458">
      <c r="A458" s="2" t="s">
        <v>3746</v>
      </c>
      <c r="B458" s="3" t="str">
        <f>A458</f>
        <v>panama-sweden-mortality-1975-f065</v>
      </c>
      <c r="C458" s="2" t="s">
        <v>586</v>
      </c>
      <c r="D458" s="2">
        <v>0.65</v>
      </c>
      <c r="E458" s="3" t="e">
        <f>ABS(D458 - LOOKUP(C458, SweepStudyConfig[StudyId], SweepStudyConfig[OriginalAllocFractionA])) &lt; 0.03</f>
        <v>#VALUE!</v>
      </c>
      <c r="F458" s="3" t="e">
        <f>LOOKUP(C458, SweepStudyConfig[StudyId], SweepStudyConfig[NSweepStratumTotal])</f>
        <v>#VALUE!</v>
      </c>
      <c r="G458" s="3" t="e">
        <f>ROUND(F458 * D458)</f>
        <v>#VALUE!</v>
      </c>
      <c r="H458" s="3" t="e">
        <f>F458 - G458</f>
        <v>#VALUE!</v>
      </c>
      <c r="I458" s="3" t="e">
        <f>LOOKUP(C458, SweepStudyConfig[StudyId], SweepStudyConfig[NFixedA])</f>
        <v>#VALUE!</v>
      </c>
      <c r="J458" s="3" t="e">
        <f>LOOKUP(C458, SweepStudyConfig[StudyId], SweepStudyConfig[NFixedB])</f>
        <v>#VALUE!</v>
      </c>
      <c r="K458" s="3" t="e">
        <f>LOOKUP(C458, SweepStudyConfig[StudyId], SweepStudyConfig[SweepRateA])</f>
        <v>#VALUE!</v>
      </c>
      <c r="L458" s="3" t="e">
        <f>LOOKUP(C458, SweepStudyConfig[StudyId], SweepStudyConfig[SweepRateB])</f>
        <v>#VALUE!</v>
      </c>
      <c r="M458" s="3" t="e">
        <f>LOOKUP(C458, SweepStudyConfig[StudyId], SweepStudyConfig[FixedRateA])</f>
        <v>#VALUE!</v>
      </c>
      <c r="N458" s="3" t="e">
        <f>LOOKUP(C458, SweepStudyConfig[StudyId], SweepStudyConfig[FixedRateB])</f>
        <v>#VALUE!</v>
      </c>
      <c r="O458" s="3" t="e">
        <f>IF(G458 + I458 = 0, "", (G458 * K458 + I458 * M458) / (G458 + I458))</f>
        <v>#VALUE!</v>
      </c>
      <c r="P458" s="3" t="e">
        <f>IF(H458 + J458 = 0, "", (H458 * L458 + J458 * N458) / (H458 + J458))</f>
        <v>#VALUE!</v>
      </c>
      <c r="Q458" s="3" t="e">
        <f>IF(O458 = "", "", O458 - P458)</f>
        <v>#VALUE!</v>
      </c>
      <c r="R458" s="3" t="e">
        <f>LOOKUP(C458, SweepStudyConfig[StudyId], SweepStudyConfig[SweepCorrectedGap])</f>
        <v>#VALUE!</v>
      </c>
      <c r="S458" s="3" t="e">
        <f>IF(Q458 = "", "", Q458 - R458)</f>
        <v>#VALUE!</v>
      </c>
    </row>
    <row r="459">
      <c r="A459" s="2" t="s">
        <v>3747</v>
      </c>
      <c r="B459" s="3" t="str">
        <f>A459</f>
        <v>panama-sweden-mortality-1975-f075</v>
      </c>
      <c r="C459" s="2" t="s">
        <v>586</v>
      </c>
      <c r="D459" s="2">
        <v>0.75</v>
      </c>
      <c r="E459" s="3" t="e">
        <f>ABS(D459 - LOOKUP(C459, SweepStudyConfig[StudyId], SweepStudyConfig[OriginalAllocFractionA])) &lt; 0.03</f>
        <v>#VALUE!</v>
      </c>
      <c r="F459" s="3" t="e">
        <f>LOOKUP(C459, SweepStudyConfig[StudyId], SweepStudyConfig[NSweepStratumTotal])</f>
        <v>#VALUE!</v>
      </c>
      <c r="G459" s="3" t="e">
        <f>ROUND(F459 * D459)</f>
        <v>#VALUE!</v>
      </c>
      <c r="H459" s="3" t="e">
        <f>F459 - G459</f>
        <v>#VALUE!</v>
      </c>
      <c r="I459" s="3" t="e">
        <f>LOOKUP(C459, SweepStudyConfig[StudyId], SweepStudyConfig[NFixedA])</f>
        <v>#VALUE!</v>
      </c>
      <c r="J459" s="3" t="e">
        <f>LOOKUP(C459, SweepStudyConfig[StudyId], SweepStudyConfig[NFixedB])</f>
        <v>#VALUE!</v>
      </c>
      <c r="K459" s="3" t="e">
        <f>LOOKUP(C459, SweepStudyConfig[StudyId], SweepStudyConfig[SweepRateA])</f>
        <v>#VALUE!</v>
      </c>
      <c r="L459" s="3" t="e">
        <f>LOOKUP(C459, SweepStudyConfig[StudyId], SweepStudyConfig[SweepRateB])</f>
        <v>#VALUE!</v>
      </c>
      <c r="M459" s="3" t="e">
        <f>LOOKUP(C459, SweepStudyConfig[StudyId], SweepStudyConfig[FixedRateA])</f>
        <v>#VALUE!</v>
      </c>
      <c r="N459" s="3" t="e">
        <f>LOOKUP(C459, SweepStudyConfig[StudyId], SweepStudyConfig[FixedRateB])</f>
        <v>#VALUE!</v>
      </c>
      <c r="O459" s="3" t="e">
        <f>IF(G459 + I459 = 0, "", (G459 * K459 + I459 * M459) / (G459 + I459))</f>
        <v>#VALUE!</v>
      </c>
      <c r="P459" s="3" t="e">
        <f>IF(H459 + J459 = 0, "", (H459 * L459 + J459 * N459) / (H459 + J459))</f>
        <v>#VALUE!</v>
      </c>
      <c r="Q459" s="3" t="e">
        <f>IF(O459 = "", "", O459 - P459)</f>
        <v>#VALUE!</v>
      </c>
      <c r="R459" s="3" t="e">
        <f>LOOKUP(C459, SweepStudyConfig[StudyId], SweepStudyConfig[SweepCorrectedGap])</f>
        <v>#VALUE!</v>
      </c>
      <c r="S459" s="3" t="e">
        <f>IF(Q459 = "", "", Q459 - R459)</f>
        <v>#VALUE!</v>
      </c>
    </row>
    <row r="460">
      <c r="A460" s="2" t="s">
        <v>3748</v>
      </c>
      <c r="B460" s="3" t="str">
        <f>A460</f>
        <v>panama-sweden-mortality-1975-f085</v>
      </c>
      <c r="C460" s="2" t="s">
        <v>586</v>
      </c>
      <c r="D460" s="2">
        <v>0.85</v>
      </c>
      <c r="E460" s="3" t="e">
        <f>ABS(D460 - LOOKUP(C460, SweepStudyConfig[StudyId], SweepStudyConfig[OriginalAllocFractionA])) &lt; 0.03</f>
        <v>#VALUE!</v>
      </c>
      <c r="F460" s="3" t="e">
        <f>LOOKUP(C460, SweepStudyConfig[StudyId], SweepStudyConfig[NSweepStratumTotal])</f>
        <v>#VALUE!</v>
      </c>
      <c r="G460" s="3" t="e">
        <f>ROUND(F460 * D460)</f>
        <v>#VALUE!</v>
      </c>
      <c r="H460" s="3" t="e">
        <f>F460 - G460</f>
        <v>#VALUE!</v>
      </c>
      <c r="I460" s="3" t="e">
        <f>LOOKUP(C460, SweepStudyConfig[StudyId], SweepStudyConfig[NFixedA])</f>
        <v>#VALUE!</v>
      </c>
      <c r="J460" s="3" t="e">
        <f>LOOKUP(C460, SweepStudyConfig[StudyId], SweepStudyConfig[NFixedB])</f>
        <v>#VALUE!</v>
      </c>
      <c r="K460" s="3" t="e">
        <f>LOOKUP(C460, SweepStudyConfig[StudyId], SweepStudyConfig[SweepRateA])</f>
        <v>#VALUE!</v>
      </c>
      <c r="L460" s="3" t="e">
        <f>LOOKUP(C460, SweepStudyConfig[StudyId], SweepStudyConfig[SweepRateB])</f>
        <v>#VALUE!</v>
      </c>
      <c r="M460" s="3" t="e">
        <f>LOOKUP(C460, SweepStudyConfig[StudyId], SweepStudyConfig[FixedRateA])</f>
        <v>#VALUE!</v>
      </c>
      <c r="N460" s="3" t="e">
        <f>LOOKUP(C460, SweepStudyConfig[StudyId], SweepStudyConfig[FixedRateB])</f>
        <v>#VALUE!</v>
      </c>
      <c r="O460" s="3" t="e">
        <f>IF(G460 + I460 = 0, "", (G460 * K460 + I460 * M460) / (G460 + I460))</f>
        <v>#VALUE!</v>
      </c>
      <c r="P460" s="3" t="e">
        <f>IF(H460 + J460 = 0, "", (H460 * L460 + J460 * N460) / (H460 + J460))</f>
        <v>#VALUE!</v>
      </c>
      <c r="Q460" s="3" t="e">
        <f>IF(O460 = "", "", O460 - P460)</f>
        <v>#VALUE!</v>
      </c>
      <c r="R460" s="3" t="e">
        <f>LOOKUP(C460, SweepStudyConfig[StudyId], SweepStudyConfig[SweepCorrectedGap])</f>
        <v>#VALUE!</v>
      </c>
      <c r="S460" s="3" t="e">
        <f>IF(Q460 = "", "", Q460 - R460)</f>
        <v>#VALUE!</v>
      </c>
    </row>
    <row r="461">
      <c r="A461" s="2" t="s">
        <v>3749</v>
      </c>
      <c r="B461" s="3" t="str">
        <f>A461</f>
        <v>panama-sweden-mortality-1975-f095</v>
      </c>
      <c r="C461" s="2" t="s">
        <v>586</v>
      </c>
      <c r="D461" s="2">
        <v>0.95</v>
      </c>
      <c r="E461" s="3" t="e">
        <f>ABS(D461 - LOOKUP(C461, SweepStudyConfig[StudyId], SweepStudyConfig[OriginalAllocFractionA])) &lt; 0.03</f>
        <v>#VALUE!</v>
      </c>
      <c r="F461" s="3" t="e">
        <f>LOOKUP(C461, SweepStudyConfig[StudyId], SweepStudyConfig[NSweepStratumTotal])</f>
        <v>#VALUE!</v>
      </c>
      <c r="G461" s="3" t="e">
        <f>ROUND(F461 * D461)</f>
        <v>#VALUE!</v>
      </c>
      <c r="H461" s="3" t="e">
        <f>F461 - G461</f>
        <v>#VALUE!</v>
      </c>
      <c r="I461" s="3" t="e">
        <f>LOOKUP(C461, SweepStudyConfig[StudyId], SweepStudyConfig[NFixedA])</f>
        <v>#VALUE!</v>
      </c>
      <c r="J461" s="3" t="e">
        <f>LOOKUP(C461, SweepStudyConfig[StudyId], SweepStudyConfig[NFixedB])</f>
        <v>#VALUE!</v>
      </c>
      <c r="K461" s="3" t="e">
        <f>LOOKUP(C461, SweepStudyConfig[StudyId], SweepStudyConfig[SweepRateA])</f>
        <v>#VALUE!</v>
      </c>
      <c r="L461" s="3" t="e">
        <f>LOOKUP(C461, SweepStudyConfig[StudyId], SweepStudyConfig[SweepRateB])</f>
        <v>#VALUE!</v>
      </c>
      <c r="M461" s="3" t="e">
        <f>LOOKUP(C461, SweepStudyConfig[StudyId], SweepStudyConfig[FixedRateA])</f>
        <v>#VALUE!</v>
      </c>
      <c r="N461" s="3" t="e">
        <f>LOOKUP(C461, SweepStudyConfig[StudyId], SweepStudyConfig[FixedRateB])</f>
        <v>#VALUE!</v>
      </c>
      <c r="O461" s="3" t="e">
        <f>IF(G461 + I461 = 0, "", (G461 * K461 + I461 * M461) / (G461 + I461))</f>
        <v>#VALUE!</v>
      </c>
      <c r="P461" s="3" t="e">
        <f>IF(H461 + J461 = 0, "", (H461 * L461 + J461 * N461) / (H461 + J461))</f>
        <v>#VALUE!</v>
      </c>
      <c r="Q461" s="3" t="e">
        <f>IF(O461 = "", "", O461 - P461)</f>
        <v>#VALUE!</v>
      </c>
      <c r="R461" s="3" t="e">
        <f>LOOKUP(C461, SweepStudyConfig[StudyId], SweepStudyConfig[SweepCorrectedGap])</f>
        <v>#VALUE!</v>
      </c>
      <c r="S461" s="3" t="e">
        <f>IF(Q461 = "", "", Q461 - R461)</f>
        <v>#VALUE!</v>
      </c>
    </row>
    <row r="462">
      <c r="A462" s="2" t="s">
        <v>3750</v>
      </c>
      <c r="B462" s="3" t="str">
        <f>A462</f>
        <v>hrt-whi-2002-f005</v>
      </c>
      <c r="C462" s="2" t="s">
        <v>589</v>
      </c>
      <c r="D462" s="2">
        <v>0.05</v>
      </c>
      <c r="E462" s="3" t="e">
        <f>ABS(D462 - LOOKUP(C462, SweepStudyConfig[StudyId], SweepStudyConfig[OriginalAllocFractionA])) &lt; 0.03</f>
        <v>#VALUE!</v>
      </c>
      <c r="F462" s="3" t="e">
        <f>LOOKUP(C462, SweepStudyConfig[StudyId], SweepStudyConfig[NSweepStratumTotal])</f>
        <v>#VALUE!</v>
      </c>
      <c r="G462" s="3" t="e">
        <f>ROUND(F462 * D462)</f>
        <v>#VALUE!</v>
      </c>
      <c r="H462" s="3" t="e">
        <f>F462 - G462</f>
        <v>#VALUE!</v>
      </c>
      <c r="I462" s="3" t="e">
        <f>LOOKUP(C462, SweepStudyConfig[StudyId], SweepStudyConfig[NFixedA])</f>
        <v>#VALUE!</v>
      </c>
      <c r="J462" s="3" t="e">
        <f>LOOKUP(C462, SweepStudyConfig[StudyId], SweepStudyConfig[NFixedB])</f>
        <v>#VALUE!</v>
      </c>
      <c r="K462" s="3" t="e">
        <f>LOOKUP(C462, SweepStudyConfig[StudyId], SweepStudyConfig[SweepRateA])</f>
        <v>#VALUE!</v>
      </c>
      <c r="L462" s="3" t="e">
        <f>LOOKUP(C462, SweepStudyConfig[StudyId], SweepStudyConfig[SweepRateB])</f>
        <v>#VALUE!</v>
      </c>
      <c r="M462" s="3" t="e">
        <f>LOOKUP(C462, SweepStudyConfig[StudyId], SweepStudyConfig[FixedRateA])</f>
        <v>#VALUE!</v>
      </c>
      <c r="N462" s="3" t="e">
        <f>LOOKUP(C462, SweepStudyConfig[StudyId], SweepStudyConfig[FixedRateB])</f>
        <v>#VALUE!</v>
      </c>
      <c r="O462" s="3" t="e">
        <f>IF(G462 + I462 = 0, "", (G462 * K462 + I462 * M462) / (G462 + I462))</f>
        <v>#VALUE!</v>
      </c>
      <c r="P462" s="3" t="e">
        <f>IF(H462 + J462 = 0, "", (H462 * L462 + J462 * N462) / (H462 + J462))</f>
        <v>#VALUE!</v>
      </c>
      <c r="Q462" s="3" t="e">
        <f>IF(O462 = "", "", O462 - P462)</f>
        <v>#VALUE!</v>
      </c>
      <c r="R462" s="3" t="e">
        <f>LOOKUP(C462, SweepStudyConfig[StudyId], SweepStudyConfig[SweepCorrectedGap])</f>
        <v>#VALUE!</v>
      </c>
      <c r="S462" s="3" t="e">
        <f>IF(Q462 = "", "", Q462 - R462)</f>
        <v>#VALUE!</v>
      </c>
    </row>
    <row r="463">
      <c r="A463" s="2" t="s">
        <v>3751</v>
      </c>
      <c r="B463" s="3" t="str">
        <f>A463</f>
        <v>hrt-whi-2002-f015</v>
      </c>
      <c r="C463" s="2" t="s">
        <v>589</v>
      </c>
      <c r="D463" s="2">
        <v>0.15</v>
      </c>
      <c r="E463" s="3" t="e">
        <f>ABS(D463 - LOOKUP(C463, SweepStudyConfig[StudyId], SweepStudyConfig[OriginalAllocFractionA])) &lt; 0.03</f>
        <v>#VALUE!</v>
      </c>
      <c r="F463" s="3" t="e">
        <f>LOOKUP(C463, SweepStudyConfig[StudyId], SweepStudyConfig[NSweepStratumTotal])</f>
        <v>#VALUE!</v>
      </c>
      <c r="G463" s="3" t="e">
        <f>ROUND(F463 * D463)</f>
        <v>#VALUE!</v>
      </c>
      <c r="H463" s="3" t="e">
        <f>F463 - G463</f>
        <v>#VALUE!</v>
      </c>
      <c r="I463" s="3" t="e">
        <f>LOOKUP(C463, SweepStudyConfig[StudyId], SweepStudyConfig[NFixedA])</f>
        <v>#VALUE!</v>
      </c>
      <c r="J463" s="3" t="e">
        <f>LOOKUP(C463, SweepStudyConfig[StudyId], SweepStudyConfig[NFixedB])</f>
        <v>#VALUE!</v>
      </c>
      <c r="K463" s="3" t="e">
        <f>LOOKUP(C463, SweepStudyConfig[StudyId], SweepStudyConfig[SweepRateA])</f>
        <v>#VALUE!</v>
      </c>
      <c r="L463" s="3" t="e">
        <f>LOOKUP(C463, SweepStudyConfig[StudyId], SweepStudyConfig[SweepRateB])</f>
        <v>#VALUE!</v>
      </c>
      <c r="M463" s="3" t="e">
        <f>LOOKUP(C463, SweepStudyConfig[StudyId], SweepStudyConfig[FixedRateA])</f>
        <v>#VALUE!</v>
      </c>
      <c r="N463" s="3" t="e">
        <f>LOOKUP(C463, SweepStudyConfig[StudyId], SweepStudyConfig[FixedRateB])</f>
        <v>#VALUE!</v>
      </c>
      <c r="O463" s="3" t="e">
        <f>IF(G463 + I463 = 0, "", (G463 * K463 + I463 * M463) / (G463 + I463))</f>
        <v>#VALUE!</v>
      </c>
      <c r="P463" s="3" t="e">
        <f>IF(H463 + J463 = 0, "", (H463 * L463 + J463 * N463) / (H463 + J463))</f>
        <v>#VALUE!</v>
      </c>
      <c r="Q463" s="3" t="e">
        <f>IF(O463 = "", "", O463 - P463)</f>
        <v>#VALUE!</v>
      </c>
      <c r="R463" s="3" t="e">
        <f>LOOKUP(C463, SweepStudyConfig[StudyId], SweepStudyConfig[SweepCorrectedGap])</f>
        <v>#VALUE!</v>
      </c>
      <c r="S463" s="3" t="e">
        <f>IF(Q463 = "", "", Q463 - R463)</f>
        <v>#VALUE!</v>
      </c>
    </row>
    <row r="464">
      <c r="A464" s="2" t="s">
        <v>3752</v>
      </c>
      <c r="B464" s="3" t="str">
        <f>A464</f>
        <v>hrt-whi-2002-f025</v>
      </c>
      <c r="C464" s="2" t="s">
        <v>589</v>
      </c>
      <c r="D464" s="2">
        <v>0.25</v>
      </c>
      <c r="E464" s="3" t="e">
        <f>ABS(D464 - LOOKUP(C464, SweepStudyConfig[StudyId], SweepStudyConfig[OriginalAllocFractionA])) &lt; 0.03</f>
        <v>#VALUE!</v>
      </c>
      <c r="F464" s="3" t="e">
        <f>LOOKUP(C464, SweepStudyConfig[StudyId], SweepStudyConfig[NSweepStratumTotal])</f>
        <v>#VALUE!</v>
      </c>
      <c r="G464" s="3" t="e">
        <f>ROUND(F464 * D464)</f>
        <v>#VALUE!</v>
      </c>
      <c r="H464" s="3" t="e">
        <f>F464 - G464</f>
        <v>#VALUE!</v>
      </c>
      <c r="I464" s="3" t="e">
        <f>LOOKUP(C464, SweepStudyConfig[StudyId], SweepStudyConfig[NFixedA])</f>
        <v>#VALUE!</v>
      </c>
      <c r="J464" s="3" t="e">
        <f>LOOKUP(C464, SweepStudyConfig[StudyId], SweepStudyConfig[NFixedB])</f>
        <v>#VALUE!</v>
      </c>
      <c r="K464" s="3" t="e">
        <f>LOOKUP(C464, SweepStudyConfig[StudyId], SweepStudyConfig[SweepRateA])</f>
        <v>#VALUE!</v>
      </c>
      <c r="L464" s="3" t="e">
        <f>LOOKUP(C464, SweepStudyConfig[StudyId], SweepStudyConfig[SweepRateB])</f>
        <v>#VALUE!</v>
      </c>
      <c r="M464" s="3" t="e">
        <f>LOOKUP(C464, SweepStudyConfig[StudyId], SweepStudyConfig[FixedRateA])</f>
        <v>#VALUE!</v>
      </c>
      <c r="N464" s="3" t="e">
        <f>LOOKUP(C464, SweepStudyConfig[StudyId], SweepStudyConfig[FixedRateB])</f>
        <v>#VALUE!</v>
      </c>
      <c r="O464" s="3" t="e">
        <f>IF(G464 + I464 = 0, "", (G464 * K464 + I464 * M464) / (G464 + I464))</f>
        <v>#VALUE!</v>
      </c>
      <c r="P464" s="3" t="e">
        <f>IF(H464 + J464 = 0, "", (H464 * L464 + J464 * N464) / (H464 + J464))</f>
        <v>#VALUE!</v>
      </c>
      <c r="Q464" s="3" t="e">
        <f>IF(O464 = "", "", O464 - P464)</f>
        <v>#VALUE!</v>
      </c>
      <c r="R464" s="3" t="e">
        <f>LOOKUP(C464, SweepStudyConfig[StudyId], SweepStudyConfig[SweepCorrectedGap])</f>
        <v>#VALUE!</v>
      </c>
      <c r="S464" s="3" t="e">
        <f>IF(Q464 = "", "", Q464 - R464)</f>
        <v>#VALUE!</v>
      </c>
    </row>
    <row r="465">
      <c r="A465" s="2" t="s">
        <v>3753</v>
      </c>
      <c r="B465" s="3" t="str">
        <f>A465</f>
        <v>hrt-whi-2002-f035</v>
      </c>
      <c r="C465" s="2" t="s">
        <v>589</v>
      </c>
      <c r="D465" s="2">
        <v>0.35</v>
      </c>
      <c r="E465" s="3" t="e">
        <f>ABS(D465 - LOOKUP(C465, SweepStudyConfig[StudyId], SweepStudyConfig[OriginalAllocFractionA])) &lt; 0.03</f>
        <v>#VALUE!</v>
      </c>
      <c r="F465" s="3" t="e">
        <f>LOOKUP(C465, SweepStudyConfig[StudyId], SweepStudyConfig[NSweepStratumTotal])</f>
        <v>#VALUE!</v>
      </c>
      <c r="G465" s="3" t="e">
        <f>ROUND(F465 * D465)</f>
        <v>#VALUE!</v>
      </c>
      <c r="H465" s="3" t="e">
        <f>F465 - G465</f>
        <v>#VALUE!</v>
      </c>
      <c r="I465" s="3" t="e">
        <f>LOOKUP(C465, SweepStudyConfig[StudyId], SweepStudyConfig[NFixedA])</f>
        <v>#VALUE!</v>
      </c>
      <c r="J465" s="3" t="e">
        <f>LOOKUP(C465, SweepStudyConfig[StudyId], SweepStudyConfig[NFixedB])</f>
        <v>#VALUE!</v>
      </c>
      <c r="K465" s="3" t="e">
        <f>LOOKUP(C465, SweepStudyConfig[StudyId], SweepStudyConfig[SweepRateA])</f>
        <v>#VALUE!</v>
      </c>
      <c r="L465" s="3" t="e">
        <f>LOOKUP(C465, SweepStudyConfig[StudyId], SweepStudyConfig[SweepRateB])</f>
        <v>#VALUE!</v>
      </c>
      <c r="M465" s="3" t="e">
        <f>LOOKUP(C465, SweepStudyConfig[StudyId], SweepStudyConfig[FixedRateA])</f>
        <v>#VALUE!</v>
      </c>
      <c r="N465" s="3" t="e">
        <f>LOOKUP(C465, SweepStudyConfig[StudyId], SweepStudyConfig[FixedRateB])</f>
        <v>#VALUE!</v>
      </c>
      <c r="O465" s="3" t="e">
        <f>IF(G465 + I465 = 0, "", (G465 * K465 + I465 * M465) / (G465 + I465))</f>
        <v>#VALUE!</v>
      </c>
      <c r="P465" s="3" t="e">
        <f>IF(H465 + J465 = 0, "", (H465 * L465 + J465 * N465) / (H465 + J465))</f>
        <v>#VALUE!</v>
      </c>
      <c r="Q465" s="3" t="e">
        <f>IF(O465 = "", "", O465 - P465)</f>
        <v>#VALUE!</v>
      </c>
      <c r="R465" s="3" t="e">
        <f>LOOKUP(C465, SweepStudyConfig[StudyId], SweepStudyConfig[SweepCorrectedGap])</f>
        <v>#VALUE!</v>
      </c>
      <c r="S465" s="3" t="e">
        <f>IF(Q465 = "", "", Q465 - R465)</f>
        <v>#VALUE!</v>
      </c>
    </row>
    <row r="466">
      <c r="A466" s="2" t="s">
        <v>3754</v>
      </c>
      <c r="B466" s="3" t="str">
        <f>A466</f>
        <v>hrt-whi-2002-f045</v>
      </c>
      <c r="C466" s="2" t="s">
        <v>589</v>
      </c>
      <c r="D466" s="2">
        <v>0.45</v>
      </c>
      <c r="E466" s="3" t="e">
        <f>ABS(D466 - LOOKUP(C466, SweepStudyConfig[StudyId], SweepStudyConfig[OriginalAllocFractionA])) &lt; 0.03</f>
        <v>#VALUE!</v>
      </c>
      <c r="F466" s="3" t="e">
        <f>LOOKUP(C466, SweepStudyConfig[StudyId], SweepStudyConfig[NSweepStratumTotal])</f>
        <v>#VALUE!</v>
      </c>
      <c r="G466" s="3" t="e">
        <f>ROUND(F466 * D466)</f>
        <v>#VALUE!</v>
      </c>
      <c r="H466" s="3" t="e">
        <f>F466 - G466</f>
        <v>#VALUE!</v>
      </c>
      <c r="I466" s="3" t="e">
        <f>LOOKUP(C466, SweepStudyConfig[StudyId], SweepStudyConfig[NFixedA])</f>
        <v>#VALUE!</v>
      </c>
      <c r="J466" s="3" t="e">
        <f>LOOKUP(C466, SweepStudyConfig[StudyId], SweepStudyConfig[NFixedB])</f>
        <v>#VALUE!</v>
      </c>
      <c r="K466" s="3" t="e">
        <f>LOOKUP(C466, SweepStudyConfig[StudyId], SweepStudyConfig[SweepRateA])</f>
        <v>#VALUE!</v>
      </c>
      <c r="L466" s="3" t="e">
        <f>LOOKUP(C466, SweepStudyConfig[StudyId], SweepStudyConfig[SweepRateB])</f>
        <v>#VALUE!</v>
      </c>
      <c r="M466" s="3" t="e">
        <f>LOOKUP(C466, SweepStudyConfig[StudyId], SweepStudyConfig[FixedRateA])</f>
        <v>#VALUE!</v>
      </c>
      <c r="N466" s="3" t="e">
        <f>LOOKUP(C466, SweepStudyConfig[StudyId], SweepStudyConfig[FixedRateB])</f>
        <v>#VALUE!</v>
      </c>
      <c r="O466" s="3" t="e">
        <f>IF(G466 + I466 = 0, "", (G466 * K466 + I466 * M466) / (G466 + I466))</f>
        <v>#VALUE!</v>
      </c>
      <c r="P466" s="3" t="e">
        <f>IF(H466 + J466 = 0, "", (H466 * L466 + J466 * N466) / (H466 + J466))</f>
        <v>#VALUE!</v>
      </c>
      <c r="Q466" s="3" t="e">
        <f>IF(O466 = "", "", O466 - P466)</f>
        <v>#VALUE!</v>
      </c>
      <c r="R466" s="3" t="e">
        <f>LOOKUP(C466, SweepStudyConfig[StudyId], SweepStudyConfig[SweepCorrectedGap])</f>
        <v>#VALUE!</v>
      </c>
      <c r="S466" s="3" t="e">
        <f>IF(Q466 = "", "", Q466 - R466)</f>
        <v>#VALUE!</v>
      </c>
    </row>
    <row r="467">
      <c r="A467" s="2" t="s">
        <v>3755</v>
      </c>
      <c r="B467" s="3" t="str">
        <f>A467</f>
        <v>hrt-whi-2002-f055</v>
      </c>
      <c r="C467" s="2" t="s">
        <v>589</v>
      </c>
      <c r="D467" s="2">
        <v>0.55</v>
      </c>
      <c r="E467" s="3" t="e">
        <f>ABS(D467 - LOOKUP(C467, SweepStudyConfig[StudyId], SweepStudyConfig[OriginalAllocFractionA])) &lt; 0.03</f>
        <v>#VALUE!</v>
      </c>
      <c r="F467" s="3" t="e">
        <f>LOOKUP(C467, SweepStudyConfig[StudyId], SweepStudyConfig[NSweepStratumTotal])</f>
        <v>#VALUE!</v>
      </c>
      <c r="G467" s="3" t="e">
        <f>ROUND(F467 * D467)</f>
        <v>#VALUE!</v>
      </c>
      <c r="H467" s="3" t="e">
        <f>F467 - G467</f>
        <v>#VALUE!</v>
      </c>
      <c r="I467" s="3" t="e">
        <f>LOOKUP(C467, SweepStudyConfig[StudyId], SweepStudyConfig[NFixedA])</f>
        <v>#VALUE!</v>
      </c>
      <c r="J467" s="3" t="e">
        <f>LOOKUP(C467, SweepStudyConfig[StudyId], SweepStudyConfig[NFixedB])</f>
        <v>#VALUE!</v>
      </c>
      <c r="K467" s="3" t="e">
        <f>LOOKUP(C467, SweepStudyConfig[StudyId], SweepStudyConfig[SweepRateA])</f>
        <v>#VALUE!</v>
      </c>
      <c r="L467" s="3" t="e">
        <f>LOOKUP(C467, SweepStudyConfig[StudyId], SweepStudyConfig[SweepRateB])</f>
        <v>#VALUE!</v>
      </c>
      <c r="M467" s="3" t="e">
        <f>LOOKUP(C467, SweepStudyConfig[StudyId], SweepStudyConfig[FixedRateA])</f>
        <v>#VALUE!</v>
      </c>
      <c r="N467" s="3" t="e">
        <f>LOOKUP(C467, SweepStudyConfig[StudyId], SweepStudyConfig[FixedRateB])</f>
        <v>#VALUE!</v>
      </c>
      <c r="O467" s="3" t="e">
        <f>IF(G467 + I467 = 0, "", (G467 * K467 + I467 * M467) / (G467 + I467))</f>
        <v>#VALUE!</v>
      </c>
      <c r="P467" s="3" t="e">
        <f>IF(H467 + J467 = 0, "", (H467 * L467 + J467 * N467) / (H467 + J467))</f>
        <v>#VALUE!</v>
      </c>
      <c r="Q467" s="3" t="e">
        <f>IF(O467 = "", "", O467 - P467)</f>
        <v>#VALUE!</v>
      </c>
      <c r="R467" s="3" t="e">
        <f>LOOKUP(C467, SweepStudyConfig[StudyId], SweepStudyConfig[SweepCorrectedGap])</f>
        <v>#VALUE!</v>
      </c>
      <c r="S467" s="3" t="e">
        <f>IF(Q467 = "", "", Q467 - R467)</f>
        <v>#VALUE!</v>
      </c>
    </row>
    <row r="468">
      <c r="A468" s="2" t="s">
        <v>3756</v>
      </c>
      <c r="B468" s="3" t="str">
        <f>A468</f>
        <v>hrt-whi-2002-f065</v>
      </c>
      <c r="C468" s="2" t="s">
        <v>589</v>
      </c>
      <c r="D468" s="2">
        <v>0.65</v>
      </c>
      <c r="E468" s="3" t="e">
        <f>ABS(D468 - LOOKUP(C468, SweepStudyConfig[StudyId], SweepStudyConfig[OriginalAllocFractionA])) &lt; 0.03</f>
        <v>#VALUE!</v>
      </c>
      <c r="F468" s="3" t="e">
        <f>LOOKUP(C468, SweepStudyConfig[StudyId], SweepStudyConfig[NSweepStratumTotal])</f>
        <v>#VALUE!</v>
      </c>
      <c r="G468" s="3" t="e">
        <f>ROUND(F468 * D468)</f>
        <v>#VALUE!</v>
      </c>
      <c r="H468" s="3" t="e">
        <f>F468 - G468</f>
        <v>#VALUE!</v>
      </c>
      <c r="I468" s="3" t="e">
        <f>LOOKUP(C468, SweepStudyConfig[StudyId], SweepStudyConfig[NFixedA])</f>
        <v>#VALUE!</v>
      </c>
      <c r="J468" s="3" t="e">
        <f>LOOKUP(C468, SweepStudyConfig[StudyId], SweepStudyConfig[NFixedB])</f>
        <v>#VALUE!</v>
      </c>
      <c r="K468" s="3" t="e">
        <f>LOOKUP(C468, SweepStudyConfig[StudyId], SweepStudyConfig[SweepRateA])</f>
        <v>#VALUE!</v>
      </c>
      <c r="L468" s="3" t="e">
        <f>LOOKUP(C468, SweepStudyConfig[StudyId], SweepStudyConfig[SweepRateB])</f>
        <v>#VALUE!</v>
      </c>
      <c r="M468" s="3" t="e">
        <f>LOOKUP(C468, SweepStudyConfig[StudyId], SweepStudyConfig[FixedRateA])</f>
        <v>#VALUE!</v>
      </c>
      <c r="N468" s="3" t="e">
        <f>LOOKUP(C468, SweepStudyConfig[StudyId], SweepStudyConfig[FixedRateB])</f>
        <v>#VALUE!</v>
      </c>
      <c r="O468" s="3" t="e">
        <f>IF(G468 + I468 = 0, "", (G468 * K468 + I468 * M468) / (G468 + I468))</f>
        <v>#VALUE!</v>
      </c>
      <c r="P468" s="3" t="e">
        <f>IF(H468 + J468 = 0, "", (H468 * L468 + J468 * N468) / (H468 + J468))</f>
        <v>#VALUE!</v>
      </c>
      <c r="Q468" s="3" t="e">
        <f>IF(O468 = "", "", O468 - P468)</f>
        <v>#VALUE!</v>
      </c>
      <c r="R468" s="3" t="e">
        <f>LOOKUP(C468, SweepStudyConfig[StudyId], SweepStudyConfig[SweepCorrectedGap])</f>
        <v>#VALUE!</v>
      </c>
      <c r="S468" s="3" t="e">
        <f>IF(Q468 = "", "", Q468 - R468)</f>
        <v>#VALUE!</v>
      </c>
    </row>
    <row r="469">
      <c r="A469" s="2" t="s">
        <v>3757</v>
      </c>
      <c r="B469" s="3" t="str">
        <f>A469</f>
        <v>hrt-whi-2002-f075</v>
      </c>
      <c r="C469" s="2" t="s">
        <v>589</v>
      </c>
      <c r="D469" s="2">
        <v>0.75</v>
      </c>
      <c r="E469" s="3" t="e">
        <f>ABS(D469 - LOOKUP(C469, SweepStudyConfig[StudyId], SweepStudyConfig[OriginalAllocFractionA])) &lt; 0.03</f>
        <v>#VALUE!</v>
      </c>
      <c r="F469" s="3" t="e">
        <f>LOOKUP(C469, SweepStudyConfig[StudyId], SweepStudyConfig[NSweepStratumTotal])</f>
        <v>#VALUE!</v>
      </c>
      <c r="G469" s="3" t="e">
        <f>ROUND(F469 * D469)</f>
        <v>#VALUE!</v>
      </c>
      <c r="H469" s="3" t="e">
        <f>F469 - G469</f>
        <v>#VALUE!</v>
      </c>
      <c r="I469" s="3" t="e">
        <f>LOOKUP(C469, SweepStudyConfig[StudyId], SweepStudyConfig[NFixedA])</f>
        <v>#VALUE!</v>
      </c>
      <c r="J469" s="3" t="e">
        <f>LOOKUP(C469, SweepStudyConfig[StudyId], SweepStudyConfig[NFixedB])</f>
        <v>#VALUE!</v>
      </c>
      <c r="K469" s="3" t="e">
        <f>LOOKUP(C469, SweepStudyConfig[StudyId], SweepStudyConfig[SweepRateA])</f>
        <v>#VALUE!</v>
      </c>
      <c r="L469" s="3" t="e">
        <f>LOOKUP(C469, SweepStudyConfig[StudyId], SweepStudyConfig[SweepRateB])</f>
        <v>#VALUE!</v>
      </c>
      <c r="M469" s="3" t="e">
        <f>LOOKUP(C469, SweepStudyConfig[StudyId], SweepStudyConfig[FixedRateA])</f>
        <v>#VALUE!</v>
      </c>
      <c r="N469" s="3" t="e">
        <f>LOOKUP(C469, SweepStudyConfig[StudyId], SweepStudyConfig[FixedRateB])</f>
        <v>#VALUE!</v>
      </c>
      <c r="O469" s="3" t="e">
        <f>IF(G469 + I469 = 0, "", (G469 * K469 + I469 * M469) / (G469 + I469))</f>
        <v>#VALUE!</v>
      </c>
      <c r="P469" s="3" t="e">
        <f>IF(H469 + J469 = 0, "", (H469 * L469 + J469 * N469) / (H469 + J469))</f>
        <v>#VALUE!</v>
      </c>
      <c r="Q469" s="3" t="e">
        <f>IF(O469 = "", "", O469 - P469)</f>
        <v>#VALUE!</v>
      </c>
      <c r="R469" s="3" t="e">
        <f>LOOKUP(C469, SweepStudyConfig[StudyId], SweepStudyConfig[SweepCorrectedGap])</f>
        <v>#VALUE!</v>
      </c>
      <c r="S469" s="3" t="e">
        <f>IF(Q469 = "", "", Q469 - R469)</f>
        <v>#VALUE!</v>
      </c>
    </row>
    <row r="470">
      <c r="A470" s="2" t="s">
        <v>3758</v>
      </c>
      <c r="B470" s="3" t="str">
        <f>A470</f>
        <v>hrt-whi-2002-f085</v>
      </c>
      <c r="C470" s="2" t="s">
        <v>589</v>
      </c>
      <c r="D470" s="2">
        <v>0.85</v>
      </c>
      <c r="E470" s="3" t="e">
        <f>ABS(D470 - LOOKUP(C470, SweepStudyConfig[StudyId], SweepStudyConfig[OriginalAllocFractionA])) &lt; 0.03</f>
        <v>#VALUE!</v>
      </c>
      <c r="F470" s="3" t="e">
        <f>LOOKUP(C470, SweepStudyConfig[StudyId], SweepStudyConfig[NSweepStratumTotal])</f>
        <v>#VALUE!</v>
      </c>
      <c r="G470" s="3" t="e">
        <f>ROUND(F470 * D470)</f>
        <v>#VALUE!</v>
      </c>
      <c r="H470" s="3" t="e">
        <f>F470 - G470</f>
        <v>#VALUE!</v>
      </c>
      <c r="I470" s="3" t="e">
        <f>LOOKUP(C470, SweepStudyConfig[StudyId], SweepStudyConfig[NFixedA])</f>
        <v>#VALUE!</v>
      </c>
      <c r="J470" s="3" t="e">
        <f>LOOKUP(C470, SweepStudyConfig[StudyId], SweepStudyConfig[NFixedB])</f>
        <v>#VALUE!</v>
      </c>
      <c r="K470" s="3" t="e">
        <f>LOOKUP(C470, SweepStudyConfig[StudyId], SweepStudyConfig[SweepRateA])</f>
        <v>#VALUE!</v>
      </c>
      <c r="L470" s="3" t="e">
        <f>LOOKUP(C470, SweepStudyConfig[StudyId], SweepStudyConfig[SweepRateB])</f>
        <v>#VALUE!</v>
      </c>
      <c r="M470" s="3" t="e">
        <f>LOOKUP(C470, SweepStudyConfig[StudyId], SweepStudyConfig[FixedRateA])</f>
        <v>#VALUE!</v>
      </c>
      <c r="N470" s="3" t="e">
        <f>LOOKUP(C470, SweepStudyConfig[StudyId], SweepStudyConfig[FixedRateB])</f>
        <v>#VALUE!</v>
      </c>
      <c r="O470" s="3" t="e">
        <f>IF(G470 + I470 = 0, "", (G470 * K470 + I470 * M470) / (G470 + I470))</f>
        <v>#VALUE!</v>
      </c>
      <c r="P470" s="3" t="e">
        <f>IF(H470 + J470 = 0, "", (H470 * L470 + J470 * N470) / (H470 + J470))</f>
        <v>#VALUE!</v>
      </c>
      <c r="Q470" s="3" t="e">
        <f>IF(O470 = "", "", O470 - P470)</f>
        <v>#VALUE!</v>
      </c>
      <c r="R470" s="3" t="e">
        <f>LOOKUP(C470, SweepStudyConfig[StudyId], SweepStudyConfig[SweepCorrectedGap])</f>
        <v>#VALUE!</v>
      </c>
      <c r="S470" s="3" t="e">
        <f>IF(Q470 = "", "", Q470 - R470)</f>
        <v>#VALUE!</v>
      </c>
    </row>
    <row r="471">
      <c r="A471" s="2" t="s">
        <v>3759</v>
      </c>
      <c r="B471" s="3" t="str">
        <f>A471</f>
        <v>hrt-whi-2002-f095</v>
      </c>
      <c r="C471" s="2" t="s">
        <v>589</v>
      </c>
      <c r="D471" s="2">
        <v>0.95</v>
      </c>
      <c r="E471" s="3" t="e">
        <f>ABS(D471 - LOOKUP(C471, SweepStudyConfig[StudyId], SweepStudyConfig[OriginalAllocFractionA])) &lt; 0.03</f>
        <v>#VALUE!</v>
      </c>
      <c r="F471" s="3" t="e">
        <f>LOOKUP(C471, SweepStudyConfig[StudyId], SweepStudyConfig[NSweepStratumTotal])</f>
        <v>#VALUE!</v>
      </c>
      <c r="G471" s="3" t="e">
        <f>ROUND(F471 * D471)</f>
        <v>#VALUE!</v>
      </c>
      <c r="H471" s="3" t="e">
        <f>F471 - G471</f>
        <v>#VALUE!</v>
      </c>
      <c r="I471" s="3" t="e">
        <f>LOOKUP(C471, SweepStudyConfig[StudyId], SweepStudyConfig[NFixedA])</f>
        <v>#VALUE!</v>
      </c>
      <c r="J471" s="3" t="e">
        <f>LOOKUP(C471, SweepStudyConfig[StudyId], SweepStudyConfig[NFixedB])</f>
        <v>#VALUE!</v>
      </c>
      <c r="K471" s="3" t="e">
        <f>LOOKUP(C471, SweepStudyConfig[StudyId], SweepStudyConfig[SweepRateA])</f>
        <v>#VALUE!</v>
      </c>
      <c r="L471" s="3" t="e">
        <f>LOOKUP(C471, SweepStudyConfig[StudyId], SweepStudyConfig[SweepRateB])</f>
        <v>#VALUE!</v>
      </c>
      <c r="M471" s="3" t="e">
        <f>LOOKUP(C471, SweepStudyConfig[StudyId], SweepStudyConfig[FixedRateA])</f>
        <v>#VALUE!</v>
      </c>
      <c r="N471" s="3" t="e">
        <f>LOOKUP(C471, SweepStudyConfig[StudyId], SweepStudyConfig[FixedRateB])</f>
        <v>#VALUE!</v>
      </c>
      <c r="O471" s="3" t="e">
        <f>IF(G471 + I471 = 0, "", (G471 * K471 + I471 * M471) / (G471 + I471))</f>
        <v>#VALUE!</v>
      </c>
      <c r="P471" s="3" t="e">
        <f>IF(H471 + J471 = 0, "", (H471 * L471 + J471 * N471) / (H471 + J471))</f>
        <v>#VALUE!</v>
      </c>
      <c r="Q471" s="3" t="e">
        <f>IF(O471 = "", "", O471 - P471)</f>
        <v>#VALUE!</v>
      </c>
      <c r="R471" s="3" t="e">
        <f>LOOKUP(C471, SweepStudyConfig[StudyId], SweepStudyConfig[SweepCorrectedGap])</f>
        <v>#VALUE!</v>
      </c>
      <c r="S471" s="3" t="e">
        <f>IF(Q471 = "", "", Q471 - R471)</f>
        <v>#VALUE!</v>
      </c>
    </row>
    <row r="472">
      <c r="A472" s="2" t="s">
        <v>3760</v>
      </c>
      <c r="B472" s="3" t="str">
        <f>A472</f>
        <v>obesity-paradox-hf-f005</v>
      </c>
      <c r="C472" s="2" t="s">
        <v>593</v>
      </c>
      <c r="D472" s="2">
        <v>0.05</v>
      </c>
      <c r="E472" s="3" t="e">
        <f>ABS(D472 - LOOKUP(C472, SweepStudyConfig[StudyId], SweepStudyConfig[OriginalAllocFractionA])) &lt; 0.03</f>
        <v>#VALUE!</v>
      </c>
      <c r="F472" s="3" t="e">
        <f>LOOKUP(C472, SweepStudyConfig[StudyId], SweepStudyConfig[NSweepStratumTotal])</f>
        <v>#VALUE!</v>
      </c>
      <c r="G472" s="3" t="e">
        <f>ROUND(F472 * D472)</f>
        <v>#VALUE!</v>
      </c>
      <c r="H472" s="3" t="e">
        <f>F472 - G472</f>
        <v>#VALUE!</v>
      </c>
      <c r="I472" s="3" t="e">
        <f>LOOKUP(C472, SweepStudyConfig[StudyId], SweepStudyConfig[NFixedA])</f>
        <v>#VALUE!</v>
      </c>
      <c r="J472" s="3" t="e">
        <f>LOOKUP(C472, SweepStudyConfig[StudyId], SweepStudyConfig[NFixedB])</f>
        <v>#VALUE!</v>
      </c>
      <c r="K472" s="3" t="e">
        <f>LOOKUP(C472, SweepStudyConfig[StudyId], SweepStudyConfig[SweepRateA])</f>
        <v>#VALUE!</v>
      </c>
      <c r="L472" s="3" t="e">
        <f>LOOKUP(C472, SweepStudyConfig[StudyId], SweepStudyConfig[SweepRateB])</f>
        <v>#VALUE!</v>
      </c>
      <c r="M472" s="3" t="e">
        <f>LOOKUP(C472, SweepStudyConfig[StudyId], SweepStudyConfig[FixedRateA])</f>
        <v>#VALUE!</v>
      </c>
      <c r="N472" s="3" t="e">
        <f>LOOKUP(C472, SweepStudyConfig[StudyId], SweepStudyConfig[FixedRateB])</f>
        <v>#VALUE!</v>
      </c>
      <c r="O472" s="3" t="e">
        <f>IF(G472 + I472 = 0, "", (G472 * K472 + I472 * M472) / (G472 + I472))</f>
        <v>#VALUE!</v>
      </c>
      <c r="P472" s="3" t="e">
        <f>IF(H472 + J472 = 0, "", (H472 * L472 + J472 * N472) / (H472 + J472))</f>
        <v>#VALUE!</v>
      </c>
      <c r="Q472" s="3" t="e">
        <f>IF(O472 = "", "", O472 - P472)</f>
        <v>#VALUE!</v>
      </c>
      <c r="R472" s="3" t="e">
        <f>LOOKUP(C472, SweepStudyConfig[StudyId], SweepStudyConfig[SweepCorrectedGap])</f>
        <v>#VALUE!</v>
      </c>
      <c r="S472" s="3" t="e">
        <f>IF(Q472 = "", "", Q472 - R472)</f>
        <v>#VALUE!</v>
      </c>
    </row>
    <row r="473">
      <c r="A473" s="2" t="s">
        <v>3761</v>
      </c>
      <c r="B473" s="3" t="str">
        <f>A473</f>
        <v>obesity-paradox-hf-f015</v>
      </c>
      <c r="C473" s="2" t="s">
        <v>593</v>
      </c>
      <c r="D473" s="2">
        <v>0.15</v>
      </c>
      <c r="E473" s="3" t="e">
        <f>ABS(D473 - LOOKUP(C473, SweepStudyConfig[StudyId], SweepStudyConfig[OriginalAllocFractionA])) &lt; 0.03</f>
        <v>#VALUE!</v>
      </c>
      <c r="F473" s="3" t="e">
        <f>LOOKUP(C473, SweepStudyConfig[StudyId], SweepStudyConfig[NSweepStratumTotal])</f>
        <v>#VALUE!</v>
      </c>
      <c r="G473" s="3" t="e">
        <f>ROUND(F473 * D473)</f>
        <v>#VALUE!</v>
      </c>
      <c r="H473" s="3" t="e">
        <f>F473 - G473</f>
        <v>#VALUE!</v>
      </c>
      <c r="I473" s="3" t="e">
        <f>LOOKUP(C473, SweepStudyConfig[StudyId], SweepStudyConfig[NFixedA])</f>
        <v>#VALUE!</v>
      </c>
      <c r="J473" s="3" t="e">
        <f>LOOKUP(C473, SweepStudyConfig[StudyId], SweepStudyConfig[NFixedB])</f>
        <v>#VALUE!</v>
      </c>
      <c r="K473" s="3" t="e">
        <f>LOOKUP(C473, SweepStudyConfig[StudyId], SweepStudyConfig[SweepRateA])</f>
        <v>#VALUE!</v>
      </c>
      <c r="L473" s="3" t="e">
        <f>LOOKUP(C473, SweepStudyConfig[StudyId], SweepStudyConfig[SweepRateB])</f>
        <v>#VALUE!</v>
      </c>
      <c r="M473" s="3" t="e">
        <f>LOOKUP(C473, SweepStudyConfig[StudyId], SweepStudyConfig[FixedRateA])</f>
        <v>#VALUE!</v>
      </c>
      <c r="N473" s="3" t="e">
        <f>LOOKUP(C473, SweepStudyConfig[StudyId], SweepStudyConfig[FixedRateB])</f>
        <v>#VALUE!</v>
      </c>
      <c r="O473" s="3" t="e">
        <f>IF(G473 + I473 = 0, "", (G473 * K473 + I473 * M473) / (G473 + I473))</f>
        <v>#VALUE!</v>
      </c>
      <c r="P473" s="3" t="e">
        <f>IF(H473 + J473 = 0, "", (H473 * L473 + J473 * N473) / (H473 + J473))</f>
        <v>#VALUE!</v>
      </c>
      <c r="Q473" s="3" t="e">
        <f>IF(O473 = "", "", O473 - P473)</f>
        <v>#VALUE!</v>
      </c>
      <c r="R473" s="3" t="e">
        <f>LOOKUP(C473, SweepStudyConfig[StudyId], SweepStudyConfig[SweepCorrectedGap])</f>
        <v>#VALUE!</v>
      </c>
      <c r="S473" s="3" t="e">
        <f>IF(Q473 = "", "", Q473 - R473)</f>
        <v>#VALUE!</v>
      </c>
    </row>
    <row r="474">
      <c r="A474" s="2" t="s">
        <v>3762</v>
      </c>
      <c r="B474" s="3" t="str">
        <f>A474</f>
        <v>obesity-paradox-hf-f025</v>
      </c>
      <c r="C474" s="2" t="s">
        <v>593</v>
      </c>
      <c r="D474" s="2">
        <v>0.25</v>
      </c>
      <c r="E474" s="3" t="e">
        <f>ABS(D474 - LOOKUP(C474, SweepStudyConfig[StudyId], SweepStudyConfig[OriginalAllocFractionA])) &lt; 0.03</f>
        <v>#VALUE!</v>
      </c>
      <c r="F474" s="3" t="e">
        <f>LOOKUP(C474, SweepStudyConfig[StudyId], SweepStudyConfig[NSweepStratumTotal])</f>
        <v>#VALUE!</v>
      </c>
      <c r="G474" s="3" t="e">
        <f>ROUND(F474 * D474)</f>
        <v>#VALUE!</v>
      </c>
      <c r="H474" s="3" t="e">
        <f>F474 - G474</f>
        <v>#VALUE!</v>
      </c>
      <c r="I474" s="3" t="e">
        <f>LOOKUP(C474, SweepStudyConfig[StudyId], SweepStudyConfig[NFixedA])</f>
        <v>#VALUE!</v>
      </c>
      <c r="J474" s="3" t="e">
        <f>LOOKUP(C474, SweepStudyConfig[StudyId], SweepStudyConfig[NFixedB])</f>
        <v>#VALUE!</v>
      </c>
      <c r="K474" s="3" t="e">
        <f>LOOKUP(C474, SweepStudyConfig[StudyId], SweepStudyConfig[SweepRateA])</f>
        <v>#VALUE!</v>
      </c>
      <c r="L474" s="3" t="e">
        <f>LOOKUP(C474, SweepStudyConfig[StudyId], SweepStudyConfig[SweepRateB])</f>
        <v>#VALUE!</v>
      </c>
      <c r="M474" s="3" t="e">
        <f>LOOKUP(C474, SweepStudyConfig[StudyId], SweepStudyConfig[FixedRateA])</f>
        <v>#VALUE!</v>
      </c>
      <c r="N474" s="3" t="e">
        <f>LOOKUP(C474, SweepStudyConfig[StudyId], SweepStudyConfig[FixedRateB])</f>
        <v>#VALUE!</v>
      </c>
      <c r="O474" s="3" t="e">
        <f>IF(G474 + I474 = 0, "", (G474 * K474 + I474 * M474) / (G474 + I474))</f>
        <v>#VALUE!</v>
      </c>
      <c r="P474" s="3" t="e">
        <f>IF(H474 + J474 = 0, "", (H474 * L474 + J474 * N474) / (H474 + J474))</f>
        <v>#VALUE!</v>
      </c>
      <c r="Q474" s="3" t="e">
        <f>IF(O474 = "", "", O474 - P474)</f>
        <v>#VALUE!</v>
      </c>
      <c r="R474" s="3" t="e">
        <f>LOOKUP(C474, SweepStudyConfig[StudyId], SweepStudyConfig[SweepCorrectedGap])</f>
        <v>#VALUE!</v>
      </c>
      <c r="S474" s="3" t="e">
        <f>IF(Q474 = "", "", Q474 - R474)</f>
        <v>#VALUE!</v>
      </c>
    </row>
    <row r="475">
      <c r="A475" s="2" t="s">
        <v>3763</v>
      </c>
      <c r="B475" s="3" t="str">
        <f>A475</f>
        <v>obesity-paradox-hf-f035</v>
      </c>
      <c r="C475" s="2" t="s">
        <v>593</v>
      </c>
      <c r="D475" s="2">
        <v>0.35</v>
      </c>
      <c r="E475" s="3" t="e">
        <f>ABS(D475 - LOOKUP(C475, SweepStudyConfig[StudyId], SweepStudyConfig[OriginalAllocFractionA])) &lt; 0.03</f>
        <v>#VALUE!</v>
      </c>
      <c r="F475" s="3" t="e">
        <f>LOOKUP(C475, SweepStudyConfig[StudyId], SweepStudyConfig[NSweepStratumTotal])</f>
        <v>#VALUE!</v>
      </c>
      <c r="G475" s="3" t="e">
        <f>ROUND(F475 * D475)</f>
        <v>#VALUE!</v>
      </c>
      <c r="H475" s="3" t="e">
        <f>F475 - G475</f>
        <v>#VALUE!</v>
      </c>
      <c r="I475" s="3" t="e">
        <f>LOOKUP(C475, SweepStudyConfig[StudyId], SweepStudyConfig[NFixedA])</f>
        <v>#VALUE!</v>
      </c>
      <c r="J475" s="3" t="e">
        <f>LOOKUP(C475, SweepStudyConfig[StudyId], SweepStudyConfig[NFixedB])</f>
        <v>#VALUE!</v>
      </c>
      <c r="K475" s="3" t="e">
        <f>LOOKUP(C475, SweepStudyConfig[StudyId], SweepStudyConfig[SweepRateA])</f>
        <v>#VALUE!</v>
      </c>
      <c r="L475" s="3" t="e">
        <f>LOOKUP(C475, SweepStudyConfig[StudyId], SweepStudyConfig[SweepRateB])</f>
        <v>#VALUE!</v>
      </c>
      <c r="M475" s="3" t="e">
        <f>LOOKUP(C475, SweepStudyConfig[StudyId], SweepStudyConfig[FixedRateA])</f>
        <v>#VALUE!</v>
      </c>
      <c r="N475" s="3" t="e">
        <f>LOOKUP(C475, SweepStudyConfig[StudyId], SweepStudyConfig[FixedRateB])</f>
        <v>#VALUE!</v>
      </c>
      <c r="O475" s="3" t="e">
        <f>IF(G475 + I475 = 0, "", (G475 * K475 + I475 * M475) / (G475 + I475))</f>
        <v>#VALUE!</v>
      </c>
      <c r="P475" s="3" t="e">
        <f>IF(H475 + J475 = 0, "", (H475 * L475 + J475 * N475) / (H475 + J475))</f>
        <v>#VALUE!</v>
      </c>
      <c r="Q475" s="3" t="e">
        <f>IF(O475 = "", "", O475 - P475)</f>
        <v>#VALUE!</v>
      </c>
      <c r="R475" s="3" t="e">
        <f>LOOKUP(C475, SweepStudyConfig[StudyId], SweepStudyConfig[SweepCorrectedGap])</f>
        <v>#VALUE!</v>
      </c>
      <c r="S475" s="3" t="e">
        <f>IF(Q475 = "", "", Q475 - R475)</f>
        <v>#VALUE!</v>
      </c>
    </row>
    <row r="476">
      <c r="A476" s="2" t="s">
        <v>3764</v>
      </c>
      <c r="B476" s="3" t="str">
        <f>A476</f>
        <v>obesity-paradox-hf-f045</v>
      </c>
      <c r="C476" s="2" t="s">
        <v>593</v>
      </c>
      <c r="D476" s="2">
        <v>0.45</v>
      </c>
      <c r="E476" s="3" t="e">
        <f>ABS(D476 - LOOKUP(C476, SweepStudyConfig[StudyId], SweepStudyConfig[OriginalAllocFractionA])) &lt; 0.03</f>
        <v>#VALUE!</v>
      </c>
      <c r="F476" s="3" t="e">
        <f>LOOKUP(C476, SweepStudyConfig[StudyId], SweepStudyConfig[NSweepStratumTotal])</f>
        <v>#VALUE!</v>
      </c>
      <c r="G476" s="3" t="e">
        <f>ROUND(F476 * D476)</f>
        <v>#VALUE!</v>
      </c>
      <c r="H476" s="3" t="e">
        <f>F476 - G476</f>
        <v>#VALUE!</v>
      </c>
      <c r="I476" s="3" t="e">
        <f>LOOKUP(C476, SweepStudyConfig[StudyId], SweepStudyConfig[NFixedA])</f>
        <v>#VALUE!</v>
      </c>
      <c r="J476" s="3" t="e">
        <f>LOOKUP(C476, SweepStudyConfig[StudyId], SweepStudyConfig[NFixedB])</f>
        <v>#VALUE!</v>
      </c>
      <c r="K476" s="3" t="e">
        <f>LOOKUP(C476, SweepStudyConfig[StudyId], SweepStudyConfig[SweepRateA])</f>
        <v>#VALUE!</v>
      </c>
      <c r="L476" s="3" t="e">
        <f>LOOKUP(C476, SweepStudyConfig[StudyId], SweepStudyConfig[SweepRateB])</f>
        <v>#VALUE!</v>
      </c>
      <c r="M476" s="3" t="e">
        <f>LOOKUP(C476, SweepStudyConfig[StudyId], SweepStudyConfig[FixedRateA])</f>
        <v>#VALUE!</v>
      </c>
      <c r="N476" s="3" t="e">
        <f>LOOKUP(C476, SweepStudyConfig[StudyId], SweepStudyConfig[FixedRateB])</f>
        <v>#VALUE!</v>
      </c>
      <c r="O476" s="3" t="e">
        <f>IF(G476 + I476 = 0, "", (G476 * K476 + I476 * M476) / (G476 + I476))</f>
        <v>#VALUE!</v>
      </c>
      <c r="P476" s="3" t="e">
        <f>IF(H476 + J476 = 0, "", (H476 * L476 + J476 * N476) / (H476 + J476))</f>
        <v>#VALUE!</v>
      </c>
      <c r="Q476" s="3" t="e">
        <f>IF(O476 = "", "", O476 - P476)</f>
        <v>#VALUE!</v>
      </c>
      <c r="R476" s="3" t="e">
        <f>LOOKUP(C476, SweepStudyConfig[StudyId], SweepStudyConfig[SweepCorrectedGap])</f>
        <v>#VALUE!</v>
      </c>
      <c r="S476" s="3" t="e">
        <f>IF(Q476 = "", "", Q476 - R476)</f>
        <v>#VALUE!</v>
      </c>
    </row>
    <row r="477">
      <c r="A477" s="2" t="s">
        <v>3765</v>
      </c>
      <c r="B477" s="3" t="str">
        <f>A477</f>
        <v>obesity-paradox-hf-f055</v>
      </c>
      <c r="C477" s="2" t="s">
        <v>593</v>
      </c>
      <c r="D477" s="2">
        <v>0.55</v>
      </c>
      <c r="E477" s="3" t="e">
        <f>ABS(D477 - LOOKUP(C477, SweepStudyConfig[StudyId], SweepStudyConfig[OriginalAllocFractionA])) &lt; 0.03</f>
        <v>#VALUE!</v>
      </c>
      <c r="F477" s="3" t="e">
        <f>LOOKUP(C477, SweepStudyConfig[StudyId], SweepStudyConfig[NSweepStratumTotal])</f>
        <v>#VALUE!</v>
      </c>
      <c r="G477" s="3" t="e">
        <f>ROUND(F477 * D477)</f>
        <v>#VALUE!</v>
      </c>
      <c r="H477" s="3" t="e">
        <f>F477 - G477</f>
        <v>#VALUE!</v>
      </c>
      <c r="I477" s="3" t="e">
        <f>LOOKUP(C477, SweepStudyConfig[StudyId], SweepStudyConfig[NFixedA])</f>
        <v>#VALUE!</v>
      </c>
      <c r="J477" s="3" t="e">
        <f>LOOKUP(C477, SweepStudyConfig[StudyId], SweepStudyConfig[NFixedB])</f>
        <v>#VALUE!</v>
      </c>
      <c r="K477" s="3" t="e">
        <f>LOOKUP(C477, SweepStudyConfig[StudyId], SweepStudyConfig[SweepRateA])</f>
        <v>#VALUE!</v>
      </c>
      <c r="L477" s="3" t="e">
        <f>LOOKUP(C477, SweepStudyConfig[StudyId], SweepStudyConfig[SweepRateB])</f>
        <v>#VALUE!</v>
      </c>
      <c r="M477" s="3" t="e">
        <f>LOOKUP(C477, SweepStudyConfig[StudyId], SweepStudyConfig[FixedRateA])</f>
        <v>#VALUE!</v>
      </c>
      <c r="N477" s="3" t="e">
        <f>LOOKUP(C477, SweepStudyConfig[StudyId], SweepStudyConfig[FixedRateB])</f>
        <v>#VALUE!</v>
      </c>
      <c r="O477" s="3" t="e">
        <f>IF(G477 + I477 = 0, "", (G477 * K477 + I477 * M477) / (G477 + I477))</f>
        <v>#VALUE!</v>
      </c>
      <c r="P477" s="3" t="e">
        <f>IF(H477 + J477 = 0, "", (H477 * L477 + J477 * N477) / (H477 + J477))</f>
        <v>#VALUE!</v>
      </c>
      <c r="Q477" s="3" t="e">
        <f>IF(O477 = "", "", O477 - P477)</f>
        <v>#VALUE!</v>
      </c>
      <c r="R477" s="3" t="e">
        <f>LOOKUP(C477, SweepStudyConfig[StudyId], SweepStudyConfig[SweepCorrectedGap])</f>
        <v>#VALUE!</v>
      </c>
      <c r="S477" s="3" t="e">
        <f>IF(Q477 = "", "", Q477 - R477)</f>
        <v>#VALUE!</v>
      </c>
    </row>
    <row r="478">
      <c r="A478" s="2" t="s">
        <v>3766</v>
      </c>
      <c r="B478" s="3" t="str">
        <f>A478</f>
        <v>obesity-paradox-hf-f065</v>
      </c>
      <c r="C478" s="2" t="s">
        <v>593</v>
      </c>
      <c r="D478" s="2">
        <v>0.65</v>
      </c>
      <c r="E478" s="3" t="e">
        <f>ABS(D478 - LOOKUP(C478, SweepStudyConfig[StudyId], SweepStudyConfig[OriginalAllocFractionA])) &lt; 0.03</f>
        <v>#VALUE!</v>
      </c>
      <c r="F478" s="3" t="e">
        <f>LOOKUP(C478, SweepStudyConfig[StudyId], SweepStudyConfig[NSweepStratumTotal])</f>
        <v>#VALUE!</v>
      </c>
      <c r="G478" s="3" t="e">
        <f>ROUND(F478 * D478)</f>
        <v>#VALUE!</v>
      </c>
      <c r="H478" s="3" t="e">
        <f>F478 - G478</f>
        <v>#VALUE!</v>
      </c>
      <c r="I478" s="3" t="e">
        <f>LOOKUP(C478, SweepStudyConfig[StudyId], SweepStudyConfig[NFixedA])</f>
        <v>#VALUE!</v>
      </c>
      <c r="J478" s="3" t="e">
        <f>LOOKUP(C478, SweepStudyConfig[StudyId], SweepStudyConfig[NFixedB])</f>
        <v>#VALUE!</v>
      </c>
      <c r="K478" s="3" t="e">
        <f>LOOKUP(C478, SweepStudyConfig[StudyId], SweepStudyConfig[SweepRateA])</f>
        <v>#VALUE!</v>
      </c>
      <c r="L478" s="3" t="e">
        <f>LOOKUP(C478, SweepStudyConfig[StudyId], SweepStudyConfig[SweepRateB])</f>
        <v>#VALUE!</v>
      </c>
      <c r="M478" s="3" t="e">
        <f>LOOKUP(C478, SweepStudyConfig[StudyId], SweepStudyConfig[FixedRateA])</f>
        <v>#VALUE!</v>
      </c>
      <c r="N478" s="3" t="e">
        <f>LOOKUP(C478, SweepStudyConfig[StudyId], SweepStudyConfig[FixedRateB])</f>
        <v>#VALUE!</v>
      </c>
      <c r="O478" s="3" t="e">
        <f>IF(G478 + I478 = 0, "", (G478 * K478 + I478 * M478) / (G478 + I478))</f>
        <v>#VALUE!</v>
      </c>
      <c r="P478" s="3" t="e">
        <f>IF(H478 + J478 = 0, "", (H478 * L478 + J478 * N478) / (H478 + J478))</f>
        <v>#VALUE!</v>
      </c>
      <c r="Q478" s="3" t="e">
        <f>IF(O478 = "", "", O478 - P478)</f>
        <v>#VALUE!</v>
      </c>
      <c r="R478" s="3" t="e">
        <f>LOOKUP(C478, SweepStudyConfig[StudyId], SweepStudyConfig[SweepCorrectedGap])</f>
        <v>#VALUE!</v>
      </c>
      <c r="S478" s="3" t="e">
        <f>IF(Q478 = "", "", Q478 - R478)</f>
        <v>#VALUE!</v>
      </c>
    </row>
    <row r="479">
      <c r="A479" s="2" t="s">
        <v>3767</v>
      </c>
      <c r="B479" s="3" t="str">
        <f>A479</f>
        <v>obesity-paradox-hf-f075</v>
      </c>
      <c r="C479" s="2" t="s">
        <v>593</v>
      </c>
      <c r="D479" s="2">
        <v>0.75</v>
      </c>
      <c r="E479" s="3" t="e">
        <f>ABS(D479 - LOOKUP(C479, SweepStudyConfig[StudyId], SweepStudyConfig[OriginalAllocFractionA])) &lt; 0.03</f>
        <v>#VALUE!</v>
      </c>
      <c r="F479" s="3" t="e">
        <f>LOOKUP(C479, SweepStudyConfig[StudyId], SweepStudyConfig[NSweepStratumTotal])</f>
        <v>#VALUE!</v>
      </c>
      <c r="G479" s="3" t="e">
        <f>ROUND(F479 * D479)</f>
        <v>#VALUE!</v>
      </c>
      <c r="H479" s="3" t="e">
        <f>F479 - G479</f>
        <v>#VALUE!</v>
      </c>
      <c r="I479" s="3" t="e">
        <f>LOOKUP(C479, SweepStudyConfig[StudyId], SweepStudyConfig[NFixedA])</f>
        <v>#VALUE!</v>
      </c>
      <c r="J479" s="3" t="e">
        <f>LOOKUP(C479, SweepStudyConfig[StudyId], SweepStudyConfig[NFixedB])</f>
        <v>#VALUE!</v>
      </c>
      <c r="K479" s="3" t="e">
        <f>LOOKUP(C479, SweepStudyConfig[StudyId], SweepStudyConfig[SweepRateA])</f>
        <v>#VALUE!</v>
      </c>
      <c r="L479" s="3" t="e">
        <f>LOOKUP(C479, SweepStudyConfig[StudyId], SweepStudyConfig[SweepRateB])</f>
        <v>#VALUE!</v>
      </c>
      <c r="M479" s="3" t="e">
        <f>LOOKUP(C479, SweepStudyConfig[StudyId], SweepStudyConfig[FixedRateA])</f>
        <v>#VALUE!</v>
      </c>
      <c r="N479" s="3" t="e">
        <f>LOOKUP(C479, SweepStudyConfig[StudyId], SweepStudyConfig[FixedRateB])</f>
        <v>#VALUE!</v>
      </c>
      <c r="O479" s="3" t="e">
        <f>IF(G479 + I479 = 0, "", (G479 * K479 + I479 * M479) / (G479 + I479))</f>
        <v>#VALUE!</v>
      </c>
      <c r="P479" s="3" t="e">
        <f>IF(H479 + J479 = 0, "", (H479 * L479 + J479 * N479) / (H479 + J479))</f>
        <v>#VALUE!</v>
      </c>
      <c r="Q479" s="3" t="e">
        <f>IF(O479 = "", "", O479 - P479)</f>
        <v>#VALUE!</v>
      </c>
      <c r="R479" s="3" t="e">
        <f>LOOKUP(C479, SweepStudyConfig[StudyId], SweepStudyConfig[SweepCorrectedGap])</f>
        <v>#VALUE!</v>
      </c>
      <c r="S479" s="3" t="e">
        <f>IF(Q479 = "", "", Q479 - R479)</f>
        <v>#VALUE!</v>
      </c>
    </row>
    <row r="480">
      <c r="A480" s="2" t="s">
        <v>3768</v>
      </c>
      <c r="B480" s="3" t="str">
        <f>A480</f>
        <v>obesity-paradox-hf-f085</v>
      </c>
      <c r="C480" s="2" t="s">
        <v>593</v>
      </c>
      <c r="D480" s="2">
        <v>0.85</v>
      </c>
      <c r="E480" s="3" t="e">
        <f>ABS(D480 - LOOKUP(C480, SweepStudyConfig[StudyId], SweepStudyConfig[OriginalAllocFractionA])) &lt; 0.03</f>
        <v>#VALUE!</v>
      </c>
      <c r="F480" s="3" t="e">
        <f>LOOKUP(C480, SweepStudyConfig[StudyId], SweepStudyConfig[NSweepStratumTotal])</f>
        <v>#VALUE!</v>
      </c>
      <c r="G480" s="3" t="e">
        <f>ROUND(F480 * D480)</f>
        <v>#VALUE!</v>
      </c>
      <c r="H480" s="3" t="e">
        <f>F480 - G480</f>
        <v>#VALUE!</v>
      </c>
      <c r="I480" s="3" t="e">
        <f>LOOKUP(C480, SweepStudyConfig[StudyId], SweepStudyConfig[NFixedA])</f>
        <v>#VALUE!</v>
      </c>
      <c r="J480" s="3" t="e">
        <f>LOOKUP(C480, SweepStudyConfig[StudyId], SweepStudyConfig[NFixedB])</f>
        <v>#VALUE!</v>
      </c>
      <c r="K480" s="3" t="e">
        <f>LOOKUP(C480, SweepStudyConfig[StudyId], SweepStudyConfig[SweepRateA])</f>
        <v>#VALUE!</v>
      </c>
      <c r="L480" s="3" t="e">
        <f>LOOKUP(C480, SweepStudyConfig[StudyId], SweepStudyConfig[SweepRateB])</f>
        <v>#VALUE!</v>
      </c>
      <c r="M480" s="3" t="e">
        <f>LOOKUP(C480, SweepStudyConfig[StudyId], SweepStudyConfig[FixedRateA])</f>
        <v>#VALUE!</v>
      </c>
      <c r="N480" s="3" t="e">
        <f>LOOKUP(C480, SweepStudyConfig[StudyId], SweepStudyConfig[FixedRateB])</f>
        <v>#VALUE!</v>
      </c>
      <c r="O480" s="3" t="e">
        <f>IF(G480 + I480 = 0, "", (G480 * K480 + I480 * M480) / (G480 + I480))</f>
        <v>#VALUE!</v>
      </c>
      <c r="P480" s="3" t="e">
        <f>IF(H480 + J480 = 0, "", (H480 * L480 + J480 * N480) / (H480 + J480))</f>
        <v>#VALUE!</v>
      </c>
      <c r="Q480" s="3" t="e">
        <f>IF(O480 = "", "", O480 - P480)</f>
        <v>#VALUE!</v>
      </c>
      <c r="R480" s="3" t="e">
        <f>LOOKUP(C480, SweepStudyConfig[StudyId], SweepStudyConfig[SweepCorrectedGap])</f>
        <v>#VALUE!</v>
      </c>
      <c r="S480" s="3" t="e">
        <f>IF(Q480 = "", "", Q480 - R480)</f>
        <v>#VALUE!</v>
      </c>
    </row>
    <row r="481">
      <c r="A481" s="2" t="s">
        <v>3769</v>
      </c>
      <c r="B481" s="3" t="str">
        <f>A481</f>
        <v>obesity-paradox-hf-f095</v>
      </c>
      <c r="C481" s="2" t="s">
        <v>593</v>
      </c>
      <c r="D481" s="2">
        <v>0.95</v>
      </c>
      <c r="E481" s="3" t="e">
        <f>ABS(D481 - LOOKUP(C481, SweepStudyConfig[StudyId], SweepStudyConfig[OriginalAllocFractionA])) &lt; 0.03</f>
        <v>#VALUE!</v>
      </c>
      <c r="F481" s="3" t="e">
        <f>LOOKUP(C481, SweepStudyConfig[StudyId], SweepStudyConfig[NSweepStratumTotal])</f>
        <v>#VALUE!</v>
      </c>
      <c r="G481" s="3" t="e">
        <f>ROUND(F481 * D481)</f>
        <v>#VALUE!</v>
      </c>
      <c r="H481" s="3" t="e">
        <f>F481 - G481</f>
        <v>#VALUE!</v>
      </c>
      <c r="I481" s="3" t="e">
        <f>LOOKUP(C481, SweepStudyConfig[StudyId], SweepStudyConfig[NFixedA])</f>
        <v>#VALUE!</v>
      </c>
      <c r="J481" s="3" t="e">
        <f>LOOKUP(C481, SweepStudyConfig[StudyId], SweepStudyConfig[NFixedB])</f>
        <v>#VALUE!</v>
      </c>
      <c r="K481" s="3" t="e">
        <f>LOOKUP(C481, SweepStudyConfig[StudyId], SweepStudyConfig[SweepRateA])</f>
        <v>#VALUE!</v>
      </c>
      <c r="L481" s="3" t="e">
        <f>LOOKUP(C481, SweepStudyConfig[StudyId], SweepStudyConfig[SweepRateB])</f>
        <v>#VALUE!</v>
      </c>
      <c r="M481" s="3" t="e">
        <f>LOOKUP(C481, SweepStudyConfig[StudyId], SweepStudyConfig[FixedRateA])</f>
        <v>#VALUE!</v>
      </c>
      <c r="N481" s="3" t="e">
        <f>LOOKUP(C481, SweepStudyConfig[StudyId], SweepStudyConfig[FixedRateB])</f>
        <v>#VALUE!</v>
      </c>
      <c r="O481" s="3" t="e">
        <f>IF(G481 + I481 = 0, "", (G481 * K481 + I481 * M481) / (G481 + I481))</f>
        <v>#VALUE!</v>
      </c>
      <c r="P481" s="3" t="e">
        <f>IF(H481 + J481 = 0, "", (H481 * L481 + J481 * N481) / (H481 + J481))</f>
        <v>#VALUE!</v>
      </c>
      <c r="Q481" s="3" t="e">
        <f>IF(O481 = "", "", O481 - P481)</f>
        <v>#VALUE!</v>
      </c>
      <c r="R481" s="3" t="e">
        <f>LOOKUP(C481, SweepStudyConfig[StudyId], SweepStudyConfig[SweepCorrectedGap])</f>
        <v>#VALUE!</v>
      </c>
      <c r="S481" s="3" t="e">
        <f>IF(Q481 = "", "", Q481 - R481)</f>
        <v>#VALUE!</v>
      </c>
    </row>
    <row r="482">
      <c r="A482" s="2" t="s">
        <v>3770</v>
      </c>
      <c r="B482" s="3" t="str">
        <f>A482</f>
        <v>dialysis-bmi-survival-f005</v>
      </c>
      <c r="C482" s="2" t="s">
        <v>597</v>
      </c>
      <c r="D482" s="2">
        <v>0.05</v>
      </c>
      <c r="E482" s="3" t="e">
        <f>ABS(D482 - LOOKUP(C482, SweepStudyConfig[StudyId], SweepStudyConfig[OriginalAllocFractionA])) &lt; 0.03</f>
        <v>#VALUE!</v>
      </c>
      <c r="F482" s="3" t="e">
        <f>LOOKUP(C482, SweepStudyConfig[StudyId], SweepStudyConfig[NSweepStratumTotal])</f>
        <v>#VALUE!</v>
      </c>
      <c r="G482" s="3" t="e">
        <f>ROUND(F482 * D482)</f>
        <v>#VALUE!</v>
      </c>
      <c r="H482" s="3" t="e">
        <f>F482 - G482</f>
        <v>#VALUE!</v>
      </c>
      <c r="I482" s="3" t="e">
        <f>LOOKUP(C482, SweepStudyConfig[StudyId], SweepStudyConfig[NFixedA])</f>
        <v>#VALUE!</v>
      </c>
      <c r="J482" s="3" t="e">
        <f>LOOKUP(C482, SweepStudyConfig[StudyId], SweepStudyConfig[NFixedB])</f>
        <v>#VALUE!</v>
      </c>
      <c r="K482" s="3" t="e">
        <f>LOOKUP(C482, SweepStudyConfig[StudyId], SweepStudyConfig[SweepRateA])</f>
        <v>#VALUE!</v>
      </c>
      <c r="L482" s="3" t="e">
        <f>LOOKUP(C482, SweepStudyConfig[StudyId], SweepStudyConfig[SweepRateB])</f>
        <v>#VALUE!</v>
      </c>
      <c r="M482" s="3" t="e">
        <f>LOOKUP(C482, SweepStudyConfig[StudyId], SweepStudyConfig[FixedRateA])</f>
        <v>#VALUE!</v>
      </c>
      <c r="N482" s="3" t="e">
        <f>LOOKUP(C482, SweepStudyConfig[StudyId], SweepStudyConfig[FixedRateB])</f>
        <v>#VALUE!</v>
      </c>
      <c r="O482" s="3" t="e">
        <f>IF(G482 + I482 = 0, "", (G482 * K482 + I482 * M482) / (G482 + I482))</f>
        <v>#VALUE!</v>
      </c>
      <c r="P482" s="3" t="e">
        <f>IF(H482 + J482 = 0, "", (H482 * L482 + J482 * N482) / (H482 + J482))</f>
        <v>#VALUE!</v>
      </c>
      <c r="Q482" s="3" t="e">
        <f>IF(O482 = "", "", O482 - P482)</f>
        <v>#VALUE!</v>
      </c>
      <c r="R482" s="3" t="e">
        <f>LOOKUP(C482, SweepStudyConfig[StudyId], SweepStudyConfig[SweepCorrectedGap])</f>
        <v>#VALUE!</v>
      </c>
      <c r="S482" s="3" t="e">
        <f>IF(Q482 = "", "", Q482 - R482)</f>
        <v>#VALUE!</v>
      </c>
    </row>
    <row r="483">
      <c r="A483" s="2" t="s">
        <v>3771</v>
      </c>
      <c r="B483" s="3" t="str">
        <f>A483</f>
        <v>dialysis-bmi-survival-f015</v>
      </c>
      <c r="C483" s="2" t="s">
        <v>597</v>
      </c>
      <c r="D483" s="2">
        <v>0.15</v>
      </c>
      <c r="E483" s="3" t="e">
        <f>ABS(D483 - LOOKUP(C483, SweepStudyConfig[StudyId], SweepStudyConfig[OriginalAllocFractionA])) &lt; 0.03</f>
        <v>#VALUE!</v>
      </c>
      <c r="F483" s="3" t="e">
        <f>LOOKUP(C483, SweepStudyConfig[StudyId], SweepStudyConfig[NSweepStratumTotal])</f>
        <v>#VALUE!</v>
      </c>
      <c r="G483" s="3" t="e">
        <f>ROUND(F483 * D483)</f>
        <v>#VALUE!</v>
      </c>
      <c r="H483" s="3" t="e">
        <f>F483 - G483</f>
        <v>#VALUE!</v>
      </c>
      <c r="I483" s="3" t="e">
        <f>LOOKUP(C483, SweepStudyConfig[StudyId], SweepStudyConfig[NFixedA])</f>
        <v>#VALUE!</v>
      </c>
      <c r="J483" s="3" t="e">
        <f>LOOKUP(C483, SweepStudyConfig[StudyId], SweepStudyConfig[NFixedB])</f>
        <v>#VALUE!</v>
      </c>
      <c r="K483" s="3" t="e">
        <f>LOOKUP(C483, SweepStudyConfig[StudyId], SweepStudyConfig[SweepRateA])</f>
        <v>#VALUE!</v>
      </c>
      <c r="L483" s="3" t="e">
        <f>LOOKUP(C483, SweepStudyConfig[StudyId], SweepStudyConfig[SweepRateB])</f>
        <v>#VALUE!</v>
      </c>
      <c r="M483" s="3" t="e">
        <f>LOOKUP(C483, SweepStudyConfig[StudyId], SweepStudyConfig[FixedRateA])</f>
        <v>#VALUE!</v>
      </c>
      <c r="N483" s="3" t="e">
        <f>LOOKUP(C483, SweepStudyConfig[StudyId], SweepStudyConfig[FixedRateB])</f>
        <v>#VALUE!</v>
      </c>
      <c r="O483" s="3" t="e">
        <f>IF(G483 + I483 = 0, "", (G483 * K483 + I483 * M483) / (G483 + I483))</f>
        <v>#VALUE!</v>
      </c>
      <c r="P483" s="3" t="e">
        <f>IF(H483 + J483 = 0, "", (H483 * L483 + J483 * N483) / (H483 + J483))</f>
        <v>#VALUE!</v>
      </c>
      <c r="Q483" s="3" t="e">
        <f>IF(O483 = "", "", O483 - P483)</f>
        <v>#VALUE!</v>
      </c>
      <c r="R483" s="3" t="e">
        <f>LOOKUP(C483, SweepStudyConfig[StudyId], SweepStudyConfig[SweepCorrectedGap])</f>
        <v>#VALUE!</v>
      </c>
      <c r="S483" s="3" t="e">
        <f>IF(Q483 = "", "", Q483 - R483)</f>
        <v>#VALUE!</v>
      </c>
    </row>
    <row r="484">
      <c r="A484" s="2" t="s">
        <v>3772</v>
      </c>
      <c r="B484" s="3" t="str">
        <f>A484</f>
        <v>dialysis-bmi-survival-f025</v>
      </c>
      <c r="C484" s="2" t="s">
        <v>597</v>
      </c>
      <c r="D484" s="2">
        <v>0.25</v>
      </c>
      <c r="E484" s="3" t="e">
        <f>ABS(D484 - LOOKUP(C484, SweepStudyConfig[StudyId], SweepStudyConfig[OriginalAllocFractionA])) &lt; 0.03</f>
        <v>#VALUE!</v>
      </c>
      <c r="F484" s="3" t="e">
        <f>LOOKUP(C484, SweepStudyConfig[StudyId], SweepStudyConfig[NSweepStratumTotal])</f>
        <v>#VALUE!</v>
      </c>
      <c r="G484" s="3" t="e">
        <f>ROUND(F484 * D484)</f>
        <v>#VALUE!</v>
      </c>
      <c r="H484" s="3" t="e">
        <f>F484 - G484</f>
        <v>#VALUE!</v>
      </c>
      <c r="I484" s="3" t="e">
        <f>LOOKUP(C484, SweepStudyConfig[StudyId], SweepStudyConfig[NFixedA])</f>
        <v>#VALUE!</v>
      </c>
      <c r="J484" s="3" t="e">
        <f>LOOKUP(C484, SweepStudyConfig[StudyId], SweepStudyConfig[NFixedB])</f>
        <v>#VALUE!</v>
      </c>
      <c r="K484" s="3" t="e">
        <f>LOOKUP(C484, SweepStudyConfig[StudyId], SweepStudyConfig[SweepRateA])</f>
        <v>#VALUE!</v>
      </c>
      <c r="L484" s="3" t="e">
        <f>LOOKUP(C484, SweepStudyConfig[StudyId], SweepStudyConfig[SweepRateB])</f>
        <v>#VALUE!</v>
      </c>
      <c r="M484" s="3" t="e">
        <f>LOOKUP(C484, SweepStudyConfig[StudyId], SweepStudyConfig[FixedRateA])</f>
        <v>#VALUE!</v>
      </c>
      <c r="N484" s="3" t="e">
        <f>LOOKUP(C484, SweepStudyConfig[StudyId], SweepStudyConfig[FixedRateB])</f>
        <v>#VALUE!</v>
      </c>
      <c r="O484" s="3" t="e">
        <f>IF(G484 + I484 = 0, "", (G484 * K484 + I484 * M484) / (G484 + I484))</f>
        <v>#VALUE!</v>
      </c>
      <c r="P484" s="3" t="e">
        <f>IF(H484 + J484 = 0, "", (H484 * L484 + J484 * N484) / (H484 + J484))</f>
        <v>#VALUE!</v>
      </c>
      <c r="Q484" s="3" t="e">
        <f>IF(O484 = "", "", O484 - P484)</f>
        <v>#VALUE!</v>
      </c>
      <c r="R484" s="3" t="e">
        <f>LOOKUP(C484, SweepStudyConfig[StudyId], SweepStudyConfig[SweepCorrectedGap])</f>
        <v>#VALUE!</v>
      </c>
      <c r="S484" s="3" t="e">
        <f>IF(Q484 = "", "", Q484 - R484)</f>
        <v>#VALUE!</v>
      </c>
    </row>
    <row r="485">
      <c r="A485" s="2" t="s">
        <v>3773</v>
      </c>
      <c r="B485" s="3" t="str">
        <f>A485</f>
        <v>dialysis-bmi-survival-f035</v>
      </c>
      <c r="C485" s="2" t="s">
        <v>597</v>
      </c>
      <c r="D485" s="2">
        <v>0.35</v>
      </c>
      <c r="E485" s="3" t="e">
        <f>ABS(D485 - LOOKUP(C485, SweepStudyConfig[StudyId], SweepStudyConfig[OriginalAllocFractionA])) &lt; 0.03</f>
        <v>#VALUE!</v>
      </c>
      <c r="F485" s="3" t="e">
        <f>LOOKUP(C485, SweepStudyConfig[StudyId], SweepStudyConfig[NSweepStratumTotal])</f>
        <v>#VALUE!</v>
      </c>
      <c r="G485" s="3" t="e">
        <f>ROUND(F485 * D485)</f>
        <v>#VALUE!</v>
      </c>
      <c r="H485" s="3" t="e">
        <f>F485 - G485</f>
        <v>#VALUE!</v>
      </c>
      <c r="I485" s="3" t="e">
        <f>LOOKUP(C485, SweepStudyConfig[StudyId], SweepStudyConfig[NFixedA])</f>
        <v>#VALUE!</v>
      </c>
      <c r="J485" s="3" t="e">
        <f>LOOKUP(C485, SweepStudyConfig[StudyId], SweepStudyConfig[NFixedB])</f>
        <v>#VALUE!</v>
      </c>
      <c r="K485" s="3" t="e">
        <f>LOOKUP(C485, SweepStudyConfig[StudyId], SweepStudyConfig[SweepRateA])</f>
        <v>#VALUE!</v>
      </c>
      <c r="L485" s="3" t="e">
        <f>LOOKUP(C485, SweepStudyConfig[StudyId], SweepStudyConfig[SweepRateB])</f>
        <v>#VALUE!</v>
      </c>
      <c r="M485" s="3" t="e">
        <f>LOOKUP(C485, SweepStudyConfig[StudyId], SweepStudyConfig[FixedRateA])</f>
        <v>#VALUE!</v>
      </c>
      <c r="N485" s="3" t="e">
        <f>LOOKUP(C485, SweepStudyConfig[StudyId], SweepStudyConfig[FixedRateB])</f>
        <v>#VALUE!</v>
      </c>
      <c r="O485" s="3" t="e">
        <f>IF(G485 + I485 = 0, "", (G485 * K485 + I485 * M485) / (G485 + I485))</f>
        <v>#VALUE!</v>
      </c>
      <c r="P485" s="3" t="e">
        <f>IF(H485 + J485 = 0, "", (H485 * L485 + J485 * N485) / (H485 + J485))</f>
        <v>#VALUE!</v>
      </c>
      <c r="Q485" s="3" t="e">
        <f>IF(O485 = "", "", O485 - P485)</f>
        <v>#VALUE!</v>
      </c>
      <c r="R485" s="3" t="e">
        <f>LOOKUP(C485, SweepStudyConfig[StudyId], SweepStudyConfig[SweepCorrectedGap])</f>
        <v>#VALUE!</v>
      </c>
      <c r="S485" s="3" t="e">
        <f>IF(Q485 = "", "", Q485 - R485)</f>
        <v>#VALUE!</v>
      </c>
    </row>
    <row r="486">
      <c r="A486" s="2" t="s">
        <v>3774</v>
      </c>
      <c r="B486" s="3" t="str">
        <f>A486</f>
        <v>dialysis-bmi-survival-f045</v>
      </c>
      <c r="C486" s="2" t="s">
        <v>597</v>
      </c>
      <c r="D486" s="2">
        <v>0.45</v>
      </c>
      <c r="E486" s="3" t="e">
        <f>ABS(D486 - LOOKUP(C486, SweepStudyConfig[StudyId], SweepStudyConfig[OriginalAllocFractionA])) &lt; 0.03</f>
        <v>#VALUE!</v>
      </c>
      <c r="F486" s="3" t="e">
        <f>LOOKUP(C486, SweepStudyConfig[StudyId], SweepStudyConfig[NSweepStratumTotal])</f>
        <v>#VALUE!</v>
      </c>
      <c r="G486" s="3" t="e">
        <f>ROUND(F486 * D486)</f>
        <v>#VALUE!</v>
      </c>
      <c r="H486" s="3" t="e">
        <f>F486 - G486</f>
        <v>#VALUE!</v>
      </c>
      <c r="I486" s="3" t="e">
        <f>LOOKUP(C486, SweepStudyConfig[StudyId], SweepStudyConfig[NFixedA])</f>
        <v>#VALUE!</v>
      </c>
      <c r="J486" s="3" t="e">
        <f>LOOKUP(C486, SweepStudyConfig[StudyId], SweepStudyConfig[NFixedB])</f>
        <v>#VALUE!</v>
      </c>
      <c r="K486" s="3" t="e">
        <f>LOOKUP(C486, SweepStudyConfig[StudyId], SweepStudyConfig[SweepRateA])</f>
        <v>#VALUE!</v>
      </c>
      <c r="L486" s="3" t="e">
        <f>LOOKUP(C486, SweepStudyConfig[StudyId], SweepStudyConfig[SweepRateB])</f>
        <v>#VALUE!</v>
      </c>
      <c r="M486" s="3" t="e">
        <f>LOOKUP(C486, SweepStudyConfig[StudyId], SweepStudyConfig[FixedRateA])</f>
        <v>#VALUE!</v>
      </c>
      <c r="N486" s="3" t="e">
        <f>LOOKUP(C486, SweepStudyConfig[StudyId], SweepStudyConfig[FixedRateB])</f>
        <v>#VALUE!</v>
      </c>
      <c r="O486" s="3" t="e">
        <f>IF(G486 + I486 = 0, "", (G486 * K486 + I486 * M486) / (G486 + I486))</f>
        <v>#VALUE!</v>
      </c>
      <c r="P486" s="3" t="e">
        <f>IF(H486 + J486 = 0, "", (H486 * L486 + J486 * N486) / (H486 + J486))</f>
        <v>#VALUE!</v>
      </c>
      <c r="Q486" s="3" t="e">
        <f>IF(O486 = "", "", O486 - P486)</f>
        <v>#VALUE!</v>
      </c>
      <c r="R486" s="3" t="e">
        <f>LOOKUP(C486, SweepStudyConfig[StudyId], SweepStudyConfig[SweepCorrectedGap])</f>
        <v>#VALUE!</v>
      </c>
      <c r="S486" s="3" t="e">
        <f>IF(Q486 = "", "", Q486 - R486)</f>
        <v>#VALUE!</v>
      </c>
    </row>
    <row r="487">
      <c r="A487" s="2" t="s">
        <v>3775</v>
      </c>
      <c r="B487" s="3" t="str">
        <f>A487</f>
        <v>dialysis-bmi-survival-f055</v>
      </c>
      <c r="C487" s="2" t="s">
        <v>597</v>
      </c>
      <c r="D487" s="2">
        <v>0.55</v>
      </c>
      <c r="E487" s="3" t="e">
        <f>ABS(D487 - LOOKUP(C487, SweepStudyConfig[StudyId], SweepStudyConfig[OriginalAllocFractionA])) &lt; 0.03</f>
        <v>#VALUE!</v>
      </c>
      <c r="F487" s="3" t="e">
        <f>LOOKUP(C487, SweepStudyConfig[StudyId], SweepStudyConfig[NSweepStratumTotal])</f>
        <v>#VALUE!</v>
      </c>
      <c r="G487" s="3" t="e">
        <f>ROUND(F487 * D487)</f>
        <v>#VALUE!</v>
      </c>
      <c r="H487" s="3" t="e">
        <f>F487 - G487</f>
        <v>#VALUE!</v>
      </c>
      <c r="I487" s="3" t="e">
        <f>LOOKUP(C487, SweepStudyConfig[StudyId], SweepStudyConfig[NFixedA])</f>
        <v>#VALUE!</v>
      </c>
      <c r="J487" s="3" t="e">
        <f>LOOKUP(C487, SweepStudyConfig[StudyId], SweepStudyConfig[NFixedB])</f>
        <v>#VALUE!</v>
      </c>
      <c r="K487" s="3" t="e">
        <f>LOOKUP(C487, SweepStudyConfig[StudyId], SweepStudyConfig[SweepRateA])</f>
        <v>#VALUE!</v>
      </c>
      <c r="L487" s="3" t="e">
        <f>LOOKUP(C487, SweepStudyConfig[StudyId], SweepStudyConfig[SweepRateB])</f>
        <v>#VALUE!</v>
      </c>
      <c r="M487" s="3" t="e">
        <f>LOOKUP(C487, SweepStudyConfig[StudyId], SweepStudyConfig[FixedRateA])</f>
        <v>#VALUE!</v>
      </c>
      <c r="N487" s="3" t="e">
        <f>LOOKUP(C487, SweepStudyConfig[StudyId], SweepStudyConfig[FixedRateB])</f>
        <v>#VALUE!</v>
      </c>
      <c r="O487" s="3" t="e">
        <f>IF(G487 + I487 = 0, "", (G487 * K487 + I487 * M487) / (G487 + I487))</f>
        <v>#VALUE!</v>
      </c>
      <c r="P487" s="3" t="e">
        <f>IF(H487 + J487 = 0, "", (H487 * L487 + J487 * N487) / (H487 + J487))</f>
        <v>#VALUE!</v>
      </c>
      <c r="Q487" s="3" t="e">
        <f>IF(O487 = "", "", O487 - P487)</f>
        <v>#VALUE!</v>
      </c>
      <c r="R487" s="3" t="e">
        <f>LOOKUP(C487, SweepStudyConfig[StudyId], SweepStudyConfig[SweepCorrectedGap])</f>
        <v>#VALUE!</v>
      </c>
      <c r="S487" s="3" t="e">
        <f>IF(Q487 = "", "", Q487 - R487)</f>
        <v>#VALUE!</v>
      </c>
    </row>
    <row r="488">
      <c r="A488" s="2" t="s">
        <v>3776</v>
      </c>
      <c r="B488" s="3" t="str">
        <f>A488</f>
        <v>dialysis-bmi-survival-f065</v>
      </c>
      <c r="C488" s="2" t="s">
        <v>597</v>
      </c>
      <c r="D488" s="2">
        <v>0.65</v>
      </c>
      <c r="E488" s="3" t="e">
        <f>ABS(D488 - LOOKUP(C488, SweepStudyConfig[StudyId], SweepStudyConfig[OriginalAllocFractionA])) &lt; 0.03</f>
        <v>#VALUE!</v>
      </c>
      <c r="F488" s="3" t="e">
        <f>LOOKUP(C488, SweepStudyConfig[StudyId], SweepStudyConfig[NSweepStratumTotal])</f>
        <v>#VALUE!</v>
      </c>
      <c r="G488" s="3" t="e">
        <f>ROUND(F488 * D488)</f>
        <v>#VALUE!</v>
      </c>
      <c r="H488" s="3" t="e">
        <f>F488 - G488</f>
        <v>#VALUE!</v>
      </c>
      <c r="I488" s="3" t="e">
        <f>LOOKUP(C488, SweepStudyConfig[StudyId], SweepStudyConfig[NFixedA])</f>
        <v>#VALUE!</v>
      </c>
      <c r="J488" s="3" t="e">
        <f>LOOKUP(C488, SweepStudyConfig[StudyId], SweepStudyConfig[NFixedB])</f>
        <v>#VALUE!</v>
      </c>
      <c r="K488" s="3" t="e">
        <f>LOOKUP(C488, SweepStudyConfig[StudyId], SweepStudyConfig[SweepRateA])</f>
        <v>#VALUE!</v>
      </c>
      <c r="L488" s="3" t="e">
        <f>LOOKUP(C488, SweepStudyConfig[StudyId], SweepStudyConfig[SweepRateB])</f>
        <v>#VALUE!</v>
      </c>
      <c r="M488" s="3" t="e">
        <f>LOOKUP(C488, SweepStudyConfig[StudyId], SweepStudyConfig[FixedRateA])</f>
        <v>#VALUE!</v>
      </c>
      <c r="N488" s="3" t="e">
        <f>LOOKUP(C488, SweepStudyConfig[StudyId], SweepStudyConfig[FixedRateB])</f>
        <v>#VALUE!</v>
      </c>
      <c r="O488" s="3" t="e">
        <f>IF(G488 + I488 = 0, "", (G488 * K488 + I488 * M488) / (G488 + I488))</f>
        <v>#VALUE!</v>
      </c>
      <c r="P488" s="3" t="e">
        <f>IF(H488 + J488 = 0, "", (H488 * L488 + J488 * N488) / (H488 + J488))</f>
        <v>#VALUE!</v>
      </c>
      <c r="Q488" s="3" t="e">
        <f>IF(O488 = "", "", O488 - P488)</f>
        <v>#VALUE!</v>
      </c>
      <c r="R488" s="3" t="e">
        <f>LOOKUP(C488, SweepStudyConfig[StudyId], SweepStudyConfig[SweepCorrectedGap])</f>
        <v>#VALUE!</v>
      </c>
      <c r="S488" s="3" t="e">
        <f>IF(Q488 = "", "", Q488 - R488)</f>
        <v>#VALUE!</v>
      </c>
    </row>
    <row r="489">
      <c r="A489" s="2" t="s">
        <v>3777</v>
      </c>
      <c r="B489" s="3" t="str">
        <f>A489</f>
        <v>dialysis-bmi-survival-f075</v>
      </c>
      <c r="C489" s="2" t="s">
        <v>597</v>
      </c>
      <c r="D489" s="2">
        <v>0.75</v>
      </c>
      <c r="E489" s="3" t="e">
        <f>ABS(D489 - LOOKUP(C489, SweepStudyConfig[StudyId], SweepStudyConfig[OriginalAllocFractionA])) &lt; 0.03</f>
        <v>#VALUE!</v>
      </c>
      <c r="F489" s="3" t="e">
        <f>LOOKUP(C489, SweepStudyConfig[StudyId], SweepStudyConfig[NSweepStratumTotal])</f>
        <v>#VALUE!</v>
      </c>
      <c r="G489" s="3" t="e">
        <f>ROUND(F489 * D489)</f>
        <v>#VALUE!</v>
      </c>
      <c r="H489" s="3" t="e">
        <f>F489 - G489</f>
        <v>#VALUE!</v>
      </c>
      <c r="I489" s="3" t="e">
        <f>LOOKUP(C489, SweepStudyConfig[StudyId], SweepStudyConfig[NFixedA])</f>
        <v>#VALUE!</v>
      </c>
      <c r="J489" s="3" t="e">
        <f>LOOKUP(C489, SweepStudyConfig[StudyId], SweepStudyConfig[NFixedB])</f>
        <v>#VALUE!</v>
      </c>
      <c r="K489" s="3" t="e">
        <f>LOOKUP(C489, SweepStudyConfig[StudyId], SweepStudyConfig[SweepRateA])</f>
        <v>#VALUE!</v>
      </c>
      <c r="L489" s="3" t="e">
        <f>LOOKUP(C489, SweepStudyConfig[StudyId], SweepStudyConfig[SweepRateB])</f>
        <v>#VALUE!</v>
      </c>
      <c r="M489" s="3" t="e">
        <f>LOOKUP(C489, SweepStudyConfig[StudyId], SweepStudyConfig[FixedRateA])</f>
        <v>#VALUE!</v>
      </c>
      <c r="N489" s="3" t="e">
        <f>LOOKUP(C489, SweepStudyConfig[StudyId], SweepStudyConfig[FixedRateB])</f>
        <v>#VALUE!</v>
      </c>
      <c r="O489" s="3" t="e">
        <f>IF(G489 + I489 = 0, "", (G489 * K489 + I489 * M489) / (G489 + I489))</f>
        <v>#VALUE!</v>
      </c>
      <c r="P489" s="3" t="e">
        <f>IF(H489 + J489 = 0, "", (H489 * L489 + J489 * N489) / (H489 + J489))</f>
        <v>#VALUE!</v>
      </c>
      <c r="Q489" s="3" t="e">
        <f>IF(O489 = "", "", O489 - P489)</f>
        <v>#VALUE!</v>
      </c>
      <c r="R489" s="3" t="e">
        <f>LOOKUP(C489, SweepStudyConfig[StudyId], SweepStudyConfig[SweepCorrectedGap])</f>
        <v>#VALUE!</v>
      </c>
      <c r="S489" s="3" t="e">
        <f>IF(Q489 = "", "", Q489 - R489)</f>
        <v>#VALUE!</v>
      </c>
    </row>
    <row r="490">
      <c r="A490" s="2" t="s">
        <v>3778</v>
      </c>
      <c r="B490" s="3" t="str">
        <f>A490</f>
        <v>dialysis-bmi-survival-f085</v>
      </c>
      <c r="C490" s="2" t="s">
        <v>597</v>
      </c>
      <c r="D490" s="2">
        <v>0.85</v>
      </c>
      <c r="E490" s="3" t="e">
        <f>ABS(D490 - LOOKUP(C490, SweepStudyConfig[StudyId], SweepStudyConfig[OriginalAllocFractionA])) &lt; 0.03</f>
        <v>#VALUE!</v>
      </c>
      <c r="F490" s="3" t="e">
        <f>LOOKUP(C490, SweepStudyConfig[StudyId], SweepStudyConfig[NSweepStratumTotal])</f>
        <v>#VALUE!</v>
      </c>
      <c r="G490" s="3" t="e">
        <f>ROUND(F490 * D490)</f>
        <v>#VALUE!</v>
      </c>
      <c r="H490" s="3" t="e">
        <f>F490 - G490</f>
        <v>#VALUE!</v>
      </c>
      <c r="I490" s="3" t="e">
        <f>LOOKUP(C490, SweepStudyConfig[StudyId], SweepStudyConfig[NFixedA])</f>
        <v>#VALUE!</v>
      </c>
      <c r="J490" s="3" t="e">
        <f>LOOKUP(C490, SweepStudyConfig[StudyId], SweepStudyConfig[NFixedB])</f>
        <v>#VALUE!</v>
      </c>
      <c r="K490" s="3" t="e">
        <f>LOOKUP(C490, SweepStudyConfig[StudyId], SweepStudyConfig[SweepRateA])</f>
        <v>#VALUE!</v>
      </c>
      <c r="L490" s="3" t="e">
        <f>LOOKUP(C490, SweepStudyConfig[StudyId], SweepStudyConfig[SweepRateB])</f>
        <v>#VALUE!</v>
      </c>
      <c r="M490" s="3" t="e">
        <f>LOOKUP(C490, SweepStudyConfig[StudyId], SweepStudyConfig[FixedRateA])</f>
        <v>#VALUE!</v>
      </c>
      <c r="N490" s="3" t="e">
        <f>LOOKUP(C490, SweepStudyConfig[StudyId], SweepStudyConfig[FixedRateB])</f>
        <v>#VALUE!</v>
      </c>
      <c r="O490" s="3" t="e">
        <f>IF(G490 + I490 = 0, "", (G490 * K490 + I490 * M490) / (G490 + I490))</f>
        <v>#VALUE!</v>
      </c>
      <c r="P490" s="3" t="e">
        <f>IF(H490 + J490 = 0, "", (H490 * L490 + J490 * N490) / (H490 + J490))</f>
        <v>#VALUE!</v>
      </c>
      <c r="Q490" s="3" t="e">
        <f>IF(O490 = "", "", O490 - P490)</f>
        <v>#VALUE!</v>
      </c>
      <c r="R490" s="3" t="e">
        <f>LOOKUP(C490, SweepStudyConfig[StudyId], SweepStudyConfig[SweepCorrectedGap])</f>
        <v>#VALUE!</v>
      </c>
      <c r="S490" s="3" t="e">
        <f>IF(Q490 = "", "", Q490 - R490)</f>
        <v>#VALUE!</v>
      </c>
    </row>
    <row r="491">
      <c r="A491" s="2" t="s">
        <v>3779</v>
      </c>
      <c r="B491" s="3" t="str">
        <f>A491</f>
        <v>dialysis-bmi-survival-f095</v>
      </c>
      <c r="C491" s="2" t="s">
        <v>597</v>
      </c>
      <c r="D491" s="2">
        <v>0.95</v>
      </c>
      <c r="E491" s="3" t="e">
        <f>ABS(D491 - LOOKUP(C491, SweepStudyConfig[StudyId], SweepStudyConfig[OriginalAllocFractionA])) &lt; 0.03</f>
        <v>#VALUE!</v>
      </c>
      <c r="F491" s="3" t="e">
        <f>LOOKUP(C491, SweepStudyConfig[StudyId], SweepStudyConfig[NSweepStratumTotal])</f>
        <v>#VALUE!</v>
      </c>
      <c r="G491" s="3" t="e">
        <f>ROUND(F491 * D491)</f>
        <v>#VALUE!</v>
      </c>
      <c r="H491" s="3" t="e">
        <f>F491 - G491</f>
        <v>#VALUE!</v>
      </c>
      <c r="I491" s="3" t="e">
        <f>LOOKUP(C491, SweepStudyConfig[StudyId], SweepStudyConfig[NFixedA])</f>
        <v>#VALUE!</v>
      </c>
      <c r="J491" s="3" t="e">
        <f>LOOKUP(C491, SweepStudyConfig[StudyId], SweepStudyConfig[NFixedB])</f>
        <v>#VALUE!</v>
      </c>
      <c r="K491" s="3" t="e">
        <f>LOOKUP(C491, SweepStudyConfig[StudyId], SweepStudyConfig[SweepRateA])</f>
        <v>#VALUE!</v>
      </c>
      <c r="L491" s="3" t="e">
        <f>LOOKUP(C491, SweepStudyConfig[StudyId], SweepStudyConfig[SweepRateB])</f>
        <v>#VALUE!</v>
      </c>
      <c r="M491" s="3" t="e">
        <f>LOOKUP(C491, SweepStudyConfig[StudyId], SweepStudyConfig[FixedRateA])</f>
        <v>#VALUE!</v>
      </c>
      <c r="N491" s="3" t="e">
        <f>LOOKUP(C491, SweepStudyConfig[StudyId], SweepStudyConfig[FixedRateB])</f>
        <v>#VALUE!</v>
      </c>
      <c r="O491" s="3" t="e">
        <f>IF(G491 + I491 = 0, "", (G491 * K491 + I491 * M491) / (G491 + I491))</f>
        <v>#VALUE!</v>
      </c>
      <c r="P491" s="3" t="e">
        <f>IF(H491 + J491 = 0, "", (H491 * L491 + J491 * N491) / (H491 + J491))</f>
        <v>#VALUE!</v>
      </c>
      <c r="Q491" s="3" t="e">
        <f>IF(O491 = "", "", O491 - P491)</f>
        <v>#VALUE!</v>
      </c>
      <c r="R491" s="3" t="e">
        <f>LOOKUP(C491, SweepStudyConfig[StudyId], SweepStudyConfig[SweepCorrectedGap])</f>
        <v>#VALUE!</v>
      </c>
      <c r="S491" s="3" t="e">
        <f>IF(Q491 = "", "", Q491 - R491)</f>
        <v>#VALUE!</v>
      </c>
    </row>
    <row r="492">
      <c r="A492" s="2" t="s">
        <v>3780</v>
      </c>
      <c r="B492" s="3" t="str">
        <f>A492</f>
        <v>sick-quitter-alcohol-f005</v>
      </c>
      <c r="C492" s="2" t="s">
        <v>601</v>
      </c>
      <c r="D492" s="2">
        <v>0.05</v>
      </c>
      <c r="E492" s="3" t="e">
        <f>ABS(D492 - LOOKUP(C492, SweepStudyConfig[StudyId], SweepStudyConfig[OriginalAllocFractionA])) &lt; 0.03</f>
        <v>#VALUE!</v>
      </c>
      <c r="F492" s="3" t="e">
        <f>LOOKUP(C492, SweepStudyConfig[StudyId], SweepStudyConfig[NSweepStratumTotal])</f>
        <v>#VALUE!</v>
      </c>
      <c r="G492" s="3" t="e">
        <f>ROUND(F492 * D492)</f>
        <v>#VALUE!</v>
      </c>
      <c r="H492" s="3" t="e">
        <f>F492 - G492</f>
        <v>#VALUE!</v>
      </c>
      <c r="I492" s="3" t="e">
        <f>LOOKUP(C492, SweepStudyConfig[StudyId], SweepStudyConfig[NFixedA])</f>
        <v>#VALUE!</v>
      </c>
      <c r="J492" s="3" t="e">
        <f>LOOKUP(C492, SweepStudyConfig[StudyId], SweepStudyConfig[NFixedB])</f>
        <v>#VALUE!</v>
      </c>
      <c r="K492" s="3" t="e">
        <f>LOOKUP(C492, SweepStudyConfig[StudyId], SweepStudyConfig[SweepRateA])</f>
        <v>#VALUE!</v>
      </c>
      <c r="L492" s="3" t="e">
        <f>LOOKUP(C492, SweepStudyConfig[StudyId], SweepStudyConfig[SweepRateB])</f>
        <v>#VALUE!</v>
      </c>
      <c r="M492" s="3" t="e">
        <f>LOOKUP(C492, SweepStudyConfig[StudyId], SweepStudyConfig[FixedRateA])</f>
        <v>#VALUE!</v>
      </c>
      <c r="N492" s="3" t="e">
        <f>LOOKUP(C492, SweepStudyConfig[StudyId], SweepStudyConfig[FixedRateB])</f>
        <v>#VALUE!</v>
      </c>
      <c r="O492" s="3" t="e">
        <f>IF(G492 + I492 = 0, "", (G492 * K492 + I492 * M492) / (G492 + I492))</f>
        <v>#VALUE!</v>
      </c>
      <c r="P492" s="3" t="e">
        <f>IF(H492 + J492 = 0, "", (H492 * L492 + J492 * N492) / (H492 + J492))</f>
        <v>#VALUE!</v>
      </c>
      <c r="Q492" s="3" t="e">
        <f>IF(O492 = "", "", O492 - P492)</f>
        <v>#VALUE!</v>
      </c>
      <c r="R492" s="3" t="e">
        <f>LOOKUP(C492, SweepStudyConfig[StudyId], SweepStudyConfig[SweepCorrectedGap])</f>
        <v>#VALUE!</v>
      </c>
      <c r="S492" s="3" t="e">
        <f>IF(Q492 = "", "", Q492 - R492)</f>
        <v>#VALUE!</v>
      </c>
    </row>
    <row r="493">
      <c r="A493" s="2" t="s">
        <v>3781</v>
      </c>
      <c r="B493" s="3" t="str">
        <f>A493</f>
        <v>sick-quitter-alcohol-f015</v>
      </c>
      <c r="C493" s="2" t="s">
        <v>601</v>
      </c>
      <c r="D493" s="2">
        <v>0.15</v>
      </c>
      <c r="E493" s="3" t="e">
        <f>ABS(D493 - LOOKUP(C493, SweepStudyConfig[StudyId], SweepStudyConfig[OriginalAllocFractionA])) &lt; 0.03</f>
        <v>#VALUE!</v>
      </c>
      <c r="F493" s="3" t="e">
        <f>LOOKUP(C493, SweepStudyConfig[StudyId], SweepStudyConfig[NSweepStratumTotal])</f>
        <v>#VALUE!</v>
      </c>
      <c r="G493" s="3" t="e">
        <f>ROUND(F493 * D493)</f>
        <v>#VALUE!</v>
      </c>
      <c r="H493" s="3" t="e">
        <f>F493 - G493</f>
        <v>#VALUE!</v>
      </c>
      <c r="I493" s="3" t="e">
        <f>LOOKUP(C493, SweepStudyConfig[StudyId], SweepStudyConfig[NFixedA])</f>
        <v>#VALUE!</v>
      </c>
      <c r="J493" s="3" t="e">
        <f>LOOKUP(C493, SweepStudyConfig[StudyId], SweepStudyConfig[NFixedB])</f>
        <v>#VALUE!</v>
      </c>
      <c r="K493" s="3" t="e">
        <f>LOOKUP(C493, SweepStudyConfig[StudyId], SweepStudyConfig[SweepRateA])</f>
        <v>#VALUE!</v>
      </c>
      <c r="L493" s="3" t="e">
        <f>LOOKUP(C493, SweepStudyConfig[StudyId], SweepStudyConfig[SweepRateB])</f>
        <v>#VALUE!</v>
      </c>
      <c r="M493" s="3" t="e">
        <f>LOOKUP(C493, SweepStudyConfig[StudyId], SweepStudyConfig[FixedRateA])</f>
        <v>#VALUE!</v>
      </c>
      <c r="N493" s="3" t="e">
        <f>LOOKUP(C493, SweepStudyConfig[StudyId], SweepStudyConfig[FixedRateB])</f>
        <v>#VALUE!</v>
      </c>
      <c r="O493" s="3" t="e">
        <f>IF(G493 + I493 = 0, "", (G493 * K493 + I493 * M493) / (G493 + I493))</f>
        <v>#VALUE!</v>
      </c>
      <c r="P493" s="3" t="e">
        <f>IF(H493 + J493 = 0, "", (H493 * L493 + J493 * N493) / (H493 + J493))</f>
        <v>#VALUE!</v>
      </c>
      <c r="Q493" s="3" t="e">
        <f>IF(O493 = "", "", O493 - P493)</f>
        <v>#VALUE!</v>
      </c>
      <c r="R493" s="3" t="e">
        <f>LOOKUP(C493, SweepStudyConfig[StudyId], SweepStudyConfig[SweepCorrectedGap])</f>
        <v>#VALUE!</v>
      </c>
      <c r="S493" s="3" t="e">
        <f>IF(Q493 = "", "", Q493 - R493)</f>
        <v>#VALUE!</v>
      </c>
    </row>
    <row r="494">
      <c r="A494" s="2" t="s">
        <v>3782</v>
      </c>
      <c r="B494" s="3" t="str">
        <f>A494</f>
        <v>sick-quitter-alcohol-f025</v>
      </c>
      <c r="C494" s="2" t="s">
        <v>601</v>
      </c>
      <c r="D494" s="2">
        <v>0.25</v>
      </c>
      <c r="E494" s="3" t="e">
        <f>ABS(D494 - LOOKUP(C494, SweepStudyConfig[StudyId], SweepStudyConfig[OriginalAllocFractionA])) &lt; 0.03</f>
        <v>#VALUE!</v>
      </c>
      <c r="F494" s="3" t="e">
        <f>LOOKUP(C494, SweepStudyConfig[StudyId], SweepStudyConfig[NSweepStratumTotal])</f>
        <v>#VALUE!</v>
      </c>
      <c r="G494" s="3" t="e">
        <f>ROUND(F494 * D494)</f>
        <v>#VALUE!</v>
      </c>
      <c r="H494" s="3" t="e">
        <f>F494 - G494</f>
        <v>#VALUE!</v>
      </c>
      <c r="I494" s="3" t="e">
        <f>LOOKUP(C494, SweepStudyConfig[StudyId], SweepStudyConfig[NFixedA])</f>
        <v>#VALUE!</v>
      </c>
      <c r="J494" s="3" t="e">
        <f>LOOKUP(C494, SweepStudyConfig[StudyId], SweepStudyConfig[NFixedB])</f>
        <v>#VALUE!</v>
      </c>
      <c r="K494" s="3" t="e">
        <f>LOOKUP(C494, SweepStudyConfig[StudyId], SweepStudyConfig[SweepRateA])</f>
        <v>#VALUE!</v>
      </c>
      <c r="L494" s="3" t="e">
        <f>LOOKUP(C494, SweepStudyConfig[StudyId], SweepStudyConfig[SweepRateB])</f>
        <v>#VALUE!</v>
      </c>
      <c r="M494" s="3" t="e">
        <f>LOOKUP(C494, SweepStudyConfig[StudyId], SweepStudyConfig[FixedRateA])</f>
        <v>#VALUE!</v>
      </c>
      <c r="N494" s="3" t="e">
        <f>LOOKUP(C494, SweepStudyConfig[StudyId], SweepStudyConfig[FixedRateB])</f>
        <v>#VALUE!</v>
      </c>
      <c r="O494" s="3" t="e">
        <f>IF(G494 + I494 = 0, "", (G494 * K494 + I494 * M494) / (G494 + I494))</f>
        <v>#VALUE!</v>
      </c>
      <c r="P494" s="3" t="e">
        <f>IF(H494 + J494 = 0, "", (H494 * L494 + J494 * N494) / (H494 + J494))</f>
        <v>#VALUE!</v>
      </c>
      <c r="Q494" s="3" t="e">
        <f>IF(O494 = "", "", O494 - P494)</f>
        <v>#VALUE!</v>
      </c>
      <c r="R494" s="3" t="e">
        <f>LOOKUP(C494, SweepStudyConfig[StudyId], SweepStudyConfig[SweepCorrectedGap])</f>
        <v>#VALUE!</v>
      </c>
      <c r="S494" s="3" t="e">
        <f>IF(Q494 = "", "", Q494 - R494)</f>
        <v>#VALUE!</v>
      </c>
    </row>
    <row r="495">
      <c r="A495" s="2" t="s">
        <v>3783</v>
      </c>
      <c r="B495" s="3" t="str">
        <f>A495</f>
        <v>sick-quitter-alcohol-f035</v>
      </c>
      <c r="C495" s="2" t="s">
        <v>601</v>
      </c>
      <c r="D495" s="2">
        <v>0.35</v>
      </c>
      <c r="E495" s="3" t="e">
        <f>ABS(D495 - LOOKUP(C495, SweepStudyConfig[StudyId], SweepStudyConfig[OriginalAllocFractionA])) &lt; 0.03</f>
        <v>#VALUE!</v>
      </c>
      <c r="F495" s="3" t="e">
        <f>LOOKUP(C495, SweepStudyConfig[StudyId], SweepStudyConfig[NSweepStratumTotal])</f>
        <v>#VALUE!</v>
      </c>
      <c r="G495" s="3" t="e">
        <f>ROUND(F495 * D495)</f>
        <v>#VALUE!</v>
      </c>
      <c r="H495" s="3" t="e">
        <f>F495 - G495</f>
        <v>#VALUE!</v>
      </c>
      <c r="I495" s="3" t="e">
        <f>LOOKUP(C495, SweepStudyConfig[StudyId], SweepStudyConfig[NFixedA])</f>
        <v>#VALUE!</v>
      </c>
      <c r="J495" s="3" t="e">
        <f>LOOKUP(C495, SweepStudyConfig[StudyId], SweepStudyConfig[NFixedB])</f>
        <v>#VALUE!</v>
      </c>
      <c r="K495" s="3" t="e">
        <f>LOOKUP(C495, SweepStudyConfig[StudyId], SweepStudyConfig[SweepRateA])</f>
        <v>#VALUE!</v>
      </c>
      <c r="L495" s="3" t="e">
        <f>LOOKUP(C495, SweepStudyConfig[StudyId], SweepStudyConfig[SweepRateB])</f>
        <v>#VALUE!</v>
      </c>
      <c r="M495" s="3" t="e">
        <f>LOOKUP(C495, SweepStudyConfig[StudyId], SweepStudyConfig[FixedRateA])</f>
        <v>#VALUE!</v>
      </c>
      <c r="N495" s="3" t="e">
        <f>LOOKUP(C495, SweepStudyConfig[StudyId], SweepStudyConfig[FixedRateB])</f>
        <v>#VALUE!</v>
      </c>
      <c r="O495" s="3" t="e">
        <f>IF(G495 + I495 = 0, "", (G495 * K495 + I495 * M495) / (G495 + I495))</f>
        <v>#VALUE!</v>
      </c>
      <c r="P495" s="3" t="e">
        <f>IF(H495 + J495 = 0, "", (H495 * L495 + J495 * N495) / (H495 + J495))</f>
        <v>#VALUE!</v>
      </c>
      <c r="Q495" s="3" t="e">
        <f>IF(O495 = "", "", O495 - P495)</f>
        <v>#VALUE!</v>
      </c>
      <c r="R495" s="3" t="e">
        <f>LOOKUP(C495, SweepStudyConfig[StudyId], SweepStudyConfig[SweepCorrectedGap])</f>
        <v>#VALUE!</v>
      </c>
      <c r="S495" s="3" t="e">
        <f>IF(Q495 = "", "", Q495 - R495)</f>
        <v>#VALUE!</v>
      </c>
    </row>
    <row r="496">
      <c r="A496" s="2" t="s">
        <v>3784</v>
      </c>
      <c r="B496" s="3" t="str">
        <f>A496</f>
        <v>sick-quitter-alcohol-f045</v>
      </c>
      <c r="C496" s="2" t="s">
        <v>601</v>
      </c>
      <c r="D496" s="2">
        <v>0.45</v>
      </c>
      <c r="E496" s="3" t="e">
        <f>ABS(D496 - LOOKUP(C496, SweepStudyConfig[StudyId], SweepStudyConfig[OriginalAllocFractionA])) &lt; 0.03</f>
        <v>#VALUE!</v>
      </c>
      <c r="F496" s="3" t="e">
        <f>LOOKUP(C496, SweepStudyConfig[StudyId], SweepStudyConfig[NSweepStratumTotal])</f>
        <v>#VALUE!</v>
      </c>
      <c r="G496" s="3" t="e">
        <f>ROUND(F496 * D496)</f>
        <v>#VALUE!</v>
      </c>
      <c r="H496" s="3" t="e">
        <f>F496 - G496</f>
        <v>#VALUE!</v>
      </c>
      <c r="I496" s="3" t="e">
        <f>LOOKUP(C496, SweepStudyConfig[StudyId], SweepStudyConfig[NFixedA])</f>
        <v>#VALUE!</v>
      </c>
      <c r="J496" s="3" t="e">
        <f>LOOKUP(C496, SweepStudyConfig[StudyId], SweepStudyConfig[NFixedB])</f>
        <v>#VALUE!</v>
      </c>
      <c r="K496" s="3" t="e">
        <f>LOOKUP(C496, SweepStudyConfig[StudyId], SweepStudyConfig[SweepRateA])</f>
        <v>#VALUE!</v>
      </c>
      <c r="L496" s="3" t="e">
        <f>LOOKUP(C496, SweepStudyConfig[StudyId], SweepStudyConfig[SweepRateB])</f>
        <v>#VALUE!</v>
      </c>
      <c r="M496" s="3" t="e">
        <f>LOOKUP(C496, SweepStudyConfig[StudyId], SweepStudyConfig[FixedRateA])</f>
        <v>#VALUE!</v>
      </c>
      <c r="N496" s="3" t="e">
        <f>LOOKUP(C496, SweepStudyConfig[StudyId], SweepStudyConfig[FixedRateB])</f>
        <v>#VALUE!</v>
      </c>
      <c r="O496" s="3" t="e">
        <f>IF(G496 + I496 = 0, "", (G496 * K496 + I496 * M496) / (G496 + I496))</f>
        <v>#VALUE!</v>
      </c>
      <c r="P496" s="3" t="e">
        <f>IF(H496 + J496 = 0, "", (H496 * L496 + J496 * N496) / (H496 + J496))</f>
        <v>#VALUE!</v>
      </c>
      <c r="Q496" s="3" t="e">
        <f>IF(O496 = "", "", O496 - P496)</f>
        <v>#VALUE!</v>
      </c>
      <c r="R496" s="3" t="e">
        <f>LOOKUP(C496, SweepStudyConfig[StudyId], SweepStudyConfig[SweepCorrectedGap])</f>
        <v>#VALUE!</v>
      </c>
      <c r="S496" s="3" t="e">
        <f>IF(Q496 = "", "", Q496 - R496)</f>
        <v>#VALUE!</v>
      </c>
    </row>
    <row r="497">
      <c r="A497" s="2" t="s">
        <v>3785</v>
      </c>
      <c r="B497" s="3" t="str">
        <f>A497</f>
        <v>sick-quitter-alcohol-f055</v>
      </c>
      <c r="C497" s="2" t="s">
        <v>601</v>
      </c>
      <c r="D497" s="2">
        <v>0.55</v>
      </c>
      <c r="E497" s="3" t="e">
        <f>ABS(D497 - LOOKUP(C497, SweepStudyConfig[StudyId], SweepStudyConfig[OriginalAllocFractionA])) &lt; 0.03</f>
        <v>#VALUE!</v>
      </c>
      <c r="F497" s="3" t="e">
        <f>LOOKUP(C497, SweepStudyConfig[StudyId], SweepStudyConfig[NSweepStratumTotal])</f>
        <v>#VALUE!</v>
      </c>
      <c r="G497" s="3" t="e">
        <f>ROUND(F497 * D497)</f>
        <v>#VALUE!</v>
      </c>
      <c r="H497" s="3" t="e">
        <f>F497 - G497</f>
        <v>#VALUE!</v>
      </c>
      <c r="I497" s="3" t="e">
        <f>LOOKUP(C497, SweepStudyConfig[StudyId], SweepStudyConfig[NFixedA])</f>
        <v>#VALUE!</v>
      </c>
      <c r="J497" s="3" t="e">
        <f>LOOKUP(C497, SweepStudyConfig[StudyId], SweepStudyConfig[NFixedB])</f>
        <v>#VALUE!</v>
      </c>
      <c r="K497" s="3" t="e">
        <f>LOOKUP(C497, SweepStudyConfig[StudyId], SweepStudyConfig[SweepRateA])</f>
        <v>#VALUE!</v>
      </c>
      <c r="L497" s="3" t="e">
        <f>LOOKUP(C497, SweepStudyConfig[StudyId], SweepStudyConfig[SweepRateB])</f>
        <v>#VALUE!</v>
      </c>
      <c r="M497" s="3" t="e">
        <f>LOOKUP(C497, SweepStudyConfig[StudyId], SweepStudyConfig[FixedRateA])</f>
        <v>#VALUE!</v>
      </c>
      <c r="N497" s="3" t="e">
        <f>LOOKUP(C497, SweepStudyConfig[StudyId], SweepStudyConfig[FixedRateB])</f>
        <v>#VALUE!</v>
      </c>
      <c r="O497" s="3" t="e">
        <f>IF(G497 + I497 = 0, "", (G497 * K497 + I497 * M497) / (G497 + I497))</f>
        <v>#VALUE!</v>
      </c>
      <c r="P497" s="3" t="e">
        <f>IF(H497 + J497 = 0, "", (H497 * L497 + J497 * N497) / (H497 + J497))</f>
        <v>#VALUE!</v>
      </c>
      <c r="Q497" s="3" t="e">
        <f>IF(O497 = "", "", O497 - P497)</f>
        <v>#VALUE!</v>
      </c>
      <c r="R497" s="3" t="e">
        <f>LOOKUP(C497, SweepStudyConfig[StudyId], SweepStudyConfig[SweepCorrectedGap])</f>
        <v>#VALUE!</v>
      </c>
      <c r="S497" s="3" t="e">
        <f>IF(Q497 = "", "", Q497 - R497)</f>
        <v>#VALUE!</v>
      </c>
    </row>
    <row r="498">
      <c r="A498" s="2" t="s">
        <v>3786</v>
      </c>
      <c r="B498" s="3" t="str">
        <f>A498</f>
        <v>sick-quitter-alcohol-f065</v>
      </c>
      <c r="C498" s="2" t="s">
        <v>601</v>
      </c>
      <c r="D498" s="2">
        <v>0.65</v>
      </c>
      <c r="E498" s="3" t="e">
        <f>ABS(D498 - LOOKUP(C498, SweepStudyConfig[StudyId], SweepStudyConfig[OriginalAllocFractionA])) &lt; 0.03</f>
        <v>#VALUE!</v>
      </c>
      <c r="F498" s="3" t="e">
        <f>LOOKUP(C498, SweepStudyConfig[StudyId], SweepStudyConfig[NSweepStratumTotal])</f>
        <v>#VALUE!</v>
      </c>
      <c r="G498" s="3" t="e">
        <f>ROUND(F498 * D498)</f>
        <v>#VALUE!</v>
      </c>
      <c r="H498" s="3" t="e">
        <f>F498 - G498</f>
        <v>#VALUE!</v>
      </c>
      <c r="I498" s="3" t="e">
        <f>LOOKUP(C498, SweepStudyConfig[StudyId], SweepStudyConfig[NFixedA])</f>
        <v>#VALUE!</v>
      </c>
      <c r="J498" s="3" t="e">
        <f>LOOKUP(C498, SweepStudyConfig[StudyId], SweepStudyConfig[NFixedB])</f>
        <v>#VALUE!</v>
      </c>
      <c r="K498" s="3" t="e">
        <f>LOOKUP(C498, SweepStudyConfig[StudyId], SweepStudyConfig[SweepRateA])</f>
        <v>#VALUE!</v>
      </c>
      <c r="L498" s="3" t="e">
        <f>LOOKUP(C498, SweepStudyConfig[StudyId], SweepStudyConfig[SweepRateB])</f>
        <v>#VALUE!</v>
      </c>
      <c r="M498" s="3" t="e">
        <f>LOOKUP(C498, SweepStudyConfig[StudyId], SweepStudyConfig[FixedRateA])</f>
        <v>#VALUE!</v>
      </c>
      <c r="N498" s="3" t="e">
        <f>LOOKUP(C498, SweepStudyConfig[StudyId], SweepStudyConfig[FixedRateB])</f>
        <v>#VALUE!</v>
      </c>
      <c r="O498" s="3" t="e">
        <f>IF(G498 + I498 = 0, "", (G498 * K498 + I498 * M498) / (G498 + I498))</f>
        <v>#VALUE!</v>
      </c>
      <c r="P498" s="3" t="e">
        <f>IF(H498 + J498 = 0, "", (H498 * L498 + J498 * N498) / (H498 + J498))</f>
        <v>#VALUE!</v>
      </c>
      <c r="Q498" s="3" t="e">
        <f>IF(O498 = "", "", O498 - P498)</f>
        <v>#VALUE!</v>
      </c>
      <c r="R498" s="3" t="e">
        <f>LOOKUP(C498, SweepStudyConfig[StudyId], SweepStudyConfig[SweepCorrectedGap])</f>
        <v>#VALUE!</v>
      </c>
      <c r="S498" s="3" t="e">
        <f>IF(Q498 = "", "", Q498 - R498)</f>
        <v>#VALUE!</v>
      </c>
    </row>
    <row r="499">
      <c r="A499" s="2" t="s">
        <v>3787</v>
      </c>
      <c r="B499" s="3" t="str">
        <f>A499</f>
        <v>sick-quitter-alcohol-f075</v>
      </c>
      <c r="C499" s="2" t="s">
        <v>601</v>
      </c>
      <c r="D499" s="2">
        <v>0.75</v>
      </c>
      <c r="E499" s="3" t="e">
        <f>ABS(D499 - LOOKUP(C499, SweepStudyConfig[StudyId], SweepStudyConfig[OriginalAllocFractionA])) &lt; 0.03</f>
        <v>#VALUE!</v>
      </c>
      <c r="F499" s="3" t="e">
        <f>LOOKUP(C499, SweepStudyConfig[StudyId], SweepStudyConfig[NSweepStratumTotal])</f>
        <v>#VALUE!</v>
      </c>
      <c r="G499" s="3" t="e">
        <f>ROUND(F499 * D499)</f>
        <v>#VALUE!</v>
      </c>
      <c r="H499" s="3" t="e">
        <f>F499 - G499</f>
        <v>#VALUE!</v>
      </c>
      <c r="I499" s="3" t="e">
        <f>LOOKUP(C499, SweepStudyConfig[StudyId], SweepStudyConfig[NFixedA])</f>
        <v>#VALUE!</v>
      </c>
      <c r="J499" s="3" t="e">
        <f>LOOKUP(C499, SweepStudyConfig[StudyId], SweepStudyConfig[NFixedB])</f>
        <v>#VALUE!</v>
      </c>
      <c r="K499" s="3" t="e">
        <f>LOOKUP(C499, SweepStudyConfig[StudyId], SweepStudyConfig[SweepRateA])</f>
        <v>#VALUE!</v>
      </c>
      <c r="L499" s="3" t="e">
        <f>LOOKUP(C499, SweepStudyConfig[StudyId], SweepStudyConfig[SweepRateB])</f>
        <v>#VALUE!</v>
      </c>
      <c r="M499" s="3" t="e">
        <f>LOOKUP(C499, SweepStudyConfig[StudyId], SweepStudyConfig[FixedRateA])</f>
        <v>#VALUE!</v>
      </c>
      <c r="N499" s="3" t="e">
        <f>LOOKUP(C499, SweepStudyConfig[StudyId], SweepStudyConfig[FixedRateB])</f>
        <v>#VALUE!</v>
      </c>
      <c r="O499" s="3" t="e">
        <f>IF(G499 + I499 = 0, "", (G499 * K499 + I499 * M499) / (G499 + I499))</f>
        <v>#VALUE!</v>
      </c>
      <c r="P499" s="3" t="e">
        <f>IF(H499 + J499 = 0, "", (H499 * L499 + J499 * N499) / (H499 + J499))</f>
        <v>#VALUE!</v>
      </c>
      <c r="Q499" s="3" t="e">
        <f>IF(O499 = "", "", O499 - P499)</f>
        <v>#VALUE!</v>
      </c>
      <c r="R499" s="3" t="e">
        <f>LOOKUP(C499, SweepStudyConfig[StudyId], SweepStudyConfig[SweepCorrectedGap])</f>
        <v>#VALUE!</v>
      </c>
      <c r="S499" s="3" t="e">
        <f>IF(Q499 = "", "", Q499 - R499)</f>
        <v>#VALUE!</v>
      </c>
    </row>
    <row r="500">
      <c r="A500" s="2" t="s">
        <v>3788</v>
      </c>
      <c r="B500" s="3" t="str">
        <f>A500</f>
        <v>sick-quitter-alcohol-f085</v>
      </c>
      <c r="C500" s="2" t="s">
        <v>601</v>
      </c>
      <c r="D500" s="2">
        <v>0.85</v>
      </c>
      <c r="E500" s="3" t="e">
        <f>ABS(D500 - LOOKUP(C500, SweepStudyConfig[StudyId], SweepStudyConfig[OriginalAllocFractionA])) &lt; 0.03</f>
        <v>#VALUE!</v>
      </c>
      <c r="F500" s="3" t="e">
        <f>LOOKUP(C500, SweepStudyConfig[StudyId], SweepStudyConfig[NSweepStratumTotal])</f>
        <v>#VALUE!</v>
      </c>
      <c r="G500" s="3" t="e">
        <f>ROUND(F500 * D500)</f>
        <v>#VALUE!</v>
      </c>
      <c r="H500" s="3" t="e">
        <f>F500 - G500</f>
        <v>#VALUE!</v>
      </c>
      <c r="I500" s="3" t="e">
        <f>LOOKUP(C500, SweepStudyConfig[StudyId], SweepStudyConfig[NFixedA])</f>
        <v>#VALUE!</v>
      </c>
      <c r="J500" s="3" t="e">
        <f>LOOKUP(C500, SweepStudyConfig[StudyId], SweepStudyConfig[NFixedB])</f>
        <v>#VALUE!</v>
      </c>
      <c r="K500" s="3" t="e">
        <f>LOOKUP(C500, SweepStudyConfig[StudyId], SweepStudyConfig[SweepRateA])</f>
        <v>#VALUE!</v>
      </c>
      <c r="L500" s="3" t="e">
        <f>LOOKUP(C500, SweepStudyConfig[StudyId], SweepStudyConfig[SweepRateB])</f>
        <v>#VALUE!</v>
      </c>
      <c r="M500" s="3" t="e">
        <f>LOOKUP(C500, SweepStudyConfig[StudyId], SweepStudyConfig[FixedRateA])</f>
        <v>#VALUE!</v>
      </c>
      <c r="N500" s="3" t="e">
        <f>LOOKUP(C500, SweepStudyConfig[StudyId], SweepStudyConfig[FixedRateB])</f>
        <v>#VALUE!</v>
      </c>
      <c r="O500" s="3" t="e">
        <f>IF(G500 + I500 = 0, "", (G500 * K500 + I500 * M500) / (G500 + I500))</f>
        <v>#VALUE!</v>
      </c>
      <c r="P500" s="3" t="e">
        <f>IF(H500 + J500 = 0, "", (H500 * L500 + J500 * N500) / (H500 + J500))</f>
        <v>#VALUE!</v>
      </c>
      <c r="Q500" s="3" t="e">
        <f>IF(O500 = "", "", O500 - P500)</f>
        <v>#VALUE!</v>
      </c>
      <c r="R500" s="3" t="e">
        <f>LOOKUP(C500, SweepStudyConfig[StudyId], SweepStudyConfig[SweepCorrectedGap])</f>
        <v>#VALUE!</v>
      </c>
      <c r="S500" s="3" t="e">
        <f>IF(Q500 = "", "", Q500 - R500)</f>
        <v>#VALUE!</v>
      </c>
    </row>
    <row r="501">
      <c r="A501" s="2" t="s">
        <v>3789</v>
      </c>
      <c r="B501" s="3" t="str">
        <f>A501</f>
        <v>sick-quitter-alcohol-f095</v>
      </c>
      <c r="C501" s="2" t="s">
        <v>601</v>
      </c>
      <c r="D501" s="2">
        <v>0.95</v>
      </c>
      <c r="E501" s="3" t="e">
        <f>ABS(D501 - LOOKUP(C501, SweepStudyConfig[StudyId], SweepStudyConfig[OriginalAllocFractionA])) &lt; 0.03</f>
        <v>#VALUE!</v>
      </c>
      <c r="F501" s="3" t="e">
        <f>LOOKUP(C501, SweepStudyConfig[StudyId], SweepStudyConfig[NSweepStratumTotal])</f>
        <v>#VALUE!</v>
      </c>
      <c r="G501" s="3" t="e">
        <f>ROUND(F501 * D501)</f>
        <v>#VALUE!</v>
      </c>
      <c r="H501" s="3" t="e">
        <f>F501 - G501</f>
        <v>#VALUE!</v>
      </c>
      <c r="I501" s="3" t="e">
        <f>LOOKUP(C501, SweepStudyConfig[StudyId], SweepStudyConfig[NFixedA])</f>
        <v>#VALUE!</v>
      </c>
      <c r="J501" s="3" t="e">
        <f>LOOKUP(C501, SweepStudyConfig[StudyId], SweepStudyConfig[NFixedB])</f>
        <v>#VALUE!</v>
      </c>
      <c r="K501" s="3" t="e">
        <f>LOOKUP(C501, SweepStudyConfig[StudyId], SweepStudyConfig[SweepRateA])</f>
        <v>#VALUE!</v>
      </c>
      <c r="L501" s="3" t="e">
        <f>LOOKUP(C501, SweepStudyConfig[StudyId], SweepStudyConfig[SweepRateB])</f>
        <v>#VALUE!</v>
      </c>
      <c r="M501" s="3" t="e">
        <f>LOOKUP(C501, SweepStudyConfig[StudyId], SweepStudyConfig[FixedRateA])</f>
        <v>#VALUE!</v>
      </c>
      <c r="N501" s="3" t="e">
        <f>LOOKUP(C501, SweepStudyConfig[StudyId], SweepStudyConfig[FixedRateB])</f>
        <v>#VALUE!</v>
      </c>
      <c r="O501" s="3" t="e">
        <f>IF(G501 + I501 = 0, "", (G501 * K501 + I501 * M501) / (G501 + I501))</f>
        <v>#VALUE!</v>
      </c>
      <c r="P501" s="3" t="e">
        <f>IF(H501 + J501 = 0, "", (H501 * L501 + J501 * N501) / (H501 + J501))</f>
        <v>#VALUE!</v>
      </c>
      <c r="Q501" s="3" t="e">
        <f>IF(O501 = "", "", O501 - P501)</f>
        <v>#VALUE!</v>
      </c>
      <c r="R501" s="3" t="e">
        <f>LOOKUP(C501, SweepStudyConfig[StudyId], SweepStudyConfig[SweepCorrectedGap])</f>
        <v>#VALUE!</v>
      </c>
      <c r="S501" s="3" t="e">
        <f>IF(Q501 = "", "", Q501 - R501)</f>
        <v>#VALUE!</v>
      </c>
    </row>
    <row r="502">
      <c r="A502" s="2" t="s">
        <v>3790</v>
      </c>
      <c r="B502" s="3" t="str">
        <f>A502</f>
        <v>flu-vaccine-elderly-mortality-f005</v>
      </c>
      <c r="C502" s="2" t="s">
        <v>605</v>
      </c>
      <c r="D502" s="2">
        <v>0.05</v>
      </c>
      <c r="E502" s="3" t="e">
        <f>ABS(D502 - LOOKUP(C502, SweepStudyConfig[StudyId], SweepStudyConfig[OriginalAllocFractionA])) &lt; 0.03</f>
        <v>#VALUE!</v>
      </c>
      <c r="F502" s="3" t="e">
        <f>LOOKUP(C502, SweepStudyConfig[StudyId], SweepStudyConfig[NSweepStratumTotal])</f>
        <v>#VALUE!</v>
      </c>
      <c r="G502" s="3" t="e">
        <f>ROUND(F502 * D502)</f>
        <v>#VALUE!</v>
      </c>
      <c r="H502" s="3" t="e">
        <f>F502 - G502</f>
        <v>#VALUE!</v>
      </c>
      <c r="I502" s="3" t="e">
        <f>LOOKUP(C502, SweepStudyConfig[StudyId], SweepStudyConfig[NFixedA])</f>
        <v>#VALUE!</v>
      </c>
      <c r="J502" s="3" t="e">
        <f>LOOKUP(C502, SweepStudyConfig[StudyId], SweepStudyConfig[NFixedB])</f>
        <v>#VALUE!</v>
      </c>
      <c r="K502" s="3" t="e">
        <f>LOOKUP(C502, SweepStudyConfig[StudyId], SweepStudyConfig[SweepRateA])</f>
        <v>#VALUE!</v>
      </c>
      <c r="L502" s="3" t="e">
        <f>LOOKUP(C502, SweepStudyConfig[StudyId], SweepStudyConfig[SweepRateB])</f>
        <v>#VALUE!</v>
      </c>
      <c r="M502" s="3" t="e">
        <f>LOOKUP(C502, SweepStudyConfig[StudyId], SweepStudyConfig[FixedRateA])</f>
        <v>#VALUE!</v>
      </c>
      <c r="N502" s="3" t="e">
        <f>LOOKUP(C502, SweepStudyConfig[StudyId], SweepStudyConfig[FixedRateB])</f>
        <v>#VALUE!</v>
      </c>
      <c r="O502" s="3" t="e">
        <f>IF(G502 + I502 = 0, "", (G502 * K502 + I502 * M502) / (G502 + I502))</f>
        <v>#VALUE!</v>
      </c>
      <c r="P502" s="3" t="e">
        <f>IF(H502 + J502 = 0, "", (H502 * L502 + J502 * N502) / (H502 + J502))</f>
        <v>#VALUE!</v>
      </c>
      <c r="Q502" s="3" t="e">
        <f>IF(O502 = "", "", O502 - P502)</f>
        <v>#VALUE!</v>
      </c>
      <c r="R502" s="3" t="e">
        <f>LOOKUP(C502, SweepStudyConfig[StudyId], SweepStudyConfig[SweepCorrectedGap])</f>
        <v>#VALUE!</v>
      </c>
      <c r="S502" s="3" t="e">
        <f>IF(Q502 = "", "", Q502 - R502)</f>
        <v>#VALUE!</v>
      </c>
    </row>
    <row r="503">
      <c r="A503" s="2" t="s">
        <v>3791</v>
      </c>
      <c r="B503" s="3" t="str">
        <f>A503</f>
        <v>flu-vaccine-elderly-mortality-f015</v>
      </c>
      <c r="C503" s="2" t="s">
        <v>605</v>
      </c>
      <c r="D503" s="2">
        <v>0.15</v>
      </c>
      <c r="E503" s="3" t="e">
        <f>ABS(D503 - LOOKUP(C503, SweepStudyConfig[StudyId], SweepStudyConfig[OriginalAllocFractionA])) &lt; 0.03</f>
        <v>#VALUE!</v>
      </c>
      <c r="F503" s="3" t="e">
        <f>LOOKUP(C503, SweepStudyConfig[StudyId], SweepStudyConfig[NSweepStratumTotal])</f>
        <v>#VALUE!</v>
      </c>
      <c r="G503" s="3" t="e">
        <f>ROUND(F503 * D503)</f>
        <v>#VALUE!</v>
      </c>
      <c r="H503" s="3" t="e">
        <f>F503 - G503</f>
        <v>#VALUE!</v>
      </c>
      <c r="I503" s="3" t="e">
        <f>LOOKUP(C503, SweepStudyConfig[StudyId], SweepStudyConfig[NFixedA])</f>
        <v>#VALUE!</v>
      </c>
      <c r="J503" s="3" t="e">
        <f>LOOKUP(C503, SweepStudyConfig[StudyId], SweepStudyConfig[NFixedB])</f>
        <v>#VALUE!</v>
      </c>
      <c r="K503" s="3" t="e">
        <f>LOOKUP(C503, SweepStudyConfig[StudyId], SweepStudyConfig[SweepRateA])</f>
        <v>#VALUE!</v>
      </c>
      <c r="L503" s="3" t="e">
        <f>LOOKUP(C503, SweepStudyConfig[StudyId], SweepStudyConfig[SweepRateB])</f>
        <v>#VALUE!</v>
      </c>
      <c r="M503" s="3" t="e">
        <f>LOOKUP(C503, SweepStudyConfig[StudyId], SweepStudyConfig[FixedRateA])</f>
        <v>#VALUE!</v>
      </c>
      <c r="N503" s="3" t="e">
        <f>LOOKUP(C503, SweepStudyConfig[StudyId], SweepStudyConfig[FixedRateB])</f>
        <v>#VALUE!</v>
      </c>
      <c r="O503" s="3" t="e">
        <f>IF(G503 + I503 = 0, "", (G503 * K503 + I503 * M503) / (G503 + I503))</f>
        <v>#VALUE!</v>
      </c>
      <c r="P503" s="3" t="e">
        <f>IF(H503 + J503 = 0, "", (H503 * L503 + J503 * N503) / (H503 + J503))</f>
        <v>#VALUE!</v>
      </c>
      <c r="Q503" s="3" t="e">
        <f>IF(O503 = "", "", O503 - P503)</f>
        <v>#VALUE!</v>
      </c>
      <c r="R503" s="3" t="e">
        <f>LOOKUP(C503, SweepStudyConfig[StudyId], SweepStudyConfig[SweepCorrectedGap])</f>
        <v>#VALUE!</v>
      </c>
      <c r="S503" s="3" t="e">
        <f>IF(Q503 = "", "", Q503 - R503)</f>
        <v>#VALUE!</v>
      </c>
    </row>
    <row r="504">
      <c r="A504" s="2" t="s">
        <v>3792</v>
      </c>
      <c r="B504" s="3" t="str">
        <f>A504</f>
        <v>flu-vaccine-elderly-mortality-f025</v>
      </c>
      <c r="C504" s="2" t="s">
        <v>605</v>
      </c>
      <c r="D504" s="2">
        <v>0.25</v>
      </c>
      <c r="E504" s="3" t="e">
        <f>ABS(D504 - LOOKUP(C504, SweepStudyConfig[StudyId], SweepStudyConfig[OriginalAllocFractionA])) &lt; 0.03</f>
        <v>#VALUE!</v>
      </c>
      <c r="F504" s="3" t="e">
        <f>LOOKUP(C504, SweepStudyConfig[StudyId], SweepStudyConfig[NSweepStratumTotal])</f>
        <v>#VALUE!</v>
      </c>
      <c r="G504" s="3" t="e">
        <f>ROUND(F504 * D504)</f>
        <v>#VALUE!</v>
      </c>
      <c r="H504" s="3" t="e">
        <f>F504 - G504</f>
        <v>#VALUE!</v>
      </c>
      <c r="I504" s="3" t="e">
        <f>LOOKUP(C504, SweepStudyConfig[StudyId], SweepStudyConfig[NFixedA])</f>
        <v>#VALUE!</v>
      </c>
      <c r="J504" s="3" t="e">
        <f>LOOKUP(C504, SweepStudyConfig[StudyId], SweepStudyConfig[NFixedB])</f>
        <v>#VALUE!</v>
      </c>
      <c r="K504" s="3" t="e">
        <f>LOOKUP(C504, SweepStudyConfig[StudyId], SweepStudyConfig[SweepRateA])</f>
        <v>#VALUE!</v>
      </c>
      <c r="L504" s="3" t="e">
        <f>LOOKUP(C504, SweepStudyConfig[StudyId], SweepStudyConfig[SweepRateB])</f>
        <v>#VALUE!</v>
      </c>
      <c r="M504" s="3" t="e">
        <f>LOOKUP(C504, SweepStudyConfig[StudyId], SweepStudyConfig[FixedRateA])</f>
        <v>#VALUE!</v>
      </c>
      <c r="N504" s="3" t="e">
        <f>LOOKUP(C504, SweepStudyConfig[StudyId], SweepStudyConfig[FixedRateB])</f>
        <v>#VALUE!</v>
      </c>
      <c r="O504" s="3" t="e">
        <f>IF(G504 + I504 = 0, "", (G504 * K504 + I504 * M504) / (G504 + I504))</f>
        <v>#VALUE!</v>
      </c>
      <c r="P504" s="3" t="e">
        <f>IF(H504 + J504 = 0, "", (H504 * L504 + J504 * N504) / (H504 + J504))</f>
        <v>#VALUE!</v>
      </c>
      <c r="Q504" s="3" t="e">
        <f>IF(O504 = "", "", O504 - P504)</f>
        <v>#VALUE!</v>
      </c>
      <c r="R504" s="3" t="e">
        <f>LOOKUP(C504, SweepStudyConfig[StudyId], SweepStudyConfig[SweepCorrectedGap])</f>
        <v>#VALUE!</v>
      </c>
      <c r="S504" s="3" t="e">
        <f>IF(Q504 = "", "", Q504 - R504)</f>
        <v>#VALUE!</v>
      </c>
    </row>
    <row r="505">
      <c r="A505" s="2" t="s">
        <v>3793</v>
      </c>
      <c r="B505" s="3" t="str">
        <f>A505</f>
        <v>flu-vaccine-elderly-mortality-f035</v>
      </c>
      <c r="C505" s="2" t="s">
        <v>605</v>
      </c>
      <c r="D505" s="2">
        <v>0.35</v>
      </c>
      <c r="E505" s="3" t="e">
        <f>ABS(D505 - LOOKUP(C505, SweepStudyConfig[StudyId], SweepStudyConfig[OriginalAllocFractionA])) &lt; 0.03</f>
        <v>#VALUE!</v>
      </c>
      <c r="F505" s="3" t="e">
        <f>LOOKUP(C505, SweepStudyConfig[StudyId], SweepStudyConfig[NSweepStratumTotal])</f>
        <v>#VALUE!</v>
      </c>
      <c r="G505" s="3" t="e">
        <f>ROUND(F505 * D505)</f>
        <v>#VALUE!</v>
      </c>
      <c r="H505" s="3" t="e">
        <f>F505 - G505</f>
        <v>#VALUE!</v>
      </c>
      <c r="I505" s="3" t="e">
        <f>LOOKUP(C505, SweepStudyConfig[StudyId], SweepStudyConfig[NFixedA])</f>
        <v>#VALUE!</v>
      </c>
      <c r="J505" s="3" t="e">
        <f>LOOKUP(C505, SweepStudyConfig[StudyId], SweepStudyConfig[NFixedB])</f>
        <v>#VALUE!</v>
      </c>
      <c r="K505" s="3" t="e">
        <f>LOOKUP(C505, SweepStudyConfig[StudyId], SweepStudyConfig[SweepRateA])</f>
        <v>#VALUE!</v>
      </c>
      <c r="L505" s="3" t="e">
        <f>LOOKUP(C505, SweepStudyConfig[StudyId], SweepStudyConfig[SweepRateB])</f>
        <v>#VALUE!</v>
      </c>
      <c r="M505" s="3" t="e">
        <f>LOOKUP(C505, SweepStudyConfig[StudyId], SweepStudyConfig[FixedRateA])</f>
        <v>#VALUE!</v>
      </c>
      <c r="N505" s="3" t="e">
        <f>LOOKUP(C505, SweepStudyConfig[StudyId], SweepStudyConfig[FixedRateB])</f>
        <v>#VALUE!</v>
      </c>
      <c r="O505" s="3" t="e">
        <f>IF(G505 + I505 = 0, "", (G505 * K505 + I505 * M505) / (G505 + I505))</f>
        <v>#VALUE!</v>
      </c>
      <c r="P505" s="3" t="e">
        <f>IF(H505 + J505 = 0, "", (H505 * L505 + J505 * N505) / (H505 + J505))</f>
        <v>#VALUE!</v>
      </c>
      <c r="Q505" s="3" t="e">
        <f>IF(O505 = "", "", O505 - P505)</f>
        <v>#VALUE!</v>
      </c>
      <c r="R505" s="3" t="e">
        <f>LOOKUP(C505, SweepStudyConfig[StudyId], SweepStudyConfig[SweepCorrectedGap])</f>
        <v>#VALUE!</v>
      </c>
      <c r="S505" s="3" t="e">
        <f>IF(Q505 = "", "", Q505 - R505)</f>
        <v>#VALUE!</v>
      </c>
    </row>
    <row r="506">
      <c r="A506" s="2" t="s">
        <v>3794</v>
      </c>
      <c r="B506" s="3" t="str">
        <f>A506</f>
        <v>flu-vaccine-elderly-mortality-f045</v>
      </c>
      <c r="C506" s="2" t="s">
        <v>605</v>
      </c>
      <c r="D506" s="2">
        <v>0.45</v>
      </c>
      <c r="E506" s="3" t="e">
        <f>ABS(D506 - LOOKUP(C506, SweepStudyConfig[StudyId], SweepStudyConfig[OriginalAllocFractionA])) &lt; 0.03</f>
        <v>#VALUE!</v>
      </c>
      <c r="F506" s="3" t="e">
        <f>LOOKUP(C506, SweepStudyConfig[StudyId], SweepStudyConfig[NSweepStratumTotal])</f>
        <v>#VALUE!</v>
      </c>
      <c r="G506" s="3" t="e">
        <f>ROUND(F506 * D506)</f>
        <v>#VALUE!</v>
      </c>
      <c r="H506" s="3" t="e">
        <f>F506 - G506</f>
        <v>#VALUE!</v>
      </c>
      <c r="I506" s="3" t="e">
        <f>LOOKUP(C506, SweepStudyConfig[StudyId], SweepStudyConfig[NFixedA])</f>
        <v>#VALUE!</v>
      </c>
      <c r="J506" s="3" t="e">
        <f>LOOKUP(C506, SweepStudyConfig[StudyId], SweepStudyConfig[NFixedB])</f>
        <v>#VALUE!</v>
      </c>
      <c r="K506" s="3" t="e">
        <f>LOOKUP(C506, SweepStudyConfig[StudyId], SweepStudyConfig[SweepRateA])</f>
        <v>#VALUE!</v>
      </c>
      <c r="L506" s="3" t="e">
        <f>LOOKUP(C506, SweepStudyConfig[StudyId], SweepStudyConfig[SweepRateB])</f>
        <v>#VALUE!</v>
      </c>
      <c r="M506" s="3" t="e">
        <f>LOOKUP(C506, SweepStudyConfig[StudyId], SweepStudyConfig[FixedRateA])</f>
        <v>#VALUE!</v>
      </c>
      <c r="N506" s="3" t="e">
        <f>LOOKUP(C506, SweepStudyConfig[StudyId], SweepStudyConfig[FixedRateB])</f>
        <v>#VALUE!</v>
      </c>
      <c r="O506" s="3" t="e">
        <f>IF(G506 + I506 = 0, "", (G506 * K506 + I506 * M506) / (G506 + I506))</f>
        <v>#VALUE!</v>
      </c>
      <c r="P506" s="3" t="e">
        <f>IF(H506 + J506 = 0, "", (H506 * L506 + J506 * N506) / (H506 + J506))</f>
        <v>#VALUE!</v>
      </c>
      <c r="Q506" s="3" t="e">
        <f>IF(O506 = "", "", O506 - P506)</f>
        <v>#VALUE!</v>
      </c>
      <c r="R506" s="3" t="e">
        <f>LOOKUP(C506, SweepStudyConfig[StudyId], SweepStudyConfig[SweepCorrectedGap])</f>
        <v>#VALUE!</v>
      </c>
      <c r="S506" s="3" t="e">
        <f>IF(Q506 = "", "", Q506 - R506)</f>
        <v>#VALUE!</v>
      </c>
    </row>
    <row r="507">
      <c r="A507" s="2" t="s">
        <v>3795</v>
      </c>
      <c r="B507" s="3" t="str">
        <f>A507</f>
        <v>flu-vaccine-elderly-mortality-f055</v>
      </c>
      <c r="C507" s="2" t="s">
        <v>605</v>
      </c>
      <c r="D507" s="2">
        <v>0.55</v>
      </c>
      <c r="E507" s="3" t="e">
        <f>ABS(D507 - LOOKUP(C507, SweepStudyConfig[StudyId], SweepStudyConfig[OriginalAllocFractionA])) &lt; 0.03</f>
        <v>#VALUE!</v>
      </c>
      <c r="F507" s="3" t="e">
        <f>LOOKUP(C507, SweepStudyConfig[StudyId], SweepStudyConfig[NSweepStratumTotal])</f>
        <v>#VALUE!</v>
      </c>
      <c r="G507" s="3" t="e">
        <f>ROUND(F507 * D507)</f>
        <v>#VALUE!</v>
      </c>
      <c r="H507" s="3" t="e">
        <f>F507 - G507</f>
        <v>#VALUE!</v>
      </c>
      <c r="I507" s="3" t="e">
        <f>LOOKUP(C507, SweepStudyConfig[StudyId], SweepStudyConfig[NFixedA])</f>
        <v>#VALUE!</v>
      </c>
      <c r="J507" s="3" t="e">
        <f>LOOKUP(C507, SweepStudyConfig[StudyId], SweepStudyConfig[NFixedB])</f>
        <v>#VALUE!</v>
      </c>
      <c r="K507" s="3" t="e">
        <f>LOOKUP(C507, SweepStudyConfig[StudyId], SweepStudyConfig[SweepRateA])</f>
        <v>#VALUE!</v>
      </c>
      <c r="L507" s="3" t="e">
        <f>LOOKUP(C507, SweepStudyConfig[StudyId], SweepStudyConfig[SweepRateB])</f>
        <v>#VALUE!</v>
      </c>
      <c r="M507" s="3" t="e">
        <f>LOOKUP(C507, SweepStudyConfig[StudyId], SweepStudyConfig[FixedRateA])</f>
        <v>#VALUE!</v>
      </c>
      <c r="N507" s="3" t="e">
        <f>LOOKUP(C507, SweepStudyConfig[StudyId], SweepStudyConfig[FixedRateB])</f>
        <v>#VALUE!</v>
      </c>
      <c r="O507" s="3" t="e">
        <f>IF(G507 + I507 = 0, "", (G507 * K507 + I507 * M507) / (G507 + I507))</f>
        <v>#VALUE!</v>
      </c>
      <c r="P507" s="3" t="e">
        <f>IF(H507 + J507 = 0, "", (H507 * L507 + J507 * N507) / (H507 + J507))</f>
        <v>#VALUE!</v>
      </c>
      <c r="Q507" s="3" t="e">
        <f>IF(O507 = "", "", O507 - P507)</f>
        <v>#VALUE!</v>
      </c>
      <c r="R507" s="3" t="e">
        <f>LOOKUP(C507, SweepStudyConfig[StudyId], SweepStudyConfig[SweepCorrectedGap])</f>
        <v>#VALUE!</v>
      </c>
      <c r="S507" s="3" t="e">
        <f>IF(Q507 = "", "", Q507 - R507)</f>
        <v>#VALUE!</v>
      </c>
    </row>
    <row r="508">
      <c r="A508" s="2" t="s">
        <v>3796</v>
      </c>
      <c r="B508" s="3" t="str">
        <f>A508</f>
        <v>flu-vaccine-elderly-mortality-f065</v>
      </c>
      <c r="C508" s="2" t="s">
        <v>605</v>
      </c>
      <c r="D508" s="2">
        <v>0.65</v>
      </c>
      <c r="E508" s="3" t="e">
        <f>ABS(D508 - LOOKUP(C508, SweepStudyConfig[StudyId], SweepStudyConfig[OriginalAllocFractionA])) &lt; 0.03</f>
        <v>#VALUE!</v>
      </c>
      <c r="F508" s="3" t="e">
        <f>LOOKUP(C508, SweepStudyConfig[StudyId], SweepStudyConfig[NSweepStratumTotal])</f>
        <v>#VALUE!</v>
      </c>
      <c r="G508" s="3" t="e">
        <f>ROUND(F508 * D508)</f>
        <v>#VALUE!</v>
      </c>
      <c r="H508" s="3" t="e">
        <f>F508 - G508</f>
        <v>#VALUE!</v>
      </c>
      <c r="I508" s="3" t="e">
        <f>LOOKUP(C508, SweepStudyConfig[StudyId], SweepStudyConfig[NFixedA])</f>
        <v>#VALUE!</v>
      </c>
      <c r="J508" s="3" t="e">
        <f>LOOKUP(C508, SweepStudyConfig[StudyId], SweepStudyConfig[NFixedB])</f>
        <v>#VALUE!</v>
      </c>
      <c r="K508" s="3" t="e">
        <f>LOOKUP(C508, SweepStudyConfig[StudyId], SweepStudyConfig[SweepRateA])</f>
        <v>#VALUE!</v>
      </c>
      <c r="L508" s="3" t="e">
        <f>LOOKUP(C508, SweepStudyConfig[StudyId], SweepStudyConfig[SweepRateB])</f>
        <v>#VALUE!</v>
      </c>
      <c r="M508" s="3" t="e">
        <f>LOOKUP(C508, SweepStudyConfig[StudyId], SweepStudyConfig[FixedRateA])</f>
        <v>#VALUE!</v>
      </c>
      <c r="N508" s="3" t="e">
        <f>LOOKUP(C508, SweepStudyConfig[StudyId], SweepStudyConfig[FixedRateB])</f>
        <v>#VALUE!</v>
      </c>
      <c r="O508" s="3" t="e">
        <f>IF(G508 + I508 = 0, "", (G508 * K508 + I508 * M508) / (G508 + I508))</f>
        <v>#VALUE!</v>
      </c>
      <c r="P508" s="3" t="e">
        <f>IF(H508 + J508 = 0, "", (H508 * L508 + J508 * N508) / (H508 + J508))</f>
        <v>#VALUE!</v>
      </c>
      <c r="Q508" s="3" t="e">
        <f>IF(O508 = "", "", O508 - P508)</f>
        <v>#VALUE!</v>
      </c>
      <c r="R508" s="3" t="e">
        <f>LOOKUP(C508, SweepStudyConfig[StudyId], SweepStudyConfig[SweepCorrectedGap])</f>
        <v>#VALUE!</v>
      </c>
      <c r="S508" s="3" t="e">
        <f>IF(Q508 = "", "", Q508 - R508)</f>
        <v>#VALUE!</v>
      </c>
    </row>
    <row r="509">
      <c r="A509" s="2" t="s">
        <v>3797</v>
      </c>
      <c r="B509" s="3" t="str">
        <f>A509</f>
        <v>flu-vaccine-elderly-mortality-f075</v>
      </c>
      <c r="C509" s="2" t="s">
        <v>605</v>
      </c>
      <c r="D509" s="2">
        <v>0.75</v>
      </c>
      <c r="E509" s="3" t="e">
        <f>ABS(D509 - LOOKUP(C509, SweepStudyConfig[StudyId], SweepStudyConfig[OriginalAllocFractionA])) &lt; 0.03</f>
        <v>#VALUE!</v>
      </c>
      <c r="F509" s="3" t="e">
        <f>LOOKUP(C509, SweepStudyConfig[StudyId], SweepStudyConfig[NSweepStratumTotal])</f>
        <v>#VALUE!</v>
      </c>
      <c r="G509" s="3" t="e">
        <f>ROUND(F509 * D509)</f>
        <v>#VALUE!</v>
      </c>
      <c r="H509" s="3" t="e">
        <f>F509 - G509</f>
        <v>#VALUE!</v>
      </c>
      <c r="I509" s="3" t="e">
        <f>LOOKUP(C509, SweepStudyConfig[StudyId], SweepStudyConfig[NFixedA])</f>
        <v>#VALUE!</v>
      </c>
      <c r="J509" s="3" t="e">
        <f>LOOKUP(C509, SweepStudyConfig[StudyId], SweepStudyConfig[NFixedB])</f>
        <v>#VALUE!</v>
      </c>
      <c r="K509" s="3" t="e">
        <f>LOOKUP(C509, SweepStudyConfig[StudyId], SweepStudyConfig[SweepRateA])</f>
        <v>#VALUE!</v>
      </c>
      <c r="L509" s="3" t="e">
        <f>LOOKUP(C509, SweepStudyConfig[StudyId], SweepStudyConfig[SweepRateB])</f>
        <v>#VALUE!</v>
      </c>
      <c r="M509" s="3" t="e">
        <f>LOOKUP(C509, SweepStudyConfig[StudyId], SweepStudyConfig[FixedRateA])</f>
        <v>#VALUE!</v>
      </c>
      <c r="N509" s="3" t="e">
        <f>LOOKUP(C509, SweepStudyConfig[StudyId], SweepStudyConfig[FixedRateB])</f>
        <v>#VALUE!</v>
      </c>
      <c r="O509" s="3" t="e">
        <f>IF(G509 + I509 = 0, "", (G509 * K509 + I509 * M509) / (G509 + I509))</f>
        <v>#VALUE!</v>
      </c>
      <c r="P509" s="3" t="e">
        <f>IF(H509 + J509 = 0, "", (H509 * L509 + J509 * N509) / (H509 + J509))</f>
        <v>#VALUE!</v>
      </c>
      <c r="Q509" s="3" t="e">
        <f>IF(O509 = "", "", O509 - P509)</f>
        <v>#VALUE!</v>
      </c>
      <c r="R509" s="3" t="e">
        <f>LOOKUP(C509, SweepStudyConfig[StudyId], SweepStudyConfig[SweepCorrectedGap])</f>
        <v>#VALUE!</v>
      </c>
      <c r="S509" s="3" t="e">
        <f>IF(Q509 = "", "", Q509 - R509)</f>
        <v>#VALUE!</v>
      </c>
    </row>
    <row r="510">
      <c r="A510" s="2" t="s">
        <v>3798</v>
      </c>
      <c r="B510" s="3" t="str">
        <f>A510</f>
        <v>flu-vaccine-elderly-mortality-f085</v>
      </c>
      <c r="C510" s="2" t="s">
        <v>605</v>
      </c>
      <c r="D510" s="2">
        <v>0.85</v>
      </c>
      <c r="E510" s="3" t="e">
        <f>ABS(D510 - LOOKUP(C510, SweepStudyConfig[StudyId], SweepStudyConfig[OriginalAllocFractionA])) &lt; 0.03</f>
        <v>#VALUE!</v>
      </c>
      <c r="F510" s="3" t="e">
        <f>LOOKUP(C510, SweepStudyConfig[StudyId], SweepStudyConfig[NSweepStratumTotal])</f>
        <v>#VALUE!</v>
      </c>
      <c r="G510" s="3" t="e">
        <f>ROUND(F510 * D510)</f>
        <v>#VALUE!</v>
      </c>
      <c r="H510" s="3" t="e">
        <f>F510 - G510</f>
        <v>#VALUE!</v>
      </c>
      <c r="I510" s="3" t="e">
        <f>LOOKUP(C510, SweepStudyConfig[StudyId], SweepStudyConfig[NFixedA])</f>
        <v>#VALUE!</v>
      </c>
      <c r="J510" s="3" t="e">
        <f>LOOKUP(C510, SweepStudyConfig[StudyId], SweepStudyConfig[NFixedB])</f>
        <v>#VALUE!</v>
      </c>
      <c r="K510" s="3" t="e">
        <f>LOOKUP(C510, SweepStudyConfig[StudyId], SweepStudyConfig[SweepRateA])</f>
        <v>#VALUE!</v>
      </c>
      <c r="L510" s="3" t="e">
        <f>LOOKUP(C510, SweepStudyConfig[StudyId], SweepStudyConfig[SweepRateB])</f>
        <v>#VALUE!</v>
      </c>
      <c r="M510" s="3" t="e">
        <f>LOOKUP(C510, SweepStudyConfig[StudyId], SweepStudyConfig[FixedRateA])</f>
        <v>#VALUE!</v>
      </c>
      <c r="N510" s="3" t="e">
        <f>LOOKUP(C510, SweepStudyConfig[StudyId], SweepStudyConfig[FixedRateB])</f>
        <v>#VALUE!</v>
      </c>
      <c r="O510" s="3" t="e">
        <f>IF(G510 + I510 = 0, "", (G510 * K510 + I510 * M510) / (G510 + I510))</f>
        <v>#VALUE!</v>
      </c>
      <c r="P510" s="3" t="e">
        <f>IF(H510 + J510 = 0, "", (H510 * L510 + J510 * N510) / (H510 + J510))</f>
        <v>#VALUE!</v>
      </c>
      <c r="Q510" s="3" t="e">
        <f>IF(O510 = "", "", O510 - P510)</f>
        <v>#VALUE!</v>
      </c>
      <c r="R510" s="3" t="e">
        <f>LOOKUP(C510, SweepStudyConfig[StudyId], SweepStudyConfig[SweepCorrectedGap])</f>
        <v>#VALUE!</v>
      </c>
      <c r="S510" s="3" t="e">
        <f>IF(Q510 = "", "", Q510 - R510)</f>
        <v>#VALUE!</v>
      </c>
    </row>
    <row r="511">
      <c r="A511" s="2" t="s">
        <v>3799</v>
      </c>
      <c r="B511" s="3" t="str">
        <f>A511</f>
        <v>flu-vaccine-elderly-mortality-f095</v>
      </c>
      <c r="C511" s="2" t="s">
        <v>605</v>
      </c>
      <c r="D511" s="2">
        <v>0.95</v>
      </c>
      <c r="E511" s="3" t="e">
        <f>ABS(D511 - LOOKUP(C511, SweepStudyConfig[StudyId], SweepStudyConfig[OriginalAllocFractionA])) &lt; 0.03</f>
        <v>#VALUE!</v>
      </c>
      <c r="F511" s="3" t="e">
        <f>LOOKUP(C511, SweepStudyConfig[StudyId], SweepStudyConfig[NSweepStratumTotal])</f>
        <v>#VALUE!</v>
      </c>
      <c r="G511" s="3" t="e">
        <f>ROUND(F511 * D511)</f>
        <v>#VALUE!</v>
      </c>
      <c r="H511" s="3" t="e">
        <f>F511 - G511</f>
        <v>#VALUE!</v>
      </c>
      <c r="I511" s="3" t="e">
        <f>LOOKUP(C511, SweepStudyConfig[StudyId], SweepStudyConfig[NFixedA])</f>
        <v>#VALUE!</v>
      </c>
      <c r="J511" s="3" t="e">
        <f>LOOKUP(C511, SweepStudyConfig[StudyId], SweepStudyConfig[NFixedB])</f>
        <v>#VALUE!</v>
      </c>
      <c r="K511" s="3" t="e">
        <f>LOOKUP(C511, SweepStudyConfig[StudyId], SweepStudyConfig[SweepRateA])</f>
        <v>#VALUE!</v>
      </c>
      <c r="L511" s="3" t="e">
        <f>LOOKUP(C511, SweepStudyConfig[StudyId], SweepStudyConfig[SweepRateB])</f>
        <v>#VALUE!</v>
      </c>
      <c r="M511" s="3" t="e">
        <f>LOOKUP(C511, SweepStudyConfig[StudyId], SweepStudyConfig[FixedRateA])</f>
        <v>#VALUE!</v>
      </c>
      <c r="N511" s="3" t="e">
        <f>LOOKUP(C511, SweepStudyConfig[StudyId], SweepStudyConfig[FixedRateB])</f>
        <v>#VALUE!</v>
      </c>
      <c r="O511" s="3" t="e">
        <f>IF(G511 + I511 = 0, "", (G511 * K511 + I511 * M511) / (G511 + I511))</f>
        <v>#VALUE!</v>
      </c>
      <c r="P511" s="3" t="e">
        <f>IF(H511 + J511 = 0, "", (H511 * L511 + J511 * N511) / (H511 + J511))</f>
        <v>#VALUE!</v>
      </c>
      <c r="Q511" s="3" t="e">
        <f>IF(O511 = "", "", O511 - P511)</f>
        <v>#VALUE!</v>
      </c>
      <c r="R511" s="3" t="e">
        <f>LOOKUP(C511, SweepStudyConfig[StudyId], SweepStudyConfig[SweepCorrectedGap])</f>
        <v>#VALUE!</v>
      </c>
      <c r="S511" s="3" t="e">
        <f>IF(Q511 = "", "", Q511 - R511)</f>
        <v>#VALUE!</v>
      </c>
    </row>
    <row r="512">
      <c r="A512" s="2" t="s">
        <v>3800</v>
      </c>
      <c r="B512" s="3" t="str">
        <f>A512</f>
        <v>covid-italy-china-cfr-2020-f005</v>
      </c>
      <c r="C512" s="2" t="s">
        <v>609</v>
      </c>
      <c r="D512" s="2">
        <v>0.05</v>
      </c>
      <c r="E512" s="3" t="e">
        <f>ABS(D512 - LOOKUP(C512, SweepStudyConfig[StudyId], SweepStudyConfig[OriginalAllocFractionA])) &lt; 0.03</f>
        <v>#VALUE!</v>
      </c>
      <c r="F512" s="3" t="e">
        <f>LOOKUP(C512, SweepStudyConfig[StudyId], SweepStudyConfig[NSweepStratumTotal])</f>
        <v>#VALUE!</v>
      </c>
      <c r="G512" s="3" t="e">
        <f>ROUND(F512 * D512)</f>
        <v>#VALUE!</v>
      </c>
      <c r="H512" s="3" t="e">
        <f>F512 - G512</f>
        <v>#VALUE!</v>
      </c>
      <c r="I512" s="3" t="e">
        <f>LOOKUP(C512, SweepStudyConfig[StudyId], SweepStudyConfig[NFixedA])</f>
        <v>#VALUE!</v>
      </c>
      <c r="J512" s="3" t="e">
        <f>LOOKUP(C512, SweepStudyConfig[StudyId], SweepStudyConfig[NFixedB])</f>
        <v>#VALUE!</v>
      </c>
      <c r="K512" s="3" t="e">
        <f>LOOKUP(C512, SweepStudyConfig[StudyId], SweepStudyConfig[SweepRateA])</f>
        <v>#VALUE!</v>
      </c>
      <c r="L512" s="3" t="e">
        <f>LOOKUP(C512, SweepStudyConfig[StudyId], SweepStudyConfig[SweepRateB])</f>
        <v>#VALUE!</v>
      </c>
      <c r="M512" s="3" t="e">
        <f>LOOKUP(C512, SweepStudyConfig[StudyId], SweepStudyConfig[FixedRateA])</f>
        <v>#VALUE!</v>
      </c>
      <c r="N512" s="3" t="e">
        <f>LOOKUP(C512, SweepStudyConfig[StudyId], SweepStudyConfig[FixedRateB])</f>
        <v>#VALUE!</v>
      </c>
      <c r="O512" s="3" t="e">
        <f>IF(G512 + I512 = 0, "", (G512 * K512 + I512 * M512) / (G512 + I512))</f>
        <v>#VALUE!</v>
      </c>
      <c r="P512" s="3" t="e">
        <f>IF(H512 + J512 = 0, "", (H512 * L512 + J512 * N512) / (H512 + J512))</f>
        <v>#VALUE!</v>
      </c>
      <c r="Q512" s="3" t="e">
        <f>IF(O512 = "", "", O512 - P512)</f>
        <v>#VALUE!</v>
      </c>
      <c r="R512" s="3" t="e">
        <f>LOOKUP(C512, SweepStudyConfig[StudyId], SweepStudyConfig[SweepCorrectedGap])</f>
        <v>#VALUE!</v>
      </c>
      <c r="S512" s="3" t="e">
        <f>IF(Q512 = "", "", Q512 - R512)</f>
        <v>#VALUE!</v>
      </c>
    </row>
    <row r="513">
      <c r="A513" s="2" t="s">
        <v>3801</v>
      </c>
      <c r="B513" s="3" t="str">
        <f>A513</f>
        <v>covid-italy-china-cfr-2020-f015</v>
      </c>
      <c r="C513" s="2" t="s">
        <v>609</v>
      </c>
      <c r="D513" s="2">
        <v>0.15</v>
      </c>
      <c r="E513" s="3" t="e">
        <f>ABS(D513 - LOOKUP(C513, SweepStudyConfig[StudyId], SweepStudyConfig[OriginalAllocFractionA])) &lt; 0.03</f>
        <v>#VALUE!</v>
      </c>
      <c r="F513" s="3" t="e">
        <f>LOOKUP(C513, SweepStudyConfig[StudyId], SweepStudyConfig[NSweepStratumTotal])</f>
        <v>#VALUE!</v>
      </c>
      <c r="G513" s="3" t="e">
        <f>ROUND(F513 * D513)</f>
        <v>#VALUE!</v>
      </c>
      <c r="H513" s="3" t="e">
        <f>F513 - G513</f>
        <v>#VALUE!</v>
      </c>
      <c r="I513" s="3" t="e">
        <f>LOOKUP(C513, SweepStudyConfig[StudyId], SweepStudyConfig[NFixedA])</f>
        <v>#VALUE!</v>
      </c>
      <c r="J513" s="3" t="e">
        <f>LOOKUP(C513, SweepStudyConfig[StudyId], SweepStudyConfig[NFixedB])</f>
        <v>#VALUE!</v>
      </c>
      <c r="K513" s="3" t="e">
        <f>LOOKUP(C513, SweepStudyConfig[StudyId], SweepStudyConfig[SweepRateA])</f>
        <v>#VALUE!</v>
      </c>
      <c r="L513" s="3" t="e">
        <f>LOOKUP(C513, SweepStudyConfig[StudyId], SweepStudyConfig[SweepRateB])</f>
        <v>#VALUE!</v>
      </c>
      <c r="M513" s="3" t="e">
        <f>LOOKUP(C513, SweepStudyConfig[StudyId], SweepStudyConfig[FixedRateA])</f>
        <v>#VALUE!</v>
      </c>
      <c r="N513" s="3" t="e">
        <f>LOOKUP(C513, SweepStudyConfig[StudyId], SweepStudyConfig[FixedRateB])</f>
        <v>#VALUE!</v>
      </c>
      <c r="O513" s="3" t="e">
        <f>IF(G513 + I513 = 0, "", (G513 * K513 + I513 * M513) / (G513 + I513))</f>
        <v>#VALUE!</v>
      </c>
      <c r="P513" s="3" t="e">
        <f>IF(H513 + J513 = 0, "", (H513 * L513 + J513 * N513) / (H513 + J513))</f>
        <v>#VALUE!</v>
      </c>
      <c r="Q513" s="3" t="e">
        <f>IF(O513 = "", "", O513 - P513)</f>
        <v>#VALUE!</v>
      </c>
      <c r="R513" s="3" t="e">
        <f>LOOKUP(C513, SweepStudyConfig[StudyId], SweepStudyConfig[SweepCorrectedGap])</f>
        <v>#VALUE!</v>
      </c>
      <c r="S513" s="3" t="e">
        <f>IF(Q513 = "", "", Q513 - R513)</f>
        <v>#VALUE!</v>
      </c>
    </row>
    <row r="514">
      <c r="A514" s="2" t="s">
        <v>3802</v>
      </c>
      <c r="B514" s="3" t="str">
        <f>A514</f>
        <v>covid-italy-china-cfr-2020-f025</v>
      </c>
      <c r="C514" s="2" t="s">
        <v>609</v>
      </c>
      <c r="D514" s="2">
        <v>0.25</v>
      </c>
      <c r="E514" s="3" t="e">
        <f>ABS(D514 - LOOKUP(C514, SweepStudyConfig[StudyId], SweepStudyConfig[OriginalAllocFractionA])) &lt; 0.03</f>
        <v>#VALUE!</v>
      </c>
      <c r="F514" s="3" t="e">
        <f>LOOKUP(C514, SweepStudyConfig[StudyId], SweepStudyConfig[NSweepStratumTotal])</f>
        <v>#VALUE!</v>
      </c>
      <c r="G514" s="3" t="e">
        <f>ROUND(F514 * D514)</f>
        <v>#VALUE!</v>
      </c>
      <c r="H514" s="3" t="e">
        <f>F514 - G514</f>
        <v>#VALUE!</v>
      </c>
      <c r="I514" s="3" t="e">
        <f>LOOKUP(C514, SweepStudyConfig[StudyId], SweepStudyConfig[NFixedA])</f>
        <v>#VALUE!</v>
      </c>
      <c r="J514" s="3" t="e">
        <f>LOOKUP(C514, SweepStudyConfig[StudyId], SweepStudyConfig[NFixedB])</f>
        <v>#VALUE!</v>
      </c>
      <c r="K514" s="3" t="e">
        <f>LOOKUP(C514, SweepStudyConfig[StudyId], SweepStudyConfig[SweepRateA])</f>
        <v>#VALUE!</v>
      </c>
      <c r="L514" s="3" t="e">
        <f>LOOKUP(C514, SweepStudyConfig[StudyId], SweepStudyConfig[SweepRateB])</f>
        <v>#VALUE!</v>
      </c>
      <c r="M514" s="3" t="e">
        <f>LOOKUP(C514, SweepStudyConfig[StudyId], SweepStudyConfig[FixedRateA])</f>
        <v>#VALUE!</v>
      </c>
      <c r="N514" s="3" t="e">
        <f>LOOKUP(C514, SweepStudyConfig[StudyId], SweepStudyConfig[FixedRateB])</f>
        <v>#VALUE!</v>
      </c>
      <c r="O514" s="3" t="e">
        <f>IF(G514 + I514 = 0, "", (G514 * K514 + I514 * M514) / (G514 + I514))</f>
        <v>#VALUE!</v>
      </c>
      <c r="P514" s="3" t="e">
        <f>IF(H514 + J514 = 0, "", (H514 * L514 + J514 * N514) / (H514 + J514))</f>
        <v>#VALUE!</v>
      </c>
      <c r="Q514" s="3" t="e">
        <f>IF(O514 = "", "", O514 - P514)</f>
        <v>#VALUE!</v>
      </c>
      <c r="R514" s="3" t="e">
        <f>LOOKUP(C514, SweepStudyConfig[StudyId], SweepStudyConfig[SweepCorrectedGap])</f>
        <v>#VALUE!</v>
      </c>
      <c r="S514" s="3" t="e">
        <f>IF(Q514 = "", "", Q514 - R514)</f>
        <v>#VALUE!</v>
      </c>
    </row>
    <row r="515">
      <c r="A515" s="2" t="s">
        <v>3803</v>
      </c>
      <c r="B515" s="3" t="str">
        <f>A515</f>
        <v>covid-italy-china-cfr-2020-f035</v>
      </c>
      <c r="C515" s="2" t="s">
        <v>609</v>
      </c>
      <c r="D515" s="2">
        <v>0.35</v>
      </c>
      <c r="E515" s="3" t="e">
        <f>ABS(D515 - LOOKUP(C515, SweepStudyConfig[StudyId], SweepStudyConfig[OriginalAllocFractionA])) &lt; 0.03</f>
        <v>#VALUE!</v>
      </c>
      <c r="F515" s="3" t="e">
        <f>LOOKUP(C515, SweepStudyConfig[StudyId], SweepStudyConfig[NSweepStratumTotal])</f>
        <v>#VALUE!</v>
      </c>
      <c r="G515" s="3" t="e">
        <f>ROUND(F515 * D515)</f>
        <v>#VALUE!</v>
      </c>
      <c r="H515" s="3" t="e">
        <f>F515 - G515</f>
        <v>#VALUE!</v>
      </c>
      <c r="I515" s="3" t="e">
        <f>LOOKUP(C515, SweepStudyConfig[StudyId], SweepStudyConfig[NFixedA])</f>
        <v>#VALUE!</v>
      </c>
      <c r="J515" s="3" t="e">
        <f>LOOKUP(C515, SweepStudyConfig[StudyId], SweepStudyConfig[NFixedB])</f>
        <v>#VALUE!</v>
      </c>
      <c r="K515" s="3" t="e">
        <f>LOOKUP(C515, SweepStudyConfig[StudyId], SweepStudyConfig[SweepRateA])</f>
        <v>#VALUE!</v>
      </c>
      <c r="L515" s="3" t="e">
        <f>LOOKUP(C515, SweepStudyConfig[StudyId], SweepStudyConfig[SweepRateB])</f>
        <v>#VALUE!</v>
      </c>
      <c r="M515" s="3" t="e">
        <f>LOOKUP(C515, SweepStudyConfig[StudyId], SweepStudyConfig[FixedRateA])</f>
        <v>#VALUE!</v>
      </c>
      <c r="N515" s="3" t="e">
        <f>LOOKUP(C515, SweepStudyConfig[StudyId], SweepStudyConfig[FixedRateB])</f>
        <v>#VALUE!</v>
      </c>
      <c r="O515" s="3" t="e">
        <f>IF(G515 + I515 = 0, "", (G515 * K515 + I515 * M515) / (G515 + I515))</f>
        <v>#VALUE!</v>
      </c>
      <c r="P515" s="3" t="e">
        <f>IF(H515 + J515 = 0, "", (H515 * L515 + J515 * N515) / (H515 + J515))</f>
        <v>#VALUE!</v>
      </c>
      <c r="Q515" s="3" t="e">
        <f>IF(O515 = "", "", O515 - P515)</f>
        <v>#VALUE!</v>
      </c>
      <c r="R515" s="3" t="e">
        <f>LOOKUP(C515, SweepStudyConfig[StudyId], SweepStudyConfig[SweepCorrectedGap])</f>
        <v>#VALUE!</v>
      </c>
      <c r="S515" s="3" t="e">
        <f>IF(Q515 = "", "", Q515 - R515)</f>
        <v>#VALUE!</v>
      </c>
    </row>
    <row r="516">
      <c r="A516" s="2" t="s">
        <v>3804</v>
      </c>
      <c r="B516" s="3" t="str">
        <f>A516</f>
        <v>covid-italy-china-cfr-2020-f045</v>
      </c>
      <c r="C516" s="2" t="s">
        <v>609</v>
      </c>
      <c r="D516" s="2">
        <v>0.45</v>
      </c>
      <c r="E516" s="3" t="e">
        <f>ABS(D516 - LOOKUP(C516, SweepStudyConfig[StudyId], SweepStudyConfig[OriginalAllocFractionA])) &lt; 0.03</f>
        <v>#VALUE!</v>
      </c>
      <c r="F516" s="3" t="e">
        <f>LOOKUP(C516, SweepStudyConfig[StudyId], SweepStudyConfig[NSweepStratumTotal])</f>
        <v>#VALUE!</v>
      </c>
      <c r="G516" s="3" t="e">
        <f>ROUND(F516 * D516)</f>
        <v>#VALUE!</v>
      </c>
      <c r="H516" s="3" t="e">
        <f>F516 - G516</f>
        <v>#VALUE!</v>
      </c>
      <c r="I516" s="3" t="e">
        <f>LOOKUP(C516, SweepStudyConfig[StudyId], SweepStudyConfig[NFixedA])</f>
        <v>#VALUE!</v>
      </c>
      <c r="J516" s="3" t="e">
        <f>LOOKUP(C516, SweepStudyConfig[StudyId], SweepStudyConfig[NFixedB])</f>
        <v>#VALUE!</v>
      </c>
      <c r="K516" s="3" t="e">
        <f>LOOKUP(C516, SweepStudyConfig[StudyId], SweepStudyConfig[SweepRateA])</f>
        <v>#VALUE!</v>
      </c>
      <c r="L516" s="3" t="e">
        <f>LOOKUP(C516, SweepStudyConfig[StudyId], SweepStudyConfig[SweepRateB])</f>
        <v>#VALUE!</v>
      </c>
      <c r="M516" s="3" t="e">
        <f>LOOKUP(C516, SweepStudyConfig[StudyId], SweepStudyConfig[FixedRateA])</f>
        <v>#VALUE!</v>
      </c>
      <c r="N516" s="3" t="e">
        <f>LOOKUP(C516, SweepStudyConfig[StudyId], SweepStudyConfig[FixedRateB])</f>
        <v>#VALUE!</v>
      </c>
      <c r="O516" s="3" t="e">
        <f>IF(G516 + I516 = 0, "", (G516 * K516 + I516 * M516) / (G516 + I516))</f>
        <v>#VALUE!</v>
      </c>
      <c r="P516" s="3" t="e">
        <f>IF(H516 + J516 = 0, "", (H516 * L516 + J516 * N516) / (H516 + J516))</f>
        <v>#VALUE!</v>
      </c>
      <c r="Q516" s="3" t="e">
        <f>IF(O516 = "", "", O516 - P516)</f>
        <v>#VALUE!</v>
      </c>
      <c r="R516" s="3" t="e">
        <f>LOOKUP(C516, SweepStudyConfig[StudyId], SweepStudyConfig[SweepCorrectedGap])</f>
        <v>#VALUE!</v>
      </c>
      <c r="S516" s="3" t="e">
        <f>IF(Q516 = "", "", Q516 - R516)</f>
        <v>#VALUE!</v>
      </c>
    </row>
    <row r="517">
      <c r="A517" s="2" t="s">
        <v>3805</v>
      </c>
      <c r="B517" s="3" t="str">
        <f>A517</f>
        <v>covid-italy-china-cfr-2020-f055</v>
      </c>
      <c r="C517" s="2" t="s">
        <v>609</v>
      </c>
      <c r="D517" s="2">
        <v>0.55</v>
      </c>
      <c r="E517" s="3" t="e">
        <f>ABS(D517 - LOOKUP(C517, SweepStudyConfig[StudyId], SweepStudyConfig[OriginalAllocFractionA])) &lt; 0.03</f>
        <v>#VALUE!</v>
      </c>
      <c r="F517" s="3" t="e">
        <f>LOOKUP(C517, SweepStudyConfig[StudyId], SweepStudyConfig[NSweepStratumTotal])</f>
        <v>#VALUE!</v>
      </c>
      <c r="G517" s="3" t="e">
        <f>ROUND(F517 * D517)</f>
        <v>#VALUE!</v>
      </c>
      <c r="H517" s="3" t="e">
        <f>F517 - G517</f>
        <v>#VALUE!</v>
      </c>
      <c r="I517" s="3" t="e">
        <f>LOOKUP(C517, SweepStudyConfig[StudyId], SweepStudyConfig[NFixedA])</f>
        <v>#VALUE!</v>
      </c>
      <c r="J517" s="3" t="e">
        <f>LOOKUP(C517, SweepStudyConfig[StudyId], SweepStudyConfig[NFixedB])</f>
        <v>#VALUE!</v>
      </c>
      <c r="K517" s="3" t="e">
        <f>LOOKUP(C517, SweepStudyConfig[StudyId], SweepStudyConfig[SweepRateA])</f>
        <v>#VALUE!</v>
      </c>
      <c r="L517" s="3" t="e">
        <f>LOOKUP(C517, SweepStudyConfig[StudyId], SweepStudyConfig[SweepRateB])</f>
        <v>#VALUE!</v>
      </c>
      <c r="M517" s="3" t="e">
        <f>LOOKUP(C517, SweepStudyConfig[StudyId], SweepStudyConfig[FixedRateA])</f>
        <v>#VALUE!</v>
      </c>
      <c r="N517" s="3" t="e">
        <f>LOOKUP(C517, SweepStudyConfig[StudyId], SweepStudyConfig[FixedRateB])</f>
        <v>#VALUE!</v>
      </c>
      <c r="O517" s="3" t="e">
        <f>IF(G517 + I517 = 0, "", (G517 * K517 + I517 * M517) / (G517 + I517))</f>
        <v>#VALUE!</v>
      </c>
      <c r="P517" s="3" t="e">
        <f>IF(H517 + J517 = 0, "", (H517 * L517 + J517 * N517) / (H517 + J517))</f>
        <v>#VALUE!</v>
      </c>
      <c r="Q517" s="3" t="e">
        <f>IF(O517 = "", "", O517 - P517)</f>
        <v>#VALUE!</v>
      </c>
      <c r="R517" s="3" t="e">
        <f>LOOKUP(C517, SweepStudyConfig[StudyId], SweepStudyConfig[SweepCorrectedGap])</f>
        <v>#VALUE!</v>
      </c>
      <c r="S517" s="3" t="e">
        <f>IF(Q517 = "", "", Q517 - R517)</f>
        <v>#VALUE!</v>
      </c>
    </row>
    <row r="518">
      <c r="A518" s="2" t="s">
        <v>3806</v>
      </c>
      <c r="B518" s="3" t="str">
        <f>A518</f>
        <v>covid-italy-china-cfr-2020-f065</v>
      </c>
      <c r="C518" s="2" t="s">
        <v>609</v>
      </c>
      <c r="D518" s="2">
        <v>0.65</v>
      </c>
      <c r="E518" s="3" t="e">
        <f>ABS(D518 - LOOKUP(C518, SweepStudyConfig[StudyId], SweepStudyConfig[OriginalAllocFractionA])) &lt; 0.03</f>
        <v>#VALUE!</v>
      </c>
      <c r="F518" s="3" t="e">
        <f>LOOKUP(C518, SweepStudyConfig[StudyId], SweepStudyConfig[NSweepStratumTotal])</f>
        <v>#VALUE!</v>
      </c>
      <c r="G518" s="3" t="e">
        <f>ROUND(F518 * D518)</f>
        <v>#VALUE!</v>
      </c>
      <c r="H518" s="3" t="e">
        <f>F518 - G518</f>
        <v>#VALUE!</v>
      </c>
      <c r="I518" s="3" t="e">
        <f>LOOKUP(C518, SweepStudyConfig[StudyId], SweepStudyConfig[NFixedA])</f>
        <v>#VALUE!</v>
      </c>
      <c r="J518" s="3" t="e">
        <f>LOOKUP(C518, SweepStudyConfig[StudyId], SweepStudyConfig[NFixedB])</f>
        <v>#VALUE!</v>
      </c>
      <c r="K518" s="3" t="e">
        <f>LOOKUP(C518, SweepStudyConfig[StudyId], SweepStudyConfig[SweepRateA])</f>
        <v>#VALUE!</v>
      </c>
      <c r="L518" s="3" t="e">
        <f>LOOKUP(C518, SweepStudyConfig[StudyId], SweepStudyConfig[SweepRateB])</f>
        <v>#VALUE!</v>
      </c>
      <c r="M518" s="3" t="e">
        <f>LOOKUP(C518, SweepStudyConfig[StudyId], SweepStudyConfig[FixedRateA])</f>
        <v>#VALUE!</v>
      </c>
      <c r="N518" s="3" t="e">
        <f>LOOKUP(C518, SweepStudyConfig[StudyId], SweepStudyConfig[FixedRateB])</f>
        <v>#VALUE!</v>
      </c>
      <c r="O518" s="3" t="e">
        <f>IF(G518 + I518 = 0, "", (G518 * K518 + I518 * M518) / (G518 + I518))</f>
        <v>#VALUE!</v>
      </c>
      <c r="P518" s="3" t="e">
        <f>IF(H518 + J518 = 0, "", (H518 * L518 + J518 * N518) / (H518 + J518))</f>
        <v>#VALUE!</v>
      </c>
      <c r="Q518" s="3" t="e">
        <f>IF(O518 = "", "", O518 - P518)</f>
        <v>#VALUE!</v>
      </c>
      <c r="R518" s="3" t="e">
        <f>LOOKUP(C518, SweepStudyConfig[StudyId], SweepStudyConfig[SweepCorrectedGap])</f>
        <v>#VALUE!</v>
      </c>
      <c r="S518" s="3" t="e">
        <f>IF(Q518 = "", "", Q518 - R518)</f>
        <v>#VALUE!</v>
      </c>
    </row>
    <row r="519">
      <c r="A519" s="2" t="s">
        <v>3807</v>
      </c>
      <c r="B519" s="3" t="str">
        <f>A519</f>
        <v>covid-italy-china-cfr-2020-f075</v>
      </c>
      <c r="C519" s="2" t="s">
        <v>609</v>
      </c>
      <c r="D519" s="2">
        <v>0.75</v>
      </c>
      <c r="E519" s="3" t="e">
        <f>ABS(D519 - LOOKUP(C519, SweepStudyConfig[StudyId], SweepStudyConfig[OriginalAllocFractionA])) &lt; 0.03</f>
        <v>#VALUE!</v>
      </c>
      <c r="F519" s="3" t="e">
        <f>LOOKUP(C519, SweepStudyConfig[StudyId], SweepStudyConfig[NSweepStratumTotal])</f>
        <v>#VALUE!</v>
      </c>
      <c r="G519" s="3" t="e">
        <f>ROUND(F519 * D519)</f>
        <v>#VALUE!</v>
      </c>
      <c r="H519" s="3" t="e">
        <f>F519 - G519</f>
        <v>#VALUE!</v>
      </c>
      <c r="I519" s="3" t="e">
        <f>LOOKUP(C519, SweepStudyConfig[StudyId], SweepStudyConfig[NFixedA])</f>
        <v>#VALUE!</v>
      </c>
      <c r="J519" s="3" t="e">
        <f>LOOKUP(C519, SweepStudyConfig[StudyId], SweepStudyConfig[NFixedB])</f>
        <v>#VALUE!</v>
      </c>
      <c r="K519" s="3" t="e">
        <f>LOOKUP(C519, SweepStudyConfig[StudyId], SweepStudyConfig[SweepRateA])</f>
        <v>#VALUE!</v>
      </c>
      <c r="L519" s="3" t="e">
        <f>LOOKUP(C519, SweepStudyConfig[StudyId], SweepStudyConfig[SweepRateB])</f>
        <v>#VALUE!</v>
      </c>
      <c r="M519" s="3" t="e">
        <f>LOOKUP(C519, SweepStudyConfig[StudyId], SweepStudyConfig[FixedRateA])</f>
        <v>#VALUE!</v>
      </c>
      <c r="N519" s="3" t="e">
        <f>LOOKUP(C519, SweepStudyConfig[StudyId], SweepStudyConfig[FixedRateB])</f>
        <v>#VALUE!</v>
      </c>
      <c r="O519" s="3" t="e">
        <f>IF(G519 + I519 = 0, "", (G519 * K519 + I519 * M519) / (G519 + I519))</f>
        <v>#VALUE!</v>
      </c>
      <c r="P519" s="3" t="e">
        <f>IF(H519 + J519 = 0, "", (H519 * L519 + J519 * N519) / (H519 + J519))</f>
        <v>#VALUE!</v>
      </c>
      <c r="Q519" s="3" t="e">
        <f>IF(O519 = "", "", O519 - P519)</f>
        <v>#VALUE!</v>
      </c>
      <c r="R519" s="3" t="e">
        <f>LOOKUP(C519, SweepStudyConfig[StudyId], SweepStudyConfig[SweepCorrectedGap])</f>
        <v>#VALUE!</v>
      </c>
      <c r="S519" s="3" t="e">
        <f>IF(Q519 = "", "", Q519 - R519)</f>
        <v>#VALUE!</v>
      </c>
    </row>
    <row r="520">
      <c r="A520" s="2" t="s">
        <v>3808</v>
      </c>
      <c r="B520" s="3" t="str">
        <f>A520</f>
        <v>covid-italy-china-cfr-2020-f085</v>
      </c>
      <c r="C520" s="2" t="s">
        <v>609</v>
      </c>
      <c r="D520" s="2">
        <v>0.85</v>
      </c>
      <c r="E520" s="3" t="e">
        <f>ABS(D520 - LOOKUP(C520, SweepStudyConfig[StudyId], SweepStudyConfig[OriginalAllocFractionA])) &lt; 0.03</f>
        <v>#VALUE!</v>
      </c>
      <c r="F520" s="3" t="e">
        <f>LOOKUP(C520, SweepStudyConfig[StudyId], SweepStudyConfig[NSweepStratumTotal])</f>
        <v>#VALUE!</v>
      </c>
      <c r="G520" s="3" t="e">
        <f>ROUND(F520 * D520)</f>
        <v>#VALUE!</v>
      </c>
      <c r="H520" s="3" t="e">
        <f>F520 - G520</f>
        <v>#VALUE!</v>
      </c>
      <c r="I520" s="3" t="e">
        <f>LOOKUP(C520, SweepStudyConfig[StudyId], SweepStudyConfig[NFixedA])</f>
        <v>#VALUE!</v>
      </c>
      <c r="J520" s="3" t="e">
        <f>LOOKUP(C520, SweepStudyConfig[StudyId], SweepStudyConfig[NFixedB])</f>
        <v>#VALUE!</v>
      </c>
      <c r="K520" s="3" t="e">
        <f>LOOKUP(C520, SweepStudyConfig[StudyId], SweepStudyConfig[SweepRateA])</f>
        <v>#VALUE!</v>
      </c>
      <c r="L520" s="3" t="e">
        <f>LOOKUP(C520, SweepStudyConfig[StudyId], SweepStudyConfig[SweepRateB])</f>
        <v>#VALUE!</v>
      </c>
      <c r="M520" s="3" t="e">
        <f>LOOKUP(C520, SweepStudyConfig[StudyId], SweepStudyConfig[FixedRateA])</f>
        <v>#VALUE!</v>
      </c>
      <c r="N520" s="3" t="e">
        <f>LOOKUP(C520, SweepStudyConfig[StudyId], SweepStudyConfig[FixedRateB])</f>
        <v>#VALUE!</v>
      </c>
      <c r="O520" s="3" t="e">
        <f>IF(G520 + I520 = 0, "", (G520 * K520 + I520 * M520) / (G520 + I520))</f>
        <v>#VALUE!</v>
      </c>
      <c r="P520" s="3" t="e">
        <f>IF(H520 + J520 = 0, "", (H520 * L520 + J520 * N520) / (H520 + J520))</f>
        <v>#VALUE!</v>
      </c>
      <c r="Q520" s="3" t="e">
        <f>IF(O520 = "", "", O520 - P520)</f>
        <v>#VALUE!</v>
      </c>
      <c r="R520" s="3" t="e">
        <f>LOOKUP(C520, SweepStudyConfig[StudyId], SweepStudyConfig[SweepCorrectedGap])</f>
        <v>#VALUE!</v>
      </c>
      <c r="S520" s="3" t="e">
        <f>IF(Q520 = "", "", Q520 - R520)</f>
        <v>#VALUE!</v>
      </c>
    </row>
    <row r="521">
      <c r="A521" s="2" t="s">
        <v>3809</v>
      </c>
      <c r="B521" s="3" t="str">
        <f>A521</f>
        <v>covid-italy-china-cfr-2020-f095</v>
      </c>
      <c r="C521" s="2" t="s">
        <v>609</v>
      </c>
      <c r="D521" s="2">
        <v>0.95</v>
      </c>
      <c r="E521" s="3" t="e">
        <f>ABS(D521 - LOOKUP(C521, SweepStudyConfig[StudyId], SweepStudyConfig[OriginalAllocFractionA])) &lt; 0.03</f>
        <v>#VALUE!</v>
      </c>
      <c r="F521" s="3" t="e">
        <f>LOOKUP(C521, SweepStudyConfig[StudyId], SweepStudyConfig[NSweepStratumTotal])</f>
        <v>#VALUE!</v>
      </c>
      <c r="G521" s="3" t="e">
        <f>ROUND(F521 * D521)</f>
        <v>#VALUE!</v>
      </c>
      <c r="H521" s="3" t="e">
        <f>F521 - G521</f>
        <v>#VALUE!</v>
      </c>
      <c r="I521" s="3" t="e">
        <f>LOOKUP(C521, SweepStudyConfig[StudyId], SweepStudyConfig[NFixedA])</f>
        <v>#VALUE!</v>
      </c>
      <c r="J521" s="3" t="e">
        <f>LOOKUP(C521, SweepStudyConfig[StudyId], SweepStudyConfig[NFixedB])</f>
        <v>#VALUE!</v>
      </c>
      <c r="K521" s="3" t="e">
        <f>LOOKUP(C521, SweepStudyConfig[StudyId], SweepStudyConfig[SweepRateA])</f>
        <v>#VALUE!</v>
      </c>
      <c r="L521" s="3" t="e">
        <f>LOOKUP(C521, SweepStudyConfig[StudyId], SweepStudyConfig[SweepRateB])</f>
        <v>#VALUE!</v>
      </c>
      <c r="M521" s="3" t="e">
        <f>LOOKUP(C521, SweepStudyConfig[StudyId], SweepStudyConfig[FixedRateA])</f>
        <v>#VALUE!</v>
      </c>
      <c r="N521" s="3" t="e">
        <f>LOOKUP(C521, SweepStudyConfig[StudyId], SweepStudyConfig[FixedRateB])</f>
        <v>#VALUE!</v>
      </c>
      <c r="O521" s="3" t="e">
        <f>IF(G521 + I521 = 0, "", (G521 * K521 + I521 * M521) / (G521 + I521))</f>
        <v>#VALUE!</v>
      </c>
      <c r="P521" s="3" t="e">
        <f>IF(H521 + J521 = 0, "", (H521 * L521 + J521 * N521) / (H521 + J521))</f>
        <v>#VALUE!</v>
      </c>
      <c r="Q521" s="3" t="e">
        <f>IF(O521 = "", "", O521 - P521)</f>
        <v>#VALUE!</v>
      </c>
      <c r="R521" s="3" t="e">
        <f>LOOKUP(C521, SweepStudyConfig[StudyId], SweepStudyConfig[SweepCorrectedGap])</f>
        <v>#VALUE!</v>
      </c>
      <c r="S521" s="3" t="e">
        <f>IF(Q521 = "", "", Q521 - R521)</f>
        <v>#VALUE!</v>
      </c>
    </row>
    <row r="522">
      <c r="A522" s="2" t="s">
        <v>3810</v>
      </c>
      <c r="B522" s="3" t="str">
        <f>A522</f>
        <v>israel-covid-severe-2021-f005</v>
      </c>
      <c r="C522" s="2" t="s">
        <v>613</v>
      </c>
      <c r="D522" s="2">
        <v>0.05</v>
      </c>
      <c r="E522" s="3" t="e">
        <f>ABS(D522 - LOOKUP(C522, SweepStudyConfig[StudyId], SweepStudyConfig[OriginalAllocFractionA])) &lt; 0.03</f>
        <v>#VALUE!</v>
      </c>
      <c r="F522" s="3" t="e">
        <f>LOOKUP(C522, SweepStudyConfig[StudyId], SweepStudyConfig[NSweepStratumTotal])</f>
        <v>#VALUE!</v>
      </c>
      <c r="G522" s="3" t="e">
        <f>ROUND(F522 * D522)</f>
        <v>#VALUE!</v>
      </c>
      <c r="H522" s="3" t="e">
        <f>F522 - G522</f>
        <v>#VALUE!</v>
      </c>
      <c r="I522" s="3" t="e">
        <f>LOOKUP(C522, SweepStudyConfig[StudyId], SweepStudyConfig[NFixedA])</f>
        <v>#VALUE!</v>
      </c>
      <c r="J522" s="3" t="e">
        <f>LOOKUP(C522, SweepStudyConfig[StudyId], SweepStudyConfig[NFixedB])</f>
        <v>#VALUE!</v>
      </c>
      <c r="K522" s="3" t="e">
        <f>LOOKUP(C522, SweepStudyConfig[StudyId], SweepStudyConfig[SweepRateA])</f>
        <v>#VALUE!</v>
      </c>
      <c r="L522" s="3" t="e">
        <f>LOOKUP(C522, SweepStudyConfig[StudyId], SweepStudyConfig[SweepRateB])</f>
        <v>#VALUE!</v>
      </c>
      <c r="M522" s="3" t="e">
        <f>LOOKUP(C522, SweepStudyConfig[StudyId], SweepStudyConfig[FixedRateA])</f>
        <v>#VALUE!</v>
      </c>
      <c r="N522" s="3" t="e">
        <f>LOOKUP(C522, SweepStudyConfig[StudyId], SweepStudyConfig[FixedRateB])</f>
        <v>#VALUE!</v>
      </c>
      <c r="O522" s="3" t="e">
        <f>IF(G522 + I522 = 0, "", (G522 * K522 + I522 * M522) / (G522 + I522))</f>
        <v>#VALUE!</v>
      </c>
      <c r="P522" s="3" t="e">
        <f>IF(H522 + J522 = 0, "", (H522 * L522 + J522 * N522) / (H522 + J522))</f>
        <v>#VALUE!</v>
      </c>
      <c r="Q522" s="3" t="e">
        <f>IF(O522 = "", "", O522 - P522)</f>
        <v>#VALUE!</v>
      </c>
      <c r="R522" s="3" t="e">
        <f>LOOKUP(C522, SweepStudyConfig[StudyId], SweepStudyConfig[SweepCorrectedGap])</f>
        <v>#VALUE!</v>
      </c>
      <c r="S522" s="3" t="e">
        <f>IF(Q522 = "", "", Q522 - R522)</f>
        <v>#VALUE!</v>
      </c>
    </row>
    <row r="523">
      <c r="A523" s="2" t="s">
        <v>3811</v>
      </c>
      <c r="B523" s="3" t="str">
        <f>A523</f>
        <v>israel-covid-severe-2021-f015</v>
      </c>
      <c r="C523" s="2" t="s">
        <v>613</v>
      </c>
      <c r="D523" s="2">
        <v>0.15</v>
      </c>
      <c r="E523" s="3" t="e">
        <f>ABS(D523 - LOOKUP(C523, SweepStudyConfig[StudyId], SweepStudyConfig[OriginalAllocFractionA])) &lt; 0.03</f>
        <v>#VALUE!</v>
      </c>
      <c r="F523" s="3" t="e">
        <f>LOOKUP(C523, SweepStudyConfig[StudyId], SweepStudyConfig[NSweepStratumTotal])</f>
        <v>#VALUE!</v>
      </c>
      <c r="G523" s="3" t="e">
        <f>ROUND(F523 * D523)</f>
        <v>#VALUE!</v>
      </c>
      <c r="H523" s="3" t="e">
        <f>F523 - G523</f>
        <v>#VALUE!</v>
      </c>
      <c r="I523" s="3" t="e">
        <f>LOOKUP(C523, SweepStudyConfig[StudyId], SweepStudyConfig[NFixedA])</f>
        <v>#VALUE!</v>
      </c>
      <c r="J523" s="3" t="e">
        <f>LOOKUP(C523, SweepStudyConfig[StudyId], SweepStudyConfig[NFixedB])</f>
        <v>#VALUE!</v>
      </c>
      <c r="K523" s="3" t="e">
        <f>LOOKUP(C523, SweepStudyConfig[StudyId], SweepStudyConfig[SweepRateA])</f>
        <v>#VALUE!</v>
      </c>
      <c r="L523" s="3" t="e">
        <f>LOOKUP(C523, SweepStudyConfig[StudyId], SweepStudyConfig[SweepRateB])</f>
        <v>#VALUE!</v>
      </c>
      <c r="M523" s="3" t="e">
        <f>LOOKUP(C523, SweepStudyConfig[StudyId], SweepStudyConfig[FixedRateA])</f>
        <v>#VALUE!</v>
      </c>
      <c r="N523" s="3" t="e">
        <f>LOOKUP(C523, SweepStudyConfig[StudyId], SweepStudyConfig[FixedRateB])</f>
        <v>#VALUE!</v>
      </c>
      <c r="O523" s="3" t="e">
        <f>IF(G523 + I523 = 0, "", (G523 * K523 + I523 * M523) / (G523 + I523))</f>
        <v>#VALUE!</v>
      </c>
      <c r="P523" s="3" t="e">
        <f>IF(H523 + J523 = 0, "", (H523 * L523 + J523 * N523) / (H523 + J523))</f>
        <v>#VALUE!</v>
      </c>
      <c r="Q523" s="3" t="e">
        <f>IF(O523 = "", "", O523 - P523)</f>
        <v>#VALUE!</v>
      </c>
      <c r="R523" s="3" t="e">
        <f>LOOKUP(C523, SweepStudyConfig[StudyId], SweepStudyConfig[SweepCorrectedGap])</f>
        <v>#VALUE!</v>
      </c>
      <c r="S523" s="3" t="e">
        <f>IF(Q523 = "", "", Q523 - R523)</f>
        <v>#VALUE!</v>
      </c>
    </row>
    <row r="524">
      <c r="A524" s="2" t="s">
        <v>3812</v>
      </c>
      <c r="B524" s="3" t="str">
        <f>A524</f>
        <v>israel-covid-severe-2021-f025</v>
      </c>
      <c r="C524" s="2" t="s">
        <v>613</v>
      </c>
      <c r="D524" s="2">
        <v>0.25</v>
      </c>
      <c r="E524" s="3" t="e">
        <f>ABS(D524 - LOOKUP(C524, SweepStudyConfig[StudyId], SweepStudyConfig[OriginalAllocFractionA])) &lt; 0.03</f>
        <v>#VALUE!</v>
      </c>
      <c r="F524" s="3" t="e">
        <f>LOOKUP(C524, SweepStudyConfig[StudyId], SweepStudyConfig[NSweepStratumTotal])</f>
        <v>#VALUE!</v>
      </c>
      <c r="G524" s="3" t="e">
        <f>ROUND(F524 * D524)</f>
        <v>#VALUE!</v>
      </c>
      <c r="H524" s="3" t="e">
        <f>F524 - G524</f>
        <v>#VALUE!</v>
      </c>
      <c r="I524" s="3" t="e">
        <f>LOOKUP(C524, SweepStudyConfig[StudyId], SweepStudyConfig[NFixedA])</f>
        <v>#VALUE!</v>
      </c>
      <c r="J524" s="3" t="e">
        <f>LOOKUP(C524, SweepStudyConfig[StudyId], SweepStudyConfig[NFixedB])</f>
        <v>#VALUE!</v>
      </c>
      <c r="K524" s="3" t="e">
        <f>LOOKUP(C524, SweepStudyConfig[StudyId], SweepStudyConfig[SweepRateA])</f>
        <v>#VALUE!</v>
      </c>
      <c r="L524" s="3" t="e">
        <f>LOOKUP(C524, SweepStudyConfig[StudyId], SweepStudyConfig[SweepRateB])</f>
        <v>#VALUE!</v>
      </c>
      <c r="M524" s="3" t="e">
        <f>LOOKUP(C524, SweepStudyConfig[StudyId], SweepStudyConfig[FixedRateA])</f>
        <v>#VALUE!</v>
      </c>
      <c r="N524" s="3" t="e">
        <f>LOOKUP(C524, SweepStudyConfig[StudyId], SweepStudyConfig[FixedRateB])</f>
        <v>#VALUE!</v>
      </c>
      <c r="O524" s="3" t="e">
        <f>IF(G524 + I524 = 0, "", (G524 * K524 + I524 * M524) / (G524 + I524))</f>
        <v>#VALUE!</v>
      </c>
      <c r="P524" s="3" t="e">
        <f>IF(H524 + J524 = 0, "", (H524 * L524 + J524 * N524) / (H524 + J524))</f>
        <v>#VALUE!</v>
      </c>
      <c r="Q524" s="3" t="e">
        <f>IF(O524 = "", "", O524 - P524)</f>
        <v>#VALUE!</v>
      </c>
      <c r="R524" s="3" t="e">
        <f>LOOKUP(C524, SweepStudyConfig[StudyId], SweepStudyConfig[SweepCorrectedGap])</f>
        <v>#VALUE!</v>
      </c>
      <c r="S524" s="3" t="e">
        <f>IF(Q524 = "", "", Q524 - R524)</f>
        <v>#VALUE!</v>
      </c>
    </row>
    <row r="525">
      <c r="A525" s="2" t="s">
        <v>3813</v>
      </c>
      <c r="B525" s="3" t="str">
        <f>A525</f>
        <v>israel-covid-severe-2021-f035</v>
      </c>
      <c r="C525" s="2" t="s">
        <v>613</v>
      </c>
      <c r="D525" s="2">
        <v>0.35</v>
      </c>
      <c r="E525" s="3" t="e">
        <f>ABS(D525 - LOOKUP(C525, SweepStudyConfig[StudyId], SweepStudyConfig[OriginalAllocFractionA])) &lt; 0.03</f>
        <v>#VALUE!</v>
      </c>
      <c r="F525" s="3" t="e">
        <f>LOOKUP(C525, SweepStudyConfig[StudyId], SweepStudyConfig[NSweepStratumTotal])</f>
        <v>#VALUE!</v>
      </c>
      <c r="G525" s="3" t="e">
        <f>ROUND(F525 * D525)</f>
        <v>#VALUE!</v>
      </c>
      <c r="H525" s="3" t="e">
        <f>F525 - G525</f>
        <v>#VALUE!</v>
      </c>
      <c r="I525" s="3" t="e">
        <f>LOOKUP(C525, SweepStudyConfig[StudyId], SweepStudyConfig[NFixedA])</f>
        <v>#VALUE!</v>
      </c>
      <c r="J525" s="3" t="e">
        <f>LOOKUP(C525, SweepStudyConfig[StudyId], SweepStudyConfig[NFixedB])</f>
        <v>#VALUE!</v>
      </c>
      <c r="K525" s="3" t="e">
        <f>LOOKUP(C525, SweepStudyConfig[StudyId], SweepStudyConfig[SweepRateA])</f>
        <v>#VALUE!</v>
      </c>
      <c r="L525" s="3" t="e">
        <f>LOOKUP(C525, SweepStudyConfig[StudyId], SweepStudyConfig[SweepRateB])</f>
        <v>#VALUE!</v>
      </c>
      <c r="M525" s="3" t="e">
        <f>LOOKUP(C525, SweepStudyConfig[StudyId], SweepStudyConfig[FixedRateA])</f>
        <v>#VALUE!</v>
      </c>
      <c r="N525" s="3" t="e">
        <f>LOOKUP(C525, SweepStudyConfig[StudyId], SweepStudyConfig[FixedRateB])</f>
        <v>#VALUE!</v>
      </c>
      <c r="O525" s="3" t="e">
        <f>IF(G525 + I525 = 0, "", (G525 * K525 + I525 * M525) / (G525 + I525))</f>
        <v>#VALUE!</v>
      </c>
      <c r="P525" s="3" t="e">
        <f>IF(H525 + J525 = 0, "", (H525 * L525 + J525 * N525) / (H525 + J525))</f>
        <v>#VALUE!</v>
      </c>
      <c r="Q525" s="3" t="e">
        <f>IF(O525 = "", "", O525 - P525)</f>
        <v>#VALUE!</v>
      </c>
      <c r="R525" s="3" t="e">
        <f>LOOKUP(C525, SweepStudyConfig[StudyId], SweepStudyConfig[SweepCorrectedGap])</f>
        <v>#VALUE!</v>
      </c>
      <c r="S525" s="3" t="e">
        <f>IF(Q525 = "", "", Q525 - R525)</f>
        <v>#VALUE!</v>
      </c>
    </row>
    <row r="526">
      <c r="A526" s="2" t="s">
        <v>3814</v>
      </c>
      <c r="B526" s="3" t="str">
        <f>A526</f>
        <v>israel-covid-severe-2021-f045</v>
      </c>
      <c r="C526" s="2" t="s">
        <v>613</v>
      </c>
      <c r="D526" s="2">
        <v>0.45</v>
      </c>
      <c r="E526" s="3" t="e">
        <f>ABS(D526 - LOOKUP(C526, SweepStudyConfig[StudyId], SweepStudyConfig[OriginalAllocFractionA])) &lt; 0.03</f>
        <v>#VALUE!</v>
      </c>
      <c r="F526" s="3" t="e">
        <f>LOOKUP(C526, SweepStudyConfig[StudyId], SweepStudyConfig[NSweepStratumTotal])</f>
        <v>#VALUE!</v>
      </c>
      <c r="G526" s="3" t="e">
        <f>ROUND(F526 * D526)</f>
        <v>#VALUE!</v>
      </c>
      <c r="H526" s="3" t="e">
        <f>F526 - G526</f>
        <v>#VALUE!</v>
      </c>
      <c r="I526" s="3" t="e">
        <f>LOOKUP(C526, SweepStudyConfig[StudyId], SweepStudyConfig[NFixedA])</f>
        <v>#VALUE!</v>
      </c>
      <c r="J526" s="3" t="e">
        <f>LOOKUP(C526, SweepStudyConfig[StudyId], SweepStudyConfig[NFixedB])</f>
        <v>#VALUE!</v>
      </c>
      <c r="K526" s="3" t="e">
        <f>LOOKUP(C526, SweepStudyConfig[StudyId], SweepStudyConfig[SweepRateA])</f>
        <v>#VALUE!</v>
      </c>
      <c r="L526" s="3" t="e">
        <f>LOOKUP(C526, SweepStudyConfig[StudyId], SweepStudyConfig[SweepRateB])</f>
        <v>#VALUE!</v>
      </c>
      <c r="M526" s="3" t="e">
        <f>LOOKUP(C526, SweepStudyConfig[StudyId], SweepStudyConfig[FixedRateA])</f>
        <v>#VALUE!</v>
      </c>
      <c r="N526" s="3" t="e">
        <f>LOOKUP(C526, SweepStudyConfig[StudyId], SweepStudyConfig[FixedRateB])</f>
        <v>#VALUE!</v>
      </c>
      <c r="O526" s="3" t="e">
        <f>IF(G526 + I526 = 0, "", (G526 * K526 + I526 * M526) / (G526 + I526))</f>
        <v>#VALUE!</v>
      </c>
      <c r="P526" s="3" t="e">
        <f>IF(H526 + J526 = 0, "", (H526 * L526 + J526 * N526) / (H526 + J526))</f>
        <v>#VALUE!</v>
      </c>
      <c r="Q526" s="3" t="e">
        <f>IF(O526 = "", "", O526 - P526)</f>
        <v>#VALUE!</v>
      </c>
      <c r="R526" s="3" t="e">
        <f>LOOKUP(C526, SweepStudyConfig[StudyId], SweepStudyConfig[SweepCorrectedGap])</f>
        <v>#VALUE!</v>
      </c>
      <c r="S526" s="3" t="e">
        <f>IF(Q526 = "", "", Q526 - R526)</f>
        <v>#VALUE!</v>
      </c>
    </row>
    <row r="527">
      <c r="A527" s="2" t="s">
        <v>3815</v>
      </c>
      <c r="B527" s="3" t="str">
        <f>A527</f>
        <v>israel-covid-severe-2021-f055</v>
      </c>
      <c r="C527" s="2" t="s">
        <v>613</v>
      </c>
      <c r="D527" s="2">
        <v>0.55</v>
      </c>
      <c r="E527" s="3" t="e">
        <f>ABS(D527 - LOOKUP(C527, SweepStudyConfig[StudyId], SweepStudyConfig[OriginalAllocFractionA])) &lt; 0.03</f>
        <v>#VALUE!</v>
      </c>
      <c r="F527" s="3" t="e">
        <f>LOOKUP(C527, SweepStudyConfig[StudyId], SweepStudyConfig[NSweepStratumTotal])</f>
        <v>#VALUE!</v>
      </c>
      <c r="G527" s="3" t="e">
        <f>ROUND(F527 * D527)</f>
        <v>#VALUE!</v>
      </c>
      <c r="H527" s="3" t="e">
        <f>F527 - G527</f>
        <v>#VALUE!</v>
      </c>
      <c r="I527" s="3" t="e">
        <f>LOOKUP(C527, SweepStudyConfig[StudyId], SweepStudyConfig[NFixedA])</f>
        <v>#VALUE!</v>
      </c>
      <c r="J527" s="3" t="e">
        <f>LOOKUP(C527, SweepStudyConfig[StudyId], SweepStudyConfig[NFixedB])</f>
        <v>#VALUE!</v>
      </c>
      <c r="K527" s="3" t="e">
        <f>LOOKUP(C527, SweepStudyConfig[StudyId], SweepStudyConfig[SweepRateA])</f>
        <v>#VALUE!</v>
      </c>
      <c r="L527" s="3" t="e">
        <f>LOOKUP(C527, SweepStudyConfig[StudyId], SweepStudyConfig[SweepRateB])</f>
        <v>#VALUE!</v>
      </c>
      <c r="M527" s="3" t="e">
        <f>LOOKUP(C527, SweepStudyConfig[StudyId], SweepStudyConfig[FixedRateA])</f>
        <v>#VALUE!</v>
      </c>
      <c r="N527" s="3" t="e">
        <f>LOOKUP(C527, SweepStudyConfig[StudyId], SweepStudyConfig[FixedRateB])</f>
        <v>#VALUE!</v>
      </c>
      <c r="O527" s="3" t="e">
        <f>IF(G527 + I527 = 0, "", (G527 * K527 + I527 * M527) / (G527 + I527))</f>
        <v>#VALUE!</v>
      </c>
      <c r="P527" s="3" t="e">
        <f>IF(H527 + J527 = 0, "", (H527 * L527 + J527 * N527) / (H527 + J527))</f>
        <v>#VALUE!</v>
      </c>
      <c r="Q527" s="3" t="e">
        <f>IF(O527 = "", "", O527 - P527)</f>
        <v>#VALUE!</v>
      </c>
      <c r="R527" s="3" t="e">
        <f>LOOKUP(C527, SweepStudyConfig[StudyId], SweepStudyConfig[SweepCorrectedGap])</f>
        <v>#VALUE!</v>
      </c>
      <c r="S527" s="3" t="e">
        <f>IF(Q527 = "", "", Q527 - R527)</f>
        <v>#VALUE!</v>
      </c>
    </row>
    <row r="528">
      <c r="A528" s="2" t="s">
        <v>3816</v>
      </c>
      <c r="B528" s="3" t="str">
        <f>A528</f>
        <v>israel-covid-severe-2021-f065</v>
      </c>
      <c r="C528" s="2" t="s">
        <v>613</v>
      </c>
      <c r="D528" s="2">
        <v>0.65</v>
      </c>
      <c r="E528" s="3" t="e">
        <f>ABS(D528 - LOOKUP(C528, SweepStudyConfig[StudyId], SweepStudyConfig[OriginalAllocFractionA])) &lt; 0.03</f>
        <v>#VALUE!</v>
      </c>
      <c r="F528" s="3" t="e">
        <f>LOOKUP(C528, SweepStudyConfig[StudyId], SweepStudyConfig[NSweepStratumTotal])</f>
        <v>#VALUE!</v>
      </c>
      <c r="G528" s="3" t="e">
        <f>ROUND(F528 * D528)</f>
        <v>#VALUE!</v>
      </c>
      <c r="H528" s="3" t="e">
        <f>F528 - G528</f>
        <v>#VALUE!</v>
      </c>
      <c r="I528" s="3" t="e">
        <f>LOOKUP(C528, SweepStudyConfig[StudyId], SweepStudyConfig[NFixedA])</f>
        <v>#VALUE!</v>
      </c>
      <c r="J528" s="3" t="e">
        <f>LOOKUP(C528, SweepStudyConfig[StudyId], SweepStudyConfig[NFixedB])</f>
        <v>#VALUE!</v>
      </c>
      <c r="K528" s="3" t="e">
        <f>LOOKUP(C528, SweepStudyConfig[StudyId], SweepStudyConfig[SweepRateA])</f>
        <v>#VALUE!</v>
      </c>
      <c r="L528" s="3" t="e">
        <f>LOOKUP(C528, SweepStudyConfig[StudyId], SweepStudyConfig[SweepRateB])</f>
        <v>#VALUE!</v>
      </c>
      <c r="M528" s="3" t="e">
        <f>LOOKUP(C528, SweepStudyConfig[StudyId], SweepStudyConfig[FixedRateA])</f>
        <v>#VALUE!</v>
      </c>
      <c r="N528" s="3" t="e">
        <f>LOOKUP(C528, SweepStudyConfig[StudyId], SweepStudyConfig[FixedRateB])</f>
        <v>#VALUE!</v>
      </c>
      <c r="O528" s="3" t="e">
        <f>IF(G528 + I528 = 0, "", (G528 * K528 + I528 * M528) / (G528 + I528))</f>
        <v>#VALUE!</v>
      </c>
      <c r="P528" s="3" t="e">
        <f>IF(H528 + J528 = 0, "", (H528 * L528 + J528 * N528) / (H528 + J528))</f>
        <v>#VALUE!</v>
      </c>
      <c r="Q528" s="3" t="e">
        <f>IF(O528 = "", "", O528 - P528)</f>
        <v>#VALUE!</v>
      </c>
      <c r="R528" s="3" t="e">
        <f>LOOKUP(C528, SweepStudyConfig[StudyId], SweepStudyConfig[SweepCorrectedGap])</f>
        <v>#VALUE!</v>
      </c>
      <c r="S528" s="3" t="e">
        <f>IF(Q528 = "", "", Q528 - R528)</f>
        <v>#VALUE!</v>
      </c>
    </row>
    <row r="529">
      <c r="A529" s="2" t="s">
        <v>3817</v>
      </c>
      <c r="B529" s="3" t="str">
        <f>A529</f>
        <v>israel-covid-severe-2021-f075</v>
      </c>
      <c r="C529" s="2" t="s">
        <v>613</v>
      </c>
      <c r="D529" s="2">
        <v>0.75</v>
      </c>
      <c r="E529" s="3" t="e">
        <f>ABS(D529 - LOOKUP(C529, SweepStudyConfig[StudyId], SweepStudyConfig[OriginalAllocFractionA])) &lt; 0.03</f>
        <v>#VALUE!</v>
      </c>
      <c r="F529" s="3" t="e">
        <f>LOOKUP(C529, SweepStudyConfig[StudyId], SweepStudyConfig[NSweepStratumTotal])</f>
        <v>#VALUE!</v>
      </c>
      <c r="G529" s="3" t="e">
        <f>ROUND(F529 * D529)</f>
        <v>#VALUE!</v>
      </c>
      <c r="H529" s="3" t="e">
        <f>F529 - G529</f>
        <v>#VALUE!</v>
      </c>
      <c r="I529" s="3" t="e">
        <f>LOOKUP(C529, SweepStudyConfig[StudyId], SweepStudyConfig[NFixedA])</f>
        <v>#VALUE!</v>
      </c>
      <c r="J529" s="3" t="e">
        <f>LOOKUP(C529, SweepStudyConfig[StudyId], SweepStudyConfig[NFixedB])</f>
        <v>#VALUE!</v>
      </c>
      <c r="K529" s="3" t="e">
        <f>LOOKUP(C529, SweepStudyConfig[StudyId], SweepStudyConfig[SweepRateA])</f>
        <v>#VALUE!</v>
      </c>
      <c r="L529" s="3" t="e">
        <f>LOOKUP(C529, SweepStudyConfig[StudyId], SweepStudyConfig[SweepRateB])</f>
        <v>#VALUE!</v>
      </c>
      <c r="M529" s="3" t="e">
        <f>LOOKUP(C529, SweepStudyConfig[StudyId], SweepStudyConfig[FixedRateA])</f>
        <v>#VALUE!</v>
      </c>
      <c r="N529" s="3" t="e">
        <f>LOOKUP(C529, SweepStudyConfig[StudyId], SweepStudyConfig[FixedRateB])</f>
        <v>#VALUE!</v>
      </c>
      <c r="O529" s="3" t="e">
        <f>IF(G529 + I529 = 0, "", (G529 * K529 + I529 * M529) / (G529 + I529))</f>
        <v>#VALUE!</v>
      </c>
      <c r="P529" s="3" t="e">
        <f>IF(H529 + J529 = 0, "", (H529 * L529 + J529 * N529) / (H529 + J529))</f>
        <v>#VALUE!</v>
      </c>
      <c r="Q529" s="3" t="e">
        <f>IF(O529 = "", "", O529 - P529)</f>
        <v>#VALUE!</v>
      </c>
      <c r="R529" s="3" t="e">
        <f>LOOKUP(C529, SweepStudyConfig[StudyId], SweepStudyConfig[SweepCorrectedGap])</f>
        <v>#VALUE!</v>
      </c>
      <c r="S529" s="3" t="e">
        <f>IF(Q529 = "", "", Q529 - R529)</f>
        <v>#VALUE!</v>
      </c>
    </row>
    <row r="530">
      <c r="A530" s="2" t="s">
        <v>3818</v>
      </c>
      <c r="B530" s="3" t="str">
        <f>A530</f>
        <v>israel-covid-severe-2021-f085</v>
      </c>
      <c r="C530" s="2" t="s">
        <v>613</v>
      </c>
      <c r="D530" s="2">
        <v>0.85</v>
      </c>
      <c r="E530" s="3" t="e">
        <f>ABS(D530 - LOOKUP(C530, SweepStudyConfig[StudyId], SweepStudyConfig[OriginalAllocFractionA])) &lt; 0.03</f>
        <v>#VALUE!</v>
      </c>
      <c r="F530" s="3" t="e">
        <f>LOOKUP(C530, SweepStudyConfig[StudyId], SweepStudyConfig[NSweepStratumTotal])</f>
        <v>#VALUE!</v>
      </c>
      <c r="G530" s="3" t="e">
        <f>ROUND(F530 * D530)</f>
        <v>#VALUE!</v>
      </c>
      <c r="H530" s="3" t="e">
        <f>F530 - G530</f>
        <v>#VALUE!</v>
      </c>
      <c r="I530" s="3" t="e">
        <f>LOOKUP(C530, SweepStudyConfig[StudyId], SweepStudyConfig[NFixedA])</f>
        <v>#VALUE!</v>
      </c>
      <c r="J530" s="3" t="e">
        <f>LOOKUP(C530, SweepStudyConfig[StudyId], SweepStudyConfig[NFixedB])</f>
        <v>#VALUE!</v>
      </c>
      <c r="K530" s="3" t="e">
        <f>LOOKUP(C530, SweepStudyConfig[StudyId], SweepStudyConfig[SweepRateA])</f>
        <v>#VALUE!</v>
      </c>
      <c r="L530" s="3" t="e">
        <f>LOOKUP(C530, SweepStudyConfig[StudyId], SweepStudyConfig[SweepRateB])</f>
        <v>#VALUE!</v>
      </c>
      <c r="M530" s="3" t="e">
        <f>LOOKUP(C530, SweepStudyConfig[StudyId], SweepStudyConfig[FixedRateA])</f>
        <v>#VALUE!</v>
      </c>
      <c r="N530" s="3" t="e">
        <f>LOOKUP(C530, SweepStudyConfig[StudyId], SweepStudyConfig[FixedRateB])</f>
        <v>#VALUE!</v>
      </c>
      <c r="O530" s="3" t="e">
        <f>IF(G530 + I530 = 0, "", (G530 * K530 + I530 * M530) / (G530 + I530))</f>
        <v>#VALUE!</v>
      </c>
      <c r="P530" s="3" t="e">
        <f>IF(H530 + J530 = 0, "", (H530 * L530 + J530 * N530) / (H530 + J530))</f>
        <v>#VALUE!</v>
      </c>
      <c r="Q530" s="3" t="e">
        <f>IF(O530 = "", "", O530 - P530)</f>
        <v>#VALUE!</v>
      </c>
      <c r="R530" s="3" t="e">
        <f>LOOKUP(C530, SweepStudyConfig[StudyId], SweepStudyConfig[SweepCorrectedGap])</f>
        <v>#VALUE!</v>
      </c>
      <c r="S530" s="3" t="e">
        <f>IF(Q530 = "", "", Q530 - R530)</f>
        <v>#VALUE!</v>
      </c>
    </row>
    <row r="531">
      <c r="A531" s="2" t="s">
        <v>3819</v>
      </c>
      <c r="B531" s="3" t="str">
        <f>A531</f>
        <v>israel-covid-severe-2021-f095</v>
      </c>
      <c r="C531" s="2" t="s">
        <v>613</v>
      </c>
      <c r="D531" s="2">
        <v>0.95</v>
      </c>
      <c r="E531" s="3" t="e">
        <f>ABS(D531 - LOOKUP(C531, SweepStudyConfig[StudyId], SweepStudyConfig[OriginalAllocFractionA])) &lt; 0.03</f>
        <v>#VALUE!</v>
      </c>
      <c r="F531" s="3" t="e">
        <f>LOOKUP(C531, SweepStudyConfig[StudyId], SweepStudyConfig[NSweepStratumTotal])</f>
        <v>#VALUE!</v>
      </c>
      <c r="G531" s="3" t="e">
        <f>ROUND(F531 * D531)</f>
        <v>#VALUE!</v>
      </c>
      <c r="H531" s="3" t="e">
        <f>F531 - G531</f>
        <v>#VALUE!</v>
      </c>
      <c r="I531" s="3" t="e">
        <f>LOOKUP(C531, SweepStudyConfig[StudyId], SweepStudyConfig[NFixedA])</f>
        <v>#VALUE!</v>
      </c>
      <c r="J531" s="3" t="e">
        <f>LOOKUP(C531, SweepStudyConfig[StudyId], SweepStudyConfig[NFixedB])</f>
        <v>#VALUE!</v>
      </c>
      <c r="K531" s="3" t="e">
        <f>LOOKUP(C531, SweepStudyConfig[StudyId], SweepStudyConfig[SweepRateA])</f>
        <v>#VALUE!</v>
      </c>
      <c r="L531" s="3" t="e">
        <f>LOOKUP(C531, SweepStudyConfig[StudyId], SweepStudyConfig[SweepRateB])</f>
        <v>#VALUE!</v>
      </c>
      <c r="M531" s="3" t="e">
        <f>LOOKUP(C531, SweepStudyConfig[StudyId], SweepStudyConfig[FixedRateA])</f>
        <v>#VALUE!</v>
      </c>
      <c r="N531" s="3" t="e">
        <f>LOOKUP(C531, SweepStudyConfig[StudyId], SweepStudyConfig[FixedRateB])</f>
        <v>#VALUE!</v>
      </c>
      <c r="O531" s="3" t="e">
        <f>IF(G531 + I531 = 0, "", (G531 * K531 + I531 * M531) / (G531 + I531))</f>
        <v>#VALUE!</v>
      </c>
      <c r="P531" s="3" t="e">
        <f>IF(H531 + J531 = 0, "", (H531 * L531 + J531 * N531) / (H531 + J531))</f>
        <v>#VALUE!</v>
      </c>
      <c r="Q531" s="3" t="e">
        <f>IF(O531 = "", "", O531 - P531)</f>
        <v>#VALUE!</v>
      </c>
      <c r="R531" s="3" t="e">
        <f>LOOKUP(C531, SweepStudyConfig[StudyId], SweepStudyConfig[SweepCorrectedGap])</f>
        <v>#VALUE!</v>
      </c>
      <c r="S531" s="3" t="e">
        <f>IF(Q531 = "", "", Q531 - R531)</f>
        <v>#VALUE!</v>
      </c>
    </row>
    <row r="532">
      <c r="A532" s="2" t="s">
        <v>3820</v>
      </c>
      <c r="B532" s="3" t="str">
        <f>A532</f>
        <v>cochran-smoking-1968-f005</v>
      </c>
      <c r="C532" s="2" t="s">
        <v>617</v>
      </c>
      <c r="D532" s="2">
        <v>0.05</v>
      </c>
      <c r="E532" s="3" t="e">
        <f>ABS(D532 - LOOKUP(C532, SweepStudyConfig[StudyId], SweepStudyConfig[OriginalAllocFractionA])) &lt; 0.03</f>
        <v>#VALUE!</v>
      </c>
      <c r="F532" s="3" t="e">
        <f>LOOKUP(C532, SweepStudyConfig[StudyId], SweepStudyConfig[NSweepStratumTotal])</f>
        <v>#VALUE!</v>
      </c>
      <c r="G532" s="3" t="e">
        <f>ROUND(F532 * D532)</f>
        <v>#VALUE!</v>
      </c>
      <c r="H532" s="3" t="e">
        <f>F532 - G532</f>
        <v>#VALUE!</v>
      </c>
      <c r="I532" s="3" t="e">
        <f>LOOKUP(C532, SweepStudyConfig[StudyId], SweepStudyConfig[NFixedA])</f>
        <v>#VALUE!</v>
      </c>
      <c r="J532" s="3" t="e">
        <f>LOOKUP(C532, SweepStudyConfig[StudyId], SweepStudyConfig[NFixedB])</f>
        <v>#VALUE!</v>
      </c>
      <c r="K532" s="3" t="e">
        <f>LOOKUP(C532, SweepStudyConfig[StudyId], SweepStudyConfig[SweepRateA])</f>
        <v>#VALUE!</v>
      </c>
      <c r="L532" s="3" t="e">
        <f>LOOKUP(C532, SweepStudyConfig[StudyId], SweepStudyConfig[SweepRateB])</f>
        <v>#VALUE!</v>
      </c>
      <c r="M532" s="3" t="e">
        <f>LOOKUP(C532, SweepStudyConfig[StudyId], SweepStudyConfig[FixedRateA])</f>
        <v>#VALUE!</v>
      </c>
      <c r="N532" s="3" t="e">
        <f>LOOKUP(C532, SweepStudyConfig[StudyId], SweepStudyConfig[FixedRateB])</f>
        <v>#VALUE!</v>
      </c>
      <c r="O532" s="3" t="e">
        <f>IF(G532 + I532 = 0, "", (G532 * K532 + I532 * M532) / (G532 + I532))</f>
        <v>#VALUE!</v>
      </c>
      <c r="P532" s="3" t="e">
        <f>IF(H532 + J532 = 0, "", (H532 * L532 + J532 * N532) / (H532 + J532))</f>
        <v>#VALUE!</v>
      </c>
      <c r="Q532" s="3" t="e">
        <f>IF(O532 = "", "", O532 - P532)</f>
        <v>#VALUE!</v>
      </c>
      <c r="R532" s="3" t="e">
        <f>LOOKUP(C532, SweepStudyConfig[StudyId], SweepStudyConfig[SweepCorrectedGap])</f>
        <v>#VALUE!</v>
      </c>
      <c r="S532" s="3" t="e">
        <f>IF(Q532 = "", "", Q532 - R532)</f>
        <v>#VALUE!</v>
      </c>
    </row>
    <row r="533">
      <c r="A533" s="2" t="s">
        <v>3821</v>
      </c>
      <c r="B533" s="3" t="str">
        <f>A533</f>
        <v>cochran-smoking-1968-f015</v>
      </c>
      <c r="C533" s="2" t="s">
        <v>617</v>
      </c>
      <c r="D533" s="2">
        <v>0.15</v>
      </c>
      <c r="E533" s="3" t="e">
        <f>ABS(D533 - LOOKUP(C533, SweepStudyConfig[StudyId], SweepStudyConfig[OriginalAllocFractionA])) &lt; 0.03</f>
        <v>#VALUE!</v>
      </c>
      <c r="F533" s="3" t="e">
        <f>LOOKUP(C533, SweepStudyConfig[StudyId], SweepStudyConfig[NSweepStratumTotal])</f>
        <v>#VALUE!</v>
      </c>
      <c r="G533" s="3" t="e">
        <f>ROUND(F533 * D533)</f>
        <v>#VALUE!</v>
      </c>
      <c r="H533" s="3" t="e">
        <f>F533 - G533</f>
        <v>#VALUE!</v>
      </c>
      <c r="I533" s="3" t="e">
        <f>LOOKUP(C533, SweepStudyConfig[StudyId], SweepStudyConfig[NFixedA])</f>
        <v>#VALUE!</v>
      </c>
      <c r="J533" s="3" t="e">
        <f>LOOKUP(C533, SweepStudyConfig[StudyId], SweepStudyConfig[NFixedB])</f>
        <v>#VALUE!</v>
      </c>
      <c r="K533" s="3" t="e">
        <f>LOOKUP(C533, SweepStudyConfig[StudyId], SweepStudyConfig[SweepRateA])</f>
        <v>#VALUE!</v>
      </c>
      <c r="L533" s="3" t="e">
        <f>LOOKUP(C533, SweepStudyConfig[StudyId], SweepStudyConfig[SweepRateB])</f>
        <v>#VALUE!</v>
      </c>
      <c r="M533" s="3" t="e">
        <f>LOOKUP(C533, SweepStudyConfig[StudyId], SweepStudyConfig[FixedRateA])</f>
        <v>#VALUE!</v>
      </c>
      <c r="N533" s="3" t="e">
        <f>LOOKUP(C533, SweepStudyConfig[StudyId], SweepStudyConfig[FixedRateB])</f>
        <v>#VALUE!</v>
      </c>
      <c r="O533" s="3" t="e">
        <f>IF(G533 + I533 = 0, "", (G533 * K533 + I533 * M533) / (G533 + I533))</f>
        <v>#VALUE!</v>
      </c>
      <c r="P533" s="3" t="e">
        <f>IF(H533 + J533 = 0, "", (H533 * L533 + J533 * N533) / (H533 + J533))</f>
        <v>#VALUE!</v>
      </c>
      <c r="Q533" s="3" t="e">
        <f>IF(O533 = "", "", O533 - P533)</f>
        <v>#VALUE!</v>
      </c>
      <c r="R533" s="3" t="e">
        <f>LOOKUP(C533, SweepStudyConfig[StudyId], SweepStudyConfig[SweepCorrectedGap])</f>
        <v>#VALUE!</v>
      </c>
      <c r="S533" s="3" t="e">
        <f>IF(Q533 = "", "", Q533 - R533)</f>
        <v>#VALUE!</v>
      </c>
    </row>
    <row r="534">
      <c r="A534" s="2" t="s">
        <v>3822</v>
      </c>
      <c r="B534" s="3" t="str">
        <f>A534</f>
        <v>cochran-smoking-1968-f025</v>
      </c>
      <c r="C534" s="2" t="s">
        <v>617</v>
      </c>
      <c r="D534" s="2">
        <v>0.25</v>
      </c>
      <c r="E534" s="3" t="e">
        <f>ABS(D534 - LOOKUP(C534, SweepStudyConfig[StudyId], SweepStudyConfig[OriginalAllocFractionA])) &lt; 0.03</f>
        <v>#VALUE!</v>
      </c>
      <c r="F534" s="3" t="e">
        <f>LOOKUP(C534, SweepStudyConfig[StudyId], SweepStudyConfig[NSweepStratumTotal])</f>
        <v>#VALUE!</v>
      </c>
      <c r="G534" s="3" t="e">
        <f>ROUND(F534 * D534)</f>
        <v>#VALUE!</v>
      </c>
      <c r="H534" s="3" t="e">
        <f>F534 - G534</f>
        <v>#VALUE!</v>
      </c>
      <c r="I534" s="3" t="e">
        <f>LOOKUP(C534, SweepStudyConfig[StudyId], SweepStudyConfig[NFixedA])</f>
        <v>#VALUE!</v>
      </c>
      <c r="J534" s="3" t="e">
        <f>LOOKUP(C534, SweepStudyConfig[StudyId], SweepStudyConfig[NFixedB])</f>
        <v>#VALUE!</v>
      </c>
      <c r="K534" s="3" t="e">
        <f>LOOKUP(C534, SweepStudyConfig[StudyId], SweepStudyConfig[SweepRateA])</f>
        <v>#VALUE!</v>
      </c>
      <c r="L534" s="3" t="e">
        <f>LOOKUP(C534, SweepStudyConfig[StudyId], SweepStudyConfig[SweepRateB])</f>
        <v>#VALUE!</v>
      </c>
      <c r="M534" s="3" t="e">
        <f>LOOKUP(C534, SweepStudyConfig[StudyId], SweepStudyConfig[FixedRateA])</f>
        <v>#VALUE!</v>
      </c>
      <c r="N534" s="3" t="e">
        <f>LOOKUP(C534, SweepStudyConfig[StudyId], SweepStudyConfig[FixedRateB])</f>
        <v>#VALUE!</v>
      </c>
      <c r="O534" s="3" t="e">
        <f>IF(G534 + I534 = 0, "", (G534 * K534 + I534 * M534) / (G534 + I534))</f>
        <v>#VALUE!</v>
      </c>
      <c r="P534" s="3" t="e">
        <f>IF(H534 + J534 = 0, "", (H534 * L534 + J534 * N534) / (H534 + J534))</f>
        <v>#VALUE!</v>
      </c>
      <c r="Q534" s="3" t="e">
        <f>IF(O534 = "", "", O534 - P534)</f>
        <v>#VALUE!</v>
      </c>
      <c r="R534" s="3" t="e">
        <f>LOOKUP(C534, SweepStudyConfig[StudyId], SweepStudyConfig[SweepCorrectedGap])</f>
        <v>#VALUE!</v>
      </c>
      <c r="S534" s="3" t="e">
        <f>IF(Q534 = "", "", Q534 - R534)</f>
        <v>#VALUE!</v>
      </c>
    </row>
    <row r="535">
      <c r="A535" s="2" t="s">
        <v>3823</v>
      </c>
      <c r="B535" s="3" t="str">
        <f>A535</f>
        <v>cochran-smoking-1968-f035</v>
      </c>
      <c r="C535" s="2" t="s">
        <v>617</v>
      </c>
      <c r="D535" s="2">
        <v>0.35</v>
      </c>
      <c r="E535" s="3" t="e">
        <f>ABS(D535 - LOOKUP(C535, SweepStudyConfig[StudyId], SweepStudyConfig[OriginalAllocFractionA])) &lt; 0.03</f>
        <v>#VALUE!</v>
      </c>
      <c r="F535" s="3" t="e">
        <f>LOOKUP(C535, SweepStudyConfig[StudyId], SweepStudyConfig[NSweepStratumTotal])</f>
        <v>#VALUE!</v>
      </c>
      <c r="G535" s="3" t="e">
        <f>ROUND(F535 * D535)</f>
        <v>#VALUE!</v>
      </c>
      <c r="H535" s="3" t="e">
        <f>F535 - G535</f>
        <v>#VALUE!</v>
      </c>
      <c r="I535" s="3" t="e">
        <f>LOOKUP(C535, SweepStudyConfig[StudyId], SweepStudyConfig[NFixedA])</f>
        <v>#VALUE!</v>
      </c>
      <c r="J535" s="3" t="e">
        <f>LOOKUP(C535, SweepStudyConfig[StudyId], SweepStudyConfig[NFixedB])</f>
        <v>#VALUE!</v>
      </c>
      <c r="K535" s="3" t="e">
        <f>LOOKUP(C535, SweepStudyConfig[StudyId], SweepStudyConfig[SweepRateA])</f>
        <v>#VALUE!</v>
      </c>
      <c r="L535" s="3" t="e">
        <f>LOOKUP(C535, SweepStudyConfig[StudyId], SweepStudyConfig[SweepRateB])</f>
        <v>#VALUE!</v>
      </c>
      <c r="M535" s="3" t="e">
        <f>LOOKUP(C535, SweepStudyConfig[StudyId], SweepStudyConfig[FixedRateA])</f>
        <v>#VALUE!</v>
      </c>
      <c r="N535" s="3" t="e">
        <f>LOOKUP(C535, SweepStudyConfig[StudyId], SweepStudyConfig[FixedRateB])</f>
        <v>#VALUE!</v>
      </c>
      <c r="O535" s="3" t="e">
        <f>IF(G535 + I535 = 0, "", (G535 * K535 + I535 * M535) / (G535 + I535))</f>
        <v>#VALUE!</v>
      </c>
      <c r="P535" s="3" t="e">
        <f>IF(H535 + J535 = 0, "", (H535 * L535 + J535 * N535) / (H535 + J535))</f>
        <v>#VALUE!</v>
      </c>
      <c r="Q535" s="3" t="e">
        <f>IF(O535 = "", "", O535 - P535)</f>
        <v>#VALUE!</v>
      </c>
      <c r="R535" s="3" t="e">
        <f>LOOKUP(C535, SweepStudyConfig[StudyId], SweepStudyConfig[SweepCorrectedGap])</f>
        <v>#VALUE!</v>
      </c>
      <c r="S535" s="3" t="e">
        <f>IF(Q535 = "", "", Q535 - R535)</f>
        <v>#VALUE!</v>
      </c>
    </row>
    <row r="536">
      <c r="A536" s="2" t="s">
        <v>3824</v>
      </c>
      <c r="B536" s="3" t="str">
        <f>A536</f>
        <v>cochran-smoking-1968-f045</v>
      </c>
      <c r="C536" s="2" t="s">
        <v>617</v>
      </c>
      <c r="D536" s="2">
        <v>0.45</v>
      </c>
      <c r="E536" s="3" t="e">
        <f>ABS(D536 - LOOKUP(C536, SweepStudyConfig[StudyId], SweepStudyConfig[OriginalAllocFractionA])) &lt; 0.03</f>
        <v>#VALUE!</v>
      </c>
      <c r="F536" s="3" t="e">
        <f>LOOKUP(C536, SweepStudyConfig[StudyId], SweepStudyConfig[NSweepStratumTotal])</f>
        <v>#VALUE!</v>
      </c>
      <c r="G536" s="3" t="e">
        <f>ROUND(F536 * D536)</f>
        <v>#VALUE!</v>
      </c>
      <c r="H536" s="3" t="e">
        <f>F536 - G536</f>
        <v>#VALUE!</v>
      </c>
      <c r="I536" s="3" t="e">
        <f>LOOKUP(C536, SweepStudyConfig[StudyId], SweepStudyConfig[NFixedA])</f>
        <v>#VALUE!</v>
      </c>
      <c r="J536" s="3" t="e">
        <f>LOOKUP(C536, SweepStudyConfig[StudyId], SweepStudyConfig[NFixedB])</f>
        <v>#VALUE!</v>
      </c>
      <c r="K536" s="3" t="e">
        <f>LOOKUP(C536, SweepStudyConfig[StudyId], SweepStudyConfig[SweepRateA])</f>
        <v>#VALUE!</v>
      </c>
      <c r="L536" s="3" t="e">
        <f>LOOKUP(C536, SweepStudyConfig[StudyId], SweepStudyConfig[SweepRateB])</f>
        <v>#VALUE!</v>
      </c>
      <c r="M536" s="3" t="e">
        <f>LOOKUP(C536, SweepStudyConfig[StudyId], SweepStudyConfig[FixedRateA])</f>
        <v>#VALUE!</v>
      </c>
      <c r="N536" s="3" t="e">
        <f>LOOKUP(C536, SweepStudyConfig[StudyId], SweepStudyConfig[FixedRateB])</f>
        <v>#VALUE!</v>
      </c>
      <c r="O536" s="3" t="e">
        <f>IF(G536 + I536 = 0, "", (G536 * K536 + I536 * M536) / (G536 + I536))</f>
        <v>#VALUE!</v>
      </c>
      <c r="P536" s="3" t="e">
        <f>IF(H536 + J536 = 0, "", (H536 * L536 + J536 * N536) / (H536 + J536))</f>
        <v>#VALUE!</v>
      </c>
      <c r="Q536" s="3" t="e">
        <f>IF(O536 = "", "", O536 - P536)</f>
        <v>#VALUE!</v>
      </c>
      <c r="R536" s="3" t="e">
        <f>LOOKUP(C536, SweepStudyConfig[StudyId], SweepStudyConfig[SweepCorrectedGap])</f>
        <v>#VALUE!</v>
      </c>
      <c r="S536" s="3" t="e">
        <f>IF(Q536 = "", "", Q536 - R536)</f>
        <v>#VALUE!</v>
      </c>
    </row>
    <row r="537">
      <c r="A537" s="2" t="s">
        <v>3825</v>
      </c>
      <c r="B537" s="3" t="str">
        <f>A537</f>
        <v>cochran-smoking-1968-f055</v>
      </c>
      <c r="C537" s="2" t="s">
        <v>617</v>
      </c>
      <c r="D537" s="2">
        <v>0.55</v>
      </c>
      <c r="E537" s="3" t="e">
        <f>ABS(D537 - LOOKUP(C537, SweepStudyConfig[StudyId], SweepStudyConfig[OriginalAllocFractionA])) &lt; 0.03</f>
        <v>#VALUE!</v>
      </c>
      <c r="F537" s="3" t="e">
        <f>LOOKUP(C537, SweepStudyConfig[StudyId], SweepStudyConfig[NSweepStratumTotal])</f>
        <v>#VALUE!</v>
      </c>
      <c r="G537" s="3" t="e">
        <f>ROUND(F537 * D537)</f>
        <v>#VALUE!</v>
      </c>
      <c r="H537" s="3" t="e">
        <f>F537 - G537</f>
        <v>#VALUE!</v>
      </c>
      <c r="I537" s="3" t="e">
        <f>LOOKUP(C537, SweepStudyConfig[StudyId], SweepStudyConfig[NFixedA])</f>
        <v>#VALUE!</v>
      </c>
      <c r="J537" s="3" t="e">
        <f>LOOKUP(C537, SweepStudyConfig[StudyId], SweepStudyConfig[NFixedB])</f>
        <v>#VALUE!</v>
      </c>
      <c r="K537" s="3" t="e">
        <f>LOOKUP(C537, SweepStudyConfig[StudyId], SweepStudyConfig[SweepRateA])</f>
        <v>#VALUE!</v>
      </c>
      <c r="L537" s="3" t="e">
        <f>LOOKUP(C537, SweepStudyConfig[StudyId], SweepStudyConfig[SweepRateB])</f>
        <v>#VALUE!</v>
      </c>
      <c r="M537" s="3" t="e">
        <f>LOOKUP(C537, SweepStudyConfig[StudyId], SweepStudyConfig[FixedRateA])</f>
        <v>#VALUE!</v>
      </c>
      <c r="N537" s="3" t="e">
        <f>LOOKUP(C537, SweepStudyConfig[StudyId], SweepStudyConfig[FixedRateB])</f>
        <v>#VALUE!</v>
      </c>
      <c r="O537" s="3" t="e">
        <f>IF(G537 + I537 = 0, "", (G537 * K537 + I537 * M537) / (G537 + I537))</f>
        <v>#VALUE!</v>
      </c>
      <c r="P537" s="3" t="e">
        <f>IF(H537 + J537 = 0, "", (H537 * L537 + J537 * N537) / (H537 + J537))</f>
        <v>#VALUE!</v>
      </c>
      <c r="Q537" s="3" t="e">
        <f>IF(O537 = "", "", O537 - P537)</f>
        <v>#VALUE!</v>
      </c>
      <c r="R537" s="3" t="e">
        <f>LOOKUP(C537, SweepStudyConfig[StudyId], SweepStudyConfig[SweepCorrectedGap])</f>
        <v>#VALUE!</v>
      </c>
      <c r="S537" s="3" t="e">
        <f>IF(Q537 = "", "", Q537 - R537)</f>
        <v>#VALUE!</v>
      </c>
    </row>
    <row r="538">
      <c r="A538" s="2" t="s">
        <v>3826</v>
      </c>
      <c r="B538" s="3" t="str">
        <f>A538</f>
        <v>cochran-smoking-1968-f065</v>
      </c>
      <c r="C538" s="2" t="s">
        <v>617</v>
      </c>
      <c r="D538" s="2">
        <v>0.65</v>
      </c>
      <c r="E538" s="3" t="e">
        <f>ABS(D538 - LOOKUP(C538, SweepStudyConfig[StudyId], SweepStudyConfig[OriginalAllocFractionA])) &lt; 0.03</f>
        <v>#VALUE!</v>
      </c>
      <c r="F538" s="3" t="e">
        <f>LOOKUP(C538, SweepStudyConfig[StudyId], SweepStudyConfig[NSweepStratumTotal])</f>
        <v>#VALUE!</v>
      </c>
      <c r="G538" s="3" t="e">
        <f>ROUND(F538 * D538)</f>
        <v>#VALUE!</v>
      </c>
      <c r="H538" s="3" t="e">
        <f>F538 - G538</f>
        <v>#VALUE!</v>
      </c>
      <c r="I538" s="3" t="e">
        <f>LOOKUP(C538, SweepStudyConfig[StudyId], SweepStudyConfig[NFixedA])</f>
        <v>#VALUE!</v>
      </c>
      <c r="J538" s="3" t="e">
        <f>LOOKUP(C538, SweepStudyConfig[StudyId], SweepStudyConfig[NFixedB])</f>
        <v>#VALUE!</v>
      </c>
      <c r="K538" s="3" t="e">
        <f>LOOKUP(C538, SweepStudyConfig[StudyId], SweepStudyConfig[SweepRateA])</f>
        <v>#VALUE!</v>
      </c>
      <c r="L538" s="3" t="e">
        <f>LOOKUP(C538, SweepStudyConfig[StudyId], SweepStudyConfig[SweepRateB])</f>
        <v>#VALUE!</v>
      </c>
      <c r="M538" s="3" t="e">
        <f>LOOKUP(C538, SweepStudyConfig[StudyId], SweepStudyConfig[FixedRateA])</f>
        <v>#VALUE!</v>
      </c>
      <c r="N538" s="3" t="e">
        <f>LOOKUP(C538, SweepStudyConfig[StudyId], SweepStudyConfig[FixedRateB])</f>
        <v>#VALUE!</v>
      </c>
      <c r="O538" s="3" t="e">
        <f>IF(G538 + I538 = 0, "", (G538 * K538 + I538 * M538) / (G538 + I538))</f>
        <v>#VALUE!</v>
      </c>
      <c r="P538" s="3" t="e">
        <f>IF(H538 + J538 = 0, "", (H538 * L538 + J538 * N538) / (H538 + J538))</f>
        <v>#VALUE!</v>
      </c>
      <c r="Q538" s="3" t="e">
        <f>IF(O538 = "", "", O538 - P538)</f>
        <v>#VALUE!</v>
      </c>
      <c r="R538" s="3" t="e">
        <f>LOOKUP(C538, SweepStudyConfig[StudyId], SweepStudyConfig[SweepCorrectedGap])</f>
        <v>#VALUE!</v>
      </c>
      <c r="S538" s="3" t="e">
        <f>IF(Q538 = "", "", Q538 - R538)</f>
        <v>#VALUE!</v>
      </c>
    </row>
    <row r="539">
      <c r="A539" s="2" t="s">
        <v>3827</v>
      </c>
      <c r="B539" s="3" t="str">
        <f>A539</f>
        <v>cochran-smoking-1968-f075</v>
      </c>
      <c r="C539" s="2" t="s">
        <v>617</v>
      </c>
      <c r="D539" s="2">
        <v>0.75</v>
      </c>
      <c r="E539" s="3" t="e">
        <f>ABS(D539 - LOOKUP(C539, SweepStudyConfig[StudyId], SweepStudyConfig[OriginalAllocFractionA])) &lt; 0.03</f>
        <v>#VALUE!</v>
      </c>
      <c r="F539" s="3" t="e">
        <f>LOOKUP(C539, SweepStudyConfig[StudyId], SweepStudyConfig[NSweepStratumTotal])</f>
        <v>#VALUE!</v>
      </c>
      <c r="G539" s="3" t="e">
        <f>ROUND(F539 * D539)</f>
        <v>#VALUE!</v>
      </c>
      <c r="H539" s="3" t="e">
        <f>F539 - G539</f>
        <v>#VALUE!</v>
      </c>
      <c r="I539" s="3" t="e">
        <f>LOOKUP(C539, SweepStudyConfig[StudyId], SweepStudyConfig[NFixedA])</f>
        <v>#VALUE!</v>
      </c>
      <c r="J539" s="3" t="e">
        <f>LOOKUP(C539, SweepStudyConfig[StudyId], SweepStudyConfig[NFixedB])</f>
        <v>#VALUE!</v>
      </c>
      <c r="K539" s="3" t="e">
        <f>LOOKUP(C539, SweepStudyConfig[StudyId], SweepStudyConfig[SweepRateA])</f>
        <v>#VALUE!</v>
      </c>
      <c r="L539" s="3" t="e">
        <f>LOOKUP(C539, SweepStudyConfig[StudyId], SweepStudyConfig[SweepRateB])</f>
        <v>#VALUE!</v>
      </c>
      <c r="M539" s="3" t="e">
        <f>LOOKUP(C539, SweepStudyConfig[StudyId], SweepStudyConfig[FixedRateA])</f>
        <v>#VALUE!</v>
      </c>
      <c r="N539" s="3" t="e">
        <f>LOOKUP(C539, SweepStudyConfig[StudyId], SweepStudyConfig[FixedRateB])</f>
        <v>#VALUE!</v>
      </c>
      <c r="O539" s="3" t="e">
        <f>IF(G539 + I539 = 0, "", (G539 * K539 + I539 * M539) / (G539 + I539))</f>
        <v>#VALUE!</v>
      </c>
      <c r="P539" s="3" t="e">
        <f>IF(H539 + J539 = 0, "", (H539 * L539 + J539 * N539) / (H539 + J539))</f>
        <v>#VALUE!</v>
      </c>
      <c r="Q539" s="3" t="e">
        <f>IF(O539 = "", "", O539 - P539)</f>
        <v>#VALUE!</v>
      </c>
      <c r="R539" s="3" t="e">
        <f>LOOKUP(C539, SweepStudyConfig[StudyId], SweepStudyConfig[SweepCorrectedGap])</f>
        <v>#VALUE!</v>
      </c>
      <c r="S539" s="3" t="e">
        <f>IF(Q539 = "", "", Q539 - R539)</f>
        <v>#VALUE!</v>
      </c>
    </row>
    <row r="540">
      <c r="A540" s="2" t="s">
        <v>3828</v>
      </c>
      <c r="B540" s="3" t="str">
        <f>A540</f>
        <v>cochran-smoking-1968-f085</v>
      </c>
      <c r="C540" s="2" t="s">
        <v>617</v>
      </c>
      <c r="D540" s="2">
        <v>0.85</v>
      </c>
      <c r="E540" s="3" t="e">
        <f>ABS(D540 - LOOKUP(C540, SweepStudyConfig[StudyId], SweepStudyConfig[OriginalAllocFractionA])) &lt; 0.03</f>
        <v>#VALUE!</v>
      </c>
      <c r="F540" s="3" t="e">
        <f>LOOKUP(C540, SweepStudyConfig[StudyId], SweepStudyConfig[NSweepStratumTotal])</f>
        <v>#VALUE!</v>
      </c>
      <c r="G540" s="3" t="e">
        <f>ROUND(F540 * D540)</f>
        <v>#VALUE!</v>
      </c>
      <c r="H540" s="3" t="e">
        <f>F540 - G540</f>
        <v>#VALUE!</v>
      </c>
      <c r="I540" s="3" t="e">
        <f>LOOKUP(C540, SweepStudyConfig[StudyId], SweepStudyConfig[NFixedA])</f>
        <v>#VALUE!</v>
      </c>
      <c r="J540" s="3" t="e">
        <f>LOOKUP(C540, SweepStudyConfig[StudyId], SweepStudyConfig[NFixedB])</f>
        <v>#VALUE!</v>
      </c>
      <c r="K540" s="3" t="e">
        <f>LOOKUP(C540, SweepStudyConfig[StudyId], SweepStudyConfig[SweepRateA])</f>
        <v>#VALUE!</v>
      </c>
      <c r="L540" s="3" t="e">
        <f>LOOKUP(C540, SweepStudyConfig[StudyId], SweepStudyConfig[SweepRateB])</f>
        <v>#VALUE!</v>
      </c>
      <c r="M540" s="3" t="e">
        <f>LOOKUP(C540, SweepStudyConfig[StudyId], SweepStudyConfig[FixedRateA])</f>
        <v>#VALUE!</v>
      </c>
      <c r="N540" s="3" t="e">
        <f>LOOKUP(C540, SweepStudyConfig[StudyId], SweepStudyConfig[FixedRateB])</f>
        <v>#VALUE!</v>
      </c>
      <c r="O540" s="3" t="e">
        <f>IF(G540 + I540 = 0, "", (G540 * K540 + I540 * M540) / (G540 + I540))</f>
        <v>#VALUE!</v>
      </c>
      <c r="P540" s="3" t="e">
        <f>IF(H540 + J540 = 0, "", (H540 * L540 + J540 * N540) / (H540 + J540))</f>
        <v>#VALUE!</v>
      </c>
      <c r="Q540" s="3" t="e">
        <f>IF(O540 = "", "", O540 - P540)</f>
        <v>#VALUE!</v>
      </c>
      <c r="R540" s="3" t="e">
        <f>LOOKUP(C540, SweepStudyConfig[StudyId], SweepStudyConfig[SweepCorrectedGap])</f>
        <v>#VALUE!</v>
      </c>
      <c r="S540" s="3" t="e">
        <f>IF(Q540 = "", "", Q540 - R540)</f>
        <v>#VALUE!</v>
      </c>
    </row>
    <row r="541">
      <c r="A541" s="2" t="s">
        <v>3829</v>
      </c>
      <c r="B541" s="3" t="str">
        <f>A541</f>
        <v>cochran-smoking-1968-f095</v>
      </c>
      <c r="C541" s="2" t="s">
        <v>617</v>
      </c>
      <c r="D541" s="2">
        <v>0.95</v>
      </c>
      <c r="E541" s="3" t="e">
        <f>ABS(D541 - LOOKUP(C541, SweepStudyConfig[StudyId], SweepStudyConfig[OriginalAllocFractionA])) &lt; 0.03</f>
        <v>#VALUE!</v>
      </c>
      <c r="F541" s="3" t="e">
        <f>LOOKUP(C541, SweepStudyConfig[StudyId], SweepStudyConfig[NSweepStratumTotal])</f>
        <v>#VALUE!</v>
      </c>
      <c r="G541" s="3" t="e">
        <f>ROUND(F541 * D541)</f>
        <v>#VALUE!</v>
      </c>
      <c r="H541" s="3" t="e">
        <f>F541 - G541</f>
        <v>#VALUE!</v>
      </c>
      <c r="I541" s="3" t="e">
        <f>LOOKUP(C541, SweepStudyConfig[StudyId], SweepStudyConfig[NFixedA])</f>
        <v>#VALUE!</v>
      </c>
      <c r="J541" s="3" t="e">
        <f>LOOKUP(C541, SweepStudyConfig[StudyId], SweepStudyConfig[NFixedB])</f>
        <v>#VALUE!</v>
      </c>
      <c r="K541" s="3" t="e">
        <f>LOOKUP(C541, SweepStudyConfig[StudyId], SweepStudyConfig[SweepRateA])</f>
        <v>#VALUE!</v>
      </c>
      <c r="L541" s="3" t="e">
        <f>LOOKUP(C541, SweepStudyConfig[StudyId], SweepStudyConfig[SweepRateB])</f>
        <v>#VALUE!</v>
      </c>
      <c r="M541" s="3" t="e">
        <f>LOOKUP(C541, SweepStudyConfig[StudyId], SweepStudyConfig[FixedRateA])</f>
        <v>#VALUE!</v>
      </c>
      <c r="N541" s="3" t="e">
        <f>LOOKUP(C541, SweepStudyConfig[StudyId], SweepStudyConfig[FixedRateB])</f>
        <v>#VALUE!</v>
      </c>
      <c r="O541" s="3" t="e">
        <f>IF(G541 + I541 = 0, "", (G541 * K541 + I541 * M541) / (G541 + I541))</f>
        <v>#VALUE!</v>
      </c>
      <c r="P541" s="3" t="e">
        <f>IF(H541 + J541 = 0, "", (H541 * L541 + J541 * N541) / (H541 + J541))</f>
        <v>#VALUE!</v>
      </c>
      <c r="Q541" s="3" t="e">
        <f>IF(O541 = "", "", O541 - P541)</f>
        <v>#VALUE!</v>
      </c>
      <c r="R541" s="3" t="e">
        <f>LOOKUP(C541, SweepStudyConfig[StudyId], SweepStudyConfig[SweepCorrectedGap])</f>
        <v>#VALUE!</v>
      </c>
      <c r="S541" s="3" t="e">
        <f>IF(Q541 = "", "", Q541 - R541)</f>
        <v>#VALUE!</v>
      </c>
    </row>
    <row r="542">
      <c r="A542" s="2" t="s">
        <v>3830</v>
      </c>
      <c r="B542" s="3" t="str">
        <f>A542</f>
        <v>healthy-worker-mortality-f005</v>
      </c>
      <c r="C542" s="2" t="s">
        <v>621</v>
      </c>
      <c r="D542" s="2">
        <v>0.05</v>
      </c>
      <c r="E542" s="3" t="e">
        <f>ABS(D542 - LOOKUP(C542, SweepStudyConfig[StudyId], SweepStudyConfig[OriginalAllocFractionA])) &lt; 0.03</f>
        <v>#VALUE!</v>
      </c>
      <c r="F542" s="3" t="e">
        <f>LOOKUP(C542, SweepStudyConfig[StudyId], SweepStudyConfig[NSweepStratumTotal])</f>
        <v>#VALUE!</v>
      </c>
      <c r="G542" s="3" t="e">
        <f>ROUND(F542 * D542)</f>
        <v>#VALUE!</v>
      </c>
      <c r="H542" s="3" t="e">
        <f>F542 - G542</f>
        <v>#VALUE!</v>
      </c>
      <c r="I542" s="3" t="e">
        <f>LOOKUP(C542, SweepStudyConfig[StudyId], SweepStudyConfig[NFixedA])</f>
        <v>#VALUE!</v>
      </c>
      <c r="J542" s="3" t="e">
        <f>LOOKUP(C542, SweepStudyConfig[StudyId], SweepStudyConfig[NFixedB])</f>
        <v>#VALUE!</v>
      </c>
      <c r="K542" s="3" t="e">
        <f>LOOKUP(C542, SweepStudyConfig[StudyId], SweepStudyConfig[SweepRateA])</f>
        <v>#VALUE!</v>
      </c>
      <c r="L542" s="3" t="e">
        <f>LOOKUP(C542, SweepStudyConfig[StudyId], SweepStudyConfig[SweepRateB])</f>
        <v>#VALUE!</v>
      </c>
      <c r="M542" s="3" t="e">
        <f>LOOKUP(C542, SweepStudyConfig[StudyId], SweepStudyConfig[FixedRateA])</f>
        <v>#VALUE!</v>
      </c>
      <c r="N542" s="3" t="e">
        <f>LOOKUP(C542, SweepStudyConfig[StudyId], SweepStudyConfig[FixedRateB])</f>
        <v>#VALUE!</v>
      </c>
      <c r="O542" s="3" t="e">
        <f>IF(G542 + I542 = 0, "", (G542 * K542 + I542 * M542) / (G542 + I542))</f>
        <v>#VALUE!</v>
      </c>
      <c r="P542" s="3" t="e">
        <f>IF(H542 + J542 = 0, "", (H542 * L542 + J542 * N542) / (H542 + J542))</f>
        <v>#VALUE!</v>
      </c>
      <c r="Q542" s="3" t="e">
        <f>IF(O542 = "", "", O542 - P542)</f>
        <v>#VALUE!</v>
      </c>
      <c r="R542" s="3" t="e">
        <f>LOOKUP(C542, SweepStudyConfig[StudyId], SweepStudyConfig[SweepCorrectedGap])</f>
        <v>#VALUE!</v>
      </c>
      <c r="S542" s="3" t="e">
        <f>IF(Q542 = "", "", Q542 - R542)</f>
        <v>#VALUE!</v>
      </c>
    </row>
    <row r="543">
      <c r="A543" s="2" t="s">
        <v>3831</v>
      </c>
      <c r="B543" s="3" t="str">
        <f>A543</f>
        <v>healthy-worker-mortality-f015</v>
      </c>
      <c r="C543" s="2" t="s">
        <v>621</v>
      </c>
      <c r="D543" s="2">
        <v>0.15</v>
      </c>
      <c r="E543" s="3" t="e">
        <f>ABS(D543 - LOOKUP(C543, SweepStudyConfig[StudyId], SweepStudyConfig[OriginalAllocFractionA])) &lt; 0.03</f>
        <v>#VALUE!</v>
      </c>
      <c r="F543" s="3" t="e">
        <f>LOOKUP(C543, SweepStudyConfig[StudyId], SweepStudyConfig[NSweepStratumTotal])</f>
        <v>#VALUE!</v>
      </c>
      <c r="G543" s="3" t="e">
        <f>ROUND(F543 * D543)</f>
        <v>#VALUE!</v>
      </c>
      <c r="H543" s="3" t="e">
        <f>F543 - G543</f>
        <v>#VALUE!</v>
      </c>
      <c r="I543" s="3" t="e">
        <f>LOOKUP(C543, SweepStudyConfig[StudyId], SweepStudyConfig[NFixedA])</f>
        <v>#VALUE!</v>
      </c>
      <c r="J543" s="3" t="e">
        <f>LOOKUP(C543, SweepStudyConfig[StudyId], SweepStudyConfig[NFixedB])</f>
        <v>#VALUE!</v>
      </c>
      <c r="K543" s="3" t="e">
        <f>LOOKUP(C543, SweepStudyConfig[StudyId], SweepStudyConfig[SweepRateA])</f>
        <v>#VALUE!</v>
      </c>
      <c r="L543" s="3" t="e">
        <f>LOOKUP(C543, SweepStudyConfig[StudyId], SweepStudyConfig[SweepRateB])</f>
        <v>#VALUE!</v>
      </c>
      <c r="M543" s="3" t="e">
        <f>LOOKUP(C543, SweepStudyConfig[StudyId], SweepStudyConfig[FixedRateA])</f>
        <v>#VALUE!</v>
      </c>
      <c r="N543" s="3" t="e">
        <f>LOOKUP(C543, SweepStudyConfig[StudyId], SweepStudyConfig[FixedRateB])</f>
        <v>#VALUE!</v>
      </c>
      <c r="O543" s="3" t="e">
        <f>IF(G543 + I543 = 0, "", (G543 * K543 + I543 * M543) / (G543 + I543))</f>
        <v>#VALUE!</v>
      </c>
      <c r="P543" s="3" t="e">
        <f>IF(H543 + J543 = 0, "", (H543 * L543 + J543 * N543) / (H543 + J543))</f>
        <v>#VALUE!</v>
      </c>
      <c r="Q543" s="3" t="e">
        <f>IF(O543 = "", "", O543 - P543)</f>
        <v>#VALUE!</v>
      </c>
      <c r="R543" s="3" t="e">
        <f>LOOKUP(C543, SweepStudyConfig[StudyId], SweepStudyConfig[SweepCorrectedGap])</f>
        <v>#VALUE!</v>
      </c>
      <c r="S543" s="3" t="e">
        <f>IF(Q543 = "", "", Q543 - R543)</f>
        <v>#VALUE!</v>
      </c>
    </row>
    <row r="544">
      <c r="A544" s="2" t="s">
        <v>3832</v>
      </c>
      <c r="B544" s="3" t="str">
        <f>A544</f>
        <v>healthy-worker-mortality-f025</v>
      </c>
      <c r="C544" s="2" t="s">
        <v>621</v>
      </c>
      <c r="D544" s="2">
        <v>0.25</v>
      </c>
      <c r="E544" s="3" t="e">
        <f>ABS(D544 - LOOKUP(C544, SweepStudyConfig[StudyId], SweepStudyConfig[OriginalAllocFractionA])) &lt; 0.03</f>
        <v>#VALUE!</v>
      </c>
      <c r="F544" s="3" t="e">
        <f>LOOKUP(C544, SweepStudyConfig[StudyId], SweepStudyConfig[NSweepStratumTotal])</f>
        <v>#VALUE!</v>
      </c>
      <c r="G544" s="3" t="e">
        <f>ROUND(F544 * D544)</f>
        <v>#VALUE!</v>
      </c>
      <c r="H544" s="3" t="e">
        <f>F544 - G544</f>
        <v>#VALUE!</v>
      </c>
      <c r="I544" s="3" t="e">
        <f>LOOKUP(C544, SweepStudyConfig[StudyId], SweepStudyConfig[NFixedA])</f>
        <v>#VALUE!</v>
      </c>
      <c r="J544" s="3" t="e">
        <f>LOOKUP(C544, SweepStudyConfig[StudyId], SweepStudyConfig[NFixedB])</f>
        <v>#VALUE!</v>
      </c>
      <c r="K544" s="3" t="e">
        <f>LOOKUP(C544, SweepStudyConfig[StudyId], SweepStudyConfig[SweepRateA])</f>
        <v>#VALUE!</v>
      </c>
      <c r="L544" s="3" t="e">
        <f>LOOKUP(C544, SweepStudyConfig[StudyId], SweepStudyConfig[SweepRateB])</f>
        <v>#VALUE!</v>
      </c>
      <c r="M544" s="3" t="e">
        <f>LOOKUP(C544, SweepStudyConfig[StudyId], SweepStudyConfig[FixedRateA])</f>
        <v>#VALUE!</v>
      </c>
      <c r="N544" s="3" t="e">
        <f>LOOKUP(C544, SweepStudyConfig[StudyId], SweepStudyConfig[FixedRateB])</f>
        <v>#VALUE!</v>
      </c>
      <c r="O544" s="3" t="e">
        <f>IF(G544 + I544 = 0, "", (G544 * K544 + I544 * M544) / (G544 + I544))</f>
        <v>#VALUE!</v>
      </c>
      <c r="P544" s="3" t="e">
        <f>IF(H544 + J544 = 0, "", (H544 * L544 + J544 * N544) / (H544 + J544))</f>
        <v>#VALUE!</v>
      </c>
      <c r="Q544" s="3" t="e">
        <f>IF(O544 = "", "", O544 - P544)</f>
        <v>#VALUE!</v>
      </c>
      <c r="R544" s="3" t="e">
        <f>LOOKUP(C544, SweepStudyConfig[StudyId], SweepStudyConfig[SweepCorrectedGap])</f>
        <v>#VALUE!</v>
      </c>
      <c r="S544" s="3" t="e">
        <f>IF(Q544 = "", "", Q544 - R544)</f>
        <v>#VALUE!</v>
      </c>
    </row>
    <row r="545">
      <c r="A545" s="2" t="s">
        <v>3833</v>
      </c>
      <c r="B545" s="3" t="str">
        <f>A545</f>
        <v>healthy-worker-mortality-f035</v>
      </c>
      <c r="C545" s="2" t="s">
        <v>621</v>
      </c>
      <c r="D545" s="2">
        <v>0.35</v>
      </c>
      <c r="E545" s="3" t="e">
        <f>ABS(D545 - LOOKUP(C545, SweepStudyConfig[StudyId], SweepStudyConfig[OriginalAllocFractionA])) &lt; 0.03</f>
        <v>#VALUE!</v>
      </c>
      <c r="F545" s="3" t="e">
        <f>LOOKUP(C545, SweepStudyConfig[StudyId], SweepStudyConfig[NSweepStratumTotal])</f>
        <v>#VALUE!</v>
      </c>
      <c r="G545" s="3" t="e">
        <f>ROUND(F545 * D545)</f>
        <v>#VALUE!</v>
      </c>
      <c r="H545" s="3" t="e">
        <f>F545 - G545</f>
        <v>#VALUE!</v>
      </c>
      <c r="I545" s="3" t="e">
        <f>LOOKUP(C545, SweepStudyConfig[StudyId], SweepStudyConfig[NFixedA])</f>
        <v>#VALUE!</v>
      </c>
      <c r="J545" s="3" t="e">
        <f>LOOKUP(C545, SweepStudyConfig[StudyId], SweepStudyConfig[NFixedB])</f>
        <v>#VALUE!</v>
      </c>
      <c r="K545" s="3" t="e">
        <f>LOOKUP(C545, SweepStudyConfig[StudyId], SweepStudyConfig[SweepRateA])</f>
        <v>#VALUE!</v>
      </c>
      <c r="L545" s="3" t="e">
        <f>LOOKUP(C545, SweepStudyConfig[StudyId], SweepStudyConfig[SweepRateB])</f>
        <v>#VALUE!</v>
      </c>
      <c r="M545" s="3" t="e">
        <f>LOOKUP(C545, SweepStudyConfig[StudyId], SweepStudyConfig[FixedRateA])</f>
        <v>#VALUE!</v>
      </c>
      <c r="N545" s="3" t="e">
        <f>LOOKUP(C545, SweepStudyConfig[StudyId], SweepStudyConfig[FixedRateB])</f>
        <v>#VALUE!</v>
      </c>
      <c r="O545" s="3" t="e">
        <f>IF(G545 + I545 = 0, "", (G545 * K545 + I545 * M545) / (G545 + I545))</f>
        <v>#VALUE!</v>
      </c>
      <c r="P545" s="3" t="e">
        <f>IF(H545 + J545 = 0, "", (H545 * L545 + J545 * N545) / (H545 + J545))</f>
        <v>#VALUE!</v>
      </c>
      <c r="Q545" s="3" t="e">
        <f>IF(O545 = "", "", O545 - P545)</f>
        <v>#VALUE!</v>
      </c>
      <c r="R545" s="3" t="e">
        <f>LOOKUP(C545, SweepStudyConfig[StudyId], SweepStudyConfig[SweepCorrectedGap])</f>
        <v>#VALUE!</v>
      </c>
      <c r="S545" s="3" t="e">
        <f>IF(Q545 = "", "", Q545 - R545)</f>
        <v>#VALUE!</v>
      </c>
    </row>
    <row r="546">
      <c r="A546" s="2" t="s">
        <v>3834</v>
      </c>
      <c r="B546" s="3" t="str">
        <f>A546</f>
        <v>healthy-worker-mortality-f045</v>
      </c>
      <c r="C546" s="2" t="s">
        <v>621</v>
      </c>
      <c r="D546" s="2">
        <v>0.45</v>
      </c>
      <c r="E546" s="3" t="e">
        <f>ABS(D546 - LOOKUP(C546, SweepStudyConfig[StudyId], SweepStudyConfig[OriginalAllocFractionA])) &lt; 0.03</f>
        <v>#VALUE!</v>
      </c>
      <c r="F546" s="3" t="e">
        <f>LOOKUP(C546, SweepStudyConfig[StudyId], SweepStudyConfig[NSweepStratumTotal])</f>
        <v>#VALUE!</v>
      </c>
      <c r="G546" s="3" t="e">
        <f>ROUND(F546 * D546)</f>
        <v>#VALUE!</v>
      </c>
      <c r="H546" s="3" t="e">
        <f>F546 - G546</f>
        <v>#VALUE!</v>
      </c>
      <c r="I546" s="3" t="e">
        <f>LOOKUP(C546, SweepStudyConfig[StudyId], SweepStudyConfig[NFixedA])</f>
        <v>#VALUE!</v>
      </c>
      <c r="J546" s="3" t="e">
        <f>LOOKUP(C546, SweepStudyConfig[StudyId], SweepStudyConfig[NFixedB])</f>
        <v>#VALUE!</v>
      </c>
      <c r="K546" s="3" t="e">
        <f>LOOKUP(C546, SweepStudyConfig[StudyId], SweepStudyConfig[SweepRateA])</f>
        <v>#VALUE!</v>
      </c>
      <c r="L546" s="3" t="e">
        <f>LOOKUP(C546, SweepStudyConfig[StudyId], SweepStudyConfig[SweepRateB])</f>
        <v>#VALUE!</v>
      </c>
      <c r="M546" s="3" t="e">
        <f>LOOKUP(C546, SweepStudyConfig[StudyId], SweepStudyConfig[FixedRateA])</f>
        <v>#VALUE!</v>
      </c>
      <c r="N546" s="3" t="e">
        <f>LOOKUP(C546, SweepStudyConfig[StudyId], SweepStudyConfig[FixedRateB])</f>
        <v>#VALUE!</v>
      </c>
      <c r="O546" s="3" t="e">
        <f>IF(G546 + I546 = 0, "", (G546 * K546 + I546 * M546) / (G546 + I546))</f>
        <v>#VALUE!</v>
      </c>
      <c r="P546" s="3" t="e">
        <f>IF(H546 + J546 = 0, "", (H546 * L546 + J546 * N546) / (H546 + J546))</f>
        <v>#VALUE!</v>
      </c>
      <c r="Q546" s="3" t="e">
        <f>IF(O546 = "", "", O546 - P546)</f>
        <v>#VALUE!</v>
      </c>
      <c r="R546" s="3" t="e">
        <f>LOOKUP(C546, SweepStudyConfig[StudyId], SweepStudyConfig[SweepCorrectedGap])</f>
        <v>#VALUE!</v>
      </c>
      <c r="S546" s="3" t="e">
        <f>IF(Q546 = "", "", Q546 - R546)</f>
        <v>#VALUE!</v>
      </c>
    </row>
    <row r="547">
      <c r="A547" s="2" t="s">
        <v>3835</v>
      </c>
      <c r="B547" s="3" t="str">
        <f>A547</f>
        <v>healthy-worker-mortality-f055</v>
      </c>
      <c r="C547" s="2" t="s">
        <v>621</v>
      </c>
      <c r="D547" s="2">
        <v>0.55</v>
      </c>
      <c r="E547" s="3" t="e">
        <f>ABS(D547 - LOOKUP(C547, SweepStudyConfig[StudyId], SweepStudyConfig[OriginalAllocFractionA])) &lt; 0.03</f>
        <v>#VALUE!</v>
      </c>
      <c r="F547" s="3" t="e">
        <f>LOOKUP(C547, SweepStudyConfig[StudyId], SweepStudyConfig[NSweepStratumTotal])</f>
        <v>#VALUE!</v>
      </c>
      <c r="G547" s="3" t="e">
        <f>ROUND(F547 * D547)</f>
        <v>#VALUE!</v>
      </c>
      <c r="H547" s="3" t="e">
        <f>F547 - G547</f>
        <v>#VALUE!</v>
      </c>
      <c r="I547" s="3" t="e">
        <f>LOOKUP(C547, SweepStudyConfig[StudyId], SweepStudyConfig[NFixedA])</f>
        <v>#VALUE!</v>
      </c>
      <c r="J547" s="3" t="e">
        <f>LOOKUP(C547, SweepStudyConfig[StudyId], SweepStudyConfig[NFixedB])</f>
        <v>#VALUE!</v>
      </c>
      <c r="K547" s="3" t="e">
        <f>LOOKUP(C547, SweepStudyConfig[StudyId], SweepStudyConfig[SweepRateA])</f>
        <v>#VALUE!</v>
      </c>
      <c r="L547" s="3" t="e">
        <f>LOOKUP(C547, SweepStudyConfig[StudyId], SweepStudyConfig[SweepRateB])</f>
        <v>#VALUE!</v>
      </c>
      <c r="M547" s="3" t="e">
        <f>LOOKUP(C547, SweepStudyConfig[StudyId], SweepStudyConfig[FixedRateA])</f>
        <v>#VALUE!</v>
      </c>
      <c r="N547" s="3" t="e">
        <f>LOOKUP(C547, SweepStudyConfig[StudyId], SweepStudyConfig[FixedRateB])</f>
        <v>#VALUE!</v>
      </c>
      <c r="O547" s="3" t="e">
        <f>IF(G547 + I547 = 0, "", (G547 * K547 + I547 * M547) / (G547 + I547))</f>
        <v>#VALUE!</v>
      </c>
      <c r="P547" s="3" t="e">
        <f>IF(H547 + J547 = 0, "", (H547 * L547 + J547 * N547) / (H547 + J547))</f>
        <v>#VALUE!</v>
      </c>
      <c r="Q547" s="3" t="e">
        <f>IF(O547 = "", "", O547 - P547)</f>
        <v>#VALUE!</v>
      </c>
      <c r="R547" s="3" t="e">
        <f>LOOKUP(C547, SweepStudyConfig[StudyId], SweepStudyConfig[SweepCorrectedGap])</f>
        <v>#VALUE!</v>
      </c>
      <c r="S547" s="3" t="e">
        <f>IF(Q547 = "", "", Q547 - R547)</f>
        <v>#VALUE!</v>
      </c>
    </row>
    <row r="548">
      <c r="A548" s="2" t="s">
        <v>3836</v>
      </c>
      <c r="B548" s="3" t="str">
        <f>A548</f>
        <v>healthy-worker-mortality-f065</v>
      </c>
      <c r="C548" s="2" t="s">
        <v>621</v>
      </c>
      <c r="D548" s="2">
        <v>0.65</v>
      </c>
      <c r="E548" s="3" t="e">
        <f>ABS(D548 - LOOKUP(C548, SweepStudyConfig[StudyId], SweepStudyConfig[OriginalAllocFractionA])) &lt; 0.03</f>
        <v>#VALUE!</v>
      </c>
      <c r="F548" s="3" t="e">
        <f>LOOKUP(C548, SweepStudyConfig[StudyId], SweepStudyConfig[NSweepStratumTotal])</f>
        <v>#VALUE!</v>
      </c>
      <c r="G548" s="3" t="e">
        <f>ROUND(F548 * D548)</f>
        <v>#VALUE!</v>
      </c>
      <c r="H548" s="3" t="e">
        <f>F548 - G548</f>
        <v>#VALUE!</v>
      </c>
      <c r="I548" s="3" t="e">
        <f>LOOKUP(C548, SweepStudyConfig[StudyId], SweepStudyConfig[NFixedA])</f>
        <v>#VALUE!</v>
      </c>
      <c r="J548" s="3" t="e">
        <f>LOOKUP(C548, SweepStudyConfig[StudyId], SweepStudyConfig[NFixedB])</f>
        <v>#VALUE!</v>
      </c>
      <c r="K548" s="3" t="e">
        <f>LOOKUP(C548, SweepStudyConfig[StudyId], SweepStudyConfig[SweepRateA])</f>
        <v>#VALUE!</v>
      </c>
      <c r="L548" s="3" t="e">
        <f>LOOKUP(C548, SweepStudyConfig[StudyId], SweepStudyConfig[SweepRateB])</f>
        <v>#VALUE!</v>
      </c>
      <c r="M548" s="3" t="e">
        <f>LOOKUP(C548, SweepStudyConfig[StudyId], SweepStudyConfig[FixedRateA])</f>
        <v>#VALUE!</v>
      </c>
      <c r="N548" s="3" t="e">
        <f>LOOKUP(C548, SweepStudyConfig[StudyId], SweepStudyConfig[FixedRateB])</f>
        <v>#VALUE!</v>
      </c>
      <c r="O548" s="3" t="e">
        <f>IF(G548 + I548 = 0, "", (G548 * K548 + I548 * M548) / (G548 + I548))</f>
        <v>#VALUE!</v>
      </c>
      <c r="P548" s="3" t="e">
        <f>IF(H548 + J548 = 0, "", (H548 * L548 + J548 * N548) / (H548 + J548))</f>
        <v>#VALUE!</v>
      </c>
      <c r="Q548" s="3" t="e">
        <f>IF(O548 = "", "", O548 - P548)</f>
        <v>#VALUE!</v>
      </c>
      <c r="R548" s="3" t="e">
        <f>LOOKUP(C548, SweepStudyConfig[StudyId], SweepStudyConfig[SweepCorrectedGap])</f>
        <v>#VALUE!</v>
      </c>
      <c r="S548" s="3" t="e">
        <f>IF(Q548 = "", "", Q548 - R548)</f>
        <v>#VALUE!</v>
      </c>
    </row>
    <row r="549">
      <c r="A549" s="2" t="s">
        <v>3837</v>
      </c>
      <c r="B549" s="3" t="str">
        <f>A549</f>
        <v>healthy-worker-mortality-f075</v>
      </c>
      <c r="C549" s="2" t="s">
        <v>621</v>
      </c>
      <c r="D549" s="2">
        <v>0.75</v>
      </c>
      <c r="E549" s="3" t="e">
        <f>ABS(D549 - LOOKUP(C549, SweepStudyConfig[StudyId], SweepStudyConfig[OriginalAllocFractionA])) &lt; 0.03</f>
        <v>#VALUE!</v>
      </c>
      <c r="F549" s="3" t="e">
        <f>LOOKUP(C549, SweepStudyConfig[StudyId], SweepStudyConfig[NSweepStratumTotal])</f>
        <v>#VALUE!</v>
      </c>
      <c r="G549" s="3" t="e">
        <f>ROUND(F549 * D549)</f>
        <v>#VALUE!</v>
      </c>
      <c r="H549" s="3" t="e">
        <f>F549 - G549</f>
        <v>#VALUE!</v>
      </c>
      <c r="I549" s="3" t="e">
        <f>LOOKUP(C549, SweepStudyConfig[StudyId], SweepStudyConfig[NFixedA])</f>
        <v>#VALUE!</v>
      </c>
      <c r="J549" s="3" t="e">
        <f>LOOKUP(C549, SweepStudyConfig[StudyId], SweepStudyConfig[NFixedB])</f>
        <v>#VALUE!</v>
      </c>
      <c r="K549" s="3" t="e">
        <f>LOOKUP(C549, SweepStudyConfig[StudyId], SweepStudyConfig[SweepRateA])</f>
        <v>#VALUE!</v>
      </c>
      <c r="L549" s="3" t="e">
        <f>LOOKUP(C549, SweepStudyConfig[StudyId], SweepStudyConfig[SweepRateB])</f>
        <v>#VALUE!</v>
      </c>
      <c r="M549" s="3" t="e">
        <f>LOOKUP(C549, SweepStudyConfig[StudyId], SweepStudyConfig[FixedRateA])</f>
        <v>#VALUE!</v>
      </c>
      <c r="N549" s="3" t="e">
        <f>LOOKUP(C549, SweepStudyConfig[StudyId], SweepStudyConfig[FixedRateB])</f>
        <v>#VALUE!</v>
      </c>
      <c r="O549" s="3" t="e">
        <f>IF(G549 + I549 = 0, "", (G549 * K549 + I549 * M549) / (G549 + I549))</f>
        <v>#VALUE!</v>
      </c>
      <c r="P549" s="3" t="e">
        <f>IF(H549 + J549 = 0, "", (H549 * L549 + J549 * N549) / (H549 + J549))</f>
        <v>#VALUE!</v>
      </c>
      <c r="Q549" s="3" t="e">
        <f>IF(O549 = "", "", O549 - P549)</f>
        <v>#VALUE!</v>
      </c>
      <c r="R549" s="3" t="e">
        <f>LOOKUP(C549, SweepStudyConfig[StudyId], SweepStudyConfig[SweepCorrectedGap])</f>
        <v>#VALUE!</v>
      </c>
      <c r="S549" s="3" t="e">
        <f>IF(Q549 = "", "", Q549 - R549)</f>
        <v>#VALUE!</v>
      </c>
    </row>
    <row r="550">
      <c r="A550" s="2" t="s">
        <v>3838</v>
      </c>
      <c r="B550" s="3" t="str">
        <f>A550</f>
        <v>healthy-worker-mortality-f085</v>
      </c>
      <c r="C550" s="2" t="s">
        <v>621</v>
      </c>
      <c r="D550" s="2">
        <v>0.85</v>
      </c>
      <c r="E550" s="3" t="e">
        <f>ABS(D550 - LOOKUP(C550, SweepStudyConfig[StudyId], SweepStudyConfig[OriginalAllocFractionA])) &lt; 0.03</f>
        <v>#VALUE!</v>
      </c>
      <c r="F550" s="3" t="e">
        <f>LOOKUP(C550, SweepStudyConfig[StudyId], SweepStudyConfig[NSweepStratumTotal])</f>
        <v>#VALUE!</v>
      </c>
      <c r="G550" s="3" t="e">
        <f>ROUND(F550 * D550)</f>
        <v>#VALUE!</v>
      </c>
      <c r="H550" s="3" t="e">
        <f>F550 - G550</f>
        <v>#VALUE!</v>
      </c>
      <c r="I550" s="3" t="e">
        <f>LOOKUP(C550, SweepStudyConfig[StudyId], SweepStudyConfig[NFixedA])</f>
        <v>#VALUE!</v>
      </c>
      <c r="J550" s="3" t="e">
        <f>LOOKUP(C550, SweepStudyConfig[StudyId], SweepStudyConfig[NFixedB])</f>
        <v>#VALUE!</v>
      </c>
      <c r="K550" s="3" t="e">
        <f>LOOKUP(C550, SweepStudyConfig[StudyId], SweepStudyConfig[SweepRateA])</f>
        <v>#VALUE!</v>
      </c>
      <c r="L550" s="3" t="e">
        <f>LOOKUP(C550, SweepStudyConfig[StudyId], SweepStudyConfig[SweepRateB])</f>
        <v>#VALUE!</v>
      </c>
      <c r="M550" s="3" t="e">
        <f>LOOKUP(C550, SweepStudyConfig[StudyId], SweepStudyConfig[FixedRateA])</f>
        <v>#VALUE!</v>
      </c>
      <c r="N550" s="3" t="e">
        <f>LOOKUP(C550, SweepStudyConfig[StudyId], SweepStudyConfig[FixedRateB])</f>
        <v>#VALUE!</v>
      </c>
      <c r="O550" s="3" t="e">
        <f>IF(G550 + I550 = 0, "", (G550 * K550 + I550 * M550) / (G550 + I550))</f>
        <v>#VALUE!</v>
      </c>
      <c r="P550" s="3" t="e">
        <f>IF(H550 + J550 = 0, "", (H550 * L550 + J550 * N550) / (H550 + J550))</f>
        <v>#VALUE!</v>
      </c>
      <c r="Q550" s="3" t="e">
        <f>IF(O550 = "", "", O550 - P550)</f>
        <v>#VALUE!</v>
      </c>
      <c r="R550" s="3" t="e">
        <f>LOOKUP(C550, SweepStudyConfig[StudyId], SweepStudyConfig[SweepCorrectedGap])</f>
        <v>#VALUE!</v>
      </c>
      <c r="S550" s="3" t="e">
        <f>IF(Q550 = "", "", Q550 - R550)</f>
        <v>#VALUE!</v>
      </c>
    </row>
    <row r="551">
      <c r="A551" s="2" t="s">
        <v>3839</v>
      </c>
      <c r="B551" s="3" t="str">
        <f>A551</f>
        <v>healthy-worker-mortality-f095</v>
      </c>
      <c r="C551" s="2" t="s">
        <v>621</v>
      </c>
      <c r="D551" s="2">
        <v>0.95</v>
      </c>
      <c r="E551" s="3" t="e">
        <f>ABS(D551 - LOOKUP(C551, SweepStudyConfig[StudyId], SweepStudyConfig[OriginalAllocFractionA])) &lt; 0.03</f>
        <v>#VALUE!</v>
      </c>
      <c r="F551" s="3" t="e">
        <f>LOOKUP(C551, SweepStudyConfig[StudyId], SweepStudyConfig[NSweepStratumTotal])</f>
        <v>#VALUE!</v>
      </c>
      <c r="G551" s="3" t="e">
        <f>ROUND(F551 * D551)</f>
        <v>#VALUE!</v>
      </c>
      <c r="H551" s="3" t="e">
        <f>F551 - G551</f>
        <v>#VALUE!</v>
      </c>
      <c r="I551" s="3" t="e">
        <f>LOOKUP(C551, SweepStudyConfig[StudyId], SweepStudyConfig[NFixedA])</f>
        <v>#VALUE!</v>
      </c>
      <c r="J551" s="3" t="e">
        <f>LOOKUP(C551, SweepStudyConfig[StudyId], SweepStudyConfig[NFixedB])</f>
        <v>#VALUE!</v>
      </c>
      <c r="K551" s="3" t="e">
        <f>LOOKUP(C551, SweepStudyConfig[StudyId], SweepStudyConfig[SweepRateA])</f>
        <v>#VALUE!</v>
      </c>
      <c r="L551" s="3" t="e">
        <f>LOOKUP(C551, SweepStudyConfig[StudyId], SweepStudyConfig[SweepRateB])</f>
        <v>#VALUE!</v>
      </c>
      <c r="M551" s="3" t="e">
        <f>LOOKUP(C551, SweepStudyConfig[StudyId], SweepStudyConfig[FixedRateA])</f>
        <v>#VALUE!</v>
      </c>
      <c r="N551" s="3" t="e">
        <f>LOOKUP(C551, SweepStudyConfig[StudyId], SweepStudyConfig[FixedRateB])</f>
        <v>#VALUE!</v>
      </c>
      <c r="O551" s="3" t="e">
        <f>IF(G551 + I551 = 0, "", (G551 * K551 + I551 * M551) / (G551 + I551))</f>
        <v>#VALUE!</v>
      </c>
      <c r="P551" s="3" t="e">
        <f>IF(H551 + J551 = 0, "", (H551 * L551 + J551 * N551) / (H551 + J551))</f>
        <v>#VALUE!</v>
      </c>
      <c r="Q551" s="3" t="e">
        <f>IF(O551 = "", "", O551 - P551)</f>
        <v>#VALUE!</v>
      </c>
      <c r="R551" s="3" t="e">
        <f>LOOKUP(C551, SweepStudyConfig[StudyId], SweepStudyConfig[SweepCorrectedGap])</f>
        <v>#VALUE!</v>
      </c>
      <c r="S551" s="3" t="e">
        <f>IF(Q551 = "", "", Q551 - R551)</f>
        <v>#VALUE!</v>
      </c>
    </row>
    <row r="552">
      <c r="A552" s="2" t="s">
        <v>3840</v>
      </c>
      <c r="B552" s="3" t="str">
        <f>A552</f>
        <v>compas-recidivism-base-f005</v>
      </c>
      <c r="C552" s="2" t="s">
        <v>624</v>
      </c>
      <c r="D552" s="2">
        <v>0.05</v>
      </c>
      <c r="E552" s="3" t="e">
        <f>ABS(D552 - LOOKUP(C552, SweepStudyConfig[StudyId], SweepStudyConfig[OriginalAllocFractionA])) &lt; 0.03</f>
        <v>#VALUE!</v>
      </c>
      <c r="F552" s="3" t="e">
        <f>LOOKUP(C552, SweepStudyConfig[StudyId], SweepStudyConfig[NSweepStratumTotal])</f>
        <v>#VALUE!</v>
      </c>
      <c r="G552" s="3" t="e">
        <f>ROUND(F552 * D552)</f>
        <v>#VALUE!</v>
      </c>
      <c r="H552" s="3" t="e">
        <f>F552 - G552</f>
        <v>#VALUE!</v>
      </c>
      <c r="I552" s="3" t="e">
        <f>LOOKUP(C552, SweepStudyConfig[StudyId], SweepStudyConfig[NFixedA])</f>
        <v>#VALUE!</v>
      </c>
      <c r="J552" s="3" t="e">
        <f>LOOKUP(C552, SweepStudyConfig[StudyId], SweepStudyConfig[NFixedB])</f>
        <v>#VALUE!</v>
      </c>
      <c r="K552" s="3" t="e">
        <f>LOOKUP(C552, SweepStudyConfig[StudyId], SweepStudyConfig[SweepRateA])</f>
        <v>#VALUE!</v>
      </c>
      <c r="L552" s="3" t="e">
        <f>LOOKUP(C552, SweepStudyConfig[StudyId], SweepStudyConfig[SweepRateB])</f>
        <v>#VALUE!</v>
      </c>
      <c r="M552" s="3" t="e">
        <f>LOOKUP(C552, SweepStudyConfig[StudyId], SweepStudyConfig[FixedRateA])</f>
        <v>#VALUE!</v>
      </c>
      <c r="N552" s="3" t="e">
        <f>LOOKUP(C552, SweepStudyConfig[StudyId], SweepStudyConfig[FixedRateB])</f>
        <v>#VALUE!</v>
      </c>
      <c r="O552" s="3" t="e">
        <f>IF(G552 + I552 = 0, "", (G552 * K552 + I552 * M552) / (G552 + I552))</f>
        <v>#VALUE!</v>
      </c>
      <c r="P552" s="3" t="e">
        <f>IF(H552 + J552 = 0, "", (H552 * L552 + J552 * N552) / (H552 + J552))</f>
        <v>#VALUE!</v>
      </c>
      <c r="Q552" s="3" t="e">
        <f>IF(O552 = "", "", O552 - P552)</f>
        <v>#VALUE!</v>
      </c>
      <c r="R552" s="3" t="e">
        <f>LOOKUP(C552, SweepStudyConfig[StudyId], SweepStudyConfig[SweepCorrectedGap])</f>
        <v>#VALUE!</v>
      </c>
      <c r="S552" s="3" t="e">
        <f>IF(Q552 = "", "", Q552 - R552)</f>
        <v>#VALUE!</v>
      </c>
    </row>
    <row r="553">
      <c r="A553" s="2" t="s">
        <v>3841</v>
      </c>
      <c r="B553" s="3" t="str">
        <f>A553</f>
        <v>compas-recidivism-base-f015</v>
      </c>
      <c r="C553" s="2" t="s">
        <v>624</v>
      </c>
      <c r="D553" s="2">
        <v>0.15</v>
      </c>
      <c r="E553" s="3" t="e">
        <f>ABS(D553 - LOOKUP(C553, SweepStudyConfig[StudyId], SweepStudyConfig[OriginalAllocFractionA])) &lt; 0.03</f>
        <v>#VALUE!</v>
      </c>
      <c r="F553" s="3" t="e">
        <f>LOOKUP(C553, SweepStudyConfig[StudyId], SweepStudyConfig[NSweepStratumTotal])</f>
        <v>#VALUE!</v>
      </c>
      <c r="G553" s="3" t="e">
        <f>ROUND(F553 * D553)</f>
        <v>#VALUE!</v>
      </c>
      <c r="H553" s="3" t="e">
        <f>F553 - G553</f>
        <v>#VALUE!</v>
      </c>
      <c r="I553" s="3" t="e">
        <f>LOOKUP(C553, SweepStudyConfig[StudyId], SweepStudyConfig[NFixedA])</f>
        <v>#VALUE!</v>
      </c>
      <c r="J553" s="3" t="e">
        <f>LOOKUP(C553, SweepStudyConfig[StudyId], SweepStudyConfig[NFixedB])</f>
        <v>#VALUE!</v>
      </c>
      <c r="K553" s="3" t="e">
        <f>LOOKUP(C553, SweepStudyConfig[StudyId], SweepStudyConfig[SweepRateA])</f>
        <v>#VALUE!</v>
      </c>
      <c r="L553" s="3" t="e">
        <f>LOOKUP(C553, SweepStudyConfig[StudyId], SweepStudyConfig[SweepRateB])</f>
        <v>#VALUE!</v>
      </c>
      <c r="M553" s="3" t="e">
        <f>LOOKUP(C553, SweepStudyConfig[StudyId], SweepStudyConfig[FixedRateA])</f>
        <v>#VALUE!</v>
      </c>
      <c r="N553" s="3" t="e">
        <f>LOOKUP(C553, SweepStudyConfig[StudyId], SweepStudyConfig[FixedRateB])</f>
        <v>#VALUE!</v>
      </c>
      <c r="O553" s="3" t="e">
        <f>IF(G553 + I553 = 0, "", (G553 * K553 + I553 * M553) / (G553 + I553))</f>
        <v>#VALUE!</v>
      </c>
      <c r="P553" s="3" t="e">
        <f>IF(H553 + J553 = 0, "", (H553 * L553 + J553 * N553) / (H553 + J553))</f>
        <v>#VALUE!</v>
      </c>
      <c r="Q553" s="3" t="e">
        <f>IF(O553 = "", "", O553 - P553)</f>
        <v>#VALUE!</v>
      </c>
      <c r="R553" s="3" t="e">
        <f>LOOKUP(C553, SweepStudyConfig[StudyId], SweepStudyConfig[SweepCorrectedGap])</f>
        <v>#VALUE!</v>
      </c>
      <c r="S553" s="3" t="e">
        <f>IF(Q553 = "", "", Q553 - R553)</f>
        <v>#VALUE!</v>
      </c>
    </row>
    <row r="554">
      <c r="A554" s="2" t="s">
        <v>3842</v>
      </c>
      <c r="B554" s="3" t="str">
        <f>A554</f>
        <v>compas-recidivism-base-f025</v>
      </c>
      <c r="C554" s="2" t="s">
        <v>624</v>
      </c>
      <c r="D554" s="2">
        <v>0.25</v>
      </c>
      <c r="E554" s="3" t="e">
        <f>ABS(D554 - LOOKUP(C554, SweepStudyConfig[StudyId], SweepStudyConfig[OriginalAllocFractionA])) &lt; 0.03</f>
        <v>#VALUE!</v>
      </c>
      <c r="F554" s="3" t="e">
        <f>LOOKUP(C554, SweepStudyConfig[StudyId], SweepStudyConfig[NSweepStratumTotal])</f>
        <v>#VALUE!</v>
      </c>
      <c r="G554" s="3" t="e">
        <f>ROUND(F554 * D554)</f>
        <v>#VALUE!</v>
      </c>
      <c r="H554" s="3" t="e">
        <f>F554 - G554</f>
        <v>#VALUE!</v>
      </c>
      <c r="I554" s="3" t="e">
        <f>LOOKUP(C554, SweepStudyConfig[StudyId], SweepStudyConfig[NFixedA])</f>
        <v>#VALUE!</v>
      </c>
      <c r="J554" s="3" t="e">
        <f>LOOKUP(C554, SweepStudyConfig[StudyId], SweepStudyConfig[NFixedB])</f>
        <v>#VALUE!</v>
      </c>
      <c r="K554" s="3" t="e">
        <f>LOOKUP(C554, SweepStudyConfig[StudyId], SweepStudyConfig[SweepRateA])</f>
        <v>#VALUE!</v>
      </c>
      <c r="L554" s="3" t="e">
        <f>LOOKUP(C554, SweepStudyConfig[StudyId], SweepStudyConfig[SweepRateB])</f>
        <v>#VALUE!</v>
      </c>
      <c r="M554" s="3" t="e">
        <f>LOOKUP(C554, SweepStudyConfig[StudyId], SweepStudyConfig[FixedRateA])</f>
        <v>#VALUE!</v>
      </c>
      <c r="N554" s="3" t="e">
        <f>LOOKUP(C554, SweepStudyConfig[StudyId], SweepStudyConfig[FixedRateB])</f>
        <v>#VALUE!</v>
      </c>
      <c r="O554" s="3" t="e">
        <f>IF(G554 + I554 = 0, "", (G554 * K554 + I554 * M554) / (G554 + I554))</f>
        <v>#VALUE!</v>
      </c>
      <c r="P554" s="3" t="e">
        <f>IF(H554 + J554 = 0, "", (H554 * L554 + J554 * N554) / (H554 + J554))</f>
        <v>#VALUE!</v>
      </c>
      <c r="Q554" s="3" t="e">
        <f>IF(O554 = "", "", O554 - P554)</f>
        <v>#VALUE!</v>
      </c>
      <c r="R554" s="3" t="e">
        <f>LOOKUP(C554, SweepStudyConfig[StudyId], SweepStudyConfig[SweepCorrectedGap])</f>
        <v>#VALUE!</v>
      </c>
      <c r="S554" s="3" t="e">
        <f>IF(Q554 = "", "", Q554 - R554)</f>
        <v>#VALUE!</v>
      </c>
    </row>
    <row r="555">
      <c r="A555" s="2" t="s">
        <v>3843</v>
      </c>
      <c r="B555" s="3" t="str">
        <f>A555</f>
        <v>compas-recidivism-base-f035</v>
      </c>
      <c r="C555" s="2" t="s">
        <v>624</v>
      </c>
      <c r="D555" s="2">
        <v>0.35</v>
      </c>
      <c r="E555" s="3" t="e">
        <f>ABS(D555 - LOOKUP(C555, SweepStudyConfig[StudyId], SweepStudyConfig[OriginalAllocFractionA])) &lt; 0.03</f>
        <v>#VALUE!</v>
      </c>
      <c r="F555" s="3" t="e">
        <f>LOOKUP(C555, SweepStudyConfig[StudyId], SweepStudyConfig[NSweepStratumTotal])</f>
        <v>#VALUE!</v>
      </c>
      <c r="G555" s="3" t="e">
        <f>ROUND(F555 * D555)</f>
        <v>#VALUE!</v>
      </c>
      <c r="H555" s="3" t="e">
        <f>F555 - G555</f>
        <v>#VALUE!</v>
      </c>
      <c r="I555" s="3" t="e">
        <f>LOOKUP(C555, SweepStudyConfig[StudyId], SweepStudyConfig[NFixedA])</f>
        <v>#VALUE!</v>
      </c>
      <c r="J555" s="3" t="e">
        <f>LOOKUP(C555, SweepStudyConfig[StudyId], SweepStudyConfig[NFixedB])</f>
        <v>#VALUE!</v>
      </c>
      <c r="K555" s="3" t="e">
        <f>LOOKUP(C555, SweepStudyConfig[StudyId], SweepStudyConfig[SweepRateA])</f>
        <v>#VALUE!</v>
      </c>
      <c r="L555" s="3" t="e">
        <f>LOOKUP(C555, SweepStudyConfig[StudyId], SweepStudyConfig[SweepRateB])</f>
        <v>#VALUE!</v>
      </c>
      <c r="M555" s="3" t="e">
        <f>LOOKUP(C555, SweepStudyConfig[StudyId], SweepStudyConfig[FixedRateA])</f>
        <v>#VALUE!</v>
      </c>
      <c r="N555" s="3" t="e">
        <f>LOOKUP(C555, SweepStudyConfig[StudyId], SweepStudyConfig[FixedRateB])</f>
        <v>#VALUE!</v>
      </c>
      <c r="O555" s="3" t="e">
        <f>IF(G555 + I555 = 0, "", (G555 * K555 + I555 * M555) / (G555 + I555))</f>
        <v>#VALUE!</v>
      </c>
      <c r="P555" s="3" t="e">
        <f>IF(H555 + J555 = 0, "", (H555 * L555 + J555 * N555) / (H555 + J555))</f>
        <v>#VALUE!</v>
      </c>
      <c r="Q555" s="3" t="e">
        <f>IF(O555 = "", "", O555 - P555)</f>
        <v>#VALUE!</v>
      </c>
      <c r="R555" s="3" t="e">
        <f>LOOKUP(C555, SweepStudyConfig[StudyId], SweepStudyConfig[SweepCorrectedGap])</f>
        <v>#VALUE!</v>
      </c>
      <c r="S555" s="3" t="e">
        <f>IF(Q555 = "", "", Q555 - R555)</f>
        <v>#VALUE!</v>
      </c>
    </row>
    <row r="556">
      <c r="A556" s="2" t="s">
        <v>3844</v>
      </c>
      <c r="B556" s="3" t="str">
        <f>A556</f>
        <v>compas-recidivism-base-f045</v>
      </c>
      <c r="C556" s="2" t="s">
        <v>624</v>
      </c>
      <c r="D556" s="2">
        <v>0.45</v>
      </c>
      <c r="E556" s="3" t="e">
        <f>ABS(D556 - LOOKUP(C556, SweepStudyConfig[StudyId], SweepStudyConfig[OriginalAllocFractionA])) &lt; 0.03</f>
        <v>#VALUE!</v>
      </c>
      <c r="F556" s="3" t="e">
        <f>LOOKUP(C556, SweepStudyConfig[StudyId], SweepStudyConfig[NSweepStratumTotal])</f>
        <v>#VALUE!</v>
      </c>
      <c r="G556" s="3" t="e">
        <f>ROUND(F556 * D556)</f>
        <v>#VALUE!</v>
      </c>
      <c r="H556" s="3" t="e">
        <f>F556 - G556</f>
        <v>#VALUE!</v>
      </c>
      <c r="I556" s="3" t="e">
        <f>LOOKUP(C556, SweepStudyConfig[StudyId], SweepStudyConfig[NFixedA])</f>
        <v>#VALUE!</v>
      </c>
      <c r="J556" s="3" t="e">
        <f>LOOKUP(C556, SweepStudyConfig[StudyId], SweepStudyConfig[NFixedB])</f>
        <v>#VALUE!</v>
      </c>
      <c r="K556" s="3" t="e">
        <f>LOOKUP(C556, SweepStudyConfig[StudyId], SweepStudyConfig[SweepRateA])</f>
        <v>#VALUE!</v>
      </c>
      <c r="L556" s="3" t="e">
        <f>LOOKUP(C556, SweepStudyConfig[StudyId], SweepStudyConfig[SweepRateB])</f>
        <v>#VALUE!</v>
      </c>
      <c r="M556" s="3" t="e">
        <f>LOOKUP(C556, SweepStudyConfig[StudyId], SweepStudyConfig[FixedRateA])</f>
        <v>#VALUE!</v>
      </c>
      <c r="N556" s="3" t="e">
        <f>LOOKUP(C556, SweepStudyConfig[StudyId], SweepStudyConfig[FixedRateB])</f>
        <v>#VALUE!</v>
      </c>
      <c r="O556" s="3" t="e">
        <f>IF(G556 + I556 = 0, "", (G556 * K556 + I556 * M556) / (G556 + I556))</f>
        <v>#VALUE!</v>
      </c>
      <c r="P556" s="3" t="e">
        <f>IF(H556 + J556 = 0, "", (H556 * L556 + J556 * N556) / (H556 + J556))</f>
        <v>#VALUE!</v>
      </c>
      <c r="Q556" s="3" t="e">
        <f>IF(O556 = "", "", O556 - P556)</f>
        <v>#VALUE!</v>
      </c>
      <c r="R556" s="3" t="e">
        <f>LOOKUP(C556, SweepStudyConfig[StudyId], SweepStudyConfig[SweepCorrectedGap])</f>
        <v>#VALUE!</v>
      </c>
      <c r="S556" s="3" t="e">
        <f>IF(Q556 = "", "", Q556 - R556)</f>
        <v>#VALUE!</v>
      </c>
    </row>
    <row r="557">
      <c r="A557" s="2" t="s">
        <v>3845</v>
      </c>
      <c r="B557" s="3" t="str">
        <f>A557</f>
        <v>compas-recidivism-base-f055</v>
      </c>
      <c r="C557" s="2" t="s">
        <v>624</v>
      </c>
      <c r="D557" s="2">
        <v>0.55</v>
      </c>
      <c r="E557" s="3" t="e">
        <f>ABS(D557 - LOOKUP(C557, SweepStudyConfig[StudyId], SweepStudyConfig[OriginalAllocFractionA])) &lt; 0.03</f>
        <v>#VALUE!</v>
      </c>
      <c r="F557" s="3" t="e">
        <f>LOOKUP(C557, SweepStudyConfig[StudyId], SweepStudyConfig[NSweepStratumTotal])</f>
        <v>#VALUE!</v>
      </c>
      <c r="G557" s="3" t="e">
        <f>ROUND(F557 * D557)</f>
        <v>#VALUE!</v>
      </c>
      <c r="H557" s="3" t="e">
        <f>F557 - G557</f>
        <v>#VALUE!</v>
      </c>
      <c r="I557" s="3" t="e">
        <f>LOOKUP(C557, SweepStudyConfig[StudyId], SweepStudyConfig[NFixedA])</f>
        <v>#VALUE!</v>
      </c>
      <c r="J557" s="3" t="e">
        <f>LOOKUP(C557, SweepStudyConfig[StudyId], SweepStudyConfig[NFixedB])</f>
        <v>#VALUE!</v>
      </c>
      <c r="K557" s="3" t="e">
        <f>LOOKUP(C557, SweepStudyConfig[StudyId], SweepStudyConfig[SweepRateA])</f>
        <v>#VALUE!</v>
      </c>
      <c r="L557" s="3" t="e">
        <f>LOOKUP(C557, SweepStudyConfig[StudyId], SweepStudyConfig[SweepRateB])</f>
        <v>#VALUE!</v>
      </c>
      <c r="M557" s="3" t="e">
        <f>LOOKUP(C557, SweepStudyConfig[StudyId], SweepStudyConfig[FixedRateA])</f>
        <v>#VALUE!</v>
      </c>
      <c r="N557" s="3" t="e">
        <f>LOOKUP(C557, SweepStudyConfig[StudyId], SweepStudyConfig[FixedRateB])</f>
        <v>#VALUE!</v>
      </c>
      <c r="O557" s="3" t="e">
        <f>IF(G557 + I557 = 0, "", (G557 * K557 + I557 * M557) / (G557 + I557))</f>
        <v>#VALUE!</v>
      </c>
      <c r="P557" s="3" t="e">
        <f>IF(H557 + J557 = 0, "", (H557 * L557 + J557 * N557) / (H557 + J557))</f>
        <v>#VALUE!</v>
      </c>
      <c r="Q557" s="3" t="e">
        <f>IF(O557 = "", "", O557 - P557)</f>
        <v>#VALUE!</v>
      </c>
      <c r="R557" s="3" t="e">
        <f>LOOKUP(C557, SweepStudyConfig[StudyId], SweepStudyConfig[SweepCorrectedGap])</f>
        <v>#VALUE!</v>
      </c>
      <c r="S557" s="3" t="e">
        <f>IF(Q557 = "", "", Q557 - R557)</f>
        <v>#VALUE!</v>
      </c>
    </row>
    <row r="558">
      <c r="A558" s="2" t="s">
        <v>3846</v>
      </c>
      <c r="B558" s="3" t="str">
        <f>A558</f>
        <v>compas-recidivism-base-f065</v>
      </c>
      <c r="C558" s="2" t="s">
        <v>624</v>
      </c>
      <c r="D558" s="2">
        <v>0.65</v>
      </c>
      <c r="E558" s="3" t="e">
        <f>ABS(D558 - LOOKUP(C558, SweepStudyConfig[StudyId], SweepStudyConfig[OriginalAllocFractionA])) &lt; 0.03</f>
        <v>#VALUE!</v>
      </c>
      <c r="F558" s="3" t="e">
        <f>LOOKUP(C558, SweepStudyConfig[StudyId], SweepStudyConfig[NSweepStratumTotal])</f>
        <v>#VALUE!</v>
      </c>
      <c r="G558" s="3" t="e">
        <f>ROUND(F558 * D558)</f>
        <v>#VALUE!</v>
      </c>
      <c r="H558" s="3" t="e">
        <f>F558 - G558</f>
        <v>#VALUE!</v>
      </c>
      <c r="I558" s="3" t="e">
        <f>LOOKUP(C558, SweepStudyConfig[StudyId], SweepStudyConfig[NFixedA])</f>
        <v>#VALUE!</v>
      </c>
      <c r="J558" s="3" t="e">
        <f>LOOKUP(C558, SweepStudyConfig[StudyId], SweepStudyConfig[NFixedB])</f>
        <v>#VALUE!</v>
      </c>
      <c r="K558" s="3" t="e">
        <f>LOOKUP(C558, SweepStudyConfig[StudyId], SweepStudyConfig[SweepRateA])</f>
        <v>#VALUE!</v>
      </c>
      <c r="L558" s="3" t="e">
        <f>LOOKUP(C558, SweepStudyConfig[StudyId], SweepStudyConfig[SweepRateB])</f>
        <v>#VALUE!</v>
      </c>
      <c r="M558" s="3" t="e">
        <f>LOOKUP(C558, SweepStudyConfig[StudyId], SweepStudyConfig[FixedRateA])</f>
        <v>#VALUE!</v>
      </c>
      <c r="N558" s="3" t="e">
        <f>LOOKUP(C558, SweepStudyConfig[StudyId], SweepStudyConfig[FixedRateB])</f>
        <v>#VALUE!</v>
      </c>
      <c r="O558" s="3" t="e">
        <f>IF(G558 + I558 = 0, "", (G558 * K558 + I558 * M558) / (G558 + I558))</f>
        <v>#VALUE!</v>
      </c>
      <c r="P558" s="3" t="e">
        <f>IF(H558 + J558 = 0, "", (H558 * L558 + J558 * N558) / (H558 + J558))</f>
        <v>#VALUE!</v>
      </c>
      <c r="Q558" s="3" t="e">
        <f>IF(O558 = "", "", O558 - P558)</f>
        <v>#VALUE!</v>
      </c>
      <c r="R558" s="3" t="e">
        <f>LOOKUP(C558, SweepStudyConfig[StudyId], SweepStudyConfig[SweepCorrectedGap])</f>
        <v>#VALUE!</v>
      </c>
      <c r="S558" s="3" t="e">
        <f>IF(Q558 = "", "", Q558 - R558)</f>
        <v>#VALUE!</v>
      </c>
    </row>
    <row r="559">
      <c r="A559" s="2" t="s">
        <v>3847</v>
      </c>
      <c r="B559" s="3" t="str">
        <f>A559</f>
        <v>compas-recidivism-base-f075</v>
      </c>
      <c r="C559" s="2" t="s">
        <v>624</v>
      </c>
      <c r="D559" s="2">
        <v>0.75</v>
      </c>
      <c r="E559" s="3" t="e">
        <f>ABS(D559 - LOOKUP(C559, SweepStudyConfig[StudyId], SweepStudyConfig[OriginalAllocFractionA])) &lt; 0.03</f>
        <v>#VALUE!</v>
      </c>
      <c r="F559" s="3" t="e">
        <f>LOOKUP(C559, SweepStudyConfig[StudyId], SweepStudyConfig[NSweepStratumTotal])</f>
        <v>#VALUE!</v>
      </c>
      <c r="G559" s="3" t="e">
        <f>ROUND(F559 * D559)</f>
        <v>#VALUE!</v>
      </c>
      <c r="H559" s="3" t="e">
        <f>F559 - G559</f>
        <v>#VALUE!</v>
      </c>
      <c r="I559" s="3" t="e">
        <f>LOOKUP(C559, SweepStudyConfig[StudyId], SweepStudyConfig[NFixedA])</f>
        <v>#VALUE!</v>
      </c>
      <c r="J559" s="3" t="e">
        <f>LOOKUP(C559, SweepStudyConfig[StudyId], SweepStudyConfig[NFixedB])</f>
        <v>#VALUE!</v>
      </c>
      <c r="K559" s="3" t="e">
        <f>LOOKUP(C559, SweepStudyConfig[StudyId], SweepStudyConfig[SweepRateA])</f>
        <v>#VALUE!</v>
      </c>
      <c r="L559" s="3" t="e">
        <f>LOOKUP(C559, SweepStudyConfig[StudyId], SweepStudyConfig[SweepRateB])</f>
        <v>#VALUE!</v>
      </c>
      <c r="M559" s="3" t="e">
        <f>LOOKUP(C559, SweepStudyConfig[StudyId], SweepStudyConfig[FixedRateA])</f>
        <v>#VALUE!</v>
      </c>
      <c r="N559" s="3" t="e">
        <f>LOOKUP(C559, SweepStudyConfig[StudyId], SweepStudyConfig[FixedRateB])</f>
        <v>#VALUE!</v>
      </c>
      <c r="O559" s="3" t="e">
        <f>IF(G559 + I559 = 0, "", (G559 * K559 + I559 * M559) / (G559 + I559))</f>
        <v>#VALUE!</v>
      </c>
      <c r="P559" s="3" t="e">
        <f>IF(H559 + J559 = 0, "", (H559 * L559 + J559 * N559) / (H559 + J559))</f>
        <v>#VALUE!</v>
      </c>
      <c r="Q559" s="3" t="e">
        <f>IF(O559 = "", "", O559 - P559)</f>
        <v>#VALUE!</v>
      </c>
      <c r="R559" s="3" t="e">
        <f>LOOKUP(C559, SweepStudyConfig[StudyId], SweepStudyConfig[SweepCorrectedGap])</f>
        <v>#VALUE!</v>
      </c>
      <c r="S559" s="3" t="e">
        <f>IF(Q559 = "", "", Q559 - R559)</f>
        <v>#VALUE!</v>
      </c>
    </row>
    <row r="560">
      <c r="A560" s="2" t="s">
        <v>3848</v>
      </c>
      <c r="B560" s="3" t="str">
        <f>A560</f>
        <v>compas-recidivism-base-f085</v>
      </c>
      <c r="C560" s="2" t="s">
        <v>624</v>
      </c>
      <c r="D560" s="2">
        <v>0.85</v>
      </c>
      <c r="E560" s="3" t="e">
        <f>ABS(D560 - LOOKUP(C560, SweepStudyConfig[StudyId], SweepStudyConfig[OriginalAllocFractionA])) &lt; 0.03</f>
        <v>#VALUE!</v>
      </c>
      <c r="F560" s="3" t="e">
        <f>LOOKUP(C560, SweepStudyConfig[StudyId], SweepStudyConfig[NSweepStratumTotal])</f>
        <v>#VALUE!</v>
      </c>
      <c r="G560" s="3" t="e">
        <f>ROUND(F560 * D560)</f>
        <v>#VALUE!</v>
      </c>
      <c r="H560" s="3" t="e">
        <f>F560 - G560</f>
        <v>#VALUE!</v>
      </c>
      <c r="I560" s="3" t="e">
        <f>LOOKUP(C560, SweepStudyConfig[StudyId], SweepStudyConfig[NFixedA])</f>
        <v>#VALUE!</v>
      </c>
      <c r="J560" s="3" t="e">
        <f>LOOKUP(C560, SweepStudyConfig[StudyId], SweepStudyConfig[NFixedB])</f>
        <v>#VALUE!</v>
      </c>
      <c r="K560" s="3" t="e">
        <f>LOOKUP(C560, SweepStudyConfig[StudyId], SweepStudyConfig[SweepRateA])</f>
        <v>#VALUE!</v>
      </c>
      <c r="L560" s="3" t="e">
        <f>LOOKUP(C560, SweepStudyConfig[StudyId], SweepStudyConfig[SweepRateB])</f>
        <v>#VALUE!</v>
      </c>
      <c r="M560" s="3" t="e">
        <f>LOOKUP(C560, SweepStudyConfig[StudyId], SweepStudyConfig[FixedRateA])</f>
        <v>#VALUE!</v>
      </c>
      <c r="N560" s="3" t="e">
        <f>LOOKUP(C560, SweepStudyConfig[StudyId], SweepStudyConfig[FixedRateB])</f>
        <v>#VALUE!</v>
      </c>
      <c r="O560" s="3" t="e">
        <f>IF(G560 + I560 = 0, "", (G560 * K560 + I560 * M560) / (G560 + I560))</f>
        <v>#VALUE!</v>
      </c>
      <c r="P560" s="3" t="e">
        <f>IF(H560 + J560 = 0, "", (H560 * L560 + J560 * N560) / (H560 + J560))</f>
        <v>#VALUE!</v>
      </c>
      <c r="Q560" s="3" t="e">
        <f>IF(O560 = "", "", O560 - P560)</f>
        <v>#VALUE!</v>
      </c>
      <c r="R560" s="3" t="e">
        <f>LOOKUP(C560, SweepStudyConfig[StudyId], SweepStudyConfig[SweepCorrectedGap])</f>
        <v>#VALUE!</v>
      </c>
      <c r="S560" s="3" t="e">
        <f>IF(Q560 = "", "", Q560 - R560)</f>
        <v>#VALUE!</v>
      </c>
    </row>
    <row r="561">
      <c r="A561" s="2" t="s">
        <v>3849</v>
      </c>
      <c r="B561" s="3" t="str">
        <f>A561</f>
        <v>compas-recidivism-base-f095</v>
      </c>
      <c r="C561" s="2" t="s">
        <v>624</v>
      </c>
      <c r="D561" s="2">
        <v>0.95</v>
      </c>
      <c r="E561" s="3" t="e">
        <f>ABS(D561 - LOOKUP(C561, SweepStudyConfig[StudyId], SweepStudyConfig[OriginalAllocFractionA])) &lt; 0.03</f>
        <v>#VALUE!</v>
      </c>
      <c r="F561" s="3" t="e">
        <f>LOOKUP(C561, SweepStudyConfig[StudyId], SweepStudyConfig[NSweepStratumTotal])</f>
        <v>#VALUE!</v>
      </c>
      <c r="G561" s="3" t="e">
        <f>ROUND(F561 * D561)</f>
        <v>#VALUE!</v>
      </c>
      <c r="H561" s="3" t="e">
        <f>F561 - G561</f>
        <v>#VALUE!</v>
      </c>
      <c r="I561" s="3" t="e">
        <f>LOOKUP(C561, SweepStudyConfig[StudyId], SweepStudyConfig[NFixedA])</f>
        <v>#VALUE!</v>
      </c>
      <c r="J561" s="3" t="e">
        <f>LOOKUP(C561, SweepStudyConfig[StudyId], SweepStudyConfig[NFixedB])</f>
        <v>#VALUE!</v>
      </c>
      <c r="K561" s="3" t="e">
        <f>LOOKUP(C561, SweepStudyConfig[StudyId], SweepStudyConfig[SweepRateA])</f>
        <v>#VALUE!</v>
      </c>
      <c r="L561" s="3" t="e">
        <f>LOOKUP(C561, SweepStudyConfig[StudyId], SweepStudyConfig[SweepRateB])</f>
        <v>#VALUE!</v>
      </c>
      <c r="M561" s="3" t="e">
        <f>LOOKUP(C561, SweepStudyConfig[StudyId], SweepStudyConfig[FixedRateA])</f>
        <v>#VALUE!</v>
      </c>
      <c r="N561" s="3" t="e">
        <f>LOOKUP(C561, SweepStudyConfig[StudyId], SweepStudyConfig[FixedRateB])</f>
        <v>#VALUE!</v>
      </c>
      <c r="O561" s="3" t="e">
        <f>IF(G561 + I561 = 0, "", (G561 * K561 + I561 * M561) / (G561 + I561))</f>
        <v>#VALUE!</v>
      </c>
      <c r="P561" s="3" t="e">
        <f>IF(H561 + J561 = 0, "", (H561 * L561 + J561 * N561) / (H561 + J561))</f>
        <v>#VALUE!</v>
      </c>
      <c r="Q561" s="3" t="e">
        <f>IF(O561 = "", "", O561 - P561)</f>
        <v>#VALUE!</v>
      </c>
      <c r="R561" s="3" t="e">
        <f>LOOKUP(C561, SweepStudyConfig[StudyId], SweepStudyConfig[SweepCorrectedGap])</f>
        <v>#VALUE!</v>
      </c>
      <c r="S561" s="3" t="e">
        <f>IF(Q561 = "", "", Q561 - R561)</f>
        <v>#VALUE!</v>
      </c>
    </row>
    <row r="562">
      <c r="A562" s="2" t="s">
        <v>3850</v>
      </c>
      <c r="B562" s="3" t="str">
        <f>A562</f>
        <v>us-wage-composition-stagnation-f005</v>
      </c>
      <c r="C562" s="2" t="s">
        <v>629</v>
      </c>
      <c r="D562" s="2">
        <v>0.05</v>
      </c>
      <c r="E562" s="3" t="e">
        <f>ABS(D562 - LOOKUP(C562, SweepStudyConfig[StudyId], SweepStudyConfig[OriginalAllocFractionA])) &lt; 0.03</f>
        <v>#VALUE!</v>
      </c>
      <c r="F562" s="3" t="e">
        <f>LOOKUP(C562, SweepStudyConfig[StudyId], SweepStudyConfig[NSweepStratumTotal])</f>
        <v>#VALUE!</v>
      </c>
      <c r="G562" s="3" t="e">
        <f>ROUND(F562 * D562)</f>
        <v>#VALUE!</v>
      </c>
      <c r="H562" s="3" t="e">
        <f>F562 - G562</f>
        <v>#VALUE!</v>
      </c>
      <c r="I562" s="3" t="e">
        <f>LOOKUP(C562, SweepStudyConfig[StudyId], SweepStudyConfig[NFixedA])</f>
        <v>#VALUE!</v>
      </c>
      <c r="J562" s="3" t="e">
        <f>LOOKUP(C562, SweepStudyConfig[StudyId], SweepStudyConfig[NFixedB])</f>
        <v>#VALUE!</v>
      </c>
      <c r="K562" s="3" t="e">
        <f>LOOKUP(C562, SweepStudyConfig[StudyId], SweepStudyConfig[SweepRateA])</f>
        <v>#VALUE!</v>
      </c>
      <c r="L562" s="3" t="e">
        <f>LOOKUP(C562, SweepStudyConfig[StudyId], SweepStudyConfig[SweepRateB])</f>
        <v>#VALUE!</v>
      </c>
      <c r="M562" s="3" t="e">
        <f>LOOKUP(C562, SweepStudyConfig[StudyId], SweepStudyConfig[FixedRateA])</f>
        <v>#VALUE!</v>
      </c>
      <c r="N562" s="3" t="e">
        <f>LOOKUP(C562, SweepStudyConfig[StudyId], SweepStudyConfig[FixedRateB])</f>
        <v>#VALUE!</v>
      </c>
      <c r="O562" s="3" t="e">
        <f>IF(G562 + I562 = 0, "", (G562 * K562 + I562 * M562) / (G562 + I562))</f>
        <v>#VALUE!</v>
      </c>
      <c r="P562" s="3" t="e">
        <f>IF(H562 + J562 = 0, "", (H562 * L562 + J562 * N562) / (H562 + J562))</f>
        <v>#VALUE!</v>
      </c>
      <c r="Q562" s="3" t="e">
        <f>IF(O562 = "", "", O562 - P562)</f>
        <v>#VALUE!</v>
      </c>
      <c r="R562" s="3" t="e">
        <f>LOOKUP(C562, SweepStudyConfig[StudyId], SweepStudyConfig[SweepCorrectedGap])</f>
        <v>#VALUE!</v>
      </c>
      <c r="S562" s="3" t="e">
        <f>IF(Q562 = "", "", Q562 - R562)</f>
        <v>#VALUE!</v>
      </c>
    </row>
    <row r="563">
      <c r="A563" s="2" t="s">
        <v>3851</v>
      </c>
      <c r="B563" s="3" t="str">
        <f>A563</f>
        <v>us-wage-composition-stagnation-f015</v>
      </c>
      <c r="C563" s="2" t="s">
        <v>629</v>
      </c>
      <c r="D563" s="2">
        <v>0.15</v>
      </c>
      <c r="E563" s="3" t="e">
        <f>ABS(D563 - LOOKUP(C563, SweepStudyConfig[StudyId], SweepStudyConfig[OriginalAllocFractionA])) &lt; 0.03</f>
        <v>#VALUE!</v>
      </c>
      <c r="F563" s="3" t="e">
        <f>LOOKUP(C563, SweepStudyConfig[StudyId], SweepStudyConfig[NSweepStratumTotal])</f>
        <v>#VALUE!</v>
      </c>
      <c r="G563" s="3" t="e">
        <f>ROUND(F563 * D563)</f>
        <v>#VALUE!</v>
      </c>
      <c r="H563" s="3" t="e">
        <f>F563 - G563</f>
        <v>#VALUE!</v>
      </c>
      <c r="I563" s="3" t="e">
        <f>LOOKUP(C563, SweepStudyConfig[StudyId], SweepStudyConfig[NFixedA])</f>
        <v>#VALUE!</v>
      </c>
      <c r="J563" s="3" t="e">
        <f>LOOKUP(C563, SweepStudyConfig[StudyId], SweepStudyConfig[NFixedB])</f>
        <v>#VALUE!</v>
      </c>
      <c r="K563" s="3" t="e">
        <f>LOOKUP(C563, SweepStudyConfig[StudyId], SweepStudyConfig[SweepRateA])</f>
        <v>#VALUE!</v>
      </c>
      <c r="L563" s="3" t="e">
        <f>LOOKUP(C563, SweepStudyConfig[StudyId], SweepStudyConfig[SweepRateB])</f>
        <v>#VALUE!</v>
      </c>
      <c r="M563" s="3" t="e">
        <f>LOOKUP(C563, SweepStudyConfig[StudyId], SweepStudyConfig[FixedRateA])</f>
        <v>#VALUE!</v>
      </c>
      <c r="N563" s="3" t="e">
        <f>LOOKUP(C563, SweepStudyConfig[StudyId], SweepStudyConfig[FixedRateB])</f>
        <v>#VALUE!</v>
      </c>
      <c r="O563" s="3" t="e">
        <f>IF(G563 + I563 = 0, "", (G563 * K563 + I563 * M563) / (G563 + I563))</f>
        <v>#VALUE!</v>
      </c>
      <c r="P563" s="3" t="e">
        <f>IF(H563 + J563 = 0, "", (H563 * L563 + J563 * N563) / (H563 + J563))</f>
        <v>#VALUE!</v>
      </c>
      <c r="Q563" s="3" t="e">
        <f>IF(O563 = "", "", O563 - P563)</f>
        <v>#VALUE!</v>
      </c>
      <c r="R563" s="3" t="e">
        <f>LOOKUP(C563, SweepStudyConfig[StudyId], SweepStudyConfig[SweepCorrectedGap])</f>
        <v>#VALUE!</v>
      </c>
      <c r="S563" s="3" t="e">
        <f>IF(Q563 = "", "", Q563 - R563)</f>
        <v>#VALUE!</v>
      </c>
    </row>
    <row r="564">
      <c r="A564" s="2" t="s">
        <v>3852</v>
      </c>
      <c r="B564" s="3" t="str">
        <f>A564</f>
        <v>us-wage-composition-stagnation-f025</v>
      </c>
      <c r="C564" s="2" t="s">
        <v>629</v>
      </c>
      <c r="D564" s="2">
        <v>0.25</v>
      </c>
      <c r="E564" s="3" t="e">
        <f>ABS(D564 - LOOKUP(C564, SweepStudyConfig[StudyId], SweepStudyConfig[OriginalAllocFractionA])) &lt; 0.03</f>
        <v>#VALUE!</v>
      </c>
      <c r="F564" s="3" t="e">
        <f>LOOKUP(C564, SweepStudyConfig[StudyId], SweepStudyConfig[NSweepStratumTotal])</f>
        <v>#VALUE!</v>
      </c>
      <c r="G564" s="3" t="e">
        <f>ROUND(F564 * D564)</f>
        <v>#VALUE!</v>
      </c>
      <c r="H564" s="3" t="e">
        <f>F564 - G564</f>
        <v>#VALUE!</v>
      </c>
      <c r="I564" s="3" t="e">
        <f>LOOKUP(C564, SweepStudyConfig[StudyId], SweepStudyConfig[NFixedA])</f>
        <v>#VALUE!</v>
      </c>
      <c r="J564" s="3" t="e">
        <f>LOOKUP(C564, SweepStudyConfig[StudyId], SweepStudyConfig[NFixedB])</f>
        <v>#VALUE!</v>
      </c>
      <c r="K564" s="3" t="e">
        <f>LOOKUP(C564, SweepStudyConfig[StudyId], SweepStudyConfig[SweepRateA])</f>
        <v>#VALUE!</v>
      </c>
      <c r="L564" s="3" t="e">
        <f>LOOKUP(C564, SweepStudyConfig[StudyId], SweepStudyConfig[SweepRateB])</f>
        <v>#VALUE!</v>
      </c>
      <c r="M564" s="3" t="e">
        <f>LOOKUP(C564, SweepStudyConfig[StudyId], SweepStudyConfig[FixedRateA])</f>
        <v>#VALUE!</v>
      </c>
      <c r="N564" s="3" t="e">
        <f>LOOKUP(C564, SweepStudyConfig[StudyId], SweepStudyConfig[FixedRateB])</f>
        <v>#VALUE!</v>
      </c>
      <c r="O564" s="3" t="e">
        <f>IF(G564 + I564 = 0, "", (G564 * K564 + I564 * M564) / (G564 + I564))</f>
        <v>#VALUE!</v>
      </c>
      <c r="P564" s="3" t="e">
        <f>IF(H564 + J564 = 0, "", (H564 * L564 + J564 * N564) / (H564 + J564))</f>
        <v>#VALUE!</v>
      </c>
      <c r="Q564" s="3" t="e">
        <f>IF(O564 = "", "", O564 - P564)</f>
        <v>#VALUE!</v>
      </c>
      <c r="R564" s="3" t="e">
        <f>LOOKUP(C564, SweepStudyConfig[StudyId], SweepStudyConfig[SweepCorrectedGap])</f>
        <v>#VALUE!</v>
      </c>
      <c r="S564" s="3" t="e">
        <f>IF(Q564 = "", "", Q564 - R564)</f>
        <v>#VALUE!</v>
      </c>
    </row>
    <row r="565">
      <c r="A565" s="2" t="s">
        <v>3853</v>
      </c>
      <c r="B565" s="3" t="str">
        <f>A565</f>
        <v>us-wage-composition-stagnation-f035</v>
      </c>
      <c r="C565" s="2" t="s">
        <v>629</v>
      </c>
      <c r="D565" s="2">
        <v>0.35</v>
      </c>
      <c r="E565" s="3" t="e">
        <f>ABS(D565 - LOOKUP(C565, SweepStudyConfig[StudyId], SweepStudyConfig[OriginalAllocFractionA])) &lt; 0.03</f>
        <v>#VALUE!</v>
      </c>
      <c r="F565" s="3" t="e">
        <f>LOOKUP(C565, SweepStudyConfig[StudyId], SweepStudyConfig[NSweepStratumTotal])</f>
        <v>#VALUE!</v>
      </c>
      <c r="G565" s="3" t="e">
        <f>ROUND(F565 * D565)</f>
        <v>#VALUE!</v>
      </c>
      <c r="H565" s="3" t="e">
        <f>F565 - G565</f>
        <v>#VALUE!</v>
      </c>
      <c r="I565" s="3" t="e">
        <f>LOOKUP(C565, SweepStudyConfig[StudyId], SweepStudyConfig[NFixedA])</f>
        <v>#VALUE!</v>
      </c>
      <c r="J565" s="3" t="e">
        <f>LOOKUP(C565, SweepStudyConfig[StudyId], SweepStudyConfig[NFixedB])</f>
        <v>#VALUE!</v>
      </c>
      <c r="K565" s="3" t="e">
        <f>LOOKUP(C565, SweepStudyConfig[StudyId], SweepStudyConfig[SweepRateA])</f>
        <v>#VALUE!</v>
      </c>
      <c r="L565" s="3" t="e">
        <f>LOOKUP(C565, SweepStudyConfig[StudyId], SweepStudyConfig[SweepRateB])</f>
        <v>#VALUE!</v>
      </c>
      <c r="M565" s="3" t="e">
        <f>LOOKUP(C565, SweepStudyConfig[StudyId], SweepStudyConfig[FixedRateA])</f>
        <v>#VALUE!</v>
      </c>
      <c r="N565" s="3" t="e">
        <f>LOOKUP(C565, SweepStudyConfig[StudyId], SweepStudyConfig[FixedRateB])</f>
        <v>#VALUE!</v>
      </c>
      <c r="O565" s="3" t="e">
        <f>IF(G565 + I565 = 0, "", (G565 * K565 + I565 * M565) / (G565 + I565))</f>
        <v>#VALUE!</v>
      </c>
      <c r="P565" s="3" t="e">
        <f>IF(H565 + J565 = 0, "", (H565 * L565 + J565 * N565) / (H565 + J565))</f>
        <v>#VALUE!</v>
      </c>
      <c r="Q565" s="3" t="e">
        <f>IF(O565 = "", "", O565 - P565)</f>
        <v>#VALUE!</v>
      </c>
      <c r="R565" s="3" t="e">
        <f>LOOKUP(C565, SweepStudyConfig[StudyId], SweepStudyConfig[SweepCorrectedGap])</f>
        <v>#VALUE!</v>
      </c>
      <c r="S565" s="3" t="e">
        <f>IF(Q565 = "", "", Q565 - R565)</f>
        <v>#VALUE!</v>
      </c>
    </row>
    <row r="566">
      <c r="A566" s="2" t="s">
        <v>3854</v>
      </c>
      <c r="B566" s="3" t="str">
        <f>A566</f>
        <v>us-wage-composition-stagnation-f045</v>
      </c>
      <c r="C566" s="2" t="s">
        <v>629</v>
      </c>
      <c r="D566" s="2">
        <v>0.45</v>
      </c>
      <c r="E566" s="3" t="e">
        <f>ABS(D566 - LOOKUP(C566, SweepStudyConfig[StudyId], SweepStudyConfig[OriginalAllocFractionA])) &lt; 0.03</f>
        <v>#VALUE!</v>
      </c>
      <c r="F566" s="3" t="e">
        <f>LOOKUP(C566, SweepStudyConfig[StudyId], SweepStudyConfig[NSweepStratumTotal])</f>
        <v>#VALUE!</v>
      </c>
      <c r="G566" s="3" t="e">
        <f>ROUND(F566 * D566)</f>
        <v>#VALUE!</v>
      </c>
      <c r="H566" s="3" t="e">
        <f>F566 - G566</f>
        <v>#VALUE!</v>
      </c>
      <c r="I566" s="3" t="e">
        <f>LOOKUP(C566, SweepStudyConfig[StudyId], SweepStudyConfig[NFixedA])</f>
        <v>#VALUE!</v>
      </c>
      <c r="J566" s="3" t="e">
        <f>LOOKUP(C566, SweepStudyConfig[StudyId], SweepStudyConfig[NFixedB])</f>
        <v>#VALUE!</v>
      </c>
      <c r="K566" s="3" t="e">
        <f>LOOKUP(C566, SweepStudyConfig[StudyId], SweepStudyConfig[SweepRateA])</f>
        <v>#VALUE!</v>
      </c>
      <c r="L566" s="3" t="e">
        <f>LOOKUP(C566, SweepStudyConfig[StudyId], SweepStudyConfig[SweepRateB])</f>
        <v>#VALUE!</v>
      </c>
      <c r="M566" s="3" t="e">
        <f>LOOKUP(C566, SweepStudyConfig[StudyId], SweepStudyConfig[FixedRateA])</f>
        <v>#VALUE!</v>
      </c>
      <c r="N566" s="3" t="e">
        <f>LOOKUP(C566, SweepStudyConfig[StudyId], SweepStudyConfig[FixedRateB])</f>
        <v>#VALUE!</v>
      </c>
      <c r="O566" s="3" t="e">
        <f>IF(G566 + I566 = 0, "", (G566 * K566 + I566 * M566) / (G566 + I566))</f>
        <v>#VALUE!</v>
      </c>
      <c r="P566" s="3" t="e">
        <f>IF(H566 + J566 = 0, "", (H566 * L566 + J566 * N566) / (H566 + J566))</f>
        <v>#VALUE!</v>
      </c>
      <c r="Q566" s="3" t="e">
        <f>IF(O566 = "", "", O566 - P566)</f>
        <v>#VALUE!</v>
      </c>
      <c r="R566" s="3" t="e">
        <f>LOOKUP(C566, SweepStudyConfig[StudyId], SweepStudyConfig[SweepCorrectedGap])</f>
        <v>#VALUE!</v>
      </c>
      <c r="S566" s="3" t="e">
        <f>IF(Q566 = "", "", Q566 - R566)</f>
        <v>#VALUE!</v>
      </c>
    </row>
    <row r="567">
      <c r="A567" s="2" t="s">
        <v>3855</v>
      </c>
      <c r="B567" s="3" t="str">
        <f>A567</f>
        <v>us-wage-composition-stagnation-f055</v>
      </c>
      <c r="C567" s="2" t="s">
        <v>629</v>
      </c>
      <c r="D567" s="2">
        <v>0.55</v>
      </c>
      <c r="E567" s="3" t="e">
        <f>ABS(D567 - LOOKUP(C567, SweepStudyConfig[StudyId], SweepStudyConfig[OriginalAllocFractionA])) &lt; 0.03</f>
        <v>#VALUE!</v>
      </c>
      <c r="F567" s="3" t="e">
        <f>LOOKUP(C567, SweepStudyConfig[StudyId], SweepStudyConfig[NSweepStratumTotal])</f>
        <v>#VALUE!</v>
      </c>
      <c r="G567" s="3" t="e">
        <f>ROUND(F567 * D567)</f>
        <v>#VALUE!</v>
      </c>
      <c r="H567" s="3" t="e">
        <f>F567 - G567</f>
        <v>#VALUE!</v>
      </c>
      <c r="I567" s="3" t="e">
        <f>LOOKUP(C567, SweepStudyConfig[StudyId], SweepStudyConfig[NFixedA])</f>
        <v>#VALUE!</v>
      </c>
      <c r="J567" s="3" t="e">
        <f>LOOKUP(C567, SweepStudyConfig[StudyId], SweepStudyConfig[NFixedB])</f>
        <v>#VALUE!</v>
      </c>
      <c r="K567" s="3" t="e">
        <f>LOOKUP(C567, SweepStudyConfig[StudyId], SweepStudyConfig[SweepRateA])</f>
        <v>#VALUE!</v>
      </c>
      <c r="L567" s="3" t="e">
        <f>LOOKUP(C567, SweepStudyConfig[StudyId], SweepStudyConfig[SweepRateB])</f>
        <v>#VALUE!</v>
      </c>
      <c r="M567" s="3" t="e">
        <f>LOOKUP(C567, SweepStudyConfig[StudyId], SweepStudyConfig[FixedRateA])</f>
        <v>#VALUE!</v>
      </c>
      <c r="N567" s="3" t="e">
        <f>LOOKUP(C567, SweepStudyConfig[StudyId], SweepStudyConfig[FixedRateB])</f>
        <v>#VALUE!</v>
      </c>
      <c r="O567" s="3" t="e">
        <f>IF(G567 + I567 = 0, "", (G567 * K567 + I567 * M567) / (G567 + I567))</f>
        <v>#VALUE!</v>
      </c>
      <c r="P567" s="3" t="e">
        <f>IF(H567 + J567 = 0, "", (H567 * L567 + J567 * N567) / (H567 + J567))</f>
        <v>#VALUE!</v>
      </c>
      <c r="Q567" s="3" t="e">
        <f>IF(O567 = "", "", O567 - P567)</f>
        <v>#VALUE!</v>
      </c>
      <c r="R567" s="3" t="e">
        <f>LOOKUP(C567, SweepStudyConfig[StudyId], SweepStudyConfig[SweepCorrectedGap])</f>
        <v>#VALUE!</v>
      </c>
      <c r="S567" s="3" t="e">
        <f>IF(Q567 = "", "", Q567 - R567)</f>
        <v>#VALUE!</v>
      </c>
    </row>
    <row r="568">
      <c r="A568" s="2" t="s">
        <v>3856</v>
      </c>
      <c r="B568" s="3" t="str">
        <f>A568</f>
        <v>us-wage-composition-stagnation-f065</v>
      </c>
      <c r="C568" s="2" t="s">
        <v>629</v>
      </c>
      <c r="D568" s="2">
        <v>0.65</v>
      </c>
      <c r="E568" s="3" t="e">
        <f>ABS(D568 - LOOKUP(C568, SweepStudyConfig[StudyId], SweepStudyConfig[OriginalAllocFractionA])) &lt; 0.03</f>
        <v>#VALUE!</v>
      </c>
      <c r="F568" s="3" t="e">
        <f>LOOKUP(C568, SweepStudyConfig[StudyId], SweepStudyConfig[NSweepStratumTotal])</f>
        <v>#VALUE!</v>
      </c>
      <c r="G568" s="3" t="e">
        <f>ROUND(F568 * D568)</f>
        <v>#VALUE!</v>
      </c>
      <c r="H568" s="3" t="e">
        <f>F568 - G568</f>
        <v>#VALUE!</v>
      </c>
      <c r="I568" s="3" t="e">
        <f>LOOKUP(C568, SweepStudyConfig[StudyId], SweepStudyConfig[NFixedA])</f>
        <v>#VALUE!</v>
      </c>
      <c r="J568" s="3" t="e">
        <f>LOOKUP(C568, SweepStudyConfig[StudyId], SweepStudyConfig[NFixedB])</f>
        <v>#VALUE!</v>
      </c>
      <c r="K568" s="3" t="e">
        <f>LOOKUP(C568, SweepStudyConfig[StudyId], SweepStudyConfig[SweepRateA])</f>
        <v>#VALUE!</v>
      </c>
      <c r="L568" s="3" t="e">
        <f>LOOKUP(C568, SweepStudyConfig[StudyId], SweepStudyConfig[SweepRateB])</f>
        <v>#VALUE!</v>
      </c>
      <c r="M568" s="3" t="e">
        <f>LOOKUP(C568, SweepStudyConfig[StudyId], SweepStudyConfig[FixedRateA])</f>
        <v>#VALUE!</v>
      </c>
      <c r="N568" s="3" t="e">
        <f>LOOKUP(C568, SweepStudyConfig[StudyId], SweepStudyConfig[FixedRateB])</f>
        <v>#VALUE!</v>
      </c>
      <c r="O568" s="3" t="e">
        <f>IF(G568 + I568 = 0, "", (G568 * K568 + I568 * M568) / (G568 + I568))</f>
        <v>#VALUE!</v>
      </c>
      <c r="P568" s="3" t="e">
        <f>IF(H568 + J568 = 0, "", (H568 * L568 + J568 * N568) / (H568 + J568))</f>
        <v>#VALUE!</v>
      </c>
      <c r="Q568" s="3" t="e">
        <f>IF(O568 = "", "", O568 - P568)</f>
        <v>#VALUE!</v>
      </c>
      <c r="R568" s="3" t="e">
        <f>LOOKUP(C568, SweepStudyConfig[StudyId], SweepStudyConfig[SweepCorrectedGap])</f>
        <v>#VALUE!</v>
      </c>
      <c r="S568" s="3" t="e">
        <f>IF(Q568 = "", "", Q568 - R568)</f>
        <v>#VALUE!</v>
      </c>
    </row>
    <row r="569">
      <c r="A569" s="2" t="s">
        <v>3857</v>
      </c>
      <c r="B569" s="3" t="str">
        <f>A569</f>
        <v>us-wage-composition-stagnation-f075</v>
      </c>
      <c r="C569" s="2" t="s">
        <v>629</v>
      </c>
      <c r="D569" s="2">
        <v>0.75</v>
      </c>
      <c r="E569" s="3" t="e">
        <f>ABS(D569 - LOOKUP(C569, SweepStudyConfig[StudyId], SweepStudyConfig[OriginalAllocFractionA])) &lt; 0.03</f>
        <v>#VALUE!</v>
      </c>
      <c r="F569" s="3" t="e">
        <f>LOOKUP(C569, SweepStudyConfig[StudyId], SweepStudyConfig[NSweepStratumTotal])</f>
        <v>#VALUE!</v>
      </c>
      <c r="G569" s="3" t="e">
        <f>ROUND(F569 * D569)</f>
        <v>#VALUE!</v>
      </c>
      <c r="H569" s="3" t="e">
        <f>F569 - G569</f>
        <v>#VALUE!</v>
      </c>
      <c r="I569" s="3" t="e">
        <f>LOOKUP(C569, SweepStudyConfig[StudyId], SweepStudyConfig[NFixedA])</f>
        <v>#VALUE!</v>
      </c>
      <c r="J569" s="3" t="e">
        <f>LOOKUP(C569, SweepStudyConfig[StudyId], SweepStudyConfig[NFixedB])</f>
        <v>#VALUE!</v>
      </c>
      <c r="K569" s="3" t="e">
        <f>LOOKUP(C569, SweepStudyConfig[StudyId], SweepStudyConfig[SweepRateA])</f>
        <v>#VALUE!</v>
      </c>
      <c r="L569" s="3" t="e">
        <f>LOOKUP(C569, SweepStudyConfig[StudyId], SweepStudyConfig[SweepRateB])</f>
        <v>#VALUE!</v>
      </c>
      <c r="M569" s="3" t="e">
        <f>LOOKUP(C569, SweepStudyConfig[StudyId], SweepStudyConfig[FixedRateA])</f>
        <v>#VALUE!</v>
      </c>
      <c r="N569" s="3" t="e">
        <f>LOOKUP(C569, SweepStudyConfig[StudyId], SweepStudyConfig[FixedRateB])</f>
        <v>#VALUE!</v>
      </c>
      <c r="O569" s="3" t="e">
        <f>IF(G569 + I569 = 0, "", (G569 * K569 + I569 * M569) / (G569 + I569))</f>
        <v>#VALUE!</v>
      </c>
      <c r="P569" s="3" t="e">
        <f>IF(H569 + J569 = 0, "", (H569 * L569 + J569 * N569) / (H569 + J569))</f>
        <v>#VALUE!</v>
      </c>
      <c r="Q569" s="3" t="e">
        <f>IF(O569 = "", "", O569 - P569)</f>
        <v>#VALUE!</v>
      </c>
      <c r="R569" s="3" t="e">
        <f>LOOKUP(C569, SweepStudyConfig[StudyId], SweepStudyConfig[SweepCorrectedGap])</f>
        <v>#VALUE!</v>
      </c>
      <c r="S569" s="3" t="e">
        <f>IF(Q569 = "", "", Q569 - R569)</f>
        <v>#VALUE!</v>
      </c>
    </row>
    <row r="570">
      <c r="A570" s="2" t="s">
        <v>3858</v>
      </c>
      <c r="B570" s="3" t="str">
        <f>A570</f>
        <v>us-wage-composition-stagnation-f085</v>
      </c>
      <c r="C570" s="2" t="s">
        <v>629</v>
      </c>
      <c r="D570" s="2">
        <v>0.85</v>
      </c>
      <c r="E570" s="3" t="e">
        <f>ABS(D570 - LOOKUP(C570, SweepStudyConfig[StudyId], SweepStudyConfig[OriginalAllocFractionA])) &lt; 0.03</f>
        <v>#VALUE!</v>
      </c>
      <c r="F570" s="3" t="e">
        <f>LOOKUP(C570, SweepStudyConfig[StudyId], SweepStudyConfig[NSweepStratumTotal])</f>
        <v>#VALUE!</v>
      </c>
      <c r="G570" s="3" t="e">
        <f>ROUND(F570 * D570)</f>
        <v>#VALUE!</v>
      </c>
      <c r="H570" s="3" t="e">
        <f>F570 - G570</f>
        <v>#VALUE!</v>
      </c>
      <c r="I570" s="3" t="e">
        <f>LOOKUP(C570, SweepStudyConfig[StudyId], SweepStudyConfig[NFixedA])</f>
        <v>#VALUE!</v>
      </c>
      <c r="J570" s="3" t="e">
        <f>LOOKUP(C570, SweepStudyConfig[StudyId], SweepStudyConfig[NFixedB])</f>
        <v>#VALUE!</v>
      </c>
      <c r="K570" s="3" t="e">
        <f>LOOKUP(C570, SweepStudyConfig[StudyId], SweepStudyConfig[SweepRateA])</f>
        <v>#VALUE!</v>
      </c>
      <c r="L570" s="3" t="e">
        <f>LOOKUP(C570, SweepStudyConfig[StudyId], SweepStudyConfig[SweepRateB])</f>
        <v>#VALUE!</v>
      </c>
      <c r="M570" s="3" t="e">
        <f>LOOKUP(C570, SweepStudyConfig[StudyId], SweepStudyConfig[FixedRateA])</f>
        <v>#VALUE!</v>
      </c>
      <c r="N570" s="3" t="e">
        <f>LOOKUP(C570, SweepStudyConfig[StudyId], SweepStudyConfig[FixedRateB])</f>
        <v>#VALUE!</v>
      </c>
      <c r="O570" s="3" t="e">
        <f>IF(G570 + I570 = 0, "", (G570 * K570 + I570 * M570) / (G570 + I570))</f>
        <v>#VALUE!</v>
      </c>
      <c r="P570" s="3" t="e">
        <f>IF(H570 + J570 = 0, "", (H570 * L570 + J570 * N570) / (H570 + J570))</f>
        <v>#VALUE!</v>
      </c>
      <c r="Q570" s="3" t="e">
        <f>IF(O570 = "", "", O570 - P570)</f>
        <v>#VALUE!</v>
      </c>
      <c r="R570" s="3" t="e">
        <f>LOOKUP(C570, SweepStudyConfig[StudyId], SweepStudyConfig[SweepCorrectedGap])</f>
        <v>#VALUE!</v>
      </c>
      <c r="S570" s="3" t="e">
        <f>IF(Q570 = "", "", Q570 - R570)</f>
        <v>#VALUE!</v>
      </c>
    </row>
    <row r="571">
      <c r="A571" s="2" t="s">
        <v>3859</v>
      </c>
      <c r="B571" s="3" t="str">
        <f>A571</f>
        <v>us-wage-composition-stagnation-f095</v>
      </c>
      <c r="C571" s="2" t="s">
        <v>629</v>
      </c>
      <c r="D571" s="2">
        <v>0.95</v>
      </c>
      <c r="E571" s="3" t="e">
        <f>ABS(D571 - LOOKUP(C571, SweepStudyConfig[StudyId], SweepStudyConfig[OriginalAllocFractionA])) &lt; 0.03</f>
        <v>#VALUE!</v>
      </c>
      <c r="F571" s="3" t="e">
        <f>LOOKUP(C571, SweepStudyConfig[StudyId], SweepStudyConfig[NSweepStratumTotal])</f>
        <v>#VALUE!</v>
      </c>
      <c r="G571" s="3" t="e">
        <f>ROUND(F571 * D571)</f>
        <v>#VALUE!</v>
      </c>
      <c r="H571" s="3" t="e">
        <f>F571 - G571</f>
        <v>#VALUE!</v>
      </c>
      <c r="I571" s="3" t="e">
        <f>LOOKUP(C571, SweepStudyConfig[StudyId], SweepStudyConfig[NFixedA])</f>
        <v>#VALUE!</v>
      </c>
      <c r="J571" s="3" t="e">
        <f>LOOKUP(C571, SweepStudyConfig[StudyId], SweepStudyConfig[NFixedB])</f>
        <v>#VALUE!</v>
      </c>
      <c r="K571" s="3" t="e">
        <f>LOOKUP(C571, SweepStudyConfig[StudyId], SweepStudyConfig[SweepRateA])</f>
        <v>#VALUE!</v>
      </c>
      <c r="L571" s="3" t="e">
        <f>LOOKUP(C571, SweepStudyConfig[StudyId], SweepStudyConfig[SweepRateB])</f>
        <v>#VALUE!</v>
      </c>
      <c r="M571" s="3" t="e">
        <f>LOOKUP(C571, SweepStudyConfig[StudyId], SweepStudyConfig[FixedRateA])</f>
        <v>#VALUE!</v>
      </c>
      <c r="N571" s="3" t="e">
        <f>LOOKUP(C571, SweepStudyConfig[StudyId], SweepStudyConfig[FixedRateB])</f>
        <v>#VALUE!</v>
      </c>
      <c r="O571" s="3" t="e">
        <f>IF(G571 + I571 = 0, "", (G571 * K571 + I571 * M571) / (G571 + I571))</f>
        <v>#VALUE!</v>
      </c>
      <c r="P571" s="3" t="e">
        <f>IF(H571 + J571 = 0, "", (H571 * L571 + J571 * N571) / (H571 + J571))</f>
        <v>#VALUE!</v>
      </c>
      <c r="Q571" s="3" t="e">
        <f>IF(O571 = "", "", O571 - P571)</f>
        <v>#VALUE!</v>
      </c>
      <c r="R571" s="3" t="e">
        <f>LOOKUP(C571, SweepStudyConfig[StudyId], SweepStudyConfig[SweepCorrectedGap])</f>
        <v>#VALUE!</v>
      </c>
      <c r="S571" s="3" t="e">
        <f>IF(Q571 = "", "", Q571 - R571)</f>
        <v>#VALUE!</v>
      </c>
    </row>
    <row r="572">
      <c r="A572" s="2" t="s">
        <v>3860</v>
      </c>
      <c r="B572" s="3" t="str">
        <f>A572</f>
        <v>borjas-immigrant-cohort-f005</v>
      </c>
      <c r="C572" s="2" t="s">
        <v>633</v>
      </c>
      <c r="D572" s="2">
        <v>0.05</v>
      </c>
      <c r="E572" s="3" t="e">
        <f>ABS(D572 - LOOKUP(C572, SweepStudyConfig[StudyId], SweepStudyConfig[OriginalAllocFractionA])) &lt; 0.03</f>
        <v>#VALUE!</v>
      </c>
      <c r="F572" s="3" t="e">
        <f>LOOKUP(C572, SweepStudyConfig[StudyId], SweepStudyConfig[NSweepStratumTotal])</f>
        <v>#VALUE!</v>
      </c>
      <c r="G572" s="3" t="e">
        <f>ROUND(F572 * D572)</f>
        <v>#VALUE!</v>
      </c>
      <c r="H572" s="3" t="e">
        <f>F572 - G572</f>
        <v>#VALUE!</v>
      </c>
      <c r="I572" s="3" t="e">
        <f>LOOKUP(C572, SweepStudyConfig[StudyId], SweepStudyConfig[NFixedA])</f>
        <v>#VALUE!</v>
      </c>
      <c r="J572" s="3" t="e">
        <f>LOOKUP(C572, SweepStudyConfig[StudyId], SweepStudyConfig[NFixedB])</f>
        <v>#VALUE!</v>
      </c>
      <c r="K572" s="3" t="e">
        <f>LOOKUP(C572, SweepStudyConfig[StudyId], SweepStudyConfig[SweepRateA])</f>
        <v>#VALUE!</v>
      </c>
      <c r="L572" s="3" t="e">
        <f>LOOKUP(C572, SweepStudyConfig[StudyId], SweepStudyConfig[SweepRateB])</f>
        <v>#VALUE!</v>
      </c>
      <c r="M572" s="3" t="e">
        <f>LOOKUP(C572, SweepStudyConfig[StudyId], SweepStudyConfig[FixedRateA])</f>
        <v>#VALUE!</v>
      </c>
      <c r="N572" s="3" t="e">
        <f>LOOKUP(C572, SweepStudyConfig[StudyId], SweepStudyConfig[FixedRateB])</f>
        <v>#VALUE!</v>
      </c>
      <c r="O572" s="3" t="e">
        <f>IF(G572 + I572 = 0, "", (G572 * K572 + I572 * M572) / (G572 + I572))</f>
        <v>#VALUE!</v>
      </c>
      <c r="P572" s="3" t="e">
        <f>IF(H572 + J572 = 0, "", (H572 * L572 + J572 * N572) / (H572 + J572))</f>
        <v>#VALUE!</v>
      </c>
      <c r="Q572" s="3" t="e">
        <f>IF(O572 = "", "", O572 - P572)</f>
        <v>#VALUE!</v>
      </c>
      <c r="R572" s="3" t="e">
        <f>LOOKUP(C572, SweepStudyConfig[StudyId], SweepStudyConfig[SweepCorrectedGap])</f>
        <v>#VALUE!</v>
      </c>
      <c r="S572" s="3" t="e">
        <f>IF(Q572 = "", "", Q572 - R572)</f>
        <v>#VALUE!</v>
      </c>
    </row>
    <row r="573">
      <c r="A573" s="2" t="s">
        <v>3861</v>
      </c>
      <c r="B573" s="3" t="str">
        <f>A573</f>
        <v>borjas-immigrant-cohort-f015</v>
      </c>
      <c r="C573" s="2" t="s">
        <v>633</v>
      </c>
      <c r="D573" s="2">
        <v>0.15</v>
      </c>
      <c r="E573" s="3" t="e">
        <f>ABS(D573 - LOOKUP(C573, SweepStudyConfig[StudyId], SweepStudyConfig[OriginalAllocFractionA])) &lt; 0.03</f>
        <v>#VALUE!</v>
      </c>
      <c r="F573" s="3" t="e">
        <f>LOOKUP(C573, SweepStudyConfig[StudyId], SweepStudyConfig[NSweepStratumTotal])</f>
        <v>#VALUE!</v>
      </c>
      <c r="G573" s="3" t="e">
        <f>ROUND(F573 * D573)</f>
        <v>#VALUE!</v>
      </c>
      <c r="H573" s="3" t="e">
        <f>F573 - G573</f>
        <v>#VALUE!</v>
      </c>
      <c r="I573" s="3" t="e">
        <f>LOOKUP(C573, SweepStudyConfig[StudyId], SweepStudyConfig[NFixedA])</f>
        <v>#VALUE!</v>
      </c>
      <c r="J573" s="3" t="e">
        <f>LOOKUP(C573, SweepStudyConfig[StudyId], SweepStudyConfig[NFixedB])</f>
        <v>#VALUE!</v>
      </c>
      <c r="K573" s="3" t="e">
        <f>LOOKUP(C573, SweepStudyConfig[StudyId], SweepStudyConfig[SweepRateA])</f>
        <v>#VALUE!</v>
      </c>
      <c r="L573" s="3" t="e">
        <f>LOOKUP(C573, SweepStudyConfig[StudyId], SweepStudyConfig[SweepRateB])</f>
        <v>#VALUE!</v>
      </c>
      <c r="M573" s="3" t="e">
        <f>LOOKUP(C573, SweepStudyConfig[StudyId], SweepStudyConfig[FixedRateA])</f>
        <v>#VALUE!</v>
      </c>
      <c r="N573" s="3" t="e">
        <f>LOOKUP(C573, SweepStudyConfig[StudyId], SweepStudyConfig[FixedRateB])</f>
        <v>#VALUE!</v>
      </c>
      <c r="O573" s="3" t="e">
        <f>IF(G573 + I573 = 0, "", (G573 * K573 + I573 * M573) / (G573 + I573))</f>
        <v>#VALUE!</v>
      </c>
      <c r="P573" s="3" t="e">
        <f>IF(H573 + J573 = 0, "", (H573 * L573 + J573 * N573) / (H573 + J573))</f>
        <v>#VALUE!</v>
      </c>
      <c r="Q573" s="3" t="e">
        <f>IF(O573 = "", "", O573 - P573)</f>
        <v>#VALUE!</v>
      </c>
      <c r="R573" s="3" t="e">
        <f>LOOKUP(C573, SweepStudyConfig[StudyId], SweepStudyConfig[SweepCorrectedGap])</f>
        <v>#VALUE!</v>
      </c>
      <c r="S573" s="3" t="e">
        <f>IF(Q573 = "", "", Q573 - R573)</f>
        <v>#VALUE!</v>
      </c>
    </row>
    <row r="574">
      <c r="A574" s="2" t="s">
        <v>3862</v>
      </c>
      <c r="B574" s="3" t="str">
        <f>A574</f>
        <v>borjas-immigrant-cohort-f025</v>
      </c>
      <c r="C574" s="2" t="s">
        <v>633</v>
      </c>
      <c r="D574" s="2">
        <v>0.25</v>
      </c>
      <c r="E574" s="3" t="e">
        <f>ABS(D574 - LOOKUP(C574, SweepStudyConfig[StudyId], SweepStudyConfig[OriginalAllocFractionA])) &lt; 0.03</f>
        <v>#VALUE!</v>
      </c>
      <c r="F574" s="3" t="e">
        <f>LOOKUP(C574, SweepStudyConfig[StudyId], SweepStudyConfig[NSweepStratumTotal])</f>
        <v>#VALUE!</v>
      </c>
      <c r="G574" s="3" t="e">
        <f>ROUND(F574 * D574)</f>
        <v>#VALUE!</v>
      </c>
      <c r="H574" s="3" t="e">
        <f>F574 - G574</f>
        <v>#VALUE!</v>
      </c>
      <c r="I574" s="3" t="e">
        <f>LOOKUP(C574, SweepStudyConfig[StudyId], SweepStudyConfig[NFixedA])</f>
        <v>#VALUE!</v>
      </c>
      <c r="J574" s="3" t="e">
        <f>LOOKUP(C574, SweepStudyConfig[StudyId], SweepStudyConfig[NFixedB])</f>
        <v>#VALUE!</v>
      </c>
      <c r="K574" s="3" t="e">
        <f>LOOKUP(C574, SweepStudyConfig[StudyId], SweepStudyConfig[SweepRateA])</f>
        <v>#VALUE!</v>
      </c>
      <c r="L574" s="3" t="e">
        <f>LOOKUP(C574, SweepStudyConfig[StudyId], SweepStudyConfig[SweepRateB])</f>
        <v>#VALUE!</v>
      </c>
      <c r="M574" s="3" t="e">
        <f>LOOKUP(C574, SweepStudyConfig[StudyId], SweepStudyConfig[FixedRateA])</f>
        <v>#VALUE!</v>
      </c>
      <c r="N574" s="3" t="e">
        <f>LOOKUP(C574, SweepStudyConfig[StudyId], SweepStudyConfig[FixedRateB])</f>
        <v>#VALUE!</v>
      </c>
      <c r="O574" s="3" t="e">
        <f>IF(G574 + I574 = 0, "", (G574 * K574 + I574 * M574) / (G574 + I574))</f>
        <v>#VALUE!</v>
      </c>
      <c r="P574" s="3" t="e">
        <f>IF(H574 + J574 = 0, "", (H574 * L574 + J574 * N574) / (H574 + J574))</f>
        <v>#VALUE!</v>
      </c>
      <c r="Q574" s="3" t="e">
        <f>IF(O574 = "", "", O574 - P574)</f>
        <v>#VALUE!</v>
      </c>
      <c r="R574" s="3" t="e">
        <f>LOOKUP(C574, SweepStudyConfig[StudyId], SweepStudyConfig[SweepCorrectedGap])</f>
        <v>#VALUE!</v>
      </c>
      <c r="S574" s="3" t="e">
        <f>IF(Q574 = "", "", Q574 - R574)</f>
        <v>#VALUE!</v>
      </c>
    </row>
    <row r="575">
      <c r="A575" s="2" t="s">
        <v>3863</v>
      </c>
      <c r="B575" s="3" t="str">
        <f>A575</f>
        <v>borjas-immigrant-cohort-f035</v>
      </c>
      <c r="C575" s="2" t="s">
        <v>633</v>
      </c>
      <c r="D575" s="2">
        <v>0.35</v>
      </c>
      <c r="E575" s="3" t="e">
        <f>ABS(D575 - LOOKUP(C575, SweepStudyConfig[StudyId], SweepStudyConfig[OriginalAllocFractionA])) &lt; 0.03</f>
        <v>#VALUE!</v>
      </c>
      <c r="F575" s="3" t="e">
        <f>LOOKUP(C575, SweepStudyConfig[StudyId], SweepStudyConfig[NSweepStratumTotal])</f>
        <v>#VALUE!</v>
      </c>
      <c r="G575" s="3" t="e">
        <f>ROUND(F575 * D575)</f>
        <v>#VALUE!</v>
      </c>
      <c r="H575" s="3" t="e">
        <f>F575 - G575</f>
        <v>#VALUE!</v>
      </c>
      <c r="I575" s="3" t="e">
        <f>LOOKUP(C575, SweepStudyConfig[StudyId], SweepStudyConfig[NFixedA])</f>
        <v>#VALUE!</v>
      </c>
      <c r="J575" s="3" t="e">
        <f>LOOKUP(C575, SweepStudyConfig[StudyId], SweepStudyConfig[NFixedB])</f>
        <v>#VALUE!</v>
      </c>
      <c r="K575" s="3" t="e">
        <f>LOOKUP(C575, SweepStudyConfig[StudyId], SweepStudyConfig[SweepRateA])</f>
        <v>#VALUE!</v>
      </c>
      <c r="L575" s="3" t="e">
        <f>LOOKUP(C575, SweepStudyConfig[StudyId], SweepStudyConfig[SweepRateB])</f>
        <v>#VALUE!</v>
      </c>
      <c r="M575" s="3" t="e">
        <f>LOOKUP(C575, SweepStudyConfig[StudyId], SweepStudyConfig[FixedRateA])</f>
        <v>#VALUE!</v>
      </c>
      <c r="N575" s="3" t="e">
        <f>LOOKUP(C575, SweepStudyConfig[StudyId], SweepStudyConfig[FixedRateB])</f>
        <v>#VALUE!</v>
      </c>
      <c r="O575" s="3" t="e">
        <f>IF(G575 + I575 = 0, "", (G575 * K575 + I575 * M575) / (G575 + I575))</f>
        <v>#VALUE!</v>
      </c>
      <c r="P575" s="3" t="e">
        <f>IF(H575 + J575 = 0, "", (H575 * L575 + J575 * N575) / (H575 + J575))</f>
        <v>#VALUE!</v>
      </c>
      <c r="Q575" s="3" t="e">
        <f>IF(O575 = "", "", O575 - P575)</f>
        <v>#VALUE!</v>
      </c>
      <c r="R575" s="3" t="e">
        <f>LOOKUP(C575, SweepStudyConfig[StudyId], SweepStudyConfig[SweepCorrectedGap])</f>
        <v>#VALUE!</v>
      </c>
      <c r="S575" s="3" t="e">
        <f>IF(Q575 = "", "", Q575 - R575)</f>
        <v>#VALUE!</v>
      </c>
    </row>
    <row r="576">
      <c r="A576" s="2" t="s">
        <v>3864</v>
      </c>
      <c r="B576" s="3" t="str">
        <f>A576</f>
        <v>borjas-immigrant-cohort-f045</v>
      </c>
      <c r="C576" s="2" t="s">
        <v>633</v>
      </c>
      <c r="D576" s="2">
        <v>0.45</v>
      </c>
      <c r="E576" s="3" t="e">
        <f>ABS(D576 - LOOKUP(C576, SweepStudyConfig[StudyId], SweepStudyConfig[OriginalAllocFractionA])) &lt; 0.03</f>
        <v>#VALUE!</v>
      </c>
      <c r="F576" s="3" t="e">
        <f>LOOKUP(C576, SweepStudyConfig[StudyId], SweepStudyConfig[NSweepStratumTotal])</f>
        <v>#VALUE!</v>
      </c>
      <c r="G576" s="3" t="e">
        <f>ROUND(F576 * D576)</f>
        <v>#VALUE!</v>
      </c>
      <c r="H576" s="3" t="e">
        <f>F576 - G576</f>
        <v>#VALUE!</v>
      </c>
      <c r="I576" s="3" t="e">
        <f>LOOKUP(C576, SweepStudyConfig[StudyId], SweepStudyConfig[NFixedA])</f>
        <v>#VALUE!</v>
      </c>
      <c r="J576" s="3" t="e">
        <f>LOOKUP(C576, SweepStudyConfig[StudyId], SweepStudyConfig[NFixedB])</f>
        <v>#VALUE!</v>
      </c>
      <c r="K576" s="3" t="e">
        <f>LOOKUP(C576, SweepStudyConfig[StudyId], SweepStudyConfig[SweepRateA])</f>
        <v>#VALUE!</v>
      </c>
      <c r="L576" s="3" t="e">
        <f>LOOKUP(C576, SweepStudyConfig[StudyId], SweepStudyConfig[SweepRateB])</f>
        <v>#VALUE!</v>
      </c>
      <c r="M576" s="3" t="e">
        <f>LOOKUP(C576, SweepStudyConfig[StudyId], SweepStudyConfig[FixedRateA])</f>
        <v>#VALUE!</v>
      </c>
      <c r="N576" s="3" t="e">
        <f>LOOKUP(C576, SweepStudyConfig[StudyId], SweepStudyConfig[FixedRateB])</f>
        <v>#VALUE!</v>
      </c>
      <c r="O576" s="3" t="e">
        <f>IF(G576 + I576 = 0, "", (G576 * K576 + I576 * M576) / (G576 + I576))</f>
        <v>#VALUE!</v>
      </c>
      <c r="P576" s="3" t="e">
        <f>IF(H576 + J576 = 0, "", (H576 * L576 + J576 * N576) / (H576 + J576))</f>
        <v>#VALUE!</v>
      </c>
      <c r="Q576" s="3" t="e">
        <f>IF(O576 = "", "", O576 - P576)</f>
        <v>#VALUE!</v>
      </c>
      <c r="R576" s="3" t="e">
        <f>LOOKUP(C576, SweepStudyConfig[StudyId], SweepStudyConfig[SweepCorrectedGap])</f>
        <v>#VALUE!</v>
      </c>
      <c r="S576" s="3" t="e">
        <f>IF(Q576 = "", "", Q576 - R576)</f>
        <v>#VALUE!</v>
      </c>
    </row>
    <row r="577">
      <c r="A577" s="2" t="s">
        <v>3865</v>
      </c>
      <c r="B577" s="3" t="str">
        <f>A577</f>
        <v>borjas-immigrant-cohort-f055</v>
      </c>
      <c r="C577" s="2" t="s">
        <v>633</v>
      </c>
      <c r="D577" s="2">
        <v>0.55</v>
      </c>
      <c r="E577" s="3" t="e">
        <f>ABS(D577 - LOOKUP(C577, SweepStudyConfig[StudyId], SweepStudyConfig[OriginalAllocFractionA])) &lt; 0.03</f>
        <v>#VALUE!</v>
      </c>
      <c r="F577" s="3" t="e">
        <f>LOOKUP(C577, SweepStudyConfig[StudyId], SweepStudyConfig[NSweepStratumTotal])</f>
        <v>#VALUE!</v>
      </c>
      <c r="G577" s="3" t="e">
        <f>ROUND(F577 * D577)</f>
        <v>#VALUE!</v>
      </c>
      <c r="H577" s="3" t="e">
        <f>F577 - G577</f>
        <v>#VALUE!</v>
      </c>
      <c r="I577" s="3" t="e">
        <f>LOOKUP(C577, SweepStudyConfig[StudyId], SweepStudyConfig[NFixedA])</f>
        <v>#VALUE!</v>
      </c>
      <c r="J577" s="3" t="e">
        <f>LOOKUP(C577, SweepStudyConfig[StudyId], SweepStudyConfig[NFixedB])</f>
        <v>#VALUE!</v>
      </c>
      <c r="K577" s="3" t="e">
        <f>LOOKUP(C577, SweepStudyConfig[StudyId], SweepStudyConfig[SweepRateA])</f>
        <v>#VALUE!</v>
      </c>
      <c r="L577" s="3" t="e">
        <f>LOOKUP(C577, SweepStudyConfig[StudyId], SweepStudyConfig[SweepRateB])</f>
        <v>#VALUE!</v>
      </c>
      <c r="M577" s="3" t="e">
        <f>LOOKUP(C577, SweepStudyConfig[StudyId], SweepStudyConfig[FixedRateA])</f>
        <v>#VALUE!</v>
      </c>
      <c r="N577" s="3" t="e">
        <f>LOOKUP(C577, SweepStudyConfig[StudyId], SweepStudyConfig[FixedRateB])</f>
        <v>#VALUE!</v>
      </c>
      <c r="O577" s="3" t="e">
        <f>IF(G577 + I577 = 0, "", (G577 * K577 + I577 * M577) / (G577 + I577))</f>
        <v>#VALUE!</v>
      </c>
      <c r="P577" s="3" t="e">
        <f>IF(H577 + J577 = 0, "", (H577 * L577 + J577 * N577) / (H577 + J577))</f>
        <v>#VALUE!</v>
      </c>
      <c r="Q577" s="3" t="e">
        <f>IF(O577 = "", "", O577 - P577)</f>
        <v>#VALUE!</v>
      </c>
      <c r="R577" s="3" t="e">
        <f>LOOKUP(C577, SweepStudyConfig[StudyId], SweepStudyConfig[SweepCorrectedGap])</f>
        <v>#VALUE!</v>
      </c>
      <c r="S577" s="3" t="e">
        <f>IF(Q577 = "", "", Q577 - R577)</f>
        <v>#VALUE!</v>
      </c>
    </row>
    <row r="578">
      <c r="A578" s="2" t="s">
        <v>3866</v>
      </c>
      <c r="B578" s="3" t="str">
        <f>A578</f>
        <v>borjas-immigrant-cohort-f065</v>
      </c>
      <c r="C578" s="2" t="s">
        <v>633</v>
      </c>
      <c r="D578" s="2">
        <v>0.65</v>
      </c>
      <c r="E578" s="3" t="e">
        <f>ABS(D578 - LOOKUP(C578, SweepStudyConfig[StudyId], SweepStudyConfig[OriginalAllocFractionA])) &lt; 0.03</f>
        <v>#VALUE!</v>
      </c>
      <c r="F578" s="3" t="e">
        <f>LOOKUP(C578, SweepStudyConfig[StudyId], SweepStudyConfig[NSweepStratumTotal])</f>
        <v>#VALUE!</v>
      </c>
      <c r="G578" s="3" t="e">
        <f>ROUND(F578 * D578)</f>
        <v>#VALUE!</v>
      </c>
      <c r="H578" s="3" t="e">
        <f>F578 - G578</f>
        <v>#VALUE!</v>
      </c>
      <c r="I578" s="3" t="e">
        <f>LOOKUP(C578, SweepStudyConfig[StudyId], SweepStudyConfig[NFixedA])</f>
        <v>#VALUE!</v>
      </c>
      <c r="J578" s="3" t="e">
        <f>LOOKUP(C578, SweepStudyConfig[StudyId], SweepStudyConfig[NFixedB])</f>
        <v>#VALUE!</v>
      </c>
      <c r="K578" s="3" t="e">
        <f>LOOKUP(C578, SweepStudyConfig[StudyId], SweepStudyConfig[SweepRateA])</f>
        <v>#VALUE!</v>
      </c>
      <c r="L578" s="3" t="e">
        <f>LOOKUP(C578, SweepStudyConfig[StudyId], SweepStudyConfig[SweepRateB])</f>
        <v>#VALUE!</v>
      </c>
      <c r="M578" s="3" t="e">
        <f>LOOKUP(C578, SweepStudyConfig[StudyId], SweepStudyConfig[FixedRateA])</f>
        <v>#VALUE!</v>
      </c>
      <c r="N578" s="3" t="e">
        <f>LOOKUP(C578, SweepStudyConfig[StudyId], SweepStudyConfig[FixedRateB])</f>
        <v>#VALUE!</v>
      </c>
      <c r="O578" s="3" t="e">
        <f>IF(G578 + I578 = 0, "", (G578 * K578 + I578 * M578) / (G578 + I578))</f>
        <v>#VALUE!</v>
      </c>
      <c r="P578" s="3" t="e">
        <f>IF(H578 + J578 = 0, "", (H578 * L578 + J578 * N578) / (H578 + J578))</f>
        <v>#VALUE!</v>
      </c>
      <c r="Q578" s="3" t="e">
        <f>IF(O578 = "", "", O578 - P578)</f>
        <v>#VALUE!</v>
      </c>
      <c r="R578" s="3" t="e">
        <f>LOOKUP(C578, SweepStudyConfig[StudyId], SweepStudyConfig[SweepCorrectedGap])</f>
        <v>#VALUE!</v>
      </c>
      <c r="S578" s="3" t="e">
        <f>IF(Q578 = "", "", Q578 - R578)</f>
        <v>#VALUE!</v>
      </c>
    </row>
    <row r="579">
      <c r="A579" s="2" t="s">
        <v>3867</v>
      </c>
      <c r="B579" s="3" t="str">
        <f>A579</f>
        <v>borjas-immigrant-cohort-f075</v>
      </c>
      <c r="C579" s="2" t="s">
        <v>633</v>
      </c>
      <c r="D579" s="2">
        <v>0.75</v>
      </c>
      <c r="E579" s="3" t="e">
        <f>ABS(D579 - LOOKUP(C579, SweepStudyConfig[StudyId], SweepStudyConfig[OriginalAllocFractionA])) &lt; 0.03</f>
        <v>#VALUE!</v>
      </c>
      <c r="F579" s="3" t="e">
        <f>LOOKUP(C579, SweepStudyConfig[StudyId], SweepStudyConfig[NSweepStratumTotal])</f>
        <v>#VALUE!</v>
      </c>
      <c r="G579" s="3" t="e">
        <f>ROUND(F579 * D579)</f>
        <v>#VALUE!</v>
      </c>
      <c r="H579" s="3" t="e">
        <f>F579 - G579</f>
        <v>#VALUE!</v>
      </c>
      <c r="I579" s="3" t="e">
        <f>LOOKUP(C579, SweepStudyConfig[StudyId], SweepStudyConfig[NFixedA])</f>
        <v>#VALUE!</v>
      </c>
      <c r="J579" s="3" t="e">
        <f>LOOKUP(C579, SweepStudyConfig[StudyId], SweepStudyConfig[NFixedB])</f>
        <v>#VALUE!</v>
      </c>
      <c r="K579" s="3" t="e">
        <f>LOOKUP(C579, SweepStudyConfig[StudyId], SweepStudyConfig[SweepRateA])</f>
        <v>#VALUE!</v>
      </c>
      <c r="L579" s="3" t="e">
        <f>LOOKUP(C579, SweepStudyConfig[StudyId], SweepStudyConfig[SweepRateB])</f>
        <v>#VALUE!</v>
      </c>
      <c r="M579" s="3" t="e">
        <f>LOOKUP(C579, SweepStudyConfig[StudyId], SweepStudyConfig[FixedRateA])</f>
        <v>#VALUE!</v>
      </c>
      <c r="N579" s="3" t="e">
        <f>LOOKUP(C579, SweepStudyConfig[StudyId], SweepStudyConfig[FixedRateB])</f>
        <v>#VALUE!</v>
      </c>
      <c r="O579" s="3" t="e">
        <f>IF(G579 + I579 = 0, "", (G579 * K579 + I579 * M579) / (G579 + I579))</f>
        <v>#VALUE!</v>
      </c>
      <c r="P579" s="3" t="e">
        <f>IF(H579 + J579 = 0, "", (H579 * L579 + J579 * N579) / (H579 + J579))</f>
        <v>#VALUE!</v>
      </c>
      <c r="Q579" s="3" t="e">
        <f>IF(O579 = "", "", O579 - P579)</f>
        <v>#VALUE!</v>
      </c>
      <c r="R579" s="3" t="e">
        <f>LOOKUP(C579, SweepStudyConfig[StudyId], SweepStudyConfig[SweepCorrectedGap])</f>
        <v>#VALUE!</v>
      </c>
      <c r="S579" s="3" t="e">
        <f>IF(Q579 = "", "", Q579 - R579)</f>
        <v>#VALUE!</v>
      </c>
    </row>
    <row r="580">
      <c r="A580" s="2" t="s">
        <v>3868</v>
      </c>
      <c r="B580" s="3" t="str">
        <f>A580</f>
        <v>borjas-immigrant-cohort-f085</v>
      </c>
      <c r="C580" s="2" t="s">
        <v>633</v>
      </c>
      <c r="D580" s="2">
        <v>0.85</v>
      </c>
      <c r="E580" s="3" t="e">
        <f>ABS(D580 - LOOKUP(C580, SweepStudyConfig[StudyId], SweepStudyConfig[OriginalAllocFractionA])) &lt; 0.03</f>
        <v>#VALUE!</v>
      </c>
      <c r="F580" s="3" t="e">
        <f>LOOKUP(C580, SweepStudyConfig[StudyId], SweepStudyConfig[NSweepStratumTotal])</f>
        <v>#VALUE!</v>
      </c>
      <c r="G580" s="3" t="e">
        <f>ROUND(F580 * D580)</f>
        <v>#VALUE!</v>
      </c>
      <c r="H580" s="3" t="e">
        <f>F580 - G580</f>
        <v>#VALUE!</v>
      </c>
      <c r="I580" s="3" t="e">
        <f>LOOKUP(C580, SweepStudyConfig[StudyId], SweepStudyConfig[NFixedA])</f>
        <v>#VALUE!</v>
      </c>
      <c r="J580" s="3" t="e">
        <f>LOOKUP(C580, SweepStudyConfig[StudyId], SweepStudyConfig[NFixedB])</f>
        <v>#VALUE!</v>
      </c>
      <c r="K580" s="3" t="e">
        <f>LOOKUP(C580, SweepStudyConfig[StudyId], SweepStudyConfig[SweepRateA])</f>
        <v>#VALUE!</v>
      </c>
      <c r="L580" s="3" t="e">
        <f>LOOKUP(C580, SweepStudyConfig[StudyId], SweepStudyConfig[SweepRateB])</f>
        <v>#VALUE!</v>
      </c>
      <c r="M580" s="3" t="e">
        <f>LOOKUP(C580, SweepStudyConfig[StudyId], SweepStudyConfig[FixedRateA])</f>
        <v>#VALUE!</v>
      </c>
      <c r="N580" s="3" t="e">
        <f>LOOKUP(C580, SweepStudyConfig[StudyId], SweepStudyConfig[FixedRateB])</f>
        <v>#VALUE!</v>
      </c>
      <c r="O580" s="3" t="e">
        <f>IF(G580 + I580 = 0, "", (G580 * K580 + I580 * M580) / (G580 + I580))</f>
        <v>#VALUE!</v>
      </c>
      <c r="P580" s="3" t="e">
        <f>IF(H580 + J580 = 0, "", (H580 * L580 + J580 * N580) / (H580 + J580))</f>
        <v>#VALUE!</v>
      </c>
      <c r="Q580" s="3" t="e">
        <f>IF(O580 = "", "", O580 - P580)</f>
        <v>#VALUE!</v>
      </c>
      <c r="R580" s="3" t="e">
        <f>LOOKUP(C580, SweepStudyConfig[StudyId], SweepStudyConfig[SweepCorrectedGap])</f>
        <v>#VALUE!</v>
      </c>
      <c r="S580" s="3" t="e">
        <f>IF(Q580 = "", "", Q580 - R580)</f>
        <v>#VALUE!</v>
      </c>
    </row>
    <row r="581">
      <c r="A581" s="2" t="s">
        <v>3869</v>
      </c>
      <c r="B581" s="3" t="str">
        <f>A581</f>
        <v>borjas-immigrant-cohort-f095</v>
      </c>
      <c r="C581" s="2" t="s">
        <v>633</v>
      </c>
      <c r="D581" s="2">
        <v>0.95</v>
      </c>
      <c r="E581" s="3" t="e">
        <f>ABS(D581 - LOOKUP(C581, SweepStudyConfig[StudyId], SweepStudyConfig[OriginalAllocFractionA])) &lt; 0.03</f>
        <v>#VALUE!</v>
      </c>
      <c r="F581" s="3" t="e">
        <f>LOOKUP(C581, SweepStudyConfig[StudyId], SweepStudyConfig[NSweepStratumTotal])</f>
        <v>#VALUE!</v>
      </c>
      <c r="G581" s="3" t="e">
        <f>ROUND(F581 * D581)</f>
        <v>#VALUE!</v>
      </c>
      <c r="H581" s="3" t="e">
        <f>F581 - G581</f>
        <v>#VALUE!</v>
      </c>
      <c r="I581" s="3" t="e">
        <f>LOOKUP(C581, SweepStudyConfig[StudyId], SweepStudyConfig[NFixedA])</f>
        <v>#VALUE!</v>
      </c>
      <c r="J581" s="3" t="e">
        <f>LOOKUP(C581, SweepStudyConfig[StudyId], SweepStudyConfig[NFixedB])</f>
        <v>#VALUE!</v>
      </c>
      <c r="K581" s="3" t="e">
        <f>LOOKUP(C581, SweepStudyConfig[StudyId], SweepStudyConfig[SweepRateA])</f>
        <v>#VALUE!</v>
      </c>
      <c r="L581" s="3" t="e">
        <f>LOOKUP(C581, SweepStudyConfig[StudyId], SweepStudyConfig[SweepRateB])</f>
        <v>#VALUE!</v>
      </c>
      <c r="M581" s="3" t="e">
        <f>LOOKUP(C581, SweepStudyConfig[StudyId], SweepStudyConfig[FixedRateA])</f>
        <v>#VALUE!</v>
      </c>
      <c r="N581" s="3" t="e">
        <f>LOOKUP(C581, SweepStudyConfig[StudyId], SweepStudyConfig[FixedRateB])</f>
        <v>#VALUE!</v>
      </c>
      <c r="O581" s="3" t="e">
        <f>IF(G581 + I581 = 0, "", (G581 * K581 + I581 * M581) / (G581 + I581))</f>
        <v>#VALUE!</v>
      </c>
      <c r="P581" s="3" t="e">
        <f>IF(H581 + J581 = 0, "", (H581 * L581 + J581 * N581) / (H581 + J581))</f>
        <v>#VALUE!</v>
      </c>
      <c r="Q581" s="3" t="e">
        <f>IF(O581 = "", "", O581 - P581)</f>
        <v>#VALUE!</v>
      </c>
      <c r="R581" s="3" t="e">
        <f>LOOKUP(C581, SweepStudyConfig[StudyId], SweepStudyConfig[SweepCorrectedGap])</f>
        <v>#VALUE!</v>
      </c>
      <c r="S581" s="3" t="e">
        <f>IF(Q581 = "", "", Q581 - R581)</f>
        <v>#VALUE!</v>
      </c>
    </row>
    <row r="582">
      <c r="A582" s="2" t="s">
        <v>3870</v>
      </c>
      <c r="B582" s="3" t="str">
        <f>A582</f>
        <v>robinson-1950-literacy-f005</v>
      </c>
      <c r="C582" s="2" t="s">
        <v>637</v>
      </c>
      <c r="D582" s="2">
        <v>0.05</v>
      </c>
      <c r="E582" s="3" t="e">
        <f>ABS(D582 - LOOKUP(C582, SweepStudyConfig[StudyId], SweepStudyConfig[OriginalAllocFractionA])) &lt; 0.03</f>
        <v>#VALUE!</v>
      </c>
      <c r="F582" s="3" t="e">
        <f>LOOKUP(C582, SweepStudyConfig[StudyId], SweepStudyConfig[NSweepStratumTotal])</f>
        <v>#VALUE!</v>
      </c>
      <c r="G582" s="3" t="e">
        <f>ROUND(F582 * D582)</f>
        <v>#VALUE!</v>
      </c>
      <c r="H582" s="3" t="e">
        <f>F582 - G582</f>
        <v>#VALUE!</v>
      </c>
      <c r="I582" s="3" t="e">
        <f>LOOKUP(C582, SweepStudyConfig[StudyId], SweepStudyConfig[NFixedA])</f>
        <v>#VALUE!</v>
      </c>
      <c r="J582" s="3" t="e">
        <f>LOOKUP(C582, SweepStudyConfig[StudyId], SweepStudyConfig[NFixedB])</f>
        <v>#VALUE!</v>
      </c>
      <c r="K582" s="3" t="e">
        <f>LOOKUP(C582, SweepStudyConfig[StudyId], SweepStudyConfig[SweepRateA])</f>
        <v>#VALUE!</v>
      </c>
      <c r="L582" s="3" t="e">
        <f>LOOKUP(C582, SweepStudyConfig[StudyId], SweepStudyConfig[SweepRateB])</f>
        <v>#VALUE!</v>
      </c>
      <c r="M582" s="3" t="e">
        <f>LOOKUP(C582, SweepStudyConfig[StudyId], SweepStudyConfig[FixedRateA])</f>
        <v>#VALUE!</v>
      </c>
      <c r="N582" s="3" t="e">
        <f>LOOKUP(C582, SweepStudyConfig[StudyId], SweepStudyConfig[FixedRateB])</f>
        <v>#VALUE!</v>
      </c>
      <c r="O582" s="3" t="e">
        <f>IF(G582 + I582 = 0, "", (G582 * K582 + I582 * M582) / (G582 + I582))</f>
        <v>#VALUE!</v>
      </c>
      <c r="P582" s="3" t="e">
        <f>IF(H582 + J582 = 0, "", (H582 * L582 + J582 * N582) / (H582 + J582))</f>
        <v>#VALUE!</v>
      </c>
      <c r="Q582" s="3" t="e">
        <f>IF(O582 = "", "", O582 - P582)</f>
        <v>#VALUE!</v>
      </c>
      <c r="R582" s="3" t="e">
        <f>LOOKUP(C582, SweepStudyConfig[StudyId], SweepStudyConfig[SweepCorrectedGap])</f>
        <v>#VALUE!</v>
      </c>
      <c r="S582" s="3" t="e">
        <f>IF(Q582 = "", "", Q582 - R582)</f>
        <v>#VALUE!</v>
      </c>
    </row>
    <row r="583">
      <c r="A583" s="2" t="s">
        <v>3871</v>
      </c>
      <c r="B583" s="3" t="str">
        <f>A583</f>
        <v>robinson-1950-literacy-f015</v>
      </c>
      <c r="C583" s="2" t="s">
        <v>637</v>
      </c>
      <c r="D583" s="2">
        <v>0.15</v>
      </c>
      <c r="E583" s="3" t="e">
        <f>ABS(D583 - LOOKUP(C583, SweepStudyConfig[StudyId], SweepStudyConfig[OriginalAllocFractionA])) &lt; 0.03</f>
        <v>#VALUE!</v>
      </c>
      <c r="F583" s="3" t="e">
        <f>LOOKUP(C583, SweepStudyConfig[StudyId], SweepStudyConfig[NSweepStratumTotal])</f>
        <v>#VALUE!</v>
      </c>
      <c r="G583" s="3" t="e">
        <f>ROUND(F583 * D583)</f>
        <v>#VALUE!</v>
      </c>
      <c r="H583" s="3" t="e">
        <f>F583 - G583</f>
        <v>#VALUE!</v>
      </c>
      <c r="I583" s="3" t="e">
        <f>LOOKUP(C583, SweepStudyConfig[StudyId], SweepStudyConfig[NFixedA])</f>
        <v>#VALUE!</v>
      </c>
      <c r="J583" s="3" t="e">
        <f>LOOKUP(C583, SweepStudyConfig[StudyId], SweepStudyConfig[NFixedB])</f>
        <v>#VALUE!</v>
      </c>
      <c r="K583" s="3" t="e">
        <f>LOOKUP(C583, SweepStudyConfig[StudyId], SweepStudyConfig[SweepRateA])</f>
        <v>#VALUE!</v>
      </c>
      <c r="L583" s="3" t="e">
        <f>LOOKUP(C583, SweepStudyConfig[StudyId], SweepStudyConfig[SweepRateB])</f>
        <v>#VALUE!</v>
      </c>
      <c r="M583" s="3" t="e">
        <f>LOOKUP(C583, SweepStudyConfig[StudyId], SweepStudyConfig[FixedRateA])</f>
        <v>#VALUE!</v>
      </c>
      <c r="N583" s="3" t="e">
        <f>LOOKUP(C583, SweepStudyConfig[StudyId], SweepStudyConfig[FixedRateB])</f>
        <v>#VALUE!</v>
      </c>
      <c r="O583" s="3" t="e">
        <f>IF(G583 + I583 = 0, "", (G583 * K583 + I583 * M583) / (G583 + I583))</f>
        <v>#VALUE!</v>
      </c>
      <c r="P583" s="3" t="e">
        <f>IF(H583 + J583 = 0, "", (H583 * L583 + J583 * N583) / (H583 + J583))</f>
        <v>#VALUE!</v>
      </c>
      <c r="Q583" s="3" t="e">
        <f>IF(O583 = "", "", O583 - P583)</f>
        <v>#VALUE!</v>
      </c>
      <c r="R583" s="3" t="e">
        <f>LOOKUP(C583, SweepStudyConfig[StudyId], SweepStudyConfig[SweepCorrectedGap])</f>
        <v>#VALUE!</v>
      </c>
      <c r="S583" s="3" t="e">
        <f>IF(Q583 = "", "", Q583 - R583)</f>
        <v>#VALUE!</v>
      </c>
    </row>
    <row r="584">
      <c r="A584" s="2" t="s">
        <v>3872</v>
      </c>
      <c r="B584" s="3" t="str">
        <f>A584</f>
        <v>robinson-1950-literacy-f025</v>
      </c>
      <c r="C584" s="2" t="s">
        <v>637</v>
      </c>
      <c r="D584" s="2">
        <v>0.25</v>
      </c>
      <c r="E584" s="3" t="e">
        <f>ABS(D584 - LOOKUP(C584, SweepStudyConfig[StudyId], SweepStudyConfig[OriginalAllocFractionA])) &lt; 0.03</f>
        <v>#VALUE!</v>
      </c>
      <c r="F584" s="3" t="e">
        <f>LOOKUP(C584, SweepStudyConfig[StudyId], SweepStudyConfig[NSweepStratumTotal])</f>
        <v>#VALUE!</v>
      </c>
      <c r="G584" s="3" t="e">
        <f>ROUND(F584 * D584)</f>
        <v>#VALUE!</v>
      </c>
      <c r="H584" s="3" t="e">
        <f>F584 - G584</f>
        <v>#VALUE!</v>
      </c>
      <c r="I584" s="3" t="e">
        <f>LOOKUP(C584, SweepStudyConfig[StudyId], SweepStudyConfig[NFixedA])</f>
        <v>#VALUE!</v>
      </c>
      <c r="J584" s="3" t="e">
        <f>LOOKUP(C584, SweepStudyConfig[StudyId], SweepStudyConfig[NFixedB])</f>
        <v>#VALUE!</v>
      </c>
      <c r="K584" s="3" t="e">
        <f>LOOKUP(C584, SweepStudyConfig[StudyId], SweepStudyConfig[SweepRateA])</f>
        <v>#VALUE!</v>
      </c>
      <c r="L584" s="3" t="e">
        <f>LOOKUP(C584, SweepStudyConfig[StudyId], SweepStudyConfig[SweepRateB])</f>
        <v>#VALUE!</v>
      </c>
      <c r="M584" s="3" t="e">
        <f>LOOKUP(C584, SweepStudyConfig[StudyId], SweepStudyConfig[FixedRateA])</f>
        <v>#VALUE!</v>
      </c>
      <c r="N584" s="3" t="e">
        <f>LOOKUP(C584, SweepStudyConfig[StudyId], SweepStudyConfig[FixedRateB])</f>
        <v>#VALUE!</v>
      </c>
      <c r="O584" s="3" t="e">
        <f>IF(G584 + I584 = 0, "", (G584 * K584 + I584 * M584) / (G584 + I584))</f>
        <v>#VALUE!</v>
      </c>
      <c r="P584" s="3" t="e">
        <f>IF(H584 + J584 = 0, "", (H584 * L584 + J584 * N584) / (H584 + J584))</f>
        <v>#VALUE!</v>
      </c>
      <c r="Q584" s="3" t="e">
        <f>IF(O584 = "", "", O584 - P584)</f>
        <v>#VALUE!</v>
      </c>
      <c r="R584" s="3" t="e">
        <f>LOOKUP(C584, SweepStudyConfig[StudyId], SweepStudyConfig[SweepCorrectedGap])</f>
        <v>#VALUE!</v>
      </c>
      <c r="S584" s="3" t="e">
        <f>IF(Q584 = "", "", Q584 - R584)</f>
        <v>#VALUE!</v>
      </c>
    </row>
    <row r="585">
      <c r="A585" s="2" t="s">
        <v>3873</v>
      </c>
      <c r="B585" s="3" t="str">
        <f>A585</f>
        <v>robinson-1950-literacy-f035</v>
      </c>
      <c r="C585" s="2" t="s">
        <v>637</v>
      </c>
      <c r="D585" s="2">
        <v>0.35</v>
      </c>
      <c r="E585" s="3" t="e">
        <f>ABS(D585 - LOOKUP(C585, SweepStudyConfig[StudyId], SweepStudyConfig[OriginalAllocFractionA])) &lt; 0.03</f>
        <v>#VALUE!</v>
      </c>
      <c r="F585" s="3" t="e">
        <f>LOOKUP(C585, SweepStudyConfig[StudyId], SweepStudyConfig[NSweepStratumTotal])</f>
        <v>#VALUE!</v>
      </c>
      <c r="G585" s="3" t="e">
        <f>ROUND(F585 * D585)</f>
        <v>#VALUE!</v>
      </c>
      <c r="H585" s="3" t="e">
        <f>F585 - G585</f>
        <v>#VALUE!</v>
      </c>
      <c r="I585" s="3" t="e">
        <f>LOOKUP(C585, SweepStudyConfig[StudyId], SweepStudyConfig[NFixedA])</f>
        <v>#VALUE!</v>
      </c>
      <c r="J585" s="3" t="e">
        <f>LOOKUP(C585, SweepStudyConfig[StudyId], SweepStudyConfig[NFixedB])</f>
        <v>#VALUE!</v>
      </c>
      <c r="K585" s="3" t="e">
        <f>LOOKUP(C585, SweepStudyConfig[StudyId], SweepStudyConfig[SweepRateA])</f>
        <v>#VALUE!</v>
      </c>
      <c r="L585" s="3" t="e">
        <f>LOOKUP(C585, SweepStudyConfig[StudyId], SweepStudyConfig[SweepRateB])</f>
        <v>#VALUE!</v>
      </c>
      <c r="M585" s="3" t="e">
        <f>LOOKUP(C585, SweepStudyConfig[StudyId], SweepStudyConfig[FixedRateA])</f>
        <v>#VALUE!</v>
      </c>
      <c r="N585" s="3" t="e">
        <f>LOOKUP(C585, SweepStudyConfig[StudyId], SweepStudyConfig[FixedRateB])</f>
        <v>#VALUE!</v>
      </c>
      <c r="O585" s="3" t="e">
        <f>IF(G585 + I585 = 0, "", (G585 * K585 + I585 * M585) / (G585 + I585))</f>
        <v>#VALUE!</v>
      </c>
      <c r="P585" s="3" t="e">
        <f>IF(H585 + J585 = 0, "", (H585 * L585 + J585 * N585) / (H585 + J585))</f>
        <v>#VALUE!</v>
      </c>
      <c r="Q585" s="3" t="e">
        <f>IF(O585 = "", "", O585 - P585)</f>
        <v>#VALUE!</v>
      </c>
      <c r="R585" s="3" t="e">
        <f>LOOKUP(C585, SweepStudyConfig[StudyId], SweepStudyConfig[SweepCorrectedGap])</f>
        <v>#VALUE!</v>
      </c>
      <c r="S585" s="3" t="e">
        <f>IF(Q585 = "", "", Q585 - R585)</f>
        <v>#VALUE!</v>
      </c>
    </row>
    <row r="586">
      <c r="A586" s="2" t="s">
        <v>3874</v>
      </c>
      <c r="B586" s="3" t="str">
        <f>A586</f>
        <v>robinson-1950-literacy-f045</v>
      </c>
      <c r="C586" s="2" t="s">
        <v>637</v>
      </c>
      <c r="D586" s="2">
        <v>0.45</v>
      </c>
      <c r="E586" s="3" t="e">
        <f>ABS(D586 - LOOKUP(C586, SweepStudyConfig[StudyId], SweepStudyConfig[OriginalAllocFractionA])) &lt; 0.03</f>
        <v>#VALUE!</v>
      </c>
      <c r="F586" s="3" t="e">
        <f>LOOKUP(C586, SweepStudyConfig[StudyId], SweepStudyConfig[NSweepStratumTotal])</f>
        <v>#VALUE!</v>
      </c>
      <c r="G586" s="3" t="e">
        <f>ROUND(F586 * D586)</f>
        <v>#VALUE!</v>
      </c>
      <c r="H586" s="3" t="e">
        <f>F586 - G586</f>
        <v>#VALUE!</v>
      </c>
      <c r="I586" s="3" t="e">
        <f>LOOKUP(C586, SweepStudyConfig[StudyId], SweepStudyConfig[NFixedA])</f>
        <v>#VALUE!</v>
      </c>
      <c r="J586" s="3" t="e">
        <f>LOOKUP(C586, SweepStudyConfig[StudyId], SweepStudyConfig[NFixedB])</f>
        <v>#VALUE!</v>
      </c>
      <c r="K586" s="3" t="e">
        <f>LOOKUP(C586, SweepStudyConfig[StudyId], SweepStudyConfig[SweepRateA])</f>
        <v>#VALUE!</v>
      </c>
      <c r="L586" s="3" t="e">
        <f>LOOKUP(C586, SweepStudyConfig[StudyId], SweepStudyConfig[SweepRateB])</f>
        <v>#VALUE!</v>
      </c>
      <c r="M586" s="3" t="e">
        <f>LOOKUP(C586, SweepStudyConfig[StudyId], SweepStudyConfig[FixedRateA])</f>
        <v>#VALUE!</v>
      </c>
      <c r="N586" s="3" t="e">
        <f>LOOKUP(C586, SweepStudyConfig[StudyId], SweepStudyConfig[FixedRateB])</f>
        <v>#VALUE!</v>
      </c>
      <c r="O586" s="3" t="e">
        <f>IF(G586 + I586 = 0, "", (G586 * K586 + I586 * M586) / (G586 + I586))</f>
        <v>#VALUE!</v>
      </c>
      <c r="P586" s="3" t="e">
        <f>IF(H586 + J586 = 0, "", (H586 * L586 + J586 * N586) / (H586 + J586))</f>
        <v>#VALUE!</v>
      </c>
      <c r="Q586" s="3" t="e">
        <f>IF(O586 = "", "", O586 - P586)</f>
        <v>#VALUE!</v>
      </c>
      <c r="R586" s="3" t="e">
        <f>LOOKUP(C586, SweepStudyConfig[StudyId], SweepStudyConfig[SweepCorrectedGap])</f>
        <v>#VALUE!</v>
      </c>
      <c r="S586" s="3" t="e">
        <f>IF(Q586 = "", "", Q586 - R586)</f>
        <v>#VALUE!</v>
      </c>
    </row>
    <row r="587">
      <c r="A587" s="2" t="s">
        <v>3875</v>
      </c>
      <c r="B587" s="3" t="str">
        <f>A587</f>
        <v>robinson-1950-literacy-f055</v>
      </c>
      <c r="C587" s="2" t="s">
        <v>637</v>
      </c>
      <c r="D587" s="2">
        <v>0.55</v>
      </c>
      <c r="E587" s="3" t="e">
        <f>ABS(D587 - LOOKUP(C587, SweepStudyConfig[StudyId], SweepStudyConfig[OriginalAllocFractionA])) &lt; 0.03</f>
        <v>#VALUE!</v>
      </c>
      <c r="F587" s="3" t="e">
        <f>LOOKUP(C587, SweepStudyConfig[StudyId], SweepStudyConfig[NSweepStratumTotal])</f>
        <v>#VALUE!</v>
      </c>
      <c r="G587" s="3" t="e">
        <f>ROUND(F587 * D587)</f>
        <v>#VALUE!</v>
      </c>
      <c r="H587" s="3" t="e">
        <f>F587 - G587</f>
        <v>#VALUE!</v>
      </c>
      <c r="I587" s="3" t="e">
        <f>LOOKUP(C587, SweepStudyConfig[StudyId], SweepStudyConfig[NFixedA])</f>
        <v>#VALUE!</v>
      </c>
      <c r="J587" s="3" t="e">
        <f>LOOKUP(C587, SweepStudyConfig[StudyId], SweepStudyConfig[NFixedB])</f>
        <v>#VALUE!</v>
      </c>
      <c r="K587" s="3" t="e">
        <f>LOOKUP(C587, SweepStudyConfig[StudyId], SweepStudyConfig[SweepRateA])</f>
        <v>#VALUE!</v>
      </c>
      <c r="L587" s="3" t="e">
        <f>LOOKUP(C587, SweepStudyConfig[StudyId], SweepStudyConfig[SweepRateB])</f>
        <v>#VALUE!</v>
      </c>
      <c r="M587" s="3" t="e">
        <f>LOOKUP(C587, SweepStudyConfig[StudyId], SweepStudyConfig[FixedRateA])</f>
        <v>#VALUE!</v>
      </c>
      <c r="N587" s="3" t="e">
        <f>LOOKUP(C587, SweepStudyConfig[StudyId], SweepStudyConfig[FixedRateB])</f>
        <v>#VALUE!</v>
      </c>
      <c r="O587" s="3" t="e">
        <f>IF(G587 + I587 = 0, "", (G587 * K587 + I587 * M587) / (G587 + I587))</f>
        <v>#VALUE!</v>
      </c>
      <c r="P587" s="3" t="e">
        <f>IF(H587 + J587 = 0, "", (H587 * L587 + J587 * N587) / (H587 + J587))</f>
        <v>#VALUE!</v>
      </c>
      <c r="Q587" s="3" t="e">
        <f>IF(O587 = "", "", O587 - P587)</f>
        <v>#VALUE!</v>
      </c>
      <c r="R587" s="3" t="e">
        <f>LOOKUP(C587, SweepStudyConfig[StudyId], SweepStudyConfig[SweepCorrectedGap])</f>
        <v>#VALUE!</v>
      </c>
      <c r="S587" s="3" t="e">
        <f>IF(Q587 = "", "", Q587 - R587)</f>
        <v>#VALUE!</v>
      </c>
    </row>
    <row r="588">
      <c r="A588" s="2" t="s">
        <v>3876</v>
      </c>
      <c r="B588" s="3" t="str">
        <f>A588</f>
        <v>robinson-1950-literacy-f065</v>
      </c>
      <c r="C588" s="2" t="s">
        <v>637</v>
      </c>
      <c r="D588" s="2">
        <v>0.65</v>
      </c>
      <c r="E588" s="3" t="e">
        <f>ABS(D588 - LOOKUP(C588, SweepStudyConfig[StudyId], SweepStudyConfig[OriginalAllocFractionA])) &lt; 0.03</f>
        <v>#VALUE!</v>
      </c>
      <c r="F588" s="3" t="e">
        <f>LOOKUP(C588, SweepStudyConfig[StudyId], SweepStudyConfig[NSweepStratumTotal])</f>
        <v>#VALUE!</v>
      </c>
      <c r="G588" s="3" t="e">
        <f>ROUND(F588 * D588)</f>
        <v>#VALUE!</v>
      </c>
      <c r="H588" s="3" t="e">
        <f>F588 - G588</f>
        <v>#VALUE!</v>
      </c>
      <c r="I588" s="3" t="e">
        <f>LOOKUP(C588, SweepStudyConfig[StudyId], SweepStudyConfig[NFixedA])</f>
        <v>#VALUE!</v>
      </c>
      <c r="J588" s="3" t="e">
        <f>LOOKUP(C588, SweepStudyConfig[StudyId], SweepStudyConfig[NFixedB])</f>
        <v>#VALUE!</v>
      </c>
      <c r="K588" s="3" t="e">
        <f>LOOKUP(C588, SweepStudyConfig[StudyId], SweepStudyConfig[SweepRateA])</f>
        <v>#VALUE!</v>
      </c>
      <c r="L588" s="3" t="e">
        <f>LOOKUP(C588, SweepStudyConfig[StudyId], SweepStudyConfig[SweepRateB])</f>
        <v>#VALUE!</v>
      </c>
      <c r="M588" s="3" t="e">
        <f>LOOKUP(C588, SweepStudyConfig[StudyId], SweepStudyConfig[FixedRateA])</f>
        <v>#VALUE!</v>
      </c>
      <c r="N588" s="3" t="e">
        <f>LOOKUP(C588, SweepStudyConfig[StudyId], SweepStudyConfig[FixedRateB])</f>
        <v>#VALUE!</v>
      </c>
      <c r="O588" s="3" t="e">
        <f>IF(G588 + I588 = 0, "", (G588 * K588 + I588 * M588) / (G588 + I588))</f>
        <v>#VALUE!</v>
      </c>
      <c r="P588" s="3" t="e">
        <f>IF(H588 + J588 = 0, "", (H588 * L588 + J588 * N588) / (H588 + J588))</f>
        <v>#VALUE!</v>
      </c>
      <c r="Q588" s="3" t="e">
        <f>IF(O588 = "", "", O588 - P588)</f>
        <v>#VALUE!</v>
      </c>
      <c r="R588" s="3" t="e">
        <f>LOOKUP(C588, SweepStudyConfig[StudyId], SweepStudyConfig[SweepCorrectedGap])</f>
        <v>#VALUE!</v>
      </c>
      <c r="S588" s="3" t="e">
        <f>IF(Q588 = "", "", Q588 - R588)</f>
        <v>#VALUE!</v>
      </c>
    </row>
    <row r="589">
      <c r="A589" s="2" t="s">
        <v>3877</v>
      </c>
      <c r="B589" s="3" t="str">
        <f>A589</f>
        <v>robinson-1950-literacy-f075</v>
      </c>
      <c r="C589" s="2" t="s">
        <v>637</v>
      </c>
      <c r="D589" s="2">
        <v>0.75</v>
      </c>
      <c r="E589" s="3" t="e">
        <f>ABS(D589 - LOOKUP(C589, SweepStudyConfig[StudyId], SweepStudyConfig[OriginalAllocFractionA])) &lt; 0.03</f>
        <v>#VALUE!</v>
      </c>
      <c r="F589" s="3" t="e">
        <f>LOOKUP(C589, SweepStudyConfig[StudyId], SweepStudyConfig[NSweepStratumTotal])</f>
        <v>#VALUE!</v>
      </c>
      <c r="G589" s="3" t="e">
        <f>ROUND(F589 * D589)</f>
        <v>#VALUE!</v>
      </c>
      <c r="H589" s="3" t="e">
        <f>F589 - G589</f>
        <v>#VALUE!</v>
      </c>
      <c r="I589" s="3" t="e">
        <f>LOOKUP(C589, SweepStudyConfig[StudyId], SweepStudyConfig[NFixedA])</f>
        <v>#VALUE!</v>
      </c>
      <c r="J589" s="3" t="e">
        <f>LOOKUP(C589, SweepStudyConfig[StudyId], SweepStudyConfig[NFixedB])</f>
        <v>#VALUE!</v>
      </c>
      <c r="K589" s="3" t="e">
        <f>LOOKUP(C589, SweepStudyConfig[StudyId], SweepStudyConfig[SweepRateA])</f>
        <v>#VALUE!</v>
      </c>
      <c r="L589" s="3" t="e">
        <f>LOOKUP(C589, SweepStudyConfig[StudyId], SweepStudyConfig[SweepRateB])</f>
        <v>#VALUE!</v>
      </c>
      <c r="M589" s="3" t="e">
        <f>LOOKUP(C589, SweepStudyConfig[StudyId], SweepStudyConfig[FixedRateA])</f>
        <v>#VALUE!</v>
      </c>
      <c r="N589" s="3" t="e">
        <f>LOOKUP(C589, SweepStudyConfig[StudyId], SweepStudyConfig[FixedRateB])</f>
        <v>#VALUE!</v>
      </c>
      <c r="O589" s="3" t="e">
        <f>IF(G589 + I589 = 0, "", (G589 * K589 + I589 * M589) / (G589 + I589))</f>
        <v>#VALUE!</v>
      </c>
      <c r="P589" s="3" t="e">
        <f>IF(H589 + J589 = 0, "", (H589 * L589 + J589 * N589) / (H589 + J589))</f>
        <v>#VALUE!</v>
      </c>
      <c r="Q589" s="3" t="e">
        <f>IF(O589 = "", "", O589 - P589)</f>
        <v>#VALUE!</v>
      </c>
      <c r="R589" s="3" t="e">
        <f>LOOKUP(C589, SweepStudyConfig[StudyId], SweepStudyConfig[SweepCorrectedGap])</f>
        <v>#VALUE!</v>
      </c>
      <c r="S589" s="3" t="e">
        <f>IF(Q589 = "", "", Q589 - R589)</f>
        <v>#VALUE!</v>
      </c>
    </row>
    <row r="590">
      <c r="A590" s="2" t="s">
        <v>3878</v>
      </c>
      <c r="B590" s="3" t="str">
        <f>A590</f>
        <v>robinson-1950-literacy-f085</v>
      </c>
      <c r="C590" s="2" t="s">
        <v>637</v>
      </c>
      <c r="D590" s="2">
        <v>0.85</v>
      </c>
      <c r="E590" s="3" t="e">
        <f>ABS(D590 - LOOKUP(C590, SweepStudyConfig[StudyId], SweepStudyConfig[OriginalAllocFractionA])) &lt; 0.03</f>
        <v>#VALUE!</v>
      </c>
      <c r="F590" s="3" t="e">
        <f>LOOKUP(C590, SweepStudyConfig[StudyId], SweepStudyConfig[NSweepStratumTotal])</f>
        <v>#VALUE!</v>
      </c>
      <c r="G590" s="3" t="e">
        <f>ROUND(F590 * D590)</f>
        <v>#VALUE!</v>
      </c>
      <c r="H590" s="3" t="e">
        <f>F590 - G590</f>
        <v>#VALUE!</v>
      </c>
      <c r="I590" s="3" t="e">
        <f>LOOKUP(C590, SweepStudyConfig[StudyId], SweepStudyConfig[NFixedA])</f>
        <v>#VALUE!</v>
      </c>
      <c r="J590" s="3" t="e">
        <f>LOOKUP(C590, SweepStudyConfig[StudyId], SweepStudyConfig[NFixedB])</f>
        <v>#VALUE!</v>
      </c>
      <c r="K590" s="3" t="e">
        <f>LOOKUP(C590, SweepStudyConfig[StudyId], SweepStudyConfig[SweepRateA])</f>
        <v>#VALUE!</v>
      </c>
      <c r="L590" s="3" t="e">
        <f>LOOKUP(C590, SweepStudyConfig[StudyId], SweepStudyConfig[SweepRateB])</f>
        <v>#VALUE!</v>
      </c>
      <c r="M590" s="3" t="e">
        <f>LOOKUP(C590, SweepStudyConfig[StudyId], SweepStudyConfig[FixedRateA])</f>
        <v>#VALUE!</v>
      </c>
      <c r="N590" s="3" t="e">
        <f>LOOKUP(C590, SweepStudyConfig[StudyId], SweepStudyConfig[FixedRateB])</f>
        <v>#VALUE!</v>
      </c>
      <c r="O590" s="3" t="e">
        <f>IF(G590 + I590 = 0, "", (G590 * K590 + I590 * M590) / (G590 + I590))</f>
        <v>#VALUE!</v>
      </c>
      <c r="P590" s="3" t="e">
        <f>IF(H590 + J590 = 0, "", (H590 * L590 + J590 * N590) / (H590 + J590))</f>
        <v>#VALUE!</v>
      </c>
      <c r="Q590" s="3" t="e">
        <f>IF(O590 = "", "", O590 - P590)</f>
        <v>#VALUE!</v>
      </c>
      <c r="R590" s="3" t="e">
        <f>LOOKUP(C590, SweepStudyConfig[StudyId], SweepStudyConfig[SweepCorrectedGap])</f>
        <v>#VALUE!</v>
      </c>
      <c r="S590" s="3" t="e">
        <f>IF(Q590 = "", "", Q590 - R590)</f>
        <v>#VALUE!</v>
      </c>
    </row>
    <row r="591">
      <c r="A591" s="2" t="s">
        <v>3879</v>
      </c>
      <c r="B591" s="3" t="str">
        <f>A591</f>
        <v>robinson-1950-literacy-f095</v>
      </c>
      <c r="C591" s="2" t="s">
        <v>637</v>
      </c>
      <c r="D591" s="2">
        <v>0.95</v>
      </c>
      <c r="E591" s="3" t="e">
        <f>ABS(D591 - LOOKUP(C591, SweepStudyConfig[StudyId], SweepStudyConfig[OriginalAllocFractionA])) &lt; 0.03</f>
        <v>#VALUE!</v>
      </c>
      <c r="F591" s="3" t="e">
        <f>LOOKUP(C591, SweepStudyConfig[StudyId], SweepStudyConfig[NSweepStratumTotal])</f>
        <v>#VALUE!</v>
      </c>
      <c r="G591" s="3" t="e">
        <f>ROUND(F591 * D591)</f>
        <v>#VALUE!</v>
      </c>
      <c r="H591" s="3" t="e">
        <f>F591 - G591</f>
        <v>#VALUE!</v>
      </c>
      <c r="I591" s="3" t="e">
        <f>LOOKUP(C591, SweepStudyConfig[StudyId], SweepStudyConfig[NFixedA])</f>
        <v>#VALUE!</v>
      </c>
      <c r="J591" s="3" t="e">
        <f>LOOKUP(C591, SweepStudyConfig[StudyId], SweepStudyConfig[NFixedB])</f>
        <v>#VALUE!</v>
      </c>
      <c r="K591" s="3" t="e">
        <f>LOOKUP(C591, SweepStudyConfig[StudyId], SweepStudyConfig[SweepRateA])</f>
        <v>#VALUE!</v>
      </c>
      <c r="L591" s="3" t="e">
        <f>LOOKUP(C591, SweepStudyConfig[StudyId], SweepStudyConfig[SweepRateB])</f>
        <v>#VALUE!</v>
      </c>
      <c r="M591" s="3" t="e">
        <f>LOOKUP(C591, SweepStudyConfig[StudyId], SweepStudyConfig[FixedRateA])</f>
        <v>#VALUE!</v>
      </c>
      <c r="N591" s="3" t="e">
        <f>LOOKUP(C591, SweepStudyConfig[StudyId], SweepStudyConfig[FixedRateB])</f>
        <v>#VALUE!</v>
      </c>
      <c r="O591" s="3" t="e">
        <f>IF(G591 + I591 = 0, "", (G591 * K591 + I591 * M591) / (G591 + I591))</f>
        <v>#VALUE!</v>
      </c>
      <c r="P591" s="3" t="e">
        <f>IF(H591 + J591 = 0, "", (H591 * L591 + J591 * N591) / (H591 + J591))</f>
        <v>#VALUE!</v>
      </c>
      <c r="Q591" s="3" t="e">
        <f>IF(O591 = "", "", O591 - P591)</f>
        <v>#VALUE!</v>
      </c>
      <c r="R591" s="3" t="e">
        <f>LOOKUP(C591, SweepStudyConfig[StudyId], SweepStudyConfig[SweepCorrectedGap])</f>
        <v>#VALUE!</v>
      </c>
      <c r="S591" s="3" t="e">
        <f>IF(Q591 = "", "", Q591 - R591)</f>
        <v>#VALUE!</v>
      </c>
    </row>
    <row r="592">
      <c r="A592" s="2" t="s">
        <v>3880</v>
      </c>
      <c r="B592" s="3" t="str">
        <f>A592</f>
        <v>ab-test-traffic-mix-f005</v>
      </c>
      <c r="C592" s="2" t="s">
        <v>641</v>
      </c>
      <c r="D592" s="2">
        <v>0.05</v>
      </c>
      <c r="E592" s="3" t="e">
        <f>ABS(D592 - LOOKUP(C592, SweepStudyConfig[StudyId], SweepStudyConfig[OriginalAllocFractionA])) &lt; 0.03</f>
        <v>#VALUE!</v>
      </c>
      <c r="F592" s="3" t="e">
        <f>LOOKUP(C592, SweepStudyConfig[StudyId], SweepStudyConfig[NSweepStratumTotal])</f>
        <v>#VALUE!</v>
      </c>
      <c r="G592" s="3" t="e">
        <f>ROUND(F592 * D592)</f>
        <v>#VALUE!</v>
      </c>
      <c r="H592" s="3" t="e">
        <f>F592 - G592</f>
        <v>#VALUE!</v>
      </c>
      <c r="I592" s="3" t="e">
        <f>LOOKUP(C592, SweepStudyConfig[StudyId], SweepStudyConfig[NFixedA])</f>
        <v>#VALUE!</v>
      </c>
      <c r="J592" s="3" t="e">
        <f>LOOKUP(C592, SweepStudyConfig[StudyId], SweepStudyConfig[NFixedB])</f>
        <v>#VALUE!</v>
      </c>
      <c r="K592" s="3" t="e">
        <f>LOOKUP(C592, SweepStudyConfig[StudyId], SweepStudyConfig[SweepRateA])</f>
        <v>#VALUE!</v>
      </c>
      <c r="L592" s="3" t="e">
        <f>LOOKUP(C592, SweepStudyConfig[StudyId], SweepStudyConfig[SweepRateB])</f>
        <v>#VALUE!</v>
      </c>
      <c r="M592" s="3" t="e">
        <f>LOOKUP(C592, SweepStudyConfig[StudyId], SweepStudyConfig[FixedRateA])</f>
        <v>#VALUE!</v>
      </c>
      <c r="N592" s="3" t="e">
        <f>LOOKUP(C592, SweepStudyConfig[StudyId], SweepStudyConfig[FixedRateB])</f>
        <v>#VALUE!</v>
      </c>
      <c r="O592" s="3" t="e">
        <f>IF(G592 + I592 = 0, "", (G592 * K592 + I592 * M592) / (G592 + I592))</f>
        <v>#VALUE!</v>
      </c>
      <c r="P592" s="3" t="e">
        <f>IF(H592 + J592 = 0, "", (H592 * L592 + J592 * N592) / (H592 + J592))</f>
        <v>#VALUE!</v>
      </c>
      <c r="Q592" s="3" t="e">
        <f>IF(O592 = "", "", O592 - P592)</f>
        <v>#VALUE!</v>
      </c>
      <c r="R592" s="3" t="e">
        <f>LOOKUP(C592, SweepStudyConfig[StudyId], SweepStudyConfig[SweepCorrectedGap])</f>
        <v>#VALUE!</v>
      </c>
      <c r="S592" s="3" t="e">
        <f>IF(Q592 = "", "", Q592 - R592)</f>
        <v>#VALUE!</v>
      </c>
    </row>
    <row r="593">
      <c r="A593" s="2" t="s">
        <v>3881</v>
      </c>
      <c r="B593" s="3" t="str">
        <f>A593</f>
        <v>ab-test-traffic-mix-f015</v>
      </c>
      <c r="C593" s="2" t="s">
        <v>641</v>
      </c>
      <c r="D593" s="2">
        <v>0.15</v>
      </c>
      <c r="E593" s="3" t="e">
        <f>ABS(D593 - LOOKUP(C593, SweepStudyConfig[StudyId], SweepStudyConfig[OriginalAllocFractionA])) &lt; 0.03</f>
        <v>#VALUE!</v>
      </c>
      <c r="F593" s="3" t="e">
        <f>LOOKUP(C593, SweepStudyConfig[StudyId], SweepStudyConfig[NSweepStratumTotal])</f>
        <v>#VALUE!</v>
      </c>
      <c r="G593" s="3" t="e">
        <f>ROUND(F593 * D593)</f>
        <v>#VALUE!</v>
      </c>
      <c r="H593" s="3" t="e">
        <f>F593 - G593</f>
        <v>#VALUE!</v>
      </c>
      <c r="I593" s="3" t="e">
        <f>LOOKUP(C593, SweepStudyConfig[StudyId], SweepStudyConfig[NFixedA])</f>
        <v>#VALUE!</v>
      </c>
      <c r="J593" s="3" t="e">
        <f>LOOKUP(C593, SweepStudyConfig[StudyId], SweepStudyConfig[NFixedB])</f>
        <v>#VALUE!</v>
      </c>
      <c r="K593" s="3" t="e">
        <f>LOOKUP(C593, SweepStudyConfig[StudyId], SweepStudyConfig[SweepRateA])</f>
        <v>#VALUE!</v>
      </c>
      <c r="L593" s="3" t="e">
        <f>LOOKUP(C593, SweepStudyConfig[StudyId], SweepStudyConfig[SweepRateB])</f>
        <v>#VALUE!</v>
      </c>
      <c r="M593" s="3" t="e">
        <f>LOOKUP(C593, SweepStudyConfig[StudyId], SweepStudyConfig[FixedRateA])</f>
        <v>#VALUE!</v>
      </c>
      <c r="N593" s="3" t="e">
        <f>LOOKUP(C593, SweepStudyConfig[StudyId], SweepStudyConfig[FixedRateB])</f>
        <v>#VALUE!</v>
      </c>
      <c r="O593" s="3" t="e">
        <f>IF(G593 + I593 = 0, "", (G593 * K593 + I593 * M593) / (G593 + I593))</f>
        <v>#VALUE!</v>
      </c>
      <c r="P593" s="3" t="e">
        <f>IF(H593 + J593 = 0, "", (H593 * L593 + J593 * N593) / (H593 + J593))</f>
        <v>#VALUE!</v>
      </c>
      <c r="Q593" s="3" t="e">
        <f>IF(O593 = "", "", O593 - P593)</f>
        <v>#VALUE!</v>
      </c>
      <c r="R593" s="3" t="e">
        <f>LOOKUP(C593, SweepStudyConfig[StudyId], SweepStudyConfig[SweepCorrectedGap])</f>
        <v>#VALUE!</v>
      </c>
      <c r="S593" s="3" t="e">
        <f>IF(Q593 = "", "", Q593 - R593)</f>
        <v>#VALUE!</v>
      </c>
    </row>
    <row r="594">
      <c r="A594" s="2" t="s">
        <v>3882</v>
      </c>
      <c r="B594" s="3" t="str">
        <f>A594</f>
        <v>ab-test-traffic-mix-f025</v>
      </c>
      <c r="C594" s="2" t="s">
        <v>641</v>
      </c>
      <c r="D594" s="2">
        <v>0.25</v>
      </c>
      <c r="E594" s="3" t="e">
        <f>ABS(D594 - LOOKUP(C594, SweepStudyConfig[StudyId], SweepStudyConfig[OriginalAllocFractionA])) &lt; 0.03</f>
        <v>#VALUE!</v>
      </c>
      <c r="F594" s="3" t="e">
        <f>LOOKUP(C594, SweepStudyConfig[StudyId], SweepStudyConfig[NSweepStratumTotal])</f>
        <v>#VALUE!</v>
      </c>
      <c r="G594" s="3" t="e">
        <f>ROUND(F594 * D594)</f>
        <v>#VALUE!</v>
      </c>
      <c r="H594" s="3" t="e">
        <f>F594 - G594</f>
        <v>#VALUE!</v>
      </c>
      <c r="I594" s="3" t="e">
        <f>LOOKUP(C594, SweepStudyConfig[StudyId], SweepStudyConfig[NFixedA])</f>
        <v>#VALUE!</v>
      </c>
      <c r="J594" s="3" t="e">
        <f>LOOKUP(C594, SweepStudyConfig[StudyId], SweepStudyConfig[NFixedB])</f>
        <v>#VALUE!</v>
      </c>
      <c r="K594" s="3" t="e">
        <f>LOOKUP(C594, SweepStudyConfig[StudyId], SweepStudyConfig[SweepRateA])</f>
        <v>#VALUE!</v>
      </c>
      <c r="L594" s="3" t="e">
        <f>LOOKUP(C594, SweepStudyConfig[StudyId], SweepStudyConfig[SweepRateB])</f>
        <v>#VALUE!</v>
      </c>
      <c r="M594" s="3" t="e">
        <f>LOOKUP(C594, SweepStudyConfig[StudyId], SweepStudyConfig[FixedRateA])</f>
        <v>#VALUE!</v>
      </c>
      <c r="N594" s="3" t="e">
        <f>LOOKUP(C594, SweepStudyConfig[StudyId], SweepStudyConfig[FixedRateB])</f>
        <v>#VALUE!</v>
      </c>
      <c r="O594" s="3" t="e">
        <f>IF(G594 + I594 = 0, "", (G594 * K594 + I594 * M594) / (G594 + I594))</f>
        <v>#VALUE!</v>
      </c>
      <c r="P594" s="3" t="e">
        <f>IF(H594 + J594 = 0, "", (H594 * L594 + J594 * N594) / (H594 + J594))</f>
        <v>#VALUE!</v>
      </c>
      <c r="Q594" s="3" t="e">
        <f>IF(O594 = "", "", O594 - P594)</f>
        <v>#VALUE!</v>
      </c>
      <c r="R594" s="3" t="e">
        <f>LOOKUP(C594, SweepStudyConfig[StudyId], SweepStudyConfig[SweepCorrectedGap])</f>
        <v>#VALUE!</v>
      </c>
      <c r="S594" s="3" t="e">
        <f>IF(Q594 = "", "", Q594 - R594)</f>
        <v>#VALUE!</v>
      </c>
    </row>
    <row r="595">
      <c r="A595" s="2" t="s">
        <v>3883</v>
      </c>
      <c r="B595" s="3" t="str">
        <f>A595</f>
        <v>ab-test-traffic-mix-f035</v>
      </c>
      <c r="C595" s="2" t="s">
        <v>641</v>
      </c>
      <c r="D595" s="2">
        <v>0.35</v>
      </c>
      <c r="E595" s="3" t="e">
        <f>ABS(D595 - LOOKUP(C595, SweepStudyConfig[StudyId], SweepStudyConfig[OriginalAllocFractionA])) &lt; 0.03</f>
        <v>#VALUE!</v>
      </c>
      <c r="F595" s="3" t="e">
        <f>LOOKUP(C595, SweepStudyConfig[StudyId], SweepStudyConfig[NSweepStratumTotal])</f>
        <v>#VALUE!</v>
      </c>
      <c r="G595" s="3" t="e">
        <f>ROUND(F595 * D595)</f>
        <v>#VALUE!</v>
      </c>
      <c r="H595" s="3" t="e">
        <f>F595 - G595</f>
        <v>#VALUE!</v>
      </c>
      <c r="I595" s="3" t="e">
        <f>LOOKUP(C595, SweepStudyConfig[StudyId], SweepStudyConfig[NFixedA])</f>
        <v>#VALUE!</v>
      </c>
      <c r="J595" s="3" t="e">
        <f>LOOKUP(C595, SweepStudyConfig[StudyId], SweepStudyConfig[NFixedB])</f>
        <v>#VALUE!</v>
      </c>
      <c r="K595" s="3" t="e">
        <f>LOOKUP(C595, SweepStudyConfig[StudyId], SweepStudyConfig[SweepRateA])</f>
        <v>#VALUE!</v>
      </c>
      <c r="L595" s="3" t="e">
        <f>LOOKUP(C595, SweepStudyConfig[StudyId], SweepStudyConfig[SweepRateB])</f>
        <v>#VALUE!</v>
      </c>
      <c r="M595" s="3" t="e">
        <f>LOOKUP(C595, SweepStudyConfig[StudyId], SweepStudyConfig[FixedRateA])</f>
        <v>#VALUE!</v>
      </c>
      <c r="N595" s="3" t="e">
        <f>LOOKUP(C595, SweepStudyConfig[StudyId], SweepStudyConfig[FixedRateB])</f>
        <v>#VALUE!</v>
      </c>
      <c r="O595" s="3" t="e">
        <f>IF(G595 + I595 = 0, "", (G595 * K595 + I595 * M595) / (G595 + I595))</f>
        <v>#VALUE!</v>
      </c>
      <c r="P595" s="3" t="e">
        <f>IF(H595 + J595 = 0, "", (H595 * L595 + J595 * N595) / (H595 + J595))</f>
        <v>#VALUE!</v>
      </c>
      <c r="Q595" s="3" t="e">
        <f>IF(O595 = "", "", O595 - P595)</f>
        <v>#VALUE!</v>
      </c>
      <c r="R595" s="3" t="e">
        <f>LOOKUP(C595, SweepStudyConfig[StudyId], SweepStudyConfig[SweepCorrectedGap])</f>
        <v>#VALUE!</v>
      </c>
      <c r="S595" s="3" t="e">
        <f>IF(Q595 = "", "", Q595 - R595)</f>
        <v>#VALUE!</v>
      </c>
    </row>
    <row r="596">
      <c r="A596" s="2" t="s">
        <v>3884</v>
      </c>
      <c r="B596" s="3" t="str">
        <f>A596</f>
        <v>ab-test-traffic-mix-f045</v>
      </c>
      <c r="C596" s="2" t="s">
        <v>641</v>
      </c>
      <c r="D596" s="2">
        <v>0.45</v>
      </c>
      <c r="E596" s="3" t="e">
        <f>ABS(D596 - LOOKUP(C596, SweepStudyConfig[StudyId], SweepStudyConfig[OriginalAllocFractionA])) &lt; 0.03</f>
        <v>#VALUE!</v>
      </c>
      <c r="F596" s="3" t="e">
        <f>LOOKUP(C596, SweepStudyConfig[StudyId], SweepStudyConfig[NSweepStratumTotal])</f>
        <v>#VALUE!</v>
      </c>
      <c r="G596" s="3" t="e">
        <f>ROUND(F596 * D596)</f>
        <v>#VALUE!</v>
      </c>
      <c r="H596" s="3" t="e">
        <f>F596 - G596</f>
        <v>#VALUE!</v>
      </c>
      <c r="I596" s="3" t="e">
        <f>LOOKUP(C596, SweepStudyConfig[StudyId], SweepStudyConfig[NFixedA])</f>
        <v>#VALUE!</v>
      </c>
      <c r="J596" s="3" t="e">
        <f>LOOKUP(C596, SweepStudyConfig[StudyId], SweepStudyConfig[NFixedB])</f>
        <v>#VALUE!</v>
      </c>
      <c r="K596" s="3" t="e">
        <f>LOOKUP(C596, SweepStudyConfig[StudyId], SweepStudyConfig[SweepRateA])</f>
        <v>#VALUE!</v>
      </c>
      <c r="L596" s="3" t="e">
        <f>LOOKUP(C596, SweepStudyConfig[StudyId], SweepStudyConfig[SweepRateB])</f>
        <v>#VALUE!</v>
      </c>
      <c r="M596" s="3" t="e">
        <f>LOOKUP(C596, SweepStudyConfig[StudyId], SweepStudyConfig[FixedRateA])</f>
        <v>#VALUE!</v>
      </c>
      <c r="N596" s="3" t="e">
        <f>LOOKUP(C596, SweepStudyConfig[StudyId], SweepStudyConfig[FixedRateB])</f>
        <v>#VALUE!</v>
      </c>
      <c r="O596" s="3" t="e">
        <f>IF(G596 + I596 = 0, "", (G596 * K596 + I596 * M596) / (G596 + I596))</f>
        <v>#VALUE!</v>
      </c>
      <c r="P596" s="3" t="e">
        <f>IF(H596 + J596 = 0, "", (H596 * L596 + J596 * N596) / (H596 + J596))</f>
        <v>#VALUE!</v>
      </c>
      <c r="Q596" s="3" t="e">
        <f>IF(O596 = "", "", O596 - P596)</f>
        <v>#VALUE!</v>
      </c>
      <c r="R596" s="3" t="e">
        <f>LOOKUP(C596, SweepStudyConfig[StudyId], SweepStudyConfig[SweepCorrectedGap])</f>
        <v>#VALUE!</v>
      </c>
      <c r="S596" s="3" t="e">
        <f>IF(Q596 = "", "", Q596 - R596)</f>
        <v>#VALUE!</v>
      </c>
    </row>
    <row r="597">
      <c r="A597" s="2" t="s">
        <v>3885</v>
      </c>
      <c r="B597" s="3" t="str">
        <f>A597</f>
        <v>ab-test-traffic-mix-f055</v>
      </c>
      <c r="C597" s="2" t="s">
        <v>641</v>
      </c>
      <c r="D597" s="2">
        <v>0.55</v>
      </c>
      <c r="E597" s="3" t="e">
        <f>ABS(D597 - LOOKUP(C597, SweepStudyConfig[StudyId], SweepStudyConfig[OriginalAllocFractionA])) &lt; 0.03</f>
        <v>#VALUE!</v>
      </c>
      <c r="F597" s="3" t="e">
        <f>LOOKUP(C597, SweepStudyConfig[StudyId], SweepStudyConfig[NSweepStratumTotal])</f>
        <v>#VALUE!</v>
      </c>
      <c r="G597" s="3" t="e">
        <f>ROUND(F597 * D597)</f>
        <v>#VALUE!</v>
      </c>
      <c r="H597" s="3" t="e">
        <f>F597 - G597</f>
        <v>#VALUE!</v>
      </c>
      <c r="I597" s="3" t="e">
        <f>LOOKUP(C597, SweepStudyConfig[StudyId], SweepStudyConfig[NFixedA])</f>
        <v>#VALUE!</v>
      </c>
      <c r="J597" s="3" t="e">
        <f>LOOKUP(C597, SweepStudyConfig[StudyId], SweepStudyConfig[NFixedB])</f>
        <v>#VALUE!</v>
      </c>
      <c r="K597" s="3" t="e">
        <f>LOOKUP(C597, SweepStudyConfig[StudyId], SweepStudyConfig[SweepRateA])</f>
        <v>#VALUE!</v>
      </c>
      <c r="L597" s="3" t="e">
        <f>LOOKUP(C597, SweepStudyConfig[StudyId], SweepStudyConfig[SweepRateB])</f>
        <v>#VALUE!</v>
      </c>
      <c r="M597" s="3" t="e">
        <f>LOOKUP(C597, SweepStudyConfig[StudyId], SweepStudyConfig[FixedRateA])</f>
        <v>#VALUE!</v>
      </c>
      <c r="N597" s="3" t="e">
        <f>LOOKUP(C597, SweepStudyConfig[StudyId], SweepStudyConfig[FixedRateB])</f>
        <v>#VALUE!</v>
      </c>
      <c r="O597" s="3" t="e">
        <f>IF(G597 + I597 = 0, "", (G597 * K597 + I597 * M597) / (G597 + I597))</f>
        <v>#VALUE!</v>
      </c>
      <c r="P597" s="3" t="e">
        <f>IF(H597 + J597 = 0, "", (H597 * L597 + J597 * N597) / (H597 + J597))</f>
        <v>#VALUE!</v>
      </c>
      <c r="Q597" s="3" t="e">
        <f>IF(O597 = "", "", O597 - P597)</f>
        <v>#VALUE!</v>
      </c>
      <c r="R597" s="3" t="e">
        <f>LOOKUP(C597, SweepStudyConfig[StudyId], SweepStudyConfig[SweepCorrectedGap])</f>
        <v>#VALUE!</v>
      </c>
      <c r="S597" s="3" t="e">
        <f>IF(Q597 = "", "", Q597 - R597)</f>
        <v>#VALUE!</v>
      </c>
    </row>
    <row r="598">
      <c r="A598" s="2" t="s">
        <v>3886</v>
      </c>
      <c r="B598" s="3" t="str">
        <f>A598</f>
        <v>ab-test-traffic-mix-f065</v>
      </c>
      <c r="C598" s="2" t="s">
        <v>641</v>
      </c>
      <c r="D598" s="2">
        <v>0.65</v>
      </c>
      <c r="E598" s="3" t="e">
        <f>ABS(D598 - LOOKUP(C598, SweepStudyConfig[StudyId], SweepStudyConfig[OriginalAllocFractionA])) &lt; 0.03</f>
        <v>#VALUE!</v>
      </c>
      <c r="F598" s="3" t="e">
        <f>LOOKUP(C598, SweepStudyConfig[StudyId], SweepStudyConfig[NSweepStratumTotal])</f>
        <v>#VALUE!</v>
      </c>
      <c r="G598" s="3" t="e">
        <f>ROUND(F598 * D598)</f>
        <v>#VALUE!</v>
      </c>
      <c r="H598" s="3" t="e">
        <f>F598 - G598</f>
        <v>#VALUE!</v>
      </c>
      <c r="I598" s="3" t="e">
        <f>LOOKUP(C598, SweepStudyConfig[StudyId], SweepStudyConfig[NFixedA])</f>
        <v>#VALUE!</v>
      </c>
      <c r="J598" s="3" t="e">
        <f>LOOKUP(C598, SweepStudyConfig[StudyId], SweepStudyConfig[NFixedB])</f>
        <v>#VALUE!</v>
      </c>
      <c r="K598" s="3" t="e">
        <f>LOOKUP(C598, SweepStudyConfig[StudyId], SweepStudyConfig[SweepRateA])</f>
        <v>#VALUE!</v>
      </c>
      <c r="L598" s="3" t="e">
        <f>LOOKUP(C598, SweepStudyConfig[StudyId], SweepStudyConfig[SweepRateB])</f>
        <v>#VALUE!</v>
      </c>
      <c r="M598" s="3" t="e">
        <f>LOOKUP(C598, SweepStudyConfig[StudyId], SweepStudyConfig[FixedRateA])</f>
        <v>#VALUE!</v>
      </c>
      <c r="N598" s="3" t="e">
        <f>LOOKUP(C598, SweepStudyConfig[StudyId], SweepStudyConfig[FixedRateB])</f>
        <v>#VALUE!</v>
      </c>
      <c r="O598" s="3" t="e">
        <f>IF(G598 + I598 = 0, "", (G598 * K598 + I598 * M598) / (G598 + I598))</f>
        <v>#VALUE!</v>
      </c>
      <c r="P598" s="3" t="e">
        <f>IF(H598 + J598 = 0, "", (H598 * L598 + J598 * N598) / (H598 + J598))</f>
        <v>#VALUE!</v>
      </c>
      <c r="Q598" s="3" t="e">
        <f>IF(O598 = "", "", O598 - P598)</f>
        <v>#VALUE!</v>
      </c>
      <c r="R598" s="3" t="e">
        <f>LOOKUP(C598, SweepStudyConfig[StudyId], SweepStudyConfig[SweepCorrectedGap])</f>
        <v>#VALUE!</v>
      </c>
      <c r="S598" s="3" t="e">
        <f>IF(Q598 = "", "", Q598 - R598)</f>
        <v>#VALUE!</v>
      </c>
    </row>
    <row r="599">
      <c r="A599" s="2" t="s">
        <v>3887</v>
      </c>
      <c r="B599" s="3" t="str">
        <f>A599</f>
        <v>ab-test-traffic-mix-f075</v>
      </c>
      <c r="C599" s="2" t="s">
        <v>641</v>
      </c>
      <c r="D599" s="2">
        <v>0.75</v>
      </c>
      <c r="E599" s="3" t="e">
        <f>ABS(D599 - LOOKUP(C599, SweepStudyConfig[StudyId], SweepStudyConfig[OriginalAllocFractionA])) &lt; 0.03</f>
        <v>#VALUE!</v>
      </c>
      <c r="F599" s="3" t="e">
        <f>LOOKUP(C599, SweepStudyConfig[StudyId], SweepStudyConfig[NSweepStratumTotal])</f>
        <v>#VALUE!</v>
      </c>
      <c r="G599" s="3" t="e">
        <f>ROUND(F599 * D599)</f>
        <v>#VALUE!</v>
      </c>
      <c r="H599" s="3" t="e">
        <f>F599 - G599</f>
        <v>#VALUE!</v>
      </c>
      <c r="I599" s="3" t="e">
        <f>LOOKUP(C599, SweepStudyConfig[StudyId], SweepStudyConfig[NFixedA])</f>
        <v>#VALUE!</v>
      </c>
      <c r="J599" s="3" t="e">
        <f>LOOKUP(C599, SweepStudyConfig[StudyId], SweepStudyConfig[NFixedB])</f>
        <v>#VALUE!</v>
      </c>
      <c r="K599" s="3" t="e">
        <f>LOOKUP(C599, SweepStudyConfig[StudyId], SweepStudyConfig[SweepRateA])</f>
        <v>#VALUE!</v>
      </c>
      <c r="L599" s="3" t="e">
        <f>LOOKUP(C599, SweepStudyConfig[StudyId], SweepStudyConfig[SweepRateB])</f>
        <v>#VALUE!</v>
      </c>
      <c r="M599" s="3" t="e">
        <f>LOOKUP(C599, SweepStudyConfig[StudyId], SweepStudyConfig[FixedRateA])</f>
        <v>#VALUE!</v>
      </c>
      <c r="N599" s="3" t="e">
        <f>LOOKUP(C599, SweepStudyConfig[StudyId], SweepStudyConfig[FixedRateB])</f>
        <v>#VALUE!</v>
      </c>
      <c r="O599" s="3" t="e">
        <f>IF(G599 + I599 = 0, "", (G599 * K599 + I599 * M599) / (G599 + I599))</f>
        <v>#VALUE!</v>
      </c>
      <c r="P599" s="3" t="e">
        <f>IF(H599 + J599 = 0, "", (H599 * L599 + J599 * N599) / (H599 + J599))</f>
        <v>#VALUE!</v>
      </c>
      <c r="Q599" s="3" t="e">
        <f>IF(O599 = "", "", O599 - P599)</f>
        <v>#VALUE!</v>
      </c>
      <c r="R599" s="3" t="e">
        <f>LOOKUP(C599, SweepStudyConfig[StudyId], SweepStudyConfig[SweepCorrectedGap])</f>
        <v>#VALUE!</v>
      </c>
      <c r="S599" s="3" t="e">
        <f>IF(Q599 = "", "", Q599 - R599)</f>
        <v>#VALUE!</v>
      </c>
    </row>
    <row r="600">
      <c r="A600" s="2" t="s">
        <v>3888</v>
      </c>
      <c r="B600" s="3" t="str">
        <f>A600</f>
        <v>ab-test-traffic-mix-f085</v>
      </c>
      <c r="C600" s="2" t="s">
        <v>641</v>
      </c>
      <c r="D600" s="2">
        <v>0.85</v>
      </c>
      <c r="E600" s="3" t="e">
        <f>ABS(D600 - LOOKUP(C600, SweepStudyConfig[StudyId], SweepStudyConfig[OriginalAllocFractionA])) &lt; 0.03</f>
        <v>#VALUE!</v>
      </c>
      <c r="F600" s="3" t="e">
        <f>LOOKUP(C600, SweepStudyConfig[StudyId], SweepStudyConfig[NSweepStratumTotal])</f>
        <v>#VALUE!</v>
      </c>
      <c r="G600" s="3" t="e">
        <f>ROUND(F600 * D600)</f>
        <v>#VALUE!</v>
      </c>
      <c r="H600" s="3" t="e">
        <f>F600 - G600</f>
        <v>#VALUE!</v>
      </c>
      <c r="I600" s="3" t="e">
        <f>LOOKUP(C600, SweepStudyConfig[StudyId], SweepStudyConfig[NFixedA])</f>
        <v>#VALUE!</v>
      </c>
      <c r="J600" s="3" t="e">
        <f>LOOKUP(C600, SweepStudyConfig[StudyId], SweepStudyConfig[NFixedB])</f>
        <v>#VALUE!</v>
      </c>
      <c r="K600" s="3" t="e">
        <f>LOOKUP(C600, SweepStudyConfig[StudyId], SweepStudyConfig[SweepRateA])</f>
        <v>#VALUE!</v>
      </c>
      <c r="L600" s="3" t="e">
        <f>LOOKUP(C600, SweepStudyConfig[StudyId], SweepStudyConfig[SweepRateB])</f>
        <v>#VALUE!</v>
      </c>
      <c r="M600" s="3" t="e">
        <f>LOOKUP(C600, SweepStudyConfig[StudyId], SweepStudyConfig[FixedRateA])</f>
        <v>#VALUE!</v>
      </c>
      <c r="N600" s="3" t="e">
        <f>LOOKUP(C600, SweepStudyConfig[StudyId], SweepStudyConfig[FixedRateB])</f>
        <v>#VALUE!</v>
      </c>
      <c r="O600" s="3" t="e">
        <f>IF(G600 + I600 = 0, "", (G600 * K600 + I600 * M600) / (G600 + I600))</f>
        <v>#VALUE!</v>
      </c>
      <c r="P600" s="3" t="e">
        <f>IF(H600 + J600 = 0, "", (H600 * L600 + J600 * N600) / (H600 + J600))</f>
        <v>#VALUE!</v>
      </c>
      <c r="Q600" s="3" t="e">
        <f>IF(O600 = "", "", O600 - P600)</f>
        <v>#VALUE!</v>
      </c>
      <c r="R600" s="3" t="e">
        <f>LOOKUP(C600, SweepStudyConfig[StudyId], SweepStudyConfig[SweepCorrectedGap])</f>
        <v>#VALUE!</v>
      </c>
      <c r="S600" s="3" t="e">
        <f>IF(Q600 = "", "", Q600 - R600)</f>
        <v>#VALUE!</v>
      </c>
    </row>
    <row r="601">
      <c r="A601" s="2" t="s">
        <v>3889</v>
      </c>
      <c r="B601" s="3" t="str">
        <f>A601</f>
        <v>ab-test-traffic-mix-f095</v>
      </c>
      <c r="C601" s="2" t="s">
        <v>641</v>
      </c>
      <c r="D601" s="2">
        <v>0.95</v>
      </c>
      <c r="E601" s="3" t="e">
        <f>ABS(D601 - LOOKUP(C601, SweepStudyConfig[StudyId], SweepStudyConfig[OriginalAllocFractionA])) &lt; 0.03</f>
        <v>#VALUE!</v>
      </c>
      <c r="F601" s="3" t="e">
        <f>LOOKUP(C601, SweepStudyConfig[StudyId], SweepStudyConfig[NSweepStratumTotal])</f>
        <v>#VALUE!</v>
      </c>
      <c r="G601" s="3" t="e">
        <f>ROUND(F601 * D601)</f>
        <v>#VALUE!</v>
      </c>
      <c r="H601" s="3" t="e">
        <f>F601 - G601</f>
        <v>#VALUE!</v>
      </c>
      <c r="I601" s="3" t="e">
        <f>LOOKUP(C601, SweepStudyConfig[StudyId], SweepStudyConfig[NFixedA])</f>
        <v>#VALUE!</v>
      </c>
      <c r="J601" s="3" t="e">
        <f>LOOKUP(C601, SweepStudyConfig[StudyId], SweepStudyConfig[NFixedB])</f>
        <v>#VALUE!</v>
      </c>
      <c r="K601" s="3" t="e">
        <f>LOOKUP(C601, SweepStudyConfig[StudyId], SweepStudyConfig[SweepRateA])</f>
        <v>#VALUE!</v>
      </c>
      <c r="L601" s="3" t="e">
        <f>LOOKUP(C601, SweepStudyConfig[StudyId], SweepStudyConfig[SweepRateB])</f>
        <v>#VALUE!</v>
      </c>
      <c r="M601" s="3" t="e">
        <f>LOOKUP(C601, SweepStudyConfig[StudyId], SweepStudyConfig[FixedRateA])</f>
        <v>#VALUE!</v>
      </c>
      <c r="N601" s="3" t="e">
        <f>LOOKUP(C601, SweepStudyConfig[StudyId], SweepStudyConfig[FixedRateB])</f>
        <v>#VALUE!</v>
      </c>
      <c r="O601" s="3" t="e">
        <f>IF(G601 + I601 = 0, "", (G601 * K601 + I601 * M601) / (G601 + I601))</f>
        <v>#VALUE!</v>
      </c>
      <c r="P601" s="3" t="e">
        <f>IF(H601 + J601 = 0, "", (H601 * L601 + J601 * N601) / (H601 + J601))</f>
        <v>#VALUE!</v>
      </c>
      <c r="Q601" s="3" t="e">
        <f>IF(O601 = "", "", O601 - P601)</f>
        <v>#VALUE!</v>
      </c>
      <c r="R601" s="3" t="e">
        <f>LOOKUP(C601, SweepStudyConfig[StudyId], SweepStudyConfig[SweepCorrectedGap])</f>
        <v>#VALUE!</v>
      </c>
      <c r="S601" s="3" t="e">
        <f>IF(Q601 = "", "", Q601 - R601)</f>
        <v>#VALUE!</v>
      </c>
    </row>
    <row r="602">
      <c r="A602" s="2" t="s">
        <v>3890</v>
      </c>
      <c r="B602" s="3" t="str">
        <f>A602</f>
        <v>recsys-offline-eval-f005</v>
      </c>
      <c r="C602" s="2" t="s">
        <v>645</v>
      </c>
      <c r="D602" s="2">
        <v>0.05</v>
      </c>
      <c r="E602" s="3" t="e">
        <f>ABS(D602 - LOOKUP(C602, SweepStudyConfig[StudyId], SweepStudyConfig[OriginalAllocFractionA])) &lt; 0.03</f>
        <v>#VALUE!</v>
      </c>
      <c r="F602" s="3" t="e">
        <f>LOOKUP(C602, SweepStudyConfig[StudyId], SweepStudyConfig[NSweepStratumTotal])</f>
        <v>#VALUE!</v>
      </c>
      <c r="G602" s="3" t="e">
        <f>ROUND(F602 * D602)</f>
        <v>#VALUE!</v>
      </c>
      <c r="H602" s="3" t="e">
        <f>F602 - G602</f>
        <v>#VALUE!</v>
      </c>
      <c r="I602" s="3" t="e">
        <f>LOOKUP(C602, SweepStudyConfig[StudyId], SweepStudyConfig[NFixedA])</f>
        <v>#VALUE!</v>
      </c>
      <c r="J602" s="3" t="e">
        <f>LOOKUP(C602, SweepStudyConfig[StudyId], SweepStudyConfig[NFixedB])</f>
        <v>#VALUE!</v>
      </c>
      <c r="K602" s="3" t="e">
        <f>LOOKUP(C602, SweepStudyConfig[StudyId], SweepStudyConfig[SweepRateA])</f>
        <v>#VALUE!</v>
      </c>
      <c r="L602" s="3" t="e">
        <f>LOOKUP(C602, SweepStudyConfig[StudyId], SweepStudyConfig[SweepRateB])</f>
        <v>#VALUE!</v>
      </c>
      <c r="M602" s="3" t="e">
        <f>LOOKUP(C602, SweepStudyConfig[StudyId], SweepStudyConfig[FixedRateA])</f>
        <v>#VALUE!</v>
      </c>
      <c r="N602" s="3" t="e">
        <f>LOOKUP(C602, SweepStudyConfig[StudyId], SweepStudyConfig[FixedRateB])</f>
        <v>#VALUE!</v>
      </c>
      <c r="O602" s="3" t="e">
        <f>IF(G602 + I602 = 0, "", (G602 * K602 + I602 * M602) / (G602 + I602))</f>
        <v>#VALUE!</v>
      </c>
      <c r="P602" s="3" t="e">
        <f>IF(H602 + J602 = 0, "", (H602 * L602 + J602 * N602) / (H602 + J602))</f>
        <v>#VALUE!</v>
      </c>
      <c r="Q602" s="3" t="e">
        <f>IF(O602 = "", "", O602 - P602)</f>
        <v>#VALUE!</v>
      </c>
      <c r="R602" s="3" t="e">
        <f>LOOKUP(C602, SweepStudyConfig[StudyId], SweepStudyConfig[SweepCorrectedGap])</f>
        <v>#VALUE!</v>
      </c>
      <c r="S602" s="3" t="e">
        <f>IF(Q602 = "", "", Q602 - R602)</f>
        <v>#VALUE!</v>
      </c>
    </row>
    <row r="603">
      <c r="A603" s="2" t="s">
        <v>3891</v>
      </c>
      <c r="B603" s="3" t="str">
        <f>A603</f>
        <v>recsys-offline-eval-f015</v>
      </c>
      <c r="C603" s="2" t="s">
        <v>645</v>
      </c>
      <c r="D603" s="2">
        <v>0.15</v>
      </c>
      <c r="E603" s="3" t="e">
        <f>ABS(D603 - LOOKUP(C603, SweepStudyConfig[StudyId], SweepStudyConfig[OriginalAllocFractionA])) &lt; 0.03</f>
        <v>#VALUE!</v>
      </c>
      <c r="F603" s="3" t="e">
        <f>LOOKUP(C603, SweepStudyConfig[StudyId], SweepStudyConfig[NSweepStratumTotal])</f>
        <v>#VALUE!</v>
      </c>
      <c r="G603" s="3" t="e">
        <f>ROUND(F603 * D603)</f>
        <v>#VALUE!</v>
      </c>
      <c r="H603" s="3" t="e">
        <f>F603 - G603</f>
        <v>#VALUE!</v>
      </c>
      <c r="I603" s="3" t="e">
        <f>LOOKUP(C603, SweepStudyConfig[StudyId], SweepStudyConfig[NFixedA])</f>
        <v>#VALUE!</v>
      </c>
      <c r="J603" s="3" t="e">
        <f>LOOKUP(C603, SweepStudyConfig[StudyId], SweepStudyConfig[NFixedB])</f>
        <v>#VALUE!</v>
      </c>
      <c r="K603" s="3" t="e">
        <f>LOOKUP(C603, SweepStudyConfig[StudyId], SweepStudyConfig[SweepRateA])</f>
        <v>#VALUE!</v>
      </c>
      <c r="L603" s="3" t="e">
        <f>LOOKUP(C603, SweepStudyConfig[StudyId], SweepStudyConfig[SweepRateB])</f>
        <v>#VALUE!</v>
      </c>
      <c r="M603" s="3" t="e">
        <f>LOOKUP(C603, SweepStudyConfig[StudyId], SweepStudyConfig[FixedRateA])</f>
        <v>#VALUE!</v>
      </c>
      <c r="N603" s="3" t="e">
        <f>LOOKUP(C603, SweepStudyConfig[StudyId], SweepStudyConfig[FixedRateB])</f>
        <v>#VALUE!</v>
      </c>
      <c r="O603" s="3" t="e">
        <f>IF(G603 + I603 = 0, "", (G603 * K603 + I603 * M603) / (G603 + I603))</f>
        <v>#VALUE!</v>
      </c>
      <c r="P603" s="3" t="e">
        <f>IF(H603 + J603 = 0, "", (H603 * L603 + J603 * N603) / (H603 + J603))</f>
        <v>#VALUE!</v>
      </c>
      <c r="Q603" s="3" t="e">
        <f>IF(O603 = "", "", O603 - P603)</f>
        <v>#VALUE!</v>
      </c>
      <c r="R603" s="3" t="e">
        <f>LOOKUP(C603, SweepStudyConfig[StudyId], SweepStudyConfig[SweepCorrectedGap])</f>
        <v>#VALUE!</v>
      </c>
      <c r="S603" s="3" t="e">
        <f>IF(Q603 = "", "", Q603 - R603)</f>
        <v>#VALUE!</v>
      </c>
    </row>
    <row r="604">
      <c r="A604" s="2" t="s">
        <v>3892</v>
      </c>
      <c r="B604" s="3" t="str">
        <f>A604</f>
        <v>recsys-offline-eval-f025</v>
      </c>
      <c r="C604" s="2" t="s">
        <v>645</v>
      </c>
      <c r="D604" s="2">
        <v>0.25</v>
      </c>
      <c r="E604" s="3" t="e">
        <f>ABS(D604 - LOOKUP(C604, SweepStudyConfig[StudyId], SweepStudyConfig[OriginalAllocFractionA])) &lt; 0.03</f>
        <v>#VALUE!</v>
      </c>
      <c r="F604" s="3" t="e">
        <f>LOOKUP(C604, SweepStudyConfig[StudyId], SweepStudyConfig[NSweepStratumTotal])</f>
        <v>#VALUE!</v>
      </c>
      <c r="G604" s="3" t="e">
        <f>ROUND(F604 * D604)</f>
        <v>#VALUE!</v>
      </c>
      <c r="H604" s="3" t="e">
        <f>F604 - G604</f>
        <v>#VALUE!</v>
      </c>
      <c r="I604" s="3" t="e">
        <f>LOOKUP(C604, SweepStudyConfig[StudyId], SweepStudyConfig[NFixedA])</f>
        <v>#VALUE!</v>
      </c>
      <c r="J604" s="3" t="e">
        <f>LOOKUP(C604, SweepStudyConfig[StudyId], SweepStudyConfig[NFixedB])</f>
        <v>#VALUE!</v>
      </c>
      <c r="K604" s="3" t="e">
        <f>LOOKUP(C604, SweepStudyConfig[StudyId], SweepStudyConfig[SweepRateA])</f>
        <v>#VALUE!</v>
      </c>
      <c r="L604" s="3" t="e">
        <f>LOOKUP(C604, SweepStudyConfig[StudyId], SweepStudyConfig[SweepRateB])</f>
        <v>#VALUE!</v>
      </c>
      <c r="M604" s="3" t="e">
        <f>LOOKUP(C604, SweepStudyConfig[StudyId], SweepStudyConfig[FixedRateA])</f>
        <v>#VALUE!</v>
      </c>
      <c r="N604" s="3" t="e">
        <f>LOOKUP(C604, SweepStudyConfig[StudyId], SweepStudyConfig[FixedRateB])</f>
        <v>#VALUE!</v>
      </c>
      <c r="O604" s="3" t="e">
        <f>IF(G604 + I604 = 0, "", (G604 * K604 + I604 * M604) / (G604 + I604))</f>
        <v>#VALUE!</v>
      </c>
      <c r="P604" s="3" t="e">
        <f>IF(H604 + J604 = 0, "", (H604 * L604 + J604 * N604) / (H604 + J604))</f>
        <v>#VALUE!</v>
      </c>
      <c r="Q604" s="3" t="e">
        <f>IF(O604 = "", "", O604 - P604)</f>
        <v>#VALUE!</v>
      </c>
      <c r="R604" s="3" t="e">
        <f>LOOKUP(C604, SweepStudyConfig[StudyId], SweepStudyConfig[SweepCorrectedGap])</f>
        <v>#VALUE!</v>
      </c>
      <c r="S604" s="3" t="e">
        <f>IF(Q604 = "", "", Q604 - R604)</f>
        <v>#VALUE!</v>
      </c>
    </row>
    <row r="605">
      <c r="A605" s="2" t="s">
        <v>3893</v>
      </c>
      <c r="B605" s="3" t="str">
        <f>A605</f>
        <v>recsys-offline-eval-f035</v>
      </c>
      <c r="C605" s="2" t="s">
        <v>645</v>
      </c>
      <c r="D605" s="2">
        <v>0.35</v>
      </c>
      <c r="E605" s="3" t="e">
        <f>ABS(D605 - LOOKUP(C605, SweepStudyConfig[StudyId], SweepStudyConfig[OriginalAllocFractionA])) &lt; 0.03</f>
        <v>#VALUE!</v>
      </c>
      <c r="F605" s="3" t="e">
        <f>LOOKUP(C605, SweepStudyConfig[StudyId], SweepStudyConfig[NSweepStratumTotal])</f>
        <v>#VALUE!</v>
      </c>
      <c r="G605" s="3" t="e">
        <f>ROUND(F605 * D605)</f>
        <v>#VALUE!</v>
      </c>
      <c r="H605" s="3" t="e">
        <f>F605 - G605</f>
        <v>#VALUE!</v>
      </c>
      <c r="I605" s="3" t="e">
        <f>LOOKUP(C605, SweepStudyConfig[StudyId], SweepStudyConfig[NFixedA])</f>
        <v>#VALUE!</v>
      </c>
      <c r="J605" s="3" t="e">
        <f>LOOKUP(C605, SweepStudyConfig[StudyId], SweepStudyConfig[NFixedB])</f>
        <v>#VALUE!</v>
      </c>
      <c r="K605" s="3" t="e">
        <f>LOOKUP(C605, SweepStudyConfig[StudyId], SweepStudyConfig[SweepRateA])</f>
        <v>#VALUE!</v>
      </c>
      <c r="L605" s="3" t="e">
        <f>LOOKUP(C605, SweepStudyConfig[StudyId], SweepStudyConfig[SweepRateB])</f>
        <v>#VALUE!</v>
      </c>
      <c r="M605" s="3" t="e">
        <f>LOOKUP(C605, SweepStudyConfig[StudyId], SweepStudyConfig[FixedRateA])</f>
        <v>#VALUE!</v>
      </c>
      <c r="N605" s="3" t="e">
        <f>LOOKUP(C605, SweepStudyConfig[StudyId], SweepStudyConfig[FixedRateB])</f>
        <v>#VALUE!</v>
      </c>
      <c r="O605" s="3" t="e">
        <f>IF(G605 + I605 = 0, "", (G605 * K605 + I605 * M605) / (G605 + I605))</f>
        <v>#VALUE!</v>
      </c>
      <c r="P605" s="3" t="e">
        <f>IF(H605 + J605 = 0, "", (H605 * L605 + J605 * N605) / (H605 + J605))</f>
        <v>#VALUE!</v>
      </c>
      <c r="Q605" s="3" t="e">
        <f>IF(O605 = "", "", O605 - P605)</f>
        <v>#VALUE!</v>
      </c>
      <c r="R605" s="3" t="e">
        <f>LOOKUP(C605, SweepStudyConfig[StudyId], SweepStudyConfig[SweepCorrectedGap])</f>
        <v>#VALUE!</v>
      </c>
      <c r="S605" s="3" t="e">
        <f>IF(Q605 = "", "", Q605 - R605)</f>
        <v>#VALUE!</v>
      </c>
    </row>
    <row r="606">
      <c r="A606" s="2" t="s">
        <v>3894</v>
      </c>
      <c r="B606" s="3" t="str">
        <f>A606</f>
        <v>recsys-offline-eval-f045</v>
      </c>
      <c r="C606" s="2" t="s">
        <v>645</v>
      </c>
      <c r="D606" s="2">
        <v>0.45</v>
      </c>
      <c r="E606" s="3" t="e">
        <f>ABS(D606 - LOOKUP(C606, SweepStudyConfig[StudyId], SweepStudyConfig[OriginalAllocFractionA])) &lt; 0.03</f>
        <v>#VALUE!</v>
      </c>
      <c r="F606" s="3" t="e">
        <f>LOOKUP(C606, SweepStudyConfig[StudyId], SweepStudyConfig[NSweepStratumTotal])</f>
        <v>#VALUE!</v>
      </c>
      <c r="G606" s="3" t="e">
        <f>ROUND(F606 * D606)</f>
        <v>#VALUE!</v>
      </c>
      <c r="H606" s="3" t="e">
        <f>F606 - G606</f>
        <v>#VALUE!</v>
      </c>
      <c r="I606" s="3" t="e">
        <f>LOOKUP(C606, SweepStudyConfig[StudyId], SweepStudyConfig[NFixedA])</f>
        <v>#VALUE!</v>
      </c>
      <c r="J606" s="3" t="e">
        <f>LOOKUP(C606, SweepStudyConfig[StudyId], SweepStudyConfig[NFixedB])</f>
        <v>#VALUE!</v>
      </c>
      <c r="K606" s="3" t="e">
        <f>LOOKUP(C606, SweepStudyConfig[StudyId], SweepStudyConfig[SweepRateA])</f>
        <v>#VALUE!</v>
      </c>
      <c r="L606" s="3" t="e">
        <f>LOOKUP(C606, SweepStudyConfig[StudyId], SweepStudyConfig[SweepRateB])</f>
        <v>#VALUE!</v>
      </c>
      <c r="M606" s="3" t="e">
        <f>LOOKUP(C606, SweepStudyConfig[StudyId], SweepStudyConfig[FixedRateA])</f>
        <v>#VALUE!</v>
      </c>
      <c r="N606" s="3" t="e">
        <f>LOOKUP(C606, SweepStudyConfig[StudyId], SweepStudyConfig[FixedRateB])</f>
        <v>#VALUE!</v>
      </c>
      <c r="O606" s="3" t="e">
        <f>IF(G606 + I606 = 0, "", (G606 * K606 + I606 * M606) / (G606 + I606))</f>
        <v>#VALUE!</v>
      </c>
      <c r="P606" s="3" t="e">
        <f>IF(H606 + J606 = 0, "", (H606 * L606 + J606 * N606) / (H606 + J606))</f>
        <v>#VALUE!</v>
      </c>
      <c r="Q606" s="3" t="e">
        <f>IF(O606 = "", "", O606 - P606)</f>
        <v>#VALUE!</v>
      </c>
      <c r="R606" s="3" t="e">
        <f>LOOKUP(C606, SweepStudyConfig[StudyId], SweepStudyConfig[SweepCorrectedGap])</f>
        <v>#VALUE!</v>
      </c>
      <c r="S606" s="3" t="e">
        <f>IF(Q606 = "", "", Q606 - R606)</f>
        <v>#VALUE!</v>
      </c>
    </row>
    <row r="607">
      <c r="A607" s="2" t="s">
        <v>3895</v>
      </c>
      <c r="B607" s="3" t="str">
        <f>A607</f>
        <v>recsys-offline-eval-f055</v>
      </c>
      <c r="C607" s="2" t="s">
        <v>645</v>
      </c>
      <c r="D607" s="2">
        <v>0.55</v>
      </c>
      <c r="E607" s="3" t="e">
        <f>ABS(D607 - LOOKUP(C607, SweepStudyConfig[StudyId], SweepStudyConfig[OriginalAllocFractionA])) &lt; 0.03</f>
        <v>#VALUE!</v>
      </c>
      <c r="F607" s="3" t="e">
        <f>LOOKUP(C607, SweepStudyConfig[StudyId], SweepStudyConfig[NSweepStratumTotal])</f>
        <v>#VALUE!</v>
      </c>
      <c r="G607" s="3" t="e">
        <f>ROUND(F607 * D607)</f>
        <v>#VALUE!</v>
      </c>
      <c r="H607" s="3" t="e">
        <f>F607 - G607</f>
        <v>#VALUE!</v>
      </c>
      <c r="I607" s="3" t="e">
        <f>LOOKUP(C607, SweepStudyConfig[StudyId], SweepStudyConfig[NFixedA])</f>
        <v>#VALUE!</v>
      </c>
      <c r="J607" s="3" t="e">
        <f>LOOKUP(C607, SweepStudyConfig[StudyId], SweepStudyConfig[NFixedB])</f>
        <v>#VALUE!</v>
      </c>
      <c r="K607" s="3" t="e">
        <f>LOOKUP(C607, SweepStudyConfig[StudyId], SweepStudyConfig[SweepRateA])</f>
        <v>#VALUE!</v>
      </c>
      <c r="L607" s="3" t="e">
        <f>LOOKUP(C607, SweepStudyConfig[StudyId], SweepStudyConfig[SweepRateB])</f>
        <v>#VALUE!</v>
      </c>
      <c r="M607" s="3" t="e">
        <f>LOOKUP(C607, SweepStudyConfig[StudyId], SweepStudyConfig[FixedRateA])</f>
        <v>#VALUE!</v>
      </c>
      <c r="N607" s="3" t="e">
        <f>LOOKUP(C607, SweepStudyConfig[StudyId], SweepStudyConfig[FixedRateB])</f>
        <v>#VALUE!</v>
      </c>
      <c r="O607" s="3" t="e">
        <f>IF(G607 + I607 = 0, "", (G607 * K607 + I607 * M607) / (G607 + I607))</f>
        <v>#VALUE!</v>
      </c>
      <c r="P607" s="3" t="e">
        <f>IF(H607 + J607 = 0, "", (H607 * L607 + J607 * N607) / (H607 + J607))</f>
        <v>#VALUE!</v>
      </c>
      <c r="Q607" s="3" t="e">
        <f>IF(O607 = "", "", O607 - P607)</f>
        <v>#VALUE!</v>
      </c>
      <c r="R607" s="3" t="e">
        <f>LOOKUP(C607, SweepStudyConfig[StudyId], SweepStudyConfig[SweepCorrectedGap])</f>
        <v>#VALUE!</v>
      </c>
      <c r="S607" s="3" t="e">
        <f>IF(Q607 = "", "", Q607 - R607)</f>
        <v>#VALUE!</v>
      </c>
    </row>
    <row r="608">
      <c r="A608" s="2" t="s">
        <v>3896</v>
      </c>
      <c r="B608" s="3" t="str">
        <f>A608</f>
        <v>recsys-offline-eval-f065</v>
      </c>
      <c r="C608" s="2" t="s">
        <v>645</v>
      </c>
      <c r="D608" s="2">
        <v>0.65</v>
      </c>
      <c r="E608" s="3" t="e">
        <f>ABS(D608 - LOOKUP(C608, SweepStudyConfig[StudyId], SweepStudyConfig[OriginalAllocFractionA])) &lt; 0.03</f>
        <v>#VALUE!</v>
      </c>
      <c r="F608" s="3" t="e">
        <f>LOOKUP(C608, SweepStudyConfig[StudyId], SweepStudyConfig[NSweepStratumTotal])</f>
        <v>#VALUE!</v>
      </c>
      <c r="G608" s="3" t="e">
        <f>ROUND(F608 * D608)</f>
        <v>#VALUE!</v>
      </c>
      <c r="H608" s="3" t="e">
        <f>F608 - G608</f>
        <v>#VALUE!</v>
      </c>
      <c r="I608" s="3" t="e">
        <f>LOOKUP(C608, SweepStudyConfig[StudyId], SweepStudyConfig[NFixedA])</f>
        <v>#VALUE!</v>
      </c>
      <c r="J608" s="3" t="e">
        <f>LOOKUP(C608, SweepStudyConfig[StudyId], SweepStudyConfig[NFixedB])</f>
        <v>#VALUE!</v>
      </c>
      <c r="K608" s="3" t="e">
        <f>LOOKUP(C608, SweepStudyConfig[StudyId], SweepStudyConfig[SweepRateA])</f>
        <v>#VALUE!</v>
      </c>
      <c r="L608" s="3" t="e">
        <f>LOOKUP(C608, SweepStudyConfig[StudyId], SweepStudyConfig[SweepRateB])</f>
        <v>#VALUE!</v>
      </c>
      <c r="M608" s="3" t="e">
        <f>LOOKUP(C608, SweepStudyConfig[StudyId], SweepStudyConfig[FixedRateA])</f>
        <v>#VALUE!</v>
      </c>
      <c r="N608" s="3" t="e">
        <f>LOOKUP(C608, SweepStudyConfig[StudyId], SweepStudyConfig[FixedRateB])</f>
        <v>#VALUE!</v>
      </c>
      <c r="O608" s="3" t="e">
        <f>IF(G608 + I608 = 0, "", (G608 * K608 + I608 * M608) / (G608 + I608))</f>
        <v>#VALUE!</v>
      </c>
      <c r="P608" s="3" t="e">
        <f>IF(H608 + J608 = 0, "", (H608 * L608 + J608 * N608) / (H608 + J608))</f>
        <v>#VALUE!</v>
      </c>
      <c r="Q608" s="3" t="e">
        <f>IF(O608 = "", "", O608 - P608)</f>
        <v>#VALUE!</v>
      </c>
      <c r="R608" s="3" t="e">
        <f>LOOKUP(C608, SweepStudyConfig[StudyId], SweepStudyConfig[SweepCorrectedGap])</f>
        <v>#VALUE!</v>
      </c>
      <c r="S608" s="3" t="e">
        <f>IF(Q608 = "", "", Q608 - R608)</f>
        <v>#VALUE!</v>
      </c>
    </row>
    <row r="609">
      <c r="A609" s="2" t="s">
        <v>3897</v>
      </c>
      <c r="B609" s="3" t="str">
        <f>A609</f>
        <v>recsys-offline-eval-f075</v>
      </c>
      <c r="C609" s="2" t="s">
        <v>645</v>
      </c>
      <c r="D609" s="2">
        <v>0.75</v>
      </c>
      <c r="E609" s="3" t="e">
        <f>ABS(D609 - LOOKUP(C609, SweepStudyConfig[StudyId], SweepStudyConfig[OriginalAllocFractionA])) &lt; 0.03</f>
        <v>#VALUE!</v>
      </c>
      <c r="F609" s="3" t="e">
        <f>LOOKUP(C609, SweepStudyConfig[StudyId], SweepStudyConfig[NSweepStratumTotal])</f>
        <v>#VALUE!</v>
      </c>
      <c r="G609" s="3" t="e">
        <f>ROUND(F609 * D609)</f>
        <v>#VALUE!</v>
      </c>
      <c r="H609" s="3" t="e">
        <f>F609 - G609</f>
        <v>#VALUE!</v>
      </c>
      <c r="I609" s="3" t="e">
        <f>LOOKUP(C609, SweepStudyConfig[StudyId], SweepStudyConfig[NFixedA])</f>
        <v>#VALUE!</v>
      </c>
      <c r="J609" s="3" t="e">
        <f>LOOKUP(C609, SweepStudyConfig[StudyId], SweepStudyConfig[NFixedB])</f>
        <v>#VALUE!</v>
      </c>
      <c r="K609" s="3" t="e">
        <f>LOOKUP(C609, SweepStudyConfig[StudyId], SweepStudyConfig[SweepRateA])</f>
        <v>#VALUE!</v>
      </c>
      <c r="L609" s="3" t="e">
        <f>LOOKUP(C609, SweepStudyConfig[StudyId], SweepStudyConfig[SweepRateB])</f>
        <v>#VALUE!</v>
      </c>
      <c r="M609" s="3" t="e">
        <f>LOOKUP(C609, SweepStudyConfig[StudyId], SweepStudyConfig[FixedRateA])</f>
        <v>#VALUE!</v>
      </c>
      <c r="N609" s="3" t="e">
        <f>LOOKUP(C609, SweepStudyConfig[StudyId], SweepStudyConfig[FixedRateB])</f>
        <v>#VALUE!</v>
      </c>
      <c r="O609" s="3" t="e">
        <f>IF(G609 + I609 = 0, "", (G609 * K609 + I609 * M609) / (G609 + I609))</f>
        <v>#VALUE!</v>
      </c>
      <c r="P609" s="3" t="e">
        <f>IF(H609 + J609 = 0, "", (H609 * L609 + J609 * N609) / (H609 + J609))</f>
        <v>#VALUE!</v>
      </c>
      <c r="Q609" s="3" t="e">
        <f>IF(O609 = "", "", O609 - P609)</f>
        <v>#VALUE!</v>
      </c>
      <c r="R609" s="3" t="e">
        <f>LOOKUP(C609, SweepStudyConfig[StudyId], SweepStudyConfig[SweepCorrectedGap])</f>
        <v>#VALUE!</v>
      </c>
      <c r="S609" s="3" t="e">
        <f>IF(Q609 = "", "", Q609 - R609)</f>
        <v>#VALUE!</v>
      </c>
    </row>
    <row r="610">
      <c r="A610" s="2" t="s">
        <v>3898</v>
      </c>
      <c r="B610" s="3" t="str">
        <f>A610</f>
        <v>recsys-offline-eval-f085</v>
      </c>
      <c r="C610" s="2" t="s">
        <v>645</v>
      </c>
      <c r="D610" s="2">
        <v>0.85</v>
      </c>
      <c r="E610" s="3" t="e">
        <f>ABS(D610 - LOOKUP(C610, SweepStudyConfig[StudyId], SweepStudyConfig[OriginalAllocFractionA])) &lt; 0.03</f>
        <v>#VALUE!</v>
      </c>
      <c r="F610" s="3" t="e">
        <f>LOOKUP(C610, SweepStudyConfig[StudyId], SweepStudyConfig[NSweepStratumTotal])</f>
        <v>#VALUE!</v>
      </c>
      <c r="G610" s="3" t="e">
        <f>ROUND(F610 * D610)</f>
        <v>#VALUE!</v>
      </c>
      <c r="H610" s="3" t="e">
        <f>F610 - G610</f>
        <v>#VALUE!</v>
      </c>
      <c r="I610" s="3" t="e">
        <f>LOOKUP(C610, SweepStudyConfig[StudyId], SweepStudyConfig[NFixedA])</f>
        <v>#VALUE!</v>
      </c>
      <c r="J610" s="3" t="e">
        <f>LOOKUP(C610, SweepStudyConfig[StudyId], SweepStudyConfig[NFixedB])</f>
        <v>#VALUE!</v>
      </c>
      <c r="K610" s="3" t="e">
        <f>LOOKUP(C610, SweepStudyConfig[StudyId], SweepStudyConfig[SweepRateA])</f>
        <v>#VALUE!</v>
      </c>
      <c r="L610" s="3" t="e">
        <f>LOOKUP(C610, SweepStudyConfig[StudyId], SweepStudyConfig[SweepRateB])</f>
        <v>#VALUE!</v>
      </c>
      <c r="M610" s="3" t="e">
        <f>LOOKUP(C610, SweepStudyConfig[StudyId], SweepStudyConfig[FixedRateA])</f>
        <v>#VALUE!</v>
      </c>
      <c r="N610" s="3" t="e">
        <f>LOOKUP(C610, SweepStudyConfig[StudyId], SweepStudyConfig[FixedRateB])</f>
        <v>#VALUE!</v>
      </c>
      <c r="O610" s="3" t="e">
        <f>IF(G610 + I610 = 0, "", (G610 * K610 + I610 * M610) / (G610 + I610))</f>
        <v>#VALUE!</v>
      </c>
      <c r="P610" s="3" t="e">
        <f>IF(H610 + J610 = 0, "", (H610 * L610 + J610 * N610) / (H610 + J610))</f>
        <v>#VALUE!</v>
      </c>
      <c r="Q610" s="3" t="e">
        <f>IF(O610 = "", "", O610 - P610)</f>
        <v>#VALUE!</v>
      </c>
      <c r="R610" s="3" t="e">
        <f>LOOKUP(C610, SweepStudyConfig[StudyId], SweepStudyConfig[SweepCorrectedGap])</f>
        <v>#VALUE!</v>
      </c>
      <c r="S610" s="3" t="e">
        <f>IF(Q610 = "", "", Q610 - R610)</f>
        <v>#VALUE!</v>
      </c>
    </row>
    <row r="611">
      <c r="A611" s="2" t="s">
        <v>3899</v>
      </c>
      <c r="B611" s="3" t="str">
        <f>A611</f>
        <v>recsys-offline-eval-f095</v>
      </c>
      <c r="C611" s="2" t="s">
        <v>645</v>
      </c>
      <c r="D611" s="2">
        <v>0.95</v>
      </c>
      <c r="E611" s="3" t="e">
        <f>ABS(D611 - LOOKUP(C611, SweepStudyConfig[StudyId], SweepStudyConfig[OriginalAllocFractionA])) &lt; 0.03</f>
        <v>#VALUE!</v>
      </c>
      <c r="F611" s="3" t="e">
        <f>LOOKUP(C611, SweepStudyConfig[StudyId], SweepStudyConfig[NSweepStratumTotal])</f>
        <v>#VALUE!</v>
      </c>
      <c r="G611" s="3" t="e">
        <f>ROUND(F611 * D611)</f>
        <v>#VALUE!</v>
      </c>
      <c r="H611" s="3" t="e">
        <f>F611 - G611</f>
        <v>#VALUE!</v>
      </c>
      <c r="I611" s="3" t="e">
        <f>LOOKUP(C611, SweepStudyConfig[StudyId], SweepStudyConfig[NFixedA])</f>
        <v>#VALUE!</v>
      </c>
      <c r="J611" s="3" t="e">
        <f>LOOKUP(C611, SweepStudyConfig[StudyId], SweepStudyConfig[NFixedB])</f>
        <v>#VALUE!</v>
      </c>
      <c r="K611" s="3" t="e">
        <f>LOOKUP(C611, SweepStudyConfig[StudyId], SweepStudyConfig[SweepRateA])</f>
        <v>#VALUE!</v>
      </c>
      <c r="L611" s="3" t="e">
        <f>LOOKUP(C611, SweepStudyConfig[StudyId], SweepStudyConfig[SweepRateB])</f>
        <v>#VALUE!</v>
      </c>
      <c r="M611" s="3" t="e">
        <f>LOOKUP(C611, SweepStudyConfig[StudyId], SweepStudyConfig[FixedRateA])</f>
        <v>#VALUE!</v>
      </c>
      <c r="N611" s="3" t="e">
        <f>LOOKUP(C611, SweepStudyConfig[StudyId], SweepStudyConfig[FixedRateB])</f>
        <v>#VALUE!</v>
      </c>
      <c r="O611" s="3" t="e">
        <f>IF(G611 + I611 = 0, "", (G611 * K611 + I611 * M611) / (G611 + I611))</f>
        <v>#VALUE!</v>
      </c>
      <c r="P611" s="3" t="e">
        <f>IF(H611 + J611 = 0, "", (H611 * L611 + J611 * N611) / (H611 + J611))</f>
        <v>#VALUE!</v>
      </c>
      <c r="Q611" s="3" t="e">
        <f>IF(O611 = "", "", O611 - P611)</f>
        <v>#VALUE!</v>
      </c>
      <c r="R611" s="3" t="e">
        <f>LOOKUP(C611, SweepStudyConfig[StudyId], SweepStudyConfig[SweepCorrectedGap])</f>
        <v>#VALUE!</v>
      </c>
      <c r="S611" s="3" t="e">
        <f>IF(Q611 = "", "", Q611 - R611)</f>
        <v>#VALUE!</v>
      </c>
    </row>
    <row r="612">
      <c r="A612" s="2" t="s">
        <v>3900</v>
      </c>
      <c r="B612" s="3" t="str">
        <f>A612</f>
        <v>collider-only-synthetic-f005</v>
      </c>
      <c r="C612" s="2" t="s">
        <v>649</v>
      </c>
      <c r="D612" s="2">
        <v>0.05</v>
      </c>
      <c r="E612" s="3" t="e">
        <f>ABS(D612 - LOOKUP(C612, SweepStudyConfig[StudyId], SweepStudyConfig[OriginalAllocFractionA])) &lt; 0.03</f>
        <v>#VALUE!</v>
      </c>
      <c r="F612" s="3" t="e">
        <f>LOOKUP(C612, SweepStudyConfig[StudyId], SweepStudyConfig[NSweepStratumTotal])</f>
        <v>#VALUE!</v>
      </c>
      <c r="G612" s="3" t="e">
        <f>ROUND(F612 * D612)</f>
        <v>#VALUE!</v>
      </c>
      <c r="H612" s="3" t="e">
        <f>F612 - G612</f>
        <v>#VALUE!</v>
      </c>
      <c r="I612" s="3" t="e">
        <f>LOOKUP(C612, SweepStudyConfig[StudyId], SweepStudyConfig[NFixedA])</f>
        <v>#VALUE!</v>
      </c>
      <c r="J612" s="3" t="e">
        <f>LOOKUP(C612, SweepStudyConfig[StudyId], SweepStudyConfig[NFixedB])</f>
        <v>#VALUE!</v>
      </c>
      <c r="K612" s="3" t="e">
        <f>LOOKUP(C612, SweepStudyConfig[StudyId], SweepStudyConfig[SweepRateA])</f>
        <v>#VALUE!</v>
      </c>
      <c r="L612" s="3" t="e">
        <f>LOOKUP(C612, SweepStudyConfig[StudyId], SweepStudyConfig[SweepRateB])</f>
        <v>#VALUE!</v>
      </c>
      <c r="M612" s="3" t="e">
        <f>LOOKUP(C612, SweepStudyConfig[StudyId], SweepStudyConfig[FixedRateA])</f>
        <v>#VALUE!</v>
      </c>
      <c r="N612" s="3" t="e">
        <f>LOOKUP(C612, SweepStudyConfig[StudyId], SweepStudyConfig[FixedRateB])</f>
        <v>#VALUE!</v>
      </c>
      <c r="O612" s="3" t="e">
        <f>IF(G612 + I612 = 0, "", (G612 * K612 + I612 * M612) / (G612 + I612))</f>
        <v>#VALUE!</v>
      </c>
      <c r="P612" s="3" t="e">
        <f>IF(H612 + J612 = 0, "", (H612 * L612 + J612 * N612) / (H612 + J612))</f>
        <v>#VALUE!</v>
      </c>
      <c r="Q612" s="3" t="e">
        <f>IF(O612 = "", "", O612 - P612)</f>
        <v>#VALUE!</v>
      </c>
      <c r="R612" s="3" t="e">
        <f>LOOKUP(C612, SweepStudyConfig[StudyId], SweepStudyConfig[SweepCorrectedGap])</f>
        <v>#VALUE!</v>
      </c>
      <c r="S612" s="3" t="e">
        <f>IF(Q612 = "", "", Q612 - R612)</f>
        <v>#VALUE!</v>
      </c>
    </row>
    <row r="613">
      <c r="A613" s="2" t="s">
        <v>3901</v>
      </c>
      <c r="B613" s="3" t="str">
        <f>A613</f>
        <v>collider-only-synthetic-f015</v>
      </c>
      <c r="C613" s="2" t="s">
        <v>649</v>
      </c>
      <c r="D613" s="2">
        <v>0.15</v>
      </c>
      <c r="E613" s="3" t="e">
        <f>ABS(D613 - LOOKUP(C613, SweepStudyConfig[StudyId], SweepStudyConfig[OriginalAllocFractionA])) &lt; 0.03</f>
        <v>#VALUE!</v>
      </c>
      <c r="F613" s="3" t="e">
        <f>LOOKUP(C613, SweepStudyConfig[StudyId], SweepStudyConfig[NSweepStratumTotal])</f>
        <v>#VALUE!</v>
      </c>
      <c r="G613" s="3" t="e">
        <f>ROUND(F613 * D613)</f>
        <v>#VALUE!</v>
      </c>
      <c r="H613" s="3" t="e">
        <f>F613 - G613</f>
        <v>#VALUE!</v>
      </c>
      <c r="I613" s="3" t="e">
        <f>LOOKUP(C613, SweepStudyConfig[StudyId], SweepStudyConfig[NFixedA])</f>
        <v>#VALUE!</v>
      </c>
      <c r="J613" s="3" t="e">
        <f>LOOKUP(C613, SweepStudyConfig[StudyId], SweepStudyConfig[NFixedB])</f>
        <v>#VALUE!</v>
      </c>
      <c r="K613" s="3" t="e">
        <f>LOOKUP(C613, SweepStudyConfig[StudyId], SweepStudyConfig[SweepRateA])</f>
        <v>#VALUE!</v>
      </c>
      <c r="L613" s="3" t="e">
        <f>LOOKUP(C613, SweepStudyConfig[StudyId], SweepStudyConfig[SweepRateB])</f>
        <v>#VALUE!</v>
      </c>
      <c r="M613" s="3" t="e">
        <f>LOOKUP(C613, SweepStudyConfig[StudyId], SweepStudyConfig[FixedRateA])</f>
        <v>#VALUE!</v>
      </c>
      <c r="N613" s="3" t="e">
        <f>LOOKUP(C613, SweepStudyConfig[StudyId], SweepStudyConfig[FixedRateB])</f>
        <v>#VALUE!</v>
      </c>
      <c r="O613" s="3" t="e">
        <f>IF(G613 + I613 = 0, "", (G613 * K613 + I613 * M613) / (G613 + I613))</f>
        <v>#VALUE!</v>
      </c>
      <c r="P613" s="3" t="e">
        <f>IF(H613 + J613 = 0, "", (H613 * L613 + J613 * N613) / (H613 + J613))</f>
        <v>#VALUE!</v>
      </c>
      <c r="Q613" s="3" t="e">
        <f>IF(O613 = "", "", O613 - P613)</f>
        <v>#VALUE!</v>
      </c>
      <c r="R613" s="3" t="e">
        <f>LOOKUP(C613, SweepStudyConfig[StudyId], SweepStudyConfig[SweepCorrectedGap])</f>
        <v>#VALUE!</v>
      </c>
      <c r="S613" s="3" t="e">
        <f>IF(Q613 = "", "", Q613 - R613)</f>
        <v>#VALUE!</v>
      </c>
    </row>
    <row r="614">
      <c r="A614" s="2" t="s">
        <v>3902</v>
      </c>
      <c r="B614" s="3" t="str">
        <f>A614</f>
        <v>collider-only-synthetic-f025</v>
      </c>
      <c r="C614" s="2" t="s">
        <v>649</v>
      </c>
      <c r="D614" s="2">
        <v>0.25</v>
      </c>
      <c r="E614" s="3" t="e">
        <f>ABS(D614 - LOOKUP(C614, SweepStudyConfig[StudyId], SweepStudyConfig[OriginalAllocFractionA])) &lt; 0.03</f>
        <v>#VALUE!</v>
      </c>
      <c r="F614" s="3" t="e">
        <f>LOOKUP(C614, SweepStudyConfig[StudyId], SweepStudyConfig[NSweepStratumTotal])</f>
        <v>#VALUE!</v>
      </c>
      <c r="G614" s="3" t="e">
        <f>ROUND(F614 * D614)</f>
        <v>#VALUE!</v>
      </c>
      <c r="H614" s="3" t="e">
        <f>F614 - G614</f>
        <v>#VALUE!</v>
      </c>
      <c r="I614" s="3" t="e">
        <f>LOOKUP(C614, SweepStudyConfig[StudyId], SweepStudyConfig[NFixedA])</f>
        <v>#VALUE!</v>
      </c>
      <c r="J614" s="3" t="e">
        <f>LOOKUP(C614, SweepStudyConfig[StudyId], SweepStudyConfig[NFixedB])</f>
        <v>#VALUE!</v>
      </c>
      <c r="K614" s="3" t="e">
        <f>LOOKUP(C614, SweepStudyConfig[StudyId], SweepStudyConfig[SweepRateA])</f>
        <v>#VALUE!</v>
      </c>
      <c r="L614" s="3" t="e">
        <f>LOOKUP(C614, SweepStudyConfig[StudyId], SweepStudyConfig[SweepRateB])</f>
        <v>#VALUE!</v>
      </c>
      <c r="M614" s="3" t="e">
        <f>LOOKUP(C614, SweepStudyConfig[StudyId], SweepStudyConfig[FixedRateA])</f>
        <v>#VALUE!</v>
      </c>
      <c r="N614" s="3" t="e">
        <f>LOOKUP(C614, SweepStudyConfig[StudyId], SweepStudyConfig[FixedRateB])</f>
        <v>#VALUE!</v>
      </c>
      <c r="O614" s="3" t="e">
        <f>IF(G614 + I614 = 0, "", (G614 * K614 + I614 * M614) / (G614 + I614))</f>
        <v>#VALUE!</v>
      </c>
      <c r="P614" s="3" t="e">
        <f>IF(H614 + J614 = 0, "", (H614 * L614 + J614 * N614) / (H614 + J614))</f>
        <v>#VALUE!</v>
      </c>
      <c r="Q614" s="3" t="e">
        <f>IF(O614 = "", "", O614 - P614)</f>
        <v>#VALUE!</v>
      </c>
      <c r="R614" s="3" t="e">
        <f>LOOKUP(C614, SweepStudyConfig[StudyId], SweepStudyConfig[SweepCorrectedGap])</f>
        <v>#VALUE!</v>
      </c>
      <c r="S614" s="3" t="e">
        <f>IF(Q614 = "", "", Q614 - R614)</f>
        <v>#VALUE!</v>
      </c>
    </row>
    <row r="615">
      <c r="A615" s="2" t="s">
        <v>3903</v>
      </c>
      <c r="B615" s="3" t="str">
        <f>A615</f>
        <v>collider-only-synthetic-f035</v>
      </c>
      <c r="C615" s="2" t="s">
        <v>649</v>
      </c>
      <c r="D615" s="2">
        <v>0.35</v>
      </c>
      <c r="E615" s="3" t="e">
        <f>ABS(D615 - LOOKUP(C615, SweepStudyConfig[StudyId], SweepStudyConfig[OriginalAllocFractionA])) &lt; 0.03</f>
        <v>#VALUE!</v>
      </c>
      <c r="F615" s="3" t="e">
        <f>LOOKUP(C615, SweepStudyConfig[StudyId], SweepStudyConfig[NSweepStratumTotal])</f>
        <v>#VALUE!</v>
      </c>
      <c r="G615" s="3" t="e">
        <f>ROUND(F615 * D615)</f>
        <v>#VALUE!</v>
      </c>
      <c r="H615" s="3" t="e">
        <f>F615 - G615</f>
        <v>#VALUE!</v>
      </c>
      <c r="I615" s="3" t="e">
        <f>LOOKUP(C615, SweepStudyConfig[StudyId], SweepStudyConfig[NFixedA])</f>
        <v>#VALUE!</v>
      </c>
      <c r="J615" s="3" t="e">
        <f>LOOKUP(C615, SweepStudyConfig[StudyId], SweepStudyConfig[NFixedB])</f>
        <v>#VALUE!</v>
      </c>
      <c r="K615" s="3" t="e">
        <f>LOOKUP(C615, SweepStudyConfig[StudyId], SweepStudyConfig[SweepRateA])</f>
        <v>#VALUE!</v>
      </c>
      <c r="L615" s="3" t="e">
        <f>LOOKUP(C615, SweepStudyConfig[StudyId], SweepStudyConfig[SweepRateB])</f>
        <v>#VALUE!</v>
      </c>
      <c r="M615" s="3" t="e">
        <f>LOOKUP(C615, SweepStudyConfig[StudyId], SweepStudyConfig[FixedRateA])</f>
        <v>#VALUE!</v>
      </c>
      <c r="N615" s="3" t="e">
        <f>LOOKUP(C615, SweepStudyConfig[StudyId], SweepStudyConfig[FixedRateB])</f>
        <v>#VALUE!</v>
      </c>
      <c r="O615" s="3" t="e">
        <f>IF(G615 + I615 = 0, "", (G615 * K615 + I615 * M615) / (G615 + I615))</f>
        <v>#VALUE!</v>
      </c>
      <c r="P615" s="3" t="e">
        <f>IF(H615 + J615 = 0, "", (H615 * L615 + J615 * N615) / (H615 + J615))</f>
        <v>#VALUE!</v>
      </c>
      <c r="Q615" s="3" t="e">
        <f>IF(O615 = "", "", O615 - P615)</f>
        <v>#VALUE!</v>
      </c>
      <c r="R615" s="3" t="e">
        <f>LOOKUP(C615, SweepStudyConfig[StudyId], SweepStudyConfig[SweepCorrectedGap])</f>
        <v>#VALUE!</v>
      </c>
      <c r="S615" s="3" t="e">
        <f>IF(Q615 = "", "", Q615 - R615)</f>
        <v>#VALUE!</v>
      </c>
    </row>
    <row r="616">
      <c r="A616" s="2" t="s">
        <v>3904</v>
      </c>
      <c r="B616" s="3" t="str">
        <f>A616</f>
        <v>collider-only-synthetic-f045</v>
      </c>
      <c r="C616" s="2" t="s">
        <v>649</v>
      </c>
      <c r="D616" s="2">
        <v>0.45</v>
      </c>
      <c r="E616" s="3" t="e">
        <f>ABS(D616 - LOOKUP(C616, SweepStudyConfig[StudyId], SweepStudyConfig[OriginalAllocFractionA])) &lt; 0.03</f>
        <v>#VALUE!</v>
      </c>
      <c r="F616" s="3" t="e">
        <f>LOOKUP(C616, SweepStudyConfig[StudyId], SweepStudyConfig[NSweepStratumTotal])</f>
        <v>#VALUE!</v>
      </c>
      <c r="G616" s="3" t="e">
        <f>ROUND(F616 * D616)</f>
        <v>#VALUE!</v>
      </c>
      <c r="H616" s="3" t="e">
        <f>F616 - G616</f>
        <v>#VALUE!</v>
      </c>
      <c r="I616" s="3" t="e">
        <f>LOOKUP(C616, SweepStudyConfig[StudyId], SweepStudyConfig[NFixedA])</f>
        <v>#VALUE!</v>
      </c>
      <c r="J616" s="3" t="e">
        <f>LOOKUP(C616, SweepStudyConfig[StudyId], SweepStudyConfig[NFixedB])</f>
        <v>#VALUE!</v>
      </c>
      <c r="K616" s="3" t="e">
        <f>LOOKUP(C616, SweepStudyConfig[StudyId], SweepStudyConfig[SweepRateA])</f>
        <v>#VALUE!</v>
      </c>
      <c r="L616" s="3" t="e">
        <f>LOOKUP(C616, SweepStudyConfig[StudyId], SweepStudyConfig[SweepRateB])</f>
        <v>#VALUE!</v>
      </c>
      <c r="M616" s="3" t="e">
        <f>LOOKUP(C616, SweepStudyConfig[StudyId], SweepStudyConfig[FixedRateA])</f>
        <v>#VALUE!</v>
      </c>
      <c r="N616" s="3" t="e">
        <f>LOOKUP(C616, SweepStudyConfig[StudyId], SweepStudyConfig[FixedRateB])</f>
        <v>#VALUE!</v>
      </c>
      <c r="O616" s="3" t="e">
        <f>IF(G616 + I616 = 0, "", (G616 * K616 + I616 * M616) / (G616 + I616))</f>
        <v>#VALUE!</v>
      </c>
      <c r="P616" s="3" t="e">
        <f>IF(H616 + J616 = 0, "", (H616 * L616 + J616 * N616) / (H616 + J616))</f>
        <v>#VALUE!</v>
      </c>
      <c r="Q616" s="3" t="e">
        <f>IF(O616 = "", "", O616 - P616)</f>
        <v>#VALUE!</v>
      </c>
      <c r="R616" s="3" t="e">
        <f>LOOKUP(C616, SweepStudyConfig[StudyId], SweepStudyConfig[SweepCorrectedGap])</f>
        <v>#VALUE!</v>
      </c>
      <c r="S616" s="3" t="e">
        <f>IF(Q616 = "", "", Q616 - R616)</f>
        <v>#VALUE!</v>
      </c>
    </row>
    <row r="617">
      <c r="A617" s="2" t="s">
        <v>3905</v>
      </c>
      <c r="B617" s="3" t="str">
        <f>A617</f>
        <v>collider-only-synthetic-f055</v>
      </c>
      <c r="C617" s="2" t="s">
        <v>649</v>
      </c>
      <c r="D617" s="2">
        <v>0.55</v>
      </c>
      <c r="E617" s="3" t="e">
        <f>ABS(D617 - LOOKUP(C617, SweepStudyConfig[StudyId], SweepStudyConfig[OriginalAllocFractionA])) &lt; 0.03</f>
        <v>#VALUE!</v>
      </c>
      <c r="F617" s="3" t="e">
        <f>LOOKUP(C617, SweepStudyConfig[StudyId], SweepStudyConfig[NSweepStratumTotal])</f>
        <v>#VALUE!</v>
      </c>
      <c r="G617" s="3" t="e">
        <f>ROUND(F617 * D617)</f>
        <v>#VALUE!</v>
      </c>
      <c r="H617" s="3" t="e">
        <f>F617 - G617</f>
        <v>#VALUE!</v>
      </c>
      <c r="I617" s="3" t="e">
        <f>LOOKUP(C617, SweepStudyConfig[StudyId], SweepStudyConfig[NFixedA])</f>
        <v>#VALUE!</v>
      </c>
      <c r="J617" s="3" t="e">
        <f>LOOKUP(C617, SweepStudyConfig[StudyId], SweepStudyConfig[NFixedB])</f>
        <v>#VALUE!</v>
      </c>
      <c r="K617" s="3" t="e">
        <f>LOOKUP(C617, SweepStudyConfig[StudyId], SweepStudyConfig[SweepRateA])</f>
        <v>#VALUE!</v>
      </c>
      <c r="L617" s="3" t="e">
        <f>LOOKUP(C617, SweepStudyConfig[StudyId], SweepStudyConfig[SweepRateB])</f>
        <v>#VALUE!</v>
      </c>
      <c r="M617" s="3" t="e">
        <f>LOOKUP(C617, SweepStudyConfig[StudyId], SweepStudyConfig[FixedRateA])</f>
        <v>#VALUE!</v>
      </c>
      <c r="N617" s="3" t="e">
        <f>LOOKUP(C617, SweepStudyConfig[StudyId], SweepStudyConfig[FixedRateB])</f>
        <v>#VALUE!</v>
      </c>
      <c r="O617" s="3" t="e">
        <f>IF(G617 + I617 = 0, "", (G617 * K617 + I617 * M617) / (G617 + I617))</f>
        <v>#VALUE!</v>
      </c>
      <c r="P617" s="3" t="e">
        <f>IF(H617 + J617 = 0, "", (H617 * L617 + J617 * N617) / (H617 + J617))</f>
        <v>#VALUE!</v>
      </c>
      <c r="Q617" s="3" t="e">
        <f>IF(O617 = "", "", O617 - P617)</f>
        <v>#VALUE!</v>
      </c>
      <c r="R617" s="3" t="e">
        <f>LOOKUP(C617, SweepStudyConfig[StudyId], SweepStudyConfig[SweepCorrectedGap])</f>
        <v>#VALUE!</v>
      </c>
      <c r="S617" s="3" t="e">
        <f>IF(Q617 = "", "", Q617 - R617)</f>
        <v>#VALUE!</v>
      </c>
    </row>
    <row r="618">
      <c r="A618" s="2" t="s">
        <v>3906</v>
      </c>
      <c r="B618" s="3" t="str">
        <f>A618</f>
        <v>collider-only-synthetic-f065</v>
      </c>
      <c r="C618" s="2" t="s">
        <v>649</v>
      </c>
      <c r="D618" s="2">
        <v>0.65</v>
      </c>
      <c r="E618" s="3" t="e">
        <f>ABS(D618 - LOOKUP(C618, SweepStudyConfig[StudyId], SweepStudyConfig[OriginalAllocFractionA])) &lt; 0.03</f>
        <v>#VALUE!</v>
      </c>
      <c r="F618" s="3" t="e">
        <f>LOOKUP(C618, SweepStudyConfig[StudyId], SweepStudyConfig[NSweepStratumTotal])</f>
        <v>#VALUE!</v>
      </c>
      <c r="G618" s="3" t="e">
        <f>ROUND(F618 * D618)</f>
        <v>#VALUE!</v>
      </c>
      <c r="H618" s="3" t="e">
        <f>F618 - G618</f>
        <v>#VALUE!</v>
      </c>
      <c r="I618" s="3" t="e">
        <f>LOOKUP(C618, SweepStudyConfig[StudyId], SweepStudyConfig[NFixedA])</f>
        <v>#VALUE!</v>
      </c>
      <c r="J618" s="3" t="e">
        <f>LOOKUP(C618, SweepStudyConfig[StudyId], SweepStudyConfig[NFixedB])</f>
        <v>#VALUE!</v>
      </c>
      <c r="K618" s="3" t="e">
        <f>LOOKUP(C618, SweepStudyConfig[StudyId], SweepStudyConfig[SweepRateA])</f>
        <v>#VALUE!</v>
      </c>
      <c r="L618" s="3" t="e">
        <f>LOOKUP(C618, SweepStudyConfig[StudyId], SweepStudyConfig[SweepRateB])</f>
        <v>#VALUE!</v>
      </c>
      <c r="M618" s="3" t="e">
        <f>LOOKUP(C618, SweepStudyConfig[StudyId], SweepStudyConfig[FixedRateA])</f>
        <v>#VALUE!</v>
      </c>
      <c r="N618" s="3" t="e">
        <f>LOOKUP(C618, SweepStudyConfig[StudyId], SweepStudyConfig[FixedRateB])</f>
        <v>#VALUE!</v>
      </c>
      <c r="O618" s="3" t="e">
        <f>IF(G618 + I618 = 0, "", (G618 * K618 + I618 * M618) / (G618 + I618))</f>
        <v>#VALUE!</v>
      </c>
      <c r="P618" s="3" t="e">
        <f>IF(H618 + J618 = 0, "", (H618 * L618 + J618 * N618) / (H618 + J618))</f>
        <v>#VALUE!</v>
      </c>
      <c r="Q618" s="3" t="e">
        <f>IF(O618 = "", "", O618 - P618)</f>
        <v>#VALUE!</v>
      </c>
      <c r="R618" s="3" t="e">
        <f>LOOKUP(C618, SweepStudyConfig[StudyId], SweepStudyConfig[SweepCorrectedGap])</f>
        <v>#VALUE!</v>
      </c>
      <c r="S618" s="3" t="e">
        <f>IF(Q618 = "", "", Q618 - R618)</f>
        <v>#VALUE!</v>
      </c>
    </row>
    <row r="619">
      <c r="A619" s="2" t="s">
        <v>3907</v>
      </c>
      <c r="B619" s="3" t="str">
        <f>A619</f>
        <v>collider-only-synthetic-f075</v>
      </c>
      <c r="C619" s="2" t="s">
        <v>649</v>
      </c>
      <c r="D619" s="2">
        <v>0.75</v>
      </c>
      <c r="E619" s="3" t="e">
        <f>ABS(D619 - LOOKUP(C619, SweepStudyConfig[StudyId], SweepStudyConfig[OriginalAllocFractionA])) &lt; 0.03</f>
        <v>#VALUE!</v>
      </c>
      <c r="F619" s="3" t="e">
        <f>LOOKUP(C619, SweepStudyConfig[StudyId], SweepStudyConfig[NSweepStratumTotal])</f>
        <v>#VALUE!</v>
      </c>
      <c r="G619" s="3" t="e">
        <f>ROUND(F619 * D619)</f>
        <v>#VALUE!</v>
      </c>
      <c r="H619" s="3" t="e">
        <f>F619 - G619</f>
        <v>#VALUE!</v>
      </c>
      <c r="I619" s="3" t="e">
        <f>LOOKUP(C619, SweepStudyConfig[StudyId], SweepStudyConfig[NFixedA])</f>
        <v>#VALUE!</v>
      </c>
      <c r="J619" s="3" t="e">
        <f>LOOKUP(C619, SweepStudyConfig[StudyId], SweepStudyConfig[NFixedB])</f>
        <v>#VALUE!</v>
      </c>
      <c r="K619" s="3" t="e">
        <f>LOOKUP(C619, SweepStudyConfig[StudyId], SweepStudyConfig[SweepRateA])</f>
        <v>#VALUE!</v>
      </c>
      <c r="L619" s="3" t="e">
        <f>LOOKUP(C619, SweepStudyConfig[StudyId], SweepStudyConfig[SweepRateB])</f>
        <v>#VALUE!</v>
      </c>
      <c r="M619" s="3" t="e">
        <f>LOOKUP(C619, SweepStudyConfig[StudyId], SweepStudyConfig[FixedRateA])</f>
        <v>#VALUE!</v>
      </c>
      <c r="N619" s="3" t="e">
        <f>LOOKUP(C619, SweepStudyConfig[StudyId], SweepStudyConfig[FixedRateB])</f>
        <v>#VALUE!</v>
      </c>
      <c r="O619" s="3" t="e">
        <f>IF(G619 + I619 = 0, "", (G619 * K619 + I619 * M619) / (G619 + I619))</f>
        <v>#VALUE!</v>
      </c>
      <c r="P619" s="3" t="e">
        <f>IF(H619 + J619 = 0, "", (H619 * L619 + J619 * N619) / (H619 + J619))</f>
        <v>#VALUE!</v>
      </c>
      <c r="Q619" s="3" t="e">
        <f>IF(O619 = "", "", O619 - P619)</f>
        <v>#VALUE!</v>
      </c>
      <c r="R619" s="3" t="e">
        <f>LOOKUP(C619, SweepStudyConfig[StudyId], SweepStudyConfig[SweepCorrectedGap])</f>
        <v>#VALUE!</v>
      </c>
      <c r="S619" s="3" t="e">
        <f>IF(Q619 = "", "", Q619 - R619)</f>
        <v>#VALUE!</v>
      </c>
    </row>
    <row r="620">
      <c r="A620" s="2" t="s">
        <v>3908</v>
      </c>
      <c r="B620" s="3" t="str">
        <f>A620</f>
        <v>collider-only-synthetic-f085</v>
      </c>
      <c r="C620" s="2" t="s">
        <v>649</v>
      </c>
      <c r="D620" s="2">
        <v>0.85</v>
      </c>
      <c r="E620" s="3" t="e">
        <f>ABS(D620 - LOOKUP(C620, SweepStudyConfig[StudyId], SweepStudyConfig[OriginalAllocFractionA])) &lt; 0.03</f>
        <v>#VALUE!</v>
      </c>
      <c r="F620" s="3" t="e">
        <f>LOOKUP(C620, SweepStudyConfig[StudyId], SweepStudyConfig[NSweepStratumTotal])</f>
        <v>#VALUE!</v>
      </c>
      <c r="G620" s="3" t="e">
        <f>ROUND(F620 * D620)</f>
        <v>#VALUE!</v>
      </c>
      <c r="H620" s="3" t="e">
        <f>F620 - G620</f>
        <v>#VALUE!</v>
      </c>
      <c r="I620" s="3" t="e">
        <f>LOOKUP(C620, SweepStudyConfig[StudyId], SweepStudyConfig[NFixedA])</f>
        <v>#VALUE!</v>
      </c>
      <c r="J620" s="3" t="e">
        <f>LOOKUP(C620, SweepStudyConfig[StudyId], SweepStudyConfig[NFixedB])</f>
        <v>#VALUE!</v>
      </c>
      <c r="K620" s="3" t="e">
        <f>LOOKUP(C620, SweepStudyConfig[StudyId], SweepStudyConfig[SweepRateA])</f>
        <v>#VALUE!</v>
      </c>
      <c r="L620" s="3" t="e">
        <f>LOOKUP(C620, SweepStudyConfig[StudyId], SweepStudyConfig[SweepRateB])</f>
        <v>#VALUE!</v>
      </c>
      <c r="M620" s="3" t="e">
        <f>LOOKUP(C620, SweepStudyConfig[StudyId], SweepStudyConfig[FixedRateA])</f>
        <v>#VALUE!</v>
      </c>
      <c r="N620" s="3" t="e">
        <f>LOOKUP(C620, SweepStudyConfig[StudyId], SweepStudyConfig[FixedRateB])</f>
        <v>#VALUE!</v>
      </c>
      <c r="O620" s="3" t="e">
        <f>IF(G620 + I620 = 0, "", (G620 * K620 + I620 * M620) / (G620 + I620))</f>
        <v>#VALUE!</v>
      </c>
      <c r="P620" s="3" t="e">
        <f>IF(H620 + J620 = 0, "", (H620 * L620 + J620 * N620) / (H620 + J620))</f>
        <v>#VALUE!</v>
      </c>
      <c r="Q620" s="3" t="e">
        <f>IF(O620 = "", "", O620 - P620)</f>
        <v>#VALUE!</v>
      </c>
      <c r="R620" s="3" t="e">
        <f>LOOKUP(C620, SweepStudyConfig[StudyId], SweepStudyConfig[SweepCorrectedGap])</f>
        <v>#VALUE!</v>
      </c>
      <c r="S620" s="3" t="e">
        <f>IF(Q620 = "", "", Q620 - R620)</f>
        <v>#VALUE!</v>
      </c>
    </row>
    <row r="621">
      <c r="A621" s="2" t="s">
        <v>3909</v>
      </c>
      <c r="B621" s="3" t="str">
        <f>A621</f>
        <v>collider-only-synthetic-f095</v>
      </c>
      <c r="C621" s="2" t="s">
        <v>649</v>
      </c>
      <c r="D621" s="2">
        <v>0.95</v>
      </c>
      <c r="E621" s="3" t="e">
        <f>ABS(D621 - LOOKUP(C621, SweepStudyConfig[StudyId], SweepStudyConfig[OriginalAllocFractionA])) &lt; 0.03</f>
        <v>#VALUE!</v>
      </c>
      <c r="F621" s="3" t="e">
        <f>LOOKUP(C621, SweepStudyConfig[StudyId], SweepStudyConfig[NSweepStratumTotal])</f>
        <v>#VALUE!</v>
      </c>
      <c r="G621" s="3" t="e">
        <f>ROUND(F621 * D621)</f>
        <v>#VALUE!</v>
      </c>
      <c r="H621" s="3" t="e">
        <f>F621 - G621</f>
        <v>#VALUE!</v>
      </c>
      <c r="I621" s="3" t="e">
        <f>LOOKUP(C621, SweepStudyConfig[StudyId], SweepStudyConfig[NFixedA])</f>
        <v>#VALUE!</v>
      </c>
      <c r="J621" s="3" t="e">
        <f>LOOKUP(C621, SweepStudyConfig[StudyId], SweepStudyConfig[NFixedB])</f>
        <v>#VALUE!</v>
      </c>
      <c r="K621" s="3" t="e">
        <f>LOOKUP(C621, SweepStudyConfig[StudyId], SweepStudyConfig[SweepRateA])</f>
        <v>#VALUE!</v>
      </c>
      <c r="L621" s="3" t="e">
        <f>LOOKUP(C621, SweepStudyConfig[StudyId], SweepStudyConfig[SweepRateB])</f>
        <v>#VALUE!</v>
      </c>
      <c r="M621" s="3" t="e">
        <f>LOOKUP(C621, SweepStudyConfig[StudyId], SweepStudyConfig[FixedRateA])</f>
        <v>#VALUE!</v>
      </c>
      <c r="N621" s="3" t="e">
        <f>LOOKUP(C621, SweepStudyConfig[StudyId], SweepStudyConfig[FixedRateB])</f>
        <v>#VALUE!</v>
      </c>
      <c r="O621" s="3" t="e">
        <f>IF(G621 + I621 = 0, "", (G621 * K621 + I621 * M621) / (G621 + I621))</f>
        <v>#VALUE!</v>
      </c>
      <c r="P621" s="3" t="e">
        <f>IF(H621 + J621 = 0, "", (H621 * L621 + J621 * N621) / (H621 + J621))</f>
        <v>#VALUE!</v>
      </c>
      <c r="Q621" s="3" t="e">
        <f>IF(O621 = "", "", O621 - P621)</f>
        <v>#VALUE!</v>
      </c>
      <c r="R621" s="3" t="e">
        <f>LOOKUP(C621, SweepStudyConfig[StudyId], SweepStudyConfig[SweepCorrectedGap])</f>
        <v>#VALUE!</v>
      </c>
      <c r="S621" s="3" t="e">
        <f>IF(Q621 = "", "", Q621 - R621)</f>
        <v>#VALUE!</v>
      </c>
    </row>
    <row r="622">
      <c r="A622" s="2" t="s">
        <v>3910</v>
      </c>
      <c r="B622" s="3" t="str">
        <f>A622</f>
        <v>noncollapsibility-or-synthetic-f005</v>
      </c>
      <c r="C622" s="2" t="s">
        <v>652</v>
      </c>
      <c r="D622" s="2">
        <v>0.05</v>
      </c>
      <c r="E622" s="3" t="e">
        <f>ABS(D622 - LOOKUP(C622, SweepStudyConfig[StudyId], SweepStudyConfig[OriginalAllocFractionA])) &lt; 0.03</f>
        <v>#VALUE!</v>
      </c>
      <c r="F622" s="3" t="e">
        <f>LOOKUP(C622, SweepStudyConfig[StudyId], SweepStudyConfig[NSweepStratumTotal])</f>
        <v>#VALUE!</v>
      </c>
      <c r="G622" s="3" t="e">
        <f>ROUND(F622 * D622)</f>
        <v>#VALUE!</v>
      </c>
      <c r="H622" s="3" t="e">
        <f>F622 - G622</f>
        <v>#VALUE!</v>
      </c>
      <c r="I622" s="3" t="e">
        <f>LOOKUP(C622, SweepStudyConfig[StudyId], SweepStudyConfig[NFixedA])</f>
        <v>#VALUE!</v>
      </c>
      <c r="J622" s="3" t="e">
        <f>LOOKUP(C622, SweepStudyConfig[StudyId], SweepStudyConfig[NFixedB])</f>
        <v>#VALUE!</v>
      </c>
      <c r="K622" s="3" t="e">
        <f>LOOKUP(C622, SweepStudyConfig[StudyId], SweepStudyConfig[SweepRateA])</f>
        <v>#VALUE!</v>
      </c>
      <c r="L622" s="3" t="e">
        <f>LOOKUP(C622, SweepStudyConfig[StudyId], SweepStudyConfig[SweepRateB])</f>
        <v>#VALUE!</v>
      </c>
      <c r="M622" s="3" t="e">
        <f>LOOKUP(C622, SweepStudyConfig[StudyId], SweepStudyConfig[FixedRateA])</f>
        <v>#VALUE!</v>
      </c>
      <c r="N622" s="3" t="e">
        <f>LOOKUP(C622, SweepStudyConfig[StudyId], SweepStudyConfig[FixedRateB])</f>
        <v>#VALUE!</v>
      </c>
      <c r="O622" s="3" t="e">
        <f>IF(G622 + I622 = 0, "", (G622 * K622 + I622 * M622) / (G622 + I622))</f>
        <v>#VALUE!</v>
      </c>
      <c r="P622" s="3" t="e">
        <f>IF(H622 + J622 = 0, "", (H622 * L622 + J622 * N622) / (H622 + J622))</f>
        <v>#VALUE!</v>
      </c>
      <c r="Q622" s="3" t="e">
        <f>IF(O622 = "", "", O622 - P622)</f>
        <v>#VALUE!</v>
      </c>
      <c r="R622" s="3" t="e">
        <f>LOOKUP(C622, SweepStudyConfig[StudyId], SweepStudyConfig[SweepCorrectedGap])</f>
        <v>#VALUE!</v>
      </c>
      <c r="S622" s="3" t="e">
        <f>IF(Q622 = "", "", Q622 - R622)</f>
        <v>#VALUE!</v>
      </c>
    </row>
    <row r="623">
      <c r="A623" s="2" t="s">
        <v>3911</v>
      </c>
      <c r="B623" s="3" t="str">
        <f>A623</f>
        <v>noncollapsibility-or-synthetic-f015</v>
      </c>
      <c r="C623" s="2" t="s">
        <v>652</v>
      </c>
      <c r="D623" s="2">
        <v>0.15</v>
      </c>
      <c r="E623" s="3" t="e">
        <f>ABS(D623 - LOOKUP(C623, SweepStudyConfig[StudyId], SweepStudyConfig[OriginalAllocFractionA])) &lt; 0.03</f>
        <v>#VALUE!</v>
      </c>
      <c r="F623" s="3" t="e">
        <f>LOOKUP(C623, SweepStudyConfig[StudyId], SweepStudyConfig[NSweepStratumTotal])</f>
        <v>#VALUE!</v>
      </c>
      <c r="G623" s="3" t="e">
        <f>ROUND(F623 * D623)</f>
        <v>#VALUE!</v>
      </c>
      <c r="H623" s="3" t="e">
        <f>F623 - G623</f>
        <v>#VALUE!</v>
      </c>
      <c r="I623" s="3" t="e">
        <f>LOOKUP(C623, SweepStudyConfig[StudyId], SweepStudyConfig[NFixedA])</f>
        <v>#VALUE!</v>
      </c>
      <c r="J623" s="3" t="e">
        <f>LOOKUP(C623, SweepStudyConfig[StudyId], SweepStudyConfig[NFixedB])</f>
        <v>#VALUE!</v>
      </c>
      <c r="K623" s="3" t="e">
        <f>LOOKUP(C623, SweepStudyConfig[StudyId], SweepStudyConfig[SweepRateA])</f>
        <v>#VALUE!</v>
      </c>
      <c r="L623" s="3" t="e">
        <f>LOOKUP(C623, SweepStudyConfig[StudyId], SweepStudyConfig[SweepRateB])</f>
        <v>#VALUE!</v>
      </c>
      <c r="M623" s="3" t="e">
        <f>LOOKUP(C623, SweepStudyConfig[StudyId], SweepStudyConfig[FixedRateA])</f>
        <v>#VALUE!</v>
      </c>
      <c r="N623" s="3" t="e">
        <f>LOOKUP(C623, SweepStudyConfig[StudyId], SweepStudyConfig[FixedRateB])</f>
        <v>#VALUE!</v>
      </c>
      <c r="O623" s="3" t="e">
        <f>IF(G623 + I623 = 0, "", (G623 * K623 + I623 * M623) / (G623 + I623))</f>
        <v>#VALUE!</v>
      </c>
      <c r="P623" s="3" t="e">
        <f>IF(H623 + J623 = 0, "", (H623 * L623 + J623 * N623) / (H623 + J623))</f>
        <v>#VALUE!</v>
      </c>
      <c r="Q623" s="3" t="e">
        <f>IF(O623 = "", "", O623 - P623)</f>
        <v>#VALUE!</v>
      </c>
      <c r="R623" s="3" t="e">
        <f>LOOKUP(C623, SweepStudyConfig[StudyId], SweepStudyConfig[SweepCorrectedGap])</f>
        <v>#VALUE!</v>
      </c>
      <c r="S623" s="3" t="e">
        <f>IF(Q623 = "", "", Q623 - R623)</f>
        <v>#VALUE!</v>
      </c>
    </row>
    <row r="624">
      <c r="A624" s="2" t="s">
        <v>3912</v>
      </c>
      <c r="B624" s="3" t="str">
        <f>A624</f>
        <v>noncollapsibility-or-synthetic-f025</v>
      </c>
      <c r="C624" s="2" t="s">
        <v>652</v>
      </c>
      <c r="D624" s="2">
        <v>0.25</v>
      </c>
      <c r="E624" s="3" t="e">
        <f>ABS(D624 - LOOKUP(C624, SweepStudyConfig[StudyId], SweepStudyConfig[OriginalAllocFractionA])) &lt; 0.03</f>
        <v>#VALUE!</v>
      </c>
      <c r="F624" s="3" t="e">
        <f>LOOKUP(C624, SweepStudyConfig[StudyId], SweepStudyConfig[NSweepStratumTotal])</f>
        <v>#VALUE!</v>
      </c>
      <c r="G624" s="3" t="e">
        <f>ROUND(F624 * D624)</f>
        <v>#VALUE!</v>
      </c>
      <c r="H624" s="3" t="e">
        <f>F624 - G624</f>
        <v>#VALUE!</v>
      </c>
      <c r="I624" s="3" t="e">
        <f>LOOKUP(C624, SweepStudyConfig[StudyId], SweepStudyConfig[NFixedA])</f>
        <v>#VALUE!</v>
      </c>
      <c r="J624" s="3" t="e">
        <f>LOOKUP(C624, SweepStudyConfig[StudyId], SweepStudyConfig[NFixedB])</f>
        <v>#VALUE!</v>
      </c>
      <c r="K624" s="3" t="e">
        <f>LOOKUP(C624, SweepStudyConfig[StudyId], SweepStudyConfig[SweepRateA])</f>
        <v>#VALUE!</v>
      </c>
      <c r="L624" s="3" t="e">
        <f>LOOKUP(C624, SweepStudyConfig[StudyId], SweepStudyConfig[SweepRateB])</f>
        <v>#VALUE!</v>
      </c>
      <c r="M624" s="3" t="e">
        <f>LOOKUP(C624, SweepStudyConfig[StudyId], SweepStudyConfig[FixedRateA])</f>
        <v>#VALUE!</v>
      </c>
      <c r="N624" s="3" t="e">
        <f>LOOKUP(C624, SweepStudyConfig[StudyId], SweepStudyConfig[FixedRateB])</f>
        <v>#VALUE!</v>
      </c>
      <c r="O624" s="3" t="e">
        <f>IF(G624 + I624 = 0, "", (G624 * K624 + I624 * M624) / (G624 + I624))</f>
        <v>#VALUE!</v>
      </c>
      <c r="P624" s="3" t="e">
        <f>IF(H624 + J624 = 0, "", (H624 * L624 + J624 * N624) / (H624 + J624))</f>
        <v>#VALUE!</v>
      </c>
      <c r="Q624" s="3" t="e">
        <f>IF(O624 = "", "", O624 - P624)</f>
        <v>#VALUE!</v>
      </c>
      <c r="R624" s="3" t="e">
        <f>LOOKUP(C624, SweepStudyConfig[StudyId], SweepStudyConfig[SweepCorrectedGap])</f>
        <v>#VALUE!</v>
      </c>
      <c r="S624" s="3" t="e">
        <f>IF(Q624 = "", "", Q624 - R624)</f>
        <v>#VALUE!</v>
      </c>
    </row>
    <row r="625">
      <c r="A625" s="2" t="s">
        <v>3913</v>
      </c>
      <c r="B625" s="3" t="str">
        <f>A625</f>
        <v>noncollapsibility-or-synthetic-f035</v>
      </c>
      <c r="C625" s="2" t="s">
        <v>652</v>
      </c>
      <c r="D625" s="2">
        <v>0.35</v>
      </c>
      <c r="E625" s="3" t="e">
        <f>ABS(D625 - LOOKUP(C625, SweepStudyConfig[StudyId], SweepStudyConfig[OriginalAllocFractionA])) &lt; 0.03</f>
        <v>#VALUE!</v>
      </c>
      <c r="F625" s="3" t="e">
        <f>LOOKUP(C625, SweepStudyConfig[StudyId], SweepStudyConfig[NSweepStratumTotal])</f>
        <v>#VALUE!</v>
      </c>
      <c r="G625" s="3" t="e">
        <f>ROUND(F625 * D625)</f>
        <v>#VALUE!</v>
      </c>
      <c r="H625" s="3" t="e">
        <f>F625 - G625</f>
        <v>#VALUE!</v>
      </c>
      <c r="I625" s="3" t="e">
        <f>LOOKUP(C625, SweepStudyConfig[StudyId], SweepStudyConfig[NFixedA])</f>
        <v>#VALUE!</v>
      </c>
      <c r="J625" s="3" t="e">
        <f>LOOKUP(C625, SweepStudyConfig[StudyId], SweepStudyConfig[NFixedB])</f>
        <v>#VALUE!</v>
      </c>
      <c r="K625" s="3" t="e">
        <f>LOOKUP(C625, SweepStudyConfig[StudyId], SweepStudyConfig[SweepRateA])</f>
        <v>#VALUE!</v>
      </c>
      <c r="L625" s="3" t="e">
        <f>LOOKUP(C625, SweepStudyConfig[StudyId], SweepStudyConfig[SweepRateB])</f>
        <v>#VALUE!</v>
      </c>
      <c r="M625" s="3" t="e">
        <f>LOOKUP(C625, SweepStudyConfig[StudyId], SweepStudyConfig[FixedRateA])</f>
        <v>#VALUE!</v>
      </c>
      <c r="N625" s="3" t="e">
        <f>LOOKUP(C625, SweepStudyConfig[StudyId], SweepStudyConfig[FixedRateB])</f>
        <v>#VALUE!</v>
      </c>
      <c r="O625" s="3" t="e">
        <f>IF(G625 + I625 = 0, "", (G625 * K625 + I625 * M625) / (G625 + I625))</f>
        <v>#VALUE!</v>
      </c>
      <c r="P625" s="3" t="e">
        <f>IF(H625 + J625 = 0, "", (H625 * L625 + J625 * N625) / (H625 + J625))</f>
        <v>#VALUE!</v>
      </c>
      <c r="Q625" s="3" t="e">
        <f>IF(O625 = "", "", O625 - P625)</f>
        <v>#VALUE!</v>
      </c>
      <c r="R625" s="3" t="e">
        <f>LOOKUP(C625, SweepStudyConfig[StudyId], SweepStudyConfig[SweepCorrectedGap])</f>
        <v>#VALUE!</v>
      </c>
      <c r="S625" s="3" t="e">
        <f>IF(Q625 = "", "", Q625 - R625)</f>
        <v>#VALUE!</v>
      </c>
    </row>
    <row r="626">
      <c r="A626" s="2" t="s">
        <v>3914</v>
      </c>
      <c r="B626" s="3" t="str">
        <f>A626</f>
        <v>noncollapsibility-or-synthetic-f045</v>
      </c>
      <c r="C626" s="2" t="s">
        <v>652</v>
      </c>
      <c r="D626" s="2">
        <v>0.45</v>
      </c>
      <c r="E626" s="3" t="e">
        <f>ABS(D626 - LOOKUP(C626, SweepStudyConfig[StudyId], SweepStudyConfig[OriginalAllocFractionA])) &lt; 0.03</f>
        <v>#VALUE!</v>
      </c>
      <c r="F626" s="3" t="e">
        <f>LOOKUP(C626, SweepStudyConfig[StudyId], SweepStudyConfig[NSweepStratumTotal])</f>
        <v>#VALUE!</v>
      </c>
      <c r="G626" s="3" t="e">
        <f>ROUND(F626 * D626)</f>
        <v>#VALUE!</v>
      </c>
      <c r="H626" s="3" t="e">
        <f>F626 - G626</f>
        <v>#VALUE!</v>
      </c>
      <c r="I626" s="3" t="e">
        <f>LOOKUP(C626, SweepStudyConfig[StudyId], SweepStudyConfig[NFixedA])</f>
        <v>#VALUE!</v>
      </c>
      <c r="J626" s="3" t="e">
        <f>LOOKUP(C626, SweepStudyConfig[StudyId], SweepStudyConfig[NFixedB])</f>
        <v>#VALUE!</v>
      </c>
      <c r="K626" s="3" t="e">
        <f>LOOKUP(C626, SweepStudyConfig[StudyId], SweepStudyConfig[SweepRateA])</f>
        <v>#VALUE!</v>
      </c>
      <c r="L626" s="3" t="e">
        <f>LOOKUP(C626, SweepStudyConfig[StudyId], SweepStudyConfig[SweepRateB])</f>
        <v>#VALUE!</v>
      </c>
      <c r="M626" s="3" t="e">
        <f>LOOKUP(C626, SweepStudyConfig[StudyId], SweepStudyConfig[FixedRateA])</f>
        <v>#VALUE!</v>
      </c>
      <c r="N626" s="3" t="e">
        <f>LOOKUP(C626, SweepStudyConfig[StudyId], SweepStudyConfig[FixedRateB])</f>
        <v>#VALUE!</v>
      </c>
      <c r="O626" s="3" t="e">
        <f>IF(G626 + I626 = 0, "", (G626 * K626 + I626 * M626) / (G626 + I626))</f>
        <v>#VALUE!</v>
      </c>
      <c r="P626" s="3" t="e">
        <f>IF(H626 + J626 = 0, "", (H626 * L626 + J626 * N626) / (H626 + J626))</f>
        <v>#VALUE!</v>
      </c>
      <c r="Q626" s="3" t="e">
        <f>IF(O626 = "", "", O626 - P626)</f>
        <v>#VALUE!</v>
      </c>
      <c r="R626" s="3" t="e">
        <f>LOOKUP(C626, SweepStudyConfig[StudyId], SweepStudyConfig[SweepCorrectedGap])</f>
        <v>#VALUE!</v>
      </c>
      <c r="S626" s="3" t="e">
        <f>IF(Q626 = "", "", Q626 - R626)</f>
        <v>#VALUE!</v>
      </c>
    </row>
    <row r="627">
      <c r="A627" s="2" t="s">
        <v>3915</v>
      </c>
      <c r="B627" s="3" t="str">
        <f>A627</f>
        <v>noncollapsibility-or-synthetic-f055</v>
      </c>
      <c r="C627" s="2" t="s">
        <v>652</v>
      </c>
      <c r="D627" s="2">
        <v>0.55</v>
      </c>
      <c r="E627" s="3" t="e">
        <f>ABS(D627 - LOOKUP(C627, SweepStudyConfig[StudyId], SweepStudyConfig[OriginalAllocFractionA])) &lt; 0.03</f>
        <v>#VALUE!</v>
      </c>
      <c r="F627" s="3" t="e">
        <f>LOOKUP(C627, SweepStudyConfig[StudyId], SweepStudyConfig[NSweepStratumTotal])</f>
        <v>#VALUE!</v>
      </c>
      <c r="G627" s="3" t="e">
        <f>ROUND(F627 * D627)</f>
        <v>#VALUE!</v>
      </c>
      <c r="H627" s="3" t="e">
        <f>F627 - G627</f>
        <v>#VALUE!</v>
      </c>
      <c r="I627" s="3" t="e">
        <f>LOOKUP(C627, SweepStudyConfig[StudyId], SweepStudyConfig[NFixedA])</f>
        <v>#VALUE!</v>
      </c>
      <c r="J627" s="3" t="e">
        <f>LOOKUP(C627, SweepStudyConfig[StudyId], SweepStudyConfig[NFixedB])</f>
        <v>#VALUE!</v>
      </c>
      <c r="K627" s="3" t="e">
        <f>LOOKUP(C627, SweepStudyConfig[StudyId], SweepStudyConfig[SweepRateA])</f>
        <v>#VALUE!</v>
      </c>
      <c r="L627" s="3" t="e">
        <f>LOOKUP(C627, SweepStudyConfig[StudyId], SweepStudyConfig[SweepRateB])</f>
        <v>#VALUE!</v>
      </c>
      <c r="M627" s="3" t="e">
        <f>LOOKUP(C627, SweepStudyConfig[StudyId], SweepStudyConfig[FixedRateA])</f>
        <v>#VALUE!</v>
      </c>
      <c r="N627" s="3" t="e">
        <f>LOOKUP(C627, SweepStudyConfig[StudyId], SweepStudyConfig[FixedRateB])</f>
        <v>#VALUE!</v>
      </c>
      <c r="O627" s="3" t="e">
        <f>IF(G627 + I627 = 0, "", (G627 * K627 + I627 * M627) / (G627 + I627))</f>
        <v>#VALUE!</v>
      </c>
      <c r="P627" s="3" t="e">
        <f>IF(H627 + J627 = 0, "", (H627 * L627 + J627 * N627) / (H627 + J627))</f>
        <v>#VALUE!</v>
      </c>
      <c r="Q627" s="3" t="e">
        <f>IF(O627 = "", "", O627 - P627)</f>
        <v>#VALUE!</v>
      </c>
      <c r="R627" s="3" t="e">
        <f>LOOKUP(C627, SweepStudyConfig[StudyId], SweepStudyConfig[SweepCorrectedGap])</f>
        <v>#VALUE!</v>
      </c>
      <c r="S627" s="3" t="e">
        <f>IF(Q627 = "", "", Q627 - R627)</f>
        <v>#VALUE!</v>
      </c>
    </row>
    <row r="628">
      <c r="A628" s="2" t="s">
        <v>3916</v>
      </c>
      <c r="B628" s="3" t="str">
        <f>A628</f>
        <v>noncollapsibility-or-synthetic-f065</v>
      </c>
      <c r="C628" s="2" t="s">
        <v>652</v>
      </c>
      <c r="D628" s="2">
        <v>0.65</v>
      </c>
      <c r="E628" s="3" t="e">
        <f>ABS(D628 - LOOKUP(C628, SweepStudyConfig[StudyId], SweepStudyConfig[OriginalAllocFractionA])) &lt; 0.03</f>
        <v>#VALUE!</v>
      </c>
      <c r="F628" s="3" t="e">
        <f>LOOKUP(C628, SweepStudyConfig[StudyId], SweepStudyConfig[NSweepStratumTotal])</f>
        <v>#VALUE!</v>
      </c>
      <c r="G628" s="3" t="e">
        <f>ROUND(F628 * D628)</f>
        <v>#VALUE!</v>
      </c>
      <c r="H628" s="3" t="e">
        <f>F628 - G628</f>
        <v>#VALUE!</v>
      </c>
      <c r="I628" s="3" t="e">
        <f>LOOKUP(C628, SweepStudyConfig[StudyId], SweepStudyConfig[NFixedA])</f>
        <v>#VALUE!</v>
      </c>
      <c r="J628" s="3" t="e">
        <f>LOOKUP(C628, SweepStudyConfig[StudyId], SweepStudyConfig[NFixedB])</f>
        <v>#VALUE!</v>
      </c>
      <c r="K628" s="3" t="e">
        <f>LOOKUP(C628, SweepStudyConfig[StudyId], SweepStudyConfig[SweepRateA])</f>
        <v>#VALUE!</v>
      </c>
      <c r="L628" s="3" t="e">
        <f>LOOKUP(C628, SweepStudyConfig[StudyId], SweepStudyConfig[SweepRateB])</f>
        <v>#VALUE!</v>
      </c>
      <c r="M628" s="3" t="e">
        <f>LOOKUP(C628, SweepStudyConfig[StudyId], SweepStudyConfig[FixedRateA])</f>
        <v>#VALUE!</v>
      </c>
      <c r="N628" s="3" t="e">
        <f>LOOKUP(C628, SweepStudyConfig[StudyId], SweepStudyConfig[FixedRateB])</f>
        <v>#VALUE!</v>
      </c>
      <c r="O628" s="3" t="e">
        <f>IF(G628 + I628 = 0, "", (G628 * K628 + I628 * M628) / (G628 + I628))</f>
        <v>#VALUE!</v>
      </c>
      <c r="P628" s="3" t="e">
        <f>IF(H628 + J628 = 0, "", (H628 * L628 + J628 * N628) / (H628 + J628))</f>
        <v>#VALUE!</v>
      </c>
      <c r="Q628" s="3" t="e">
        <f>IF(O628 = "", "", O628 - P628)</f>
        <v>#VALUE!</v>
      </c>
      <c r="R628" s="3" t="e">
        <f>LOOKUP(C628, SweepStudyConfig[StudyId], SweepStudyConfig[SweepCorrectedGap])</f>
        <v>#VALUE!</v>
      </c>
      <c r="S628" s="3" t="e">
        <f>IF(Q628 = "", "", Q628 - R628)</f>
        <v>#VALUE!</v>
      </c>
    </row>
    <row r="629">
      <c r="A629" s="2" t="s">
        <v>3917</v>
      </c>
      <c r="B629" s="3" t="str">
        <f>A629</f>
        <v>noncollapsibility-or-synthetic-f075</v>
      </c>
      <c r="C629" s="2" t="s">
        <v>652</v>
      </c>
      <c r="D629" s="2">
        <v>0.75</v>
      </c>
      <c r="E629" s="3" t="e">
        <f>ABS(D629 - LOOKUP(C629, SweepStudyConfig[StudyId], SweepStudyConfig[OriginalAllocFractionA])) &lt; 0.03</f>
        <v>#VALUE!</v>
      </c>
      <c r="F629" s="3" t="e">
        <f>LOOKUP(C629, SweepStudyConfig[StudyId], SweepStudyConfig[NSweepStratumTotal])</f>
        <v>#VALUE!</v>
      </c>
      <c r="G629" s="3" t="e">
        <f>ROUND(F629 * D629)</f>
        <v>#VALUE!</v>
      </c>
      <c r="H629" s="3" t="e">
        <f>F629 - G629</f>
        <v>#VALUE!</v>
      </c>
      <c r="I629" s="3" t="e">
        <f>LOOKUP(C629, SweepStudyConfig[StudyId], SweepStudyConfig[NFixedA])</f>
        <v>#VALUE!</v>
      </c>
      <c r="J629" s="3" t="e">
        <f>LOOKUP(C629, SweepStudyConfig[StudyId], SweepStudyConfig[NFixedB])</f>
        <v>#VALUE!</v>
      </c>
      <c r="K629" s="3" t="e">
        <f>LOOKUP(C629, SweepStudyConfig[StudyId], SweepStudyConfig[SweepRateA])</f>
        <v>#VALUE!</v>
      </c>
      <c r="L629" s="3" t="e">
        <f>LOOKUP(C629, SweepStudyConfig[StudyId], SweepStudyConfig[SweepRateB])</f>
        <v>#VALUE!</v>
      </c>
      <c r="M629" s="3" t="e">
        <f>LOOKUP(C629, SweepStudyConfig[StudyId], SweepStudyConfig[FixedRateA])</f>
        <v>#VALUE!</v>
      </c>
      <c r="N629" s="3" t="e">
        <f>LOOKUP(C629, SweepStudyConfig[StudyId], SweepStudyConfig[FixedRateB])</f>
        <v>#VALUE!</v>
      </c>
      <c r="O629" s="3" t="e">
        <f>IF(G629 + I629 = 0, "", (G629 * K629 + I629 * M629) / (G629 + I629))</f>
        <v>#VALUE!</v>
      </c>
      <c r="P629" s="3" t="e">
        <f>IF(H629 + J629 = 0, "", (H629 * L629 + J629 * N629) / (H629 + J629))</f>
        <v>#VALUE!</v>
      </c>
      <c r="Q629" s="3" t="e">
        <f>IF(O629 = "", "", O629 - P629)</f>
        <v>#VALUE!</v>
      </c>
      <c r="R629" s="3" t="e">
        <f>LOOKUP(C629, SweepStudyConfig[StudyId], SweepStudyConfig[SweepCorrectedGap])</f>
        <v>#VALUE!</v>
      </c>
      <c r="S629" s="3" t="e">
        <f>IF(Q629 = "", "", Q629 - R629)</f>
        <v>#VALUE!</v>
      </c>
    </row>
    <row r="630">
      <c r="A630" s="2" t="s">
        <v>3918</v>
      </c>
      <c r="B630" s="3" t="str">
        <f>A630</f>
        <v>noncollapsibility-or-synthetic-f085</v>
      </c>
      <c r="C630" s="2" t="s">
        <v>652</v>
      </c>
      <c r="D630" s="2">
        <v>0.85</v>
      </c>
      <c r="E630" s="3" t="e">
        <f>ABS(D630 - LOOKUP(C630, SweepStudyConfig[StudyId], SweepStudyConfig[OriginalAllocFractionA])) &lt; 0.03</f>
        <v>#VALUE!</v>
      </c>
      <c r="F630" s="3" t="e">
        <f>LOOKUP(C630, SweepStudyConfig[StudyId], SweepStudyConfig[NSweepStratumTotal])</f>
        <v>#VALUE!</v>
      </c>
      <c r="G630" s="3" t="e">
        <f>ROUND(F630 * D630)</f>
        <v>#VALUE!</v>
      </c>
      <c r="H630" s="3" t="e">
        <f>F630 - G630</f>
        <v>#VALUE!</v>
      </c>
      <c r="I630" s="3" t="e">
        <f>LOOKUP(C630, SweepStudyConfig[StudyId], SweepStudyConfig[NFixedA])</f>
        <v>#VALUE!</v>
      </c>
      <c r="J630" s="3" t="e">
        <f>LOOKUP(C630, SweepStudyConfig[StudyId], SweepStudyConfig[NFixedB])</f>
        <v>#VALUE!</v>
      </c>
      <c r="K630" s="3" t="e">
        <f>LOOKUP(C630, SweepStudyConfig[StudyId], SweepStudyConfig[SweepRateA])</f>
        <v>#VALUE!</v>
      </c>
      <c r="L630" s="3" t="e">
        <f>LOOKUP(C630, SweepStudyConfig[StudyId], SweepStudyConfig[SweepRateB])</f>
        <v>#VALUE!</v>
      </c>
      <c r="M630" s="3" t="e">
        <f>LOOKUP(C630, SweepStudyConfig[StudyId], SweepStudyConfig[FixedRateA])</f>
        <v>#VALUE!</v>
      </c>
      <c r="N630" s="3" t="e">
        <f>LOOKUP(C630, SweepStudyConfig[StudyId], SweepStudyConfig[FixedRateB])</f>
        <v>#VALUE!</v>
      </c>
      <c r="O630" s="3" t="e">
        <f>IF(G630 + I630 = 0, "", (G630 * K630 + I630 * M630) / (G630 + I630))</f>
        <v>#VALUE!</v>
      </c>
      <c r="P630" s="3" t="e">
        <f>IF(H630 + J630 = 0, "", (H630 * L630 + J630 * N630) / (H630 + J630))</f>
        <v>#VALUE!</v>
      </c>
      <c r="Q630" s="3" t="e">
        <f>IF(O630 = "", "", O630 - P630)</f>
        <v>#VALUE!</v>
      </c>
      <c r="R630" s="3" t="e">
        <f>LOOKUP(C630, SweepStudyConfig[StudyId], SweepStudyConfig[SweepCorrectedGap])</f>
        <v>#VALUE!</v>
      </c>
      <c r="S630" s="3" t="e">
        <f>IF(Q630 = "", "", Q630 - R630)</f>
        <v>#VALUE!</v>
      </c>
    </row>
    <row r="631">
      <c r="A631" s="2" t="s">
        <v>3919</v>
      </c>
      <c r="B631" s="3" t="str">
        <f>A631</f>
        <v>noncollapsibility-or-synthetic-f095</v>
      </c>
      <c r="C631" s="2" t="s">
        <v>652</v>
      </c>
      <c r="D631" s="2">
        <v>0.95</v>
      </c>
      <c r="E631" s="3" t="e">
        <f>ABS(D631 - LOOKUP(C631, SweepStudyConfig[StudyId], SweepStudyConfig[OriginalAllocFractionA])) &lt; 0.03</f>
        <v>#VALUE!</v>
      </c>
      <c r="F631" s="3" t="e">
        <f>LOOKUP(C631, SweepStudyConfig[StudyId], SweepStudyConfig[NSweepStratumTotal])</f>
        <v>#VALUE!</v>
      </c>
      <c r="G631" s="3" t="e">
        <f>ROUND(F631 * D631)</f>
        <v>#VALUE!</v>
      </c>
      <c r="H631" s="3" t="e">
        <f>F631 - G631</f>
        <v>#VALUE!</v>
      </c>
      <c r="I631" s="3" t="e">
        <f>LOOKUP(C631, SweepStudyConfig[StudyId], SweepStudyConfig[NFixedA])</f>
        <v>#VALUE!</v>
      </c>
      <c r="J631" s="3" t="e">
        <f>LOOKUP(C631, SweepStudyConfig[StudyId], SweepStudyConfig[NFixedB])</f>
        <v>#VALUE!</v>
      </c>
      <c r="K631" s="3" t="e">
        <f>LOOKUP(C631, SweepStudyConfig[StudyId], SweepStudyConfig[SweepRateA])</f>
        <v>#VALUE!</v>
      </c>
      <c r="L631" s="3" t="e">
        <f>LOOKUP(C631, SweepStudyConfig[StudyId], SweepStudyConfig[SweepRateB])</f>
        <v>#VALUE!</v>
      </c>
      <c r="M631" s="3" t="e">
        <f>LOOKUP(C631, SweepStudyConfig[StudyId], SweepStudyConfig[FixedRateA])</f>
        <v>#VALUE!</v>
      </c>
      <c r="N631" s="3" t="e">
        <f>LOOKUP(C631, SweepStudyConfig[StudyId], SweepStudyConfig[FixedRateB])</f>
        <v>#VALUE!</v>
      </c>
      <c r="O631" s="3" t="e">
        <f>IF(G631 + I631 = 0, "", (G631 * K631 + I631 * M631) / (G631 + I631))</f>
        <v>#VALUE!</v>
      </c>
      <c r="P631" s="3" t="e">
        <f>IF(H631 + J631 = 0, "", (H631 * L631 + J631 * N631) / (H631 + J631))</f>
        <v>#VALUE!</v>
      </c>
      <c r="Q631" s="3" t="e">
        <f>IF(O631 = "", "", O631 - P631)</f>
        <v>#VALUE!</v>
      </c>
      <c r="R631" s="3" t="e">
        <f>LOOKUP(C631, SweepStudyConfig[StudyId], SweepStudyConfig[SweepCorrectedGap])</f>
        <v>#VALUE!</v>
      </c>
      <c r="S631" s="3" t="e">
        <f>IF(Q631 = "", "", Q631 - R631)</f>
        <v>#VALUE!</v>
      </c>
    </row>
    <row r="632">
      <c r="A632" s="2" t="s">
        <v>3920</v>
      </c>
      <c r="B632" s="3" t="str">
        <f>A632</f>
        <v>trauma-center-mortality-f005</v>
      </c>
      <c r="C632" s="2" t="s">
        <v>655</v>
      </c>
      <c r="D632" s="2">
        <v>0.05</v>
      </c>
      <c r="E632" s="3" t="e">
        <f>ABS(D632 - LOOKUP(C632, SweepStudyConfig[StudyId], SweepStudyConfig[OriginalAllocFractionA])) &lt; 0.03</f>
        <v>#VALUE!</v>
      </c>
      <c r="F632" s="3" t="e">
        <f>LOOKUP(C632, SweepStudyConfig[StudyId], SweepStudyConfig[NSweepStratumTotal])</f>
        <v>#VALUE!</v>
      </c>
      <c r="G632" s="3" t="e">
        <f>ROUND(F632 * D632)</f>
        <v>#VALUE!</v>
      </c>
      <c r="H632" s="3" t="e">
        <f>F632 - G632</f>
        <v>#VALUE!</v>
      </c>
      <c r="I632" s="3" t="e">
        <f>LOOKUP(C632, SweepStudyConfig[StudyId], SweepStudyConfig[NFixedA])</f>
        <v>#VALUE!</v>
      </c>
      <c r="J632" s="3" t="e">
        <f>LOOKUP(C632, SweepStudyConfig[StudyId], SweepStudyConfig[NFixedB])</f>
        <v>#VALUE!</v>
      </c>
      <c r="K632" s="3" t="e">
        <f>LOOKUP(C632, SweepStudyConfig[StudyId], SweepStudyConfig[SweepRateA])</f>
        <v>#VALUE!</v>
      </c>
      <c r="L632" s="3" t="e">
        <f>LOOKUP(C632, SweepStudyConfig[StudyId], SweepStudyConfig[SweepRateB])</f>
        <v>#VALUE!</v>
      </c>
      <c r="M632" s="3" t="e">
        <f>LOOKUP(C632, SweepStudyConfig[StudyId], SweepStudyConfig[FixedRateA])</f>
        <v>#VALUE!</v>
      </c>
      <c r="N632" s="3" t="e">
        <f>LOOKUP(C632, SweepStudyConfig[StudyId], SweepStudyConfig[FixedRateB])</f>
        <v>#VALUE!</v>
      </c>
      <c r="O632" s="3" t="e">
        <f>IF(G632 + I632 = 0, "", (G632 * K632 + I632 * M632) / (G632 + I632))</f>
        <v>#VALUE!</v>
      </c>
      <c r="P632" s="3" t="e">
        <f>IF(H632 + J632 = 0, "", (H632 * L632 + J632 * N632) / (H632 + J632))</f>
        <v>#VALUE!</v>
      </c>
      <c r="Q632" s="3" t="e">
        <f>IF(O632 = "", "", O632 - P632)</f>
        <v>#VALUE!</v>
      </c>
      <c r="R632" s="3" t="e">
        <f>LOOKUP(C632, SweepStudyConfig[StudyId], SweepStudyConfig[SweepCorrectedGap])</f>
        <v>#VALUE!</v>
      </c>
      <c r="S632" s="3" t="e">
        <f>IF(Q632 = "", "", Q632 - R632)</f>
        <v>#VALUE!</v>
      </c>
    </row>
    <row r="633">
      <c r="A633" s="2" t="s">
        <v>3921</v>
      </c>
      <c r="B633" s="3" t="str">
        <f>A633</f>
        <v>trauma-center-mortality-f015</v>
      </c>
      <c r="C633" s="2" t="s">
        <v>655</v>
      </c>
      <c r="D633" s="2">
        <v>0.15</v>
      </c>
      <c r="E633" s="3" t="e">
        <f>ABS(D633 - LOOKUP(C633, SweepStudyConfig[StudyId], SweepStudyConfig[OriginalAllocFractionA])) &lt; 0.03</f>
        <v>#VALUE!</v>
      </c>
      <c r="F633" s="3" t="e">
        <f>LOOKUP(C633, SweepStudyConfig[StudyId], SweepStudyConfig[NSweepStratumTotal])</f>
        <v>#VALUE!</v>
      </c>
      <c r="G633" s="3" t="e">
        <f>ROUND(F633 * D633)</f>
        <v>#VALUE!</v>
      </c>
      <c r="H633" s="3" t="e">
        <f>F633 - G633</f>
        <v>#VALUE!</v>
      </c>
      <c r="I633" s="3" t="e">
        <f>LOOKUP(C633, SweepStudyConfig[StudyId], SweepStudyConfig[NFixedA])</f>
        <v>#VALUE!</v>
      </c>
      <c r="J633" s="3" t="e">
        <f>LOOKUP(C633, SweepStudyConfig[StudyId], SweepStudyConfig[NFixedB])</f>
        <v>#VALUE!</v>
      </c>
      <c r="K633" s="3" t="e">
        <f>LOOKUP(C633, SweepStudyConfig[StudyId], SweepStudyConfig[SweepRateA])</f>
        <v>#VALUE!</v>
      </c>
      <c r="L633" s="3" t="e">
        <f>LOOKUP(C633, SweepStudyConfig[StudyId], SweepStudyConfig[SweepRateB])</f>
        <v>#VALUE!</v>
      </c>
      <c r="M633" s="3" t="e">
        <f>LOOKUP(C633, SweepStudyConfig[StudyId], SweepStudyConfig[FixedRateA])</f>
        <v>#VALUE!</v>
      </c>
      <c r="N633" s="3" t="e">
        <f>LOOKUP(C633, SweepStudyConfig[StudyId], SweepStudyConfig[FixedRateB])</f>
        <v>#VALUE!</v>
      </c>
      <c r="O633" s="3" t="e">
        <f>IF(G633 + I633 = 0, "", (G633 * K633 + I633 * M633) / (G633 + I633))</f>
        <v>#VALUE!</v>
      </c>
      <c r="P633" s="3" t="e">
        <f>IF(H633 + J633 = 0, "", (H633 * L633 + J633 * N633) / (H633 + J633))</f>
        <v>#VALUE!</v>
      </c>
      <c r="Q633" s="3" t="e">
        <f>IF(O633 = "", "", O633 - P633)</f>
        <v>#VALUE!</v>
      </c>
      <c r="R633" s="3" t="e">
        <f>LOOKUP(C633, SweepStudyConfig[StudyId], SweepStudyConfig[SweepCorrectedGap])</f>
        <v>#VALUE!</v>
      </c>
      <c r="S633" s="3" t="e">
        <f>IF(Q633 = "", "", Q633 - R633)</f>
        <v>#VALUE!</v>
      </c>
    </row>
    <row r="634">
      <c r="A634" s="2" t="s">
        <v>3922</v>
      </c>
      <c r="B634" s="3" t="str">
        <f>A634</f>
        <v>trauma-center-mortality-f025</v>
      </c>
      <c r="C634" s="2" t="s">
        <v>655</v>
      </c>
      <c r="D634" s="2">
        <v>0.25</v>
      </c>
      <c r="E634" s="3" t="e">
        <f>ABS(D634 - LOOKUP(C634, SweepStudyConfig[StudyId], SweepStudyConfig[OriginalAllocFractionA])) &lt; 0.03</f>
        <v>#VALUE!</v>
      </c>
      <c r="F634" s="3" t="e">
        <f>LOOKUP(C634, SweepStudyConfig[StudyId], SweepStudyConfig[NSweepStratumTotal])</f>
        <v>#VALUE!</v>
      </c>
      <c r="G634" s="3" t="e">
        <f>ROUND(F634 * D634)</f>
        <v>#VALUE!</v>
      </c>
      <c r="H634" s="3" t="e">
        <f>F634 - G634</f>
        <v>#VALUE!</v>
      </c>
      <c r="I634" s="3" t="e">
        <f>LOOKUP(C634, SweepStudyConfig[StudyId], SweepStudyConfig[NFixedA])</f>
        <v>#VALUE!</v>
      </c>
      <c r="J634" s="3" t="e">
        <f>LOOKUP(C634, SweepStudyConfig[StudyId], SweepStudyConfig[NFixedB])</f>
        <v>#VALUE!</v>
      </c>
      <c r="K634" s="3" t="e">
        <f>LOOKUP(C634, SweepStudyConfig[StudyId], SweepStudyConfig[SweepRateA])</f>
        <v>#VALUE!</v>
      </c>
      <c r="L634" s="3" t="e">
        <f>LOOKUP(C634, SweepStudyConfig[StudyId], SweepStudyConfig[SweepRateB])</f>
        <v>#VALUE!</v>
      </c>
      <c r="M634" s="3" t="e">
        <f>LOOKUP(C634, SweepStudyConfig[StudyId], SweepStudyConfig[FixedRateA])</f>
        <v>#VALUE!</v>
      </c>
      <c r="N634" s="3" t="e">
        <f>LOOKUP(C634, SweepStudyConfig[StudyId], SweepStudyConfig[FixedRateB])</f>
        <v>#VALUE!</v>
      </c>
      <c r="O634" s="3" t="e">
        <f>IF(G634 + I634 = 0, "", (G634 * K634 + I634 * M634) / (G634 + I634))</f>
        <v>#VALUE!</v>
      </c>
      <c r="P634" s="3" t="e">
        <f>IF(H634 + J634 = 0, "", (H634 * L634 + J634 * N634) / (H634 + J634))</f>
        <v>#VALUE!</v>
      </c>
      <c r="Q634" s="3" t="e">
        <f>IF(O634 = "", "", O634 - P634)</f>
        <v>#VALUE!</v>
      </c>
      <c r="R634" s="3" t="e">
        <f>LOOKUP(C634, SweepStudyConfig[StudyId], SweepStudyConfig[SweepCorrectedGap])</f>
        <v>#VALUE!</v>
      </c>
      <c r="S634" s="3" t="e">
        <f>IF(Q634 = "", "", Q634 - R634)</f>
        <v>#VALUE!</v>
      </c>
    </row>
    <row r="635">
      <c r="A635" s="2" t="s">
        <v>3923</v>
      </c>
      <c r="B635" s="3" t="str">
        <f>A635</f>
        <v>trauma-center-mortality-f035</v>
      </c>
      <c r="C635" s="2" t="s">
        <v>655</v>
      </c>
      <c r="D635" s="2">
        <v>0.35</v>
      </c>
      <c r="E635" s="3" t="e">
        <f>ABS(D635 - LOOKUP(C635, SweepStudyConfig[StudyId], SweepStudyConfig[OriginalAllocFractionA])) &lt; 0.03</f>
        <v>#VALUE!</v>
      </c>
      <c r="F635" s="3" t="e">
        <f>LOOKUP(C635, SweepStudyConfig[StudyId], SweepStudyConfig[NSweepStratumTotal])</f>
        <v>#VALUE!</v>
      </c>
      <c r="G635" s="3" t="e">
        <f>ROUND(F635 * D635)</f>
        <v>#VALUE!</v>
      </c>
      <c r="H635" s="3" t="e">
        <f>F635 - G635</f>
        <v>#VALUE!</v>
      </c>
      <c r="I635" s="3" t="e">
        <f>LOOKUP(C635, SweepStudyConfig[StudyId], SweepStudyConfig[NFixedA])</f>
        <v>#VALUE!</v>
      </c>
      <c r="J635" s="3" t="e">
        <f>LOOKUP(C635, SweepStudyConfig[StudyId], SweepStudyConfig[NFixedB])</f>
        <v>#VALUE!</v>
      </c>
      <c r="K635" s="3" t="e">
        <f>LOOKUP(C635, SweepStudyConfig[StudyId], SweepStudyConfig[SweepRateA])</f>
        <v>#VALUE!</v>
      </c>
      <c r="L635" s="3" t="e">
        <f>LOOKUP(C635, SweepStudyConfig[StudyId], SweepStudyConfig[SweepRateB])</f>
        <v>#VALUE!</v>
      </c>
      <c r="M635" s="3" t="e">
        <f>LOOKUP(C635, SweepStudyConfig[StudyId], SweepStudyConfig[FixedRateA])</f>
        <v>#VALUE!</v>
      </c>
      <c r="N635" s="3" t="e">
        <f>LOOKUP(C635, SweepStudyConfig[StudyId], SweepStudyConfig[FixedRateB])</f>
        <v>#VALUE!</v>
      </c>
      <c r="O635" s="3" t="e">
        <f>IF(G635 + I635 = 0, "", (G635 * K635 + I635 * M635) / (G635 + I635))</f>
        <v>#VALUE!</v>
      </c>
      <c r="P635" s="3" t="e">
        <f>IF(H635 + J635 = 0, "", (H635 * L635 + J635 * N635) / (H635 + J635))</f>
        <v>#VALUE!</v>
      </c>
      <c r="Q635" s="3" t="e">
        <f>IF(O635 = "", "", O635 - P635)</f>
        <v>#VALUE!</v>
      </c>
      <c r="R635" s="3" t="e">
        <f>LOOKUP(C635, SweepStudyConfig[StudyId], SweepStudyConfig[SweepCorrectedGap])</f>
        <v>#VALUE!</v>
      </c>
      <c r="S635" s="3" t="e">
        <f>IF(Q635 = "", "", Q635 - R635)</f>
        <v>#VALUE!</v>
      </c>
    </row>
    <row r="636">
      <c r="A636" s="2" t="s">
        <v>3924</v>
      </c>
      <c r="B636" s="3" t="str">
        <f>A636</f>
        <v>trauma-center-mortality-f045</v>
      </c>
      <c r="C636" s="2" t="s">
        <v>655</v>
      </c>
      <c r="D636" s="2">
        <v>0.45</v>
      </c>
      <c r="E636" s="3" t="e">
        <f>ABS(D636 - LOOKUP(C636, SweepStudyConfig[StudyId], SweepStudyConfig[OriginalAllocFractionA])) &lt; 0.03</f>
        <v>#VALUE!</v>
      </c>
      <c r="F636" s="3" t="e">
        <f>LOOKUP(C636, SweepStudyConfig[StudyId], SweepStudyConfig[NSweepStratumTotal])</f>
        <v>#VALUE!</v>
      </c>
      <c r="G636" s="3" t="e">
        <f>ROUND(F636 * D636)</f>
        <v>#VALUE!</v>
      </c>
      <c r="H636" s="3" t="e">
        <f>F636 - G636</f>
        <v>#VALUE!</v>
      </c>
      <c r="I636" s="3" t="e">
        <f>LOOKUP(C636, SweepStudyConfig[StudyId], SweepStudyConfig[NFixedA])</f>
        <v>#VALUE!</v>
      </c>
      <c r="J636" s="3" t="e">
        <f>LOOKUP(C636, SweepStudyConfig[StudyId], SweepStudyConfig[NFixedB])</f>
        <v>#VALUE!</v>
      </c>
      <c r="K636" s="3" t="e">
        <f>LOOKUP(C636, SweepStudyConfig[StudyId], SweepStudyConfig[SweepRateA])</f>
        <v>#VALUE!</v>
      </c>
      <c r="L636" s="3" t="e">
        <f>LOOKUP(C636, SweepStudyConfig[StudyId], SweepStudyConfig[SweepRateB])</f>
        <v>#VALUE!</v>
      </c>
      <c r="M636" s="3" t="e">
        <f>LOOKUP(C636, SweepStudyConfig[StudyId], SweepStudyConfig[FixedRateA])</f>
        <v>#VALUE!</v>
      </c>
      <c r="N636" s="3" t="e">
        <f>LOOKUP(C636, SweepStudyConfig[StudyId], SweepStudyConfig[FixedRateB])</f>
        <v>#VALUE!</v>
      </c>
      <c r="O636" s="3" t="e">
        <f>IF(G636 + I636 = 0, "", (G636 * K636 + I636 * M636) / (G636 + I636))</f>
        <v>#VALUE!</v>
      </c>
      <c r="P636" s="3" t="e">
        <f>IF(H636 + J636 = 0, "", (H636 * L636 + J636 * N636) / (H636 + J636))</f>
        <v>#VALUE!</v>
      </c>
      <c r="Q636" s="3" t="e">
        <f>IF(O636 = "", "", O636 - P636)</f>
        <v>#VALUE!</v>
      </c>
      <c r="R636" s="3" t="e">
        <f>LOOKUP(C636, SweepStudyConfig[StudyId], SweepStudyConfig[SweepCorrectedGap])</f>
        <v>#VALUE!</v>
      </c>
      <c r="S636" s="3" t="e">
        <f>IF(Q636 = "", "", Q636 - R636)</f>
        <v>#VALUE!</v>
      </c>
    </row>
    <row r="637">
      <c r="A637" s="2" t="s">
        <v>3925</v>
      </c>
      <c r="B637" s="3" t="str">
        <f>A637</f>
        <v>trauma-center-mortality-f055</v>
      </c>
      <c r="C637" s="2" t="s">
        <v>655</v>
      </c>
      <c r="D637" s="2">
        <v>0.55</v>
      </c>
      <c r="E637" s="3" t="e">
        <f>ABS(D637 - LOOKUP(C637, SweepStudyConfig[StudyId], SweepStudyConfig[OriginalAllocFractionA])) &lt; 0.03</f>
        <v>#VALUE!</v>
      </c>
      <c r="F637" s="3" t="e">
        <f>LOOKUP(C637, SweepStudyConfig[StudyId], SweepStudyConfig[NSweepStratumTotal])</f>
        <v>#VALUE!</v>
      </c>
      <c r="G637" s="3" t="e">
        <f>ROUND(F637 * D637)</f>
        <v>#VALUE!</v>
      </c>
      <c r="H637" s="3" t="e">
        <f>F637 - G637</f>
        <v>#VALUE!</v>
      </c>
      <c r="I637" s="3" t="e">
        <f>LOOKUP(C637, SweepStudyConfig[StudyId], SweepStudyConfig[NFixedA])</f>
        <v>#VALUE!</v>
      </c>
      <c r="J637" s="3" t="e">
        <f>LOOKUP(C637, SweepStudyConfig[StudyId], SweepStudyConfig[NFixedB])</f>
        <v>#VALUE!</v>
      </c>
      <c r="K637" s="3" t="e">
        <f>LOOKUP(C637, SweepStudyConfig[StudyId], SweepStudyConfig[SweepRateA])</f>
        <v>#VALUE!</v>
      </c>
      <c r="L637" s="3" t="e">
        <f>LOOKUP(C637, SweepStudyConfig[StudyId], SweepStudyConfig[SweepRateB])</f>
        <v>#VALUE!</v>
      </c>
      <c r="M637" s="3" t="e">
        <f>LOOKUP(C637, SweepStudyConfig[StudyId], SweepStudyConfig[FixedRateA])</f>
        <v>#VALUE!</v>
      </c>
      <c r="N637" s="3" t="e">
        <f>LOOKUP(C637, SweepStudyConfig[StudyId], SweepStudyConfig[FixedRateB])</f>
        <v>#VALUE!</v>
      </c>
      <c r="O637" s="3" t="e">
        <f>IF(G637 + I637 = 0, "", (G637 * K637 + I637 * M637) / (G637 + I637))</f>
        <v>#VALUE!</v>
      </c>
      <c r="P637" s="3" t="e">
        <f>IF(H637 + J637 = 0, "", (H637 * L637 + J637 * N637) / (H637 + J637))</f>
        <v>#VALUE!</v>
      </c>
      <c r="Q637" s="3" t="e">
        <f>IF(O637 = "", "", O637 - P637)</f>
        <v>#VALUE!</v>
      </c>
      <c r="R637" s="3" t="e">
        <f>LOOKUP(C637, SweepStudyConfig[StudyId], SweepStudyConfig[SweepCorrectedGap])</f>
        <v>#VALUE!</v>
      </c>
      <c r="S637" s="3" t="e">
        <f>IF(Q637 = "", "", Q637 - R637)</f>
        <v>#VALUE!</v>
      </c>
    </row>
    <row r="638">
      <c r="A638" s="2" t="s">
        <v>3926</v>
      </c>
      <c r="B638" s="3" t="str">
        <f>A638</f>
        <v>trauma-center-mortality-f065</v>
      </c>
      <c r="C638" s="2" t="s">
        <v>655</v>
      </c>
      <c r="D638" s="2">
        <v>0.65</v>
      </c>
      <c r="E638" s="3" t="e">
        <f>ABS(D638 - LOOKUP(C638, SweepStudyConfig[StudyId], SweepStudyConfig[OriginalAllocFractionA])) &lt; 0.03</f>
        <v>#VALUE!</v>
      </c>
      <c r="F638" s="3" t="e">
        <f>LOOKUP(C638, SweepStudyConfig[StudyId], SweepStudyConfig[NSweepStratumTotal])</f>
        <v>#VALUE!</v>
      </c>
      <c r="G638" s="3" t="e">
        <f>ROUND(F638 * D638)</f>
        <v>#VALUE!</v>
      </c>
      <c r="H638" s="3" t="e">
        <f>F638 - G638</f>
        <v>#VALUE!</v>
      </c>
      <c r="I638" s="3" t="e">
        <f>LOOKUP(C638, SweepStudyConfig[StudyId], SweepStudyConfig[NFixedA])</f>
        <v>#VALUE!</v>
      </c>
      <c r="J638" s="3" t="e">
        <f>LOOKUP(C638, SweepStudyConfig[StudyId], SweepStudyConfig[NFixedB])</f>
        <v>#VALUE!</v>
      </c>
      <c r="K638" s="3" t="e">
        <f>LOOKUP(C638, SweepStudyConfig[StudyId], SweepStudyConfig[SweepRateA])</f>
        <v>#VALUE!</v>
      </c>
      <c r="L638" s="3" t="e">
        <f>LOOKUP(C638, SweepStudyConfig[StudyId], SweepStudyConfig[SweepRateB])</f>
        <v>#VALUE!</v>
      </c>
      <c r="M638" s="3" t="e">
        <f>LOOKUP(C638, SweepStudyConfig[StudyId], SweepStudyConfig[FixedRateA])</f>
        <v>#VALUE!</v>
      </c>
      <c r="N638" s="3" t="e">
        <f>LOOKUP(C638, SweepStudyConfig[StudyId], SweepStudyConfig[FixedRateB])</f>
        <v>#VALUE!</v>
      </c>
      <c r="O638" s="3" t="e">
        <f>IF(G638 + I638 = 0, "", (G638 * K638 + I638 * M638) / (G638 + I638))</f>
        <v>#VALUE!</v>
      </c>
      <c r="P638" s="3" t="e">
        <f>IF(H638 + J638 = 0, "", (H638 * L638 + J638 * N638) / (H638 + J638))</f>
        <v>#VALUE!</v>
      </c>
      <c r="Q638" s="3" t="e">
        <f>IF(O638 = "", "", O638 - P638)</f>
        <v>#VALUE!</v>
      </c>
      <c r="R638" s="3" t="e">
        <f>LOOKUP(C638, SweepStudyConfig[StudyId], SweepStudyConfig[SweepCorrectedGap])</f>
        <v>#VALUE!</v>
      </c>
      <c r="S638" s="3" t="e">
        <f>IF(Q638 = "", "", Q638 - R638)</f>
        <v>#VALUE!</v>
      </c>
    </row>
    <row r="639">
      <c r="A639" s="2" t="s">
        <v>3927</v>
      </c>
      <c r="B639" s="3" t="str">
        <f>A639</f>
        <v>trauma-center-mortality-f075</v>
      </c>
      <c r="C639" s="2" t="s">
        <v>655</v>
      </c>
      <c r="D639" s="2">
        <v>0.75</v>
      </c>
      <c r="E639" s="3" t="e">
        <f>ABS(D639 - LOOKUP(C639, SweepStudyConfig[StudyId], SweepStudyConfig[OriginalAllocFractionA])) &lt; 0.03</f>
        <v>#VALUE!</v>
      </c>
      <c r="F639" s="3" t="e">
        <f>LOOKUP(C639, SweepStudyConfig[StudyId], SweepStudyConfig[NSweepStratumTotal])</f>
        <v>#VALUE!</v>
      </c>
      <c r="G639" s="3" t="e">
        <f>ROUND(F639 * D639)</f>
        <v>#VALUE!</v>
      </c>
      <c r="H639" s="3" t="e">
        <f>F639 - G639</f>
        <v>#VALUE!</v>
      </c>
      <c r="I639" s="3" t="e">
        <f>LOOKUP(C639, SweepStudyConfig[StudyId], SweepStudyConfig[NFixedA])</f>
        <v>#VALUE!</v>
      </c>
      <c r="J639" s="3" t="e">
        <f>LOOKUP(C639, SweepStudyConfig[StudyId], SweepStudyConfig[NFixedB])</f>
        <v>#VALUE!</v>
      </c>
      <c r="K639" s="3" t="e">
        <f>LOOKUP(C639, SweepStudyConfig[StudyId], SweepStudyConfig[SweepRateA])</f>
        <v>#VALUE!</v>
      </c>
      <c r="L639" s="3" t="e">
        <f>LOOKUP(C639, SweepStudyConfig[StudyId], SweepStudyConfig[SweepRateB])</f>
        <v>#VALUE!</v>
      </c>
      <c r="M639" s="3" t="e">
        <f>LOOKUP(C639, SweepStudyConfig[StudyId], SweepStudyConfig[FixedRateA])</f>
        <v>#VALUE!</v>
      </c>
      <c r="N639" s="3" t="e">
        <f>LOOKUP(C639, SweepStudyConfig[StudyId], SweepStudyConfig[FixedRateB])</f>
        <v>#VALUE!</v>
      </c>
      <c r="O639" s="3" t="e">
        <f>IF(G639 + I639 = 0, "", (G639 * K639 + I639 * M639) / (G639 + I639))</f>
        <v>#VALUE!</v>
      </c>
      <c r="P639" s="3" t="e">
        <f>IF(H639 + J639 = 0, "", (H639 * L639 + J639 * N639) / (H639 + J639))</f>
        <v>#VALUE!</v>
      </c>
      <c r="Q639" s="3" t="e">
        <f>IF(O639 = "", "", O639 - P639)</f>
        <v>#VALUE!</v>
      </c>
      <c r="R639" s="3" t="e">
        <f>LOOKUP(C639, SweepStudyConfig[StudyId], SweepStudyConfig[SweepCorrectedGap])</f>
        <v>#VALUE!</v>
      </c>
      <c r="S639" s="3" t="e">
        <f>IF(Q639 = "", "", Q639 - R639)</f>
        <v>#VALUE!</v>
      </c>
    </row>
    <row r="640">
      <c r="A640" s="2" t="s">
        <v>3928</v>
      </c>
      <c r="B640" s="3" t="str">
        <f>A640</f>
        <v>trauma-center-mortality-f085</v>
      </c>
      <c r="C640" s="2" t="s">
        <v>655</v>
      </c>
      <c r="D640" s="2">
        <v>0.85</v>
      </c>
      <c r="E640" s="3" t="e">
        <f>ABS(D640 - LOOKUP(C640, SweepStudyConfig[StudyId], SweepStudyConfig[OriginalAllocFractionA])) &lt; 0.03</f>
        <v>#VALUE!</v>
      </c>
      <c r="F640" s="3" t="e">
        <f>LOOKUP(C640, SweepStudyConfig[StudyId], SweepStudyConfig[NSweepStratumTotal])</f>
        <v>#VALUE!</v>
      </c>
      <c r="G640" s="3" t="e">
        <f>ROUND(F640 * D640)</f>
        <v>#VALUE!</v>
      </c>
      <c r="H640" s="3" t="e">
        <f>F640 - G640</f>
        <v>#VALUE!</v>
      </c>
      <c r="I640" s="3" t="e">
        <f>LOOKUP(C640, SweepStudyConfig[StudyId], SweepStudyConfig[NFixedA])</f>
        <v>#VALUE!</v>
      </c>
      <c r="J640" s="3" t="e">
        <f>LOOKUP(C640, SweepStudyConfig[StudyId], SweepStudyConfig[NFixedB])</f>
        <v>#VALUE!</v>
      </c>
      <c r="K640" s="3" t="e">
        <f>LOOKUP(C640, SweepStudyConfig[StudyId], SweepStudyConfig[SweepRateA])</f>
        <v>#VALUE!</v>
      </c>
      <c r="L640" s="3" t="e">
        <f>LOOKUP(C640, SweepStudyConfig[StudyId], SweepStudyConfig[SweepRateB])</f>
        <v>#VALUE!</v>
      </c>
      <c r="M640" s="3" t="e">
        <f>LOOKUP(C640, SweepStudyConfig[StudyId], SweepStudyConfig[FixedRateA])</f>
        <v>#VALUE!</v>
      </c>
      <c r="N640" s="3" t="e">
        <f>LOOKUP(C640, SweepStudyConfig[StudyId], SweepStudyConfig[FixedRateB])</f>
        <v>#VALUE!</v>
      </c>
      <c r="O640" s="3" t="e">
        <f>IF(G640 + I640 = 0, "", (G640 * K640 + I640 * M640) / (G640 + I640))</f>
        <v>#VALUE!</v>
      </c>
      <c r="P640" s="3" t="e">
        <f>IF(H640 + J640 = 0, "", (H640 * L640 + J640 * N640) / (H640 + J640))</f>
        <v>#VALUE!</v>
      </c>
      <c r="Q640" s="3" t="e">
        <f>IF(O640 = "", "", O640 - P640)</f>
        <v>#VALUE!</v>
      </c>
      <c r="R640" s="3" t="e">
        <f>LOOKUP(C640, SweepStudyConfig[StudyId], SweepStudyConfig[SweepCorrectedGap])</f>
        <v>#VALUE!</v>
      </c>
      <c r="S640" s="3" t="e">
        <f>IF(Q640 = "", "", Q640 - R640)</f>
        <v>#VALUE!</v>
      </c>
    </row>
    <row r="641">
      <c r="A641" s="2" t="s">
        <v>3929</v>
      </c>
      <c r="B641" s="3" t="str">
        <f>A641</f>
        <v>trauma-center-mortality-f095</v>
      </c>
      <c r="C641" s="2" t="s">
        <v>655</v>
      </c>
      <c r="D641" s="2">
        <v>0.95</v>
      </c>
      <c r="E641" s="3" t="e">
        <f>ABS(D641 - LOOKUP(C641, SweepStudyConfig[StudyId], SweepStudyConfig[OriginalAllocFractionA])) &lt; 0.03</f>
        <v>#VALUE!</v>
      </c>
      <c r="F641" s="3" t="e">
        <f>LOOKUP(C641, SweepStudyConfig[StudyId], SweepStudyConfig[NSweepStratumTotal])</f>
        <v>#VALUE!</v>
      </c>
      <c r="G641" s="3" t="e">
        <f>ROUND(F641 * D641)</f>
        <v>#VALUE!</v>
      </c>
      <c r="H641" s="3" t="e">
        <f>F641 - G641</f>
        <v>#VALUE!</v>
      </c>
      <c r="I641" s="3" t="e">
        <f>LOOKUP(C641, SweepStudyConfig[StudyId], SweepStudyConfig[NFixedA])</f>
        <v>#VALUE!</v>
      </c>
      <c r="J641" s="3" t="e">
        <f>LOOKUP(C641, SweepStudyConfig[StudyId], SweepStudyConfig[NFixedB])</f>
        <v>#VALUE!</v>
      </c>
      <c r="K641" s="3" t="e">
        <f>LOOKUP(C641, SweepStudyConfig[StudyId], SweepStudyConfig[SweepRateA])</f>
        <v>#VALUE!</v>
      </c>
      <c r="L641" s="3" t="e">
        <f>LOOKUP(C641, SweepStudyConfig[StudyId], SweepStudyConfig[SweepRateB])</f>
        <v>#VALUE!</v>
      </c>
      <c r="M641" s="3" t="e">
        <f>LOOKUP(C641, SweepStudyConfig[StudyId], SweepStudyConfig[FixedRateA])</f>
        <v>#VALUE!</v>
      </c>
      <c r="N641" s="3" t="e">
        <f>LOOKUP(C641, SweepStudyConfig[StudyId], SweepStudyConfig[FixedRateB])</f>
        <v>#VALUE!</v>
      </c>
      <c r="O641" s="3" t="e">
        <f>IF(G641 + I641 = 0, "", (G641 * K641 + I641 * M641) / (G641 + I641))</f>
        <v>#VALUE!</v>
      </c>
      <c r="P641" s="3" t="e">
        <f>IF(H641 + J641 = 0, "", (H641 * L641 + J641 * N641) / (H641 + J641))</f>
        <v>#VALUE!</v>
      </c>
      <c r="Q641" s="3" t="e">
        <f>IF(O641 = "", "", O641 - P641)</f>
        <v>#VALUE!</v>
      </c>
      <c r="R641" s="3" t="e">
        <f>LOOKUP(C641, SweepStudyConfig[StudyId], SweepStudyConfig[SweepCorrectedGap])</f>
        <v>#VALUE!</v>
      </c>
      <c r="S641" s="3" t="e">
        <f>IF(Q641 = "", "", Q641 - R641)</f>
        <v>#VALUE!</v>
      </c>
    </row>
    <row r="642">
      <c r="A642" s="2" t="s">
        <v>3930</v>
      </c>
      <c r="B642" s="3" t="str">
        <f>A642</f>
        <v>surgeon-volume-mortality-f005</v>
      </c>
      <c r="C642" s="2" t="s">
        <v>659</v>
      </c>
      <c r="D642" s="2">
        <v>0.05</v>
      </c>
      <c r="E642" s="3" t="e">
        <f>ABS(D642 - LOOKUP(C642, SweepStudyConfig[StudyId], SweepStudyConfig[OriginalAllocFractionA])) &lt; 0.03</f>
        <v>#VALUE!</v>
      </c>
      <c r="F642" s="3" t="e">
        <f>LOOKUP(C642, SweepStudyConfig[StudyId], SweepStudyConfig[NSweepStratumTotal])</f>
        <v>#VALUE!</v>
      </c>
      <c r="G642" s="3" t="e">
        <f>ROUND(F642 * D642)</f>
        <v>#VALUE!</v>
      </c>
      <c r="H642" s="3" t="e">
        <f>F642 - G642</f>
        <v>#VALUE!</v>
      </c>
      <c r="I642" s="3" t="e">
        <f>LOOKUP(C642, SweepStudyConfig[StudyId], SweepStudyConfig[NFixedA])</f>
        <v>#VALUE!</v>
      </c>
      <c r="J642" s="3" t="e">
        <f>LOOKUP(C642, SweepStudyConfig[StudyId], SweepStudyConfig[NFixedB])</f>
        <v>#VALUE!</v>
      </c>
      <c r="K642" s="3" t="e">
        <f>LOOKUP(C642, SweepStudyConfig[StudyId], SweepStudyConfig[SweepRateA])</f>
        <v>#VALUE!</v>
      </c>
      <c r="L642" s="3" t="e">
        <f>LOOKUP(C642, SweepStudyConfig[StudyId], SweepStudyConfig[SweepRateB])</f>
        <v>#VALUE!</v>
      </c>
      <c r="M642" s="3" t="e">
        <f>LOOKUP(C642, SweepStudyConfig[StudyId], SweepStudyConfig[FixedRateA])</f>
        <v>#VALUE!</v>
      </c>
      <c r="N642" s="3" t="e">
        <f>LOOKUP(C642, SweepStudyConfig[StudyId], SweepStudyConfig[FixedRateB])</f>
        <v>#VALUE!</v>
      </c>
      <c r="O642" s="3" t="e">
        <f>IF(G642 + I642 = 0, "", (G642 * K642 + I642 * M642) / (G642 + I642))</f>
        <v>#VALUE!</v>
      </c>
      <c r="P642" s="3" t="e">
        <f>IF(H642 + J642 = 0, "", (H642 * L642 + J642 * N642) / (H642 + J642))</f>
        <v>#VALUE!</v>
      </c>
      <c r="Q642" s="3" t="e">
        <f>IF(O642 = "", "", O642 - P642)</f>
        <v>#VALUE!</v>
      </c>
      <c r="R642" s="3" t="e">
        <f>LOOKUP(C642, SweepStudyConfig[StudyId], SweepStudyConfig[SweepCorrectedGap])</f>
        <v>#VALUE!</v>
      </c>
      <c r="S642" s="3" t="e">
        <f>IF(Q642 = "", "", Q642 - R642)</f>
        <v>#VALUE!</v>
      </c>
    </row>
    <row r="643">
      <c r="A643" s="2" t="s">
        <v>3931</v>
      </c>
      <c r="B643" s="3" t="str">
        <f>A643</f>
        <v>surgeon-volume-mortality-f015</v>
      </c>
      <c r="C643" s="2" t="s">
        <v>659</v>
      </c>
      <c r="D643" s="2">
        <v>0.15</v>
      </c>
      <c r="E643" s="3" t="e">
        <f>ABS(D643 - LOOKUP(C643, SweepStudyConfig[StudyId], SweepStudyConfig[OriginalAllocFractionA])) &lt; 0.03</f>
        <v>#VALUE!</v>
      </c>
      <c r="F643" s="3" t="e">
        <f>LOOKUP(C643, SweepStudyConfig[StudyId], SweepStudyConfig[NSweepStratumTotal])</f>
        <v>#VALUE!</v>
      </c>
      <c r="G643" s="3" t="e">
        <f>ROUND(F643 * D643)</f>
        <v>#VALUE!</v>
      </c>
      <c r="H643" s="3" t="e">
        <f>F643 - G643</f>
        <v>#VALUE!</v>
      </c>
      <c r="I643" s="3" t="e">
        <f>LOOKUP(C643, SweepStudyConfig[StudyId], SweepStudyConfig[NFixedA])</f>
        <v>#VALUE!</v>
      </c>
      <c r="J643" s="3" t="e">
        <f>LOOKUP(C643, SweepStudyConfig[StudyId], SweepStudyConfig[NFixedB])</f>
        <v>#VALUE!</v>
      </c>
      <c r="K643" s="3" t="e">
        <f>LOOKUP(C643, SweepStudyConfig[StudyId], SweepStudyConfig[SweepRateA])</f>
        <v>#VALUE!</v>
      </c>
      <c r="L643" s="3" t="e">
        <f>LOOKUP(C643, SweepStudyConfig[StudyId], SweepStudyConfig[SweepRateB])</f>
        <v>#VALUE!</v>
      </c>
      <c r="M643" s="3" t="e">
        <f>LOOKUP(C643, SweepStudyConfig[StudyId], SweepStudyConfig[FixedRateA])</f>
        <v>#VALUE!</v>
      </c>
      <c r="N643" s="3" t="e">
        <f>LOOKUP(C643, SweepStudyConfig[StudyId], SweepStudyConfig[FixedRateB])</f>
        <v>#VALUE!</v>
      </c>
      <c r="O643" s="3" t="e">
        <f>IF(G643 + I643 = 0, "", (G643 * K643 + I643 * M643) / (G643 + I643))</f>
        <v>#VALUE!</v>
      </c>
      <c r="P643" s="3" t="e">
        <f>IF(H643 + J643 = 0, "", (H643 * L643 + J643 * N643) / (H643 + J643))</f>
        <v>#VALUE!</v>
      </c>
      <c r="Q643" s="3" t="e">
        <f>IF(O643 = "", "", O643 - P643)</f>
        <v>#VALUE!</v>
      </c>
      <c r="R643" s="3" t="e">
        <f>LOOKUP(C643, SweepStudyConfig[StudyId], SweepStudyConfig[SweepCorrectedGap])</f>
        <v>#VALUE!</v>
      </c>
      <c r="S643" s="3" t="e">
        <f>IF(Q643 = "", "", Q643 - R643)</f>
        <v>#VALUE!</v>
      </c>
    </row>
    <row r="644">
      <c r="A644" s="2" t="s">
        <v>3932</v>
      </c>
      <c r="B644" s="3" t="str">
        <f>A644</f>
        <v>surgeon-volume-mortality-f025</v>
      </c>
      <c r="C644" s="2" t="s">
        <v>659</v>
      </c>
      <c r="D644" s="2">
        <v>0.25</v>
      </c>
      <c r="E644" s="3" t="e">
        <f>ABS(D644 - LOOKUP(C644, SweepStudyConfig[StudyId], SweepStudyConfig[OriginalAllocFractionA])) &lt; 0.03</f>
        <v>#VALUE!</v>
      </c>
      <c r="F644" s="3" t="e">
        <f>LOOKUP(C644, SweepStudyConfig[StudyId], SweepStudyConfig[NSweepStratumTotal])</f>
        <v>#VALUE!</v>
      </c>
      <c r="G644" s="3" t="e">
        <f>ROUND(F644 * D644)</f>
        <v>#VALUE!</v>
      </c>
      <c r="H644" s="3" t="e">
        <f>F644 - G644</f>
        <v>#VALUE!</v>
      </c>
      <c r="I644" s="3" t="e">
        <f>LOOKUP(C644, SweepStudyConfig[StudyId], SweepStudyConfig[NFixedA])</f>
        <v>#VALUE!</v>
      </c>
      <c r="J644" s="3" t="e">
        <f>LOOKUP(C644, SweepStudyConfig[StudyId], SweepStudyConfig[NFixedB])</f>
        <v>#VALUE!</v>
      </c>
      <c r="K644" s="3" t="e">
        <f>LOOKUP(C644, SweepStudyConfig[StudyId], SweepStudyConfig[SweepRateA])</f>
        <v>#VALUE!</v>
      </c>
      <c r="L644" s="3" t="e">
        <f>LOOKUP(C644, SweepStudyConfig[StudyId], SweepStudyConfig[SweepRateB])</f>
        <v>#VALUE!</v>
      </c>
      <c r="M644" s="3" t="e">
        <f>LOOKUP(C644, SweepStudyConfig[StudyId], SweepStudyConfig[FixedRateA])</f>
        <v>#VALUE!</v>
      </c>
      <c r="N644" s="3" t="e">
        <f>LOOKUP(C644, SweepStudyConfig[StudyId], SweepStudyConfig[FixedRateB])</f>
        <v>#VALUE!</v>
      </c>
      <c r="O644" s="3" t="e">
        <f>IF(G644 + I644 = 0, "", (G644 * K644 + I644 * M644) / (G644 + I644))</f>
        <v>#VALUE!</v>
      </c>
      <c r="P644" s="3" t="e">
        <f>IF(H644 + J644 = 0, "", (H644 * L644 + J644 * N644) / (H644 + J644))</f>
        <v>#VALUE!</v>
      </c>
      <c r="Q644" s="3" t="e">
        <f>IF(O644 = "", "", O644 - P644)</f>
        <v>#VALUE!</v>
      </c>
      <c r="R644" s="3" t="e">
        <f>LOOKUP(C644, SweepStudyConfig[StudyId], SweepStudyConfig[SweepCorrectedGap])</f>
        <v>#VALUE!</v>
      </c>
      <c r="S644" s="3" t="e">
        <f>IF(Q644 = "", "", Q644 - R644)</f>
        <v>#VALUE!</v>
      </c>
    </row>
    <row r="645">
      <c r="A645" s="2" t="s">
        <v>3933</v>
      </c>
      <c r="B645" s="3" t="str">
        <f>A645</f>
        <v>surgeon-volume-mortality-f035</v>
      </c>
      <c r="C645" s="2" t="s">
        <v>659</v>
      </c>
      <c r="D645" s="2">
        <v>0.35</v>
      </c>
      <c r="E645" s="3" t="e">
        <f>ABS(D645 - LOOKUP(C645, SweepStudyConfig[StudyId], SweepStudyConfig[OriginalAllocFractionA])) &lt; 0.03</f>
        <v>#VALUE!</v>
      </c>
      <c r="F645" s="3" t="e">
        <f>LOOKUP(C645, SweepStudyConfig[StudyId], SweepStudyConfig[NSweepStratumTotal])</f>
        <v>#VALUE!</v>
      </c>
      <c r="G645" s="3" t="e">
        <f>ROUND(F645 * D645)</f>
        <v>#VALUE!</v>
      </c>
      <c r="H645" s="3" t="e">
        <f>F645 - G645</f>
        <v>#VALUE!</v>
      </c>
      <c r="I645" s="3" t="e">
        <f>LOOKUP(C645, SweepStudyConfig[StudyId], SweepStudyConfig[NFixedA])</f>
        <v>#VALUE!</v>
      </c>
      <c r="J645" s="3" t="e">
        <f>LOOKUP(C645, SweepStudyConfig[StudyId], SweepStudyConfig[NFixedB])</f>
        <v>#VALUE!</v>
      </c>
      <c r="K645" s="3" t="e">
        <f>LOOKUP(C645, SweepStudyConfig[StudyId], SweepStudyConfig[SweepRateA])</f>
        <v>#VALUE!</v>
      </c>
      <c r="L645" s="3" t="e">
        <f>LOOKUP(C645, SweepStudyConfig[StudyId], SweepStudyConfig[SweepRateB])</f>
        <v>#VALUE!</v>
      </c>
      <c r="M645" s="3" t="e">
        <f>LOOKUP(C645, SweepStudyConfig[StudyId], SweepStudyConfig[FixedRateA])</f>
        <v>#VALUE!</v>
      </c>
      <c r="N645" s="3" t="e">
        <f>LOOKUP(C645, SweepStudyConfig[StudyId], SweepStudyConfig[FixedRateB])</f>
        <v>#VALUE!</v>
      </c>
      <c r="O645" s="3" t="e">
        <f>IF(G645 + I645 = 0, "", (G645 * K645 + I645 * M645) / (G645 + I645))</f>
        <v>#VALUE!</v>
      </c>
      <c r="P645" s="3" t="e">
        <f>IF(H645 + J645 = 0, "", (H645 * L645 + J645 * N645) / (H645 + J645))</f>
        <v>#VALUE!</v>
      </c>
      <c r="Q645" s="3" t="e">
        <f>IF(O645 = "", "", O645 - P645)</f>
        <v>#VALUE!</v>
      </c>
      <c r="R645" s="3" t="e">
        <f>LOOKUP(C645, SweepStudyConfig[StudyId], SweepStudyConfig[SweepCorrectedGap])</f>
        <v>#VALUE!</v>
      </c>
      <c r="S645" s="3" t="e">
        <f>IF(Q645 = "", "", Q645 - R645)</f>
        <v>#VALUE!</v>
      </c>
    </row>
    <row r="646">
      <c r="A646" s="2" t="s">
        <v>3934</v>
      </c>
      <c r="B646" s="3" t="str">
        <f>A646</f>
        <v>surgeon-volume-mortality-f045</v>
      </c>
      <c r="C646" s="2" t="s">
        <v>659</v>
      </c>
      <c r="D646" s="2">
        <v>0.45</v>
      </c>
      <c r="E646" s="3" t="e">
        <f>ABS(D646 - LOOKUP(C646, SweepStudyConfig[StudyId], SweepStudyConfig[OriginalAllocFractionA])) &lt; 0.03</f>
        <v>#VALUE!</v>
      </c>
      <c r="F646" s="3" t="e">
        <f>LOOKUP(C646, SweepStudyConfig[StudyId], SweepStudyConfig[NSweepStratumTotal])</f>
        <v>#VALUE!</v>
      </c>
      <c r="G646" s="3" t="e">
        <f>ROUND(F646 * D646)</f>
        <v>#VALUE!</v>
      </c>
      <c r="H646" s="3" t="e">
        <f>F646 - G646</f>
        <v>#VALUE!</v>
      </c>
      <c r="I646" s="3" t="e">
        <f>LOOKUP(C646, SweepStudyConfig[StudyId], SweepStudyConfig[NFixedA])</f>
        <v>#VALUE!</v>
      </c>
      <c r="J646" s="3" t="e">
        <f>LOOKUP(C646, SweepStudyConfig[StudyId], SweepStudyConfig[NFixedB])</f>
        <v>#VALUE!</v>
      </c>
      <c r="K646" s="3" t="e">
        <f>LOOKUP(C646, SweepStudyConfig[StudyId], SweepStudyConfig[SweepRateA])</f>
        <v>#VALUE!</v>
      </c>
      <c r="L646" s="3" t="e">
        <f>LOOKUP(C646, SweepStudyConfig[StudyId], SweepStudyConfig[SweepRateB])</f>
        <v>#VALUE!</v>
      </c>
      <c r="M646" s="3" t="e">
        <f>LOOKUP(C646, SweepStudyConfig[StudyId], SweepStudyConfig[FixedRateA])</f>
        <v>#VALUE!</v>
      </c>
      <c r="N646" s="3" t="e">
        <f>LOOKUP(C646, SweepStudyConfig[StudyId], SweepStudyConfig[FixedRateB])</f>
        <v>#VALUE!</v>
      </c>
      <c r="O646" s="3" t="e">
        <f>IF(G646 + I646 = 0, "", (G646 * K646 + I646 * M646) / (G646 + I646))</f>
        <v>#VALUE!</v>
      </c>
      <c r="P646" s="3" t="e">
        <f>IF(H646 + J646 = 0, "", (H646 * L646 + J646 * N646) / (H646 + J646))</f>
        <v>#VALUE!</v>
      </c>
      <c r="Q646" s="3" t="e">
        <f>IF(O646 = "", "", O646 - P646)</f>
        <v>#VALUE!</v>
      </c>
      <c r="R646" s="3" t="e">
        <f>LOOKUP(C646, SweepStudyConfig[StudyId], SweepStudyConfig[SweepCorrectedGap])</f>
        <v>#VALUE!</v>
      </c>
      <c r="S646" s="3" t="e">
        <f>IF(Q646 = "", "", Q646 - R646)</f>
        <v>#VALUE!</v>
      </c>
    </row>
    <row r="647">
      <c r="A647" s="2" t="s">
        <v>3935</v>
      </c>
      <c r="B647" s="3" t="str">
        <f>A647</f>
        <v>surgeon-volume-mortality-f055</v>
      </c>
      <c r="C647" s="2" t="s">
        <v>659</v>
      </c>
      <c r="D647" s="2">
        <v>0.55</v>
      </c>
      <c r="E647" s="3" t="e">
        <f>ABS(D647 - LOOKUP(C647, SweepStudyConfig[StudyId], SweepStudyConfig[OriginalAllocFractionA])) &lt; 0.03</f>
        <v>#VALUE!</v>
      </c>
      <c r="F647" s="3" t="e">
        <f>LOOKUP(C647, SweepStudyConfig[StudyId], SweepStudyConfig[NSweepStratumTotal])</f>
        <v>#VALUE!</v>
      </c>
      <c r="G647" s="3" t="e">
        <f>ROUND(F647 * D647)</f>
        <v>#VALUE!</v>
      </c>
      <c r="H647" s="3" t="e">
        <f>F647 - G647</f>
        <v>#VALUE!</v>
      </c>
      <c r="I647" s="3" t="e">
        <f>LOOKUP(C647, SweepStudyConfig[StudyId], SweepStudyConfig[NFixedA])</f>
        <v>#VALUE!</v>
      </c>
      <c r="J647" s="3" t="e">
        <f>LOOKUP(C647, SweepStudyConfig[StudyId], SweepStudyConfig[NFixedB])</f>
        <v>#VALUE!</v>
      </c>
      <c r="K647" s="3" t="e">
        <f>LOOKUP(C647, SweepStudyConfig[StudyId], SweepStudyConfig[SweepRateA])</f>
        <v>#VALUE!</v>
      </c>
      <c r="L647" s="3" t="e">
        <f>LOOKUP(C647, SweepStudyConfig[StudyId], SweepStudyConfig[SweepRateB])</f>
        <v>#VALUE!</v>
      </c>
      <c r="M647" s="3" t="e">
        <f>LOOKUP(C647, SweepStudyConfig[StudyId], SweepStudyConfig[FixedRateA])</f>
        <v>#VALUE!</v>
      </c>
      <c r="N647" s="3" t="e">
        <f>LOOKUP(C647, SweepStudyConfig[StudyId], SweepStudyConfig[FixedRateB])</f>
        <v>#VALUE!</v>
      </c>
      <c r="O647" s="3" t="e">
        <f>IF(G647 + I647 = 0, "", (G647 * K647 + I647 * M647) / (G647 + I647))</f>
        <v>#VALUE!</v>
      </c>
      <c r="P647" s="3" t="e">
        <f>IF(H647 + J647 = 0, "", (H647 * L647 + J647 * N647) / (H647 + J647))</f>
        <v>#VALUE!</v>
      </c>
      <c r="Q647" s="3" t="e">
        <f>IF(O647 = "", "", O647 - P647)</f>
        <v>#VALUE!</v>
      </c>
      <c r="R647" s="3" t="e">
        <f>LOOKUP(C647, SweepStudyConfig[StudyId], SweepStudyConfig[SweepCorrectedGap])</f>
        <v>#VALUE!</v>
      </c>
      <c r="S647" s="3" t="e">
        <f>IF(Q647 = "", "", Q647 - R647)</f>
        <v>#VALUE!</v>
      </c>
    </row>
    <row r="648">
      <c r="A648" s="2" t="s">
        <v>3936</v>
      </c>
      <c r="B648" s="3" t="str">
        <f>A648</f>
        <v>surgeon-volume-mortality-f065</v>
      </c>
      <c r="C648" s="2" t="s">
        <v>659</v>
      </c>
      <c r="D648" s="2">
        <v>0.65</v>
      </c>
      <c r="E648" s="3" t="e">
        <f>ABS(D648 - LOOKUP(C648, SweepStudyConfig[StudyId], SweepStudyConfig[OriginalAllocFractionA])) &lt; 0.03</f>
        <v>#VALUE!</v>
      </c>
      <c r="F648" s="3" t="e">
        <f>LOOKUP(C648, SweepStudyConfig[StudyId], SweepStudyConfig[NSweepStratumTotal])</f>
        <v>#VALUE!</v>
      </c>
      <c r="G648" s="3" t="e">
        <f>ROUND(F648 * D648)</f>
        <v>#VALUE!</v>
      </c>
      <c r="H648" s="3" t="e">
        <f>F648 - G648</f>
        <v>#VALUE!</v>
      </c>
      <c r="I648" s="3" t="e">
        <f>LOOKUP(C648, SweepStudyConfig[StudyId], SweepStudyConfig[NFixedA])</f>
        <v>#VALUE!</v>
      </c>
      <c r="J648" s="3" t="e">
        <f>LOOKUP(C648, SweepStudyConfig[StudyId], SweepStudyConfig[NFixedB])</f>
        <v>#VALUE!</v>
      </c>
      <c r="K648" s="3" t="e">
        <f>LOOKUP(C648, SweepStudyConfig[StudyId], SweepStudyConfig[SweepRateA])</f>
        <v>#VALUE!</v>
      </c>
      <c r="L648" s="3" t="e">
        <f>LOOKUP(C648, SweepStudyConfig[StudyId], SweepStudyConfig[SweepRateB])</f>
        <v>#VALUE!</v>
      </c>
      <c r="M648" s="3" t="e">
        <f>LOOKUP(C648, SweepStudyConfig[StudyId], SweepStudyConfig[FixedRateA])</f>
        <v>#VALUE!</v>
      </c>
      <c r="N648" s="3" t="e">
        <f>LOOKUP(C648, SweepStudyConfig[StudyId], SweepStudyConfig[FixedRateB])</f>
        <v>#VALUE!</v>
      </c>
      <c r="O648" s="3" t="e">
        <f>IF(G648 + I648 = 0, "", (G648 * K648 + I648 * M648) / (G648 + I648))</f>
        <v>#VALUE!</v>
      </c>
      <c r="P648" s="3" t="e">
        <f>IF(H648 + J648 = 0, "", (H648 * L648 + J648 * N648) / (H648 + J648))</f>
        <v>#VALUE!</v>
      </c>
      <c r="Q648" s="3" t="e">
        <f>IF(O648 = "", "", O648 - P648)</f>
        <v>#VALUE!</v>
      </c>
      <c r="R648" s="3" t="e">
        <f>LOOKUP(C648, SweepStudyConfig[StudyId], SweepStudyConfig[SweepCorrectedGap])</f>
        <v>#VALUE!</v>
      </c>
      <c r="S648" s="3" t="e">
        <f>IF(Q648 = "", "", Q648 - R648)</f>
        <v>#VALUE!</v>
      </c>
    </row>
    <row r="649">
      <c r="A649" s="2" t="s">
        <v>3937</v>
      </c>
      <c r="B649" s="3" t="str">
        <f>A649</f>
        <v>surgeon-volume-mortality-f075</v>
      </c>
      <c r="C649" s="2" t="s">
        <v>659</v>
      </c>
      <c r="D649" s="2">
        <v>0.75</v>
      </c>
      <c r="E649" s="3" t="e">
        <f>ABS(D649 - LOOKUP(C649, SweepStudyConfig[StudyId], SweepStudyConfig[OriginalAllocFractionA])) &lt; 0.03</f>
        <v>#VALUE!</v>
      </c>
      <c r="F649" s="3" t="e">
        <f>LOOKUP(C649, SweepStudyConfig[StudyId], SweepStudyConfig[NSweepStratumTotal])</f>
        <v>#VALUE!</v>
      </c>
      <c r="G649" s="3" t="e">
        <f>ROUND(F649 * D649)</f>
        <v>#VALUE!</v>
      </c>
      <c r="H649" s="3" t="e">
        <f>F649 - G649</f>
        <v>#VALUE!</v>
      </c>
      <c r="I649" s="3" t="e">
        <f>LOOKUP(C649, SweepStudyConfig[StudyId], SweepStudyConfig[NFixedA])</f>
        <v>#VALUE!</v>
      </c>
      <c r="J649" s="3" t="e">
        <f>LOOKUP(C649, SweepStudyConfig[StudyId], SweepStudyConfig[NFixedB])</f>
        <v>#VALUE!</v>
      </c>
      <c r="K649" s="3" t="e">
        <f>LOOKUP(C649, SweepStudyConfig[StudyId], SweepStudyConfig[SweepRateA])</f>
        <v>#VALUE!</v>
      </c>
      <c r="L649" s="3" t="e">
        <f>LOOKUP(C649, SweepStudyConfig[StudyId], SweepStudyConfig[SweepRateB])</f>
        <v>#VALUE!</v>
      </c>
      <c r="M649" s="3" t="e">
        <f>LOOKUP(C649, SweepStudyConfig[StudyId], SweepStudyConfig[FixedRateA])</f>
        <v>#VALUE!</v>
      </c>
      <c r="N649" s="3" t="e">
        <f>LOOKUP(C649, SweepStudyConfig[StudyId], SweepStudyConfig[FixedRateB])</f>
        <v>#VALUE!</v>
      </c>
      <c r="O649" s="3" t="e">
        <f>IF(G649 + I649 = 0, "", (G649 * K649 + I649 * M649) / (G649 + I649))</f>
        <v>#VALUE!</v>
      </c>
      <c r="P649" s="3" t="e">
        <f>IF(H649 + J649 = 0, "", (H649 * L649 + J649 * N649) / (H649 + J649))</f>
        <v>#VALUE!</v>
      </c>
      <c r="Q649" s="3" t="e">
        <f>IF(O649 = "", "", O649 - P649)</f>
        <v>#VALUE!</v>
      </c>
      <c r="R649" s="3" t="e">
        <f>LOOKUP(C649, SweepStudyConfig[StudyId], SweepStudyConfig[SweepCorrectedGap])</f>
        <v>#VALUE!</v>
      </c>
      <c r="S649" s="3" t="e">
        <f>IF(Q649 = "", "", Q649 - R649)</f>
        <v>#VALUE!</v>
      </c>
    </row>
    <row r="650">
      <c r="A650" s="2" t="s">
        <v>3938</v>
      </c>
      <c r="B650" s="3" t="str">
        <f>A650</f>
        <v>surgeon-volume-mortality-f085</v>
      </c>
      <c r="C650" s="2" t="s">
        <v>659</v>
      </c>
      <c r="D650" s="2">
        <v>0.85</v>
      </c>
      <c r="E650" s="3" t="e">
        <f>ABS(D650 - LOOKUP(C650, SweepStudyConfig[StudyId], SweepStudyConfig[OriginalAllocFractionA])) &lt; 0.03</f>
        <v>#VALUE!</v>
      </c>
      <c r="F650" s="3" t="e">
        <f>LOOKUP(C650, SweepStudyConfig[StudyId], SweepStudyConfig[NSweepStratumTotal])</f>
        <v>#VALUE!</v>
      </c>
      <c r="G650" s="3" t="e">
        <f>ROUND(F650 * D650)</f>
        <v>#VALUE!</v>
      </c>
      <c r="H650" s="3" t="e">
        <f>F650 - G650</f>
        <v>#VALUE!</v>
      </c>
      <c r="I650" s="3" t="e">
        <f>LOOKUP(C650, SweepStudyConfig[StudyId], SweepStudyConfig[NFixedA])</f>
        <v>#VALUE!</v>
      </c>
      <c r="J650" s="3" t="e">
        <f>LOOKUP(C650, SweepStudyConfig[StudyId], SweepStudyConfig[NFixedB])</f>
        <v>#VALUE!</v>
      </c>
      <c r="K650" s="3" t="e">
        <f>LOOKUP(C650, SweepStudyConfig[StudyId], SweepStudyConfig[SweepRateA])</f>
        <v>#VALUE!</v>
      </c>
      <c r="L650" s="3" t="e">
        <f>LOOKUP(C650, SweepStudyConfig[StudyId], SweepStudyConfig[SweepRateB])</f>
        <v>#VALUE!</v>
      </c>
      <c r="M650" s="3" t="e">
        <f>LOOKUP(C650, SweepStudyConfig[StudyId], SweepStudyConfig[FixedRateA])</f>
        <v>#VALUE!</v>
      </c>
      <c r="N650" s="3" t="e">
        <f>LOOKUP(C650, SweepStudyConfig[StudyId], SweepStudyConfig[FixedRateB])</f>
        <v>#VALUE!</v>
      </c>
      <c r="O650" s="3" t="e">
        <f>IF(G650 + I650 = 0, "", (G650 * K650 + I650 * M650) / (G650 + I650))</f>
        <v>#VALUE!</v>
      </c>
      <c r="P650" s="3" t="e">
        <f>IF(H650 + J650 = 0, "", (H650 * L650 + J650 * N650) / (H650 + J650))</f>
        <v>#VALUE!</v>
      </c>
      <c r="Q650" s="3" t="e">
        <f>IF(O650 = "", "", O650 - P650)</f>
        <v>#VALUE!</v>
      </c>
      <c r="R650" s="3" t="e">
        <f>LOOKUP(C650, SweepStudyConfig[StudyId], SweepStudyConfig[SweepCorrectedGap])</f>
        <v>#VALUE!</v>
      </c>
      <c r="S650" s="3" t="e">
        <f>IF(Q650 = "", "", Q650 - R650)</f>
        <v>#VALUE!</v>
      </c>
    </row>
    <row r="651">
      <c r="A651" s="2" t="s">
        <v>3939</v>
      </c>
      <c r="B651" s="3" t="str">
        <f>A651</f>
        <v>surgeon-volume-mortality-f095</v>
      </c>
      <c r="C651" s="2" t="s">
        <v>659</v>
      </c>
      <c r="D651" s="2">
        <v>0.95</v>
      </c>
      <c r="E651" s="3" t="e">
        <f>ABS(D651 - LOOKUP(C651, SweepStudyConfig[StudyId], SweepStudyConfig[OriginalAllocFractionA])) &lt; 0.03</f>
        <v>#VALUE!</v>
      </c>
      <c r="F651" s="3" t="e">
        <f>LOOKUP(C651, SweepStudyConfig[StudyId], SweepStudyConfig[NSweepStratumTotal])</f>
        <v>#VALUE!</v>
      </c>
      <c r="G651" s="3" t="e">
        <f>ROUND(F651 * D651)</f>
        <v>#VALUE!</v>
      </c>
      <c r="H651" s="3" t="e">
        <f>F651 - G651</f>
        <v>#VALUE!</v>
      </c>
      <c r="I651" s="3" t="e">
        <f>LOOKUP(C651, SweepStudyConfig[StudyId], SweepStudyConfig[NFixedA])</f>
        <v>#VALUE!</v>
      </c>
      <c r="J651" s="3" t="e">
        <f>LOOKUP(C651, SweepStudyConfig[StudyId], SweepStudyConfig[NFixedB])</f>
        <v>#VALUE!</v>
      </c>
      <c r="K651" s="3" t="e">
        <f>LOOKUP(C651, SweepStudyConfig[StudyId], SweepStudyConfig[SweepRateA])</f>
        <v>#VALUE!</v>
      </c>
      <c r="L651" s="3" t="e">
        <f>LOOKUP(C651, SweepStudyConfig[StudyId], SweepStudyConfig[SweepRateB])</f>
        <v>#VALUE!</v>
      </c>
      <c r="M651" s="3" t="e">
        <f>LOOKUP(C651, SweepStudyConfig[StudyId], SweepStudyConfig[FixedRateA])</f>
        <v>#VALUE!</v>
      </c>
      <c r="N651" s="3" t="e">
        <f>LOOKUP(C651, SweepStudyConfig[StudyId], SweepStudyConfig[FixedRateB])</f>
        <v>#VALUE!</v>
      </c>
      <c r="O651" s="3" t="e">
        <f>IF(G651 + I651 = 0, "", (G651 * K651 + I651 * M651) / (G651 + I651))</f>
        <v>#VALUE!</v>
      </c>
      <c r="P651" s="3" t="e">
        <f>IF(H651 + J651 = 0, "", (H651 * L651 + J651 * N651) / (H651 + J651))</f>
        <v>#VALUE!</v>
      </c>
      <c r="Q651" s="3" t="e">
        <f>IF(O651 = "", "", O651 - P651)</f>
        <v>#VALUE!</v>
      </c>
      <c r="R651" s="3" t="e">
        <f>LOOKUP(C651, SweepStudyConfig[StudyId], SweepStudyConfig[SweepCorrectedGap])</f>
        <v>#VALUE!</v>
      </c>
      <c r="S651" s="3" t="e">
        <f>IF(Q651 = "", "", Q651 - R651)</f>
        <v>#VALUE!</v>
      </c>
    </row>
    <row r="652">
      <c r="A652" s="2" t="s">
        <v>3940</v>
      </c>
      <c r="B652" s="3" t="str">
        <f>A652</f>
        <v>mammography-length-bias-f005</v>
      </c>
      <c r="C652" s="2" t="s">
        <v>663</v>
      </c>
      <c r="D652" s="2">
        <v>0.05</v>
      </c>
      <c r="E652" s="3" t="e">
        <f>ABS(D652 - LOOKUP(C652, SweepStudyConfig[StudyId], SweepStudyConfig[OriginalAllocFractionA])) &lt; 0.03</f>
        <v>#VALUE!</v>
      </c>
      <c r="F652" s="3" t="e">
        <f>LOOKUP(C652, SweepStudyConfig[StudyId], SweepStudyConfig[NSweepStratumTotal])</f>
        <v>#VALUE!</v>
      </c>
      <c r="G652" s="3" t="e">
        <f>ROUND(F652 * D652)</f>
        <v>#VALUE!</v>
      </c>
      <c r="H652" s="3" t="e">
        <f>F652 - G652</f>
        <v>#VALUE!</v>
      </c>
      <c r="I652" s="3" t="e">
        <f>LOOKUP(C652, SweepStudyConfig[StudyId], SweepStudyConfig[NFixedA])</f>
        <v>#VALUE!</v>
      </c>
      <c r="J652" s="3" t="e">
        <f>LOOKUP(C652, SweepStudyConfig[StudyId], SweepStudyConfig[NFixedB])</f>
        <v>#VALUE!</v>
      </c>
      <c r="K652" s="3" t="e">
        <f>LOOKUP(C652, SweepStudyConfig[StudyId], SweepStudyConfig[SweepRateA])</f>
        <v>#VALUE!</v>
      </c>
      <c r="L652" s="3" t="e">
        <f>LOOKUP(C652, SweepStudyConfig[StudyId], SweepStudyConfig[SweepRateB])</f>
        <v>#VALUE!</v>
      </c>
      <c r="M652" s="3" t="e">
        <f>LOOKUP(C652, SweepStudyConfig[StudyId], SweepStudyConfig[FixedRateA])</f>
        <v>#VALUE!</v>
      </c>
      <c r="N652" s="3" t="e">
        <f>LOOKUP(C652, SweepStudyConfig[StudyId], SweepStudyConfig[FixedRateB])</f>
        <v>#VALUE!</v>
      </c>
      <c r="O652" s="3" t="e">
        <f>IF(G652 + I652 = 0, "", (G652 * K652 + I652 * M652) / (G652 + I652))</f>
        <v>#VALUE!</v>
      </c>
      <c r="P652" s="3" t="e">
        <f>IF(H652 + J652 = 0, "", (H652 * L652 + J652 * N652) / (H652 + J652))</f>
        <v>#VALUE!</v>
      </c>
      <c r="Q652" s="3" t="e">
        <f>IF(O652 = "", "", O652 - P652)</f>
        <v>#VALUE!</v>
      </c>
      <c r="R652" s="3" t="e">
        <f>LOOKUP(C652, SweepStudyConfig[StudyId], SweepStudyConfig[SweepCorrectedGap])</f>
        <v>#VALUE!</v>
      </c>
      <c r="S652" s="3" t="e">
        <f>IF(Q652 = "", "", Q652 - R652)</f>
        <v>#VALUE!</v>
      </c>
    </row>
    <row r="653">
      <c r="A653" s="2" t="s">
        <v>3941</v>
      </c>
      <c r="B653" s="3" t="str">
        <f>A653</f>
        <v>mammography-length-bias-f015</v>
      </c>
      <c r="C653" s="2" t="s">
        <v>663</v>
      </c>
      <c r="D653" s="2">
        <v>0.15</v>
      </c>
      <c r="E653" s="3" t="e">
        <f>ABS(D653 - LOOKUP(C653, SweepStudyConfig[StudyId], SweepStudyConfig[OriginalAllocFractionA])) &lt; 0.03</f>
        <v>#VALUE!</v>
      </c>
      <c r="F653" s="3" t="e">
        <f>LOOKUP(C653, SweepStudyConfig[StudyId], SweepStudyConfig[NSweepStratumTotal])</f>
        <v>#VALUE!</v>
      </c>
      <c r="G653" s="3" t="e">
        <f>ROUND(F653 * D653)</f>
        <v>#VALUE!</v>
      </c>
      <c r="H653" s="3" t="e">
        <f>F653 - G653</f>
        <v>#VALUE!</v>
      </c>
      <c r="I653" s="3" t="e">
        <f>LOOKUP(C653, SweepStudyConfig[StudyId], SweepStudyConfig[NFixedA])</f>
        <v>#VALUE!</v>
      </c>
      <c r="J653" s="3" t="e">
        <f>LOOKUP(C653, SweepStudyConfig[StudyId], SweepStudyConfig[NFixedB])</f>
        <v>#VALUE!</v>
      </c>
      <c r="K653" s="3" t="e">
        <f>LOOKUP(C653, SweepStudyConfig[StudyId], SweepStudyConfig[SweepRateA])</f>
        <v>#VALUE!</v>
      </c>
      <c r="L653" s="3" t="e">
        <f>LOOKUP(C653, SweepStudyConfig[StudyId], SweepStudyConfig[SweepRateB])</f>
        <v>#VALUE!</v>
      </c>
      <c r="M653" s="3" t="e">
        <f>LOOKUP(C653, SweepStudyConfig[StudyId], SweepStudyConfig[FixedRateA])</f>
        <v>#VALUE!</v>
      </c>
      <c r="N653" s="3" t="e">
        <f>LOOKUP(C653, SweepStudyConfig[StudyId], SweepStudyConfig[FixedRateB])</f>
        <v>#VALUE!</v>
      </c>
      <c r="O653" s="3" t="e">
        <f>IF(G653 + I653 = 0, "", (G653 * K653 + I653 * M653) / (G653 + I653))</f>
        <v>#VALUE!</v>
      </c>
      <c r="P653" s="3" t="e">
        <f>IF(H653 + J653 = 0, "", (H653 * L653 + J653 * N653) / (H653 + J653))</f>
        <v>#VALUE!</v>
      </c>
      <c r="Q653" s="3" t="e">
        <f>IF(O653 = "", "", O653 - P653)</f>
        <v>#VALUE!</v>
      </c>
      <c r="R653" s="3" t="e">
        <f>LOOKUP(C653, SweepStudyConfig[StudyId], SweepStudyConfig[SweepCorrectedGap])</f>
        <v>#VALUE!</v>
      </c>
      <c r="S653" s="3" t="e">
        <f>IF(Q653 = "", "", Q653 - R653)</f>
        <v>#VALUE!</v>
      </c>
    </row>
    <row r="654">
      <c r="A654" s="2" t="s">
        <v>3942</v>
      </c>
      <c r="B654" s="3" t="str">
        <f>A654</f>
        <v>mammography-length-bias-f025</v>
      </c>
      <c r="C654" s="2" t="s">
        <v>663</v>
      </c>
      <c r="D654" s="2">
        <v>0.25</v>
      </c>
      <c r="E654" s="3" t="e">
        <f>ABS(D654 - LOOKUP(C654, SweepStudyConfig[StudyId], SweepStudyConfig[OriginalAllocFractionA])) &lt; 0.03</f>
        <v>#VALUE!</v>
      </c>
      <c r="F654" s="3" t="e">
        <f>LOOKUP(C654, SweepStudyConfig[StudyId], SweepStudyConfig[NSweepStratumTotal])</f>
        <v>#VALUE!</v>
      </c>
      <c r="G654" s="3" t="e">
        <f>ROUND(F654 * D654)</f>
        <v>#VALUE!</v>
      </c>
      <c r="H654" s="3" t="e">
        <f>F654 - G654</f>
        <v>#VALUE!</v>
      </c>
      <c r="I654" s="3" t="e">
        <f>LOOKUP(C654, SweepStudyConfig[StudyId], SweepStudyConfig[NFixedA])</f>
        <v>#VALUE!</v>
      </c>
      <c r="J654" s="3" t="e">
        <f>LOOKUP(C654, SweepStudyConfig[StudyId], SweepStudyConfig[NFixedB])</f>
        <v>#VALUE!</v>
      </c>
      <c r="K654" s="3" t="e">
        <f>LOOKUP(C654, SweepStudyConfig[StudyId], SweepStudyConfig[SweepRateA])</f>
        <v>#VALUE!</v>
      </c>
      <c r="L654" s="3" t="e">
        <f>LOOKUP(C654, SweepStudyConfig[StudyId], SweepStudyConfig[SweepRateB])</f>
        <v>#VALUE!</v>
      </c>
      <c r="M654" s="3" t="e">
        <f>LOOKUP(C654, SweepStudyConfig[StudyId], SweepStudyConfig[FixedRateA])</f>
        <v>#VALUE!</v>
      </c>
      <c r="N654" s="3" t="e">
        <f>LOOKUP(C654, SweepStudyConfig[StudyId], SweepStudyConfig[FixedRateB])</f>
        <v>#VALUE!</v>
      </c>
      <c r="O654" s="3" t="e">
        <f>IF(G654 + I654 = 0, "", (G654 * K654 + I654 * M654) / (G654 + I654))</f>
        <v>#VALUE!</v>
      </c>
      <c r="P654" s="3" t="e">
        <f>IF(H654 + J654 = 0, "", (H654 * L654 + J654 * N654) / (H654 + J654))</f>
        <v>#VALUE!</v>
      </c>
      <c r="Q654" s="3" t="e">
        <f>IF(O654 = "", "", O654 - P654)</f>
        <v>#VALUE!</v>
      </c>
      <c r="R654" s="3" t="e">
        <f>LOOKUP(C654, SweepStudyConfig[StudyId], SweepStudyConfig[SweepCorrectedGap])</f>
        <v>#VALUE!</v>
      </c>
      <c r="S654" s="3" t="e">
        <f>IF(Q654 = "", "", Q654 - R654)</f>
        <v>#VALUE!</v>
      </c>
    </row>
    <row r="655">
      <c r="A655" s="2" t="s">
        <v>3943</v>
      </c>
      <c r="B655" s="3" t="str">
        <f>A655</f>
        <v>mammography-length-bias-f035</v>
      </c>
      <c r="C655" s="2" t="s">
        <v>663</v>
      </c>
      <c r="D655" s="2">
        <v>0.35</v>
      </c>
      <c r="E655" s="3" t="e">
        <f>ABS(D655 - LOOKUP(C655, SweepStudyConfig[StudyId], SweepStudyConfig[OriginalAllocFractionA])) &lt; 0.03</f>
        <v>#VALUE!</v>
      </c>
      <c r="F655" s="3" t="e">
        <f>LOOKUP(C655, SweepStudyConfig[StudyId], SweepStudyConfig[NSweepStratumTotal])</f>
        <v>#VALUE!</v>
      </c>
      <c r="G655" s="3" t="e">
        <f>ROUND(F655 * D655)</f>
        <v>#VALUE!</v>
      </c>
      <c r="H655" s="3" t="e">
        <f>F655 - G655</f>
        <v>#VALUE!</v>
      </c>
      <c r="I655" s="3" t="e">
        <f>LOOKUP(C655, SweepStudyConfig[StudyId], SweepStudyConfig[NFixedA])</f>
        <v>#VALUE!</v>
      </c>
      <c r="J655" s="3" t="e">
        <f>LOOKUP(C655, SweepStudyConfig[StudyId], SweepStudyConfig[NFixedB])</f>
        <v>#VALUE!</v>
      </c>
      <c r="K655" s="3" t="e">
        <f>LOOKUP(C655, SweepStudyConfig[StudyId], SweepStudyConfig[SweepRateA])</f>
        <v>#VALUE!</v>
      </c>
      <c r="L655" s="3" t="e">
        <f>LOOKUP(C655, SweepStudyConfig[StudyId], SweepStudyConfig[SweepRateB])</f>
        <v>#VALUE!</v>
      </c>
      <c r="M655" s="3" t="e">
        <f>LOOKUP(C655, SweepStudyConfig[StudyId], SweepStudyConfig[FixedRateA])</f>
        <v>#VALUE!</v>
      </c>
      <c r="N655" s="3" t="e">
        <f>LOOKUP(C655, SweepStudyConfig[StudyId], SweepStudyConfig[FixedRateB])</f>
        <v>#VALUE!</v>
      </c>
      <c r="O655" s="3" t="e">
        <f>IF(G655 + I655 = 0, "", (G655 * K655 + I655 * M655) / (G655 + I655))</f>
        <v>#VALUE!</v>
      </c>
      <c r="P655" s="3" t="e">
        <f>IF(H655 + J655 = 0, "", (H655 * L655 + J655 * N655) / (H655 + J655))</f>
        <v>#VALUE!</v>
      </c>
      <c r="Q655" s="3" t="e">
        <f>IF(O655 = "", "", O655 - P655)</f>
        <v>#VALUE!</v>
      </c>
      <c r="R655" s="3" t="e">
        <f>LOOKUP(C655, SweepStudyConfig[StudyId], SweepStudyConfig[SweepCorrectedGap])</f>
        <v>#VALUE!</v>
      </c>
      <c r="S655" s="3" t="e">
        <f>IF(Q655 = "", "", Q655 - R655)</f>
        <v>#VALUE!</v>
      </c>
    </row>
    <row r="656">
      <c r="A656" s="2" t="s">
        <v>3944</v>
      </c>
      <c r="B656" s="3" t="str">
        <f>A656</f>
        <v>mammography-length-bias-f045</v>
      </c>
      <c r="C656" s="2" t="s">
        <v>663</v>
      </c>
      <c r="D656" s="2">
        <v>0.45</v>
      </c>
      <c r="E656" s="3" t="e">
        <f>ABS(D656 - LOOKUP(C656, SweepStudyConfig[StudyId], SweepStudyConfig[OriginalAllocFractionA])) &lt; 0.03</f>
        <v>#VALUE!</v>
      </c>
      <c r="F656" s="3" t="e">
        <f>LOOKUP(C656, SweepStudyConfig[StudyId], SweepStudyConfig[NSweepStratumTotal])</f>
        <v>#VALUE!</v>
      </c>
      <c r="G656" s="3" t="e">
        <f>ROUND(F656 * D656)</f>
        <v>#VALUE!</v>
      </c>
      <c r="H656" s="3" t="e">
        <f>F656 - G656</f>
        <v>#VALUE!</v>
      </c>
      <c r="I656" s="3" t="e">
        <f>LOOKUP(C656, SweepStudyConfig[StudyId], SweepStudyConfig[NFixedA])</f>
        <v>#VALUE!</v>
      </c>
      <c r="J656" s="3" t="e">
        <f>LOOKUP(C656, SweepStudyConfig[StudyId], SweepStudyConfig[NFixedB])</f>
        <v>#VALUE!</v>
      </c>
      <c r="K656" s="3" t="e">
        <f>LOOKUP(C656, SweepStudyConfig[StudyId], SweepStudyConfig[SweepRateA])</f>
        <v>#VALUE!</v>
      </c>
      <c r="L656" s="3" t="e">
        <f>LOOKUP(C656, SweepStudyConfig[StudyId], SweepStudyConfig[SweepRateB])</f>
        <v>#VALUE!</v>
      </c>
      <c r="M656" s="3" t="e">
        <f>LOOKUP(C656, SweepStudyConfig[StudyId], SweepStudyConfig[FixedRateA])</f>
        <v>#VALUE!</v>
      </c>
      <c r="N656" s="3" t="e">
        <f>LOOKUP(C656, SweepStudyConfig[StudyId], SweepStudyConfig[FixedRateB])</f>
        <v>#VALUE!</v>
      </c>
      <c r="O656" s="3" t="e">
        <f>IF(G656 + I656 = 0, "", (G656 * K656 + I656 * M656) / (G656 + I656))</f>
        <v>#VALUE!</v>
      </c>
      <c r="P656" s="3" t="e">
        <f>IF(H656 + J656 = 0, "", (H656 * L656 + J656 * N656) / (H656 + J656))</f>
        <v>#VALUE!</v>
      </c>
      <c r="Q656" s="3" t="e">
        <f>IF(O656 = "", "", O656 - P656)</f>
        <v>#VALUE!</v>
      </c>
      <c r="R656" s="3" t="e">
        <f>LOOKUP(C656, SweepStudyConfig[StudyId], SweepStudyConfig[SweepCorrectedGap])</f>
        <v>#VALUE!</v>
      </c>
      <c r="S656" s="3" t="e">
        <f>IF(Q656 = "", "", Q656 - R656)</f>
        <v>#VALUE!</v>
      </c>
    </row>
    <row r="657">
      <c r="A657" s="2" t="s">
        <v>3945</v>
      </c>
      <c r="B657" s="3" t="str">
        <f>A657</f>
        <v>mammography-length-bias-f055</v>
      </c>
      <c r="C657" s="2" t="s">
        <v>663</v>
      </c>
      <c r="D657" s="2">
        <v>0.55</v>
      </c>
      <c r="E657" s="3" t="e">
        <f>ABS(D657 - LOOKUP(C657, SweepStudyConfig[StudyId], SweepStudyConfig[OriginalAllocFractionA])) &lt; 0.03</f>
        <v>#VALUE!</v>
      </c>
      <c r="F657" s="3" t="e">
        <f>LOOKUP(C657, SweepStudyConfig[StudyId], SweepStudyConfig[NSweepStratumTotal])</f>
        <v>#VALUE!</v>
      </c>
      <c r="G657" s="3" t="e">
        <f>ROUND(F657 * D657)</f>
        <v>#VALUE!</v>
      </c>
      <c r="H657" s="3" t="e">
        <f>F657 - G657</f>
        <v>#VALUE!</v>
      </c>
      <c r="I657" s="3" t="e">
        <f>LOOKUP(C657, SweepStudyConfig[StudyId], SweepStudyConfig[NFixedA])</f>
        <v>#VALUE!</v>
      </c>
      <c r="J657" s="3" t="e">
        <f>LOOKUP(C657, SweepStudyConfig[StudyId], SweepStudyConfig[NFixedB])</f>
        <v>#VALUE!</v>
      </c>
      <c r="K657" s="3" t="e">
        <f>LOOKUP(C657, SweepStudyConfig[StudyId], SweepStudyConfig[SweepRateA])</f>
        <v>#VALUE!</v>
      </c>
      <c r="L657" s="3" t="e">
        <f>LOOKUP(C657, SweepStudyConfig[StudyId], SweepStudyConfig[SweepRateB])</f>
        <v>#VALUE!</v>
      </c>
      <c r="M657" s="3" t="e">
        <f>LOOKUP(C657, SweepStudyConfig[StudyId], SweepStudyConfig[FixedRateA])</f>
        <v>#VALUE!</v>
      </c>
      <c r="N657" s="3" t="e">
        <f>LOOKUP(C657, SweepStudyConfig[StudyId], SweepStudyConfig[FixedRateB])</f>
        <v>#VALUE!</v>
      </c>
      <c r="O657" s="3" t="e">
        <f>IF(G657 + I657 = 0, "", (G657 * K657 + I657 * M657) / (G657 + I657))</f>
        <v>#VALUE!</v>
      </c>
      <c r="P657" s="3" t="e">
        <f>IF(H657 + J657 = 0, "", (H657 * L657 + J657 * N657) / (H657 + J657))</f>
        <v>#VALUE!</v>
      </c>
      <c r="Q657" s="3" t="e">
        <f>IF(O657 = "", "", O657 - P657)</f>
        <v>#VALUE!</v>
      </c>
      <c r="R657" s="3" t="e">
        <f>LOOKUP(C657, SweepStudyConfig[StudyId], SweepStudyConfig[SweepCorrectedGap])</f>
        <v>#VALUE!</v>
      </c>
      <c r="S657" s="3" t="e">
        <f>IF(Q657 = "", "", Q657 - R657)</f>
        <v>#VALUE!</v>
      </c>
    </row>
    <row r="658">
      <c r="A658" s="2" t="s">
        <v>3946</v>
      </c>
      <c r="B658" s="3" t="str">
        <f>A658</f>
        <v>mammography-length-bias-f065</v>
      </c>
      <c r="C658" s="2" t="s">
        <v>663</v>
      </c>
      <c r="D658" s="2">
        <v>0.65</v>
      </c>
      <c r="E658" s="3" t="e">
        <f>ABS(D658 - LOOKUP(C658, SweepStudyConfig[StudyId], SweepStudyConfig[OriginalAllocFractionA])) &lt; 0.03</f>
        <v>#VALUE!</v>
      </c>
      <c r="F658" s="3" t="e">
        <f>LOOKUP(C658, SweepStudyConfig[StudyId], SweepStudyConfig[NSweepStratumTotal])</f>
        <v>#VALUE!</v>
      </c>
      <c r="G658" s="3" t="e">
        <f>ROUND(F658 * D658)</f>
        <v>#VALUE!</v>
      </c>
      <c r="H658" s="3" t="e">
        <f>F658 - G658</f>
        <v>#VALUE!</v>
      </c>
      <c r="I658" s="3" t="e">
        <f>LOOKUP(C658, SweepStudyConfig[StudyId], SweepStudyConfig[NFixedA])</f>
        <v>#VALUE!</v>
      </c>
      <c r="J658" s="3" t="e">
        <f>LOOKUP(C658, SweepStudyConfig[StudyId], SweepStudyConfig[NFixedB])</f>
        <v>#VALUE!</v>
      </c>
      <c r="K658" s="3" t="e">
        <f>LOOKUP(C658, SweepStudyConfig[StudyId], SweepStudyConfig[SweepRateA])</f>
        <v>#VALUE!</v>
      </c>
      <c r="L658" s="3" t="e">
        <f>LOOKUP(C658, SweepStudyConfig[StudyId], SweepStudyConfig[SweepRateB])</f>
        <v>#VALUE!</v>
      </c>
      <c r="M658" s="3" t="e">
        <f>LOOKUP(C658, SweepStudyConfig[StudyId], SweepStudyConfig[FixedRateA])</f>
        <v>#VALUE!</v>
      </c>
      <c r="N658" s="3" t="e">
        <f>LOOKUP(C658, SweepStudyConfig[StudyId], SweepStudyConfig[FixedRateB])</f>
        <v>#VALUE!</v>
      </c>
      <c r="O658" s="3" t="e">
        <f>IF(G658 + I658 = 0, "", (G658 * K658 + I658 * M658) / (G658 + I658))</f>
        <v>#VALUE!</v>
      </c>
      <c r="P658" s="3" t="e">
        <f>IF(H658 + J658 = 0, "", (H658 * L658 + J658 * N658) / (H658 + J658))</f>
        <v>#VALUE!</v>
      </c>
      <c r="Q658" s="3" t="e">
        <f>IF(O658 = "", "", O658 - P658)</f>
        <v>#VALUE!</v>
      </c>
      <c r="R658" s="3" t="e">
        <f>LOOKUP(C658, SweepStudyConfig[StudyId], SweepStudyConfig[SweepCorrectedGap])</f>
        <v>#VALUE!</v>
      </c>
      <c r="S658" s="3" t="e">
        <f>IF(Q658 = "", "", Q658 - R658)</f>
        <v>#VALUE!</v>
      </c>
    </row>
    <row r="659">
      <c r="A659" s="2" t="s">
        <v>3947</v>
      </c>
      <c r="B659" s="3" t="str">
        <f>A659</f>
        <v>mammography-length-bias-f075</v>
      </c>
      <c r="C659" s="2" t="s">
        <v>663</v>
      </c>
      <c r="D659" s="2">
        <v>0.75</v>
      </c>
      <c r="E659" s="3" t="e">
        <f>ABS(D659 - LOOKUP(C659, SweepStudyConfig[StudyId], SweepStudyConfig[OriginalAllocFractionA])) &lt; 0.03</f>
        <v>#VALUE!</v>
      </c>
      <c r="F659" s="3" t="e">
        <f>LOOKUP(C659, SweepStudyConfig[StudyId], SweepStudyConfig[NSweepStratumTotal])</f>
        <v>#VALUE!</v>
      </c>
      <c r="G659" s="3" t="e">
        <f>ROUND(F659 * D659)</f>
        <v>#VALUE!</v>
      </c>
      <c r="H659" s="3" t="e">
        <f>F659 - G659</f>
        <v>#VALUE!</v>
      </c>
      <c r="I659" s="3" t="e">
        <f>LOOKUP(C659, SweepStudyConfig[StudyId], SweepStudyConfig[NFixedA])</f>
        <v>#VALUE!</v>
      </c>
      <c r="J659" s="3" t="e">
        <f>LOOKUP(C659, SweepStudyConfig[StudyId], SweepStudyConfig[NFixedB])</f>
        <v>#VALUE!</v>
      </c>
      <c r="K659" s="3" t="e">
        <f>LOOKUP(C659, SweepStudyConfig[StudyId], SweepStudyConfig[SweepRateA])</f>
        <v>#VALUE!</v>
      </c>
      <c r="L659" s="3" t="e">
        <f>LOOKUP(C659, SweepStudyConfig[StudyId], SweepStudyConfig[SweepRateB])</f>
        <v>#VALUE!</v>
      </c>
      <c r="M659" s="3" t="e">
        <f>LOOKUP(C659, SweepStudyConfig[StudyId], SweepStudyConfig[FixedRateA])</f>
        <v>#VALUE!</v>
      </c>
      <c r="N659" s="3" t="e">
        <f>LOOKUP(C659, SweepStudyConfig[StudyId], SweepStudyConfig[FixedRateB])</f>
        <v>#VALUE!</v>
      </c>
      <c r="O659" s="3" t="e">
        <f>IF(G659 + I659 = 0, "", (G659 * K659 + I659 * M659) / (G659 + I659))</f>
        <v>#VALUE!</v>
      </c>
      <c r="P659" s="3" t="e">
        <f>IF(H659 + J659 = 0, "", (H659 * L659 + J659 * N659) / (H659 + J659))</f>
        <v>#VALUE!</v>
      </c>
      <c r="Q659" s="3" t="e">
        <f>IF(O659 = "", "", O659 - P659)</f>
        <v>#VALUE!</v>
      </c>
      <c r="R659" s="3" t="e">
        <f>LOOKUP(C659, SweepStudyConfig[StudyId], SweepStudyConfig[SweepCorrectedGap])</f>
        <v>#VALUE!</v>
      </c>
      <c r="S659" s="3" t="e">
        <f>IF(Q659 = "", "", Q659 - R659)</f>
        <v>#VALUE!</v>
      </c>
    </row>
    <row r="660">
      <c r="A660" s="2" t="s">
        <v>3948</v>
      </c>
      <c r="B660" s="3" t="str">
        <f>A660</f>
        <v>mammography-length-bias-f085</v>
      </c>
      <c r="C660" s="2" t="s">
        <v>663</v>
      </c>
      <c r="D660" s="2">
        <v>0.85</v>
      </c>
      <c r="E660" s="3" t="e">
        <f>ABS(D660 - LOOKUP(C660, SweepStudyConfig[StudyId], SweepStudyConfig[OriginalAllocFractionA])) &lt; 0.03</f>
        <v>#VALUE!</v>
      </c>
      <c r="F660" s="3" t="e">
        <f>LOOKUP(C660, SweepStudyConfig[StudyId], SweepStudyConfig[NSweepStratumTotal])</f>
        <v>#VALUE!</v>
      </c>
      <c r="G660" s="3" t="e">
        <f>ROUND(F660 * D660)</f>
        <v>#VALUE!</v>
      </c>
      <c r="H660" s="3" t="e">
        <f>F660 - G660</f>
        <v>#VALUE!</v>
      </c>
      <c r="I660" s="3" t="e">
        <f>LOOKUP(C660, SweepStudyConfig[StudyId], SweepStudyConfig[NFixedA])</f>
        <v>#VALUE!</v>
      </c>
      <c r="J660" s="3" t="e">
        <f>LOOKUP(C660, SweepStudyConfig[StudyId], SweepStudyConfig[NFixedB])</f>
        <v>#VALUE!</v>
      </c>
      <c r="K660" s="3" t="e">
        <f>LOOKUP(C660, SweepStudyConfig[StudyId], SweepStudyConfig[SweepRateA])</f>
        <v>#VALUE!</v>
      </c>
      <c r="L660" s="3" t="e">
        <f>LOOKUP(C660, SweepStudyConfig[StudyId], SweepStudyConfig[SweepRateB])</f>
        <v>#VALUE!</v>
      </c>
      <c r="M660" s="3" t="e">
        <f>LOOKUP(C660, SweepStudyConfig[StudyId], SweepStudyConfig[FixedRateA])</f>
        <v>#VALUE!</v>
      </c>
      <c r="N660" s="3" t="e">
        <f>LOOKUP(C660, SweepStudyConfig[StudyId], SweepStudyConfig[FixedRateB])</f>
        <v>#VALUE!</v>
      </c>
      <c r="O660" s="3" t="e">
        <f>IF(G660 + I660 = 0, "", (G660 * K660 + I660 * M660) / (G660 + I660))</f>
        <v>#VALUE!</v>
      </c>
      <c r="P660" s="3" t="e">
        <f>IF(H660 + J660 = 0, "", (H660 * L660 + J660 * N660) / (H660 + J660))</f>
        <v>#VALUE!</v>
      </c>
      <c r="Q660" s="3" t="e">
        <f>IF(O660 = "", "", O660 - P660)</f>
        <v>#VALUE!</v>
      </c>
      <c r="R660" s="3" t="e">
        <f>LOOKUP(C660, SweepStudyConfig[StudyId], SweepStudyConfig[SweepCorrectedGap])</f>
        <v>#VALUE!</v>
      </c>
      <c r="S660" s="3" t="e">
        <f>IF(Q660 = "", "", Q660 - R660)</f>
        <v>#VALUE!</v>
      </c>
    </row>
    <row r="661">
      <c r="A661" s="2" t="s">
        <v>3949</v>
      </c>
      <c r="B661" s="3" t="str">
        <f>A661</f>
        <v>mammography-length-bias-f095</v>
      </c>
      <c r="C661" s="2" t="s">
        <v>663</v>
      </c>
      <c r="D661" s="2">
        <v>0.95</v>
      </c>
      <c r="E661" s="3" t="e">
        <f>ABS(D661 - LOOKUP(C661, SweepStudyConfig[StudyId], SweepStudyConfig[OriginalAllocFractionA])) &lt; 0.03</f>
        <v>#VALUE!</v>
      </c>
      <c r="F661" s="3" t="e">
        <f>LOOKUP(C661, SweepStudyConfig[StudyId], SweepStudyConfig[NSweepStratumTotal])</f>
        <v>#VALUE!</v>
      </c>
      <c r="G661" s="3" t="e">
        <f>ROUND(F661 * D661)</f>
        <v>#VALUE!</v>
      </c>
      <c r="H661" s="3" t="e">
        <f>F661 - G661</f>
        <v>#VALUE!</v>
      </c>
      <c r="I661" s="3" t="e">
        <f>LOOKUP(C661, SweepStudyConfig[StudyId], SweepStudyConfig[NFixedA])</f>
        <v>#VALUE!</v>
      </c>
      <c r="J661" s="3" t="e">
        <f>LOOKUP(C661, SweepStudyConfig[StudyId], SweepStudyConfig[NFixedB])</f>
        <v>#VALUE!</v>
      </c>
      <c r="K661" s="3" t="e">
        <f>LOOKUP(C661, SweepStudyConfig[StudyId], SweepStudyConfig[SweepRateA])</f>
        <v>#VALUE!</v>
      </c>
      <c r="L661" s="3" t="e">
        <f>LOOKUP(C661, SweepStudyConfig[StudyId], SweepStudyConfig[SweepRateB])</f>
        <v>#VALUE!</v>
      </c>
      <c r="M661" s="3" t="e">
        <f>LOOKUP(C661, SweepStudyConfig[StudyId], SweepStudyConfig[FixedRateA])</f>
        <v>#VALUE!</v>
      </c>
      <c r="N661" s="3" t="e">
        <f>LOOKUP(C661, SweepStudyConfig[StudyId], SweepStudyConfig[FixedRateB])</f>
        <v>#VALUE!</v>
      </c>
      <c r="O661" s="3" t="e">
        <f>IF(G661 + I661 = 0, "", (G661 * K661 + I661 * M661) / (G661 + I661))</f>
        <v>#VALUE!</v>
      </c>
      <c r="P661" s="3" t="e">
        <f>IF(H661 + J661 = 0, "", (H661 * L661 + J661 * N661) / (H661 + J661))</f>
        <v>#VALUE!</v>
      </c>
      <c r="Q661" s="3" t="e">
        <f>IF(O661 = "", "", O661 - P661)</f>
        <v>#VALUE!</v>
      </c>
      <c r="R661" s="3" t="e">
        <f>LOOKUP(C661, SweepStudyConfig[StudyId], SweepStudyConfig[SweepCorrectedGap])</f>
        <v>#VALUE!</v>
      </c>
      <c r="S661" s="3" t="e">
        <f>IF(Q661 = "", "", Q661 - R661)</f>
        <v>#VALUE!</v>
      </c>
    </row>
    <row r="662">
      <c r="A662" s="2" t="s">
        <v>3950</v>
      </c>
      <c r="B662" s="3" t="str">
        <f>A662</f>
        <v>cabg-vs-pci-severity-f005</v>
      </c>
      <c r="C662" s="2" t="s">
        <v>667</v>
      </c>
      <c r="D662" s="2">
        <v>0.05</v>
      </c>
      <c r="E662" s="3" t="e">
        <f>ABS(D662 - LOOKUP(C662, SweepStudyConfig[StudyId], SweepStudyConfig[OriginalAllocFractionA])) &lt; 0.03</f>
        <v>#VALUE!</v>
      </c>
      <c r="F662" s="3" t="e">
        <f>LOOKUP(C662, SweepStudyConfig[StudyId], SweepStudyConfig[NSweepStratumTotal])</f>
        <v>#VALUE!</v>
      </c>
      <c r="G662" s="3" t="e">
        <f>ROUND(F662 * D662)</f>
        <v>#VALUE!</v>
      </c>
      <c r="H662" s="3" t="e">
        <f>F662 - G662</f>
        <v>#VALUE!</v>
      </c>
      <c r="I662" s="3" t="e">
        <f>LOOKUP(C662, SweepStudyConfig[StudyId], SweepStudyConfig[NFixedA])</f>
        <v>#VALUE!</v>
      </c>
      <c r="J662" s="3" t="e">
        <f>LOOKUP(C662, SweepStudyConfig[StudyId], SweepStudyConfig[NFixedB])</f>
        <v>#VALUE!</v>
      </c>
      <c r="K662" s="3" t="e">
        <f>LOOKUP(C662, SweepStudyConfig[StudyId], SweepStudyConfig[SweepRateA])</f>
        <v>#VALUE!</v>
      </c>
      <c r="L662" s="3" t="e">
        <f>LOOKUP(C662, SweepStudyConfig[StudyId], SweepStudyConfig[SweepRateB])</f>
        <v>#VALUE!</v>
      </c>
      <c r="M662" s="3" t="e">
        <f>LOOKUP(C662, SweepStudyConfig[StudyId], SweepStudyConfig[FixedRateA])</f>
        <v>#VALUE!</v>
      </c>
      <c r="N662" s="3" t="e">
        <f>LOOKUP(C662, SweepStudyConfig[StudyId], SweepStudyConfig[FixedRateB])</f>
        <v>#VALUE!</v>
      </c>
      <c r="O662" s="3" t="e">
        <f>IF(G662 + I662 = 0, "", (G662 * K662 + I662 * M662) / (G662 + I662))</f>
        <v>#VALUE!</v>
      </c>
      <c r="P662" s="3" t="e">
        <f>IF(H662 + J662 = 0, "", (H662 * L662 + J662 * N662) / (H662 + J662))</f>
        <v>#VALUE!</v>
      </c>
      <c r="Q662" s="3" t="e">
        <f>IF(O662 = "", "", O662 - P662)</f>
        <v>#VALUE!</v>
      </c>
      <c r="R662" s="3" t="e">
        <f>LOOKUP(C662, SweepStudyConfig[StudyId], SweepStudyConfig[SweepCorrectedGap])</f>
        <v>#VALUE!</v>
      </c>
      <c r="S662" s="3" t="e">
        <f>IF(Q662 = "", "", Q662 - R662)</f>
        <v>#VALUE!</v>
      </c>
    </row>
    <row r="663">
      <c r="A663" s="2" t="s">
        <v>3951</v>
      </c>
      <c r="B663" s="3" t="str">
        <f>A663</f>
        <v>cabg-vs-pci-severity-f015</v>
      </c>
      <c r="C663" s="2" t="s">
        <v>667</v>
      </c>
      <c r="D663" s="2">
        <v>0.15</v>
      </c>
      <c r="E663" s="3" t="e">
        <f>ABS(D663 - LOOKUP(C663, SweepStudyConfig[StudyId], SweepStudyConfig[OriginalAllocFractionA])) &lt; 0.03</f>
        <v>#VALUE!</v>
      </c>
      <c r="F663" s="3" t="e">
        <f>LOOKUP(C663, SweepStudyConfig[StudyId], SweepStudyConfig[NSweepStratumTotal])</f>
        <v>#VALUE!</v>
      </c>
      <c r="G663" s="3" t="e">
        <f>ROUND(F663 * D663)</f>
        <v>#VALUE!</v>
      </c>
      <c r="H663" s="3" t="e">
        <f>F663 - G663</f>
        <v>#VALUE!</v>
      </c>
      <c r="I663" s="3" t="e">
        <f>LOOKUP(C663, SweepStudyConfig[StudyId], SweepStudyConfig[NFixedA])</f>
        <v>#VALUE!</v>
      </c>
      <c r="J663" s="3" t="e">
        <f>LOOKUP(C663, SweepStudyConfig[StudyId], SweepStudyConfig[NFixedB])</f>
        <v>#VALUE!</v>
      </c>
      <c r="K663" s="3" t="e">
        <f>LOOKUP(C663, SweepStudyConfig[StudyId], SweepStudyConfig[SweepRateA])</f>
        <v>#VALUE!</v>
      </c>
      <c r="L663" s="3" t="e">
        <f>LOOKUP(C663, SweepStudyConfig[StudyId], SweepStudyConfig[SweepRateB])</f>
        <v>#VALUE!</v>
      </c>
      <c r="M663" s="3" t="e">
        <f>LOOKUP(C663, SweepStudyConfig[StudyId], SweepStudyConfig[FixedRateA])</f>
        <v>#VALUE!</v>
      </c>
      <c r="N663" s="3" t="e">
        <f>LOOKUP(C663, SweepStudyConfig[StudyId], SweepStudyConfig[FixedRateB])</f>
        <v>#VALUE!</v>
      </c>
      <c r="O663" s="3" t="e">
        <f>IF(G663 + I663 = 0, "", (G663 * K663 + I663 * M663) / (G663 + I663))</f>
        <v>#VALUE!</v>
      </c>
      <c r="P663" s="3" t="e">
        <f>IF(H663 + J663 = 0, "", (H663 * L663 + J663 * N663) / (H663 + J663))</f>
        <v>#VALUE!</v>
      </c>
      <c r="Q663" s="3" t="e">
        <f>IF(O663 = "", "", O663 - P663)</f>
        <v>#VALUE!</v>
      </c>
      <c r="R663" s="3" t="e">
        <f>LOOKUP(C663, SweepStudyConfig[StudyId], SweepStudyConfig[SweepCorrectedGap])</f>
        <v>#VALUE!</v>
      </c>
      <c r="S663" s="3" t="e">
        <f>IF(Q663 = "", "", Q663 - R663)</f>
        <v>#VALUE!</v>
      </c>
    </row>
    <row r="664">
      <c r="A664" s="2" t="s">
        <v>3952</v>
      </c>
      <c r="B664" s="3" t="str">
        <f>A664</f>
        <v>cabg-vs-pci-severity-f025</v>
      </c>
      <c r="C664" s="2" t="s">
        <v>667</v>
      </c>
      <c r="D664" s="2">
        <v>0.25</v>
      </c>
      <c r="E664" s="3" t="e">
        <f>ABS(D664 - LOOKUP(C664, SweepStudyConfig[StudyId], SweepStudyConfig[OriginalAllocFractionA])) &lt; 0.03</f>
        <v>#VALUE!</v>
      </c>
      <c r="F664" s="3" t="e">
        <f>LOOKUP(C664, SweepStudyConfig[StudyId], SweepStudyConfig[NSweepStratumTotal])</f>
        <v>#VALUE!</v>
      </c>
      <c r="G664" s="3" t="e">
        <f>ROUND(F664 * D664)</f>
        <v>#VALUE!</v>
      </c>
      <c r="H664" s="3" t="e">
        <f>F664 - G664</f>
        <v>#VALUE!</v>
      </c>
      <c r="I664" s="3" t="e">
        <f>LOOKUP(C664, SweepStudyConfig[StudyId], SweepStudyConfig[NFixedA])</f>
        <v>#VALUE!</v>
      </c>
      <c r="J664" s="3" t="e">
        <f>LOOKUP(C664, SweepStudyConfig[StudyId], SweepStudyConfig[NFixedB])</f>
        <v>#VALUE!</v>
      </c>
      <c r="K664" s="3" t="e">
        <f>LOOKUP(C664, SweepStudyConfig[StudyId], SweepStudyConfig[SweepRateA])</f>
        <v>#VALUE!</v>
      </c>
      <c r="L664" s="3" t="e">
        <f>LOOKUP(C664, SweepStudyConfig[StudyId], SweepStudyConfig[SweepRateB])</f>
        <v>#VALUE!</v>
      </c>
      <c r="M664" s="3" t="e">
        <f>LOOKUP(C664, SweepStudyConfig[StudyId], SweepStudyConfig[FixedRateA])</f>
        <v>#VALUE!</v>
      </c>
      <c r="N664" s="3" t="e">
        <f>LOOKUP(C664, SweepStudyConfig[StudyId], SweepStudyConfig[FixedRateB])</f>
        <v>#VALUE!</v>
      </c>
      <c r="O664" s="3" t="e">
        <f>IF(G664 + I664 = 0, "", (G664 * K664 + I664 * M664) / (G664 + I664))</f>
        <v>#VALUE!</v>
      </c>
      <c r="P664" s="3" t="e">
        <f>IF(H664 + J664 = 0, "", (H664 * L664 + J664 * N664) / (H664 + J664))</f>
        <v>#VALUE!</v>
      </c>
      <c r="Q664" s="3" t="e">
        <f>IF(O664 = "", "", O664 - P664)</f>
        <v>#VALUE!</v>
      </c>
      <c r="R664" s="3" t="e">
        <f>LOOKUP(C664, SweepStudyConfig[StudyId], SweepStudyConfig[SweepCorrectedGap])</f>
        <v>#VALUE!</v>
      </c>
      <c r="S664" s="3" t="e">
        <f>IF(Q664 = "", "", Q664 - R664)</f>
        <v>#VALUE!</v>
      </c>
    </row>
    <row r="665">
      <c r="A665" s="2" t="s">
        <v>3953</v>
      </c>
      <c r="B665" s="3" t="str">
        <f>A665</f>
        <v>cabg-vs-pci-severity-f035</v>
      </c>
      <c r="C665" s="2" t="s">
        <v>667</v>
      </c>
      <c r="D665" s="2">
        <v>0.35</v>
      </c>
      <c r="E665" s="3" t="e">
        <f>ABS(D665 - LOOKUP(C665, SweepStudyConfig[StudyId], SweepStudyConfig[OriginalAllocFractionA])) &lt; 0.03</f>
        <v>#VALUE!</v>
      </c>
      <c r="F665" s="3" t="e">
        <f>LOOKUP(C665, SweepStudyConfig[StudyId], SweepStudyConfig[NSweepStratumTotal])</f>
        <v>#VALUE!</v>
      </c>
      <c r="G665" s="3" t="e">
        <f>ROUND(F665 * D665)</f>
        <v>#VALUE!</v>
      </c>
      <c r="H665" s="3" t="e">
        <f>F665 - G665</f>
        <v>#VALUE!</v>
      </c>
      <c r="I665" s="3" t="e">
        <f>LOOKUP(C665, SweepStudyConfig[StudyId], SweepStudyConfig[NFixedA])</f>
        <v>#VALUE!</v>
      </c>
      <c r="J665" s="3" t="e">
        <f>LOOKUP(C665, SweepStudyConfig[StudyId], SweepStudyConfig[NFixedB])</f>
        <v>#VALUE!</v>
      </c>
      <c r="K665" s="3" t="e">
        <f>LOOKUP(C665, SweepStudyConfig[StudyId], SweepStudyConfig[SweepRateA])</f>
        <v>#VALUE!</v>
      </c>
      <c r="L665" s="3" t="e">
        <f>LOOKUP(C665, SweepStudyConfig[StudyId], SweepStudyConfig[SweepRateB])</f>
        <v>#VALUE!</v>
      </c>
      <c r="M665" s="3" t="e">
        <f>LOOKUP(C665, SweepStudyConfig[StudyId], SweepStudyConfig[FixedRateA])</f>
        <v>#VALUE!</v>
      </c>
      <c r="N665" s="3" t="e">
        <f>LOOKUP(C665, SweepStudyConfig[StudyId], SweepStudyConfig[FixedRateB])</f>
        <v>#VALUE!</v>
      </c>
      <c r="O665" s="3" t="e">
        <f>IF(G665 + I665 = 0, "", (G665 * K665 + I665 * M665) / (G665 + I665))</f>
        <v>#VALUE!</v>
      </c>
      <c r="P665" s="3" t="e">
        <f>IF(H665 + J665 = 0, "", (H665 * L665 + J665 * N665) / (H665 + J665))</f>
        <v>#VALUE!</v>
      </c>
      <c r="Q665" s="3" t="e">
        <f>IF(O665 = "", "", O665 - P665)</f>
        <v>#VALUE!</v>
      </c>
      <c r="R665" s="3" t="e">
        <f>LOOKUP(C665, SweepStudyConfig[StudyId], SweepStudyConfig[SweepCorrectedGap])</f>
        <v>#VALUE!</v>
      </c>
      <c r="S665" s="3" t="e">
        <f>IF(Q665 = "", "", Q665 - R665)</f>
        <v>#VALUE!</v>
      </c>
    </row>
    <row r="666">
      <c r="A666" s="2" t="s">
        <v>3954</v>
      </c>
      <c r="B666" s="3" t="str">
        <f>A666</f>
        <v>cabg-vs-pci-severity-f045</v>
      </c>
      <c r="C666" s="2" t="s">
        <v>667</v>
      </c>
      <c r="D666" s="2">
        <v>0.45</v>
      </c>
      <c r="E666" s="3" t="e">
        <f>ABS(D666 - LOOKUP(C666, SweepStudyConfig[StudyId], SweepStudyConfig[OriginalAllocFractionA])) &lt; 0.03</f>
        <v>#VALUE!</v>
      </c>
      <c r="F666" s="3" t="e">
        <f>LOOKUP(C666, SweepStudyConfig[StudyId], SweepStudyConfig[NSweepStratumTotal])</f>
        <v>#VALUE!</v>
      </c>
      <c r="G666" s="3" t="e">
        <f>ROUND(F666 * D666)</f>
        <v>#VALUE!</v>
      </c>
      <c r="H666" s="3" t="e">
        <f>F666 - G666</f>
        <v>#VALUE!</v>
      </c>
      <c r="I666" s="3" t="e">
        <f>LOOKUP(C666, SweepStudyConfig[StudyId], SweepStudyConfig[NFixedA])</f>
        <v>#VALUE!</v>
      </c>
      <c r="J666" s="3" t="e">
        <f>LOOKUP(C666, SweepStudyConfig[StudyId], SweepStudyConfig[NFixedB])</f>
        <v>#VALUE!</v>
      </c>
      <c r="K666" s="3" t="e">
        <f>LOOKUP(C666, SweepStudyConfig[StudyId], SweepStudyConfig[SweepRateA])</f>
        <v>#VALUE!</v>
      </c>
      <c r="L666" s="3" t="e">
        <f>LOOKUP(C666, SweepStudyConfig[StudyId], SweepStudyConfig[SweepRateB])</f>
        <v>#VALUE!</v>
      </c>
      <c r="M666" s="3" t="e">
        <f>LOOKUP(C666, SweepStudyConfig[StudyId], SweepStudyConfig[FixedRateA])</f>
        <v>#VALUE!</v>
      </c>
      <c r="N666" s="3" t="e">
        <f>LOOKUP(C666, SweepStudyConfig[StudyId], SweepStudyConfig[FixedRateB])</f>
        <v>#VALUE!</v>
      </c>
      <c r="O666" s="3" t="e">
        <f>IF(G666 + I666 = 0, "", (G666 * K666 + I666 * M666) / (G666 + I666))</f>
        <v>#VALUE!</v>
      </c>
      <c r="P666" s="3" t="e">
        <f>IF(H666 + J666 = 0, "", (H666 * L666 + J666 * N666) / (H666 + J666))</f>
        <v>#VALUE!</v>
      </c>
      <c r="Q666" s="3" t="e">
        <f>IF(O666 = "", "", O666 - P666)</f>
        <v>#VALUE!</v>
      </c>
      <c r="R666" s="3" t="e">
        <f>LOOKUP(C666, SweepStudyConfig[StudyId], SweepStudyConfig[SweepCorrectedGap])</f>
        <v>#VALUE!</v>
      </c>
      <c r="S666" s="3" t="e">
        <f>IF(Q666 = "", "", Q666 - R666)</f>
        <v>#VALUE!</v>
      </c>
    </row>
    <row r="667">
      <c r="A667" s="2" t="s">
        <v>3955</v>
      </c>
      <c r="B667" s="3" t="str">
        <f>A667</f>
        <v>cabg-vs-pci-severity-f055</v>
      </c>
      <c r="C667" s="2" t="s">
        <v>667</v>
      </c>
      <c r="D667" s="2">
        <v>0.55</v>
      </c>
      <c r="E667" s="3" t="e">
        <f>ABS(D667 - LOOKUP(C667, SweepStudyConfig[StudyId], SweepStudyConfig[OriginalAllocFractionA])) &lt; 0.03</f>
        <v>#VALUE!</v>
      </c>
      <c r="F667" s="3" t="e">
        <f>LOOKUP(C667, SweepStudyConfig[StudyId], SweepStudyConfig[NSweepStratumTotal])</f>
        <v>#VALUE!</v>
      </c>
      <c r="G667" s="3" t="e">
        <f>ROUND(F667 * D667)</f>
        <v>#VALUE!</v>
      </c>
      <c r="H667" s="3" t="e">
        <f>F667 - G667</f>
        <v>#VALUE!</v>
      </c>
      <c r="I667" s="3" t="e">
        <f>LOOKUP(C667, SweepStudyConfig[StudyId], SweepStudyConfig[NFixedA])</f>
        <v>#VALUE!</v>
      </c>
      <c r="J667" s="3" t="e">
        <f>LOOKUP(C667, SweepStudyConfig[StudyId], SweepStudyConfig[NFixedB])</f>
        <v>#VALUE!</v>
      </c>
      <c r="K667" s="3" t="e">
        <f>LOOKUP(C667, SweepStudyConfig[StudyId], SweepStudyConfig[SweepRateA])</f>
        <v>#VALUE!</v>
      </c>
      <c r="L667" s="3" t="e">
        <f>LOOKUP(C667, SweepStudyConfig[StudyId], SweepStudyConfig[SweepRateB])</f>
        <v>#VALUE!</v>
      </c>
      <c r="M667" s="3" t="e">
        <f>LOOKUP(C667, SweepStudyConfig[StudyId], SweepStudyConfig[FixedRateA])</f>
        <v>#VALUE!</v>
      </c>
      <c r="N667" s="3" t="e">
        <f>LOOKUP(C667, SweepStudyConfig[StudyId], SweepStudyConfig[FixedRateB])</f>
        <v>#VALUE!</v>
      </c>
      <c r="O667" s="3" t="e">
        <f>IF(G667 + I667 = 0, "", (G667 * K667 + I667 * M667) / (G667 + I667))</f>
        <v>#VALUE!</v>
      </c>
      <c r="P667" s="3" t="e">
        <f>IF(H667 + J667 = 0, "", (H667 * L667 + J667 * N667) / (H667 + J667))</f>
        <v>#VALUE!</v>
      </c>
      <c r="Q667" s="3" t="e">
        <f>IF(O667 = "", "", O667 - P667)</f>
        <v>#VALUE!</v>
      </c>
      <c r="R667" s="3" t="e">
        <f>LOOKUP(C667, SweepStudyConfig[StudyId], SweepStudyConfig[SweepCorrectedGap])</f>
        <v>#VALUE!</v>
      </c>
      <c r="S667" s="3" t="e">
        <f>IF(Q667 = "", "", Q667 - R667)</f>
        <v>#VALUE!</v>
      </c>
    </row>
    <row r="668">
      <c r="A668" s="2" t="s">
        <v>3956</v>
      </c>
      <c r="B668" s="3" t="str">
        <f>A668</f>
        <v>cabg-vs-pci-severity-f065</v>
      </c>
      <c r="C668" s="2" t="s">
        <v>667</v>
      </c>
      <c r="D668" s="2">
        <v>0.65</v>
      </c>
      <c r="E668" s="3" t="e">
        <f>ABS(D668 - LOOKUP(C668, SweepStudyConfig[StudyId], SweepStudyConfig[OriginalAllocFractionA])) &lt; 0.03</f>
        <v>#VALUE!</v>
      </c>
      <c r="F668" s="3" t="e">
        <f>LOOKUP(C668, SweepStudyConfig[StudyId], SweepStudyConfig[NSweepStratumTotal])</f>
        <v>#VALUE!</v>
      </c>
      <c r="G668" s="3" t="e">
        <f>ROUND(F668 * D668)</f>
        <v>#VALUE!</v>
      </c>
      <c r="H668" s="3" t="e">
        <f>F668 - G668</f>
        <v>#VALUE!</v>
      </c>
      <c r="I668" s="3" t="e">
        <f>LOOKUP(C668, SweepStudyConfig[StudyId], SweepStudyConfig[NFixedA])</f>
        <v>#VALUE!</v>
      </c>
      <c r="J668" s="3" t="e">
        <f>LOOKUP(C668, SweepStudyConfig[StudyId], SweepStudyConfig[NFixedB])</f>
        <v>#VALUE!</v>
      </c>
      <c r="K668" s="3" t="e">
        <f>LOOKUP(C668, SweepStudyConfig[StudyId], SweepStudyConfig[SweepRateA])</f>
        <v>#VALUE!</v>
      </c>
      <c r="L668" s="3" t="e">
        <f>LOOKUP(C668, SweepStudyConfig[StudyId], SweepStudyConfig[SweepRateB])</f>
        <v>#VALUE!</v>
      </c>
      <c r="M668" s="3" t="e">
        <f>LOOKUP(C668, SweepStudyConfig[StudyId], SweepStudyConfig[FixedRateA])</f>
        <v>#VALUE!</v>
      </c>
      <c r="N668" s="3" t="e">
        <f>LOOKUP(C668, SweepStudyConfig[StudyId], SweepStudyConfig[FixedRateB])</f>
        <v>#VALUE!</v>
      </c>
      <c r="O668" s="3" t="e">
        <f>IF(G668 + I668 = 0, "", (G668 * K668 + I668 * M668) / (G668 + I668))</f>
        <v>#VALUE!</v>
      </c>
      <c r="P668" s="3" t="e">
        <f>IF(H668 + J668 = 0, "", (H668 * L668 + J668 * N668) / (H668 + J668))</f>
        <v>#VALUE!</v>
      </c>
      <c r="Q668" s="3" t="e">
        <f>IF(O668 = "", "", O668 - P668)</f>
        <v>#VALUE!</v>
      </c>
      <c r="R668" s="3" t="e">
        <f>LOOKUP(C668, SweepStudyConfig[StudyId], SweepStudyConfig[SweepCorrectedGap])</f>
        <v>#VALUE!</v>
      </c>
      <c r="S668" s="3" t="e">
        <f>IF(Q668 = "", "", Q668 - R668)</f>
        <v>#VALUE!</v>
      </c>
    </row>
    <row r="669">
      <c r="A669" s="2" t="s">
        <v>3957</v>
      </c>
      <c r="B669" s="3" t="str">
        <f>A669</f>
        <v>cabg-vs-pci-severity-f075</v>
      </c>
      <c r="C669" s="2" t="s">
        <v>667</v>
      </c>
      <c r="D669" s="2">
        <v>0.75</v>
      </c>
      <c r="E669" s="3" t="e">
        <f>ABS(D669 - LOOKUP(C669, SweepStudyConfig[StudyId], SweepStudyConfig[OriginalAllocFractionA])) &lt; 0.03</f>
        <v>#VALUE!</v>
      </c>
      <c r="F669" s="3" t="e">
        <f>LOOKUP(C669, SweepStudyConfig[StudyId], SweepStudyConfig[NSweepStratumTotal])</f>
        <v>#VALUE!</v>
      </c>
      <c r="G669" s="3" t="e">
        <f>ROUND(F669 * D669)</f>
        <v>#VALUE!</v>
      </c>
      <c r="H669" s="3" t="e">
        <f>F669 - G669</f>
        <v>#VALUE!</v>
      </c>
      <c r="I669" s="3" t="e">
        <f>LOOKUP(C669, SweepStudyConfig[StudyId], SweepStudyConfig[NFixedA])</f>
        <v>#VALUE!</v>
      </c>
      <c r="J669" s="3" t="e">
        <f>LOOKUP(C669, SweepStudyConfig[StudyId], SweepStudyConfig[NFixedB])</f>
        <v>#VALUE!</v>
      </c>
      <c r="K669" s="3" t="e">
        <f>LOOKUP(C669, SweepStudyConfig[StudyId], SweepStudyConfig[SweepRateA])</f>
        <v>#VALUE!</v>
      </c>
      <c r="L669" s="3" t="e">
        <f>LOOKUP(C669, SweepStudyConfig[StudyId], SweepStudyConfig[SweepRateB])</f>
        <v>#VALUE!</v>
      </c>
      <c r="M669" s="3" t="e">
        <f>LOOKUP(C669, SweepStudyConfig[StudyId], SweepStudyConfig[FixedRateA])</f>
        <v>#VALUE!</v>
      </c>
      <c r="N669" s="3" t="e">
        <f>LOOKUP(C669, SweepStudyConfig[StudyId], SweepStudyConfig[FixedRateB])</f>
        <v>#VALUE!</v>
      </c>
      <c r="O669" s="3" t="e">
        <f>IF(G669 + I669 = 0, "", (G669 * K669 + I669 * M669) / (G669 + I669))</f>
        <v>#VALUE!</v>
      </c>
      <c r="P669" s="3" t="e">
        <f>IF(H669 + J669 = 0, "", (H669 * L669 + J669 * N669) / (H669 + J669))</f>
        <v>#VALUE!</v>
      </c>
      <c r="Q669" s="3" t="e">
        <f>IF(O669 = "", "", O669 - P669)</f>
        <v>#VALUE!</v>
      </c>
      <c r="R669" s="3" t="e">
        <f>LOOKUP(C669, SweepStudyConfig[StudyId], SweepStudyConfig[SweepCorrectedGap])</f>
        <v>#VALUE!</v>
      </c>
      <c r="S669" s="3" t="e">
        <f>IF(Q669 = "", "", Q669 - R669)</f>
        <v>#VALUE!</v>
      </c>
    </row>
    <row r="670">
      <c r="A670" s="2" t="s">
        <v>3958</v>
      </c>
      <c r="B670" s="3" t="str">
        <f>A670</f>
        <v>cabg-vs-pci-severity-f085</v>
      </c>
      <c r="C670" s="2" t="s">
        <v>667</v>
      </c>
      <c r="D670" s="2">
        <v>0.85</v>
      </c>
      <c r="E670" s="3" t="e">
        <f>ABS(D670 - LOOKUP(C670, SweepStudyConfig[StudyId], SweepStudyConfig[OriginalAllocFractionA])) &lt; 0.03</f>
        <v>#VALUE!</v>
      </c>
      <c r="F670" s="3" t="e">
        <f>LOOKUP(C670, SweepStudyConfig[StudyId], SweepStudyConfig[NSweepStratumTotal])</f>
        <v>#VALUE!</v>
      </c>
      <c r="G670" s="3" t="e">
        <f>ROUND(F670 * D670)</f>
        <v>#VALUE!</v>
      </c>
      <c r="H670" s="3" t="e">
        <f>F670 - G670</f>
        <v>#VALUE!</v>
      </c>
      <c r="I670" s="3" t="e">
        <f>LOOKUP(C670, SweepStudyConfig[StudyId], SweepStudyConfig[NFixedA])</f>
        <v>#VALUE!</v>
      </c>
      <c r="J670" s="3" t="e">
        <f>LOOKUP(C670, SweepStudyConfig[StudyId], SweepStudyConfig[NFixedB])</f>
        <v>#VALUE!</v>
      </c>
      <c r="K670" s="3" t="e">
        <f>LOOKUP(C670, SweepStudyConfig[StudyId], SweepStudyConfig[SweepRateA])</f>
        <v>#VALUE!</v>
      </c>
      <c r="L670" s="3" t="e">
        <f>LOOKUP(C670, SweepStudyConfig[StudyId], SweepStudyConfig[SweepRateB])</f>
        <v>#VALUE!</v>
      </c>
      <c r="M670" s="3" t="e">
        <f>LOOKUP(C670, SweepStudyConfig[StudyId], SweepStudyConfig[FixedRateA])</f>
        <v>#VALUE!</v>
      </c>
      <c r="N670" s="3" t="e">
        <f>LOOKUP(C670, SweepStudyConfig[StudyId], SweepStudyConfig[FixedRateB])</f>
        <v>#VALUE!</v>
      </c>
      <c r="O670" s="3" t="e">
        <f>IF(G670 + I670 = 0, "", (G670 * K670 + I670 * M670) / (G670 + I670))</f>
        <v>#VALUE!</v>
      </c>
      <c r="P670" s="3" t="e">
        <f>IF(H670 + J670 = 0, "", (H670 * L670 + J670 * N670) / (H670 + J670))</f>
        <v>#VALUE!</v>
      </c>
      <c r="Q670" s="3" t="e">
        <f>IF(O670 = "", "", O670 - P670)</f>
        <v>#VALUE!</v>
      </c>
      <c r="R670" s="3" t="e">
        <f>LOOKUP(C670, SweepStudyConfig[StudyId], SweepStudyConfig[SweepCorrectedGap])</f>
        <v>#VALUE!</v>
      </c>
      <c r="S670" s="3" t="e">
        <f>IF(Q670 = "", "", Q670 - R670)</f>
        <v>#VALUE!</v>
      </c>
    </row>
    <row r="671">
      <c r="A671" s="2" t="s">
        <v>3959</v>
      </c>
      <c r="B671" s="3" t="str">
        <f>A671</f>
        <v>cabg-vs-pci-severity-f095</v>
      </c>
      <c r="C671" s="2" t="s">
        <v>667</v>
      </c>
      <c r="D671" s="2">
        <v>0.95</v>
      </c>
      <c r="E671" s="3" t="e">
        <f>ABS(D671 - LOOKUP(C671, SweepStudyConfig[StudyId], SweepStudyConfig[OriginalAllocFractionA])) &lt; 0.03</f>
        <v>#VALUE!</v>
      </c>
      <c r="F671" s="3" t="e">
        <f>LOOKUP(C671, SweepStudyConfig[StudyId], SweepStudyConfig[NSweepStratumTotal])</f>
        <v>#VALUE!</v>
      </c>
      <c r="G671" s="3" t="e">
        <f>ROUND(F671 * D671)</f>
        <v>#VALUE!</v>
      </c>
      <c r="H671" s="3" t="e">
        <f>F671 - G671</f>
        <v>#VALUE!</v>
      </c>
      <c r="I671" s="3" t="e">
        <f>LOOKUP(C671, SweepStudyConfig[StudyId], SweepStudyConfig[NFixedA])</f>
        <v>#VALUE!</v>
      </c>
      <c r="J671" s="3" t="e">
        <f>LOOKUP(C671, SweepStudyConfig[StudyId], SweepStudyConfig[NFixedB])</f>
        <v>#VALUE!</v>
      </c>
      <c r="K671" s="3" t="e">
        <f>LOOKUP(C671, SweepStudyConfig[StudyId], SweepStudyConfig[SweepRateA])</f>
        <v>#VALUE!</v>
      </c>
      <c r="L671" s="3" t="e">
        <f>LOOKUP(C671, SweepStudyConfig[StudyId], SweepStudyConfig[SweepRateB])</f>
        <v>#VALUE!</v>
      </c>
      <c r="M671" s="3" t="e">
        <f>LOOKUP(C671, SweepStudyConfig[StudyId], SweepStudyConfig[FixedRateA])</f>
        <v>#VALUE!</v>
      </c>
      <c r="N671" s="3" t="e">
        <f>LOOKUP(C671, SweepStudyConfig[StudyId], SweepStudyConfig[FixedRateB])</f>
        <v>#VALUE!</v>
      </c>
      <c r="O671" s="3" t="e">
        <f>IF(G671 + I671 = 0, "", (G671 * K671 + I671 * M671) / (G671 + I671))</f>
        <v>#VALUE!</v>
      </c>
      <c r="P671" s="3" t="e">
        <f>IF(H671 + J671 = 0, "", (H671 * L671 + J671 * N671) / (H671 + J671))</f>
        <v>#VALUE!</v>
      </c>
      <c r="Q671" s="3" t="e">
        <f>IF(O671 = "", "", O671 - P671)</f>
        <v>#VALUE!</v>
      </c>
      <c r="R671" s="3" t="e">
        <f>LOOKUP(C671, SweepStudyConfig[StudyId], SweepStudyConfig[SweepCorrectedGap])</f>
        <v>#VALUE!</v>
      </c>
      <c r="S671" s="3" t="e">
        <f>IF(Q671 = "", "", Q671 - R671)</f>
        <v>#VALUE!</v>
      </c>
    </row>
    <row r="672">
      <c r="A672" s="2" t="s">
        <v>3960</v>
      </c>
      <c r="B672" s="3" t="str">
        <f>A672</f>
        <v>tolbutamide-ugdp-1970-f005</v>
      </c>
      <c r="C672" s="2" t="s">
        <v>671</v>
      </c>
      <c r="D672" s="2">
        <v>0.05</v>
      </c>
      <c r="E672" s="3" t="e">
        <f>ABS(D672 - LOOKUP(C672, SweepStudyConfig[StudyId], SweepStudyConfig[OriginalAllocFractionA])) &lt; 0.03</f>
        <v>#VALUE!</v>
      </c>
      <c r="F672" s="3" t="e">
        <f>LOOKUP(C672, SweepStudyConfig[StudyId], SweepStudyConfig[NSweepStratumTotal])</f>
        <v>#VALUE!</v>
      </c>
      <c r="G672" s="3" t="e">
        <f>ROUND(F672 * D672)</f>
        <v>#VALUE!</v>
      </c>
      <c r="H672" s="3" t="e">
        <f>F672 - G672</f>
        <v>#VALUE!</v>
      </c>
      <c r="I672" s="3" t="e">
        <f>LOOKUP(C672, SweepStudyConfig[StudyId], SweepStudyConfig[NFixedA])</f>
        <v>#VALUE!</v>
      </c>
      <c r="J672" s="3" t="e">
        <f>LOOKUP(C672, SweepStudyConfig[StudyId], SweepStudyConfig[NFixedB])</f>
        <v>#VALUE!</v>
      </c>
      <c r="K672" s="3" t="e">
        <f>LOOKUP(C672, SweepStudyConfig[StudyId], SweepStudyConfig[SweepRateA])</f>
        <v>#VALUE!</v>
      </c>
      <c r="L672" s="3" t="e">
        <f>LOOKUP(C672, SweepStudyConfig[StudyId], SweepStudyConfig[SweepRateB])</f>
        <v>#VALUE!</v>
      </c>
      <c r="M672" s="3" t="e">
        <f>LOOKUP(C672, SweepStudyConfig[StudyId], SweepStudyConfig[FixedRateA])</f>
        <v>#VALUE!</v>
      </c>
      <c r="N672" s="3" t="e">
        <f>LOOKUP(C672, SweepStudyConfig[StudyId], SweepStudyConfig[FixedRateB])</f>
        <v>#VALUE!</v>
      </c>
      <c r="O672" s="3" t="e">
        <f>IF(G672 + I672 = 0, "", (G672 * K672 + I672 * M672) / (G672 + I672))</f>
        <v>#VALUE!</v>
      </c>
      <c r="P672" s="3" t="e">
        <f>IF(H672 + J672 = 0, "", (H672 * L672 + J672 * N672) / (H672 + J672))</f>
        <v>#VALUE!</v>
      </c>
      <c r="Q672" s="3" t="e">
        <f>IF(O672 = "", "", O672 - P672)</f>
        <v>#VALUE!</v>
      </c>
      <c r="R672" s="3" t="e">
        <f>LOOKUP(C672, SweepStudyConfig[StudyId], SweepStudyConfig[SweepCorrectedGap])</f>
        <v>#VALUE!</v>
      </c>
      <c r="S672" s="3" t="e">
        <f>IF(Q672 = "", "", Q672 - R672)</f>
        <v>#VALUE!</v>
      </c>
    </row>
    <row r="673">
      <c r="A673" s="2" t="s">
        <v>3961</v>
      </c>
      <c r="B673" s="3" t="str">
        <f>A673</f>
        <v>tolbutamide-ugdp-1970-f015</v>
      </c>
      <c r="C673" s="2" t="s">
        <v>671</v>
      </c>
      <c r="D673" s="2">
        <v>0.15</v>
      </c>
      <c r="E673" s="3" t="e">
        <f>ABS(D673 - LOOKUP(C673, SweepStudyConfig[StudyId], SweepStudyConfig[OriginalAllocFractionA])) &lt; 0.03</f>
        <v>#VALUE!</v>
      </c>
      <c r="F673" s="3" t="e">
        <f>LOOKUP(C673, SweepStudyConfig[StudyId], SweepStudyConfig[NSweepStratumTotal])</f>
        <v>#VALUE!</v>
      </c>
      <c r="G673" s="3" t="e">
        <f>ROUND(F673 * D673)</f>
        <v>#VALUE!</v>
      </c>
      <c r="H673" s="3" t="e">
        <f>F673 - G673</f>
        <v>#VALUE!</v>
      </c>
      <c r="I673" s="3" t="e">
        <f>LOOKUP(C673, SweepStudyConfig[StudyId], SweepStudyConfig[NFixedA])</f>
        <v>#VALUE!</v>
      </c>
      <c r="J673" s="3" t="e">
        <f>LOOKUP(C673, SweepStudyConfig[StudyId], SweepStudyConfig[NFixedB])</f>
        <v>#VALUE!</v>
      </c>
      <c r="K673" s="3" t="e">
        <f>LOOKUP(C673, SweepStudyConfig[StudyId], SweepStudyConfig[SweepRateA])</f>
        <v>#VALUE!</v>
      </c>
      <c r="L673" s="3" t="e">
        <f>LOOKUP(C673, SweepStudyConfig[StudyId], SweepStudyConfig[SweepRateB])</f>
        <v>#VALUE!</v>
      </c>
      <c r="M673" s="3" t="e">
        <f>LOOKUP(C673, SweepStudyConfig[StudyId], SweepStudyConfig[FixedRateA])</f>
        <v>#VALUE!</v>
      </c>
      <c r="N673" s="3" t="e">
        <f>LOOKUP(C673, SweepStudyConfig[StudyId], SweepStudyConfig[FixedRateB])</f>
        <v>#VALUE!</v>
      </c>
      <c r="O673" s="3" t="e">
        <f>IF(G673 + I673 = 0, "", (G673 * K673 + I673 * M673) / (G673 + I673))</f>
        <v>#VALUE!</v>
      </c>
      <c r="P673" s="3" t="e">
        <f>IF(H673 + J673 = 0, "", (H673 * L673 + J673 * N673) / (H673 + J673))</f>
        <v>#VALUE!</v>
      </c>
      <c r="Q673" s="3" t="e">
        <f>IF(O673 = "", "", O673 - P673)</f>
        <v>#VALUE!</v>
      </c>
      <c r="R673" s="3" t="e">
        <f>LOOKUP(C673, SweepStudyConfig[StudyId], SweepStudyConfig[SweepCorrectedGap])</f>
        <v>#VALUE!</v>
      </c>
      <c r="S673" s="3" t="e">
        <f>IF(Q673 = "", "", Q673 - R673)</f>
        <v>#VALUE!</v>
      </c>
    </row>
    <row r="674">
      <c r="A674" s="2" t="s">
        <v>3962</v>
      </c>
      <c r="B674" s="3" t="str">
        <f>A674</f>
        <v>tolbutamide-ugdp-1970-f025</v>
      </c>
      <c r="C674" s="2" t="s">
        <v>671</v>
      </c>
      <c r="D674" s="2">
        <v>0.25</v>
      </c>
      <c r="E674" s="3" t="e">
        <f>ABS(D674 - LOOKUP(C674, SweepStudyConfig[StudyId], SweepStudyConfig[OriginalAllocFractionA])) &lt; 0.03</f>
        <v>#VALUE!</v>
      </c>
      <c r="F674" s="3" t="e">
        <f>LOOKUP(C674, SweepStudyConfig[StudyId], SweepStudyConfig[NSweepStratumTotal])</f>
        <v>#VALUE!</v>
      </c>
      <c r="G674" s="3" t="e">
        <f>ROUND(F674 * D674)</f>
        <v>#VALUE!</v>
      </c>
      <c r="H674" s="3" t="e">
        <f>F674 - G674</f>
        <v>#VALUE!</v>
      </c>
      <c r="I674" s="3" t="e">
        <f>LOOKUP(C674, SweepStudyConfig[StudyId], SweepStudyConfig[NFixedA])</f>
        <v>#VALUE!</v>
      </c>
      <c r="J674" s="3" t="e">
        <f>LOOKUP(C674, SweepStudyConfig[StudyId], SweepStudyConfig[NFixedB])</f>
        <v>#VALUE!</v>
      </c>
      <c r="K674" s="3" t="e">
        <f>LOOKUP(C674, SweepStudyConfig[StudyId], SweepStudyConfig[SweepRateA])</f>
        <v>#VALUE!</v>
      </c>
      <c r="L674" s="3" t="e">
        <f>LOOKUP(C674, SweepStudyConfig[StudyId], SweepStudyConfig[SweepRateB])</f>
        <v>#VALUE!</v>
      </c>
      <c r="M674" s="3" t="e">
        <f>LOOKUP(C674, SweepStudyConfig[StudyId], SweepStudyConfig[FixedRateA])</f>
        <v>#VALUE!</v>
      </c>
      <c r="N674" s="3" t="e">
        <f>LOOKUP(C674, SweepStudyConfig[StudyId], SweepStudyConfig[FixedRateB])</f>
        <v>#VALUE!</v>
      </c>
      <c r="O674" s="3" t="e">
        <f>IF(G674 + I674 = 0, "", (G674 * K674 + I674 * M674) / (G674 + I674))</f>
        <v>#VALUE!</v>
      </c>
      <c r="P674" s="3" t="e">
        <f>IF(H674 + J674 = 0, "", (H674 * L674 + J674 * N674) / (H674 + J674))</f>
        <v>#VALUE!</v>
      </c>
      <c r="Q674" s="3" t="e">
        <f>IF(O674 = "", "", O674 - P674)</f>
        <v>#VALUE!</v>
      </c>
      <c r="R674" s="3" t="e">
        <f>LOOKUP(C674, SweepStudyConfig[StudyId], SweepStudyConfig[SweepCorrectedGap])</f>
        <v>#VALUE!</v>
      </c>
      <c r="S674" s="3" t="e">
        <f>IF(Q674 = "", "", Q674 - R674)</f>
        <v>#VALUE!</v>
      </c>
    </row>
    <row r="675">
      <c r="A675" s="2" t="s">
        <v>3963</v>
      </c>
      <c r="B675" s="3" t="str">
        <f>A675</f>
        <v>tolbutamide-ugdp-1970-f035</v>
      </c>
      <c r="C675" s="2" t="s">
        <v>671</v>
      </c>
      <c r="D675" s="2">
        <v>0.35</v>
      </c>
      <c r="E675" s="3" t="e">
        <f>ABS(D675 - LOOKUP(C675, SweepStudyConfig[StudyId], SweepStudyConfig[OriginalAllocFractionA])) &lt; 0.03</f>
        <v>#VALUE!</v>
      </c>
      <c r="F675" s="3" t="e">
        <f>LOOKUP(C675, SweepStudyConfig[StudyId], SweepStudyConfig[NSweepStratumTotal])</f>
        <v>#VALUE!</v>
      </c>
      <c r="G675" s="3" t="e">
        <f>ROUND(F675 * D675)</f>
        <v>#VALUE!</v>
      </c>
      <c r="H675" s="3" t="e">
        <f>F675 - G675</f>
        <v>#VALUE!</v>
      </c>
      <c r="I675" s="3" t="e">
        <f>LOOKUP(C675, SweepStudyConfig[StudyId], SweepStudyConfig[NFixedA])</f>
        <v>#VALUE!</v>
      </c>
      <c r="J675" s="3" t="e">
        <f>LOOKUP(C675, SweepStudyConfig[StudyId], SweepStudyConfig[NFixedB])</f>
        <v>#VALUE!</v>
      </c>
      <c r="K675" s="3" t="e">
        <f>LOOKUP(C675, SweepStudyConfig[StudyId], SweepStudyConfig[SweepRateA])</f>
        <v>#VALUE!</v>
      </c>
      <c r="L675" s="3" t="e">
        <f>LOOKUP(C675, SweepStudyConfig[StudyId], SweepStudyConfig[SweepRateB])</f>
        <v>#VALUE!</v>
      </c>
      <c r="M675" s="3" t="e">
        <f>LOOKUP(C675, SweepStudyConfig[StudyId], SweepStudyConfig[FixedRateA])</f>
        <v>#VALUE!</v>
      </c>
      <c r="N675" s="3" t="e">
        <f>LOOKUP(C675, SweepStudyConfig[StudyId], SweepStudyConfig[FixedRateB])</f>
        <v>#VALUE!</v>
      </c>
      <c r="O675" s="3" t="e">
        <f>IF(G675 + I675 = 0, "", (G675 * K675 + I675 * M675) / (G675 + I675))</f>
        <v>#VALUE!</v>
      </c>
      <c r="P675" s="3" t="e">
        <f>IF(H675 + J675 = 0, "", (H675 * L675 + J675 * N675) / (H675 + J675))</f>
        <v>#VALUE!</v>
      </c>
      <c r="Q675" s="3" t="e">
        <f>IF(O675 = "", "", O675 - P675)</f>
        <v>#VALUE!</v>
      </c>
      <c r="R675" s="3" t="e">
        <f>LOOKUP(C675, SweepStudyConfig[StudyId], SweepStudyConfig[SweepCorrectedGap])</f>
        <v>#VALUE!</v>
      </c>
      <c r="S675" s="3" t="e">
        <f>IF(Q675 = "", "", Q675 - R675)</f>
        <v>#VALUE!</v>
      </c>
    </row>
    <row r="676">
      <c r="A676" s="2" t="s">
        <v>3964</v>
      </c>
      <c r="B676" s="3" t="str">
        <f>A676</f>
        <v>tolbutamide-ugdp-1970-f045</v>
      </c>
      <c r="C676" s="2" t="s">
        <v>671</v>
      </c>
      <c r="D676" s="2">
        <v>0.45</v>
      </c>
      <c r="E676" s="3" t="e">
        <f>ABS(D676 - LOOKUP(C676, SweepStudyConfig[StudyId], SweepStudyConfig[OriginalAllocFractionA])) &lt; 0.03</f>
        <v>#VALUE!</v>
      </c>
      <c r="F676" s="3" t="e">
        <f>LOOKUP(C676, SweepStudyConfig[StudyId], SweepStudyConfig[NSweepStratumTotal])</f>
        <v>#VALUE!</v>
      </c>
      <c r="G676" s="3" t="e">
        <f>ROUND(F676 * D676)</f>
        <v>#VALUE!</v>
      </c>
      <c r="H676" s="3" t="e">
        <f>F676 - G676</f>
        <v>#VALUE!</v>
      </c>
      <c r="I676" s="3" t="e">
        <f>LOOKUP(C676, SweepStudyConfig[StudyId], SweepStudyConfig[NFixedA])</f>
        <v>#VALUE!</v>
      </c>
      <c r="J676" s="3" t="e">
        <f>LOOKUP(C676, SweepStudyConfig[StudyId], SweepStudyConfig[NFixedB])</f>
        <v>#VALUE!</v>
      </c>
      <c r="K676" s="3" t="e">
        <f>LOOKUP(C676, SweepStudyConfig[StudyId], SweepStudyConfig[SweepRateA])</f>
        <v>#VALUE!</v>
      </c>
      <c r="L676" s="3" t="e">
        <f>LOOKUP(C676, SweepStudyConfig[StudyId], SweepStudyConfig[SweepRateB])</f>
        <v>#VALUE!</v>
      </c>
      <c r="M676" s="3" t="e">
        <f>LOOKUP(C676, SweepStudyConfig[StudyId], SweepStudyConfig[FixedRateA])</f>
        <v>#VALUE!</v>
      </c>
      <c r="N676" s="3" t="e">
        <f>LOOKUP(C676, SweepStudyConfig[StudyId], SweepStudyConfig[FixedRateB])</f>
        <v>#VALUE!</v>
      </c>
      <c r="O676" s="3" t="e">
        <f>IF(G676 + I676 = 0, "", (G676 * K676 + I676 * M676) / (G676 + I676))</f>
        <v>#VALUE!</v>
      </c>
      <c r="P676" s="3" t="e">
        <f>IF(H676 + J676 = 0, "", (H676 * L676 + J676 * N676) / (H676 + J676))</f>
        <v>#VALUE!</v>
      </c>
      <c r="Q676" s="3" t="e">
        <f>IF(O676 = "", "", O676 - P676)</f>
        <v>#VALUE!</v>
      </c>
      <c r="R676" s="3" t="e">
        <f>LOOKUP(C676, SweepStudyConfig[StudyId], SweepStudyConfig[SweepCorrectedGap])</f>
        <v>#VALUE!</v>
      </c>
      <c r="S676" s="3" t="e">
        <f>IF(Q676 = "", "", Q676 - R676)</f>
        <v>#VALUE!</v>
      </c>
    </row>
    <row r="677">
      <c r="A677" s="2" t="s">
        <v>3965</v>
      </c>
      <c r="B677" s="3" t="str">
        <f>A677</f>
        <v>tolbutamide-ugdp-1970-f055</v>
      </c>
      <c r="C677" s="2" t="s">
        <v>671</v>
      </c>
      <c r="D677" s="2">
        <v>0.55</v>
      </c>
      <c r="E677" s="3" t="e">
        <f>ABS(D677 - LOOKUP(C677, SweepStudyConfig[StudyId], SweepStudyConfig[OriginalAllocFractionA])) &lt; 0.03</f>
        <v>#VALUE!</v>
      </c>
      <c r="F677" s="3" t="e">
        <f>LOOKUP(C677, SweepStudyConfig[StudyId], SweepStudyConfig[NSweepStratumTotal])</f>
        <v>#VALUE!</v>
      </c>
      <c r="G677" s="3" t="e">
        <f>ROUND(F677 * D677)</f>
        <v>#VALUE!</v>
      </c>
      <c r="H677" s="3" t="e">
        <f>F677 - G677</f>
        <v>#VALUE!</v>
      </c>
      <c r="I677" s="3" t="e">
        <f>LOOKUP(C677, SweepStudyConfig[StudyId], SweepStudyConfig[NFixedA])</f>
        <v>#VALUE!</v>
      </c>
      <c r="J677" s="3" t="e">
        <f>LOOKUP(C677, SweepStudyConfig[StudyId], SweepStudyConfig[NFixedB])</f>
        <v>#VALUE!</v>
      </c>
      <c r="K677" s="3" t="e">
        <f>LOOKUP(C677, SweepStudyConfig[StudyId], SweepStudyConfig[SweepRateA])</f>
        <v>#VALUE!</v>
      </c>
      <c r="L677" s="3" t="e">
        <f>LOOKUP(C677, SweepStudyConfig[StudyId], SweepStudyConfig[SweepRateB])</f>
        <v>#VALUE!</v>
      </c>
      <c r="M677" s="3" t="e">
        <f>LOOKUP(C677, SweepStudyConfig[StudyId], SweepStudyConfig[FixedRateA])</f>
        <v>#VALUE!</v>
      </c>
      <c r="N677" s="3" t="e">
        <f>LOOKUP(C677, SweepStudyConfig[StudyId], SweepStudyConfig[FixedRateB])</f>
        <v>#VALUE!</v>
      </c>
      <c r="O677" s="3" t="e">
        <f>IF(G677 + I677 = 0, "", (G677 * K677 + I677 * M677) / (G677 + I677))</f>
        <v>#VALUE!</v>
      </c>
      <c r="P677" s="3" t="e">
        <f>IF(H677 + J677 = 0, "", (H677 * L677 + J677 * N677) / (H677 + J677))</f>
        <v>#VALUE!</v>
      </c>
      <c r="Q677" s="3" t="e">
        <f>IF(O677 = "", "", O677 - P677)</f>
        <v>#VALUE!</v>
      </c>
      <c r="R677" s="3" t="e">
        <f>LOOKUP(C677, SweepStudyConfig[StudyId], SweepStudyConfig[SweepCorrectedGap])</f>
        <v>#VALUE!</v>
      </c>
      <c r="S677" s="3" t="e">
        <f>IF(Q677 = "", "", Q677 - R677)</f>
        <v>#VALUE!</v>
      </c>
    </row>
    <row r="678">
      <c r="A678" s="2" t="s">
        <v>3966</v>
      </c>
      <c r="B678" s="3" t="str">
        <f>A678</f>
        <v>tolbutamide-ugdp-1970-f065</v>
      </c>
      <c r="C678" s="2" t="s">
        <v>671</v>
      </c>
      <c r="D678" s="2">
        <v>0.65</v>
      </c>
      <c r="E678" s="3" t="e">
        <f>ABS(D678 - LOOKUP(C678, SweepStudyConfig[StudyId], SweepStudyConfig[OriginalAllocFractionA])) &lt; 0.03</f>
        <v>#VALUE!</v>
      </c>
      <c r="F678" s="3" t="e">
        <f>LOOKUP(C678, SweepStudyConfig[StudyId], SweepStudyConfig[NSweepStratumTotal])</f>
        <v>#VALUE!</v>
      </c>
      <c r="G678" s="3" t="e">
        <f>ROUND(F678 * D678)</f>
        <v>#VALUE!</v>
      </c>
      <c r="H678" s="3" t="e">
        <f>F678 - G678</f>
        <v>#VALUE!</v>
      </c>
      <c r="I678" s="3" t="e">
        <f>LOOKUP(C678, SweepStudyConfig[StudyId], SweepStudyConfig[NFixedA])</f>
        <v>#VALUE!</v>
      </c>
      <c r="J678" s="3" t="e">
        <f>LOOKUP(C678, SweepStudyConfig[StudyId], SweepStudyConfig[NFixedB])</f>
        <v>#VALUE!</v>
      </c>
      <c r="K678" s="3" t="e">
        <f>LOOKUP(C678, SweepStudyConfig[StudyId], SweepStudyConfig[SweepRateA])</f>
        <v>#VALUE!</v>
      </c>
      <c r="L678" s="3" t="e">
        <f>LOOKUP(C678, SweepStudyConfig[StudyId], SweepStudyConfig[SweepRateB])</f>
        <v>#VALUE!</v>
      </c>
      <c r="M678" s="3" t="e">
        <f>LOOKUP(C678, SweepStudyConfig[StudyId], SweepStudyConfig[FixedRateA])</f>
        <v>#VALUE!</v>
      </c>
      <c r="N678" s="3" t="e">
        <f>LOOKUP(C678, SweepStudyConfig[StudyId], SweepStudyConfig[FixedRateB])</f>
        <v>#VALUE!</v>
      </c>
      <c r="O678" s="3" t="e">
        <f>IF(G678 + I678 = 0, "", (G678 * K678 + I678 * M678) / (G678 + I678))</f>
        <v>#VALUE!</v>
      </c>
      <c r="P678" s="3" t="e">
        <f>IF(H678 + J678 = 0, "", (H678 * L678 + J678 * N678) / (H678 + J678))</f>
        <v>#VALUE!</v>
      </c>
      <c r="Q678" s="3" t="e">
        <f>IF(O678 = "", "", O678 - P678)</f>
        <v>#VALUE!</v>
      </c>
      <c r="R678" s="3" t="e">
        <f>LOOKUP(C678, SweepStudyConfig[StudyId], SweepStudyConfig[SweepCorrectedGap])</f>
        <v>#VALUE!</v>
      </c>
      <c r="S678" s="3" t="e">
        <f>IF(Q678 = "", "", Q678 - R678)</f>
        <v>#VALUE!</v>
      </c>
    </row>
    <row r="679">
      <c r="A679" s="2" t="s">
        <v>3967</v>
      </c>
      <c r="B679" s="3" t="str">
        <f>A679</f>
        <v>tolbutamide-ugdp-1970-f075</v>
      </c>
      <c r="C679" s="2" t="s">
        <v>671</v>
      </c>
      <c r="D679" s="2">
        <v>0.75</v>
      </c>
      <c r="E679" s="3" t="e">
        <f>ABS(D679 - LOOKUP(C679, SweepStudyConfig[StudyId], SweepStudyConfig[OriginalAllocFractionA])) &lt; 0.03</f>
        <v>#VALUE!</v>
      </c>
      <c r="F679" s="3" t="e">
        <f>LOOKUP(C679, SweepStudyConfig[StudyId], SweepStudyConfig[NSweepStratumTotal])</f>
        <v>#VALUE!</v>
      </c>
      <c r="G679" s="3" t="e">
        <f>ROUND(F679 * D679)</f>
        <v>#VALUE!</v>
      </c>
      <c r="H679" s="3" t="e">
        <f>F679 - G679</f>
        <v>#VALUE!</v>
      </c>
      <c r="I679" s="3" t="e">
        <f>LOOKUP(C679, SweepStudyConfig[StudyId], SweepStudyConfig[NFixedA])</f>
        <v>#VALUE!</v>
      </c>
      <c r="J679" s="3" t="e">
        <f>LOOKUP(C679, SweepStudyConfig[StudyId], SweepStudyConfig[NFixedB])</f>
        <v>#VALUE!</v>
      </c>
      <c r="K679" s="3" t="e">
        <f>LOOKUP(C679, SweepStudyConfig[StudyId], SweepStudyConfig[SweepRateA])</f>
        <v>#VALUE!</v>
      </c>
      <c r="L679" s="3" t="e">
        <f>LOOKUP(C679, SweepStudyConfig[StudyId], SweepStudyConfig[SweepRateB])</f>
        <v>#VALUE!</v>
      </c>
      <c r="M679" s="3" t="e">
        <f>LOOKUP(C679, SweepStudyConfig[StudyId], SweepStudyConfig[FixedRateA])</f>
        <v>#VALUE!</v>
      </c>
      <c r="N679" s="3" t="e">
        <f>LOOKUP(C679, SweepStudyConfig[StudyId], SweepStudyConfig[FixedRateB])</f>
        <v>#VALUE!</v>
      </c>
      <c r="O679" s="3" t="e">
        <f>IF(G679 + I679 = 0, "", (G679 * K679 + I679 * M679) / (G679 + I679))</f>
        <v>#VALUE!</v>
      </c>
      <c r="P679" s="3" t="e">
        <f>IF(H679 + J679 = 0, "", (H679 * L679 + J679 * N679) / (H679 + J679))</f>
        <v>#VALUE!</v>
      </c>
      <c r="Q679" s="3" t="e">
        <f>IF(O679 = "", "", O679 - P679)</f>
        <v>#VALUE!</v>
      </c>
      <c r="R679" s="3" t="e">
        <f>LOOKUP(C679, SweepStudyConfig[StudyId], SweepStudyConfig[SweepCorrectedGap])</f>
        <v>#VALUE!</v>
      </c>
      <c r="S679" s="3" t="e">
        <f>IF(Q679 = "", "", Q679 - R679)</f>
        <v>#VALUE!</v>
      </c>
    </row>
    <row r="680">
      <c r="A680" s="2" t="s">
        <v>3968</v>
      </c>
      <c r="B680" s="3" t="str">
        <f>A680</f>
        <v>tolbutamide-ugdp-1970-f085</v>
      </c>
      <c r="C680" s="2" t="s">
        <v>671</v>
      </c>
      <c r="D680" s="2">
        <v>0.85</v>
      </c>
      <c r="E680" s="3" t="e">
        <f>ABS(D680 - LOOKUP(C680, SweepStudyConfig[StudyId], SweepStudyConfig[OriginalAllocFractionA])) &lt; 0.03</f>
        <v>#VALUE!</v>
      </c>
      <c r="F680" s="3" t="e">
        <f>LOOKUP(C680, SweepStudyConfig[StudyId], SweepStudyConfig[NSweepStratumTotal])</f>
        <v>#VALUE!</v>
      </c>
      <c r="G680" s="3" t="e">
        <f>ROUND(F680 * D680)</f>
        <v>#VALUE!</v>
      </c>
      <c r="H680" s="3" t="e">
        <f>F680 - G680</f>
        <v>#VALUE!</v>
      </c>
      <c r="I680" s="3" t="e">
        <f>LOOKUP(C680, SweepStudyConfig[StudyId], SweepStudyConfig[NFixedA])</f>
        <v>#VALUE!</v>
      </c>
      <c r="J680" s="3" t="e">
        <f>LOOKUP(C680, SweepStudyConfig[StudyId], SweepStudyConfig[NFixedB])</f>
        <v>#VALUE!</v>
      </c>
      <c r="K680" s="3" t="e">
        <f>LOOKUP(C680, SweepStudyConfig[StudyId], SweepStudyConfig[SweepRateA])</f>
        <v>#VALUE!</v>
      </c>
      <c r="L680" s="3" t="e">
        <f>LOOKUP(C680, SweepStudyConfig[StudyId], SweepStudyConfig[SweepRateB])</f>
        <v>#VALUE!</v>
      </c>
      <c r="M680" s="3" t="e">
        <f>LOOKUP(C680, SweepStudyConfig[StudyId], SweepStudyConfig[FixedRateA])</f>
        <v>#VALUE!</v>
      </c>
      <c r="N680" s="3" t="e">
        <f>LOOKUP(C680, SweepStudyConfig[StudyId], SweepStudyConfig[FixedRateB])</f>
        <v>#VALUE!</v>
      </c>
      <c r="O680" s="3" t="e">
        <f>IF(G680 + I680 = 0, "", (G680 * K680 + I680 * M680) / (G680 + I680))</f>
        <v>#VALUE!</v>
      </c>
      <c r="P680" s="3" t="e">
        <f>IF(H680 + J680 = 0, "", (H680 * L680 + J680 * N680) / (H680 + J680))</f>
        <v>#VALUE!</v>
      </c>
      <c r="Q680" s="3" t="e">
        <f>IF(O680 = "", "", O680 - P680)</f>
        <v>#VALUE!</v>
      </c>
      <c r="R680" s="3" t="e">
        <f>LOOKUP(C680, SweepStudyConfig[StudyId], SweepStudyConfig[SweepCorrectedGap])</f>
        <v>#VALUE!</v>
      </c>
      <c r="S680" s="3" t="e">
        <f>IF(Q680 = "", "", Q680 - R680)</f>
        <v>#VALUE!</v>
      </c>
    </row>
    <row r="681">
      <c r="A681" s="2" t="s">
        <v>3969</v>
      </c>
      <c r="B681" s="3" t="str">
        <f>A681</f>
        <v>tolbutamide-ugdp-1970-f095</v>
      </c>
      <c r="C681" s="2" t="s">
        <v>671</v>
      </c>
      <c r="D681" s="2">
        <v>0.95</v>
      </c>
      <c r="E681" s="3" t="e">
        <f>ABS(D681 - LOOKUP(C681, SweepStudyConfig[StudyId], SweepStudyConfig[OriginalAllocFractionA])) &lt; 0.03</f>
        <v>#VALUE!</v>
      </c>
      <c r="F681" s="3" t="e">
        <f>LOOKUP(C681, SweepStudyConfig[StudyId], SweepStudyConfig[NSweepStratumTotal])</f>
        <v>#VALUE!</v>
      </c>
      <c r="G681" s="3" t="e">
        <f>ROUND(F681 * D681)</f>
        <v>#VALUE!</v>
      </c>
      <c r="H681" s="3" t="e">
        <f>F681 - G681</f>
        <v>#VALUE!</v>
      </c>
      <c r="I681" s="3" t="e">
        <f>LOOKUP(C681, SweepStudyConfig[StudyId], SweepStudyConfig[NFixedA])</f>
        <v>#VALUE!</v>
      </c>
      <c r="J681" s="3" t="e">
        <f>LOOKUP(C681, SweepStudyConfig[StudyId], SweepStudyConfig[NFixedB])</f>
        <v>#VALUE!</v>
      </c>
      <c r="K681" s="3" t="e">
        <f>LOOKUP(C681, SweepStudyConfig[StudyId], SweepStudyConfig[SweepRateA])</f>
        <v>#VALUE!</v>
      </c>
      <c r="L681" s="3" t="e">
        <f>LOOKUP(C681, SweepStudyConfig[StudyId], SweepStudyConfig[SweepRateB])</f>
        <v>#VALUE!</v>
      </c>
      <c r="M681" s="3" t="e">
        <f>LOOKUP(C681, SweepStudyConfig[StudyId], SweepStudyConfig[FixedRateA])</f>
        <v>#VALUE!</v>
      </c>
      <c r="N681" s="3" t="e">
        <f>LOOKUP(C681, SweepStudyConfig[StudyId], SweepStudyConfig[FixedRateB])</f>
        <v>#VALUE!</v>
      </c>
      <c r="O681" s="3" t="e">
        <f>IF(G681 + I681 = 0, "", (G681 * K681 + I681 * M681) / (G681 + I681))</f>
        <v>#VALUE!</v>
      </c>
      <c r="P681" s="3" t="e">
        <f>IF(H681 + J681 = 0, "", (H681 * L681 + J681 * N681) / (H681 + J681))</f>
        <v>#VALUE!</v>
      </c>
      <c r="Q681" s="3" t="e">
        <f>IF(O681 = "", "", O681 - P681)</f>
        <v>#VALUE!</v>
      </c>
      <c r="R681" s="3" t="e">
        <f>LOOKUP(C681, SweepStudyConfig[StudyId], SweepStudyConfig[SweepCorrectedGap])</f>
        <v>#VALUE!</v>
      </c>
      <c r="S681" s="3" t="e">
        <f>IF(Q681 = "", "", Q681 - R681)</f>
        <v>#VALUE!</v>
      </c>
    </row>
    <row r="682">
      <c r="A682" s="2" t="s">
        <v>3970</v>
      </c>
      <c r="B682" s="3" t="str">
        <f>A682</f>
        <v>snow-cholera-water-1855-f005</v>
      </c>
      <c r="C682" s="2" t="s">
        <v>675</v>
      </c>
      <c r="D682" s="2">
        <v>0.05</v>
      </c>
      <c r="E682" s="3" t="e">
        <f>ABS(D682 - LOOKUP(C682, SweepStudyConfig[StudyId], SweepStudyConfig[OriginalAllocFractionA])) &lt; 0.03</f>
        <v>#VALUE!</v>
      </c>
      <c r="F682" s="3" t="e">
        <f>LOOKUP(C682, SweepStudyConfig[StudyId], SweepStudyConfig[NSweepStratumTotal])</f>
        <v>#VALUE!</v>
      </c>
      <c r="G682" s="3" t="e">
        <f>ROUND(F682 * D682)</f>
        <v>#VALUE!</v>
      </c>
      <c r="H682" s="3" t="e">
        <f>F682 - G682</f>
        <v>#VALUE!</v>
      </c>
      <c r="I682" s="3" t="e">
        <f>LOOKUP(C682, SweepStudyConfig[StudyId], SweepStudyConfig[NFixedA])</f>
        <v>#VALUE!</v>
      </c>
      <c r="J682" s="3" t="e">
        <f>LOOKUP(C682, SweepStudyConfig[StudyId], SweepStudyConfig[NFixedB])</f>
        <v>#VALUE!</v>
      </c>
      <c r="K682" s="3" t="e">
        <f>LOOKUP(C682, SweepStudyConfig[StudyId], SweepStudyConfig[SweepRateA])</f>
        <v>#VALUE!</v>
      </c>
      <c r="L682" s="3" t="e">
        <f>LOOKUP(C682, SweepStudyConfig[StudyId], SweepStudyConfig[SweepRateB])</f>
        <v>#VALUE!</v>
      </c>
      <c r="M682" s="3" t="e">
        <f>LOOKUP(C682, SweepStudyConfig[StudyId], SweepStudyConfig[FixedRateA])</f>
        <v>#VALUE!</v>
      </c>
      <c r="N682" s="3" t="e">
        <f>LOOKUP(C682, SweepStudyConfig[StudyId], SweepStudyConfig[FixedRateB])</f>
        <v>#VALUE!</v>
      </c>
      <c r="O682" s="3" t="e">
        <f>IF(G682 + I682 = 0, "", (G682 * K682 + I682 * M682) / (G682 + I682))</f>
        <v>#VALUE!</v>
      </c>
      <c r="P682" s="3" t="e">
        <f>IF(H682 + J682 = 0, "", (H682 * L682 + J682 * N682) / (H682 + J682))</f>
        <v>#VALUE!</v>
      </c>
      <c r="Q682" s="3" t="e">
        <f>IF(O682 = "", "", O682 - P682)</f>
        <v>#VALUE!</v>
      </c>
      <c r="R682" s="3" t="e">
        <f>LOOKUP(C682, SweepStudyConfig[StudyId], SweepStudyConfig[SweepCorrectedGap])</f>
        <v>#VALUE!</v>
      </c>
      <c r="S682" s="3" t="e">
        <f>IF(Q682 = "", "", Q682 - R682)</f>
        <v>#VALUE!</v>
      </c>
    </row>
    <row r="683">
      <c r="A683" s="2" t="s">
        <v>3971</v>
      </c>
      <c r="B683" s="3" t="str">
        <f>A683</f>
        <v>snow-cholera-water-1855-f015</v>
      </c>
      <c r="C683" s="2" t="s">
        <v>675</v>
      </c>
      <c r="D683" s="2">
        <v>0.15</v>
      </c>
      <c r="E683" s="3" t="e">
        <f>ABS(D683 - LOOKUP(C683, SweepStudyConfig[StudyId], SweepStudyConfig[OriginalAllocFractionA])) &lt; 0.03</f>
        <v>#VALUE!</v>
      </c>
      <c r="F683" s="3" t="e">
        <f>LOOKUP(C683, SweepStudyConfig[StudyId], SweepStudyConfig[NSweepStratumTotal])</f>
        <v>#VALUE!</v>
      </c>
      <c r="G683" s="3" t="e">
        <f>ROUND(F683 * D683)</f>
        <v>#VALUE!</v>
      </c>
      <c r="H683" s="3" t="e">
        <f>F683 - G683</f>
        <v>#VALUE!</v>
      </c>
      <c r="I683" s="3" t="e">
        <f>LOOKUP(C683, SweepStudyConfig[StudyId], SweepStudyConfig[NFixedA])</f>
        <v>#VALUE!</v>
      </c>
      <c r="J683" s="3" t="e">
        <f>LOOKUP(C683, SweepStudyConfig[StudyId], SweepStudyConfig[NFixedB])</f>
        <v>#VALUE!</v>
      </c>
      <c r="K683" s="3" t="e">
        <f>LOOKUP(C683, SweepStudyConfig[StudyId], SweepStudyConfig[SweepRateA])</f>
        <v>#VALUE!</v>
      </c>
      <c r="L683" s="3" t="e">
        <f>LOOKUP(C683, SweepStudyConfig[StudyId], SweepStudyConfig[SweepRateB])</f>
        <v>#VALUE!</v>
      </c>
      <c r="M683" s="3" t="e">
        <f>LOOKUP(C683, SweepStudyConfig[StudyId], SweepStudyConfig[FixedRateA])</f>
        <v>#VALUE!</v>
      </c>
      <c r="N683" s="3" t="e">
        <f>LOOKUP(C683, SweepStudyConfig[StudyId], SweepStudyConfig[FixedRateB])</f>
        <v>#VALUE!</v>
      </c>
      <c r="O683" s="3" t="e">
        <f>IF(G683 + I683 = 0, "", (G683 * K683 + I683 * M683) / (G683 + I683))</f>
        <v>#VALUE!</v>
      </c>
      <c r="P683" s="3" t="e">
        <f>IF(H683 + J683 = 0, "", (H683 * L683 + J683 * N683) / (H683 + J683))</f>
        <v>#VALUE!</v>
      </c>
      <c r="Q683" s="3" t="e">
        <f>IF(O683 = "", "", O683 - P683)</f>
        <v>#VALUE!</v>
      </c>
      <c r="R683" s="3" t="e">
        <f>LOOKUP(C683, SweepStudyConfig[StudyId], SweepStudyConfig[SweepCorrectedGap])</f>
        <v>#VALUE!</v>
      </c>
      <c r="S683" s="3" t="e">
        <f>IF(Q683 = "", "", Q683 - R683)</f>
        <v>#VALUE!</v>
      </c>
    </row>
    <row r="684">
      <c r="A684" s="2" t="s">
        <v>3972</v>
      </c>
      <c r="B684" s="3" t="str">
        <f>A684</f>
        <v>snow-cholera-water-1855-f025</v>
      </c>
      <c r="C684" s="2" t="s">
        <v>675</v>
      </c>
      <c r="D684" s="2">
        <v>0.25</v>
      </c>
      <c r="E684" s="3" t="e">
        <f>ABS(D684 - LOOKUP(C684, SweepStudyConfig[StudyId], SweepStudyConfig[OriginalAllocFractionA])) &lt; 0.03</f>
        <v>#VALUE!</v>
      </c>
      <c r="F684" s="3" t="e">
        <f>LOOKUP(C684, SweepStudyConfig[StudyId], SweepStudyConfig[NSweepStratumTotal])</f>
        <v>#VALUE!</v>
      </c>
      <c r="G684" s="3" t="e">
        <f>ROUND(F684 * D684)</f>
        <v>#VALUE!</v>
      </c>
      <c r="H684" s="3" t="e">
        <f>F684 - G684</f>
        <v>#VALUE!</v>
      </c>
      <c r="I684" s="3" t="e">
        <f>LOOKUP(C684, SweepStudyConfig[StudyId], SweepStudyConfig[NFixedA])</f>
        <v>#VALUE!</v>
      </c>
      <c r="J684" s="3" t="e">
        <f>LOOKUP(C684, SweepStudyConfig[StudyId], SweepStudyConfig[NFixedB])</f>
        <v>#VALUE!</v>
      </c>
      <c r="K684" s="3" t="e">
        <f>LOOKUP(C684, SweepStudyConfig[StudyId], SweepStudyConfig[SweepRateA])</f>
        <v>#VALUE!</v>
      </c>
      <c r="L684" s="3" t="e">
        <f>LOOKUP(C684, SweepStudyConfig[StudyId], SweepStudyConfig[SweepRateB])</f>
        <v>#VALUE!</v>
      </c>
      <c r="M684" s="3" t="e">
        <f>LOOKUP(C684, SweepStudyConfig[StudyId], SweepStudyConfig[FixedRateA])</f>
        <v>#VALUE!</v>
      </c>
      <c r="N684" s="3" t="e">
        <f>LOOKUP(C684, SweepStudyConfig[StudyId], SweepStudyConfig[FixedRateB])</f>
        <v>#VALUE!</v>
      </c>
      <c r="O684" s="3" t="e">
        <f>IF(G684 + I684 = 0, "", (G684 * K684 + I684 * M684) / (G684 + I684))</f>
        <v>#VALUE!</v>
      </c>
      <c r="P684" s="3" t="e">
        <f>IF(H684 + J684 = 0, "", (H684 * L684 + J684 * N684) / (H684 + J684))</f>
        <v>#VALUE!</v>
      </c>
      <c r="Q684" s="3" t="e">
        <f>IF(O684 = "", "", O684 - P684)</f>
        <v>#VALUE!</v>
      </c>
      <c r="R684" s="3" t="e">
        <f>LOOKUP(C684, SweepStudyConfig[StudyId], SweepStudyConfig[SweepCorrectedGap])</f>
        <v>#VALUE!</v>
      </c>
      <c r="S684" s="3" t="e">
        <f>IF(Q684 = "", "", Q684 - R684)</f>
        <v>#VALUE!</v>
      </c>
    </row>
    <row r="685">
      <c r="A685" s="2" t="s">
        <v>3973</v>
      </c>
      <c r="B685" s="3" t="str">
        <f>A685</f>
        <v>snow-cholera-water-1855-f035</v>
      </c>
      <c r="C685" s="2" t="s">
        <v>675</v>
      </c>
      <c r="D685" s="2">
        <v>0.35</v>
      </c>
      <c r="E685" s="3" t="e">
        <f>ABS(D685 - LOOKUP(C685, SweepStudyConfig[StudyId], SweepStudyConfig[OriginalAllocFractionA])) &lt; 0.03</f>
        <v>#VALUE!</v>
      </c>
      <c r="F685" s="3" t="e">
        <f>LOOKUP(C685, SweepStudyConfig[StudyId], SweepStudyConfig[NSweepStratumTotal])</f>
        <v>#VALUE!</v>
      </c>
      <c r="G685" s="3" t="e">
        <f>ROUND(F685 * D685)</f>
        <v>#VALUE!</v>
      </c>
      <c r="H685" s="3" t="e">
        <f>F685 - G685</f>
        <v>#VALUE!</v>
      </c>
      <c r="I685" s="3" t="e">
        <f>LOOKUP(C685, SweepStudyConfig[StudyId], SweepStudyConfig[NFixedA])</f>
        <v>#VALUE!</v>
      </c>
      <c r="J685" s="3" t="e">
        <f>LOOKUP(C685, SweepStudyConfig[StudyId], SweepStudyConfig[NFixedB])</f>
        <v>#VALUE!</v>
      </c>
      <c r="K685" s="3" t="e">
        <f>LOOKUP(C685, SweepStudyConfig[StudyId], SweepStudyConfig[SweepRateA])</f>
        <v>#VALUE!</v>
      </c>
      <c r="L685" s="3" t="e">
        <f>LOOKUP(C685, SweepStudyConfig[StudyId], SweepStudyConfig[SweepRateB])</f>
        <v>#VALUE!</v>
      </c>
      <c r="M685" s="3" t="e">
        <f>LOOKUP(C685, SweepStudyConfig[StudyId], SweepStudyConfig[FixedRateA])</f>
        <v>#VALUE!</v>
      </c>
      <c r="N685" s="3" t="e">
        <f>LOOKUP(C685, SweepStudyConfig[StudyId], SweepStudyConfig[FixedRateB])</f>
        <v>#VALUE!</v>
      </c>
      <c r="O685" s="3" t="e">
        <f>IF(G685 + I685 = 0, "", (G685 * K685 + I685 * M685) / (G685 + I685))</f>
        <v>#VALUE!</v>
      </c>
      <c r="P685" s="3" t="e">
        <f>IF(H685 + J685 = 0, "", (H685 * L685 + J685 * N685) / (H685 + J685))</f>
        <v>#VALUE!</v>
      </c>
      <c r="Q685" s="3" t="e">
        <f>IF(O685 = "", "", O685 - P685)</f>
        <v>#VALUE!</v>
      </c>
      <c r="R685" s="3" t="e">
        <f>LOOKUP(C685, SweepStudyConfig[StudyId], SweepStudyConfig[SweepCorrectedGap])</f>
        <v>#VALUE!</v>
      </c>
      <c r="S685" s="3" t="e">
        <f>IF(Q685 = "", "", Q685 - R685)</f>
        <v>#VALUE!</v>
      </c>
    </row>
    <row r="686">
      <c r="A686" s="2" t="s">
        <v>3974</v>
      </c>
      <c r="B686" s="3" t="str">
        <f>A686</f>
        <v>snow-cholera-water-1855-f045</v>
      </c>
      <c r="C686" s="2" t="s">
        <v>675</v>
      </c>
      <c r="D686" s="2">
        <v>0.45</v>
      </c>
      <c r="E686" s="3" t="e">
        <f>ABS(D686 - LOOKUP(C686, SweepStudyConfig[StudyId], SweepStudyConfig[OriginalAllocFractionA])) &lt; 0.03</f>
        <v>#VALUE!</v>
      </c>
      <c r="F686" s="3" t="e">
        <f>LOOKUP(C686, SweepStudyConfig[StudyId], SweepStudyConfig[NSweepStratumTotal])</f>
        <v>#VALUE!</v>
      </c>
      <c r="G686" s="3" t="e">
        <f>ROUND(F686 * D686)</f>
        <v>#VALUE!</v>
      </c>
      <c r="H686" s="3" t="e">
        <f>F686 - G686</f>
        <v>#VALUE!</v>
      </c>
      <c r="I686" s="3" t="e">
        <f>LOOKUP(C686, SweepStudyConfig[StudyId], SweepStudyConfig[NFixedA])</f>
        <v>#VALUE!</v>
      </c>
      <c r="J686" s="3" t="e">
        <f>LOOKUP(C686, SweepStudyConfig[StudyId], SweepStudyConfig[NFixedB])</f>
        <v>#VALUE!</v>
      </c>
      <c r="K686" s="3" t="e">
        <f>LOOKUP(C686, SweepStudyConfig[StudyId], SweepStudyConfig[SweepRateA])</f>
        <v>#VALUE!</v>
      </c>
      <c r="L686" s="3" t="e">
        <f>LOOKUP(C686, SweepStudyConfig[StudyId], SweepStudyConfig[SweepRateB])</f>
        <v>#VALUE!</v>
      </c>
      <c r="M686" s="3" t="e">
        <f>LOOKUP(C686, SweepStudyConfig[StudyId], SweepStudyConfig[FixedRateA])</f>
        <v>#VALUE!</v>
      </c>
      <c r="N686" s="3" t="e">
        <f>LOOKUP(C686, SweepStudyConfig[StudyId], SweepStudyConfig[FixedRateB])</f>
        <v>#VALUE!</v>
      </c>
      <c r="O686" s="3" t="e">
        <f>IF(G686 + I686 = 0, "", (G686 * K686 + I686 * M686) / (G686 + I686))</f>
        <v>#VALUE!</v>
      </c>
      <c r="P686" s="3" t="e">
        <f>IF(H686 + J686 = 0, "", (H686 * L686 + J686 * N686) / (H686 + J686))</f>
        <v>#VALUE!</v>
      </c>
      <c r="Q686" s="3" t="e">
        <f>IF(O686 = "", "", O686 - P686)</f>
        <v>#VALUE!</v>
      </c>
      <c r="R686" s="3" t="e">
        <f>LOOKUP(C686, SweepStudyConfig[StudyId], SweepStudyConfig[SweepCorrectedGap])</f>
        <v>#VALUE!</v>
      </c>
      <c r="S686" s="3" t="e">
        <f>IF(Q686 = "", "", Q686 - R686)</f>
        <v>#VALUE!</v>
      </c>
    </row>
    <row r="687">
      <c r="A687" s="2" t="s">
        <v>3975</v>
      </c>
      <c r="B687" s="3" t="str">
        <f>A687</f>
        <v>snow-cholera-water-1855-f055</v>
      </c>
      <c r="C687" s="2" t="s">
        <v>675</v>
      </c>
      <c r="D687" s="2">
        <v>0.55</v>
      </c>
      <c r="E687" s="3" t="e">
        <f>ABS(D687 - LOOKUP(C687, SweepStudyConfig[StudyId], SweepStudyConfig[OriginalAllocFractionA])) &lt; 0.03</f>
        <v>#VALUE!</v>
      </c>
      <c r="F687" s="3" t="e">
        <f>LOOKUP(C687, SweepStudyConfig[StudyId], SweepStudyConfig[NSweepStratumTotal])</f>
        <v>#VALUE!</v>
      </c>
      <c r="G687" s="3" t="e">
        <f>ROUND(F687 * D687)</f>
        <v>#VALUE!</v>
      </c>
      <c r="H687" s="3" t="e">
        <f>F687 - G687</f>
        <v>#VALUE!</v>
      </c>
      <c r="I687" s="3" t="e">
        <f>LOOKUP(C687, SweepStudyConfig[StudyId], SweepStudyConfig[NFixedA])</f>
        <v>#VALUE!</v>
      </c>
      <c r="J687" s="3" t="e">
        <f>LOOKUP(C687, SweepStudyConfig[StudyId], SweepStudyConfig[NFixedB])</f>
        <v>#VALUE!</v>
      </c>
      <c r="K687" s="3" t="e">
        <f>LOOKUP(C687, SweepStudyConfig[StudyId], SweepStudyConfig[SweepRateA])</f>
        <v>#VALUE!</v>
      </c>
      <c r="L687" s="3" t="e">
        <f>LOOKUP(C687, SweepStudyConfig[StudyId], SweepStudyConfig[SweepRateB])</f>
        <v>#VALUE!</v>
      </c>
      <c r="M687" s="3" t="e">
        <f>LOOKUP(C687, SweepStudyConfig[StudyId], SweepStudyConfig[FixedRateA])</f>
        <v>#VALUE!</v>
      </c>
      <c r="N687" s="3" t="e">
        <f>LOOKUP(C687, SweepStudyConfig[StudyId], SweepStudyConfig[FixedRateB])</f>
        <v>#VALUE!</v>
      </c>
      <c r="O687" s="3" t="e">
        <f>IF(G687 + I687 = 0, "", (G687 * K687 + I687 * M687) / (G687 + I687))</f>
        <v>#VALUE!</v>
      </c>
      <c r="P687" s="3" t="e">
        <f>IF(H687 + J687 = 0, "", (H687 * L687 + J687 * N687) / (H687 + J687))</f>
        <v>#VALUE!</v>
      </c>
      <c r="Q687" s="3" t="e">
        <f>IF(O687 = "", "", O687 - P687)</f>
        <v>#VALUE!</v>
      </c>
      <c r="R687" s="3" t="e">
        <f>LOOKUP(C687, SweepStudyConfig[StudyId], SweepStudyConfig[SweepCorrectedGap])</f>
        <v>#VALUE!</v>
      </c>
      <c r="S687" s="3" t="e">
        <f>IF(Q687 = "", "", Q687 - R687)</f>
        <v>#VALUE!</v>
      </c>
    </row>
    <row r="688">
      <c r="A688" s="2" t="s">
        <v>3976</v>
      </c>
      <c r="B688" s="3" t="str">
        <f>A688</f>
        <v>snow-cholera-water-1855-f065</v>
      </c>
      <c r="C688" s="2" t="s">
        <v>675</v>
      </c>
      <c r="D688" s="2">
        <v>0.65</v>
      </c>
      <c r="E688" s="3" t="e">
        <f>ABS(D688 - LOOKUP(C688, SweepStudyConfig[StudyId], SweepStudyConfig[OriginalAllocFractionA])) &lt; 0.03</f>
        <v>#VALUE!</v>
      </c>
      <c r="F688" s="3" t="e">
        <f>LOOKUP(C688, SweepStudyConfig[StudyId], SweepStudyConfig[NSweepStratumTotal])</f>
        <v>#VALUE!</v>
      </c>
      <c r="G688" s="3" t="e">
        <f>ROUND(F688 * D688)</f>
        <v>#VALUE!</v>
      </c>
      <c r="H688" s="3" t="e">
        <f>F688 - G688</f>
        <v>#VALUE!</v>
      </c>
      <c r="I688" s="3" t="e">
        <f>LOOKUP(C688, SweepStudyConfig[StudyId], SweepStudyConfig[NFixedA])</f>
        <v>#VALUE!</v>
      </c>
      <c r="J688" s="3" t="e">
        <f>LOOKUP(C688, SweepStudyConfig[StudyId], SweepStudyConfig[NFixedB])</f>
        <v>#VALUE!</v>
      </c>
      <c r="K688" s="3" t="e">
        <f>LOOKUP(C688, SweepStudyConfig[StudyId], SweepStudyConfig[SweepRateA])</f>
        <v>#VALUE!</v>
      </c>
      <c r="L688" s="3" t="e">
        <f>LOOKUP(C688, SweepStudyConfig[StudyId], SweepStudyConfig[SweepRateB])</f>
        <v>#VALUE!</v>
      </c>
      <c r="M688" s="3" t="e">
        <f>LOOKUP(C688, SweepStudyConfig[StudyId], SweepStudyConfig[FixedRateA])</f>
        <v>#VALUE!</v>
      </c>
      <c r="N688" s="3" t="e">
        <f>LOOKUP(C688, SweepStudyConfig[StudyId], SweepStudyConfig[FixedRateB])</f>
        <v>#VALUE!</v>
      </c>
      <c r="O688" s="3" t="e">
        <f>IF(G688 + I688 = 0, "", (G688 * K688 + I688 * M688) / (G688 + I688))</f>
        <v>#VALUE!</v>
      </c>
      <c r="P688" s="3" t="e">
        <f>IF(H688 + J688 = 0, "", (H688 * L688 + J688 * N688) / (H688 + J688))</f>
        <v>#VALUE!</v>
      </c>
      <c r="Q688" s="3" t="e">
        <f>IF(O688 = "", "", O688 - P688)</f>
        <v>#VALUE!</v>
      </c>
      <c r="R688" s="3" t="e">
        <f>LOOKUP(C688, SweepStudyConfig[StudyId], SweepStudyConfig[SweepCorrectedGap])</f>
        <v>#VALUE!</v>
      </c>
      <c r="S688" s="3" t="e">
        <f>IF(Q688 = "", "", Q688 - R688)</f>
        <v>#VALUE!</v>
      </c>
    </row>
    <row r="689">
      <c r="A689" s="2" t="s">
        <v>3977</v>
      </c>
      <c r="B689" s="3" t="str">
        <f>A689</f>
        <v>snow-cholera-water-1855-f075</v>
      </c>
      <c r="C689" s="2" t="s">
        <v>675</v>
      </c>
      <c r="D689" s="2">
        <v>0.75</v>
      </c>
      <c r="E689" s="3" t="e">
        <f>ABS(D689 - LOOKUP(C689, SweepStudyConfig[StudyId], SweepStudyConfig[OriginalAllocFractionA])) &lt; 0.03</f>
        <v>#VALUE!</v>
      </c>
      <c r="F689" s="3" t="e">
        <f>LOOKUP(C689, SweepStudyConfig[StudyId], SweepStudyConfig[NSweepStratumTotal])</f>
        <v>#VALUE!</v>
      </c>
      <c r="G689" s="3" t="e">
        <f>ROUND(F689 * D689)</f>
        <v>#VALUE!</v>
      </c>
      <c r="H689" s="3" t="e">
        <f>F689 - G689</f>
        <v>#VALUE!</v>
      </c>
      <c r="I689" s="3" t="e">
        <f>LOOKUP(C689, SweepStudyConfig[StudyId], SweepStudyConfig[NFixedA])</f>
        <v>#VALUE!</v>
      </c>
      <c r="J689" s="3" t="e">
        <f>LOOKUP(C689, SweepStudyConfig[StudyId], SweepStudyConfig[NFixedB])</f>
        <v>#VALUE!</v>
      </c>
      <c r="K689" s="3" t="e">
        <f>LOOKUP(C689, SweepStudyConfig[StudyId], SweepStudyConfig[SweepRateA])</f>
        <v>#VALUE!</v>
      </c>
      <c r="L689" s="3" t="e">
        <f>LOOKUP(C689, SweepStudyConfig[StudyId], SweepStudyConfig[SweepRateB])</f>
        <v>#VALUE!</v>
      </c>
      <c r="M689" s="3" t="e">
        <f>LOOKUP(C689, SweepStudyConfig[StudyId], SweepStudyConfig[FixedRateA])</f>
        <v>#VALUE!</v>
      </c>
      <c r="N689" s="3" t="e">
        <f>LOOKUP(C689, SweepStudyConfig[StudyId], SweepStudyConfig[FixedRateB])</f>
        <v>#VALUE!</v>
      </c>
      <c r="O689" s="3" t="e">
        <f>IF(G689 + I689 = 0, "", (G689 * K689 + I689 * M689) / (G689 + I689))</f>
        <v>#VALUE!</v>
      </c>
      <c r="P689" s="3" t="e">
        <f>IF(H689 + J689 = 0, "", (H689 * L689 + J689 * N689) / (H689 + J689))</f>
        <v>#VALUE!</v>
      </c>
      <c r="Q689" s="3" t="e">
        <f>IF(O689 = "", "", O689 - P689)</f>
        <v>#VALUE!</v>
      </c>
      <c r="R689" s="3" t="e">
        <f>LOOKUP(C689, SweepStudyConfig[StudyId], SweepStudyConfig[SweepCorrectedGap])</f>
        <v>#VALUE!</v>
      </c>
      <c r="S689" s="3" t="e">
        <f>IF(Q689 = "", "", Q689 - R689)</f>
        <v>#VALUE!</v>
      </c>
    </row>
    <row r="690">
      <c r="A690" s="2" t="s">
        <v>3978</v>
      </c>
      <c r="B690" s="3" t="str">
        <f>A690</f>
        <v>snow-cholera-water-1855-f085</v>
      </c>
      <c r="C690" s="2" t="s">
        <v>675</v>
      </c>
      <c r="D690" s="2">
        <v>0.85</v>
      </c>
      <c r="E690" s="3" t="e">
        <f>ABS(D690 - LOOKUP(C690, SweepStudyConfig[StudyId], SweepStudyConfig[OriginalAllocFractionA])) &lt; 0.03</f>
        <v>#VALUE!</v>
      </c>
      <c r="F690" s="3" t="e">
        <f>LOOKUP(C690, SweepStudyConfig[StudyId], SweepStudyConfig[NSweepStratumTotal])</f>
        <v>#VALUE!</v>
      </c>
      <c r="G690" s="3" t="e">
        <f>ROUND(F690 * D690)</f>
        <v>#VALUE!</v>
      </c>
      <c r="H690" s="3" t="e">
        <f>F690 - G690</f>
        <v>#VALUE!</v>
      </c>
      <c r="I690" s="3" t="e">
        <f>LOOKUP(C690, SweepStudyConfig[StudyId], SweepStudyConfig[NFixedA])</f>
        <v>#VALUE!</v>
      </c>
      <c r="J690" s="3" t="e">
        <f>LOOKUP(C690, SweepStudyConfig[StudyId], SweepStudyConfig[NFixedB])</f>
        <v>#VALUE!</v>
      </c>
      <c r="K690" s="3" t="e">
        <f>LOOKUP(C690, SweepStudyConfig[StudyId], SweepStudyConfig[SweepRateA])</f>
        <v>#VALUE!</v>
      </c>
      <c r="L690" s="3" t="e">
        <f>LOOKUP(C690, SweepStudyConfig[StudyId], SweepStudyConfig[SweepRateB])</f>
        <v>#VALUE!</v>
      </c>
      <c r="M690" s="3" t="e">
        <f>LOOKUP(C690, SweepStudyConfig[StudyId], SweepStudyConfig[FixedRateA])</f>
        <v>#VALUE!</v>
      </c>
      <c r="N690" s="3" t="e">
        <f>LOOKUP(C690, SweepStudyConfig[StudyId], SweepStudyConfig[FixedRateB])</f>
        <v>#VALUE!</v>
      </c>
      <c r="O690" s="3" t="e">
        <f>IF(G690 + I690 = 0, "", (G690 * K690 + I690 * M690) / (G690 + I690))</f>
        <v>#VALUE!</v>
      </c>
      <c r="P690" s="3" t="e">
        <f>IF(H690 + J690 = 0, "", (H690 * L690 + J690 * N690) / (H690 + J690))</f>
        <v>#VALUE!</v>
      </c>
      <c r="Q690" s="3" t="e">
        <f>IF(O690 = "", "", O690 - P690)</f>
        <v>#VALUE!</v>
      </c>
      <c r="R690" s="3" t="e">
        <f>LOOKUP(C690, SweepStudyConfig[StudyId], SweepStudyConfig[SweepCorrectedGap])</f>
        <v>#VALUE!</v>
      </c>
      <c r="S690" s="3" t="e">
        <f>IF(Q690 = "", "", Q690 - R690)</f>
        <v>#VALUE!</v>
      </c>
    </row>
    <row r="691">
      <c r="A691" s="2" t="s">
        <v>3979</v>
      </c>
      <c r="B691" s="3" t="str">
        <f>A691</f>
        <v>snow-cholera-water-1855-f095</v>
      </c>
      <c r="C691" s="2" t="s">
        <v>675</v>
      </c>
      <c r="D691" s="2">
        <v>0.95</v>
      </c>
      <c r="E691" s="3" t="e">
        <f>ABS(D691 - LOOKUP(C691, SweepStudyConfig[StudyId], SweepStudyConfig[OriginalAllocFractionA])) &lt; 0.03</f>
        <v>#VALUE!</v>
      </c>
      <c r="F691" s="3" t="e">
        <f>LOOKUP(C691, SweepStudyConfig[StudyId], SweepStudyConfig[NSweepStratumTotal])</f>
        <v>#VALUE!</v>
      </c>
      <c r="G691" s="3" t="e">
        <f>ROUND(F691 * D691)</f>
        <v>#VALUE!</v>
      </c>
      <c r="H691" s="3" t="e">
        <f>F691 - G691</f>
        <v>#VALUE!</v>
      </c>
      <c r="I691" s="3" t="e">
        <f>LOOKUP(C691, SweepStudyConfig[StudyId], SweepStudyConfig[NFixedA])</f>
        <v>#VALUE!</v>
      </c>
      <c r="J691" s="3" t="e">
        <f>LOOKUP(C691, SweepStudyConfig[StudyId], SweepStudyConfig[NFixedB])</f>
        <v>#VALUE!</v>
      </c>
      <c r="K691" s="3" t="e">
        <f>LOOKUP(C691, SweepStudyConfig[StudyId], SweepStudyConfig[SweepRateA])</f>
        <v>#VALUE!</v>
      </c>
      <c r="L691" s="3" t="e">
        <f>LOOKUP(C691, SweepStudyConfig[StudyId], SweepStudyConfig[SweepRateB])</f>
        <v>#VALUE!</v>
      </c>
      <c r="M691" s="3" t="e">
        <f>LOOKUP(C691, SweepStudyConfig[StudyId], SweepStudyConfig[FixedRateA])</f>
        <v>#VALUE!</v>
      </c>
      <c r="N691" s="3" t="e">
        <f>LOOKUP(C691, SweepStudyConfig[StudyId], SweepStudyConfig[FixedRateB])</f>
        <v>#VALUE!</v>
      </c>
      <c r="O691" s="3" t="e">
        <f>IF(G691 + I691 = 0, "", (G691 * K691 + I691 * M691) / (G691 + I691))</f>
        <v>#VALUE!</v>
      </c>
      <c r="P691" s="3" t="e">
        <f>IF(H691 + J691 = 0, "", (H691 * L691 + J691 * N691) / (H691 + J691))</f>
        <v>#VALUE!</v>
      </c>
      <c r="Q691" s="3" t="e">
        <f>IF(O691 = "", "", O691 - P691)</f>
        <v>#VALUE!</v>
      </c>
      <c r="R691" s="3" t="e">
        <f>LOOKUP(C691, SweepStudyConfig[StudyId], SweepStudyConfig[SweepCorrectedGap])</f>
        <v>#VALUE!</v>
      </c>
      <c r="S691" s="3" t="e">
        <f>IF(Q691 = "", "", Q691 - R691)</f>
        <v>#VALUE!</v>
      </c>
    </row>
    <row r="692">
      <c r="A692" s="2" t="s">
        <v>3980</v>
      </c>
      <c r="B692" s="3" t="str">
        <f>A692</f>
        <v>seatbelt-crash-severity-f005</v>
      </c>
      <c r="C692" s="2" t="s">
        <v>679</v>
      </c>
      <c r="D692" s="2">
        <v>0.05</v>
      </c>
      <c r="E692" s="3" t="e">
        <f>ABS(D692 - LOOKUP(C692, SweepStudyConfig[StudyId], SweepStudyConfig[OriginalAllocFractionA])) &lt; 0.03</f>
        <v>#VALUE!</v>
      </c>
      <c r="F692" s="3" t="e">
        <f>LOOKUP(C692, SweepStudyConfig[StudyId], SweepStudyConfig[NSweepStratumTotal])</f>
        <v>#VALUE!</v>
      </c>
      <c r="G692" s="3" t="e">
        <f>ROUND(F692 * D692)</f>
        <v>#VALUE!</v>
      </c>
      <c r="H692" s="3" t="e">
        <f>F692 - G692</f>
        <v>#VALUE!</v>
      </c>
      <c r="I692" s="3" t="e">
        <f>LOOKUP(C692, SweepStudyConfig[StudyId], SweepStudyConfig[NFixedA])</f>
        <v>#VALUE!</v>
      </c>
      <c r="J692" s="3" t="e">
        <f>LOOKUP(C692, SweepStudyConfig[StudyId], SweepStudyConfig[NFixedB])</f>
        <v>#VALUE!</v>
      </c>
      <c r="K692" s="3" t="e">
        <f>LOOKUP(C692, SweepStudyConfig[StudyId], SweepStudyConfig[SweepRateA])</f>
        <v>#VALUE!</v>
      </c>
      <c r="L692" s="3" t="e">
        <f>LOOKUP(C692, SweepStudyConfig[StudyId], SweepStudyConfig[SweepRateB])</f>
        <v>#VALUE!</v>
      </c>
      <c r="M692" s="3" t="e">
        <f>LOOKUP(C692, SweepStudyConfig[StudyId], SweepStudyConfig[FixedRateA])</f>
        <v>#VALUE!</v>
      </c>
      <c r="N692" s="3" t="e">
        <f>LOOKUP(C692, SweepStudyConfig[StudyId], SweepStudyConfig[FixedRateB])</f>
        <v>#VALUE!</v>
      </c>
      <c r="O692" s="3" t="e">
        <f>IF(G692 + I692 = 0, "", (G692 * K692 + I692 * M692) / (G692 + I692))</f>
        <v>#VALUE!</v>
      </c>
      <c r="P692" s="3" t="e">
        <f>IF(H692 + J692 = 0, "", (H692 * L692 + J692 * N692) / (H692 + J692))</f>
        <v>#VALUE!</v>
      </c>
      <c r="Q692" s="3" t="e">
        <f>IF(O692 = "", "", O692 - P692)</f>
        <v>#VALUE!</v>
      </c>
      <c r="R692" s="3" t="e">
        <f>LOOKUP(C692, SweepStudyConfig[StudyId], SweepStudyConfig[SweepCorrectedGap])</f>
        <v>#VALUE!</v>
      </c>
      <c r="S692" s="3" t="e">
        <f>IF(Q692 = "", "", Q692 - R692)</f>
        <v>#VALUE!</v>
      </c>
    </row>
    <row r="693">
      <c r="A693" s="2" t="s">
        <v>3981</v>
      </c>
      <c r="B693" s="3" t="str">
        <f>A693</f>
        <v>seatbelt-crash-severity-f015</v>
      </c>
      <c r="C693" s="2" t="s">
        <v>679</v>
      </c>
      <c r="D693" s="2">
        <v>0.15</v>
      </c>
      <c r="E693" s="3" t="e">
        <f>ABS(D693 - LOOKUP(C693, SweepStudyConfig[StudyId], SweepStudyConfig[OriginalAllocFractionA])) &lt; 0.03</f>
        <v>#VALUE!</v>
      </c>
      <c r="F693" s="3" t="e">
        <f>LOOKUP(C693, SweepStudyConfig[StudyId], SweepStudyConfig[NSweepStratumTotal])</f>
        <v>#VALUE!</v>
      </c>
      <c r="G693" s="3" t="e">
        <f>ROUND(F693 * D693)</f>
        <v>#VALUE!</v>
      </c>
      <c r="H693" s="3" t="e">
        <f>F693 - G693</f>
        <v>#VALUE!</v>
      </c>
      <c r="I693" s="3" t="e">
        <f>LOOKUP(C693, SweepStudyConfig[StudyId], SweepStudyConfig[NFixedA])</f>
        <v>#VALUE!</v>
      </c>
      <c r="J693" s="3" t="e">
        <f>LOOKUP(C693, SweepStudyConfig[StudyId], SweepStudyConfig[NFixedB])</f>
        <v>#VALUE!</v>
      </c>
      <c r="K693" s="3" t="e">
        <f>LOOKUP(C693, SweepStudyConfig[StudyId], SweepStudyConfig[SweepRateA])</f>
        <v>#VALUE!</v>
      </c>
      <c r="L693" s="3" t="e">
        <f>LOOKUP(C693, SweepStudyConfig[StudyId], SweepStudyConfig[SweepRateB])</f>
        <v>#VALUE!</v>
      </c>
      <c r="M693" s="3" t="e">
        <f>LOOKUP(C693, SweepStudyConfig[StudyId], SweepStudyConfig[FixedRateA])</f>
        <v>#VALUE!</v>
      </c>
      <c r="N693" s="3" t="e">
        <f>LOOKUP(C693, SweepStudyConfig[StudyId], SweepStudyConfig[FixedRateB])</f>
        <v>#VALUE!</v>
      </c>
      <c r="O693" s="3" t="e">
        <f>IF(G693 + I693 = 0, "", (G693 * K693 + I693 * M693) / (G693 + I693))</f>
        <v>#VALUE!</v>
      </c>
      <c r="P693" s="3" t="e">
        <f>IF(H693 + J693 = 0, "", (H693 * L693 + J693 * N693) / (H693 + J693))</f>
        <v>#VALUE!</v>
      </c>
      <c r="Q693" s="3" t="e">
        <f>IF(O693 = "", "", O693 - P693)</f>
        <v>#VALUE!</v>
      </c>
      <c r="R693" s="3" t="e">
        <f>LOOKUP(C693, SweepStudyConfig[StudyId], SweepStudyConfig[SweepCorrectedGap])</f>
        <v>#VALUE!</v>
      </c>
      <c r="S693" s="3" t="e">
        <f>IF(Q693 = "", "", Q693 - R693)</f>
        <v>#VALUE!</v>
      </c>
    </row>
    <row r="694">
      <c r="A694" s="2" t="s">
        <v>3982</v>
      </c>
      <c r="B694" s="3" t="str">
        <f>A694</f>
        <v>seatbelt-crash-severity-f025</v>
      </c>
      <c r="C694" s="2" t="s">
        <v>679</v>
      </c>
      <c r="D694" s="2">
        <v>0.25</v>
      </c>
      <c r="E694" s="3" t="e">
        <f>ABS(D694 - LOOKUP(C694, SweepStudyConfig[StudyId], SweepStudyConfig[OriginalAllocFractionA])) &lt; 0.03</f>
        <v>#VALUE!</v>
      </c>
      <c r="F694" s="3" t="e">
        <f>LOOKUP(C694, SweepStudyConfig[StudyId], SweepStudyConfig[NSweepStratumTotal])</f>
        <v>#VALUE!</v>
      </c>
      <c r="G694" s="3" t="e">
        <f>ROUND(F694 * D694)</f>
        <v>#VALUE!</v>
      </c>
      <c r="H694" s="3" t="e">
        <f>F694 - G694</f>
        <v>#VALUE!</v>
      </c>
      <c r="I694" s="3" t="e">
        <f>LOOKUP(C694, SweepStudyConfig[StudyId], SweepStudyConfig[NFixedA])</f>
        <v>#VALUE!</v>
      </c>
      <c r="J694" s="3" t="e">
        <f>LOOKUP(C694, SweepStudyConfig[StudyId], SweepStudyConfig[NFixedB])</f>
        <v>#VALUE!</v>
      </c>
      <c r="K694" s="3" t="e">
        <f>LOOKUP(C694, SweepStudyConfig[StudyId], SweepStudyConfig[SweepRateA])</f>
        <v>#VALUE!</v>
      </c>
      <c r="L694" s="3" t="e">
        <f>LOOKUP(C694, SweepStudyConfig[StudyId], SweepStudyConfig[SweepRateB])</f>
        <v>#VALUE!</v>
      </c>
      <c r="M694" s="3" t="e">
        <f>LOOKUP(C694, SweepStudyConfig[StudyId], SweepStudyConfig[FixedRateA])</f>
        <v>#VALUE!</v>
      </c>
      <c r="N694" s="3" t="e">
        <f>LOOKUP(C694, SweepStudyConfig[StudyId], SweepStudyConfig[FixedRateB])</f>
        <v>#VALUE!</v>
      </c>
      <c r="O694" s="3" t="e">
        <f>IF(G694 + I694 = 0, "", (G694 * K694 + I694 * M694) / (G694 + I694))</f>
        <v>#VALUE!</v>
      </c>
      <c r="P694" s="3" t="e">
        <f>IF(H694 + J694 = 0, "", (H694 * L694 + J694 * N694) / (H694 + J694))</f>
        <v>#VALUE!</v>
      </c>
      <c r="Q694" s="3" t="e">
        <f>IF(O694 = "", "", O694 - P694)</f>
        <v>#VALUE!</v>
      </c>
      <c r="R694" s="3" t="e">
        <f>LOOKUP(C694, SweepStudyConfig[StudyId], SweepStudyConfig[SweepCorrectedGap])</f>
        <v>#VALUE!</v>
      </c>
      <c r="S694" s="3" t="e">
        <f>IF(Q694 = "", "", Q694 - R694)</f>
        <v>#VALUE!</v>
      </c>
    </row>
    <row r="695">
      <c r="A695" s="2" t="s">
        <v>3983</v>
      </c>
      <c r="B695" s="3" t="str">
        <f>A695</f>
        <v>seatbelt-crash-severity-f035</v>
      </c>
      <c r="C695" s="2" t="s">
        <v>679</v>
      </c>
      <c r="D695" s="2">
        <v>0.35</v>
      </c>
      <c r="E695" s="3" t="e">
        <f>ABS(D695 - LOOKUP(C695, SweepStudyConfig[StudyId], SweepStudyConfig[OriginalAllocFractionA])) &lt; 0.03</f>
        <v>#VALUE!</v>
      </c>
      <c r="F695" s="3" t="e">
        <f>LOOKUP(C695, SweepStudyConfig[StudyId], SweepStudyConfig[NSweepStratumTotal])</f>
        <v>#VALUE!</v>
      </c>
      <c r="G695" s="3" t="e">
        <f>ROUND(F695 * D695)</f>
        <v>#VALUE!</v>
      </c>
      <c r="H695" s="3" t="e">
        <f>F695 - G695</f>
        <v>#VALUE!</v>
      </c>
      <c r="I695" s="3" t="e">
        <f>LOOKUP(C695, SweepStudyConfig[StudyId], SweepStudyConfig[NFixedA])</f>
        <v>#VALUE!</v>
      </c>
      <c r="J695" s="3" t="e">
        <f>LOOKUP(C695, SweepStudyConfig[StudyId], SweepStudyConfig[NFixedB])</f>
        <v>#VALUE!</v>
      </c>
      <c r="K695" s="3" t="e">
        <f>LOOKUP(C695, SweepStudyConfig[StudyId], SweepStudyConfig[SweepRateA])</f>
        <v>#VALUE!</v>
      </c>
      <c r="L695" s="3" t="e">
        <f>LOOKUP(C695, SweepStudyConfig[StudyId], SweepStudyConfig[SweepRateB])</f>
        <v>#VALUE!</v>
      </c>
      <c r="M695" s="3" t="e">
        <f>LOOKUP(C695, SweepStudyConfig[StudyId], SweepStudyConfig[FixedRateA])</f>
        <v>#VALUE!</v>
      </c>
      <c r="N695" s="3" t="e">
        <f>LOOKUP(C695, SweepStudyConfig[StudyId], SweepStudyConfig[FixedRateB])</f>
        <v>#VALUE!</v>
      </c>
      <c r="O695" s="3" t="e">
        <f>IF(G695 + I695 = 0, "", (G695 * K695 + I695 * M695) / (G695 + I695))</f>
        <v>#VALUE!</v>
      </c>
      <c r="P695" s="3" t="e">
        <f>IF(H695 + J695 = 0, "", (H695 * L695 + J695 * N695) / (H695 + J695))</f>
        <v>#VALUE!</v>
      </c>
      <c r="Q695" s="3" t="e">
        <f>IF(O695 = "", "", O695 - P695)</f>
        <v>#VALUE!</v>
      </c>
      <c r="R695" s="3" t="e">
        <f>LOOKUP(C695, SweepStudyConfig[StudyId], SweepStudyConfig[SweepCorrectedGap])</f>
        <v>#VALUE!</v>
      </c>
      <c r="S695" s="3" t="e">
        <f>IF(Q695 = "", "", Q695 - R695)</f>
        <v>#VALUE!</v>
      </c>
    </row>
    <row r="696">
      <c r="A696" s="2" t="s">
        <v>3984</v>
      </c>
      <c r="B696" s="3" t="str">
        <f>A696</f>
        <v>seatbelt-crash-severity-f045</v>
      </c>
      <c r="C696" s="2" t="s">
        <v>679</v>
      </c>
      <c r="D696" s="2">
        <v>0.45</v>
      </c>
      <c r="E696" s="3" t="e">
        <f>ABS(D696 - LOOKUP(C696, SweepStudyConfig[StudyId], SweepStudyConfig[OriginalAllocFractionA])) &lt; 0.03</f>
        <v>#VALUE!</v>
      </c>
      <c r="F696" s="3" t="e">
        <f>LOOKUP(C696, SweepStudyConfig[StudyId], SweepStudyConfig[NSweepStratumTotal])</f>
        <v>#VALUE!</v>
      </c>
      <c r="G696" s="3" t="e">
        <f>ROUND(F696 * D696)</f>
        <v>#VALUE!</v>
      </c>
      <c r="H696" s="3" t="e">
        <f>F696 - G696</f>
        <v>#VALUE!</v>
      </c>
      <c r="I696" s="3" t="e">
        <f>LOOKUP(C696, SweepStudyConfig[StudyId], SweepStudyConfig[NFixedA])</f>
        <v>#VALUE!</v>
      </c>
      <c r="J696" s="3" t="e">
        <f>LOOKUP(C696, SweepStudyConfig[StudyId], SweepStudyConfig[NFixedB])</f>
        <v>#VALUE!</v>
      </c>
      <c r="K696" s="3" t="e">
        <f>LOOKUP(C696, SweepStudyConfig[StudyId], SweepStudyConfig[SweepRateA])</f>
        <v>#VALUE!</v>
      </c>
      <c r="L696" s="3" t="e">
        <f>LOOKUP(C696, SweepStudyConfig[StudyId], SweepStudyConfig[SweepRateB])</f>
        <v>#VALUE!</v>
      </c>
      <c r="M696" s="3" t="e">
        <f>LOOKUP(C696, SweepStudyConfig[StudyId], SweepStudyConfig[FixedRateA])</f>
        <v>#VALUE!</v>
      </c>
      <c r="N696" s="3" t="e">
        <f>LOOKUP(C696, SweepStudyConfig[StudyId], SweepStudyConfig[FixedRateB])</f>
        <v>#VALUE!</v>
      </c>
      <c r="O696" s="3" t="e">
        <f>IF(G696 + I696 = 0, "", (G696 * K696 + I696 * M696) / (G696 + I696))</f>
        <v>#VALUE!</v>
      </c>
      <c r="P696" s="3" t="e">
        <f>IF(H696 + J696 = 0, "", (H696 * L696 + J696 * N696) / (H696 + J696))</f>
        <v>#VALUE!</v>
      </c>
      <c r="Q696" s="3" t="e">
        <f>IF(O696 = "", "", O696 - P696)</f>
        <v>#VALUE!</v>
      </c>
      <c r="R696" s="3" t="e">
        <f>LOOKUP(C696, SweepStudyConfig[StudyId], SweepStudyConfig[SweepCorrectedGap])</f>
        <v>#VALUE!</v>
      </c>
      <c r="S696" s="3" t="e">
        <f>IF(Q696 = "", "", Q696 - R696)</f>
        <v>#VALUE!</v>
      </c>
    </row>
    <row r="697">
      <c r="A697" s="2" t="s">
        <v>3985</v>
      </c>
      <c r="B697" s="3" t="str">
        <f>A697</f>
        <v>seatbelt-crash-severity-f055</v>
      </c>
      <c r="C697" s="2" t="s">
        <v>679</v>
      </c>
      <c r="D697" s="2">
        <v>0.55</v>
      </c>
      <c r="E697" s="3" t="e">
        <f>ABS(D697 - LOOKUP(C697, SweepStudyConfig[StudyId], SweepStudyConfig[OriginalAllocFractionA])) &lt; 0.03</f>
        <v>#VALUE!</v>
      </c>
      <c r="F697" s="3" t="e">
        <f>LOOKUP(C697, SweepStudyConfig[StudyId], SweepStudyConfig[NSweepStratumTotal])</f>
        <v>#VALUE!</v>
      </c>
      <c r="G697" s="3" t="e">
        <f>ROUND(F697 * D697)</f>
        <v>#VALUE!</v>
      </c>
      <c r="H697" s="3" t="e">
        <f>F697 - G697</f>
        <v>#VALUE!</v>
      </c>
      <c r="I697" s="3" t="e">
        <f>LOOKUP(C697, SweepStudyConfig[StudyId], SweepStudyConfig[NFixedA])</f>
        <v>#VALUE!</v>
      </c>
      <c r="J697" s="3" t="e">
        <f>LOOKUP(C697, SweepStudyConfig[StudyId], SweepStudyConfig[NFixedB])</f>
        <v>#VALUE!</v>
      </c>
      <c r="K697" s="3" t="e">
        <f>LOOKUP(C697, SweepStudyConfig[StudyId], SweepStudyConfig[SweepRateA])</f>
        <v>#VALUE!</v>
      </c>
      <c r="L697" s="3" t="e">
        <f>LOOKUP(C697, SweepStudyConfig[StudyId], SweepStudyConfig[SweepRateB])</f>
        <v>#VALUE!</v>
      </c>
      <c r="M697" s="3" t="e">
        <f>LOOKUP(C697, SweepStudyConfig[StudyId], SweepStudyConfig[FixedRateA])</f>
        <v>#VALUE!</v>
      </c>
      <c r="N697" s="3" t="e">
        <f>LOOKUP(C697, SweepStudyConfig[StudyId], SweepStudyConfig[FixedRateB])</f>
        <v>#VALUE!</v>
      </c>
      <c r="O697" s="3" t="e">
        <f>IF(G697 + I697 = 0, "", (G697 * K697 + I697 * M697) / (G697 + I697))</f>
        <v>#VALUE!</v>
      </c>
      <c r="P697" s="3" t="e">
        <f>IF(H697 + J697 = 0, "", (H697 * L697 + J697 * N697) / (H697 + J697))</f>
        <v>#VALUE!</v>
      </c>
      <c r="Q697" s="3" t="e">
        <f>IF(O697 = "", "", O697 - P697)</f>
        <v>#VALUE!</v>
      </c>
      <c r="R697" s="3" t="e">
        <f>LOOKUP(C697, SweepStudyConfig[StudyId], SweepStudyConfig[SweepCorrectedGap])</f>
        <v>#VALUE!</v>
      </c>
      <c r="S697" s="3" t="e">
        <f>IF(Q697 = "", "", Q697 - R697)</f>
        <v>#VALUE!</v>
      </c>
    </row>
    <row r="698">
      <c r="A698" s="2" t="s">
        <v>3986</v>
      </c>
      <c r="B698" s="3" t="str">
        <f>A698</f>
        <v>seatbelt-crash-severity-f065</v>
      </c>
      <c r="C698" s="2" t="s">
        <v>679</v>
      </c>
      <c r="D698" s="2">
        <v>0.65</v>
      </c>
      <c r="E698" s="3" t="e">
        <f>ABS(D698 - LOOKUP(C698, SweepStudyConfig[StudyId], SweepStudyConfig[OriginalAllocFractionA])) &lt; 0.03</f>
        <v>#VALUE!</v>
      </c>
      <c r="F698" s="3" t="e">
        <f>LOOKUP(C698, SweepStudyConfig[StudyId], SweepStudyConfig[NSweepStratumTotal])</f>
        <v>#VALUE!</v>
      </c>
      <c r="G698" s="3" t="e">
        <f>ROUND(F698 * D698)</f>
        <v>#VALUE!</v>
      </c>
      <c r="H698" s="3" t="e">
        <f>F698 - G698</f>
        <v>#VALUE!</v>
      </c>
      <c r="I698" s="3" t="e">
        <f>LOOKUP(C698, SweepStudyConfig[StudyId], SweepStudyConfig[NFixedA])</f>
        <v>#VALUE!</v>
      </c>
      <c r="J698" s="3" t="e">
        <f>LOOKUP(C698, SweepStudyConfig[StudyId], SweepStudyConfig[NFixedB])</f>
        <v>#VALUE!</v>
      </c>
      <c r="K698" s="3" t="e">
        <f>LOOKUP(C698, SweepStudyConfig[StudyId], SweepStudyConfig[SweepRateA])</f>
        <v>#VALUE!</v>
      </c>
      <c r="L698" s="3" t="e">
        <f>LOOKUP(C698, SweepStudyConfig[StudyId], SweepStudyConfig[SweepRateB])</f>
        <v>#VALUE!</v>
      </c>
      <c r="M698" s="3" t="e">
        <f>LOOKUP(C698, SweepStudyConfig[StudyId], SweepStudyConfig[FixedRateA])</f>
        <v>#VALUE!</v>
      </c>
      <c r="N698" s="3" t="e">
        <f>LOOKUP(C698, SweepStudyConfig[StudyId], SweepStudyConfig[FixedRateB])</f>
        <v>#VALUE!</v>
      </c>
      <c r="O698" s="3" t="e">
        <f>IF(G698 + I698 = 0, "", (G698 * K698 + I698 * M698) / (G698 + I698))</f>
        <v>#VALUE!</v>
      </c>
      <c r="P698" s="3" t="e">
        <f>IF(H698 + J698 = 0, "", (H698 * L698 + J698 * N698) / (H698 + J698))</f>
        <v>#VALUE!</v>
      </c>
      <c r="Q698" s="3" t="e">
        <f>IF(O698 = "", "", O698 - P698)</f>
        <v>#VALUE!</v>
      </c>
      <c r="R698" s="3" t="e">
        <f>LOOKUP(C698, SweepStudyConfig[StudyId], SweepStudyConfig[SweepCorrectedGap])</f>
        <v>#VALUE!</v>
      </c>
      <c r="S698" s="3" t="e">
        <f>IF(Q698 = "", "", Q698 - R698)</f>
        <v>#VALUE!</v>
      </c>
    </row>
    <row r="699">
      <c r="A699" s="2" t="s">
        <v>3987</v>
      </c>
      <c r="B699" s="3" t="str">
        <f>A699</f>
        <v>seatbelt-crash-severity-f075</v>
      </c>
      <c r="C699" s="2" t="s">
        <v>679</v>
      </c>
      <c r="D699" s="2">
        <v>0.75</v>
      </c>
      <c r="E699" s="3" t="e">
        <f>ABS(D699 - LOOKUP(C699, SweepStudyConfig[StudyId], SweepStudyConfig[OriginalAllocFractionA])) &lt; 0.03</f>
        <v>#VALUE!</v>
      </c>
      <c r="F699" s="3" t="e">
        <f>LOOKUP(C699, SweepStudyConfig[StudyId], SweepStudyConfig[NSweepStratumTotal])</f>
        <v>#VALUE!</v>
      </c>
      <c r="G699" s="3" t="e">
        <f>ROUND(F699 * D699)</f>
        <v>#VALUE!</v>
      </c>
      <c r="H699" s="3" t="e">
        <f>F699 - G699</f>
        <v>#VALUE!</v>
      </c>
      <c r="I699" s="3" t="e">
        <f>LOOKUP(C699, SweepStudyConfig[StudyId], SweepStudyConfig[NFixedA])</f>
        <v>#VALUE!</v>
      </c>
      <c r="J699" s="3" t="e">
        <f>LOOKUP(C699, SweepStudyConfig[StudyId], SweepStudyConfig[NFixedB])</f>
        <v>#VALUE!</v>
      </c>
      <c r="K699" s="3" t="e">
        <f>LOOKUP(C699, SweepStudyConfig[StudyId], SweepStudyConfig[SweepRateA])</f>
        <v>#VALUE!</v>
      </c>
      <c r="L699" s="3" t="e">
        <f>LOOKUP(C699, SweepStudyConfig[StudyId], SweepStudyConfig[SweepRateB])</f>
        <v>#VALUE!</v>
      </c>
      <c r="M699" s="3" t="e">
        <f>LOOKUP(C699, SweepStudyConfig[StudyId], SweepStudyConfig[FixedRateA])</f>
        <v>#VALUE!</v>
      </c>
      <c r="N699" s="3" t="e">
        <f>LOOKUP(C699, SweepStudyConfig[StudyId], SweepStudyConfig[FixedRateB])</f>
        <v>#VALUE!</v>
      </c>
      <c r="O699" s="3" t="e">
        <f>IF(G699 + I699 = 0, "", (G699 * K699 + I699 * M699) / (G699 + I699))</f>
        <v>#VALUE!</v>
      </c>
      <c r="P699" s="3" t="e">
        <f>IF(H699 + J699 = 0, "", (H699 * L699 + J699 * N699) / (H699 + J699))</f>
        <v>#VALUE!</v>
      </c>
      <c r="Q699" s="3" t="e">
        <f>IF(O699 = "", "", O699 - P699)</f>
        <v>#VALUE!</v>
      </c>
      <c r="R699" s="3" t="e">
        <f>LOOKUP(C699, SweepStudyConfig[StudyId], SweepStudyConfig[SweepCorrectedGap])</f>
        <v>#VALUE!</v>
      </c>
      <c r="S699" s="3" t="e">
        <f>IF(Q699 = "", "", Q699 - R699)</f>
        <v>#VALUE!</v>
      </c>
    </row>
    <row r="700">
      <c r="A700" s="2" t="s">
        <v>3988</v>
      </c>
      <c r="B700" s="3" t="str">
        <f>A700</f>
        <v>seatbelt-crash-severity-f085</v>
      </c>
      <c r="C700" s="2" t="s">
        <v>679</v>
      </c>
      <c r="D700" s="2">
        <v>0.85</v>
      </c>
      <c r="E700" s="3" t="e">
        <f>ABS(D700 - LOOKUP(C700, SweepStudyConfig[StudyId], SweepStudyConfig[OriginalAllocFractionA])) &lt; 0.03</f>
        <v>#VALUE!</v>
      </c>
      <c r="F700" s="3" t="e">
        <f>LOOKUP(C700, SweepStudyConfig[StudyId], SweepStudyConfig[NSweepStratumTotal])</f>
        <v>#VALUE!</v>
      </c>
      <c r="G700" s="3" t="e">
        <f>ROUND(F700 * D700)</f>
        <v>#VALUE!</v>
      </c>
      <c r="H700" s="3" t="e">
        <f>F700 - G700</f>
        <v>#VALUE!</v>
      </c>
      <c r="I700" s="3" t="e">
        <f>LOOKUP(C700, SweepStudyConfig[StudyId], SweepStudyConfig[NFixedA])</f>
        <v>#VALUE!</v>
      </c>
      <c r="J700" s="3" t="e">
        <f>LOOKUP(C700, SweepStudyConfig[StudyId], SweepStudyConfig[NFixedB])</f>
        <v>#VALUE!</v>
      </c>
      <c r="K700" s="3" t="e">
        <f>LOOKUP(C700, SweepStudyConfig[StudyId], SweepStudyConfig[SweepRateA])</f>
        <v>#VALUE!</v>
      </c>
      <c r="L700" s="3" t="e">
        <f>LOOKUP(C700, SweepStudyConfig[StudyId], SweepStudyConfig[SweepRateB])</f>
        <v>#VALUE!</v>
      </c>
      <c r="M700" s="3" t="e">
        <f>LOOKUP(C700, SweepStudyConfig[StudyId], SweepStudyConfig[FixedRateA])</f>
        <v>#VALUE!</v>
      </c>
      <c r="N700" s="3" t="e">
        <f>LOOKUP(C700, SweepStudyConfig[StudyId], SweepStudyConfig[FixedRateB])</f>
        <v>#VALUE!</v>
      </c>
      <c r="O700" s="3" t="e">
        <f>IF(G700 + I700 = 0, "", (G700 * K700 + I700 * M700) / (G700 + I700))</f>
        <v>#VALUE!</v>
      </c>
      <c r="P700" s="3" t="e">
        <f>IF(H700 + J700 = 0, "", (H700 * L700 + J700 * N700) / (H700 + J700))</f>
        <v>#VALUE!</v>
      </c>
      <c r="Q700" s="3" t="e">
        <f>IF(O700 = "", "", O700 - P700)</f>
        <v>#VALUE!</v>
      </c>
      <c r="R700" s="3" t="e">
        <f>LOOKUP(C700, SweepStudyConfig[StudyId], SweepStudyConfig[SweepCorrectedGap])</f>
        <v>#VALUE!</v>
      </c>
      <c r="S700" s="3" t="e">
        <f>IF(Q700 = "", "", Q700 - R700)</f>
        <v>#VALUE!</v>
      </c>
    </row>
    <row r="701">
      <c r="A701" s="2" t="s">
        <v>3989</v>
      </c>
      <c r="B701" s="3" t="str">
        <f>A701</f>
        <v>seatbelt-crash-severity-f095</v>
      </c>
      <c r="C701" s="2" t="s">
        <v>679</v>
      </c>
      <c r="D701" s="2">
        <v>0.95</v>
      </c>
      <c r="E701" s="3" t="e">
        <f>ABS(D701 - LOOKUP(C701, SweepStudyConfig[StudyId], SweepStudyConfig[OriginalAllocFractionA])) &lt; 0.03</f>
        <v>#VALUE!</v>
      </c>
      <c r="F701" s="3" t="e">
        <f>LOOKUP(C701, SweepStudyConfig[StudyId], SweepStudyConfig[NSweepStratumTotal])</f>
        <v>#VALUE!</v>
      </c>
      <c r="G701" s="3" t="e">
        <f>ROUND(F701 * D701)</f>
        <v>#VALUE!</v>
      </c>
      <c r="H701" s="3" t="e">
        <f>F701 - G701</f>
        <v>#VALUE!</v>
      </c>
      <c r="I701" s="3" t="e">
        <f>LOOKUP(C701, SweepStudyConfig[StudyId], SweepStudyConfig[NFixedA])</f>
        <v>#VALUE!</v>
      </c>
      <c r="J701" s="3" t="e">
        <f>LOOKUP(C701, SweepStudyConfig[StudyId], SweepStudyConfig[NFixedB])</f>
        <v>#VALUE!</v>
      </c>
      <c r="K701" s="3" t="e">
        <f>LOOKUP(C701, SweepStudyConfig[StudyId], SweepStudyConfig[SweepRateA])</f>
        <v>#VALUE!</v>
      </c>
      <c r="L701" s="3" t="e">
        <f>LOOKUP(C701, SweepStudyConfig[StudyId], SweepStudyConfig[SweepRateB])</f>
        <v>#VALUE!</v>
      </c>
      <c r="M701" s="3" t="e">
        <f>LOOKUP(C701, SweepStudyConfig[StudyId], SweepStudyConfig[FixedRateA])</f>
        <v>#VALUE!</v>
      </c>
      <c r="N701" s="3" t="e">
        <f>LOOKUP(C701, SweepStudyConfig[StudyId], SweepStudyConfig[FixedRateB])</f>
        <v>#VALUE!</v>
      </c>
      <c r="O701" s="3" t="e">
        <f>IF(G701 + I701 = 0, "", (G701 * K701 + I701 * M701) / (G701 + I701))</f>
        <v>#VALUE!</v>
      </c>
      <c r="P701" s="3" t="e">
        <f>IF(H701 + J701 = 0, "", (H701 * L701 + J701 * N701) / (H701 + J701))</f>
        <v>#VALUE!</v>
      </c>
      <c r="Q701" s="3" t="e">
        <f>IF(O701 = "", "", O701 - P701)</f>
        <v>#VALUE!</v>
      </c>
      <c r="R701" s="3" t="e">
        <f>LOOKUP(C701, SweepStudyConfig[StudyId], SweepStudyConfig[SweepCorrectedGap])</f>
        <v>#VALUE!</v>
      </c>
      <c r="S701" s="3" t="e">
        <f>IF(Q701 = "", "", Q701 - R701)</f>
        <v>#VALUE!</v>
      </c>
    </row>
    <row r="702">
      <c r="A702" s="2" t="s">
        <v>3990</v>
      </c>
      <c r="B702" s="3" t="str">
        <f>A702</f>
        <v>measles-outbreak-vaccinated-f005</v>
      </c>
      <c r="C702" s="2" t="s">
        <v>683</v>
      </c>
      <c r="D702" s="2">
        <v>0.05</v>
      </c>
      <c r="E702" s="3" t="e">
        <f>ABS(D702 - LOOKUP(C702, SweepStudyConfig[StudyId], SweepStudyConfig[OriginalAllocFractionA])) &lt; 0.03</f>
        <v>#VALUE!</v>
      </c>
      <c r="F702" s="3" t="e">
        <f>LOOKUP(C702, SweepStudyConfig[StudyId], SweepStudyConfig[NSweepStratumTotal])</f>
        <v>#VALUE!</v>
      </c>
      <c r="G702" s="3" t="e">
        <f>ROUND(F702 * D702)</f>
        <v>#VALUE!</v>
      </c>
      <c r="H702" s="3" t="e">
        <f>F702 - G702</f>
        <v>#VALUE!</v>
      </c>
      <c r="I702" s="3" t="e">
        <f>LOOKUP(C702, SweepStudyConfig[StudyId], SweepStudyConfig[NFixedA])</f>
        <v>#VALUE!</v>
      </c>
      <c r="J702" s="3" t="e">
        <f>LOOKUP(C702, SweepStudyConfig[StudyId], SweepStudyConfig[NFixedB])</f>
        <v>#VALUE!</v>
      </c>
      <c r="K702" s="3" t="e">
        <f>LOOKUP(C702, SweepStudyConfig[StudyId], SweepStudyConfig[SweepRateA])</f>
        <v>#VALUE!</v>
      </c>
      <c r="L702" s="3" t="e">
        <f>LOOKUP(C702, SweepStudyConfig[StudyId], SweepStudyConfig[SweepRateB])</f>
        <v>#VALUE!</v>
      </c>
      <c r="M702" s="3" t="e">
        <f>LOOKUP(C702, SweepStudyConfig[StudyId], SweepStudyConfig[FixedRateA])</f>
        <v>#VALUE!</v>
      </c>
      <c r="N702" s="3" t="e">
        <f>LOOKUP(C702, SweepStudyConfig[StudyId], SweepStudyConfig[FixedRateB])</f>
        <v>#VALUE!</v>
      </c>
      <c r="O702" s="3" t="e">
        <f>IF(G702 + I702 = 0, "", (G702 * K702 + I702 * M702) / (G702 + I702))</f>
        <v>#VALUE!</v>
      </c>
      <c r="P702" s="3" t="e">
        <f>IF(H702 + J702 = 0, "", (H702 * L702 + J702 * N702) / (H702 + J702))</f>
        <v>#VALUE!</v>
      </c>
      <c r="Q702" s="3" t="e">
        <f>IF(O702 = "", "", O702 - P702)</f>
        <v>#VALUE!</v>
      </c>
      <c r="R702" s="3" t="e">
        <f>LOOKUP(C702, SweepStudyConfig[StudyId], SweepStudyConfig[SweepCorrectedGap])</f>
        <v>#VALUE!</v>
      </c>
      <c r="S702" s="3" t="e">
        <f>IF(Q702 = "", "", Q702 - R702)</f>
        <v>#VALUE!</v>
      </c>
    </row>
    <row r="703">
      <c r="A703" s="2" t="s">
        <v>3991</v>
      </c>
      <c r="B703" s="3" t="str">
        <f>A703</f>
        <v>measles-outbreak-vaccinated-f015</v>
      </c>
      <c r="C703" s="2" t="s">
        <v>683</v>
      </c>
      <c r="D703" s="2">
        <v>0.15</v>
      </c>
      <c r="E703" s="3" t="e">
        <f>ABS(D703 - LOOKUP(C703, SweepStudyConfig[StudyId], SweepStudyConfig[OriginalAllocFractionA])) &lt; 0.03</f>
        <v>#VALUE!</v>
      </c>
      <c r="F703" s="3" t="e">
        <f>LOOKUP(C703, SweepStudyConfig[StudyId], SweepStudyConfig[NSweepStratumTotal])</f>
        <v>#VALUE!</v>
      </c>
      <c r="G703" s="3" t="e">
        <f>ROUND(F703 * D703)</f>
        <v>#VALUE!</v>
      </c>
      <c r="H703" s="3" t="e">
        <f>F703 - G703</f>
        <v>#VALUE!</v>
      </c>
      <c r="I703" s="3" t="e">
        <f>LOOKUP(C703, SweepStudyConfig[StudyId], SweepStudyConfig[NFixedA])</f>
        <v>#VALUE!</v>
      </c>
      <c r="J703" s="3" t="e">
        <f>LOOKUP(C703, SweepStudyConfig[StudyId], SweepStudyConfig[NFixedB])</f>
        <v>#VALUE!</v>
      </c>
      <c r="K703" s="3" t="e">
        <f>LOOKUP(C703, SweepStudyConfig[StudyId], SweepStudyConfig[SweepRateA])</f>
        <v>#VALUE!</v>
      </c>
      <c r="L703" s="3" t="e">
        <f>LOOKUP(C703, SweepStudyConfig[StudyId], SweepStudyConfig[SweepRateB])</f>
        <v>#VALUE!</v>
      </c>
      <c r="M703" s="3" t="e">
        <f>LOOKUP(C703, SweepStudyConfig[StudyId], SweepStudyConfig[FixedRateA])</f>
        <v>#VALUE!</v>
      </c>
      <c r="N703" s="3" t="e">
        <f>LOOKUP(C703, SweepStudyConfig[StudyId], SweepStudyConfig[FixedRateB])</f>
        <v>#VALUE!</v>
      </c>
      <c r="O703" s="3" t="e">
        <f>IF(G703 + I703 = 0, "", (G703 * K703 + I703 * M703) / (G703 + I703))</f>
        <v>#VALUE!</v>
      </c>
      <c r="P703" s="3" t="e">
        <f>IF(H703 + J703 = 0, "", (H703 * L703 + J703 * N703) / (H703 + J703))</f>
        <v>#VALUE!</v>
      </c>
      <c r="Q703" s="3" t="e">
        <f>IF(O703 = "", "", O703 - P703)</f>
        <v>#VALUE!</v>
      </c>
      <c r="R703" s="3" t="e">
        <f>LOOKUP(C703, SweepStudyConfig[StudyId], SweepStudyConfig[SweepCorrectedGap])</f>
        <v>#VALUE!</v>
      </c>
      <c r="S703" s="3" t="e">
        <f>IF(Q703 = "", "", Q703 - R703)</f>
        <v>#VALUE!</v>
      </c>
    </row>
    <row r="704">
      <c r="A704" s="2" t="s">
        <v>3992</v>
      </c>
      <c r="B704" s="3" t="str">
        <f>A704</f>
        <v>measles-outbreak-vaccinated-f025</v>
      </c>
      <c r="C704" s="2" t="s">
        <v>683</v>
      </c>
      <c r="D704" s="2">
        <v>0.25</v>
      </c>
      <c r="E704" s="3" t="e">
        <f>ABS(D704 - LOOKUP(C704, SweepStudyConfig[StudyId], SweepStudyConfig[OriginalAllocFractionA])) &lt; 0.03</f>
        <v>#VALUE!</v>
      </c>
      <c r="F704" s="3" t="e">
        <f>LOOKUP(C704, SweepStudyConfig[StudyId], SweepStudyConfig[NSweepStratumTotal])</f>
        <v>#VALUE!</v>
      </c>
      <c r="G704" s="3" t="e">
        <f>ROUND(F704 * D704)</f>
        <v>#VALUE!</v>
      </c>
      <c r="H704" s="3" t="e">
        <f>F704 - G704</f>
        <v>#VALUE!</v>
      </c>
      <c r="I704" s="3" t="e">
        <f>LOOKUP(C704, SweepStudyConfig[StudyId], SweepStudyConfig[NFixedA])</f>
        <v>#VALUE!</v>
      </c>
      <c r="J704" s="3" t="e">
        <f>LOOKUP(C704, SweepStudyConfig[StudyId], SweepStudyConfig[NFixedB])</f>
        <v>#VALUE!</v>
      </c>
      <c r="K704" s="3" t="e">
        <f>LOOKUP(C704, SweepStudyConfig[StudyId], SweepStudyConfig[SweepRateA])</f>
        <v>#VALUE!</v>
      </c>
      <c r="L704" s="3" t="e">
        <f>LOOKUP(C704, SweepStudyConfig[StudyId], SweepStudyConfig[SweepRateB])</f>
        <v>#VALUE!</v>
      </c>
      <c r="M704" s="3" t="e">
        <f>LOOKUP(C704, SweepStudyConfig[StudyId], SweepStudyConfig[FixedRateA])</f>
        <v>#VALUE!</v>
      </c>
      <c r="N704" s="3" t="e">
        <f>LOOKUP(C704, SweepStudyConfig[StudyId], SweepStudyConfig[FixedRateB])</f>
        <v>#VALUE!</v>
      </c>
      <c r="O704" s="3" t="e">
        <f>IF(G704 + I704 = 0, "", (G704 * K704 + I704 * M704) / (G704 + I704))</f>
        <v>#VALUE!</v>
      </c>
      <c r="P704" s="3" t="e">
        <f>IF(H704 + J704 = 0, "", (H704 * L704 + J704 * N704) / (H704 + J704))</f>
        <v>#VALUE!</v>
      </c>
      <c r="Q704" s="3" t="e">
        <f>IF(O704 = "", "", O704 - P704)</f>
        <v>#VALUE!</v>
      </c>
      <c r="R704" s="3" t="e">
        <f>LOOKUP(C704, SweepStudyConfig[StudyId], SweepStudyConfig[SweepCorrectedGap])</f>
        <v>#VALUE!</v>
      </c>
      <c r="S704" s="3" t="e">
        <f>IF(Q704 = "", "", Q704 - R704)</f>
        <v>#VALUE!</v>
      </c>
    </row>
    <row r="705">
      <c r="A705" s="2" t="s">
        <v>3993</v>
      </c>
      <c r="B705" s="3" t="str">
        <f>A705</f>
        <v>measles-outbreak-vaccinated-f035</v>
      </c>
      <c r="C705" s="2" t="s">
        <v>683</v>
      </c>
      <c r="D705" s="2">
        <v>0.35</v>
      </c>
      <c r="E705" s="3" t="e">
        <f>ABS(D705 - LOOKUP(C705, SweepStudyConfig[StudyId], SweepStudyConfig[OriginalAllocFractionA])) &lt; 0.03</f>
        <v>#VALUE!</v>
      </c>
      <c r="F705" s="3" t="e">
        <f>LOOKUP(C705, SweepStudyConfig[StudyId], SweepStudyConfig[NSweepStratumTotal])</f>
        <v>#VALUE!</v>
      </c>
      <c r="G705" s="3" t="e">
        <f>ROUND(F705 * D705)</f>
        <v>#VALUE!</v>
      </c>
      <c r="H705" s="3" t="e">
        <f>F705 - G705</f>
        <v>#VALUE!</v>
      </c>
      <c r="I705" s="3" t="e">
        <f>LOOKUP(C705, SweepStudyConfig[StudyId], SweepStudyConfig[NFixedA])</f>
        <v>#VALUE!</v>
      </c>
      <c r="J705" s="3" t="e">
        <f>LOOKUP(C705, SweepStudyConfig[StudyId], SweepStudyConfig[NFixedB])</f>
        <v>#VALUE!</v>
      </c>
      <c r="K705" s="3" t="e">
        <f>LOOKUP(C705, SweepStudyConfig[StudyId], SweepStudyConfig[SweepRateA])</f>
        <v>#VALUE!</v>
      </c>
      <c r="L705" s="3" t="e">
        <f>LOOKUP(C705, SweepStudyConfig[StudyId], SweepStudyConfig[SweepRateB])</f>
        <v>#VALUE!</v>
      </c>
      <c r="M705" s="3" t="e">
        <f>LOOKUP(C705, SweepStudyConfig[StudyId], SweepStudyConfig[FixedRateA])</f>
        <v>#VALUE!</v>
      </c>
      <c r="N705" s="3" t="e">
        <f>LOOKUP(C705, SweepStudyConfig[StudyId], SweepStudyConfig[FixedRateB])</f>
        <v>#VALUE!</v>
      </c>
      <c r="O705" s="3" t="e">
        <f>IF(G705 + I705 = 0, "", (G705 * K705 + I705 * M705) / (G705 + I705))</f>
        <v>#VALUE!</v>
      </c>
      <c r="P705" s="3" t="e">
        <f>IF(H705 + J705 = 0, "", (H705 * L705 + J705 * N705) / (H705 + J705))</f>
        <v>#VALUE!</v>
      </c>
      <c r="Q705" s="3" t="e">
        <f>IF(O705 = "", "", O705 - P705)</f>
        <v>#VALUE!</v>
      </c>
      <c r="R705" s="3" t="e">
        <f>LOOKUP(C705, SweepStudyConfig[StudyId], SweepStudyConfig[SweepCorrectedGap])</f>
        <v>#VALUE!</v>
      </c>
      <c r="S705" s="3" t="e">
        <f>IF(Q705 = "", "", Q705 - R705)</f>
        <v>#VALUE!</v>
      </c>
    </row>
    <row r="706">
      <c r="A706" s="2" t="s">
        <v>3994</v>
      </c>
      <c r="B706" s="3" t="str">
        <f>A706</f>
        <v>measles-outbreak-vaccinated-f045</v>
      </c>
      <c r="C706" s="2" t="s">
        <v>683</v>
      </c>
      <c r="D706" s="2">
        <v>0.45</v>
      </c>
      <c r="E706" s="3" t="e">
        <f>ABS(D706 - LOOKUP(C706, SweepStudyConfig[StudyId], SweepStudyConfig[OriginalAllocFractionA])) &lt; 0.03</f>
        <v>#VALUE!</v>
      </c>
      <c r="F706" s="3" t="e">
        <f>LOOKUP(C706, SweepStudyConfig[StudyId], SweepStudyConfig[NSweepStratumTotal])</f>
        <v>#VALUE!</v>
      </c>
      <c r="G706" s="3" t="e">
        <f>ROUND(F706 * D706)</f>
        <v>#VALUE!</v>
      </c>
      <c r="H706" s="3" t="e">
        <f>F706 - G706</f>
        <v>#VALUE!</v>
      </c>
      <c r="I706" s="3" t="e">
        <f>LOOKUP(C706, SweepStudyConfig[StudyId], SweepStudyConfig[NFixedA])</f>
        <v>#VALUE!</v>
      </c>
      <c r="J706" s="3" t="e">
        <f>LOOKUP(C706, SweepStudyConfig[StudyId], SweepStudyConfig[NFixedB])</f>
        <v>#VALUE!</v>
      </c>
      <c r="K706" s="3" t="e">
        <f>LOOKUP(C706, SweepStudyConfig[StudyId], SweepStudyConfig[SweepRateA])</f>
        <v>#VALUE!</v>
      </c>
      <c r="L706" s="3" t="e">
        <f>LOOKUP(C706, SweepStudyConfig[StudyId], SweepStudyConfig[SweepRateB])</f>
        <v>#VALUE!</v>
      </c>
      <c r="M706" s="3" t="e">
        <f>LOOKUP(C706, SweepStudyConfig[StudyId], SweepStudyConfig[FixedRateA])</f>
        <v>#VALUE!</v>
      </c>
      <c r="N706" s="3" t="e">
        <f>LOOKUP(C706, SweepStudyConfig[StudyId], SweepStudyConfig[FixedRateB])</f>
        <v>#VALUE!</v>
      </c>
      <c r="O706" s="3" t="e">
        <f>IF(G706 + I706 = 0, "", (G706 * K706 + I706 * M706) / (G706 + I706))</f>
        <v>#VALUE!</v>
      </c>
      <c r="P706" s="3" t="e">
        <f>IF(H706 + J706 = 0, "", (H706 * L706 + J706 * N706) / (H706 + J706))</f>
        <v>#VALUE!</v>
      </c>
      <c r="Q706" s="3" t="e">
        <f>IF(O706 = "", "", O706 - P706)</f>
        <v>#VALUE!</v>
      </c>
      <c r="R706" s="3" t="e">
        <f>LOOKUP(C706, SweepStudyConfig[StudyId], SweepStudyConfig[SweepCorrectedGap])</f>
        <v>#VALUE!</v>
      </c>
      <c r="S706" s="3" t="e">
        <f>IF(Q706 = "", "", Q706 - R706)</f>
        <v>#VALUE!</v>
      </c>
    </row>
    <row r="707">
      <c r="A707" s="2" t="s">
        <v>3995</v>
      </c>
      <c r="B707" s="3" t="str">
        <f>A707</f>
        <v>measles-outbreak-vaccinated-f055</v>
      </c>
      <c r="C707" s="2" t="s">
        <v>683</v>
      </c>
      <c r="D707" s="2">
        <v>0.55</v>
      </c>
      <c r="E707" s="3" t="e">
        <f>ABS(D707 - LOOKUP(C707, SweepStudyConfig[StudyId], SweepStudyConfig[OriginalAllocFractionA])) &lt; 0.03</f>
        <v>#VALUE!</v>
      </c>
      <c r="F707" s="3" t="e">
        <f>LOOKUP(C707, SweepStudyConfig[StudyId], SweepStudyConfig[NSweepStratumTotal])</f>
        <v>#VALUE!</v>
      </c>
      <c r="G707" s="3" t="e">
        <f>ROUND(F707 * D707)</f>
        <v>#VALUE!</v>
      </c>
      <c r="H707" s="3" t="e">
        <f>F707 - G707</f>
        <v>#VALUE!</v>
      </c>
      <c r="I707" s="3" t="e">
        <f>LOOKUP(C707, SweepStudyConfig[StudyId], SweepStudyConfig[NFixedA])</f>
        <v>#VALUE!</v>
      </c>
      <c r="J707" s="3" t="e">
        <f>LOOKUP(C707, SweepStudyConfig[StudyId], SweepStudyConfig[NFixedB])</f>
        <v>#VALUE!</v>
      </c>
      <c r="K707" s="3" t="e">
        <f>LOOKUP(C707, SweepStudyConfig[StudyId], SweepStudyConfig[SweepRateA])</f>
        <v>#VALUE!</v>
      </c>
      <c r="L707" s="3" t="e">
        <f>LOOKUP(C707, SweepStudyConfig[StudyId], SweepStudyConfig[SweepRateB])</f>
        <v>#VALUE!</v>
      </c>
      <c r="M707" s="3" t="e">
        <f>LOOKUP(C707, SweepStudyConfig[StudyId], SweepStudyConfig[FixedRateA])</f>
        <v>#VALUE!</v>
      </c>
      <c r="N707" s="3" t="e">
        <f>LOOKUP(C707, SweepStudyConfig[StudyId], SweepStudyConfig[FixedRateB])</f>
        <v>#VALUE!</v>
      </c>
      <c r="O707" s="3" t="e">
        <f>IF(G707 + I707 = 0, "", (G707 * K707 + I707 * M707) / (G707 + I707))</f>
        <v>#VALUE!</v>
      </c>
      <c r="P707" s="3" t="e">
        <f>IF(H707 + J707 = 0, "", (H707 * L707 + J707 * N707) / (H707 + J707))</f>
        <v>#VALUE!</v>
      </c>
      <c r="Q707" s="3" t="e">
        <f>IF(O707 = "", "", O707 - P707)</f>
        <v>#VALUE!</v>
      </c>
      <c r="R707" s="3" t="e">
        <f>LOOKUP(C707, SweepStudyConfig[StudyId], SweepStudyConfig[SweepCorrectedGap])</f>
        <v>#VALUE!</v>
      </c>
      <c r="S707" s="3" t="e">
        <f>IF(Q707 = "", "", Q707 - R707)</f>
        <v>#VALUE!</v>
      </c>
    </row>
    <row r="708">
      <c r="A708" s="2" t="s">
        <v>3996</v>
      </c>
      <c r="B708" s="3" t="str">
        <f>A708</f>
        <v>measles-outbreak-vaccinated-f065</v>
      </c>
      <c r="C708" s="2" t="s">
        <v>683</v>
      </c>
      <c r="D708" s="2">
        <v>0.65</v>
      </c>
      <c r="E708" s="3" t="e">
        <f>ABS(D708 - LOOKUP(C708, SweepStudyConfig[StudyId], SweepStudyConfig[OriginalAllocFractionA])) &lt; 0.03</f>
        <v>#VALUE!</v>
      </c>
      <c r="F708" s="3" t="e">
        <f>LOOKUP(C708, SweepStudyConfig[StudyId], SweepStudyConfig[NSweepStratumTotal])</f>
        <v>#VALUE!</v>
      </c>
      <c r="G708" s="3" t="e">
        <f>ROUND(F708 * D708)</f>
        <v>#VALUE!</v>
      </c>
      <c r="H708" s="3" t="e">
        <f>F708 - G708</f>
        <v>#VALUE!</v>
      </c>
      <c r="I708" s="3" t="e">
        <f>LOOKUP(C708, SweepStudyConfig[StudyId], SweepStudyConfig[NFixedA])</f>
        <v>#VALUE!</v>
      </c>
      <c r="J708" s="3" t="e">
        <f>LOOKUP(C708, SweepStudyConfig[StudyId], SweepStudyConfig[NFixedB])</f>
        <v>#VALUE!</v>
      </c>
      <c r="K708" s="3" t="e">
        <f>LOOKUP(C708, SweepStudyConfig[StudyId], SweepStudyConfig[SweepRateA])</f>
        <v>#VALUE!</v>
      </c>
      <c r="L708" s="3" t="e">
        <f>LOOKUP(C708, SweepStudyConfig[StudyId], SweepStudyConfig[SweepRateB])</f>
        <v>#VALUE!</v>
      </c>
      <c r="M708" s="3" t="e">
        <f>LOOKUP(C708, SweepStudyConfig[StudyId], SweepStudyConfig[FixedRateA])</f>
        <v>#VALUE!</v>
      </c>
      <c r="N708" s="3" t="e">
        <f>LOOKUP(C708, SweepStudyConfig[StudyId], SweepStudyConfig[FixedRateB])</f>
        <v>#VALUE!</v>
      </c>
      <c r="O708" s="3" t="e">
        <f>IF(G708 + I708 = 0, "", (G708 * K708 + I708 * M708) / (G708 + I708))</f>
        <v>#VALUE!</v>
      </c>
      <c r="P708" s="3" t="e">
        <f>IF(H708 + J708 = 0, "", (H708 * L708 + J708 * N708) / (H708 + J708))</f>
        <v>#VALUE!</v>
      </c>
      <c r="Q708" s="3" t="e">
        <f>IF(O708 = "", "", O708 - P708)</f>
        <v>#VALUE!</v>
      </c>
      <c r="R708" s="3" t="e">
        <f>LOOKUP(C708, SweepStudyConfig[StudyId], SweepStudyConfig[SweepCorrectedGap])</f>
        <v>#VALUE!</v>
      </c>
      <c r="S708" s="3" t="e">
        <f>IF(Q708 = "", "", Q708 - R708)</f>
        <v>#VALUE!</v>
      </c>
    </row>
    <row r="709">
      <c r="A709" s="2" t="s">
        <v>3997</v>
      </c>
      <c r="B709" s="3" t="str">
        <f>A709</f>
        <v>measles-outbreak-vaccinated-f075</v>
      </c>
      <c r="C709" s="2" t="s">
        <v>683</v>
      </c>
      <c r="D709" s="2">
        <v>0.75</v>
      </c>
      <c r="E709" s="3" t="e">
        <f>ABS(D709 - LOOKUP(C709, SweepStudyConfig[StudyId], SweepStudyConfig[OriginalAllocFractionA])) &lt; 0.03</f>
        <v>#VALUE!</v>
      </c>
      <c r="F709" s="3" t="e">
        <f>LOOKUP(C709, SweepStudyConfig[StudyId], SweepStudyConfig[NSweepStratumTotal])</f>
        <v>#VALUE!</v>
      </c>
      <c r="G709" s="3" t="e">
        <f>ROUND(F709 * D709)</f>
        <v>#VALUE!</v>
      </c>
      <c r="H709" s="3" t="e">
        <f>F709 - G709</f>
        <v>#VALUE!</v>
      </c>
      <c r="I709" s="3" t="e">
        <f>LOOKUP(C709, SweepStudyConfig[StudyId], SweepStudyConfig[NFixedA])</f>
        <v>#VALUE!</v>
      </c>
      <c r="J709" s="3" t="e">
        <f>LOOKUP(C709, SweepStudyConfig[StudyId], SweepStudyConfig[NFixedB])</f>
        <v>#VALUE!</v>
      </c>
      <c r="K709" s="3" t="e">
        <f>LOOKUP(C709, SweepStudyConfig[StudyId], SweepStudyConfig[SweepRateA])</f>
        <v>#VALUE!</v>
      </c>
      <c r="L709" s="3" t="e">
        <f>LOOKUP(C709, SweepStudyConfig[StudyId], SweepStudyConfig[SweepRateB])</f>
        <v>#VALUE!</v>
      </c>
      <c r="M709" s="3" t="e">
        <f>LOOKUP(C709, SweepStudyConfig[StudyId], SweepStudyConfig[FixedRateA])</f>
        <v>#VALUE!</v>
      </c>
      <c r="N709" s="3" t="e">
        <f>LOOKUP(C709, SweepStudyConfig[StudyId], SweepStudyConfig[FixedRateB])</f>
        <v>#VALUE!</v>
      </c>
      <c r="O709" s="3" t="e">
        <f>IF(G709 + I709 = 0, "", (G709 * K709 + I709 * M709) / (G709 + I709))</f>
        <v>#VALUE!</v>
      </c>
      <c r="P709" s="3" t="e">
        <f>IF(H709 + J709 = 0, "", (H709 * L709 + J709 * N709) / (H709 + J709))</f>
        <v>#VALUE!</v>
      </c>
      <c r="Q709" s="3" t="e">
        <f>IF(O709 = "", "", O709 - P709)</f>
        <v>#VALUE!</v>
      </c>
      <c r="R709" s="3" t="e">
        <f>LOOKUP(C709, SweepStudyConfig[StudyId], SweepStudyConfig[SweepCorrectedGap])</f>
        <v>#VALUE!</v>
      </c>
      <c r="S709" s="3" t="e">
        <f>IF(Q709 = "", "", Q709 - R709)</f>
        <v>#VALUE!</v>
      </c>
    </row>
    <row r="710">
      <c r="A710" s="2" t="s">
        <v>3998</v>
      </c>
      <c r="B710" s="3" t="str">
        <f>A710</f>
        <v>measles-outbreak-vaccinated-f085</v>
      </c>
      <c r="C710" s="2" t="s">
        <v>683</v>
      </c>
      <c r="D710" s="2">
        <v>0.85</v>
      </c>
      <c r="E710" s="3" t="e">
        <f>ABS(D710 - LOOKUP(C710, SweepStudyConfig[StudyId], SweepStudyConfig[OriginalAllocFractionA])) &lt; 0.03</f>
        <v>#VALUE!</v>
      </c>
      <c r="F710" s="3" t="e">
        <f>LOOKUP(C710, SweepStudyConfig[StudyId], SweepStudyConfig[NSweepStratumTotal])</f>
        <v>#VALUE!</v>
      </c>
      <c r="G710" s="3" t="e">
        <f>ROUND(F710 * D710)</f>
        <v>#VALUE!</v>
      </c>
      <c r="H710" s="3" t="e">
        <f>F710 - G710</f>
        <v>#VALUE!</v>
      </c>
      <c r="I710" s="3" t="e">
        <f>LOOKUP(C710, SweepStudyConfig[StudyId], SweepStudyConfig[NFixedA])</f>
        <v>#VALUE!</v>
      </c>
      <c r="J710" s="3" t="e">
        <f>LOOKUP(C710, SweepStudyConfig[StudyId], SweepStudyConfig[NFixedB])</f>
        <v>#VALUE!</v>
      </c>
      <c r="K710" s="3" t="e">
        <f>LOOKUP(C710, SweepStudyConfig[StudyId], SweepStudyConfig[SweepRateA])</f>
        <v>#VALUE!</v>
      </c>
      <c r="L710" s="3" t="e">
        <f>LOOKUP(C710, SweepStudyConfig[StudyId], SweepStudyConfig[SweepRateB])</f>
        <v>#VALUE!</v>
      </c>
      <c r="M710" s="3" t="e">
        <f>LOOKUP(C710, SweepStudyConfig[StudyId], SweepStudyConfig[FixedRateA])</f>
        <v>#VALUE!</v>
      </c>
      <c r="N710" s="3" t="e">
        <f>LOOKUP(C710, SweepStudyConfig[StudyId], SweepStudyConfig[FixedRateB])</f>
        <v>#VALUE!</v>
      </c>
      <c r="O710" s="3" t="e">
        <f>IF(G710 + I710 = 0, "", (G710 * K710 + I710 * M710) / (G710 + I710))</f>
        <v>#VALUE!</v>
      </c>
      <c r="P710" s="3" t="e">
        <f>IF(H710 + J710 = 0, "", (H710 * L710 + J710 * N710) / (H710 + J710))</f>
        <v>#VALUE!</v>
      </c>
      <c r="Q710" s="3" t="e">
        <f>IF(O710 = "", "", O710 - P710)</f>
        <v>#VALUE!</v>
      </c>
      <c r="R710" s="3" t="e">
        <f>LOOKUP(C710, SweepStudyConfig[StudyId], SweepStudyConfig[SweepCorrectedGap])</f>
        <v>#VALUE!</v>
      </c>
      <c r="S710" s="3" t="e">
        <f>IF(Q710 = "", "", Q710 - R710)</f>
        <v>#VALUE!</v>
      </c>
    </row>
    <row r="711">
      <c r="A711" s="2" t="s">
        <v>3999</v>
      </c>
      <c r="B711" s="3" t="str">
        <f>A711</f>
        <v>measles-outbreak-vaccinated-f095</v>
      </c>
      <c r="C711" s="2" t="s">
        <v>683</v>
      </c>
      <c r="D711" s="2">
        <v>0.95</v>
      </c>
      <c r="E711" s="3" t="e">
        <f>ABS(D711 - LOOKUP(C711, SweepStudyConfig[StudyId], SweepStudyConfig[OriginalAllocFractionA])) &lt; 0.03</f>
        <v>#VALUE!</v>
      </c>
      <c r="F711" s="3" t="e">
        <f>LOOKUP(C711, SweepStudyConfig[StudyId], SweepStudyConfig[NSweepStratumTotal])</f>
        <v>#VALUE!</v>
      </c>
      <c r="G711" s="3" t="e">
        <f>ROUND(F711 * D711)</f>
        <v>#VALUE!</v>
      </c>
      <c r="H711" s="3" t="e">
        <f>F711 - G711</f>
        <v>#VALUE!</v>
      </c>
      <c r="I711" s="3" t="e">
        <f>LOOKUP(C711, SweepStudyConfig[StudyId], SweepStudyConfig[NFixedA])</f>
        <v>#VALUE!</v>
      </c>
      <c r="J711" s="3" t="e">
        <f>LOOKUP(C711, SweepStudyConfig[StudyId], SweepStudyConfig[NFixedB])</f>
        <v>#VALUE!</v>
      </c>
      <c r="K711" s="3" t="e">
        <f>LOOKUP(C711, SweepStudyConfig[StudyId], SweepStudyConfig[SweepRateA])</f>
        <v>#VALUE!</v>
      </c>
      <c r="L711" s="3" t="e">
        <f>LOOKUP(C711, SweepStudyConfig[StudyId], SweepStudyConfig[SweepRateB])</f>
        <v>#VALUE!</v>
      </c>
      <c r="M711" s="3" t="e">
        <f>LOOKUP(C711, SweepStudyConfig[StudyId], SweepStudyConfig[FixedRateA])</f>
        <v>#VALUE!</v>
      </c>
      <c r="N711" s="3" t="e">
        <f>LOOKUP(C711, SweepStudyConfig[StudyId], SweepStudyConfig[FixedRateB])</f>
        <v>#VALUE!</v>
      </c>
      <c r="O711" s="3" t="e">
        <f>IF(G711 + I711 = 0, "", (G711 * K711 + I711 * M711) / (G711 + I711))</f>
        <v>#VALUE!</v>
      </c>
      <c r="P711" s="3" t="e">
        <f>IF(H711 + J711 = 0, "", (H711 * L711 + J711 * N711) / (H711 + J711))</f>
        <v>#VALUE!</v>
      </c>
      <c r="Q711" s="3" t="e">
        <f>IF(O711 = "", "", O711 - P711)</f>
        <v>#VALUE!</v>
      </c>
      <c r="R711" s="3" t="e">
        <f>LOOKUP(C711, SweepStudyConfig[StudyId], SweepStudyConfig[SweepCorrectedGap])</f>
        <v>#VALUE!</v>
      </c>
      <c r="S711" s="3" t="e">
        <f>IF(Q711 = "", "", Q711 - R711)</f>
        <v>#VALUE!</v>
      </c>
    </row>
    <row r="712">
      <c r="A712" s="2" t="s">
        <v>4000</v>
      </c>
      <c r="B712" s="3" t="str">
        <f>A712</f>
        <v>air-pollution-mortality-city-f005</v>
      </c>
      <c r="C712" s="2" t="s">
        <v>687</v>
      </c>
      <c r="D712" s="2">
        <v>0.05</v>
      </c>
      <c r="E712" s="3" t="e">
        <f>ABS(D712 - LOOKUP(C712, SweepStudyConfig[StudyId], SweepStudyConfig[OriginalAllocFractionA])) &lt; 0.03</f>
        <v>#VALUE!</v>
      </c>
      <c r="F712" s="3" t="e">
        <f>LOOKUP(C712, SweepStudyConfig[StudyId], SweepStudyConfig[NSweepStratumTotal])</f>
        <v>#VALUE!</v>
      </c>
      <c r="G712" s="3" t="e">
        <f>ROUND(F712 * D712)</f>
        <v>#VALUE!</v>
      </c>
      <c r="H712" s="3" t="e">
        <f>F712 - G712</f>
        <v>#VALUE!</v>
      </c>
      <c r="I712" s="3" t="e">
        <f>LOOKUP(C712, SweepStudyConfig[StudyId], SweepStudyConfig[NFixedA])</f>
        <v>#VALUE!</v>
      </c>
      <c r="J712" s="3" t="e">
        <f>LOOKUP(C712, SweepStudyConfig[StudyId], SweepStudyConfig[NFixedB])</f>
        <v>#VALUE!</v>
      </c>
      <c r="K712" s="3" t="e">
        <f>LOOKUP(C712, SweepStudyConfig[StudyId], SweepStudyConfig[SweepRateA])</f>
        <v>#VALUE!</v>
      </c>
      <c r="L712" s="3" t="e">
        <f>LOOKUP(C712, SweepStudyConfig[StudyId], SweepStudyConfig[SweepRateB])</f>
        <v>#VALUE!</v>
      </c>
      <c r="M712" s="3" t="e">
        <f>LOOKUP(C712, SweepStudyConfig[StudyId], SweepStudyConfig[FixedRateA])</f>
        <v>#VALUE!</v>
      </c>
      <c r="N712" s="3" t="e">
        <f>LOOKUP(C712, SweepStudyConfig[StudyId], SweepStudyConfig[FixedRateB])</f>
        <v>#VALUE!</v>
      </c>
      <c r="O712" s="3" t="e">
        <f>IF(G712 + I712 = 0, "", (G712 * K712 + I712 * M712) / (G712 + I712))</f>
        <v>#VALUE!</v>
      </c>
      <c r="P712" s="3" t="e">
        <f>IF(H712 + J712 = 0, "", (H712 * L712 + J712 * N712) / (H712 + J712))</f>
        <v>#VALUE!</v>
      </c>
      <c r="Q712" s="3" t="e">
        <f>IF(O712 = "", "", O712 - P712)</f>
        <v>#VALUE!</v>
      </c>
      <c r="R712" s="3" t="e">
        <f>LOOKUP(C712, SweepStudyConfig[StudyId], SweepStudyConfig[SweepCorrectedGap])</f>
        <v>#VALUE!</v>
      </c>
      <c r="S712" s="3" t="e">
        <f>IF(Q712 = "", "", Q712 - R712)</f>
        <v>#VALUE!</v>
      </c>
    </row>
    <row r="713">
      <c r="A713" s="2" t="s">
        <v>4001</v>
      </c>
      <c r="B713" s="3" t="str">
        <f>A713</f>
        <v>air-pollution-mortality-city-f015</v>
      </c>
      <c r="C713" s="2" t="s">
        <v>687</v>
      </c>
      <c r="D713" s="2">
        <v>0.15</v>
      </c>
      <c r="E713" s="3" t="e">
        <f>ABS(D713 - LOOKUP(C713, SweepStudyConfig[StudyId], SweepStudyConfig[OriginalAllocFractionA])) &lt; 0.03</f>
        <v>#VALUE!</v>
      </c>
      <c r="F713" s="3" t="e">
        <f>LOOKUP(C713, SweepStudyConfig[StudyId], SweepStudyConfig[NSweepStratumTotal])</f>
        <v>#VALUE!</v>
      </c>
      <c r="G713" s="3" t="e">
        <f>ROUND(F713 * D713)</f>
        <v>#VALUE!</v>
      </c>
      <c r="H713" s="3" t="e">
        <f>F713 - G713</f>
        <v>#VALUE!</v>
      </c>
      <c r="I713" s="3" t="e">
        <f>LOOKUP(C713, SweepStudyConfig[StudyId], SweepStudyConfig[NFixedA])</f>
        <v>#VALUE!</v>
      </c>
      <c r="J713" s="3" t="e">
        <f>LOOKUP(C713, SweepStudyConfig[StudyId], SweepStudyConfig[NFixedB])</f>
        <v>#VALUE!</v>
      </c>
      <c r="K713" s="3" t="e">
        <f>LOOKUP(C713, SweepStudyConfig[StudyId], SweepStudyConfig[SweepRateA])</f>
        <v>#VALUE!</v>
      </c>
      <c r="L713" s="3" t="e">
        <f>LOOKUP(C713, SweepStudyConfig[StudyId], SweepStudyConfig[SweepRateB])</f>
        <v>#VALUE!</v>
      </c>
      <c r="M713" s="3" t="e">
        <f>LOOKUP(C713, SweepStudyConfig[StudyId], SweepStudyConfig[FixedRateA])</f>
        <v>#VALUE!</v>
      </c>
      <c r="N713" s="3" t="e">
        <f>LOOKUP(C713, SweepStudyConfig[StudyId], SweepStudyConfig[FixedRateB])</f>
        <v>#VALUE!</v>
      </c>
      <c r="O713" s="3" t="e">
        <f>IF(G713 + I713 = 0, "", (G713 * K713 + I713 * M713) / (G713 + I713))</f>
        <v>#VALUE!</v>
      </c>
      <c r="P713" s="3" t="e">
        <f>IF(H713 + J713 = 0, "", (H713 * L713 + J713 * N713) / (H713 + J713))</f>
        <v>#VALUE!</v>
      </c>
      <c r="Q713" s="3" t="e">
        <f>IF(O713 = "", "", O713 - P713)</f>
        <v>#VALUE!</v>
      </c>
      <c r="R713" s="3" t="e">
        <f>LOOKUP(C713, SweepStudyConfig[StudyId], SweepStudyConfig[SweepCorrectedGap])</f>
        <v>#VALUE!</v>
      </c>
      <c r="S713" s="3" t="e">
        <f>IF(Q713 = "", "", Q713 - R713)</f>
        <v>#VALUE!</v>
      </c>
    </row>
    <row r="714">
      <c r="A714" s="2" t="s">
        <v>4002</v>
      </c>
      <c r="B714" s="3" t="str">
        <f>A714</f>
        <v>air-pollution-mortality-city-f025</v>
      </c>
      <c r="C714" s="2" t="s">
        <v>687</v>
      </c>
      <c r="D714" s="2">
        <v>0.25</v>
      </c>
      <c r="E714" s="3" t="e">
        <f>ABS(D714 - LOOKUP(C714, SweepStudyConfig[StudyId], SweepStudyConfig[OriginalAllocFractionA])) &lt; 0.03</f>
        <v>#VALUE!</v>
      </c>
      <c r="F714" s="3" t="e">
        <f>LOOKUP(C714, SweepStudyConfig[StudyId], SweepStudyConfig[NSweepStratumTotal])</f>
        <v>#VALUE!</v>
      </c>
      <c r="G714" s="3" t="e">
        <f>ROUND(F714 * D714)</f>
        <v>#VALUE!</v>
      </c>
      <c r="H714" s="3" t="e">
        <f>F714 - G714</f>
        <v>#VALUE!</v>
      </c>
      <c r="I714" s="3" t="e">
        <f>LOOKUP(C714, SweepStudyConfig[StudyId], SweepStudyConfig[NFixedA])</f>
        <v>#VALUE!</v>
      </c>
      <c r="J714" s="3" t="e">
        <f>LOOKUP(C714, SweepStudyConfig[StudyId], SweepStudyConfig[NFixedB])</f>
        <v>#VALUE!</v>
      </c>
      <c r="K714" s="3" t="e">
        <f>LOOKUP(C714, SweepStudyConfig[StudyId], SweepStudyConfig[SweepRateA])</f>
        <v>#VALUE!</v>
      </c>
      <c r="L714" s="3" t="e">
        <f>LOOKUP(C714, SweepStudyConfig[StudyId], SweepStudyConfig[SweepRateB])</f>
        <v>#VALUE!</v>
      </c>
      <c r="M714" s="3" t="e">
        <f>LOOKUP(C714, SweepStudyConfig[StudyId], SweepStudyConfig[FixedRateA])</f>
        <v>#VALUE!</v>
      </c>
      <c r="N714" s="3" t="e">
        <f>LOOKUP(C714, SweepStudyConfig[StudyId], SweepStudyConfig[FixedRateB])</f>
        <v>#VALUE!</v>
      </c>
      <c r="O714" s="3" t="e">
        <f>IF(G714 + I714 = 0, "", (G714 * K714 + I714 * M714) / (G714 + I714))</f>
        <v>#VALUE!</v>
      </c>
      <c r="P714" s="3" t="e">
        <f>IF(H714 + J714 = 0, "", (H714 * L714 + J714 * N714) / (H714 + J714))</f>
        <v>#VALUE!</v>
      </c>
      <c r="Q714" s="3" t="e">
        <f>IF(O714 = "", "", O714 - P714)</f>
        <v>#VALUE!</v>
      </c>
      <c r="R714" s="3" t="e">
        <f>LOOKUP(C714, SweepStudyConfig[StudyId], SweepStudyConfig[SweepCorrectedGap])</f>
        <v>#VALUE!</v>
      </c>
      <c r="S714" s="3" t="e">
        <f>IF(Q714 = "", "", Q714 - R714)</f>
        <v>#VALUE!</v>
      </c>
    </row>
    <row r="715">
      <c r="A715" s="2" t="s">
        <v>4003</v>
      </c>
      <c r="B715" s="3" t="str">
        <f>A715</f>
        <v>air-pollution-mortality-city-f035</v>
      </c>
      <c r="C715" s="2" t="s">
        <v>687</v>
      </c>
      <c r="D715" s="2">
        <v>0.35</v>
      </c>
      <c r="E715" s="3" t="e">
        <f>ABS(D715 - LOOKUP(C715, SweepStudyConfig[StudyId], SweepStudyConfig[OriginalAllocFractionA])) &lt; 0.03</f>
        <v>#VALUE!</v>
      </c>
      <c r="F715" s="3" t="e">
        <f>LOOKUP(C715, SweepStudyConfig[StudyId], SweepStudyConfig[NSweepStratumTotal])</f>
        <v>#VALUE!</v>
      </c>
      <c r="G715" s="3" t="e">
        <f>ROUND(F715 * D715)</f>
        <v>#VALUE!</v>
      </c>
      <c r="H715" s="3" t="e">
        <f>F715 - G715</f>
        <v>#VALUE!</v>
      </c>
      <c r="I715" s="3" t="e">
        <f>LOOKUP(C715, SweepStudyConfig[StudyId], SweepStudyConfig[NFixedA])</f>
        <v>#VALUE!</v>
      </c>
      <c r="J715" s="3" t="e">
        <f>LOOKUP(C715, SweepStudyConfig[StudyId], SweepStudyConfig[NFixedB])</f>
        <v>#VALUE!</v>
      </c>
      <c r="K715" s="3" t="e">
        <f>LOOKUP(C715, SweepStudyConfig[StudyId], SweepStudyConfig[SweepRateA])</f>
        <v>#VALUE!</v>
      </c>
      <c r="L715" s="3" t="e">
        <f>LOOKUP(C715, SweepStudyConfig[StudyId], SweepStudyConfig[SweepRateB])</f>
        <v>#VALUE!</v>
      </c>
      <c r="M715" s="3" t="e">
        <f>LOOKUP(C715, SweepStudyConfig[StudyId], SweepStudyConfig[FixedRateA])</f>
        <v>#VALUE!</v>
      </c>
      <c r="N715" s="3" t="e">
        <f>LOOKUP(C715, SweepStudyConfig[StudyId], SweepStudyConfig[FixedRateB])</f>
        <v>#VALUE!</v>
      </c>
      <c r="O715" s="3" t="e">
        <f>IF(G715 + I715 = 0, "", (G715 * K715 + I715 * M715) / (G715 + I715))</f>
        <v>#VALUE!</v>
      </c>
      <c r="P715" s="3" t="e">
        <f>IF(H715 + J715 = 0, "", (H715 * L715 + J715 * N715) / (H715 + J715))</f>
        <v>#VALUE!</v>
      </c>
      <c r="Q715" s="3" t="e">
        <f>IF(O715 = "", "", O715 - P715)</f>
        <v>#VALUE!</v>
      </c>
      <c r="R715" s="3" t="e">
        <f>LOOKUP(C715, SweepStudyConfig[StudyId], SweepStudyConfig[SweepCorrectedGap])</f>
        <v>#VALUE!</v>
      </c>
      <c r="S715" s="3" t="e">
        <f>IF(Q715 = "", "", Q715 - R715)</f>
        <v>#VALUE!</v>
      </c>
    </row>
    <row r="716">
      <c r="A716" s="2" t="s">
        <v>4004</v>
      </c>
      <c r="B716" s="3" t="str">
        <f>A716</f>
        <v>air-pollution-mortality-city-f045</v>
      </c>
      <c r="C716" s="2" t="s">
        <v>687</v>
      </c>
      <c r="D716" s="2">
        <v>0.45</v>
      </c>
      <c r="E716" s="3" t="e">
        <f>ABS(D716 - LOOKUP(C716, SweepStudyConfig[StudyId], SweepStudyConfig[OriginalAllocFractionA])) &lt; 0.03</f>
        <v>#VALUE!</v>
      </c>
      <c r="F716" s="3" t="e">
        <f>LOOKUP(C716, SweepStudyConfig[StudyId], SweepStudyConfig[NSweepStratumTotal])</f>
        <v>#VALUE!</v>
      </c>
      <c r="G716" s="3" t="e">
        <f>ROUND(F716 * D716)</f>
        <v>#VALUE!</v>
      </c>
      <c r="H716" s="3" t="e">
        <f>F716 - G716</f>
        <v>#VALUE!</v>
      </c>
      <c r="I716" s="3" t="e">
        <f>LOOKUP(C716, SweepStudyConfig[StudyId], SweepStudyConfig[NFixedA])</f>
        <v>#VALUE!</v>
      </c>
      <c r="J716" s="3" t="e">
        <f>LOOKUP(C716, SweepStudyConfig[StudyId], SweepStudyConfig[NFixedB])</f>
        <v>#VALUE!</v>
      </c>
      <c r="K716" s="3" t="e">
        <f>LOOKUP(C716, SweepStudyConfig[StudyId], SweepStudyConfig[SweepRateA])</f>
        <v>#VALUE!</v>
      </c>
      <c r="L716" s="3" t="e">
        <f>LOOKUP(C716, SweepStudyConfig[StudyId], SweepStudyConfig[SweepRateB])</f>
        <v>#VALUE!</v>
      </c>
      <c r="M716" s="3" t="e">
        <f>LOOKUP(C716, SweepStudyConfig[StudyId], SweepStudyConfig[FixedRateA])</f>
        <v>#VALUE!</v>
      </c>
      <c r="N716" s="3" t="e">
        <f>LOOKUP(C716, SweepStudyConfig[StudyId], SweepStudyConfig[FixedRateB])</f>
        <v>#VALUE!</v>
      </c>
      <c r="O716" s="3" t="e">
        <f>IF(G716 + I716 = 0, "", (G716 * K716 + I716 * M716) / (G716 + I716))</f>
        <v>#VALUE!</v>
      </c>
      <c r="P716" s="3" t="e">
        <f>IF(H716 + J716 = 0, "", (H716 * L716 + J716 * N716) / (H716 + J716))</f>
        <v>#VALUE!</v>
      </c>
      <c r="Q716" s="3" t="e">
        <f>IF(O716 = "", "", O716 - P716)</f>
        <v>#VALUE!</v>
      </c>
      <c r="R716" s="3" t="e">
        <f>LOOKUP(C716, SweepStudyConfig[StudyId], SweepStudyConfig[SweepCorrectedGap])</f>
        <v>#VALUE!</v>
      </c>
      <c r="S716" s="3" t="e">
        <f>IF(Q716 = "", "", Q716 - R716)</f>
        <v>#VALUE!</v>
      </c>
    </row>
    <row r="717">
      <c r="A717" s="2" t="s">
        <v>4005</v>
      </c>
      <c r="B717" s="3" t="str">
        <f>A717</f>
        <v>air-pollution-mortality-city-f055</v>
      </c>
      <c r="C717" s="2" t="s">
        <v>687</v>
      </c>
      <c r="D717" s="2">
        <v>0.55</v>
      </c>
      <c r="E717" s="3" t="e">
        <f>ABS(D717 - LOOKUP(C717, SweepStudyConfig[StudyId], SweepStudyConfig[OriginalAllocFractionA])) &lt; 0.03</f>
        <v>#VALUE!</v>
      </c>
      <c r="F717" s="3" t="e">
        <f>LOOKUP(C717, SweepStudyConfig[StudyId], SweepStudyConfig[NSweepStratumTotal])</f>
        <v>#VALUE!</v>
      </c>
      <c r="G717" s="3" t="e">
        <f>ROUND(F717 * D717)</f>
        <v>#VALUE!</v>
      </c>
      <c r="H717" s="3" t="e">
        <f>F717 - G717</f>
        <v>#VALUE!</v>
      </c>
      <c r="I717" s="3" t="e">
        <f>LOOKUP(C717, SweepStudyConfig[StudyId], SweepStudyConfig[NFixedA])</f>
        <v>#VALUE!</v>
      </c>
      <c r="J717" s="3" t="e">
        <f>LOOKUP(C717, SweepStudyConfig[StudyId], SweepStudyConfig[NFixedB])</f>
        <v>#VALUE!</v>
      </c>
      <c r="K717" s="3" t="e">
        <f>LOOKUP(C717, SweepStudyConfig[StudyId], SweepStudyConfig[SweepRateA])</f>
        <v>#VALUE!</v>
      </c>
      <c r="L717" s="3" t="e">
        <f>LOOKUP(C717, SweepStudyConfig[StudyId], SweepStudyConfig[SweepRateB])</f>
        <v>#VALUE!</v>
      </c>
      <c r="M717" s="3" t="e">
        <f>LOOKUP(C717, SweepStudyConfig[StudyId], SweepStudyConfig[FixedRateA])</f>
        <v>#VALUE!</v>
      </c>
      <c r="N717" s="3" t="e">
        <f>LOOKUP(C717, SweepStudyConfig[StudyId], SweepStudyConfig[FixedRateB])</f>
        <v>#VALUE!</v>
      </c>
      <c r="O717" s="3" t="e">
        <f>IF(G717 + I717 = 0, "", (G717 * K717 + I717 * M717) / (G717 + I717))</f>
        <v>#VALUE!</v>
      </c>
      <c r="P717" s="3" t="e">
        <f>IF(H717 + J717 = 0, "", (H717 * L717 + J717 * N717) / (H717 + J717))</f>
        <v>#VALUE!</v>
      </c>
      <c r="Q717" s="3" t="e">
        <f>IF(O717 = "", "", O717 - P717)</f>
        <v>#VALUE!</v>
      </c>
      <c r="R717" s="3" t="e">
        <f>LOOKUP(C717, SweepStudyConfig[StudyId], SweepStudyConfig[SweepCorrectedGap])</f>
        <v>#VALUE!</v>
      </c>
      <c r="S717" s="3" t="e">
        <f>IF(Q717 = "", "", Q717 - R717)</f>
        <v>#VALUE!</v>
      </c>
    </row>
    <row r="718">
      <c r="A718" s="2" t="s">
        <v>4006</v>
      </c>
      <c r="B718" s="3" t="str">
        <f>A718</f>
        <v>air-pollution-mortality-city-f065</v>
      </c>
      <c r="C718" s="2" t="s">
        <v>687</v>
      </c>
      <c r="D718" s="2">
        <v>0.65</v>
      </c>
      <c r="E718" s="3" t="e">
        <f>ABS(D718 - LOOKUP(C718, SweepStudyConfig[StudyId], SweepStudyConfig[OriginalAllocFractionA])) &lt; 0.03</f>
        <v>#VALUE!</v>
      </c>
      <c r="F718" s="3" t="e">
        <f>LOOKUP(C718, SweepStudyConfig[StudyId], SweepStudyConfig[NSweepStratumTotal])</f>
        <v>#VALUE!</v>
      </c>
      <c r="G718" s="3" t="e">
        <f>ROUND(F718 * D718)</f>
        <v>#VALUE!</v>
      </c>
      <c r="H718" s="3" t="e">
        <f>F718 - G718</f>
        <v>#VALUE!</v>
      </c>
      <c r="I718" s="3" t="e">
        <f>LOOKUP(C718, SweepStudyConfig[StudyId], SweepStudyConfig[NFixedA])</f>
        <v>#VALUE!</v>
      </c>
      <c r="J718" s="3" t="e">
        <f>LOOKUP(C718, SweepStudyConfig[StudyId], SweepStudyConfig[NFixedB])</f>
        <v>#VALUE!</v>
      </c>
      <c r="K718" s="3" t="e">
        <f>LOOKUP(C718, SweepStudyConfig[StudyId], SweepStudyConfig[SweepRateA])</f>
        <v>#VALUE!</v>
      </c>
      <c r="L718" s="3" t="e">
        <f>LOOKUP(C718, SweepStudyConfig[StudyId], SweepStudyConfig[SweepRateB])</f>
        <v>#VALUE!</v>
      </c>
      <c r="M718" s="3" t="e">
        <f>LOOKUP(C718, SweepStudyConfig[StudyId], SweepStudyConfig[FixedRateA])</f>
        <v>#VALUE!</v>
      </c>
      <c r="N718" s="3" t="e">
        <f>LOOKUP(C718, SweepStudyConfig[StudyId], SweepStudyConfig[FixedRateB])</f>
        <v>#VALUE!</v>
      </c>
      <c r="O718" s="3" t="e">
        <f>IF(G718 + I718 = 0, "", (G718 * K718 + I718 * M718) / (G718 + I718))</f>
        <v>#VALUE!</v>
      </c>
      <c r="P718" s="3" t="e">
        <f>IF(H718 + J718 = 0, "", (H718 * L718 + J718 * N718) / (H718 + J718))</f>
        <v>#VALUE!</v>
      </c>
      <c r="Q718" s="3" t="e">
        <f>IF(O718 = "", "", O718 - P718)</f>
        <v>#VALUE!</v>
      </c>
      <c r="R718" s="3" t="e">
        <f>LOOKUP(C718, SweepStudyConfig[StudyId], SweepStudyConfig[SweepCorrectedGap])</f>
        <v>#VALUE!</v>
      </c>
      <c r="S718" s="3" t="e">
        <f>IF(Q718 = "", "", Q718 - R718)</f>
        <v>#VALUE!</v>
      </c>
    </row>
    <row r="719">
      <c r="A719" s="2" t="s">
        <v>4007</v>
      </c>
      <c r="B719" s="3" t="str">
        <f>A719</f>
        <v>air-pollution-mortality-city-f075</v>
      </c>
      <c r="C719" s="2" t="s">
        <v>687</v>
      </c>
      <c r="D719" s="2">
        <v>0.75</v>
      </c>
      <c r="E719" s="3" t="e">
        <f>ABS(D719 - LOOKUP(C719, SweepStudyConfig[StudyId], SweepStudyConfig[OriginalAllocFractionA])) &lt; 0.03</f>
        <v>#VALUE!</v>
      </c>
      <c r="F719" s="3" t="e">
        <f>LOOKUP(C719, SweepStudyConfig[StudyId], SweepStudyConfig[NSweepStratumTotal])</f>
        <v>#VALUE!</v>
      </c>
      <c r="G719" s="3" t="e">
        <f>ROUND(F719 * D719)</f>
        <v>#VALUE!</v>
      </c>
      <c r="H719" s="3" t="e">
        <f>F719 - G719</f>
        <v>#VALUE!</v>
      </c>
      <c r="I719" s="3" t="e">
        <f>LOOKUP(C719, SweepStudyConfig[StudyId], SweepStudyConfig[NFixedA])</f>
        <v>#VALUE!</v>
      </c>
      <c r="J719" s="3" t="e">
        <f>LOOKUP(C719, SweepStudyConfig[StudyId], SweepStudyConfig[NFixedB])</f>
        <v>#VALUE!</v>
      </c>
      <c r="K719" s="3" t="e">
        <f>LOOKUP(C719, SweepStudyConfig[StudyId], SweepStudyConfig[SweepRateA])</f>
        <v>#VALUE!</v>
      </c>
      <c r="L719" s="3" t="e">
        <f>LOOKUP(C719, SweepStudyConfig[StudyId], SweepStudyConfig[SweepRateB])</f>
        <v>#VALUE!</v>
      </c>
      <c r="M719" s="3" t="e">
        <f>LOOKUP(C719, SweepStudyConfig[StudyId], SweepStudyConfig[FixedRateA])</f>
        <v>#VALUE!</v>
      </c>
      <c r="N719" s="3" t="e">
        <f>LOOKUP(C719, SweepStudyConfig[StudyId], SweepStudyConfig[FixedRateB])</f>
        <v>#VALUE!</v>
      </c>
      <c r="O719" s="3" t="e">
        <f>IF(G719 + I719 = 0, "", (G719 * K719 + I719 * M719) / (G719 + I719))</f>
        <v>#VALUE!</v>
      </c>
      <c r="P719" s="3" t="e">
        <f>IF(H719 + J719 = 0, "", (H719 * L719 + J719 * N719) / (H719 + J719))</f>
        <v>#VALUE!</v>
      </c>
      <c r="Q719" s="3" t="e">
        <f>IF(O719 = "", "", O719 - P719)</f>
        <v>#VALUE!</v>
      </c>
      <c r="R719" s="3" t="e">
        <f>LOOKUP(C719, SweepStudyConfig[StudyId], SweepStudyConfig[SweepCorrectedGap])</f>
        <v>#VALUE!</v>
      </c>
      <c r="S719" s="3" t="e">
        <f>IF(Q719 = "", "", Q719 - R719)</f>
        <v>#VALUE!</v>
      </c>
    </row>
    <row r="720">
      <c r="A720" s="2" t="s">
        <v>4008</v>
      </c>
      <c r="B720" s="3" t="str">
        <f>A720</f>
        <v>air-pollution-mortality-city-f085</v>
      </c>
      <c r="C720" s="2" t="s">
        <v>687</v>
      </c>
      <c r="D720" s="2">
        <v>0.85</v>
      </c>
      <c r="E720" s="3" t="e">
        <f>ABS(D720 - LOOKUP(C720, SweepStudyConfig[StudyId], SweepStudyConfig[OriginalAllocFractionA])) &lt; 0.03</f>
        <v>#VALUE!</v>
      </c>
      <c r="F720" s="3" t="e">
        <f>LOOKUP(C720, SweepStudyConfig[StudyId], SweepStudyConfig[NSweepStratumTotal])</f>
        <v>#VALUE!</v>
      </c>
      <c r="G720" s="3" t="e">
        <f>ROUND(F720 * D720)</f>
        <v>#VALUE!</v>
      </c>
      <c r="H720" s="3" t="e">
        <f>F720 - G720</f>
        <v>#VALUE!</v>
      </c>
      <c r="I720" s="3" t="e">
        <f>LOOKUP(C720, SweepStudyConfig[StudyId], SweepStudyConfig[NFixedA])</f>
        <v>#VALUE!</v>
      </c>
      <c r="J720" s="3" t="e">
        <f>LOOKUP(C720, SweepStudyConfig[StudyId], SweepStudyConfig[NFixedB])</f>
        <v>#VALUE!</v>
      </c>
      <c r="K720" s="3" t="e">
        <f>LOOKUP(C720, SweepStudyConfig[StudyId], SweepStudyConfig[SweepRateA])</f>
        <v>#VALUE!</v>
      </c>
      <c r="L720" s="3" t="e">
        <f>LOOKUP(C720, SweepStudyConfig[StudyId], SweepStudyConfig[SweepRateB])</f>
        <v>#VALUE!</v>
      </c>
      <c r="M720" s="3" t="e">
        <f>LOOKUP(C720, SweepStudyConfig[StudyId], SweepStudyConfig[FixedRateA])</f>
        <v>#VALUE!</v>
      </c>
      <c r="N720" s="3" t="e">
        <f>LOOKUP(C720, SweepStudyConfig[StudyId], SweepStudyConfig[FixedRateB])</f>
        <v>#VALUE!</v>
      </c>
      <c r="O720" s="3" t="e">
        <f>IF(G720 + I720 = 0, "", (G720 * K720 + I720 * M720) / (G720 + I720))</f>
        <v>#VALUE!</v>
      </c>
      <c r="P720" s="3" t="e">
        <f>IF(H720 + J720 = 0, "", (H720 * L720 + J720 * N720) / (H720 + J720))</f>
        <v>#VALUE!</v>
      </c>
      <c r="Q720" s="3" t="e">
        <f>IF(O720 = "", "", O720 - P720)</f>
        <v>#VALUE!</v>
      </c>
      <c r="R720" s="3" t="e">
        <f>LOOKUP(C720, SweepStudyConfig[StudyId], SweepStudyConfig[SweepCorrectedGap])</f>
        <v>#VALUE!</v>
      </c>
      <c r="S720" s="3" t="e">
        <f>IF(Q720 = "", "", Q720 - R720)</f>
        <v>#VALUE!</v>
      </c>
    </row>
    <row r="721">
      <c r="A721" s="2" t="s">
        <v>4009</v>
      </c>
      <c r="B721" s="3" t="str">
        <f>A721</f>
        <v>air-pollution-mortality-city-f095</v>
      </c>
      <c r="C721" s="2" t="s">
        <v>687</v>
      </c>
      <c r="D721" s="2">
        <v>0.95</v>
      </c>
      <c r="E721" s="3" t="e">
        <f>ABS(D721 - LOOKUP(C721, SweepStudyConfig[StudyId], SweepStudyConfig[OriginalAllocFractionA])) &lt; 0.03</f>
        <v>#VALUE!</v>
      </c>
      <c r="F721" s="3" t="e">
        <f>LOOKUP(C721, SweepStudyConfig[StudyId], SweepStudyConfig[NSweepStratumTotal])</f>
        <v>#VALUE!</v>
      </c>
      <c r="G721" s="3" t="e">
        <f>ROUND(F721 * D721)</f>
        <v>#VALUE!</v>
      </c>
      <c r="H721" s="3" t="e">
        <f>F721 - G721</f>
        <v>#VALUE!</v>
      </c>
      <c r="I721" s="3" t="e">
        <f>LOOKUP(C721, SweepStudyConfig[StudyId], SweepStudyConfig[NFixedA])</f>
        <v>#VALUE!</v>
      </c>
      <c r="J721" s="3" t="e">
        <f>LOOKUP(C721, SweepStudyConfig[StudyId], SweepStudyConfig[NFixedB])</f>
        <v>#VALUE!</v>
      </c>
      <c r="K721" s="3" t="e">
        <f>LOOKUP(C721, SweepStudyConfig[StudyId], SweepStudyConfig[SweepRateA])</f>
        <v>#VALUE!</v>
      </c>
      <c r="L721" s="3" t="e">
        <f>LOOKUP(C721, SweepStudyConfig[StudyId], SweepStudyConfig[SweepRateB])</f>
        <v>#VALUE!</v>
      </c>
      <c r="M721" s="3" t="e">
        <f>LOOKUP(C721, SweepStudyConfig[StudyId], SweepStudyConfig[FixedRateA])</f>
        <v>#VALUE!</v>
      </c>
      <c r="N721" s="3" t="e">
        <f>LOOKUP(C721, SweepStudyConfig[StudyId], SweepStudyConfig[FixedRateB])</f>
        <v>#VALUE!</v>
      </c>
      <c r="O721" s="3" t="e">
        <f>IF(G721 + I721 = 0, "", (G721 * K721 + I721 * M721) / (G721 + I721))</f>
        <v>#VALUE!</v>
      </c>
      <c r="P721" s="3" t="e">
        <f>IF(H721 + J721 = 0, "", (H721 * L721 + J721 * N721) / (H721 + J721))</f>
        <v>#VALUE!</v>
      </c>
      <c r="Q721" s="3" t="e">
        <f>IF(O721 = "", "", O721 - P721)</f>
        <v>#VALUE!</v>
      </c>
      <c r="R721" s="3" t="e">
        <f>LOOKUP(C721, SweepStudyConfig[StudyId], SweepStudyConfig[SweepCorrectedGap])</f>
        <v>#VALUE!</v>
      </c>
      <c r="S721" s="3" t="e">
        <f>IF(Q721 = "", "", Q721 - R721)</f>
        <v>#VALUE!</v>
      </c>
    </row>
    <row r="722">
      <c r="A722" s="2" t="s">
        <v>4010</v>
      </c>
      <c r="B722" s="3" t="str">
        <f>A722</f>
        <v>tb-treatment-resistance-f005</v>
      </c>
      <c r="C722" s="2" t="s">
        <v>691</v>
      </c>
      <c r="D722" s="2">
        <v>0.05</v>
      </c>
      <c r="E722" s="3" t="e">
        <f>ABS(D722 - LOOKUP(C722, SweepStudyConfig[StudyId], SweepStudyConfig[OriginalAllocFractionA])) &lt; 0.03</f>
        <v>#VALUE!</v>
      </c>
      <c r="F722" s="3" t="e">
        <f>LOOKUP(C722, SweepStudyConfig[StudyId], SweepStudyConfig[NSweepStratumTotal])</f>
        <v>#VALUE!</v>
      </c>
      <c r="G722" s="3" t="e">
        <f>ROUND(F722 * D722)</f>
        <v>#VALUE!</v>
      </c>
      <c r="H722" s="3" t="e">
        <f>F722 - G722</f>
        <v>#VALUE!</v>
      </c>
      <c r="I722" s="3" t="e">
        <f>LOOKUP(C722, SweepStudyConfig[StudyId], SweepStudyConfig[NFixedA])</f>
        <v>#VALUE!</v>
      </c>
      <c r="J722" s="3" t="e">
        <f>LOOKUP(C722, SweepStudyConfig[StudyId], SweepStudyConfig[NFixedB])</f>
        <v>#VALUE!</v>
      </c>
      <c r="K722" s="3" t="e">
        <f>LOOKUP(C722, SweepStudyConfig[StudyId], SweepStudyConfig[SweepRateA])</f>
        <v>#VALUE!</v>
      </c>
      <c r="L722" s="3" t="e">
        <f>LOOKUP(C722, SweepStudyConfig[StudyId], SweepStudyConfig[SweepRateB])</f>
        <v>#VALUE!</v>
      </c>
      <c r="M722" s="3" t="e">
        <f>LOOKUP(C722, SweepStudyConfig[StudyId], SweepStudyConfig[FixedRateA])</f>
        <v>#VALUE!</v>
      </c>
      <c r="N722" s="3" t="e">
        <f>LOOKUP(C722, SweepStudyConfig[StudyId], SweepStudyConfig[FixedRateB])</f>
        <v>#VALUE!</v>
      </c>
      <c r="O722" s="3" t="e">
        <f>IF(G722 + I722 = 0, "", (G722 * K722 + I722 * M722) / (G722 + I722))</f>
        <v>#VALUE!</v>
      </c>
      <c r="P722" s="3" t="e">
        <f>IF(H722 + J722 = 0, "", (H722 * L722 + J722 * N722) / (H722 + J722))</f>
        <v>#VALUE!</v>
      </c>
      <c r="Q722" s="3" t="e">
        <f>IF(O722 = "", "", O722 - P722)</f>
        <v>#VALUE!</v>
      </c>
      <c r="R722" s="3" t="e">
        <f>LOOKUP(C722, SweepStudyConfig[StudyId], SweepStudyConfig[SweepCorrectedGap])</f>
        <v>#VALUE!</v>
      </c>
      <c r="S722" s="3" t="e">
        <f>IF(Q722 = "", "", Q722 - R722)</f>
        <v>#VALUE!</v>
      </c>
    </row>
    <row r="723">
      <c r="A723" s="2" t="s">
        <v>4011</v>
      </c>
      <c r="B723" s="3" t="str">
        <f>A723</f>
        <v>tb-treatment-resistance-f015</v>
      </c>
      <c r="C723" s="2" t="s">
        <v>691</v>
      </c>
      <c r="D723" s="2">
        <v>0.15</v>
      </c>
      <c r="E723" s="3" t="e">
        <f>ABS(D723 - LOOKUP(C723, SweepStudyConfig[StudyId], SweepStudyConfig[OriginalAllocFractionA])) &lt; 0.03</f>
        <v>#VALUE!</v>
      </c>
      <c r="F723" s="3" t="e">
        <f>LOOKUP(C723, SweepStudyConfig[StudyId], SweepStudyConfig[NSweepStratumTotal])</f>
        <v>#VALUE!</v>
      </c>
      <c r="G723" s="3" t="e">
        <f>ROUND(F723 * D723)</f>
        <v>#VALUE!</v>
      </c>
      <c r="H723" s="3" t="e">
        <f>F723 - G723</f>
        <v>#VALUE!</v>
      </c>
      <c r="I723" s="3" t="e">
        <f>LOOKUP(C723, SweepStudyConfig[StudyId], SweepStudyConfig[NFixedA])</f>
        <v>#VALUE!</v>
      </c>
      <c r="J723" s="3" t="e">
        <f>LOOKUP(C723, SweepStudyConfig[StudyId], SweepStudyConfig[NFixedB])</f>
        <v>#VALUE!</v>
      </c>
      <c r="K723" s="3" t="e">
        <f>LOOKUP(C723, SweepStudyConfig[StudyId], SweepStudyConfig[SweepRateA])</f>
        <v>#VALUE!</v>
      </c>
      <c r="L723" s="3" t="e">
        <f>LOOKUP(C723, SweepStudyConfig[StudyId], SweepStudyConfig[SweepRateB])</f>
        <v>#VALUE!</v>
      </c>
      <c r="M723" s="3" t="e">
        <f>LOOKUP(C723, SweepStudyConfig[StudyId], SweepStudyConfig[FixedRateA])</f>
        <v>#VALUE!</v>
      </c>
      <c r="N723" s="3" t="e">
        <f>LOOKUP(C723, SweepStudyConfig[StudyId], SweepStudyConfig[FixedRateB])</f>
        <v>#VALUE!</v>
      </c>
      <c r="O723" s="3" t="e">
        <f>IF(G723 + I723 = 0, "", (G723 * K723 + I723 * M723) / (G723 + I723))</f>
        <v>#VALUE!</v>
      </c>
      <c r="P723" s="3" t="e">
        <f>IF(H723 + J723 = 0, "", (H723 * L723 + J723 * N723) / (H723 + J723))</f>
        <v>#VALUE!</v>
      </c>
      <c r="Q723" s="3" t="e">
        <f>IF(O723 = "", "", O723 - P723)</f>
        <v>#VALUE!</v>
      </c>
      <c r="R723" s="3" t="e">
        <f>LOOKUP(C723, SweepStudyConfig[StudyId], SweepStudyConfig[SweepCorrectedGap])</f>
        <v>#VALUE!</v>
      </c>
      <c r="S723" s="3" t="e">
        <f>IF(Q723 = "", "", Q723 - R723)</f>
        <v>#VALUE!</v>
      </c>
    </row>
    <row r="724">
      <c r="A724" s="2" t="s">
        <v>4012</v>
      </c>
      <c r="B724" s="3" t="str">
        <f>A724</f>
        <v>tb-treatment-resistance-f025</v>
      </c>
      <c r="C724" s="2" t="s">
        <v>691</v>
      </c>
      <c r="D724" s="2">
        <v>0.25</v>
      </c>
      <c r="E724" s="3" t="e">
        <f>ABS(D724 - LOOKUP(C724, SweepStudyConfig[StudyId], SweepStudyConfig[OriginalAllocFractionA])) &lt; 0.03</f>
        <v>#VALUE!</v>
      </c>
      <c r="F724" s="3" t="e">
        <f>LOOKUP(C724, SweepStudyConfig[StudyId], SweepStudyConfig[NSweepStratumTotal])</f>
        <v>#VALUE!</v>
      </c>
      <c r="G724" s="3" t="e">
        <f>ROUND(F724 * D724)</f>
        <v>#VALUE!</v>
      </c>
      <c r="H724" s="3" t="e">
        <f>F724 - G724</f>
        <v>#VALUE!</v>
      </c>
      <c r="I724" s="3" t="e">
        <f>LOOKUP(C724, SweepStudyConfig[StudyId], SweepStudyConfig[NFixedA])</f>
        <v>#VALUE!</v>
      </c>
      <c r="J724" s="3" t="e">
        <f>LOOKUP(C724, SweepStudyConfig[StudyId], SweepStudyConfig[NFixedB])</f>
        <v>#VALUE!</v>
      </c>
      <c r="K724" s="3" t="e">
        <f>LOOKUP(C724, SweepStudyConfig[StudyId], SweepStudyConfig[SweepRateA])</f>
        <v>#VALUE!</v>
      </c>
      <c r="L724" s="3" t="e">
        <f>LOOKUP(C724, SweepStudyConfig[StudyId], SweepStudyConfig[SweepRateB])</f>
        <v>#VALUE!</v>
      </c>
      <c r="M724" s="3" t="e">
        <f>LOOKUP(C724, SweepStudyConfig[StudyId], SweepStudyConfig[FixedRateA])</f>
        <v>#VALUE!</v>
      </c>
      <c r="N724" s="3" t="e">
        <f>LOOKUP(C724, SweepStudyConfig[StudyId], SweepStudyConfig[FixedRateB])</f>
        <v>#VALUE!</v>
      </c>
      <c r="O724" s="3" t="e">
        <f>IF(G724 + I724 = 0, "", (G724 * K724 + I724 * M724) / (G724 + I724))</f>
        <v>#VALUE!</v>
      </c>
      <c r="P724" s="3" t="e">
        <f>IF(H724 + J724 = 0, "", (H724 * L724 + J724 * N724) / (H724 + J724))</f>
        <v>#VALUE!</v>
      </c>
      <c r="Q724" s="3" t="e">
        <f>IF(O724 = "", "", O724 - P724)</f>
        <v>#VALUE!</v>
      </c>
      <c r="R724" s="3" t="e">
        <f>LOOKUP(C724, SweepStudyConfig[StudyId], SweepStudyConfig[SweepCorrectedGap])</f>
        <v>#VALUE!</v>
      </c>
      <c r="S724" s="3" t="e">
        <f>IF(Q724 = "", "", Q724 - R724)</f>
        <v>#VALUE!</v>
      </c>
    </row>
    <row r="725">
      <c r="A725" s="2" t="s">
        <v>4013</v>
      </c>
      <c r="B725" s="3" t="str">
        <f>A725</f>
        <v>tb-treatment-resistance-f035</v>
      </c>
      <c r="C725" s="2" t="s">
        <v>691</v>
      </c>
      <c r="D725" s="2">
        <v>0.35</v>
      </c>
      <c r="E725" s="3" t="e">
        <f>ABS(D725 - LOOKUP(C725, SweepStudyConfig[StudyId], SweepStudyConfig[OriginalAllocFractionA])) &lt; 0.03</f>
        <v>#VALUE!</v>
      </c>
      <c r="F725" s="3" t="e">
        <f>LOOKUP(C725, SweepStudyConfig[StudyId], SweepStudyConfig[NSweepStratumTotal])</f>
        <v>#VALUE!</v>
      </c>
      <c r="G725" s="3" t="e">
        <f>ROUND(F725 * D725)</f>
        <v>#VALUE!</v>
      </c>
      <c r="H725" s="3" t="e">
        <f>F725 - G725</f>
        <v>#VALUE!</v>
      </c>
      <c r="I725" s="3" t="e">
        <f>LOOKUP(C725, SweepStudyConfig[StudyId], SweepStudyConfig[NFixedA])</f>
        <v>#VALUE!</v>
      </c>
      <c r="J725" s="3" t="e">
        <f>LOOKUP(C725, SweepStudyConfig[StudyId], SweepStudyConfig[NFixedB])</f>
        <v>#VALUE!</v>
      </c>
      <c r="K725" s="3" t="e">
        <f>LOOKUP(C725, SweepStudyConfig[StudyId], SweepStudyConfig[SweepRateA])</f>
        <v>#VALUE!</v>
      </c>
      <c r="L725" s="3" t="e">
        <f>LOOKUP(C725, SweepStudyConfig[StudyId], SweepStudyConfig[SweepRateB])</f>
        <v>#VALUE!</v>
      </c>
      <c r="M725" s="3" t="e">
        <f>LOOKUP(C725, SweepStudyConfig[StudyId], SweepStudyConfig[FixedRateA])</f>
        <v>#VALUE!</v>
      </c>
      <c r="N725" s="3" t="e">
        <f>LOOKUP(C725, SweepStudyConfig[StudyId], SweepStudyConfig[FixedRateB])</f>
        <v>#VALUE!</v>
      </c>
      <c r="O725" s="3" t="e">
        <f>IF(G725 + I725 = 0, "", (G725 * K725 + I725 * M725) / (G725 + I725))</f>
        <v>#VALUE!</v>
      </c>
      <c r="P725" s="3" t="e">
        <f>IF(H725 + J725 = 0, "", (H725 * L725 + J725 * N725) / (H725 + J725))</f>
        <v>#VALUE!</v>
      </c>
      <c r="Q725" s="3" t="e">
        <f>IF(O725 = "", "", O725 - P725)</f>
        <v>#VALUE!</v>
      </c>
      <c r="R725" s="3" t="e">
        <f>LOOKUP(C725, SweepStudyConfig[StudyId], SweepStudyConfig[SweepCorrectedGap])</f>
        <v>#VALUE!</v>
      </c>
      <c r="S725" s="3" t="e">
        <f>IF(Q725 = "", "", Q725 - R725)</f>
        <v>#VALUE!</v>
      </c>
    </row>
    <row r="726">
      <c r="A726" s="2" t="s">
        <v>4014</v>
      </c>
      <c r="B726" s="3" t="str">
        <f>A726</f>
        <v>tb-treatment-resistance-f045</v>
      </c>
      <c r="C726" s="2" t="s">
        <v>691</v>
      </c>
      <c r="D726" s="2">
        <v>0.45</v>
      </c>
      <c r="E726" s="3" t="e">
        <f>ABS(D726 - LOOKUP(C726, SweepStudyConfig[StudyId], SweepStudyConfig[OriginalAllocFractionA])) &lt; 0.03</f>
        <v>#VALUE!</v>
      </c>
      <c r="F726" s="3" t="e">
        <f>LOOKUP(C726, SweepStudyConfig[StudyId], SweepStudyConfig[NSweepStratumTotal])</f>
        <v>#VALUE!</v>
      </c>
      <c r="G726" s="3" t="e">
        <f>ROUND(F726 * D726)</f>
        <v>#VALUE!</v>
      </c>
      <c r="H726" s="3" t="e">
        <f>F726 - G726</f>
        <v>#VALUE!</v>
      </c>
      <c r="I726" s="3" t="e">
        <f>LOOKUP(C726, SweepStudyConfig[StudyId], SweepStudyConfig[NFixedA])</f>
        <v>#VALUE!</v>
      </c>
      <c r="J726" s="3" t="e">
        <f>LOOKUP(C726, SweepStudyConfig[StudyId], SweepStudyConfig[NFixedB])</f>
        <v>#VALUE!</v>
      </c>
      <c r="K726" s="3" t="e">
        <f>LOOKUP(C726, SweepStudyConfig[StudyId], SweepStudyConfig[SweepRateA])</f>
        <v>#VALUE!</v>
      </c>
      <c r="L726" s="3" t="e">
        <f>LOOKUP(C726, SweepStudyConfig[StudyId], SweepStudyConfig[SweepRateB])</f>
        <v>#VALUE!</v>
      </c>
      <c r="M726" s="3" t="e">
        <f>LOOKUP(C726, SweepStudyConfig[StudyId], SweepStudyConfig[FixedRateA])</f>
        <v>#VALUE!</v>
      </c>
      <c r="N726" s="3" t="e">
        <f>LOOKUP(C726, SweepStudyConfig[StudyId], SweepStudyConfig[FixedRateB])</f>
        <v>#VALUE!</v>
      </c>
      <c r="O726" s="3" t="e">
        <f>IF(G726 + I726 = 0, "", (G726 * K726 + I726 * M726) / (G726 + I726))</f>
        <v>#VALUE!</v>
      </c>
      <c r="P726" s="3" t="e">
        <f>IF(H726 + J726 = 0, "", (H726 * L726 + J726 * N726) / (H726 + J726))</f>
        <v>#VALUE!</v>
      </c>
      <c r="Q726" s="3" t="e">
        <f>IF(O726 = "", "", O726 - P726)</f>
        <v>#VALUE!</v>
      </c>
      <c r="R726" s="3" t="e">
        <f>LOOKUP(C726, SweepStudyConfig[StudyId], SweepStudyConfig[SweepCorrectedGap])</f>
        <v>#VALUE!</v>
      </c>
      <c r="S726" s="3" t="e">
        <f>IF(Q726 = "", "", Q726 - R726)</f>
        <v>#VALUE!</v>
      </c>
    </row>
    <row r="727">
      <c r="A727" s="2" t="s">
        <v>4015</v>
      </c>
      <c r="B727" s="3" t="str">
        <f>A727</f>
        <v>tb-treatment-resistance-f055</v>
      </c>
      <c r="C727" s="2" t="s">
        <v>691</v>
      </c>
      <c r="D727" s="2">
        <v>0.55</v>
      </c>
      <c r="E727" s="3" t="e">
        <f>ABS(D727 - LOOKUP(C727, SweepStudyConfig[StudyId], SweepStudyConfig[OriginalAllocFractionA])) &lt; 0.03</f>
        <v>#VALUE!</v>
      </c>
      <c r="F727" s="3" t="e">
        <f>LOOKUP(C727, SweepStudyConfig[StudyId], SweepStudyConfig[NSweepStratumTotal])</f>
        <v>#VALUE!</v>
      </c>
      <c r="G727" s="3" t="e">
        <f>ROUND(F727 * D727)</f>
        <v>#VALUE!</v>
      </c>
      <c r="H727" s="3" t="e">
        <f>F727 - G727</f>
        <v>#VALUE!</v>
      </c>
      <c r="I727" s="3" t="e">
        <f>LOOKUP(C727, SweepStudyConfig[StudyId], SweepStudyConfig[NFixedA])</f>
        <v>#VALUE!</v>
      </c>
      <c r="J727" s="3" t="e">
        <f>LOOKUP(C727, SweepStudyConfig[StudyId], SweepStudyConfig[NFixedB])</f>
        <v>#VALUE!</v>
      </c>
      <c r="K727" s="3" t="e">
        <f>LOOKUP(C727, SweepStudyConfig[StudyId], SweepStudyConfig[SweepRateA])</f>
        <v>#VALUE!</v>
      </c>
      <c r="L727" s="3" t="e">
        <f>LOOKUP(C727, SweepStudyConfig[StudyId], SweepStudyConfig[SweepRateB])</f>
        <v>#VALUE!</v>
      </c>
      <c r="M727" s="3" t="e">
        <f>LOOKUP(C727, SweepStudyConfig[StudyId], SweepStudyConfig[FixedRateA])</f>
        <v>#VALUE!</v>
      </c>
      <c r="N727" s="3" t="e">
        <f>LOOKUP(C727, SweepStudyConfig[StudyId], SweepStudyConfig[FixedRateB])</f>
        <v>#VALUE!</v>
      </c>
      <c r="O727" s="3" t="e">
        <f>IF(G727 + I727 = 0, "", (G727 * K727 + I727 * M727) / (G727 + I727))</f>
        <v>#VALUE!</v>
      </c>
      <c r="P727" s="3" t="e">
        <f>IF(H727 + J727 = 0, "", (H727 * L727 + J727 * N727) / (H727 + J727))</f>
        <v>#VALUE!</v>
      </c>
      <c r="Q727" s="3" t="e">
        <f>IF(O727 = "", "", O727 - P727)</f>
        <v>#VALUE!</v>
      </c>
      <c r="R727" s="3" t="e">
        <f>LOOKUP(C727, SweepStudyConfig[StudyId], SweepStudyConfig[SweepCorrectedGap])</f>
        <v>#VALUE!</v>
      </c>
      <c r="S727" s="3" t="e">
        <f>IF(Q727 = "", "", Q727 - R727)</f>
        <v>#VALUE!</v>
      </c>
    </row>
    <row r="728">
      <c r="A728" s="2" t="s">
        <v>4016</v>
      </c>
      <c r="B728" s="3" t="str">
        <f>A728</f>
        <v>tb-treatment-resistance-f065</v>
      </c>
      <c r="C728" s="2" t="s">
        <v>691</v>
      </c>
      <c r="D728" s="2">
        <v>0.65</v>
      </c>
      <c r="E728" s="3" t="e">
        <f>ABS(D728 - LOOKUP(C728, SweepStudyConfig[StudyId], SweepStudyConfig[OriginalAllocFractionA])) &lt; 0.03</f>
        <v>#VALUE!</v>
      </c>
      <c r="F728" s="3" t="e">
        <f>LOOKUP(C728, SweepStudyConfig[StudyId], SweepStudyConfig[NSweepStratumTotal])</f>
        <v>#VALUE!</v>
      </c>
      <c r="G728" s="3" t="e">
        <f>ROUND(F728 * D728)</f>
        <v>#VALUE!</v>
      </c>
      <c r="H728" s="3" t="e">
        <f>F728 - G728</f>
        <v>#VALUE!</v>
      </c>
      <c r="I728" s="3" t="e">
        <f>LOOKUP(C728, SweepStudyConfig[StudyId], SweepStudyConfig[NFixedA])</f>
        <v>#VALUE!</v>
      </c>
      <c r="J728" s="3" t="e">
        <f>LOOKUP(C728, SweepStudyConfig[StudyId], SweepStudyConfig[NFixedB])</f>
        <v>#VALUE!</v>
      </c>
      <c r="K728" s="3" t="e">
        <f>LOOKUP(C728, SweepStudyConfig[StudyId], SweepStudyConfig[SweepRateA])</f>
        <v>#VALUE!</v>
      </c>
      <c r="L728" s="3" t="e">
        <f>LOOKUP(C728, SweepStudyConfig[StudyId], SweepStudyConfig[SweepRateB])</f>
        <v>#VALUE!</v>
      </c>
      <c r="M728" s="3" t="e">
        <f>LOOKUP(C728, SweepStudyConfig[StudyId], SweepStudyConfig[FixedRateA])</f>
        <v>#VALUE!</v>
      </c>
      <c r="N728" s="3" t="e">
        <f>LOOKUP(C728, SweepStudyConfig[StudyId], SweepStudyConfig[FixedRateB])</f>
        <v>#VALUE!</v>
      </c>
      <c r="O728" s="3" t="e">
        <f>IF(G728 + I728 = 0, "", (G728 * K728 + I728 * M728) / (G728 + I728))</f>
        <v>#VALUE!</v>
      </c>
      <c r="P728" s="3" t="e">
        <f>IF(H728 + J728 = 0, "", (H728 * L728 + J728 * N728) / (H728 + J728))</f>
        <v>#VALUE!</v>
      </c>
      <c r="Q728" s="3" t="e">
        <f>IF(O728 = "", "", O728 - P728)</f>
        <v>#VALUE!</v>
      </c>
      <c r="R728" s="3" t="e">
        <f>LOOKUP(C728, SweepStudyConfig[StudyId], SweepStudyConfig[SweepCorrectedGap])</f>
        <v>#VALUE!</v>
      </c>
      <c r="S728" s="3" t="e">
        <f>IF(Q728 = "", "", Q728 - R728)</f>
        <v>#VALUE!</v>
      </c>
    </row>
    <row r="729">
      <c r="A729" s="2" t="s">
        <v>4017</v>
      </c>
      <c r="B729" s="3" t="str">
        <f>A729</f>
        <v>tb-treatment-resistance-f075</v>
      </c>
      <c r="C729" s="2" t="s">
        <v>691</v>
      </c>
      <c r="D729" s="2">
        <v>0.75</v>
      </c>
      <c r="E729" s="3" t="e">
        <f>ABS(D729 - LOOKUP(C729, SweepStudyConfig[StudyId], SweepStudyConfig[OriginalAllocFractionA])) &lt; 0.03</f>
        <v>#VALUE!</v>
      </c>
      <c r="F729" s="3" t="e">
        <f>LOOKUP(C729, SweepStudyConfig[StudyId], SweepStudyConfig[NSweepStratumTotal])</f>
        <v>#VALUE!</v>
      </c>
      <c r="G729" s="3" t="e">
        <f>ROUND(F729 * D729)</f>
        <v>#VALUE!</v>
      </c>
      <c r="H729" s="3" t="e">
        <f>F729 - G729</f>
        <v>#VALUE!</v>
      </c>
      <c r="I729" s="3" t="e">
        <f>LOOKUP(C729, SweepStudyConfig[StudyId], SweepStudyConfig[NFixedA])</f>
        <v>#VALUE!</v>
      </c>
      <c r="J729" s="3" t="e">
        <f>LOOKUP(C729, SweepStudyConfig[StudyId], SweepStudyConfig[NFixedB])</f>
        <v>#VALUE!</v>
      </c>
      <c r="K729" s="3" t="e">
        <f>LOOKUP(C729, SweepStudyConfig[StudyId], SweepStudyConfig[SweepRateA])</f>
        <v>#VALUE!</v>
      </c>
      <c r="L729" s="3" t="e">
        <f>LOOKUP(C729, SweepStudyConfig[StudyId], SweepStudyConfig[SweepRateB])</f>
        <v>#VALUE!</v>
      </c>
      <c r="M729" s="3" t="e">
        <f>LOOKUP(C729, SweepStudyConfig[StudyId], SweepStudyConfig[FixedRateA])</f>
        <v>#VALUE!</v>
      </c>
      <c r="N729" s="3" t="e">
        <f>LOOKUP(C729, SweepStudyConfig[StudyId], SweepStudyConfig[FixedRateB])</f>
        <v>#VALUE!</v>
      </c>
      <c r="O729" s="3" t="e">
        <f>IF(G729 + I729 = 0, "", (G729 * K729 + I729 * M729) / (G729 + I729))</f>
        <v>#VALUE!</v>
      </c>
      <c r="P729" s="3" t="e">
        <f>IF(H729 + J729 = 0, "", (H729 * L729 + J729 * N729) / (H729 + J729))</f>
        <v>#VALUE!</v>
      </c>
      <c r="Q729" s="3" t="e">
        <f>IF(O729 = "", "", O729 - P729)</f>
        <v>#VALUE!</v>
      </c>
      <c r="R729" s="3" t="e">
        <f>LOOKUP(C729, SweepStudyConfig[StudyId], SweepStudyConfig[SweepCorrectedGap])</f>
        <v>#VALUE!</v>
      </c>
      <c r="S729" s="3" t="e">
        <f>IF(Q729 = "", "", Q729 - R729)</f>
        <v>#VALUE!</v>
      </c>
    </row>
    <row r="730">
      <c r="A730" s="2" t="s">
        <v>4018</v>
      </c>
      <c r="B730" s="3" t="str">
        <f>A730</f>
        <v>tb-treatment-resistance-f085</v>
      </c>
      <c r="C730" s="2" t="s">
        <v>691</v>
      </c>
      <c r="D730" s="2">
        <v>0.85</v>
      </c>
      <c r="E730" s="3" t="e">
        <f>ABS(D730 - LOOKUP(C730, SweepStudyConfig[StudyId], SweepStudyConfig[OriginalAllocFractionA])) &lt; 0.03</f>
        <v>#VALUE!</v>
      </c>
      <c r="F730" s="3" t="e">
        <f>LOOKUP(C730, SweepStudyConfig[StudyId], SweepStudyConfig[NSweepStratumTotal])</f>
        <v>#VALUE!</v>
      </c>
      <c r="G730" s="3" t="e">
        <f>ROUND(F730 * D730)</f>
        <v>#VALUE!</v>
      </c>
      <c r="H730" s="3" t="e">
        <f>F730 - G730</f>
        <v>#VALUE!</v>
      </c>
      <c r="I730" s="3" t="e">
        <f>LOOKUP(C730, SweepStudyConfig[StudyId], SweepStudyConfig[NFixedA])</f>
        <v>#VALUE!</v>
      </c>
      <c r="J730" s="3" t="e">
        <f>LOOKUP(C730, SweepStudyConfig[StudyId], SweepStudyConfig[NFixedB])</f>
        <v>#VALUE!</v>
      </c>
      <c r="K730" s="3" t="e">
        <f>LOOKUP(C730, SweepStudyConfig[StudyId], SweepStudyConfig[SweepRateA])</f>
        <v>#VALUE!</v>
      </c>
      <c r="L730" s="3" t="e">
        <f>LOOKUP(C730, SweepStudyConfig[StudyId], SweepStudyConfig[SweepRateB])</f>
        <v>#VALUE!</v>
      </c>
      <c r="M730" s="3" t="e">
        <f>LOOKUP(C730, SweepStudyConfig[StudyId], SweepStudyConfig[FixedRateA])</f>
        <v>#VALUE!</v>
      </c>
      <c r="N730" s="3" t="e">
        <f>LOOKUP(C730, SweepStudyConfig[StudyId], SweepStudyConfig[FixedRateB])</f>
        <v>#VALUE!</v>
      </c>
      <c r="O730" s="3" t="e">
        <f>IF(G730 + I730 = 0, "", (G730 * K730 + I730 * M730) / (G730 + I730))</f>
        <v>#VALUE!</v>
      </c>
      <c r="P730" s="3" t="e">
        <f>IF(H730 + J730 = 0, "", (H730 * L730 + J730 * N730) / (H730 + J730))</f>
        <v>#VALUE!</v>
      </c>
      <c r="Q730" s="3" t="e">
        <f>IF(O730 = "", "", O730 - P730)</f>
        <v>#VALUE!</v>
      </c>
      <c r="R730" s="3" t="e">
        <f>LOOKUP(C730, SweepStudyConfig[StudyId], SweepStudyConfig[SweepCorrectedGap])</f>
        <v>#VALUE!</v>
      </c>
      <c r="S730" s="3" t="e">
        <f>IF(Q730 = "", "", Q730 - R730)</f>
        <v>#VALUE!</v>
      </c>
    </row>
    <row r="731">
      <c r="A731" s="2" t="s">
        <v>4019</v>
      </c>
      <c r="B731" s="3" t="str">
        <f>A731</f>
        <v>tb-treatment-resistance-f095</v>
      </c>
      <c r="C731" s="2" t="s">
        <v>691</v>
      </c>
      <c r="D731" s="2">
        <v>0.95</v>
      </c>
      <c r="E731" s="3" t="e">
        <f>ABS(D731 - LOOKUP(C731, SweepStudyConfig[StudyId], SweepStudyConfig[OriginalAllocFractionA])) &lt; 0.03</f>
        <v>#VALUE!</v>
      </c>
      <c r="F731" s="3" t="e">
        <f>LOOKUP(C731, SweepStudyConfig[StudyId], SweepStudyConfig[NSweepStratumTotal])</f>
        <v>#VALUE!</v>
      </c>
      <c r="G731" s="3" t="e">
        <f>ROUND(F731 * D731)</f>
        <v>#VALUE!</v>
      </c>
      <c r="H731" s="3" t="e">
        <f>F731 - G731</f>
        <v>#VALUE!</v>
      </c>
      <c r="I731" s="3" t="e">
        <f>LOOKUP(C731, SweepStudyConfig[StudyId], SweepStudyConfig[NFixedA])</f>
        <v>#VALUE!</v>
      </c>
      <c r="J731" s="3" t="e">
        <f>LOOKUP(C731, SweepStudyConfig[StudyId], SweepStudyConfig[NFixedB])</f>
        <v>#VALUE!</v>
      </c>
      <c r="K731" s="3" t="e">
        <f>LOOKUP(C731, SweepStudyConfig[StudyId], SweepStudyConfig[SweepRateA])</f>
        <v>#VALUE!</v>
      </c>
      <c r="L731" s="3" t="e">
        <f>LOOKUP(C731, SweepStudyConfig[StudyId], SweepStudyConfig[SweepRateB])</f>
        <v>#VALUE!</v>
      </c>
      <c r="M731" s="3" t="e">
        <f>LOOKUP(C731, SweepStudyConfig[StudyId], SweepStudyConfig[FixedRateA])</f>
        <v>#VALUE!</v>
      </c>
      <c r="N731" s="3" t="e">
        <f>LOOKUP(C731, SweepStudyConfig[StudyId], SweepStudyConfig[FixedRateB])</f>
        <v>#VALUE!</v>
      </c>
      <c r="O731" s="3" t="e">
        <f>IF(G731 + I731 = 0, "", (G731 * K731 + I731 * M731) / (G731 + I731))</f>
        <v>#VALUE!</v>
      </c>
      <c r="P731" s="3" t="e">
        <f>IF(H731 + J731 = 0, "", (H731 * L731 + J731 * N731) / (H731 + J731))</f>
        <v>#VALUE!</v>
      </c>
      <c r="Q731" s="3" t="e">
        <f>IF(O731 = "", "", O731 - P731)</f>
        <v>#VALUE!</v>
      </c>
      <c r="R731" s="3" t="e">
        <f>LOOKUP(C731, SweepStudyConfig[StudyId], SweepStudyConfig[SweepCorrectedGap])</f>
        <v>#VALUE!</v>
      </c>
      <c r="S731" s="3" t="e">
        <f>IF(Q731 = "", "", Q731 - R731)</f>
        <v>#VALUE!</v>
      </c>
    </row>
    <row r="732">
      <c r="A732" s="2" t="s">
        <v>4020</v>
      </c>
      <c r="B732" s="3" t="str">
        <f>A732</f>
        <v>hospital-mortality-readmission-f005</v>
      </c>
      <c r="C732" s="2" t="s">
        <v>695</v>
      </c>
      <c r="D732" s="2">
        <v>0.05</v>
      </c>
      <c r="E732" s="3" t="e">
        <f>ABS(D732 - LOOKUP(C732, SweepStudyConfig[StudyId], SweepStudyConfig[OriginalAllocFractionA])) &lt; 0.03</f>
        <v>#VALUE!</v>
      </c>
      <c r="F732" s="3" t="e">
        <f>LOOKUP(C732, SweepStudyConfig[StudyId], SweepStudyConfig[NSweepStratumTotal])</f>
        <v>#VALUE!</v>
      </c>
      <c r="G732" s="3" t="e">
        <f>ROUND(F732 * D732)</f>
        <v>#VALUE!</v>
      </c>
      <c r="H732" s="3" t="e">
        <f>F732 - G732</f>
        <v>#VALUE!</v>
      </c>
      <c r="I732" s="3" t="e">
        <f>LOOKUP(C732, SweepStudyConfig[StudyId], SweepStudyConfig[NFixedA])</f>
        <v>#VALUE!</v>
      </c>
      <c r="J732" s="3" t="e">
        <f>LOOKUP(C732, SweepStudyConfig[StudyId], SweepStudyConfig[NFixedB])</f>
        <v>#VALUE!</v>
      </c>
      <c r="K732" s="3" t="e">
        <f>LOOKUP(C732, SweepStudyConfig[StudyId], SweepStudyConfig[SweepRateA])</f>
        <v>#VALUE!</v>
      </c>
      <c r="L732" s="3" t="e">
        <f>LOOKUP(C732, SweepStudyConfig[StudyId], SweepStudyConfig[SweepRateB])</f>
        <v>#VALUE!</v>
      </c>
      <c r="M732" s="3" t="e">
        <f>LOOKUP(C732, SweepStudyConfig[StudyId], SweepStudyConfig[FixedRateA])</f>
        <v>#VALUE!</v>
      </c>
      <c r="N732" s="3" t="e">
        <f>LOOKUP(C732, SweepStudyConfig[StudyId], SweepStudyConfig[FixedRateB])</f>
        <v>#VALUE!</v>
      </c>
      <c r="O732" s="3" t="e">
        <f>IF(G732 + I732 = 0, "", (G732 * K732 + I732 * M732) / (G732 + I732))</f>
        <v>#VALUE!</v>
      </c>
      <c r="P732" s="3" t="e">
        <f>IF(H732 + J732 = 0, "", (H732 * L732 + J732 * N732) / (H732 + J732))</f>
        <v>#VALUE!</v>
      </c>
      <c r="Q732" s="3" t="e">
        <f>IF(O732 = "", "", O732 - P732)</f>
        <v>#VALUE!</v>
      </c>
      <c r="R732" s="3" t="e">
        <f>LOOKUP(C732, SweepStudyConfig[StudyId], SweepStudyConfig[SweepCorrectedGap])</f>
        <v>#VALUE!</v>
      </c>
      <c r="S732" s="3" t="e">
        <f>IF(Q732 = "", "", Q732 - R732)</f>
        <v>#VALUE!</v>
      </c>
    </row>
    <row r="733">
      <c r="A733" s="2" t="s">
        <v>4021</v>
      </c>
      <c r="B733" s="3" t="str">
        <f>A733</f>
        <v>hospital-mortality-readmission-f015</v>
      </c>
      <c r="C733" s="2" t="s">
        <v>695</v>
      </c>
      <c r="D733" s="2">
        <v>0.15</v>
      </c>
      <c r="E733" s="3" t="e">
        <f>ABS(D733 - LOOKUP(C733, SweepStudyConfig[StudyId], SweepStudyConfig[OriginalAllocFractionA])) &lt; 0.03</f>
        <v>#VALUE!</v>
      </c>
      <c r="F733" s="3" t="e">
        <f>LOOKUP(C733, SweepStudyConfig[StudyId], SweepStudyConfig[NSweepStratumTotal])</f>
        <v>#VALUE!</v>
      </c>
      <c r="G733" s="3" t="e">
        <f>ROUND(F733 * D733)</f>
        <v>#VALUE!</v>
      </c>
      <c r="H733" s="3" t="e">
        <f>F733 - G733</f>
        <v>#VALUE!</v>
      </c>
      <c r="I733" s="3" t="e">
        <f>LOOKUP(C733, SweepStudyConfig[StudyId], SweepStudyConfig[NFixedA])</f>
        <v>#VALUE!</v>
      </c>
      <c r="J733" s="3" t="e">
        <f>LOOKUP(C733, SweepStudyConfig[StudyId], SweepStudyConfig[NFixedB])</f>
        <v>#VALUE!</v>
      </c>
      <c r="K733" s="3" t="e">
        <f>LOOKUP(C733, SweepStudyConfig[StudyId], SweepStudyConfig[SweepRateA])</f>
        <v>#VALUE!</v>
      </c>
      <c r="L733" s="3" t="e">
        <f>LOOKUP(C733, SweepStudyConfig[StudyId], SweepStudyConfig[SweepRateB])</f>
        <v>#VALUE!</v>
      </c>
      <c r="M733" s="3" t="e">
        <f>LOOKUP(C733, SweepStudyConfig[StudyId], SweepStudyConfig[FixedRateA])</f>
        <v>#VALUE!</v>
      </c>
      <c r="N733" s="3" t="e">
        <f>LOOKUP(C733, SweepStudyConfig[StudyId], SweepStudyConfig[FixedRateB])</f>
        <v>#VALUE!</v>
      </c>
      <c r="O733" s="3" t="e">
        <f>IF(G733 + I733 = 0, "", (G733 * K733 + I733 * M733) / (G733 + I733))</f>
        <v>#VALUE!</v>
      </c>
      <c r="P733" s="3" t="e">
        <f>IF(H733 + J733 = 0, "", (H733 * L733 + J733 * N733) / (H733 + J733))</f>
        <v>#VALUE!</v>
      </c>
      <c r="Q733" s="3" t="e">
        <f>IF(O733 = "", "", O733 - P733)</f>
        <v>#VALUE!</v>
      </c>
      <c r="R733" s="3" t="e">
        <f>LOOKUP(C733, SweepStudyConfig[StudyId], SweepStudyConfig[SweepCorrectedGap])</f>
        <v>#VALUE!</v>
      </c>
      <c r="S733" s="3" t="e">
        <f>IF(Q733 = "", "", Q733 - R733)</f>
        <v>#VALUE!</v>
      </c>
    </row>
    <row r="734">
      <c r="A734" s="2" t="s">
        <v>4022</v>
      </c>
      <c r="B734" s="3" t="str">
        <f>A734</f>
        <v>hospital-mortality-readmission-f025</v>
      </c>
      <c r="C734" s="2" t="s">
        <v>695</v>
      </c>
      <c r="D734" s="2">
        <v>0.25</v>
      </c>
      <c r="E734" s="3" t="e">
        <f>ABS(D734 - LOOKUP(C734, SweepStudyConfig[StudyId], SweepStudyConfig[OriginalAllocFractionA])) &lt; 0.03</f>
        <v>#VALUE!</v>
      </c>
      <c r="F734" s="3" t="e">
        <f>LOOKUP(C734, SweepStudyConfig[StudyId], SweepStudyConfig[NSweepStratumTotal])</f>
        <v>#VALUE!</v>
      </c>
      <c r="G734" s="3" t="e">
        <f>ROUND(F734 * D734)</f>
        <v>#VALUE!</v>
      </c>
      <c r="H734" s="3" t="e">
        <f>F734 - G734</f>
        <v>#VALUE!</v>
      </c>
      <c r="I734" s="3" t="e">
        <f>LOOKUP(C734, SweepStudyConfig[StudyId], SweepStudyConfig[NFixedA])</f>
        <v>#VALUE!</v>
      </c>
      <c r="J734" s="3" t="e">
        <f>LOOKUP(C734, SweepStudyConfig[StudyId], SweepStudyConfig[NFixedB])</f>
        <v>#VALUE!</v>
      </c>
      <c r="K734" s="3" t="e">
        <f>LOOKUP(C734, SweepStudyConfig[StudyId], SweepStudyConfig[SweepRateA])</f>
        <v>#VALUE!</v>
      </c>
      <c r="L734" s="3" t="e">
        <f>LOOKUP(C734, SweepStudyConfig[StudyId], SweepStudyConfig[SweepRateB])</f>
        <v>#VALUE!</v>
      </c>
      <c r="M734" s="3" t="e">
        <f>LOOKUP(C734, SweepStudyConfig[StudyId], SweepStudyConfig[FixedRateA])</f>
        <v>#VALUE!</v>
      </c>
      <c r="N734" s="3" t="e">
        <f>LOOKUP(C734, SweepStudyConfig[StudyId], SweepStudyConfig[FixedRateB])</f>
        <v>#VALUE!</v>
      </c>
      <c r="O734" s="3" t="e">
        <f>IF(G734 + I734 = 0, "", (G734 * K734 + I734 * M734) / (G734 + I734))</f>
        <v>#VALUE!</v>
      </c>
      <c r="P734" s="3" t="e">
        <f>IF(H734 + J734 = 0, "", (H734 * L734 + J734 * N734) / (H734 + J734))</f>
        <v>#VALUE!</v>
      </c>
      <c r="Q734" s="3" t="e">
        <f>IF(O734 = "", "", O734 - P734)</f>
        <v>#VALUE!</v>
      </c>
      <c r="R734" s="3" t="e">
        <f>LOOKUP(C734, SweepStudyConfig[StudyId], SweepStudyConfig[SweepCorrectedGap])</f>
        <v>#VALUE!</v>
      </c>
      <c r="S734" s="3" t="e">
        <f>IF(Q734 = "", "", Q734 - R734)</f>
        <v>#VALUE!</v>
      </c>
    </row>
    <row r="735">
      <c r="A735" s="2" t="s">
        <v>4023</v>
      </c>
      <c r="B735" s="3" t="str">
        <f>A735</f>
        <v>hospital-mortality-readmission-f035</v>
      </c>
      <c r="C735" s="2" t="s">
        <v>695</v>
      </c>
      <c r="D735" s="2">
        <v>0.35</v>
      </c>
      <c r="E735" s="3" t="e">
        <f>ABS(D735 - LOOKUP(C735, SweepStudyConfig[StudyId], SweepStudyConfig[OriginalAllocFractionA])) &lt; 0.03</f>
        <v>#VALUE!</v>
      </c>
      <c r="F735" s="3" t="e">
        <f>LOOKUP(C735, SweepStudyConfig[StudyId], SweepStudyConfig[NSweepStratumTotal])</f>
        <v>#VALUE!</v>
      </c>
      <c r="G735" s="3" t="e">
        <f>ROUND(F735 * D735)</f>
        <v>#VALUE!</v>
      </c>
      <c r="H735" s="3" t="e">
        <f>F735 - G735</f>
        <v>#VALUE!</v>
      </c>
      <c r="I735" s="3" t="e">
        <f>LOOKUP(C735, SweepStudyConfig[StudyId], SweepStudyConfig[NFixedA])</f>
        <v>#VALUE!</v>
      </c>
      <c r="J735" s="3" t="e">
        <f>LOOKUP(C735, SweepStudyConfig[StudyId], SweepStudyConfig[NFixedB])</f>
        <v>#VALUE!</v>
      </c>
      <c r="K735" s="3" t="e">
        <f>LOOKUP(C735, SweepStudyConfig[StudyId], SweepStudyConfig[SweepRateA])</f>
        <v>#VALUE!</v>
      </c>
      <c r="L735" s="3" t="e">
        <f>LOOKUP(C735, SweepStudyConfig[StudyId], SweepStudyConfig[SweepRateB])</f>
        <v>#VALUE!</v>
      </c>
      <c r="M735" s="3" t="e">
        <f>LOOKUP(C735, SweepStudyConfig[StudyId], SweepStudyConfig[FixedRateA])</f>
        <v>#VALUE!</v>
      </c>
      <c r="N735" s="3" t="e">
        <f>LOOKUP(C735, SweepStudyConfig[StudyId], SweepStudyConfig[FixedRateB])</f>
        <v>#VALUE!</v>
      </c>
      <c r="O735" s="3" t="e">
        <f>IF(G735 + I735 = 0, "", (G735 * K735 + I735 * M735) / (G735 + I735))</f>
        <v>#VALUE!</v>
      </c>
      <c r="P735" s="3" t="e">
        <f>IF(H735 + J735 = 0, "", (H735 * L735 + J735 * N735) / (H735 + J735))</f>
        <v>#VALUE!</v>
      </c>
      <c r="Q735" s="3" t="e">
        <f>IF(O735 = "", "", O735 - P735)</f>
        <v>#VALUE!</v>
      </c>
      <c r="R735" s="3" t="e">
        <f>LOOKUP(C735, SweepStudyConfig[StudyId], SweepStudyConfig[SweepCorrectedGap])</f>
        <v>#VALUE!</v>
      </c>
      <c r="S735" s="3" t="e">
        <f>IF(Q735 = "", "", Q735 - R735)</f>
        <v>#VALUE!</v>
      </c>
    </row>
    <row r="736">
      <c r="A736" s="2" t="s">
        <v>4024</v>
      </c>
      <c r="B736" s="3" t="str">
        <f>A736</f>
        <v>hospital-mortality-readmission-f045</v>
      </c>
      <c r="C736" s="2" t="s">
        <v>695</v>
      </c>
      <c r="D736" s="2">
        <v>0.45</v>
      </c>
      <c r="E736" s="3" t="e">
        <f>ABS(D736 - LOOKUP(C736, SweepStudyConfig[StudyId], SweepStudyConfig[OriginalAllocFractionA])) &lt; 0.03</f>
        <v>#VALUE!</v>
      </c>
      <c r="F736" s="3" t="e">
        <f>LOOKUP(C736, SweepStudyConfig[StudyId], SweepStudyConfig[NSweepStratumTotal])</f>
        <v>#VALUE!</v>
      </c>
      <c r="G736" s="3" t="e">
        <f>ROUND(F736 * D736)</f>
        <v>#VALUE!</v>
      </c>
      <c r="H736" s="3" t="e">
        <f>F736 - G736</f>
        <v>#VALUE!</v>
      </c>
      <c r="I736" s="3" t="e">
        <f>LOOKUP(C736, SweepStudyConfig[StudyId], SweepStudyConfig[NFixedA])</f>
        <v>#VALUE!</v>
      </c>
      <c r="J736" s="3" t="e">
        <f>LOOKUP(C736, SweepStudyConfig[StudyId], SweepStudyConfig[NFixedB])</f>
        <v>#VALUE!</v>
      </c>
      <c r="K736" s="3" t="e">
        <f>LOOKUP(C736, SweepStudyConfig[StudyId], SweepStudyConfig[SweepRateA])</f>
        <v>#VALUE!</v>
      </c>
      <c r="L736" s="3" t="e">
        <f>LOOKUP(C736, SweepStudyConfig[StudyId], SweepStudyConfig[SweepRateB])</f>
        <v>#VALUE!</v>
      </c>
      <c r="M736" s="3" t="e">
        <f>LOOKUP(C736, SweepStudyConfig[StudyId], SweepStudyConfig[FixedRateA])</f>
        <v>#VALUE!</v>
      </c>
      <c r="N736" s="3" t="e">
        <f>LOOKUP(C736, SweepStudyConfig[StudyId], SweepStudyConfig[FixedRateB])</f>
        <v>#VALUE!</v>
      </c>
      <c r="O736" s="3" t="e">
        <f>IF(G736 + I736 = 0, "", (G736 * K736 + I736 * M736) / (G736 + I736))</f>
        <v>#VALUE!</v>
      </c>
      <c r="P736" s="3" t="e">
        <f>IF(H736 + J736 = 0, "", (H736 * L736 + J736 * N736) / (H736 + J736))</f>
        <v>#VALUE!</v>
      </c>
      <c r="Q736" s="3" t="e">
        <f>IF(O736 = "", "", O736 - P736)</f>
        <v>#VALUE!</v>
      </c>
      <c r="R736" s="3" t="e">
        <f>LOOKUP(C736, SweepStudyConfig[StudyId], SweepStudyConfig[SweepCorrectedGap])</f>
        <v>#VALUE!</v>
      </c>
      <c r="S736" s="3" t="e">
        <f>IF(Q736 = "", "", Q736 - R736)</f>
        <v>#VALUE!</v>
      </c>
    </row>
    <row r="737">
      <c r="A737" s="2" t="s">
        <v>4025</v>
      </c>
      <c r="B737" s="3" t="str">
        <f>A737</f>
        <v>hospital-mortality-readmission-f055</v>
      </c>
      <c r="C737" s="2" t="s">
        <v>695</v>
      </c>
      <c r="D737" s="2">
        <v>0.55</v>
      </c>
      <c r="E737" s="3" t="e">
        <f>ABS(D737 - LOOKUP(C737, SweepStudyConfig[StudyId], SweepStudyConfig[OriginalAllocFractionA])) &lt; 0.03</f>
        <v>#VALUE!</v>
      </c>
      <c r="F737" s="3" t="e">
        <f>LOOKUP(C737, SweepStudyConfig[StudyId], SweepStudyConfig[NSweepStratumTotal])</f>
        <v>#VALUE!</v>
      </c>
      <c r="G737" s="3" t="e">
        <f>ROUND(F737 * D737)</f>
        <v>#VALUE!</v>
      </c>
      <c r="H737" s="3" t="e">
        <f>F737 - G737</f>
        <v>#VALUE!</v>
      </c>
      <c r="I737" s="3" t="e">
        <f>LOOKUP(C737, SweepStudyConfig[StudyId], SweepStudyConfig[NFixedA])</f>
        <v>#VALUE!</v>
      </c>
      <c r="J737" s="3" t="e">
        <f>LOOKUP(C737, SweepStudyConfig[StudyId], SweepStudyConfig[NFixedB])</f>
        <v>#VALUE!</v>
      </c>
      <c r="K737" s="3" t="e">
        <f>LOOKUP(C737, SweepStudyConfig[StudyId], SweepStudyConfig[SweepRateA])</f>
        <v>#VALUE!</v>
      </c>
      <c r="L737" s="3" t="e">
        <f>LOOKUP(C737, SweepStudyConfig[StudyId], SweepStudyConfig[SweepRateB])</f>
        <v>#VALUE!</v>
      </c>
      <c r="M737" s="3" t="e">
        <f>LOOKUP(C737, SweepStudyConfig[StudyId], SweepStudyConfig[FixedRateA])</f>
        <v>#VALUE!</v>
      </c>
      <c r="N737" s="3" t="e">
        <f>LOOKUP(C737, SweepStudyConfig[StudyId], SweepStudyConfig[FixedRateB])</f>
        <v>#VALUE!</v>
      </c>
      <c r="O737" s="3" t="e">
        <f>IF(G737 + I737 = 0, "", (G737 * K737 + I737 * M737) / (G737 + I737))</f>
        <v>#VALUE!</v>
      </c>
      <c r="P737" s="3" t="e">
        <f>IF(H737 + J737 = 0, "", (H737 * L737 + J737 * N737) / (H737 + J737))</f>
        <v>#VALUE!</v>
      </c>
      <c r="Q737" s="3" t="e">
        <f>IF(O737 = "", "", O737 - P737)</f>
        <v>#VALUE!</v>
      </c>
      <c r="R737" s="3" t="e">
        <f>LOOKUP(C737, SweepStudyConfig[StudyId], SweepStudyConfig[SweepCorrectedGap])</f>
        <v>#VALUE!</v>
      </c>
      <c r="S737" s="3" t="e">
        <f>IF(Q737 = "", "", Q737 - R737)</f>
        <v>#VALUE!</v>
      </c>
    </row>
    <row r="738">
      <c r="A738" s="2" t="s">
        <v>4026</v>
      </c>
      <c r="B738" s="3" t="str">
        <f>A738</f>
        <v>hospital-mortality-readmission-f065</v>
      </c>
      <c r="C738" s="2" t="s">
        <v>695</v>
      </c>
      <c r="D738" s="2">
        <v>0.65</v>
      </c>
      <c r="E738" s="3" t="e">
        <f>ABS(D738 - LOOKUP(C738, SweepStudyConfig[StudyId], SweepStudyConfig[OriginalAllocFractionA])) &lt; 0.03</f>
        <v>#VALUE!</v>
      </c>
      <c r="F738" s="3" t="e">
        <f>LOOKUP(C738, SweepStudyConfig[StudyId], SweepStudyConfig[NSweepStratumTotal])</f>
        <v>#VALUE!</v>
      </c>
      <c r="G738" s="3" t="e">
        <f>ROUND(F738 * D738)</f>
        <v>#VALUE!</v>
      </c>
      <c r="H738" s="3" t="e">
        <f>F738 - G738</f>
        <v>#VALUE!</v>
      </c>
      <c r="I738" s="3" t="e">
        <f>LOOKUP(C738, SweepStudyConfig[StudyId], SweepStudyConfig[NFixedA])</f>
        <v>#VALUE!</v>
      </c>
      <c r="J738" s="3" t="e">
        <f>LOOKUP(C738, SweepStudyConfig[StudyId], SweepStudyConfig[NFixedB])</f>
        <v>#VALUE!</v>
      </c>
      <c r="K738" s="3" t="e">
        <f>LOOKUP(C738, SweepStudyConfig[StudyId], SweepStudyConfig[SweepRateA])</f>
        <v>#VALUE!</v>
      </c>
      <c r="L738" s="3" t="e">
        <f>LOOKUP(C738, SweepStudyConfig[StudyId], SweepStudyConfig[SweepRateB])</f>
        <v>#VALUE!</v>
      </c>
      <c r="M738" s="3" t="e">
        <f>LOOKUP(C738, SweepStudyConfig[StudyId], SweepStudyConfig[FixedRateA])</f>
        <v>#VALUE!</v>
      </c>
      <c r="N738" s="3" t="e">
        <f>LOOKUP(C738, SweepStudyConfig[StudyId], SweepStudyConfig[FixedRateB])</f>
        <v>#VALUE!</v>
      </c>
      <c r="O738" s="3" t="e">
        <f>IF(G738 + I738 = 0, "", (G738 * K738 + I738 * M738) / (G738 + I738))</f>
        <v>#VALUE!</v>
      </c>
      <c r="P738" s="3" t="e">
        <f>IF(H738 + J738 = 0, "", (H738 * L738 + J738 * N738) / (H738 + J738))</f>
        <v>#VALUE!</v>
      </c>
      <c r="Q738" s="3" t="e">
        <f>IF(O738 = "", "", O738 - P738)</f>
        <v>#VALUE!</v>
      </c>
      <c r="R738" s="3" t="e">
        <f>LOOKUP(C738, SweepStudyConfig[StudyId], SweepStudyConfig[SweepCorrectedGap])</f>
        <v>#VALUE!</v>
      </c>
      <c r="S738" s="3" t="e">
        <f>IF(Q738 = "", "", Q738 - R738)</f>
        <v>#VALUE!</v>
      </c>
    </row>
    <row r="739">
      <c r="A739" s="2" t="s">
        <v>4027</v>
      </c>
      <c r="B739" s="3" t="str">
        <f>A739</f>
        <v>hospital-mortality-readmission-f075</v>
      </c>
      <c r="C739" s="2" t="s">
        <v>695</v>
      </c>
      <c r="D739" s="2">
        <v>0.75</v>
      </c>
      <c r="E739" s="3" t="e">
        <f>ABS(D739 - LOOKUP(C739, SweepStudyConfig[StudyId], SweepStudyConfig[OriginalAllocFractionA])) &lt; 0.03</f>
        <v>#VALUE!</v>
      </c>
      <c r="F739" s="3" t="e">
        <f>LOOKUP(C739, SweepStudyConfig[StudyId], SweepStudyConfig[NSweepStratumTotal])</f>
        <v>#VALUE!</v>
      </c>
      <c r="G739" s="3" t="e">
        <f>ROUND(F739 * D739)</f>
        <v>#VALUE!</v>
      </c>
      <c r="H739" s="3" t="e">
        <f>F739 - G739</f>
        <v>#VALUE!</v>
      </c>
      <c r="I739" s="3" t="e">
        <f>LOOKUP(C739, SweepStudyConfig[StudyId], SweepStudyConfig[NFixedA])</f>
        <v>#VALUE!</v>
      </c>
      <c r="J739" s="3" t="e">
        <f>LOOKUP(C739, SweepStudyConfig[StudyId], SweepStudyConfig[NFixedB])</f>
        <v>#VALUE!</v>
      </c>
      <c r="K739" s="3" t="e">
        <f>LOOKUP(C739, SweepStudyConfig[StudyId], SweepStudyConfig[SweepRateA])</f>
        <v>#VALUE!</v>
      </c>
      <c r="L739" s="3" t="e">
        <f>LOOKUP(C739, SweepStudyConfig[StudyId], SweepStudyConfig[SweepRateB])</f>
        <v>#VALUE!</v>
      </c>
      <c r="M739" s="3" t="e">
        <f>LOOKUP(C739, SweepStudyConfig[StudyId], SweepStudyConfig[FixedRateA])</f>
        <v>#VALUE!</v>
      </c>
      <c r="N739" s="3" t="e">
        <f>LOOKUP(C739, SweepStudyConfig[StudyId], SweepStudyConfig[FixedRateB])</f>
        <v>#VALUE!</v>
      </c>
      <c r="O739" s="3" t="e">
        <f>IF(G739 + I739 = 0, "", (G739 * K739 + I739 * M739) / (G739 + I739))</f>
        <v>#VALUE!</v>
      </c>
      <c r="P739" s="3" t="e">
        <f>IF(H739 + J739 = 0, "", (H739 * L739 + J739 * N739) / (H739 + J739))</f>
        <v>#VALUE!</v>
      </c>
      <c r="Q739" s="3" t="e">
        <f>IF(O739 = "", "", O739 - P739)</f>
        <v>#VALUE!</v>
      </c>
      <c r="R739" s="3" t="e">
        <f>LOOKUP(C739, SweepStudyConfig[StudyId], SweepStudyConfig[SweepCorrectedGap])</f>
        <v>#VALUE!</v>
      </c>
      <c r="S739" s="3" t="e">
        <f>IF(Q739 = "", "", Q739 - R739)</f>
        <v>#VALUE!</v>
      </c>
    </row>
    <row r="740">
      <c r="A740" s="2" t="s">
        <v>4028</v>
      </c>
      <c r="B740" s="3" t="str">
        <f>A740</f>
        <v>hospital-mortality-readmission-f085</v>
      </c>
      <c r="C740" s="2" t="s">
        <v>695</v>
      </c>
      <c r="D740" s="2">
        <v>0.85</v>
      </c>
      <c r="E740" s="3" t="e">
        <f>ABS(D740 - LOOKUP(C740, SweepStudyConfig[StudyId], SweepStudyConfig[OriginalAllocFractionA])) &lt; 0.03</f>
        <v>#VALUE!</v>
      </c>
      <c r="F740" s="3" t="e">
        <f>LOOKUP(C740, SweepStudyConfig[StudyId], SweepStudyConfig[NSweepStratumTotal])</f>
        <v>#VALUE!</v>
      </c>
      <c r="G740" s="3" t="e">
        <f>ROUND(F740 * D740)</f>
        <v>#VALUE!</v>
      </c>
      <c r="H740" s="3" t="e">
        <f>F740 - G740</f>
        <v>#VALUE!</v>
      </c>
      <c r="I740" s="3" t="e">
        <f>LOOKUP(C740, SweepStudyConfig[StudyId], SweepStudyConfig[NFixedA])</f>
        <v>#VALUE!</v>
      </c>
      <c r="J740" s="3" t="e">
        <f>LOOKUP(C740, SweepStudyConfig[StudyId], SweepStudyConfig[NFixedB])</f>
        <v>#VALUE!</v>
      </c>
      <c r="K740" s="3" t="e">
        <f>LOOKUP(C740, SweepStudyConfig[StudyId], SweepStudyConfig[SweepRateA])</f>
        <v>#VALUE!</v>
      </c>
      <c r="L740" s="3" t="e">
        <f>LOOKUP(C740, SweepStudyConfig[StudyId], SweepStudyConfig[SweepRateB])</f>
        <v>#VALUE!</v>
      </c>
      <c r="M740" s="3" t="e">
        <f>LOOKUP(C740, SweepStudyConfig[StudyId], SweepStudyConfig[FixedRateA])</f>
        <v>#VALUE!</v>
      </c>
      <c r="N740" s="3" t="e">
        <f>LOOKUP(C740, SweepStudyConfig[StudyId], SweepStudyConfig[FixedRateB])</f>
        <v>#VALUE!</v>
      </c>
      <c r="O740" s="3" t="e">
        <f>IF(G740 + I740 = 0, "", (G740 * K740 + I740 * M740) / (G740 + I740))</f>
        <v>#VALUE!</v>
      </c>
      <c r="P740" s="3" t="e">
        <f>IF(H740 + J740 = 0, "", (H740 * L740 + J740 * N740) / (H740 + J740))</f>
        <v>#VALUE!</v>
      </c>
      <c r="Q740" s="3" t="e">
        <f>IF(O740 = "", "", O740 - P740)</f>
        <v>#VALUE!</v>
      </c>
      <c r="R740" s="3" t="e">
        <f>LOOKUP(C740, SweepStudyConfig[StudyId], SweepStudyConfig[SweepCorrectedGap])</f>
        <v>#VALUE!</v>
      </c>
      <c r="S740" s="3" t="e">
        <f>IF(Q740 = "", "", Q740 - R740)</f>
        <v>#VALUE!</v>
      </c>
    </row>
    <row r="741">
      <c r="A741" s="2" t="s">
        <v>4029</v>
      </c>
      <c r="B741" s="3" t="str">
        <f>A741</f>
        <v>hospital-mortality-readmission-f095</v>
      </c>
      <c r="C741" s="2" t="s">
        <v>695</v>
      </c>
      <c r="D741" s="2">
        <v>0.95</v>
      </c>
      <c r="E741" s="3" t="e">
        <f>ABS(D741 - LOOKUP(C741, SweepStudyConfig[StudyId], SweepStudyConfig[OriginalAllocFractionA])) &lt; 0.03</f>
        <v>#VALUE!</v>
      </c>
      <c r="F741" s="3" t="e">
        <f>LOOKUP(C741, SweepStudyConfig[StudyId], SweepStudyConfig[NSweepStratumTotal])</f>
        <v>#VALUE!</v>
      </c>
      <c r="G741" s="3" t="e">
        <f>ROUND(F741 * D741)</f>
        <v>#VALUE!</v>
      </c>
      <c r="H741" s="3" t="e">
        <f>F741 - G741</f>
        <v>#VALUE!</v>
      </c>
      <c r="I741" s="3" t="e">
        <f>LOOKUP(C741, SweepStudyConfig[StudyId], SweepStudyConfig[NFixedA])</f>
        <v>#VALUE!</v>
      </c>
      <c r="J741" s="3" t="e">
        <f>LOOKUP(C741, SweepStudyConfig[StudyId], SweepStudyConfig[NFixedB])</f>
        <v>#VALUE!</v>
      </c>
      <c r="K741" s="3" t="e">
        <f>LOOKUP(C741, SweepStudyConfig[StudyId], SweepStudyConfig[SweepRateA])</f>
        <v>#VALUE!</v>
      </c>
      <c r="L741" s="3" t="e">
        <f>LOOKUP(C741, SweepStudyConfig[StudyId], SweepStudyConfig[SweepRateB])</f>
        <v>#VALUE!</v>
      </c>
      <c r="M741" s="3" t="e">
        <f>LOOKUP(C741, SweepStudyConfig[StudyId], SweepStudyConfig[FixedRateA])</f>
        <v>#VALUE!</v>
      </c>
      <c r="N741" s="3" t="e">
        <f>LOOKUP(C741, SweepStudyConfig[StudyId], SweepStudyConfig[FixedRateB])</f>
        <v>#VALUE!</v>
      </c>
      <c r="O741" s="3" t="e">
        <f>IF(G741 + I741 = 0, "", (G741 * K741 + I741 * M741) / (G741 + I741))</f>
        <v>#VALUE!</v>
      </c>
      <c r="P741" s="3" t="e">
        <f>IF(H741 + J741 = 0, "", (H741 * L741 + J741 * N741) / (H741 + J741))</f>
        <v>#VALUE!</v>
      </c>
      <c r="Q741" s="3" t="e">
        <f>IF(O741 = "", "", O741 - P741)</f>
        <v>#VALUE!</v>
      </c>
      <c r="R741" s="3" t="e">
        <f>LOOKUP(C741, SweepStudyConfig[StudyId], SweepStudyConfig[SweepCorrectedGap])</f>
        <v>#VALUE!</v>
      </c>
      <c r="S741" s="3" t="e">
        <f>IF(Q741 = "", "", Q741 - R741)</f>
        <v>#VALUE!</v>
      </c>
    </row>
    <row r="742">
      <c r="A742" s="2" t="s">
        <v>4030</v>
      </c>
      <c r="B742" s="3" t="str">
        <f>A742</f>
        <v>nypd-stop-frisk-hitrate-f005</v>
      </c>
      <c r="C742" s="2" t="s">
        <v>699</v>
      </c>
      <c r="D742" s="2">
        <v>0.05</v>
      </c>
      <c r="E742" s="3" t="e">
        <f>ABS(D742 - LOOKUP(C742, SweepStudyConfig[StudyId], SweepStudyConfig[OriginalAllocFractionA])) &lt; 0.03</f>
        <v>#VALUE!</v>
      </c>
      <c r="F742" s="3" t="e">
        <f>LOOKUP(C742, SweepStudyConfig[StudyId], SweepStudyConfig[NSweepStratumTotal])</f>
        <v>#VALUE!</v>
      </c>
      <c r="G742" s="3" t="e">
        <f>ROUND(F742 * D742)</f>
        <v>#VALUE!</v>
      </c>
      <c r="H742" s="3" t="e">
        <f>F742 - G742</f>
        <v>#VALUE!</v>
      </c>
      <c r="I742" s="3" t="e">
        <f>LOOKUP(C742, SweepStudyConfig[StudyId], SweepStudyConfig[NFixedA])</f>
        <v>#VALUE!</v>
      </c>
      <c r="J742" s="3" t="e">
        <f>LOOKUP(C742, SweepStudyConfig[StudyId], SweepStudyConfig[NFixedB])</f>
        <v>#VALUE!</v>
      </c>
      <c r="K742" s="3" t="e">
        <f>LOOKUP(C742, SweepStudyConfig[StudyId], SweepStudyConfig[SweepRateA])</f>
        <v>#VALUE!</v>
      </c>
      <c r="L742" s="3" t="e">
        <f>LOOKUP(C742, SweepStudyConfig[StudyId], SweepStudyConfig[SweepRateB])</f>
        <v>#VALUE!</v>
      </c>
      <c r="M742" s="3" t="e">
        <f>LOOKUP(C742, SweepStudyConfig[StudyId], SweepStudyConfig[FixedRateA])</f>
        <v>#VALUE!</v>
      </c>
      <c r="N742" s="3" t="e">
        <f>LOOKUP(C742, SweepStudyConfig[StudyId], SweepStudyConfig[FixedRateB])</f>
        <v>#VALUE!</v>
      </c>
      <c r="O742" s="3" t="e">
        <f>IF(G742 + I742 = 0, "", (G742 * K742 + I742 * M742) / (G742 + I742))</f>
        <v>#VALUE!</v>
      </c>
      <c r="P742" s="3" t="e">
        <f>IF(H742 + J742 = 0, "", (H742 * L742 + J742 * N742) / (H742 + J742))</f>
        <v>#VALUE!</v>
      </c>
      <c r="Q742" s="3" t="e">
        <f>IF(O742 = "", "", O742 - P742)</f>
        <v>#VALUE!</v>
      </c>
      <c r="R742" s="3" t="e">
        <f>LOOKUP(C742, SweepStudyConfig[StudyId], SweepStudyConfig[SweepCorrectedGap])</f>
        <v>#VALUE!</v>
      </c>
      <c r="S742" s="3" t="e">
        <f>IF(Q742 = "", "", Q742 - R742)</f>
        <v>#VALUE!</v>
      </c>
    </row>
    <row r="743">
      <c r="A743" s="2" t="s">
        <v>4031</v>
      </c>
      <c r="B743" s="3" t="str">
        <f>A743</f>
        <v>nypd-stop-frisk-hitrate-f015</v>
      </c>
      <c r="C743" s="2" t="s">
        <v>699</v>
      </c>
      <c r="D743" s="2">
        <v>0.15</v>
      </c>
      <c r="E743" s="3" t="e">
        <f>ABS(D743 - LOOKUP(C743, SweepStudyConfig[StudyId], SweepStudyConfig[OriginalAllocFractionA])) &lt; 0.03</f>
        <v>#VALUE!</v>
      </c>
      <c r="F743" s="3" t="e">
        <f>LOOKUP(C743, SweepStudyConfig[StudyId], SweepStudyConfig[NSweepStratumTotal])</f>
        <v>#VALUE!</v>
      </c>
      <c r="G743" s="3" t="e">
        <f>ROUND(F743 * D743)</f>
        <v>#VALUE!</v>
      </c>
      <c r="H743" s="3" t="e">
        <f>F743 - G743</f>
        <v>#VALUE!</v>
      </c>
      <c r="I743" s="3" t="e">
        <f>LOOKUP(C743, SweepStudyConfig[StudyId], SweepStudyConfig[NFixedA])</f>
        <v>#VALUE!</v>
      </c>
      <c r="J743" s="3" t="e">
        <f>LOOKUP(C743, SweepStudyConfig[StudyId], SweepStudyConfig[NFixedB])</f>
        <v>#VALUE!</v>
      </c>
      <c r="K743" s="3" t="e">
        <f>LOOKUP(C743, SweepStudyConfig[StudyId], SweepStudyConfig[SweepRateA])</f>
        <v>#VALUE!</v>
      </c>
      <c r="L743" s="3" t="e">
        <f>LOOKUP(C743, SweepStudyConfig[StudyId], SweepStudyConfig[SweepRateB])</f>
        <v>#VALUE!</v>
      </c>
      <c r="M743" s="3" t="e">
        <f>LOOKUP(C743, SweepStudyConfig[StudyId], SweepStudyConfig[FixedRateA])</f>
        <v>#VALUE!</v>
      </c>
      <c r="N743" s="3" t="e">
        <f>LOOKUP(C743, SweepStudyConfig[StudyId], SweepStudyConfig[FixedRateB])</f>
        <v>#VALUE!</v>
      </c>
      <c r="O743" s="3" t="e">
        <f>IF(G743 + I743 = 0, "", (G743 * K743 + I743 * M743) / (G743 + I743))</f>
        <v>#VALUE!</v>
      </c>
      <c r="P743" s="3" t="e">
        <f>IF(H743 + J743 = 0, "", (H743 * L743 + J743 * N743) / (H743 + J743))</f>
        <v>#VALUE!</v>
      </c>
      <c r="Q743" s="3" t="e">
        <f>IF(O743 = "", "", O743 - P743)</f>
        <v>#VALUE!</v>
      </c>
      <c r="R743" s="3" t="e">
        <f>LOOKUP(C743, SweepStudyConfig[StudyId], SweepStudyConfig[SweepCorrectedGap])</f>
        <v>#VALUE!</v>
      </c>
      <c r="S743" s="3" t="e">
        <f>IF(Q743 = "", "", Q743 - R743)</f>
        <v>#VALUE!</v>
      </c>
    </row>
    <row r="744">
      <c r="A744" s="2" t="s">
        <v>4032</v>
      </c>
      <c r="B744" s="3" t="str">
        <f>A744</f>
        <v>nypd-stop-frisk-hitrate-f025</v>
      </c>
      <c r="C744" s="2" t="s">
        <v>699</v>
      </c>
      <c r="D744" s="2">
        <v>0.25</v>
      </c>
      <c r="E744" s="3" t="e">
        <f>ABS(D744 - LOOKUP(C744, SweepStudyConfig[StudyId], SweepStudyConfig[OriginalAllocFractionA])) &lt; 0.03</f>
        <v>#VALUE!</v>
      </c>
      <c r="F744" s="3" t="e">
        <f>LOOKUP(C744, SweepStudyConfig[StudyId], SweepStudyConfig[NSweepStratumTotal])</f>
        <v>#VALUE!</v>
      </c>
      <c r="G744" s="3" t="e">
        <f>ROUND(F744 * D744)</f>
        <v>#VALUE!</v>
      </c>
      <c r="H744" s="3" t="e">
        <f>F744 - G744</f>
        <v>#VALUE!</v>
      </c>
      <c r="I744" s="3" t="e">
        <f>LOOKUP(C744, SweepStudyConfig[StudyId], SweepStudyConfig[NFixedA])</f>
        <v>#VALUE!</v>
      </c>
      <c r="J744" s="3" t="e">
        <f>LOOKUP(C744, SweepStudyConfig[StudyId], SweepStudyConfig[NFixedB])</f>
        <v>#VALUE!</v>
      </c>
      <c r="K744" s="3" t="e">
        <f>LOOKUP(C744, SweepStudyConfig[StudyId], SweepStudyConfig[SweepRateA])</f>
        <v>#VALUE!</v>
      </c>
      <c r="L744" s="3" t="e">
        <f>LOOKUP(C744, SweepStudyConfig[StudyId], SweepStudyConfig[SweepRateB])</f>
        <v>#VALUE!</v>
      </c>
      <c r="M744" s="3" t="e">
        <f>LOOKUP(C744, SweepStudyConfig[StudyId], SweepStudyConfig[FixedRateA])</f>
        <v>#VALUE!</v>
      </c>
      <c r="N744" s="3" t="e">
        <f>LOOKUP(C744, SweepStudyConfig[StudyId], SweepStudyConfig[FixedRateB])</f>
        <v>#VALUE!</v>
      </c>
      <c r="O744" s="3" t="e">
        <f>IF(G744 + I744 = 0, "", (G744 * K744 + I744 * M744) / (G744 + I744))</f>
        <v>#VALUE!</v>
      </c>
      <c r="P744" s="3" t="e">
        <f>IF(H744 + J744 = 0, "", (H744 * L744 + J744 * N744) / (H744 + J744))</f>
        <v>#VALUE!</v>
      </c>
      <c r="Q744" s="3" t="e">
        <f>IF(O744 = "", "", O744 - P744)</f>
        <v>#VALUE!</v>
      </c>
      <c r="R744" s="3" t="e">
        <f>LOOKUP(C744, SweepStudyConfig[StudyId], SweepStudyConfig[SweepCorrectedGap])</f>
        <v>#VALUE!</v>
      </c>
      <c r="S744" s="3" t="e">
        <f>IF(Q744 = "", "", Q744 - R744)</f>
        <v>#VALUE!</v>
      </c>
    </row>
    <row r="745">
      <c r="A745" s="2" t="s">
        <v>4033</v>
      </c>
      <c r="B745" s="3" t="str">
        <f>A745</f>
        <v>nypd-stop-frisk-hitrate-f035</v>
      </c>
      <c r="C745" s="2" t="s">
        <v>699</v>
      </c>
      <c r="D745" s="2">
        <v>0.35</v>
      </c>
      <c r="E745" s="3" t="e">
        <f>ABS(D745 - LOOKUP(C745, SweepStudyConfig[StudyId], SweepStudyConfig[OriginalAllocFractionA])) &lt; 0.03</f>
        <v>#VALUE!</v>
      </c>
      <c r="F745" s="3" t="e">
        <f>LOOKUP(C745, SweepStudyConfig[StudyId], SweepStudyConfig[NSweepStratumTotal])</f>
        <v>#VALUE!</v>
      </c>
      <c r="G745" s="3" t="e">
        <f>ROUND(F745 * D745)</f>
        <v>#VALUE!</v>
      </c>
      <c r="H745" s="3" t="e">
        <f>F745 - G745</f>
        <v>#VALUE!</v>
      </c>
      <c r="I745" s="3" t="e">
        <f>LOOKUP(C745, SweepStudyConfig[StudyId], SweepStudyConfig[NFixedA])</f>
        <v>#VALUE!</v>
      </c>
      <c r="J745" s="3" t="e">
        <f>LOOKUP(C745, SweepStudyConfig[StudyId], SweepStudyConfig[NFixedB])</f>
        <v>#VALUE!</v>
      </c>
      <c r="K745" s="3" t="e">
        <f>LOOKUP(C745, SweepStudyConfig[StudyId], SweepStudyConfig[SweepRateA])</f>
        <v>#VALUE!</v>
      </c>
      <c r="L745" s="3" t="e">
        <f>LOOKUP(C745, SweepStudyConfig[StudyId], SweepStudyConfig[SweepRateB])</f>
        <v>#VALUE!</v>
      </c>
      <c r="M745" s="3" t="e">
        <f>LOOKUP(C745, SweepStudyConfig[StudyId], SweepStudyConfig[FixedRateA])</f>
        <v>#VALUE!</v>
      </c>
      <c r="N745" s="3" t="e">
        <f>LOOKUP(C745, SweepStudyConfig[StudyId], SweepStudyConfig[FixedRateB])</f>
        <v>#VALUE!</v>
      </c>
      <c r="O745" s="3" t="e">
        <f>IF(G745 + I745 = 0, "", (G745 * K745 + I745 * M745) / (G745 + I745))</f>
        <v>#VALUE!</v>
      </c>
      <c r="P745" s="3" t="e">
        <f>IF(H745 + J745 = 0, "", (H745 * L745 + J745 * N745) / (H745 + J745))</f>
        <v>#VALUE!</v>
      </c>
      <c r="Q745" s="3" t="e">
        <f>IF(O745 = "", "", O745 - P745)</f>
        <v>#VALUE!</v>
      </c>
      <c r="R745" s="3" t="e">
        <f>LOOKUP(C745, SweepStudyConfig[StudyId], SweepStudyConfig[SweepCorrectedGap])</f>
        <v>#VALUE!</v>
      </c>
      <c r="S745" s="3" t="e">
        <f>IF(Q745 = "", "", Q745 - R745)</f>
        <v>#VALUE!</v>
      </c>
    </row>
    <row r="746">
      <c r="A746" s="2" t="s">
        <v>4034</v>
      </c>
      <c r="B746" s="3" t="str">
        <f>A746</f>
        <v>nypd-stop-frisk-hitrate-f045</v>
      </c>
      <c r="C746" s="2" t="s">
        <v>699</v>
      </c>
      <c r="D746" s="2">
        <v>0.45</v>
      </c>
      <c r="E746" s="3" t="e">
        <f>ABS(D746 - LOOKUP(C746, SweepStudyConfig[StudyId], SweepStudyConfig[OriginalAllocFractionA])) &lt; 0.03</f>
        <v>#VALUE!</v>
      </c>
      <c r="F746" s="3" t="e">
        <f>LOOKUP(C746, SweepStudyConfig[StudyId], SweepStudyConfig[NSweepStratumTotal])</f>
        <v>#VALUE!</v>
      </c>
      <c r="G746" s="3" t="e">
        <f>ROUND(F746 * D746)</f>
        <v>#VALUE!</v>
      </c>
      <c r="H746" s="3" t="e">
        <f>F746 - G746</f>
        <v>#VALUE!</v>
      </c>
      <c r="I746" s="3" t="e">
        <f>LOOKUP(C746, SweepStudyConfig[StudyId], SweepStudyConfig[NFixedA])</f>
        <v>#VALUE!</v>
      </c>
      <c r="J746" s="3" t="e">
        <f>LOOKUP(C746, SweepStudyConfig[StudyId], SweepStudyConfig[NFixedB])</f>
        <v>#VALUE!</v>
      </c>
      <c r="K746" s="3" t="e">
        <f>LOOKUP(C746, SweepStudyConfig[StudyId], SweepStudyConfig[SweepRateA])</f>
        <v>#VALUE!</v>
      </c>
      <c r="L746" s="3" t="e">
        <f>LOOKUP(C746, SweepStudyConfig[StudyId], SweepStudyConfig[SweepRateB])</f>
        <v>#VALUE!</v>
      </c>
      <c r="M746" s="3" t="e">
        <f>LOOKUP(C746, SweepStudyConfig[StudyId], SweepStudyConfig[FixedRateA])</f>
        <v>#VALUE!</v>
      </c>
      <c r="N746" s="3" t="e">
        <f>LOOKUP(C746, SweepStudyConfig[StudyId], SweepStudyConfig[FixedRateB])</f>
        <v>#VALUE!</v>
      </c>
      <c r="O746" s="3" t="e">
        <f>IF(G746 + I746 = 0, "", (G746 * K746 + I746 * M746) / (G746 + I746))</f>
        <v>#VALUE!</v>
      </c>
      <c r="P746" s="3" t="e">
        <f>IF(H746 + J746 = 0, "", (H746 * L746 + J746 * N746) / (H746 + J746))</f>
        <v>#VALUE!</v>
      </c>
      <c r="Q746" s="3" t="e">
        <f>IF(O746 = "", "", O746 - P746)</f>
        <v>#VALUE!</v>
      </c>
      <c r="R746" s="3" t="e">
        <f>LOOKUP(C746, SweepStudyConfig[StudyId], SweepStudyConfig[SweepCorrectedGap])</f>
        <v>#VALUE!</v>
      </c>
      <c r="S746" s="3" t="e">
        <f>IF(Q746 = "", "", Q746 - R746)</f>
        <v>#VALUE!</v>
      </c>
    </row>
    <row r="747">
      <c r="A747" s="2" t="s">
        <v>4035</v>
      </c>
      <c r="B747" s="3" t="str">
        <f>A747</f>
        <v>nypd-stop-frisk-hitrate-f055</v>
      </c>
      <c r="C747" s="2" t="s">
        <v>699</v>
      </c>
      <c r="D747" s="2">
        <v>0.55</v>
      </c>
      <c r="E747" s="3" t="e">
        <f>ABS(D747 - LOOKUP(C747, SweepStudyConfig[StudyId], SweepStudyConfig[OriginalAllocFractionA])) &lt; 0.03</f>
        <v>#VALUE!</v>
      </c>
      <c r="F747" s="3" t="e">
        <f>LOOKUP(C747, SweepStudyConfig[StudyId], SweepStudyConfig[NSweepStratumTotal])</f>
        <v>#VALUE!</v>
      </c>
      <c r="G747" s="3" t="e">
        <f>ROUND(F747 * D747)</f>
        <v>#VALUE!</v>
      </c>
      <c r="H747" s="3" t="e">
        <f>F747 - G747</f>
        <v>#VALUE!</v>
      </c>
      <c r="I747" s="3" t="e">
        <f>LOOKUP(C747, SweepStudyConfig[StudyId], SweepStudyConfig[NFixedA])</f>
        <v>#VALUE!</v>
      </c>
      <c r="J747" s="3" t="e">
        <f>LOOKUP(C747, SweepStudyConfig[StudyId], SweepStudyConfig[NFixedB])</f>
        <v>#VALUE!</v>
      </c>
      <c r="K747" s="3" t="e">
        <f>LOOKUP(C747, SweepStudyConfig[StudyId], SweepStudyConfig[SweepRateA])</f>
        <v>#VALUE!</v>
      </c>
      <c r="L747" s="3" t="e">
        <f>LOOKUP(C747, SweepStudyConfig[StudyId], SweepStudyConfig[SweepRateB])</f>
        <v>#VALUE!</v>
      </c>
      <c r="M747" s="3" t="e">
        <f>LOOKUP(C747, SweepStudyConfig[StudyId], SweepStudyConfig[FixedRateA])</f>
        <v>#VALUE!</v>
      </c>
      <c r="N747" s="3" t="e">
        <f>LOOKUP(C747, SweepStudyConfig[StudyId], SweepStudyConfig[FixedRateB])</f>
        <v>#VALUE!</v>
      </c>
      <c r="O747" s="3" t="e">
        <f>IF(G747 + I747 = 0, "", (G747 * K747 + I747 * M747) / (G747 + I747))</f>
        <v>#VALUE!</v>
      </c>
      <c r="P747" s="3" t="e">
        <f>IF(H747 + J747 = 0, "", (H747 * L747 + J747 * N747) / (H747 + J747))</f>
        <v>#VALUE!</v>
      </c>
      <c r="Q747" s="3" t="e">
        <f>IF(O747 = "", "", O747 - P747)</f>
        <v>#VALUE!</v>
      </c>
      <c r="R747" s="3" t="e">
        <f>LOOKUP(C747, SweepStudyConfig[StudyId], SweepStudyConfig[SweepCorrectedGap])</f>
        <v>#VALUE!</v>
      </c>
      <c r="S747" s="3" t="e">
        <f>IF(Q747 = "", "", Q747 - R747)</f>
        <v>#VALUE!</v>
      </c>
    </row>
    <row r="748">
      <c r="A748" s="2" t="s">
        <v>4036</v>
      </c>
      <c r="B748" s="3" t="str">
        <f>A748</f>
        <v>nypd-stop-frisk-hitrate-f065</v>
      </c>
      <c r="C748" s="2" t="s">
        <v>699</v>
      </c>
      <c r="D748" s="2">
        <v>0.65</v>
      </c>
      <c r="E748" s="3" t="e">
        <f>ABS(D748 - LOOKUP(C748, SweepStudyConfig[StudyId], SweepStudyConfig[OriginalAllocFractionA])) &lt; 0.03</f>
        <v>#VALUE!</v>
      </c>
      <c r="F748" s="3" t="e">
        <f>LOOKUP(C748, SweepStudyConfig[StudyId], SweepStudyConfig[NSweepStratumTotal])</f>
        <v>#VALUE!</v>
      </c>
      <c r="G748" s="3" t="e">
        <f>ROUND(F748 * D748)</f>
        <v>#VALUE!</v>
      </c>
      <c r="H748" s="3" t="e">
        <f>F748 - G748</f>
        <v>#VALUE!</v>
      </c>
      <c r="I748" s="3" t="e">
        <f>LOOKUP(C748, SweepStudyConfig[StudyId], SweepStudyConfig[NFixedA])</f>
        <v>#VALUE!</v>
      </c>
      <c r="J748" s="3" t="e">
        <f>LOOKUP(C748, SweepStudyConfig[StudyId], SweepStudyConfig[NFixedB])</f>
        <v>#VALUE!</v>
      </c>
      <c r="K748" s="3" t="e">
        <f>LOOKUP(C748, SweepStudyConfig[StudyId], SweepStudyConfig[SweepRateA])</f>
        <v>#VALUE!</v>
      </c>
      <c r="L748" s="3" t="e">
        <f>LOOKUP(C748, SweepStudyConfig[StudyId], SweepStudyConfig[SweepRateB])</f>
        <v>#VALUE!</v>
      </c>
      <c r="M748" s="3" t="e">
        <f>LOOKUP(C748, SweepStudyConfig[StudyId], SweepStudyConfig[FixedRateA])</f>
        <v>#VALUE!</v>
      </c>
      <c r="N748" s="3" t="e">
        <f>LOOKUP(C748, SweepStudyConfig[StudyId], SweepStudyConfig[FixedRateB])</f>
        <v>#VALUE!</v>
      </c>
      <c r="O748" s="3" t="e">
        <f>IF(G748 + I748 = 0, "", (G748 * K748 + I748 * M748) / (G748 + I748))</f>
        <v>#VALUE!</v>
      </c>
      <c r="P748" s="3" t="e">
        <f>IF(H748 + J748 = 0, "", (H748 * L748 + J748 * N748) / (H748 + J748))</f>
        <v>#VALUE!</v>
      </c>
      <c r="Q748" s="3" t="e">
        <f>IF(O748 = "", "", O748 - P748)</f>
        <v>#VALUE!</v>
      </c>
      <c r="R748" s="3" t="e">
        <f>LOOKUP(C748, SweepStudyConfig[StudyId], SweepStudyConfig[SweepCorrectedGap])</f>
        <v>#VALUE!</v>
      </c>
      <c r="S748" s="3" t="e">
        <f>IF(Q748 = "", "", Q748 - R748)</f>
        <v>#VALUE!</v>
      </c>
    </row>
    <row r="749">
      <c r="A749" s="2" t="s">
        <v>4037</v>
      </c>
      <c r="B749" s="3" t="str">
        <f>A749</f>
        <v>nypd-stop-frisk-hitrate-f075</v>
      </c>
      <c r="C749" s="2" t="s">
        <v>699</v>
      </c>
      <c r="D749" s="2">
        <v>0.75</v>
      </c>
      <c r="E749" s="3" t="e">
        <f>ABS(D749 - LOOKUP(C749, SweepStudyConfig[StudyId], SweepStudyConfig[OriginalAllocFractionA])) &lt; 0.03</f>
        <v>#VALUE!</v>
      </c>
      <c r="F749" s="3" t="e">
        <f>LOOKUP(C749, SweepStudyConfig[StudyId], SweepStudyConfig[NSweepStratumTotal])</f>
        <v>#VALUE!</v>
      </c>
      <c r="G749" s="3" t="e">
        <f>ROUND(F749 * D749)</f>
        <v>#VALUE!</v>
      </c>
      <c r="H749" s="3" t="e">
        <f>F749 - G749</f>
        <v>#VALUE!</v>
      </c>
      <c r="I749" s="3" t="e">
        <f>LOOKUP(C749, SweepStudyConfig[StudyId], SweepStudyConfig[NFixedA])</f>
        <v>#VALUE!</v>
      </c>
      <c r="J749" s="3" t="e">
        <f>LOOKUP(C749, SweepStudyConfig[StudyId], SweepStudyConfig[NFixedB])</f>
        <v>#VALUE!</v>
      </c>
      <c r="K749" s="3" t="e">
        <f>LOOKUP(C749, SweepStudyConfig[StudyId], SweepStudyConfig[SweepRateA])</f>
        <v>#VALUE!</v>
      </c>
      <c r="L749" s="3" t="e">
        <f>LOOKUP(C749, SweepStudyConfig[StudyId], SweepStudyConfig[SweepRateB])</f>
        <v>#VALUE!</v>
      </c>
      <c r="M749" s="3" t="e">
        <f>LOOKUP(C749, SweepStudyConfig[StudyId], SweepStudyConfig[FixedRateA])</f>
        <v>#VALUE!</v>
      </c>
      <c r="N749" s="3" t="e">
        <f>LOOKUP(C749, SweepStudyConfig[StudyId], SweepStudyConfig[FixedRateB])</f>
        <v>#VALUE!</v>
      </c>
      <c r="O749" s="3" t="e">
        <f>IF(G749 + I749 = 0, "", (G749 * K749 + I749 * M749) / (G749 + I749))</f>
        <v>#VALUE!</v>
      </c>
      <c r="P749" s="3" t="e">
        <f>IF(H749 + J749 = 0, "", (H749 * L749 + J749 * N749) / (H749 + J749))</f>
        <v>#VALUE!</v>
      </c>
      <c r="Q749" s="3" t="e">
        <f>IF(O749 = "", "", O749 - P749)</f>
        <v>#VALUE!</v>
      </c>
      <c r="R749" s="3" t="e">
        <f>LOOKUP(C749, SweepStudyConfig[StudyId], SweepStudyConfig[SweepCorrectedGap])</f>
        <v>#VALUE!</v>
      </c>
      <c r="S749" s="3" t="e">
        <f>IF(Q749 = "", "", Q749 - R749)</f>
        <v>#VALUE!</v>
      </c>
    </row>
    <row r="750">
      <c r="A750" s="2" t="s">
        <v>4038</v>
      </c>
      <c r="B750" s="3" t="str">
        <f>A750</f>
        <v>nypd-stop-frisk-hitrate-f085</v>
      </c>
      <c r="C750" s="2" t="s">
        <v>699</v>
      </c>
      <c r="D750" s="2">
        <v>0.85</v>
      </c>
      <c r="E750" s="3" t="e">
        <f>ABS(D750 - LOOKUP(C750, SweepStudyConfig[StudyId], SweepStudyConfig[OriginalAllocFractionA])) &lt; 0.03</f>
        <v>#VALUE!</v>
      </c>
      <c r="F750" s="3" t="e">
        <f>LOOKUP(C750, SweepStudyConfig[StudyId], SweepStudyConfig[NSweepStratumTotal])</f>
        <v>#VALUE!</v>
      </c>
      <c r="G750" s="3" t="e">
        <f>ROUND(F750 * D750)</f>
        <v>#VALUE!</v>
      </c>
      <c r="H750" s="3" t="e">
        <f>F750 - G750</f>
        <v>#VALUE!</v>
      </c>
      <c r="I750" s="3" t="e">
        <f>LOOKUP(C750, SweepStudyConfig[StudyId], SweepStudyConfig[NFixedA])</f>
        <v>#VALUE!</v>
      </c>
      <c r="J750" s="3" t="e">
        <f>LOOKUP(C750, SweepStudyConfig[StudyId], SweepStudyConfig[NFixedB])</f>
        <v>#VALUE!</v>
      </c>
      <c r="K750" s="3" t="e">
        <f>LOOKUP(C750, SweepStudyConfig[StudyId], SweepStudyConfig[SweepRateA])</f>
        <v>#VALUE!</v>
      </c>
      <c r="L750" s="3" t="e">
        <f>LOOKUP(C750, SweepStudyConfig[StudyId], SweepStudyConfig[SweepRateB])</f>
        <v>#VALUE!</v>
      </c>
      <c r="M750" s="3" t="e">
        <f>LOOKUP(C750, SweepStudyConfig[StudyId], SweepStudyConfig[FixedRateA])</f>
        <v>#VALUE!</v>
      </c>
      <c r="N750" s="3" t="e">
        <f>LOOKUP(C750, SweepStudyConfig[StudyId], SweepStudyConfig[FixedRateB])</f>
        <v>#VALUE!</v>
      </c>
      <c r="O750" s="3" t="e">
        <f>IF(G750 + I750 = 0, "", (G750 * K750 + I750 * M750) / (G750 + I750))</f>
        <v>#VALUE!</v>
      </c>
      <c r="P750" s="3" t="e">
        <f>IF(H750 + J750 = 0, "", (H750 * L750 + J750 * N750) / (H750 + J750))</f>
        <v>#VALUE!</v>
      </c>
      <c r="Q750" s="3" t="e">
        <f>IF(O750 = "", "", O750 - P750)</f>
        <v>#VALUE!</v>
      </c>
      <c r="R750" s="3" t="e">
        <f>LOOKUP(C750, SweepStudyConfig[StudyId], SweepStudyConfig[SweepCorrectedGap])</f>
        <v>#VALUE!</v>
      </c>
      <c r="S750" s="3" t="e">
        <f>IF(Q750 = "", "", Q750 - R750)</f>
        <v>#VALUE!</v>
      </c>
    </row>
    <row r="751">
      <c r="A751" s="2" t="s">
        <v>4039</v>
      </c>
      <c r="B751" s="3" t="str">
        <f>A751</f>
        <v>nypd-stop-frisk-hitrate-f095</v>
      </c>
      <c r="C751" s="2" t="s">
        <v>699</v>
      </c>
      <c r="D751" s="2">
        <v>0.95</v>
      </c>
      <c r="E751" s="3" t="e">
        <f>ABS(D751 - LOOKUP(C751, SweepStudyConfig[StudyId], SweepStudyConfig[OriginalAllocFractionA])) &lt; 0.03</f>
        <v>#VALUE!</v>
      </c>
      <c r="F751" s="3" t="e">
        <f>LOOKUP(C751, SweepStudyConfig[StudyId], SweepStudyConfig[NSweepStratumTotal])</f>
        <v>#VALUE!</v>
      </c>
      <c r="G751" s="3" t="e">
        <f>ROUND(F751 * D751)</f>
        <v>#VALUE!</v>
      </c>
      <c r="H751" s="3" t="e">
        <f>F751 - G751</f>
        <v>#VALUE!</v>
      </c>
      <c r="I751" s="3" t="e">
        <f>LOOKUP(C751, SweepStudyConfig[StudyId], SweepStudyConfig[NFixedA])</f>
        <v>#VALUE!</v>
      </c>
      <c r="J751" s="3" t="e">
        <f>LOOKUP(C751, SweepStudyConfig[StudyId], SweepStudyConfig[NFixedB])</f>
        <v>#VALUE!</v>
      </c>
      <c r="K751" s="3" t="e">
        <f>LOOKUP(C751, SweepStudyConfig[StudyId], SweepStudyConfig[SweepRateA])</f>
        <v>#VALUE!</v>
      </c>
      <c r="L751" s="3" t="e">
        <f>LOOKUP(C751, SweepStudyConfig[StudyId], SweepStudyConfig[SweepRateB])</f>
        <v>#VALUE!</v>
      </c>
      <c r="M751" s="3" t="e">
        <f>LOOKUP(C751, SweepStudyConfig[StudyId], SweepStudyConfig[FixedRateA])</f>
        <v>#VALUE!</v>
      </c>
      <c r="N751" s="3" t="e">
        <f>LOOKUP(C751, SweepStudyConfig[StudyId], SweepStudyConfig[FixedRateB])</f>
        <v>#VALUE!</v>
      </c>
      <c r="O751" s="3" t="e">
        <f>IF(G751 + I751 = 0, "", (G751 * K751 + I751 * M751) / (G751 + I751))</f>
        <v>#VALUE!</v>
      </c>
      <c r="P751" s="3" t="e">
        <f>IF(H751 + J751 = 0, "", (H751 * L751 + J751 * N751) / (H751 + J751))</f>
        <v>#VALUE!</v>
      </c>
      <c r="Q751" s="3" t="e">
        <f>IF(O751 = "", "", O751 - P751)</f>
        <v>#VALUE!</v>
      </c>
      <c r="R751" s="3" t="e">
        <f>LOOKUP(C751, SweepStudyConfig[StudyId], SweepStudyConfig[SweepCorrectedGap])</f>
        <v>#VALUE!</v>
      </c>
      <c r="S751" s="3" t="e">
        <f>IF(Q751 = "", "", Q751 - R751)</f>
        <v>#VALUE!</v>
      </c>
    </row>
    <row r="752">
      <c r="A752" s="2" t="s">
        <v>4040</v>
      </c>
      <c r="B752" s="3" t="str">
        <f>A752</f>
        <v>sentencing-offense-type-f005</v>
      </c>
      <c r="C752" s="2" t="s">
        <v>703</v>
      </c>
      <c r="D752" s="2">
        <v>0.05</v>
      </c>
      <c r="E752" s="3" t="e">
        <f>ABS(D752 - LOOKUP(C752, SweepStudyConfig[StudyId], SweepStudyConfig[OriginalAllocFractionA])) &lt; 0.03</f>
        <v>#VALUE!</v>
      </c>
      <c r="F752" s="3" t="e">
        <f>LOOKUP(C752, SweepStudyConfig[StudyId], SweepStudyConfig[NSweepStratumTotal])</f>
        <v>#VALUE!</v>
      </c>
      <c r="G752" s="3" t="e">
        <f>ROUND(F752 * D752)</f>
        <v>#VALUE!</v>
      </c>
      <c r="H752" s="3" t="e">
        <f>F752 - G752</f>
        <v>#VALUE!</v>
      </c>
      <c r="I752" s="3" t="e">
        <f>LOOKUP(C752, SweepStudyConfig[StudyId], SweepStudyConfig[NFixedA])</f>
        <v>#VALUE!</v>
      </c>
      <c r="J752" s="3" t="e">
        <f>LOOKUP(C752, SweepStudyConfig[StudyId], SweepStudyConfig[NFixedB])</f>
        <v>#VALUE!</v>
      </c>
      <c r="K752" s="3" t="e">
        <f>LOOKUP(C752, SweepStudyConfig[StudyId], SweepStudyConfig[SweepRateA])</f>
        <v>#VALUE!</v>
      </c>
      <c r="L752" s="3" t="e">
        <f>LOOKUP(C752, SweepStudyConfig[StudyId], SweepStudyConfig[SweepRateB])</f>
        <v>#VALUE!</v>
      </c>
      <c r="M752" s="3" t="e">
        <f>LOOKUP(C752, SweepStudyConfig[StudyId], SweepStudyConfig[FixedRateA])</f>
        <v>#VALUE!</v>
      </c>
      <c r="N752" s="3" t="e">
        <f>LOOKUP(C752, SweepStudyConfig[StudyId], SweepStudyConfig[FixedRateB])</f>
        <v>#VALUE!</v>
      </c>
      <c r="O752" s="3" t="e">
        <f>IF(G752 + I752 = 0, "", (G752 * K752 + I752 * M752) / (G752 + I752))</f>
        <v>#VALUE!</v>
      </c>
      <c r="P752" s="3" t="e">
        <f>IF(H752 + J752 = 0, "", (H752 * L752 + J752 * N752) / (H752 + J752))</f>
        <v>#VALUE!</v>
      </c>
      <c r="Q752" s="3" t="e">
        <f>IF(O752 = "", "", O752 - P752)</f>
        <v>#VALUE!</v>
      </c>
      <c r="R752" s="3" t="e">
        <f>LOOKUP(C752, SweepStudyConfig[StudyId], SweepStudyConfig[SweepCorrectedGap])</f>
        <v>#VALUE!</v>
      </c>
      <c r="S752" s="3" t="e">
        <f>IF(Q752 = "", "", Q752 - R752)</f>
        <v>#VALUE!</v>
      </c>
    </row>
    <row r="753">
      <c r="A753" s="2" t="s">
        <v>4041</v>
      </c>
      <c r="B753" s="3" t="str">
        <f>A753</f>
        <v>sentencing-offense-type-f015</v>
      </c>
      <c r="C753" s="2" t="s">
        <v>703</v>
      </c>
      <c r="D753" s="2">
        <v>0.15</v>
      </c>
      <c r="E753" s="3" t="e">
        <f>ABS(D753 - LOOKUP(C753, SweepStudyConfig[StudyId], SweepStudyConfig[OriginalAllocFractionA])) &lt; 0.03</f>
        <v>#VALUE!</v>
      </c>
      <c r="F753" s="3" t="e">
        <f>LOOKUP(C753, SweepStudyConfig[StudyId], SweepStudyConfig[NSweepStratumTotal])</f>
        <v>#VALUE!</v>
      </c>
      <c r="G753" s="3" t="e">
        <f>ROUND(F753 * D753)</f>
        <v>#VALUE!</v>
      </c>
      <c r="H753" s="3" t="e">
        <f>F753 - G753</f>
        <v>#VALUE!</v>
      </c>
      <c r="I753" s="3" t="e">
        <f>LOOKUP(C753, SweepStudyConfig[StudyId], SweepStudyConfig[NFixedA])</f>
        <v>#VALUE!</v>
      </c>
      <c r="J753" s="3" t="e">
        <f>LOOKUP(C753, SweepStudyConfig[StudyId], SweepStudyConfig[NFixedB])</f>
        <v>#VALUE!</v>
      </c>
      <c r="K753" s="3" t="e">
        <f>LOOKUP(C753, SweepStudyConfig[StudyId], SweepStudyConfig[SweepRateA])</f>
        <v>#VALUE!</v>
      </c>
      <c r="L753" s="3" t="e">
        <f>LOOKUP(C753, SweepStudyConfig[StudyId], SweepStudyConfig[SweepRateB])</f>
        <v>#VALUE!</v>
      </c>
      <c r="M753" s="3" t="e">
        <f>LOOKUP(C753, SweepStudyConfig[StudyId], SweepStudyConfig[FixedRateA])</f>
        <v>#VALUE!</v>
      </c>
      <c r="N753" s="3" t="e">
        <f>LOOKUP(C753, SweepStudyConfig[StudyId], SweepStudyConfig[FixedRateB])</f>
        <v>#VALUE!</v>
      </c>
      <c r="O753" s="3" t="e">
        <f>IF(G753 + I753 = 0, "", (G753 * K753 + I753 * M753) / (G753 + I753))</f>
        <v>#VALUE!</v>
      </c>
      <c r="P753" s="3" t="e">
        <f>IF(H753 + J753 = 0, "", (H753 * L753 + J753 * N753) / (H753 + J753))</f>
        <v>#VALUE!</v>
      </c>
      <c r="Q753" s="3" t="e">
        <f>IF(O753 = "", "", O753 - P753)</f>
        <v>#VALUE!</v>
      </c>
      <c r="R753" s="3" t="e">
        <f>LOOKUP(C753, SweepStudyConfig[StudyId], SweepStudyConfig[SweepCorrectedGap])</f>
        <v>#VALUE!</v>
      </c>
      <c r="S753" s="3" t="e">
        <f>IF(Q753 = "", "", Q753 - R753)</f>
        <v>#VALUE!</v>
      </c>
    </row>
    <row r="754">
      <c r="A754" s="2" t="s">
        <v>4042</v>
      </c>
      <c r="B754" s="3" t="str">
        <f>A754</f>
        <v>sentencing-offense-type-f025</v>
      </c>
      <c r="C754" s="2" t="s">
        <v>703</v>
      </c>
      <c r="D754" s="2">
        <v>0.25</v>
      </c>
      <c r="E754" s="3" t="e">
        <f>ABS(D754 - LOOKUP(C754, SweepStudyConfig[StudyId], SweepStudyConfig[OriginalAllocFractionA])) &lt; 0.03</f>
        <v>#VALUE!</v>
      </c>
      <c r="F754" s="3" t="e">
        <f>LOOKUP(C754, SweepStudyConfig[StudyId], SweepStudyConfig[NSweepStratumTotal])</f>
        <v>#VALUE!</v>
      </c>
      <c r="G754" s="3" t="e">
        <f>ROUND(F754 * D754)</f>
        <v>#VALUE!</v>
      </c>
      <c r="H754" s="3" t="e">
        <f>F754 - G754</f>
        <v>#VALUE!</v>
      </c>
      <c r="I754" s="3" t="e">
        <f>LOOKUP(C754, SweepStudyConfig[StudyId], SweepStudyConfig[NFixedA])</f>
        <v>#VALUE!</v>
      </c>
      <c r="J754" s="3" t="e">
        <f>LOOKUP(C754, SweepStudyConfig[StudyId], SweepStudyConfig[NFixedB])</f>
        <v>#VALUE!</v>
      </c>
      <c r="K754" s="3" t="e">
        <f>LOOKUP(C754, SweepStudyConfig[StudyId], SweepStudyConfig[SweepRateA])</f>
        <v>#VALUE!</v>
      </c>
      <c r="L754" s="3" t="e">
        <f>LOOKUP(C754, SweepStudyConfig[StudyId], SweepStudyConfig[SweepRateB])</f>
        <v>#VALUE!</v>
      </c>
      <c r="M754" s="3" t="e">
        <f>LOOKUP(C754, SweepStudyConfig[StudyId], SweepStudyConfig[FixedRateA])</f>
        <v>#VALUE!</v>
      </c>
      <c r="N754" s="3" t="e">
        <f>LOOKUP(C754, SweepStudyConfig[StudyId], SweepStudyConfig[FixedRateB])</f>
        <v>#VALUE!</v>
      </c>
      <c r="O754" s="3" t="e">
        <f>IF(G754 + I754 = 0, "", (G754 * K754 + I754 * M754) / (G754 + I754))</f>
        <v>#VALUE!</v>
      </c>
      <c r="P754" s="3" t="e">
        <f>IF(H754 + J754 = 0, "", (H754 * L754 + J754 * N754) / (H754 + J754))</f>
        <v>#VALUE!</v>
      </c>
      <c r="Q754" s="3" t="e">
        <f>IF(O754 = "", "", O754 - P754)</f>
        <v>#VALUE!</v>
      </c>
      <c r="R754" s="3" t="e">
        <f>LOOKUP(C754, SweepStudyConfig[StudyId], SweepStudyConfig[SweepCorrectedGap])</f>
        <v>#VALUE!</v>
      </c>
      <c r="S754" s="3" t="e">
        <f>IF(Q754 = "", "", Q754 - R754)</f>
        <v>#VALUE!</v>
      </c>
    </row>
    <row r="755">
      <c r="A755" s="2" t="s">
        <v>4043</v>
      </c>
      <c r="B755" s="3" t="str">
        <f>A755</f>
        <v>sentencing-offense-type-f035</v>
      </c>
      <c r="C755" s="2" t="s">
        <v>703</v>
      </c>
      <c r="D755" s="2">
        <v>0.35</v>
      </c>
      <c r="E755" s="3" t="e">
        <f>ABS(D755 - LOOKUP(C755, SweepStudyConfig[StudyId], SweepStudyConfig[OriginalAllocFractionA])) &lt; 0.03</f>
        <v>#VALUE!</v>
      </c>
      <c r="F755" s="3" t="e">
        <f>LOOKUP(C755, SweepStudyConfig[StudyId], SweepStudyConfig[NSweepStratumTotal])</f>
        <v>#VALUE!</v>
      </c>
      <c r="G755" s="3" t="e">
        <f>ROUND(F755 * D755)</f>
        <v>#VALUE!</v>
      </c>
      <c r="H755" s="3" t="e">
        <f>F755 - G755</f>
        <v>#VALUE!</v>
      </c>
      <c r="I755" s="3" t="e">
        <f>LOOKUP(C755, SweepStudyConfig[StudyId], SweepStudyConfig[NFixedA])</f>
        <v>#VALUE!</v>
      </c>
      <c r="J755" s="3" t="e">
        <f>LOOKUP(C755, SweepStudyConfig[StudyId], SweepStudyConfig[NFixedB])</f>
        <v>#VALUE!</v>
      </c>
      <c r="K755" s="3" t="e">
        <f>LOOKUP(C755, SweepStudyConfig[StudyId], SweepStudyConfig[SweepRateA])</f>
        <v>#VALUE!</v>
      </c>
      <c r="L755" s="3" t="e">
        <f>LOOKUP(C755, SweepStudyConfig[StudyId], SweepStudyConfig[SweepRateB])</f>
        <v>#VALUE!</v>
      </c>
      <c r="M755" s="3" t="e">
        <f>LOOKUP(C755, SweepStudyConfig[StudyId], SweepStudyConfig[FixedRateA])</f>
        <v>#VALUE!</v>
      </c>
      <c r="N755" s="3" t="e">
        <f>LOOKUP(C755, SweepStudyConfig[StudyId], SweepStudyConfig[FixedRateB])</f>
        <v>#VALUE!</v>
      </c>
      <c r="O755" s="3" t="e">
        <f>IF(G755 + I755 = 0, "", (G755 * K755 + I755 * M755) / (G755 + I755))</f>
        <v>#VALUE!</v>
      </c>
      <c r="P755" s="3" t="e">
        <f>IF(H755 + J755 = 0, "", (H755 * L755 + J755 * N755) / (H755 + J755))</f>
        <v>#VALUE!</v>
      </c>
      <c r="Q755" s="3" t="e">
        <f>IF(O755 = "", "", O755 - P755)</f>
        <v>#VALUE!</v>
      </c>
      <c r="R755" s="3" t="e">
        <f>LOOKUP(C755, SweepStudyConfig[StudyId], SweepStudyConfig[SweepCorrectedGap])</f>
        <v>#VALUE!</v>
      </c>
      <c r="S755" s="3" t="e">
        <f>IF(Q755 = "", "", Q755 - R755)</f>
        <v>#VALUE!</v>
      </c>
    </row>
    <row r="756">
      <c r="A756" s="2" t="s">
        <v>4044</v>
      </c>
      <c r="B756" s="3" t="str">
        <f>A756</f>
        <v>sentencing-offense-type-f045</v>
      </c>
      <c r="C756" s="2" t="s">
        <v>703</v>
      </c>
      <c r="D756" s="2">
        <v>0.45</v>
      </c>
      <c r="E756" s="3" t="e">
        <f>ABS(D756 - LOOKUP(C756, SweepStudyConfig[StudyId], SweepStudyConfig[OriginalAllocFractionA])) &lt; 0.03</f>
        <v>#VALUE!</v>
      </c>
      <c r="F756" s="3" t="e">
        <f>LOOKUP(C756, SweepStudyConfig[StudyId], SweepStudyConfig[NSweepStratumTotal])</f>
        <v>#VALUE!</v>
      </c>
      <c r="G756" s="3" t="e">
        <f>ROUND(F756 * D756)</f>
        <v>#VALUE!</v>
      </c>
      <c r="H756" s="3" t="e">
        <f>F756 - G756</f>
        <v>#VALUE!</v>
      </c>
      <c r="I756" s="3" t="e">
        <f>LOOKUP(C756, SweepStudyConfig[StudyId], SweepStudyConfig[NFixedA])</f>
        <v>#VALUE!</v>
      </c>
      <c r="J756" s="3" t="e">
        <f>LOOKUP(C756, SweepStudyConfig[StudyId], SweepStudyConfig[NFixedB])</f>
        <v>#VALUE!</v>
      </c>
      <c r="K756" s="3" t="e">
        <f>LOOKUP(C756, SweepStudyConfig[StudyId], SweepStudyConfig[SweepRateA])</f>
        <v>#VALUE!</v>
      </c>
      <c r="L756" s="3" t="e">
        <f>LOOKUP(C756, SweepStudyConfig[StudyId], SweepStudyConfig[SweepRateB])</f>
        <v>#VALUE!</v>
      </c>
      <c r="M756" s="3" t="e">
        <f>LOOKUP(C756, SweepStudyConfig[StudyId], SweepStudyConfig[FixedRateA])</f>
        <v>#VALUE!</v>
      </c>
      <c r="N756" s="3" t="e">
        <f>LOOKUP(C756, SweepStudyConfig[StudyId], SweepStudyConfig[FixedRateB])</f>
        <v>#VALUE!</v>
      </c>
      <c r="O756" s="3" t="e">
        <f>IF(G756 + I756 = 0, "", (G756 * K756 + I756 * M756) / (G756 + I756))</f>
        <v>#VALUE!</v>
      </c>
      <c r="P756" s="3" t="e">
        <f>IF(H756 + J756 = 0, "", (H756 * L756 + J756 * N756) / (H756 + J756))</f>
        <v>#VALUE!</v>
      </c>
      <c r="Q756" s="3" t="e">
        <f>IF(O756 = "", "", O756 - P756)</f>
        <v>#VALUE!</v>
      </c>
      <c r="R756" s="3" t="e">
        <f>LOOKUP(C756, SweepStudyConfig[StudyId], SweepStudyConfig[SweepCorrectedGap])</f>
        <v>#VALUE!</v>
      </c>
      <c r="S756" s="3" t="e">
        <f>IF(Q756 = "", "", Q756 - R756)</f>
        <v>#VALUE!</v>
      </c>
    </row>
    <row r="757">
      <c r="A757" s="2" t="s">
        <v>4045</v>
      </c>
      <c r="B757" s="3" t="str">
        <f>A757</f>
        <v>sentencing-offense-type-f055</v>
      </c>
      <c r="C757" s="2" t="s">
        <v>703</v>
      </c>
      <c r="D757" s="2">
        <v>0.55</v>
      </c>
      <c r="E757" s="3" t="e">
        <f>ABS(D757 - LOOKUP(C757, SweepStudyConfig[StudyId], SweepStudyConfig[OriginalAllocFractionA])) &lt; 0.03</f>
        <v>#VALUE!</v>
      </c>
      <c r="F757" s="3" t="e">
        <f>LOOKUP(C757, SweepStudyConfig[StudyId], SweepStudyConfig[NSweepStratumTotal])</f>
        <v>#VALUE!</v>
      </c>
      <c r="G757" s="3" t="e">
        <f>ROUND(F757 * D757)</f>
        <v>#VALUE!</v>
      </c>
      <c r="H757" s="3" t="e">
        <f>F757 - G757</f>
        <v>#VALUE!</v>
      </c>
      <c r="I757" s="3" t="e">
        <f>LOOKUP(C757, SweepStudyConfig[StudyId], SweepStudyConfig[NFixedA])</f>
        <v>#VALUE!</v>
      </c>
      <c r="J757" s="3" t="e">
        <f>LOOKUP(C757, SweepStudyConfig[StudyId], SweepStudyConfig[NFixedB])</f>
        <v>#VALUE!</v>
      </c>
      <c r="K757" s="3" t="e">
        <f>LOOKUP(C757, SweepStudyConfig[StudyId], SweepStudyConfig[SweepRateA])</f>
        <v>#VALUE!</v>
      </c>
      <c r="L757" s="3" t="e">
        <f>LOOKUP(C757, SweepStudyConfig[StudyId], SweepStudyConfig[SweepRateB])</f>
        <v>#VALUE!</v>
      </c>
      <c r="M757" s="3" t="e">
        <f>LOOKUP(C757, SweepStudyConfig[StudyId], SweepStudyConfig[FixedRateA])</f>
        <v>#VALUE!</v>
      </c>
      <c r="N757" s="3" t="e">
        <f>LOOKUP(C757, SweepStudyConfig[StudyId], SweepStudyConfig[FixedRateB])</f>
        <v>#VALUE!</v>
      </c>
      <c r="O757" s="3" t="e">
        <f>IF(G757 + I757 = 0, "", (G757 * K757 + I757 * M757) / (G757 + I757))</f>
        <v>#VALUE!</v>
      </c>
      <c r="P757" s="3" t="e">
        <f>IF(H757 + J757 = 0, "", (H757 * L757 + J757 * N757) / (H757 + J757))</f>
        <v>#VALUE!</v>
      </c>
      <c r="Q757" s="3" t="e">
        <f>IF(O757 = "", "", O757 - P757)</f>
        <v>#VALUE!</v>
      </c>
      <c r="R757" s="3" t="e">
        <f>LOOKUP(C757, SweepStudyConfig[StudyId], SweepStudyConfig[SweepCorrectedGap])</f>
        <v>#VALUE!</v>
      </c>
      <c r="S757" s="3" t="e">
        <f>IF(Q757 = "", "", Q757 - R757)</f>
        <v>#VALUE!</v>
      </c>
    </row>
    <row r="758">
      <c r="A758" s="2" t="s">
        <v>4046</v>
      </c>
      <c r="B758" s="3" t="str">
        <f>A758</f>
        <v>sentencing-offense-type-f065</v>
      </c>
      <c r="C758" s="2" t="s">
        <v>703</v>
      </c>
      <c r="D758" s="2">
        <v>0.65</v>
      </c>
      <c r="E758" s="3" t="e">
        <f>ABS(D758 - LOOKUP(C758, SweepStudyConfig[StudyId], SweepStudyConfig[OriginalAllocFractionA])) &lt; 0.03</f>
        <v>#VALUE!</v>
      </c>
      <c r="F758" s="3" t="e">
        <f>LOOKUP(C758, SweepStudyConfig[StudyId], SweepStudyConfig[NSweepStratumTotal])</f>
        <v>#VALUE!</v>
      </c>
      <c r="G758" s="3" t="e">
        <f>ROUND(F758 * D758)</f>
        <v>#VALUE!</v>
      </c>
      <c r="H758" s="3" t="e">
        <f>F758 - G758</f>
        <v>#VALUE!</v>
      </c>
      <c r="I758" s="3" t="e">
        <f>LOOKUP(C758, SweepStudyConfig[StudyId], SweepStudyConfig[NFixedA])</f>
        <v>#VALUE!</v>
      </c>
      <c r="J758" s="3" t="e">
        <f>LOOKUP(C758, SweepStudyConfig[StudyId], SweepStudyConfig[NFixedB])</f>
        <v>#VALUE!</v>
      </c>
      <c r="K758" s="3" t="e">
        <f>LOOKUP(C758, SweepStudyConfig[StudyId], SweepStudyConfig[SweepRateA])</f>
        <v>#VALUE!</v>
      </c>
      <c r="L758" s="3" t="e">
        <f>LOOKUP(C758, SweepStudyConfig[StudyId], SweepStudyConfig[SweepRateB])</f>
        <v>#VALUE!</v>
      </c>
      <c r="M758" s="3" t="e">
        <f>LOOKUP(C758, SweepStudyConfig[StudyId], SweepStudyConfig[FixedRateA])</f>
        <v>#VALUE!</v>
      </c>
      <c r="N758" s="3" t="e">
        <f>LOOKUP(C758, SweepStudyConfig[StudyId], SweepStudyConfig[FixedRateB])</f>
        <v>#VALUE!</v>
      </c>
      <c r="O758" s="3" t="e">
        <f>IF(G758 + I758 = 0, "", (G758 * K758 + I758 * M758) / (G758 + I758))</f>
        <v>#VALUE!</v>
      </c>
      <c r="P758" s="3" t="e">
        <f>IF(H758 + J758 = 0, "", (H758 * L758 + J758 * N758) / (H758 + J758))</f>
        <v>#VALUE!</v>
      </c>
      <c r="Q758" s="3" t="e">
        <f>IF(O758 = "", "", O758 - P758)</f>
        <v>#VALUE!</v>
      </c>
      <c r="R758" s="3" t="e">
        <f>LOOKUP(C758, SweepStudyConfig[StudyId], SweepStudyConfig[SweepCorrectedGap])</f>
        <v>#VALUE!</v>
      </c>
      <c r="S758" s="3" t="e">
        <f>IF(Q758 = "", "", Q758 - R758)</f>
        <v>#VALUE!</v>
      </c>
    </row>
    <row r="759">
      <c r="A759" s="2" t="s">
        <v>4047</v>
      </c>
      <c r="B759" s="3" t="str">
        <f>A759</f>
        <v>sentencing-offense-type-f075</v>
      </c>
      <c r="C759" s="2" t="s">
        <v>703</v>
      </c>
      <c r="D759" s="2">
        <v>0.75</v>
      </c>
      <c r="E759" s="3" t="e">
        <f>ABS(D759 - LOOKUP(C759, SweepStudyConfig[StudyId], SweepStudyConfig[OriginalAllocFractionA])) &lt; 0.03</f>
        <v>#VALUE!</v>
      </c>
      <c r="F759" s="3" t="e">
        <f>LOOKUP(C759, SweepStudyConfig[StudyId], SweepStudyConfig[NSweepStratumTotal])</f>
        <v>#VALUE!</v>
      </c>
      <c r="G759" s="3" t="e">
        <f>ROUND(F759 * D759)</f>
        <v>#VALUE!</v>
      </c>
      <c r="H759" s="3" t="e">
        <f>F759 - G759</f>
        <v>#VALUE!</v>
      </c>
      <c r="I759" s="3" t="e">
        <f>LOOKUP(C759, SweepStudyConfig[StudyId], SweepStudyConfig[NFixedA])</f>
        <v>#VALUE!</v>
      </c>
      <c r="J759" s="3" t="e">
        <f>LOOKUP(C759, SweepStudyConfig[StudyId], SweepStudyConfig[NFixedB])</f>
        <v>#VALUE!</v>
      </c>
      <c r="K759" s="3" t="e">
        <f>LOOKUP(C759, SweepStudyConfig[StudyId], SweepStudyConfig[SweepRateA])</f>
        <v>#VALUE!</v>
      </c>
      <c r="L759" s="3" t="e">
        <f>LOOKUP(C759, SweepStudyConfig[StudyId], SweepStudyConfig[SweepRateB])</f>
        <v>#VALUE!</v>
      </c>
      <c r="M759" s="3" t="e">
        <f>LOOKUP(C759, SweepStudyConfig[StudyId], SweepStudyConfig[FixedRateA])</f>
        <v>#VALUE!</v>
      </c>
      <c r="N759" s="3" t="e">
        <f>LOOKUP(C759, SweepStudyConfig[StudyId], SweepStudyConfig[FixedRateB])</f>
        <v>#VALUE!</v>
      </c>
      <c r="O759" s="3" t="e">
        <f>IF(G759 + I759 = 0, "", (G759 * K759 + I759 * M759) / (G759 + I759))</f>
        <v>#VALUE!</v>
      </c>
      <c r="P759" s="3" t="e">
        <f>IF(H759 + J759 = 0, "", (H759 * L759 + J759 * N759) / (H759 + J759))</f>
        <v>#VALUE!</v>
      </c>
      <c r="Q759" s="3" t="e">
        <f>IF(O759 = "", "", O759 - P759)</f>
        <v>#VALUE!</v>
      </c>
      <c r="R759" s="3" t="e">
        <f>LOOKUP(C759, SweepStudyConfig[StudyId], SweepStudyConfig[SweepCorrectedGap])</f>
        <v>#VALUE!</v>
      </c>
      <c r="S759" s="3" t="e">
        <f>IF(Q759 = "", "", Q759 - R759)</f>
        <v>#VALUE!</v>
      </c>
    </row>
    <row r="760">
      <c r="A760" s="2" t="s">
        <v>4048</v>
      </c>
      <c r="B760" s="3" t="str">
        <f>A760</f>
        <v>sentencing-offense-type-f085</v>
      </c>
      <c r="C760" s="2" t="s">
        <v>703</v>
      </c>
      <c r="D760" s="2">
        <v>0.85</v>
      </c>
      <c r="E760" s="3" t="e">
        <f>ABS(D760 - LOOKUP(C760, SweepStudyConfig[StudyId], SweepStudyConfig[OriginalAllocFractionA])) &lt; 0.03</f>
        <v>#VALUE!</v>
      </c>
      <c r="F760" s="3" t="e">
        <f>LOOKUP(C760, SweepStudyConfig[StudyId], SweepStudyConfig[NSweepStratumTotal])</f>
        <v>#VALUE!</v>
      </c>
      <c r="G760" s="3" t="e">
        <f>ROUND(F760 * D760)</f>
        <v>#VALUE!</v>
      </c>
      <c r="H760" s="3" t="e">
        <f>F760 - G760</f>
        <v>#VALUE!</v>
      </c>
      <c r="I760" s="3" t="e">
        <f>LOOKUP(C760, SweepStudyConfig[StudyId], SweepStudyConfig[NFixedA])</f>
        <v>#VALUE!</v>
      </c>
      <c r="J760" s="3" t="e">
        <f>LOOKUP(C760, SweepStudyConfig[StudyId], SweepStudyConfig[NFixedB])</f>
        <v>#VALUE!</v>
      </c>
      <c r="K760" s="3" t="e">
        <f>LOOKUP(C760, SweepStudyConfig[StudyId], SweepStudyConfig[SweepRateA])</f>
        <v>#VALUE!</v>
      </c>
      <c r="L760" s="3" t="e">
        <f>LOOKUP(C760, SweepStudyConfig[StudyId], SweepStudyConfig[SweepRateB])</f>
        <v>#VALUE!</v>
      </c>
      <c r="M760" s="3" t="e">
        <f>LOOKUP(C760, SweepStudyConfig[StudyId], SweepStudyConfig[FixedRateA])</f>
        <v>#VALUE!</v>
      </c>
      <c r="N760" s="3" t="e">
        <f>LOOKUP(C760, SweepStudyConfig[StudyId], SweepStudyConfig[FixedRateB])</f>
        <v>#VALUE!</v>
      </c>
      <c r="O760" s="3" t="e">
        <f>IF(G760 + I760 = 0, "", (G760 * K760 + I760 * M760) / (G760 + I760))</f>
        <v>#VALUE!</v>
      </c>
      <c r="P760" s="3" t="e">
        <f>IF(H760 + J760 = 0, "", (H760 * L760 + J760 * N760) / (H760 + J760))</f>
        <v>#VALUE!</v>
      </c>
      <c r="Q760" s="3" t="e">
        <f>IF(O760 = "", "", O760 - P760)</f>
        <v>#VALUE!</v>
      </c>
      <c r="R760" s="3" t="e">
        <f>LOOKUP(C760, SweepStudyConfig[StudyId], SweepStudyConfig[SweepCorrectedGap])</f>
        <v>#VALUE!</v>
      </c>
      <c r="S760" s="3" t="e">
        <f>IF(Q760 = "", "", Q760 - R760)</f>
        <v>#VALUE!</v>
      </c>
    </row>
    <row r="761">
      <c r="A761" s="2" t="s">
        <v>4049</v>
      </c>
      <c r="B761" s="3" t="str">
        <f>A761</f>
        <v>sentencing-offense-type-f095</v>
      </c>
      <c r="C761" s="2" t="s">
        <v>703</v>
      </c>
      <c r="D761" s="2">
        <v>0.95</v>
      </c>
      <c r="E761" s="3" t="e">
        <f>ABS(D761 - LOOKUP(C761, SweepStudyConfig[StudyId], SweepStudyConfig[OriginalAllocFractionA])) &lt; 0.03</f>
        <v>#VALUE!</v>
      </c>
      <c r="F761" s="3" t="e">
        <f>LOOKUP(C761, SweepStudyConfig[StudyId], SweepStudyConfig[NSweepStratumTotal])</f>
        <v>#VALUE!</v>
      </c>
      <c r="G761" s="3" t="e">
        <f>ROUND(F761 * D761)</f>
        <v>#VALUE!</v>
      </c>
      <c r="H761" s="3" t="e">
        <f>F761 - G761</f>
        <v>#VALUE!</v>
      </c>
      <c r="I761" s="3" t="e">
        <f>LOOKUP(C761, SweepStudyConfig[StudyId], SweepStudyConfig[NFixedA])</f>
        <v>#VALUE!</v>
      </c>
      <c r="J761" s="3" t="e">
        <f>LOOKUP(C761, SweepStudyConfig[StudyId], SweepStudyConfig[NFixedB])</f>
        <v>#VALUE!</v>
      </c>
      <c r="K761" s="3" t="e">
        <f>LOOKUP(C761, SweepStudyConfig[StudyId], SweepStudyConfig[SweepRateA])</f>
        <v>#VALUE!</v>
      </c>
      <c r="L761" s="3" t="e">
        <f>LOOKUP(C761, SweepStudyConfig[StudyId], SweepStudyConfig[SweepRateB])</f>
        <v>#VALUE!</v>
      </c>
      <c r="M761" s="3" t="e">
        <f>LOOKUP(C761, SweepStudyConfig[StudyId], SweepStudyConfig[FixedRateA])</f>
        <v>#VALUE!</v>
      </c>
      <c r="N761" s="3" t="e">
        <f>LOOKUP(C761, SweepStudyConfig[StudyId], SweepStudyConfig[FixedRateB])</f>
        <v>#VALUE!</v>
      </c>
      <c r="O761" s="3" t="e">
        <f>IF(G761 + I761 = 0, "", (G761 * K761 + I761 * M761) / (G761 + I761))</f>
        <v>#VALUE!</v>
      </c>
      <c r="P761" s="3" t="e">
        <f>IF(H761 + J761 = 0, "", (H761 * L761 + J761 * N761) / (H761 + J761))</f>
        <v>#VALUE!</v>
      </c>
      <c r="Q761" s="3" t="e">
        <f>IF(O761 = "", "", O761 - P761)</f>
        <v>#VALUE!</v>
      </c>
      <c r="R761" s="3" t="e">
        <f>LOOKUP(C761, SweepStudyConfig[StudyId], SweepStudyConfig[SweepCorrectedGap])</f>
        <v>#VALUE!</v>
      </c>
      <c r="S761" s="3" t="e">
        <f>IF(Q761 = "", "", Q761 - R761)</f>
        <v>#VALUE!</v>
      </c>
    </row>
    <row r="762">
      <c r="A762" s="2" t="s">
        <v>4050</v>
      </c>
      <c r="B762" s="3" t="str">
        <f>A762</f>
        <v>bail-risk-score-f005</v>
      </c>
      <c r="C762" s="2" t="s">
        <v>707</v>
      </c>
      <c r="D762" s="2">
        <v>0.05</v>
      </c>
      <c r="E762" s="3" t="e">
        <f>ABS(D762 - LOOKUP(C762, SweepStudyConfig[StudyId], SweepStudyConfig[OriginalAllocFractionA])) &lt; 0.03</f>
        <v>#VALUE!</v>
      </c>
      <c r="F762" s="3" t="e">
        <f>LOOKUP(C762, SweepStudyConfig[StudyId], SweepStudyConfig[NSweepStratumTotal])</f>
        <v>#VALUE!</v>
      </c>
      <c r="G762" s="3" t="e">
        <f>ROUND(F762 * D762)</f>
        <v>#VALUE!</v>
      </c>
      <c r="H762" s="3" t="e">
        <f>F762 - G762</f>
        <v>#VALUE!</v>
      </c>
      <c r="I762" s="3" t="e">
        <f>LOOKUP(C762, SweepStudyConfig[StudyId], SweepStudyConfig[NFixedA])</f>
        <v>#VALUE!</v>
      </c>
      <c r="J762" s="3" t="e">
        <f>LOOKUP(C762, SweepStudyConfig[StudyId], SweepStudyConfig[NFixedB])</f>
        <v>#VALUE!</v>
      </c>
      <c r="K762" s="3" t="e">
        <f>LOOKUP(C762, SweepStudyConfig[StudyId], SweepStudyConfig[SweepRateA])</f>
        <v>#VALUE!</v>
      </c>
      <c r="L762" s="3" t="e">
        <f>LOOKUP(C762, SweepStudyConfig[StudyId], SweepStudyConfig[SweepRateB])</f>
        <v>#VALUE!</v>
      </c>
      <c r="M762" s="3" t="e">
        <f>LOOKUP(C762, SweepStudyConfig[StudyId], SweepStudyConfig[FixedRateA])</f>
        <v>#VALUE!</v>
      </c>
      <c r="N762" s="3" t="e">
        <f>LOOKUP(C762, SweepStudyConfig[StudyId], SweepStudyConfig[FixedRateB])</f>
        <v>#VALUE!</v>
      </c>
      <c r="O762" s="3" t="e">
        <f>IF(G762 + I762 = 0, "", (G762 * K762 + I762 * M762) / (G762 + I762))</f>
        <v>#VALUE!</v>
      </c>
      <c r="P762" s="3" t="e">
        <f>IF(H762 + J762 = 0, "", (H762 * L762 + J762 * N762) / (H762 + J762))</f>
        <v>#VALUE!</v>
      </c>
      <c r="Q762" s="3" t="e">
        <f>IF(O762 = "", "", O762 - P762)</f>
        <v>#VALUE!</v>
      </c>
      <c r="R762" s="3" t="e">
        <f>LOOKUP(C762, SweepStudyConfig[StudyId], SweepStudyConfig[SweepCorrectedGap])</f>
        <v>#VALUE!</v>
      </c>
      <c r="S762" s="3" t="e">
        <f>IF(Q762 = "", "", Q762 - R762)</f>
        <v>#VALUE!</v>
      </c>
    </row>
    <row r="763">
      <c r="A763" s="2" t="s">
        <v>4051</v>
      </c>
      <c r="B763" s="3" t="str">
        <f>A763</f>
        <v>bail-risk-score-f015</v>
      </c>
      <c r="C763" s="2" t="s">
        <v>707</v>
      </c>
      <c r="D763" s="2">
        <v>0.15</v>
      </c>
      <c r="E763" s="3" t="e">
        <f>ABS(D763 - LOOKUP(C763, SweepStudyConfig[StudyId], SweepStudyConfig[OriginalAllocFractionA])) &lt; 0.03</f>
        <v>#VALUE!</v>
      </c>
      <c r="F763" s="3" t="e">
        <f>LOOKUP(C763, SweepStudyConfig[StudyId], SweepStudyConfig[NSweepStratumTotal])</f>
        <v>#VALUE!</v>
      </c>
      <c r="G763" s="3" t="e">
        <f>ROUND(F763 * D763)</f>
        <v>#VALUE!</v>
      </c>
      <c r="H763" s="3" t="e">
        <f>F763 - G763</f>
        <v>#VALUE!</v>
      </c>
      <c r="I763" s="3" t="e">
        <f>LOOKUP(C763, SweepStudyConfig[StudyId], SweepStudyConfig[NFixedA])</f>
        <v>#VALUE!</v>
      </c>
      <c r="J763" s="3" t="e">
        <f>LOOKUP(C763, SweepStudyConfig[StudyId], SweepStudyConfig[NFixedB])</f>
        <v>#VALUE!</v>
      </c>
      <c r="K763" s="3" t="e">
        <f>LOOKUP(C763, SweepStudyConfig[StudyId], SweepStudyConfig[SweepRateA])</f>
        <v>#VALUE!</v>
      </c>
      <c r="L763" s="3" t="e">
        <f>LOOKUP(C763, SweepStudyConfig[StudyId], SweepStudyConfig[SweepRateB])</f>
        <v>#VALUE!</v>
      </c>
      <c r="M763" s="3" t="e">
        <f>LOOKUP(C763, SweepStudyConfig[StudyId], SweepStudyConfig[FixedRateA])</f>
        <v>#VALUE!</v>
      </c>
      <c r="N763" s="3" t="e">
        <f>LOOKUP(C763, SweepStudyConfig[StudyId], SweepStudyConfig[FixedRateB])</f>
        <v>#VALUE!</v>
      </c>
      <c r="O763" s="3" t="e">
        <f>IF(G763 + I763 = 0, "", (G763 * K763 + I763 * M763) / (G763 + I763))</f>
        <v>#VALUE!</v>
      </c>
      <c r="P763" s="3" t="e">
        <f>IF(H763 + J763 = 0, "", (H763 * L763 + J763 * N763) / (H763 + J763))</f>
        <v>#VALUE!</v>
      </c>
      <c r="Q763" s="3" t="e">
        <f>IF(O763 = "", "", O763 - P763)</f>
        <v>#VALUE!</v>
      </c>
      <c r="R763" s="3" t="e">
        <f>LOOKUP(C763, SweepStudyConfig[StudyId], SweepStudyConfig[SweepCorrectedGap])</f>
        <v>#VALUE!</v>
      </c>
      <c r="S763" s="3" t="e">
        <f>IF(Q763 = "", "", Q763 - R763)</f>
        <v>#VALUE!</v>
      </c>
    </row>
    <row r="764">
      <c r="A764" s="2" t="s">
        <v>4052</v>
      </c>
      <c r="B764" s="3" t="str">
        <f>A764</f>
        <v>bail-risk-score-f025</v>
      </c>
      <c r="C764" s="2" t="s">
        <v>707</v>
      </c>
      <c r="D764" s="2">
        <v>0.25</v>
      </c>
      <c r="E764" s="3" t="e">
        <f>ABS(D764 - LOOKUP(C764, SweepStudyConfig[StudyId], SweepStudyConfig[OriginalAllocFractionA])) &lt; 0.03</f>
        <v>#VALUE!</v>
      </c>
      <c r="F764" s="3" t="e">
        <f>LOOKUP(C764, SweepStudyConfig[StudyId], SweepStudyConfig[NSweepStratumTotal])</f>
        <v>#VALUE!</v>
      </c>
      <c r="G764" s="3" t="e">
        <f>ROUND(F764 * D764)</f>
        <v>#VALUE!</v>
      </c>
      <c r="H764" s="3" t="e">
        <f>F764 - G764</f>
        <v>#VALUE!</v>
      </c>
      <c r="I764" s="3" t="e">
        <f>LOOKUP(C764, SweepStudyConfig[StudyId], SweepStudyConfig[NFixedA])</f>
        <v>#VALUE!</v>
      </c>
      <c r="J764" s="3" t="e">
        <f>LOOKUP(C764, SweepStudyConfig[StudyId], SweepStudyConfig[NFixedB])</f>
        <v>#VALUE!</v>
      </c>
      <c r="K764" s="3" t="e">
        <f>LOOKUP(C764, SweepStudyConfig[StudyId], SweepStudyConfig[SweepRateA])</f>
        <v>#VALUE!</v>
      </c>
      <c r="L764" s="3" t="e">
        <f>LOOKUP(C764, SweepStudyConfig[StudyId], SweepStudyConfig[SweepRateB])</f>
        <v>#VALUE!</v>
      </c>
      <c r="M764" s="3" t="e">
        <f>LOOKUP(C764, SweepStudyConfig[StudyId], SweepStudyConfig[FixedRateA])</f>
        <v>#VALUE!</v>
      </c>
      <c r="N764" s="3" t="e">
        <f>LOOKUP(C764, SweepStudyConfig[StudyId], SweepStudyConfig[FixedRateB])</f>
        <v>#VALUE!</v>
      </c>
      <c r="O764" s="3" t="e">
        <f>IF(G764 + I764 = 0, "", (G764 * K764 + I764 * M764) / (G764 + I764))</f>
        <v>#VALUE!</v>
      </c>
      <c r="P764" s="3" t="e">
        <f>IF(H764 + J764 = 0, "", (H764 * L764 + J764 * N764) / (H764 + J764))</f>
        <v>#VALUE!</v>
      </c>
      <c r="Q764" s="3" t="e">
        <f>IF(O764 = "", "", O764 - P764)</f>
        <v>#VALUE!</v>
      </c>
      <c r="R764" s="3" t="e">
        <f>LOOKUP(C764, SweepStudyConfig[StudyId], SweepStudyConfig[SweepCorrectedGap])</f>
        <v>#VALUE!</v>
      </c>
      <c r="S764" s="3" t="e">
        <f>IF(Q764 = "", "", Q764 - R764)</f>
        <v>#VALUE!</v>
      </c>
    </row>
    <row r="765">
      <c r="A765" s="2" t="s">
        <v>4053</v>
      </c>
      <c r="B765" s="3" t="str">
        <f>A765</f>
        <v>bail-risk-score-f035</v>
      </c>
      <c r="C765" s="2" t="s">
        <v>707</v>
      </c>
      <c r="D765" s="2">
        <v>0.35</v>
      </c>
      <c r="E765" s="3" t="e">
        <f>ABS(D765 - LOOKUP(C765, SweepStudyConfig[StudyId], SweepStudyConfig[OriginalAllocFractionA])) &lt; 0.03</f>
        <v>#VALUE!</v>
      </c>
      <c r="F765" s="3" t="e">
        <f>LOOKUP(C765, SweepStudyConfig[StudyId], SweepStudyConfig[NSweepStratumTotal])</f>
        <v>#VALUE!</v>
      </c>
      <c r="G765" s="3" t="e">
        <f>ROUND(F765 * D765)</f>
        <v>#VALUE!</v>
      </c>
      <c r="H765" s="3" t="e">
        <f>F765 - G765</f>
        <v>#VALUE!</v>
      </c>
      <c r="I765" s="3" t="e">
        <f>LOOKUP(C765, SweepStudyConfig[StudyId], SweepStudyConfig[NFixedA])</f>
        <v>#VALUE!</v>
      </c>
      <c r="J765" s="3" t="e">
        <f>LOOKUP(C765, SweepStudyConfig[StudyId], SweepStudyConfig[NFixedB])</f>
        <v>#VALUE!</v>
      </c>
      <c r="K765" s="3" t="e">
        <f>LOOKUP(C765, SweepStudyConfig[StudyId], SweepStudyConfig[SweepRateA])</f>
        <v>#VALUE!</v>
      </c>
      <c r="L765" s="3" t="e">
        <f>LOOKUP(C765, SweepStudyConfig[StudyId], SweepStudyConfig[SweepRateB])</f>
        <v>#VALUE!</v>
      </c>
      <c r="M765" s="3" t="e">
        <f>LOOKUP(C765, SweepStudyConfig[StudyId], SweepStudyConfig[FixedRateA])</f>
        <v>#VALUE!</v>
      </c>
      <c r="N765" s="3" t="e">
        <f>LOOKUP(C765, SweepStudyConfig[StudyId], SweepStudyConfig[FixedRateB])</f>
        <v>#VALUE!</v>
      </c>
      <c r="O765" s="3" t="e">
        <f>IF(G765 + I765 = 0, "", (G765 * K765 + I765 * M765) / (G765 + I765))</f>
        <v>#VALUE!</v>
      </c>
      <c r="P765" s="3" t="e">
        <f>IF(H765 + J765 = 0, "", (H765 * L765 + J765 * N765) / (H765 + J765))</f>
        <v>#VALUE!</v>
      </c>
      <c r="Q765" s="3" t="e">
        <f>IF(O765 = "", "", O765 - P765)</f>
        <v>#VALUE!</v>
      </c>
      <c r="R765" s="3" t="e">
        <f>LOOKUP(C765, SweepStudyConfig[StudyId], SweepStudyConfig[SweepCorrectedGap])</f>
        <v>#VALUE!</v>
      </c>
      <c r="S765" s="3" t="e">
        <f>IF(Q765 = "", "", Q765 - R765)</f>
        <v>#VALUE!</v>
      </c>
    </row>
    <row r="766">
      <c r="A766" s="2" t="s">
        <v>4054</v>
      </c>
      <c r="B766" s="3" t="str">
        <f>A766</f>
        <v>bail-risk-score-f045</v>
      </c>
      <c r="C766" s="2" t="s">
        <v>707</v>
      </c>
      <c r="D766" s="2">
        <v>0.45</v>
      </c>
      <c r="E766" s="3" t="e">
        <f>ABS(D766 - LOOKUP(C766, SweepStudyConfig[StudyId], SweepStudyConfig[OriginalAllocFractionA])) &lt; 0.03</f>
        <v>#VALUE!</v>
      </c>
      <c r="F766" s="3" t="e">
        <f>LOOKUP(C766, SweepStudyConfig[StudyId], SweepStudyConfig[NSweepStratumTotal])</f>
        <v>#VALUE!</v>
      </c>
      <c r="G766" s="3" t="e">
        <f>ROUND(F766 * D766)</f>
        <v>#VALUE!</v>
      </c>
      <c r="H766" s="3" t="e">
        <f>F766 - G766</f>
        <v>#VALUE!</v>
      </c>
      <c r="I766" s="3" t="e">
        <f>LOOKUP(C766, SweepStudyConfig[StudyId], SweepStudyConfig[NFixedA])</f>
        <v>#VALUE!</v>
      </c>
      <c r="J766" s="3" t="e">
        <f>LOOKUP(C766, SweepStudyConfig[StudyId], SweepStudyConfig[NFixedB])</f>
        <v>#VALUE!</v>
      </c>
      <c r="K766" s="3" t="e">
        <f>LOOKUP(C766, SweepStudyConfig[StudyId], SweepStudyConfig[SweepRateA])</f>
        <v>#VALUE!</v>
      </c>
      <c r="L766" s="3" t="e">
        <f>LOOKUP(C766, SweepStudyConfig[StudyId], SweepStudyConfig[SweepRateB])</f>
        <v>#VALUE!</v>
      </c>
      <c r="M766" s="3" t="e">
        <f>LOOKUP(C766, SweepStudyConfig[StudyId], SweepStudyConfig[FixedRateA])</f>
        <v>#VALUE!</v>
      </c>
      <c r="N766" s="3" t="e">
        <f>LOOKUP(C766, SweepStudyConfig[StudyId], SweepStudyConfig[FixedRateB])</f>
        <v>#VALUE!</v>
      </c>
      <c r="O766" s="3" t="e">
        <f>IF(G766 + I766 = 0, "", (G766 * K766 + I766 * M766) / (G766 + I766))</f>
        <v>#VALUE!</v>
      </c>
      <c r="P766" s="3" t="e">
        <f>IF(H766 + J766 = 0, "", (H766 * L766 + J766 * N766) / (H766 + J766))</f>
        <v>#VALUE!</v>
      </c>
      <c r="Q766" s="3" t="e">
        <f>IF(O766 = "", "", O766 - P766)</f>
        <v>#VALUE!</v>
      </c>
      <c r="R766" s="3" t="e">
        <f>LOOKUP(C766, SweepStudyConfig[StudyId], SweepStudyConfig[SweepCorrectedGap])</f>
        <v>#VALUE!</v>
      </c>
      <c r="S766" s="3" t="e">
        <f>IF(Q766 = "", "", Q766 - R766)</f>
        <v>#VALUE!</v>
      </c>
    </row>
    <row r="767">
      <c r="A767" s="2" t="s">
        <v>4055</v>
      </c>
      <c r="B767" s="3" t="str">
        <f>A767</f>
        <v>bail-risk-score-f055</v>
      </c>
      <c r="C767" s="2" t="s">
        <v>707</v>
      </c>
      <c r="D767" s="2">
        <v>0.55</v>
      </c>
      <c r="E767" s="3" t="e">
        <f>ABS(D767 - LOOKUP(C767, SweepStudyConfig[StudyId], SweepStudyConfig[OriginalAllocFractionA])) &lt; 0.03</f>
        <v>#VALUE!</v>
      </c>
      <c r="F767" s="3" t="e">
        <f>LOOKUP(C767, SweepStudyConfig[StudyId], SweepStudyConfig[NSweepStratumTotal])</f>
        <v>#VALUE!</v>
      </c>
      <c r="G767" s="3" t="e">
        <f>ROUND(F767 * D767)</f>
        <v>#VALUE!</v>
      </c>
      <c r="H767" s="3" t="e">
        <f>F767 - G767</f>
        <v>#VALUE!</v>
      </c>
      <c r="I767" s="3" t="e">
        <f>LOOKUP(C767, SweepStudyConfig[StudyId], SweepStudyConfig[NFixedA])</f>
        <v>#VALUE!</v>
      </c>
      <c r="J767" s="3" t="e">
        <f>LOOKUP(C767, SweepStudyConfig[StudyId], SweepStudyConfig[NFixedB])</f>
        <v>#VALUE!</v>
      </c>
      <c r="K767" s="3" t="e">
        <f>LOOKUP(C767, SweepStudyConfig[StudyId], SweepStudyConfig[SweepRateA])</f>
        <v>#VALUE!</v>
      </c>
      <c r="L767" s="3" t="e">
        <f>LOOKUP(C767, SweepStudyConfig[StudyId], SweepStudyConfig[SweepRateB])</f>
        <v>#VALUE!</v>
      </c>
      <c r="M767" s="3" t="e">
        <f>LOOKUP(C767, SweepStudyConfig[StudyId], SweepStudyConfig[FixedRateA])</f>
        <v>#VALUE!</v>
      </c>
      <c r="N767" s="3" t="e">
        <f>LOOKUP(C767, SweepStudyConfig[StudyId], SweepStudyConfig[FixedRateB])</f>
        <v>#VALUE!</v>
      </c>
      <c r="O767" s="3" t="e">
        <f>IF(G767 + I767 = 0, "", (G767 * K767 + I767 * M767) / (G767 + I767))</f>
        <v>#VALUE!</v>
      </c>
      <c r="P767" s="3" t="e">
        <f>IF(H767 + J767 = 0, "", (H767 * L767 + J767 * N767) / (H767 + J767))</f>
        <v>#VALUE!</v>
      </c>
      <c r="Q767" s="3" t="e">
        <f>IF(O767 = "", "", O767 - P767)</f>
        <v>#VALUE!</v>
      </c>
      <c r="R767" s="3" t="e">
        <f>LOOKUP(C767, SweepStudyConfig[StudyId], SweepStudyConfig[SweepCorrectedGap])</f>
        <v>#VALUE!</v>
      </c>
      <c r="S767" s="3" t="e">
        <f>IF(Q767 = "", "", Q767 - R767)</f>
        <v>#VALUE!</v>
      </c>
    </row>
    <row r="768">
      <c r="A768" s="2" t="s">
        <v>4056</v>
      </c>
      <c r="B768" s="3" t="str">
        <f>A768</f>
        <v>bail-risk-score-f065</v>
      </c>
      <c r="C768" s="2" t="s">
        <v>707</v>
      </c>
      <c r="D768" s="2">
        <v>0.65</v>
      </c>
      <c r="E768" s="3" t="e">
        <f>ABS(D768 - LOOKUP(C768, SweepStudyConfig[StudyId], SweepStudyConfig[OriginalAllocFractionA])) &lt; 0.03</f>
        <v>#VALUE!</v>
      </c>
      <c r="F768" s="3" t="e">
        <f>LOOKUP(C768, SweepStudyConfig[StudyId], SweepStudyConfig[NSweepStratumTotal])</f>
        <v>#VALUE!</v>
      </c>
      <c r="G768" s="3" t="e">
        <f>ROUND(F768 * D768)</f>
        <v>#VALUE!</v>
      </c>
      <c r="H768" s="3" t="e">
        <f>F768 - G768</f>
        <v>#VALUE!</v>
      </c>
      <c r="I768" s="3" t="e">
        <f>LOOKUP(C768, SweepStudyConfig[StudyId], SweepStudyConfig[NFixedA])</f>
        <v>#VALUE!</v>
      </c>
      <c r="J768" s="3" t="e">
        <f>LOOKUP(C768, SweepStudyConfig[StudyId], SweepStudyConfig[NFixedB])</f>
        <v>#VALUE!</v>
      </c>
      <c r="K768" s="3" t="e">
        <f>LOOKUP(C768, SweepStudyConfig[StudyId], SweepStudyConfig[SweepRateA])</f>
        <v>#VALUE!</v>
      </c>
      <c r="L768" s="3" t="e">
        <f>LOOKUP(C768, SweepStudyConfig[StudyId], SweepStudyConfig[SweepRateB])</f>
        <v>#VALUE!</v>
      </c>
      <c r="M768" s="3" t="e">
        <f>LOOKUP(C768, SweepStudyConfig[StudyId], SweepStudyConfig[FixedRateA])</f>
        <v>#VALUE!</v>
      </c>
      <c r="N768" s="3" t="e">
        <f>LOOKUP(C768, SweepStudyConfig[StudyId], SweepStudyConfig[FixedRateB])</f>
        <v>#VALUE!</v>
      </c>
      <c r="O768" s="3" t="e">
        <f>IF(G768 + I768 = 0, "", (G768 * K768 + I768 * M768) / (G768 + I768))</f>
        <v>#VALUE!</v>
      </c>
      <c r="P768" s="3" t="e">
        <f>IF(H768 + J768 = 0, "", (H768 * L768 + J768 * N768) / (H768 + J768))</f>
        <v>#VALUE!</v>
      </c>
      <c r="Q768" s="3" t="e">
        <f>IF(O768 = "", "", O768 - P768)</f>
        <v>#VALUE!</v>
      </c>
      <c r="R768" s="3" t="e">
        <f>LOOKUP(C768, SweepStudyConfig[StudyId], SweepStudyConfig[SweepCorrectedGap])</f>
        <v>#VALUE!</v>
      </c>
      <c r="S768" s="3" t="e">
        <f>IF(Q768 = "", "", Q768 - R768)</f>
        <v>#VALUE!</v>
      </c>
    </row>
    <row r="769">
      <c r="A769" s="2" t="s">
        <v>4057</v>
      </c>
      <c r="B769" s="3" t="str">
        <f>A769</f>
        <v>bail-risk-score-f075</v>
      </c>
      <c r="C769" s="2" t="s">
        <v>707</v>
      </c>
      <c r="D769" s="2">
        <v>0.75</v>
      </c>
      <c r="E769" s="3" t="e">
        <f>ABS(D769 - LOOKUP(C769, SweepStudyConfig[StudyId], SweepStudyConfig[OriginalAllocFractionA])) &lt; 0.03</f>
        <v>#VALUE!</v>
      </c>
      <c r="F769" s="3" t="e">
        <f>LOOKUP(C769, SweepStudyConfig[StudyId], SweepStudyConfig[NSweepStratumTotal])</f>
        <v>#VALUE!</v>
      </c>
      <c r="G769" s="3" t="e">
        <f>ROUND(F769 * D769)</f>
        <v>#VALUE!</v>
      </c>
      <c r="H769" s="3" t="e">
        <f>F769 - G769</f>
        <v>#VALUE!</v>
      </c>
      <c r="I769" s="3" t="e">
        <f>LOOKUP(C769, SweepStudyConfig[StudyId], SweepStudyConfig[NFixedA])</f>
        <v>#VALUE!</v>
      </c>
      <c r="J769" s="3" t="e">
        <f>LOOKUP(C769, SweepStudyConfig[StudyId], SweepStudyConfig[NFixedB])</f>
        <v>#VALUE!</v>
      </c>
      <c r="K769" s="3" t="e">
        <f>LOOKUP(C769, SweepStudyConfig[StudyId], SweepStudyConfig[SweepRateA])</f>
        <v>#VALUE!</v>
      </c>
      <c r="L769" s="3" t="e">
        <f>LOOKUP(C769, SweepStudyConfig[StudyId], SweepStudyConfig[SweepRateB])</f>
        <v>#VALUE!</v>
      </c>
      <c r="M769" s="3" t="e">
        <f>LOOKUP(C769, SweepStudyConfig[StudyId], SweepStudyConfig[FixedRateA])</f>
        <v>#VALUE!</v>
      </c>
      <c r="N769" s="3" t="e">
        <f>LOOKUP(C769, SweepStudyConfig[StudyId], SweepStudyConfig[FixedRateB])</f>
        <v>#VALUE!</v>
      </c>
      <c r="O769" s="3" t="e">
        <f>IF(G769 + I769 = 0, "", (G769 * K769 + I769 * M769) / (G769 + I769))</f>
        <v>#VALUE!</v>
      </c>
      <c r="P769" s="3" t="e">
        <f>IF(H769 + J769 = 0, "", (H769 * L769 + J769 * N769) / (H769 + J769))</f>
        <v>#VALUE!</v>
      </c>
      <c r="Q769" s="3" t="e">
        <f>IF(O769 = "", "", O769 - P769)</f>
        <v>#VALUE!</v>
      </c>
      <c r="R769" s="3" t="e">
        <f>LOOKUP(C769, SweepStudyConfig[StudyId], SweepStudyConfig[SweepCorrectedGap])</f>
        <v>#VALUE!</v>
      </c>
      <c r="S769" s="3" t="e">
        <f>IF(Q769 = "", "", Q769 - R769)</f>
        <v>#VALUE!</v>
      </c>
    </row>
    <row r="770">
      <c r="A770" s="2" t="s">
        <v>4058</v>
      </c>
      <c r="B770" s="3" t="str">
        <f>A770</f>
        <v>bail-risk-score-f085</v>
      </c>
      <c r="C770" s="2" t="s">
        <v>707</v>
      </c>
      <c r="D770" s="2">
        <v>0.85</v>
      </c>
      <c r="E770" s="3" t="e">
        <f>ABS(D770 - LOOKUP(C770, SweepStudyConfig[StudyId], SweepStudyConfig[OriginalAllocFractionA])) &lt; 0.03</f>
        <v>#VALUE!</v>
      </c>
      <c r="F770" s="3" t="e">
        <f>LOOKUP(C770, SweepStudyConfig[StudyId], SweepStudyConfig[NSweepStratumTotal])</f>
        <v>#VALUE!</v>
      </c>
      <c r="G770" s="3" t="e">
        <f>ROUND(F770 * D770)</f>
        <v>#VALUE!</v>
      </c>
      <c r="H770" s="3" t="e">
        <f>F770 - G770</f>
        <v>#VALUE!</v>
      </c>
      <c r="I770" s="3" t="e">
        <f>LOOKUP(C770, SweepStudyConfig[StudyId], SweepStudyConfig[NFixedA])</f>
        <v>#VALUE!</v>
      </c>
      <c r="J770" s="3" t="e">
        <f>LOOKUP(C770, SweepStudyConfig[StudyId], SweepStudyConfig[NFixedB])</f>
        <v>#VALUE!</v>
      </c>
      <c r="K770" s="3" t="e">
        <f>LOOKUP(C770, SweepStudyConfig[StudyId], SweepStudyConfig[SweepRateA])</f>
        <v>#VALUE!</v>
      </c>
      <c r="L770" s="3" t="e">
        <f>LOOKUP(C770, SweepStudyConfig[StudyId], SweepStudyConfig[SweepRateB])</f>
        <v>#VALUE!</v>
      </c>
      <c r="M770" s="3" t="e">
        <f>LOOKUP(C770, SweepStudyConfig[StudyId], SweepStudyConfig[FixedRateA])</f>
        <v>#VALUE!</v>
      </c>
      <c r="N770" s="3" t="e">
        <f>LOOKUP(C770, SweepStudyConfig[StudyId], SweepStudyConfig[FixedRateB])</f>
        <v>#VALUE!</v>
      </c>
      <c r="O770" s="3" t="e">
        <f>IF(G770 + I770 = 0, "", (G770 * K770 + I770 * M770) / (G770 + I770))</f>
        <v>#VALUE!</v>
      </c>
      <c r="P770" s="3" t="e">
        <f>IF(H770 + J770 = 0, "", (H770 * L770 + J770 * N770) / (H770 + J770))</f>
        <v>#VALUE!</v>
      </c>
      <c r="Q770" s="3" t="e">
        <f>IF(O770 = "", "", O770 - P770)</f>
        <v>#VALUE!</v>
      </c>
      <c r="R770" s="3" t="e">
        <f>LOOKUP(C770, SweepStudyConfig[StudyId], SweepStudyConfig[SweepCorrectedGap])</f>
        <v>#VALUE!</v>
      </c>
      <c r="S770" s="3" t="e">
        <f>IF(Q770 = "", "", Q770 - R770)</f>
        <v>#VALUE!</v>
      </c>
    </row>
    <row r="771">
      <c r="A771" s="2" t="s">
        <v>4059</v>
      </c>
      <c r="B771" s="3" t="str">
        <f>A771</f>
        <v>bail-risk-score-f095</v>
      </c>
      <c r="C771" s="2" t="s">
        <v>707</v>
      </c>
      <c r="D771" s="2">
        <v>0.95</v>
      </c>
      <c r="E771" s="3" t="e">
        <f>ABS(D771 - LOOKUP(C771, SweepStudyConfig[StudyId], SweepStudyConfig[OriginalAllocFractionA])) &lt; 0.03</f>
        <v>#VALUE!</v>
      </c>
      <c r="F771" s="3" t="e">
        <f>LOOKUP(C771, SweepStudyConfig[StudyId], SweepStudyConfig[NSweepStratumTotal])</f>
        <v>#VALUE!</v>
      </c>
      <c r="G771" s="3" t="e">
        <f>ROUND(F771 * D771)</f>
        <v>#VALUE!</v>
      </c>
      <c r="H771" s="3" t="e">
        <f>F771 - G771</f>
        <v>#VALUE!</v>
      </c>
      <c r="I771" s="3" t="e">
        <f>LOOKUP(C771, SweepStudyConfig[StudyId], SweepStudyConfig[NFixedA])</f>
        <v>#VALUE!</v>
      </c>
      <c r="J771" s="3" t="e">
        <f>LOOKUP(C771, SweepStudyConfig[StudyId], SweepStudyConfig[NFixedB])</f>
        <v>#VALUE!</v>
      </c>
      <c r="K771" s="3" t="e">
        <f>LOOKUP(C771, SweepStudyConfig[StudyId], SweepStudyConfig[SweepRateA])</f>
        <v>#VALUE!</v>
      </c>
      <c r="L771" s="3" t="e">
        <f>LOOKUP(C771, SweepStudyConfig[StudyId], SweepStudyConfig[SweepRateB])</f>
        <v>#VALUE!</v>
      </c>
      <c r="M771" s="3" t="e">
        <f>LOOKUP(C771, SweepStudyConfig[StudyId], SweepStudyConfig[FixedRateA])</f>
        <v>#VALUE!</v>
      </c>
      <c r="N771" s="3" t="e">
        <f>LOOKUP(C771, SweepStudyConfig[StudyId], SweepStudyConfig[FixedRateB])</f>
        <v>#VALUE!</v>
      </c>
      <c r="O771" s="3" t="e">
        <f>IF(G771 + I771 = 0, "", (G771 * K771 + I771 * M771) / (G771 + I771))</f>
        <v>#VALUE!</v>
      </c>
      <c r="P771" s="3" t="e">
        <f>IF(H771 + J771 = 0, "", (H771 * L771 + J771 * N771) / (H771 + J771))</f>
        <v>#VALUE!</v>
      </c>
      <c r="Q771" s="3" t="e">
        <f>IF(O771 = "", "", O771 - P771)</f>
        <v>#VALUE!</v>
      </c>
      <c r="R771" s="3" t="e">
        <f>LOOKUP(C771, SweepStudyConfig[StudyId], SweepStudyConfig[SweepCorrectedGap])</f>
        <v>#VALUE!</v>
      </c>
      <c r="S771" s="3" t="e">
        <f>IF(Q771 = "", "", Q771 - R771)</f>
        <v>#VALUE!</v>
      </c>
    </row>
    <row r="772">
      <c r="A772" s="2" t="s">
        <v>4060</v>
      </c>
      <c r="B772" s="3" t="str">
        <f>A772</f>
        <v>police-force-encounter-f005</v>
      </c>
      <c r="C772" s="2" t="s">
        <v>711</v>
      </c>
      <c r="D772" s="2">
        <v>0.05</v>
      </c>
      <c r="E772" s="3" t="e">
        <f>ABS(D772 - LOOKUP(C772, SweepStudyConfig[StudyId], SweepStudyConfig[OriginalAllocFractionA])) &lt; 0.03</f>
        <v>#VALUE!</v>
      </c>
      <c r="F772" s="3" t="e">
        <f>LOOKUP(C772, SweepStudyConfig[StudyId], SweepStudyConfig[NSweepStratumTotal])</f>
        <v>#VALUE!</v>
      </c>
      <c r="G772" s="3" t="e">
        <f>ROUND(F772 * D772)</f>
        <v>#VALUE!</v>
      </c>
      <c r="H772" s="3" t="e">
        <f>F772 - G772</f>
        <v>#VALUE!</v>
      </c>
      <c r="I772" s="3" t="e">
        <f>LOOKUP(C772, SweepStudyConfig[StudyId], SweepStudyConfig[NFixedA])</f>
        <v>#VALUE!</v>
      </c>
      <c r="J772" s="3" t="e">
        <f>LOOKUP(C772, SweepStudyConfig[StudyId], SweepStudyConfig[NFixedB])</f>
        <v>#VALUE!</v>
      </c>
      <c r="K772" s="3" t="e">
        <f>LOOKUP(C772, SweepStudyConfig[StudyId], SweepStudyConfig[SweepRateA])</f>
        <v>#VALUE!</v>
      </c>
      <c r="L772" s="3" t="e">
        <f>LOOKUP(C772, SweepStudyConfig[StudyId], SweepStudyConfig[SweepRateB])</f>
        <v>#VALUE!</v>
      </c>
      <c r="M772" s="3" t="e">
        <f>LOOKUP(C772, SweepStudyConfig[StudyId], SweepStudyConfig[FixedRateA])</f>
        <v>#VALUE!</v>
      </c>
      <c r="N772" s="3" t="e">
        <f>LOOKUP(C772, SweepStudyConfig[StudyId], SweepStudyConfig[FixedRateB])</f>
        <v>#VALUE!</v>
      </c>
      <c r="O772" s="3" t="e">
        <f>IF(G772 + I772 = 0, "", (G772 * K772 + I772 * M772) / (G772 + I772))</f>
        <v>#VALUE!</v>
      </c>
      <c r="P772" s="3" t="e">
        <f>IF(H772 + J772 = 0, "", (H772 * L772 + J772 * N772) / (H772 + J772))</f>
        <v>#VALUE!</v>
      </c>
      <c r="Q772" s="3" t="e">
        <f>IF(O772 = "", "", O772 - P772)</f>
        <v>#VALUE!</v>
      </c>
      <c r="R772" s="3" t="e">
        <f>LOOKUP(C772, SweepStudyConfig[StudyId], SweepStudyConfig[SweepCorrectedGap])</f>
        <v>#VALUE!</v>
      </c>
      <c r="S772" s="3" t="e">
        <f>IF(Q772 = "", "", Q772 - R772)</f>
        <v>#VALUE!</v>
      </c>
    </row>
    <row r="773">
      <c r="A773" s="2" t="s">
        <v>4061</v>
      </c>
      <c r="B773" s="3" t="str">
        <f>A773</f>
        <v>police-force-encounter-f015</v>
      </c>
      <c r="C773" s="2" t="s">
        <v>711</v>
      </c>
      <c r="D773" s="2">
        <v>0.15</v>
      </c>
      <c r="E773" s="3" t="e">
        <f>ABS(D773 - LOOKUP(C773, SweepStudyConfig[StudyId], SweepStudyConfig[OriginalAllocFractionA])) &lt; 0.03</f>
        <v>#VALUE!</v>
      </c>
      <c r="F773" s="3" t="e">
        <f>LOOKUP(C773, SweepStudyConfig[StudyId], SweepStudyConfig[NSweepStratumTotal])</f>
        <v>#VALUE!</v>
      </c>
      <c r="G773" s="3" t="e">
        <f>ROUND(F773 * D773)</f>
        <v>#VALUE!</v>
      </c>
      <c r="H773" s="3" t="e">
        <f>F773 - G773</f>
        <v>#VALUE!</v>
      </c>
      <c r="I773" s="3" t="e">
        <f>LOOKUP(C773, SweepStudyConfig[StudyId], SweepStudyConfig[NFixedA])</f>
        <v>#VALUE!</v>
      </c>
      <c r="J773" s="3" t="e">
        <f>LOOKUP(C773, SweepStudyConfig[StudyId], SweepStudyConfig[NFixedB])</f>
        <v>#VALUE!</v>
      </c>
      <c r="K773" s="3" t="e">
        <f>LOOKUP(C773, SweepStudyConfig[StudyId], SweepStudyConfig[SweepRateA])</f>
        <v>#VALUE!</v>
      </c>
      <c r="L773" s="3" t="e">
        <f>LOOKUP(C773, SweepStudyConfig[StudyId], SweepStudyConfig[SweepRateB])</f>
        <v>#VALUE!</v>
      </c>
      <c r="M773" s="3" t="e">
        <f>LOOKUP(C773, SweepStudyConfig[StudyId], SweepStudyConfig[FixedRateA])</f>
        <v>#VALUE!</v>
      </c>
      <c r="N773" s="3" t="e">
        <f>LOOKUP(C773, SweepStudyConfig[StudyId], SweepStudyConfig[FixedRateB])</f>
        <v>#VALUE!</v>
      </c>
      <c r="O773" s="3" t="e">
        <f>IF(G773 + I773 = 0, "", (G773 * K773 + I773 * M773) / (G773 + I773))</f>
        <v>#VALUE!</v>
      </c>
      <c r="P773" s="3" t="e">
        <f>IF(H773 + J773 = 0, "", (H773 * L773 + J773 * N773) / (H773 + J773))</f>
        <v>#VALUE!</v>
      </c>
      <c r="Q773" s="3" t="e">
        <f>IF(O773 = "", "", O773 - P773)</f>
        <v>#VALUE!</v>
      </c>
      <c r="R773" s="3" t="e">
        <f>LOOKUP(C773, SweepStudyConfig[StudyId], SweepStudyConfig[SweepCorrectedGap])</f>
        <v>#VALUE!</v>
      </c>
      <c r="S773" s="3" t="e">
        <f>IF(Q773 = "", "", Q773 - R773)</f>
        <v>#VALUE!</v>
      </c>
    </row>
    <row r="774">
      <c r="A774" s="2" t="s">
        <v>4062</v>
      </c>
      <c r="B774" s="3" t="str">
        <f>A774</f>
        <v>police-force-encounter-f025</v>
      </c>
      <c r="C774" s="2" t="s">
        <v>711</v>
      </c>
      <c r="D774" s="2">
        <v>0.25</v>
      </c>
      <c r="E774" s="3" t="e">
        <f>ABS(D774 - LOOKUP(C774, SweepStudyConfig[StudyId], SweepStudyConfig[OriginalAllocFractionA])) &lt; 0.03</f>
        <v>#VALUE!</v>
      </c>
      <c r="F774" s="3" t="e">
        <f>LOOKUP(C774, SweepStudyConfig[StudyId], SweepStudyConfig[NSweepStratumTotal])</f>
        <v>#VALUE!</v>
      </c>
      <c r="G774" s="3" t="e">
        <f>ROUND(F774 * D774)</f>
        <v>#VALUE!</v>
      </c>
      <c r="H774" s="3" t="e">
        <f>F774 - G774</f>
        <v>#VALUE!</v>
      </c>
      <c r="I774" s="3" t="e">
        <f>LOOKUP(C774, SweepStudyConfig[StudyId], SweepStudyConfig[NFixedA])</f>
        <v>#VALUE!</v>
      </c>
      <c r="J774" s="3" t="e">
        <f>LOOKUP(C774, SweepStudyConfig[StudyId], SweepStudyConfig[NFixedB])</f>
        <v>#VALUE!</v>
      </c>
      <c r="K774" s="3" t="e">
        <f>LOOKUP(C774, SweepStudyConfig[StudyId], SweepStudyConfig[SweepRateA])</f>
        <v>#VALUE!</v>
      </c>
      <c r="L774" s="3" t="e">
        <f>LOOKUP(C774, SweepStudyConfig[StudyId], SweepStudyConfig[SweepRateB])</f>
        <v>#VALUE!</v>
      </c>
      <c r="M774" s="3" t="e">
        <f>LOOKUP(C774, SweepStudyConfig[StudyId], SweepStudyConfig[FixedRateA])</f>
        <v>#VALUE!</v>
      </c>
      <c r="N774" s="3" t="e">
        <f>LOOKUP(C774, SweepStudyConfig[StudyId], SweepStudyConfig[FixedRateB])</f>
        <v>#VALUE!</v>
      </c>
      <c r="O774" s="3" t="e">
        <f>IF(G774 + I774 = 0, "", (G774 * K774 + I774 * M774) / (G774 + I774))</f>
        <v>#VALUE!</v>
      </c>
      <c r="P774" s="3" t="e">
        <f>IF(H774 + J774 = 0, "", (H774 * L774 + J774 * N774) / (H774 + J774))</f>
        <v>#VALUE!</v>
      </c>
      <c r="Q774" s="3" t="e">
        <f>IF(O774 = "", "", O774 - P774)</f>
        <v>#VALUE!</v>
      </c>
      <c r="R774" s="3" t="e">
        <f>LOOKUP(C774, SweepStudyConfig[StudyId], SweepStudyConfig[SweepCorrectedGap])</f>
        <v>#VALUE!</v>
      </c>
      <c r="S774" s="3" t="e">
        <f>IF(Q774 = "", "", Q774 - R774)</f>
        <v>#VALUE!</v>
      </c>
    </row>
    <row r="775">
      <c r="A775" s="2" t="s">
        <v>4063</v>
      </c>
      <c r="B775" s="3" t="str">
        <f>A775</f>
        <v>police-force-encounter-f035</v>
      </c>
      <c r="C775" s="2" t="s">
        <v>711</v>
      </c>
      <c r="D775" s="2">
        <v>0.35</v>
      </c>
      <c r="E775" s="3" t="e">
        <f>ABS(D775 - LOOKUP(C775, SweepStudyConfig[StudyId], SweepStudyConfig[OriginalAllocFractionA])) &lt; 0.03</f>
        <v>#VALUE!</v>
      </c>
      <c r="F775" s="3" t="e">
        <f>LOOKUP(C775, SweepStudyConfig[StudyId], SweepStudyConfig[NSweepStratumTotal])</f>
        <v>#VALUE!</v>
      </c>
      <c r="G775" s="3" t="e">
        <f>ROUND(F775 * D775)</f>
        <v>#VALUE!</v>
      </c>
      <c r="H775" s="3" t="e">
        <f>F775 - G775</f>
        <v>#VALUE!</v>
      </c>
      <c r="I775" s="3" t="e">
        <f>LOOKUP(C775, SweepStudyConfig[StudyId], SweepStudyConfig[NFixedA])</f>
        <v>#VALUE!</v>
      </c>
      <c r="J775" s="3" t="e">
        <f>LOOKUP(C775, SweepStudyConfig[StudyId], SweepStudyConfig[NFixedB])</f>
        <v>#VALUE!</v>
      </c>
      <c r="K775" s="3" t="e">
        <f>LOOKUP(C775, SweepStudyConfig[StudyId], SweepStudyConfig[SweepRateA])</f>
        <v>#VALUE!</v>
      </c>
      <c r="L775" s="3" t="e">
        <f>LOOKUP(C775, SweepStudyConfig[StudyId], SweepStudyConfig[SweepRateB])</f>
        <v>#VALUE!</v>
      </c>
      <c r="M775" s="3" t="e">
        <f>LOOKUP(C775, SweepStudyConfig[StudyId], SweepStudyConfig[FixedRateA])</f>
        <v>#VALUE!</v>
      </c>
      <c r="N775" s="3" t="e">
        <f>LOOKUP(C775, SweepStudyConfig[StudyId], SweepStudyConfig[FixedRateB])</f>
        <v>#VALUE!</v>
      </c>
      <c r="O775" s="3" t="e">
        <f>IF(G775 + I775 = 0, "", (G775 * K775 + I775 * M775) / (G775 + I775))</f>
        <v>#VALUE!</v>
      </c>
      <c r="P775" s="3" t="e">
        <f>IF(H775 + J775 = 0, "", (H775 * L775 + J775 * N775) / (H775 + J775))</f>
        <v>#VALUE!</v>
      </c>
      <c r="Q775" s="3" t="e">
        <f>IF(O775 = "", "", O775 - P775)</f>
        <v>#VALUE!</v>
      </c>
      <c r="R775" s="3" t="e">
        <f>LOOKUP(C775, SweepStudyConfig[StudyId], SweepStudyConfig[SweepCorrectedGap])</f>
        <v>#VALUE!</v>
      </c>
      <c r="S775" s="3" t="e">
        <f>IF(Q775 = "", "", Q775 - R775)</f>
        <v>#VALUE!</v>
      </c>
    </row>
    <row r="776">
      <c r="A776" s="2" t="s">
        <v>4064</v>
      </c>
      <c r="B776" s="3" t="str">
        <f>A776</f>
        <v>police-force-encounter-f045</v>
      </c>
      <c r="C776" s="2" t="s">
        <v>711</v>
      </c>
      <c r="D776" s="2">
        <v>0.45</v>
      </c>
      <c r="E776" s="3" t="e">
        <f>ABS(D776 - LOOKUP(C776, SweepStudyConfig[StudyId], SweepStudyConfig[OriginalAllocFractionA])) &lt; 0.03</f>
        <v>#VALUE!</v>
      </c>
      <c r="F776" s="3" t="e">
        <f>LOOKUP(C776, SweepStudyConfig[StudyId], SweepStudyConfig[NSweepStratumTotal])</f>
        <v>#VALUE!</v>
      </c>
      <c r="G776" s="3" t="e">
        <f>ROUND(F776 * D776)</f>
        <v>#VALUE!</v>
      </c>
      <c r="H776" s="3" t="e">
        <f>F776 - G776</f>
        <v>#VALUE!</v>
      </c>
      <c r="I776" s="3" t="e">
        <f>LOOKUP(C776, SweepStudyConfig[StudyId], SweepStudyConfig[NFixedA])</f>
        <v>#VALUE!</v>
      </c>
      <c r="J776" s="3" t="e">
        <f>LOOKUP(C776, SweepStudyConfig[StudyId], SweepStudyConfig[NFixedB])</f>
        <v>#VALUE!</v>
      </c>
      <c r="K776" s="3" t="e">
        <f>LOOKUP(C776, SweepStudyConfig[StudyId], SweepStudyConfig[SweepRateA])</f>
        <v>#VALUE!</v>
      </c>
      <c r="L776" s="3" t="e">
        <f>LOOKUP(C776, SweepStudyConfig[StudyId], SweepStudyConfig[SweepRateB])</f>
        <v>#VALUE!</v>
      </c>
      <c r="M776" s="3" t="e">
        <f>LOOKUP(C776, SweepStudyConfig[StudyId], SweepStudyConfig[FixedRateA])</f>
        <v>#VALUE!</v>
      </c>
      <c r="N776" s="3" t="e">
        <f>LOOKUP(C776, SweepStudyConfig[StudyId], SweepStudyConfig[FixedRateB])</f>
        <v>#VALUE!</v>
      </c>
      <c r="O776" s="3" t="e">
        <f>IF(G776 + I776 = 0, "", (G776 * K776 + I776 * M776) / (G776 + I776))</f>
        <v>#VALUE!</v>
      </c>
      <c r="P776" s="3" t="e">
        <f>IF(H776 + J776 = 0, "", (H776 * L776 + J776 * N776) / (H776 + J776))</f>
        <v>#VALUE!</v>
      </c>
      <c r="Q776" s="3" t="e">
        <f>IF(O776 = "", "", O776 - P776)</f>
        <v>#VALUE!</v>
      </c>
      <c r="R776" s="3" t="e">
        <f>LOOKUP(C776, SweepStudyConfig[StudyId], SweepStudyConfig[SweepCorrectedGap])</f>
        <v>#VALUE!</v>
      </c>
      <c r="S776" s="3" t="e">
        <f>IF(Q776 = "", "", Q776 - R776)</f>
        <v>#VALUE!</v>
      </c>
    </row>
    <row r="777">
      <c r="A777" s="2" t="s">
        <v>4065</v>
      </c>
      <c r="B777" s="3" t="str">
        <f>A777</f>
        <v>police-force-encounter-f055</v>
      </c>
      <c r="C777" s="2" t="s">
        <v>711</v>
      </c>
      <c r="D777" s="2">
        <v>0.55</v>
      </c>
      <c r="E777" s="3" t="e">
        <f>ABS(D777 - LOOKUP(C777, SweepStudyConfig[StudyId], SweepStudyConfig[OriginalAllocFractionA])) &lt; 0.03</f>
        <v>#VALUE!</v>
      </c>
      <c r="F777" s="3" t="e">
        <f>LOOKUP(C777, SweepStudyConfig[StudyId], SweepStudyConfig[NSweepStratumTotal])</f>
        <v>#VALUE!</v>
      </c>
      <c r="G777" s="3" t="e">
        <f>ROUND(F777 * D777)</f>
        <v>#VALUE!</v>
      </c>
      <c r="H777" s="3" t="e">
        <f>F777 - G777</f>
        <v>#VALUE!</v>
      </c>
      <c r="I777" s="3" t="e">
        <f>LOOKUP(C777, SweepStudyConfig[StudyId], SweepStudyConfig[NFixedA])</f>
        <v>#VALUE!</v>
      </c>
      <c r="J777" s="3" t="e">
        <f>LOOKUP(C777, SweepStudyConfig[StudyId], SweepStudyConfig[NFixedB])</f>
        <v>#VALUE!</v>
      </c>
      <c r="K777" s="3" t="e">
        <f>LOOKUP(C777, SweepStudyConfig[StudyId], SweepStudyConfig[SweepRateA])</f>
        <v>#VALUE!</v>
      </c>
      <c r="L777" s="3" t="e">
        <f>LOOKUP(C777, SweepStudyConfig[StudyId], SweepStudyConfig[SweepRateB])</f>
        <v>#VALUE!</v>
      </c>
      <c r="M777" s="3" t="e">
        <f>LOOKUP(C777, SweepStudyConfig[StudyId], SweepStudyConfig[FixedRateA])</f>
        <v>#VALUE!</v>
      </c>
      <c r="N777" s="3" t="e">
        <f>LOOKUP(C777, SweepStudyConfig[StudyId], SweepStudyConfig[FixedRateB])</f>
        <v>#VALUE!</v>
      </c>
      <c r="O777" s="3" t="e">
        <f>IF(G777 + I777 = 0, "", (G777 * K777 + I777 * M777) / (G777 + I777))</f>
        <v>#VALUE!</v>
      </c>
      <c r="P777" s="3" t="e">
        <f>IF(H777 + J777 = 0, "", (H777 * L777 + J777 * N777) / (H777 + J777))</f>
        <v>#VALUE!</v>
      </c>
      <c r="Q777" s="3" t="e">
        <f>IF(O777 = "", "", O777 - P777)</f>
        <v>#VALUE!</v>
      </c>
      <c r="R777" s="3" t="e">
        <f>LOOKUP(C777, SweepStudyConfig[StudyId], SweepStudyConfig[SweepCorrectedGap])</f>
        <v>#VALUE!</v>
      </c>
      <c r="S777" s="3" t="e">
        <f>IF(Q777 = "", "", Q777 - R777)</f>
        <v>#VALUE!</v>
      </c>
    </row>
    <row r="778">
      <c r="A778" s="2" t="s">
        <v>4066</v>
      </c>
      <c r="B778" s="3" t="str">
        <f>A778</f>
        <v>police-force-encounter-f065</v>
      </c>
      <c r="C778" s="2" t="s">
        <v>711</v>
      </c>
      <c r="D778" s="2">
        <v>0.65</v>
      </c>
      <c r="E778" s="3" t="e">
        <f>ABS(D778 - LOOKUP(C778, SweepStudyConfig[StudyId], SweepStudyConfig[OriginalAllocFractionA])) &lt; 0.03</f>
        <v>#VALUE!</v>
      </c>
      <c r="F778" s="3" t="e">
        <f>LOOKUP(C778, SweepStudyConfig[StudyId], SweepStudyConfig[NSweepStratumTotal])</f>
        <v>#VALUE!</v>
      </c>
      <c r="G778" s="3" t="e">
        <f>ROUND(F778 * D778)</f>
        <v>#VALUE!</v>
      </c>
      <c r="H778" s="3" t="e">
        <f>F778 - G778</f>
        <v>#VALUE!</v>
      </c>
      <c r="I778" s="3" t="e">
        <f>LOOKUP(C778, SweepStudyConfig[StudyId], SweepStudyConfig[NFixedA])</f>
        <v>#VALUE!</v>
      </c>
      <c r="J778" s="3" t="e">
        <f>LOOKUP(C778, SweepStudyConfig[StudyId], SweepStudyConfig[NFixedB])</f>
        <v>#VALUE!</v>
      </c>
      <c r="K778" s="3" t="e">
        <f>LOOKUP(C778, SweepStudyConfig[StudyId], SweepStudyConfig[SweepRateA])</f>
        <v>#VALUE!</v>
      </c>
      <c r="L778" s="3" t="e">
        <f>LOOKUP(C778, SweepStudyConfig[StudyId], SweepStudyConfig[SweepRateB])</f>
        <v>#VALUE!</v>
      </c>
      <c r="M778" s="3" t="e">
        <f>LOOKUP(C778, SweepStudyConfig[StudyId], SweepStudyConfig[FixedRateA])</f>
        <v>#VALUE!</v>
      </c>
      <c r="N778" s="3" t="e">
        <f>LOOKUP(C778, SweepStudyConfig[StudyId], SweepStudyConfig[FixedRateB])</f>
        <v>#VALUE!</v>
      </c>
      <c r="O778" s="3" t="e">
        <f>IF(G778 + I778 = 0, "", (G778 * K778 + I778 * M778) / (G778 + I778))</f>
        <v>#VALUE!</v>
      </c>
      <c r="P778" s="3" t="e">
        <f>IF(H778 + J778 = 0, "", (H778 * L778 + J778 * N778) / (H778 + J778))</f>
        <v>#VALUE!</v>
      </c>
      <c r="Q778" s="3" t="e">
        <f>IF(O778 = "", "", O778 - P778)</f>
        <v>#VALUE!</v>
      </c>
      <c r="R778" s="3" t="e">
        <f>LOOKUP(C778, SweepStudyConfig[StudyId], SweepStudyConfig[SweepCorrectedGap])</f>
        <v>#VALUE!</v>
      </c>
      <c r="S778" s="3" t="e">
        <f>IF(Q778 = "", "", Q778 - R778)</f>
        <v>#VALUE!</v>
      </c>
    </row>
    <row r="779">
      <c r="A779" s="2" t="s">
        <v>4067</v>
      </c>
      <c r="B779" s="3" t="str">
        <f>A779</f>
        <v>police-force-encounter-f075</v>
      </c>
      <c r="C779" s="2" t="s">
        <v>711</v>
      </c>
      <c r="D779" s="2">
        <v>0.75</v>
      </c>
      <c r="E779" s="3" t="e">
        <f>ABS(D779 - LOOKUP(C779, SweepStudyConfig[StudyId], SweepStudyConfig[OriginalAllocFractionA])) &lt; 0.03</f>
        <v>#VALUE!</v>
      </c>
      <c r="F779" s="3" t="e">
        <f>LOOKUP(C779, SweepStudyConfig[StudyId], SweepStudyConfig[NSweepStratumTotal])</f>
        <v>#VALUE!</v>
      </c>
      <c r="G779" s="3" t="e">
        <f>ROUND(F779 * D779)</f>
        <v>#VALUE!</v>
      </c>
      <c r="H779" s="3" t="e">
        <f>F779 - G779</f>
        <v>#VALUE!</v>
      </c>
      <c r="I779" s="3" t="e">
        <f>LOOKUP(C779, SweepStudyConfig[StudyId], SweepStudyConfig[NFixedA])</f>
        <v>#VALUE!</v>
      </c>
      <c r="J779" s="3" t="e">
        <f>LOOKUP(C779, SweepStudyConfig[StudyId], SweepStudyConfig[NFixedB])</f>
        <v>#VALUE!</v>
      </c>
      <c r="K779" s="3" t="e">
        <f>LOOKUP(C779, SweepStudyConfig[StudyId], SweepStudyConfig[SweepRateA])</f>
        <v>#VALUE!</v>
      </c>
      <c r="L779" s="3" t="e">
        <f>LOOKUP(C779, SweepStudyConfig[StudyId], SweepStudyConfig[SweepRateB])</f>
        <v>#VALUE!</v>
      </c>
      <c r="M779" s="3" t="e">
        <f>LOOKUP(C779, SweepStudyConfig[StudyId], SweepStudyConfig[FixedRateA])</f>
        <v>#VALUE!</v>
      </c>
      <c r="N779" s="3" t="e">
        <f>LOOKUP(C779, SweepStudyConfig[StudyId], SweepStudyConfig[FixedRateB])</f>
        <v>#VALUE!</v>
      </c>
      <c r="O779" s="3" t="e">
        <f>IF(G779 + I779 = 0, "", (G779 * K779 + I779 * M779) / (G779 + I779))</f>
        <v>#VALUE!</v>
      </c>
      <c r="P779" s="3" t="e">
        <f>IF(H779 + J779 = 0, "", (H779 * L779 + J779 * N779) / (H779 + J779))</f>
        <v>#VALUE!</v>
      </c>
      <c r="Q779" s="3" t="e">
        <f>IF(O779 = "", "", O779 - P779)</f>
        <v>#VALUE!</v>
      </c>
      <c r="R779" s="3" t="e">
        <f>LOOKUP(C779, SweepStudyConfig[StudyId], SweepStudyConfig[SweepCorrectedGap])</f>
        <v>#VALUE!</v>
      </c>
      <c r="S779" s="3" t="e">
        <f>IF(Q779 = "", "", Q779 - R779)</f>
        <v>#VALUE!</v>
      </c>
    </row>
    <row r="780">
      <c r="A780" s="2" t="s">
        <v>4068</v>
      </c>
      <c r="B780" s="3" t="str">
        <f>A780</f>
        <v>police-force-encounter-f085</v>
      </c>
      <c r="C780" s="2" t="s">
        <v>711</v>
      </c>
      <c r="D780" s="2">
        <v>0.85</v>
      </c>
      <c r="E780" s="3" t="e">
        <f>ABS(D780 - LOOKUP(C780, SweepStudyConfig[StudyId], SweepStudyConfig[OriginalAllocFractionA])) &lt; 0.03</f>
        <v>#VALUE!</v>
      </c>
      <c r="F780" s="3" t="e">
        <f>LOOKUP(C780, SweepStudyConfig[StudyId], SweepStudyConfig[NSweepStratumTotal])</f>
        <v>#VALUE!</v>
      </c>
      <c r="G780" s="3" t="e">
        <f>ROUND(F780 * D780)</f>
        <v>#VALUE!</v>
      </c>
      <c r="H780" s="3" t="e">
        <f>F780 - G780</f>
        <v>#VALUE!</v>
      </c>
      <c r="I780" s="3" t="e">
        <f>LOOKUP(C780, SweepStudyConfig[StudyId], SweepStudyConfig[NFixedA])</f>
        <v>#VALUE!</v>
      </c>
      <c r="J780" s="3" t="e">
        <f>LOOKUP(C780, SweepStudyConfig[StudyId], SweepStudyConfig[NFixedB])</f>
        <v>#VALUE!</v>
      </c>
      <c r="K780" s="3" t="e">
        <f>LOOKUP(C780, SweepStudyConfig[StudyId], SweepStudyConfig[SweepRateA])</f>
        <v>#VALUE!</v>
      </c>
      <c r="L780" s="3" t="e">
        <f>LOOKUP(C780, SweepStudyConfig[StudyId], SweepStudyConfig[SweepRateB])</f>
        <v>#VALUE!</v>
      </c>
      <c r="M780" s="3" t="e">
        <f>LOOKUP(C780, SweepStudyConfig[StudyId], SweepStudyConfig[FixedRateA])</f>
        <v>#VALUE!</v>
      </c>
      <c r="N780" s="3" t="e">
        <f>LOOKUP(C780, SweepStudyConfig[StudyId], SweepStudyConfig[FixedRateB])</f>
        <v>#VALUE!</v>
      </c>
      <c r="O780" s="3" t="e">
        <f>IF(G780 + I780 = 0, "", (G780 * K780 + I780 * M780) / (G780 + I780))</f>
        <v>#VALUE!</v>
      </c>
      <c r="P780" s="3" t="e">
        <f>IF(H780 + J780 = 0, "", (H780 * L780 + J780 * N780) / (H780 + J780))</f>
        <v>#VALUE!</v>
      </c>
      <c r="Q780" s="3" t="e">
        <f>IF(O780 = "", "", O780 - P780)</f>
        <v>#VALUE!</v>
      </c>
      <c r="R780" s="3" t="e">
        <f>LOOKUP(C780, SweepStudyConfig[StudyId], SweepStudyConfig[SweepCorrectedGap])</f>
        <v>#VALUE!</v>
      </c>
      <c r="S780" s="3" t="e">
        <f>IF(Q780 = "", "", Q780 - R780)</f>
        <v>#VALUE!</v>
      </c>
    </row>
    <row r="781">
      <c r="A781" s="2" t="s">
        <v>4069</v>
      </c>
      <c r="B781" s="3" t="str">
        <f>A781</f>
        <v>police-force-encounter-f095</v>
      </c>
      <c r="C781" s="2" t="s">
        <v>711</v>
      </c>
      <c r="D781" s="2">
        <v>0.95</v>
      </c>
      <c r="E781" s="3" t="e">
        <f>ABS(D781 - LOOKUP(C781, SweepStudyConfig[StudyId], SweepStudyConfig[OriginalAllocFractionA])) &lt; 0.03</f>
        <v>#VALUE!</v>
      </c>
      <c r="F781" s="3" t="e">
        <f>LOOKUP(C781, SweepStudyConfig[StudyId], SweepStudyConfig[NSweepStratumTotal])</f>
        <v>#VALUE!</v>
      </c>
      <c r="G781" s="3" t="e">
        <f>ROUND(F781 * D781)</f>
        <v>#VALUE!</v>
      </c>
      <c r="H781" s="3" t="e">
        <f>F781 - G781</f>
        <v>#VALUE!</v>
      </c>
      <c r="I781" s="3" t="e">
        <f>LOOKUP(C781, SweepStudyConfig[StudyId], SweepStudyConfig[NFixedA])</f>
        <v>#VALUE!</v>
      </c>
      <c r="J781" s="3" t="e">
        <f>LOOKUP(C781, SweepStudyConfig[StudyId], SweepStudyConfig[NFixedB])</f>
        <v>#VALUE!</v>
      </c>
      <c r="K781" s="3" t="e">
        <f>LOOKUP(C781, SweepStudyConfig[StudyId], SweepStudyConfig[SweepRateA])</f>
        <v>#VALUE!</v>
      </c>
      <c r="L781" s="3" t="e">
        <f>LOOKUP(C781, SweepStudyConfig[StudyId], SweepStudyConfig[SweepRateB])</f>
        <v>#VALUE!</v>
      </c>
      <c r="M781" s="3" t="e">
        <f>LOOKUP(C781, SweepStudyConfig[StudyId], SweepStudyConfig[FixedRateA])</f>
        <v>#VALUE!</v>
      </c>
      <c r="N781" s="3" t="e">
        <f>LOOKUP(C781, SweepStudyConfig[StudyId], SweepStudyConfig[FixedRateB])</f>
        <v>#VALUE!</v>
      </c>
      <c r="O781" s="3" t="e">
        <f>IF(G781 + I781 = 0, "", (G781 * K781 + I781 * M781) / (G781 + I781))</f>
        <v>#VALUE!</v>
      </c>
      <c r="P781" s="3" t="e">
        <f>IF(H781 + J781 = 0, "", (H781 * L781 + J781 * N781) / (H781 + J781))</f>
        <v>#VALUE!</v>
      </c>
      <c r="Q781" s="3" t="e">
        <f>IF(O781 = "", "", O781 - P781)</f>
        <v>#VALUE!</v>
      </c>
      <c r="R781" s="3" t="e">
        <f>LOOKUP(C781, SweepStudyConfig[StudyId], SweepStudyConfig[SweepCorrectedGap])</f>
        <v>#VALUE!</v>
      </c>
      <c r="S781" s="3" t="e">
        <f>IF(Q781 = "", "", Q781 - R781)</f>
        <v>#VALUE!</v>
      </c>
    </row>
    <row r="782">
      <c r="A782" s="2" t="s">
        <v>4070</v>
      </c>
      <c r="B782" s="3" t="str">
        <f>A782</f>
        <v>uc-systemwide-admissions-f005</v>
      </c>
      <c r="C782" s="2" t="s">
        <v>715</v>
      </c>
      <c r="D782" s="2">
        <v>0.05</v>
      </c>
      <c r="E782" s="3" t="e">
        <f>ABS(D782 - LOOKUP(C782, SweepStudyConfig[StudyId], SweepStudyConfig[OriginalAllocFractionA])) &lt; 0.03</f>
        <v>#VALUE!</v>
      </c>
      <c r="F782" s="3" t="e">
        <f>LOOKUP(C782, SweepStudyConfig[StudyId], SweepStudyConfig[NSweepStratumTotal])</f>
        <v>#VALUE!</v>
      </c>
      <c r="G782" s="3" t="e">
        <f>ROUND(F782 * D782)</f>
        <v>#VALUE!</v>
      </c>
      <c r="H782" s="3" t="e">
        <f>F782 - G782</f>
        <v>#VALUE!</v>
      </c>
      <c r="I782" s="3" t="e">
        <f>LOOKUP(C782, SweepStudyConfig[StudyId], SweepStudyConfig[NFixedA])</f>
        <v>#VALUE!</v>
      </c>
      <c r="J782" s="3" t="e">
        <f>LOOKUP(C782, SweepStudyConfig[StudyId], SweepStudyConfig[NFixedB])</f>
        <v>#VALUE!</v>
      </c>
      <c r="K782" s="3" t="e">
        <f>LOOKUP(C782, SweepStudyConfig[StudyId], SweepStudyConfig[SweepRateA])</f>
        <v>#VALUE!</v>
      </c>
      <c r="L782" s="3" t="e">
        <f>LOOKUP(C782, SweepStudyConfig[StudyId], SweepStudyConfig[SweepRateB])</f>
        <v>#VALUE!</v>
      </c>
      <c r="M782" s="3" t="e">
        <f>LOOKUP(C782, SweepStudyConfig[StudyId], SweepStudyConfig[FixedRateA])</f>
        <v>#VALUE!</v>
      </c>
      <c r="N782" s="3" t="e">
        <f>LOOKUP(C782, SweepStudyConfig[StudyId], SweepStudyConfig[FixedRateB])</f>
        <v>#VALUE!</v>
      </c>
      <c r="O782" s="3" t="e">
        <f>IF(G782 + I782 = 0, "", (G782 * K782 + I782 * M782) / (G782 + I782))</f>
        <v>#VALUE!</v>
      </c>
      <c r="P782" s="3" t="e">
        <f>IF(H782 + J782 = 0, "", (H782 * L782 + J782 * N782) / (H782 + J782))</f>
        <v>#VALUE!</v>
      </c>
      <c r="Q782" s="3" t="e">
        <f>IF(O782 = "", "", O782 - P782)</f>
        <v>#VALUE!</v>
      </c>
      <c r="R782" s="3" t="e">
        <f>LOOKUP(C782, SweepStudyConfig[StudyId], SweepStudyConfig[SweepCorrectedGap])</f>
        <v>#VALUE!</v>
      </c>
      <c r="S782" s="3" t="e">
        <f>IF(Q782 = "", "", Q782 - R782)</f>
        <v>#VALUE!</v>
      </c>
    </row>
    <row r="783">
      <c r="A783" s="2" t="s">
        <v>4071</v>
      </c>
      <c r="B783" s="3" t="str">
        <f>A783</f>
        <v>uc-systemwide-admissions-f015</v>
      </c>
      <c r="C783" s="2" t="s">
        <v>715</v>
      </c>
      <c r="D783" s="2">
        <v>0.15</v>
      </c>
      <c r="E783" s="3" t="e">
        <f>ABS(D783 - LOOKUP(C783, SweepStudyConfig[StudyId], SweepStudyConfig[OriginalAllocFractionA])) &lt; 0.03</f>
        <v>#VALUE!</v>
      </c>
      <c r="F783" s="3" t="e">
        <f>LOOKUP(C783, SweepStudyConfig[StudyId], SweepStudyConfig[NSweepStratumTotal])</f>
        <v>#VALUE!</v>
      </c>
      <c r="G783" s="3" t="e">
        <f>ROUND(F783 * D783)</f>
        <v>#VALUE!</v>
      </c>
      <c r="H783" s="3" t="e">
        <f>F783 - G783</f>
        <v>#VALUE!</v>
      </c>
      <c r="I783" s="3" t="e">
        <f>LOOKUP(C783, SweepStudyConfig[StudyId], SweepStudyConfig[NFixedA])</f>
        <v>#VALUE!</v>
      </c>
      <c r="J783" s="3" t="e">
        <f>LOOKUP(C783, SweepStudyConfig[StudyId], SweepStudyConfig[NFixedB])</f>
        <v>#VALUE!</v>
      </c>
      <c r="K783" s="3" t="e">
        <f>LOOKUP(C783, SweepStudyConfig[StudyId], SweepStudyConfig[SweepRateA])</f>
        <v>#VALUE!</v>
      </c>
      <c r="L783" s="3" t="e">
        <f>LOOKUP(C783, SweepStudyConfig[StudyId], SweepStudyConfig[SweepRateB])</f>
        <v>#VALUE!</v>
      </c>
      <c r="M783" s="3" t="e">
        <f>LOOKUP(C783, SweepStudyConfig[StudyId], SweepStudyConfig[FixedRateA])</f>
        <v>#VALUE!</v>
      </c>
      <c r="N783" s="3" t="e">
        <f>LOOKUP(C783, SweepStudyConfig[StudyId], SweepStudyConfig[FixedRateB])</f>
        <v>#VALUE!</v>
      </c>
      <c r="O783" s="3" t="e">
        <f>IF(G783 + I783 = 0, "", (G783 * K783 + I783 * M783) / (G783 + I783))</f>
        <v>#VALUE!</v>
      </c>
      <c r="P783" s="3" t="e">
        <f>IF(H783 + J783 = 0, "", (H783 * L783 + J783 * N783) / (H783 + J783))</f>
        <v>#VALUE!</v>
      </c>
      <c r="Q783" s="3" t="e">
        <f>IF(O783 = "", "", O783 - P783)</f>
        <v>#VALUE!</v>
      </c>
      <c r="R783" s="3" t="e">
        <f>LOOKUP(C783, SweepStudyConfig[StudyId], SweepStudyConfig[SweepCorrectedGap])</f>
        <v>#VALUE!</v>
      </c>
      <c r="S783" s="3" t="e">
        <f>IF(Q783 = "", "", Q783 - R783)</f>
        <v>#VALUE!</v>
      </c>
    </row>
    <row r="784">
      <c r="A784" s="2" t="s">
        <v>4072</v>
      </c>
      <c r="B784" s="3" t="str">
        <f>A784</f>
        <v>uc-systemwide-admissions-f025</v>
      </c>
      <c r="C784" s="2" t="s">
        <v>715</v>
      </c>
      <c r="D784" s="2">
        <v>0.25</v>
      </c>
      <c r="E784" s="3" t="e">
        <f>ABS(D784 - LOOKUP(C784, SweepStudyConfig[StudyId], SweepStudyConfig[OriginalAllocFractionA])) &lt; 0.03</f>
        <v>#VALUE!</v>
      </c>
      <c r="F784" s="3" t="e">
        <f>LOOKUP(C784, SweepStudyConfig[StudyId], SweepStudyConfig[NSweepStratumTotal])</f>
        <v>#VALUE!</v>
      </c>
      <c r="G784" s="3" t="e">
        <f>ROUND(F784 * D784)</f>
        <v>#VALUE!</v>
      </c>
      <c r="H784" s="3" t="e">
        <f>F784 - G784</f>
        <v>#VALUE!</v>
      </c>
      <c r="I784" s="3" t="e">
        <f>LOOKUP(C784, SweepStudyConfig[StudyId], SweepStudyConfig[NFixedA])</f>
        <v>#VALUE!</v>
      </c>
      <c r="J784" s="3" t="e">
        <f>LOOKUP(C784, SweepStudyConfig[StudyId], SweepStudyConfig[NFixedB])</f>
        <v>#VALUE!</v>
      </c>
      <c r="K784" s="3" t="e">
        <f>LOOKUP(C784, SweepStudyConfig[StudyId], SweepStudyConfig[SweepRateA])</f>
        <v>#VALUE!</v>
      </c>
      <c r="L784" s="3" t="e">
        <f>LOOKUP(C784, SweepStudyConfig[StudyId], SweepStudyConfig[SweepRateB])</f>
        <v>#VALUE!</v>
      </c>
      <c r="M784" s="3" t="e">
        <f>LOOKUP(C784, SweepStudyConfig[StudyId], SweepStudyConfig[FixedRateA])</f>
        <v>#VALUE!</v>
      </c>
      <c r="N784" s="3" t="e">
        <f>LOOKUP(C784, SweepStudyConfig[StudyId], SweepStudyConfig[FixedRateB])</f>
        <v>#VALUE!</v>
      </c>
      <c r="O784" s="3" t="e">
        <f>IF(G784 + I784 = 0, "", (G784 * K784 + I784 * M784) / (G784 + I784))</f>
        <v>#VALUE!</v>
      </c>
      <c r="P784" s="3" t="e">
        <f>IF(H784 + J784 = 0, "", (H784 * L784 + J784 * N784) / (H784 + J784))</f>
        <v>#VALUE!</v>
      </c>
      <c r="Q784" s="3" t="e">
        <f>IF(O784 = "", "", O784 - P784)</f>
        <v>#VALUE!</v>
      </c>
      <c r="R784" s="3" t="e">
        <f>LOOKUP(C784, SweepStudyConfig[StudyId], SweepStudyConfig[SweepCorrectedGap])</f>
        <v>#VALUE!</v>
      </c>
      <c r="S784" s="3" t="e">
        <f>IF(Q784 = "", "", Q784 - R784)</f>
        <v>#VALUE!</v>
      </c>
    </row>
    <row r="785">
      <c r="A785" s="2" t="s">
        <v>4073</v>
      </c>
      <c r="B785" s="3" t="str">
        <f>A785</f>
        <v>uc-systemwide-admissions-f035</v>
      </c>
      <c r="C785" s="2" t="s">
        <v>715</v>
      </c>
      <c r="D785" s="2">
        <v>0.35</v>
      </c>
      <c r="E785" s="3" t="e">
        <f>ABS(D785 - LOOKUP(C785, SweepStudyConfig[StudyId], SweepStudyConfig[OriginalAllocFractionA])) &lt; 0.03</f>
        <v>#VALUE!</v>
      </c>
      <c r="F785" s="3" t="e">
        <f>LOOKUP(C785, SweepStudyConfig[StudyId], SweepStudyConfig[NSweepStratumTotal])</f>
        <v>#VALUE!</v>
      </c>
      <c r="G785" s="3" t="e">
        <f>ROUND(F785 * D785)</f>
        <v>#VALUE!</v>
      </c>
      <c r="H785" s="3" t="e">
        <f>F785 - G785</f>
        <v>#VALUE!</v>
      </c>
      <c r="I785" s="3" t="e">
        <f>LOOKUP(C785, SweepStudyConfig[StudyId], SweepStudyConfig[NFixedA])</f>
        <v>#VALUE!</v>
      </c>
      <c r="J785" s="3" t="e">
        <f>LOOKUP(C785, SweepStudyConfig[StudyId], SweepStudyConfig[NFixedB])</f>
        <v>#VALUE!</v>
      </c>
      <c r="K785" s="3" t="e">
        <f>LOOKUP(C785, SweepStudyConfig[StudyId], SweepStudyConfig[SweepRateA])</f>
        <v>#VALUE!</v>
      </c>
      <c r="L785" s="3" t="e">
        <f>LOOKUP(C785, SweepStudyConfig[StudyId], SweepStudyConfig[SweepRateB])</f>
        <v>#VALUE!</v>
      </c>
      <c r="M785" s="3" t="e">
        <f>LOOKUP(C785, SweepStudyConfig[StudyId], SweepStudyConfig[FixedRateA])</f>
        <v>#VALUE!</v>
      </c>
      <c r="N785" s="3" t="e">
        <f>LOOKUP(C785, SweepStudyConfig[StudyId], SweepStudyConfig[FixedRateB])</f>
        <v>#VALUE!</v>
      </c>
      <c r="O785" s="3" t="e">
        <f>IF(G785 + I785 = 0, "", (G785 * K785 + I785 * M785) / (G785 + I785))</f>
        <v>#VALUE!</v>
      </c>
      <c r="P785" s="3" t="e">
        <f>IF(H785 + J785 = 0, "", (H785 * L785 + J785 * N785) / (H785 + J785))</f>
        <v>#VALUE!</v>
      </c>
      <c r="Q785" s="3" t="e">
        <f>IF(O785 = "", "", O785 - P785)</f>
        <v>#VALUE!</v>
      </c>
      <c r="R785" s="3" t="e">
        <f>LOOKUP(C785, SweepStudyConfig[StudyId], SweepStudyConfig[SweepCorrectedGap])</f>
        <v>#VALUE!</v>
      </c>
      <c r="S785" s="3" t="e">
        <f>IF(Q785 = "", "", Q785 - R785)</f>
        <v>#VALUE!</v>
      </c>
    </row>
    <row r="786">
      <c r="A786" s="2" t="s">
        <v>4074</v>
      </c>
      <c r="B786" s="3" t="str">
        <f>A786</f>
        <v>uc-systemwide-admissions-f045</v>
      </c>
      <c r="C786" s="2" t="s">
        <v>715</v>
      </c>
      <c r="D786" s="2">
        <v>0.45</v>
      </c>
      <c r="E786" s="3" t="e">
        <f>ABS(D786 - LOOKUP(C786, SweepStudyConfig[StudyId], SweepStudyConfig[OriginalAllocFractionA])) &lt; 0.03</f>
        <v>#VALUE!</v>
      </c>
      <c r="F786" s="3" t="e">
        <f>LOOKUP(C786, SweepStudyConfig[StudyId], SweepStudyConfig[NSweepStratumTotal])</f>
        <v>#VALUE!</v>
      </c>
      <c r="G786" s="3" t="e">
        <f>ROUND(F786 * D786)</f>
        <v>#VALUE!</v>
      </c>
      <c r="H786" s="3" t="e">
        <f>F786 - G786</f>
        <v>#VALUE!</v>
      </c>
      <c r="I786" s="3" t="e">
        <f>LOOKUP(C786, SweepStudyConfig[StudyId], SweepStudyConfig[NFixedA])</f>
        <v>#VALUE!</v>
      </c>
      <c r="J786" s="3" t="e">
        <f>LOOKUP(C786, SweepStudyConfig[StudyId], SweepStudyConfig[NFixedB])</f>
        <v>#VALUE!</v>
      </c>
      <c r="K786" s="3" t="e">
        <f>LOOKUP(C786, SweepStudyConfig[StudyId], SweepStudyConfig[SweepRateA])</f>
        <v>#VALUE!</v>
      </c>
      <c r="L786" s="3" t="e">
        <f>LOOKUP(C786, SweepStudyConfig[StudyId], SweepStudyConfig[SweepRateB])</f>
        <v>#VALUE!</v>
      </c>
      <c r="M786" s="3" t="e">
        <f>LOOKUP(C786, SweepStudyConfig[StudyId], SweepStudyConfig[FixedRateA])</f>
        <v>#VALUE!</v>
      </c>
      <c r="N786" s="3" t="e">
        <f>LOOKUP(C786, SweepStudyConfig[StudyId], SweepStudyConfig[FixedRateB])</f>
        <v>#VALUE!</v>
      </c>
      <c r="O786" s="3" t="e">
        <f>IF(G786 + I786 = 0, "", (G786 * K786 + I786 * M786) / (G786 + I786))</f>
        <v>#VALUE!</v>
      </c>
      <c r="P786" s="3" t="e">
        <f>IF(H786 + J786 = 0, "", (H786 * L786 + J786 * N786) / (H786 + J786))</f>
        <v>#VALUE!</v>
      </c>
      <c r="Q786" s="3" t="e">
        <f>IF(O786 = "", "", O786 - P786)</f>
        <v>#VALUE!</v>
      </c>
      <c r="R786" s="3" t="e">
        <f>LOOKUP(C786, SweepStudyConfig[StudyId], SweepStudyConfig[SweepCorrectedGap])</f>
        <v>#VALUE!</v>
      </c>
      <c r="S786" s="3" t="e">
        <f>IF(Q786 = "", "", Q786 - R786)</f>
        <v>#VALUE!</v>
      </c>
    </row>
    <row r="787">
      <c r="A787" s="2" t="s">
        <v>4075</v>
      </c>
      <c r="B787" s="3" t="str">
        <f>A787</f>
        <v>uc-systemwide-admissions-f055</v>
      </c>
      <c r="C787" s="2" t="s">
        <v>715</v>
      </c>
      <c r="D787" s="2">
        <v>0.55</v>
      </c>
      <c r="E787" s="3" t="e">
        <f>ABS(D787 - LOOKUP(C787, SweepStudyConfig[StudyId], SweepStudyConfig[OriginalAllocFractionA])) &lt; 0.03</f>
        <v>#VALUE!</v>
      </c>
      <c r="F787" s="3" t="e">
        <f>LOOKUP(C787, SweepStudyConfig[StudyId], SweepStudyConfig[NSweepStratumTotal])</f>
        <v>#VALUE!</v>
      </c>
      <c r="G787" s="3" t="e">
        <f>ROUND(F787 * D787)</f>
        <v>#VALUE!</v>
      </c>
      <c r="H787" s="3" t="e">
        <f>F787 - G787</f>
        <v>#VALUE!</v>
      </c>
      <c r="I787" s="3" t="e">
        <f>LOOKUP(C787, SweepStudyConfig[StudyId], SweepStudyConfig[NFixedA])</f>
        <v>#VALUE!</v>
      </c>
      <c r="J787" s="3" t="e">
        <f>LOOKUP(C787, SweepStudyConfig[StudyId], SweepStudyConfig[NFixedB])</f>
        <v>#VALUE!</v>
      </c>
      <c r="K787" s="3" t="e">
        <f>LOOKUP(C787, SweepStudyConfig[StudyId], SweepStudyConfig[SweepRateA])</f>
        <v>#VALUE!</v>
      </c>
      <c r="L787" s="3" t="e">
        <f>LOOKUP(C787, SweepStudyConfig[StudyId], SweepStudyConfig[SweepRateB])</f>
        <v>#VALUE!</v>
      </c>
      <c r="M787" s="3" t="e">
        <f>LOOKUP(C787, SweepStudyConfig[StudyId], SweepStudyConfig[FixedRateA])</f>
        <v>#VALUE!</v>
      </c>
      <c r="N787" s="3" t="e">
        <f>LOOKUP(C787, SweepStudyConfig[StudyId], SweepStudyConfig[FixedRateB])</f>
        <v>#VALUE!</v>
      </c>
      <c r="O787" s="3" t="e">
        <f>IF(G787 + I787 = 0, "", (G787 * K787 + I787 * M787) / (G787 + I787))</f>
        <v>#VALUE!</v>
      </c>
      <c r="P787" s="3" t="e">
        <f>IF(H787 + J787 = 0, "", (H787 * L787 + J787 * N787) / (H787 + J787))</f>
        <v>#VALUE!</v>
      </c>
      <c r="Q787" s="3" t="e">
        <f>IF(O787 = "", "", O787 - P787)</f>
        <v>#VALUE!</v>
      </c>
      <c r="R787" s="3" t="e">
        <f>LOOKUP(C787, SweepStudyConfig[StudyId], SweepStudyConfig[SweepCorrectedGap])</f>
        <v>#VALUE!</v>
      </c>
      <c r="S787" s="3" t="e">
        <f>IF(Q787 = "", "", Q787 - R787)</f>
        <v>#VALUE!</v>
      </c>
    </row>
    <row r="788">
      <c r="A788" s="2" t="s">
        <v>4076</v>
      </c>
      <c r="B788" s="3" t="str">
        <f>A788</f>
        <v>uc-systemwide-admissions-f065</v>
      </c>
      <c r="C788" s="2" t="s">
        <v>715</v>
      </c>
      <c r="D788" s="2">
        <v>0.65</v>
      </c>
      <c r="E788" s="3" t="e">
        <f>ABS(D788 - LOOKUP(C788, SweepStudyConfig[StudyId], SweepStudyConfig[OriginalAllocFractionA])) &lt; 0.03</f>
        <v>#VALUE!</v>
      </c>
      <c r="F788" s="3" t="e">
        <f>LOOKUP(C788, SweepStudyConfig[StudyId], SweepStudyConfig[NSweepStratumTotal])</f>
        <v>#VALUE!</v>
      </c>
      <c r="G788" s="3" t="e">
        <f>ROUND(F788 * D788)</f>
        <v>#VALUE!</v>
      </c>
      <c r="H788" s="3" t="e">
        <f>F788 - G788</f>
        <v>#VALUE!</v>
      </c>
      <c r="I788" s="3" t="e">
        <f>LOOKUP(C788, SweepStudyConfig[StudyId], SweepStudyConfig[NFixedA])</f>
        <v>#VALUE!</v>
      </c>
      <c r="J788" s="3" t="e">
        <f>LOOKUP(C788, SweepStudyConfig[StudyId], SweepStudyConfig[NFixedB])</f>
        <v>#VALUE!</v>
      </c>
      <c r="K788" s="3" t="e">
        <f>LOOKUP(C788, SweepStudyConfig[StudyId], SweepStudyConfig[SweepRateA])</f>
        <v>#VALUE!</v>
      </c>
      <c r="L788" s="3" t="e">
        <f>LOOKUP(C788, SweepStudyConfig[StudyId], SweepStudyConfig[SweepRateB])</f>
        <v>#VALUE!</v>
      </c>
      <c r="M788" s="3" t="e">
        <f>LOOKUP(C788, SweepStudyConfig[StudyId], SweepStudyConfig[FixedRateA])</f>
        <v>#VALUE!</v>
      </c>
      <c r="N788" s="3" t="e">
        <f>LOOKUP(C788, SweepStudyConfig[StudyId], SweepStudyConfig[FixedRateB])</f>
        <v>#VALUE!</v>
      </c>
      <c r="O788" s="3" t="e">
        <f>IF(G788 + I788 = 0, "", (G788 * K788 + I788 * M788) / (G788 + I788))</f>
        <v>#VALUE!</v>
      </c>
      <c r="P788" s="3" t="e">
        <f>IF(H788 + J788 = 0, "", (H788 * L788 + J788 * N788) / (H788 + J788))</f>
        <v>#VALUE!</v>
      </c>
      <c r="Q788" s="3" t="e">
        <f>IF(O788 = "", "", O788 - P788)</f>
        <v>#VALUE!</v>
      </c>
      <c r="R788" s="3" t="e">
        <f>LOOKUP(C788, SweepStudyConfig[StudyId], SweepStudyConfig[SweepCorrectedGap])</f>
        <v>#VALUE!</v>
      </c>
      <c r="S788" s="3" t="e">
        <f>IF(Q788 = "", "", Q788 - R788)</f>
        <v>#VALUE!</v>
      </c>
    </row>
    <row r="789">
      <c r="A789" s="2" t="s">
        <v>4077</v>
      </c>
      <c r="B789" s="3" t="str">
        <f>A789</f>
        <v>uc-systemwide-admissions-f075</v>
      </c>
      <c r="C789" s="2" t="s">
        <v>715</v>
      </c>
      <c r="D789" s="2">
        <v>0.75</v>
      </c>
      <c r="E789" s="3" t="e">
        <f>ABS(D789 - LOOKUP(C789, SweepStudyConfig[StudyId], SweepStudyConfig[OriginalAllocFractionA])) &lt; 0.03</f>
        <v>#VALUE!</v>
      </c>
      <c r="F789" s="3" t="e">
        <f>LOOKUP(C789, SweepStudyConfig[StudyId], SweepStudyConfig[NSweepStratumTotal])</f>
        <v>#VALUE!</v>
      </c>
      <c r="G789" s="3" t="e">
        <f>ROUND(F789 * D789)</f>
        <v>#VALUE!</v>
      </c>
      <c r="H789" s="3" t="e">
        <f>F789 - G789</f>
        <v>#VALUE!</v>
      </c>
      <c r="I789" s="3" t="e">
        <f>LOOKUP(C789, SweepStudyConfig[StudyId], SweepStudyConfig[NFixedA])</f>
        <v>#VALUE!</v>
      </c>
      <c r="J789" s="3" t="e">
        <f>LOOKUP(C789, SweepStudyConfig[StudyId], SweepStudyConfig[NFixedB])</f>
        <v>#VALUE!</v>
      </c>
      <c r="K789" s="3" t="e">
        <f>LOOKUP(C789, SweepStudyConfig[StudyId], SweepStudyConfig[SweepRateA])</f>
        <v>#VALUE!</v>
      </c>
      <c r="L789" s="3" t="e">
        <f>LOOKUP(C789, SweepStudyConfig[StudyId], SweepStudyConfig[SweepRateB])</f>
        <v>#VALUE!</v>
      </c>
      <c r="M789" s="3" t="e">
        <f>LOOKUP(C789, SweepStudyConfig[StudyId], SweepStudyConfig[FixedRateA])</f>
        <v>#VALUE!</v>
      </c>
      <c r="N789" s="3" t="e">
        <f>LOOKUP(C789, SweepStudyConfig[StudyId], SweepStudyConfig[FixedRateB])</f>
        <v>#VALUE!</v>
      </c>
      <c r="O789" s="3" t="e">
        <f>IF(G789 + I789 = 0, "", (G789 * K789 + I789 * M789) / (G789 + I789))</f>
        <v>#VALUE!</v>
      </c>
      <c r="P789" s="3" t="e">
        <f>IF(H789 + J789 = 0, "", (H789 * L789 + J789 * N789) / (H789 + J789))</f>
        <v>#VALUE!</v>
      </c>
      <c r="Q789" s="3" t="e">
        <f>IF(O789 = "", "", O789 - P789)</f>
        <v>#VALUE!</v>
      </c>
      <c r="R789" s="3" t="e">
        <f>LOOKUP(C789, SweepStudyConfig[StudyId], SweepStudyConfig[SweepCorrectedGap])</f>
        <v>#VALUE!</v>
      </c>
      <c r="S789" s="3" t="e">
        <f>IF(Q789 = "", "", Q789 - R789)</f>
        <v>#VALUE!</v>
      </c>
    </row>
    <row r="790">
      <c r="A790" s="2" t="s">
        <v>4078</v>
      </c>
      <c r="B790" s="3" t="str">
        <f>A790</f>
        <v>uc-systemwide-admissions-f085</v>
      </c>
      <c r="C790" s="2" t="s">
        <v>715</v>
      </c>
      <c r="D790" s="2">
        <v>0.85</v>
      </c>
      <c r="E790" s="3" t="e">
        <f>ABS(D790 - LOOKUP(C790, SweepStudyConfig[StudyId], SweepStudyConfig[OriginalAllocFractionA])) &lt; 0.03</f>
        <v>#VALUE!</v>
      </c>
      <c r="F790" s="3" t="e">
        <f>LOOKUP(C790, SweepStudyConfig[StudyId], SweepStudyConfig[NSweepStratumTotal])</f>
        <v>#VALUE!</v>
      </c>
      <c r="G790" s="3" t="e">
        <f>ROUND(F790 * D790)</f>
        <v>#VALUE!</v>
      </c>
      <c r="H790" s="3" t="e">
        <f>F790 - G790</f>
        <v>#VALUE!</v>
      </c>
      <c r="I790" s="3" t="e">
        <f>LOOKUP(C790, SweepStudyConfig[StudyId], SweepStudyConfig[NFixedA])</f>
        <v>#VALUE!</v>
      </c>
      <c r="J790" s="3" t="e">
        <f>LOOKUP(C790, SweepStudyConfig[StudyId], SweepStudyConfig[NFixedB])</f>
        <v>#VALUE!</v>
      </c>
      <c r="K790" s="3" t="e">
        <f>LOOKUP(C790, SweepStudyConfig[StudyId], SweepStudyConfig[SweepRateA])</f>
        <v>#VALUE!</v>
      </c>
      <c r="L790" s="3" t="e">
        <f>LOOKUP(C790, SweepStudyConfig[StudyId], SweepStudyConfig[SweepRateB])</f>
        <v>#VALUE!</v>
      </c>
      <c r="M790" s="3" t="e">
        <f>LOOKUP(C790, SweepStudyConfig[StudyId], SweepStudyConfig[FixedRateA])</f>
        <v>#VALUE!</v>
      </c>
      <c r="N790" s="3" t="e">
        <f>LOOKUP(C790, SweepStudyConfig[StudyId], SweepStudyConfig[FixedRateB])</f>
        <v>#VALUE!</v>
      </c>
      <c r="O790" s="3" t="e">
        <f>IF(G790 + I790 = 0, "", (G790 * K790 + I790 * M790) / (G790 + I790))</f>
        <v>#VALUE!</v>
      </c>
      <c r="P790" s="3" t="e">
        <f>IF(H790 + J790 = 0, "", (H790 * L790 + J790 * N790) / (H790 + J790))</f>
        <v>#VALUE!</v>
      </c>
      <c r="Q790" s="3" t="e">
        <f>IF(O790 = "", "", O790 - P790)</f>
        <v>#VALUE!</v>
      </c>
      <c r="R790" s="3" t="e">
        <f>LOOKUP(C790, SweepStudyConfig[StudyId], SweepStudyConfig[SweepCorrectedGap])</f>
        <v>#VALUE!</v>
      </c>
      <c r="S790" s="3" t="e">
        <f>IF(Q790 = "", "", Q790 - R790)</f>
        <v>#VALUE!</v>
      </c>
    </row>
    <row r="791">
      <c r="A791" s="2" t="s">
        <v>4079</v>
      </c>
      <c r="B791" s="3" t="str">
        <f>A791</f>
        <v>uc-systemwide-admissions-f095</v>
      </c>
      <c r="C791" s="2" t="s">
        <v>715</v>
      </c>
      <c r="D791" s="2">
        <v>0.95</v>
      </c>
      <c r="E791" s="3" t="e">
        <f>ABS(D791 - LOOKUP(C791, SweepStudyConfig[StudyId], SweepStudyConfig[OriginalAllocFractionA])) &lt; 0.03</f>
        <v>#VALUE!</v>
      </c>
      <c r="F791" s="3" t="e">
        <f>LOOKUP(C791, SweepStudyConfig[StudyId], SweepStudyConfig[NSweepStratumTotal])</f>
        <v>#VALUE!</v>
      </c>
      <c r="G791" s="3" t="e">
        <f>ROUND(F791 * D791)</f>
        <v>#VALUE!</v>
      </c>
      <c r="H791" s="3" t="e">
        <f>F791 - G791</f>
        <v>#VALUE!</v>
      </c>
      <c r="I791" s="3" t="e">
        <f>LOOKUP(C791, SweepStudyConfig[StudyId], SweepStudyConfig[NFixedA])</f>
        <v>#VALUE!</v>
      </c>
      <c r="J791" s="3" t="e">
        <f>LOOKUP(C791, SweepStudyConfig[StudyId], SweepStudyConfig[NFixedB])</f>
        <v>#VALUE!</v>
      </c>
      <c r="K791" s="3" t="e">
        <f>LOOKUP(C791, SweepStudyConfig[StudyId], SweepStudyConfig[SweepRateA])</f>
        <v>#VALUE!</v>
      </c>
      <c r="L791" s="3" t="e">
        <f>LOOKUP(C791, SweepStudyConfig[StudyId], SweepStudyConfig[SweepRateB])</f>
        <v>#VALUE!</v>
      </c>
      <c r="M791" s="3" t="e">
        <f>LOOKUP(C791, SweepStudyConfig[StudyId], SweepStudyConfig[FixedRateA])</f>
        <v>#VALUE!</v>
      </c>
      <c r="N791" s="3" t="e">
        <f>LOOKUP(C791, SweepStudyConfig[StudyId], SweepStudyConfig[FixedRateB])</f>
        <v>#VALUE!</v>
      </c>
      <c r="O791" s="3" t="e">
        <f>IF(G791 + I791 = 0, "", (G791 * K791 + I791 * M791) / (G791 + I791))</f>
        <v>#VALUE!</v>
      </c>
      <c r="P791" s="3" t="e">
        <f>IF(H791 + J791 = 0, "", (H791 * L791 + J791 * N791) / (H791 + J791))</f>
        <v>#VALUE!</v>
      </c>
      <c r="Q791" s="3" t="e">
        <f>IF(O791 = "", "", O791 - P791)</f>
        <v>#VALUE!</v>
      </c>
      <c r="R791" s="3" t="e">
        <f>LOOKUP(C791, SweepStudyConfig[StudyId], SweepStudyConfig[SweepCorrectedGap])</f>
        <v>#VALUE!</v>
      </c>
      <c r="S791" s="3" t="e">
        <f>IF(Q791 = "", "", Q791 - R791)</f>
        <v>#VALUE!</v>
      </c>
    </row>
    <row r="792">
      <c r="A792" s="2" t="s">
        <v>4080</v>
      </c>
      <c r="B792" s="3" t="str">
        <f>A792</f>
        <v>teacher-vam-prior-achievement-f005</v>
      </c>
      <c r="C792" s="2" t="s">
        <v>719</v>
      </c>
      <c r="D792" s="2">
        <v>0.05</v>
      </c>
      <c r="E792" s="3" t="e">
        <f>ABS(D792 - LOOKUP(C792, SweepStudyConfig[StudyId], SweepStudyConfig[OriginalAllocFractionA])) &lt; 0.03</f>
        <v>#VALUE!</v>
      </c>
      <c r="F792" s="3" t="e">
        <f>LOOKUP(C792, SweepStudyConfig[StudyId], SweepStudyConfig[NSweepStratumTotal])</f>
        <v>#VALUE!</v>
      </c>
      <c r="G792" s="3" t="e">
        <f>ROUND(F792 * D792)</f>
        <v>#VALUE!</v>
      </c>
      <c r="H792" s="3" t="e">
        <f>F792 - G792</f>
        <v>#VALUE!</v>
      </c>
      <c r="I792" s="3" t="e">
        <f>LOOKUP(C792, SweepStudyConfig[StudyId], SweepStudyConfig[NFixedA])</f>
        <v>#VALUE!</v>
      </c>
      <c r="J792" s="3" t="e">
        <f>LOOKUP(C792, SweepStudyConfig[StudyId], SweepStudyConfig[NFixedB])</f>
        <v>#VALUE!</v>
      </c>
      <c r="K792" s="3" t="e">
        <f>LOOKUP(C792, SweepStudyConfig[StudyId], SweepStudyConfig[SweepRateA])</f>
        <v>#VALUE!</v>
      </c>
      <c r="L792" s="3" t="e">
        <f>LOOKUP(C792, SweepStudyConfig[StudyId], SweepStudyConfig[SweepRateB])</f>
        <v>#VALUE!</v>
      </c>
      <c r="M792" s="3" t="e">
        <f>LOOKUP(C792, SweepStudyConfig[StudyId], SweepStudyConfig[FixedRateA])</f>
        <v>#VALUE!</v>
      </c>
      <c r="N792" s="3" t="e">
        <f>LOOKUP(C792, SweepStudyConfig[StudyId], SweepStudyConfig[FixedRateB])</f>
        <v>#VALUE!</v>
      </c>
      <c r="O792" s="3" t="e">
        <f>IF(G792 + I792 = 0, "", (G792 * K792 + I792 * M792) / (G792 + I792))</f>
        <v>#VALUE!</v>
      </c>
      <c r="P792" s="3" t="e">
        <f>IF(H792 + J792 = 0, "", (H792 * L792 + J792 * N792) / (H792 + J792))</f>
        <v>#VALUE!</v>
      </c>
      <c r="Q792" s="3" t="e">
        <f>IF(O792 = "", "", O792 - P792)</f>
        <v>#VALUE!</v>
      </c>
      <c r="R792" s="3" t="e">
        <f>LOOKUP(C792, SweepStudyConfig[StudyId], SweepStudyConfig[SweepCorrectedGap])</f>
        <v>#VALUE!</v>
      </c>
      <c r="S792" s="3" t="e">
        <f>IF(Q792 = "", "", Q792 - R792)</f>
        <v>#VALUE!</v>
      </c>
    </row>
    <row r="793">
      <c r="A793" s="2" t="s">
        <v>4081</v>
      </c>
      <c r="B793" s="3" t="str">
        <f>A793</f>
        <v>teacher-vam-prior-achievement-f015</v>
      </c>
      <c r="C793" s="2" t="s">
        <v>719</v>
      </c>
      <c r="D793" s="2">
        <v>0.15</v>
      </c>
      <c r="E793" s="3" t="e">
        <f>ABS(D793 - LOOKUP(C793, SweepStudyConfig[StudyId], SweepStudyConfig[OriginalAllocFractionA])) &lt; 0.03</f>
        <v>#VALUE!</v>
      </c>
      <c r="F793" s="3" t="e">
        <f>LOOKUP(C793, SweepStudyConfig[StudyId], SweepStudyConfig[NSweepStratumTotal])</f>
        <v>#VALUE!</v>
      </c>
      <c r="G793" s="3" t="e">
        <f>ROUND(F793 * D793)</f>
        <v>#VALUE!</v>
      </c>
      <c r="H793" s="3" t="e">
        <f>F793 - G793</f>
        <v>#VALUE!</v>
      </c>
      <c r="I793" s="3" t="e">
        <f>LOOKUP(C793, SweepStudyConfig[StudyId], SweepStudyConfig[NFixedA])</f>
        <v>#VALUE!</v>
      </c>
      <c r="J793" s="3" t="e">
        <f>LOOKUP(C793, SweepStudyConfig[StudyId], SweepStudyConfig[NFixedB])</f>
        <v>#VALUE!</v>
      </c>
      <c r="K793" s="3" t="e">
        <f>LOOKUP(C793, SweepStudyConfig[StudyId], SweepStudyConfig[SweepRateA])</f>
        <v>#VALUE!</v>
      </c>
      <c r="L793" s="3" t="e">
        <f>LOOKUP(C793, SweepStudyConfig[StudyId], SweepStudyConfig[SweepRateB])</f>
        <v>#VALUE!</v>
      </c>
      <c r="M793" s="3" t="e">
        <f>LOOKUP(C793, SweepStudyConfig[StudyId], SweepStudyConfig[FixedRateA])</f>
        <v>#VALUE!</v>
      </c>
      <c r="N793" s="3" t="e">
        <f>LOOKUP(C793, SweepStudyConfig[StudyId], SweepStudyConfig[FixedRateB])</f>
        <v>#VALUE!</v>
      </c>
      <c r="O793" s="3" t="e">
        <f>IF(G793 + I793 = 0, "", (G793 * K793 + I793 * M793) / (G793 + I793))</f>
        <v>#VALUE!</v>
      </c>
      <c r="P793" s="3" t="e">
        <f>IF(H793 + J793 = 0, "", (H793 * L793 + J793 * N793) / (H793 + J793))</f>
        <v>#VALUE!</v>
      </c>
      <c r="Q793" s="3" t="e">
        <f>IF(O793 = "", "", O793 - P793)</f>
        <v>#VALUE!</v>
      </c>
      <c r="R793" s="3" t="e">
        <f>LOOKUP(C793, SweepStudyConfig[StudyId], SweepStudyConfig[SweepCorrectedGap])</f>
        <v>#VALUE!</v>
      </c>
      <c r="S793" s="3" t="e">
        <f>IF(Q793 = "", "", Q793 - R793)</f>
        <v>#VALUE!</v>
      </c>
    </row>
    <row r="794">
      <c r="A794" s="2" t="s">
        <v>4082</v>
      </c>
      <c r="B794" s="3" t="str">
        <f>A794</f>
        <v>teacher-vam-prior-achievement-f025</v>
      </c>
      <c r="C794" s="2" t="s">
        <v>719</v>
      </c>
      <c r="D794" s="2">
        <v>0.25</v>
      </c>
      <c r="E794" s="3" t="e">
        <f>ABS(D794 - LOOKUP(C794, SweepStudyConfig[StudyId], SweepStudyConfig[OriginalAllocFractionA])) &lt; 0.03</f>
        <v>#VALUE!</v>
      </c>
      <c r="F794" s="3" t="e">
        <f>LOOKUP(C794, SweepStudyConfig[StudyId], SweepStudyConfig[NSweepStratumTotal])</f>
        <v>#VALUE!</v>
      </c>
      <c r="G794" s="3" t="e">
        <f>ROUND(F794 * D794)</f>
        <v>#VALUE!</v>
      </c>
      <c r="H794" s="3" t="e">
        <f>F794 - G794</f>
        <v>#VALUE!</v>
      </c>
      <c r="I794" s="3" t="e">
        <f>LOOKUP(C794, SweepStudyConfig[StudyId], SweepStudyConfig[NFixedA])</f>
        <v>#VALUE!</v>
      </c>
      <c r="J794" s="3" t="e">
        <f>LOOKUP(C794, SweepStudyConfig[StudyId], SweepStudyConfig[NFixedB])</f>
        <v>#VALUE!</v>
      </c>
      <c r="K794" s="3" t="e">
        <f>LOOKUP(C794, SweepStudyConfig[StudyId], SweepStudyConfig[SweepRateA])</f>
        <v>#VALUE!</v>
      </c>
      <c r="L794" s="3" t="e">
        <f>LOOKUP(C794, SweepStudyConfig[StudyId], SweepStudyConfig[SweepRateB])</f>
        <v>#VALUE!</v>
      </c>
      <c r="M794" s="3" t="e">
        <f>LOOKUP(C794, SweepStudyConfig[StudyId], SweepStudyConfig[FixedRateA])</f>
        <v>#VALUE!</v>
      </c>
      <c r="N794" s="3" t="e">
        <f>LOOKUP(C794, SweepStudyConfig[StudyId], SweepStudyConfig[FixedRateB])</f>
        <v>#VALUE!</v>
      </c>
      <c r="O794" s="3" t="e">
        <f>IF(G794 + I794 = 0, "", (G794 * K794 + I794 * M794) / (G794 + I794))</f>
        <v>#VALUE!</v>
      </c>
      <c r="P794" s="3" t="e">
        <f>IF(H794 + J794 = 0, "", (H794 * L794 + J794 * N794) / (H794 + J794))</f>
        <v>#VALUE!</v>
      </c>
      <c r="Q794" s="3" t="e">
        <f>IF(O794 = "", "", O794 - P794)</f>
        <v>#VALUE!</v>
      </c>
      <c r="R794" s="3" t="e">
        <f>LOOKUP(C794, SweepStudyConfig[StudyId], SweepStudyConfig[SweepCorrectedGap])</f>
        <v>#VALUE!</v>
      </c>
      <c r="S794" s="3" t="e">
        <f>IF(Q794 = "", "", Q794 - R794)</f>
        <v>#VALUE!</v>
      </c>
    </row>
    <row r="795">
      <c r="A795" s="2" t="s">
        <v>4083</v>
      </c>
      <c r="B795" s="3" t="str">
        <f>A795</f>
        <v>teacher-vam-prior-achievement-f035</v>
      </c>
      <c r="C795" s="2" t="s">
        <v>719</v>
      </c>
      <c r="D795" s="2">
        <v>0.35</v>
      </c>
      <c r="E795" s="3" t="e">
        <f>ABS(D795 - LOOKUP(C795, SweepStudyConfig[StudyId], SweepStudyConfig[OriginalAllocFractionA])) &lt; 0.03</f>
        <v>#VALUE!</v>
      </c>
      <c r="F795" s="3" t="e">
        <f>LOOKUP(C795, SweepStudyConfig[StudyId], SweepStudyConfig[NSweepStratumTotal])</f>
        <v>#VALUE!</v>
      </c>
      <c r="G795" s="3" t="e">
        <f>ROUND(F795 * D795)</f>
        <v>#VALUE!</v>
      </c>
      <c r="H795" s="3" t="e">
        <f>F795 - G795</f>
        <v>#VALUE!</v>
      </c>
      <c r="I795" s="3" t="e">
        <f>LOOKUP(C795, SweepStudyConfig[StudyId], SweepStudyConfig[NFixedA])</f>
        <v>#VALUE!</v>
      </c>
      <c r="J795" s="3" t="e">
        <f>LOOKUP(C795, SweepStudyConfig[StudyId], SweepStudyConfig[NFixedB])</f>
        <v>#VALUE!</v>
      </c>
      <c r="K795" s="3" t="e">
        <f>LOOKUP(C795, SweepStudyConfig[StudyId], SweepStudyConfig[SweepRateA])</f>
        <v>#VALUE!</v>
      </c>
      <c r="L795" s="3" t="e">
        <f>LOOKUP(C795, SweepStudyConfig[StudyId], SweepStudyConfig[SweepRateB])</f>
        <v>#VALUE!</v>
      </c>
      <c r="M795" s="3" t="e">
        <f>LOOKUP(C795, SweepStudyConfig[StudyId], SweepStudyConfig[FixedRateA])</f>
        <v>#VALUE!</v>
      </c>
      <c r="N795" s="3" t="e">
        <f>LOOKUP(C795, SweepStudyConfig[StudyId], SweepStudyConfig[FixedRateB])</f>
        <v>#VALUE!</v>
      </c>
      <c r="O795" s="3" t="e">
        <f>IF(G795 + I795 = 0, "", (G795 * K795 + I795 * M795) / (G795 + I795))</f>
        <v>#VALUE!</v>
      </c>
      <c r="P795" s="3" t="e">
        <f>IF(H795 + J795 = 0, "", (H795 * L795 + J795 * N795) / (H795 + J795))</f>
        <v>#VALUE!</v>
      </c>
      <c r="Q795" s="3" t="e">
        <f>IF(O795 = "", "", O795 - P795)</f>
        <v>#VALUE!</v>
      </c>
      <c r="R795" s="3" t="e">
        <f>LOOKUP(C795, SweepStudyConfig[StudyId], SweepStudyConfig[SweepCorrectedGap])</f>
        <v>#VALUE!</v>
      </c>
      <c r="S795" s="3" t="e">
        <f>IF(Q795 = "", "", Q795 - R795)</f>
        <v>#VALUE!</v>
      </c>
    </row>
    <row r="796">
      <c r="A796" s="2" t="s">
        <v>4084</v>
      </c>
      <c r="B796" s="3" t="str">
        <f>A796</f>
        <v>teacher-vam-prior-achievement-f045</v>
      </c>
      <c r="C796" s="2" t="s">
        <v>719</v>
      </c>
      <c r="D796" s="2">
        <v>0.45</v>
      </c>
      <c r="E796" s="3" t="e">
        <f>ABS(D796 - LOOKUP(C796, SweepStudyConfig[StudyId], SweepStudyConfig[OriginalAllocFractionA])) &lt; 0.03</f>
        <v>#VALUE!</v>
      </c>
      <c r="F796" s="3" t="e">
        <f>LOOKUP(C796, SweepStudyConfig[StudyId], SweepStudyConfig[NSweepStratumTotal])</f>
        <v>#VALUE!</v>
      </c>
      <c r="G796" s="3" t="e">
        <f>ROUND(F796 * D796)</f>
        <v>#VALUE!</v>
      </c>
      <c r="H796" s="3" t="e">
        <f>F796 - G796</f>
        <v>#VALUE!</v>
      </c>
      <c r="I796" s="3" t="e">
        <f>LOOKUP(C796, SweepStudyConfig[StudyId], SweepStudyConfig[NFixedA])</f>
        <v>#VALUE!</v>
      </c>
      <c r="J796" s="3" t="e">
        <f>LOOKUP(C796, SweepStudyConfig[StudyId], SweepStudyConfig[NFixedB])</f>
        <v>#VALUE!</v>
      </c>
      <c r="K796" s="3" t="e">
        <f>LOOKUP(C796, SweepStudyConfig[StudyId], SweepStudyConfig[SweepRateA])</f>
        <v>#VALUE!</v>
      </c>
      <c r="L796" s="3" t="e">
        <f>LOOKUP(C796, SweepStudyConfig[StudyId], SweepStudyConfig[SweepRateB])</f>
        <v>#VALUE!</v>
      </c>
      <c r="M796" s="3" t="e">
        <f>LOOKUP(C796, SweepStudyConfig[StudyId], SweepStudyConfig[FixedRateA])</f>
        <v>#VALUE!</v>
      </c>
      <c r="N796" s="3" t="e">
        <f>LOOKUP(C796, SweepStudyConfig[StudyId], SweepStudyConfig[FixedRateB])</f>
        <v>#VALUE!</v>
      </c>
      <c r="O796" s="3" t="e">
        <f>IF(G796 + I796 = 0, "", (G796 * K796 + I796 * M796) / (G796 + I796))</f>
        <v>#VALUE!</v>
      </c>
      <c r="P796" s="3" t="e">
        <f>IF(H796 + J796 = 0, "", (H796 * L796 + J796 * N796) / (H796 + J796))</f>
        <v>#VALUE!</v>
      </c>
      <c r="Q796" s="3" t="e">
        <f>IF(O796 = "", "", O796 - P796)</f>
        <v>#VALUE!</v>
      </c>
      <c r="R796" s="3" t="e">
        <f>LOOKUP(C796, SweepStudyConfig[StudyId], SweepStudyConfig[SweepCorrectedGap])</f>
        <v>#VALUE!</v>
      </c>
      <c r="S796" s="3" t="e">
        <f>IF(Q796 = "", "", Q796 - R796)</f>
        <v>#VALUE!</v>
      </c>
    </row>
    <row r="797">
      <c r="A797" s="2" t="s">
        <v>4085</v>
      </c>
      <c r="B797" s="3" t="str">
        <f>A797</f>
        <v>teacher-vam-prior-achievement-f055</v>
      </c>
      <c r="C797" s="2" t="s">
        <v>719</v>
      </c>
      <c r="D797" s="2">
        <v>0.55</v>
      </c>
      <c r="E797" s="3" t="e">
        <f>ABS(D797 - LOOKUP(C797, SweepStudyConfig[StudyId], SweepStudyConfig[OriginalAllocFractionA])) &lt; 0.03</f>
        <v>#VALUE!</v>
      </c>
      <c r="F797" s="3" t="e">
        <f>LOOKUP(C797, SweepStudyConfig[StudyId], SweepStudyConfig[NSweepStratumTotal])</f>
        <v>#VALUE!</v>
      </c>
      <c r="G797" s="3" t="e">
        <f>ROUND(F797 * D797)</f>
        <v>#VALUE!</v>
      </c>
      <c r="H797" s="3" t="e">
        <f>F797 - G797</f>
        <v>#VALUE!</v>
      </c>
      <c r="I797" s="3" t="e">
        <f>LOOKUP(C797, SweepStudyConfig[StudyId], SweepStudyConfig[NFixedA])</f>
        <v>#VALUE!</v>
      </c>
      <c r="J797" s="3" t="e">
        <f>LOOKUP(C797, SweepStudyConfig[StudyId], SweepStudyConfig[NFixedB])</f>
        <v>#VALUE!</v>
      </c>
      <c r="K797" s="3" t="e">
        <f>LOOKUP(C797, SweepStudyConfig[StudyId], SweepStudyConfig[SweepRateA])</f>
        <v>#VALUE!</v>
      </c>
      <c r="L797" s="3" t="e">
        <f>LOOKUP(C797, SweepStudyConfig[StudyId], SweepStudyConfig[SweepRateB])</f>
        <v>#VALUE!</v>
      </c>
      <c r="M797" s="3" t="e">
        <f>LOOKUP(C797, SweepStudyConfig[StudyId], SweepStudyConfig[FixedRateA])</f>
        <v>#VALUE!</v>
      </c>
      <c r="N797" s="3" t="e">
        <f>LOOKUP(C797, SweepStudyConfig[StudyId], SweepStudyConfig[FixedRateB])</f>
        <v>#VALUE!</v>
      </c>
      <c r="O797" s="3" t="e">
        <f>IF(G797 + I797 = 0, "", (G797 * K797 + I797 * M797) / (G797 + I797))</f>
        <v>#VALUE!</v>
      </c>
      <c r="P797" s="3" t="e">
        <f>IF(H797 + J797 = 0, "", (H797 * L797 + J797 * N797) / (H797 + J797))</f>
        <v>#VALUE!</v>
      </c>
      <c r="Q797" s="3" t="e">
        <f>IF(O797 = "", "", O797 - P797)</f>
        <v>#VALUE!</v>
      </c>
      <c r="R797" s="3" t="e">
        <f>LOOKUP(C797, SweepStudyConfig[StudyId], SweepStudyConfig[SweepCorrectedGap])</f>
        <v>#VALUE!</v>
      </c>
      <c r="S797" s="3" t="e">
        <f>IF(Q797 = "", "", Q797 - R797)</f>
        <v>#VALUE!</v>
      </c>
    </row>
    <row r="798">
      <c r="A798" s="2" t="s">
        <v>4086</v>
      </c>
      <c r="B798" s="3" t="str">
        <f>A798</f>
        <v>teacher-vam-prior-achievement-f065</v>
      </c>
      <c r="C798" s="2" t="s">
        <v>719</v>
      </c>
      <c r="D798" s="2">
        <v>0.65</v>
      </c>
      <c r="E798" s="3" t="e">
        <f>ABS(D798 - LOOKUP(C798, SweepStudyConfig[StudyId], SweepStudyConfig[OriginalAllocFractionA])) &lt; 0.03</f>
        <v>#VALUE!</v>
      </c>
      <c r="F798" s="3" t="e">
        <f>LOOKUP(C798, SweepStudyConfig[StudyId], SweepStudyConfig[NSweepStratumTotal])</f>
        <v>#VALUE!</v>
      </c>
      <c r="G798" s="3" t="e">
        <f>ROUND(F798 * D798)</f>
        <v>#VALUE!</v>
      </c>
      <c r="H798" s="3" t="e">
        <f>F798 - G798</f>
        <v>#VALUE!</v>
      </c>
      <c r="I798" s="3" t="e">
        <f>LOOKUP(C798, SweepStudyConfig[StudyId], SweepStudyConfig[NFixedA])</f>
        <v>#VALUE!</v>
      </c>
      <c r="J798" s="3" t="e">
        <f>LOOKUP(C798, SweepStudyConfig[StudyId], SweepStudyConfig[NFixedB])</f>
        <v>#VALUE!</v>
      </c>
      <c r="K798" s="3" t="e">
        <f>LOOKUP(C798, SweepStudyConfig[StudyId], SweepStudyConfig[SweepRateA])</f>
        <v>#VALUE!</v>
      </c>
      <c r="L798" s="3" t="e">
        <f>LOOKUP(C798, SweepStudyConfig[StudyId], SweepStudyConfig[SweepRateB])</f>
        <v>#VALUE!</v>
      </c>
      <c r="M798" s="3" t="e">
        <f>LOOKUP(C798, SweepStudyConfig[StudyId], SweepStudyConfig[FixedRateA])</f>
        <v>#VALUE!</v>
      </c>
      <c r="N798" s="3" t="e">
        <f>LOOKUP(C798, SweepStudyConfig[StudyId], SweepStudyConfig[FixedRateB])</f>
        <v>#VALUE!</v>
      </c>
      <c r="O798" s="3" t="e">
        <f>IF(G798 + I798 = 0, "", (G798 * K798 + I798 * M798) / (G798 + I798))</f>
        <v>#VALUE!</v>
      </c>
      <c r="P798" s="3" t="e">
        <f>IF(H798 + J798 = 0, "", (H798 * L798 + J798 * N798) / (H798 + J798))</f>
        <v>#VALUE!</v>
      </c>
      <c r="Q798" s="3" t="e">
        <f>IF(O798 = "", "", O798 - P798)</f>
        <v>#VALUE!</v>
      </c>
      <c r="R798" s="3" t="e">
        <f>LOOKUP(C798, SweepStudyConfig[StudyId], SweepStudyConfig[SweepCorrectedGap])</f>
        <v>#VALUE!</v>
      </c>
      <c r="S798" s="3" t="e">
        <f>IF(Q798 = "", "", Q798 - R798)</f>
        <v>#VALUE!</v>
      </c>
    </row>
    <row r="799">
      <c r="A799" s="2" t="s">
        <v>4087</v>
      </c>
      <c r="B799" s="3" t="str">
        <f>A799</f>
        <v>teacher-vam-prior-achievement-f075</v>
      </c>
      <c r="C799" s="2" t="s">
        <v>719</v>
      </c>
      <c r="D799" s="2">
        <v>0.75</v>
      </c>
      <c r="E799" s="3" t="e">
        <f>ABS(D799 - LOOKUP(C799, SweepStudyConfig[StudyId], SweepStudyConfig[OriginalAllocFractionA])) &lt; 0.03</f>
        <v>#VALUE!</v>
      </c>
      <c r="F799" s="3" t="e">
        <f>LOOKUP(C799, SweepStudyConfig[StudyId], SweepStudyConfig[NSweepStratumTotal])</f>
        <v>#VALUE!</v>
      </c>
      <c r="G799" s="3" t="e">
        <f>ROUND(F799 * D799)</f>
        <v>#VALUE!</v>
      </c>
      <c r="H799" s="3" t="e">
        <f>F799 - G799</f>
        <v>#VALUE!</v>
      </c>
      <c r="I799" s="3" t="e">
        <f>LOOKUP(C799, SweepStudyConfig[StudyId], SweepStudyConfig[NFixedA])</f>
        <v>#VALUE!</v>
      </c>
      <c r="J799" s="3" t="e">
        <f>LOOKUP(C799, SweepStudyConfig[StudyId], SweepStudyConfig[NFixedB])</f>
        <v>#VALUE!</v>
      </c>
      <c r="K799" s="3" t="e">
        <f>LOOKUP(C799, SweepStudyConfig[StudyId], SweepStudyConfig[SweepRateA])</f>
        <v>#VALUE!</v>
      </c>
      <c r="L799" s="3" t="e">
        <f>LOOKUP(C799, SweepStudyConfig[StudyId], SweepStudyConfig[SweepRateB])</f>
        <v>#VALUE!</v>
      </c>
      <c r="M799" s="3" t="e">
        <f>LOOKUP(C799, SweepStudyConfig[StudyId], SweepStudyConfig[FixedRateA])</f>
        <v>#VALUE!</v>
      </c>
      <c r="N799" s="3" t="e">
        <f>LOOKUP(C799, SweepStudyConfig[StudyId], SweepStudyConfig[FixedRateB])</f>
        <v>#VALUE!</v>
      </c>
      <c r="O799" s="3" t="e">
        <f>IF(G799 + I799 = 0, "", (G799 * K799 + I799 * M799) / (G799 + I799))</f>
        <v>#VALUE!</v>
      </c>
      <c r="P799" s="3" t="e">
        <f>IF(H799 + J799 = 0, "", (H799 * L799 + J799 * N799) / (H799 + J799))</f>
        <v>#VALUE!</v>
      </c>
      <c r="Q799" s="3" t="e">
        <f>IF(O799 = "", "", O799 - P799)</f>
        <v>#VALUE!</v>
      </c>
      <c r="R799" s="3" t="e">
        <f>LOOKUP(C799, SweepStudyConfig[StudyId], SweepStudyConfig[SweepCorrectedGap])</f>
        <v>#VALUE!</v>
      </c>
      <c r="S799" s="3" t="e">
        <f>IF(Q799 = "", "", Q799 - R799)</f>
        <v>#VALUE!</v>
      </c>
    </row>
    <row r="800">
      <c r="A800" s="2" t="s">
        <v>4088</v>
      </c>
      <c r="B800" s="3" t="str">
        <f>A800</f>
        <v>teacher-vam-prior-achievement-f085</v>
      </c>
      <c r="C800" s="2" t="s">
        <v>719</v>
      </c>
      <c r="D800" s="2">
        <v>0.85</v>
      </c>
      <c r="E800" s="3" t="e">
        <f>ABS(D800 - LOOKUP(C800, SweepStudyConfig[StudyId], SweepStudyConfig[OriginalAllocFractionA])) &lt; 0.03</f>
        <v>#VALUE!</v>
      </c>
      <c r="F800" s="3" t="e">
        <f>LOOKUP(C800, SweepStudyConfig[StudyId], SweepStudyConfig[NSweepStratumTotal])</f>
        <v>#VALUE!</v>
      </c>
      <c r="G800" s="3" t="e">
        <f>ROUND(F800 * D800)</f>
        <v>#VALUE!</v>
      </c>
      <c r="H800" s="3" t="e">
        <f>F800 - G800</f>
        <v>#VALUE!</v>
      </c>
      <c r="I800" s="3" t="e">
        <f>LOOKUP(C800, SweepStudyConfig[StudyId], SweepStudyConfig[NFixedA])</f>
        <v>#VALUE!</v>
      </c>
      <c r="J800" s="3" t="e">
        <f>LOOKUP(C800, SweepStudyConfig[StudyId], SweepStudyConfig[NFixedB])</f>
        <v>#VALUE!</v>
      </c>
      <c r="K800" s="3" t="e">
        <f>LOOKUP(C800, SweepStudyConfig[StudyId], SweepStudyConfig[SweepRateA])</f>
        <v>#VALUE!</v>
      </c>
      <c r="L800" s="3" t="e">
        <f>LOOKUP(C800, SweepStudyConfig[StudyId], SweepStudyConfig[SweepRateB])</f>
        <v>#VALUE!</v>
      </c>
      <c r="M800" s="3" t="e">
        <f>LOOKUP(C800, SweepStudyConfig[StudyId], SweepStudyConfig[FixedRateA])</f>
        <v>#VALUE!</v>
      </c>
      <c r="N800" s="3" t="e">
        <f>LOOKUP(C800, SweepStudyConfig[StudyId], SweepStudyConfig[FixedRateB])</f>
        <v>#VALUE!</v>
      </c>
      <c r="O800" s="3" t="e">
        <f>IF(G800 + I800 = 0, "", (G800 * K800 + I800 * M800) / (G800 + I800))</f>
        <v>#VALUE!</v>
      </c>
      <c r="P800" s="3" t="e">
        <f>IF(H800 + J800 = 0, "", (H800 * L800 + J800 * N800) / (H800 + J800))</f>
        <v>#VALUE!</v>
      </c>
      <c r="Q800" s="3" t="e">
        <f>IF(O800 = "", "", O800 - P800)</f>
        <v>#VALUE!</v>
      </c>
      <c r="R800" s="3" t="e">
        <f>LOOKUP(C800, SweepStudyConfig[StudyId], SweepStudyConfig[SweepCorrectedGap])</f>
        <v>#VALUE!</v>
      </c>
      <c r="S800" s="3" t="e">
        <f>IF(Q800 = "", "", Q800 - R800)</f>
        <v>#VALUE!</v>
      </c>
    </row>
    <row r="801">
      <c r="A801" s="2" t="s">
        <v>4089</v>
      </c>
      <c r="B801" s="3" t="str">
        <f>A801</f>
        <v>teacher-vam-prior-achievement-f095</v>
      </c>
      <c r="C801" s="2" t="s">
        <v>719</v>
      </c>
      <c r="D801" s="2">
        <v>0.95</v>
      </c>
      <c r="E801" s="3" t="e">
        <f>ABS(D801 - LOOKUP(C801, SweepStudyConfig[StudyId], SweepStudyConfig[OriginalAllocFractionA])) &lt; 0.03</f>
        <v>#VALUE!</v>
      </c>
      <c r="F801" s="3" t="e">
        <f>LOOKUP(C801, SweepStudyConfig[StudyId], SweepStudyConfig[NSweepStratumTotal])</f>
        <v>#VALUE!</v>
      </c>
      <c r="G801" s="3" t="e">
        <f>ROUND(F801 * D801)</f>
        <v>#VALUE!</v>
      </c>
      <c r="H801" s="3" t="e">
        <f>F801 - G801</f>
        <v>#VALUE!</v>
      </c>
      <c r="I801" s="3" t="e">
        <f>LOOKUP(C801, SweepStudyConfig[StudyId], SweepStudyConfig[NFixedA])</f>
        <v>#VALUE!</v>
      </c>
      <c r="J801" s="3" t="e">
        <f>LOOKUP(C801, SweepStudyConfig[StudyId], SweepStudyConfig[NFixedB])</f>
        <v>#VALUE!</v>
      </c>
      <c r="K801" s="3" t="e">
        <f>LOOKUP(C801, SweepStudyConfig[StudyId], SweepStudyConfig[SweepRateA])</f>
        <v>#VALUE!</v>
      </c>
      <c r="L801" s="3" t="e">
        <f>LOOKUP(C801, SweepStudyConfig[StudyId], SweepStudyConfig[SweepRateB])</f>
        <v>#VALUE!</v>
      </c>
      <c r="M801" s="3" t="e">
        <f>LOOKUP(C801, SweepStudyConfig[StudyId], SweepStudyConfig[FixedRateA])</f>
        <v>#VALUE!</v>
      </c>
      <c r="N801" s="3" t="e">
        <f>LOOKUP(C801, SweepStudyConfig[StudyId], SweepStudyConfig[FixedRateB])</f>
        <v>#VALUE!</v>
      </c>
      <c r="O801" s="3" t="e">
        <f>IF(G801 + I801 = 0, "", (G801 * K801 + I801 * M801) / (G801 + I801))</f>
        <v>#VALUE!</v>
      </c>
      <c r="P801" s="3" t="e">
        <f>IF(H801 + J801 = 0, "", (H801 * L801 + J801 * N801) / (H801 + J801))</f>
        <v>#VALUE!</v>
      </c>
      <c r="Q801" s="3" t="e">
        <f>IF(O801 = "", "", O801 - P801)</f>
        <v>#VALUE!</v>
      </c>
      <c r="R801" s="3" t="e">
        <f>LOOKUP(C801, SweepStudyConfig[StudyId], SweepStudyConfig[SweepCorrectedGap])</f>
        <v>#VALUE!</v>
      </c>
      <c r="S801" s="3" t="e">
        <f>IF(Q801 = "", "", Q801 - R801)</f>
        <v>#VALUE!</v>
      </c>
    </row>
    <row r="802">
      <c r="A802" s="2" t="s">
        <v>4090</v>
      </c>
      <c r="B802" s="3" t="str">
        <f>A802</f>
        <v>naep-state-demographics-f005</v>
      </c>
      <c r="C802" s="2" t="s">
        <v>723</v>
      </c>
      <c r="D802" s="2">
        <v>0.05</v>
      </c>
      <c r="E802" s="3" t="e">
        <f>ABS(D802 - LOOKUP(C802, SweepStudyConfig[StudyId], SweepStudyConfig[OriginalAllocFractionA])) &lt; 0.03</f>
        <v>#VALUE!</v>
      </c>
      <c r="F802" s="3" t="e">
        <f>LOOKUP(C802, SweepStudyConfig[StudyId], SweepStudyConfig[NSweepStratumTotal])</f>
        <v>#VALUE!</v>
      </c>
      <c r="G802" s="3" t="e">
        <f>ROUND(F802 * D802)</f>
        <v>#VALUE!</v>
      </c>
      <c r="H802" s="3" t="e">
        <f>F802 - G802</f>
        <v>#VALUE!</v>
      </c>
      <c r="I802" s="3" t="e">
        <f>LOOKUP(C802, SweepStudyConfig[StudyId], SweepStudyConfig[NFixedA])</f>
        <v>#VALUE!</v>
      </c>
      <c r="J802" s="3" t="e">
        <f>LOOKUP(C802, SweepStudyConfig[StudyId], SweepStudyConfig[NFixedB])</f>
        <v>#VALUE!</v>
      </c>
      <c r="K802" s="3" t="e">
        <f>LOOKUP(C802, SweepStudyConfig[StudyId], SweepStudyConfig[SweepRateA])</f>
        <v>#VALUE!</v>
      </c>
      <c r="L802" s="3" t="e">
        <f>LOOKUP(C802, SweepStudyConfig[StudyId], SweepStudyConfig[SweepRateB])</f>
        <v>#VALUE!</v>
      </c>
      <c r="M802" s="3" t="e">
        <f>LOOKUP(C802, SweepStudyConfig[StudyId], SweepStudyConfig[FixedRateA])</f>
        <v>#VALUE!</v>
      </c>
      <c r="N802" s="3" t="e">
        <f>LOOKUP(C802, SweepStudyConfig[StudyId], SweepStudyConfig[FixedRateB])</f>
        <v>#VALUE!</v>
      </c>
      <c r="O802" s="3" t="e">
        <f>IF(G802 + I802 = 0, "", (G802 * K802 + I802 * M802) / (G802 + I802))</f>
        <v>#VALUE!</v>
      </c>
      <c r="P802" s="3" t="e">
        <f>IF(H802 + J802 = 0, "", (H802 * L802 + J802 * N802) / (H802 + J802))</f>
        <v>#VALUE!</v>
      </c>
      <c r="Q802" s="3" t="e">
        <f>IF(O802 = "", "", O802 - P802)</f>
        <v>#VALUE!</v>
      </c>
      <c r="R802" s="3" t="e">
        <f>LOOKUP(C802, SweepStudyConfig[StudyId], SweepStudyConfig[SweepCorrectedGap])</f>
        <v>#VALUE!</v>
      </c>
      <c r="S802" s="3" t="e">
        <f>IF(Q802 = "", "", Q802 - R802)</f>
        <v>#VALUE!</v>
      </c>
    </row>
    <row r="803">
      <c r="A803" s="2" t="s">
        <v>4091</v>
      </c>
      <c r="B803" s="3" t="str">
        <f>A803</f>
        <v>naep-state-demographics-f015</v>
      </c>
      <c r="C803" s="2" t="s">
        <v>723</v>
      </c>
      <c r="D803" s="2">
        <v>0.15</v>
      </c>
      <c r="E803" s="3" t="e">
        <f>ABS(D803 - LOOKUP(C803, SweepStudyConfig[StudyId], SweepStudyConfig[OriginalAllocFractionA])) &lt; 0.03</f>
        <v>#VALUE!</v>
      </c>
      <c r="F803" s="3" t="e">
        <f>LOOKUP(C803, SweepStudyConfig[StudyId], SweepStudyConfig[NSweepStratumTotal])</f>
        <v>#VALUE!</v>
      </c>
      <c r="G803" s="3" t="e">
        <f>ROUND(F803 * D803)</f>
        <v>#VALUE!</v>
      </c>
      <c r="H803" s="3" t="e">
        <f>F803 - G803</f>
        <v>#VALUE!</v>
      </c>
      <c r="I803" s="3" t="e">
        <f>LOOKUP(C803, SweepStudyConfig[StudyId], SweepStudyConfig[NFixedA])</f>
        <v>#VALUE!</v>
      </c>
      <c r="J803" s="3" t="e">
        <f>LOOKUP(C803, SweepStudyConfig[StudyId], SweepStudyConfig[NFixedB])</f>
        <v>#VALUE!</v>
      </c>
      <c r="K803" s="3" t="e">
        <f>LOOKUP(C803, SweepStudyConfig[StudyId], SweepStudyConfig[SweepRateA])</f>
        <v>#VALUE!</v>
      </c>
      <c r="L803" s="3" t="e">
        <f>LOOKUP(C803, SweepStudyConfig[StudyId], SweepStudyConfig[SweepRateB])</f>
        <v>#VALUE!</v>
      </c>
      <c r="M803" s="3" t="e">
        <f>LOOKUP(C803, SweepStudyConfig[StudyId], SweepStudyConfig[FixedRateA])</f>
        <v>#VALUE!</v>
      </c>
      <c r="N803" s="3" t="e">
        <f>LOOKUP(C803, SweepStudyConfig[StudyId], SweepStudyConfig[FixedRateB])</f>
        <v>#VALUE!</v>
      </c>
      <c r="O803" s="3" t="e">
        <f>IF(G803 + I803 = 0, "", (G803 * K803 + I803 * M803) / (G803 + I803))</f>
        <v>#VALUE!</v>
      </c>
      <c r="P803" s="3" t="e">
        <f>IF(H803 + J803 = 0, "", (H803 * L803 + J803 * N803) / (H803 + J803))</f>
        <v>#VALUE!</v>
      </c>
      <c r="Q803" s="3" t="e">
        <f>IF(O803 = "", "", O803 - P803)</f>
        <v>#VALUE!</v>
      </c>
      <c r="R803" s="3" t="e">
        <f>LOOKUP(C803, SweepStudyConfig[StudyId], SweepStudyConfig[SweepCorrectedGap])</f>
        <v>#VALUE!</v>
      </c>
      <c r="S803" s="3" t="e">
        <f>IF(Q803 = "", "", Q803 - R803)</f>
        <v>#VALUE!</v>
      </c>
    </row>
    <row r="804">
      <c r="A804" s="2" t="s">
        <v>4092</v>
      </c>
      <c r="B804" s="3" t="str">
        <f>A804</f>
        <v>naep-state-demographics-f025</v>
      </c>
      <c r="C804" s="2" t="s">
        <v>723</v>
      </c>
      <c r="D804" s="2">
        <v>0.25</v>
      </c>
      <c r="E804" s="3" t="e">
        <f>ABS(D804 - LOOKUP(C804, SweepStudyConfig[StudyId], SweepStudyConfig[OriginalAllocFractionA])) &lt; 0.03</f>
        <v>#VALUE!</v>
      </c>
      <c r="F804" s="3" t="e">
        <f>LOOKUP(C804, SweepStudyConfig[StudyId], SweepStudyConfig[NSweepStratumTotal])</f>
        <v>#VALUE!</v>
      </c>
      <c r="G804" s="3" t="e">
        <f>ROUND(F804 * D804)</f>
        <v>#VALUE!</v>
      </c>
      <c r="H804" s="3" t="e">
        <f>F804 - G804</f>
        <v>#VALUE!</v>
      </c>
      <c r="I804" s="3" t="e">
        <f>LOOKUP(C804, SweepStudyConfig[StudyId], SweepStudyConfig[NFixedA])</f>
        <v>#VALUE!</v>
      </c>
      <c r="J804" s="3" t="e">
        <f>LOOKUP(C804, SweepStudyConfig[StudyId], SweepStudyConfig[NFixedB])</f>
        <v>#VALUE!</v>
      </c>
      <c r="K804" s="3" t="e">
        <f>LOOKUP(C804, SweepStudyConfig[StudyId], SweepStudyConfig[SweepRateA])</f>
        <v>#VALUE!</v>
      </c>
      <c r="L804" s="3" t="e">
        <f>LOOKUP(C804, SweepStudyConfig[StudyId], SweepStudyConfig[SweepRateB])</f>
        <v>#VALUE!</v>
      </c>
      <c r="M804" s="3" t="e">
        <f>LOOKUP(C804, SweepStudyConfig[StudyId], SweepStudyConfig[FixedRateA])</f>
        <v>#VALUE!</v>
      </c>
      <c r="N804" s="3" t="e">
        <f>LOOKUP(C804, SweepStudyConfig[StudyId], SweepStudyConfig[FixedRateB])</f>
        <v>#VALUE!</v>
      </c>
      <c r="O804" s="3" t="e">
        <f>IF(G804 + I804 = 0, "", (G804 * K804 + I804 * M804) / (G804 + I804))</f>
        <v>#VALUE!</v>
      </c>
      <c r="P804" s="3" t="e">
        <f>IF(H804 + J804 = 0, "", (H804 * L804 + J804 * N804) / (H804 + J804))</f>
        <v>#VALUE!</v>
      </c>
      <c r="Q804" s="3" t="e">
        <f>IF(O804 = "", "", O804 - P804)</f>
        <v>#VALUE!</v>
      </c>
      <c r="R804" s="3" t="e">
        <f>LOOKUP(C804, SweepStudyConfig[StudyId], SweepStudyConfig[SweepCorrectedGap])</f>
        <v>#VALUE!</v>
      </c>
      <c r="S804" s="3" t="e">
        <f>IF(Q804 = "", "", Q804 - R804)</f>
        <v>#VALUE!</v>
      </c>
    </row>
    <row r="805">
      <c r="A805" s="2" t="s">
        <v>4093</v>
      </c>
      <c r="B805" s="3" t="str">
        <f>A805</f>
        <v>naep-state-demographics-f035</v>
      </c>
      <c r="C805" s="2" t="s">
        <v>723</v>
      </c>
      <c r="D805" s="2">
        <v>0.35</v>
      </c>
      <c r="E805" s="3" t="e">
        <f>ABS(D805 - LOOKUP(C805, SweepStudyConfig[StudyId], SweepStudyConfig[OriginalAllocFractionA])) &lt; 0.03</f>
        <v>#VALUE!</v>
      </c>
      <c r="F805" s="3" t="e">
        <f>LOOKUP(C805, SweepStudyConfig[StudyId], SweepStudyConfig[NSweepStratumTotal])</f>
        <v>#VALUE!</v>
      </c>
      <c r="G805" s="3" t="e">
        <f>ROUND(F805 * D805)</f>
        <v>#VALUE!</v>
      </c>
      <c r="H805" s="3" t="e">
        <f>F805 - G805</f>
        <v>#VALUE!</v>
      </c>
      <c r="I805" s="3" t="e">
        <f>LOOKUP(C805, SweepStudyConfig[StudyId], SweepStudyConfig[NFixedA])</f>
        <v>#VALUE!</v>
      </c>
      <c r="J805" s="3" t="e">
        <f>LOOKUP(C805, SweepStudyConfig[StudyId], SweepStudyConfig[NFixedB])</f>
        <v>#VALUE!</v>
      </c>
      <c r="K805" s="3" t="e">
        <f>LOOKUP(C805, SweepStudyConfig[StudyId], SweepStudyConfig[SweepRateA])</f>
        <v>#VALUE!</v>
      </c>
      <c r="L805" s="3" t="e">
        <f>LOOKUP(C805, SweepStudyConfig[StudyId], SweepStudyConfig[SweepRateB])</f>
        <v>#VALUE!</v>
      </c>
      <c r="M805" s="3" t="e">
        <f>LOOKUP(C805, SweepStudyConfig[StudyId], SweepStudyConfig[FixedRateA])</f>
        <v>#VALUE!</v>
      </c>
      <c r="N805" s="3" t="e">
        <f>LOOKUP(C805, SweepStudyConfig[StudyId], SweepStudyConfig[FixedRateB])</f>
        <v>#VALUE!</v>
      </c>
      <c r="O805" s="3" t="e">
        <f>IF(G805 + I805 = 0, "", (G805 * K805 + I805 * M805) / (G805 + I805))</f>
        <v>#VALUE!</v>
      </c>
      <c r="P805" s="3" t="e">
        <f>IF(H805 + J805 = 0, "", (H805 * L805 + J805 * N805) / (H805 + J805))</f>
        <v>#VALUE!</v>
      </c>
      <c r="Q805" s="3" t="e">
        <f>IF(O805 = "", "", O805 - P805)</f>
        <v>#VALUE!</v>
      </c>
      <c r="R805" s="3" t="e">
        <f>LOOKUP(C805, SweepStudyConfig[StudyId], SweepStudyConfig[SweepCorrectedGap])</f>
        <v>#VALUE!</v>
      </c>
      <c r="S805" s="3" t="e">
        <f>IF(Q805 = "", "", Q805 - R805)</f>
        <v>#VALUE!</v>
      </c>
    </row>
    <row r="806">
      <c r="A806" s="2" t="s">
        <v>4094</v>
      </c>
      <c r="B806" s="3" t="str">
        <f>A806</f>
        <v>naep-state-demographics-f045</v>
      </c>
      <c r="C806" s="2" t="s">
        <v>723</v>
      </c>
      <c r="D806" s="2">
        <v>0.45</v>
      </c>
      <c r="E806" s="3" t="e">
        <f>ABS(D806 - LOOKUP(C806, SweepStudyConfig[StudyId], SweepStudyConfig[OriginalAllocFractionA])) &lt; 0.03</f>
        <v>#VALUE!</v>
      </c>
      <c r="F806" s="3" t="e">
        <f>LOOKUP(C806, SweepStudyConfig[StudyId], SweepStudyConfig[NSweepStratumTotal])</f>
        <v>#VALUE!</v>
      </c>
      <c r="G806" s="3" t="e">
        <f>ROUND(F806 * D806)</f>
        <v>#VALUE!</v>
      </c>
      <c r="H806" s="3" t="e">
        <f>F806 - G806</f>
        <v>#VALUE!</v>
      </c>
      <c r="I806" s="3" t="e">
        <f>LOOKUP(C806, SweepStudyConfig[StudyId], SweepStudyConfig[NFixedA])</f>
        <v>#VALUE!</v>
      </c>
      <c r="J806" s="3" t="e">
        <f>LOOKUP(C806, SweepStudyConfig[StudyId], SweepStudyConfig[NFixedB])</f>
        <v>#VALUE!</v>
      </c>
      <c r="K806" s="3" t="e">
        <f>LOOKUP(C806, SweepStudyConfig[StudyId], SweepStudyConfig[SweepRateA])</f>
        <v>#VALUE!</v>
      </c>
      <c r="L806" s="3" t="e">
        <f>LOOKUP(C806, SweepStudyConfig[StudyId], SweepStudyConfig[SweepRateB])</f>
        <v>#VALUE!</v>
      </c>
      <c r="M806" s="3" t="e">
        <f>LOOKUP(C806, SweepStudyConfig[StudyId], SweepStudyConfig[FixedRateA])</f>
        <v>#VALUE!</v>
      </c>
      <c r="N806" s="3" t="e">
        <f>LOOKUP(C806, SweepStudyConfig[StudyId], SweepStudyConfig[FixedRateB])</f>
        <v>#VALUE!</v>
      </c>
      <c r="O806" s="3" t="e">
        <f>IF(G806 + I806 = 0, "", (G806 * K806 + I806 * M806) / (G806 + I806))</f>
        <v>#VALUE!</v>
      </c>
      <c r="P806" s="3" t="e">
        <f>IF(H806 + J806 = 0, "", (H806 * L806 + J806 * N806) / (H806 + J806))</f>
        <v>#VALUE!</v>
      </c>
      <c r="Q806" s="3" t="e">
        <f>IF(O806 = "", "", O806 - P806)</f>
        <v>#VALUE!</v>
      </c>
      <c r="R806" s="3" t="e">
        <f>LOOKUP(C806, SweepStudyConfig[StudyId], SweepStudyConfig[SweepCorrectedGap])</f>
        <v>#VALUE!</v>
      </c>
      <c r="S806" s="3" t="e">
        <f>IF(Q806 = "", "", Q806 - R806)</f>
        <v>#VALUE!</v>
      </c>
    </row>
    <row r="807">
      <c r="A807" s="2" t="s">
        <v>4095</v>
      </c>
      <c r="B807" s="3" t="str">
        <f>A807</f>
        <v>naep-state-demographics-f055</v>
      </c>
      <c r="C807" s="2" t="s">
        <v>723</v>
      </c>
      <c r="D807" s="2">
        <v>0.55</v>
      </c>
      <c r="E807" s="3" t="e">
        <f>ABS(D807 - LOOKUP(C807, SweepStudyConfig[StudyId], SweepStudyConfig[OriginalAllocFractionA])) &lt; 0.03</f>
        <v>#VALUE!</v>
      </c>
      <c r="F807" s="3" t="e">
        <f>LOOKUP(C807, SweepStudyConfig[StudyId], SweepStudyConfig[NSweepStratumTotal])</f>
        <v>#VALUE!</v>
      </c>
      <c r="G807" s="3" t="e">
        <f>ROUND(F807 * D807)</f>
        <v>#VALUE!</v>
      </c>
      <c r="H807" s="3" t="e">
        <f>F807 - G807</f>
        <v>#VALUE!</v>
      </c>
      <c r="I807" s="3" t="e">
        <f>LOOKUP(C807, SweepStudyConfig[StudyId], SweepStudyConfig[NFixedA])</f>
        <v>#VALUE!</v>
      </c>
      <c r="J807" s="3" t="e">
        <f>LOOKUP(C807, SweepStudyConfig[StudyId], SweepStudyConfig[NFixedB])</f>
        <v>#VALUE!</v>
      </c>
      <c r="K807" s="3" t="e">
        <f>LOOKUP(C807, SweepStudyConfig[StudyId], SweepStudyConfig[SweepRateA])</f>
        <v>#VALUE!</v>
      </c>
      <c r="L807" s="3" t="e">
        <f>LOOKUP(C807, SweepStudyConfig[StudyId], SweepStudyConfig[SweepRateB])</f>
        <v>#VALUE!</v>
      </c>
      <c r="M807" s="3" t="e">
        <f>LOOKUP(C807, SweepStudyConfig[StudyId], SweepStudyConfig[FixedRateA])</f>
        <v>#VALUE!</v>
      </c>
      <c r="N807" s="3" t="e">
        <f>LOOKUP(C807, SweepStudyConfig[StudyId], SweepStudyConfig[FixedRateB])</f>
        <v>#VALUE!</v>
      </c>
      <c r="O807" s="3" t="e">
        <f>IF(G807 + I807 = 0, "", (G807 * K807 + I807 * M807) / (G807 + I807))</f>
        <v>#VALUE!</v>
      </c>
      <c r="P807" s="3" t="e">
        <f>IF(H807 + J807 = 0, "", (H807 * L807 + J807 * N807) / (H807 + J807))</f>
        <v>#VALUE!</v>
      </c>
      <c r="Q807" s="3" t="e">
        <f>IF(O807 = "", "", O807 - P807)</f>
        <v>#VALUE!</v>
      </c>
      <c r="R807" s="3" t="e">
        <f>LOOKUP(C807, SweepStudyConfig[StudyId], SweepStudyConfig[SweepCorrectedGap])</f>
        <v>#VALUE!</v>
      </c>
      <c r="S807" s="3" t="e">
        <f>IF(Q807 = "", "", Q807 - R807)</f>
        <v>#VALUE!</v>
      </c>
    </row>
    <row r="808">
      <c r="A808" s="2" t="s">
        <v>4096</v>
      </c>
      <c r="B808" s="3" t="str">
        <f>A808</f>
        <v>naep-state-demographics-f065</v>
      </c>
      <c r="C808" s="2" t="s">
        <v>723</v>
      </c>
      <c r="D808" s="2">
        <v>0.65</v>
      </c>
      <c r="E808" s="3" t="e">
        <f>ABS(D808 - LOOKUP(C808, SweepStudyConfig[StudyId], SweepStudyConfig[OriginalAllocFractionA])) &lt; 0.03</f>
        <v>#VALUE!</v>
      </c>
      <c r="F808" s="3" t="e">
        <f>LOOKUP(C808, SweepStudyConfig[StudyId], SweepStudyConfig[NSweepStratumTotal])</f>
        <v>#VALUE!</v>
      </c>
      <c r="G808" s="3" t="e">
        <f>ROUND(F808 * D808)</f>
        <v>#VALUE!</v>
      </c>
      <c r="H808" s="3" t="e">
        <f>F808 - G808</f>
        <v>#VALUE!</v>
      </c>
      <c r="I808" s="3" t="e">
        <f>LOOKUP(C808, SweepStudyConfig[StudyId], SweepStudyConfig[NFixedA])</f>
        <v>#VALUE!</v>
      </c>
      <c r="J808" s="3" t="e">
        <f>LOOKUP(C808, SweepStudyConfig[StudyId], SweepStudyConfig[NFixedB])</f>
        <v>#VALUE!</v>
      </c>
      <c r="K808" s="3" t="e">
        <f>LOOKUP(C808, SweepStudyConfig[StudyId], SweepStudyConfig[SweepRateA])</f>
        <v>#VALUE!</v>
      </c>
      <c r="L808" s="3" t="e">
        <f>LOOKUP(C808, SweepStudyConfig[StudyId], SweepStudyConfig[SweepRateB])</f>
        <v>#VALUE!</v>
      </c>
      <c r="M808" s="3" t="e">
        <f>LOOKUP(C808, SweepStudyConfig[StudyId], SweepStudyConfig[FixedRateA])</f>
        <v>#VALUE!</v>
      </c>
      <c r="N808" s="3" t="e">
        <f>LOOKUP(C808, SweepStudyConfig[StudyId], SweepStudyConfig[FixedRateB])</f>
        <v>#VALUE!</v>
      </c>
      <c r="O808" s="3" t="e">
        <f>IF(G808 + I808 = 0, "", (G808 * K808 + I808 * M808) / (G808 + I808))</f>
        <v>#VALUE!</v>
      </c>
      <c r="P808" s="3" t="e">
        <f>IF(H808 + J808 = 0, "", (H808 * L808 + J808 * N808) / (H808 + J808))</f>
        <v>#VALUE!</v>
      </c>
      <c r="Q808" s="3" t="e">
        <f>IF(O808 = "", "", O808 - P808)</f>
        <v>#VALUE!</v>
      </c>
      <c r="R808" s="3" t="e">
        <f>LOOKUP(C808, SweepStudyConfig[StudyId], SweepStudyConfig[SweepCorrectedGap])</f>
        <v>#VALUE!</v>
      </c>
      <c r="S808" s="3" t="e">
        <f>IF(Q808 = "", "", Q808 - R808)</f>
        <v>#VALUE!</v>
      </c>
    </row>
    <row r="809">
      <c r="A809" s="2" t="s">
        <v>4097</v>
      </c>
      <c r="B809" s="3" t="str">
        <f>A809</f>
        <v>naep-state-demographics-f075</v>
      </c>
      <c r="C809" s="2" t="s">
        <v>723</v>
      </c>
      <c r="D809" s="2">
        <v>0.75</v>
      </c>
      <c r="E809" s="3" t="e">
        <f>ABS(D809 - LOOKUP(C809, SweepStudyConfig[StudyId], SweepStudyConfig[OriginalAllocFractionA])) &lt; 0.03</f>
        <v>#VALUE!</v>
      </c>
      <c r="F809" s="3" t="e">
        <f>LOOKUP(C809, SweepStudyConfig[StudyId], SweepStudyConfig[NSweepStratumTotal])</f>
        <v>#VALUE!</v>
      </c>
      <c r="G809" s="3" t="e">
        <f>ROUND(F809 * D809)</f>
        <v>#VALUE!</v>
      </c>
      <c r="H809" s="3" t="e">
        <f>F809 - G809</f>
        <v>#VALUE!</v>
      </c>
      <c r="I809" s="3" t="e">
        <f>LOOKUP(C809, SweepStudyConfig[StudyId], SweepStudyConfig[NFixedA])</f>
        <v>#VALUE!</v>
      </c>
      <c r="J809" s="3" t="e">
        <f>LOOKUP(C809, SweepStudyConfig[StudyId], SweepStudyConfig[NFixedB])</f>
        <v>#VALUE!</v>
      </c>
      <c r="K809" s="3" t="e">
        <f>LOOKUP(C809, SweepStudyConfig[StudyId], SweepStudyConfig[SweepRateA])</f>
        <v>#VALUE!</v>
      </c>
      <c r="L809" s="3" t="e">
        <f>LOOKUP(C809, SweepStudyConfig[StudyId], SweepStudyConfig[SweepRateB])</f>
        <v>#VALUE!</v>
      </c>
      <c r="M809" s="3" t="e">
        <f>LOOKUP(C809, SweepStudyConfig[StudyId], SweepStudyConfig[FixedRateA])</f>
        <v>#VALUE!</v>
      </c>
      <c r="N809" s="3" t="e">
        <f>LOOKUP(C809, SweepStudyConfig[StudyId], SweepStudyConfig[FixedRateB])</f>
        <v>#VALUE!</v>
      </c>
      <c r="O809" s="3" t="e">
        <f>IF(G809 + I809 = 0, "", (G809 * K809 + I809 * M809) / (G809 + I809))</f>
        <v>#VALUE!</v>
      </c>
      <c r="P809" s="3" t="e">
        <f>IF(H809 + J809 = 0, "", (H809 * L809 + J809 * N809) / (H809 + J809))</f>
        <v>#VALUE!</v>
      </c>
      <c r="Q809" s="3" t="e">
        <f>IF(O809 = "", "", O809 - P809)</f>
        <v>#VALUE!</v>
      </c>
      <c r="R809" s="3" t="e">
        <f>LOOKUP(C809, SweepStudyConfig[StudyId], SweepStudyConfig[SweepCorrectedGap])</f>
        <v>#VALUE!</v>
      </c>
      <c r="S809" s="3" t="e">
        <f>IF(Q809 = "", "", Q809 - R809)</f>
        <v>#VALUE!</v>
      </c>
    </row>
    <row r="810">
      <c r="A810" s="2" t="s">
        <v>4098</v>
      </c>
      <c r="B810" s="3" t="str">
        <f>A810</f>
        <v>naep-state-demographics-f085</v>
      </c>
      <c r="C810" s="2" t="s">
        <v>723</v>
      </c>
      <c r="D810" s="2">
        <v>0.85</v>
      </c>
      <c r="E810" s="3" t="e">
        <f>ABS(D810 - LOOKUP(C810, SweepStudyConfig[StudyId], SweepStudyConfig[OriginalAllocFractionA])) &lt; 0.03</f>
        <v>#VALUE!</v>
      </c>
      <c r="F810" s="3" t="e">
        <f>LOOKUP(C810, SweepStudyConfig[StudyId], SweepStudyConfig[NSweepStratumTotal])</f>
        <v>#VALUE!</v>
      </c>
      <c r="G810" s="3" t="e">
        <f>ROUND(F810 * D810)</f>
        <v>#VALUE!</v>
      </c>
      <c r="H810" s="3" t="e">
        <f>F810 - G810</f>
        <v>#VALUE!</v>
      </c>
      <c r="I810" s="3" t="e">
        <f>LOOKUP(C810, SweepStudyConfig[StudyId], SweepStudyConfig[NFixedA])</f>
        <v>#VALUE!</v>
      </c>
      <c r="J810" s="3" t="e">
        <f>LOOKUP(C810, SweepStudyConfig[StudyId], SweepStudyConfig[NFixedB])</f>
        <v>#VALUE!</v>
      </c>
      <c r="K810" s="3" t="e">
        <f>LOOKUP(C810, SweepStudyConfig[StudyId], SweepStudyConfig[SweepRateA])</f>
        <v>#VALUE!</v>
      </c>
      <c r="L810" s="3" t="e">
        <f>LOOKUP(C810, SweepStudyConfig[StudyId], SweepStudyConfig[SweepRateB])</f>
        <v>#VALUE!</v>
      </c>
      <c r="M810" s="3" t="e">
        <f>LOOKUP(C810, SweepStudyConfig[StudyId], SweepStudyConfig[FixedRateA])</f>
        <v>#VALUE!</v>
      </c>
      <c r="N810" s="3" t="e">
        <f>LOOKUP(C810, SweepStudyConfig[StudyId], SweepStudyConfig[FixedRateB])</f>
        <v>#VALUE!</v>
      </c>
      <c r="O810" s="3" t="e">
        <f>IF(G810 + I810 = 0, "", (G810 * K810 + I810 * M810) / (G810 + I810))</f>
        <v>#VALUE!</v>
      </c>
      <c r="P810" s="3" t="e">
        <f>IF(H810 + J810 = 0, "", (H810 * L810 + J810 * N810) / (H810 + J810))</f>
        <v>#VALUE!</v>
      </c>
      <c r="Q810" s="3" t="e">
        <f>IF(O810 = "", "", O810 - P810)</f>
        <v>#VALUE!</v>
      </c>
      <c r="R810" s="3" t="e">
        <f>LOOKUP(C810, SweepStudyConfig[StudyId], SweepStudyConfig[SweepCorrectedGap])</f>
        <v>#VALUE!</v>
      </c>
      <c r="S810" s="3" t="e">
        <f>IF(Q810 = "", "", Q810 - R810)</f>
        <v>#VALUE!</v>
      </c>
    </row>
    <row r="811">
      <c r="A811" s="2" t="s">
        <v>4099</v>
      </c>
      <c r="B811" s="3" t="str">
        <f>A811</f>
        <v>naep-state-demographics-f095</v>
      </c>
      <c r="C811" s="2" t="s">
        <v>723</v>
      </c>
      <c r="D811" s="2">
        <v>0.95</v>
      </c>
      <c r="E811" s="3" t="e">
        <f>ABS(D811 - LOOKUP(C811, SweepStudyConfig[StudyId], SweepStudyConfig[OriginalAllocFractionA])) &lt; 0.03</f>
        <v>#VALUE!</v>
      </c>
      <c r="F811" s="3" t="e">
        <f>LOOKUP(C811, SweepStudyConfig[StudyId], SweepStudyConfig[NSweepStratumTotal])</f>
        <v>#VALUE!</v>
      </c>
      <c r="G811" s="3" t="e">
        <f>ROUND(F811 * D811)</f>
        <v>#VALUE!</v>
      </c>
      <c r="H811" s="3" t="e">
        <f>F811 - G811</f>
        <v>#VALUE!</v>
      </c>
      <c r="I811" s="3" t="e">
        <f>LOOKUP(C811, SweepStudyConfig[StudyId], SweepStudyConfig[NFixedA])</f>
        <v>#VALUE!</v>
      </c>
      <c r="J811" s="3" t="e">
        <f>LOOKUP(C811, SweepStudyConfig[StudyId], SweepStudyConfig[NFixedB])</f>
        <v>#VALUE!</v>
      </c>
      <c r="K811" s="3" t="e">
        <f>LOOKUP(C811, SweepStudyConfig[StudyId], SweepStudyConfig[SweepRateA])</f>
        <v>#VALUE!</v>
      </c>
      <c r="L811" s="3" t="e">
        <f>LOOKUP(C811, SweepStudyConfig[StudyId], SweepStudyConfig[SweepRateB])</f>
        <v>#VALUE!</v>
      </c>
      <c r="M811" s="3" t="e">
        <f>LOOKUP(C811, SweepStudyConfig[StudyId], SweepStudyConfig[FixedRateA])</f>
        <v>#VALUE!</v>
      </c>
      <c r="N811" s="3" t="e">
        <f>LOOKUP(C811, SweepStudyConfig[StudyId], SweepStudyConfig[FixedRateB])</f>
        <v>#VALUE!</v>
      </c>
      <c r="O811" s="3" t="e">
        <f>IF(G811 + I811 = 0, "", (G811 * K811 + I811 * M811) / (G811 + I811))</f>
        <v>#VALUE!</v>
      </c>
      <c r="P811" s="3" t="e">
        <f>IF(H811 + J811 = 0, "", (H811 * L811 + J811 * N811) / (H811 + J811))</f>
        <v>#VALUE!</v>
      </c>
      <c r="Q811" s="3" t="e">
        <f>IF(O811 = "", "", O811 - P811)</f>
        <v>#VALUE!</v>
      </c>
      <c r="R811" s="3" t="e">
        <f>LOOKUP(C811, SweepStudyConfig[StudyId], SweepStudyConfig[SweepCorrectedGap])</f>
        <v>#VALUE!</v>
      </c>
      <c r="S811" s="3" t="e">
        <f>IF(Q811 = "", "", Q811 - R811)</f>
        <v>#VALUE!</v>
      </c>
    </row>
    <row r="812">
      <c r="A812" s="2" t="s">
        <v>4100</v>
      </c>
      <c r="B812" s="3" t="str">
        <f>A812</f>
        <v>college-grad-rate-selectivity-f005</v>
      </c>
      <c r="C812" s="2" t="s">
        <v>727</v>
      </c>
      <c r="D812" s="2">
        <v>0.05</v>
      </c>
      <c r="E812" s="3" t="e">
        <f>ABS(D812 - LOOKUP(C812, SweepStudyConfig[StudyId], SweepStudyConfig[OriginalAllocFractionA])) &lt; 0.03</f>
        <v>#VALUE!</v>
      </c>
      <c r="F812" s="3" t="e">
        <f>LOOKUP(C812, SweepStudyConfig[StudyId], SweepStudyConfig[NSweepStratumTotal])</f>
        <v>#VALUE!</v>
      </c>
      <c r="G812" s="3" t="e">
        <f>ROUND(F812 * D812)</f>
        <v>#VALUE!</v>
      </c>
      <c r="H812" s="3" t="e">
        <f>F812 - G812</f>
        <v>#VALUE!</v>
      </c>
      <c r="I812" s="3" t="e">
        <f>LOOKUP(C812, SweepStudyConfig[StudyId], SweepStudyConfig[NFixedA])</f>
        <v>#VALUE!</v>
      </c>
      <c r="J812" s="3" t="e">
        <f>LOOKUP(C812, SweepStudyConfig[StudyId], SweepStudyConfig[NFixedB])</f>
        <v>#VALUE!</v>
      </c>
      <c r="K812" s="3" t="e">
        <f>LOOKUP(C812, SweepStudyConfig[StudyId], SweepStudyConfig[SweepRateA])</f>
        <v>#VALUE!</v>
      </c>
      <c r="L812" s="3" t="e">
        <f>LOOKUP(C812, SweepStudyConfig[StudyId], SweepStudyConfig[SweepRateB])</f>
        <v>#VALUE!</v>
      </c>
      <c r="M812" s="3" t="e">
        <f>LOOKUP(C812, SweepStudyConfig[StudyId], SweepStudyConfig[FixedRateA])</f>
        <v>#VALUE!</v>
      </c>
      <c r="N812" s="3" t="e">
        <f>LOOKUP(C812, SweepStudyConfig[StudyId], SweepStudyConfig[FixedRateB])</f>
        <v>#VALUE!</v>
      </c>
      <c r="O812" s="3" t="e">
        <f>IF(G812 + I812 = 0, "", (G812 * K812 + I812 * M812) / (G812 + I812))</f>
        <v>#VALUE!</v>
      </c>
      <c r="P812" s="3" t="e">
        <f>IF(H812 + J812 = 0, "", (H812 * L812 + J812 * N812) / (H812 + J812))</f>
        <v>#VALUE!</v>
      </c>
      <c r="Q812" s="3" t="e">
        <f>IF(O812 = "", "", O812 - P812)</f>
        <v>#VALUE!</v>
      </c>
      <c r="R812" s="3" t="e">
        <f>LOOKUP(C812, SweepStudyConfig[StudyId], SweepStudyConfig[SweepCorrectedGap])</f>
        <v>#VALUE!</v>
      </c>
      <c r="S812" s="3" t="e">
        <f>IF(Q812 = "", "", Q812 - R812)</f>
        <v>#VALUE!</v>
      </c>
    </row>
    <row r="813">
      <c r="A813" s="2" t="s">
        <v>4101</v>
      </c>
      <c r="B813" s="3" t="str">
        <f>A813</f>
        <v>college-grad-rate-selectivity-f015</v>
      </c>
      <c r="C813" s="2" t="s">
        <v>727</v>
      </c>
      <c r="D813" s="2">
        <v>0.15</v>
      </c>
      <c r="E813" s="3" t="e">
        <f>ABS(D813 - LOOKUP(C813, SweepStudyConfig[StudyId], SweepStudyConfig[OriginalAllocFractionA])) &lt; 0.03</f>
        <v>#VALUE!</v>
      </c>
      <c r="F813" s="3" t="e">
        <f>LOOKUP(C813, SweepStudyConfig[StudyId], SweepStudyConfig[NSweepStratumTotal])</f>
        <v>#VALUE!</v>
      </c>
      <c r="G813" s="3" t="e">
        <f>ROUND(F813 * D813)</f>
        <v>#VALUE!</v>
      </c>
      <c r="H813" s="3" t="e">
        <f>F813 - G813</f>
        <v>#VALUE!</v>
      </c>
      <c r="I813" s="3" t="e">
        <f>LOOKUP(C813, SweepStudyConfig[StudyId], SweepStudyConfig[NFixedA])</f>
        <v>#VALUE!</v>
      </c>
      <c r="J813" s="3" t="e">
        <f>LOOKUP(C813, SweepStudyConfig[StudyId], SweepStudyConfig[NFixedB])</f>
        <v>#VALUE!</v>
      </c>
      <c r="K813" s="3" t="e">
        <f>LOOKUP(C813, SweepStudyConfig[StudyId], SweepStudyConfig[SweepRateA])</f>
        <v>#VALUE!</v>
      </c>
      <c r="L813" s="3" t="e">
        <f>LOOKUP(C813, SweepStudyConfig[StudyId], SweepStudyConfig[SweepRateB])</f>
        <v>#VALUE!</v>
      </c>
      <c r="M813" s="3" t="e">
        <f>LOOKUP(C813, SweepStudyConfig[StudyId], SweepStudyConfig[FixedRateA])</f>
        <v>#VALUE!</v>
      </c>
      <c r="N813" s="3" t="e">
        <f>LOOKUP(C813, SweepStudyConfig[StudyId], SweepStudyConfig[FixedRateB])</f>
        <v>#VALUE!</v>
      </c>
      <c r="O813" s="3" t="e">
        <f>IF(G813 + I813 = 0, "", (G813 * K813 + I813 * M813) / (G813 + I813))</f>
        <v>#VALUE!</v>
      </c>
      <c r="P813" s="3" t="e">
        <f>IF(H813 + J813 = 0, "", (H813 * L813 + J813 * N813) / (H813 + J813))</f>
        <v>#VALUE!</v>
      </c>
      <c r="Q813" s="3" t="e">
        <f>IF(O813 = "", "", O813 - P813)</f>
        <v>#VALUE!</v>
      </c>
      <c r="R813" s="3" t="e">
        <f>LOOKUP(C813, SweepStudyConfig[StudyId], SweepStudyConfig[SweepCorrectedGap])</f>
        <v>#VALUE!</v>
      </c>
      <c r="S813" s="3" t="e">
        <f>IF(Q813 = "", "", Q813 - R813)</f>
        <v>#VALUE!</v>
      </c>
    </row>
    <row r="814">
      <c r="A814" s="2" t="s">
        <v>4102</v>
      </c>
      <c r="B814" s="3" t="str">
        <f>A814</f>
        <v>college-grad-rate-selectivity-f025</v>
      </c>
      <c r="C814" s="2" t="s">
        <v>727</v>
      </c>
      <c r="D814" s="2">
        <v>0.25</v>
      </c>
      <c r="E814" s="3" t="e">
        <f>ABS(D814 - LOOKUP(C814, SweepStudyConfig[StudyId], SweepStudyConfig[OriginalAllocFractionA])) &lt; 0.03</f>
        <v>#VALUE!</v>
      </c>
      <c r="F814" s="3" t="e">
        <f>LOOKUP(C814, SweepStudyConfig[StudyId], SweepStudyConfig[NSweepStratumTotal])</f>
        <v>#VALUE!</v>
      </c>
      <c r="G814" s="3" t="e">
        <f>ROUND(F814 * D814)</f>
        <v>#VALUE!</v>
      </c>
      <c r="H814" s="3" t="e">
        <f>F814 - G814</f>
        <v>#VALUE!</v>
      </c>
      <c r="I814" s="3" t="e">
        <f>LOOKUP(C814, SweepStudyConfig[StudyId], SweepStudyConfig[NFixedA])</f>
        <v>#VALUE!</v>
      </c>
      <c r="J814" s="3" t="e">
        <f>LOOKUP(C814, SweepStudyConfig[StudyId], SweepStudyConfig[NFixedB])</f>
        <v>#VALUE!</v>
      </c>
      <c r="K814" s="3" t="e">
        <f>LOOKUP(C814, SweepStudyConfig[StudyId], SweepStudyConfig[SweepRateA])</f>
        <v>#VALUE!</v>
      </c>
      <c r="L814" s="3" t="e">
        <f>LOOKUP(C814, SweepStudyConfig[StudyId], SweepStudyConfig[SweepRateB])</f>
        <v>#VALUE!</v>
      </c>
      <c r="M814" s="3" t="e">
        <f>LOOKUP(C814, SweepStudyConfig[StudyId], SweepStudyConfig[FixedRateA])</f>
        <v>#VALUE!</v>
      </c>
      <c r="N814" s="3" t="e">
        <f>LOOKUP(C814, SweepStudyConfig[StudyId], SweepStudyConfig[FixedRateB])</f>
        <v>#VALUE!</v>
      </c>
      <c r="O814" s="3" t="e">
        <f>IF(G814 + I814 = 0, "", (G814 * K814 + I814 * M814) / (G814 + I814))</f>
        <v>#VALUE!</v>
      </c>
      <c r="P814" s="3" t="e">
        <f>IF(H814 + J814 = 0, "", (H814 * L814 + J814 * N814) / (H814 + J814))</f>
        <v>#VALUE!</v>
      </c>
      <c r="Q814" s="3" t="e">
        <f>IF(O814 = "", "", O814 - P814)</f>
        <v>#VALUE!</v>
      </c>
      <c r="R814" s="3" t="e">
        <f>LOOKUP(C814, SweepStudyConfig[StudyId], SweepStudyConfig[SweepCorrectedGap])</f>
        <v>#VALUE!</v>
      </c>
      <c r="S814" s="3" t="e">
        <f>IF(Q814 = "", "", Q814 - R814)</f>
        <v>#VALUE!</v>
      </c>
    </row>
    <row r="815">
      <c r="A815" s="2" t="s">
        <v>4103</v>
      </c>
      <c r="B815" s="3" t="str">
        <f>A815</f>
        <v>college-grad-rate-selectivity-f035</v>
      </c>
      <c r="C815" s="2" t="s">
        <v>727</v>
      </c>
      <c r="D815" s="2">
        <v>0.35</v>
      </c>
      <c r="E815" s="3" t="e">
        <f>ABS(D815 - LOOKUP(C815, SweepStudyConfig[StudyId], SweepStudyConfig[OriginalAllocFractionA])) &lt; 0.03</f>
        <v>#VALUE!</v>
      </c>
      <c r="F815" s="3" t="e">
        <f>LOOKUP(C815, SweepStudyConfig[StudyId], SweepStudyConfig[NSweepStratumTotal])</f>
        <v>#VALUE!</v>
      </c>
      <c r="G815" s="3" t="e">
        <f>ROUND(F815 * D815)</f>
        <v>#VALUE!</v>
      </c>
      <c r="H815" s="3" t="e">
        <f>F815 - G815</f>
        <v>#VALUE!</v>
      </c>
      <c r="I815" s="3" t="e">
        <f>LOOKUP(C815, SweepStudyConfig[StudyId], SweepStudyConfig[NFixedA])</f>
        <v>#VALUE!</v>
      </c>
      <c r="J815" s="3" t="e">
        <f>LOOKUP(C815, SweepStudyConfig[StudyId], SweepStudyConfig[NFixedB])</f>
        <v>#VALUE!</v>
      </c>
      <c r="K815" s="3" t="e">
        <f>LOOKUP(C815, SweepStudyConfig[StudyId], SweepStudyConfig[SweepRateA])</f>
        <v>#VALUE!</v>
      </c>
      <c r="L815" s="3" t="e">
        <f>LOOKUP(C815, SweepStudyConfig[StudyId], SweepStudyConfig[SweepRateB])</f>
        <v>#VALUE!</v>
      </c>
      <c r="M815" s="3" t="e">
        <f>LOOKUP(C815, SweepStudyConfig[StudyId], SweepStudyConfig[FixedRateA])</f>
        <v>#VALUE!</v>
      </c>
      <c r="N815" s="3" t="e">
        <f>LOOKUP(C815, SweepStudyConfig[StudyId], SweepStudyConfig[FixedRateB])</f>
        <v>#VALUE!</v>
      </c>
      <c r="O815" s="3" t="e">
        <f>IF(G815 + I815 = 0, "", (G815 * K815 + I815 * M815) / (G815 + I815))</f>
        <v>#VALUE!</v>
      </c>
      <c r="P815" s="3" t="e">
        <f>IF(H815 + J815 = 0, "", (H815 * L815 + J815 * N815) / (H815 + J815))</f>
        <v>#VALUE!</v>
      </c>
      <c r="Q815" s="3" t="e">
        <f>IF(O815 = "", "", O815 - P815)</f>
        <v>#VALUE!</v>
      </c>
      <c r="R815" s="3" t="e">
        <f>LOOKUP(C815, SweepStudyConfig[StudyId], SweepStudyConfig[SweepCorrectedGap])</f>
        <v>#VALUE!</v>
      </c>
      <c r="S815" s="3" t="e">
        <f>IF(Q815 = "", "", Q815 - R815)</f>
        <v>#VALUE!</v>
      </c>
    </row>
    <row r="816">
      <c r="A816" s="2" t="s">
        <v>4104</v>
      </c>
      <c r="B816" s="3" t="str">
        <f>A816</f>
        <v>college-grad-rate-selectivity-f045</v>
      </c>
      <c r="C816" s="2" t="s">
        <v>727</v>
      </c>
      <c r="D816" s="2">
        <v>0.45</v>
      </c>
      <c r="E816" s="3" t="e">
        <f>ABS(D816 - LOOKUP(C816, SweepStudyConfig[StudyId], SweepStudyConfig[OriginalAllocFractionA])) &lt; 0.03</f>
        <v>#VALUE!</v>
      </c>
      <c r="F816" s="3" t="e">
        <f>LOOKUP(C816, SweepStudyConfig[StudyId], SweepStudyConfig[NSweepStratumTotal])</f>
        <v>#VALUE!</v>
      </c>
      <c r="G816" s="3" t="e">
        <f>ROUND(F816 * D816)</f>
        <v>#VALUE!</v>
      </c>
      <c r="H816" s="3" t="e">
        <f>F816 - G816</f>
        <v>#VALUE!</v>
      </c>
      <c r="I816" s="3" t="e">
        <f>LOOKUP(C816, SweepStudyConfig[StudyId], SweepStudyConfig[NFixedA])</f>
        <v>#VALUE!</v>
      </c>
      <c r="J816" s="3" t="e">
        <f>LOOKUP(C816, SweepStudyConfig[StudyId], SweepStudyConfig[NFixedB])</f>
        <v>#VALUE!</v>
      </c>
      <c r="K816" s="3" t="e">
        <f>LOOKUP(C816, SweepStudyConfig[StudyId], SweepStudyConfig[SweepRateA])</f>
        <v>#VALUE!</v>
      </c>
      <c r="L816" s="3" t="e">
        <f>LOOKUP(C816, SweepStudyConfig[StudyId], SweepStudyConfig[SweepRateB])</f>
        <v>#VALUE!</v>
      </c>
      <c r="M816" s="3" t="e">
        <f>LOOKUP(C816, SweepStudyConfig[StudyId], SweepStudyConfig[FixedRateA])</f>
        <v>#VALUE!</v>
      </c>
      <c r="N816" s="3" t="e">
        <f>LOOKUP(C816, SweepStudyConfig[StudyId], SweepStudyConfig[FixedRateB])</f>
        <v>#VALUE!</v>
      </c>
      <c r="O816" s="3" t="e">
        <f>IF(G816 + I816 = 0, "", (G816 * K816 + I816 * M816) / (G816 + I816))</f>
        <v>#VALUE!</v>
      </c>
      <c r="P816" s="3" t="e">
        <f>IF(H816 + J816 = 0, "", (H816 * L816 + J816 * N816) / (H816 + J816))</f>
        <v>#VALUE!</v>
      </c>
      <c r="Q816" s="3" t="e">
        <f>IF(O816 = "", "", O816 - P816)</f>
        <v>#VALUE!</v>
      </c>
      <c r="R816" s="3" t="e">
        <f>LOOKUP(C816, SweepStudyConfig[StudyId], SweepStudyConfig[SweepCorrectedGap])</f>
        <v>#VALUE!</v>
      </c>
      <c r="S816" s="3" t="e">
        <f>IF(Q816 = "", "", Q816 - R816)</f>
        <v>#VALUE!</v>
      </c>
    </row>
    <row r="817">
      <c r="A817" s="2" t="s">
        <v>4105</v>
      </c>
      <c r="B817" s="3" t="str">
        <f>A817</f>
        <v>college-grad-rate-selectivity-f055</v>
      </c>
      <c r="C817" s="2" t="s">
        <v>727</v>
      </c>
      <c r="D817" s="2">
        <v>0.55</v>
      </c>
      <c r="E817" s="3" t="e">
        <f>ABS(D817 - LOOKUP(C817, SweepStudyConfig[StudyId], SweepStudyConfig[OriginalAllocFractionA])) &lt; 0.03</f>
        <v>#VALUE!</v>
      </c>
      <c r="F817" s="3" t="e">
        <f>LOOKUP(C817, SweepStudyConfig[StudyId], SweepStudyConfig[NSweepStratumTotal])</f>
        <v>#VALUE!</v>
      </c>
      <c r="G817" s="3" t="e">
        <f>ROUND(F817 * D817)</f>
        <v>#VALUE!</v>
      </c>
      <c r="H817" s="3" t="e">
        <f>F817 - G817</f>
        <v>#VALUE!</v>
      </c>
      <c r="I817" s="3" t="e">
        <f>LOOKUP(C817, SweepStudyConfig[StudyId], SweepStudyConfig[NFixedA])</f>
        <v>#VALUE!</v>
      </c>
      <c r="J817" s="3" t="e">
        <f>LOOKUP(C817, SweepStudyConfig[StudyId], SweepStudyConfig[NFixedB])</f>
        <v>#VALUE!</v>
      </c>
      <c r="K817" s="3" t="e">
        <f>LOOKUP(C817, SweepStudyConfig[StudyId], SweepStudyConfig[SweepRateA])</f>
        <v>#VALUE!</v>
      </c>
      <c r="L817" s="3" t="e">
        <f>LOOKUP(C817, SweepStudyConfig[StudyId], SweepStudyConfig[SweepRateB])</f>
        <v>#VALUE!</v>
      </c>
      <c r="M817" s="3" t="e">
        <f>LOOKUP(C817, SweepStudyConfig[StudyId], SweepStudyConfig[FixedRateA])</f>
        <v>#VALUE!</v>
      </c>
      <c r="N817" s="3" t="e">
        <f>LOOKUP(C817, SweepStudyConfig[StudyId], SweepStudyConfig[FixedRateB])</f>
        <v>#VALUE!</v>
      </c>
      <c r="O817" s="3" t="e">
        <f>IF(G817 + I817 = 0, "", (G817 * K817 + I817 * M817) / (G817 + I817))</f>
        <v>#VALUE!</v>
      </c>
      <c r="P817" s="3" t="e">
        <f>IF(H817 + J817 = 0, "", (H817 * L817 + J817 * N817) / (H817 + J817))</f>
        <v>#VALUE!</v>
      </c>
      <c r="Q817" s="3" t="e">
        <f>IF(O817 = "", "", O817 - P817)</f>
        <v>#VALUE!</v>
      </c>
      <c r="R817" s="3" t="e">
        <f>LOOKUP(C817, SweepStudyConfig[StudyId], SweepStudyConfig[SweepCorrectedGap])</f>
        <v>#VALUE!</v>
      </c>
      <c r="S817" s="3" t="e">
        <f>IF(Q817 = "", "", Q817 - R817)</f>
        <v>#VALUE!</v>
      </c>
    </row>
    <row r="818">
      <c r="A818" s="2" t="s">
        <v>4106</v>
      </c>
      <c r="B818" s="3" t="str">
        <f>A818</f>
        <v>college-grad-rate-selectivity-f065</v>
      </c>
      <c r="C818" s="2" t="s">
        <v>727</v>
      </c>
      <c r="D818" s="2">
        <v>0.65</v>
      </c>
      <c r="E818" s="3" t="e">
        <f>ABS(D818 - LOOKUP(C818, SweepStudyConfig[StudyId], SweepStudyConfig[OriginalAllocFractionA])) &lt; 0.03</f>
        <v>#VALUE!</v>
      </c>
      <c r="F818" s="3" t="e">
        <f>LOOKUP(C818, SweepStudyConfig[StudyId], SweepStudyConfig[NSweepStratumTotal])</f>
        <v>#VALUE!</v>
      </c>
      <c r="G818" s="3" t="e">
        <f>ROUND(F818 * D818)</f>
        <v>#VALUE!</v>
      </c>
      <c r="H818" s="3" t="e">
        <f>F818 - G818</f>
        <v>#VALUE!</v>
      </c>
      <c r="I818" s="3" t="e">
        <f>LOOKUP(C818, SweepStudyConfig[StudyId], SweepStudyConfig[NFixedA])</f>
        <v>#VALUE!</v>
      </c>
      <c r="J818" s="3" t="e">
        <f>LOOKUP(C818, SweepStudyConfig[StudyId], SweepStudyConfig[NFixedB])</f>
        <v>#VALUE!</v>
      </c>
      <c r="K818" s="3" t="e">
        <f>LOOKUP(C818, SweepStudyConfig[StudyId], SweepStudyConfig[SweepRateA])</f>
        <v>#VALUE!</v>
      </c>
      <c r="L818" s="3" t="e">
        <f>LOOKUP(C818, SweepStudyConfig[StudyId], SweepStudyConfig[SweepRateB])</f>
        <v>#VALUE!</v>
      </c>
      <c r="M818" s="3" t="e">
        <f>LOOKUP(C818, SweepStudyConfig[StudyId], SweepStudyConfig[FixedRateA])</f>
        <v>#VALUE!</v>
      </c>
      <c r="N818" s="3" t="e">
        <f>LOOKUP(C818, SweepStudyConfig[StudyId], SweepStudyConfig[FixedRateB])</f>
        <v>#VALUE!</v>
      </c>
      <c r="O818" s="3" t="e">
        <f>IF(G818 + I818 = 0, "", (G818 * K818 + I818 * M818) / (G818 + I818))</f>
        <v>#VALUE!</v>
      </c>
      <c r="P818" s="3" t="e">
        <f>IF(H818 + J818 = 0, "", (H818 * L818 + J818 * N818) / (H818 + J818))</f>
        <v>#VALUE!</v>
      </c>
      <c r="Q818" s="3" t="e">
        <f>IF(O818 = "", "", O818 - P818)</f>
        <v>#VALUE!</v>
      </c>
      <c r="R818" s="3" t="e">
        <f>LOOKUP(C818, SweepStudyConfig[StudyId], SweepStudyConfig[SweepCorrectedGap])</f>
        <v>#VALUE!</v>
      </c>
      <c r="S818" s="3" t="e">
        <f>IF(Q818 = "", "", Q818 - R818)</f>
        <v>#VALUE!</v>
      </c>
    </row>
    <row r="819">
      <c r="A819" s="2" t="s">
        <v>4107</v>
      </c>
      <c r="B819" s="3" t="str">
        <f>A819</f>
        <v>college-grad-rate-selectivity-f075</v>
      </c>
      <c r="C819" s="2" t="s">
        <v>727</v>
      </c>
      <c r="D819" s="2">
        <v>0.75</v>
      </c>
      <c r="E819" s="3" t="e">
        <f>ABS(D819 - LOOKUP(C819, SweepStudyConfig[StudyId], SweepStudyConfig[OriginalAllocFractionA])) &lt; 0.03</f>
        <v>#VALUE!</v>
      </c>
      <c r="F819" s="3" t="e">
        <f>LOOKUP(C819, SweepStudyConfig[StudyId], SweepStudyConfig[NSweepStratumTotal])</f>
        <v>#VALUE!</v>
      </c>
      <c r="G819" s="3" t="e">
        <f>ROUND(F819 * D819)</f>
        <v>#VALUE!</v>
      </c>
      <c r="H819" s="3" t="e">
        <f>F819 - G819</f>
        <v>#VALUE!</v>
      </c>
      <c r="I819" s="3" t="e">
        <f>LOOKUP(C819, SweepStudyConfig[StudyId], SweepStudyConfig[NFixedA])</f>
        <v>#VALUE!</v>
      </c>
      <c r="J819" s="3" t="e">
        <f>LOOKUP(C819, SweepStudyConfig[StudyId], SweepStudyConfig[NFixedB])</f>
        <v>#VALUE!</v>
      </c>
      <c r="K819" s="3" t="e">
        <f>LOOKUP(C819, SweepStudyConfig[StudyId], SweepStudyConfig[SweepRateA])</f>
        <v>#VALUE!</v>
      </c>
      <c r="L819" s="3" t="e">
        <f>LOOKUP(C819, SweepStudyConfig[StudyId], SweepStudyConfig[SweepRateB])</f>
        <v>#VALUE!</v>
      </c>
      <c r="M819" s="3" t="e">
        <f>LOOKUP(C819, SweepStudyConfig[StudyId], SweepStudyConfig[FixedRateA])</f>
        <v>#VALUE!</v>
      </c>
      <c r="N819" s="3" t="e">
        <f>LOOKUP(C819, SweepStudyConfig[StudyId], SweepStudyConfig[FixedRateB])</f>
        <v>#VALUE!</v>
      </c>
      <c r="O819" s="3" t="e">
        <f>IF(G819 + I819 = 0, "", (G819 * K819 + I819 * M819) / (G819 + I819))</f>
        <v>#VALUE!</v>
      </c>
      <c r="P819" s="3" t="e">
        <f>IF(H819 + J819 = 0, "", (H819 * L819 + J819 * N819) / (H819 + J819))</f>
        <v>#VALUE!</v>
      </c>
      <c r="Q819" s="3" t="e">
        <f>IF(O819 = "", "", O819 - P819)</f>
        <v>#VALUE!</v>
      </c>
      <c r="R819" s="3" t="e">
        <f>LOOKUP(C819, SweepStudyConfig[StudyId], SweepStudyConfig[SweepCorrectedGap])</f>
        <v>#VALUE!</v>
      </c>
      <c r="S819" s="3" t="e">
        <f>IF(Q819 = "", "", Q819 - R819)</f>
        <v>#VALUE!</v>
      </c>
    </row>
    <row r="820">
      <c r="A820" s="2" t="s">
        <v>4108</v>
      </c>
      <c r="B820" s="3" t="str">
        <f>A820</f>
        <v>college-grad-rate-selectivity-f085</v>
      </c>
      <c r="C820" s="2" t="s">
        <v>727</v>
      </c>
      <c r="D820" s="2">
        <v>0.85</v>
      </c>
      <c r="E820" s="3" t="e">
        <f>ABS(D820 - LOOKUP(C820, SweepStudyConfig[StudyId], SweepStudyConfig[OriginalAllocFractionA])) &lt; 0.03</f>
        <v>#VALUE!</v>
      </c>
      <c r="F820" s="3" t="e">
        <f>LOOKUP(C820, SweepStudyConfig[StudyId], SweepStudyConfig[NSweepStratumTotal])</f>
        <v>#VALUE!</v>
      </c>
      <c r="G820" s="3" t="e">
        <f>ROUND(F820 * D820)</f>
        <v>#VALUE!</v>
      </c>
      <c r="H820" s="3" t="e">
        <f>F820 - G820</f>
        <v>#VALUE!</v>
      </c>
      <c r="I820" s="3" t="e">
        <f>LOOKUP(C820, SweepStudyConfig[StudyId], SweepStudyConfig[NFixedA])</f>
        <v>#VALUE!</v>
      </c>
      <c r="J820" s="3" t="e">
        <f>LOOKUP(C820, SweepStudyConfig[StudyId], SweepStudyConfig[NFixedB])</f>
        <v>#VALUE!</v>
      </c>
      <c r="K820" s="3" t="e">
        <f>LOOKUP(C820, SweepStudyConfig[StudyId], SweepStudyConfig[SweepRateA])</f>
        <v>#VALUE!</v>
      </c>
      <c r="L820" s="3" t="e">
        <f>LOOKUP(C820, SweepStudyConfig[StudyId], SweepStudyConfig[SweepRateB])</f>
        <v>#VALUE!</v>
      </c>
      <c r="M820" s="3" t="e">
        <f>LOOKUP(C820, SweepStudyConfig[StudyId], SweepStudyConfig[FixedRateA])</f>
        <v>#VALUE!</v>
      </c>
      <c r="N820" s="3" t="e">
        <f>LOOKUP(C820, SweepStudyConfig[StudyId], SweepStudyConfig[FixedRateB])</f>
        <v>#VALUE!</v>
      </c>
      <c r="O820" s="3" t="e">
        <f>IF(G820 + I820 = 0, "", (G820 * K820 + I820 * M820) / (G820 + I820))</f>
        <v>#VALUE!</v>
      </c>
      <c r="P820" s="3" t="e">
        <f>IF(H820 + J820 = 0, "", (H820 * L820 + J820 * N820) / (H820 + J820))</f>
        <v>#VALUE!</v>
      </c>
      <c r="Q820" s="3" t="e">
        <f>IF(O820 = "", "", O820 - P820)</f>
        <v>#VALUE!</v>
      </c>
      <c r="R820" s="3" t="e">
        <f>LOOKUP(C820, SweepStudyConfig[StudyId], SweepStudyConfig[SweepCorrectedGap])</f>
        <v>#VALUE!</v>
      </c>
      <c r="S820" s="3" t="e">
        <f>IF(Q820 = "", "", Q820 - R820)</f>
        <v>#VALUE!</v>
      </c>
    </row>
    <row r="821">
      <c r="A821" s="2" t="s">
        <v>4109</v>
      </c>
      <c r="B821" s="3" t="str">
        <f>A821</f>
        <v>college-grad-rate-selectivity-f095</v>
      </c>
      <c r="C821" s="2" t="s">
        <v>727</v>
      </c>
      <c r="D821" s="2">
        <v>0.95</v>
      </c>
      <c r="E821" s="3" t="e">
        <f>ABS(D821 - LOOKUP(C821, SweepStudyConfig[StudyId], SweepStudyConfig[OriginalAllocFractionA])) &lt; 0.03</f>
        <v>#VALUE!</v>
      </c>
      <c r="F821" s="3" t="e">
        <f>LOOKUP(C821, SweepStudyConfig[StudyId], SweepStudyConfig[NSweepStratumTotal])</f>
        <v>#VALUE!</v>
      </c>
      <c r="G821" s="3" t="e">
        <f>ROUND(F821 * D821)</f>
        <v>#VALUE!</v>
      </c>
      <c r="H821" s="3" t="e">
        <f>F821 - G821</f>
        <v>#VALUE!</v>
      </c>
      <c r="I821" s="3" t="e">
        <f>LOOKUP(C821, SweepStudyConfig[StudyId], SweepStudyConfig[NFixedA])</f>
        <v>#VALUE!</v>
      </c>
      <c r="J821" s="3" t="e">
        <f>LOOKUP(C821, SweepStudyConfig[StudyId], SweepStudyConfig[NFixedB])</f>
        <v>#VALUE!</v>
      </c>
      <c r="K821" s="3" t="e">
        <f>LOOKUP(C821, SweepStudyConfig[StudyId], SweepStudyConfig[SweepRateA])</f>
        <v>#VALUE!</v>
      </c>
      <c r="L821" s="3" t="e">
        <f>LOOKUP(C821, SweepStudyConfig[StudyId], SweepStudyConfig[SweepRateB])</f>
        <v>#VALUE!</v>
      </c>
      <c r="M821" s="3" t="e">
        <f>LOOKUP(C821, SweepStudyConfig[StudyId], SweepStudyConfig[FixedRateA])</f>
        <v>#VALUE!</v>
      </c>
      <c r="N821" s="3" t="e">
        <f>LOOKUP(C821, SweepStudyConfig[StudyId], SweepStudyConfig[FixedRateB])</f>
        <v>#VALUE!</v>
      </c>
      <c r="O821" s="3" t="e">
        <f>IF(G821 + I821 = 0, "", (G821 * K821 + I821 * M821) / (G821 + I821))</f>
        <v>#VALUE!</v>
      </c>
      <c r="P821" s="3" t="e">
        <f>IF(H821 + J821 = 0, "", (H821 * L821 + J821 * N821) / (H821 + J821))</f>
        <v>#VALUE!</v>
      </c>
      <c r="Q821" s="3" t="e">
        <f>IF(O821 = "", "", O821 - P821)</f>
        <v>#VALUE!</v>
      </c>
      <c r="R821" s="3" t="e">
        <f>LOOKUP(C821, SweepStudyConfig[StudyId], SweepStudyConfig[SweepCorrectedGap])</f>
        <v>#VALUE!</v>
      </c>
      <c r="S821" s="3" t="e">
        <f>IF(Q821 = "", "", Q821 - R821)</f>
        <v>#VALUE!</v>
      </c>
    </row>
    <row r="822">
      <c r="A822" s="2" t="s">
        <v>4110</v>
      </c>
      <c r="B822" s="3" t="str">
        <f>A822</f>
        <v>star-class-size-f005</v>
      </c>
      <c r="C822" s="2" t="s">
        <v>731</v>
      </c>
      <c r="D822" s="2">
        <v>0.05</v>
      </c>
      <c r="E822" s="3" t="e">
        <f>ABS(D822 - LOOKUP(C822, SweepStudyConfig[StudyId], SweepStudyConfig[OriginalAllocFractionA])) &lt; 0.03</f>
        <v>#VALUE!</v>
      </c>
      <c r="F822" s="3" t="e">
        <f>LOOKUP(C822, SweepStudyConfig[StudyId], SweepStudyConfig[NSweepStratumTotal])</f>
        <v>#VALUE!</v>
      </c>
      <c r="G822" s="3" t="e">
        <f>ROUND(F822 * D822)</f>
        <v>#VALUE!</v>
      </c>
      <c r="H822" s="3" t="e">
        <f>F822 - G822</f>
        <v>#VALUE!</v>
      </c>
      <c r="I822" s="3" t="e">
        <f>LOOKUP(C822, SweepStudyConfig[StudyId], SweepStudyConfig[NFixedA])</f>
        <v>#VALUE!</v>
      </c>
      <c r="J822" s="3" t="e">
        <f>LOOKUP(C822, SweepStudyConfig[StudyId], SweepStudyConfig[NFixedB])</f>
        <v>#VALUE!</v>
      </c>
      <c r="K822" s="3" t="e">
        <f>LOOKUP(C822, SweepStudyConfig[StudyId], SweepStudyConfig[SweepRateA])</f>
        <v>#VALUE!</v>
      </c>
      <c r="L822" s="3" t="e">
        <f>LOOKUP(C822, SweepStudyConfig[StudyId], SweepStudyConfig[SweepRateB])</f>
        <v>#VALUE!</v>
      </c>
      <c r="M822" s="3" t="e">
        <f>LOOKUP(C822, SweepStudyConfig[StudyId], SweepStudyConfig[FixedRateA])</f>
        <v>#VALUE!</v>
      </c>
      <c r="N822" s="3" t="e">
        <f>LOOKUP(C822, SweepStudyConfig[StudyId], SweepStudyConfig[FixedRateB])</f>
        <v>#VALUE!</v>
      </c>
      <c r="O822" s="3" t="e">
        <f>IF(G822 + I822 = 0, "", (G822 * K822 + I822 * M822) / (G822 + I822))</f>
        <v>#VALUE!</v>
      </c>
      <c r="P822" s="3" t="e">
        <f>IF(H822 + J822 = 0, "", (H822 * L822 + J822 * N822) / (H822 + J822))</f>
        <v>#VALUE!</v>
      </c>
      <c r="Q822" s="3" t="e">
        <f>IF(O822 = "", "", O822 - P822)</f>
        <v>#VALUE!</v>
      </c>
      <c r="R822" s="3" t="e">
        <f>LOOKUP(C822, SweepStudyConfig[StudyId], SweepStudyConfig[SweepCorrectedGap])</f>
        <v>#VALUE!</v>
      </c>
      <c r="S822" s="3" t="e">
        <f>IF(Q822 = "", "", Q822 - R822)</f>
        <v>#VALUE!</v>
      </c>
    </row>
    <row r="823">
      <c r="A823" s="2" t="s">
        <v>4111</v>
      </c>
      <c r="B823" s="3" t="str">
        <f>A823</f>
        <v>star-class-size-f015</v>
      </c>
      <c r="C823" s="2" t="s">
        <v>731</v>
      </c>
      <c r="D823" s="2">
        <v>0.15</v>
      </c>
      <c r="E823" s="3" t="e">
        <f>ABS(D823 - LOOKUP(C823, SweepStudyConfig[StudyId], SweepStudyConfig[OriginalAllocFractionA])) &lt; 0.03</f>
        <v>#VALUE!</v>
      </c>
      <c r="F823" s="3" t="e">
        <f>LOOKUP(C823, SweepStudyConfig[StudyId], SweepStudyConfig[NSweepStratumTotal])</f>
        <v>#VALUE!</v>
      </c>
      <c r="G823" s="3" t="e">
        <f>ROUND(F823 * D823)</f>
        <v>#VALUE!</v>
      </c>
      <c r="H823" s="3" t="e">
        <f>F823 - G823</f>
        <v>#VALUE!</v>
      </c>
      <c r="I823" s="3" t="e">
        <f>LOOKUP(C823, SweepStudyConfig[StudyId], SweepStudyConfig[NFixedA])</f>
        <v>#VALUE!</v>
      </c>
      <c r="J823" s="3" t="e">
        <f>LOOKUP(C823, SweepStudyConfig[StudyId], SweepStudyConfig[NFixedB])</f>
        <v>#VALUE!</v>
      </c>
      <c r="K823" s="3" t="e">
        <f>LOOKUP(C823, SweepStudyConfig[StudyId], SweepStudyConfig[SweepRateA])</f>
        <v>#VALUE!</v>
      </c>
      <c r="L823" s="3" t="e">
        <f>LOOKUP(C823, SweepStudyConfig[StudyId], SweepStudyConfig[SweepRateB])</f>
        <v>#VALUE!</v>
      </c>
      <c r="M823" s="3" t="e">
        <f>LOOKUP(C823, SweepStudyConfig[StudyId], SweepStudyConfig[FixedRateA])</f>
        <v>#VALUE!</v>
      </c>
      <c r="N823" s="3" t="e">
        <f>LOOKUP(C823, SweepStudyConfig[StudyId], SweepStudyConfig[FixedRateB])</f>
        <v>#VALUE!</v>
      </c>
      <c r="O823" s="3" t="e">
        <f>IF(G823 + I823 = 0, "", (G823 * K823 + I823 * M823) / (G823 + I823))</f>
        <v>#VALUE!</v>
      </c>
      <c r="P823" s="3" t="e">
        <f>IF(H823 + J823 = 0, "", (H823 * L823 + J823 * N823) / (H823 + J823))</f>
        <v>#VALUE!</v>
      </c>
      <c r="Q823" s="3" t="e">
        <f>IF(O823 = "", "", O823 - P823)</f>
        <v>#VALUE!</v>
      </c>
      <c r="R823" s="3" t="e">
        <f>LOOKUP(C823, SweepStudyConfig[StudyId], SweepStudyConfig[SweepCorrectedGap])</f>
        <v>#VALUE!</v>
      </c>
      <c r="S823" s="3" t="e">
        <f>IF(Q823 = "", "", Q823 - R823)</f>
        <v>#VALUE!</v>
      </c>
    </row>
    <row r="824">
      <c r="A824" s="2" t="s">
        <v>4112</v>
      </c>
      <c r="B824" s="3" t="str">
        <f>A824</f>
        <v>star-class-size-f025</v>
      </c>
      <c r="C824" s="2" t="s">
        <v>731</v>
      </c>
      <c r="D824" s="2">
        <v>0.25</v>
      </c>
      <c r="E824" s="3" t="e">
        <f>ABS(D824 - LOOKUP(C824, SweepStudyConfig[StudyId], SweepStudyConfig[OriginalAllocFractionA])) &lt; 0.03</f>
        <v>#VALUE!</v>
      </c>
      <c r="F824" s="3" t="e">
        <f>LOOKUP(C824, SweepStudyConfig[StudyId], SweepStudyConfig[NSweepStratumTotal])</f>
        <v>#VALUE!</v>
      </c>
      <c r="G824" s="3" t="e">
        <f>ROUND(F824 * D824)</f>
        <v>#VALUE!</v>
      </c>
      <c r="H824" s="3" t="e">
        <f>F824 - G824</f>
        <v>#VALUE!</v>
      </c>
      <c r="I824" s="3" t="e">
        <f>LOOKUP(C824, SweepStudyConfig[StudyId], SweepStudyConfig[NFixedA])</f>
        <v>#VALUE!</v>
      </c>
      <c r="J824" s="3" t="e">
        <f>LOOKUP(C824, SweepStudyConfig[StudyId], SweepStudyConfig[NFixedB])</f>
        <v>#VALUE!</v>
      </c>
      <c r="K824" s="3" t="e">
        <f>LOOKUP(C824, SweepStudyConfig[StudyId], SweepStudyConfig[SweepRateA])</f>
        <v>#VALUE!</v>
      </c>
      <c r="L824" s="3" t="e">
        <f>LOOKUP(C824, SweepStudyConfig[StudyId], SweepStudyConfig[SweepRateB])</f>
        <v>#VALUE!</v>
      </c>
      <c r="M824" s="3" t="e">
        <f>LOOKUP(C824, SweepStudyConfig[StudyId], SweepStudyConfig[FixedRateA])</f>
        <v>#VALUE!</v>
      </c>
      <c r="N824" s="3" t="e">
        <f>LOOKUP(C824, SweepStudyConfig[StudyId], SweepStudyConfig[FixedRateB])</f>
        <v>#VALUE!</v>
      </c>
      <c r="O824" s="3" t="e">
        <f>IF(G824 + I824 = 0, "", (G824 * K824 + I824 * M824) / (G824 + I824))</f>
        <v>#VALUE!</v>
      </c>
      <c r="P824" s="3" t="e">
        <f>IF(H824 + J824 = 0, "", (H824 * L824 + J824 * N824) / (H824 + J824))</f>
        <v>#VALUE!</v>
      </c>
      <c r="Q824" s="3" t="e">
        <f>IF(O824 = "", "", O824 - P824)</f>
        <v>#VALUE!</v>
      </c>
      <c r="R824" s="3" t="e">
        <f>LOOKUP(C824, SweepStudyConfig[StudyId], SweepStudyConfig[SweepCorrectedGap])</f>
        <v>#VALUE!</v>
      </c>
      <c r="S824" s="3" t="e">
        <f>IF(Q824 = "", "", Q824 - R824)</f>
        <v>#VALUE!</v>
      </c>
    </row>
    <row r="825">
      <c r="A825" s="2" t="s">
        <v>4113</v>
      </c>
      <c r="B825" s="3" t="str">
        <f>A825</f>
        <v>star-class-size-f035</v>
      </c>
      <c r="C825" s="2" t="s">
        <v>731</v>
      </c>
      <c r="D825" s="2">
        <v>0.35</v>
      </c>
      <c r="E825" s="3" t="e">
        <f>ABS(D825 - LOOKUP(C825, SweepStudyConfig[StudyId], SweepStudyConfig[OriginalAllocFractionA])) &lt; 0.03</f>
        <v>#VALUE!</v>
      </c>
      <c r="F825" s="3" t="e">
        <f>LOOKUP(C825, SweepStudyConfig[StudyId], SweepStudyConfig[NSweepStratumTotal])</f>
        <v>#VALUE!</v>
      </c>
      <c r="G825" s="3" t="e">
        <f>ROUND(F825 * D825)</f>
        <v>#VALUE!</v>
      </c>
      <c r="H825" s="3" t="e">
        <f>F825 - G825</f>
        <v>#VALUE!</v>
      </c>
      <c r="I825" s="3" t="e">
        <f>LOOKUP(C825, SweepStudyConfig[StudyId], SweepStudyConfig[NFixedA])</f>
        <v>#VALUE!</v>
      </c>
      <c r="J825" s="3" t="e">
        <f>LOOKUP(C825, SweepStudyConfig[StudyId], SweepStudyConfig[NFixedB])</f>
        <v>#VALUE!</v>
      </c>
      <c r="K825" s="3" t="e">
        <f>LOOKUP(C825, SweepStudyConfig[StudyId], SweepStudyConfig[SweepRateA])</f>
        <v>#VALUE!</v>
      </c>
      <c r="L825" s="3" t="e">
        <f>LOOKUP(C825, SweepStudyConfig[StudyId], SweepStudyConfig[SweepRateB])</f>
        <v>#VALUE!</v>
      </c>
      <c r="M825" s="3" t="e">
        <f>LOOKUP(C825, SweepStudyConfig[StudyId], SweepStudyConfig[FixedRateA])</f>
        <v>#VALUE!</v>
      </c>
      <c r="N825" s="3" t="e">
        <f>LOOKUP(C825, SweepStudyConfig[StudyId], SweepStudyConfig[FixedRateB])</f>
        <v>#VALUE!</v>
      </c>
      <c r="O825" s="3" t="e">
        <f>IF(G825 + I825 = 0, "", (G825 * K825 + I825 * M825) / (G825 + I825))</f>
        <v>#VALUE!</v>
      </c>
      <c r="P825" s="3" t="e">
        <f>IF(H825 + J825 = 0, "", (H825 * L825 + J825 * N825) / (H825 + J825))</f>
        <v>#VALUE!</v>
      </c>
      <c r="Q825" s="3" t="e">
        <f>IF(O825 = "", "", O825 - P825)</f>
        <v>#VALUE!</v>
      </c>
      <c r="R825" s="3" t="e">
        <f>LOOKUP(C825, SweepStudyConfig[StudyId], SweepStudyConfig[SweepCorrectedGap])</f>
        <v>#VALUE!</v>
      </c>
      <c r="S825" s="3" t="e">
        <f>IF(Q825 = "", "", Q825 - R825)</f>
        <v>#VALUE!</v>
      </c>
    </row>
    <row r="826">
      <c r="A826" s="2" t="s">
        <v>4114</v>
      </c>
      <c r="B826" s="3" t="str">
        <f>A826</f>
        <v>star-class-size-f045</v>
      </c>
      <c r="C826" s="2" t="s">
        <v>731</v>
      </c>
      <c r="D826" s="2">
        <v>0.45</v>
      </c>
      <c r="E826" s="3" t="e">
        <f>ABS(D826 - LOOKUP(C826, SweepStudyConfig[StudyId], SweepStudyConfig[OriginalAllocFractionA])) &lt; 0.03</f>
        <v>#VALUE!</v>
      </c>
      <c r="F826" s="3" t="e">
        <f>LOOKUP(C826, SweepStudyConfig[StudyId], SweepStudyConfig[NSweepStratumTotal])</f>
        <v>#VALUE!</v>
      </c>
      <c r="G826" s="3" t="e">
        <f>ROUND(F826 * D826)</f>
        <v>#VALUE!</v>
      </c>
      <c r="H826" s="3" t="e">
        <f>F826 - G826</f>
        <v>#VALUE!</v>
      </c>
      <c r="I826" s="3" t="e">
        <f>LOOKUP(C826, SweepStudyConfig[StudyId], SweepStudyConfig[NFixedA])</f>
        <v>#VALUE!</v>
      </c>
      <c r="J826" s="3" t="e">
        <f>LOOKUP(C826, SweepStudyConfig[StudyId], SweepStudyConfig[NFixedB])</f>
        <v>#VALUE!</v>
      </c>
      <c r="K826" s="3" t="e">
        <f>LOOKUP(C826, SweepStudyConfig[StudyId], SweepStudyConfig[SweepRateA])</f>
        <v>#VALUE!</v>
      </c>
      <c r="L826" s="3" t="e">
        <f>LOOKUP(C826, SweepStudyConfig[StudyId], SweepStudyConfig[SweepRateB])</f>
        <v>#VALUE!</v>
      </c>
      <c r="M826" s="3" t="e">
        <f>LOOKUP(C826, SweepStudyConfig[StudyId], SweepStudyConfig[FixedRateA])</f>
        <v>#VALUE!</v>
      </c>
      <c r="N826" s="3" t="e">
        <f>LOOKUP(C826, SweepStudyConfig[StudyId], SweepStudyConfig[FixedRateB])</f>
        <v>#VALUE!</v>
      </c>
      <c r="O826" s="3" t="e">
        <f>IF(G826 + I826 = 0, "", (G826 * K826 + I826 * M826) / (G826 + I826))</f>
        <v>#VALUE!</v>
      </c>
      <c r="P826" s="3" t="e">
        <f>IF(H826 + J826 = 0, "", (H826 * L826 + J826 * N826) / (H826 + J826))</f>
        <v>#VALUE!</v>
      </c>
      <c r="Q826" s="3" t="e">
        <f>IF(O826 = "", "", O826 - P826)</f>
        <v>#VALUE!</v>
      </c>
      <c r="R826" s="3" t="e">
        <f>LOOKUP(C826, SweepStudyConfig[StudyId], SweepStudyConfig[SweepCorrectedGap])</f>
        <v>#VALUE!</v>
      </c>
      <c r="S826" s="3" t="e">
        <f>IF(Q826 = "", "", Q826 - R826)</f>
        <v>#VALUE!</v>
      </c>
    </row>
    <row r="827">
      <c r="A827" s="2" t="s">
        <v>4115</v>
      </c>
      <c r="B827" s="3" t="str">
        <f>A827</f>
        <v>star-class-size-f055</v>
      </c>
      <c r="C827" s="2" t="s">
        <v>731</v>
      </c>
      <c r="D827" s="2">
        <v>0.55</v>
      </c>
      <c r="E827" s="3" t="e">
        <f>ABS(D827 - LOOKUP(C827, SweepStudyConfig[StudyId], SweepStudyConfig[OriginalAllocFractionA])) &lt; 0.03</f>
        <v>#VALUE!</v>
      </c>
      <c r="F827" s="3" t="e">
        <f>LOOKUP(C827, SweepStudyConfig[StudyId], SweepStudyConfig[NSweepStratumTotal])</f>
        <v>#VALUE!</v>
      </c>
      <c r="G827" s="3" t="e">
        <f>ROUND(F827 * D827)</f>
        <v>#VALUE!</v>
      </c>
      <c r="H827" s="3" t="e">
        <f>F827 - G827</f>
        <v>#VALUE!</v>
      </c>
      <c r="I827" s="3" t="e">
        <f>LOOKUP(C827, SweepStudyConfig[StudyId], SweepStudyConfig[NFixedA])</f>
        <v>#VALUE!</v>
      </c>
      <c r="J827" s="3" t="e">
        <f>LOOKUP(C827, SweepStudyConfig[StudyId], SweepStudyConfig[NFixedB])</f>
        <v>#VALUE!</v>
      </c>
      <c r="K827" s="3" t="e">
        <f>LOOKUP(C827, SweepStudyConfig[StudyId], SweepStudyConfig[SweepRateA])</f>
        <v>#VALUE!</v>
      </c>
      <c r="L827" s="3" t="e">
        <f>LOOKUP(C827, SweepStudyConfig[StudyId], SweepStudyConfig[SweepRateB])</f>
        <v>#VALUE!</v>
      </c>
      <c r="M827" s="3" t="e">
        <f>LOOKUP(C827, SweepStudyConfig[StudyId], SweepStudyConfig[FixedRateA])</f>
        <v>#VALUE!</v>
      </c>
      <c r="N827" s="3" t="e">
        <f>LOOKUP(C827, SweepStudyConfig[StudyId], SweepStudyConfig[FixedRateB])</f>
        <v>#VALUE!</v>
      </c>
      <c r="O827" s="3" t="e">
        <f>IF(G827 + I827 = 0, "", (G827 * K827 + I827 * M827) / (G827 + I827))</f>
        <v>#VALUE!</v>
      </c>
      <c r="P827" s="3" t="e">
        <f>IF(H827 + J827 = 0, "", (H827 * L827 + J827 * N827) / (H827 + J827))</f>
        <v>#VALUE!</v>
      </c>
      <c r="Q827" s="3" t="e">
        <f>IF(O827 = "", "", O827 - P827)</f>
        <v>#VALUE!</v>
      </c>
      <c r="R827" s="3" t="e">
        <f>LOOKUP(C827, SweepStudyConfig[StudyId], SweepStudyConfig[SweepCorrectedGap])</f>
        <v>#VALUE!</v>
      </c>
      <c r="S827" s="3" t="e">
        <f>IF(Q827 = "", "", Q827 - R827)</f>
        <v>#VALUE!</v>
      </c>
    </row>
    <row r="828">
      <c r="A828" s="2" t="s">
        <v>4116</v>
      </c>
      <c r="B828" s="3" t="str">
        <f>A828</f>
        <v>star-class-size-f065</v>
      </c>
      <c r="C828" s="2" t="s">
        <v>731</v>
      </c>
      <c r="D828" s="2">
        <v>0.65</v>
      </c>
      <c r="E828" s="3" t="e">
        <f>ABS(D828 - LOOKUP(C828, SweepStudyConfig[StudyId], SweepStudyConfig[OriginalAllocFractionA])) &lt; 0.03</f>
        <v>#VALUE!</v>
      </c>
      <c r="F828" s="3" t="e">
        <f>LOOKUP(C828, SweepStudyConfig[StudyId], SweepStudyConfig[NSweepStratumTotal])</f>
        <v>#VALUE!</v>
      </c>
      <c r="G828" s="3" t="e">
        <f>ROUND(F828 * D828)</f>
        <v>#VALUE!</v>
      </c>
      <c r="H828" s="3" t="e">
        <f>F828 - G828</f>
        <v>#VALUE!</v>
      </c>
      <c r="I828" s="3" t="e">
        <f>LOOKUP(C828, SweepStudyConfig[StudyId], SweepStudyConfig[NFixedA])</f>
        <v>#VALUE!</v>
      </c>
      <c r="J828" s="3" t="e">
        <f>LOOKUP(C828, SweepStudyConfig[StudyId], SweepStudyConfig[NFixedB])</f>
        <v>#VALUE!</v>
      </c>
      <c r="K828" s="3" t="e">
        <f>LOOKUP(C828, SweepStudyConfig[StudyId], SweepStudyConfig[SweepRateA])</f>
        <v>#VALUE!</v>
      </c>
      <c r="L828" s="3" t="e">
        <f>LOOKUP(C828, SweepStudyConfig[StudyId], SweepStudyConfig[SweepRateB])</f>
        <v>#VALUE!</v>
      </c>
      <c r="M828" s="3" t="e">
        <f>LOOKUP(C828, SweepStudyConfig[StudyId], SweepStudyConfig[FixedRateA])</f>
        <v>#VALUE!</v>
      </c>
      <c r="N828" s="3" t="e">
        <f>LOOKUP(C828, SweepStudyConfig[StudyId], SweepStudyConfig[FixedRateB])</f>
        <v>#VALUE!</v>
      </c>
      <c r="O828" s="3" t="e">
        <f>IF(G828 + I828 = 0, "", (G828 * K828 + I828 * M828) / (G828 + I828))</f>
        <v>#VALUE!</v>
      </c>
      <c r="P828" s="3" t="e">
        <f>IF(H828 + J828 = 0, "", (H828 * L828 + J828 * N828) / (H828 + J828))</f>
        <v>#VALUE!</v>
      </c>
      <c r="Q828" s="3" t="e">
        <f>IF(O828 = "", "", O828 - P828)</f>
        <v>#VALUE!</v>
      </c>
      <c r="R828" s="3" t="e">
        <f>LOOKUP(C828, SweepStudyConfig[StudyId], SweepStudyConfig[SweepCorrectedGap])</f>
        <v>#VALUE!</v>
      </c>
      <c r="S828" s="3" t="e">
        <f>IF(Q828 = "", "", Q828 - R828)</f>
        <v>#VALUE!</v>
      </c>
    </row>
    <row r="829">
      <c r="A829" s="2" t="s">
        <v>4117</v>
      </c>
      <c r="B829" s="3" t="str">
        <f>A829</f>
        <v>star-class-size-f075</v>
      </c>
      <c r="C829" s="2" t="s">
        <v>731</v>
      </c>
      <c r="D829" s="2">
        <v>0.75</v>
      </c>
      <c r="E829" s="3" t="e">
        <f>ABS(D829 - LOOKUP(C829, SweepStudyConfig[StudyId], SweepStudyConfig[OriginalAllocFractionA])) &lt; 0.03</f>
        <v>#VALUE!</v>
      </c>
      <c r="F829" s="3" t="e">
        <f>LOOKUP(C829, SweepStudyConfig[StudyId], SweepStudyConfig[NSweepStratumTotal])</f>
        <v>#VALUE!</v>
      </c>
      <c r="G829" s="3" t="e">
        <f>ROUND(F829 * D829)</f>
        <v>#VALUE!</v>
      </c>
      <c r="H829" s="3" t="e">
        <f>F829 - G829</f>
        <v>#VALUE!</v>
      </c>
      <c r="I829" s="3" t="e">
        <f>LOOKUP(C829, SweepStudyConfig[StudyId], SweepStudyConfig[NFixedA])</f>
        <v>#VALUE!</v>
      </c>
      <c r="J829" s="3" t="e">
        <f>LOOKUP(C829, SweepStudyConfig[StudyId], SweepStudyConfig[NFixedB])</f>
        <v>#VALUE!</v>
      </c>
      <c r="K829" s="3" t="e">
        <f>LOOKUP(C829, SweepStudyConfig[StudyId], SweepStudyConfig[SweepRateA])</f>
        <v>#VALUE!</v>
      </c>
      <c r="L829" s="3" t="e">
        <f>LOOKUP(C829, SweepStudyConfig[StudyId], SweepStudyConfig[SweepRateB])</f>
        <v>#VALUE!</v>
      </c>
      <c r="M829" s="3" t="e">
        <f>LOOKUP(C829, SweepStudyConfig[StudyId], SweepStudyConfig[FixedRateA])</f>
        <v>#VALUE!</v>
      </c>
      <c r="N829" s="3" t="e">
        <f>LOOKUP(C829, SweepStudyConfig[StudyId], SweepStudyConfig[FixedRateB])</f>
        <v>#VALUE!</v>
      </c>
      <c r="O829" s="3" t="e">
        <f>IF(G829 + I829 = 0, "", (G829 * K829 + I829 * M829) / (G829 + I829))</f>
        <v>#VALUE!</v>
      </c>
      <c r="P829" s="3" t="e">
        <f>IF(H829 + J829 = 0, "", (H829 * L829 + J829 * N829) / (H829 + J829))</f>
        <v>#VALUE!</v>
      </c>
      <c r="Q829" s="3" t="e">
        <f>IF(O829 = "", "", O829 - P829)</f>
        <v>#VALUE!</v>
      </c>
      <c r="R829" s="3" t="e">
        <f>LOOKUP(C829, SweepStudyConfig[StudyId], SweepStudyConfig[SweepCorrectedGap])</f>
        <v>#VALUE!</v>
      </c>
      <c r="S829" s="3" t="e">
        <f>IF(Q829 = "", "", Q829 - R829)</f>
        <v>#VALUE!</v>
      </c>
    </row>
    <row r="830">
      <c r="A830" s="2" t="s">
        <v>4118</v>
      </c>
      <c r="B830" s="3" t="str">
        <f>A830</f>
        <v>star-class-size-f085</v>
      </c>
      <c r="C830" s="2" t="s">
        <v>731</v>
      </c>
      <c r="D830" s="2">
        <v>0.85</v>
      </c>
      <c r="E830" s="3" t="e">
        <f>ABS(D830 - LOOKUP(C830, SweepStudyConfig[StudyId], SweepStudyConfig[OriginalAllocFractionA])) &lt; 0.03</f>
        <v>#VALUE!</v>
      </c>
      <c r="F830" s="3" t="e">
        <f>LOOKUP(C830, SweepStudyConfig[StudyId], SweepStudyConfig[NSweepStratumTotal])</f>
        <v>#VALUE!</v>
      </c>
      <c r="G830" s="3" t="e">
        <f>ROUND(F830 * D830)</f>
        <v>#VALUE!</v>
      </c>
      <c r="H830" s="3" t="e">
        <f>F830 - G830</f>
        <v>#VALUE!</v>
      </c>
      <c r="I830" s="3" t="e">
        <f>LOOKUP(C830, SweepStudyConfig[StudyId], SweepStudyConfig[NFixedA])</f>
        <v>#VALUE!</v>
      </c>
      <c r="J830" s="3" t="e">
        <f>LOOKUP(C830, SweepStudyConfig[StudyId], SweepStudyConfig[NFixedB])</f>
        <v>#VALUE!</v>
      </c>
      <c r="K830" s="3" t="e">
        <f>LOOKUP(C830, SweepStudyConfig[StudyId], SweepStudyConfig[SweepRateA])</f>
        <v>#VALUE!</v>
      </c>
      <c r="L830" s="3" t="e">
        <f>LOOKUP(C830, SweepStudyConfig[StudyId], SweepStudyConfig[SweepRateB])</f>
        <v>#VALUE!</v>
      </c>
      <c r="M830" s="3" t="e">
        <f>LOOKUP(C830, SweepStudyConfig[StudyId], SweepStudyConfig[FixedRateA])</f>
        <v>#VALUE!</v>
      </c>
      <c r="N830" s="3" t="e">
        <f>LOOKUP(C830, SweepStudyConfig[StudyId], SweepStudyConfig[FixedRateB])</f>
        <v>#VALUE!</v>
      </c>
      <c r="O830" s="3" t="e">
        <f>IF(G830 + I830 = 0, "", (G830 * K830 + I830 * M830) / (G830 + I830))</f>
        <v>#VALUE!</v>
      </c>
      <c r="P830" s="3" t="e">
        <f>IF(H830 + J830 = 0, "", (H830 * L830 + J830 * N830) / (H830 + J830))</f>
        <v>#VALUE!</v>
      </c>
      <c r="Q830" s="3" t="e">
        <f>IF(O830 = "", "", O830 - P830)</f>
        <v>#VALUE!</v>
      </c>
      <c r="R830" s="3" t="e">
        <f>LOOKUP(C830, SweepStudyConfig[StudyId], SweepStudyConfig[SweepCorrectedGap])</f>
        <v>#VALUE!</v>
      </c>
      <c r="S830" s="3" t="e">
        <f>IF(Q830 = "", "", Q830 - R830)</f>
        <v>#VALUE!</v>
      </c>
    </row>
    <row r="831">
      <c r="A831" s="2" t="s">
        <v>4119</v>
      </c>
      <c r="B831" s="3" t="str">
        <f>A831</f>
        <v>star-class-size-f095</v>
      </c>
      <c r="C831" s="2" t="s">
        <v>731</v>
      </c>
      <c r="D831" s="2">
        <v>0.95</v>
      </c>
      <c r="E831" s="3" t="e">
        <f>ABS(D831 - LOOKUP(C831, SweepStudyConfig[StudyId], SweepStudyConfig[OriginalAllocFractionA])) &lt; 0.03</f>
        <v>#VALUE!</v>
      </c>
      <c r="F831" s="3" t="e">
        <f>LOOKUP(C831, SweepStudyConfig[StudyId], SweepStudyConfig[NSweepStratumTotal])</f>
        <v>#VALUE!</v>
      </c>
      <c r="G831" s="3" t="e">
        <f>ROUND(F831 * D831)</f>
        <v>#VALUE!</v>
      </c>
      <c r="H831" s="3" t="e">
        <f>F831 - G831</f>
        <v>#VALUE!</v>
      </c>
      <c r="I831" s="3" t="e">
        <f>LOOKUP(C831, SweepStudyConfig[StudyId], SweepStudyConfig[NFixedA])</f>
        <v>#VALUE!</v>
      </c>
      <c r="J831" s="3" t="e">
        <f>LOOKUP(C831, SweepStudyConfig[StudyId], SweepStudyConfig[NFixedB])</f>
        <v>#VALUE!</v>
      </c>
      <c r="K831" s="3" t="e">
        <f>LOOKUP(C831, SweepStudyConfig[StudyId], SweepStudyConfig[SweepRateA])</f>
        <v>#VALUE!</v>
      </c>
      <c r="L831" s="3" t="e">
        <f>LOOKUP(C831, SweepStudyConfig[StudyId], SweepStudyConfig[SweepRateB])</f>
        <v>#VALUE!</v>
      </c>
      <c r="M831" s="3" t="e">
        <f>LOOKUP(C831, SweepStudyConfig[StudyId], SweepStudyConfig[FixedRateA])</f>
        <v>#VALUE!</v>
      </c>
      <c r="N831" s="3" t="e">
        <f>LOOKUP(C831, SweepStudyConfig[StudyId], SweepStudyConfig[FixedRateB])</f>
        <v>#VALUE!</v>
      </c>
      <c r="O831" s="3" t="e">
        <f>IF(G831 + I831 = 0, "", (G831 * K831 + I831 * M831) / (G831 + I831))</f>
        <v>#VALUE!</v>
      </c>
      <c r="P831" s="3" t="e">
        <f>IF(H831 + J831 = 0, "", (H831 * L831 + J831 * N831) / (H831 + J831))</f>
        <v>#VALUE!</v>
      </c>
      <c r="Q831" s="3" t="e">
        <f>IF(O831 = "", "", O831 - P831)</f>
        <v>#VALUE!</v>
      </c>
      <c r="R831" s="3" t="e">
        <f>LOOKUP(C831, SweepStudyConfig[StudyId], SweepStudyConfig[SweepCorrectedGap])</f>
        <v>#VALUE!</v>
      </c>
      <c r="S831" s="3" t="e">
        <f>IF(Q831 = "", "", Q831 - R831)</f>
        <v>#VALUE!</v>
      </c>
    </row>
    <row r="832">
      <c r="A832" s="2" t="s">
        <v>4120</v>
      </c>
      <c r="B832" s="3" t="str">
        <f>A832</f>
        <v>nba-shooting-shot-mix-f005</v>
      </c>
      <c r="C832" s="2" t="s">
        <v>735</v>
      </c>
      <c r="D832" s="2">
        <v>0.05</v>
      </c>
      <c r="E832" s="3" t="e">
        <f>ABS(D832 - LOOKUP(C832, SweepStudyConfig[StudyId], SweepStudyConfig[OriginalAllocFractionA])) &lt; 0.03</f>
        <v>#VALUE!</v>
      </c>
      <c r="F832" s="3" t="e">
        <f>LOOKUP(C832, SweepStudyConfig[StudyId], SweepStudyConfig[NSweepStratumTotal])</f>
        <v>#VALUE!</v>
      </c>
      <c r="G832" s="3" t="e">
        <f>ROUND(F832 * D832)</f>
        <v>#VALUE!</v>
      </c>
      <c r="H832" s="3" t="e">
        <f>F832 - G832</f>
        <v>#VALUE!</v>
      </c>
      <c r="I832" s="3" t="e">
        <f>LOOKUP(C832, SweepStudyConfig[StudyId], SweepStudyConfig[NFixedA])</f>
        <v>#VALUE!</v>
      </c>
      <c r="J832" s="3" t="e">
        <f>LOOKUP(C832, SweepStudyConfig[StudyId], SweepStudyConfig[NFixedB])</f>
        <v>#VALUE!</v>
      </c>
      <c r="K832" s="3" t="e">
        <f>LOOKUP(C832, SweepStudyConfig[StudyId], SweepStudyConfig[SweepRateA])</f>
        <v>#VALUE!</v>
      </c>
      <c r="L832" s="3" t="e">
        <f>LOOKUP(C832, SweepStudyConfig[StudyId], SweepStudyConfig[SweepRateB])</f>
        <v>#VALUE!</v>
      </c>
      <c r="M832" s="3" t="e">
        <f>LOOKUP(C832, SweepStudyConfig[StudyId], SweepStudyConfig[FixedRateA])</f>
        <v>#VALUE!</v>
      </c>
      <c r="N832" s="3" t="e">
        <f>LOOKUP(C832, SweepStudyConfig[StudyId], SweepStudyConfig[FixedRateB])</f>
        <v>#VALUE!</v>
      </c>
      <c r="O832" s="3" t="e">
        <f>IF(G832 + I832 = 0, "", (G832 * K832 + I832 * M832) / (G832 + I832))</f>
        <v>#VALUE!</v>
      </c>
      <c r="P832" s="3" t="e">
        <f>IF(H832 + J832 = 0, "", (H832 * L832 + J832 * N832) / (H832 + J832))</f>
        <v>#VALUE!</v>
      </c>
      <c r="Q832" s="3" t="e">
        <f>IF(O832 = "", "", O832 - P832)</f>
        <v>#VALUE!</v>
      </c>
      <c r="R832" s="3" t="e">
        <f>LOOKUP(C832, SweepStudyConfig[StudyId], SweepStudyConfig[SweepCorrectedGap])</f>
        <v>#VALUE!</v>
      </c>
      <c r="S832" s="3" t="e">
        <f>IF(Q832 = "", "", Q832 - R832)</f>
        <v>#VALUE!</v>
      </c>
    </row>
    <row r="833">
      <c r="A833" s="2" t="s">
        <v>4121</v>
      </c>
      <c r="B833" s="3" t="str">
        <f>A833</f>
        <v>nba-shooting-shot-mix-f015</v>
      </c>
      <c r="C833" s="2" t="s">
        <v>735</v>
      </c>
      <c r="D833" s="2">
        <v>0.15</v>
      </c>
      <c r="E833" s="3" t="e">
        <f>ABS(D833 - LOOKUP(C833, SweepStudyConfig[StudyId], SweepStudyConfig[OriginalAllocFractionA])) &lt; 0.03</f>
        <v>#VALUE!</v>
      </c>
      <c r="F833" s="3" t="e">
        <f>LOOKUP(C833, SweepStudyConfig[StudyId], SweepStudyConfig[NSweepStratumTotal])</f>
        <v>#VALUE!</v>
      </c>
      <c r="G833" s="3" t="e">
        <f>ROUND(F833 * D833)</f>
        <v>#VALUE!</v>
      </c>
      <c r="H833" s="3" t="e">
        <f>F833 - G833</f>
        <v>#VALUE!</v>
      </c>
      <c r="I833" s="3" t="e">
        <f>LOOKUP(C833, SweepStudyConfig[StudyId], SweepStudyConfig[NFixedA])</f>
        <v>#VALUE!</v>
      </c>
      <c r="J833" s="3" t="e">
        <f>LOOKUP(C833, SweepStudyConfig[StudyId], SweepStudyConfig[NFixedB])</f>
        <v>#VALUE!</v>
      </c>
      <c r="K833" s="3" t="e">
        <f>LOOKUP(C833, SweepStudyConfig[StudyId], SweepStudyConfig[SweepRateA])</f>
        <v>#VALUE!</v>
      </c>
      <c r="L833" s="3" t="e">
        <f>LOOKUP(C833, SweepStudyConfig[StudyId], SweepStudyConfig[SweepRateB])</f>
        <v>#VALUE!</v>
      </c>
      <c r="M833" s="3" t="e">
        <f>LOOKUP(C833, SweepStudyConfig[StudyId], SweepStudyConfig[FixedRateA])</f>
        <v>#VALUE!</v>
      </c>
      <c r="N833" s="3" t="e">
        <f>LOOKUP(C833, SweepStudyConfig[StudyId], SweepStudyConfig[FixedRateB])</f>
        <v>#VALUE!</v>
      </c>
      <c r="O833" s="3" t="e">
        <f>IF(G833 + I833 = 0, "", (G833 * K833 + I833 * M833) / (G833 + I833))</f>
        <v>#VALUE!</v>
      </c>
      <c r="P833" s="3" t="e">
        <f>IF(H833 + J833 = 0, "", (H833 * L833 + J833 * N833) / (H833 + J833))</f>
        <v>#VALUE!</v>
      </c>
      <c r="Q833" s="3" t="e">
        <f>IF(O833 = "", "", O833 - P833)</f>
        <v>#VALUE!</v>
      </c>
      <c r="R833" s="3" t="e">
        <f>LOOKUP(C833, SweepStudyConfig[StudyId], SweepStudyConfig[SweepCorrectedGap])</f>
        <v>#VALUE!</v>
      </c>
      <c r="S833" s="3" t="e">
        <f>IF(Q833 = "", "", Q833 - R833)</f>
        <v>#VALUE!</v>
      </c>
    </row>
    <row r="834">
      <c r="A834" s="2" t="s">
        <v>4122</v>
      </c>
      <c r="B834" s="3" t="str">
        <f>A834</f>
        <v>nba-shooting-shot-mix-f025</v>
      </c>
      <c r="C834" s="2" t="s">
        <v>735</v>
      </c>
      <c r="D834" s="2">
        <v>0.25</v>
      </c>
      <c r="E834" s="3" t="e">
        <f>ABS(D834 - LOOKUP(C834, SweepStudyConfig[StudyId], SweepStudyConfig[OriginalAllocFractionA])) &lt; 0.03</f>
        <v>#VALUE!</v>
      </c>
      <c r="F834" s="3" t="e">
        <f>LOOKUP(C834, SweepStudyConfig[StudyId], SweepStudyConfig[NSweepStratumTotal])</f>
        <v>#VALUE!</v>
      </c>
      <c r="G834" s="3" t="e">
        <f>ROUND(F834 * D834)</f>
        <v>#VALUE!</v>
      </c>
      <c r="H834" s="3" t="e">
        <f>F834 - G834</f>
        <v>#VALUE!</v>
      </c>
      <c r="I834" s="3" t="e">
        <f>LOOKUP(C834, SweepStudyConfig[StudyId], SweepStudyConfig[NFixedA])</f>
        <v>#VALUE!</v>
      </c>
      <c r="J834" s="3" t="e">
        <f>LOOKUP(C834, SweepStudyConfig[StudyId], SweepStudyConfig[NFixedB])</f>
        <v>#VALUE!</v>
      </c>
      <c r="K834" s="3" t="e">
        <f>LOOKUP(C834, SweepStudyConfig[StudyId], SweepStudyConfig[SweepRateA])</f>
        <v>#VALUE!</v>
      </c>
      <c r="L834" s="3" t="e">
        <f>LOOKUP(C834, SweepStudyConfig[StudyId], SweepStudyConfig[SweepRateB])</f>
        <v>#VALUE!</v>
      </c>
      <c r="M834" s="3" t="e">
        <f>LOOKUP(C834, SweepStudyConfig[StudyId], SweepStudyConfig[FixedRateA])</f>
        <v>#VALUE!</v>
      </c>
      <c r="N834" s="3" t="e">
        <f>LOOKUP(C834, SweepStudyConfig[StudyId], SweepStudyConfig[FixedRateB])</f>
        <v>#VALUE!</v>
      </c>
      <c r="O834" s="3" t="e">
        <f>IF(G834 + I834 = 0, "", (G834 * K834 + I834 * M834) / (G834 + I834))</f>
        <v>#VALUE!</v>
      </c>
      <c r="P834" s="3" t="e">
        <f>IF(H834 + J834 = 0, "", (H834 * L834 + J834 * N834) / (H834 + J834))</f>
        <v>#VALUE!</v>
      </c>
      <c r="Q834" s="3" t="e">
        <f>IF(O834 = "", "", O834 - P834)</f>
        <v>#VALUE!</v>
      </c>
      <c r="R834" s="3" t="e">
        <f>LOOKUP(C834, SweepStudyConfig[StudyId], SweepStudyConfig[SweepCorrectedGap])</f>
        <v>#VALUE!</v>
      </c>
      <c r="S834" s="3" t="e">
        <f>IF(Q834 = "", "", Q834 - R834)</f>
        <v>#VALUE!</v>
      </c>
    </row>
    <row r="835">
      <c r="A835" s="2" t="s">
        <v>4123</v>
      </c>
      <c r="B835" s="3" t="str">
        <f>A835</f>
        <v>nba-shooting-shot-mix-f035</v>
      </c>
      <c r="C835" s="2" t="s">
        <v>735</v>
      </c>
      <c r="D835" s="2">
        <v>0.35</v>
      </c>
      <c r="E835" s="3" t="e">
        <f>ABS(D835 - LOOKUP(C835, SweepStudyConfig[StudyId], SweepStudyConfig[OriginalAllocFractionA])) &lt; 0.03</f>
        <v>#VALUE!</v>
      </c>
      <c r="F835" s="3" t="e">
        <f>LOOKUP(C835, SweepStudyConfig[StudyId], SweepStudyConfig[NSweepStratumTotal])</f>
        <v>#VALUE!</v>
      </c>
      <c r="G835" s="3" t="e">
        <f>ROUND(F835 * D835)</f>
        <v>#VALUE!</v>
      </c>
      <c r="H835" s="3" t="e">
        <f>F835 - G835</f>
        <v>#VALUE!</v>
      </c>
      <c r="I835" s="3" t="e">
        <f>LOOKUP(C835, SweepStudyConfig[StudyId], SweepStudyConfig[NFixedA])</f>
        <v>#VALUE!</v>
      </c>
      <c r="J835" s="3" t="e">
        <f>LOOKUP(C835, SweepStudyConfig[StudyId], SweepStudyConfig[NFixedB])</f>
        <v>#VALUE!</v>
      </c>
      <c r="K835" s="3" t="e">
        <f>LOOKUP(C835, SweepStudyConfig[StudyId], SweepStudyConfig[SweepRateA])</f>
        <v>#VALUE!</v>
      </c>
      <c r="L835" s="3" t="e">
        <f>LOOKUP(C835, SweepStudyConfig[StudyId], SweepStudyConfig[SweepRateB])</f>
        <v>#VALUE!</v>
      </c>
      <c r="M835" s="3" t="e">
        <f>LOOKUP(C835, SweepStudyConfig[StudyId], SweepStudyConfig[FixedRateA])</f>
        <v>#VALUE!</v>
      </c>
      <c r="N835" s="3" t="e">
        <f>LOOKUP(C835, SweepStudyConfig[StudyId], SweepStudyConfig[FixedRateB])</f>
        <v>#VALUE!</v>
      </c>
      <c r="O835" s="3" t="e">
        <f>IF(G835 + I835 = 0, "", (G835 * K835 + I835 * M835) / (G835 + I835))</f>
        <v>#VALUE!</v>
      </c>
      <c r="P835" s="3" t="e">
        <f>IF(H835 + J835 = 0, "", (H835 * L835 + J835 * N835) / (H835 + J835))</f>
        <v>#VALUE!</v>
      </c>
      <c r="Q835" s="3" t="e">
        <f>IF(O835 = "", "", O835 - P835)</f>
        <v>#VALUE!</v>
      </c>
      <c r="R835" s="3" t="e">
        <f>LOOKUP(C835, SweepStudyConfig[StudyId], SweepStudyConfig[SweepCorrectedGap])</f>
        <v>#VALUE!</v>
      </c>
      <c r="S835" s="3" t="e">
        <f>IF(Q835 = "", "", Q835 - R835)</f>
        <v>#VALUE!</v>
      </c>
    </row>
    <row r="836">
      <c r="A836" s="2" t="s">
        <v>4124</v>
      </c>
      <c r="B836" s="3" t="str">
        <f>A836</f>
        <v>nba-shooting-shot-mix-f045</v>
      </c>
      <c r="C836" s="2" t="s">
        <v>735</v>
      </c>
      <c r="D836" s="2">
        <v>0.45</v>
      </c>
      <c r="E836" s="3" t="e">
        <f>ABS(D836 - LOOKUP(C836, SweepStudyConfig[StudyId], SweepStudyConfig[OriginalAllocFractionA])) &lt; 0.03</f>
        <v>#VALUE!</v>
      </c>
      <c r="F836" s="3" t="e">
        <f>LOOKUP(C836, SweepStudyConfig[StudyId], SweepStudyConfig[NSweepStratumTotal])</f>
        <v>#VALUE!</v>
      </c>
      <c r="G836" s="3" t="e">
        <f>ROUND(F836 * D836)</f>
        <v>#VALUE!</v>
      </c>
      <c r="H836" s="3" t="e">
        <f>F836 - G836</f>
        <v>#VALUE!</v>
      </c>
      <c r="I836" s="3" t="e">
        <f>LOOKUP(C836, SweepStudyConfig[StudyId], SweepStudyConfig[NFixedA])</f>
        <v>#VALUE!</v>
      </c>
      <c r="J836" s="3" t="e">
        <f>LOOKUP(C836, SweepStudyConfig[StudyId], SweepStudyConfig[NFixedB])</f>
        <v>#VALUE!</v>
      </c>
      <c r="K836" s="3" t="e">
        <f>LOOKUP(C836, SweepStudyConfig[StudyId], SweepStudyConfig[SweepRateA])</f>
        <v>#VALUE!</v>
      </c>
      <c r="L836" s="3" t="e">
        <f>LOOKUP(C836, SweepStudyConfig[StudyId], SweepStudyConfig[SweepRateB])</f>
        <v>#VALUE!</v>
      </c>
      <c r="M836" s="3" t="e">
        <f>LOOKUP(C836, SweepStudyConfig[StudyId], SweepStudyConfig[FixedRateA])</f>
        <v>#VALUE!</v>
      </c>
      <c r="N836" s="3" t="e">
        <f>LOOKUP(C836, SweepStudyConfig[StudyId], SweepStudyConfig[FixedRateB])</f>
        <v>#VALUE!</v>
      </c>
      <c r="O836" s="3" t="e">
        <f>IF(G836 + I836 = 0, "", (G836 * K836 + I836 * M836) / (G836 + I836))</f>
        <v>#VALUE!</v>
      </c>
      <c r="P836" s="3" t="e">
        <f>IF(H836 + J836 = 0, "", (H836 * L836 + J836 * N836) / (H836 + J836))</f>
        <v>#VALUE!</v>
      </c>
      <c r="Q836" s="3" t="e">
        <f>IF(O836 = "", "", O836 - P836)</f>
        <v>#VALUE!</v>
      </c>
      <c r="R836" s="3" t="e">
        <f>LOOKUP(C836, SweepStudyConfig[StudyId], SweepStudyConfig[SweepCorrectedGap])</f>
        <v>#VALUE!</v>
      </c>
      <c r="S836" s="3" t="e">
        <f>IF(Q836 = "", "", Q836 - R836)</f>
        <v>#VALUE!</v>
      </c>
    </row>
    <row r="837">
      <c r="A837" s="2" t="s">
        <v>4125</v>
      </c>
      <c r="B837" s="3" t="str">
        <f>A837</f>
        <v>nba-shooting-shot-mix-f055</v>
      </c>
      <c r="C837" s="2" t="s">
        <v>735</v>
      </c>
      <c r="D837" s="2">
        <v>0.55</v>
      </c>
      <c r="E837" s="3" t="e">
        <f>ABS(D837 - LOOKUP(C837, SweepStudyConfig[StudyId], SweepStudyConfig[OriginalAllocFractionA])) &lt; 0.03</f>
        <v>#VALUE!</v>
      </c>
      <c r="F837" s="3" t="e">
        <f>LOOKUP(C837, SweepStudyConfig[StudyId], SweepStudyConfig[NSweepStratumTotal])</f>
        <v>#VALUE!</v>
      </c>
      <c r="G837" s="3" t="e">
        <f>ROUND(F837 * D837)</f>
        <v>#VALUE!</v>
      </c>
      <c r="H837" s="3" t="e">
        <f>F837 - G837</f>
        <v>#VALUE!</v>
      </c>
      <c r="I837" s="3" t="e">
        <f>LOOKUP(C837, SweepStudyConfig[StudyId], SweepStudyConfig[NFixedA])</f>
        <v>#VALUE!</v>
      </c>
      <c r="J837" s="3" t="e">
        <f>LOOKUP(C837, SweepStudyConfig[StudyId], SweepStudyConfig[NFixedB])</f>
        <v>#VALUE!</v>
      </c>
      <c r="K837" s="3" t="e">
        <f>LOOKUP(C837, SweepStudyConfig[StudyId], SweepStudyConfig[SweepRateA])</f>
        <v>#VALUE!</v>
      </c>
      <c r="L837" s="3" t="e">
        <f>LOOKUP(C837, SweepStudyConfig[StudyId], SweepStudyConfig[SweepRateB])</f>
        <v>#VALUE!</v>
      </c>
      <c r="M837" s="3" t="e">
        <f>LOOKUP(C837, SweepStudyConfig[StudyId], SweepStudyConfig[FixedRateA])</f>
        <v>#VALUE!</v>
      </c>
      <c r="N837" s="3" t="e">
        <f>LOOKUP(C837, SweepStudyConfig[StudyId], SweepStudyConfig[FixedRateB])</f>
        <v>#VALUE!</v>
      </c>
      <c r="O837" s="3" t="e">
        <f>IF(G837 + I837 = 0, "", (G837 * K837 + I837 * M837) / (G837 + I837))</f>
        <v>#VALUE!</v>
      </c>
      <c r="P837" s="3" t="e">
        <f>IF(H837 + J837 = 0, "", (H837 * L837 + J837 * N837) / (H837 + J837))</f>
        <v>#VALUE!</v>
      </c>
      <c r="Q837" s="3" t="e">
        <f>IF(O837 = "", "", O837 - P837)</f>
        <v>#VALUE!</v>
      </c>
      <c r="R837" s="3" t="e">
        <f>LOOKUP(C837, SweepStudyConfig[StudyId], SweepStudyConfig[SweepCorrectedGap])</f>
        <v>#VALUE!</v>
      </c>
      <c r="S837" s="3" t="e">
        <f>IF(Q837 = "", "", Q837 - R837)</f>
        <v>#VALUE!</v>
      </c>
    </row>
    <row r="838">
      <c r="A838" s="2" t="s">
        <v>4126</v>
      </c>
      <c r="B838" s="3" t="str">
        <f>A838</f>
        <v>nba-shooting-shot-mix-f065</v>
      </c>
      <c r="C838" s="2" t="s">
        <v>735</v>
      </c>
      <c r="D838" s="2">
        <v>0.65</v>
      </c>
      <c r="E838" s="3" t="e">
        <f>ABS(D838 - LOOKUP(C838, SweepStudyConfig[StudyId], SweepStudyConfig[OriginalAllocFractionA])) &lt; 0.03</f>
        <v>#VALUE!</v>
      </c>
      <c r="F838" s="3" t="e">
        <f>LOOKUP(C838, SweepStudyConfig[StudyId], SweepStudyConfig[NSweepStratumTotal])</f>
        <v>#VALUE!</v>
      </c>
      <c r="G838" s="3" t="e">
        <f>ROUND(F838 * D838)</f>
        <v>#VALUE!</v>
      </c>
      <c r="H838" s="3" t="e">
        <f>F838 - G838</f>
        <v>#VALUE!</v>
      </c>
      <c r="I838" s="3" t="e">
        <f>LOOKUP(C838, SweepStudyConfig[StudyId], SweepStudyConfig[NFixedA])</f>
        <v>#VALUE!</v>
      </c>
      <c r="J838" s="3" t="e">
        <f>LOOKUP(C838, SweepStudyConfig[StudyId], SweepStudyConfig[NFixedB])</f>
        <v>#VALUE!</v>
      </c>
      <c r="K838" s="3" t="e">
        <f>LOOKUP(C838, SweepStudyConfig[StudyId], SweepStudyConfig[SweepRateA])</f>
        <v>#VALUE!</v>
      </c>
      <c r="L838" s="3" t="e">
        <f>LOOKUP(C838, SweepStudyConfig[StudyId], SweepStudyConfig[SweepRateB])</f>
        <v>#VALUE!</v>
      </c>
      <c r="M838" s="3" t="e">
        <f>LOOKUP(C838, SweepStudyConfig[StudyId], SweepStudyConfig[FixedRateA])</f>
        <v>#VALUE!</v>
      </c>
      <c r="N838" s="3" t="e">
        <f>LOOKUP(C838, SweepStudyConfig[StudyId], SweepStudyConfig[FixedRateB])</f>
        <v>#VALUE!</v>
      </c>
      <c r="O838" s="3" t="e">
        <f>IF(G838 + I838 = 0, "", (G838 * K838 + I838 * M838) / (G838 + I838))</f>
        <v>#VALUE!</v>
      </c>
      <c r="P838" s="3" t="e">
        <f>IF(H838 + J838 = 0, "", (H838 * L838 + J838 * N838) / (H838 + J838))</f>
        <v>#VALUE!</v>
      </c>
      <c r="Q838" s="3" t="e">
        <f>IF(O838 = "", "", O838 - P838)</f>
        <v>#VALUE!</v>
      </c>
      <c r="R838" s="3" t="e">
        <f>LOOKUP(C838, SweepStudyConfig[StudyId], SweepStudyConfig[SweepCorrectedGap])</f>
        <v>#VALUE!</v>
      </c>
      <c r="S838" s="3" t="e">
        <f>IF(Q838 = "", "", Q838 - R838)</f>
        <v>#VALUE!</v>
      </c>
    </row>
    <row r="839">
      <c r="A839" s="2" t="s">
        <v>4127</v>
      </c>
      <c r="B839" s="3" t="str">
        <f>A839</f>
        <v>nba-shooting-shot-mix-f075</v>
      </c>
      <c r="C839" s="2" t="s">
        <v>735</v>
      </c>
      <c r="D839" s="2">
        <v>0.75</v>
      </c>
      <c r="E839" s="3" t="e">
        <f>ABS(D839 - LOOKUP(C839, SweepStudyConfig[StudyId], SweepStudyConfig[OriginalAllocFractionA])) &lt; 0.03</f>
        <v>#VALUE!</v>
      </c>
      <c r="F839" s="3" t="e">
        <f>LOOKUP(C839, SweepStudyConfig[StudyId], SweepStudyConfig[NSweepStratumTotal])</f>
        <v>#VALUE!</v>
      </c>
      <c r="G839" s="3" t="e">
        <f>ROUND(F839 * D839)</f>
        <v>#VALUE!</v>
      </c>
      <c r="H839" s="3" t="e">
        <f>F839 - G839</f>
        <v>#VALUE!</v>
      </c>
      <c r="I839" s="3" t="e">
        <f>LOOKUP(C839, SweepStudyConfig[StudyId], SweepStudyConfig[NFixedA])</f>
        <v>#VALUE!</v>
      </c>
      <c r="J839" s="3" t="e">
        <f>LOOKUP(C839, SweepStudyConfig[StudyId], SweepStudyConfig[NFixedB])</f>
        <v>#VALUE!</v>
      </c>
      <c r="K839" s="3" t="e">
        <f>LOOKUP(C839, SweepStudyConfig[StudyId], SweepStudyConfig[SweepRateA])</f>
        <v>#VALUE!</v>
      </c>
      <c r="L839" s="3" t="e">
        <f>LOOKUP(C839, SweepStudyConfig[StudyId], SweepStudyConfig[SweepRateB])</f>
        <v>#VALUE!</v>
      </c>
      <c r="M839" s="3" t="e">
        <f>LOOKUP(C839, SweepStudyConfig[StudyId], SweepStudyConfig[FixedRateA])</f>
        <v>#VALUE!</v>
      </c>
      <c r="N839" s="3" t="e">
        <f>LOOKUP(C839, SweepStudyConfig[StudyId], SweepStudyConfig[FixedRateB])</f>
        <v>#VALUE!</v>
      </c>
      <c r="O839" s="3" t="e">
        <f>IF(G839 + I839 = 0, "", (G839 * K839 + I839 * M839) / (G839 + I839))</f>
        <v>#VALUE!</v>
      </c>
      <c r="P839" s="3" t="e">
        <f>IF(H839 + J839 = 0, "", (H839 * L839 + J839 * N839) / (H839 + J839))</f>
        <v>#VALUE!</v>
      </c>
      <c r="Q839" s="3" t="e">
        <f>IF(O839 = "", "", O839 - P839)</f>
        <v>#VALUE!</v>
      </c>
      <c r="R839" s="3" t="e">
        <f>LOOKUP(C839, SweepStudyConfig[StudyId], SweepStudyConfig[SweepCorrectedGap])</f>
        <v>#VALUE!</v>
      </c>
      <c r="S839" s="3" t="e">
        <f>IF(Q839 = "", "", Q839 - R839)</f>
        <v>#VALUE!</v>
      </c>
    </row>
    <row r="840">
      <c r="A840" s="2" t="s">
        <v>4128</v>
      </c>
      <c r="B840" s="3" t="str">
        <f>A840</f>
        <v>nba-shooting-shot-mix-f085</v>
      </c>
      <c r="C840" s="2" t="s">
        <v>735</v>
      </c>
      <c r="D840" s="2">
        <v>0.85</v>
      </c>
      <c r="E840" s="3" t="e">
        <f>ABS(D840 - LOOKUP(C840, SweepStudyConfig[StudyId], SweepStudyConfig[OriginalAllocFractionA])) &lt; 0.03</f>
        <v>#VALUE!</v>
      </c>
      <c r="F840" s="3" t="e">
        <f>LOOKUP(C840, SweepStudyConfig[StudyId], SweepStudyConfig[NSweepStratumTotal])</f>
        <v>#VALUE!</v>
      </c>
      <c r="G840" s="3" t="e">
        <f>ROUND(F840 * D840)</f>
        <v>#VALUE!</v>
      </c>
      <c r="H840" s="3" t="e">
        <f>F840 - G840</f>
        <v>#VALUE!</v>
      </c>
      <c r="I840" s="3" t="e">
        <f>LOOKUP(C840, SweepStudyConfig[StudyId], SweepStudyConfig[NFixedA])</f>
        <v>#VALUE!</v>
      </c>
      <c r="J840" s="3" t="e">
        <f>LOOKUP(C840, SweepStudyConfig[StudyId], SweepStudyConfig[NFixedB])</f>
        <v>#VALUE!</v>
      </c>
      <c r="K840" s="3" t="e">
        <f>LOOKUP(C840, SweepStudyConfig[StudyId], SweepStudyConfig[SweepRateA])</f>
        <v>#VALUE!</v>
      </c>
      <c r="L840" s="3" t="e">
        <f>LOOKUP(C840, SweepStudyConfig[StudyId], SweepStudyConfig[SweepRateB])</f>
        <v>#VALUE!</v>
      </c>
      <c r="M840" s="3" t="e">
        <f>LOOKUP(C840, SweepStudyConfig[StudyId], SweepStudyConfig[FixedRateA])</f>
        <v>#VALUE!</v>
      </c>
      <c r="N840" s="3" t="e">
        <f>LOOKUP(C840, SweepStudyConfig[StudyId], SweepStudyConfig[FixedRateB])</f>
        <v>#VALUE!</v>
      </c>
      <c r="O840" s="3" t="e">
        <f>IF(G840 + I840 = 0, "", (G840 * K840 + I840 * M840) / (G840 + I840))</f>
        <v>#VALUE!</v>
      </c>
      <c r="P840" s="3" t="e">
        <f>IF(H840 + J840 = 0, "", (H840 * L840 + J840 * N840) / (H840 + J840))</f>
        <v>#VALUE!</v>
      </c>
      <c r="Q840" s="3" t="e">
        <f>IF(O840 = "", "", O840 - P840)</f>
        <v>#VALUE!</v>
      </c>
      <c r="R840" s="3" t="e">
        <f>LOOKUP(C840, SweepStudyConfig[StudyId], SweepStudyConfig[SweepCorrectedGap])</f>
        <v>#VALUE!</v>
      </c>
      <c r="S840" s="3" t="e">
        <f>IF(Q840 = "", "", Q840 - R840)</f>
        <v>#VALUE!</v>
      </c>
    </row>
    <row r="841">
      <c r="A841" s="2" t="s">
        <v>4129</v>
      </c>
      <c r="B841" s="3" t="str">
        <f>A841</f>
        <v>nba-shooting-shot-mix-f095</v>
      </c>
      <c r="C841" s="2" t="s">
        <v>735</v>
      </c>
      <c r="D841" s="2">
        <v>0.95</v>
      </c>
      <c r="E841" s="3" t="e">
        <f>ABS(D841 - LOOKUP(C841, SweepStudyConfig[StudyId], SweepStudyConfig[OriginalAllocFractionA])) &lt; 0.03</f>
        <v>#VALUE!</v>
      </c>
      <c r="F841" s="3" t="e">
        <f>LOOKUP(C841, SweepStudyConfig[StudyId], SweepStudyConfig[NSweepStratumTotal])</f>
        <v>#VALUE!</v>
      </c>
      <c r="G841" s="3" t="e">
        <f>ROUND(F841 * D841)</f>
        <v>#VALUE!</v>
      </c>
      <c r="H841" s="3" t="e">
        <f>F841 - G841</f>
        <v>#VALUE!</v>
      </c>
      <c r="I841" s="3" t="e">
        <f>LOOKUP(C841, SweepStudyConfig[StudyId], SweepStudyConfig[NFixedA])</f>
        <v>#VALUE!</v>
      </c>
      <c r="J841" s="3" t="e">
        <f>LOOKUP(C841, SweepStudyConfig[StudyId], SweepStudyConfig[NFixedB])</f>
        <v>#VALUE!</v>
      </c>
      <c r="K841" s="3" t="e">
        <f>LOOKUP(C841, SweepStudyConfig[StudyId], SweepStudyConfig[SweepRateA])</f>
        <v>#VALUE!</v>
      </c>
      <c r="L841" s="3" t="e">
        <f>LOOKUP(C841, SweepStudyConfig[StudyId], SweepStudyConfig[SweepRateB])</f>
        <v>#VALUE!</v>
      </c>
      <c r="M841" s="3" t="e">
        <f>LOOKUP(C841, SweepStudyConfig[StudyId], SweepStudyConfig[FixedRateA])</f>
        <v>#VALUE!</v>
      </c>
      <c r="N841" s="3" t="e">
        <f>LOOKUP(C841, SweepStudyConfig[StudyId], SweepStudyConfig[FixedRateB])</f>
        <v>#VALUE!</v>
      </c>
      <c r="O841" s="3" t="e">
        <f>IF(G841 + I841 = 0, "", (G841 * K841 + I841 * M841) / (G841 + I841))</f>
        <v>#VALUE!</v>
      </c>
      <c r="P841" s="3" t="e">
        <f>IF(H841 + J841 = 0, "", (H841 * L841 + J841 * N841) / (H841 + J841))</f>
        <v>#VALUE!</v>
      </c>
      <c r="Q841" s="3" t="e">
        <f>IF(O841 = "", "", O841 - P841)</f>
        <v>#VALUE!</v>
      </c>
      <c r="R841" s="3" t="e">
        <f>LOOKUP(C841, SweepStudyConfig[StudyId], SweepStudyConfig[SweepCorrectedGap])</f>
        <v>#VALUE!</v>
      </c>
      <c r="S841" s="3" t="e">
        <f>IF(Q841 = "", "", Q841 - R841)</f>
        <v>#VALUE!</v>
      </c>
    </row>
    <row r="842">
      <c r="A842" s="2" t="s">
        <v>4130</v>
      </c>
      <c r="B842" s="3" t="str">
        <f>A842</f>
        <v>pitcher-era-ballpark-f005</v>
      </c>
      <c r="C842" s="2" t="s">
        <v>739</v>
      </c>
      <c r="D842" s="2">
        <v>0.05</v>
      </c>
      <c r="E842" s="3" t="e">
        <f>ABS(D842 - LOOKUP(C842, SweepStudyConfig[StudyId], SweepStudyConfig[OriginalAllocFractionA])) &lt; 0.03</f>
        <v>#VALUE!</v>
      </c>
      <c r="F842" s="3" t="e">
        <f>LOOKUP(C842, SweepStudyConfig[StudyId], SweepStudyConfig[NSweepStratumTotal])</f>
        <v>#VALUE!</v>
      </c>
      <c r="G842" s="3" t="e">
        <f>ROUND(F842 * D842)</f>
        <v>#VALUE!</v>
      </c>
      <c r="H842" s="3" t="e">
        <f>F842 - G842</f>
        <v>#VALUE!</v>
      </c>
      <c r="I842" s="3" t="e">
        <f>LOOKUP(C842, SweepStudyConfig[StudyId], SweepStudyConfig[NFixedA])</f>
        <v>#VALUE!</v>
      </c>
      <c r="J842" s="3" t="e">
        <f>LOOKUP(C842, SweepStudyConfig[StudyId], SweepStudyConfig[NFixedB])</f>
        <v>#VALUE!</v>
      </c>
      <c r="K842" s="3" t="e">
        <f>LOOKUP(C842, SweepStudyConfig[StudyId], SweepStudyConfig[SweepRateA])</f>
        <v>#VALUE!</v>
      </c>
      <c r="L842" s="3" t="e">
        <f>LOOKUP(C842, SweepStudyConfig[StudyId], SweepStudyConfig[SweepRateB])</f>
        <v>#VALUE!</v>
      </c>
      <c r="M842" s="3" t="e">
        <f>LOOKUP(C842, SweepStudyConfig[StudyId], SweepStudyConfig[FixedRateA])</f>
        <v>#VALUE!</v>
      </c>
      <c r="N842" s="3" t="e">
        <f>LOOKUP(C842, SweepStudyConfig[StudyId], SweepStudyConfig[FixedRateB])</f>
        <v>#VALUE!</v>
      </c>
      <c r="O842" s="3" t="e">
        <f>IF(G842 + I842 = 0, "", (G842 * K842 + I842 * M842) / (G842 + I842))</f>
        <v>#VALUE!</v>
      </c>
      <c r="P842" s="3" t="e">
        <f>IF(H842 + J842 = 0, "", (H842 * L842 + J842 * N842) / (H842 + J842))</f>
        <v>#VALUE!</v>
      </c>
      <c r="Q842" s="3" t="e">
        <f>IF(O842 = "", "", O842 - P842)</f>
        <v>#VALUE!</v>
      </c>
      <c r="R842" s="3" t="e">
        <f>LOOKUP(C842, SweepStudyConfig[StudyId], SweepStudyConfig[SweepCorrectedGap])</f>
        <v>#VALUE!</v>
      </c>
      <c r="S842" s="3" t="e">
        <f>IF(Q842 = "", "", Q842 - R842)</f>
        <v>#VALUE!</v>
      </c>
    </row>
    <row r="843">
      <c r="A843" s="2" t="s">
        <v>4131</v>
      </c>
      <c r="B843" s="3" t="str">
        <f>A843</f>
        <v>pitcher-era-ballpark-f015</v>
      </c>
      <c r="C843" s="2" t="s">
        <v>739</v>
      </c>
      <c r="D843" s="2">
        <v>0.15</v>
      </c>
      <c r="E843" s="3" t="e">
        <f>ABS(D843 - LOOKUP(C843, SweepStudyConfig[StudyId], SweepStudyConfig[OriginalAllocFractionA])) &lt; 0.03</f>
        <v>#VALUE!</v>
      </c>
      <c r="F843" s="3" t="e">
        <f>LOOKUP(C843, SweepStudyConfig[StudyId], SweepStudyConfig[NSweepStratumTotal])</f>
        <v>#VALUE!</v>
      </c>
      <c r="G843" s="3" t="e">
        <f>ROUND(F843 * D843)</f>
        <v>#VALUE!</v>
      </c>
      <c r="H843" s="3" t="e">
        <f>F843 - G843</f>
        <v>#VALUE!</v>
      </c>
      <c r="I843" s="3" t="e">
        <f>LOOKUP(C843, SweepStudyConfig[StudyId], SweepStudyConfig[NFixedA])</f>
        <v>#VALUE!</v>
      </c>
      <c r="J843" s="3" t="e">
        <f>LOOKUP(C843, SweepStudyConfig[StudyId], SweepStudyConfig[NFixedB])</f>
        <v>#VALUE!</v>
      </c>
      <c r="K843" s="3" t="e">
        <f>LOOKUP(C843, SweepStudyConfig[StudyId], SweepStudyConfig[SweepRateA])</f>
        <v>#VALUE!</v>
      </c>
      <c r="L843" s="3" t="e">
        <f>LOOKUP(C843, SweepStudyConfig[StudyId], SweepStudyConfig[SweepRateB])</f>
        <v>#VALUE!</v>
      </c>
      <c r="M843" s="3" t="e">
        <f>LOOKUP(C843, SweepStudyConfig[StudyId], SweepStudyConfig[FixedRateA])</f>
        <v>#VALUE!</v>
      </c>
      <c r="N843" s="3" t="e">
        <f>LOOKUP(C843, SweepStudyConfig[StudyId], SweepStudyConfig[FixedRateB])</f>
        <v>#VALUE!</v>
      </c>
      <c r="O843" s="3" t="e">
        <f>IF(G843 + I843 = 0, "", (G843 * K843 + I843 * M843) / (G843 + I843))</f>
        <v>#VALUE!</v>
      </c>
      <c r="P843" s="3" t="e">
        <f>IF(H843 + J843 = 0, "", (H843 * L843 + J843 * N843) / (H843 + J843))</f>
        <v>#VALUE!</v>
      </c>
      <c r="Q843" s="3" t="e">
        <f>IF(O843 = "", "", O843 - P843)</f>
        <v>#VALUE!</v>
      </c>
      <c r="R843" s="3" t="e">
        <f>LOOKUP(C843, SweepStudyConfig[StudyId], SweepStudyConfig[SweepCorrectedGap])</f>
        <v>#VALUE!</v>
      </c>
      <c r="S843" s="3" t="e">
        <f>IF(Q843 = "", "", Q843 - R843)</f>
        <v>#VALUE!</v>
      </c>
    </row>
    <row r="844">
      <c r="A844" s="2" t="s">
        <v>4132</v>
      </c>
      <c r="B844" s="3" t="str">
        <f>A844</f>
        <v>pitcher-era-ballpark-f025</v>
      </c>
      <c r="C844" s="2" t="s">
        <v>739</v>
      </c>
      <c r="D844" s="2">
        <v>0.25</v>
      </c>
      <c r="E844" s="3" t="e">
        <f>ABS(D844 - LOOKUP(C844, SweepStudyConfig[StudyId], SweepStudyConfig[OriginalAllocFractionA])) &lt; 0.03</f>
        <v>#VALUE!</v>
      </c>
      <c r="F844" s="3" t="e">
        <f>LOOKUP(C844, SweepStudyConfig[StudyId], SweepStudyConfig[NSweepStratumTotal])</f>
        <v>#VALUE!</v>
      </c>
      <c r="G844" s="3" t="e">
        <f>ROUND(F844 * D844)</f>
        <v>#VALUE!</v>
      </c>
      <c r="H844" s="3" t="e">
        <f>F844 - G844</f>
        <v>#VALUE!</v>
      </c>
      <c r="I844" s="3" t="e">
        <f>LOOKUP(C844, SweepStudyConfig[StudyId], SweepStudyConfig[NFixedA])</f>
        <v>#VALUE!</v>
      </c>
      <c r="J844" s="3" t="e">
        <f>LOOKUP(C844, SweepStudyConfig[StudyId], SweepStudyConfig[NFixedB])</f>
        <v>#VALUE!</v>
      </c>
      <c r="K844" s="3" t="e">
        <f>LOOKUP(C844, SweepStudyConfig[StudyId], SweepStudyConfig[SweepRateA])</f>
        <v>#VALUE!</v>
      </c>
      <c r="L844" s="3" t="e">
        <f>LOOKUP(C844, SweepStudyConfig[StudyId], SweepStudyConfig[SweepRateB])</f>
        <v>#VALUE!</v>
      </c>
      <c r="M844" s="3" t="e">
        <f>LOOKUP(C844, SweepStudyConfig[StudyId], SweepStudyConfig[FixedRateA])</f>
        <v>#VALUE!</v>
      </c>
      <c r="N844" s="3" t="e">
        <f>LOOKUP(C844, SweepStudyConfig[StudyId], SweepStudyConfig[FixedRateB])</f>
        <v>#VALUE!</v>
      </c>
      <c r="O844" s="3" t="e">
        <f>IF(G844 + I844 = 0, "", (G844 * K844 + I844 * M844) / (G844 + I844))</f>
        <v>#VALUE!</v>
      </c>
      <c r="P844" s="3" t="e">
        <f>IF(H844 + J844 = 0, "", (H844 * L844 + J844 * N844) / (H844 + J844))</f>
        <v>#VALUE!</v>
      </c>
      <c r="Q844" s="3" t="e">
        <f>IF(O844 = "", "", O844 - P844)</f>
        <v>#VALUE!</v>
      </c>
      <c r="R844" s="3" t="e">
        <f>LOOKUP(C844, SweepStudyConfig[StudyId], SweepStudyConfig[SweepCorrectedGap])</f>
        <v>#VALUE!</v>
      </c>
      <c r="S844" s="3" t="e">
        <f>IF(Q844 = "", "", Q844 - R844)</f>
        <v>#VALUE!</v>
      </c>
    </row>
    <row r="845">
      <c r="A845" s="2" t="s">
        <v>4133</v>
      </c>
      <c r="B845" s="3" t="str">
        <f>A845</f>
        <v>pitcher-era-ballpark-f035</v>
      </c>
      <c r="C845" s="2" t="s">
        <v>739</v>
      </c>
      <c r="D845" s="2">
        <v>0.35</v>
      </c>
      <c r="E845" s="3" t="e">
        <f>ABS(D845 - LOOKUP(C845, SweepStudyConfig[StudyId], SweepStudyConfig[OriginalAllocFractionA])) &lt; 0.03</f>
        <v>#VALUE!</v>
      </c>
      <c r="F845" s="3" t="e">
        <f>LOOKUP(C845, SweepStudyConfig[StudyId], SweepStudyConfig[NSweepStratumTotal])</f>
        <v>#VALUE!</v>
      </c>
      <c r="G845" s="3" t="e">
        <f>ROUND(F845 * D845)</f>
        <v>#VALUE!</v>
      </c>
      <c r="H845" s="3" t="e">
        <f>F845 - G845</f>
        <v>#VALUE!</v>
      </c>
      <c r="I845" s="3" t="e">
        <f>LOOKUP(C845, SweepStudyConfig[StudyId], SweepStudyConfig[NFixedA])</f>
        <v>#VALUE!</v>
      </c>
      <c r="J845" s="3" t="e">
        <f>LOOKUP(C845, SweepStudyConfig[StudyId], SweepStudyConfig[NFixedB])</f>
        <v>#VALUE!</v>
      </c>
      <c r="K845" s="3" t="e">
        <f>LOOKUP(C845, SweepStudyConfig[StudyId], SweepStudyConfig[SweepRateA])</f>
        <v>#VALUE!</v>
      </c>
      <c r="L845" s="3" t="e">
        <f>LOOKUP(C845, SweepStudyConfig[StudyId], SweepStudyConfig[SweepRateB])</f>
        <v>#VALUE!</v>
      </c>
      <c r="M845" s="3" t="e">
        <f>LOOKUP(C845, SweepStudyConfig[StudyId], SweepStudyConfig[FixedRateA])</f>
        <v>#VALUE!</v>
      </c>
      <c r="N845" s="3" t="e">
        <f>LOOKUP(C845, SweepStudyConfig[StudyId], SweepStudyConfig[FixedRateB])</f>
        <v>#VALUE!</v>
      </c>
      <c r="O845" s="3" t="e">
        <f>IF(G845 + I845 = 0, "", (G845 * K845 + I845 * M845) / (G845 + I845))</f>
        <v>#VALUE!</v>
      </c>
      <c r="P845" s="3" t="e">
        <f>IF(H845 + J845 = 0, "", (H845 * L845 + J845 * N845) / (H845 + J845))</f>
        <v>#VALUE!</v>
      </c>
      <c r="Q845" s="3" t="e">
        <f>IF(O845 = "", "", O845 - P845)</f>
        <v>#VALUE!</v>
      </c>
      <c r="R845" s="3" t="e">
        <f>LOOKUP(C845, SweepStudyConfig[StudyId], SweepStudyConfig[SweepCorrectedGap])</f>
        <v>#VALUE!</v>
      </c>
      <c r="S845" s="3" t="e">
        <f>IF(Q845 = "", "", Q845 - R845)</f>
        <v>#VALUE!</v>
      </c>
    </row>
    <row r="846">
      <c r="A846" s="2" t="s">
        <v>4134</v>
      </c>
      <c r="B846" s="3" t="str">
        <f>A846</f>
        <v>pitcher-era-ballpark-f045</v>
      </c>
      <c r="C846" s="2" t="s">
        <v>739</v>
      </c>
      <c r="D846" s="2">
        <v>0.45</v>
      </c>
      <c r="E846" s="3" t="e">
        <f>ABS(D846 - LOOKUP(C846, SweepStudyConfig[StudyId], SweepStudyConfig[OriginalAllocFractionA])) &lt; 0.03</f>
        <v>#VALUE!</v>
      </c>
      <c r="F846" s="3" t="e">
        <f>LOOKUP(C846, SweepStudyConfig[StudyId], SweepStudyConfig[NSweepStratumTotal])</f>
        <v>#VALUE!</v>
      </c>
      <c r="G846" s="3" t="e">
        <f>ROUND(F846 * D846)</f>
        <v>#VALUE!</v>
      </c>
      <c r="H846" s="3" t="e">
        <f>F846 - G846</f>
        <v>#VALUE!</v>
      </c>
      <c r="I846" s="3" t="e">
        <f>LOOKUP(C846, SweepStudyConfig[StudyId], SweepStudyConfig[NFixedA])</f>
        <v>#VALUE!</v>
      </c>
      <c r="J846" s="3" t="e">
        <f>LOOKUP(C846, SweepStudyConfig[StudyId], SweepStudyConfig[NFixedB])</f>
        <v>#VALUE!</v>
      </c>
      <c r="K846" s="3" t="e">
        <f>LOOKUP(C846, SweepStudyConfig[StudyId], SweepStudyConfig[SweepRateA])</f>
        <v>#VALUE!</v>
      </c>
      <c r="L846" s="3" t="e">
        <f>LOOKUP(C846, SweepStudyConfig[StudyId], SweepStudyConfig[SweepRateB])</f>
        <v>#VALUE!</v>
      </c>
      <c r="M846" s="3" t="e">
        <f>LOOKUP(C846, SweepStudyConfig[StudyId], SweepStudyConfig[FixedRateA])</f>
        <v>#VALUE!</v>
      </c>
      <c r="N846" s="3" t="e">
        <f>LOOKUP(C846, SweepStudyConfig[StudyId], SweepStudyConfig[FixedRateB])</f>
        <v>#VALUE!</v>
      </c>
      <c r="O846" s="3" t="e">
        <f>IF(G846 + I846 = 0, "", (G846 * K846 + I846 * M846) / (G846 + I846))</f>
        <v>#VALUE!</v>
      </c>
      <c r="P846" s="3" t="e">
        <f>IF(H846 + J846 = 0, "", (H846 * L846 + J846 * N846) / (H846 + J846))</f>
        <v>#VALUE!</v>
      </c>
      <c r="Q846" s="3" t="e">
        <f>IF(O846 = "", "", O846 - P846)</f>
        <v>#VALUE!</v>
      </c>
      <c r="R846" s="3" t="e">
        <f>LOOKUP(C846, SweepStudyConfig[StudyId], SweepStudyConfig[SweepCorrectedGap])</f>
        <v>#VALUE!</v>
      </c>
      <c r="S846" s="3" t="e">
        <f>IF(Q846 = "", "", Q846 - R846)</f>
        <v>#VALUE!</v>
      </c>
    </row>
    <row r="847">
      <c r="A847" s="2" t="s">
        <v>4135</v>
      </c>
      <c r="B847" s="3" t="str">
        <f>A847</f>
        <v>pitcher-era-ballpark-f055</v>
      </c>
      <c r="C847" s="2" t="s">
        <v>739</v>
      </c>
      <c r="D847" s="2">
        <v>0.55</v>
      </c>
      <c r="E847" s="3" t="e">
        <f>ABS(D847 - LOOKUP(C847, SweepStudyConfig[StudyId], SweepStudyConfig[OriginalAllocFractionA])) &lt; 0.03</f>
        <v>#VALUE!</v>
      </c>
      <c r="F847" s="3" t="e">
        <f>LOOKUP(C847, SweepStudyConfig[StudyId], SweepStudyConfig[NSweepStratumTotal])</f>
        <v>#VALUE!</v>
      </c>
      <c r="G847" s="3" t="e">
        <f>ROUND(F847 * D847)</f>
        <v>#VALUE!</v>
      </c>
      <c r="H847" s="3" t="e">
        <f>F847 - G847</f>
        <v>#VALUE!</v>
      </c>
      <c r="I847" s="3" t="e">
        <f>LOOKUP(C847, SweepStudyConfig[StudyId], SweepStudyConfig[NFixedA])</f>
        <v>#VALUE!</v>
      </c>
      <c r="J847" s="3" t="e">
        <f>LOOKUP(C847, SweepStudyConfig[StudyId], SweepStudyConfig[NFixedB])</f>
        <v>#VALUE!</v>
      </c>
      <c r="K847" s="3" t="e">
        <f>LOOKUP(C847, SweepStudyConfig[StudyId], SweepStudyConfig[SweepRateA])</f>
        <v>#VALUE!</v>
      </c>
      <c r="L847" s="3" t="e">
        <f>LOOKUP(C847, SweepStudyConfig[StudyId], SweepStudyConfig[SweepRateB])</f>
        <v>#VALUE!</v>
      </c>
      <c r="M847" s="3" t="e">
        <f>LOOKUP(C847, SweepStudyConfig[StudyId], SweepStudyConfig[FixedRateA])</f>
        <v>#VALUE!</v>
      </c>
      <c r="N847" s="3" t="e">
        <f>LOOKUP(C847, SweepStudyConfig[StudyId], SweepStudyConfig[FixedRateB])</f>
        <v>#VALUE!</v>
      </c>
      <c r="O847" s="3" t="e">
        <f>IF(G847 + I847 = 0, "", (G847 * K847 + I847 * M847) / (G847 + I847))</f>
        <v>#VALUE!</v>
      </c>
      <c r="P847" s="3" t="e">
        <f>IF(H847 + J847 = 0, "", (H847 * L847 + J847 * N847) / (H847 + J847))</f>
        <v>#VALUE!</v>
      </c>
      <c r="Q847" s="3" t="e">
        <f>IF(O847 = "", "", O847 - P847)</f>
        <v>#VALUE!</v>
      </c>
      <c r="R847" s="3" t="e">
        <f>LOOKUP(C847, SweepStudyConfig[StudyId], SweepStudyConfig[SweepCorrectedGap])</f>
        <v>#VALUE!</v>
      </c>
      <c r="S847" s="3" t="e">
        <f>IF(Q847 = "", "", Q847 - R847)</f>
        <v>#VALUE!</v>
      </c>
    </row>
    <row r="848">
      <c r="A848" s="2" t="s">
        <v>4136</v>
      </c>
      <c r="B848" s="3" t="str">
        <f>A848</f>
        <v>pitcher-era-ballpark-f065</v>
      </c>
      <c r="C848" s="2" t="s">
        <v>739</v>
      </c>
      <c r="D848" s="2">
        <v>0.65</v>
      </c>
      <c r="E848" s="3" t="e">
        <f>ABS(D848 - LOOKUP(C848, SweepStudyConfig[StudyId], SweepStudyConfig[OriginalAllocFractionA])) &lt; 0.03</f>
        <v>#VALUE!</v>
      </c>
      <c r="F848" s="3" t="e">
        <f>LOOKUP(C848, SweepStudyConfig[StudyId], SweepStudyConfig[NSweepStratumTotal])</f>
        <v>#VALUE!</v>
      </c>
      <c r="G848" s="3" t="e">
        <f>ROUND(F848 * D848)</f>
        <v>#VALUE!</v>
      </c>
      <c r="H848" s="3" t="e">
        <f>F848 - G848</f>
        <v>#VALUE!</v>
      </c>
      <c r="I848" s="3" t="e">
        <f>LOOKUP(C848, SweepStudyConfig[StudyId], SweepStudyConfig[NFixedA])</f>
        <v>#VALUE!</v>
      </c>
      <c r="J848" s="3" t="e">
        <f>LOOKUP(C848, SweepStudyConfig[StudyId], SweepStudyConfig[NFixedB])</f>
        <v>#VALUE!</v>
      </c>
      <c r="K848" s="3" t="e">
        <f>LOOKUP(C848, SweepStudyConfig[StudyId], SweepStudyConfig[SweepRateA])</f>
        <v>#VALUE!</v>
      </c>
      <c r="L848" s="3" t="e">
        <f>LOOKUP(C848, SweepStudyConfig[StudyId], SweepStudyConfig[SweepRateB])</f>
        <v>#VALUE!</v>
      </c>
      <c r="M848" s="3" t="e">
        <f>LOOKUP(C848, SweepStudyConfig[StudyId], SweepStudyConfig[FixedRateA])</f>
        <v>#VALUE!</v>
      </c>
      <c r="N848" s="3" t="e">
        <f>LOOKUP(C848, SweepStudyConfig[StudyId], SweepStudyConfig[FixedRateB])</f>
        <v>#VALUE!</v>
      </c>
      <c r="O848" s="3" t="e">
        <f>IF(G848 + I848 = 0, "", (G848 * K848 + I848 * M848) / (G848 + I848))</f>
        <v>#VALUE!</v>
      </c>
      <c r="P848" s="3" t="e">
        <f>IF(H848 + J848 = 0, "", (H848 * L848 + J848 * N848) / (H848 + J848))</f>
        <v>#VALUE!</v>
      </c>
      <c r="Q848" s="3" t="e">
        <f>IF(O848 = "", "", O848 - P848)</f>
        <v>#VALUE!</v>
      </c>
      <c r="R848" s="3" t="e">
        <f>LOOKUP(C848, SweepStudyConfig[StudyId], SweepStudyConfig[SweepCorrectedGap])</f>
        <v>#VALUE!</v>
      </c>
      <c r="S848" s="3" t="e">
        <f>IF(Q848 = "", "", Q848 - R848)</f>
        <v>#VALUE!</v>
      </c>
    </row>
    <row r="849">
      <c r="A849" s="2" t="s">
        <v>4137</v>
      </c>
      <c r="B849" s="3" t="str">
        <f>A849</f>
        <v>pitcher-era-ballpark-f075</v>
      </c>
      <c r="C849" s="2" t="s">
        <v>739</v>
      </c>
      <c r="D849" s="2">
        <v>0.75</v>
      </c>
      <c r="E849" s="3" t="e">
        <f>ABS(D849 - LOOKUP(C849, SweepStudyConfig[StudyId], SweepStudyConfig[OriginalAllocFractionA])) &lt; 0.03</f>
        <v>#VALUE!</v>
      </c>
      <c r="F849" s="3" t="e">
        <f>LOOKUP(C849, SweepStudyConfig[StudyId], SweepStudyConfig[NSweepStratumTotal])</f>
        <v>#VALUE!</v>
      </c>
      <c r="G849" s="3" t="e">
        <f>ROUND(F849 * D849)</f>
        <v>#VALUE!</v>
      </c>
      <c r="H849" s="3" t="e">
        <f>F849 - G849</f>
        <v>#VALUE!</v>
      </c>
      <c r="I849" s="3" t="e">
        <f>LOOKUP(C849, SweepStudyConfig[StudyId], SweepStudyConfig[NFixedA])</f>
        <v>#VALUE!</v>
      </c>
      <c r="J849" s="3" t="e">
        <f>LOOKUP(C849, SweepStudyConfig[StudyId], SweepStudyConfig[NFixedB])</f>
        <v>#VALUE!</v>
      </c>
      <c r="K849" s="3" t="e">
        <f>LOOKUP(C849, SweepStudyConfig[StudyId], SweepStudyConfig[SweepRateA])</f>
        <v>#VALUE!</v>
      </c>
      <c r="L849" s="3" t="e">
        <f>LOOKUP(C849, SweepStudyConfig[StudyId], SweepStudyConfig[SweepRateB])</f>
        <v>#VALUE!</v>
      </c>
      <c r="M849" s="3" t="e">
        <f>LOOKUP(C849, SweepStudyConfig[StudyId], SweepStudyConfig[FixedRateA])</f>
        <v>#VALUE!</v>
      </c>
      <c r="N849" s="3" t="e">
        <f>LOOKUP(C849, SweepStudyConfig[StudyId], SweepStudyConfig[FixedRateB])</f>
        <v>#VALUE!</v>
      </c>
      <c r="O849" s="3" t="e">
        <f>IF(G849 + I849 = 0, "", (G849 * K849 + I849 * M849) / (G849 + I849))</f>
        <v>#VALUE!</v>
      </c>
      <c r="P849" s="3" t="e">
        <f>IF(H849 + J849 = 0, "", (H849 * L849 + J849 * N849) / (H849 + J849))</f>
        <v>#VALUE!</v>
      </c>
      <c r="Q849" s="3" t="e">
        <f>IF(O849 = "", "", O849 - P849)</f>
        <v>#VALUE!</v>
      </c>
      <c r="R849" s="3" t="e">
        <f>LOOKUP(C849, SweepStudyConfig[StudyId], SweepStudyConfig[SweepCorrectedGap])</f>
        <v>#VALUE!</v>
      </c>
      <c r="S849" s="3" t="e">
        <f>IF(Q849 = "", "", Q849 - R849)</f>
        <v>#VALUE!</v>
      </c>
    </row>
    <row r="850">
      <c r="A850" s="2" t="s">
        <v>4138</v>
      </c>
      <c r="B850" s="3" t="str">
        <f>A850</f>
        <v>pitcher-era-ballpark-f085</v>
      </c>
      <c r="C850" s="2" t="s">
        <v>739</v>
      </c>
      <c r="D850" s="2">
        <v>0.85</v>
      </c>
      <c r="E850" s="3" t="e">
        <f>ABS(D850 - LOOKUP(C850, SweepStudyConfig[StudyId], SweepStudyConfig[OriginalAllocFractionA])) &lt; 0.03</f>
        <v>#VALUE!</v>
      </c>
      <c r="F850" s="3" t="e">
        <f>LOOKUP(C850, SweepStudyConfig[StudyId], SweepStudyConfig[NSweepStratumTotal])</f>
        <v>#VALUE!</v>
      </c>
      <c r="G850" s="3" t="e">
        <f>ROUND(F850 * D850)</f>
        <v>#VALUE!</v>
      </c>
      <c r="H850" s="3" t="e">
        <f>F850 - G850</f>
        <v>#VALUE!</v>
      </c>
      <c r="I850" s="3" t="e">
        <f>LOOKUP(C850, SweepStudyConfig[StudyId], SweepStudyConfig[NFixedA])</f>
        <v>#VALUE!</v>
      </c>
      <c r="J850" s="3" t="e">
        <f>LOOKUP(C850, SweepStudyConfig[StudyId], SweepStudyConfig[NFixedB])</f>
        <v>#VALUE!</v>
      </c>
      <c r="K850" s="3" t="e">
        <f>LOOKUP(C850, SweepStudyConfig[StudyId], SweepStudyConfig[SweepRateA])</f>
        <v>#VALUE!</v>
      </c>
      <c r="L850" s="3" t="e">
        <f>LOOKUP(C850, SweepStudyConfig[StudyId], SweepStudyConfig[SweepRateB])</f>
        <v>#VALUE!</v>
      </c>
      <c r="M850" s="3" t="e">
        <f>LOOKUP(C850, SweepStudyConfig[StudyId], SweepStudyConfig[FixedRateA])</f>
        <v>#VALUE!</v>
      </c>
      <c r="N850" s="3" t="e">
        <f>LOOKUP(C850, SweepStudyConfig[StudyId], SweepStudyConfig[FixedRateB])</f>
        <v>#VALUE!</v>
      </c>
      <c r="O850" s="3" t="e">
        <f>IF(G850 + I850 = 0, "", (G850 * K850 + I850 * M850) / (G850 + I850))</f>
        <v>#VALUE!</v>
      </c>
      <c r="P850" s="3" t="e">
        <f>IF(H850 + J850 = 0, "", (H850 * L850 + J850 * N850) / (H850 + J850))</f>
        <v>#VALUE!</v>
      </c>
      <c r="Q850" s="3" t="e">
        <f>IF(O850 = "", "", O850 - P850)</f>
        <v>#VALUE!</v>
      </c>
      <c r="R850" s="3" t="e">
        <f>LOOKUP(C850, SweepStudyConfig[StudyId], SweepStudyConfig[SweepCorrectedGap])</f>
        <v>#VALUE!</v>
      </c>
      <c r="S850" s="3" t="e">
        <f>IF(Q850 = "", "", Q850 - R850)</f>
        <v>#VALUE!</v>
      </c>
    </row>
    <row r="851">
      <c r="A851" s="2" t="s">
        <v>4139</v>
      </c>
      <c r="B851" s="3" t="str">
        <f>A851</f>
        <v>pitcher-era-ballpark-f095</v>
      </c>
      <c r="C851" s="2" t="s">
        <v>739</v>
      </c>
      <c r="D851" s="2">
        <v>0.95</v>
      </c>
      <c r="E851" s="3" t="e">
        <f>ABS(D851 - LOOKUP(C851, SweepStudyConfig[StudyId], SweepStudyConfig[OriginalAllocFractionA])) &lt; 0.03</f>
        <v>#VALUE!</v>
      </c>
      <c r="F851" s="3" t="e">
        <f>LOOKUP(C851, SweepStudyConfig[StudyId], SweepStudyConfig[NSweepStratumTotal])</f>
        <v>#VALUE!</v>
      </c>
      <c r="G851" s="3" t="e">
        <f>ROUND(F851 * D851)</f>
        <v>#VALUE!</v>
      </c>
      <c r="H851" s="3" t="e">
        <f>F851 - G851</f>
        <v>#VALUE!</v>
      </c>
      <c r="I851" s="3" t="e">
        <f>LOOKUP(C851, SweepStudyConfig[StudyId], SweepStudyConfig[NFixedA])</f>
        <v>#VALUE!</v>
      </c>
      <c r="J851" s="3" t="e">
        <f>LOOKUP(C851, SweepStudyConfig[StudyId], SweepStudyConfig[NFixedB])</f>
        <v>#VALUE!</v>
      </c>
      <c r="K851" s="3" t="e">
        <f>LOOKUP(C851, SweepStudyConfig[StudyId], SweepStudyConfig[SweepRateA])</f>
        <v>#VALUE!</v>
      </c>
      <c r="L851" s="3" t="e">
        <f>LOOKUP(C851, SweepStudyConfig[StudyId], SweepStudyConfig[SweepRateB])</f>
        <v>#VALUE!</v>
      </c>
      <c r="M851" s="3" t="e">
        <f>LOOKUP(C851, SweepStudyConfig[StudyId], SweepStudyConfig[FixedRateA])</f>
        <v>#VALUE!</v>
      </c>
      <c r="N851" s="3" t="e">
        <f>LOOKUP(C851, SweepStudyConfig[StudyId], SweepStudyConfig[FixedRateB])</f>
        <v>#VALUE!</v>
      </c>
      <c r="O851" s="3" t="e">
        <f>IF(G851 + I851 = 0, "", (G851 * K851 + I851 * M851) / (G851 + I851))</f>
        <v>#VALUE!</v>
      </c>
      <c r="P851" s="3" t="e">
        <f>IF(H851 + J851 = 0, "", (H851 * L851 + J851 * N851) / (H851 + J851))</f>
        <v>#VALUE!</v>
      </c>
      <c r="Q851" s="3" t="e">
        <f>IF(O851 = "", "", O851 - P851)</f>
        <v>#VALUE!</v>
      </c>
      <c r="R851" s="3" t="e">
        <f>LOOKUP(C851, SweepStudyConfig[StudyId], SweepStudyConfig[SweepCorrectedGap])</f>
        <v>#VALUE!</v>
      </c>
      <c r="S851" s="3" t="e">
        <f>IF(Q851 = "", "", Q851 - R851)</f>
        <v>#VALUE!</v>
      </c>
    </row>
    <row r="852">
      <c r="A852" s="2" t="s">
        <v>4140</v>
      </c>
      <c r="B852" s="3" t="str">
        <f>A852</f>
        <v>nfl-completion-depth-f005</v>
      </c>
      <c r="C852" s="2" t="s">
        <v>743</v>
      </c>
      <c r="D852" s="2">
        <v>0.05</v>
      </c>
      <c r="E852" s="3" t="e">
        <f>ABS(D852 - LOOKUP(C852, SweepStudyConfig[StudyId], SweepStudyConfig[OriginalAllocFractionA])) &lt; 0.03</f>
        <v>#VALUE!</v>
      </c>
      <c r="F852" s="3" t="e">
        <f>LOOKUP(C852, SweepStudyConfig[StudyId], SweepStudyConfig[NSweepStratumTotal])</f>
        <v>#VALUE!</v>
      </c>
      <c r="G852" s="3" t="e">
        <f>ROUND(F852 * D852)</f>
        <v>#VALUE!</v>
      </c>
      <c r="H852" s="3" t="e">
        <f>F852 - G852</f>
        <v>#VALUE!</v>
      </c>
      <c r="I852" s="3" t="e">
        <f>LOOKUP(C852, SweepStudyConfig[StudyId], SweepStudyConfig[NFixedA])</f>
        <v>#VALUE!</v>
      </c>
      <c r="J852" s="3" t="e">
        <f>LOOKUP(C852, SweepStudyConfig[StudyId], SweepStudyConfig[NFixedB])</f>
        <v>#VALUE!</v>
      </c>
      <c r="K852" s="3" t="e">
        <f>LOOKUP(C852, SweepStudyConfig[StudyId], SweepStudyConfig[SweepRateA])</f>
        <v>#VALUE!</v>
      </c>
      <c r="L852" s="3" t="e">
        <f>LOOKUP(C852, SweepStudyConfig[StudyId], SweepStudyConfig[SweepRateB])</f>
        <v>#VALUE!</v>
      </c>
      <c r="M852" s="3" t="e">
        <f>LOOKUP(C852, SweepStudyConfig[StudyId], SweepStudyConfig[FixedRateA])</f>
        <v>#VALUE!</v>
      </c>
      <c r="N852" s="3" t="e">
        <f>LOOKUP(C852, SweepStudyConfig[StudyId], SweepStudyConfig[FixedRateB])</f>
        <v>#VALUE!</v>
      </c>
      <c r="O852" s="3" t="e">
        <f>IF(G852 + I852 = 0, "", (G852 * K852 + I852 * M852) / (G852 + I852))</f>
        <v>#VALUE!</v>
      </c>
      <c r="P852" s="3" t="e">
        <f>IF(H852 + J852 = 0, "", (H852 * L852 + J852 * N852) / (H852 + J852))</f>
        <v>#VALUE!</v>
      </c>
      <c r="Q852" s="3" t="e">
        <f>IF(O852 = "", "", O852 - P852)</f>
        <v>#VALUE!</v>
      </c>
      <c r="R852" s="3" t="e">
        <f>LOOKUP(C852, SweepStudyConfig[StudyId], SweepStudyConfig[SweepCorrectedGap])</f>
        <v>#VALUE!</v>
      </c>
      <c r="S852" s="3" t="e">
        <f>IF(Q852 = "", "", Q852 - R852)</f>
        <v>#VALUE!</v>
      </c>
    </row>
    <row r="853">
      <c r="A853" s="2" t="s">
        <v>4141</v>
      </c>
      <c r="B853" s="3" t="str">
        <f>A853</f>
        <v>nfl-completion-depth-f015</v>
      </c>
      <c r="C853" s="2" t="s">
        <v>743</v>
      </c>
      <c r="D853" s="2">
        <v>0.15</v>
      </c>
      <c r="E853" s="3" t="e">
        <f>ABS(D853 - LOOKUP(C853, SweepStudyConfig[StudyId], SweepStudyConfig[OriginalAllocFractionA])) &lt; 0.03</f>
        <v>#VALUE!</v>
      </c>
      <c r="F853" s="3" t="e">
        <f>LOOKUP(C853, SweepStudyConfig[StudyId], SweepStudyConfig[NSweepStratumTotal])</f>
        <v>#VALUE!</v>
      </c>
      <c r="G853" s="3" t="e">
        <f>ROUND(F853 * D853)</f>
        <v>#VALUE!</v>
      </c>
      <c r="H853" s="3" t="e">
        <f>F853 - G853</f>
        <v>#VALUE!</v>
      </c>
      <c r="I853" s="3" t="e">
        <f>LOOKUP(C853, SweepStudyConfig[StudyId], SweepStudyConfig[NFixedA])</f>
        <v>#VALUE!</v>
      </c>
      <c r="J853" s="3" t="e">
        <f>LOOKUP(C853, SweepStudyConfig[StudyId], SweepStudyConfig[NFixedB])</f>
        <v>#VALUE!</v>
      </c>
      <c r="K853" s="3" t="e">
        <f>LOOKUP(C853, SweepStudyConfig[StudyId], SweepStudyConfig[SweepRateA])</f>
        <v>#VALUE!</v>
      </c>
      <c r="L853" s="3" t="e">
        <f>LOOKUP(C853, SweepStudyConfig[StudyId], SweepStudyConfig[SweepRateB])</f>
        <v>#VALUE!</v>
      </c>
      <c r="M853" s="3" t="e">
        <f>LOOKUP(C853, SweepStudyConfig[StudyId], SweepStudyConfig[FixedRateA])</f>
        <v>#VALUE!</v>
      </c>
      <c r="N853" s="3" t="e">
        <f>LOOKUP(C853, SweepStudyConfig[StudyId], SweepStudyConfig[FixedRateB])</f>
        <v>#VALUE!</v>
      </c>
      <c r="O853" s="3" t="e">
        <f>IF(G853 + I853 = 0, "", (G853 * K853 + I853 * M853) / (G853 + I853))</f>
        <v>#VALUE!</v>
      </c>
      <c r="P853" s="3" t="e">
        <f>IF(H853 + J853 = 0, "", (H853 * L853 + J853 * N853) / (H853 + J853))</f>
        <v>#VALUE!</v>
      </c>
      <c r="Q853" s="3" t="e">
        <f>IF(O853 = "", "", O853 - P853)</f>
        <v>#VALUE!</v>
      </c>
      <c r="R853" s="3" t="e">
        <f>LOOKUP(C853, SweepStudyConfig[StudyId], SweepStudyConfig[SweepCorrectedGap])</f>
        <v>#VALUE!</v>
      </c>
      <c r="S853" s="3" t="e">
        <f>IF(Q853 = "", "", Q853 - R853)</f>
        <v>#VALUE!</v>
      </c>
    </row>
    <row r="854">
      <c r="A854" s="2" t="s">
        <v>4142</v>
      </c>
      <c r="B854" s="3" t="str">
        <f>A854</f>
        <v>nfl-completion-depth-f025</v>
      </c>
      <c r="C854" s="2" t="s">
        <v>743</v>
      </c>
      <c r="D854" s="2">
        <v>0.25</v>
      </c>
      <c r="E854" s="3" t="e">
        <f>ABS(D854 - LOOKUP(C854, SweepStudyConfig[StudyId], SweepStudyConfig[OriginalAllocFractionA])) &lt; 0.03</f>
        <v>#VALUE!</v>
      </c>
      <c r="F854" s="3" t="e">
        <f>LOOKUP(C854, SweepStudyConfig[StudyId], SweepStudyConfig[NSweepStratumTotal])</f>
        <v>#VALUE!</v>
      </c>
      <c r="G854" s="3" t="e">
        <f>ROUND(F854 * D854)</f>
        <v>#VALUE!</v>
      </c>
      <c r="H854" s="3" t="e">
        <f>F854 - G854</f>
        <v>#VALUE!</v>
      </c>
      <c r="I854" s="3" t="e">
        <f>LOOKUP(C854, SweepStudyConfig[StudyId], SweepStudyConfig[NFixedA])</f>
        <v>#VALUE!</v>
      </c>
      <c r="J854" s="3" t="e">
        <f>LOOKUP(C854, SweepStudyConfig[StudyId], SweepStudyConfig[NFixedB])</f>
        <v>#VALUE!</v>
      </c>
      <c r="K854" s="3" t="e">
        <f>LOOKUP(C854, SweepStudyConfig[StudyId], SweepStudyConfig[SweepRateA])</f>
        <v>#VALUE!</v>
      </c>
      <c r="L854" s="3" t="e">
        <f>LOOKUP(C854, SweepStudyConfig[StudyId], SweepStudyConfig[SweepRateB])</f>
        <v>#VALUE!</v>
      </c>
      <c r="M854" s="3" t="e">
        <f>LOOKUP(C854, SweepStudyConfig[StudyId], SweepStudyConfig[FixedRateA])</f>
        <v>#VALUE!</v>
      </c>
      <c r="N854" s="3" t="e">
        <f>LOOKUP(C854, SweepStudyConfig[StudyId], SweepStudyConfig[FixedRateB])</f>
        <v>#VALUE!</v>
      </c>
      <c r="O854" s="3" t="e">
        <f>IF(G854 + I854 = 0, "", (G854 * K854 + I854 * M854) / (G854 + I854))</f>
        <v>#VALUE!</v>
      </c>
      <c r="P854" s="3" t="e">
        <f>IF(H854 + J854 = 0, "", (H854 * L854 + J854 * N854) / (H854 + J854))</f>
        <v>#VALUE!</v>
      </c>
      <c r="Q854" s="3" t="e">
        <f>IF(O854 = "", "", O854 - P854)</f>
        <v>#VALUE!</v>
      </c>
      <c r="R854" s="3" t="e">
        <f>LOOKUP(C854, SweepStudyConfig[StudyId], SweepStudyConfig[SweepCorrectedGap])</f>
        <v>#VALUE!</v>
      </c>
      <c r="S854" s="3" t="e">
        <f>IF(Q854 = "", "", Q854 - R854)</f>
        <v>#VALUE!</v>
      </c>
    </row>
    <row r="855">
      <c r="A855" s="2" t="s">
        <v>4143</v>
      </c>
      <c r="B855" s="3" t="str">
        <f>A855</f>
        <v>nfl-completion-depth-f035</v>
      </c>
      <c r="C855" s="2" t="s">
        <v>743</v>
      </c>
      <c r="D855" s="2">
        <v>0.35</v>
      </c>
      <c r="E855" s="3" t="e">
        <f>ABS(D855 - LOOKUP(C855, SweepStudyConfig[StudyId], SweepStudyConfig[OriginalAllocFractionA])) &lt; 0.03</f>
        <v>#VALUE!</v>
      </c>
      <c r="F855" s="3" t="e">
        <f>LOOKUP(C855, SweepStudyConfig[StudyId], SweepStudyConfig[NSweepStratumTotal])</f>
        <v>#VALUE!</v>
      </c>
      <c r="G855" s="3" t="e">
        <f>ROUND(F855 * D855)</f>
        <v>#VALUE!</v>
      </c>
      <c r="H855" s="3" t="e">
        <f>F855 - G855</f>
        <v>#VALUE!</v>
      </c>
      <c r="I855" s="3" t="e">
        <f>LOOKUP(C855, SweepStudyConfig[StudyId], SweepStudyConfig[NFixedA])</f>
        <v>#VALUE!</v>
      </c>
      <c r="J855" s="3" t="e">
        <f>LOOKUP(C855, SweepStudyConfig[StudyId], SweepStudyConfig[NFixedB])</f>
        <v>#VALUE!</v>
      </c>
      <c r="K855" s="3" t="e">
        <f>LOOKUP(C855, SweepStudyConfig[StudyId], SweepStudyConfig[SweepRateA])</f>
        <v>#VALUE!</v>
      </c>
      <c r="L855" s="3" t="e">
        <f>LOOKUP(C855, SweepStudyConfig[StudyId], SweepStudyConfig[SweepRateB])</f>
        <v>#VALUE!</v>
      </c>
      <c r="M855" s="3" t="e">
        <f>LOOKUP(C855, SweepStudyConfig[StudyId], SweepStudyConfig[FixedRateA])</f>
        <v>#VALUE!</v>
      </c>
      <c r="N855" s="3" t="e">
        <f>LOOKUP(C855, SweepStudyConfig[StudyId], SweepStudyConfig[FixedRateB])</f>
        <v>#VALUE!</v>
      </c>
      <c r="O855" s="3" t="e">
        <f>IF(G855 + I855 = 0, "", (G855 * K855 + I855 * M855) / (G855 + I855))</f>
        <v>#VALUE!</v>
      </c>
      <c r="P855" s="3" t="e">
        <f>IF(H855 + J855 = 0, "", (H855 * L855 + J855 * N855) / (H855 + J855))</f>
        <v>#VALUE!</v>
      </c>
      <c r="Q855" s="3" t="e">
        <f>IF(O855 = "", "", O855 - P855)</f>
        <v>#VALUE!</v>
      </c>
      <c r="R855" s="3" t="e">
        <f>LOOKUP(C855, SweepStudyConfig[StudyId], SweepStudyConfig[SweepCorrectedGap])</f>
        <v>#VALUE!</v>
      </c>
      <c r="S855" s="3" t="e">
        <f>IF(Q855 = "", "", Q855 - R855)</f>
        <v>#VALUE!</v>
      </c>
    </row>
    <row r="856">
      <c r="A856" s="2" t="s">
        <v>4144</v>
      </c>
      <c r="B856" s="3" t="str">
        <f>A856</f>
        <v>nfl-completion-depth-f045</v>
      </c>
      <c r="C856" s="2" t="s">
        <v>743</v>
      </c>
      <c r="D856" s="2">
        <v>0.45</v>
      </c>
      <c r="E856" s="3" t="e">
        <f>ABS(D856 - LOOKUP(C856, SweepStudyConfig[StudyId], SweepStudyConfig[OriginalAllocFractionA])) &lt; 0.03</f>
        <v>#VALUE!</v>
      </c>
      <c r="F856" s="3" t="e">
        <f>LOOKUP(C856, SweepStudyConfig[StudyId], SweepStudyConfig[NSweepStratumTotal])</f>
        <v>#VALUE!</v>
      </c>
      <c r="G856" s="3" t="e">
        <f>ROUND(F856 * D856)</f>
        <v>#VALUE!</v>
      </c>
      <c r="H856" s="3" t="e">
        <f>F856 - G856</f>
        <v>#VALUE!</v>
      </c>
      <c r="I856" s="3" t="e">
        <f>LOOKUP(C856, SweepStudyConfig[StudyId], SweepStudyConfig[NFixedA])</f>
        <v>#VALUE!</v>
      </c>
      <c r="J856" s="3" t="e">
        <f>LOOKUP(C856, SweepStudyConfig[StudyId], SweepStudyConfig[NFixedB])</f>
        <v>#VALUE!</v>
      </c>
      <c r="K856" s="3" t="e">
        <f>LOOKUP(C856, SweepStudyConfig[StudyId], SweepStudyConfig[SweepRateA])</f>
        <v>#VALUE!</v>
      </c>
      <c r="L856" s="3" t="e">
        <f>LOOKUP(C856, SweepStudyConfig[StudyId], SweepStudyConfig[SweepRateB])</f>
        <v>#VALUE!</v>
      </c>
      <c r="M856" s="3" t="e">
        <f>LOOKUP(C856, SweepStudyConfig[StudyId], SweepStudyConfig[FixedRateA])</f>
        <v>#VALUE!</v>
      </c>
      <c r="N856" s="3" t="e">
        <f>LOOKUP(C856, SweepStudyConfig[StudyId], SweepStudyConfig[FixedRateB])</f>
        <v>#VALUE!</v>
      </c>
      <c r="O856" s="3" t="e">
        <f>IF(G856 + I856 = 0, "", (G856 * K856 + I856 * M856) / (G856 + I856))</f>
        <v>#VALUE!</v>
      </c>
      <c r="P856" s="3" t="e">
        <f>IF(H856 + J856 = 0, "", (H856 * L856 + J856 * N856) / (H856 + J856))</f>
        <v>#VALUE!</v>
      </c>
      <c r="Q856" s="3" t="e">
        <f>IF(O856 = "", "", O856 - P856)</f>
        <v>#VALUE!</v>
      </c>
      <c r="R856" s="3" t="e">
        <f>LOOKUP(C856, SweepStudyConfig[StudyId], SweepStudyConfig[SweepCorrectedGap])</f>
        <v>#VALUE!</v>
      </c>
      <c r="S856" s="3" t="e">
        <f>IF(Q856 = "", "", Q856 - R856)</f>
        <v>#VALUE!</v>
      </c>
    </row>
    <row r="857">
      <c r="A857" s="2" t="s">
        <v>4145</v>
      </c>
      <c r="B857" s="3" t="str">
        <f>A857</f>
        <v>nfl-completion-depth-f055</v>
      </c>
      <c r="C857" s="2" t="s">
        <v>743</v>
      </c>
      <c r="D857" s="2">
        <v>0.55</v>
      </c>
      <c r="E857" s="3" t="e">
        <f>ABS(D857 - LOOKUP(C857, SweepStudyConfig[StudyId], SweepStudyConfig[OriginalAllocFractionA])) &lt; 0.03</f>
        <v>#VALUE!</v>
      </c>
      <c r="F857" s="3" t="e">
        <f>LOOKUP(C857, SweepStudyConfig[StudyId], SweepStudyConfig[NSweepStratumTotal])</f>
        <v>#VALUE!</v>
      </c>
      <c r="G857" s="3" t="e">
        <f>ROUND(F857 * D857)</f>
        <v>#VALUE!</v>
      </c>
      <c r="H857" s="3" t="e">
        <f>F857 - G857</f>
        <v>#VALUE!</v>
      </c>
      <c r="I857" s="3" t="e">
        <f>LOOKUP(C857, SweepStudyConfig[StudyId], SweepStudyConfig[NFixedA])</f>
        <v>#VALUE!</v>
      </c>
      <c r="J857" s="3" t="e">
        <f>LOOKUP(C857, SweepStudyConfig[StudyId], SweepStudyConfig[NFixedB])</f>
        <v>#VALUE!</v>
      </c>
      <c r="K857" s="3" t="e">
        <f>LOOKUP(C857, SweepStudyConfig[StudyId], SweepStudyConfig[SweepRateA])</f>
        <v>#VALUE!</v>
      </c>
      <c r="L857" s="3" t="e">
        <f>LOOKUP(C857, SweepStudyConfig[StudyId], SweepStudyConfig[SweepRateB])</f>
        <v>#VALUE!</v>
      </c>
      <c r="M857" s="3" t="e">
        <f>LOOKUP(C857, SweepStudyConfig[StudyId], SweepStudyConfig[FixedRateA])</f>
        <v>#VALUE!</v>
      </c>
      <c r="N857" s="3" t="e">
        <f>LOOKUP(C857, SweepStudyConfig[StudyId], SweepStudyConfig[FixedRateB])</f>
        <v>#VALUE!</v>
      </c>
      <c r="O857" s="3" t="e">
        <f>IF(G857 + I857 = 0, "", (G857 * K857 + I857 * M857) / (G857 + I857))</f>
        <v>#VALUE!</v>
      </c>
      <c r="P857" s="3" t="e">
        <f>IF(H857 + J857 = 0, "", (H857 * L857 + J857 * N857) / (H857 + J857))</f>
        <v>#VALUE!</v>
      </c>
      <c r="Q857" s="3" t="e">
        <f>IF(O857 = "", "", O857 - P857)</f>
        <v>#VALUE!</v>
      </c>
      <c r="R857" s="3" t="e">
        <f>LOOKUP(C857, SweepStudyConfig[StudyId], SweepStudyConfig[SweepCorrectedGap])</f>
        <v>#VALUE!</v>
      </c>
      <c r="S857" s="3" t="e">
        <f>IF(Q857 = "", "", Q857 - R857)</f>
        <v>#VALUE!</v>
      </c>
    </row>
    <row r="858">
      <c r="A858" s="2" t="s">
        <v>4146</v>
      </c>
      <c r="B858" s="3" t="str">
        <f>A858</f>
        <v>nfl-completion-depth-f065</v>
      </c>
      <c r="C858" s="2" t="s">
        <v>743</v>
      </c>
      <c r="D858" s="2">
        <v>0.65</v>
      </c>
      <c r="E858" s="3" t="e">
        <f>ABS(D858 - LOOKUP(C858, SweepStudyConfig[StudyId], SweepStudyConfig[OriginalAllocFractionA])) &lt; 0.03</f>
        <v>#VALUE!</v>
      </c>
      <c r="F858" s="3" t="e">
        <f>LOOKUP(C858, SweepStudyConfig[StudyId], SweepStudyConfig[NSweepStratumTotal])</f>
        <v>#VALUE!</v>
      </c>
      <c r="G858" s="3" t="e">
        <f>ROUND(F858 * D858)</f>
        <v>#VALUE!</v>
      </c>
      <c r="H858" s="3" t="e">
        <f>F858 - G858</f>
        <v>#VALUE!</v>
      </c>
      <c r="I858" s="3" t="e">
        <f>LOOKUP(C858, SweepStudyConfig[StudyId], SweepStudyConfig[NFixedA])</f>
        <v>#VALUE!</v>
      </c>
      <c r="J858" s="3" t="e">
        <f>LOOKUP(C858, SweepStudyConfig[StudyId], SweepStudyConfig[NFixedB])</f>
        <v>#VALUE!</v>
      </c>
      <c r="K858" s="3" t="e">
        <f>LOOKUP(C858, SweepStudyConfig[StudyId], SweepStudyConfig[SweepRateA])</f>
        <v>#VALUE!</v>
      </c>
      <c r="L858" s="3" t="e">
        <f>LOOKUP(C858, SweepStudyConfig[StudyId], SweepStudyConfig[SweepRateB])</f>
        <v>#VALUE!</v>
      </c>
      <c r="M858" s="3" t="e">
        <f>LOOKUP(C858, SweepStudyConfig[StudyId], SweepStudyConfig[FixedRateA])</f>
        <v>#VALUE!</v>
      </c>
      <c r="N858" s="3" t="e">
        <f>LOOKUP(C858, SweepStudyConfig[StudyId], SweepStudyConfig[FixedRateB])</f>
        <v>#VALUE!</v>
      </c>
      <c r="O858" s="3" t="e">
        <f>IF(G858 + I858 = 0, "", (G858 * K858 + I858 * M858) / (G858 + I858))</f>
        <v>#VALUE!</v>
      </c>
      <c r="P858" s="3" t="e">
        <f>IF(H858 + J858 = 0, "", (H858 * L858 + J858 * N858) / (H858 + J858))</f>
        <v>#VALUE!</v>
      </c>
      <c r="Q858" s="3" t="e">
        <f>IF(O858 = "", "", O858 - P858)</f>
        <v>#VALUE!</v>
      </c>
      <c r="R858" s="3" t="e">
        <f>LOOKUP(C858, SweepStudyConfig[StudyId], SweepStudyConfig[SweepCorrectedGap])</f>
        <v>#VALUE!</v>
      </c>
      <c r="S858" s="3" t="e">
        <f>IF(Q858 = "", "", Q858 - R858)</f>
        <v>#VALUE!</v>
      </c>
    </row>
    <row r="859">
      <c r="A859" s="2" t="s">
        <v>4147</v>
      </c>
      <c r="B859" s="3" t="str">
        <f>A859</f>
        <v>nfl-completion-depth-f075</v>
      </c>
      <c r="C859" s="2" t="s">
        <v>743</v>
      </c>
      <c r="D859" s="2">
        <v>0.75</v>
      </c>
      <c r="E859" s="3" t="e">
        <f>ABS(D859 - LOOKUP(C859, SweepStudyConfig[StudyId], SweepStudyConfig[OriginalAllocFractionA])) &lt; 0.03</f>
        <v>#VALUE!</v>
      </c>
      <c r="F859" s="3" t="e">
        <f>LOOKUP(C859, SweepStudyConfig[StudyId], SweepStudyConfig[NSweepStratumTotal])</f>
        <v>#VALUE!</v>
      </c>
      <c r="G859" s="3" t="e">
        <f>ROUND(F859 * D859)</f>
        <v>#VALUE!</v>
      </c>
      <c r="H859" s="3" t="e">
        <f>F859 - G859</f>
        <v>#VALUE!</v>
      </c>
      <c r="I859" s="3" t="e">
        <f>LOOKUP(C859, SweepStudyConfig[StudyId], SweepStudyConfig[NFixedA])</f>
        <v>#VALUE!</v>
      </c>
      <c r="J859" s="3" t="e">
        <f>LOOKUP(C859, SweepStudyConfig[StudyId], SweepStudyConfig[NFixedB])</f>
        <v>#VALUE!</v>
      </c>
      <c r="K859" s="3" t="e">
        <f>LOOKUP(C859, SweepStudyConfig[StudyId], SweepStudyConfig[SweepRateA])</f>
        <v>#VALUE!</v>
      </c>
      <c r="L859" s="3" t="e">
        <f>LOOKUP(C859, SweepStudyConfig[StudyId], SweepStudyConfig[SweepRateB])</f>
        <v>#VALUE!</v>
      </c>
      <c r="M859" s="3" t="e">
        <f>LOOKUP(C859, SweepStudyConfig[StudyId], SweepStudyConfig[FixedRateA])</f>
        <v>#VALUE!</v>
      </c>
      <c r="N859" s="3" t="e">
        <f>LOOKUP(C859, SweepStudyConfig[StudyId], SweepStudyConfig[FixedRateB])</f>
        <v>#VALUE!</v>
      </c>
      <c r="O859" s="3" t="e">
        <f>IF(G859 + I859 = 0, "", (G859 * K859 + I859 * M859) / (G859 + I859))</f>
        <v>#VALUE!</v>
      </c>
      <c r="P859" s="3" t="e">
        <f>IF(H859 + J859 = 0, "", (H859 * L859 + J859 * N859) / (H859 + J859))</f>
        <v>#VALUE!</v>
      </c>
      <c r="Q859" s="3" t="e">
        <f>IF(O859 = "", "", O859 - P859)</f>
        <v>#VALUE!</v>
      </c>
      <c r="R859" s="3" t="e">
        <f>LOOKUP(C859, SweepStudyConfig[StudyId], SweepStudyConfig[SweepCorrectedGap])</f>
        <v>#VALUE!</v>
      </c>
      <c r="S859" s="3" t="e">
        <f>IF(Q859 = "", "", Q859 - R859)</f>
        <v>#VALUE!</v>
      </c>
    </row>
    <row r="860">
      <c r="A860" s="2" t="s">
        <v>4148</v>
      </c>
      <c r="B860" s="3" t="str">
        <f>A860</f>
        <v>nfl-completion-depth-f085</v>
      </c>
      <c r="C860" s="2" t="s">
        <v>743</v>
      </c>
      <c r="D860" s="2">
        <v>0.85</v>
      </c>
      <c r="E860" s="3" t="e">
        <f>ABS(D860 - LOOKUP(C860, SweepStudyConfig[StudyId], SweepStudyConfig[OriginalAllocFractionA])) &lt; 0.03</f>
        <v>#VALUE!</v>
      </c>
      <c r="F860" s="3" t="e">
        <f>LOOKUP(C860, SweepStudyConfig[StudyId], SweepStudyConfig[NSweepStratumTotal])</f>
        <v>#VALUE!</v>
      </c>
      <c r="G860" s="3" t="e">
        <f>ROUND(F860 * D860)</f>
        <v>#VALUE!</v>
      </c>
      <c r="H860" s="3" t="e">
        <f>F860 - G860</f>
        <v>#VALUE!</v>
      </c>
      <c r="I860" s="3" t="e">
        <f>LOOKUP(C860, SweepStudyConfig[StudyId], SweepStudyConfig[NFixedA])</f>
        <v>#VALUE!</v>
      </c>
      <c r="J860" s="3" t="e">
        <f>LOOKUP(C860, SweepStudyConfig[StudyId], SweepStudyConfig[NFixedB])</f>
        <v>#VALUE!</v>
      </c>
      <c r="K860" s="3" t="e">
        <f>LOOKUP(C860, SweepStudyConfig[StudyId], SweepStudyConfig[SweepRateA])</f>
        <v>#VALUE!</v>
      </c>
      <c r="L860" s="3" t="e">
        <f>LOOKUP(C860, SweepStudyConfig[StudyId], SweepStudyConfig[SweepRateB])</f>
        <v>#VALUE!</v>
      </c>
      <c r="M860" s="3" t="e">
        <f>LOOKUP(C860, SweepStudyConfig[StudyId], SweepStudyConfig[FixedRateA])</f>
        <v>#VALUE!</v>
      </c>
      <c r="N860" s="3" t="e">
        <f>LOOKUP(C860, SweepStudyConfig[StudyId], SweepStudyConfig[FixedRateB])</f>
        <v>#VALUE!</v>
      </c>
      <c r="O860" s="3" t="e">
        <f>IF(G860 + I860 = 0, "", (G860 * K860 + I860 * M860) / (G860 + I860))</f>
        <v>#VALUE!</v>
      </c>
      <c r="P860" s="3" t="e">
        <f>IF(H860 + J860 = 0, "", (H860 * L860 + J860 * N860) / (H860 + J860))</f>
        <v>#VALUE!</v>
      </c>
      <c r="Q860" s="3" t="e">
        <f>IF(O860 = "", "", O860 - P860)</f>
        <v>#VALUE!</v>
      </c>
      <c r="R860" s="3" t="e">
        <f>LOOKUP(C860, SweepStudyConfig[StudyId], SweepStudyConfig[SweepCorrectedGap])</f>
        <v>#VALUE!</v>
      </c>
      <c r="S860" s="3" t="e">
        <f>IF(Q860 = "", "", Q860 - R860)</f>
        <v>#VALUE!</v>
      </c>
    </row>
    <row r="861">
      <c r="A861" s="2" t="s">
        <v>4149</v>
      </c>
      <c r="B861" s="3" t="str">
        <f>A861</f>
        <v>nfl-completion-depth-f095</v>
      </c>
      <c r="C861" s="2" t="s">
        <v>743</v>
      </c>
      <c r="D861" s="2">
        <v>0.95</v>
      </c>
      <c r="E861" s="3" t="e">
        <f>ABS(D861 - LOOKUP(C861, SweepStudyConfig[StudyId], SweepStudyConfig[OriginalAllocFractionA])) &lt; 0.03</f>
        <v>#VALUE!</v>
      </c>
      <c r="F861" s="3" t="e">
        <f>LOOKUP(C861, SweepStudyConfig[StudyId], SweepStudyConfig[NSweepStratumTotal])</f>
        <v>#VALUE!</v>
      </c>
      <c r="G861" s="3" t="e">
        <f>ROUND(F861 * D861)</f>
        <v>#VALUE!</v>
      </c>
      <c r="H861" s="3" t="e">
        <f>F861 - G861</f>
        <v>#VALUE!</v>
      </c>
      <c r="I861" s="3" t="e">
        <f>LOOKUP(C861, SweepStudyConfig[StudyId], SweepStudyConfig[NFixedA])</f>
        <v>#VALUE!</v>
      </c>
      <c r="J861" s="3" t="e">
        <f>LOOKUP(C861, SweepStudyConfig[StudyId], SweepStudyConfig[NFixedB])</f>
        <v>#VALUE!</v>
      </c>
      <c r="K861" s="3" t="e">
        <f>LOOKUP(C861, SweepStudyConfig[StudyId], SweepStudyConfig[SweepRateA])</f>
        <v>#VALUE!</v>
      </c>
      <c r="L861" s="3" t="e">
        <f>LOOKUP(C861, SweepStudyConfig[StudyId], SweepStudyConfig[SweepRateB])</f>
        <v>#VALUE!</v>
      </c>
      <c r="M861" s="3" t="e">
        <f>LOOKUP(C861, SweepStudyConfig[StudyId], SweepStudyConfig[FixedRateA])</f>
        <v>#VALUE!</v>
      </c>
      <c r="N861" s="3" t="e">
        <f>LOOKUP(C861, SweepStudyConfig[StudyId], SweepStudyConfig[FixedRateB])</f>
        <v>#VALUE!</v>
      </c>
      <c r="O861" s="3" t="e">
        <f>IF(G861 + I861 = 0, "", (G861 * K861 + I861 * M861) / (G861 + I861))</f>
        <v>#VALUE!</v>
      </c>
      <c r="P861" s="3" t="e">
        <f>IF(H861 + J861 = 0, "", (H861 * L861 + J861 * N861) / (H861 + J861))</f>
        <v>#VALUE!</v>
      </c>
      <c r="Q861" s="3" t="e">
        <f>IF(O861 = "", "", O861 - P861)</f>
        <v>#VALUE!</v>
      </c>
      <c r="R861" s="3" t="e">
        <f>LOOKUP(C861, SweepStudyConfig[StudyId], SweepStudyConfig[SweepCorrectedGap])</f>
        <v>#VALUE!</v>
      </c>
      <c r="S861" s="3" t="e">
        <f>IF(Q861 = "", "", Q861 - R861)</f>
        <v>#VALUE!</v>
      </c>
    </row>
    <row r="862">
      <c r="A862" s="2" t="s">
        <v>4150</v>
      </c>
      <c r="B862" s="3" t="str">
        <f>A862</f>
        <v>field-goal-distance-f005</v>
      </c>
      <c r="C862" s="2" t="s">
        <v>747</v>
      </c>
      <c r="D862" s="2">
        <v>0.05</v>
      </c>
      <c r="E862" s="3" t="e">
        <f>ABS(D862 - LOOKUP(C862, SweepStudyConfig[StudyId], SweepStudyConfig[OriginalAllocFractionA])) &lt; 0.03</f>
        <v>#VALUE!</v>
      </c>
      <c r="F862" s="3" t="e">
        <f>LOOKUP(C862, SweepStudyConfig[StudyId], SweepStudyConfig[NSweepStratumTotal])</f>
        <v>#VALUE!</v>
      </c>
      <c r="G862" s="3" t="e">
        <f>ROUND(F862 * D862)</f>
        <v>#VALUE!</v>
      </c>
      <c r="H862" s="3" t="e">
        <f>F862 - G862</f>
        <v>#VALUE!</v>
      </c>
      <c r="I862" s="3" t="e">
        <f>LOOKUP(C862, SweepStudyConfig[StudyId], SweepStudyConfig[NFixedA])</f>
        <v>#VALUE!</v>
      </c>
      <c r="J862" s="3" t="e">
        <f>LOOKUP(C862, SweepStudyConfig[StudyId], SweepStudyConfig[NFixedB])</f>
        <v>#VALUE!</v>
      </c>
      <c r="K862" s="3" t="e">
        <f>LOOKUP(C862, SweepStudyConfig[StudyId], SweepStudyConfig[SweepRateA])</f>
        <v>#VALUE!</v>
      </c>
      <c r="L862" s="3" t="e">
        <f>LOOKUP(C862, SweepStudyConfig[StudyId], SweepStudyConfig[SweepRateB])</f>
        <v>#VALUE!</v>
      </c>
      <c r="M862" s="3" t="e">
        <f>LOOKUP(C862, SweepStudyConfig[StudyId], SweepStudyConfig[FixedRateA])</f>
        <v>#VALUE!</v>
      </c>
      <c r="N862" s="3" t="e">
        <f>LOOKUP(C862, SweepStudyConfig[StudyId], SweepStudyConfig[FixedRateB])</f>
        <v>#VALUE!</v>
      </c>
      <c r="O862" s="3" t="e">
        <f>IF(G862 + I862 = 0, "", (G862 * K862 + I862 * M862) / (G862 + I862))</f>
        <v>#VALUE!</v>
      </c>
      <c r="P862" s="3" t="e">
        <f>IF(H862 + J862 = 0, "", (H862 * L862 + J862 * N862) / (H862 + J862))</f>
        <v>#VALUE!</v>
      </c>
      <c r="Q862" s="3" t="e">
        <f>IF(O862 = "", "", O862 - P862)</f>
        <v>#VALUE!</v>
      </c>
      <c r="R862" s="3" t="e">
        <f>LOOKUP(C862, SweepStudyConfig[StudyId], SweepStudyConfig[SweepCorrectedGap])</f>
        <v>#VALUE!</v>
      </c>
      <c r="S862" s="3" t="e">
        <f>IF(Q862 = "", "", Q862 - R862)</f>
        <v>#VALUE!</v>
      </c>
    </row>
    <row r="863">
      <c r="A863" s="2" t="s">
        <v>4151</v>
      </c>
      <c r="B863" s="3" t="str">
        <f>A863</f>
        <v>field-goal-distance-f015</v>
      </c>
      <c r="C863" s="2" t="s">
        <v>747</v>
      </c>
      <c r="D863" s="2">
        <v>0.15</v>
      </c>
      <c r="E863" s="3" t="e">
        <f>ABS(D863 - LOOKUP(C863, SweepStudyConfig[StudyId], SweepStudyConfig[OriginalAllocFractionA])) &lt; 0.03</f>
        <v>#VALUE!</v>
      </c>
      <c r="F863" s="3" t="e">
        <f>LOOKUP(C863, SweepStudyConfig[StudyId], SweepStudyConfig[NSweepStratumTotal])</f>
        <v>#VALUE!</v>
      </c>
      <c r="G863" s="3" t="e">
        <f>ROUND(F863 * D863)</f>
        <v>#VALUE!</v>
      </c>
      <c r="H863" s="3" t="e">
        <f>F863 - G863</f>
        <v>#VALUE!</v>
      </c>
      <c r="I863" s="3" t="e">
        <f>LOOKUP(C863, SweepStudyConfig[StudyId], SweepStudyConfig[NFixedA])</f>
        <v>#VALUE!</v>
      </c>
      <c r="J863" s="3" t="e">
        <f>LOOKUP(C863, SweepStudyConfig[StudyId], SweepStudyConfig[NFixedB])</f>
        <v>#VALUE!</v>
      </c>
      <c r="K863" s="3" t="e">
        <f>LOOKUP(C863, SweepStudyConfig[StudyId], SweepStudyConfig[SweepRateA])</f>
        <v>#VALUE!</v>
      </c>
      <c r="L863" s="3" t="e">
        <f>LOOKUP(C863, SweepStudyConfig[StudyId], SweepStudyConfig[SweepRateB])</f>
        <v>#VALUE!</v>
      </c>
      <c r="M863" s="3" t="e">
        <f>LOOKUP(C863, SweepStudyConfig[StudyId], SweepStudyConfig[FixedRateA])</f>
        <v>#VALUE!</v>
      </c>
      <c r="N863" s="3" t="e">
        <f>LOOKUP(C863, SweepStudyConfig[StudyId], SweepStudyConfig[FixedRateB])</f>
        <v>#VALUE!</v>
      </c>
      <c r="O863" s="3" t="e">
        <f>IF(G863 + I863 = 0, "", (G863 * K863 + I863 * M863) / (G863 + I863))</f>
        <v>#VALUE!</v>
      </c>
      <c r="P863" s="3" t="e">
        <f>IF(H863 + J863 = 0, "", (H863 * L863 + J863 * N863) / (H863 + J863))</f>
        <v>#VALUE!</v>
      </c>
      <c r="Q863" s="3" t="e">
        <f>IF(O863 = "", "", O863 - P863)</f>
        <v>#VALUE!</v>
      </c>
      <c r="R863" s="3" t="e">
        <f>LOOKUP(C863, SweepStudyConfig[StudyId], SweepStudyConfig[SweepCorrectedGap])</f>
        <v>#VALUE!</v>
      </c>
      <c r="S863" s="3" t="e">
        <f>IF(Q863 = "", "", Q863 - R863)</f>
        <v>#VALUE!</v>
      </c>
    </row>
    <row r="864">
      <c r="A864" s="2" t="s">
        <v>4152</v>
      </c>
      <c r="B864" s="3" t="str">
        <f>A864</f>
        <v>field-goal-distance-f025</v>
      </c>
      <c r="C864" s="2" t="s">
        <v>747</v>
      </c>
      <c r="D864" s="2">
        <v>0.25</v>
      </c>
      <c r="E864" s="3" t="e">
        <f>ABS(D864 - LOOKUP(C864, SweepStudyConfig[StudyId], SweepStudyConfig[OriginalAllocFractionA])) &lt; 0.03</f>
        <v>#VALUE!</v>
      </c>
      <c r="F864" s="3" t="e">
        <f>LOOKUP(C864, SweepStudyConfig[StudyId], SweepStudyConfig[NSweepStratumTotal])</f>
        <v>#VALUE!</v>
      </c>
      <c r="G864" s="3" t="e">
        <f>ROUND(F864 * D864)</f>
        <v>#VALUE!</v>
      </c>
      <c r="H864" s="3" t="e">
        <f>F864 - G864</f>
        <v>#VALUE!</v>
      </c>
      <c r="I864" s="3" t="e">
        <f>LOOKUP(C864, SweepStudyConfig[StudyId], SweepStudyConfig[NFixedA])</f>
        <v>#VALUE!</v>
      </c>
      <c r="J864" s="3" t="e">
        <f>LOOKUP(C864, SweepStudyConfig[StudyId], SweepStudyConfig[NFixedB])</f>
        <v>#VALUE!</v>
      </c>
      <c r="K864" s="3" t="e">
        <f>LOOKUP(C864, SweepStudyConfig[StudyId], SweepStudyConfig[SweepRateA])</f>
        <v>#VALUE!</v>
      </c>
      <c r="L864" s="3" t="e">
        <f>LOOKUP(C864, SweepStudyConfig[StudyId], SweepStudyConfig[SweepRateB])</f>
        <v>#VALUE!</v>
      </c>
      <c r="M864" s="3" t="e">
        <f>LOOKUP(C864, SweepStudyConfig[StudyId], SweepStudyConfig[FixedRateA])</f>
        <v>#VALUE!</v>
      </c>
      <c r="N864" s="3" t="e">
        <f>LOOKUP(C864, SweepStudyConfig[StudyId], SweepStudyConfig[FixedRateB])</f>
        <v>#VALUE!</v>
      </c>
      <c r="O864" s="3" t="e">
        <f>IF(G864 + I864 = 0, "", (G864 * K864 + I864 * M864) / (G864 + I864))</f>
        <v>#VALUE!</v>
      </c>
      <c r="P864" s="3" t="e">
        <f>IF(H864 + J864 = 0, "", (H864 * L864 + J864 * N864) / (H864 + J864))</f>
        <v>#VALUE!</v>
      </c>
      <c r="Q864" s="3" t="e">
        <f>IF(O864 = "", "", O864 - P864)</f>
        <v>#VALUE!</v>
      </c>
      <c r="R864" s="3" t="e">
        <f>LOOKUP(C864, SweepStudyConfig[StudyId], SweepStudyConfig[SweepCorrectedGap])</f>
        <v>#VALUE!</v>
      </c>
      <c r="S864" s="3" t="e">
        <f>IF(Q864 = "", "", Q864 - R864)</f>
        <v>#VALUE!</v>
      </c>
    </row>
    <row r="865">
      <c r="A865" s="2" t="s">
        <v>4153</v>
      </c>
      <c r="B865" s="3" t="str">
        <f>A865</f>
        <v>field-goal-distance-f035</v>
      </c>
      <c r="C865" s="2" t="s">
        <v>747</v>
      </c>
      <c r="D865" s="2">
        <v>0.35</v>
      </c>
      <c r="E865" s="3" t="e">
        <f>ABS(D865 - LOOKUP(C865, SweepStudyConfig[StudyId], SweepStudyConfig[OriginalAllocFractionA])) &lt; 0.03</f>
        <v>#VALUE!</v>
      </c>
      <c r="F865" s="3" t="e">
        <f>LOOKUP(C865, SweepStudyConfig[StudyId], SweepStudyConfig[NSweepStratumTotal])</f>
        <v>#VALUE!</v>
      </c>
      <c r="G865" s="3" t="e">
        <f>ROUND(F865 * D865)</f>
        <v>#VALUE!</v>
      </c>
      <c r="H865" s="3" t="e">
        <f>F865 - G865</f>
        <v>#VALUE!</v>
      </c>
      <c r="I865" s="3" t="e">
        <f>LOOKUP(C865, SweepStudyConfig[StudyId], SweepStudyConfig[NFixedA])</f>
        <v>#VALUE!</v>
      </c>
      <c r="J865" s="3" t="e">
        <f>LOOKUP(C865, SweepStudyConfig[StudyId], SweepStudyConfig[NFixedB])</f>
        <v>#VALUE!</v>
      </c>
      <c r="K865" s="3" t="e">
        <f>LOOKUP(C865, SweepStudyConfig[StudyId], SweepStudyConfig[SweepRateA])</f>
        <v>#VALUE!</v>
      </c>
      <c r="L865" s="3" t="e">
        <f>LOOKUP(C865, SweepStudyConfig[StudyId], SweepStudyConfig[SweepRateB])</f>
        <v>#VALUE!</v>
      </c>
      <c r="M865" s="3" t="e">
        <f>LOOKUP(C865, SweepStudyConfig[StudyId], SweepStudyConfig[FixedRateA])</f>
        <v>#VALUE!</v>
      </c>
      <c r="N865" s="3" t="e">
        <f>LOOKUP(C865, SweepStudyConfig[StudyId], SweepStudyConfig[FixedRateB])</f>
        <v>#VALUE!</v>
      </c>
      <c r="O865" s="3" t="e">
        <f>IF(G865 + I865 = 0, "", (G865 * K865 + I865 * M865) / (G865 + I865))</f>
        <v>#VALUE!</v>
      </c>
      <c r="P865" s="3" t="e">
        <f>IF(H865 + J865 = 0, "", (H865 * L865 + J865 * N865) / (H865 + J865))</f>
        <v>#VALUE!</v>
      </c>
      <c r="Q865" s="3" t="e">
        <f>IF(O865 = "", "", O865 - P865)</f>
        <v>#VALUE!</v>
      </c>
      <c r="R865" s="3" t="e">
        <f>LOOKUP(C865, SweepStudyConfig[StudyId], SweepStudyConfig[SweepCorrectedGap])</f>
        <v>#VALUE!</v>
      </c>
      <c r="S865" s="3" t="e">
        <f>IF(Q865 = "", "", Q865 - R865)</f>
        <v>#VALUE!</v>
      </c>
    </row>
    <row r="866">
      <c r="A866" s="2" t="s">
        <v>4154</v>
      </c>
      <c r="B866" s="3" t="str">
        <f>A866</f>
        <v>field-goal-distance-f045</v>
      </c>
      <c r="C866" s="2" t="s">
        <v>747</v>
      </c>
      <c r="D866" s="2">
        <v>0.45</v>
      </c>
      <c r="E866" s="3" t="e">
        <f>ABS(D866 - LOOKUP(C866, SweepStudyConfig[StudyId], SweepStudyConfig[OriginalAllocFractionA])) &lt; 0.03</f>
        <v>#VALUE!</v>
      </c>
      <c r="F866" s="3" t="e">
        <f>LOOKUP(C866, SweepStudyConfig[StudyId], SweepStudyConfig[NSweepStratumTotal])</f>
        <v>#VALUE!</v>
      </c>
      <c r="G866" s="3" t="e">
        <f>ROUND(F866 * D866)</f>
        <v>#VALUE!</v>
      </c>
      <c r="H866" s="3" t="e">
        <f>F866 - G866</f>
        <v>#VALUE!</v>
      </c>
      <c r="I866" s="3" t="e">
        <f>LOOKUP(C866, SweepStudyConfig[StudyId], SweepStudyConfig[NFixedA])</f>
        <v>#VALUE!</v>
      </c>
      <c r="J866" s="3" t="e">
        <f>LOOKUP(C866, SweepStudyConfig[StudyId], SweepStudyConfig[NFixedB])</f>
        <v>#VALUE!</v>
      </c>
      <c r="K866" s="3" t="e">
        <f>LOOKUP(C866, SweepStudyConfig[StudyId], SweepStudyConfig[SweepRateA])</f>
        <v>#VALUE!</v>
      </c>
      <c r="L866" s="3" t="e">
        <f>LOOKUP(C866, SweepStudyConfig[StudyId], SweepStudyConfig[SweepRateB])</f>
        <v>#VALUE!</v>
      </c>
      <c r="M866" s="3" t="e">
        <f>LOOKUP(C866, SweepStudyConfig[StudyId], SweepStudyConfig[FixedRateA])</f>
        <v>#VALUE!</v>
      </c>
      <c r="N866" s="3" t="e">
        <f>LOOKUP(C866, SweepStudyConfig[StudyId], SweepStudyConfig[FixedRateB])</f>
        <v>#VALUE!</v>
      </c>
      <c r="O866" s="3" t="e">
        <f>IF(G866 + I866 = 0, "", (G866 * K866 + I866 * M866) / (G866 + I866))</f>
        <v>#VALUE!</v>
      </c>
      <c r="P866" s="3" t="e">
        <f>IF(H866 + J866 = 0, "", (H866 * L866 + J866 * N866) / (H866 + J866))</f>
        <v>#VALUE!</v>
      </c>
      <c r="Q866" s="3" t="e">
        <f>IF(O866 = "", "", O866 - P866)</f>
        <v>#VALUE!</v>
      </c>
      <c r="R866" s="3" t="e">
        <f>LOOKUP(C866, SweepStudyConfig[StudyId], SweepStudyConfig[SweepCorrectedGap])</f>
        <v>#VALUE!</v>
      </c>
      <c r="S866" s="3" t="e">
        <f>IF(Q866 = "", "", Q866 - R866)</f>
        <v>#VALUE!</v>
      </c>
    </row>
    <row r="867">
      <c r="A867" s="2" t="s">
        <v>4155</v>
      </c>
      <c r="B867" s="3" t="str">
        <f>A867</f>
        <v>field-goal-distance-f055</v>
      </c>
      <c r="C867" s="2" t="s">
        <v>747</v>
      </c>
      <c r="D867" s="2">
        <v>0.55</v>
      </c>
      <c r="E867" s="3" t="e">
        <f>ABS(D867 - LOOKUP(C867, SweepStudyConfig[StudyId], SweepStudyConfig[OriginalAllocFractionA])) &lt; 0.03</f>
        <v>#VALUE!</v>
      </c>
      <c r="F867" s="3" t="e">
        <f>LOOKUP(C867, SweepStudyConfig[StudyId], SweepStudyConfig[NSweepStratumTotal])</f>
        <v>#VALUE!</v>
      </c>
      <c r="G867" s="3" t="e">
        <f>ROUND(F867 * D867)</f>
        <v>#VALUE!</v>
      </c>
      <c r="H867" s="3" t="e">
        <f>F867 - G867</f>
        <v>#VALUE!</v>
      </c>
      <c r="I867" s="3" t="e">
        <f>LOOKUP(C867, SweepStudyConfig[StudyId], SweepStudyConfig[NFixedA])</f>
        <v>#VALUE!</v>
      </c>
      <c r="J867" s="3" t="e">
        <f>LOOKUP(C867, SweepStudyConfig[StudyId], SweepStudyConfig[NFixedB])</f>
        <v>#VALUE!</v>
      </c>
      <c r="K867" s="3" t="e">
        <f>LOOKUP(C867, SweepStudyConfig[StudyId], SweepStudyConfig[SweepRateA])</f>
        <v>#VALUE!</v>
      </c>
      <c r="L867" s="3" t="e">
        <f>LOOKUP(C867, SweepStudyConfig[StudyId], SweepStudyConfig[SweepRateB])</f>
        <v>#VALUE!</v>
      </c>
      <c r="M867" s="3" t="e">
        <f>LOOKUP(C867, SweepStudyConfig[StudyId], SweepStudyConfig[FixedRateA])</f>
        <v>#VALUE!</v>
      </c>
      <c r="N867" s="3" t="e">
        <f>LOOKUP(C867, SweepStudyConfig[StudyId], SweepStudyConfig[FixedRateB])</f>
        <v>#VALUE!</v>
      </c>
      <c r="O867" s="3" t="e">
        <f>IF(G867 + I867 = 0, "", (G867 * K867 + I867 * M867) / (G867 + I867))</f>
        <v>#VALUE!</v>
      </c>
      <c r="P867" s="3" t="e">
        <f>IF(H867 + J867 = 0, "", (H867 * L867 + J867 * N867) / (H867 + J867))</f>
        <v>#VALUE!</v>
      </c>
      <c r="Q867" s="3" t="e">
        <f>IF(O867 = "", "", O867 - P867)</f>
        <v>#VALUE!</v>
      </c>
      <c r="R867" s="3" t="e">
        <f>LOOKUP(C867, SweepStudyConfig[StudyId], SweepStudyConfig[SweepCorrectedGap])</f>
        <v>#VALUE!</v>
      </c>
      <c r="S867" s="3" t="e">
        <f>IF(Q867 = "", "", Q867 - R867)</f>
        <v>#VALUE!</v>
      </c>
    </row>
    <row r="868">
      <c r="A868" s="2" t="s">
        <v>4156</v>
      </c>
      <c r="B868" s="3" t="str">
        <f>A868</f>
        <v>field-goal-distance-f065</v>
      </c>
      <c r="C868" s="2" t="s">
        <v>747</v>
      </c>
      <c r="D868" s="2">
        <v>0.65</v>
      </c>
      <c r="E868" s="3" t="e">
        <f>ABS(D868 - LOOKUP(C868, SweepStudyConfig[StudyId], SweepStudyConfig[OriginalAllocFractionA])) &lt; 0.03</f>
        <v>#VALUE!</v>
      </c>
      <c r="F868" s="3" t="e">
        <f>LOOKUP(C868, SweepStudyConfig[StudyId], SweepStudyConfig[NSweepStratumTotal])</f>
        <v>#VALUE!</v>
      </c>
      <c r="G868" s="3" t="e">
        <f>ROUND(F868 * D868)</f>
        <v>#VALUE!</v>
      </c>
      <c r="H868" s="3" t="e">
        <f>F868 - G868</f>
        <v>#VALUE!</v>
      </c>
      <c r="I868" s="3" t="e">
        <f>LOOKUP(C868, SweepStudyConfig[StudyId], SweepStudyConfig[NFixedA])</f>
        <v>#VALUE!</v>
      </c>
      <c r="J868" s="3" t="e">
        <f>LOOKUP(C868, SweepStudyConfig[StudyId], SweepStudyConfig[NFixedB])</f>
        <v>#VALUE!</v>
      </c>
      <c r="K868" s="3" t="e">
        <f>LOOKUP(C868, SweepStudyConfig[StudyId], SweepStudyConfig[SweepRateA])</f>
        <v>#VALUE!</v>
      </c>
      <c r="L868" s="3" t="e">
        <f>LOOKUP(C868, SweepStudyConfig[StudyId], SweepStudyConfig[SweepRateB])</f>
        <v>#VALUE!</v>
      </c>
      <c r="M868" s="3" t="e">
        <f>LOOKUP(C868, SweepStudyConfig[StudyId], SweepStudyConfig[FixedRateA])</f>
        <v>#VALUE!</v>
      </c>
      <c r="N868" s="3" t="e">
        <f>LOOKUP(C868, SweepStudyConfig[StudyId], SweepStudyConfig[FixedRateB])</f>
        <v>#VALUE!</v>
      </c>
      <c r="O868" s="3" t="e">
        <f>IF(G868 + I868 = 0, "", (G868 * K868 + I868 * M868) / (G868 + I868))</f>
        <v>#VALUE!</v>
      </c>
      <c r="P868" s="3" t="e">
        <f>IF(H868 + J868 = 0, "", (H868 * L868 + J868 * N868) / (H868 + J868))</f>
        <v>#VALUE!</v>
      </c>
      <c r="Q868" s="3" t="e">
        <f>IF(O868 = "", "", O868 - P868)</f>
        <v>#VALUE!</v>
      </c>
      <c r="R868" s="3" t="e">
        <f>LOOKUP(C868, SweepStudyConfig[StudyId], SweepStudyConfig[SweepCorrectedGap])</f>
        <v>#VALUE!</v>
      </c>
      <c r="S868" s="3" t="e">
        <f>IF(Q868 = "", "", Q868 - R868)</f>
        <v>#VALUE!</v>
      </c>
    </row>
    <row r="869">
      <c r="A869" s="2" t="s">
        <v>4157</v>
      </c>
      <c r="B869" s="3" t="str">
        <f>A869</f>
        <v>field-goal-distance-f075</v>
      </c>
      <c r="C869" s="2" t="s">
        <v>747</v>
      </c>
      <c r="D869" s="2">
        <v>0.75</v>
      </c>
      <c r="E869" s="3" t="e">
        <f>ABS(D869 - LOOKUP(C869, SweepStudyConfig[StudyId], SweepStudyConfig[OriginalAllocFractionA])) &lt; 0.03</f>
        <v>#VALUE!</v>
      </c>
      <c r="F869" s="3" t="e">
        <f>LOOKUP(C869, SweepStudyConfig[StudyId], SweepStudyConfig[NSweepStratumTotal])</f>
        <v>#VALUE!</v>
      </c>
      <c r="G869" s="3" t="e">
        <f>ROUND(F869 * D869)</f>
        <v>#VALUE!</v>
      </c>
      <c r="H869" s="3" t="e">
        <f>F869 - G869</f>
        <v>#VALUE!</v>
      </c>
      <c r="I869" s="3" t="e">
        <f>LOOKUP(C869, SweepStudyConfig[StudyId], SweepStudyConfig[NFixedA])</f>
        <v>#VALUE!</v>
      </c>
      <c r="J869" s="3" t="e">
        <f>LOOKUP(C869, SweepStudyConfig[StudyId], SweepStudyConfig[NFixedB])</f>
        <v>#VALUE!</v>
      </c>
      <c r="K869" s="3" t="e">
        <f>LOOKUP(C869, SweepStudyConfig[StudyId], SweepStudyConfig[SweepRateA])</f>
        <v>#VALUE!</v>
      </c>
      <c r="L869" s="3" t="e">
        <f>LOOKUP(C869, SweepStudyConfig[StudyId], SweepStudyConfig[SweepRateB])</f>
        <v>#VALUE!</v>
      </c>
      <c r="M869" s="3" t="e">
        <f>LOOKUP(C869, SweepStudyConfig[StudyId], SweepStudyConfig[FixedRateA])</f>
        <v>#VALUE!</v>
      </c>
      <c r="N869" s="3" t="e">
        <f>LOOKUP(C869, SweepStudyConfig[StudyId], SweepStudyConfig[FixedRateB])</f>
        <v>#VALUE!</v>
      </c>
      <c r="O869" s="3" t="e">
        <f>IF(G869 + I869 = 0, "", (G869 * K869 + I869 * M869) / (G869 + I869))</f>
        <v>#VALUE!</v>
      </c>
      <c r="P869" s="3" t="e">
        <f>IF(H869 + J869 = 0, "", (H869 * L869 + J869 * N869) / (H869 + J869))</f>
        <v>#VALUE!</v>
      </c>
      <c r="Q869" s="3" t="e">
        <f>IF(O869 = "", "", O869 - P869)</f>
        <v>#VALUE!</v>
      </c>
      <c r="R869" s="3" t="e">
        <f>LOOKUP(C869, SweepStudyConfig[StudyId], SweepStudyConfig[SweepCorrectedGap])</f>
        <v>#VALUE!</v>
      </c>
      <c r="S869" s="3" t="e">
        <f>IF(Q869 = "", "", Q869 - R869)</f>
        <v>#VALUE!</v>
      </c>
    </row>
    <row r="870">
      <c r="A870" s="2" t="s">
        <v>4158</v>
      </c>
      <c r="B870" s="3" t="str">
        <f>A870</f>
        <v>field-goal-distance-f085</v>
      </c>
      <c r="C870" s="2" t="s">
        <v>747</v>
      </c>
      <c r="D870" s="2">
        <v>0.85</v>
      </c>
      <c r="E870" s="3" t="e">
        <f>ABS(D870 - LOOKUP(C870, SweepStudyConfig[StudyId], SweepStudyConfig[OriginalAllocFractionA])) &lt; 0.03</f>
        <v>#VALUE!</v>
      </c>
      <c r="F870" s="3" t="e">
        <f>LOOKUP(C870, SweepStudyConfig[StudyId], SweepStudyConfig[NSweepStratumTotal])</f>
        <v>#VALUE!</v>
      </c>
      <c r="G870" s="3" t="e">
        <f>ROUND(F870 * D870)</f>
        <v>#VALUE!</v>
      </c>
      <c r="H870" s="3" t="e">
        <f>F870 - G870</f>
        <v>#VALUE!</v>
      </c>
      <c r="I870" s="3" t="e">
        <f>LOOKUP(C870, SweepStudyConfig[StudyId], SweepStudyConfig[NFixedA])</f>
        <v>#VALUE!</v>
      </c>
      <c r="J870" s="3" t="e">
        <f>LOOKUP(C870, SweepStudyConfig[StudyId], SweepStudyConfig[NFixedB])</f>
        <v>#VALUE!</v>
      </c>
      <c r="K870" s="3" t="e">
        <f>LOOKUP(C870, SweepStudyConfig[StudyId], SweepStudyConfig[SweepRateA])</f>
        <v>#VALUE!</v>
      </c>
      <c r="L870" s="3" t="e">
        <f>LOOKUP(C870, SweepStudyConfig[StudyId], SweepStudyConfig[SweepRateB])</f>
        <v>#VALUE!</v>
      </c>
      <c r="M870" s="3" t="e">
        <f>LOOKUP(C870, SweepStudyConfig[StudyId], SweepStudyConfig[FixedRateA])</f>
        <v>#VALUE!</v>
      </c>
      <c r="N870" s="3" t="e">
        <f>LOOKUP(C870, SweepStudyConfig[StudyId], SweepStudyConfig[FixedRateB])</f>
        <v>#VALUE!</v>
      </c>
      <c r="O870" s="3" t="e">
        <f>IF(G870 + I870 = 0, "", (G870 * K870 + I870 * M870) / (G870 + I870))</f>
        <v>#VALUE!</v>
      </c>
      <c r="P870" s="3" t="e">
        <f>IF(H870 + J870 = 0, "", (H870 * L870 + J870 * N870) / (H870 + J870))</f>
        <v>#VALUE!</v>
      </c>
      <c r="Q870" s="3" t="e">
        <f>IF(O870 = "", "", O870 - P870)</f>
        <v>#VALUE!</v>
      </c>
      <c r="R870" s="3" t="e">
        <f>LOOKUP(C870, SweepStudyConfig[StudyId], SweepStudyConfig[SweepCorrectedGap])</f>
        <v>#VALUE!</v>
      </c>
      <c r="S870" s="3" t="e">
        <f>IF(Q870 = "", "", Q870 - R870)</f>
        <v>#VALUE!</v>
      </c>
    </row>
    <row r="871">
      <c r="A871" s="2" t="s">
        <v>4159</v>
      </c>
      <c r="B871" s="3" t="str">
        <f>A871</f>
        <v>field-goal-distance-f095</v>
      </c>
      <c r="C871" s="2" t="s">
        <v>747</v>
      </c>
      <c r="D871" s="2">
        <v>0.95</v>
      </c>
      <c r="E871" s="3" t="e">
        <f>ABS(D871 - LOOKUP(C871, SweepStudyConfig[StudyId], SweepStudyConfig[OriginalAllocFractionA])) &lt; 0.03</f>
        <v>#VALUE!</v>
      </c>
      <c r="F871" s="3" t="e">
        <f>LOOKUP(C871, SweepStudyConfig[StudyId], SweepStudyConfig[NSweepStratumTotal])</f>
        <v>#VALUE!</v>
      </c>
      <c r="G871" s="3" t="e">
        <f>ROUND(F871 * D871)</f>
        <v>#VALUE!</v>
      </c>
      <c r="H871" s="3" t="e">
        <f>F871 - G871</f>
        <v>#VALUE!</v>
      </c>
      <c r="I871" s="3" t="e">
        <f>LOOKUP(C871, SweepStudyConfig[StudyId], SweepStudyConfig[NFixedA])</f>
        <v>#VALUE!</v>
      </c>
      <c r="J871" s="3" t="e">
        <f>LOOKUP(C871, SweepStudyConfig[StudyId], SweepStudyConfig[NFixedB])</f>
        <v>#VALUE!</v>
      </c>
      <c r="K871" s="3" t="e">
        <f>LOOKUP(C871, SweepStudyConfig[StudyId], SweepStudyConfig[SweepRateA])</f>
        <v>#VALUE!</v>
      </c>
      <c r="L871" s="3" t="e">
        <f>LOOKUP(C871, SweepStudyConfig[StudyId], SweepStudyConfig[SweepRateB])</f>
        <v>#VALUE!</v>
      </c>
      <c r="M871" s="3" t="e">
        <f>LOOKUP(C871, SweepStudyConfig[StudyId], SweepStudyConfig[FixedRateA])</f>
        <v>#VALUE!</v>
      </c>
      <c r="N871" s="3" t="e">
        <f>LOOKUP(C871, SweepStudyConfig[StudyId], SweepStudyConfig[FixedRateB])</f>
        <v>#VALUE!</v>
      </c>
      <c r="O871" s="3" t="e">
        <f>IF(G871 + I871 = 0, "", (G871 * K871 + I871 * M871) / (G871 + I871))</f>
        <v>#VALUE!</v>
      </c>
      <c r="P871" s="3" t="e">
        <f>IF(H871 + J871 = 0, "", (H871 * L871 + J871 * N871) / (H871 + J871))</f>
        <v>#VALUE!</v>
      </c>
      <c r="Q871" s="3" t="e">
        <f>IF(O871 = "", "", O871 - P871)</f>
        <v>#VALUE!</v>
      </c>
      <c r="R871" s="3" t="e">
        <f>LOOKUP(C871, SweepStudyConfig[StudyId], SweepStudyConfig[SweepCorrectedGap])</f>
        <v>#VALUE!</v>
      </c>
      <c r="S871" s="3" t="e">
        <f>IF(Q871 = "", "", Q871 - R871)</f>
        <v>#VALUE!</v>
      </c>
    </row>
    <row r="872">
      <c r="A872" s="2" t="s">
        <v>4160</v>
      </c>
      <c r="B872" s="3" t="str">
        <f>A872</f>
        <v>golf-scoring-course-f005</v>
      </c>
      <c r="C872" s="2" t="s">
        <v>751</v>
      </c>
      <c r="D872" s="2">
        <v>0.05</v>
      </c>
      <c r="E872" s="3" t="e">
        <f>ABS(D872 - LOOKUP(C872, SweepStudyConfig[StudyId], SweepStudyConfig[OriginalAllocFractionA])) &lt; 0.03</f>
        <v>#VALUE!</v>
      </c>
      <c r="F872" s="3" t="e">
        <f>LOOKUP(C872, SweepStudyConfig[StudyId], SweepStudyConfig[NSweepStratumTotal])</f>
        <v>#VALUE!</v>
      </c>
      <c r="G872" s="3" t="e">
        <f>ROUND(F872 * D872)</f>
        <v>#VALUE!</v>
      </c>
      <c r="H872" s="3" t="e">
        <f>F872 - G872</f>
        <v>#VALUE!</v>
      </c>
      <c r="I872" s="3" t="e">
        <f>LOOKUP(C872, SweepStudyConfig[StudyId], SweepStudyConfig[NFixedA])</f>
        <v>#VALUE!</v>
      </c>
      <c r="J872" s="3" t="e">
        <f>LOOKUP(C872, SweepStudyConfig[StudyId], SweepStudyConfig[NFixedB])</f>
        <v>#VALUE!</v>
      </c>
      <c r="K872" s="3" t="e">
        <f>LOOKUP(C872, SweepStudyConfig[StudyId], SweepStudyConfig[SweepRateA])</f>
        <v>#VALUE!</v>
      </c>
      <c r="L872" s="3" t="e">
        <f>LOOKUP(C872, SweepStudyConfig[StudyId], SweepStudyConfig[SweepRateB])</f>
        <v>#VALUE!</v>
      </c>
      <c r="M872" s="3" t="e">
        <f>LOOKUP(C872, SweepStudyConfig[StudyId], SweepStudyConfig[FixedRateA])</f>
        <v>#VALUE!</v>
      </c>
      <c r="N872" s="3" t="e">
        <f>LOOKUP(C872, SweepStudyConfig[StudyId], SweepStudyConfig[FixedRateB])</f>
        <v>#VALUE!</v>
      </c>
      <c r="O872" s="3" t="e">
        <f>IF(G872 + I872 = 0, "", (G872 * K872 + I872 * M872) / (G872 + I872))</f>
        <v>#VALUE!</v>
      </c>
      <c r="P872" s="3" t="e">
        <f>IF(H872 + J872 = 0, "", (H872 * L872 + J872 * N872) / (H872 + J872))</f>
        <v>#VALUE!</v>
      </c>
      <c r="Q872" s="3" t="e">
        <f>IF(O872 = "", "", O872 - P872)</f>
        <v>#VALUE!</v>
      </c>
      <c r="R872" s="3" t="e">
        <f>LOOKUP(C872, SweepStudyConfig[StudyId], SweepStudyConfig[SweepCorrectedGap])</f>
        <v>#VALUE!</v>
      </c>
      <c r="S872" s="3" t="e">
        <f>IF(Q872 = "", "", Q872 - R872)</f>
        <v>#VALUE!</v>
      </c>
    </row>
    <row r="873">
      <c r="A873" s="2" t="s">
        <v>4161</v>
      </c>
      <c r="B873" s="3" t="str">
        <f>A873</f>
        <v>golf-scoring-course-f015</v>
      </c>
      <c r="C873" s="2" t="s">
        <v>751</v>
      </c>
      <c r="D873" s="2">
        <v>0.15</v>
      </c>
      <c r="E873" s="3" t="e">
        <f>ABS(D873 - LOOKUP(C873, SweepStudyConfig[StudyId], SweepStudyConfig[OriginalAllocFractionA])) &lt; 0.03</f>
        <v>#VALUE!</v>
      </c>
      <c r="F873" s="3" t="e">
        <f>LOOKUP(C873, SweepStudyConfig[StudyId], SweepStudyConfig[NSweepStratumTotal])</f>
        <v>#VALUE!</v>
      </c>
      <c r="G873" s="3" t="e">
        <f>ROUND(F873 * D873)</f>
        <v>#VALUE!</v>
      </c>
      <c r="H873" s="3" t="e">
        <f>F873 - G873</f>
        <v>#VALUE!</v>
      </c>
      <c r="I873" s="3" t="e">
        <f>LOOKUP(C873, SweepStudyConfig[StudyId], SweepStudyConfig[NFixedA])</f>
        <v>#VALUE!</v>
      </c>
      <c r="J873" s="3" t="e">
        <f>LOOKUP(C873, SweepStudyConfig[StudyId], SweepStudyConfig[NFixedB])</f>
        <v>#VALUE!</v>
      </c>
      <c r="K873" s="3" t="e">
        <f>LOOKUP(C873, SweepStudyConfig[StudyId], SweepStudyConfig[SweepRateA])</f>
        <v>#VALUE!</v>
      </c>
      <c r="L873" s="3" t="e">
        <f>LOOKUP(C873, SweepStudyConfig[StudyId], SweepStudyConfig[SweepRateB])</f>
        <v>#VALUE!</v>
      </c>
      <c r="M873" s="3" t="e">
        <f>LOOKUP(C873, SweepStudyConfig[StudyId], SweepStudyConfig[FixedRateA])</f>
        <v>#VALUE!</v>
      </c>
      <c r="N873" s="3" t="e">
        <f>LOOKUP(C873, SweepStudyConfig[StudyId], SweepStudyConfig[FixedRateB])</f>
        <v>#VALUE!</v>
      </c>
      <c r="O873" s="3" t="e">
        <f>IF(G873 + I873 = 0, "", (G873 * K873 + I873 * M873) / (G873 + I873))</f>
        <v>#VALUE!</v>
      </c>
      <c r="P873" s="3" t="e">
        <f>IF(H873 + J873 = 0, "", (H873 * L873 + J873 * N873) / (H873 + J873))</f>
        <v>#VALUE!</v>
      </c>
      <c r="Q873" s="3" t="e">
        <f>IF(O873 = "", "", O873 - P873)</f>
        <v>#VALUE!</v>
      </c>
      <c r="R873" s="3" t="e">
        <f>LOOKUP(C873, SweepStudyConfig[StudyId], SweepStudyConfig[SweepCorrectedGap])</f>
        <v>#VALUE!</v>
      </c>
      <c r="S873" s="3" t="e">
        <f>IF(Q873 = "", "", Q873 - R873)</f>
        <v>#VALUE!</v>
      </c>
    </row>
    <row r="874">
      <c r="A874" s="2" t="s">
        <v>4162</v>
      </c>
      <c r="B874" s="3" t="str">
        <f>A874</f>
        <v>golf-scoring-course-f025</v>
      </c>
      <c r="C874" s="2" t="s">
        <v>751</v>
      </c>
      <c r="D874" s="2">
        <v>0.25</v>
      </c>
      <c r="E874" s="3" t="e">
        <f>ABS(D874 - LOOKUP(C874, SweepStudyConfig[StudyId], SweepStudyConfig[OriginalAllocFractionA])) &lt; 0.03</f>
        <v>#VALUE!</v>
      </c>
      <c r="F874" s="3" t="e">
        <f>LOOKUP(C874, SweepStudyConfig[StudyId], SweepStudyConfig[NSweepStratumTotal])</f>
        <v>#VALUE!</v>
      </c>
      <c r="G874" s="3" t="e">
        <f>ROUND(F874 * D874)</f>
        <v>#VALUE!</v>
      </c>
      <c r="H874" s="3" t="e">
        <f>F874 - G874</f>
        <v>#VALUE!</v>
      </c>
      <c r="I874" s="3" t="e">
        <f>LOOKUP(C874, SweepStudyConfig[StudyId], SweepStudyConfig[NFixedA])</f>
        <v>#VALUE!</v>
      </c>
      <c r="J874" s="3" t="e">
        <f>LOOKUP(C874, SweepStudyConfig[StudyId], SweepStudyConfig[NFixedB])</f>
        <v>#VALUE!</v>
      </c>
      <c r="K874" s="3" t="e">
        <f>LOOKUP(C874, SweepStudyConfig[StudyId], SweepStudyConfig[SweepRateA])</f>
        <v>#VALUE!</v>
      </c>
      <c r="L874" s="3" t="e">
        <f>LOOKUP(C874, SweepStudyConfig[StudyId], SweepStudyConfig[SweepRateB])</f>
        <v>#VALUE!</v>
      </c>
      <c r="M874" s="3" t="e">
        <f>LOOKUP(C874, SweepStudyConfig[StudyId], SweepStudyConfig[FixedRateA])</f>
        <v>#VALUE!</v>
      </c>
      <c r="N874" s="3" t="e">
        <f>LOOKUP(C874, SweepStudyConfig[StudyId], SweepStudyConfig[FixedRateB])</f>
        <v>#VALUE!</v>
      </c>
      <c r="O874" s="3" t="e">
        <f>IF(G874 + I874 = 0, "", (G874 * K874 + I874 * M874) / (G874 + I874))</f>
        <v>#VALUE!</v>
      </c>
      <c r="P874" s="3" t="e">
        <f>IF(H874 + J874 = 0, "", (H874 * L874 + J874 * N874) / (H874 + J874))</f>
        <v>#VALUE!</v>
      </c>
      <c r="Q874" s="3" t="e">
        <f>IF(O874 = "", "", O874 - P874)</f>
        <v>#VALUE!</v>
      </c>
      <c r="R874" s="3" t="e">
        <f>LOOKUP(C874, SweepStudyConfig[StudyId], SweepStudyConfig[SweepCorrectedGap])</f>
        <v>#VALUE!</v>
      </c>
      <c r="S874" s="3" t="e">
        <f>IF(Q874 = "", "", Q874 - R874)</f>
        <v>#VALUE!</v>
      </c>
    </row>
    <row r="875">
      <c r="A875" s="2" t="s">
        <v>4163</v>
      </c>
      <c r="B875" s="3" t="str">
        <f>A875</f>
        <v>golf-scoring-course-f035</v>
      </c>
      <c r="C875" s="2" t="s">
        <v>751</v>
      </c>
      <c r="D875" s="2">
        <v>0.35</v>
      </c>
      <c r="E875" s="3" t="e">
        <f>ABS(D875 - LOOKUP(C875, SweepStudyConfig[StudyId], SweepStudyConfig[OriginalAllocFractionA])) &lt; 0.03</f>
        <v>#VALUE!</v>
      </c>
      <c r="F875" s="3" t="e">
        <f>LOOKUP(C875, SweepStudyConfig[StudyId], SweepStudyConfig[NSweepStratumTotal])</f>
        <v>#VALUE!</v>
      </c>
      <c r="G875" s="3" t="e">
        <f>ROUND(F875 * D875)</f>
        <v>#VALUE!</v>
      </c>
      <c r="H875" s="3" t="e">
        <f>F875 - G875</f>
        <v>#VALUE!</v>
      </c>
      <c r="I875" s="3" t="e">
        <f>LOOKUP(C875, SweepStudyConfig[StudyId], SweepStudyConfig[NFixedA])</f>
        <v>#VALUE!</v>
      </c>
      <c r="J875" s="3" t="e">
        <f>LOOKUP(C875, SweepStudyConfig[StudyId], SweepStudyConfig[NFixedB])</f>
        <v>#VALUE!</v>
      </c>
      <c r="K875" s="3" t="e">
        <f>LOOKUP(C875, SweepStudyConfig[StudyId], SweepStudyConfig[SweepRateA])</f>
        <v>#VALUE!</v>
      </c>
      <c r="L875" s="3" t="e">
        <f>LOOKUP(C875, SweepStudyConfig[StudyId], SweepStudyConfig[SweepRateB])</f>
        <v>#VALUE!</v>
      </c>
      <c r="M875" s="3" t="e">
        <f>LOOKUP(C875, SweepStudyConfig[StudyId], SweepStudyConfig[FixedRateA])</f>
        <v>#VALUE!</v>
      </c>
      <c r="N875" s="3" t="e">
        <f>LOOKUP(C875, SweepStudyConfig[StudyId], SweepStudyConfig[FixedRateB])</f>
        <v>#VALUE!</v>
      </c>
      <c r="O875" s="3" t="e">
        <f>IF(G875 + I875 = 0, "", (G875 * K875 + I875 * M875) / (G875 + I875))</f>
        <v>#VALUE!</v>
      </c>
      <c r="P875" s="3" t="e">
        <f>IF(H875 + J875 = 0, "", (H875 * L875 + J875 * N875) / (H875 + J875))</f>
        <v>#VALUE!</v>
      </c>
      <c r="Q875" s="3" t="e">
        <f>IF(O875 = "", "", O875 - P875)</f>
        <v>#VALUE!</v>
      </c>
      <c r="R875" s="3" t="e">
        <f>LOOKUP(C875, SweepStudyConfig[StudyId], SweepStudyConfig[SweepCorrectedGap])</f>
        <v>#VALUE!</v>
      </c>
      <c r="S875" s="3" t="e">
        <f>IF(Q875 = "", "", Q875 - R875)</f>
        <v>#VALUE!</v>
      </c>
    </row>
    <row r="876">
      <c r="A876" s="2" t="s">
        <v>4164</v>
      </c>
      <c r="B876" s="3" t="str">
        <f>A876</f>
        <v>golf-scoring-course-f045</v>
      </c>
      <c r="C876" s="2" t="s">
        <v>751</v>
      </c>
      <c r="D876" s="2">
        <v>0.45</v>
      </c>
      <c r="E876" s="3" t="e">
        <f>ABS(D876 - LOOKUP(C876, SweepStudyConfig[StudyId], SweepStudyConfig[OriginalAllocFractionA])) &lt; 0.03</f>
        <v>#VALUE!</v>
      </c>
      <c r="F876" s="3" t="e">
        <f>LOOKUP(C876, SweepStudyConfig[StudyId], SweepStudyConfig[NSweepStratumTotal])</f>
        <v>#VALUE!</v>
      </c>
      <c r="G876" s="3" t="e">
        <f>ROUND(F876 * D876)</f>
        <v>#VALUE!</v>
      </c>
      <c r="H876" s="3" t="e">
        <f>F876 - G876</f>
        <v>#VALUE!</v>
      </c>
      <c r="I876" s="3" t="e">
        <f>LOOKUP(C876, SweepStudyConfig[StudyId], SweepStudyConfig[NFixedA])</f>
        <v>#VALUE!</v>
      </c>
      <c r="J876" s="3" t="e">
        <f>LOOKUP(C876, SweepStudyConfig[StudyId], SweepStudyConfig[NFixedB])</f>
        <v>#VALUE!</v>
      </c>
      <c r="K876" s="3" t="e">
        <f>LOOKUP(C876, SweepStudyConfig[StudyId], SweepStudyConfig[SweepRateA])</f>
        <v>#VALUE!</v>
      </c>
      <c r="L876" s="3" t="e">
        <f>LOOKUP(C876, SweepStudyConfig[StudyId], SweepStudyConfig[SweepRateB])</f>
        <v>#VALUE!</v>
      </c>
      <c r="M876" s="3" t="e">
        <f>LOOKUP(C876, SweepStudyConfig[StudyId], SweepStudyConfig[FixedRateA])</f>
        <v>#VALUE!</v>
      </c>
      <c r="N876" s="3" t="e">
        <f>LOOKUP(C876, SweepStudyConfig[StudyId], SweepStudyConfig[FixedRateB])</f>
        <v>#VALUE!</v>
      </c>
      <c r="O876" s="3" t="e">
        <f>IF(G876 + I876 = 0, "", (G876 * K876 + I876 * M876) / (G876 + I876))</f>
        <v>#VALUE!</v>
      </c>
      <c r="P876" s="3" t="e">
        <f>IF(H876 + J876 = 0, "", (H876 * L876 + J876 * N876) / (H876 + J876))</f>
        <v>#VALUE!</v>
      </c>
      <c r="Q876" s="3" t="e">
        <f>IF(O876 = "", "", O876 - P876)</f>
        <v>#VALUE!</v>
      </c>
      <c r="R876" s="3" t="e">
        <f>LOOKUP(C876, SweepStudyConfig[StudyId], SweepStudyConfig[SweepCorrectedGap])</f>
        <v>#VALUE!</v>
      </c>
      <c r="S876" s="3" t="e">
        <f>IF(Q876 = "", "", Q876 - R876)</f>
        <v>#VALUE!</v>
      </c>
    </row>
    <row r="877">
      <c r="A877" s="2" t="s">
        <v>4165</v>
      </c>
      <c r="B877" s="3" t="str">
        <f>A877</f>
        <v>golf-scoring-course-f055</v>
      </c>
      <c r="C877" s="2" t="s">
        <v>751</v>
      </c>
      <c r="D877" s="2">
        <v>0.55</v>
      </c>
      <c r="E877" s="3" t="e">
        <f>ABS(D877 - LOOKUP(C877, SweepStudyConfig[StudyId], SweepStudyConfig[OriginalAllocFractionA])) &lt; 0.03</f>
        <v>#VALUE!</v>
      </c>
      <c r="F877" s="3" t="e">
        <f>LOOKUP(C877, SweepStudyConfig[StudyId], SweepStudyConfig[NSweepStratumTotal])</f>
        <v>#VALUE!</v>
      </c>
      <c r="G877" s="3" t="e">
        <f>ROUND(F877 * D877)</f>
        <v>#VALUE!</v>
      </c>
      <c r="H877" s="3" t="e">
        <f>F877 - G877</f>
        <v>#VALUE!</v>
      </c>
      <c r="I877" s="3" t="e">
        <f>LOOKUP(C877, SweepStudyConfig[StudyId], SweepStudyConfig[NFixedA])</f>
        <v>#VALUE!</v>
      </c>
      <c r="J877" s="3" t="e">
        <f>LOOKUP(C877, SweepStudyConfig[StudyId], SweepStudyConfig[NFixedB])</f>
        <v>#VALUE!</v>
      </c>
      <c r="K877" s="3" t="e">
        <f>LOOKUP(C877, SweepStudyConfig[StudyId], SweepStudyConfig[SweepRateA])</f>
        <v>#VALUE!</v>
      </c>
      <c r="L877" s="3" t="e">
        <f>LOOKUP(C877, SweepStudyConfig[StudyId], SweepStudyConfig[SweepRateB])</f>
        <v>#VALUE!</v>
      </c>
      <c r="M877" s="3" t="e">
        <f>LOOKUP(C877, SweepStudyConfig[StudyId], SweepStudyConfig[FixedRateA])</f>
        <v>#VALUE!</v>
      </c>
      <c r="N877" s="3" t="e">
        <f>LOOKUP(C877, SweepStudyConfig[StudyId], SweepStudyConfig[FixedRateB])</f>
        <v>#VALUE!</v>
      </c>
      <c r="O877" s="3" t="e">
        <f>IF(G877 + I877 = 0, "", (G877 * K877 + I877 * M877) / (G877 + I877))</f>
        <v>#VALUE!</v>
      </c>
      <c r="P877" s="3" t="e">
        <f>IF(H877 + J877 = 0, "", (H877 * L877 + J877 * N877) / (H877 + J877))</f>
        <v>#VALUE!</v>
      </c>
      <c r="Q877" s="3" t="e">
        <f>IF(O877 = "", "", O877 - P877)</f>
        <v>#VALUE!</v>
      </c>
      <c r="R877" s="3" t="e">
        <f>LOOKUP(C877, SweepStudyConfig[StudyId], SweepStudyConfig[SweepCorrectedGap])</f>
        <v>#VALUE!</v>
      </c>
      <c r="S877" s="3" t="e">
        <f>IF(Q877 = "", "", Q877 - R877)</f>
        <v>#VALUE!</v>
      </c>
    </row>
    <row r="878">
      <c r="A878" s="2" t="s">
        <v>4166</v>
      </c>
      <c r="B878" s="3" t="str">
        <f>A878</f>
        <v>golf-scoring-course-f065</v>
      </c>
      <c r="C878" s="2" t="s">
        <v>751</v>
      </c>
      <c r="D878" s="2">
        <v>0.65</v>
      </c>
      <c r="E878" s="3" t="e">
        <f>ABS(D878 - LOOKUP(C878, SweepStudyConfig[StudyId], SweepStudyConfig[OriginalAllocFractionA])) &lt; 0.03</f>
        <v>#VALUE!</v>
      </c>
      <c r="F878" s="3" t="e">
        <f>LOOKUP(C878, SweepStudyConfig[StudyId], SweepStudyConfig[NSweepStratumTotal])</f>
        <v>#VALUE!</v>
      </c>
      <c r="G878" s="3" t="e">
        <f>ROUND(F878 * D878)</f>
        <v>#VALUE!</v>
      </c>
      <c r="H878" s="3" t="e">
        <f>F878 - G878</f>
        <v>#VALUE!</v>
      </c>
      <c r="I878" s="3" t="e">
        <f>LOOKUP(C878, SweepStudyConfig[StudyId], SweepStudyConfig[NFixedA])</f>
        <v>#VALUE!</v>
      </c>
      <c r="J878" s="3" t="e">
        <f>LOOKUP(C878, SweepStudyConfig[StudyId], SweepStudyConfig[NFixedB])</f>
        <v>#VALUE!</v>
      </c>
      <c r="K878" s="3" t="e">
        <f>LOOKUP(C878, SweepStudyConfig[StudyId], SweepStudyConfig[SweepRateA])</f>
        <v>#VALUE!</v>
      </c>
      <c r="L878" s="3" t="e">
        <f>LOOKUP(C878, SweepStudyConfig[StudyId], SweepStudyConfig[SweepRateB])</f>
        <v>#VALUE!</v>
      </c>
      <c r="M878" s="3" t="e">
        <f>LOOKUP(C878, SweepStudyConfig[StudyId], SweepStudyConfig[FixedRateA])</f>
        <v>#VALUE!</v>
      </c>
      <c r="N878" s="3" t="e">
        <f>LOOKUP(C878, SweepStudyConfig[StudyId], SweepStudyConfig[FixedRateB])</f>
        <v>#VALUE!</v>
      </c>
      <c r="O878" s="3" t="e">
        <f>IF(G878 + I878 = 0, "", (G878 * K878 + I878 * M878) / (G878 + I878))</f>
        <v>#VALUE!</v>
      </c>
      <c r="P878" s="3" t="e">
        <f>IF(H878 + J878 = 0, "", (H878 * L878 + J878 * N878) / (H878 + J878))</f>
        <v>#VALUE!</v>
      </c>
      <c r="Q878" s="3" t="e">
        <f>IF(O878 = "", "", O878 - P878)</f>
        <v>#VALUE!</v>
      </c>
      <c r="R878" s="3" t="e">
        <f>LOOKUP(C878, SweepStudyConfig[StudyId], SweepStudyConfig[SweepCorrectedGap])</f>
        <v>#VALUE!</v>
      </c>
      <c r="S878" s="3" t="e">
        <f>IF(Q878 = "", "", Q878 - R878)</f>
        <v>#VALUE!</v>
      </c>
    </row>
    <row r="879">
      <c r="A879" s="2" t="s">
        <v>4167</v>
      </c>
      <c r="B879" s="3" t="str">
        <f>A879</f>
        <v>golf-scoring-course-f075</v>
      </c>
      <c r="C879" s="2" t="s">
        <v>751</v>
      </c>
      <c r="D879" s="2">
        <v>0.75</v>
      </c>
      <c r="E879" s="3" t="e">
        <f>ABS(D879 - LOOKUP(C879, SweepStudyConfig[StudyId], SweepStudyConfig[OriginalAllocFractionA])) &lt; 0.03</f>
        <v>#VALUE!</v>
      </c>
      <c r="F879" s="3" t="e">
        <f>LOOKUP(C879, SweepStudyConfig[StudyId], SweepStudyConfig[NSweepStratumTotal])</f>
        <v>#VALUE!</v>
      </c>
      <c r="G879" s="3" t="e">
        <f>ROUND(F879 * D879)</f>
        <v>#VALUE!</v>
      </c>
      <c r="H879" s="3" t="e">
        <f>F879 - G879</f>
        <v>#VALUE!</v>
      </c>
      <c r="I879" s="3" t="e">
        <f>LOOKUP(C879, SweepStudyConfig[StudyId], SweepStudyConfig[NFixedA])</f>
        <v>#VALUE!</v>
      </c>
      <c r="J879" s="3" t="e">
        <f>LOOKUP(C879, SweepStudyConfig[StudyId], SweepStudyConfig[NFixedB])</f>
        <v>#VALUE!</v>
      </c>
      <c r="K879" s="3" t="e">
        <f>LOOKUP(C879, SweepStudyConfig[StudyId], SweepStudyConfig[SweepRateA])</f>
        <v>#VALUE!</v>
      </c>
      <c r="L879" s="3" t="e">
        <f>LOOKUP(C879, SweepStudyConfig[StudyId], SweepStudyConfig[SweepRateB])</f>
        <v>#VALUE!</v>
      </c>
      <c r="M879" s="3" t="e">
        <f>LOOKUP(C879, SweepStudyConfig[StudyId], SweepStudyConfig[FixedRateA])</f>
        <v>#VALUE!</v>
      </c>
      <c r="N879" s="3" t="e">
        <f>LOOKUP(C879, SweepStudyConfig[StudyId], SweepStudyConfig[FixedRateB])</f>
        <v>#VALUE!</v>
      </c>
      <c r="O879" s="3" t="e">
        <f>IF(G879 + I879 = 0, "", (G879 * K879 + I879 * M879) / (G879 + I879))</f>
        <v>#VALUE!</v>
      </c>
      <c r="P879" s="3" t="e">
        <f>IF(H879 + J879 = 0, "", (H879 * L879 + J879 * N879) / (H879 + J879))</f>
        <v>#VALUE!</v>
      </c>
      <c r="Q879" s="3" t="e">
        <f>IF(O879 = "", "", O879 - P879)</f>
        <v>#VALUE!</v>
      </c>
      <c r="R879" s="3" t="e">
        <f>LOOKUP(C879, SweepStudyConfig[StudyId], SweepStudyConfig[SweepCorrectedGap])</f>
        <v>#VALUE!</v>
      </c>
      <c r="S879" s="3" t="e">
        <f>IF(Q879 = "", "", Q879 - R879)</f>
        <v>#VALUE!</v>
      </c>
    </row>
    <row r="880">
      <c r="A880" s="2" t="s">
        <v>4168</v>
      </c>
      <c r="B880" s="3" t="str">
        <f>A880</f>
        <v>golf-scoring-course-f085</v>
      </c>
      <c r="C880" s="2" t="s">
        <v>751</v>
      </c>
      <c r="D880" s="2">
        <v>0.85</v>
      </c>
      <c r="E880" s="3" t="e">
        <f>ABS(D880 - LOOKUP(C880, SweepStudyConfig[StudyId], SweepStudyConfig[OriginalAllocFractionA])) &lt; 0.03</f>
        <v>#VALUE!</v>
      </c>
      <c r="F880" s="3" t="e">
        <f>LOOKUP(C880, SweepStudyConfig[StudyId], SweepStudyConfig[NSweepStratumTotal])</f>
        <v>#VALUE!</v>
      </c>
      <c r="G880" s="3" t="e">
        <f>ROUND(F880 * D880)</f>
        <v>#VALUE!</v>
      </c>
      <c r="H880" s="3" t="e">
        <f>F880 - G880</f>
        <v>#VALUE!</v>
      </c>
      <c r="I880" s="3" t="e">
        <f>LOOKUP(C880, SweepStudyConfig[StudyId], SweepStudyConfig[NFixedA])</f>
        <v>#VALUE!</v>
      </c>
      <c r="J880" s="3" t="e">
        <f>LOOKUP(C880, SweepStudyConfig[StudyId], SweepStudyConfig[NFixedB])</f>
        <v>#VALUE!</v>
      </c>
      <c r="K880" s="3" t="e">
        <f>LOOKUP(C880, SweepStudyConfig[StudyId], SweepStudyConfig[SweepRateA])</f>
        <v>#VALUE!</v>
      </c>
      <c r="L880" s="3" t="e">
        <f>LOOKUP(C880, SweepStudyConfig[StudyId], SweepStudyConfig[SweepRateB])</f>
        <v>#VALUE!</v>
      </c>
      <c r="M880" s="3" t="e">
        <f>LOOKUP(C880, SweepStudyConfig[StudyId], SweepStudyConfig[FixedRateA])</f>
        <v>#VALUE!</v>
      </c>
      <c r="N880" s="3" t="e">
        <f>LOOKUP(C880, SweepStudyConfig[StudyId], SweepStudyConfig[FixedRateB])</f>
        <v>#VALUE!</v>
      </c>
      <c r="O880" s="3" t="e">
        <f>IF(G880 + I880 = 0, "", (G880 * K880 + I880 * M880) / (G880 + I880))</f>
        <v>#VALUE!</v>
      </c>
      <c r="P880" s="3" t="e">
        <f>IF(H880 + J880 = 0, "", (H880 * L880 + J880 * N880) / (H880 + J880))</f>
        <v>#VALUE!</v>
      </c>
      <c r="Q880" s="3" t="e">
        <f>IF(O880 = "", "", O880 - P880)</f>
        <v>#VALUE!</v>
      </c>
      <c r="R880" s="3" t="e">
        <f>LOOKUP(C880, SweepStudyConfig[StudyId], SweepStudyConfig[SweepCorrectedGap])</f>
        <v>#VALUE!</v>
      </c>
      <c r="S880" s="3" t="e">
        <f>IF(Q880 = "", "", Q880 - R880)</f>
        <v>#VALUE!</v>
      </c>
    </row>
    <row r="881">
      <c r="A881" s="2" t="s">
        <v>4169</v>
      </c>
      <c r="B881" s="3" t="str">
        <f>A881</f>
        <v>golf-scoring-course-f095</v>
      </c>
      <c r="C881" s="2" t="s">
        <v>751</v>
      </c>
      <c r="D881" s="2">
        <v>0.95</v>
      </c>
      <c r="E881" s="3" t="e">
        <f>ABS(D881 - LOOKUP(C881, SweepStudyConfig[StudyId], SweepStudyConfig[OriginalAllocFractionA])) &lt; 0.03</f>
        <v>#VALUE!</v>
      </c>
      <c r="F881" s="3" t="e">
        <f>LOOKUP(C881, SweepStudyConfig[StudyId], SweepStudyConfig[NSweepStratumTotal])</f>
        <v>#VALUE!</v>
      </c>
      <c r="G881" s="3" t="e">
        <f>ROUND(F881 * D881)</f>
        <v>#VALUE!</v>
      </c>
      <c r="H881" s="3" t="e">
        <f>F881 - G881</f>
        <v>#VALUE!</v>
      </c>
      <c r="I881" s="3" t="e">
        <f>LOOKUP(C881, SweepStudyConfig[StudyId], SweepStudyConfig[NFixedA])</f>
        <v>#VALUE!</v>
      </c>
      <c r="J881" s="3" t="e">
        <f>LOOKUP(C881, SweepStudyConfig[StudyId], SweepStudyConfig[NFixedB])</f>
        <v>#VALUE!</v>
      </c>
      <c r="K881" s="3" t="e">
        <f>LOOKUP(C881, SweepStudyConfig[StudyId], SweepStudyConfig[SweepRateA])</f>
        <v>#VALUE!</v>
      </c>
      <c r="L881" s="3" t="e">
        <f>LOOKUP(C881, SweepStudyConfig[StudyId], SweepStudyConfig[SweepRateB])</f>
        <v>#VALUE!</v>
      </c>
      <c r="M881" s="3" t="e">
        <f>LOOKUP(C881, SweepStudyConfig[StudyId], SweepStudyConfig[FixedRateA])</f>
        <v>#VALUE!</v>
      </c>
      <c r="N881" s="3" t="e">
        <f>LOOKUP(C881, SweepStudyConfig[StudyId], SweepStudyConfig[FixedRateB])</f>
        <v>#VALUE!</v>
      </c>
      <c r="O881" s="3" t="e">
        <f>IF(G881 + I881 = 0, "", (G881 * K881 + I881 * M881) / (G881 + I881))</f>
        <v>#VALUE!</v>
      </c>
      <c r="P881" s="3" t="e">
        <f>IF(H881 + J881 = 0, "", (H881 * L881 + J881 * N881) / (H881 + J881))</f>
        <v>#VALUE!</v>
      </c>
      <c r="Q881" s="3" t="e">
        <f>IF(O881 = "", "", O881 - P881)</f>
        <v>#VALUE!</v>
      </c>
      <c r="R881" s="3" t="e">
        <f>LOOKUP(C881, SweepStudyConfig[StudyId], SweepStudyConfig[SweepCorrectedGap])</f>
        <v>#VALUE!</v>
      </c>
      <c r="S881" s="3" t="e">
        <f>IF(Q881 = "", "", Q881 - R881)</f>
        <v>#VALUE!</v>
      </c>
    </row>
    <row r="882">
      <c r="A882" s="2" t="s">
        <v>4170</v>
      </c>
      <c r="B882" s="3" t="str">
        <f>A882</f>
        <v>minimum-wage-region-f005</v>
      </c>
      <c r="C882" s="2" t="s">
        <v>755</v>
      </c>
      <c r="D882" s="2">
        <v>0.05</v>
      </c>
      <c r="E882" s="3" t="e">
        <f>ABS(D882 - LOOKUP(C882, SweepStudyConfig[StudyId], SweepStudyConfig[OriginalAllocFractionA])) &lt; 0.03</f>
        <v>#VALUE!</v>
      </c>
      <c r="F882" s="3" t="e">
        <f>LOOKUP(C882, SweepStudyConfig[StudyId], SweepStudyConfig[NSweepStratumTotal])</f>
        <v>#VALUE!</v>
      </c>
      <c r="G882" s="3" t="e">
        <f>ROUND(F882 * D882)</f>
        <v>#VALUE!</v>
      </c>
      <c r="H882" s="3" t="e">
        <f>F882 - G882</f>
        <v>#VALUE!</v>
      </c>
      <c r="I882" s="3" t="e">
        <f>LOOKUP(C882, SweepStudyConfig[StudyId], SweepStudyConfig[NFixedA])</f>
        <v>#VALUE!</v>
      </c>
      <c r="J882" s="3" t="e">
        <f>LOOKUP(C882, SweepStudyConfig[StudyId], SweepStudyConfig[NFixedB])</f>
        <v>#VALUE!</v>
      </c>
      <c r="K882" s="3" t="e">
        <f>LOOKUP(C882, SweepStudyConfig[StudyId], SweepStudyConfig[SweepRateA])</f>
        <v>#VALUE!</v>
      </c>
      <c r="L882" s="3" t="e">
        <f>LOOKUP(C882, SweepStudyConfig[StudyId], SweepStudyConfig[SweepRateB])</f>
        <v>#VALUE!</v>
      </c>
      <c r="M882" s="3" t="e">
        <f>LOOKUP(C882, SweepStudyConfig[StudyId], SweepStudyConfig[FixedRateA])</f>
        <v>#VALUE!</v>
      </c>
      <c r="N882" s="3" t="e">
        <f>LOOKUP(C882, SweepStudyConfig[StudyId], SweepStudyConfig[FixedRateB])</f>
        <v>#VALUE!</v>
      </c>
      <c r="O882" s="3" t="e">
        <f>IF(G882 + I882 = 0, "", (G882 * K882 + I882 * M882) / (G882 + I882))</f>
        <v>#VALUE!</v>
      </c>
      <c r="P882" s="3" t="e">
        <f>IF(H882 + J882 = 0, "", (H882 * L882 + J882 * N882) / (H882 + J882))</f>
        <v>#VALUE!</v>
      </c>
      <c r="Q882" s="3" t="e">
        <f>IF(O882 = "", "", O882 - P882)</f>
        <v>#VALUE!</v>
      </c>
      <c r="R882" s="3" t="e">
        <f>LOOKUP(C882, SweepStudyConfig[StudyId], SweepStudyConfig[SweepCorrectedGap])</f>
        <v>#VALUE!</v>
      </c>
      <c r="S882" s="3" t="e">
        <f>IF(Q882 = "", "", Q882 - R882)</f>
        <v>#VALUE!</v>
      </c>
    </row>
    <row r="883">
      <c r="A883" s="2" t="s">
        <v>4171</v>
      </c>
      <c r="B883" s="3" t="str">
        <f>A883</f>
        <v>minimum-wage-region-f015</v>
      </c>
      <c r="C883" s="2" t="s">
        <v>755</v>
      </c>
      <c r="D883" s="2">
        <v>0.15</v>
      </c>
      <c r="E883" s="3" t="e">
        <f>ABS(D883 - LOOKUP(C883, SweepStudyConfig[StudyId], SweepStudyConfig[OriginalAllocFractionA])) &lt; 0.03</f>
        <v>#VALUE!</v>
      </c>
      <c r="F883" s="3" t="e">
        <f>LOOKUP(C883, SweepStudyConfig[StudyId], SweepStudyConfig[NSweepStratumTotal])</f>
        <v>#VALUE!</v>
      </c>
      <c r="G883" s="3" t="e">
        <f>ROUND(F883 * D883)</f>
        <v>#VALUE!</v>
      </c>
      <c r="H883" s="3" t="e">
        <f>F883 - G883</f>
        <v>#VALUE!</v>
      </c>
      <c r="I883" s="3" t="e">
        <f>LOOKUP(C883, SweepStudyConfig[StudyId], SweepStudyConfig[NFixedA])</f>
        <v>#VALUE!</v>
      </c>
      <c r="J883" s="3" t="e">
        <f>LOOKUP(C883, SweepStudyConfig[StudyId], SweepStudyConfig[NFixedB])</f>
        <v>#VALUE!</v>
      </c>
      <c r="K883" s="3" t="e">
        <f>LOOKUP(C883, SweepStudyConfig[StudyId], SweepStudyConfig[SweepRateA])</f>
        <v>#VALUE!</v>
      </c>
      <c r="L883" s="3" t="e">
        <f>LOOKUP(C883, SweepStudyConfig[StudyId], SweepStudyConfig[SweepRateB])</f>
        <v>#VALUE!</v>
      </c>
      <c r="M883" s="3" t="e">
        <f>LOOKUP(C883, SweepStudyConfig[StudyId], SweepStudyConfig[FixedRateA])</f>
        <v>#VALUE!</v>
      </c>
      <c r="N883" s="3" t="e">
        <f>LOOKUP(C883, SweepStudyConfig[StudyId], SweepStudyConfig[FixedRateB])</f>
        <v>#VALUE!</v>
      </c>
      <c r="O883" s="3" t="e">
        <f>IF(G883 + I883 = 0, "", (G883 * K883 + I883 * M883) / (G883 + I883))</f>
        <v>#VALUE!</v>
      </c>
      <c r="P883" s="3" t="e">
        <f>IF(H883 + J883 = 0, "", (H883 * L883 + J883 * N883) / (H883 + J883))</f>
        <v>#VALUE!</v>
      </c>
      <c r="Q883" s="3" t="e">
        <f>IF(O883 = "", "", O883 - P883)</f>
        <v>#VALUE!</v>
      </c>
      <c r="R883" s="3" t="e">
        <f>LOOKUP(C883, SweepStudyConfig[StudyId], SweepStudyConfig[SweepCorrectedGap])</f>
        <v>#VALUE!</v>
      </c>
      <c r="S883" s="3" t="e">
        <f>IF(Q883 = "", "", Q883 - R883)</f>
        <v>#VALUE!</v>
      </c>
    </row>
    <row r="884">
      <c r="A884" s="2" t="s">
        <v>4172</v>
      </c>
      <c r="B884" s="3" t="str">
        <f>A884</f>
        <v>minimum-wage-region-f025</v>
      </c>
      <c r="C884" s="2" t="s">
        <v>755</v>
      </c>
      <c r="D884" s="2">
        <v>0.25</v>
      </c>
      <c r="E884" s="3" t="e">
        <f>ABS(D884 - LOOKUP(C884, SweepStudyConfig[StudyId], SweepStudyConfig[OriginalAllocFractionA])) &lt; 0.03</f>
        <v>#VALUE!</v>
      </c>
      <c r="F884" s="3" t="e">
        <f>LOOKUP(C884, SweepStudyConfig[StudyId], SweepStudyConfig[NSweepStratumTotal])</f>
        <v>#VALUE!</v>
      </c>
      <c r="G884" s="3" t="e">
        <f>ROUND(F884 * D884)</f>
        <v>#VALUE!</v>
      </c>
      <c r="H884" s="3" t="e">
        <f>F884 - G884</f>
        <v>#VALUE!</v>
      </c>
      <c r="I884" s="3" t="e">
        <f>LOOKUP(C884, SweepStudyConfig[StudyId], SweepStudyConfig[NFixedA])</f>
        <v>#VALUE!</v>
      </c>
      <c r="J884" s="3" t="e">
        <f>LOOKUP(C884, SweepStudyConfig[StudyId], SweepStudyConfig[NFixedB])</f>
        <v>#VALUE!</v>
      </c>
      <c r="K884" s="3" t="e">
        <f>LOOKUP(C884, SweepStudyConfig[StudyId], SweepStudyConfig[SweepRateA])</f>
        <v>#VALUE!</v>
      </c>
      <c r="L884" s="3" t="e">
        <f>LOOKUP(C884, SweepStudyConfig[StudyId], SweepStudyConfig[SweepRateB])</f>
        <v>#VALUE!</v>
      </c>
      <c r="M884" s="3" t="e">
        <f>LOOKUP(C884, SweepStudyConfig[StudyId], SweepStudyConfig[FixedRateA])</f>
        <v>#VALUE!</v>
      </c>
      <c r="N884" s="3" t="e">
        <f>LOOKUP(C884, SweepStudyConfig[StudyId], SweepStudyConfig[FixedRateB])</f>
        <v>#VALUE!</v>
      </c>
      <c r="O884" s="3" t="e">
        <f>IF(G884 + I884 = 0, "", (G884 * K884 + I884 * M884) / (G884 + I884))</f>
        <v>#VALUE!</v>
      </c>
      <c r="P884" s="3" t="e">
        <f>IF(H884 + J884 = 0, "", (H884 * L884 + J884 * N884) / (H884 + J884))</f>
        <v>#VALUE!</v>
      </c>
      <c r="Q884" s="3" t="e">
        <f>IF(O884 = "", "", O884 - P884)</f>
        <v>#VALUE!</v>
      </c>
      <c r="R884" s="3" t="e">
        <f>LOOKUP(C884, SweepStudyConfig[StudyId], SweepStudyConfig[SweepCorrectedGap])</f>
        <v>#VALUE!</v>
      </c>
      <c r="S884" s="3" t="e">
        <f>IF(Q884 = "", "", Q884 - R884)</f>
        <v>#VALUE!</v>
      </c>
    </row>
    <row r="885">
      <c r="A885" s="2" t="s">
        <v>4173</v>
      </c>
      <c r="B885" s="3" t="str">
        <f>A885</f>
        <v>minimum-wage-region-f035</v>
      </c>
      <c r="C885" s="2" t="s">
        <v>755</v>
      </c>
      <c r="D885" s="2">
        <v>0.35</v>
      </c>
      <c r="E885" s="3" t="e">
        <f>ABS(D885 - LOOKUP(C885, SweepStudyConfig[StudyId], SweepStudyConfig[OriginalAllocFractionA])) &lt; 0.03</f>
        <v>#VALUE!</v>
      </c>
      <c r="F885" s="3" t="e">
        <f>LOOKUP(C885, SweepStudyConfig[StudyId], SweepStudyConfig[NSweepStratumTotal])</f>
        <v>#VALUE!</v>
      </c>
      <c r="G885" s="3" t="e">
        <f>ROUND(F885 * D885)</f>
        <v>#VALUE!</v>
      </c>
      <c r="H885" s="3" t="e">
        <f>F885 - G885</f>
        <v>#VALUE!</v>
      </c>
      <c r="I885" s="3" t="e">
        <f>LOOKUP(C885, SweepStudyConfig[StudyId], SweepStudyConfig[NFixedA])</f>
        <v>#VALUE!</v>
      </c>
      <c r="J885" s="3" t="e">
        <f>LOOKUP(C885, SweepStudyConfig[StudyId], SweepStudyConfig[NFixedB])</f>
        <v>#VALUE!</v>
      </c>
      <c r="K885" s="3" t="e">
        <f>LOOKUP(C885, SweepStudyConfig[StudyId], SweepStudyConfig[SweepRateA])</f>
        <v>#VALUE!</v>
      </c>
      <c r="L885" s="3" t="e">
        <f>LOOKUP(C885, SweepStudyConfig[StudyId], SweepStudyConfig[SweepRateB])</f>
        <v>#VALUE!</v>
      </c>
      <c r="M885" s="3" t="e">
        <f>LOOKUP(C885, SweepStudyConfig[StudyId], SweepStudyConfig[FixedRateA])</f>
        <v>#VALUE!</v>
      </c>
      <c r="N885" s="3" t="e">
        <f>LOOKUP(C885, SweepStudyConfig[StudyId], SweepStudyConfig[FixedRateB])</f>
        <v>#VALUE!</v>
      </c>
      <c r="O885" s="3" t="e">
        <f>IF(G885 + I885 = 0, "", (G885 * K885 + I885 * M885) / (G885 + I885))</f>
        <v>#VALUE!</v>
      </c>
      <c r="P885" s="3" t="e">
        <f>IF(H885 + J885 = 0, "", (H885 * L885 + J885 * N885) / (H885 + J885))</f>
        <v>#VALUE!</v>
      </c>
      <c r="Q885" s="3" t="e">
        <f>IF(O885 = "", "", O885 - P885)</f>
        <v>#VALUE!</v>
      </c>
      <c r="R885" s="3" t="e">
        <f>LOOKUP(C885, SweepStudyConfig[StudyId], SweepStudyConfig[SweepCorrectedGap])</f>
        <v>#VALUE!</v>
      </c>
      <c r="S885" s="3" t="e">
        <f>IF(Q885 = "", "", Q885 - R885)</f>
        <v>#VALUE!</v>
      </c>
    </row>
    <row r="886">
      <c r="A886" s="2" t="s">
        <v>4174</v>
      </c>
      <c r="B886" s="3" t="str">
        <f>A886</f>
        <v>minimum-wage-region-f045</v>
      </c>
      <c r="C886" s="2" t="s">
        <v>755</v>
      </c>
      <c r="D886" s="2">
        <v>0.45</v>
      </c>
      <c r="E886" s="3" t="e">
        <f>ABS(D886 - LOOKUP(C886, SweepStudyConfig[StudyId], SweepStudyConfig[OriginalAllocFractionA])) &lt; 0.03</f>
        <v>#VALUE!</v>
      </c>
      <c r="F886" s="3" t="e">
        <f>LOOKUP(C886, SweepStudyConfig[StudyId], SweepStudyConfig[NSweepStratumTotal])</f>
        <v>#VALUE!</v>
      </c>
      <c r="G886" s="3" t="e">
        <f>ROUND(F886 * D886)</f>
        <v>#VALUE!</v>
      </c>
      <c r="H886" s="3" t="e">
        <f>F886 - G886</f>
        <v>#VALUE!</v>
      </c>
      <c r="I886" s="3" t="e">
        <f>LOOKUP(C886, SweepStudyConfig[StudyId], SweepStudyConfig[NFixedA])</f>
        <v>#VALUE!</v>
      </c>
      <c r="J886" s="3" t="e">
        <f>LOOKUP(C886, SweepStudyConfig[StudyId], SweepStudyConfig[NFixedB])</f>
        <v>#VALUE!</v>
      </c>
      <c r="K886" s="3" t="e">
        <f>LOOKUP(C886, SweepStudyConfig[StudyId], SweepStudyConfig[SweepRateA])</f>
        <v>#VALUE!</v>
      </c>
      <c r="L886" s="3" t="e">
        <f>LOOKUP(C886, SweepStudyConfig[StudyId], SweepStudyConfig[SweepRateB])</f>
        <v>#VALUE!</v>
      </c>
      <c r="M886" s="3" t="e">
        <f>LOOKUP(C886, SweepStudyConfig[StudyId], SweepStudyConfig[FixedRateA])</f>
        <v>#VALUE!</v>
      </c>
      <c r="N886" s="3" t="e">
        <f>LOOKUP(C886, SweepStudyConfig[StudyId], SweepStudyConfig[FixedRateB])</f>
        <v>#VALUE!</v>
      </c>
      <c r="O886" s="3" t="e">
        <f>IF(G886 + I886 = 0, "", (G886 * K886 + I886 * M886) / (G886 + I886))</f>
        <v>#VALUE!</v>
      </c>
      <c r="P886" s="3" t="e">
        <f>IF(H886 + J886 = 0, "", (H886 * L886 + J886 * N886) / (H886 + J886))</f>
        <v>#VALUE!</v>
      </c>
      <c r="Q886" s="3" t="e">
        <f>IF(O886 = "", "", O886 - P886)</f>
        <v>#VALUE!</v>
      </c>
      <c r="R886" s="3" t="e">
        <f>LOOKUP(C886, SweepStudyConfig[StudyId], SweepStudyConfig[SweepCorrectedGap])</f>
        <v>#VALUE!</v>
      </c>
      <c r="S886" s="3" t="e">
        <f>IF(Q886 = "", "", Q886 - R886)</f>
        <v>#VALUE!</v>
      </c>
    </row>
    <row r="887">
      <c r="A887" s="2" t="s">
        <v>4175</v>
      </c>
      <c r="B887" s="3" t="str">
        <f>A887</f>
        <v>minimum-wage-region-f055</v>
      </c>
      <c r="C887" s="2" t="s">
        <v>755</v>
      </c>
      <c r="D887" s="2">
        <v>0.55</v>
      </c>
      <c r="E887" s="3" t="e">
        <f>ABS(D887 - LOOKUP(C887, SweepStudyConfig[StudyId], SweepStudyConfig[OriginalAllocFractionA])) &lt; 0.03</f>
        <v>#VALUE!</v>
      </c>
      <c r="F887" s="3" t="e">
        <f>LOOKUP(C887, SweepStudyConfig[StudyId], SweepStudyConfig[NSweepStratumTotal])</f>
        <v>#VALUE!</v>
      </c>
      <c r="G887" s="3" t="e">
        <f>ROUND(F887 * D887)</f>
        <v>#VALUE!</v>
      </c>
      <c r="H887" s="3" t="e">
        <f>F887 - G887</f>
        <v>#VALUE!</v>
      </c>
      <c r="I887" s="3" t="e">
        <f>LOOKUP(C887, SweepStudyConfig[StudyId], SweepStudyConfig[NFixedA])</f>
        <v>#VALUE!</v>
      </c>
      <c r="J887" s="3" t="e">
        <f>LOOKUP(C887, SweepStudyConfig[StudyId], SweepStudyConfig[NFixedB])</f>
        <v>#VALUE!</v>
      </c>
      <c r="K887" s="3" t="e">
        <f>LOOKUP(C887, SweepStudyConfig[StudyId], SweepStudyConfig[SweepRateA])</f>
        <v>#VALUE!</v>
      </c>
      <c r="L887" s="3" t="e">
        <f>LOOKUP(C887, SweepStudyConfig[StudyId], SweepStudyConfig[SweepRateB])</f>
        <v>#VALUE!</v>
      </c>
      <c r="M887" s="3" t="e">
        <f>LOOKUP(C887, SweepStudyConfig[StudyId], SweepStudyConfig[FixedRateA])</f>
        <v>#VALUE!</v>
      </c>
      <c r="N887" s="3" t="e">
        <f>LOOKUP(C887, SweepStudyConfig[StudyId], SweepStudyConfig[FixedRateB])</f>
        <v>#VALUE!</v>
      </c>
      <c r="O887" s="3" t="e">
        <f>IF(G887 + I887 = 0, "", (G887 * K887 + I887 * M887) / (G887 + I887))</f>
        <v>#VALUE!</v>
      </c>
      <c r="P887" s="3" t="e">
        <f>IF(H887 + J887 = 0, "", (H887 * L887 + J887 * N887) / (H887 + J887))</f>
        <v>#VALUE!</v>
      </c>
      <c r="Q887" s="3" t="e">
        <f>IF(O887 = "", "", O887 - P887)</f>
        <v>#VALUE!</v>
      </c>
      <c r="R887" s="3" t="e">
        <f>LOOKUP(C887, SweepStudyConfig[StudyId], SweepStudyConfig[SweepCorrectedGap])</f>
        <v>#VALUE!</v>
      </c>
      <c r="S887" s="3" t="e">
        <f>IF(Q887 = "", "", Q887 - R887)</f>
        <v>#VALUE!</v>
      </c>
    </row>
    <row r="888">
      <c r="A888" s="2" t="s">
        <v>4176</v>
      </c>
      <c r="B888" s="3" t="str">
        <f>A888</f>
        <v>minimum-wage-region-f065</v>
      </c>
      <c r="C888" s="2" t="s">
        <v>755</v>
      </c>
      <c r="D888" s="2">
        <v>0.65</v>
      </c>
      <c r="E888" s="3" t="e">
        <f>ABS(D888 - LOOKUP(C888, SweepStudyConfig[StudyId], SweepStudyConfig[OriginalAllocFractionA])) &lt; 0.03</f>
        <v>#VALUE!</v>
      </c>
      <c r="F888" s="3" t="e">
        <f>LOOKUP(C888, SweepStudyConfig[StudyId], SweepStudyConfig[NSweepStratumTotal])</f>
        <v>#VALUE!</v>
      </c>
      <c r="G888" s="3" t="e">
        <f>ROUND(F888 * D888)</f>
        <v>#VALUE!</v>
      </c>
      <c r="H888" s="3" t="e">
        <f>F888 - G888</f>
        <v>#VALUE!</v>
      </c>
      <c r="I888" s="3" t="e">
        <f>LOOKUP(C888, SweepStudyConfig[StudyId], SweepStudyConfig[NFixedA])</f>
        <v>#VALUE!</v>
      </c>
      <c r="J888" s="3" t="e">
        <f>LOOKUP(C888, SweepStudyConfig[StudyId], SweepStudyConfig[NFixedB])</f>
        <v>#VALUE!</v>
      </c>
      <c r="K888" s="3" t="e">
        <f>LOOKUP(C888, SweepStudyConfig[StudyId], SweepStudyConfig[SweepRateA])</f>
        <v>#VALUE!</v>
      </c>
      <c r="L888" s="3" t="e">
        <f>LOOKUP(C888, SweepStudyConfig[StudyId], SweepStudyConfig[SweepRateB])</f>
        <v>#VALUE!</v>
      </c>
      <c r="M888" s="3" t="e">
        <f>LOOKUP(C888, SweepStudyConfig[StudyId], SweepStudyConfig[FixedRateA])</f>
        <v>#VALUE!</v>
      </c>
      <c r="N888" s="3" t="e">
        <f>LOOKUP(C888, SweepStudyConfig[StudyId], SweepStudyConfig[FixedRateB])</f>
        <v>#VALUE!</v>
      </c>
      <c r="O888" s="3" t="e">
        <f>IF(G888 + I888 = 0, "", (G888 * K888 + I888 * M888) / (G888 + I888))</f>
        <v>#VALUE!</v>
      </c>
      <c r="P888" s="3" t="e">
        <f>IF(H888 + J888 = 0, "", (H888 * L888 + J888 * N888) / (H888 + J888))</f>
        <v>#VALUE!</v>
      </c>
      <c r="Q888" s="3" t="e">
        <f>IF(O888 = "", "", O888 - P888)</f>
        <v>#VALUE!</v>
      </c>
      <c r="R888" s="3" t="e">
        <f>LOOKUP(C888, SweepStudyConfig[StudyId], SweepStudyConfig[SweepCorrectedGap])</f>
        <v>#VALUE!</v>
      </c>
      <c r="S888" s="3" t="e">
        <f>IF(Q888 = "", "", Q888 - R888)</f>
        <v>#VALUE!</v>
      </c>
    </row>
    <row r="889">
      <c r="A889" s="2" t="s">
        <v>4177</v>
      </c>
      <c r="B889" s="3" t="str">
        <f>A889</f>
        <v>minimum-wage-region-f075</v>
      </c>
      <c r="C889" s="2" t="s">
        <v>755</v>
      </c>
      <c r="D889" s="2">
        <v>0.75</v>
      </c>
      <c r="E889" s="3" t="e">
        <f>ABS(D889 - LOOKUP(C889, SweepStudyConfig[StudyId], SweepStudyConfig[OriginalAllocFractionA])) &lt; 0.03</f>
        <v>#VALUE!</v>
      </c>
      <c r="F889" s="3" t="e">
        <f>LOOKUP(C889, SweepStudyConfig[StudyId], SweepStudyConfig[NSweepStratumTotal])</f>
        <v>#VALUE!</v>
      </c>
      <c r="G889" s="3" t="e">
        <f>ROUND(F889 * D889)</f>
        <v>#VALUE!</v>
      </c>
      <c r="H889" s="3" t="e">
        <f>F889 - G889</f>
        <v>#VALUE!</v>
      </c>
      <c r="I889" s="3" t="e">
        <f>LOOKUP(C889, SweepStudyConfig[StudyId], SweepStudyConfig[NFixedA])</f>
        <v>#VALUE!</v>
      </c>
      <c r="J889" s="3" t="e">
        <f>LOOKUP(C889, SweepStudyConfig[StudyId], SweepStudyConfig[NFixedB])</f>
        <v>#VALUE!</v>
      </c>
      <c r="K889" s="3" t="e">
        <f>LOOKUP(C889, SweepStudyConfig[StudyId], SweepStudyConfig[SweepRateA])</f>
        <v>#VALUE!</v>
      </c>
      <c r="L889" s="3" t="e">
        <f>LOOKUP(C889, SweepStudyConfig[StudyId], SweepStudyConfig[SweepRateB])</f>
        <v>#VALUE!</v>
      </c>
      <c r="M889" s="3" t="e">
        <f>LOOKUP(C889, SweepStudyConfig[StudyId], SweepStudyConfig[FixedRateA])</f>
        <v>#VALUE!</v>
      </c>
      <c r="N889" s="3" t="e">
        <f>LOOKUP(C889, SweepStudyConfig[StudyId], SweepStudyConfig[FixedRateB])</f>
        <v>#VALUE!</v>
      </c>
      <c r="O889" s="3" t="e">
        <f>IF(G889 + I889 = 0, "", (G889 * K889 + I889 * M889) / (G889 + I889))</f>
        <v>#VALUE!</v>
      </c>
      <c r="P889" s="3" t="e">
        <f>IF(H889 + J889 = 0, "", (H889 * L889 + J889 * N889) / (H889 + J889))</f>
        <v>#VALUE!</v>
      </c>
      <c r="Q889" s="3" t="e">
        <f>IF(O889 = "", "", O889 - P889)</f>
        <v>#VALUE!</v>
      </c>
      <c r="R889" s="3" t="e">
        <f>LOOKUP(C889, SweepStudyConfig[StudyId], SweepStudyConfig[SweepCorrectedGap])</f>
        <v>#VALUE!</v>
      </c>
      <c r="S889" s="3" t="e">
        <f>IF(Q889 = "", "", Q889 - R889)</f>
        <v>#VALUE!</v>
      </c>
    </row>
    <row r="890">
      <c r="A890" s="2" t="s">
        <v>4178</v>
      </c>
      <c r="B890" s="3" t="str">
        <f>A890</f>
        <v>minimum-wage-region-f085</v>
      </c>
      <c r="C890" s="2" t="s">
        <v>755</v>
      </c>
      <c r="D890" s="2">
        <v>0.85</v>
      </c>
      <c r="E890" s="3" t="e">
        <f>ABS(D890 - LOOKUP(C890, SweepStudyConfig[StudyId], SweepStudyConfig[OriginalAllocFractionA])) &lt; 0.03</f>
        <v>#VALUE!</v>
      </c>
      <c r="F890" s="3" t="e">
        <f>LOOKUP(C890, SweepStudyConfig[StudyId], SweepStudyConfig[NSweepStratumTotal])</f>
        <v>#VALUE!</v>
      </c>
      <c r="G890" s="3" t="e">
        <f>ROUND(F890 * D890)</f>
        <v>#VALUE!</v>
      </c>
      <c r="H890" s="3" t="e">
        <f>F890 - G890</f>
        <v>#VALUE!</v>
      </c>
      <c r="I890" s="3" t="e">
        <f>LOOKUP(C890, SweepStudyConfig[StudyId], SweepStudyConfig[NFixedA])</f>
        <v>#VALUE!</v>
      </c>
      <c r="J890" s="3" t="e">
        <f>LOOKUP(C890, SweepStudyConfig[StudyId], SweepStudyConfig[NFixedB])</f>
        <v>#VALUE!</v>
      </c>
      <c r="K890" s="3" t="e">
        <f>LOOKUP(C890, SweepStudyConfig[StudyId], SweepStudyConfig[SweepRateA])</f>
        <v>#VALUE!</v>
      </c>
      <c r="L890" s="3" t="e">
        <f>LOOKUP(C890, SweepStudyConfig[StudyId], SweepStudyConfig[SweepRateB])</f>
        <v>#VALUE!</v>
      </c>
      <c r="M890" s="3" t="e">
        <f>LOOKUP(C890, SweepStudyConfig[StudyId], SweepStudyConfig[FixedRateA])</f>
        <v>#VALUE!</v>
      </c>
      <c r="N890" s="3" t="e">
        <f>LOOKUP(C890, SweepStudyConfig[StudyId], SweepStudyConfig[FixedRateB])</f>
        <v>#VALUE!</v>
      </c>
      <c r="O890" s="3" t="e">
        <f>IF(G890 + I890 = 0, "", (G890 * K890 + I890 * M890) / (G890 + I890))</f>
        <v>#VALUE!</v>
      </c>
      <c r="P890" s="3" t="e">
        <f>IF(H890 + J890 = 0, "", (H890 * L890 + J890 * N890) / (H890 + J890))</f>
        <v>#VALUE!</v>
      </c>
      <c r="Q890" s="3" t="e">
        <f>IF(O890 = "", "", O890 - P890)</f>
        <v>#VALUE!</v>
      </c>
      <c r="R890" s="3" t="e">
        <f>LOOKUP(C890, SweepStudyConfig[StudyId], SweepStudyConfig[SweepCorrectedGap])</f>
        <v>#VALUE!</v>
      </c>
      <c r="S890" s="3" t="e">
        <f>IF(Q890 = "", "", Q890 - R890)</f>
        <v>#VALUE!</v>
      </c>
    </row>
    <row r="891">
      <c r="A891" s="2" t="s">
        <v>4179</v>
      </c>
      <c r="B891" s="3" t="str">
        <f>A891</f>
        <v>minimum-wage-region-f095</v>
      </c>
      <c r="C891" s="2" t="s">
        <v>755</v>
      </c>
      <c r="D891" s="2">
        <v>0.95</v>
      </c>
      <c r="E891" s="3" t="e">
        <f>ABS(D891 - LOOKUP(C891, SweepStudyConfig[StudyId], SweepStudyConfig[OriginalAllocFractionA])) &lt; 0.03</f>
        <v>#VALUE!</v>
      </c>
      <c r="F891" s="3" t="e">
        <f>LOOKUP(C891, SweepStudyConfig[StudyId], SweepStudyConfig[NSweepStratumTotal])</f>
        <v>#VALUE!</v>
      </c>
      <c r="G891" s="3" t="e">
        <f>ROUND(F891 * D891)</f>
        <v>#VALUE!</v>
      </c>
      <c r="H891" s="3" t="e">
        <f>F891 - G891</f>
        <v>#VALUE!</v>
      </c>
      <c r="I891" s="3" t="e">
        <f>LOOKUP(C891, SweepStudyConfig[StudyId], SweepStudyConfig[NFixedA])</f>
        <v>#VALUE!</v>
      </c>
      <c r="J891" s="3" t="e">
        <f>LOOKUP(C891, SweepStudyConfig[StudyId], SweepStudyConfig[NFixedB])</f>
        <v>#VALUE!</v>
      </c>
      <c r="K891" s="3" t="e">
        <f>LOOKUP(C891, SweepStudyConfig[StudyId], SweepStudyConfig[SweepRateA])</f>
        <v>#VALUE!</v>
      </c>
      <c r="L891" s="3" t="e">
        <f>LOOKUP(C891, SweepStudyConfig[StudyId], SweepStudyConfig[SweepRateB])</f>
        <v>#VALUE!</v>
      </c>
      <c r="M891" s="3" t="e">
        <f>LOOKUP(C891, SweepStudyConfig[StudyId], SweepStudyConfig[FixedRateA])</f>
        <v>#VALUE!</v>
      </c>
      <c r="N891" s="3" t="e">
        <f>LOOKUP(C891, SweepStudyConfig[StudyId], SweepStudyConfig[FixedRateB])</f>
        <v>#VALUE!</v>
      </c>
      <c r="O891" s="3" t="e">
        <f>IF(G891 + I891 = 0, "", (G891 * K891 + I891 * M891) / (G891 + I891))</f>
        <v>#VALUE!</v>
      </c>
      <c r="P891" s="3" t="e">
        <f>IF(H891 + J891 = 0, "", (H891 * L891 + J891 * N891) / (H891 + J891))</f>
        <v>#VALUE!</v>
      </c>
      <c r="Q891" s="3" t="e">
        <f>IF(O891 = "", "", O891 - P891)</f>
        <v>#VALUE!</v>
      </c>
      <c r="R891" s="3" t="e">
        <f>LOOKUP(C891, SweepStudyConfig[StudyId], SweepStudyConfig[SweepCorrectedGap])</f>
        <v>#VALUE!</v>
      </c>
      <c r="S891" s="3" t="e">
        <f>IF(Q891 = "", "", Q891 - R891)</f>
        <v>#VALUE!</v>
      </c>
    </row>
    <row r="892">
      <c r="A892" s="2" t="s">
        <v>4180</v>
      </c>
      <c r="B892" s="3" t="str">
        <f>A892</f>
        <v>returns-to-education-field-f005</v>
      </c>
      <c r="C892" s="2" t="s">
        <v>759</v>
      </c>
      <c r="D892" s="2">
        <v>0.05</v>
      </c>
      <c r="E892" s="3" t="e">
        <f>ABS(D892 - LOOKUP(C892, SweepStudyConfig[StudyId], SweepStudyConfig[OriginalAllocFractionA])) &lt; 0.03</f>
        <v>#VALUE!</v>
      </c>
      <c r="F892" s="3" t="e">
        <f>LOOKUP(C892, SweepStudyConfig[StudyId], SweepStudyConfig[NSweepStratumTotal])</f>
        <v>#VALUE!</v>
      </c>
      <c r="G892" s="3" t="e">
        <f>ROUND(F892 * D892)</f>
        <v>#VALUE!</v>
      </c>
      <c r="H892" s="3" t="e">
        <f>F892 - G892</f>
        <v>#VALUE!</v>
      </c>
      <c r="I892" s="3" t="e">
        <f>LOOKUP(C892, SweepStudyConfig[StudyId], SweepStudyConfig[NFixedA])</f>
        <v>#VALUE!</v>
      </c>
      <c r="J892" s="3" t="e">
        <f>LOOKUP(C892, SweepStudyConfig[StudyId], SweepStudyConfig[NFixedB])</f>
        <v>#VALUE!</v>
      </c>
      <c r="K892" s="3" t="e">
        <f>LOOKUP(C892, SweepStudyConfig[StudyId], SweepStudyConfig[SweepRateA])</f>
        <v>#VALUE!</v>
      </c>
      <c r="L892" s="3" t="e">
        <f>LOOKUP(C892, SweepStudyConfig[StudyId], SweepStudyConfig[SweepRateB])</f>
        <v>#VALUE!</v>
      </c>
      <c r="M892" s="3" t="e">
        <f>LOOKUP(C892, SweepStudyConfig[StudyId], SweepStudyConfig[FixedRateA])</f>
        <v>#VALUE!</v>
      </c>
      <c r="N892" s="3" t="e">
        <f>LOOKUP(C892, SweepStudyConfig[StudyId], SweepStudyConfig[FixedRateB])</f>
        <v>#VALUE!</v>
      </c>
      <c r="O892" s="3" t="e">
        <f>IF(G892 + I892 = 0, "", (G892 * K892 + I892 * M892) / (G892 + I892))</f>
        <v>#VALUE!</v>
      </c>
      <c r="P892" s="3" t="e">
        <f>IF(H892 + J892 = 0, "", (H892 * L892 + J892 * N892) / (H892 + J892))</f>
        <v>#VALUE!</v>
      </c>
      <c r="Q892" s="3" t="e">
        <f>IF(O892 = "", "", O892 - P892)</f>
        <v>#VALUE!</v>
      </c>
      <c r="R892" s="3" t="e">
        <f>LOOKUP(C892, SweepStudyConfig[StudyId], SweepStudyConfig[SweepCorrectedGap])</f>
        <v>#VALUE!</v>
      </c>
      <c r="S892" s="3" t="e">
        <f>IF(Q892 = "", "", Q892 - R892)</f>
        <v>#VALUE!</v>
      </c>
    </row>
    <row r="893">
      <c r="A893" s="2" t="s">
        <v>4181</v>
      </c>
      <c r="B893" s="3" t="str">
        <f>A893</f>
        <v>returns-to-education-field-f015</v>
      </c>
      <c r="C893" s="2" t="s">
        <v>759</v>
      </c>
      <c r="D893" s="2">
        <v>0.15</v>
      </c>
      <c r="E893" s="3" t="e">
        <f>ABS(D893 - LOOKUP(C893, SweepStudyConfig[StudyId], SweepStudyConfig[OriginalAllocFractionA])) &lt; 0.03</f>
        <v>#VALUE!</v>
      </c>
      <c r="F893" s="3" t="e">
        <f>LOOKUP(C893, SweepStudyConfig[StudyId], SweepStudyConfig[NSweepStratumTotal])</f>
        <v>#VALUE!</v>
      </c>
      <c r="G893" s="3" t="e">
        <f>ROUND(F893 * D893)</f>
        <v>#VALUE!</v>
      </c>
      <c r="H893" s="3" t="e">
        <f>F893 - G893</f>
        <v>#VALUE!</v>
      </c>
      <c r="I893" s="3" t="e">
        <f>LOOKUP(C893, SweepStudyConfig[StudyId], SweepStudyConfig[NFixedA])</f>
        <v>#VALUE!</v>
      </c>
      <c r="J893" s="3" t="e">
        <f>LOOKUP(C893, SweepStudyConfig[StudyId], SweepStudyConfig[NFixedB])</f>
        <v>#VALUE!</v>
      </c>
      <c r="K893" s="3" t="e">
        <f>LOOKUP(C893, SweepStudyConfig[StudyId], SweepStudyConfig[SweepRateA])</f>
        <v>#VALUE!</v>
      </c>
      <c r="L893" s="3" t="e">
        <f>LOOKUP(C893, SweepStudyConfig[StudyId], SweepStudyConfig[SweepRateB])</f>
        <v>#VALUE!</v>
      </c>
      <c r="M893" s="3" t="e">
        <f>LOOKUP(C893, SweepStudyConfig[StudyId], SweepStudyConfig[FixedRateA])</f>
        <v>#VALUE!</v>
      </c>
      <c r="N893" s="3" t="e">
        <f>LOOKUP(C893, SweepStudyConfig[StudyId], SweepStudyConfig[FixedRateB])</f>
        <v>#VALUE!</v>
      </c>
      <c r="O893" s="3" t="e">
        <f>IF(G893 + I893 = 0, "", (G893 * K893 + I893 * M893) / (G893 + I893))</f>
        <v>#VALUE!</v>
      </c>
      <c r="P893" s="3" t="e">
        <f>IF(H893 + J893 = 0, "", (H893 * L893 + J893 * N893) / (H893 + J893))</f>
        <v>#VALUE!</v>
      </c>
      <c r="Q893" s="3" t="e">
        <f>IF(O893 = "", "", O893 - P893)</f>
        <v>#VALUE!</v>
      </c>
      <c r="R893" s="3" t="e">
        <f>LOOKUP(C893, SweepStudyConfig[StudyId], SweepStudyConfig[SweepCorrectedGap])</f>
        <v>#VALUE!</v>
      </c>
      <c r="S893" s="3" t="e">
        <f>IF(Q893 = "", "", Q893 - R893)</f>
        <v>#VALUE!</v>
      </c>
    </row>
    <row r="894">
      <c r="A894" s="2" t="s">
        <v>4182</v>
      </c>
      <c r="B894" s="3" t="str">
        <f>A894</f>
        <v>returns-to-education-field-f025</v>
      </c>
      <c r="C894" s="2" t="s">
        <v>759</v>
      </c>
      <c r="D894" s="2">
        <v>0.25</v>
      </c>
      <c r="E894" s="3" t="e">
        <f>ABS(D894 - LOOKUP(C894, SweepStudyConfig[StudyId], SweepStudyConfig[OriginalAllocFractionA])) &lt; 0.03</f>
        <v>#VALUE!</v>
      </c>
      <c r="F894" s="3" t="e">
        <f>LOOKUP(C894, SweepStudyConfig[StudyId], SweepStudyConfig[NSweepStratumTotal])</f>
        <v>#VALUE!</v>
      </c>
      <c r="G894" s="3" t="e">
        <f>ROUND(F894 * D894)</f>
        <v>#VALUE!</v>
      </c>
      <c r="H894" s="3" t="e">
        <f>F894 - G894</f>
        <v>#VALUE!</v>
      </c>
      <c r="I894" s="3" t="e">
        <f>LOOKUP(C894, SweepStudyConfig[StudyId], SweepStudyConfig[NFixedA])</f>
        <v>#VALUE!</v>
      </c>
      <c r="J894" s="3" t="e">
        <f>LOOKUP(C894, SweepStudyConfig[StudyId], SweepStudyConfig[NFixedB])</f>
        <v>#VALUE!</v>
      </c>
      <c r="K894" s="3" t="e">
        <f>LOOKUP(C894, SweepStudyConfig[StudyId], SweepStudyConfig[SweepRateA])</f>
        <v>#VALUE!</v>
      </c>
      <c r="L894" s="3" t="e">
        <f>LOOKUP(C894, SweepStudyConfig[StudyId], SweepStudyConfig[SweepRateB])</f>
        <v>#VALUE!</v>
      </c>
      <c r="M894" s="3" t="e">
        <f>LOOKUP(C894, SweepStudyConfig[StudyId], SweepStudyConfig[FixedRateA])</f>
        <v>#VALUE!</v>
      </c>
      <c r="N894" s="3" t="e">
        <f>LOOKUP(C894, SweepStudyConfig[StudyId], SweepStudyConfig[FixedRateB])</f>
        <v>#VALUE!</v>
      </c>
      <c r="O894" s="3" t="e">
        <f>IF(G894 + I894 = 0, "", (G894 * K894 + I894 * M894) / (G894 + I894))</f>
        <v>#VALUE!</v>
      </c>
      <c r="P894" s="3" t="e">
        <f>IF(H894 + J894 = 0, "", (H894 * L894 + J894 * N894) / (H894 + J894))</f>
        <v>#VALUE!</v>
      </c>
      <c r="Q894" s="3" t="e">
        <f>IF(O894 = "", "", O894 - P894)</f>
        <v>#VALUE!</v>
      </c>
      <c r="R894" s="3" t="e">
        <f>LOOKUP(C894, SweepStudyConfig[StudyId], SweepStudyConfig[SweepCorrectedGap])</f>
        <v>#VALUE!</v>
      </c>
      <c r="S894" s="3" t="e">
        <f>IF(Q894 = "", "", Q894 - R894)</f>
        <v>#VALUE!</v>
      </c>
    </row>
    <row r="895">
      <c r="A895" s="2" t="s">
        <v>4183</v>
      </c>
      <c r="B895" s="3" t="str">
        <f>A895</f>
        <v>returns-to-education-field-f035</v>
      </c>
      <c r="C895" s="2" t="s">
        <v>759</v>
      </c>
      <c r="D895" s="2">
        <v>0.35</v>
      </c>
      <c r="E895" s="3" t="e">
        <f>ABS(D895 - LOOKUP(C895, SweepStudyConfig[StudyId], SweepStudyConfig[OriginalAllocFractionA])) &lt; 0.03</f>
        <v>#VALUE!</v>
      </c>
      <c r="F895" s="3" t="e">
        <f>LOOKUP(C895, SweepStudyConfig[StudyId], SweepStudyConfig[NSweepStratumTotal])</f>
        <v>#VALUE!</v>
      </c>
      <c r="G895" s="3" t="e">
        <f>ROUND(F895 * D895)</f>
        <v>#VALUE!</v>
      </c>
      <c r="H895" s="3" t="e">
        <f>F895 - G895</f>
        <v>#VALUE!</v>
      </c>
      <c r="I895" s="3" t="e">
        <f>LOOKUP(C895, SweepStudyConfig[StudyId], SweepStudyConfig[NFixedA])</f>
        <v>#VALUE!</v>
      </c>
      <c r="J895" s="3" t="e">
        <f>LOOKUP(C895, SweepStudyConfig[StudyId], SweepStudyConfig[NFixedB])</f>
        <v>#VALUE!</v>
      </c>
      <c r="K895" s="3" t="e">
        <f>LOOKUP(C895, SweepStudyConfig[StudyId], SweepStudyConfig[SweepRateA])</f>
        <v>#VALUE!</v>
      </c>
      <c r="L895" s="3" t="e">
        <f>LOOKUP(C895, SweepStudyConfig[StudyId], SweepStudyConfig[SweepRateB])</f>
        <v>#VALUE!</v>
      </c>
      <c r="M895" s="3" t="e">
        <f>LOOKUP(C895, SweepStudyConfig[StudyId], SweepStudyConfig[FixedRateA])</f>
        <v>#VALUE!</v>
      </c>
      <c r="N895" s="3" t="e">
        <f>LOOKUP(C895, SweepStudyConfig[StudyId], SweepStudyConfig[FixedRateB])</f>
        <v>#VALUE!</v>
      </c>
      <c r="O895" s="3" t="e">
        <f>IF(G895 + I895 = 0, "", (G895 * K895 + I895 * M895) / (G895 + I895))</f>
        <v>#VALUE!</v>
      </c>
      <c r="P895" s="3" t="e">
        <f>IF(H895 + J895 = 0, "", (H895 * L895 + J895 * N895) / (H895 + J895))</f>
        <v>#VALUE!</v>
      </c>
      <c r="Q895" s="3" t="e">
        <f>IF(O895 = "", "", O895 - P895)</f>
        <v>#VALUE!</v>
      </c>
      <c r="R895" s="3" t="e">
        <f>LOOKUP(C895, SweepStudyConfig[StudyId], SweepStudyConfig[SweepCorrectedGap])</f>
        <v>#VALUE!</v>
      </c>
      <c r="S895" s="3" t="e">
        <f>IF(Q895 = "", "", Q895 - R895)</f>
        <v>#VALUE!</v>
      </c>
    </row>
    <row r="896">
      <c r="A896" s="2" t="s">
        <v>4184</v>
      </c>
      <c r="B896" s="3" t="str">
        <f>A896</f>
        <v>returns-to-education-field-f045</v>
      </c>
      <c r="C896" s="2" t="s">
        <v>759</v>
      </c>
      <c r="D896" s="2">
        <v>0.45</v>
      </c>
      <c r="E896" s="3" t="e">
        <f>ABS(D896 - LOOKUP(C896, SweepStudyConfig[StudyId], SweepStudyConfig[OriginalAllocFractionA])) &lt; 0.03</f>
        <v>#VALUE!</v>
      </c>
      <c r="F896" s="3" t="e">
        <f>LOOKUP(C896, SweepStudyConfig[StudyId], SweepStudyConfig[NSweepStratumTotal])</f>
        <v>#VALUE!</v>
      </c>
      <c r="G896" s="3" t="e">
        <f>ROUND(F896 * D896)</f>
        <v>#VALUE!</v>
      </c>
      <c r="H896" s="3" t="e">
        <f>F896 - G896</f>
        <v>#VALUE!</v>
      </c>
      <c r="I896" s="3" t="e">
        <f>LOOKUP(C896, SweepStudyConfig[StudyId], SweepStudyConfig[NFixedA])</f>
        <v>#VALUE!</v>
      </c>
      <c r="J896" s="3" t="e">
        <f>LOOKUP(C896, SweepStudyConfig[StudyId], SweepStudyConfig[NFixedB])</f>
        <v>#VALUE!</v>
      </c>
      <c r="K896" s="3" t="e">
        <f>LOOKUP(C896, SweepStudyConfig[StudyId], SweepStudyConfig[SweepRateA])</f>
        <v>#VALUE!</v>
      </c>
      <c r="L896" s="3" t="e">
        <f>LOOKUP(C896, SweepStudyConfig[StudyId], SweepStudyConfig[SweepRateB])</f>
        <v>#VALUE!</v>
      </c>
      <c r="M896" s="3" t="e">
        <f>LOOKUP(C896, SweepStudyConfig[StudyId], SweepStudyConfig[FixedRateA])</f>
        <v>#VALUE!</v>
      </c>
      <c r="N896" s="3" t="e">
        <f>LOOKUP(C896, SweepStudyConfig[StudyId], SweepStudyConfig[FixedRateB])</f>
        <v>#VALUE!</v>
      </c>
      <c r="O896" s="3" t="e">
        <f>IF(G896 + I896 = 0, "", (G896 * K896 + I896 * M896) / (G896 + I896))</f>
        <v>#VALUE!</v>
      </c>
      <c r="P896" s="3" t="e">
        <f>IF(H896 + J896 = 0, "", (H896 * L896 + J896 * N896) / (H896 + J896))</f>
        <v>#VALUE!</v>
      </c>
      <c r="Q896" s="3" t="e">
        <f>IF(O896 = "", "", O896 - P896)</f>
        <v>#VALUE!</v>
      </c>
      <c r="R896" s="3" t="e">
        <f>LOOKUP(C896, SweepStudyConfig[StudyId], SweepStudyConfig[SweepCorrectedGap])</f>
        <v>#VALUE!</v>
      </c>
      <c r="S896" s="3" t="e">
        <f>IF(Q896 = "", "", Q896 - R896)</f>
        <v>#VALUE!</v>
      </c>
    </row>
    <row r="897">
      <c r="A897" s="2" t="s">
        <v>4185</v>
      </c>
      <c r="B897" s="3" t="str">
        <f>A897</f>
        <v>returns-to-education-field-f055</v>
      </c>
      <c r="C897" s="2" t="s">
        <v>759</v>
      </c>
      <c r="D897" s="2">
        <v>0.55</v>
      </c>
      <c r="E897" s="3" t="e">
        <f>ABS(D897 - LOOKUP(C897, SweepStudyConfig[StudyId], SweepStudyConfig[OriginalAllocFractionA])) &lt; 0.03</f>
        <v>#VALUE!</v>
      </c>
      <c r="F897" s="3" t="e">
        <f>LOOKUP(C897, SweepStudyConfig[StudyId], SweepStudyConfig[NSweepStratumTotal])</f>
        <v>#VALUE!</v>
      </c>
      <c r="G897" s="3" t="e">
        <f>ROUND(F897 * D897)</f>
        <v>#VALUE!</v>
      </c>
      <c r="H897" s="3" t="e">
        <f>F897 - G897</f>
        <v>#VALUE!</v>
      </c>
      <c r="I897" s="3" t="e">
        <f>LOOKUP(C897, SweepStudyConfig[StudyId], SweepStudyConfig[NFixedA])</f>
        <v>#VALUE!</v>
      </c>
      <c r="J897" s="3" t="e">
        <f>LOOKUP(C897, SweepStudyConfig[StudyId], SweepStudyConfig[NFixedB])</f>
        <v>#VALUE!</v>
      </c>
      <c r="K897" s="3" t="e">
        <f>LOOKUP(C897, SweepStudyConfig[StudyId], SweepStudyConfig[SweepRateA])</f>
        <v>#VALUE!</v>
      </c>
      <c r="L897" s="3" t="e">
        <f>LOOKUP(C897, SweepStudyConfig[StudyId], SweepStudyConfig[SweepRateB])</f>
        <v>#VALUE!</v>
      </c>
      <c r="M897" s="3" t="e">
        <f>LOOKUP(C897, SweepStudyConfig[StudyId], SweepStudyConfig[FixedRateA])</f>
        <v>#VALUE!</v>
      </c>
      <c r="N897" s="3" t="e">
        <f>LOOKUP(C897, SweepStudyConfig[StudyId], SweepStudyConfig[FixedRateB])</f>
        <v>#VALUE!</v>
      </c>
      <c r="O897" s="3" t="e">
        <f>IF(G897 + I897 = 0, "", (G897 * K897 + I897 * M897) / (G897 + I897))</f>
        <v>#VALUE!</v>
      </c>
      <c r="P897" s="3" t="e">
        <f>IF(H897 + J897 = 0, "", (H897 * L897 + J897 * N897) / (H897 + J897))</f>
        <v>#VALUE!</v>
      </c>
      <c r="Q897" s="3" t="e">
        <f>IF(O897 = "", "", O897 - P897)</f>
        <v>#VALUE!</v>
      </c>
      <c r="R897" s="3" t="e">
        <f>LOOKUP(C897, SweepStudyConfig[StudyId], SweepStudyConfig[SweepCorrectedGap])</f>
        <v>#VALUE!</v>
      </c>
      <c r="S897" s="3" t="e">
        <f>IF(Q897 = "", "", Q897 - R897)</f>
        <v>#VALUE!</v>
      </c>
    </row>
    <row r="898">
      <c r="A898" s="2" t="s">
        <v>4186</v>
      </c>
      <c r="B898" s="3" t="str">
        <f>A898</f>
        <v>returns-to-education-field-f065</v>
      </c>
      <c r="C898" s="2" t="s">
        <v>759</v>
      </c>
      <c r="D898" s="2">
        <v>0.65</v>
      </c>
      <c r="E898" s="3" t="e">
        <f>ABS(D898 - LOOKUP(C898, SweepStudyConfig[StudyId], SweepStudyConfig[OriginalAllocFractionA])) &lt; 0.03</f>
        <v>#VALUE!</v>
      </c>
      <c r="F898" s="3" t="e">
        <f>LOOKUP(C898, SweepStudyConfig[StudyId], SweepStudyConfig[NSweepStratumTotal])</f>
        <v>#VALUE!</v>
      </c>
      <c r="G898" s="3" t="e">
        <f>ROUND(F898 * D898)</f>
        <v>#VALUE!</v>
      </c>
      <c r="H898" s="3" t="e">
        <f>F898 - G898</f>
        <v>#VALUE!</v>
      </c>
      <c r="I898" s="3" t="e">
        <f>LOOKUP(C898, SweepStudyConfig[StudyId], SweepStudyConfig[NFixedA])</f>
        <v>#VALUE!</v>
      </c>
      <c r="J898" s="3" t="e">
        <f>LOOKUP(C898, SweepStudyConfig[StudyId], SweepStudyConfig[NFixedB])</f>
        <v>#VALUE!</v>
      </c>
      <c r="K898" s="3" t="e">
        <f>LOOKUP(C898, SweepStudyConfig[StudyId], SweepStudyConfig[SweepRateA])</f>
        <v>#VALUE!</v>
      </c>
      <c r="L898" s="3" t="e">
        <f>LOOKUP(C898, SweepStudyConfig[StudyId], SweepStudyConfig[SweepRateB])</f>
        <v>#VALUE!</v>
      </c>
      <c r="M898" s="3" t="e">
        <f>LOOKUP(C898, SweepStudyConfig[StudyId], SweepStudyConfig[FixedRateA])</f>
        <v>#VALUE!</v>
      </c>
      <c r="N898" s="3" t="e">
        <f>LOOKUP(C898, SweepStudyConfig[StudyId], SweepStudyConfig[FixedRateB])</f>
        <v>#VALUE!</v>
      </c>
      <c r="O898" s="3" t="e">
        <f>IF(G898 + I898 = 0, "", (G898 * K898 + I898 * M898) / (G898 + I898))</f>
        <v>#VALUE!</v>
      </c>
      <c r="P898" s="3" t="e">
        <f>IF(H898 + J898 = 0, "", (H898 * L898 + J898 * N898) / (H898 + J898))</f>
        <v>#VALUE!</v>
      </c>
      <c r="Q898" s="3" t="e">
        <f>IF(O898 = "", "", O898 - P898)</f>
        <v>#VALUE!</v>
      </c>
      <c r="R898" s="3" t="e">
        <f>LOOKUP(C898, SweepStudyConfig[StudyId], SweepStudyConfig[SweepCorrectedGap])</f>
        <v>#VALUE!</v>
      </c>
      <c r="S898" s="3" t="e">
        <f>IF(Q898 = "", "", Q898 - R898)</f>
        <v>#VALUE!</v>
      </c>
    </row>
    <row r="899">
      <c r="A899" s="2" t="s">
        <v>4187</v>
      </c>
      <c r="B899" s="3" t="str">
        <f>A899</f>
        <v>returns-to-education-field-f075</v>
      </c>
      <c r="C899" s="2" t="s">
        <v>759</v>
      </c>
      <c r="D899" s="2">
        <v>0.75</v>
      </c>
      <c r="E899" s="3" t="e">
        <f>ABS(D899 - LOOKUP(C899, SweepStudyConfig[StudyId], SweepStudyConfig[OriginalAllocFractionA])) &lt; 0.03</f>
        <v>#VALUE!</v>
      </c>
      <c r="F899" s="3" t="e">
        <f>LOOKUP(C899, SweepStudyConfig[StudyId], SweepStudyConfig[NSweepStratumTotal])</f>
        <v>#VALUE!</v>
      </c>
      <c r="G899" s="3" t="e">
        <f>ROUND(F899 * D899)</f>
        <v>#VALUE!</v>
      </c>
      <c r="H899" s="3" t="e">
        <f>F899 - G899</f>
        <v>#VALUE!</v>
      </c>
      <c r="I899" s="3" t="e">
        <f>LOOKUP(C899, SweepStudyConfig[StudyId], SweepStudyConfig[NFixedA])</f>
        <v>#VALUE!</v>
      </c>
      <c r="J899" s="3" t="e">
        <f>LOOKUP(C899, SweepStudyConfig[StudyId], SweepStudyConfig[NFixedB])</f>
        <v>#VALUE!</v>
      </c>
      <c r="K899" s="3" t="e">
        <f>LOOKUP(C899, SweepStudyConfig[StudyId], SweepStudyConfig[SweepRateA])</f>
        <v>#VALUE!</v>
      </c>
      <c r="L899" s="3" t="e">
        <f>LOOKUP(C899, SweepStudyConfig[StudyId], SweepStudyConfig[SweepRateB])</f>
        <v>#VALUE!</v>
      </c>
      <c r="M899" s="3" t="e">
        <f>LOOKUP(C899, SweepStudyConfig[StudyId], SweepStudyConfig[FixedRateA])</f>
        <v>#VALUE!</v>
      </c>
      <c r="N899" s="3" t="e">
        <f>LOOKUP(C899, SweepStudyConfig[StudyId], SweepStudyConfig[FixedRateB])</f>
        <v>#VALUE!</v>
      </c>
      <c r="O899" s="3" t="e">
        <f>IF(G899 + I899 = 0, "", (G899 * K899 + I899 * M899) / (G899 + I899))</f>
        <v>#VALUE!</v>
      </c>
      <c r="P899" s="3" t="e">
        <f>IF(H899 + J899 = 0, "", (H899 * L899 + J899 * N899) / (H899 + J899))</f>
        <v>#VALUE!</v>
      </c>
      <c r="Q899" s="3" t="e">
        <f>IF(O899 = "", "", O899 - P899)</f>
        <v>#VALUE!</v>
      </c>
      <c r="R899" s="3" t="e">
        <f>LOOKUP(C899, SweepStudyConfig[StudyId], SweepStudyConfig[SweepCorrectedGap])</f>
        <v>#VALUE!</v>
      </c>
      <c r="S899" s="3" t="e">
        <f>IF(Q899 = "", "", Q899 - R899)</f>
        <v>#VALUE!</v>
      </c>
    </row>
    <row r="900">
      <c r="A900" s="2" t="s">
        <v>4188</v>
      </c>
      <c r="B900" s="3" t="str">
        <f>A900</f>
        <v>returns-to-education-field-f085</v>
      </c>
      <c r="C900" s="2" t="s">
        <v>759</v>
      </c>
      <c r="D900" s="2">
        <v>0.85</v>
      </c>
      <c r="E900" s="3" t="e">
        <f>ABS(D900 - LOOKUP(C900, SweepStudyConfig[StudyId], SweepStudyConfig[OriginalAllocFractionA])) &lt; 0.03</f>
        <v>#VALUE!</v>
      </c>
      <c r="F900" s="3" t="e">
        <f>LOOKUP(C900, SweepStudyConfig[StudyId], SweepStudyConfig[NSweepStratumTotal])</f>
        <v>#VALUE!</v>
      </c>
      <c r="G900" s="3" t="e">
        <f>ROUND(F900 * D900)</f>
        <v>#VALUE!</v>
      </c>
      <c r="H900" s="3" t="e">
        <f>F900 - G900</f>
        <v>#VALUE!</v>
      </c>
      <c r="I900" s="3" t="e">
        <f>LOOKUP(C900, SweepStudyConfig[StudyId], SweepStudyConfig[NFixedA])</f>
        <v>#VALUE!</v>
      </c>
      <c r="J900" s="3" t="e">
        <f>LOOKUP(C900, SweepStudyConfig[StudyId], SweepStudyConfig[NFixedB])</f>
        <v>#VALUE!</v>
      </c>
      <c r="K900" s="3" t="e">
        <f>LOOKUP(C900, SweepStudyConfig[StudyId], SweepStudyConfig[SweepRateA])</f>
        <v>#VALUE!</v>
      </c>
      <c r="L900" s="3" t="e">
        <f>LOOKUP(C900, SweepStudyConfig[StudyId], SweepStudyConfig[SweepRateB])</f>
        <v>#VALUE!</v>
      </c>
      <c r="M900" s="3" t="e">
        <f>LOOKUP(C900, SweepStudyConfig[StudyId], SweepStudyConfig[FixedRateA])</f>
        <v>#VALUE!</v>
      </c>
      <c r="N900" s="3" t="e">
        <f>LOOKUP(C900, SweepStudyConfig[StudyId], SweepStudyConfig[FixedRateB])</f>
        <v>#VALUE!</v>
      </c>
      <c r="O900" s="3" t="e">
        <f>IF(G900 + I900 = 0, "", (G900 * K900 + I900 * M900) / (G900 + I900))</f>
        <v>#VALUE!</v>
      </c>
      <c r="P900" s="3" t="e">
        <f>IF(H900 + J900 = 0, "", (H900 * L900 + J900 * N900) / (H900 + J900))</f>
        <v>#VALUE!</v>
      </c>
      <c r="Q900" s="3" t="e">
        <f>IF(O900 = "", "", O900 - P900)</f>
        <v>#VALUE!</v>
      </c>
      <c r="R900" s="3" t="e">
        <f>LOOKUP(C900, SweepStudyConfig[StudyId], SweepStudyConfig[SweepCorrectedGap])</f>
        <v>#VALUE!</v>
      </c>
      <c r="S900" s="3" t="e">
        <f>IF(Q900 = "", "", Q900 - R900)</f>
        <v>#VALUE!</v>
      </c>
    </row>
    <row r="901">
      <c r="A901" s="2" t="s">
        <v>4189</v>
      </c>
      <c r="B901" s="3" t="str">
        <f>A901</f>
        <v>returns-to-education-field-f095</v>
      </c>
      <c r="C901" s="2" t="s">
        <v>759</v>
      </c>
      <c r="D901" s="2">
        <v>0.95</v>
      </c>
      <c r="E901" s="3" t="e">
        <f>ABS(D901 - LOOKUP(C901, SweepStudyConfig[StudyId], SweepStudyConfig[OriginalAllocFractionA])) &lt; 0.03</f>
        <v>#VALUE!</v>
      </c>
      <c r="F901" s="3" t="e">
        <f>LOOKUP(C901, SweepStudyConfig[StudyId], SweepStudyConfig[NSweepStratumTotal])</f>
        <v>#VALUE!</v>
      </c>
      <c r="G901" s="3" t="e">
        <f>ROUND(F901 * D901)</f>
        <v>#VALUE!</v>
      </c>
      <c r="H901" s="3" t="e">
        <f>F901 - G901</f>
        <v>#VALUE!</v>
      </c>
      <c r="I901" s="3" t="e">
        <f>LOOKUP(C901, SweepStudyConfig[StudyId], SweepStudyConfig[NFixedA])</f>
        <v>#VALUE!</v>
      </c>
      <c r="J901" s="3" t="e">
        <f>LOOKUP(C901, SweepStudyConfig[StudyId], SweepStudyConfig[NFixedB])</f>
        <v>#VALUE!</v>
      </c>
      <c r="K901" s="3" t="e">
        <f>LOOKUP(C901, SweepStudyConfig[StudyId], SweepStudyConfig[SweepRateA])</f>
        <v>#VALUE!</v>
      </c>
      <c r="L901" s="3" t="e">
        <f>LOOKUP(C901, SweepStudyConfig[StudyId], SweepStudyConfig[SweepRateB])</f>
        <v>#VALUE!</v>
      </c>
      <c r="M901" s="3" t="e">
        <f>LOOKUP(C901, SweepStudyConfig[StudyId], SweepStudyConfig[FixedRateA])</f>
        <v>#VALUE!</v>
      </c>
      <c r="N901" s="3" t="e">
        <f>LOOKUP(C901, SweepStudyConfig[StudyId], SweepStudyConfig[FixedRateB])</f>
        <v>#VALUE!</v>
      </c>
      <c r="O901" s="3" t="e">
        <f>IF(G901 + I901 = 0, "", (G901 * K901 + I901 * M901) / (G901 + I901))</f>
        <v>#VALUE!</v>
      </c>
      <c r="P901" s="3" t="e">
        <f>IF(H901 + J901 = 0, "", (H901 * L901 + J901 * N901) / (H901 + J901))</f>
        <v>#VALUE!</v>
      </c>
      <c r="Q901" s="3" t="e">
        <f>IF(O901 = "", "", O901 - P901)</f>
        <v>#VALUE!</v>
      </c>
      <c r="R901" s="3" t="e">
        <f>LOOKUP(C901, SweepStudyConfig[StudyId], SweepStudyConfig[SweepCorrectedGap])</f>
        <v>#VALUE!</v>
      </c>
      <c r="S901" s="3" t="e">
        <f>IF(Q901 = "", "", Q901 - R901)</f>
        <v>#VALUE!</v>
      </c>
    </row>
    <row r="902">
      <c r="A902" s="2" t="s">
        <v>4190</v>
      </c>
      <c r="B902" s="3" t="str">
        <f>A902</f>
        <v>unemployment-education-cycle-f005</v>
      </c>
      <c r="C902" s="2" t="s">
        <v>763</v>
      </c>
      <c r="D902" s="2">
        <v>0.05</v>
      </c>
      <c r="E902" s="3" t="e">
        <f>ABS(D902 - LOOKUP(C902, SweepStudyConfig[StudyId], SweepStudyConfig[OriginalAllocFractionA])) &lt; 0.03</f>
        <v>#VALUE!</v>
      </c>
      <c r="F902" s="3" t="e">
        <f>LOOKUP(C902, SweepStudyConfig[StudyId], SweepStudyConfig[NSweepStratumTotal])</f>
        <v>#VALUE!</v>
      </c>
      <c r="G902" s="3" t="e">
        <f>ROUND(F902 * D902)</f>
        <v>#VALUE!</v>
      </c>
      <c r="H902" s="3" t="e">
        <f>F902 - G902</f>
        <v>#VALUE!</v>
      </c>
      <c r="I902" s="3" t="e">
        <f>LOOKUP(C902, SweepStudyConfig[StudyId], SweepStudyConfig[NFixedA])</f>
        <v>#VALUE!</v>
      </c>
      <c r="J902" s="3" t="e">
        <f>LOOKUP(C902, SweepStudyConfig[StudyId], SweepStudyConfig[NFixedB])</f>
        <v>#VALUE!</v>
      </c>
      <c r="K902" s="3" t="e">
        <f>LOOKUP(C902, SweepStudyConfig[StudyId], SweepStudyConfig[SweepRateA])</f>
        <v>#VALUE!</v>
      </c>
      <c r="L902" s="3" t="e">
        <f>LOOKUP(C902, SweepStudyConfig[StudyId], SweepStudyConfig[SweepRateB])</f>
        <v>#VALUE!</v>
      </c>
      <c r="M902" s="3" t="e">
        <f>LOOKUP(C902, SweepStudyConfig[StudyId], SweepStudyConfig[FixedRateA])</f>
        <v>#VALUE!</v>
      </c>
      <c r="N902" s="3" t="e">
        <f>LOOKUP(C902, SweepStudyConfig[StudyId], SweepStudyConfig[FixedRateB])</f>
        <v>#VALUE!</v>
      </c>
      <c r="O902" s="3" t="e">
        <f>IF(G902 + I902 = 0, "", (G902 * K902 + I902 * M902) / (G902 + I902))</f>
        <v>#VALUE!</v>
      </c>
      <c r="P902" s="3" t="e">
        <f>IF(H902 + J902 = 0, "", (H902 * L902 + J902 * N902) / (H902 + J902))</f>
        <v>#VALUE!</v>
      </c>
      <c r="Q902" s="3" t="e">
        <f>IF(O902 = "", "", O902 - P902)</f>
        <v>#VALUE!</v>
      </c>
      <c r="R902" s="3" t="e">
        <f>LOOKUP(C902, SweepStudyConfig[StudyId], SweepStudyConfig[SweepCorrectedGap])</f>
        <v>#VALUE!</v>
      </c>
      <c r="S902" s="3" t="e">
        <f>IF(Q902 = "", "", Q902 - R902)</f>
        <v>#VALUE!</v>
      </c>
    </row>
    <row r="903">
      <c r="A903" s="2" t="s">
        <v>4191</v>
      </c>
      <c r="B903" s="3" t="str">
        <f>A903</f>
        <v>unemployment-education-cycle-f015</v>
      </c>
      <c r="C903" s="2" t="s">
        <v>763</v>
      </c>
      <c r="D903" s="2">
        <v>0.15</v>
      </c>
      <c r="E903" s="3" t="e">
        <f>ABS(D903 - LOOKUP(C903, SweepStudyConfig[StudyId], SweepStudyConfig[OriginalAllocFractionA])) &lt; 0.03</f>
        <v>#VALUE!</v>
      </c>
      <c r="F903" s="3" t="e">
        <f>LOOKUP(C903, SweepStudyConfig[StudyId], SweepStudyConfig[NSweepStratumTotal])</f>
        <v>#VALUE!</v>
      </c>
      <c r="G903" s="3" t="e">
        <f>ROUND(F903 * D903)</f>
        <v>#VALUE!</v>
      </c>
      <c r="H903" s="3" t="e">
        <f>F903 - G903</f>
        <v>#VALUE!</v>
      </c>
      <c r="I903" s="3" t="e">
        <f>LOOKUP(C903, SweepStudyConfig[StudyId], SweepStudyConfig[NFixedA])</f>
        <v>#VALUE!</v>
      </c>
      <c r="J903" s="3" t="e">
        <f>LOOKUP(C903, SweepStudyConfig[StudyId], SweepStudyConfig[NFixedB])</f>
        <v>#VALUE!</v>
      </c>
      <c r="K903" s="3" t="e">
        <f>LOOKUP(C903, SweepStudyConfig[StudyId], SweepStudyConfig[SweepRateA])</f>
        <v>#VALUE!</v>
      </c>
      <c r="L903" s="3" t="e">
        <f>LOOKUP(C903, SweepStudyConfig[StudyId], SweepStudyConfig[SweepRateB])</f>
        <v>#VALUE!</v>
      </c>
      <c r="M903" s="3" t="e">
        <f>LOOKUP(C903, SweepStudyConfig[StudyId], SweepStudyConfig[FixedRateA])</f>
        <v>#VALUE!</v>
      </c>
      <c r="N903" s="3" t="e">
        <f>LOOKUP(C903, SweepStudyConfig[StudyId], SweepStudyConfig[FixedRateB])</f>
        <v>#VALUE!</v>
      </c>
      <c r="O903" s="3" t="e">
        <f>IF(G903 + I903 = 0, "", (G903 * K903 + I903 * M903) / (G903 + I903))</f>
        <v>#VALUE!</v>
      </c>
      <c r="P903" s="3" t="e">
        <f>IF(H903 + J903 = 0, "", (H903 * L903 + J903 * N903) / (H903 + J903))</f>
        <v>#VALUE!</v>
      </c>
      <c r="Q903" s="3" t="e">
        <f>IF(O903 = "", "", O903 - P903)</f>
        <v>#VALUE!</v>
      </c>
      <c r="R903" s="3" t="e">
        <f>LOOKUP(C903, SweepStudyConfig[StudyId], SweepStudyConfig[SweepCorrectedGap])</f>
        <v>#VALUE!</v>
      </c>
      <c r="S903" s="3" t="e">
        <f>IF(Q903 = "", "", Q903 - R903)</f>
        <v>#VALUE!</v>
      </c>
    </row>
    <row r="904">
      <c r="A904" s="2" t="s">
        <v>4192</v>
      </c>
      <c r="B904" s="3" t="str">
        <f>A904</f>
        <v>unemployment-education-cycle-f025</v>
      </c>
      <c r="C904" s="2" t="s">
        <v>763</v>
      </c>
      <c r="D904" s="2">
        <v>0.25</v>
      </c>
      <c r="E904" s="3" t="e">
        <f>ABS(D904 - LOOKUP(C904, SweepStudyConfig[StudyId], SweepStudyConfig[OriginalAllocFractionA])) &lt; 0.03</f>
        <v>#VALUE!</v>
      </c>
      <c r="F904" s="3" t="e">
        <f>LOOKUP(C904, SweepStudyConfig[StudyId], SweepStudyConfig[NSweepStratumTotal])</f>
        <v>#VALUE!</v>
      </c>
      <c r="G904" s="3" t="e">
        <f>ROUND(F904 * D904)</f>
        <v>#VALUE!</v>
      </c>
      <c r="H904" s="3" t="e">
        <f>F904 - G904</f>
        <v>#VALUE!</v>
      </c>
      <c r="I904" s="3" t="e">
        <f>LOOKUP(C904, SweepStudyConfig[StudyId], SweepStudyConfig[NFixedA])</f>
        <v>#VALUE!</v>
      </c>
      <c r="J904" s="3" t="e">
        <f>LOOKUP(C904, SweepStudyConfig[StudyId], SweepStudyConfig[NFixedB])</f>
        <v>#VALUE!</v>
      </c>
      <c r="K904" s="3" t="e">
        <f>LOOKUP(C904, SweepStudyConfig[StudyId], SweepStudyConfig[SweepRateA])</f>
        <v>#VALUE!</v>
      </c>
      <c r="L904" s="3" t="e">
        <f>LOOKUP(C904, SweepStudyConfig[StudyId], SweepStudyConfig[SweepRateB])</f>
        <v>#VALUE!</v>
      </c>
      <c r="M904" s="3" t="e">
        <f>LOOKUP(C904, SweepStudyConfig[StudyId], SweepStudyConfig[FixedRateA])</f>
        <v>#VALUE!</v>
      </c>
      <c r="N904" s="3" t="e">
        <f>LOOKUP(C904, SweepStudyConfig[StudyId], SweepStudyConfig[FixedRateB])</f>
        <v>#VALUE!</v>
      </c>
      <c r="O904" s="3" t="e">
        <f>IF(G904 + I904 = 0, "", (G904 * K904 + I904 * M904) / (G904 + I904))</f>
        <v>#VALUE!</v>
      </c>
      <c r="P904" s="3" t="e">
        <f>IF(H904 + J904 = 0, "", (H904 * L904 + J904 * N904) / (H904 + J904))</f>
        <v>#VALUE!</v>
      </c>
      <c r="Q904" s="3" t="e">
        <f>IF(O904 = "", "", O904 - P904)</f>
        <v>#VALUE!</v>
      </c>
      <c r="R904" s="3" t="e">
        <f>LOOKUP(C904, SweepStudyConfig[StudyId], SweepStudyConfig[SweepCorrectedGap])</f>
        <v>#VALUE!</v>
      </c>
      <c r="S904" s="3" t="e">
        <f>IF(Q904 = "", "", Q904 - R904)</f>
        <v>#VALUE!</v>
      </c>
    </row>
    <row r="905">
      <c r="A905" s="2" t="s">
        <v>4193</v>
      </c>
      <c r="B905" s="3" t="str">
        <f>A905</f>
        <v>unemployment-education-cycle-f035</v>
      </c>
      <c r="C905" s="2" t="s">
        <v>763</v>
      </c>
      <c r="D905" s="2">
        <v>0.35</v>
      </c>
      <c r="E905" s="3" t="e">
        <f>ABS(D905 - LOOKUP(C905, SweepStudyConfig[StudyId], SweepStudyConfig[OriginalAllocFractionA])) &lt; 0.03</f>
        <v>#VALUE!</v>
      </c>
      <c r="F905" s="3" t="e">
        <f>LOOKUP(C905, SweepStudyConfig[StudyId], SweepStudyConfig[NSweepStratumTotal])</f>
        <v>#VALUE!</v>
      </c>
      <c r="G905" s="3" t="e">
        <f>ROUND(F905 * D905)</f>
        <v>#VALUE!</v>
      </c>
      <c r="H905" s="3" t="e">
        <f>F905 - G905</f>
        <v>#VALUE!</v>
      </c>
      <c r="I905" s="3" t="e">
        <f>LOOKUP(C905, SweepStudyConfig[StudyId], SweepStudyConfig[NFixedA])</f>
        <v>#VALUE!</v>
      </c>
      <c r="J905" s="3" t="e">
        <f>LOOKUP(C905, SweepStudyConfig[StudyId], SweepStudyConfig[NFixedB])</f>
        <v>#VALUE!</v>
      </c>
      <c r="K905" s="3" t="e">
        <f>LOOKUP(C905, SweepStudyConfig[StudyId], SweepStudyConfig[SweepRateA])</f>
        <v>#VALUE!</v>
      </c>
      <c r="L905" s="3" t="e">
        <f>LOOKUP(C905, SweepStudyConfig[StudyId], SweepStudyConfig[SweepRateB])</f>
        <v>#VALUE!</v>
      </c>
      <c r="M905" s="3" t="e">
        <f>LOOKUP(C905, SweepStudyConfig[StudyId], SweepStudyConfig[FixedRateA])</f>
        <v>#VALUE!</v>
      </c>
      <c r="N905" s="3" t="e">
        <f>LOOKUP(C905, SweepStudyConfig[StudyId], SweepStudyConfig[FixedRateB])</f>
        <v>#VALUE!</v>
      </c>
      <c r="O905" s="3" t="e">
        <f>IF(G905 + I905 = 0, "", (G905 * K905 + I905 * M905) / (G905 + I905))</f>
        <v>#VALUE!</v>
      </c>
      <c r="P905" s="3" t="e">
        <f>IF(H905 + J905 = 0, "", (H905 * L905 + J905 * N905) / (H905 + J905))</f>
        <v>#VALUE!</v>
      </c>
      <c r="Q905" s="3" t="e">
        <f>IF(O905 = "", "", O905 - P905)</f>
        <v>#VALUE!</v>
      </c>
      <c r="R905" s="3" t="e">
        <f>LOOKUP(C905, SweepStudyConfig[StudyId], SweepStudyConfig[SweepCorrectedGap])</f>
        <v>#VALUE!</v>
      </c>
      <c r="S905" s="3" t="e">
        <f>IF(Q905 = "", "", Q905 - R905)</f>
        <v>#VALUE!</v>
      </c>
    </row>
    <row r="906">
      <c r="A906" s="2" t="s">
        <v>4194</v>
      </c>
      <c r="B906" s="3" t="str">
        <f>A906</f>
        <v>unemployment-education-cycle-f045</v>
      </c>
      <c r="C906" s="2" t="s">
        <v>763</v>
      </c>
      <c r="D906" s="2">
        <v>0.45</v>
      </c>
      <c r="E906" s="3" t="e">
        <f>ABS(D906 - LOOKUP(C906, SweepStudyConfig[StudyId], SweepStudyConfig[OriginalAllocFractionA])) &lt; 0.03</f>
        <v>#VALUE!</v>
      </c>
      <c r="F906" s="3" t="e">
        <f>LOOKUP(C906, SweepStudyConfig[StudyId], SweepStudyConfig[NSweepStratumTotal])</f>
        <v>#VALUE!</v>
      </c>
      <c r="G906" s="3" t="e">
        <f>ROUND(F906 * D906)</f>
        <v>#VALUE!</v>
      </c>
      <c r="H906" s="3" t="e">
        <f>F906 - G906</f>
        <v>#VALUE!</v>
      </c>
      <c r="I906" s="3" t="e">
        <f>LOOKUP(C906, SweepStudyConfig[StudyId], SweepStudyConfig[NFixedA])</f>
        <v>#VALUE!</v>
      </c>
      <c r="J906" s="3" t="e">
        <f>LOOKUP(C906, SweepStudyConfig[StudyId], SweepStudyConfig[NFixedB])</f>
        <v>#VALUE!</v>
      </c>
      <c r="K906" s="3" t="e">
        <f>LOOKUP(C906, SweepStudyConfig[StudyId], SweepStudyConfig[SweepRateA])</f>
        <v>#VALUE!</v>
      </c>
      <c r="L906" s="3" t="e">
        <f>LOOKUP(C906, SweepStudyConfig[StudyId], SweepStudyConfig[SweepRateB])</f>
        <v>#VALUE!</v>
      </c>
      <c r="M906" s="3" t="e">
        <f>LOOKUP(C906, SweepStudyConfig[StudyId], SweepStudyConfig[FixedRateA])</f>
        <v>#VALUE!</v>
      </c>
      <c r="N906" s="3" t="e">
        <f>LOOKUP(C906, SweepStudyConfig[StudyId], SweepStudyConfig[FixedRateB])</f>
        <v>#VALUE!</v>
      </c>
      <c r="O906" s="3" t="e">
        <f>IF(G906 + I906 = 0, "", (G906 * K906 + I906 * M906) / (G906 + I906))</f>
        <v>#VALUE!</v>
      </c>
      <c r="P906" s="3" t="e">
        <f>IF(H906 + J906 = 0, "", (H906 * L906 + J906 * N906) / (H906 + J906))</f>
        <v>#VALUE!</v>
      </c>
      <c r="Q906" s="3" t="e">
        <f>IF(O906 = "", "", O906 - P906)</f>
        <v>#VALUE!</v>
      </c>
      <c r="R906" s="3" t="e">
        <f>LOOKUP(C906, SweepStudyConfig[StudyId], SweepStudyConfig[SweepCorrectedGap])</f>
        <v>#VALUE!</v>
      </c>
      <c r="S906" s="3" t="e">
        <f>IF(Q906 = "", "", Q906 - R906)</f>
        <v>#VALUE!</v>
      </c>
    </row>
    <row r="907">
      <c r="A907" s="2" t="s">
        <v>4195</v>
      </c>
      <c r="B907" s="3" t="str">
        <f>A907</f>
        <v>unemployment-education-cycle-f055</v>
      </c>
      <c r="C907" s="2" t="s">
        <v>763</v>
      </c>
      <c r="D907" s="2">
        <v>0.55</v>
      </c>
      <c r="E907" s="3" t="e">
        <f>ABS(D907 - LOOKUP(C907, SweepStudyConfig[StudyId], SweepStudyConfig[OriginalAllocFractionA])) &lt; 0.03</f>
        <v>#VALUE!</v>
      </c>
      <c r="F907" s="3" t="e">
        <f>LOOKUP(C907, SweepStudyConfig[StudyId], SweepStudyConfig[NSweepStratumTotal])</f>
        <v>#VALUE!</v>
      </c>
      <c r="G907" s="3" t="e">
        <f>ROUND(F907 * D907)</f>
        <v>#VALUE!</v>
      </c>
      <c r="H907" s="3" t="e">
        <f>F907 - G907</f>
        <v>#VALUE!</v>
      </c>
      <c r="I907" s="3" t="e">
        <f>LOOKUP(C907, SweepStudyConfig[StudyId], SweepStudyConfig[NFixedA])</f>
        <v>#VALUE!</v>
      </c>
      <c r="J907" s="3" t="e">
        <f>LOOKUP(C907, SweepStudyConfig[StudyId], SweepStudyConfig[NFixedB])</f>
        <v>#VALUE!</v>
      </c>
      <c r="K907" s="3" t="e">
        <f>LOOKUP(C907, SweepStudyConfig[StudyId], SweepStudyConfig[SweepRateA])</f>
        <v>#VALUE!</v>
      </c>
      <c r="L907" s="3" t="e">
        <f>LOOKUP(C907, SweepStudyConfig[StudyId], SweepStudyConfig[SweepRateB])</f>
        <v>#VALUE!</v>
      </c>
      <c r="M907" s="3" t="e">
        <f>LOOKUP(C907, SweepStudyConfig[StudyId], SweepStudyConfig[FixedRateA])</f>
        <v>#VALUE!</v>
      </c>
      <c r="N907" s="3" t="e">
        <f>LOOKUP(C907, SweepStudyConfig[StudyId], SweepStudyConfig[FixedRateB])</f>
        <v>#VALUE!</v>
      </c>
      <c r="O907" s="3" t="e">
        <f>IF(G907 + I907 = 0, "", (G907 * K907 + I907 * M907) / (G907 + I907))</f>
        <v>#VALUE!</v>
      </c>
      <c r="P907" s="3" t="e">
        <f>IF(H907 + J907 = 0, "", (H907 * L907 + J907 * N907) / (H907 + J907))</f>
        <v>#VALUE!</v>
      </c>
      <c r="Q907" s="3" t="e">
        <f>IF(O907 = "", "", O907 - P907)</f>
        <v>#VALUE!</v>
      </c>
      <c r="R907" s="3" t="e">
        <f>LOOKUP(C907, SweepStudyConfig[StudyId], SweepStudyConfig[SweepCorrectedGap])</f>
        <v>#VALUE!</v>
      </c>
      <c r="S907" s="3" t="e">
        <f>IF(Q907 = "", "", Q907 - R907)</f>
        <v>#VALUE!</v>
      </c>
    </row>
    <row r="908">
      <c r="A908" s="2" t="s">
        <v>4196</v>
      </c>
      <c r="B908" s="3" t="str">
        <f>A908</f>
        <v>unemployment-education-cycle-f065</v>
      </c>
      <c r="C908" s="2" t="s">
        <v>763</v>
      </c>
      <c r="D908" s="2">
        <v>0.65</v>
      </c>
      <c r="E908" s="3" t="e">
        <f>ABS(D908 - LOOKUP(C908, SweepStudyConfig[StudyId], SweepStudyConfig[OriginalAllocFractionA])) &lt; 0.03</f>
        <v>#VALUE!</v>
      </c>
      <c r="F908" s="3" t="e">
        <f>LOOKUP(C908, SweepStudyConfig[StudyId], SweepStudyConfig[NSweepStratumTotal])</f>
        <v>#VALUE!</v>
      </c>
      <c r="G908" s="3" t="e">
        <f>ROUND(F908 * D908)</f>
        <v>#VALUE!</v>
      </c>
      <c r="H908" s="3" t="e">
        <f>F908 - G908</f>
        <v>#VALUE!</v>
      </c>
      <c r="I908" s="3" t="e">
        <f>LOOKUP(C908, SweepStudyConfig[StudyId], SweepStudyConfig[NFixedA])</f>
        <v>#VALUE!</v>
      </c>
      <c r="J908" s="3" t="e">
        <f>LOOKUP(C908, SweepStudyConfig[StudyId], SweepStudyConfig[NFixedB])</f>
        <v>#VALUE!</v>
      </c>
      <c r="K908" s="3" t="e">
        <f>LOOKUP(C908, SweepStudyConfig[StudyId], SweepStudyConfig[SweepRateA])</f>
        <v>#VALUE!</v>
      </c>
      <c r="L908" s="3" t="e">
        <f>LOOKUP(C908, SweepStudyConfig[StudyId], SweepStudyConfig[SweepRateB])</f>
        <v>#VALUE!</v>
      </c>
      <c r="M908" s="3" t="e">
        <f>LOOKUP(C908, SweepStudyConfig[StudyId], SweepStudyConfig[FixedRateA])</f>
        <v>#VALUE!</v>
      </c>
      <c r="N908" s="3" t="e">
        <f>LOOKUP(C908, SweepStudyConfig[StudyId], SweepStudyConfig[FixedRateB])</f>
        <v>#VALUE!</v>
      </c>
      <c r="O908" s="3" t="e">
        <f>IF(G908 + I908 = 0, "", (G908 * K908 + I908 * M908) / (G908 + I908))</f>
        <v>#VALUE!</v>
      </c>
      <c r="P908" s="3" t="e">
        <f>IF(H908 + J908 = 0, "", (H908 * L908 + J908 * N908) / (H908 + J908))</f>
        <v>#VALUE!</v>
      </c>
      <c r="Q908" s="3" t="e">
        <f>IF(O908 = "", "", O908 - P908)</f>
        <v>#VALUE!</v>
      </c>
      <c r="R908" s="3" t="e">
        <f>LOOKUP(C908, SweepStudyConfig[StudyId], SweepStudyConfig[SweepCorrectedGap])</f>
        <v>#VALUE!</v>
      </c>
      <c r="S908" s="3" t="e">
        <f>IF(Q908 = "", "", Q908 - R908)</f>
        <v>#VALUE!</v>
      </c>
    </row>
    <row r="909">
      <c r="A909" s="2" t="s">
        <v>4197</v>
      </c>
      <c r="B909" s="3" t="str">
        <f>A909</f>
        <v>unemployment-education-cycle-f075</v>
      </c>
      <c r="C909" s="2" t="s">
        <v>763</v>
      </c>
      <c r="D909" s="2">
        <v>0.75</v>
      </c>
      <c r="E909" s="3" t="e">
        <f>ABS(D909 - LOOKUP(C909, SweepStudyConfig[StudyId], SweepStudyConfig[OriginalAllocFractionA])) &lt; 0.03</f>
        <v>#VALUE!</v>
      </c>
      <c r="F909" s="3" t="e">
        <f>LOOKUP(C909, SweepStudyConfig[StudyId], SweepStudyConfig[NSweepStratumTotal])</f>
        <v>#VALUE!</v>
      </c>
      <c r="G909" s="3" t="e">
        <f>ROUND(F909 * D909)</f>
        <v>#VALUE!</v>
      </c>
      <c r="H909" s="3" t="e">
        <f>F909 - G909</f>
        <v>#VALUE!</v>
      </c>
      <c r="I909" s="3" t="e">
        <f>LOOKUP(C909, SweepStudyConfig[StudyId], SweepStudyConfig[NFixedA])</f>
        <v>#VALUE!</v>
      </c>
      <c r="J909" s="3" t="e">
        <f>LOOKUP(C909, SweepStudyConfig[StudyId], SweepStudyConfig[NFixedB])</f>
        <v>#VALUE!</v>
      </c>
      <c r="K909" s="3" t="e">
        <f>LOOKUP(C909, SweepStudyConfig[StudyId], SweepStudyConfig[SweepRateA])</f>
        <v>#VALUE!</v>
      </c>
      <c r="L909" s="3" t="e">
        <f>LOOKUP(C909, SweepStudyConfig[StudyId], SweepStudyConfig[SweepRateB])</f>
        <v>#VALUE!</v>
      </c>
      <c r="M909" s="3" t="e">
        <f>LOOKUP(C909, SweepStudyConfig[StudyId], SweepStudyConfig[FixedRateA])</f>
        <v>#VALUE!</v>
      </c>
      <c r="N909" s="3" t="e">
        <f>LOOKUP(C909, SweepStudyConfig[StudyId], SweepStudyConfig[FixedRateB])</f>
        <v>#VALUE!</v>
      </c>
      <c r="O909" s="3" t="e">
        <f>IF(G909 + I909 = 0, "", (G909 * K909 + I909 * M909) / (G909 + I909))</f>
        <v>#VALUE!</v>
      </c>
      <c r="P909" s="3" t="e">
        <f>IF(H909 + J909 = 0, "", (H909 * L909 + J909 * N909) / (H909 + J909))</f>
        <v>#VALUE!</v>
      </c>
      <c r="Q909" s="3" t="e">
        <f>IF(O909 = "", "", O909 - P909)</f>
        <v>#VALUE!</v>
      </c>
      <c r="R909" s="3" t="e">
        <f>LOOKUP(C909, SweepStudyConfig[StudyId], SweepStudyConfig[SweepCorrectedGap])</f>
        <v>#VALUE!</v>
      </c>
      <c r="S909" s="3" t="e">
        <f>IF(Q909 = "", "", Q909 - R909)</f>
        <v>#VALUE!</v>
      </c>
    </row>
    <row r="910">
      <c r="A910" s="2" t="s">
        <v>4198</v>
      </c>
      <c r="B910" s="3" t="str">
        <f>A910</f>
        <v>unemployment-education-cycle-f085</v>
      </c>
      <c r="C910" s="2" t="s">
        <v>763</v>
      </c>
      <c r="D910" s="2">
        <v>0.85</v>
      </c>
      <c r="E910" s="3" t="e">
        <f>ABS(D910 - LOOKUP(C910, SweepStudyConfig[StudyId], SweepStudyConfig[OriginalAllocFractionA])) &lt; 0.03</f>
        <v>#VALUE!</v>
      </c>
      <c r="F910" s="3" t="e">
        <f>LOOKUP(C910, SweepStudyConfig[StudyId], SweepStudyConfig[NSweepStratumTotal])</f>
        <v>#VALUE!</v>
      </c>
      <c r="G910" s="3" t="e">
        <f>ROUND(F910 * D910)</f>
        <v>#VALUE!</v>
      </c>
      <c r="H910" s="3" t="e">
        <f>F910 - G910</f>
        <v>#VALUE!</v>
      </c>
      <c r="I910" s="3" t="e">
        <f>LOOKUP(C910, SweepStudyConfig[StudyId], SweepStudyConfig[NFixedA])</f>
        <v>#VALUE!</v>
      </c>
      <c r="J910" s="3" t="e">
        <f>LOOKUP(C910, SweepStudyConfig[StudyId], SweepStudyConfig[NFixedB])</f>
        <v>#VALUE!</v>
      </c>
      <c r="K910" s="3" t="e">
        <f>LOOKUP(C910, SweepStudyConfig[StudyId], SweepStudyConfig[SweepRateA])</f>
        <v>#VALUE!</v>
      </c>
      <c r="L910" s="3" t="e">
        <f>LOOKUP(C910, SweepStudyConfig[StudyId], SweepStudyConfig[SweepRateB])</f>
        <v>#VALUE!</v>
      </c>
      <c r="M910" s="3" t="e">
        <f>LOOKUP(C910, SweepStudyConfig[StudyId], SweepStudyConfig[FixedRateA])</f>
        <v>#VALUE!</v>
      </c>
      <c r="N910" s="3" t="e">
        <f>LOOKUP(C910, SweepStudyConfig[StudyId], SweepStudyConfig[FixedRateB])</f>
        <v>#VALUE!</v>
      </c>
      <c r="O910" s="3" t="e">
        <f>IF(G910 + I910 = 0, "", (G910 * K910 + I910 * M910) / (G910 + I910))</f>
        <v>#VALUE!</v>
      </c>
      <c r="P910" s="3" t="e">
        <f>IF(H910 + J910 = 0, "", (H910 * L910 + J910 * N910) / (H910 + J910))</f>
        <v>#VALUE!</v>
      </c>
      <c r="Q910" s="3" t="e">
        <f>IF(O910 = "", "", O910 - P910)</f>
        <v>#VALUE!</v>
      </c>
      <c r="R910" s="3" t="e">
        <f>LOOKUP(C910, SweepStudyConfig[StudyId], SweepStudyConfig[SweepCorrectedGap])</f>
        <v>#VALUE!</v>
      </c>
      <c r="S910" s="3" t="e">
        <f>IF(Q910 = "", "", Q910 - R910)</f>
        <v>#VALUE!</v>
      </c>
    </row>
    <row r="911">
      <c r="A911" s="2" t="s">
        <v>4199</v>
      </c>
      <c r="B911" s="3" t="str">
        <f>A911</f>
        <v>unemployment-education-cycle-f095</v>
      </c>
      <c r="C911" s="2" t="s">
        <v>763</v>
      </c>
      <c r="D911" s="2">
        <v>0.95</v>
      </c>
      <c r="E911" s="3" t="e">
        <f>ABS(D911 - LOOKUP(C911, SweepStudyConfig[StudyId], SweepStudyConfig[OriginalAllocFractionA])) &lt; 0.03</f>
        <v>#VALUE!</v>
      </c>
      <c r="F911" s="3" t="e">
        <f>LOOKUP(C911, SweepStudyConfig[StudyId], SweepStudyConfig[NSweepStratumTotal])</f>
        <v>#VALUE!</v>
      </c>
      <c r="G911" s="3" t="e">
        <f>ROUND(F911 * D911)</f>
        <v>#VALUE!</v>
      </c>
      <c r="H911" s="3" t="e">
        <f>F911 - G911</f>
        <v>#VALUE!</v>
      </c>
      <c r="I911" s="3" t="e">
        <f>LOOKUP(C911, SweepStudyConfig[StudyId], SweepStudyConfig[NFixedA])</f>
        <v>#VALUE!</v>
      </c>
      <c r="J911" s="3" t="e">
        <f>LOOKUP(C911, SweepStudyConfig[StudyId], SweepStudyConfig[NFixedB])</f>
        <v>#VALUE!</v>
      </c>
      <c r="K911" s="3" t="e">
        <f>LOOKUP(C911, SweepStudyConfig[StudyId], SweepStudyConfig[SweepRateA])</f>
        <v>#VALUE!</v>
      </c>
      <c r="L911" s="3" t="e">
        <f>LOOKUP(C911, SweepStudyConfig[StudyId], SweepStudyConfig[SweepRateB])</f>
        <v>#VALUE!</v>
      </c>
      <c r="M911" s="3" t="e">
        <f>LOOKUP(C911, SweepStudyConfig[StudyId], SweepStudyConfig[FixedRateA])</f>
        <v>#VALUE!</v>
      </c>
      <c r="N911" s="3" t="e">
        <f>LOOKUP(C911, SweepStudyConfig[StudyId], SweepStudyConfig[FixedRateB])</f>
        <v>#VALUE!</v>
      </c>
      <c r="O911" s="3" t="e">
        <f>IF(G911 + I911 = 0, "", (G911 * K911 + I911 * M911) / (G911 + I911))</f>
        <v>#VALUE!</v>
      </c>
      <c r="P911" s="3" t="e">
        <f>IF(H911 + J911 = 0, "", (H911 * L911 + J911 * N911) / (H911 + J911))</f>
        <v>#VALUE!</v>
      </c>
      <c r="Q911" s="3" t="e">
        <f>IF(O911 = "", "", O911 - P911)</f>
        <v>#VALUE!</v>
      </c>
      <c r="R911" s="3" t="e">
        <f>LOOKUP(C911, SweepStudyConfig[StudyId], SweepStudyConfig[SweepCorrectedGap])</f>
        <v>#VALUE!</v>
      </c>
      <c r="S911" s="3" t="e">
        <f>IF(Q911 = "", "", Q911 - R911)</f>
        <v>#VALUE!</v>
      </c>
    </row>
    <row r="912">
      <c r="A912" s="2" t="s">
        <v>4200</v>
      </c>
      <c r="B912" s="3" t="str">
        <f>A912</f>
        <v>costa-rica-us-life-expectancy-f005</v>
      </c>
      <c r="C912" s="2" t="s">
        <v>766</v>
      </c>
      <c r="D912" s="2">
        <v>0.05</v>
      </c>
      <c r="E912" s="3" t="e">
        <f>ABS(D912 - LOOKUP(C912, SweepStudyConfig[StudyId], SweepStudyConfig[OriginalAllocFractionA])) &lt; 0.03</f>
        <v>#VALUE!</v>
      </c>
      <c r="F912" s="3" t="e">
        <f>LOOKUP(C912, SweepStudyConfig[StudyId], SweepStudyConfig[NSweepStratumTotal])</f>
        <v>#VALUE!</v>
      </c>
      <c r="G912" s="3" t="e">
        <f>ROUND(F912 * D912)</f>
        <v>#VALUE!</v>
      </c>
      <c r="H912" s="3" t="e">
        <f>F912 - G912</f>
        <v>#VALUE!</v>
      </c>
      <c r="I912" s="3" t="e">
        <f>LOOKUP(C912, SweepStudyConfig[StudyId], SweepStudyConfig[NFixedA])</f>
        <v>#VALUE!</v>
      </c>
      <c r="J912" s="3" t="e">
        <f>LOOKUP(C912, SweepStudyConfig[StudyId], SweepStudyConfig[NFixedB])</f>
        <v>#VALUE!</v>
      </c>
      <c r="K912" s="3" t="e">
        <f>LOOKUP(C912, SweepStudyConfig[StudyId], SweepStudyConfig[SweepRateA])</f>
        <v>#VALUE!</v>
      </c>
      <c r="L912" s="3" t="e">
        <f>LOOKUP(C912, SweepStudyConfig[StudyId], SweepStudyConfig[SweepRateB])</f>
        <v>#VALUE!</v>
      </c>
      <c r="M912" s="3" t="e">
        <f>LOOKUP(C912, SweepStudyConfig[StudyId], SweepStudyConfig[FixedRateA])</f>
        <v>#VALUE!</v>
      </c>
      <c r="N912" s="3" t="e">
        <f>LOOKUP(C912, SweepStudyConfig[StudyId], SweepStudyConfig[FixedRateB])</f>
        <v>#VALUE!</v>
      </c>
      <c r="O912" s="3" t="e">
        <f>IF(G912 + I912 = 0, "", (G912 * K912 + I912 * M912) / (G912 + I912))</f>
        <v>#VALUE!</v>
      </c>
      <c r="P912" s="3" t="e">
        <f>IF(H912 + J912 = 0, "", (H912 * L912 + J912 * N912) / (H912 + J912))</f>
        <v>#VALUE!</v>
      </c>
      <c r="Q912" s="3" t="e">
        <f>IF(O912 = "", "", O912 - P912)</f>
        <v>#VALUE!</v>
      </c>
      <c r="R912" s="3" t="e">
        <f>LOOKUP(C912, SweepStudyConfig[StudyId], SweepStudyConfig[SweepCorrectedGap])</f>
        <v>#VALUE!</v>
      </c>
      <c r="S912" s="3" t="e">
        <f>IF(Q912 = "", "", Q912 - R912)</f>
        <v>#VALUE!</v>
      </c>
    </row>
    <row r="913">
      <c r="A913" s="2" t="s">
        <v>4201</v>
      </c>
      <c r="B913" s="3" t="str">
        <f>A913</f>
        <v>costa-rica-us-life-expectancy-f015</v>
      </c>
      <c r="C913" s="2" t="s">
        <v>766</v>
      </c>
      <c r="D913" s="2">
        <v>0.15</v>
      </c>
      <c r="E913" s="3" t="e">
        <f>ABS(D913 - LOOKUP(C913, SweepStudyConfig[StudyId], SweepStudyConfig[OriginalAllocFractionA])) &lt; 0.03</f>
        <v>#VALUE!</v>
      </c>
      <c r="F913" s="3" t="e">
        <f>LOOKUP(C913, SweepStudyConfig[StudyId], SweepStudyConfig[NSweepStratumTotal])</f>
        <v>#VALUE!</v>
      </c>
      <c r="G913" s="3" t="e">
        <f>ROUND(F913 * D913)</f>
        <v>#VALUE!</v>
      </c>
      <c r="H913" s="3" t="e">
        <f>F913 - G913</f>
        <v>#VALUE!</v>
      </c>
      <c r="I913" s="3" t="e">
        <f>LOOKUP(C913, SweepStudyConfig[StudyId], SweepStudyConfig[NFixedA])</f>
        <v>#VALUE!</v>
      </c>
      <c r="J913" s="3" t="e">
        <f>LOOKUP(C913, SweepStudyConfig[StudyId], SweepStudyConfig[NFixedB])</f>
        <v>#VALUE!</v>
      </c>
      <c r="K913" s="3" t="e">
        <f>LOOKUP(C913, SweepStudyConfig[StudyId], SweepStudyConfig[SweepRateA])</f>
        <v>#VALUE!</v>
      </c>
      <c r="L913" s="3" t="e">
        <f>LOOKUP(C913, SweepStudyConfig[StudyId], SweepStudyConfig[SweepRateB])</f>
        <v>#VALUE!</v>
      </c>
      <c r="M913" s="3" t="e">
        <f>LOOKUP(C913, SweepStudyConfig[StudyId], SweepStudyConfig[FixedRateA])</f>
        <v>#VALUE!</v>
      </c>
      <c r="N913" s="3" t="e">
        <f>LOOKUP(C913, SweepStudyConfig[StudyId], SweepStudyConfig[FixedRateB])</f>
        <v>#VALUE!</v>
      </c>
      <c r="O913" s="3" t="e">
        <f>IF(G913 + I913 = 0, "", (G913 * K913 + I913 * M913) / (G913 + I913))</f>
        <v>#VALUE!</v>
      </c>
      <c r="P913" s="3" t="e">
        <f>IF(H913 + J913 = 0, "", (H913 * L913 + J913 * N913) / (H913 + J913))</f>
        <v>#VALUE!</v>
      </c>
      <c r="Q913" s="3" t="e">
        <f>IF(O913 = "", "", O913 - P913)</f>
        <v>#VALUE!</v>
      </c>
      <c r="R913" s="3" t="e">
        <f>LOOKUP(C913, SweepStudyConfig[StudyId], SweepStudyConfig[SweepCorrectedGap])</f>
        <v>#VALUE!</v>
      </c>
      <c r="S913" s="3" t="e">
        <f>IF(Q913 = "", "", Q913 - R913)</f>
        <v>#VALUE!</v>
      </c>
    </row>
    <row r="914">
      <c r="A914" s="2" t="s">
        <v>4202</v>
      </c>
      <c r="B914" s="3" t="str">
        <f>A914</f>
        <v>costa-rica-us-life-expectancy-f025</v>
      </c>
      <c r="C914" s="2" t="s">
        <v>766</v>
      </c>
      <c r="D914" s="2">
        <v>0.25</v>
      </c>
      <c r="E914" s="3" t="e">
        <f>ABS(D914 - LOOKUP(C914, SweepStudyConfig[StudyId], SweepStudyConfig[OriginalAllocFractionA])) &lt; 0.03</f>
        <v>#VALUE!</v>
      </c>
      <c r="F914" s="3" t="e">
        <f>LOOKUP(C914, SweepStudyConfig[StudyId], SweepStudyConfig[NSweepStratumTotal])</f>
        <v>#VALUE!</v>
      </c>
      <c r="G914" s="3" t="e">
        <f>ROUND(F914 * D914)</f>
        <v>#VALUE!</v>
      </c>
      <c r="H914" s="3" t="e">
        <f>F914 - G914</f>
        <v>#VALUE!</v>
      </c>
      <c r="I914" s="3" t="e">
        <f>LOOKUP(C914, SweepStudyConfig[StudyId], SweepStudyConfig[NFixedA])</f>
        <v>#VALUE!</v>
      </c>
      <c r="J914" s="3" t="e">
        <f>LOOKUP(C914, SweepStudyConfig[StudyId], SweepStudyConfig[NFixedB])</f>
        <v>#VALUE!</v>
      </c>
      <c r="K914" s="3" t="e">
        <f>LOOKUP(C914, SweepStudyConfig[StudyId], SweepStudyConfig[SweepRateA])</f>
        <v>#VALUE!</v>
      </c>
      <c r="L914" s="3" t="e">
        <f>LOOKUP(C914, SweepStudyConfig[StudyId], SweepStudyConfig[SweepRateB])</f>
        <v>#VALUE!</v>
      </c>
      <c r="M914" s="3" t="e">
        <f>LOOKUP(C914, SweepStudyConfig[StudyId], SweepStudyConfig[FixedRateA])</f>
        <v>#VALUE!</v>
      </c>
      <c r="N914" s="3" t="e">
        <f>LOOKUP(C914, SweepStudyConfig[StudyId], SweepStudyConfig[FixedRateB])</f>
        <v>#VALUE!</v>
      </c>
      <c r="O914" s="3" t="e">
        <f>IF(G914 + I914 = 0, "", (G914 * K914 + I914 * M914) / (G914 + I914))</f>
        <v>#VALUE!</v>
      </c>
      <c r="P914" s="3" t="e">
        <f>IF(H914 + J914 = 0, "", (H914 * L914 + J914 * N914) / (H914 + J914))</f>
        <v>#VALUE!</v>
      </c>
      <c r="Q914" s="3" t="e">
        <f>IF(O914 = "", "", O914 - P914)</f>
        <v>#VALUE!</v>
      </c>
      <c r="R914" s="3" t="e">
        <f>LOOKUP(C914, SweepStudyConfig[StudyId], SweepStudyConfig[SweepCorrectedGap])</f>
        <v>#VALUE!</v>
      </c>
      <c r="S914" s="3" t="e">
        <f>IF(Q914 = "", "", Q914 - R914)</f>
        <v>#VALUE!</v>
      </c>
    </row>
    <row r="915">
      <c r="A915" s="2" t="s">
        <v>4203</v>
      </c>
      <c r="B915" s="3" t="str">
        <f>A915</f>
        <v>costa-rica-us-life-expectancy-f035</v>
      </c>
      <c r="C915" s="2" t="s">
        <v>766</v>
      </c>
      <c r="D915" s="2">
        <v>0.35</v>
      </c>
      <c r="E915" s="3" t="e">
        <f>ABS(D915 - LOOKUP(C915, SweepStudyConfig[StudyId], SweepStudyConfig[OriginalAllocFractionA])) &lt; 0.03</f>
        <v>#VALUE!</v>
      </c>
      <c r="F915" s="3" t="e">
        <f>LOOKUP(C915, SweepStudyConfig[StudyId], SweepStudyConfig[NSweepStratumTotal])</f>
        <v>#VALUE!</v>
      </c>
      <c r="G915" s="3" t="e">
        <f>ROUND(F915 * D915)</f>
        <v>#VALUE!</v>
      </c>
      <c r="H915" s="3" t="e">
        <f>F915 - G915</f>
        <v>#VALUE!</v>
      </c>
      <c r="I915" s="3" t="e">
        <f>LOOKUP(C915, SweepStudyConfig[StudyId], SweepStudyConfig[NFixedA])</f>
        <v>#VALUE!</v>
      </c>
      <c r="J915" s="3" t="e">
        <f>LOOKUP(C915, SweepStudyConfig[StudyId], SweepStudyConfig[NFixedB])</f>
        <v>#VALUE!</v>
      </c>
      <c r="K915" s="3" t="e">
        <f>LOOKUP(C915, SweepStudyConfig[StudyId], SweepStudyConfig[SweepRateA])</f>
        <v>#VALUE!</v>
      </c>
      <c r="L915" s="3" t="e">
        <f>LOOKUP(C915, SweepStudyConfig[StudyId], SweepStudyConfig[SweepRateB])</f>
        <v>#VALUE!</v>
      </c>
      <c r="M915" s="3" t="e">
        <f>LOOKUP(C915, SweepStudyConfig[StudyId], SweepStudyConfig[FixedRateA])</f>
        <v>#VALUE!</v>
      </c>
      <c r="N915" s="3" t="e">
        <f>LOOKUP(C915, SweepStudyConfig[StudyId], SweepStudyConfig[FixedRateB])</f>
        <v>#VALUE!</v>
      </c>
      <c r="O915" s="3" t="e">
        <f>IF(G915 + I915 = 0, "", (G915 * K915 + I915 * M915) / (G915 + I915))</f>
        <v>#VALUE!</v>
      </c>
      <c r="P915" s="3" t="e">
        <f>IF(H915 + J915 = 0, "", (H915 * L915 + J915 * N915) / (H915 + J915))</f>
        <v>#VALUE!</v>
      </c>
      <c r="Q915" s="3" t="e">
        <f>IF(O915 = "", "", O915 - P915)</f>
        <v>#VALUE!</v>
      </c>
      <c r="R915" s="3" t="e">
        <f>LOOKUP(C915, SweepStudyConfig[StudyId], SweepStudyConfig[SweepCorrectedGap])</f>
        <v>#VALUE!</v>
      </c>
      <c r="S915" s="3" t="e">
        <f>IF(Q915 = "", "", Q915 - R915)</f>
        <v>#VALUE!</v>
      </c>
    </row>
    <row r="916">
      <c r="A916" s="2" t="s">
        <v>4204</v>
      </c>
      <c r="B916" s="3" t="str">
        <f>A916</f>
        <v>costa-rica-us-life-expectancy-f045</v>
      </c>
      <c r="C916" s="2" t="s">
        <v>766</v>
      </c>
      <c r="D916" s="2">
        <v>0.45</v>
      </c>
      <c r="E916" s="3" t="e">
        <f>ABS(D916 - LOOKUP(C916, SweepStudyConfig[StudyId], SweepStudyConfig[OriginalAllocFractionA])) &lt; 0.03</f>
        <v>#VALUE!</v>
      </c>
      <c r="F916" s="3" t="e">
        <f>LOOKUP(C916, SweepStudyConfig[StudyId], SweepStudyConfig[NSweepStratumTotal])</f>
        <v>#VALUE!</v>
      </c>
      <c r="G916" s="3" t="e">
        <f>ROUND(F916 * D916)</f>
        <v>#VALUE!</v>
      </c>
      <c r="H916" s="3" t="e">
        <f>F916 - G916</f>
        <v>#VALUE!</v>
      </c>
      <c r="I916" s="3" t="e">
        <f>LOOKUP(C916, SweepStudyConfig[StudyId], SweepStudyConfig[NFixedA])</f>
        <v>#VALUE!</v>
      </c>
      <c r="J916" s="3" t="e">
        <f>LOOKUP(C916, SweepStudyConfig[StudyId], SweepStudyConfig[NFixedB])</f>
        <v>#VALUE!</v>
      </c>
      <c r="K916" s="3" t="e">
        <f>LOOKUP(C916, SweepStudyConfig[StudyId], SweepStudyConfig[SweepRateA])</f>
        <v>#VALUE!</v>
      </c>
      <c r="L916" s="3" t="e">
        <f>LOOKUP(C916, SweepStudyConfig[StudyId], SweepStudyConfig[SweepRateB])</f>
        <v>#VALUE!</v>
      </c>
      <c r="M916" s="3" t="e">
        <f>LOOKUP(C916, SweepStudyConfig[StudyId], SweepStudyConfig[FixedRateA])</f>
        <v>#VALUE!</v>
      </c>
      <c r="N916" s="3" t="e">
        <f>LOOKUP(C916, SweepStudyConfig[StudyId], SweepStudyConfig[FixedRateB])</f>
        <v>#VALUE!</v>
      </c>
      <c r="O916" s="3" t="e">
        <f>IF(G916 + I916 = 0, "", (G916 * K916 + I916 * M916) / (G916 + I916))</f>
        <v>#VALUE!</v>
      </c>
      <c r="P916" s="3" t="e">
        <f>IF(H916 + J916 = 0, "", (H916 * L916 + J916 * N916) / (H916 + J916))</f>
        <v>#VALUE!</v>
      </c>
      <c r="Q916" s="3" t="e">
        <f>IF(O916 = "", "", O916 - P916)</f>
        <v>#VALUE!</v>
      </c>
      <c r="R916" s="3" t="e">
        <f>LOOKUP(C916, SweepStudyConfig[StudyId], SweepStudyConfig[SweepCorrectedGap])</f>
        <v>#VALUE!</v>
      </c>
      <c r="S916" s="3" t="e">
        <f>IF(Q916 = "", "", Q916 - R916)</f>
        <v>#VALUE!</v>
      </c>
    </row>
    <row r="917">
      <c r="A917" s="2" t="s">
        <v>4205</v>
      </c>
      <c r="B917" s="3" t="str">
        <f>A917</f>
        <v>costa-rica-us-life-expectancy-f055</v>
      </c>
      <c r="C917" s="2" t="s">
        <v>766</v>
      </c>
      <c r="D917" s="2">
        <v>0.55</v>
      </c>
      <c r="E917" s="3" t="e">
        <f>ABS(D917 - LOOKUP(C917, SweepStudyConfig[StudyId], SweepStudyConfig[OriginalAllocFractionA])) &lt; 0.03</f>
        <v>#VALUE!</v>
      </c>
      <c r="F917" s="3" t="e">
        <f>LOOKUP(C917, SweepStudyConfig[StudyId], SweepStudyConfig[NSweepStratumTotal])</f>
        <v>#VALUE!</v>
      </c>
      <c r="G917" s="3" t="e">
        <f>ROUND(F917 * D917)</f>
        <v>#VALUE!</v>
      </c>
      <c r="H917" s="3" t="e">
        <f>F917 - G917</f>
        <v>#VALUE!</v>
      </c>
      <c r="I917" s="3" t="e">
        <f>LOOKUP(C917, SweepStudyConfig[StudyId], SweepStudyConfig[NFixedA])</f>
        <v>#VALUE!</v>
      </c>
      <c r="J917" s="3" t="e">
        <f>LOOKUP(C917, SweepStudyConfig[StudyId], SweepStudyConfig[NFixedB])</f>
        <v>#VALUE!</v>
      </c>
      <c r="K917" s="3" t="e">
        <f>LOOKUP(C917, SweepStudyConfig[StudyId], SweepStudyConfig[SweepRateA])</f>
        <v>#VALUE!</v>
      </c>
      <c r="L917" s="3" t="e">
        <f>LOOKUP(C917, SweepStudyConfig[StudyId], SweepStudyConfig[SweepRateB])</f>
        <v>#VALUE!</v>
      </c>
      <c r="M917" s="3" t="e">
        <f>LOOKUP(C917, SweepStudyConfig[StudyId], SweepStudyConfig[FixedRateA])</f>
        <v>#VALUE!</v>
      </c>
      <c r="N917" s="3" t="e">
        <f>LOOKUP(C917, SweepStudyConfig[StudyId], SweepStudyConfig[FixedRateB])</f>
        <v>#VALUE!</v>
      </c>
      <c r="O917" s="3" t="e">
        <f>IF(G917 + I917 = 0, "", (G917 * K917 + I917 * M917) / (G917 + I917))</f>
        <v>#VALUE!</v>
      </c>
      <c r="P917" s="3" t="e">
        <f>IF(H917 + J917 = 0, "", (H917 * L917 + J917 * N917) / (H917 + J917))</f>
        <v>#VALUE!</v>
      </c>
      <c r="Q917" s="3" t="e">
        <f>IF(O917 = "", "", O917 - P917)</f>
        <v>#VALUE!</v>
      </c>
      <c r="R917" s="3" t="e">
        <f>LOOKUP(C917, SweepStudyConfig[StudyId], SweepStudyConfig[SweepCorrectedGap])</f>
        <v>#VALUE!</v>
      </c>
      <c r="S917" s="3" t="e">
        <f>IF(Q917 = "", "", Q917 - R917)</f>
        <v>#VALUE!</v>
      </c>
    </row>
    <row r="918">
      <c r="A918" s="2" t="s">
        <v>4206</v>
      </c>
      <c r="B918" s="3" t="str">
        <f>A918</f>
        <v>costa-rica-us-life-expectancy-f065</v>
      </c>
      <c r="C918" s="2" t="s">
        <v>766</v>
      </c>
      <c r="D918" s="2">
        <v>0.65</v>
      </c>
      <c r="E918" s="3" t="e">
        <f>ABS(D918 - LOOKUP(C918, SweepStudyConfig[StudyId], SweepStudyConfig[OriginalAllocFractionA])) &lt; 0.03</f>
        <v>#VALUE!</v>
      </c>
      <c r="F918" s="3" t="e">
        <f>LOOKUP(C918, SweepStudyConfig[StudyId], SweepStudyConfig[NSweepStratumTotal])</f>
        <v>#VALUE!</v>
      </c>
      <c r="G918" s="3" t="e">
        <f>ROUND(F918 * D918)</f>
        <v>#VALUE!</v>
      </c>
      <c r="H918" s="3" t="e">
        <f>F918 - G918</f>
        <v>#VALUE!</v>
      </c>
      <c r="I918" s="3" t="e">
        <f>LOOKUP(C918, SweepStudyConfig[StudyId], SweepStudyConfig[NFixedA])</f>
        <v>#VALUE!</v>
      </c>
      <c r="J918" s="3" t="e">
        <f>LOOKUP(C918, SweepStudyConfig[StudyId], SweepStudyConfig[NFixedB])</f>
        <v>#VALUE!</v>
      </c>
      <c r="K918" s="3" t="e">
        <f>LOOKUP(C918, SweepStudyConfig[StudyId], SweepStudyConfig[SweepRateA])</f>
        <v>#VALUE!</v>
      </c>
      <c r="L918" s="3" t="e">
        <f>LOOKUP(C918, SweepStudyConfig[StudyId], SweepStudyConfig[SweepRateB])</f>
        <v>#VALUE!</v>
      </c>
      <c r="M918" s="3" t="e">
        <f>LOOKUP(C918, SweepStudyConfig[StudyId], SweepStudyConfig[FixedRateA])</f>
        <v>#VALUE!</v>
      </c>
      <c r="N918" s="3" t="e">
        <f>LOOKUP(C918, SweepStudyConfig[StudyId], SweepStudyConfig[FixedRateB])</f>
        <v>#VALUE!</v>
      </c>
      <c r="O918" s="3" t="e">
        <f>IF(G918 + I918 = 0, "", (G918 * K918 + I918 * M918) / (G918 + I918))</f>
        <v>#VALUE!</v>
      </c>
      <c r="P918" s="3" t="e">
        <f>IF(H918 + J918 = 0, "", (H918 * L918 + J918 * N918) / (H918 + J918))</f>
        <v>#VALUE!</v>
      </c>
      <c r="Q918" s="3" t="e">
        <f>IF(O918 = "", "", O918 - P918)</f>
        <v>#VALUE!</v>
      </c>
      <c r="R918" s="3" t="e">
        <f>LOOKUP(C918, SweepStudyConfig[StudyId], SweepStudyConfig[SweepCorrectedGap])</f>
        <v>#VALUE!</v>
      </c>
      <c r="S918" s="3" t="e">
        <f>IF(Q918 = "", "", Q918 - R918)</f>
        <v>#VALUE!</v>
      </c>
    </row>
    <row r="919">
      <c r="A919" s="2" t="s">
        <v>4207</v>
      </c>
      <c r="B919" s="3" t="str">
        <f>A919</f>
        <v>costa-rica-us-life-expectancy-f075</v>
      </c>
      <c r="C919" s="2" t="s">
        <v>766</v>
      </c>
      <c r="D919" s="2">
        <v>0.75</v>
      </c>
      <c r="E919" s="3" t="e">
        <f>ABS(D919 - LOOKUP(C919, SweepStudyConfig[StudyId], SweepStudyConfig[OriginalAllocFractionA])) &lt; 0.03</f>
        <v>#VALUE!</v>
      </c>
      <c r="F919" s="3" t="e">
        <f>LOOKUP(C919, SweepStudyConfig[StudyId], SweepStudyConfig[NSweepStratumTotal])</f>
        <v>#VALUE!</v>
      </c>
      <c r="G919" s="3" t="e">
        <f>ROUND(F919 * D919)</f>
        <v>#VALUE!</v>
      </c>
      <c r="H919" s="3" t="e">
        <f>F919 - G919</f>
        <v>#VALUE!</v>
      </c>
      <c r="I919" s="3" t="e">
        <f>LOOKUP(C919, SweepStudyConfig[StudyId], SweepStudyConfig[NFixedA])</f>
        <v>#VALUE!</v>
      </c>
      <c r="J919" s="3" t="e">
        <f>LOOKUP(C919, SweepStudyConfig[StudyId], SweepStudyConfig[NFixedB])</f>
        <v>#VALUE!</v>
      </c>
      <c r="K919" s="3" t="e">
        <f>LOOKUP(C919, SweepStudyConfig[StudyId], SweepStudyConfig[SweepRateA])</f>
        <v>#VALUE!</v>
      </c>
      <c r="L919" s="3" t="e">
        <f>LOOKUP(C919, SweepStudyConfig[StudyId], SweepStudyConfig[SweepRateB])</f>
        <v>#VALUE!</v>
      </c>
      <c r="M919" s="3" t="e">
        <f>LOOKUP(C919, SweepStudyConfig[StudyId], SweepStudyConfig[FixedRateA])</f>
        <v>#VALUE!</v>
      </c>
      <c r="N919" s="3" t="e">
        <f>LOOKUP(C919, SweepStudyConfig[StudyId], SweepStudyConfig[FixedRateB])</f>
        <v>#VALUE!</v>
      </c>
      <c r="O919" s="3" t="e">
        <f>IF(G919 + I919 = 0, "", (G919 * K919 + I919 * M919) / (G919 + I919))</f>
        <v>#VALUE!</v>
      </c>
      <c r="P919" s="3" t="e">
        <f>IF(H919 + J919 = 0, "", (H919 * L919 + J919 * N919) / (H919 + J919))</f>
        <v>#VALUE!</v>
      </c>
      <c r="Q919" s="3" t="e">
        <f>IF(O919 = "", "", O919 - P919)</f>
        <v>#VALUE!</v>
      </c>
      <c r="R919" s="3" t="e">
        <f>LOOKUP(C919, SweepStudyConfig[StudyId], SweepStudyConfig[SweepCorrectedGap])</f>
        <v>#VALUE!</v>
      </c>
      <c r="S919" s="3" t="e">
        <f>IF(Q919 = "", "", Q919 - R919)</f>
        <v>#VALUE!</v>
      </c>
    </row>
    <row r="920">
      <c r="A920" s="2" t="s">
        <v>4208</v>
      </c>
      <c r="B920" s="3" t="str">
        <f>A920</f>
        <v>costa-rica-us-life-expectancy-f085</v>
      </c>
      <c r="C920" s="2" t="s">
        <v>766</v>
      </c>
      <c r="D920" s="2">
        <v>0.85</v>
      </c>
      <c r="E920" s="3" t="e">
        <f>ABS(D920 - LOOKUP(C920, SweepStudyConfig[StudyId], SweepStudyConfig[OriginalAllocFractionA])) &lt; 0.03</f>
        <v>#VALUE!</v>
      </c>
      <c r="F920" s="3" t="e">
        <f>LOOKUP(C920, SweepStudyConfig[StudyId], SweepStudyConfig[NSweepStratumTotal])</f>
        <v>#VALUE!</v>
      </c>
      <c r="G920" s="3" t="e">
        <f>ROUND(F920 * D920)</f>
        <v>#VALUE!</v>
      </c>
      <c r="H920" s="3" t="e">
        <f>F920 - G920</f>
        <v>#VALUE!</v>
      </c>
      <c r="I920" s="3" t="e">
        <f>LOOKUP(C920, SweepStudyConfig[StudyId], SweepStudyConfig[NFixedA])</f>
        <v>#VALUE!</v>
      </c>
      <c r="J920" s="3" t="e">
        <f>LOOKUP(C920, SweepStudyConfig[StudyId], SweepStudyConfig[NFixedB])</f>
        <v>#VALUE!</v>
      </c>
      <c r="K920" s="3" t="e">
        <f>LOOKUP(C920, SweepStudyConfig[StudyId], SweepStudyConfig[SweepRateA])</f>
        <v>#VALUE!</v>
      </c>
      <c r="L920" s="3" t="e">
        <f>LOOKUP(C920, SweepStudyConfig[StudyId], SweepStudyConfig[SweepRateB])</f>
        <v>#VALUE!</v>
      </c>
      <c r="M920" s="3" t="e">
        <f>LOOKUP(C920, SweepStudyConfig[StudyId], SweepStudyConfig[FixedRateA])</f>
        <v>#VALUE!</v>
      </c>
      <c r="N920" s="3" t="e">
        <f>LOOKUP(C920, SweepStudyConfig[StudyId], SweepStudyConfig[FixedRateB])</f>
        <v>#VALUE!</v>
      </c>
      <c r="O920" s="3" t="e">
        <f>IF(G920 + I920 = 0, "", (G920 * K920 + I920 * M920) / (G920 + I920))</f>
        <v>#VALUE!</v>
      </c>
      <c r="P920" s="3" t="e">
        <f>IF(H920 + J920 = 0, "", (H920 * L920 + J920 * N920) / (H920 + J920))</f>
        <v>#VALUE!</v>
      </c>
      <c r="Q920" s="3" t="e">
        <f>IF(O920 = "", "", O920 - P920)</f>
        <v>#VALUE!</v>
      </c>
      <c r="R920" s="3" t="e">
        <f>LOOKUP(C920, SweepStudyConfig[StudyId], SweepStudyConfig[SweepCorrectedGap])</f>
        <v>#VALUE!</v>
      </c>
      <c r="S920" s="3" t="e">
        <f>IF(Q920 = "", "", Q920 - R920)</f>
        <v>#VALUE!</v>
      </c>
    </row>
    <row r="921">
      <c r="A921" s="2" t="s">
        <v>4209</v>
      </c>
      <c r="B921" s="3" t="str">
        <f>A921</f>
        <v>costa-rica-us-life-expectancy-f095</v>
      </c>
      <c r="C921" s="2" t="s">
        <v>766</v>
      </c>
      <c r="D921" s="2">
        <v>0.95</v>
      </c>
      <c r="E921" s="3" t="e">
        <f>ABS(D921 - LOOKUP(C921, SweepStudyConfig[StudyId], SweepStudyConfig[OriginalAllocFractionA])) &lt; 0.03</f>
        <v>#VALUE!</v>
      </c>
      <c r="F921" s="3" t="e">
        <f>LOOKUP(C921, SweepStudyConfig[StudyId], SweepStudyConfig[NSweepStratumTotal])</f>
        <v>#VALUE!</v>
      </c>
      <c r="G921" s="3" t="e">
        <f>ROUND(F921 * D921)</f>
        <v>#VALUE!</v>
      </c>
      <c r="H921" s="3" t="e">
        <f>F921 - G921</f>
        <v>#VALUE!</v>
      </c>
      <c r="I921" s="3" t="e">
        <f>LOOKUP(C921, SweepStudyConfig[StudyId], SweepStudyConfig[NFixedA])</f>
        <v>#VALUE!</v>
      </c>
      <c r="J921" s="3" t="e">
        <f>LOOKUP(C921, SweepStudyConfig[StudyId], SweepStudyConfig[NFixedB])</f>
        <v>#VALUE!</v>
      </c>
      <c r="K921" s="3" t="e">
        <f>LOOKUP(C921, SweepStudyConfig[StudyId], SweepStudyConfig[SweepRateA])</f>
        <v>#VALUE!</v>
      </c>
      <c r="L921" s="3" t="e">
        <f>LOOKUP(C921, SweepStudyConfig[StudyId], SweepStudyConfig[SweepRateB])</f>
        <v>#VALUE!</v>
      </c>
      <c r="M921" s="3" t="e">
        <f>LOOKUP(C921, SweepStudyConfig[StudyId], SweepStudyConfig[FixedRateA])</f>
        <v>#VALUE!</v>
      </c>
      <c r="N921" s="3" t="e">
        <f>LOOKUP(C921, SweepStudyConfig[StudyId], SweepStudyConfig[FixedRateB])</f>
        <v>#VALUE!</v>
      </c>
      <c r="O921" s="3" t="e">
        <f>IF(G921 + I921 = 0, "", (G921 * K921 + I921 * M921) / (G921 + I921))</f>
        <v>#VALUE!</v>
      </c>
      <c r="P921" s="3" t="e">
        <f>IF(H921 + J921 = 0, "", (H921 * L921 + J921 * N921) / (H921 + J921))</f>
        <v>#VALUE!</v>
      </c>
      <c r="Q921" s="3" t="e">
        <f>IF(O921 = "", "", O921 - P921)</f>
        <v>#VALUE!</v>
      </c>
      <c r="R921" s="3" t="e">
        <f>LOOKUP(C921, SweepStudyConfig[StudyId], SweepStudyConfig[SweepCorrectedGap])</f>
        <v>#VALUE!</v>
      </c>
      <c r="S921" s="3" t="e">
        <f>IF(Q921 = "", "", Q921 - R921)</f>
        <v>#VALUE!</v>
      </c>
    </row>
    <row r="922">
      <c r="A922" s="2" t="s">
        <v>4210</v>
      </c>
      <c r="B922" s="3" t="str">
        <f>A922</f>
        <v>fertility-income-country-f005</v>
      </c>
      <c r="C922" s="2" t="s">
        <v>770</v>
      </c>
      <c r="D922" s="2">
        <v>0.05</v>
      </c>
      <c r="E922" s="3" t="e">
        <f>ABS(D922 - LOOKUP(C922, SweepStudyConfig[StudyId], SweepStudyConfig[OriginalAllocFractionA])) &lt; 0.03</f>
        <v>#VALUE!</v>
      </c>
      <c r="F922" s="3" t="e">
        <f>LOOKUP(C922, SweepStudyConfig[StudyId], SweepStudyConfig[NSweepStratumTotal])</f>
        <v>#VALUE!</v>
      </c>
      <c r="G922" s="3" t="e">
        <f>ROUND(F922 * D922)</f>
        <v>#VALUE!</v>
      </c>
      <c r="H922" s="3" t="e">
        <f>F922 - G922</f>
        <v>#VALUE!</v>
      </c>
      <c r="I922" s="3" t="e">
        <f>LOOKUP(C922, SweepStudyConfig[StudyId], SweepStudyConfig[NFixedA])</f>
        <v>#VALUE!</v>
      </c>
      <c r="J922" s="3" t="e">
        <f>LOOKUP(C922, SweepStudyConfig[StudyId], SweepStudyConfig[NFixedB])</f>
        <v>#VALUE!</v>
      </c>
      <c r="K922" s="3" t="e">
        <f>LOOKUP(C922, SweepStudyConfig[StudyId], SweepStudyConfig[SweepRateA])</f>
        <v>#VALUE!</v>
      </c>
      <c r="L922" s="3" t="e">
        <f>LOOKUP(C922, SweepStudyConfig[StudyId], SweepStudyConfig[SweepRateB])</f>
        <v>#VALUE!</v>
      </c>
      <c r="M922" s="3" t="e">
        <f>LOOKUP(C922, SweepStudyConfig[StudyId], SweepStudyConfig[FixedRateA])</f>
        <v>#VALUE!</v>
      </c>
      <c r="N922" s="3" t="e">
        <f>LOOKUP(C922, SweepStudyConfig[StudyId], SweepStudyConfig[FixedRateB])</f>
        <v>#VALUE!</v>
      </c>
      <c r="O922" s="3" t="e">
        <f>IF(G922 + I922 = 0, "", (G922 * K922 + I922 * M922) / (G922 + I922))</f>
        <v>#VALUE!</v>
      </c>
      <c r="P922" s="3" t="e">
        <f>IF(H922 + J922 = 0, "", (H922 * L922 + J922 * N922) / (H922 + J922))</f>
        <v>#VALUE!</v>
      </c>
      <c r="Q922" s="3" t="e">
        <f>IF(O922 = "", "", O922 - P922)</f>
        <v>#VALUE!</v>
      </c>
      <c r="R922" s="3" t="e">
        <f>LOOKUP(C922, SweepStudyConfig[StudyId], SweepStudyConfig[SweepCorrectedGap])</f>
        <v>#VALUE!</v>
      </c>
      <c r="S922" s="3" t="e">
        <f>IF(Q922 = "", "", Q922 - R922)</f>
        <v>#VALUE!</v>
      </c>
    </row>
    <row r="923">
      <c r="A923" s="2" t="s">
        <v>4211</v>
      </c>
      <c r="B923" s="3" t="str">
        <f>A923</f>
        <v>fertility-income-country-f015</v>
      </c>
      <c r="C923" s="2" t="s">
        <v>770</v>
      </c>
      <c r="D923" s="2">
        <v>0.15</v>
      </c>
      <c r="E923" s="3" t="e">
        <f>ABS(D923 - LOOKUP(C923, SweepStudyConfig[StudyId], SweepStudyConfig[OriginalAllocFractionA])) &lt; 0.03</f>
        <v>#VALUE!</v>
      </c>
      <c r="F923" s="3" t="e">
        <f>LOOKUP(C923, SweepStudyConfig[StudyId], SweepStudyConfig[NSweepStratumTotal])</f>
        <v>#VALUE!</v>
      </c>
      <c r="G923" s="3" t="e">
        <f>ROUND(F923 * D923)</f>
        <v>#VALUE!</v>
      </c>
      <c r="H923" s="3" t="e">
        <f>F923 - G923</f>
        <v>#VALUE!</v>
      </c>
      <c r="I923" s="3" t="e">
        <f>LOOKUP(C923, SweepStudyConfig[StudyId], SweepStudyConfig[NFixedA])</f>
        <v>#VALUE!</v>
      </c>
      <c r="J923" s="3" t="e">
        <f>LOOKUP(C923, SweepStudyConfig[StudyId], SweepStudyConfig[NFixedB])</f>
        <v>#VALUE!</v>
      </c>
      <c r="K923" s="3" t="e">
        <f>LOOKUP(C923, SweepStudyConfig[StudyId], SweepStudyConfig[SweepRateA])</f>
        <v>#VALUE!</v>
      </c>
      <c r="L923" s="3" t="e">
        <f>LOOKUP(C923, SweepStudyConfig[StudyId], SweepStudyConfig[SweepRateB])</f>
        <v>#VALUE!</v>
      </c>
      <c r="M923" s="3" t="e">
        <f>LOOKUP(C923, SweepStudyConfig[StudyId], SweepStudyConfig[FixedRateA])</f>
        <v>#VALUE!</v>
      </c>
      <c r="N923" s="3" t="e">
        <f>LOOKUP(C923, SweepStudyConfig[StudyId], SweepStudyConfig[FixedRateB])</f>
        <v>#VALUE!</v>
      </c>
      <c r="O923" s="3" t="e">
        <f>IF(G923 + I923 = 0, "", (G923 * K923 + I923 * M923) / (G923 + I923))</f>
        <v>#VALUE!</v>
      </c>
      <c r="P923" s="3" t="e">
        <f>IF(H923 + J923 = 0, "", (H923 * L923 + J923 * N923) / (H923 + J923))</f>
        <v>#VALUE!</v>
      </c>
      <c r="Q923" s="3" t="e">
        <f>IF(O923 = "", "", O923 - P923)</f>
        <v>#VALUE!</v>
      </c>
      <c r="R923" s="3" t="e">
        <f>LOOKUP(C923, SweepStudyConfig[StudyId], SweepStudyConfig[SweepCorrectedGap])</f>
        <v>#VALUE!</v>
      </c>
      <c r="S923" s="3" t="e">
        <f>IF(Q923 = "", "", Q923 - R923)</f>
        <v>#VALUE!</v>
      </c>
    </row>
    <row r="924">
      <c r="A924" s="2" t="s">
        <v>4212</v>
      </c>
      <c r="B924" s="3" t="str">
        <f>A924</f>
        <v>fertility-income-country-f025</v>
      </c>
      <c r="C924" s="2" t="s">
        <v>770</v>
      </c>
      <c r="D924" s="2">
        <v>0.25</v>
      </c>
      <c r="E924" s="3" t="e">
        <f>ABS(D924 - LOOKUP(C924, SweepStudyConfig[StudyId], SweepStudyConfig[OriginalAllocFractionA])) &lt; 0.03</f>
        <v>#VALUE!</v>
      </c>
      <c r="F924" s="3" t="e">
        <f>LOOKUP(C924, SweepStudyConfig[StudyId], SweepStudyConfig[NSweepStratumTotal])</f>
        <v>#VALUE!</v>
      </c>
      <c r="G924" s="3" t="e">
        <f>ROUND(F924 * D924)</f>
        <v>#VALUE!</v>
      </c>
      <c r="H924" s="3" t="e">
        <f>F924 - G924</f>
        <v>#VALUE!</v>
      </c>
      <c r="I924" s="3" t="e">
        <f>LOOKUP(C924, SweepStudyConfig[StudyId], SweepStudyConfig[NFixedA])</f>
        <v>#VALUE!</v>
      </c>
      <c r="J924" s="3" t="e">
        <f>LOOKUP(C924, SweepStudyConfig[StudyId], SweepStudyConfig[NFixedB])</f>
        <v>#VALUE!</v>
      </c>
      <c r="K924" s="3" t="e">
        <f>LOOKUP(C924, SweepStudyConfig[StudyId], SweepStudyConfig[SweepRateA])</f>
        <v>#VALUE!</v>
      </c>
      <c r="L924" s="3" t="e">
        <f>LOOKUP(C924, SweepStudyConfig[StudyId], SweepStudyConfig[SweepRateB])</f>
        <v>#VALUE!</v>
      </c>
      <c r="M924" s="3" t="e">
        <f>LOOKUP(C924, SweepStudyConfig[StudyId], SweepStudyConfig[FixedRateA])</f>
        <v>#VALUE!</v>
      </c>
      <c r="N924" s="3" t="e">
        <f>LOOKUP(C924, SweepStudyConfig[StudyId], SweepStudyConfig[FixedRateB])</f>
        <v>#VALUE!</v>
      </c>
      <c r="O924" s="3" t="e">
        <f>IF(G924 + I924 = 0, "", (G924 * K924 + I924 * M924) / (G924 + I924))</f>
        <v>#VALUE!</v>
      </c>
      <c r="P924" s="3" t="e">
        <f>IF(H924 + J924 = 0, "", (H924 * L924 + J924 * N924) / (H924 + J924))</f>
        <v>#VALUE!</v>
      </c>
      <c r="Q924" s="3" t="e">
        <f>IF(O924 = "", "", O924 - P924)</f>
        <v>#VALUE!</v>
      </c>
      <c r="R924" s="3" t="e">
        <f>LOOKUP(C924, SweepStudyConfig[StudyId], SweepStudyConfig[SweepCorrectedGap])</f>
        <v>#VALUE!</v>
      </c>
      <c r="S924" s="3" t="e">
        <f>IF(Q924 = "", "", Q924 - R924)</f>
        <v>#VALUE!</v>
      </c>
    </row>
    <row r="925">
      <c r="A925" s="2" t="s">
        <v>4213</v>
      </c>
      <c r="B925" s="3" t="str">
        <f>A925</f>
        <v>fertility-income-country-f035</v>
      </c>
      <c r="C925" s="2" t="s">
        <v>770</v>
      </c>
      <c r="D925" s="2">
        <v>0.35</v>
      </c>
      <c r="E925" s="3" t="e">
        <f>ABS(D925 - LOOKUP(C925, SweepStudyConfig[StudyId], SweepStudyConfig[OriginalAllocFractionA])) &lt; 0.03</f>
        <v>#VALUE!</v>
      </c>
      <c r="F925" s="3" t="e">
        <f>LOOKUP(C925, SweepStudyConfig[StudyId], SweepStudyConfig[NSweepStratumTotal])</f>
        <v>#VALUE!</v>
      </c>
      <c r="G925" s="3" t="e">
        <f>ROUND(F925 * D925)</f>
        <v>#VALUE!</v>
      </c>
      <c r="H925" s="3" t="e">
        <f>F925 - G925</f>
        <v>#VALUE!</v>
      </c>
      <c r="I925" s="3" t="e">
        <f>LOOKUP(C925, SweepStudyConfig[StudyId], SweepStudyConfig[NFixedA])</f>
        <v>#VALUE!</v>
      </c>
      <c r="J925" s="3" t="e">
        <f>LOOKUP(C925, SweepStudyConfig[StudyId], SweepStudyConfig[NFixedB])</f>
        <v>#VALUE!</v>
      </c>
      <c r="K925" s="3" t="e">
        <f>LOOKUP(C925, SweepStudyConfig[StudyId], SweepStudyConfig[SweepRateA])</f>
        <v>#VALUE!</v>
      </c>
      <c r="L925" s="3" t="e">
        <f>LOOKUP(C925, SweepStudyConfig[StudyId], SweepStudyConfig[SweepRateB])</f>
        <v>#VALUE!</v>
      </c>
      <c r="M925" s="3" t="e">
        <f>LOOKUP(C925, SweepStudyConfig[StudyId], SweepStudyConfig[FixedRateA])</f>
        <v>#VALUE!</v>
      </c>
      <c r="N925" s="3" t="e">
        <f>LOOKUP(C925, SweepStudyConfig[StudyId], SweepStudyConfig[FixedRateB])</f>
        <v>#VALUE!</v>
      </c>
      <c r="O925" s="3" t="e">
        <f>IF(G925 + I925 = 0, "", (G925 * K925 + I925 * M925) / (G925 + I925))</f>
        <v>#VALUE!</v>
      </c>
      <c r="P925" s="3" t="e">
        <f>IF(H925 + J925 = 0, "", (H925 * L925 + J925 * N925) / (H925 + J925))</f>
        <v>#VALUE!</v>
      </c>
      <c r="Q925" s="3" t="e">
        <f>IF(O925 = "", "", O925 - P925)</f>
        <v>#VALUE!</v>
      </c>
      <c r="R925" s="3" t="e">
        <f>LOOKUP(C925, SweepStudyConfig[StudyId], SweepStudyConfig[SweepCorrectedGap])</f>
        <v>#VALUE!</v>
      </c>
      <c r="S925" s="3" t="e">
        <f>IF(Q925 = "", "", Q925 - R925)</f>
        <v>#VALUE!</v>
      </c>
    </row>
    <row r="926">
      <c r="A926" s="2" t="s">
        <v>4214</v>
      </c>
      <c r="B926" s="3" t="str">
        <f>A926</f>
        <v>fertility-income-country-f045</v>
      </c>
      <c r="C926" s="2" t="s">
        <v>770</v>
      </c>
      <c r="D926" s="2">
        <v>0.45</v>
      </c>
      <c r="E926" s="3" t="e">
        <f>ABS(D926 - LOOKUP(C926, SweepStudyConfig[StudyId], SweepStudyConfig[OriginalAllocFractionA])) &lt; 0.03</f>
        <v>#VALUE!</v>
      </c>
      <c r="F926" s="3" t="e">
        <f>LOOKUP(C926, SweepStudyConfig[StudyId], SweepStudyConfig[NSweepStratumTotal])</f>
        <v>#VALUE!</v>
      </c>
      <c r="G926" s="3" t="e">
        <f>ROUND(F926 * D926)</f>
        <v>#VALUE!</v>
      </c>
      <c r="H926" s="3" t="e">
        <f>F926 - G926</f>
        <v>#VALUE!</v>
      </c>
      <c r="I926" s="3" t="e">
        <f>LOOKUP(C926, SweepStudyConfig[StudyId], SweepStudyConfig[NFixedA])</f>
        <v>#VALUE!</v>
      </c>
      <c r="J926" s="3" t="e">
        <f>LOOKUP(C926, SweepStudyConfig[StudyId], SweepStudyConfig[NFixedB])</f>
        <v>#VALUE!</v>
      </c>
      <c r="K926" s="3" t="e">
        <f>LOOKUP(C926, SweepStudyConfig[StudyId], SweepStudyConfig[SweepRateA])</f>
        <v>#VALUE!</v>
      </c>
      <c r="L926" s="3" t="e">
        <f>LOOKUP(C926, SweepStudyConfig[StudyId], SweepStudyConfig[SweepRateB])</f>
        <v>#VALUE!</v>
      </c>
      <c r="M926" s="3" t="e">
        <f>LOOKUP(C926, SweepStudyConfig[StudyId], SweepStudyConfig[FixedRateA])</f>
        <v>#VALUE!</v>
      </c>
      <c r="N926" s="3" t="e">
        <f>LOOKUP(C926, SweepStudyConfig[StudyId], SweepStudyConfig[FixedRateB])</f>
        <v>#VALUE!</v>
      </c>
      <c r="O926" s="3" t="e">
        <f>IF(G926 + I926 = 0, "", (G926 * K926 + I926 * M926) / (G926 + I926))</f>
        <v>#VALUE!</v>
      </c>
      <c r="P926" s="3" t="e">
        <f>IF(H926 + J926 = 0, "", (H926 * L926 + J926 * N926) / (H926 + J926))</f>
        <v>#VALUE!</v>
      </c>
      <c r="Q926" s="3" t="e">
        <f>IF(O926 = "", "", O926 - P926)</f>
        <v>#VALUE!</v>
      </c>
      <c r="R926" s="3" t="e">
        <f>LOOKUP(C926, SweepStudyConfig[StudyId], SweepStudyConfig[SweepCorrectedGap])</f>
        <v>#VALUE!</v>
      </c>
      <c r="S926" s="3" t="e">
        <f>IF(Q926 = "", "", Q926 - R926)</f>
        <v>#VALUE!</v>
      </c>
    </row>
    <row r="927">
      <c r="A927" s="2" t="s">
        <v>4215</v>
      </c>
      <c r="B927" s="3" t="str">
        <f>A927</f>
        <v>fertility-income-country-f055</v>
      </c>
      <c r="C927" s="2" t="s">
        <v>770</v>
      </c>
      <c r="D927" s="2">
        <v>0.55</v>
      </c>
      <c r="E927" s="3" t="e">
        <f>ABS(D927 - LOOKUP(C927, SweepStudyConfig[StudyId], SweepStudyConfig[OriginalAllocFractionA])) &lt; 0.03</f>
        <v>#VALUE!</v>
      </c>
      <c r="F927" s="3" t="e">
        <f>LOOKUP(C927, SweepStudyConfig[StudyId], SweepStudyConfig[NSweepStratumTotal])</f>
        <v>#VALUE!</v>
      </c>
      <c r="G927" s="3" t="e">
        <f>ROUND(F927 * D927)</f>
        <v>#VALUE!</v>
      </c>
      <c r="H927" s="3" t="e">
        <f>F927 - G927</f>
        <v>#VALUE!</v>
      </c>
      <c r="I927" s="3" t="e">
        <f>LOOKUP(C927, SweepStudyConfig[StudyId], SweepStudyConfig[NFixedA])</f>
        <v>#VALUE!</v>
      </c>
      <c r="J927" s="3" t="e">
        <f>LOOKUP(C927, SweepStudyConfig[StudyId], SweepStudyConfig[NFixedB])</f>
        <v>#VALUE!</v>
      </c>
      <c r="K927" s="3" t="e">
        <f>LOOKUP(C927, SweepStudyConfig[StudyId], SweepStudyConfig[SweepRateA])</f>
        <v>#VALUE!</v>
      </c>
      <c r="L927" s="3" t="e">
        <f>LOOKUP(C927, SweepStudyConfig[StudyId], SweepStudyConfig[SweepRateB])</f>
        <v>#VALUE!</v>
      </c>
      <c r="M927" s="3" t="e">
        <f>LOOKUP(C927, SweepStudyConfig[StudyId], SweepStudyConfig[FixedRateA])</f>
        <v>#VALUE!</v>
      </c>
      <c r="N927" s="3" t="e">
        <f>LOOKUP(C927, SweepStudyConfig[StudyId], SweepStudyConfig[FixedRateB])</f>
        <v>#VALUE!</v>
      </c>
      <c r="O927" s="3" t="e">
        <f>IF(G927 + I927 = 0, "", (G927 * K927 + I927 * M927) / (G927 + I927))</f>
        <v>#VALUE!</v>
      </c>
      <c r="P927" s="3" t="e">
        <f>IF(H927 + J927 = 0, "", (H927 * L927 + J927 * N927) / (H927 + J927))</f>
        <v>#VALUE!</v>
      </c>
      <c r="Q927" s="3" t="e">
        <f>IF(O927 = "", "", O927 - P927)</f>
        <v>#VALUE!</v>
      </c>
      <c r="R927" s="3" t="e">
        <f>LOOKUP(C927, SweepStudyConfig[StudyId], SweepStudyConfig[SweepCorrectedGap])</f>
        <v>#VALUE!</v>
      </c>
      <c r="S927" s="3" t="e">
        <f>IF(Q927 = "", "", Q927 - R927)</f>
        <v>#VALUE!</v>
      </c>
    </row>
    <row r="928">
      <c r="A928" s="2" t="s">
        <v>4216</v>
      </c>
      <c r="B928" s="3" t="str">
        <f>A928</f>
        <v>fertility-income-country-f065</v>
      </c>
      <c r="C928" s="2" t="s">
        <v>770</v>
      </c>
      <c r="D928" s="2">
        <v>0.65</v>
      </c>
      <c r="E928" s="3" t="e">
        <f>ABS(D928 - LOOKUP(C928, SweepStudyConfig[StudyId], SweepStudyConfig[OriginalAllocFractionA])) &lt; 0.03</f>
        <v>#VALUE!</v>
      </c>
      <c r="F928" s="3" t="e">
        <f>LOOKUP(C928, SweepStudyConfig[StudyId], SweepStudyConfig[NSweepStratumTotal])</f>
        <v>#VALUE!</v>
      </c>
      <c r="G928" s="3" t="e">
        <f>ROUND(F928 * D928)</f>
        <v>#VALUE!</v>
      </c>
      <c r="H928" s="3" t="e">
        <f>F928 - G928</f>
        <v>#VALUE!</v>
      </c>
      <c r="I928" s="3" t="e">
        <f>LOOKUP(C928, SweepStudyConfig[StudyId], SweepStudyConfig[NFixedA])</f>
        <v>#VALUE!</v>
      </c>
      <c r="J928" s="3" t="e">
        <f>LOOKUP(C928, SweepStudyConfig[StudyId], SweepStudyConfig[NFixedB])</f>
        <v>#VALUE!</v>
      </c>
      <c r="K928" s="3" t="e">
        <f>LOOKUP(C928, SweepStudyConfig[StudyId], SweepStudyConfig[SweepRateA])</f>
        <v>#VALUE!</v>
      </c>
      <c r="L928" s="3" t="e">
        <f>LOOKUP(C928, SweepStudyConfig[StudyId], SweepStudyConfig[SweepRateB])</f>
        <v>#VALUE!</v>
      </c>
      <c r="M928" s="3" t="e">
        <f>LOOKUP(C928, SweepStudyConfig[StudyId], SweepStudyConfig[FixedRateA])</f>
        <v>#VALUE!</v>
      </c>
      <c r="N928" s="3" t="e">
        <f>LOOKUP(C928, SweepStudyConfig[StudyId], SweepStudyConfig[FixedRateB])</f>
        <v>#VALUE!</v>
      </c>
      <c r="O928" s="3" t="e">
        <f>IF(G928 + I928 = 0, "", (G928 * K928 + I928 * M928) / (G928 + I928))</f>
        <v>#VALUE!</v>
      </c>
      <c r="P928" s="3" t="e">
        <f>IF(H928 + J928 = 0, "", (H928 * L928 + J928 * N928) / (H928 + J928))</f>
        <v>#VALUE!</v>
      </c>
      <c r="Q928" s="3" t="e">
        <f>IF(O928 = "", "", O928 - P928)</f>
        <v>#VALUE!</v>
      </c>
      <c r="R928" s="3" t="e">
        <f>LOOKUP(C928, SweepStudyConfig[StudyId], SweepStudyConfig[SweepCorrectedGap])</f>
        <v>#VALUE!</v>
      </c>
      <c r="S928" s="3" t="e">
        <f>IF(Q928 = "", "", Q928 - R928)</f>
        <v>#VALUE!</v>
      </c>
    </row>
    <row r="929">
      <c r="A929" s="2" t="s">
        <v>4217</v>
      </c>
      <c r="B929" s="3" t="str">
        <f>A929</f>
        <v>fertility-income-country-f075</v>
      </c>
      <c r="C929" s="2" t="s">
        <v>770</v>
      </c>
      <c r="D929" s="2">
        <v>0.75</v>
      </c>
      <c r="E929" s="3" t="e">
        <f>ABS(D929 - LOOKUP(C929, SweepStudyConfig[StudyId], SweepStudyConfig[OriginalAllocFractionA])) &lt; 0.03</f>
        <v>#VALUE!</v>
      </c>
      <c r="F929" s="3" t="e">
        <f>LOOKUP(C929, SweepStudyConfig[StudyId], SweepStudyConfig[NSweepStratumTotal])</f>
        <v>#VALUE!</v>
      </c>
      <c r="G929" s="3" t="e">
        <f>ROUND(F929 * D929)</f>
        <v>#VALUE!</v>
      </c>
      <c r="H929" s="3" t="e">
        <f>F929 - G929</f>
        <v>#VALUE!</v>
      </c>
      <c r="I929" s="3" t="e">
        <f>LOOKUP(C929, SweepStudyConfig[StudyId], SweepStudyConfig[NFixedA])</f>
        <v>#VALUE!</v>
      </c>
      <c r="J929" s="3" t="e">
        <f>LOOKUP(C929, SweepStudyConfig[StudyId], SweepStudyConfig[NFixedB])</f>
        <v>#VALUE!</v>
      </c>
      <c r="K929" s="3" t="e">
        <f>LOOKUP(C929, SweepStudyConfig[StudyId], SweepStudyConfig[SweepRateA])</f>
        <v>#VALUE!</v>
      </c>
      <c r="L929" s="3" t="e">
        <f>LOOKUP(C929, SweepStudyConfig[StudyId], SweepStudyConfig[SweepRateB])</f>
        <v>#VALUE!</v>
      </c>
      <c r="M929" s="3" t="e">
        <f>LOOKUP(C929, SweepStudyConfig[StudyId], SweepStudyConfig[FixedRateA])</f>
        <v>#VALUE!</v>
      </c>
      <c r="N929" s="3" t="e">
        <f>LOOKUP(C929, SweepStudyConfig[StudyId], SweepStudyConfig[FixedRateB])</f>
        <v>#VALUE!</v>
      </c>
      <c r="O929" s="3" t="e">
        <f>IF(G929 + I929 = 0, "", (G929 * K929 + I929 * M929) / (G929 + I929))</f>
        <v>#VALUE!</v>
      </c>
      <c r="P929" s="3" t="e">
        <f>IF(H929 + J929 = 0, "", (H929 * L929 + J929 * N929) / (H929 + J929))</f>
        <v>#VALUE!</v>
      </c>
      <c r="Q929" s="3" t="e">
        <f>IF(O929 = "", "", O929 - P929)</f>
        <v>#VALUE!</v>
      </c>
      <c r="R929" s="3" t="e">
        <f>LOOKUP(C929, SweepStudyConfig[StudyId], SweepStudyConfig[SweepCorrectedGap])</f>
        <v>#VALUE!</v>
      </c>
      <c r="S929" s="3" t="e">
        <f>IF(Q929 = "", "", Q929 - R929)</f>
        <v>#VALUE!</v>
      </c>
    </row>
    <row r="930">
      <c r="A930" s="2" t="s">
        <v>4218</v>
      </c>
      <c r="B930" s="3" t="str">
        <f>A930</f>
        <v>fertility-income-country-f085</v>
      </c>
      <c r="C930" s="2" t="s">
        <v>770</v>
      </c>
      <c r="D930" s="2">
        <v>0.85</v>
      </c>
      <c r="E930" s="3" t="e">
        <f>ABS(D930 - LOOKUP(C930, SweepStudyConfig[StudyId], SweepStudyConfig[OriginalAllocFractionA])) &lt; 0.03</f>
        <v>#VALUE!</v>
      </c>
      <c r="F930" s="3" t="e">
        <f>LOOKUP(C930, SweepStudyConfig[StudyId], SweepStudyConfig[NSweepStratumTotal])</f>
        <v>#VALUE!</v>
      </c>
      <c r="G930" s="3" t="e">
        <f>ROUND(F930 * D930)</f>
        <v>#VALUE!</v>
      </c>
      <c r="H930" s="3" t="e">
        <f>F930 - G930</f>
        <v>#VALUE!</v>
      </c>
      <c r="I930" s="3" t="e">
        <f>LOOKUP(C930, SweepStudyConfig[StudyId], SweepStudyConfig[NFixedA])</f>
        <v>#VALUE!</v>
      </c>
      <c r="J930" s="3" t="e">
        <f>LOOKUP(C930, SweepStudyConfig[StudyId], SweepStudyConfig[NFixedB])</f>
        <v>#VALUE!</v>
      </c>
      <c r="K930" s="3" t="e">
        <f>LOOKUP(C930, SweepStudyConfig[StudyId], SweepStudyConfig[SweepRateA])</f>
        <v>#VALUE!</v>
      </c>
      <c r="L930" s="3" t="e">
        <f>LOOKUP(C930, SweepStudyConfig[StudyId], SweepStudyConfig[SweepRateB])</f>
        <v>#VALUE!</v>
      </c>
      <c r="M930" s="3" t="e">
        <f>LOOKUP(C930, SweepStudyConfig[StudyId], SweepStudyConfig[FixedRateA])</f>
        <v>#VALUE!</v>
      </c>
      <c r="N930" s="3" t="e">
        <f>LOOKUP(C930, SweepStudyConfig[StudyId], SweepStudyConfig[FixedRateB])</f>
        <v>#VALUE!</v>
      </c>
      <c r="O930" s="3" t="e">
        <f>IF(G930 + I930 = 0, "", (G930 * K930 + I930 * M930) / (G930 + I930))</f>
        <v>#VALUE!</v>
      </c>
      <c r="P930" s="3" t="e">
        <f>IF(H930 + J930 = 0, "", (H930 * L930 + J930 * N930) / (H930 + J930))</f>
        <v>#VALUE!</v>
      </c>
      <c r="Q930" s="3" t="e">
        <f>IF(O930 = "", "", O930 - P930)</f>
        <v>#VALUE!</v>
      </c>
      <c r="R930" s="3" t="e">
        <f>LOOKUP(C930, SweepStudyConfig[StudyId], SweepStudyConfig[SweepCorrectedGap])</f>
        <v>#VALUE!</v>
      </c>
      <c r="S930" s="3" t="e">
        <f>IF(Q930 = "", "", Q930 - R930)</f>
        <v>#VALUE!</v>
      </c>
    </row>
    <row r="931">
      <c r="A931" s="2" t="s">
        <v>4219</v>
      </c>
      <c r="B931" s="3" t="str">
        <f>A931</f>
        <v>fertility-income-country-f095</v>
      </c>
      <c r="C931" s="2" t="s">
        <v>770</v>
      </c>
      <c r="D931" s="2">
        <v>0.95</v>
      </c>
      <c r="E931" s="3" t="e">
        <f>ABS(D931 - LOOKUP(C931, SweepStudyConfig[StudyId], SweepStudyConfig[OriginalAllocFractionA])) &lt; 0.03</f>
        <v>#VALUE!</v>
      </c>
      <c r="F931" s="3" t="e">
        <f>LOOKUP(C931, SweepStudyConfig[StudyId], SweepStudyConfig[NSweepStratumTotal])</f>
        <v>#VALUE!</v>
      </c>
      <c r="G931" s="3" t="e">
        <f>ROUND(F931 * D931)</f>
        <v>#VALUE!</v>
      </c>
      <c r="H931" s="3" t="e">
        <f>F931 - G931</f>
        <v>#VALUE!</v>
      </c>
      <c r="I931" s="3" t="e">
        <f>LOOKUP(C931, SweepStudyConfig[StudyId], SweepStudyConfig[NFixedA])</f>
        <v>#VALUE!</v>
      </c>
      <c r="J931" s="3" t="e">
        <f>LOOKUP(C931, SweepStudyConfig[StudyId], SweepStudyConfig[NFixedB])</f>
        <v>#VALUE!</v>
      </c>
      <c r="K931" s="3" t="e">
        <f>LOOKUP(C931, SweepStudyConfig[StudyId], SweepStudyConfig[SweepRateA])</f>
        <v>#VALUE!</v>
      </c>
      <c r="L931" s="3" t="e">
        <f>LOOKUP(C931, SweepStudyConfig[StudyId], SweepStudyConfig[SweepRateB])</f>
        <v>#VALUE!</v>
      </c>
      <c r="M931" s="3" t="e">
        <f>LOOKUP(C931, SweepStudyConfig[StudyId], SweepStudyConfig[FixedRateA])</f>
        <v>#VALUE!</v>
      </c>
      <c r="N931" s="3" t="e">
        <f>LOOKUP(C931, SweepStudyConfig[StudyId], SweepStudyConfig[FixedRateB])</f>
        <v>#VALUE!</v>
      </c>
      <c r="O931" s="3" t="e">
        <f>IF(G931 + I931 = 0, "", (G931 * K931 + I931 * M931) / (G931 + I931))</f>
        <v>#VALUE!</v>
      </c>
      <c r="P931" s="3" t="e">
        <f>IF(H931 + J931 = 0, "", (H931 * L931 + J931 * N931) / (H931 + J931))</f>
        <v>#VALUE!</v>
      </c>
      <c r="Q931" s="3" t="e">
        <f>IF(O931 = "", "", O931 - P931)</f>
        <v>#VALUE!</v>
      </c>
      <c r="R931" s="3" t="e">
        <f>LOOKUP(C931, SweepStudyConfig[StudyId], SweepStudyConfig[SweepCorrectedGap])</f>
        <v>#VALUE!</v>
      </c>
      <c r="S931" s="3" t="e">
        <f>IF(Q931 = "", "", Q931 - R931)</f>
        <v>#VALUE!</v>
      </c>
    </row>
    <row r="932">
      <c r="A932" s="2" t="s">
        <v>4220</v>
      </c>
      <c r="B932" s="3" t="str">
        <f>A932</f>
        <v>religiosity-happiness-country-f005</v>
      </c>
      <c r="C932" s="2" t="s">
        <v>774</v>
      </c>
      <c r="D932" s="2">
        <v>0.05</v>
      </c>
      <c r="E932" s="3" t="e">
        <f>ABS(D932 - LOOKUP(C932, SweepStudyConfig[StudyId], SweepStudyConfig[OriginalAllocFractionA])) &lt; 0.03</f>
        <v>#VALUE!</v>
      </c>
      <c r="F932" s="3" t="e">
        <f>LOOKUP(C932, SweepStudyConfig[StudyId], SweepStudyConfig[NSweepStratumTotal])</f>
        <v>#VALUE!</v>
      </c>
      <c r="G932" s="3" t="e">
        <f>ROUND(F932 * D932)</f>
        <v>#VALUE!</v>
      </c>
      <c r="H932" s="3" t="e">
        <f>F932 - G932</f>
        <v>#VALUE!</v>
      </c>
      <c r="I932" s="3" t="e">
        <f>LOOKUP(C932, SweepStudyConfig[StudyId], SweepStudyConfig[NFixedA])</f>
        <v>#VALUE!</v>
      </c>
      <c r="J932" s="3" t="e">
        <f>LOOKUP(C932, SweepStudyConfig[StudyId], SweepStudyConfig[NFixedB])</f>
        <v>#VALUE!</v>
      </c>
      <c r="K932" s="3" t="e">
        <f>LOOKUP(C932, SweepStudyConfig[StudyId], SweepStudyConfig[SweepRateA])</f>
        <v>#VALUE!</v>
      </c>
      <c r="L932" s="3" t="e">
        <f>LOOKUP(C932, SweepStudyConfig[StudyId], SweepStudyConfig[SweepRateB])</f>
        <v>#VALUE!</v>
      </c>
      <c r="M932" s="3" t="e">
        <f>LOOKUP(C932, SweepStudyConfig[StudyId], SweepStudyConfig[FixedRateA])</f>
        <v>#VALUE!</v>
      </c>
      <c r="N932" s="3" t="e">
        <f>LOOKUP(C932, SweepStudyConfig[StudyId], SweepStudyConfig[FixedRateB])</f>
        <v>#VALUE!</v>
      </c>
      <c r="O932" s="3" t="e">
        <f>IF(G932 + I932 = 0, "", (G932 * K932 + I932 * M932) / (G932 + I932))</f>
        <v>#VALUE!</v>
      </c>
      <c r="P932" s="3" t="e">
        <f>IF(H932 + J932 = 0, "", (H932 * L932 + J932 * N932) / (H932 + J932))</f>
        <v>#VALUE!</v>
      </c>
      <c r="Q932" s="3" t="e">
        <f>IF(O932 = "", "", O932 - P932)</f>
        <v>#VALUE!</v>
      </c>
      <c r="R932" s="3" t="e">
        <f>LOOKUP(C932, SweepStudyConfig[StudyId], SweepStudyConfig[SweepCorrectedGap])</f>
        <v>#VALUE!</v>
      </c>
      <c r="S932" s="3" t="e">
        <f>IF(Q932 = "", "", Q932 - R932)</f>
        <v>#VALUE!</v>
      </c>
    </row>
    <row r="933">
      <c r="A933" s="2" t="s">
        <v>4221</v>
      </c>
      <c r="B933" s="3" t="str">
        <f>A933</f>
        <v>religiosity-happiness-country-f015</v>
      </c>
      <c r="C933" s="2" t="s">
        <v>774</v>
      </c>
      <c r="D933" s="2">
        <v>0.15</v>
      </c>
      <c r="E933" s="3" t="e">
        <f>ABS(D933 - LOOKUP(C933, SweepStudyConfig[StudyId], SweepStudyConfig[OriginalAllocFractionA])) &lt; 0.03</f>
        <v>#VALUE!</v>
      </c>
      <c r="F933" s="3" t="e">
        <f>LOOKUP(C933, SweepStudyConfig[StudyId], SweepStudyConfig[NSweepStratumTotal])</f>
        <v>#VALUE!</v>
      </c>
      <c r="G933" s="3" t="e">
        <f>ROUND(F933 * D933)</f>
        <v>#VALUE!</v>
      </c>
      <c r="H933" s="3" t="e">
        <f>F933 - G933</f>
        <v>#VALUE!</v>
      </c>
      <c r="I933" s="3" t="e">
        <f>LOOKUP(C933, SweepStudyConfig[StudyId], SweepStudyConfig[NFixedA])</f>
        <v>#VALUE!</v>
      </c>
      <c r="J933" s="3" t="e">
        <f>LOOKUP(C933, SweepStudyConfig[StudyId], SweepStudyConfig[NFixedB])</f>
        <v>#VALUE!</v>
      </c>
      <c r="K933" s="3" t="e">
        <f>LOOKUP(C933, SweepStudyConfig[StudyId], SweepStudyConfig[SweepRateA])</f>
        <v>#VALUE!</v>
      </c>
      <c r="L933" s="3" t="e">
        <f>LOOKUP(C933, SweepStudyConfig[StudyId], SweepStudyConfig[SweepRateB])</f>
        <v>#VALUE!</v>
      </c>
      <c r="M933" s="3" t="e">
        <f>LOOKUP(C933, SweepStudyConfig[StudyId], SweepStudyConfig[FixedRateA])</f>
        <v>#VALUE!</v>
      </c>
      <c r="N933" s="3" t="e">
        <f>LOOKUP(C933, SweepStudyConfig[StudyId], SweepStudyConfig[FixedRateB])</f>
        <v>#VALUE!</v>
      </c>
      <c r="O933" s="3" t="e">
        <f>IF(G933 + I933 = 0, "", (G933 * K933 + I933 * M933) / (G933 + I933))</f>
        <v>#VALUE!</v>
      </c>
      <c r="P933" s="3" t="e">
        <f>IF(H933 + J933 = 0, "", (H933 * L933 + J933 * N933) / (H933 + J933))</f>
        <v>#VALUE!</v>
      </c>
      <c r="Q933" s="3" t="e">
        <f>IF(O933 = "", "", O933 - P933)</f>
        <v>#VALUE!</v>
      </c>
      <c r="R933" s="3" t="e">
        <f>LOOKUP(C933, SweepStudyConfig[StudyId], SweepStudyConfig[SweepCorrectedGap])</f>
        <v>#VALUE!</v>
      </c>
      <c r="S933" s="3" t="e">
        <f>IF(Q933 = "", "", Q933 - R933)</f>
        <v>#VALUE!</v>
      </c>
    </row>
    <row r="934">
      <c r="A934" s="2" t="s">
        <v>4222</v>
      </c>
      <c r="B934" s="3" t="str">
        <f>A934</f>
        <v>religiosity-happiness-country-f025</v>
      </c>
      <c r="C934" s="2" t="s">
        <v>774</v>
      </c>
      <c r="D934" s="2">
        <v>0.25</v>
      </c>
      <c r="E934" s="3" t="e">
        <f>ABS(D934 - LOOKUP(C934, SweepStudyConfig[StudyId], SweepStudyConfig[OriginalAllocFractionA])) &lt; 0.03</f>
        <v>#VALUE!</v>
      </c>
      <c r="F934" s="3" t="e">
        <f>LOOKUP(C934, SweepStudyConfig[StudyId], SweepStudyConfig[NSweepStratumTotal])</f>
        <v>#VALUE!</v>
      </c>
      <c r="G934" s="3" t="e">
        <f>ROUND(F934 * D934)</f>
        <v>#VALUE!</v>
      </c>
      <c r="H934" s="3" t="e">
        <f>F934 - G934</f>
        <v>#VALUE!</v>
      </c>
      <c r="I934" s="3" t="e">
        <f>LOOKUP(C934, SweepStudyConfig[StudyId], SweepStudyConfig[NFixedA])</f>
        <v>#VALUE!</v>
      </c>
      <c r="J934" s="3" t="e">
        <f>LOOKUP(C934, SweepStudyConfig[StudyId], SweepStudyConfig[NFixedB])</f>
        <v>#VALUE!</v>
      </c>
      <c r="K934" s="3" t="e">
        <f>LOOKUP(C934, SweepStudyConfig[StudyId], SweepStudyConfig[SweepRateA])</f>
        <v>#VALUE!</v>
      </c>
      <c r="L934" s="3" t="e">
        <f>LOOKUP(C934, SweepStudyConfig[StudyId], SweepStudyConfig[SweepRateB])</f>
        <v>#VALUE!</v>
      </c>
      <c r="M934" s="3" t="e">
        <f>LOOKUP(C934, SweepStudyConfig[StudyId], SweepStudyConfig[FixedRateA])</f>
        <v>#VALUE!</v>
      </c>
      <c r="N934" s="3" t="e">
        <f>LOOKUP(C934, SweepStudyConfig[StudyId], SweepStudyConfig[FixedRateB])</f>
        <v>#VALUE!</v>
      </c>
      <c r="O934" s="3" t="e">
        <f>IF(G934 + I934 = 0, "", (G934 * K934 + I934 * M934) / (G934 + I934))</f>
        <v>#VALUE!</v>
      </c>
      <c r="P934" s="3" t="e">
        <f>IF(H934 + J934 = 0, "", (H934 * L934 + J934 * N934) / (H934 + J934))</f>
        <v>#VALUE!</v>
      </c>
      <c r="Q934" s="3" t="e">
        <f>IF(O934 = "", "", O934 - P934)</f>
        <v>#VALUE!</v>
      </c>
      <c r="R934" s="3" t="e">
        <f>LOOKUP(C934, SweepStudyConfig[StudyId], SweepStudyConfig[SweepCorrectedGap])</f>
        <v>#VALUE!</v>
      </c>
      <c r="S934" s="3" t="e">
        <f>IF(Q934 = "", "", Q934 - R934)</f>
        <v>#VALUE!</v>
      </c>
    </row>
    <row r="935">
      <c r="A935" s="2" t="s">
        <v>4223</v>
      </c>
      <c r="B935" s="3" t="str">
        <f>A935</f>
        <v>religiosity-happiness-country-f035</v>
      </c>
      <c r="C935" s="2" t="s">
        <v>774</v>
      </c>
      <c r="D935" s="2">
        <v>0.35</v>
      </c>
      <c r="E935" s="3" t="e">
        <f>ABS(D935 - LOOKUP(C935, SweepStudyConfig[StudyId], SweepStudyConfig[OriginalAllocFractionA])) &lt; 0.03</f>
        <v>#VALUE!</v>
      </c>
      <c r="F935" s="3" t="e">
        <f>LOOKUP(C935, SweepStudyConfig[StudyId], SweepStudyConfig[NSweepStratumTotal])</f>
        <v>#VALUE!</v>
      </c>
      <c r="G935" s="3" t="e">
        <f>ROUND(F935 * D935)</f>
        <v>#VALUE!</v>
      </c>
      <c r="H935" s="3" t="e">
        <f>F935 - G935</f>
        <v>#VALUE!</v>
      </c>
      <c r="I935" s="3" t="e">
        <f>LOOKUP(C935, SweepStudyConfig[StudyId], SweepStudyConfig[NFixedA])</f>
        <v>#VALUE!</v>
      </c>
      <c r="J935" s="3" t="e">
        <f>LOOKUP(C935, SweepStudyConfig[StudyId], SweepStudyConfig[NFixedB])</f>
        <v>#VALUE!</v>
      </c>
      <c r="K935" s="3" t="e">
        <f>LOOKUP(C935, SweepStudyConfig[StudyId], SweepStudyConfig[SweepRateA])</f>
        <v>#VALUE!</v>
      </c>
      <c r="L935" s="3" t="e">
        <f>LOOKUP(C935, SweepStudyConfig[StudyId], SweepStudyConfig[SweepRateB])</f>
        <v>#VALUE!</v>
      </c>
      <c r="M935" s="3" t="e">
        <f>LOOKUP(C935, SweepStudyConfig[StudyId], SweepStudyConfig[FixedRateA])</f>
        <v>#VALUE!</v>
      </c>
      <c r="N935" s="3" t="e">
        <f>LOOKUP(C935, SweepStudyConfig[StudyId], SweepStudyConfig[FixedRateB])</f>
        <v>#VALUE!</v>
      </c>
      <c r="O935" s="3" t="e">
        <f>IF(G935 + I935 = 0, "", (G935 * K935 + I935 * M935) / (G935 + I935))</f>
        <v>#VALUE!</v>
      </c>
      <c r="P935" s="3" t="e">
        <f>IF(H935 + J935 = 0, "", (H935 * L935 + J935 * N935) / (H935 + J935))</f>
        <v>#VALUE!</v>
      </c>
      <c r="Q935" s="3" t="e">
        <f>IF(O935 = "", "", O935 - P935)</f>
        <v>#VALUE!</v>
      </c>
      <c r="R935" s="3" t="e">
        <f>LOOKUP(C935, SweepStudyConfig[StudyId], SweepStudyConfig[SweepCorrectedGap])</f>
        <v>#VALUE!</v>
      </c>
      <c r="S935" s="3" t="e">
        <f>IF(Q935 = "", "", Q935 - R935)</f>
        <v>#VALUE!</v>
      </c>
    </row>
    <row r="936">
      <c r="A936" s="2" t="s">
        <v>4224</v>
      </c>
      <c r="B936" s="3" t="str">
        <f>A936</f>
        <v>religiosity-happiness-country-f045</v>
      </c>
      <c r="C936" s="2" t="s">
        <v>774</v>
      </c>
      <c r="D936" s="2">
        <v>0.45</v>
      </c>
      <c r="E936" s="3" t="e">
        <f>ABS(D936 - LOOKUP(C936, SweepStudyConfig[StudyId], SweepStudyConfig[OriginalAllocFractionA])) &lt; 0.03</f>
        <v>#VALUE!</v>
      </c>
      <c r="F936" s="3" t="e">
        <f>LOOKUP(C936, SweepStudyConfig[StudyId], SweepStudyConfig[NSweepStratumTotal])</f>
        <v>#VALUE!</v>
      </c>
      <c r="G936" s="3" t="e">
        <f>ROUND(F936 * D936)</f>
        <v>#VALUE!</v>
      </c>
      <c r="H936" s="3" t="e">
        <f>F936 - G936</f>
        <v>#VALUE!</v>
      </c>
      <c r="I936" s="3" t="e">
        <f>LOOKUP(C936, SweepStudyConfig[StudyId], SweepStudyConfig[NFixedA])</f>
        <v>#VALUE!</v>
      </c>
      <c r="J936" s="3" t="e">
        <f>LOOKUP(C936, SweepStudyConfig[StudyId], SweepStudyConfig[NFixedB])</f>
        <v>#VALUE!</v>
      </c>
      <c r="K936" s="3" t="e">
        <f>LOOKUP(C936, SweepStudyConfig[StudyId], SweepStudyConfig[SweepRateA])</f>
        <v>#VALUE!</v>
      </c>
      <c r="L936" s="3" t="e">
        <f>LOOKUP(C936, SweepStudyConfig[StudyId], SweepStudyConfig[SweepRateB])</f>
        <v>#VALUE!</v>
      </c>
      <c r="M936" s="3" t="e">
        <f>LOOKUP(C936, SweepStudyConfig[StudyId], SweepStudyConfig[FixedRateA])</f>
        <v>#VALUE!</v>
      </c>
      <c r="N936" s="3" t="e">
        <f>LOOKUP(C936, SweepStudyConfig[StudyId], SweepStudyConfig[FixedRateB])</f>
        <v>#VALUE!</v>
      </c>
      <c r="O936" s="3" t="e">
        <f>IF(G936 + I936 = 0, "", (G936 * K936 + I936 * M936) / (G936 + I936))</f>
        <v>#VALUE!</v>
      </c>
      <c r="P936" s="3" t="e">
        <f>IF(H936 + J936 = 0, "", (H936 * L936 + J936 * N936) / (H936 + J936))</f>
        <v>#VALUE!</v>
      </c>
      <c r="Q936" s="3" t="e">
        <f>IF(O936 = "", "", O936 - P936)</f>
        <v>#VALUE!</v>
      </c>
      <c r="R936" s="3" t="e">
        <f>LOOKUP(C936, SweepStudyConfig[StudyId], SweepStudyConfig[SweepCorrectedGap])</f>
        <v>#VALUE!</v>
      </c>
      <c r="S936" s="3" t="e">
        <f>IF(Q936 = "", "", Q936 - R936)</f>
        <v>#VALUE!</v>
      </c>
    </row>
    <row r="937">
      <c r="A937" s="2" t="s">
        <v>4225</v>
      </c>
      <c r="B937" s="3" t="str">
        <f>A937</f>
        <v>religiosity-happiness-country-f055</v>
      </c>
      <c r="C937" s="2" t="s">
        <v>774</v>
      </c>
      <c r="D937" s="2">
        <v>0.55</v>
      </c>
      <c r="E937" s="3" t="e">
        <f>ABS(D937 - LOOKUP(C937, SweepStudyConfig[StudyId], SweepStudyConfig[OriginalAllocFractionA])) &lt; 0.03</f>
        <v>#VALUE!</v>
      </c>
      <c r="F937" s="3" t="e">
        <f>LOOKUP(C937, SweepStudyConfig[StudyId], SweepStudyConfig[NSweepStratumTotal])</f>
        <v>#VALUE!</v>
      </c>
      <c r="G937" s="3" t="e">
        <f>ROUND(F937 * D937)</f>
        <v>#VALUE!</v>
      </c>
      <c r="H937" s="3" t="e">
        <f>F937 - G937</f>
        <v>#VALUE!</v>
      </c>
      <c r="I937" s="3" t="e">
        <f>LOOKUP(C937, SweepStudyConfig[StudyId], SweepStudyConfig[NFixedA])</f>
        <v>#VALUE!</v>
      </c>
      <c r="J937" s="3" t="e">
        <f>LOOKUP(C937, SweepStudyConfig[StudyId], SweepStudyConfig[NFixedB])</f>
        <v>#VALUE!</v>
      </c>
      <c r="K937" s="3" t="e">
        <f>LOOKUP(C937, SweepStudyConfig[StudyId], SweepStudyConfig[SweepRateA])</f>
        <v>#VALUE!</v>
      </c>
      <c r="L937" s="3" t="e">
        <f>LOOKUP(C937, SweepStudyConfig[StudyId], SweepStudyConfig[SweepRateB])</f>
        <v>#VALUE!</v>
      </c>
      <c r="M937" s="3" t="e">
        <f>LOOKUP(C937, SweepStudyConfig[StudyId], SweepStudyConfig[FixedRateA])</f>
        <v>#VALUE!</v>
      </c>
      <c r="N937" s="3" t="e">
        <f>LOOKUP(C937, SweepStudyConfig[StudyId], SweepStudyConfig[FixedRateB])</f>
        <v>#VALUE!</v>
      </c>
      <c r="O937" s="3" t="e">
        <f>IF(G937 + I937 = 0, "", (G937 * K937 + I937 * M937) / (G937 + I937))</f>
        <v>#VALUE!</v>
      </c>
      <c r="P937" s="3" t="e">
        <f>IF(H937 + J937 = 0, "", (H937 * L937 + J937 * N937) / (H937 + J937))</f>
        <v>#VALUE!</v>
      </c>
      <c r="Q937" s="3" t="e">
        <f>IF(O937 = "", "", O937 - P937)</f>
        <v>#VALUE!</v>
      </c>
      <c r="R937" s="3" t="e">
        <f>LOOKUP(C937, SweepStudyConfig[StudyId], SweepStudyConfig[SweepCorrectedGap])</f>
        <v>#VALUE!</v>
      </c>
      <c r="S937" s="3" t="e">
        <f>IF(Q937 = "", "", Q937 - R937)</f>
        <v>#VALUE!</v>
      </c>
    </row>
    <row r="938">
      <c r="A938" s="2" t="s">
        <v>4226</v>
      </c>
      <c r="B938" s="3" t="str">
        <f>A938</f>
        <v>religiosity-happiness-country-f065</v>
      </c>
      <c r="C938" s="2" t="s">
        <v>774</v>
      </c>
      <c r="D938" s="2">
        <v>0.65</v>
      </c>
      <c r="E938" s="3" t="e">
        <f>ABS(D938 - LOOKUP(C938, SweepStudyConfig[StudyId], SweepStudyConfig[OriginalAllocFractionA])) &lt; 0.03</f>
        <v>#VALUE!</v>
      </c>
      <c r="F938" s="3" t="e">
        <f>LOOKUP(C938, SweepStudyConfig[StudyId], SweepStudyConfig[NSweepStratumTotal])</f>
        <v>#VALUE!</v>
      </c>
      <c r="G938" s="3" t="e">
        <f>ROUND(F938 * D938)</f>
        <v>#VALUE!</v>
      </c>
      <c r="H938" s="3" t="e">
        <f>F938 - G938</f>
        <v>#VALUE!</v>
      </c>
      <c r="I938" s="3" t="e">
        <f>LOOKUP(C938, SweepStudyConfig[StudyId], SweepStudyConfig[NFixedA])</f>
        <v>#VALUE!</v>
      </c>
      <c r="J938" s="3" t="e">
        <f>LOOKUP(C938, SweepStudyConfig[StudyId], SweepStudyConfig[NFixedB])</f>
        <v>#VALUE!</v>
      </c>
      <c r="K938" s="3" t="e">
        <f>LOOKUP(C938, SweepStudyConfig[StudyId], SweepStudyConfig[SweepRateA])</f>
        <v>#VALUE!</v>
      </c>
      <c r="L938" s="3" t="e">
        <f>LOOKUP(C938, SweepStudyConfig[StudyId], SweepStudyConfig[SweepRateB])</f>
        <v>#VALUE!</v>
      </c>
      <c r="M938" s="3" t="e">
        <f>LOOKUP(C938, SweepStudyConfig[StudyId], SweepStudyConfig[FixedRateA])</f>
        <v>#VALUE!</v>
      </c>
      <c r="N938" s="3" t="e">
        <f>LOOKUP(C938, SweepStudyConfig[StudyId], SweepStudyConfig[FixedRateB])</f>
        <v>#VALUE!</v>
      </c>
      <c r="O938" s="3" t="e">
        <f>IF(G938 + I938 = 0, "", (G938 * K938 + I938 * M938) / (G938 + I938))</f>
        <v>#VALUE!</v>
      </c>
      <c r="P938" s="3" t="e">
        <f>IF(H938 + J938 = 0, "", (H938 * L938 + J938 * N938) / (H938 + J938))</f>
        <v>#VALUE!</v>
      </c>
      <c r="Q938" s="3" t="e">
        <f>IF(O938 = "", "", O938 - P938)</f>
        <v>#VALUE!</v>
      </c>
      <c r="R938" s="3" t="e">
        <f>LOOKUP(C938, SweepStudyConfig[StudyId], SweepStudyConfig[SweepCorrectedGap])</f>
        <v>#VALUE!</v>
      </c>
      <c r="S938" s="3" t="e">
        <f>IF(Q938 = "", "", Q938 - R938)</f>
        <v>#VALUE!</v>
      </c>
    </row>
    <row r="939">
      <c r="A939" s="2" t="s">
        <v>4227</v>
      </c>
      <c r="B939" s="3" t="str">
        <f>A939</f>
        <v>religiosity-happiness-country-f075</v>
      </c>
      <c r="C939" s="2" t="s">
        <v>774</v>
      </c>
      <c r="D939" s="2">
        <v>0.75</v>
      </c>
      <c r="E939" s="3" t="e">
        <f>ABS(D939 - LOOKUP(C939, SweepStudyConfig[StudyId], SweepStudyConfig[OriginalAllocFractionA])) &lt; 0.03</f>
        <v>#VALUE!</v>
      </c>
      <c r="F939" s="3" t="e">
        <f>LOOKUP(C939, SweepStudyConfig[StudyId], SweepStudyConfig[NSweepStratumTotal])</f>
        <v>#VALUE!</v>
      </c>
      <c r="G939" s="3" t="e">
        <f>ROUND(F939 * D939)</f>
        <v>#VALUE!</v>
      </c>
      <c r="H939" s="3" t="e">
        <f>F939 - G939</f>
        <v>#VALUE!</v>
      </c>
      <c r="I939" s="3" t="e">
        <f>LOOKUP(C939, SweepStudyConfig[StudyId], SweepStudyConfig[NFixedA])</f>
        <v>#VALUE!</v>
      </c>
      <c r="J939" s="3" t="e">
        <f>LOOKUP(C939, SweepStudyConfig[StudyId], SweepStudyConfig[NFixedB])</f>
        <v>#VALUE!</v>
      </c>
      <c r="K939" s="3" t="e">
        <f>LOOKUP(C939, SweepStudyConfig[StudyId], SweepStudyConfig[SweepRateA])</f>
        <v>#VALUE!</v>
      </c>
      <c r="L939" s="3" t="e">
        <f>LOOKUP(C939, SweepStudyConfig[StudyId], SweepStudyConfig[SweepRateB])</f>
        <v>#VALUE!</v>
      </c>
      <c r="M939" s="3" t="e">
        <f>LOOKUP(C939, SweepStudyConfig[StudyId], SweepStudyConfig[FixedRateA])</f>
        <v>#VALUE!</v>
      </c>
      <c r="N939" s="3" t="e">
        <f>LOOKUP(C939, SweepStudyConfig[StudyId], SweepStudyConfig[FixedRateB])</f>
        <v>#VALUE!</v>
      </c>
      <c r="O939" s="3" t="e">
        <f>IF(G939 + I939 = 0, "", (G939 * K939 + I939 * M939) / (G939 + I939))</f>
        <v>#VALUE!</v>
      </c>
      <c r="P939" s="3" t="e">
        <f>IF(H939 + J939 = 0, "", (H939 * L939 + J939 * N939) / (H939 + J939))</f>
        <v>#VALUE!</v>
      </c>
      <c r="Q939" s="3" t="e">
        <f>IF(O939 = "", "", O939 - P939)</f>
        <v>#VALUE!</v>
      </c>
      <c r="R939" s="3" t="e">
        <f>LOOKUP(C939, SweepStudyConfig[StudyId], SweepStudyConfig[SweepCorrectedGap])</f>
        <v>#VALUE!</v>
      </c>
      <c r="S939" s="3" t="e">
        <f>IF(Q939 = "", "", Q939 - R939)</f>
        <v>#VALUE!</v>
      </c>
    </row>
    <row r="940">
      <c r="A940" s="2" t="s">
        <v>4228</v>
      </c>
      <c r="B940" s="3" t="str">
        <f>A940</f>
        <v>religiosity-happiness-country-f085</v>
      </c>
      <c r="C940" s="2" t="s">
        <v>774</v>
      </c>
      <c r="D940" s="2">
        <v>0.85</v>
      </c>
      <c r="E940" s="3" t="e">
        <f>ABS(D940 - LOOKUP(C940, SweepStudyConfig[StudyId], SweepStudyConfig[OriginalAllocFractionA])) &lt; 0.03</f>
        <v>#VALUE!</v>
      </c>
      <c r="F940" s="3" t="e">
        <f>LOOKUP(C940, SweepStudyConfig[StudyId], SweepStudyConfig[NSweepStratumTotal])</f>
        <v>#VALUE!</v>
      </c>
      <c r="G940" s="3" t="e">
        <f>ROUND(F940 * D940)</f>
        <v>#VALUE!</v>
      </c>
      <c r="H940" s="3" t="e">
        <f>F940 - G940</f>
        <v>#VALUE!</v>
      </c>
      <c r="I940" s="3" t="e">
        <f>LOOKUP(C940, SweepStudyConfig[StudyId], SweepStudyConfig[NFixedA])</f>
        <v>#VALUE!</v>
      </c>
      <c r="J940" s="3" t="e">
        <f>LOOKUP(C940, SweepStudyConfig[StudyId], SweepStudyConfig[NFixedB])</f>
        <v>#VALUE!</v>
      </c>
      <c r="K940" s="3" t="e">
        <f>LOOKUP(C940, SweepStudyConfig[StudyId], SweepStudyConfig[SweepRateA])</f>
        <v>#VALUE!</v>
      </c>
      <c r="L940" s="3" t="e">
        <f>LOOKUP(C940, SweepStudyConfig[StudyId], SweepStudyConfig[SweepRateB])</f>
        <v>#VALUE!</v>
      </c>
      <c r="M940" s="3" t="e">
        <f>LOOKUP(C940, SweepStudyConfig[StudyId], SweepStudyConfig[FixedRateA])</f>
        <v>#VALUE!</v>
      </c>
      <c r="N940" s="3" t="e">
        <f>LOOKUP(C940, SweepStudyConfig[StudyId], SweepStudyConfig[FixedRateB])</f>
        <v>#VALUE!</v>
      </c>
      <c r="O940" s="3" t="e">
        <f>IF(G940 + I940 = 0, "", (G940 * K940 + I940 * M940) / (G940 + I940))</f>
        <v>#VALUE!</v>
      </c>
      <c r="P940" s="3" t="e">
        <f>IF(H940 + J940 = 0, "", (H940 * L940 + J940 * N940) / (H940 + J940))</f>
        <v>#VALUE!</v>
      </c>
      <c r="Q940" s="3" t="e">
        <f>IF(O940 = "", "", O940 - P940)</f>
        <v>#VALUE!</v>
      </c>
      <c r="R940" s="3" t="e">
        <f>LOOKUP(C940, SweepStudyConfig[StudyId], SweepStudyConfig[SweepCorrectedGap])</f>
        <v>#VALUE!</v>
      </c>
      <c r="S940" s="3" t="e">
        <f>IF(Q940 = "", "", Q940 - R940)</f>
        <v>#VALUE!</v>
      </c>
    </row>
    <row r="941">
      <c r="A941" s="2" t="s">
        <v>4229</v>
      </c>
      <c r="B941" s="3" t="str">
        <f>A941</f>
        <v>religiosity-happiness-country-f095</v>
      </c>
      <c r="C941" s="2" t="s">
        <v>774</v>
      </c>
      <c r="D941" s="2">
        <v>0.95</v>
      </c>
      <c r="E941" s="3" t="e">
        <f>ABS(D941 - LOOKUP(C941, SweepStudyConfig[StudyId], SweepStudyConfig[OriginalAllocFractionA])) &lt; 0.03</f>
        <v>#VALUE!</v>
      </c>
      <c r="F941" s="3" t="e">
        <f>LOOKUP(C941, SweepStudyConfig[StudyId], SweepStudyConfig[NSweepStratumTotal])</f>
        <v>#VALUE!</v>
      </c>
      <c r="G941" s="3" t="e">
        <f>ROUND(F941 * D941)</f>
        <v>#VALUE!</v>
      </c>
      <c r="H941" s="3" t="e">
        <f>F941 - G941</f>
        <v>#VALUE!</v>
      </c>
      <c r="I941" s="3" t="e">
        <f>LOOKUP(C941, SweepStudyConfig[StudyId], SweepStudyConfig[NFixedA])</f>
        <v>#VALUE!</v>
      </c>
      <c r="J941" s="3" t="e">
        <f>LOOKUP(C941, SweepStudyConfig[StudyId], SweepStudyConfig[NFixedB])</f>
        <v>#VALUE!</v>
      </c>
      <c r="K941" s="3" t="e">
        <f>LOOKUP(C941, SweepStudyConfig[StudyId], SweepStudyConfig[SweepRateA])</f>
        <v>#VALUE!</v>
      </c>
      <c r="L941" s="3" t="e">
        <f>LOOKUP(C941, SweepStudyConfig[StudyId], SweepStudyConfig[SweepRateB])</f>
        <v>#VALUE!</v>
      </c>
      <c r="M941" s="3" t="e">
        <f>LOOKUP(C941, SweepStudyConfig[StudyId], SweepStudyConfig[FixedRateA])</f>
        <v>#VALUE!</v>
      </c>
      <c r="N941" s="3" t="e">
        <f>LOOKUP(C941, SweepStudyConfig[StudyId], SweepStudyConfig[FixedRateB])</f>
        <v>#VALUE!</v>
      </c>
      <c r="O941" s="3" t="e">
        <f>IF(G941 + I941 = 0, "", (G941 * K941 + I941 * M941) / (G941 + I941))</f>
        <v>#VALUE!</v>
      </c>
      <c r="P941" s="3" t="e">
        <f>IF(H941 + J941 = 0, "", (H941 * L941 + J941 * N941) / (H941 + J941))</f>
        <v>#VALUE!</v>
      </c>
      <c r="Q941" s="3" t="e">
        <f>IF(O941 = "", "", O941 - P941)</f>
        <v>#VALUE!</v>
      </c>
      <c r="R941" s="3" t="e">
        <f>LOOKUP(C941, SweepStudyConfig[StudyId], SweepStudyConfig[SweepCorrectedGap])</f>
        <v>#VALUE!</v>
      </c>
      <c r="S941" s="3" t="e">
        <f>IF(Q941 = "", "", Q941 - R941)</f>
        <v>#VALUE!</v>
      </c>
    </row>
    <row r="942">
      <c r="A942" s="2" t="s">
        <v>4230</v>
      </c>
      <c r="B942" s="3" t="str">
        <f>A942</f>
        <v>voter-turnout-education-state-f005</v>
      </c>
      <c r="C942" s="2" t="s">
        <v>778</v>
      </c>
      <c r="D942" s="2">
        <v>0.05</v>
      </c>
      <c r="E942" s="3" t="e">
        <f>ABS(D942 - LOOKUP(C942, SweepStudyConfig[StudyId], SweepStudyConfig[OriginalAllocFractionA])) &lt; 0.03</f>
        <v>#VALUE!</v>
      </c>
      <c r="F942" s="3" t="e">
        <f>LOOKUP(C942, SweepStudyConfig[StudyId], SweepStudyConfig[NSweepStratumTotal])</f>
        <v>#VALUE!</v>
      </c>
      <c r="G942" s="3" t="e">
        <f>ROUND(F942 * D942)</f>
        <v>#VALUE!</v>
      </c>
      <c r="H942" s="3" t="e">
        <f>F942 - G942</f>
        <v>#VALUE!</v>
      </c>
      <c r="I942" s="3" t="e">
        <f>LOOKUP(C942, SweepStudyConfig[StudyId], SweepStudyConfig[NFixedA])</f>
        <v>#VALUE!</v>
      </c>
      <c r="J942" s="3" t="e">
        <f>LOOKUP(C942, SweepStudyConfig[StudyId], SweepStudyConfig[NFixedB])</f>
        <v>#VALUE!</v>
      </c>
      <c r="K942" s="3" t="e">
        <f>LOOKUP(C942, SweepStudyConfig[StudyId], SweepStudyConfig[SweepRateA])</f>
        <v>#VALUE!</v>
      </c>
      <c r="L942" s="3" t="e">
        <f>LOOKUP(C942, SweepStudyConfig[StudyId], SweepStudyConfig[SweepRateB])</f>
        <v>#VALUE!</v>
      </c>
      <c r="M942" s="3" t="e">
        <f>LOOKUP(C942, SweepStudyConfig[StudyId], SweepStudyConfig[FixedRateA])</f>
        <v>#VALUE!</v>
      </c>
      <c r="N942" s="3" t="e">
        <f>LOOKUP(C942, SweepStudyConfig[StudyId], SweepStudyConfig[FixedRateB])</f>
        <v>#VALUE!</v>
      </c>
      <c r="O942" s="3" t="e">
        <f>IF(G942 + I942 = 0, "", (G942 * K942 + I942 * M942) / (G942 + I942))</f>
        <v>#VALUE!</v>
      </c>
      <c r="P942" s="3" t="e">
        <f>IF(H942 + J942 = 0, "", (H942 * L942 + J942 * N942) / (H942 + J942))</f>
        <v>#VALUE!</v>
      </c>
      <c r="Q942" s="3" t="e">
        <f>IF(O942 = "", "", O942 - P942)</f>
        <v>#VALUE!</v>
      </c>
      <c r="R942" s="3" t="e">
        <f>LOOKUP(C942, SweepStudyConfig[StudyId], SweepStudyConfig[SweepCorrectedGap])</f>
        <v>#VALUE!</v>
      </c>
      <c r="S942" s="3" t="e">
        <f>IF(Q942 = "", "", Q942 - R942)</f>
        <v>#VALUE!</v>
      </c>
    </row>
    <row r="943">
      <c r="A943" s="2" t="s">
        <v>4231</v>
      </c>
      <c r="B943" s="3" t="str">
        <f>A943</f>
        <v>voter-turnout-education-state-f015</v>
      </c>
      <c r="C943" s="2" t="s">
        <v>778</v>
      </c>
      <c r="D943" s="2">
        <v>0.15</v>
      </c>
      <c r="E943" s="3" t="e">
        <f>ABS(D943 - LOOKUP(C943, SweepStudyConfig[StudyId], SweepStudyConfig[OriginalAllocFractionA])) &lt; 0.03</f>
        <v>#VALUE!</v>
      </c>
      <c r="F943" s="3" t="e">
        <f>LOOKUP(C943, SweepStudyConfig[StudyId], SweepStudyConfig[NSweepStratumTotal])</f>
        <v>#VALUE!</v>
      </c>
      <c r="G943" s="3" t="e">
        <f>ROUND(F943 * D943)</f>
        <v>#VALUE!</v>
      </c>
      <c r="H943" s="3" t="e">
        <f>F943 - G943</f>
        <v>#VALUE!</v>
      </c>
      <c r="I943" s="3" t="e">
        <f>LOOKUP(C943, SweepStudyConfig[StudyId], SweepStudyConfig[NFixedA])</f>
        <v>#VALUE!</v>
      </c>
      <c r="J943" s="3" t="e">
        <f>LOOKUP(C943, SweepStudyConfig[StudyId], SweepStudyConfig[NFixedB])</f>
        <v>#VALUE!</v>
      </c>
      <c r="K943" s="3" t="e">
        <f>LOOKUP(C943, SweepStudyConfig[StudyId], SweepStudyConfig[SweepRateA])</f>
        <v>#VALUE!</v>
      </c>
      <c r="L943" s="3" t="e">
        <f>LOOKUP(C943, SweepStudyConfig[StudyId], SweepStudyConfig[SweepRateB])</f>
        <v>#VALUE!</v>
      </c>
      <c r="M943" s="3" t="e">
        <f>LOOKUP(C943, SweepStudyConfig[StudyId], SweepStudyConfig[FixedRateA])</f>
        <v>#VALUE!</v>
      </c>
      <c r="N943" s="3" t="e">
        <f>LOOKUP(C943, SweepStudyConfig[StudyId], SweepStudyConfig[FixedRateB])</f>
        <v>#VALUE!</v>
      </c>
      <c r="O943" s="3" t="e">
        <f>IF(G943 + I943 = 0, "", (G943 * K943 + I943 * M943) / (G943 + I943))</f>
        <v>#VALUE!</v>
      </c>
      <c r="P943" s="3" t="e">
        <f>IF(H943 + J943 = 0, "", (H943 * L943 + J943 * N943) / (H943 + J943))</f>
        <v>#VALUE!</v>
      </c>
      <c r="Q943" s="3" t="e">
        <f>IF(O943 = "", "", O943 - P943)</f>
        <v>#VALUE!</v>
      </c>
      <c r="R943" s="3" t="e">
        <f>LOOKUP(C943, SweepStudyConfig[StudyId], SweepStudyConfig[SweepCorrectedGap])</f>
        <v>#VALUE!</v>
      </c>
      <c r="S943" s="3" t="e">
        <f>IF(Q943 = "", "", Q943 - R943)</f>
        <v>#VALUE!</v>
      </c>
    </row>
    <row r="944">
      <c r="A944" s="2" t="s">
        <v>4232</v>
      </c>
      <c r="B944" s="3" t="str">
        <f>A944</f>
        <v>voter-turnout-education-state-f025</v>
      </c>
      <c r="C944" s="2" t="s">
        <v>778</v>
      </c>
      <c r="D944" s="2">
        <v>0.25</v>
      </c>
      <c r="E944" s="3" t="e">
        <f>ABS(D944 - LOOKUP(C944, SweepStudyConfig[StudyId], SweepStudyConfig[OriginalAllocFractionA])) &lt; 0.03</f>
        <v>#VALUE!</v>
      </c>
      <c r="F944" s="3" t="e">
        <f>LOOKUP(C944, SweepStudyConfig[StudyId], SweepStudyConfig[NSweepStratumTotal])</f>
        <v>#VALUE!</v>
      </c>
      <c r="G944" s="3" t="e">
        <f>ROUND(F944 * D944)</f>
        <v>#VALUE!</v>
      </c>
      <c r="H944" s="3" t="e">
        <f>F944 - G944</f>
        <v>#VALUE!</v>
      </c>
      <c r="I944" s="3" t="e">
        <f>LOOKUP(C944, SweepStudyConfig[StudyId], SweepStudyConfig[NFixedA])</f>
        <v>#VALUE!</v>
      </c>
      <c r="J944" s="3" t="e">
        <f>LOOKUP(C944, SweepStudyConfig[StudyId], SweepStudyConfig[NFixedB])</f>
        <v>#VALUE!</v>
      </c>
      <c r="K944" s="3" t="e">
        <f>LOOKUP(C944, SweepStudyConfig[StudyId], SweepStudyConfig[SweepRateA])</f>
        <v>#VALUE!</v>
      </c>
      <c r="L944" s="3" t="e">
        <f>LOOKUP(C944, SweepStudyConfig[StudyId], SweepStudyConfig[SweepRateB])</f>
        <v>#VALUE!</v>
      </c>
      <c r="M944" s="3" t="e">
        <f>LOOKUP(C944, SweepStudyConfig[StudyId], SweepStudyConfig[FixedRateA])</f>
        <v>#VALUE!</v>
      </c>
      <c r="N944" s="3" t="e">
        <f>LOOKUP(C944, SweepStudyConfig[StudyId], SweepStudyConfig[FixedRateB])</f>
        <v>#VALUE!</v>
      </c>
      <c r="O944" s="3" t="e">
        <f>IF(G944 + I944 = 0, "", (G944 * K944 + I944 * M944) / (G944 + I944))</f>
        <v>#VALUE!</v>
      </c>
      <c r="P944" s="3" t="e">
        <f>IF(H944 + J944 = 0, "", (H944 * L944 + J944 * N944) / (H944 + J944))</f>
        <v>#VALUE!</v>
      </c>
      <c r="Q944" s="3" t="e">
        <f>IF(O944 = "", "", O944 - P944)</f>
        <v>#VALUE!</v>
      </c>
      <c r="R944" s="3" t="e">
        <f>LOOKUP(C944, SweepStudyConfig[StudyId], SweepStudyConfig[SweepCorrectedGap])</f>
        <v>#VALUE!</v>
      </c>
      <c r="S944" s="3" t="e">
        <f>IF(Q944 = "", "", Q944 - R944)</f>
        <v>#VALUE!</v>
      </c>
    </row>
    <row r="945">
      <c r="A945" s="2" t="s">
        <v>4233</v>
      </c>
      <c r="B945" s="3" t="str">
        <f>A945</f>
        <v>voter-turnout-education-state-f035</v>
      </c>
      <c r="C945" s="2" t="s">
        <v>778</v>
      </c>
      <c r="D945" s="2">
        <v>0.35</v>
      </c>
      <c r="E945" s="3" t="e">
        <f>ABS(D945 - LOOKUP(C945, SweepStudyConfig[StudyId], SweepStudyConfig[OriginalAllocFractionA])) &lt; 0.03</f>
        <v>#VALUE!</v>
      </c>
      <c r="F945" s="3" t="e">
        <f>LOOKUP(C945, SweepStudyConfig[StudyId], SweepStudyConfig[NSweepStratumTotal])</f>
        <v>#VALUE!</v>
      </c>
      <c r="G945" s="3" t="e">
        <f>ROUND(F945 * D945)</f>
        <v>#VALUE!</v>
      </c>
      <c r="H945" s="3" t="e">
        <f>F945 - G945</f>
        <v>#VALUE!</v>
      </c>
      <c r="I945" s="3" t="e">
        <f>LOOKUP(C945, SweepStudyConfig[StudyId], SweepStudyConfig[NFixedA])</f>
        <v>#VALUE!</v>
      </c>
      <c r="J945" s="3" t="e">
        <f>LOOKUP(C945, SweepStudyConfig[StudyId], SweepStudyConfig[NFixedB])</f>
        <v>#VALUE!</v>
      </c>
      <c r="K945" s="3" t="e">
        <f>LOOKUP(C945, SweepStudyConfig[StudyId], SweepStudyConfig[SweepRateA])</f>
        <v>#VALUE!</v>
      </c>
      <c r="L945" s="3" t="e">
        <f>LOOKUP(C945, SweepStudyConfig[StudyId], SweepStudyConfig[SweepRateB])</f>
        <v>#VALUE!</v>
      </c>
      <c r="M945" s="3" t="e">
        <f>LOOKUP(C945, SweepStudyConfig[StudyId], SweepStudyConfig[FixedRateA])</f>
        <v>#VALUE!</v>
      </c>
      <c r="N945" s="3" t="e">
        <f>LOOKUP(C945, SweepStudyConfig[StudyId], SweepStudyConfig[FixedRateB])</f>
        <v>#VALUE!</v>
      </c>
      <c r="O945" s="3" t="e">
        <f>IF(G945 + I945 = 0, "", (G945 * K945 + I945 * M945) / (G945 + I945))</f>
        <v>#VALUE!</v>
      </c>
      <c r="P945" s="3" t="e">
        <f>IF(H945 + J945 = 0, "", (H945 * L945 + J945 * N945) / (H945 + J945))</f>
        <v>#VALUE!</v>
      </c>
      <c r="Q945" s="3" t="e">
        <f>IF(O945 = "", "", O945 - P945)</f>
        <v>#VALUE!</v>
      </c>
      <c r="R945" s="3" t="e">
        <f>LOOKUP(C945, SweepStudyConfig[StudyId], SweepStudyConfig[SweepCorrectedGap])</f>
        <v>#VALUE!</v>
      </c>
      <c r="S945" s="3" t="e">
        <f>IF(Q945 = "", "", Q945 - R945)</f>
        <v>#VALUE!</v>
      </c>
    </row>
    <row r="946">
      <c r="A946" s="2" t="s">
        <v>4234</v>
      </c>
      <c r="B946" s="3" t="str">
        <f>A946</f>
        <v>voter-turnout-education-state-f045</v>
      </c>
      <c r="C946" s="2" t="s">
        <v>778</v>
      </c>
      <c r="D946" s="2">
        <v>0.45</v>
      </c>
      <c r="E946" s="3" t="e">
        <f>ABS(D946 - LOOKUP(C946, SweepStudyConfig[StudyId], SweepStudyConfig[OriginalAllocFractionA])) &lt; 0.03</f>
        <v>#VALUE!</v>
      </c>
      <c r="F946" s="3" t="e">
        <f>LOOKUP(C946, SweepStudyConfig[StudyId], SweepStudyConfig[NSweepStratumTotal])</f>
        <v>#VALUE!</v>
      </c>
      <c r="G946" s="3" t="e">
        <f>ROUND(F946 * D946)</f>
        <v>#VALUE!</v>
      </c>
      <c r="H946" s="3" t="e">
        <f>F946 - G946</f>
        <v>#VALUE!</v>
      </c>
      <c r="I946" s="3" t="e">
        <f>LOOKUP(C946, SweepStudyConfig[StudyId], SweepStudyConfig[NFixedA])</f>
        <v>#VALUE!</v>
      </c>
      <c r="J946" s="3" t="e">
        <f>LOOKUP(C946, SweepStudyConfig[StudyId], SweepStudyConfig[NFixedB])</f>
        <v>#VALUE!</v>
      </c>
      <c r="K946" s="3" t="e">
        <f>LOOKUP(C946, SweepStudyConfig[StudyId], SweepStudyConfig[SweepRateA])</f>
        <v>#VALUE!</v>
      </c>
      <c r="L946" s="3" t="e">
        <f>LOOKUP(C946, SweepStudyConfig[StudyId], SweepStudyConfig[SweepRateB])</f>
        <v>#VALUE!</v>
      </c>
      <c r="M946" s="3" t="e">
        <f>LOOKUP(C946, SweepStudyConfig[StudyId], SweepStudyConfig[FixedRateA])</f>
        <v>#VALUE!</v>
      </c>
      <c r="N946" s="3" t="e">
        <f>LOOKUP(C946, SweepStudyConfig[StudyId], SweepStudyConfig[FixedRateB])</f>
        <v>#VALUE!</v>
      </c>
      <c r="O946" s="3" t="e">
        <f>IF(G946 + I946 = 0, "", (G946 * K946 + I946 * M946) / (G946 + I946))</f>
        <v>#VALUE!</v>
      </c>
      <c r="P946" s="3" t="e">
        <f>IF(H946 + J946 = 0, "", (H946 * L946 + J946 * N946) / (H946 + J946))</f>
        <v>#VALUE!</v>
      </c>
      <c r="Q946" s="3" t="e">
        <f>IF(O946 = "", "", O946 - P946)</f>
        <v>#VALUE!</v>
      </c>
      <c r="R946" s="3" t="e">
        <f>LOOKUP(C946, SweepStudyConfig[StudyId], SweepStudyConfig[SweepCorrectedGap])</f>
        <v>#VALUE!</v>
      </c>
      <c r="S946" s="3" t="e">
        <f>IF(Q946 = "", "", Q946 - R946)</f>
        <v>#VALUE!</v>
      </c>
    </row>
    <row r="947">
      <c r="A947" s="2" t="s">
        <v>4235</v>
      </c>
      <c r="B947" s="3" t="str">
        <f>A947</f>
        <v>voter-turnout-education-state-f055</v>
      </c>
      <c r="C947" s="2" t="s">
        <v>778</v>
      </c>
      <c r="D947" s="2">
        <v>0.55</v>
      </c>
      <c r="E947" s="3" t="e">
        <f>ABS(D947 - LOOKUP(C947, SweepStudyConfig[StudyId], SweepStudyConfig[OriginalAllocFractionA])) &lt; 0.03</f>
        <v>#VALUE!</v>
      </c>
      <c r="F947" s="3" t="e">
        <f>LOOKUP(C947, SweepStudyConfig[StudyId], SweepStudyConfig[NSweepStratumTotal])</f>
        <v>#VALUE!</v>
      </c>
      <c r="G947" s="3" t="e">
        <f>ROUND(F947 * D947)</f>
        <v>#VALUE!</v>
      </c>
      <c r="H947" s="3" t="e">
        <f>F947 - G947</f>
        <v>#VALUE!</v>
      </c>
      <c r="I947" s="3" t="e">
        <f>LOOKUP(C947, SweepStudyConfig[StudyId], SweepStudyConfig[NFixedA])</f>
        <v>#VALUE!</v>
      </c>
      <c r="J947" s="3" t="e">
        <f>LOOKUP(C947, SweepStudyConfig[StudyId], SweepStudyConfig[NFixedB])</f>
        <v>#VALUE!</v>
      </c>
      <c r="K947" s="3" t="e">
        <f>LOOKUP(C947, SweepStudyConfig[StudyId], SweepStudyConfig[SweepRateA])</f>
        <v>#VALUE!</v>
      </c>
      <c r="L947" s="3" t="e">
        <f>LOOKUP(C947, SweepStudyConfig[StudyId], SweepStudyConfig[SweepRateB])</f>
        <v>#VALUE!</v>
      </c>
      <c r="M947" s="3" t="e">
        <f>LOOKUP(C947, SweepStudyConfig[StudyId], SweepStudyConfig[FixedRateA])</f>
        <v>#VALUE!</v>
      </c>
      <c r="N947" s="3" t="e">
        <f>LOOKUP(C947, SweepStudyConfig[StudyId], SweepStudyConfig[FixedRateB])</f>
        <v>#VALUE!</v>
      </c>
      <c r="O947" s="3" t="e">
        <f>IF(G947 + I947 = 0, "", (G947 * K947 + I947 * M947) / (G947 + I947))</f>
        <v>#VALUE!</v>
      </c>
      <c r="P947" s="3" t="e">
        <f>IF(H947 + J947 = 0, "", (H947 * L947 + J947 * N947) / (H947 + J947))</f>
        <v>#VALUE!</v>
      </c>
      <c r="Q947" s="3" t="e">
        <f>IF(O947 = "", "", O947 - P947)</f>
        <v>#VALUE!</v>
      </c>
      <c r="R947" s="3" t="e">
        <f>LOOKUP(C947, SweepStudyConfig[StudyId], SweepStudyConfig[SweepCorrectedGap])</f>
        <v>#VALUE!</v>
      </c>
      <c r="S947" s="3" t="e">
        <f>IF(Q947 = "", "", Q947 - R947)</f>
        <v>#VALUE!</v>
      </c>
    </row>
    <row r="948">
      <c r="A948" s="2" t="s">
        <v>4236</v>
      </c>
      <c r="B948" s="3" t="str">
        <f>A948</f>
        <v>voter-turnout-education-state-f065</v>
      </c>
      <c r="C948" s="2" t="s">
        <v>778</v>
      </c>
      <c r="D948" s="2">
        <v>0.65</v>
      </c>
      <c r="E948" s="3" t="e">
        <f>ABS(D948 - LOOKUP(C948, SweepStudyConfig[StudyId], SweepStudyConfig[OriginalAllocFractionA])) &lt; 0.03</f>
        <v>#VALUE!</v>
      </c>
      <c r="F948" s="3" t="e">
        <f>LOOKUP(C948, SweepStudyConfig[StudyId], SweepStudyConfig[NSweepStratumTotal])</f>
        <v>#VALUE!</v>
      </c>
      <c r="G948" s="3" t="e">
        <f>ROUND(F948 * D948)</f>
        <v>#VALUE!</v>
      </c>
      <c r="H948" s="3" t="e">
        <f>F948 - G948</f>
        <v>#VALUE!</v>
      </c>
      <c r="I948" s="3" t="e">
        <f>LOOKUP(C948, SweepStudyConfig[StudyId], SweepStudyConfig[NFixedA])</f>
        <v>#VALUE!</v>
      </c>
      <c r="J948" s="3" t="e">
        <f>LOOKUP(C948, SweepStudyConfig[StudyId], SweepStudyConfig[NFixedB])</f>
        <v>#VALUE!</v>
      </c>
      <c r="K948" s="3" t="e">
        <f>LOOKUP(C948, SweepStudyConfig[StudyId], SweepStudyConfig[SweepRateA])</f>
        <v>#VALUE!</v>
      </c>
      <c r="L948" s="3" t="e">
        <f>LOOKUP(C948, SweepStudyConfig[StudyId], SweepStudyConfig[SweepRateB])</f>
        <v>#VALUE!</v>
      </c>
      <c r="M948" s="3" t="e">
        <f>LOOKUP(C948, SweepStudyConfig[StudyId], SweepStudyConfig[FixedRateA])</f>
        <v>#VALUE!</v>
      </c>
      <c r="N948" s="3" t="e">
        <f>LOOKUP(C948, SweepStudyConfig[StudyId], SweepStudyConfig[FixedRateB])</f>
        <v>#VALUE!</v>
      </c>
      <c r="O948" s="3" t="e">
        <f>IF(G948 + I948 = 0, "", (G948 * K948 + I948 * M948) / (G948 + I948))</f>
        <v>#VALUE!</v>
      </c>
      <c r="P948" s="3" t="e">
        <f>IF(H948 + J948 = 0, "", (H948 * L948 + J948 * N948) / (H948 + J948))</f>
        <v>#VALUE!</v>
      </c>
      <c r="Q948" s="3" t="e">
        <f>IF(O948 = "", "", O948 - P948)</f>
        <v>#VALUE!</v>
      </c>
      <c r="R948" s="3" t="e">
        <f>LOOKUP(C948, SweepStudyConfig[StudyId], SweepStudyConfig[SweepCorrectedGap])</f>
        <v>#VALUE!</v>
      </c>
      <c r="S948" s="3" t="e">
        <f>IF(Q948 = "", "", Q948 - R948)</f>
        <v>#VALUE!</v>
      </c>
    </row>
    <row r="949">
      <c r="A949" s="2" t="s">
        <v>4237</v>
      </c>
      <c r="B949" s="3" t="str">
        <f>A949</f>
        <v>voter-turnout-education-state-f075</v>
      </c>
      <c r="C949" s="2" t="s">
        <v>778</v>
      </c>
      <c r="D949" s="2">
        <v>0.75</v>
      </c>
      <c r="E949" s="3" t="e">
        <f>ABS(D949 - LOOKUP(C949, SweepStudyConfig[StudyId], SweepStudyConfig[OriginalAllocFractionA])) &lt; 0.03</f>
        <v>#VALUE!</v>
      </c>
      <c r="F949" s="3" t="e">
        <f>LOOKUP(C949, SweepStudyConfig[StudyId], SweepStudyConfig[NSweepStratumTotal])</f>
        <v>#VALUE!</v>
      </c>
      <c r="G949" s="3" t="e">
        <f>ROUND(F949 * D949)</f>
        <v>#VALUE!</v>
      </c>
      <c r="H949" s="3" t="e">
        <f>F949 - G949</f>
        <v>#VALUE!</v>
      </c>
      <c r="I949" s="3" t="e">
        <f>LOOKUP(C949, SweepStudyConfig[StudyId], SweepStudyConfig[NFixedA])</f>
        <v>#VALUE!</v>
      </c>
      <c r="J949" s="3" t="e">
        <f>LOOKUP(C949, SweepStudyConfig[StudyId], SweepStudyConfig[NFixedB])</f>
        <v>#VALUE!</v>
      </c>
      <c r="K949" s="3" t="e">
        <f>LOOKUP(C949, SweepStudyConfig[StudyId], SweepStudyConfig[SweepRateA])</f>
        <v>#VALUE!</v>
      </c>
      <c r="L949" s="3" t="e">
        <f>LOOKUP(C949, SweepStudyConfig[StudyId], SweepStudyConfig[SweepRateB])</f>
        <v>#VALUE!</v>
      </c>
      <c r="M949" s="3" t="e">
        <f>LOOKUP(C949, SweepStudyConfig[StudyId], SweepStudyConfig[FixedRateA])</f>
        <v>#VALUE!</v>
      </c>
      <c r="N949" s="3" t="e">
        <f>LOOKUP(C949, SweepStudyConfig[StudyId], SweepStudyConfig[FixedRateB])</f>
        <v>#VALUE!</v>
      </c>
      <c r="O949" s="3" t="e">
        <f>IF(G949 + I949 = 0, "", (G949 * K949 + I949 * M949) / (G949 + I949))</f>
        <v>#VALUE!</v>
      </c>
      <c r="P949" s="3" t="e">
        <f>IF(H949 + J949 = 0, "", (H949 * L949 + J949 * N949) / (H949 + J949))</f>
        <v>#VALUE!</v>
      </c>
      <c r="Q949" s="3" t="e">
        <f>IF(O949 = "", "", O949 - P949)</f>
        <v>#VALUE!</v>
      </c>
      <c r="R949" s="3" t="e">
        <f>LOOKUP(C949, SweepStudyConfig[StudyId], SweepStudyConfig[SweepCorrectedGap])</f>
        <v>#VALUE!</v>
      </c>
      <c r="S949" s="3" t="e">
        <f>IF(Q949 = "", "", Q949 - R949)</f>
        <v>#VALUE!</v>
      </c>
    </row>
    <row r="950">
      <c r="A950" s="2" t="s">
        <v>4238</v>
      </c>
      <c r="B950" s="3" t="str">
        <f>A950</f>
        <v>voter-turnout-education-state-f085</v>
      </c>
      <c r="C950" s="2" t="s">
        <v>778</v>
      </c>
      <c r="D950" s="2">
        <v>0.85</v>
      </c>
      <c r="E950" s="3" t="e">
        <f>ABS(D950 - LOOKUP(C950, SweepStudyConfig[StudyId], SweepStudyConfig[OriginalAllocFractionA])) &lt; 0.03</f>
        <v>#VALUE!</v>
      </c>
      <c r="F950" s="3" t="e">
        <f>LOOKUP(C950, SweepStudyConfig[StudyId], SweepStudyConfig[NSweepStratumTotal])</f>
        <v>#VALUE!</v>
      </c>
      <c r="G950" s="3" t="e">
        <f>ROUND(F950 * D950)</f>
        <v>#VALUE!</v>
      </c>
      <c r="H950" s="3" t="e">
        <f>F950 - G950</f>
        <v>#VALUE!</v>
      </c>
      <c r="I950" s="3" t="e">
        <f>LOOKUP(C950, SweepStudyConfig[StudyId], SweepStudyConfig[NFixedA])</f>
        <v>#VALUE!</v>
      </c>
      <c r="J950" s="3" t="e">
        <f>LOOKUP(C950, SweepStudyConfig[StudyId], SweepStudyConfig[NFixedB])</f>
        <v>#VALUE!</v>
      </c>
      <c r="K950" s="3" t="e">
        <f>LOOKUP(C950, SweepStudyConfig[StudyId], SweepStudyConfig[SweepRateA])</f>
        <v>#VALUE!</v>
      </c>
      <c r="L950" s="3" t="e">
        <f>LOOKUP(C950, SweepStudyConfig[StudyId], SweepStudyConfig[SweepRateB])</f>
        <v>#VALUE!</v>
      </c>
      <c r="M950" s="3" t="e">
        <f>LOOKUP(C950, SweepStudyConfig[StudyId], SweepStudyConfig[FixedRateA])</f>
        <v>#VALUE!</v>
      </c>
      <c r="N950" s="3" t="e">
        <f>LOOKUP(C950, SweepStudyConfig[StudyId], SweepStudyConfig[FixedRateB])</f>
        <v>#VALUE!</v>
      </c>
      <c r="O950" s="3" t="e">
        <f>IF(G950 + I950 = 0, "", (G950 * K950 + I950 * M950) / (G950 + I950))</f>
        <v>#VALUE!</v>
      </c>
      <c r="P950" s="3" t="e">
        <f>IF(H950 + J950 = 0, "", (H950 * L950 + J950 * N950) / (H950 + J950))</f>
        <v>#VALUE!</v>
      </c>
      <c r="Q950" s="3" t="e">
        <f>IF(O950 = "", "", O950 - P950)</f>
        <v>#VALUE!</v>
      </c>
      <c r="R950" s="3" t="e">
        <f>LOOKUP(C950, SweepStudyConfig[StudyId], SweepStudyConfig[SweepCorrectedGap])</f>
        <v>#VALUE!</v>
      </c>
      <c r="S950" s="3" t="e">
        <f>IF(Q950 = "", "", Q950 - R950)</f>
        <v>#VALUE!</v>
      </c>
    </row>
    <row r="951">
      <c r="A951" s="2" t="s">
        <v>4239</v>
      </c>
      <c r="B951" s="3" t="str">
        <f>A951</f>
        <v>voter-turnout-education-state-f095</v>
      </c>
      <c r="C951" s="2" t="s">
        <v>778</v>
      </c>
      <c r="D951" s="2">
        <v>0.95</v>
      </c>
      <c r="E951" s="3" t="e">
        <f>ABS(D951 - LOOKUP(C951, SweepStudyConfig[StudyId], SweepStudyConfig[OriginalAllocFractionA])) &lt; 0.03</f>
        <v>#VALUE!</v>
      </c>
      <c r="F951" s="3" t="e">
        <f>LOOKUP(C951, SweepStudyConfig[StudyId], SweepStudyConfig[NSweepStratumTotal])</f>
        <v>#VALUE!</v>
      </c>
      <c r="G951" s="3" t="e">
        <f>ROUND(F951 * D951)</f>
        <v>#VALUE!</v>
      </c>
      <c r="H951" s="3" t="e">
        <f>F951 - G951</f>
        <v>#VALUE!</v>
      </c>
      <c r="I951" s="3" t="e">
        <f>LOOKUP(C951, SweepStudyConfig[StudyId], SweepStudyConfig[NFixedA])</f>
        <v>#VALUE!</v>
      </c>
      <c r="J951" s="3" t="e">
        <f>LOOKUP(C951, SweepStudyConfig[StudyId], SweepStudyConfig[NFixedB])</f>
        <v>#VALUE!</v>
      </c>
      <c r="K951" s="3" t="e">
        <f>LOOKUP(C951, SweepStudyConfig[StudyId], SweepStudyConfig[SweepRateA])</f>
        <v>#VALUE!</v>
      </c>
      <c r="L951" s="3" t="e">
        <f>LOOKUP(C951, SweepStudyConfig[StudyId], SweepStudyConfig[SweepRateB])</f>
        <v>#VALUE!</v>
      </c>
      <c r="M951" s="3" t="e">
        <f>LOOKUP(C951, SweepStudyConfig[StudyId], SweepStudyConfig[FixedRateA])</f>
        <v>#VALUE!</v>
      </c>
      <c r="N951" s="3" t="e">
        <f>LOOKUP(C951, SweepStudyConfig[StudyId], SweepStudyConfig[FixedRateB])</f>
        <v>#VALUE!</v>
      </c>
      <c r="O951" s="3" t="e">
        <f>IF(G951 + I951 = 0, "", (G951 * K951 + I951 * M951) / (G951 + I951))</f>
        <v>#VALUE!</v>
      </c>
      <c r="P951" s="3" t="e">
        <f>IF(H951 + J951 = 0, "", (H951 * L951 + J951 * N951) / (H951 + J951))</f>
        <v>#VALUE!</v>
      </c>
      <c r="Q951" s="3" t="e">
        <f>IF(O951 = "", "", O951 - P951)</f>
        <v>#VALUE!</v>
      </c>
      <c r="R951" s="3" t="e">
        <f>LOOKUP(C951, SweepStudyConfig[StudyId], SweepStudyConfig[SweepCorrectedGap])</f>
        <v>#VALUE!</v>
      </c>
      <c r="S951" s="3" t="e">
        <f>IF(Q951 = "", "", Q951 - R951)</f>
        <v>#VALUE!</v>
      </c>
    </row>
    <row r="952">
      <c r="A952" s="2" t="s">
        <v>4240</v>
      </c>
      <c r="B952" s="3" t="str">
        <f>A952</f>
        <v>ad-ctr-platform-mix-f005</v>
      </c>
      <c r="C952" s="2" t="s">
        <v>782</v>
      </c>
      <c r="D952" s="2">
        <v>0.05</v>
      </c>
      <c r="E952" s="3" t="e">
        <f>ABS(D952 - LOOKUP(C952, SweepStudyConfig[StudyId], SweepStudyConfig[OriginalAllocFractionA])) &lt; 0.03</f>
        <v>#VALUE!</v>
      </c>
      <c r="F952" s="3" t="e">
        <f>LOOKUP(C952, SweepStudyConfig[StudyId], SweepStudyConfig[NSweepStratumTotal])</f>
        <v>#VALUE!</v>
      </c>
      <c r="G952" s="3" t="e">
        <f>ROUND(F952 * D952)</f>
        <v>#VALUE!</v>
      </c>
      <c r="H952" s="3" t="e">
        <f>F952 - G952</f>
        <v>#VALUE!</v>
      </c>
      <c r="I952" s="3" t="e">
        <f>LOOKUP(C952, SweepStudyConfig[StudyId], SweepStudyConfig[NFixedA])</f>
        <v>#VALUE!</v>
      </c>
      <c r="J952" s="3" t="e">
        <f>LOOKUP(C952, SweepStudyConfig[StudyId], SweepStudyConfig[NFixedB])</f>
        <v>#VALUE!</v>
      </c>
      <c r="K952" s="3" t="e">
        <f>LOOKUP(C952, SweepStudyConfig[StudyId], SweepStudyConfig[SweepRateA])</f>
        <v>#VALUE!</v>
      </c>
      <c r="L952" s="3" t="e">
        <f>LOOKUP(C952, SweepStudyConfig[StudyId], SweepStudyConfig[SweepRateB])</f>
        <v>#VALUE!</v>
      </c>
      <c r="M952" s="3" t="e">
        <f>LOOKUP(C952, SweepStudyConfig[StudyId], SweepStudyConfig[FixedRateA])</f>
        <v>#VALUE!</v>
      </c>
      <c r="N952" s="3" t="e">
        <f>LOOKUP(C952, SweepStudyConfig[StudyId], SweepStudyConfig[FixedRateB])</f>
        <v>#VALUE!</v>
      </c>
      <c r="O952" s="3" t="e">
        <f>IF(G952 + I952 = 0, "", (G952 * K952 + I952 * M952) / (G952 + I952))</f>
        <v>#VALUE!</v>
      </c>
      <c r="P952" s="3" t="e">
        <f>IF(H952 + J952 = 0, "", (H952 * L952 + J952 * N952) / (H952 + J952))</f>
        <v>#VALUE!</v>
      </c>
      <c r="Q952" s="3" t="e">
        <f>IF(O952 = "", "", O952 - P952)</f>
        <v>#VALUE!</v>
      </c>
      <c r="R952" s="3" t="e">
        <f>LOOKUP(C952, SweepStudyConfig[StudyId], SweepStudyConfig[SweepCorrectedGap])</f>
        <v>#VALUE!</v>
      </c>
      <c r="S952" s="3" t="e">
        <f>IF(Q952 = "", "", Q952 - R952)</f>
        <v>#VALUE!</v>
      </c>
    </row>
    <row r="953">
      <c r="A953" s="2" t="s">
        <v>4241</v>
      </c>
      <c r="B953" s="3" t="str">
        <f>A953</f>
        <v>ad-ctr-platform-mix-f015</v>
      </c>
      <c r="C953" s="2" t="s">
        <v>782</v>
      </c>
      <c r="D953" s="2">
        <v>0.15</v>
      </c>
      <c r="E953" s="3" t="e">
        <f>ABS(D953 - LOOKUP(C953, SweepStudyConfig[StudyId], SweepStudyConfig[OriginalAllocFractionA])) &lt; 0.03</f>
        <v>#VALUE!</v>
      </c>
      <c r="F953" s="3" t="e">
        <f>LOOKUP(C953, SweepStudyConfig[StudyId], SweepStudyConfig[NSweepStratumTotal])</f>
        <v>#VALUE!</v>
      </c>
      <c r="G953" s="3" t="e">
        <f>ROUND(F953 * D953)</f>
        <v>#VALUE!</v>
      </c>
      <c r="H953" s="3" t="e">
        <f>F953 - G953</f>
        <v>#VALUE!</v>
      </c>
      <c r="I953" s="3" t="e">
        <f>LOOKUP(C953, SweepStudyConfig[StudyId], SweepStudyConfig[NFixedA])</f>
        <v>#VALUE!</v>
      </c>
      <c r="J953" s="3" t="e">
        <f>LOOKUP(C953, SweepStudyConfig[StudyId], SweepStudyConfig[NFixedB])</f>
        <v>#VALUE!</v>
      </c>
      <c r="K953" s="3" t="e">
        <f>LOOKUP(C953, SweepStudyConfig[StudyId], SweepStudyConfig[SweepRateA])</f>
        <v>#VALUE!</v>
      </c>
      <c r="L953" s="3" t="e">
        <f>LOOKUP(C953, SweepStudyConfig[StudyId], SweepStudyConfig[SweepRateB])</f>
        <v>#VALUE!</v>
      </c>
      <c r="M953" s="3" t="e">
        <f>LOOKUP(C953, SweepStudyConfig[StudyId], SweepStudyConfig[FixedRateA])</f>
        <v>#VALUE!</v>
      </c>
      <c r="N953" s="3" t="e">
        <f>LOOKUP(C953, SweepStudyConfig[StudyId], SweepStudyConfig[FixedRateB])</f>
        <v>#VALUE!</v>
      </c>
      <c r="O953" s="3" t="e">
        <f>IF(G953 + I953 = 0, "", (G953 * K953 + I953 * M953) / (G953 + I953))</f>
        <v>#VALUE!</v>
      </c>
      <c r="P953" s="3" t="e">
        <f>IF(H953 + J953 = 0, "", (H953 * L953 + J953 * N953) / (H953 + J953))</f>
        <v>#VALUE!</v>
      </c>
      <c r="Q953" s="3" t="e">
        <f>IF(O953 = "", "", O953 - P953)</f>
        <v>#VALUE!</v>
      </c>
      <c r="R953" s="3" t="e">
        <f>LOOKUP(C953, SweepStudyConfig[StudyId], SweepStudyConfig[SweepCorrectedGap])</f>
        <v>#VALUE!</v>
      </c>
      <c r="S953" s="3" t="e">
        <f>IF(Q953 = "", "", Q953 - R953)</f>
        <v>#VALUE!</v>
      </c>
    </row>
    <row r="954">
      <c r="A954" s="2" t="s">
        <v>4242</v>
      </c>
      <c r="B954" s="3" t="str">
        <f>A954</f>
        <v>ad-ctr-platform-mix-f025</v>
      </c>
      <c r="C954" s="2" t="s">
        <v>782</v>
      </c>
      <c r="D954" s="2">
        <v>0.25</v>
      </c>
      <c r="E954" s="3" t="e">
        <f>ABS(D954 - LOOKUP(C954, SweepStudyConfig[StudyId], SweepStudyConfig[OriginalAllocFractionA])) &lt; 0.03</f>
        <v>#VALUE!</v>
      </c>
      <c r="F954" s="3" t="e">
        <f>LOOKUP(C954, SweepStudyConfig[StudyId], SweepStudyConfig[NSweepStratumTotal])</f>
        <v>#VALUE!</v>
      </c>
      <c r="G954" s="3" t="e">
        <f>ROUND(F954 * D954)</f>
        <v>#VALUE!</v>
      </c>
      <c r="H954" s="3" t="e">
        <f>F954 - G954</f>
        <v>#VALUE!</v>
      </c>
      <c r="I954" s="3" t="e">
        <f>LOOKUP(C954, SweepStudyConfig[StudyId], SweepStudyConfig[NFixedA])</f>
        <v>#VALUE!</v>
      </c>
      <c r="J954" s="3" t="e">
        <f>LOOKUP(C954, SweepStudyConfig[StudyId], SweepStudyConfig[NFixedB])</f>
        <v>#VALUE!</v>
      </c>
      <c r="K954" s="3" t="e">
        <f>LOOKUP(C954, SweepStudyConfig[StudyId], SweepStudyConfig[SweepRateA])</f>
        <v>#VALUE!</v>
      </c>
      <c r="L954" s="3" t="e">
        <f>LOOKUP(C954, SweepStudyConfig[StudyId], SweepStudyConfig[SweepRateB])</f>
        <v>#VALUE!</v>
      </c>
      <c r="M954" s="3" t="e">
        <f>LOOKUP(C954, SweepStudyConfig[StudyId], SweepStudyConfig[FixedRateA])</f>
        <v>#VALUE!</v>
      </c>
      <c r="N954" s="3" t="e">
        <f>LOOKUP(C954, SweepStudyConfig[StudyId], SweepStudyConfig[FixedRateB])</f>
        <v>#VALUE!</v>
      </c>
      <c r="O954" s="3" t="e">
        <f>IF(G954 + I954 = 0, "", (G954 * K954 + I954 * M954) / (G954 + I954))</f>
        <v>#VALUE!</v>
      </c>
      <c r="P954" s="3" t="e">
        <f>IF(H954 + J954 = 0, "", (H954 * L954 + J954 * N954) / (H954 + J954))</f>
        <v>#VALUE!</v>
      </c>
      <c r="Q954" s="3" t="e">
        <f>IF(O954 = "", "", O954 - P954)</f>
        <v>#VALUE!</v>
      </c>
      <c r="R954" s="3" t="e">
        <f>LOOKUP(C954, SweepStudyConfig[StudyId], SweepStudyConfig[SweepCorrectedGap])</f>
        <v>#VALUE!</v>
      </c>
      <c r="S954" s="3" t="e">
        <f>IF(Q954 = "", "", Q954 - R954)</f>
        <v>#VALUE!</v>
      </c>
    </row>
    <row r="955">
      <c r="A955" s="2" t="s">
        <v>4243</v>
      </c>
      <c r="B955" s="3" t="str">
        <f>A955</f>
        <v>ad-ctr-platform-mix-f035</v>
      </c>
      <c r="C955" s="2" t="s">
        <v>782</v>
      </c>
      <c r="D955" s="2">
        <v>0.35</v>
      </c>
      <c r="E955" s="3" t="e">
        <f>ABS(D955 - LOOKUP(C955, SweepStudyConfig[StudyId], SweepStudyConfig[OriginalAllocFractionA])) &lt; 0.03</f>
        <v>#VALUE!</v>
      </c>
      <c r="F955" s="3" t="e">
        <f>LOOKUP(C955, SweepStudyConfig[StudyId], SweepStudyConfig[NSweepStratumTotal])</f>
        <v>#VALUE!</v>
      </c>
      <c r="G955" s="3" t="e">
        <f>ROUND(F955 * D955)</f>
        <v>#VALUE!</v>
      </c>
      <c r="H955" s="3" t="e">
        <f>F955 - G955</f>
        <v>#VALUE!</v>
      </c>
      <c r="I955" s="3" t="e">
        <f>LOOKUP(C955, SweepStudyConfig[StudyId], SweepStudyConfig[NFixedA])</f>
        <v>#VALUE!</v>
      </c>
      <c r="J955" s="3" t="e">
        <f>LOOKUP(C955, SweepStudyConfig[StudyId], SweepStudyConfig[NFixedB])</f>
        <v>#VALUE!</v>
      </c>
      <c r="K955" s="3" t="e">
        <f>LOOKUP(C955, SweepStudyConfig[StudyId], SweepStudyConfig[SweepRateA])</f>
        <v>#VALUE!</v>
      </c>
      <c r="L955" s="3" t="e">
        <f>LOOKUP(C955, SweepStudyConfig[StudyId], SweepStudyConfig[SweepRateB])</f>
        <v>#VALUE!</v>
      </c>
      <c r="M955" s="3" t="e">
        <f>LOOKUP(C955, SweepStudyConfig[StudyId], SweepStudyConfig[FixedRateA])</f>
        <v>#VALUE!</v>
      </c>
      <c r="N955" s="3" t="e">
        <f>LOOKUP(C955, SweepStudyConfig[StudyId], SweepStudyConfig[FixedRateB])</f>
        <v>#VALUE!</v>
      </c>
      <c r="O955" s="3" t="e">
        <f>IF(G955 + I955 = 0, "", (G955 * K955 + I955 * M955) / (G955 + I955))</f>
        <v>#VALUE!</v>
      </c>
      <c r="P955" s="3" t="e">
        <f>IF(H955 + J955 = 0, "", (H955 * L955 + J955 * N955) / (H955 + J955))</f>
        <v>#VALUE!</v>
      </c>
      <c r="Q955" s="3" t="e">
        <f>IF(O955 = "", "", O955 - P955)</f>
        <v>#VALUE!</v>
      </c>
      <c r="R955" s="3" t="e">
        <f>LOOKUP(C955, SweepStudyConfig[StudyId], SweepStudyConfig[SweepCorrectedGap])</f>
        <v>#VALUE!</v>
      </c>
      <c r="S955" s="3" t="e">
        <f>IF(Q955 = "", "", Q955 - R955)</f>
        <v>#VALUE!</v>
      </c>
    </row>
    <row r="956">
      <c r="A956" s="2" t="s">
        <v>4244</v>
      </c>
      <c r="B956" s="3" t="str">
        <f>A956</f>
        <v>ad-ctr-platform-mix-f045</v>
      </c>
      <c r="C956" s="2" t="s">
        <v>782</v>
      </c>
      <c r="D956" s="2">
        <v>0.45</v>
      </c>
      <c r="E956" s="3" t="e">
        <f>ABS(D956 - LOOKUP(C956, SweepStudyConfig[StudyId], SweepStudyConfig[OriginalAllocFractionA])) &lt; 0.03</f>
        <v>#VALUE!</v>
      </c>
      <c r="F956" s="3" t="e">
        <f>LOOKUP(C956, SweepStudyConfig[StudyId], SweepStudyConfig[NSweepStratumTotal])</f>
        <v>#VALUE!</v>
      </c>
      <c r="G956" s="3" t="e">
        <f>ROUND(F956 * D956)</f>
        <v>#VALUE!</v>
      </c>
      <c r="H956" s="3" t="e">
        <f>F956 - G956</f>
        <v>#VALUE!</v>
      </c>
      <c r="I956" s="3" t="e">
        <f>LOOKUP(C956, SweepStudyConfig[StudyId], SweepStudyConfig[NFixedA])</f>
        <v>#VALUE!</v>
      </c>
      <c r="J956" s="3" t="e">
        <f>LOOKUP(C956, SweepStudyConfig[StudyId], SweepStudyConfig[NFixedB])</f>
        <v>#VALUE!</v>
      </c>
      <c r="K956" s="3" t="e">
        <f>LOOKUP(C956, SweepStudyConfig[StudyId], SweepStudyConfig[SweepRateA])</f>
        <v>#VALUE!</v>
      </c>
      <c r="L956" s="3" t="e">
        <f>LOOKUP(C956, SweepStudyConfig[StudyId], SweepStudyConfig[SweepRateB])</f>
        <v>#VALUE!</v>
      </c>
      <c r="M956" s="3" t="e">
        <f>LOOKUP(C956, SweepStudyConfig[StudyId], SweepStudyConfig[FixedRateA])</f>
        <v>#VALUE!</v>
      </c>
      <c r="N956" s="3" t="e">
        <f>LOOKUP(C956, SweepStudyConfig[StudyId], SweepStudyConfig[FixedRateB])</f>
        <v>#VALUE!</v>
      </c>
      <c r="O956" s="3" t="e">
        <f>IF(G956 + I956 = 0, "", (G956 * K956 + I956 * M956) / (G956 + I956))</f>
        <v>#VALUE!</v>
      </c>
      <c r="P956" s="3" t="e">
        <f>IF(H956 + J956 = 0, "", (H956 * L956 + J956 * N956) / (H956 + J956))</f>
        <v>#VALUE!</v>
      </c>
      <c r="Q956" s="3" t="e">
        <f>IF(O956 = "", "", O956 - P956)</f>
        <v>#VALUE!</v>
      </c>
      <c r="R956" s="3" t="e">
        <f>LOOKUP(C956, SweepStudyConfig[StudyId], SweepStudyConfig[SweepCorrectedGap])</f>
        <v>#VALUE!</v>
      </c>
      <c r="S956" s="3" t="e">
        <f>IF(Q956 = "", "", Q956 - R956)</f>
        <v>#VALUE!</v>
      </c>
    </row>
    <row r="957">
      <c r="A957" s="2" t="s">
        <v>4245</v>
      </c>
      <c r="B957" s="3" t="str">
        <f>A957</f>
        <v>ad-ctr-platform-mix-f055</v>
      </c>
      <c r="C957" s="2" t="s">
        <v>782</v>
      </c>
      <c r="D957" s="2">
        <v>0.55</v>
      </c>
      <c r="E957" s="3" t="e">
        <f>ABS(D957 - LOOKUP(C957, SweepStudyConfig[StudyId], SweepStudyConfig[OriginalAllocFractionA])) &lt; 0.03</f>
        <v>#VALUE!</v>
      </c>
      <c r="F957" s="3" t="e">
        <f>LOOKUP(C957, SweepStudyConfig[StudyId], SweepStudyConfig[NSweepStratumTotal])</f>
        <v>#VALUE!</v>
      </c>
      <c r="G957" s="3" t="e">
        <f>ROUND(F957 * D957)</f>
        <v>#VALUE!</v>
      </c>
      <c r="H957" s="3" t="e">
        <f>F957 - G957</f>
        <v>#VALUE!</v>
      </c>
      <c r="I957" s="3" t="e">
        <f>LOOKUP(C957, SweepStudyConfig[StudyId], SweepStudyConfig[NFixedA])</f>
        <v>#VALUE!</v>
      </c>
      <c r="J957" s="3" t="e">
        <f>LOOKUP(C957, SweepStudyConfig[StudyId], SweepStudyConfig[NFixedB])</f>
        <v>#VALUE!</v>
      </c>
      <c r="K957" s="3" t="e">
        <f>LOOKUP(C957, SweepStudyConfig[StudyId], SweepStudyConfig[SweepRateA])</f>
        <v>#VALUE!</v>
      </c>
      <c r="L957" s="3" t="e">
        <f>LOOKUP(C957, SweepStudyConfig[StudyId], SweepStudyConfig[SweepRateB])</f>
        <v>#VALUE!</v>
      </c>
      <c r="M957" s="3" t="e">
        <f>LOOKUP(C957, SweepStudyConfig[StudyId], SweepStudyConfig[FixedRateA])</f>
        <v>#VALUE!</v>
      </c>
      <c r="N957" s="3" t="e">
        <f>LOOKUP(C957, SweepStudyConfig[StudyId], SweepStudyConfig[FixedRateB])</f>
        <v>#VALUE!</v>
      </c>
      <c r="O957" s="3" t="e">
        <f>IF(G957 + I957 = 0, "", (G957 * K957 + I957 * M957) / (G957 + I957))</f>
        <v>#VALUE!</v>
      </c>
      <c r="P957" s="3" t="e">
        <f>IF(H957 + J957 = 0, "", (H957 * L957 + J957 * N957) / (H957 + J957))</f>
        <v>#VALUE!</v>
      </c>
      <c r="Q957" s="3" t="e">
        <f>IF(O957 = "", "", O957 - P957)</f>
        <v>#VALUE!</v>
      </c>
      <c r="R957" s="3" t="e">
        <f>LOOKUP(C957, SweepStudyConfig[StudyId], SweepStudyConfig[SweepCorrectedGap])</f>
        <v>#VALUE!</v>
      </c>
      <c r="S957" s="3" t="e">
        <f>IF(Q957 = "", "", Q957 - R957)</f>
        <v>#VALUE!</v>
      </c>
    </row>
    <row r="958">
      <c r="A958" s="2" t="s">
        <v>4246</v>
      </c>
      <c r="B958" s="3" t="str">
        <f>A958</f>
        <v>ad-ctr-platform-mix-f065</v>
      </c>
      <c r="C958" s="2" t="s">
        <v>782</v>
      </c>
      <c r="D958" s="2">
        <v>0.65</v>
      </c>
      <c r="E958" s="3" t="e">
        <f>ABS(D958 - LOOKUP(C958, SweepStudyConfig[StudyId], SweepStudyConfig[OriginalAllocFractionA])) &lt; 0.03</f>
        <v>#VALUE!</v>
      </c>
      <c r="F958" s="3" t="e">
        <f>LOOKUP(C958, SweepStudyConfig[StudyId], SweepStudyConfig[NSweepStratumTotal])</f>
        <v>#VALUE!</v>
      </c>
      <c r="G958" s="3" t="e">
        <f>ROUND(F958 * D958)</f>
        <v>#VALUE!</v>
      </c>
      <c r="H958" s="3" t="e">
        <f>F958 - G958</f>
        <v>#VALUE!</v>
      </c>
      <c r="I958" s="3" t="e">
        <f>LOOKUP(C958, SweepStudyConfig[StudyId], SweepStudyConfig[NFixedA])</f>
        <v>#VALUE!</v>
      </c>
      <c r="J958" s="3" t="e">
        <f>LOOKUP(C958, SweepStudyConfig[StudyId], SweepStudyConfig[NFixedB])</f>
        <v>#VALUE!</v>
      </c>
      <c r="K958" s="3" t="e">
        <f>LOOKUP(C958, SweepStudyConfig[StudyId], SweepStudyConfig[SweepRateA])</f>
        <v>#VALUE!</v>
      </c>
      <c r="L958" s="3" t="e">
        <f>LOOKUP(C958, SweepStudyConfig[StudyId], SweepStudyConfig[SweepRateB])</f>
        <v>#VALUE!</v>
      </c>
      <c r="M958" s="3" t="e">
        <f>LOOKUP(C958, SweepStudyConfig[StudyId], SweepStudyConfig[FixedRateA])</f>
        <v>#VALUE!</v>
      </c>
      <c r="N958" s="3" t="e">
        <f>LOOKUP(C958, SweepStudyConfig[StudyId], SweepStudyConfig[FixedRateB])</f>
        <v>#VALUE!</v>
      </c>
      <c r="O958" s="3" t="e">
        <f>IF(G958 + I958 = 0, "", (G958 * K958 + I958 * M958) / (G958 + I958))</f>
        <v>#VALUE!</v>
      </c>
      <c r="P958" s="3" t="e">
        <f>IF(H958 + J958 = 0, "", (H958 * L958 + J958 * N958) / (H958 + J958))</f>
        <v>#VALUE!</v>
      </c>
      <c r="Q958" s="3" t="e">
        <f>IF(O958 = "", "", O958 - P958)</f>
        <v>#VALUE!</v>
      </c>
      <c r="R958" s="3" t="e">
        <f>LOOKUP(C958, SweepStudyConfig[StudyId], SweepStudyConfig[SweepCorrectedGap])</f>
        <v>#VALUE!</v>
      </c>
      <c r="S958" s="3" t="e">
        <f>IF(Q958 = "", "", Q958 - R958)</f>
        <v>#VALUE!</v>
      </c>
    </row>
    <row r="959">
      <c r="A959" s="2" t="s">
        <v>4247</v>
      </c>
      <c r="B959" s="3" t="str">
        <f>A959</f>
        <v>ad-ctr-platform-mix-f075</v>
      </c>
      <c r="C959" s="2" t="s">
        <v>782</v>
      </c>
      <c r="D959" s="2">
        <v>0.75</v>
      </c>
      <c r="E959" s="3" t="e">
        <f>ABS(D959 - LOOKUP(C959, SweepStudyConfig[StudyId], SweepStudyConfig[OriginalAllocFractionA])) &lt; 0.03</f>
        <v>#VALUE!</v>
      </c>
      <c r="F959" s="3" t="e">
        <f>LOOKUP(C959, SweepStudyConfig[StudyId], SweepStudyConfig[NSweepStratumTotal])</f>
        <v>#VALUE!</v>
      </c>
      <c r="G959" s="3" t="e">
        <f>ROUND(F959 * D959)</f>
        <v>#VALUE!</v>
      </c>
      <c r="H959" s="3" t="e">
        <f>F959 - G959</f>
        <v>#VALUE!</v>
      </c>
      <c r="I959" s="3" t="e">
        <f>LOOKUP(C959, SweepStudyConfig[StudyId], SweepStudyConfig[NFixedA])</f>
        <v>#VALUE!</v>
      </c>
      <c r="J959" s="3" t="e">
        <f>LOOKUP(C959, SweepStudyConfig[StudyId], SweepStudyConfig[NFixedB])</f>
        <v>#VALUE!</v>
      </c>
      <c r="K959" s="3" t="e">
        <f>LOOKUP(C959, SweepStudyConfig[StudyId], SweepStudyConfig[SweepRateA])</f>
        <v>#VALUE!</v>
      </c>
      <c r="L959" s="3" t="e">
        <f>LOOKUP(C959, SweepStudyConfig[StudyId], SweepStudyConfig[SweepRateB])</f>
        <v>#VALUE!</v>
      </c>
      <c r="M959" s="3" t="e">
        <f>LOOKUP(C959, SweepStudyConfig[StudyId], SweepStudyConfig[FixedRateA])</f>
        <v>#VALUE!</v>
      </c>
      <c r="N959" s="3" t="e">
        <f>LOOKUP(C959, SweepStudyConfig[StudyId], SweepStudyConfig[FixedRateB])</f>
        <v>#VALUE!</v>
      </c>
      <c r="O959" s="3" t="e">
        <f>IF(G959 + I959 = 0, "", (G959 * K959 + I959 * M959) / (G959 + I959))</f>
        <v>#VALUE!</v>
      </c>
      <c r="P959" s="3" t="e">
        <f>IF(H959 + J959 = 0, "", (H959 * L959 + J959 * N959) / (H959 + J959))</f>
        <v>#VALUE!</v>
      </c>
      <c r="Q959" s="3" t="e">
        <f>IF(O959 = "", "", O959 - P959)</f>
        <v>#VALUE!</v>
      </c>
      <c r="R959" s="3" t="e">
        <f>LOOKUP(C959, SweepStudyConfig[StudyId], SweepStudyConfig[SweepCorrectedGap])</f>
        <v>#VALUE!</v>
      </c>
      <c r="S959" s="3" t="e">
        <f>IF(Q959 = "", "", Q959 - R959)</f>
        <v>#VALUE!</v>
      </c>
    </row>
    <row r="960">
      <c r="A960" s="2" t="s">
        <v>4248</v>
      </c>
      <c r="B960" s="3" t="str">
        <f>A960</f>
        <v>ad-ctr-platform-mix-f085</v>
      </c>
      <c r="C960" s="2" t="s">
        <v>782</v>
      </c>
      <c r="D960" s="2">
        <v>0.85</v>
      </c>
      <c r="E960" s="3" t="e">
        <f>ABS(D960 - LOOKUP(C960, SweepStudyConfig[StudyId], SweepStudyConfig[OriginalAllocFractionA])) &lt; 0.03</f>
        <v>#VALUE!</v>
      </c>
      <c r="F960" s="3" t="e">
        <f>LOOKUP(C960, SweepStudyConfig[StudyId], SweepStudyConfig[NSweepStratumTotal])</f>
        <v>#VALUE!</v>
      </c>
      <c r="G960" s="3" t="e">
        <f>ROUND(F960 * D960)</f>
        <v>#VALUE!</v>
      </c>
      <c r="H960" s="3" t="e">
        <f>F960 - G960</f>
        <v>#VALUE!</v>
      </c>
      <c r="I960" s="3" t="e">
        <f>LOOKUP(C960, SweepStudyConfig[StudyId], SweepStudyConfig[NFixedA])</f>
        <v>#VALUE!</v>
      </c>
      <c r="J960" s="3" t="e">
        <f>LOOKUP(C960, SweepStudyConfig[StudyId], SweepStudyConfig[NFixedB])</f>
        <v>#VALUE!</v>
      </c>
      <c r="K960" s="3" t="e">
        <f>LOOKUP(C960, SweepStudyConfig[StudyId], SweepStudyConfig[SweepRateA])</f>
        <v>#VALUE!</v>
      </c>
      <c r="L960" s="3" t="e">
        <f>LOOKUP(C960, SweepStudyConfig[StudyId], SweepStudyConfig[SweepRateB])</f>
        <v>#VALUE!</v>
      </c>
      <c r="M960" s="3" t="e">
        <f>LOOKUP(C960, SweepStudyConfig[StudyId], SweepStudyConfig[FixedRateA])</f>
        <v>#VALUE!</v>
      </c>
      <c r="N960" s="3" t="e">
        <f>LOOKUP(C960, SweepStudyConfig[StudyId], SweepStudyConfig[FixedRateB])</f>
        <v>#VALUE!</v>
      </c>
      <c r="O960" s="3" t="e">
        <f>IF(G960 + I960 = 0, "", (G960 * K960 + I960 * M960) / (G960 + I960))</f>
        <v>#VALUE!</v>
      </c>
      <c r="P960" s="3" t="e">
        <f>IF(H960 + J960 = 0, "", (H960 * L960 + J960 * N960) / (H960 + J960))</f>
        <v>#VALUE!</v>
      </c>
      <c r="Q960" s="3" t="e">
        <f>IF(O960 = "", "", O960 - P960)</f>
        <v>#VALUE!</v>
      </c>
      <c r="R960" s="3" t="e">
        <f>LOOKUP(C960, SweepStudyConfig[StudyId], SweepStudyConfig[SweepCorrectedGap])</f>
        <v>#VALUE!</v>
      </c>
      <c r="S960" s="3" t="e">
        <f>IF(Q960 = "", "", Q960 - R960)</f>
        <v>#VALUE!</v>
      </c>
    </row>
    <row r="961">
      <c r="A961" s="2" t="s">
        <v>4249</v>
      </c>
      <c r="B961" s="3" t="str">
        <f>A961</f>
        <v>ad-ctr-platform-mix-f095</v>
      </c>
      <c r="C961" s="2" t="s">
        <v>782</v>
      </c>
      <c r="D961" s="2">
        <v>0.95</v>
      </c>
      <c r="E961" s="3" t="e">
        <f>ABS(D961 - LOOKUP(C961, SweepStudyConfig[StudyId], SweepStudyConfig[OriginalAllocFractionA])) &lt; 0.03</f>
        <v>#VALUE!</v>
      </c>
      <c r="F961" s="3" t="e">
        <f>LOOKUP(C961, SweepStudyConfig[StudyId], SweepStudyConfig[NSweepStratumTotal])</f>
        <v>#VALUE!</v>
      </c>
      <c r="G961" s="3" t="e">
        <f>ROUND(F961 * D961)</f>
        <v>#VALUE!</v>
      </c>
      <c r="H961" s="3" t="e">
        <f>F961 - G961</f>
        <v>#VALUE!</v>
      </c>
      <c r="I961" s="3" t="e">
        <f>LOOKUP(C961, SweepStudyConfig[StudyId], SweepStudyConfig[NFixedA])</f>
        <v>#VALUE!</v>
      </c>
      <c r="J961" s="3" t="e">
        <f>LOOKUP(C961, SweepStudyConfig[StudyId], SweepStudyConfig[NFixedB])</f>
        <v>#VALUE!</v>
      </c>
      <c r="K961" s="3" t="e">
        <f>LOOKUP(C961, SweepStudyConfig[StudyId], SweepStudyConfig[SweepRateA])</f>
        <v>#VALUE!</v>
      </c>
      <c r="L961" s="3" t="e">
        <f>LOOKUP(C961, SweepStudyConfig[StudyId], SweepStudyConfig[SweepRateB])</f>
        <v>#VALUE!</v>
      </c>
      <c r="M961" s="3" t="e">
        <f>LOOKUP(C961, SweepStudyConfig[StudyId], SweepStudyConfig[FixedRateA])</f>
        <v>#VALUE!</v>
      </c>
      <c r="N961" s="3" t="e">
        <f>LOOKUP(C961, SweepStudyConfig[StudyId], SweepStudyConfig[FixedRateB])</f>
        <v>#VALUE!</v>
      </c>
      <c r="O961" s="3" t="e">
        <f>IF(G961 + I961 = 0, "", (G961 * K961 + I961 * M961) / (G961 + I961))</f>
        <v>#VALUE!</v>
      </c>
      <c r="P961" s="3" t="e">
        <f>IF(H961 + J961 = 0, "", (H961 * L961 + J961 * N961) / (H961 + J961))</f>
        <v>#VALUE!</v>
      </c>
      <c r="Q961" s="3" t="e">
        <f>IF(O961 = "", "", O961 - P961)</f>
        <v>#VALUE!</v>
      </c>
      <c r="R961" s="3" t="e">
        <f>LOOKUP(C961, SweepStudyConfig[StudyId], SweepStudyConfig[SweepCorrectedGap])</f>
        <v>#VALUE!</v>
      </c>
      <c r="S961" s="3" t="e">
        <f>IF(Q961 = "", "", Q961 - R961)</f>
        <v>#VALUE!</v>
      </c>
    </row>
  </sheetData>
  <autoFilter ref="A1:S1"/>
  <headerFooter/>
  <legacyDrawing r:id="rId1"/>
</worksheet>
</file>

<file path=xl/worksheets/sheet1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97"/>
  <sheetViews>
    <sheetView workbookViewId="0">
      <pane ySplit="1" topLeftCell="A2" state="frozen" activePane="bottomLeft"/>
      <selection pane="bottomLeft" activeCell="A1" sqref="A1"/>
    </sheetView>
  </sheetViews>
  <sheetFormatPr defaultRowHeight="15"/>
  <cols>
    <col min="1" max="1" width="33.19231414794922" customWidth="1"/>
    <col min="2" max="2" width="33.19231414794922" customWidth="1"/>
    <col min="3" max="3" width="20.331586837768555" customWidth="1"/>
    <col min="4" max="4" width="22.796754837036133" customWidth="1"/>
    <col min="5" max="5" width="24.4102725982666" customWidth="1"/>
    <col min="6" max="6" width="23.91794204711914" customWidth="1"/>
    <col min="7" max="7" width="26.449399948120117" customWidth="1"/>
    <col min="8" max="8" width="21.770854949951172" customWidth="1"/>
    <col min="9" max="9" width="21.264066696166992" customWidth="1"/>
    <col min="10" max="10" width="23.870744705200195" customWidth="1"/>
    <col min="11" max="11" width="23.295568466186523" customWidth="1"/>
    <col min="12" max="12" width="51.7191047668457" customWidth="1"/>
    <col min="13" max="13" width="20.236066818237305" customWidth="1"/>
  </cols>
  <sheetData>
    <row r="1">
      <c r="A1" s="1" t="s">
        <v>4250</v>
      </c>
      <c r="B1" s="1" t="s">
        <v>1</v>
      </c>
      <c r="C1" s="1" t="s">
        <v>4251</v>
      </c>
      <c r="D1" s="1" t="s">
        <v>4252</v>
      </c>
      <c r="E1" s="1" t="s">
        <v>2261</v>
      </c>
      <c r="F1" s="1" t="s">
        <v>2262</v>
      </c>
      <c r="G1" s="1" t="s">
        <v>2263</v>
      </c>
      <c r="H1" s="1" t="s">
        <v>4253</v>
      </c>
      <c r="I1" s="1" t="s">
        <v>4254</v>
      </c>
      <c r="J1" s="1" t="s">
        <v>2264</v>
      </c>
      <c r="K1" s="1" t="s">
        <v>2610</v>
      </c>
      <c r="L1" s="1" t="s">
        <v>4255</v>
      </c>
      <c r="M1" s="1" t="s">
        <v>4256</v>
      </c>
    </row>
    <row r="2">
      <c r="A2" s="2" t="s">
        <v>414</v>
      </c>
      <c r="B2" s="3" t="str">
        <f>A2</f>
        <v>kidney-1986</v>
      </c>
      <c r="C2" s="3" t="e">
        <f>LOOKUP(A2, TreatmentRankings[Study], TreatmentRankings[DistortionType])</f>
        <v>#VALUE!</v>
      </c>
      <c r="D2" s="3">
        <f>_xlfn.MINIFS(AllocationSweep!R2:R999,AllocationSweep!C2:C999, A2)</f>
        <v>0</v>
      </c>
      <c r="E2" s="3">
        <f>_xlfn.MAXIFS(AllocationSweep!R2:R999,AllocationSweep!C2:C999, A2)</f>
        <v>0</v>
      </c>
      <c r="F2" s="3">
        <f>_xlfn.MINIFS(AllocationSweep!R2:R999,AllocationSweep!C2:C999, A2)</f>
        <v>0</v>
      </c>
      <c r="G2" s="3">
        <f>E2 - F2</f>
        <v>0</v>
      </c>
      <c r="H2" s="3">
        <f>_xlfn.MAXIFS(AllocationSweep!Q2:Q999,AllocationSweep!C2:C999, A2)</f>
        <v>0</v>
      </c>
      <c r="I2" s="3">
        <f>_xlfn.MINIFS(AllocationSweep!Q2:Q999,AllocationSweep!C2:C999, A2)</f>
        <v>0</v>
      </c>
      <c r="J2" s="3">
        <f>H2 - I2</f>
        <v>0</v>
      </c>
      <c r="K2" s="3" t="b">
        <f>AND(I2 &lt; 0, H2 &gt; 0)</f>
        <v>0</v>
      </c>
      <c r="L2" s="3" t="str">
        <f>IF(G2 &lt; 0.0001, "PASS: CorrectedGap invariant across allocation sweep", "FAIL: CorrectedGap varies — formula error")</f>
        <v>PASS: CorrectedGap invariant across allocation sweep</v>
      </c>
      <c r="M2" s="3" t="e">
        <f>LOOKUP(A2, SweepStudyConfig[StudyId], SweepStudyConfig[SweepStratumLabel])</f>
        <v>#VALUE!</v>
      </c>
    </row>
    <row r="3">
      <c r="A3" s="2" t="s">
        <v>420</v>
      </c>
      <c r="B3" s="3" t="str">
        <f>A3</f>
        <v>balanced-synthetic</v>
      </c>
      <c r="C3" s="3" t="e">
        <f>LOOKUP(A3, TreatmentRankings[Study], TreatmentRankings[DistortionType])</f>
        <v>#VALUE!</v>
      </c>
      <c r="D3" s="3">
        <f>_xlfn.MINIFS(AllocationSweep!R2:R999,AllocationSweep!C2:C999, A3)</f>
        <v>0</v>
      </c>
      <c r="E3" s="3">
        <f>_xlfn.MAXIFS(AllocationSweep!R2:R999,AllocationSweep!C2:C999, A3)</f>
        <v>0</v>
      </c>
      <c r="F3" s="3">
        <f>_xlfn.MINIFS(AllocationSweep!R2:R999,AllocationSweep!C2:C999, A3)</f>
        <v>0</v>
      </c>
      <c r="G3" s="3">
        <f>E3 - F3</f>
        <v>0</v>
      </c>
      <c r="H3" s="3">
        <f>_xlfn.MAXIFS(AllocationSweep!Q2:Q999,AllocationSweep!C2:C999, A3)</f>
        <v>0</v>
      </c>
      <c r="I3" s="3">
        <f>_xlfn.MINIFS(AllocationSweep!Q2:Q999,AllocationSweep!C2:C999, A3)</f>
        <v>0</v>
      </c>
      <c r="J3" s="3">
        <f>H3 - I3</f>
        <v>0</v>
      </c>
      <c r="K3" s="3" t="b">
        <f>AND(I3 &lt; 0, H3 &gt; 0)</f>
        <v>0</v>
      </c>
      <c r="L3" s="3" t="str">
        <f>IF(G3 &lt; 0.0001, "PASS: CorrectedGap invariant across allocation sweep", "FAIL: CorrectedGap varies — formula error")</f>
        <v>PASS: CorrectedGap invariant across allocation sweep</v>
      </c>
      <c r="M3" s="3" t="e">
        <f>LOOKUP(A3, SweepStudyConfig[StudyId], SweepStudyConfig[SweepStratumLabel])</f>
        <v>#VALUE!</v>
      </c>
    </row>
    <row r="4">
      <c r="A4" s="2" t="s">
        <v>425</v>
      </c>
      <c r="B4" s="3" t="str">
        <f>A4</f>
        <v>kidney-balanced</v>
      </c>
      <c r="C4" s="3" t="e">
        <f>LOOKUP(A4, TreatmentRankings[Study], TreatmentRankings[DistortionType])</f>
        <v>#VALUE!</v>
      </c>
      <c r="D4" s="3">
        <f>_xlfn.MINIFS(AllocationSweep!R2:R999,AllocationSweep!C2:C999, A4)</f>
        <v>0</v>
      </c>
      <c r="E4" s="3">
        <f>_xlfn.MAXIFS(AllocationSweep!R2:R999,AllocationSweep!C2:C999, A4)</f>
        <v>0</v>
      </c>
      <c r="F4" s="3">
        <f>_xlfn.MINIFS(AllocationSweep!R2:R999,AllocationSweep!C2:C999, A4)</f>
        <v>0</v>
      </c>
      <c r="G4" s="3">
        <f>E4 - F4</f>
        <v>0</v>
      </c>
      <c r="H4" s="3">
        <f>_xlfn.MAXIFS(AllocationSweep!Q2:Q999,AllocationSweep!C2:C999, A4)</f>
        <v>0</v>
      </c>
      <c r="I4" s="3">
        <f>_xlfn.MINIFS(AllocationSweep!Q2:Q999,AllocationSweep!C2:C999, A4)</f>
        <v>0</v>
      </c>
      <c r="J4" s="3">
        <f>H4 - I4</f>
        <v>0</v>
      </c>
      <c r="K4" s="3" t="b">
        <f>AND(I4 &lt; 0, H4 &gt; 0)</f>
        <v>0</v>
      </c>
      <c r="L4" s="3" t="str">
        <f>IF(G4 &lt; 0.0001, "PASS: CorrectedGap invariant across allocation sweep", "FAIL: CorrectedGap varies — formula error")</f>
        <v>PASS: CorrectedGap invariant across allocation sweep</v>
      </c>
      <c r="M4" s="3" t="e">
        <f>LOOKUP(A4, SweepStudyConfig[StudyId], SweepStudyConfig[SweepStratumLabel])</f>
        <v>#VALUE!</v>
      </c>
    </row>
    <row r="5">
      <c r="A5" s="2" t="s">
        <v>428</v>
      </c>
      <c r="B5" s="3" t="str">
        <f>A5</f>
        <v>berkeley-1973</v>
      </c>
      <c r="C5" s="3" t="e">
        <f>LOOKUP(A5, TreatmentRankings[Study], TreatmentRankings[DistortionType])</f>
        <v>#VALUE!</v>
      </c>
      <c r="D5" s="3">
        <f>_xlfn.MINIFS(AllocationSweep!R2:R999,AllocationSweep!C2:C999, A5)</f>
        <v>0</v>
      </c>
      <c r="E5" s="3">
        <f>_xlfn.MAXIFS(AllocationSweep!R2:R999,AllocationSweep!C2:C999, A5)</f>
        <v>0</v>
      </c>
      <c r="F5" s="3">
        <f>_xlfn.MINIFS(AllocationSweep!R2:R999,AllocationSweep!C2:C999, A5)</f>
        <v>0</v>
      </c>
      <c r="G5" s="3">
        <f>E5 - F5</f>
        <v>0</v>
      </c>
      <c r="H5" s="3">
        <f>_xlfn.MAXIFS(AllocationSweep!Q2:Q999,AllocationSweep!C2:C999, A5)</f>
        <v>0</v>
      </c>
      <c r="I5" s="3">
        <f>_xlfn.MINIFS(AllocationSweep!Q2:Q999,AllocationSweep!C2:C999, A5)</f>
        <v>0</v>
      </c>
      <c r="J5" s="3">
        <f>H5 - I5</f>
        <v>0</v>
      </c>
      <c r="K5" s="3" t="b">
        <f>AND(I5 &lt; 0, H5 &gt; 0)</f>
        <v>0</v>
      </c>
      <c r="L5" s="3" t="str">
        <f>IF(G5 &lt; 0.0001, "PASS: CorrectedGap invariant across allocation sweep", "FAIL: CorrectedGap varies — formula error")</f>
        <v>PASS: CorrectedGap invariant across allocation sweep</v>
      </c>
      <c r="M5" s="3" t="e">
        <f>LOOKUP(A5, SweepStudyConfig[StudyId], SweepStudyConfig[SweepStratumLabel])</f>
        <v>#VALUE!</v>
      </c>
    </row>
    <row r="6">
      <c r="A6" s="2" t="s">
        <v>434</v>
      </c>
      <c r="B6" s="3" t="str">
        <f>A6</f>
        <v>compressed-synthetic</v>
      </c>
      <c r="C6" s="3" t="e">
        <f>LOOKUP(A6, TreatmentRankings[Study], TreatmentRankings[DistortionType])</f>
        <v>#VALUE!</v>
      </c>
      <c r="D6" s="3">
        <f>_xlfn.MINIFS(AllocationSweep!R2:R999,AllocationSweep!C2:C999, A6)</f>
        <v>0</v>
      </c>
      <c r="E6" s="3">
        <f>_xlfn.MAXIFS(AllocationSweep!R2:R999,AllocationSweep!C2:C999, A6)</f>
        <v>0</v>
      </c>
      <c r="F6" s="3">
        <f>_xlfn.MINIFS(AllocationSweep!R2:R999,AllocationSweep!C2:C999, A6)</f>
        <v>0</v>
      </c>
      <c r="G6" s="3">
        <f>E6 - F6</f>
        <v>0</v>
      </c>
      <c r="H6" s="3">
        <f>_xlfn.MAXIFS(AllocationSweep!Q2:Q999,AllocationSweep!C2:C999, A6)</f>
        <v>0</v>
      </c>
      <c r="I6" s="3">
        <f>_xlfn.MINIFS(AllocationSweep!Q2:Q999,AllocationSweep!C2:C999, A6)</f>
        <v>0</v>
      </c>
      <c r="J6" s="3">
        <f>H6 - I6</f>
        <v>0</v>
      </c>
      <c r="K6" s="3" t="b">
        <f>AND(I6 &lt; 0, H6 &gt; 0)</f>
        <v>0</v>
      </c>
      <c r="L6" s="3" t="str">
        <f>IF(G6 &lt; 0.0001, "PASS: CorrectedGap invariant across allocation sweep", "FAIL: CorrectedGap varies — formula error")</f>
        <v>PASS: CorrectedGap invariant across allocation sweep</v>
      </c>
      <c r="M6" s="3" t="e">
        <f>LOOKUP(A6, SweepStudyConfig[StudyId], SweepStudyConfig[SweepStratumLabel])</f>
        <v>#VALUE!</v>
      </c>
    </row>
    <row r="7">
      <c r="A7" s="2" t="s">
        <v>437</v>
      </c>
      <c r="B7" s="3" t="str">
        <f>A7</f>
        <v>reintjes-2000</v>
      </c>
      <c r="C7" s="3" t="e">
        <f>LOOKUP(A7, TreatmentRankings[Study], TreatmentRankings[DistortionType])</f>
        <v>#VALUE!</v>
      </c>
      <c r="D7" s="3">
        <f>_xlfn.MINIFS(AllocationSweep!R2:R999,AllocationSweep!C2:C999, A7)</f>
        <v>0</v>
      </c>
      <c r="E7" s="3">
        <f>_xlfn.MAXIFS(AllocationSweep!R2:R999,AllocationSweep!C2:C999, A7)</f>
        <v>0</v>
      </c>
      <c r="F7" s="3">
        <f>_xlfn.MINIFS(AllocationSweep!R2:R999,AllocationSweep!C2:C999, A7)</f>
        <v>0</v>
      </c>
      <c r="G7" s="3">
        <f>E7 - F7</f>
        <v>0</v>
      </c>
      <c r="H7" s="3">
        <f>_xlfn.MAXIFS(AllocationSweep!Q2:Q999,AllocationSweep!C2:C999, A7)</f>
        <v>0</v>
      </c>
      <c r="I7" s="3">
        <f>_xlfn.MINIFS(AllocationSweep!Q2:Q999,AllocationSweep!C2:C999, A7)</f>
        <v>0</v>
      </c>
      <c r="J7" s="3">
        <f>H7 - I7</f>
        <v>0</v>
      </c>
      <c r="K7" s="3" t="b">
        <f>AND(I7 &lt; 0, H7 &gt; 0)</f>
        <v>0</v>
      </c>
      <c r="L7" s="3" t="str">
        <f>IF(G7 &lt; 0.0001, "PASS: CorrectedGap invariant across allocation sweep", "FAIL: CorrectedGap varies — formula error")</f>
        <v>PASS: CorrectedGap invariant across allocation sweep</v>
      </c>
      <c r="M7" s="3" t="e">
        <f>LOOKUP(A7, SweepStudyConfig[StudyId], SweepStudyConfig[SweepStratumLabel])</f>
        <v>#VALUE!</v>
      </c>
    </row>
    <row r="8">
      <c r="A8" s="2" t="s">
        <v>442</v>
      </c>
      <c r="B8" s="3" t="str">
        <f>A8</f>
        <v>radelet-1981</v>
      </c>
      <c r="C8" s="3" t="e">
        <f>LOOKUP(A8, TreatmentRankings[Study], TreatmentRankings[DistortionType])</f>
        <v>#VALUE!</v>
      </c>
      <c r="D8" s="3">
        <f>_xlfn.MINIFS(AllocationSweep!R2:R999,AllocationSweep!C2:C999, A8)</f>
        <v>0</v>
      </c>
      <c r="E8" s="3">
        <f>_xlfn.MAXIFS(AllocationSweep!R2:R999,AllocationSweep!C2:C999, A8)</f>
        <v>0</v>
      </c>
      <c r="F8" s="3">
        <f>_xlfn.MINIFS(AllocationSweep!R2:R999,AllocationSweep!C2:C999, A8)</f>
        <v>0</v>
      </c>
      <c r="G8" s="3">
        <f>E8 - F8</f>
        <v>0</v>
      </c>
      <c r="H8" s="3">
        <f>_xlfn.MAXIFS(AllocationSweep!Q2:Q999,AllocationSweep!C2:C999, A8)</f>
        <v>0</v>
      </c>
      <c r="I8" s="3">
        <f>_xlfn.MINIFS(AllocationSweep!Q2:Q999,AllocationSweep!C2:C999, A8)</f>
        <v>0</v>
      </c>
      <c r="J8" s="3">
        <f>H8 - I8</f>
        <v>0</v>
      </c>
      <c r="K8" s="3" t="b">
        <f>AND(I8 &lt; 0, H8 &gt; 0)</f>
        <v>0</v>
      </c>
      <c r="L8" s="3" t="str">
        <f>IF(G8 &lt; 0.0001, "PASS: CorrectedGap invariant across allocation sweep", "FAIL: CorrectedGap varies — formula error")</f>
        <v>PASS: CorrectedGap invariant across allocation sweep</v>
      </c>
      <c r="M8" s="3" t="e">
        <f>LOOKUP(A8, SweepStudyConfig[StudyId], SweepStudyConfig[SweepStratumLabel])</f>
        <v>#VALUE!</v>
      </c>
    </row>
    <row r="9">
      <c r="A9" s="2" t="s">
        <v>448</v>
      </c>
      <c r="B9" s="3" t="str">
        <f>A9</f>
        <v>jeter-justice-1997</v>
      </c>
      <c r="C9" s="3" t="e">
        <f>LOOKUP(A9, TreatmentRankings[Study], TreatmentRankings[DistortionType])</f>
        <v>#VALUE!</v>
      </c>
      <c r="D9" s="3">
        <f>_xlfn.MINIFS(AllocationSweep!R2:R999,AllocationSweep!C2:C999, A9)</f>
        <v>0</v>
      </c>
      <c r="E9" s="3">
        <f>_xlfn.MAXIFS(AllocationSweep!R2:R999,AllocationSweep!C2:C999, A9)</f>
        <v>0</v>
      </c>
      <c r="F9" s="3">
        <f>_xlfn.MINIFS(AllocationSweep!R2:R999,AllocationSweep!C2:C999, A9)</f>
        <v>0</v>
      </c>
      <c r="G9" s="3">
        <f>E9 - F9</f>
        <v>0</v>
      </c>
      <c r="H9" s="3">
        <f>_xlfn.MAXIFS(AllocationSweep!Q2:Q999,AllocationSweep!C2:C999, A9)</f>
        <v>0</v>
      </c>
      <c r="I9" s="3">
        <f>_xlfn.MINIFS(AllocationSweep!Q2:Q999,AllocationSweep!C2:C999, A9)</f>
        <v>0</v>
      </c>
      <c r="J9" s="3">
        <f>H9 - I9</f>
        <v>0</v>
      </c>
      <c r="K9" s="3" t="b">
        <f>AND(I9 &lt; 0, H9 &gt; 0)</f>
        <v>0</v>
      </c>
      <c r="L9" s="3" t="str">
        <f>IF(G9 &lt; 0.0001, "PASS: CorrectedGap invariant across allocation sweep", "FAIL: CorrectedGap varies — formula error")</f>
        <v>PASS: CorrectedGap invariant across allocation sweep</v>
      </c>
      <c r="M9" s="3" t="e">
        <f>LOOKUP(A9, SweepStudyConfig[StudyId], SweepStudyConfig[SweepStratumLabel])</f>
        <v>#VALUE!</v>
      </c>
    </row>
    <row r="10">
      <c r="A10" s="2" t="s">
        <v>453</v>
      </c>
      <c r="B10" s="3" t="str">
        <f>A10</f>
        <v>appleton-1996</v>
      </c>
      <c r="C10" s="3" t="e">
        <f>LOOKUP(A10, TreatmentRankings[Study], TreatmentRankings[DistortionType])</f>
        <v>#VALUE!</v>
      </c>
      <c r="D10" s="3">
        <f>_xlfn.MINIFS(AllocationSweep!R2:R999,AllocationSweep!C2:C999, A10)</f>
        <v>0</v>
      </c>
      <c r="E10" s="3">
        <f>_xlfn.MAXIFS(AllocationSweep!R2:R999,AllocationSweep!C2:C999, A10)</f>
        <v>0</v>
      </c>
      <c r="F10" s="3">
        <f>_xlfn.MINIFS(AllocationSweep!R2:R999,AllocationSweep!C2:C999, A10)</f>
        <v>0</v>
      </c>
      <c r="G10" s="3">
        <f>E10 - F10</f>
        <v>0</v>
      </c>
      <c r="H10" s="3">
        <f>_xlfn.MAXIFS(AllocationSweep!Q2:Q999,AllocationSweep!C2:C999, A10)</f>
        <v>0</v>
      </c>
      <c r="I10" s="3">
        <f>_xlfn.MINIFS(AllocationSweep!Q2:Q999,AllocationSweep!C2:C999, A10)</f>
        <v>0</v>
      </c>
      <c r="J10" s="3">
        <f>H10 - I10</f>
        <v>0</v>
      </c>
      <c r="K10" s="3" t="b">
        <f>AND(I10 &lt; 0, H10 &gt; 0)</f>
        <v>0</v>
      </c>
      <c r="L10" s="3" t="str">
        <f>IF(G10 &lt; 0.0001, "PASS: CorrectedGap invariant across allocation sweep", "FAIL: CorrectedGap varies — formula error")</f>
        <v>PASS: CorrectedGap invariant across allocation sweep</v>
      </c>
      <c r="M10" s="3" t="e">
        <f>LOOKUP(A10, SweepStudyConfig[StudyId], SweepStudyConfig[SweepStratumLabel])</f>
        <v>#VALUE!</v>
      </c>
    </row>
    <row r="11">
      <c r="A11" s="2" t="s">
        <v>457</v>
      </c>
      <c r="B11" s="3" t="str">
        <f>A11</f>
        <v>phe-covid-2021</v>
      </c>
      <c r="C11" s="3" t="e">
        <f>LOOKUP(A11, TreatmentRankings[Study], TreatmentRankings[DistortionType])</f>
        <v>#VALUE!</v>
      </c>
      <c r="D11" s="3">
        <f>_xlfn.MINIFS(AllocationSweep!R2:R999,AllocationSweep!C2:C999, A11)</f>
        <v>0</v>
      </c>
      <c r="E11" s="3">
        <f>_xlfn.MAXIFS(AllocationSweep!R2:R999,AllocationSweep!C2:C999, A11)</f>
        <v>0</v>
      </c>
      <c r="F11" s="3">
        <f>_xlfn.MINIFS(AllocationSweep!R2:R999,AllocationSweep!C2:C999, A11)</f>
        <v>0</v>
      </c>
      <c r="G11" s="3">
        <f>E11 - F11</f>
        <v>0</v>
      </c>
      <c r="H11" s="3">
        <f>_xlfn.MAXIFS(AllocationSweep!Q2:Q999,AllocationSweep!C2:C999, A11)</f>
        <v>0</v>
      </c>
      <c r="I11" s="3">
        <f>_xlfn.MINIFS(AllocationSweep!Q2:Q999,AllocationSweep!C2:C999, A11)</f>
        <v>0</v>
      </c>
      <c r="J11" s="3">
        <f>H11 - I11</f>
        <v>0</v>
      </c>
      <c r="K11" s="3" t="b">
        <f>AND(I11 &lt; 0, H11 &gt; 0)</f>
        <v>0</v>
      </c>
      <c r="L11" s="3" t="str">
        <f>IF(G11 &lt; 0.0001, "PASS: CorrectedGap invariant across allocation sweep", "FAIL: CorrectedGap varies — formula error")</f>
        <v>PASS: CorrectedGap invariant across allocation sweep</v>
      </c>
      <c r="M11" s="3" t="e">
        <f>LOOKUP(A11, SweepStudyConfig[StudyId], SweepStudyConfig[SweepStratumLabel])</f>
        <v>#VALUE!</v>
      </c>
    </row>
    <row r="12">
      <c r="A12" s="2" t="s">
        <v>462</v>
      </c>
      <c r="B12" s="3" t="str">
        <f>A12</f>
        <v>hannan-1994</v>
      </c>
      <c r="C12" s="3" t="e">
        <f>LOOKUP(A12, TreatmentRankings[Study], TreatmentRankings[DistortionType])</f>
        <v>#VALUE!</v>
      </c>
      <c r="D12" s="3">
        <f>_xlfn.MINIFS(AllocationSweep!R2:R999,AllocationSweep!C2:C999, A12)</f>
        <v>0</v>
      </c>
      <c r="E12" s="3">
        <f>_xlfn.MAXIFS(AllocationSweep!R2:R999,AllocationSweep!C2:C999, A12)</f>
        <v>0</v>
      </c>
      <c r="F12" s="3">
        <f>_xlfn.MINIFS(AllocationSweep!R2:R999,AllocationSweep!C2:C999, A12)</f>
        <v>0</v>
      </c>
      <c r="G12" s="3">
        <f>E12 - F12</f>
        <v>0</v>
      </c>
      <c r="H12" s="3">
        <f>_xlfn.MAXIFS(AllocationSweep!Q2:Q999,AllocationSweep!C2:C999, A12)</f>
        <v>0</v>
      </c>
      <c r="I12" s="3">
        <f>_xlfn.MINIFS(AllocationSweep!Q2:Q999,AllocationSweep!C2:C999, A12)</f>
        <v>0</v>
      </c>
      <c r="J12" s="3">
        <f>H12 - I12</f>
        <v>0</v>
      </c>
      <c r="K12" s="3" t="b">
        <f>AND(I12 &lt; 0, H12 &gt; 0)</f>
        <v>0</v>
      </c>
      <c r="L12" s="3" t="str">
        <f>IF(G12 &lt; 0.0001, "PASS: CorrectedGap invariant across allocation sweep", "FAIL: CorrectedGap varies — formula error")</f>
        <v>PASS: CorrectedGap invariant across allocation sweep</v>
      </c>
      <c r="M12" s="3" t="e">
        <f>LOOKUP(A12, SweepStudyConfig[StudyId], SweepStudyConfig[SweepStratumLabel])</f>
        <v>#VALUE!</v>
      </c>
    </row>
    <row r="13">
      <c r="A13" s="2" t="s">
        <v>466</v>
      </c>
      <c r="B13" s="3" t="str">
        <f>A13</f>
        <v>titanic-1912</v>
      </c>
      <c r="C13" s="3" t="e">
        <f>LOOKUP(A13, TreatmentRankings[Study], TreatmentRankings[DistortionType])</f>
        <v>#VALUE!</v>
      </c>
      <c r="D13" s="3">
        <f>_xlfn.MINIFS(AllocationSweep!R2:R999,AllocationSweep!C2:C999, A13)</f>
        <v>0</v>
      </c>
      <c r="E13" s="3">
        <f>_xlfn.MAXIFS(AllocationSweep!R2:R999,AllocationSweep!C2:C999, A13)</f>
        <v>0</v>
      </c>
      <c r="F13" s="3">
        <f>_xlfn.MINIFS(AllocationSweep!R2:R999,AllocationSweep!C2:C999, A13)</f>
        <v>0</v>
      </c>
      <c r="G13" s="3">
        <f>E13 - F13</f>
        <v>0</v>
      </c>
      <c r="H13" s="3">
        <f>_xlfn.MAXIFS(AllocationSweep!Q2:Q999,AllocationSweep!C2:C999, A13)</f>
        <v>0</v>
      </c>
      <c r="I13" s="3">
        <f>_xlfn.MINIFS(AllocationSweep!Q2:Q999,AllocationSweep!C2:C999, A13)</f>
        <v>0</v>
      </c>
      <c r="J13" s="3">
        <f>H13 - I13</f>
        <v>0</v>
      </c>
      <c r="K13" s="3" t="b">
        <f>AND(I13 &lt; 0, H13 &gt; 0)</f>
        <v>0</v>
      </c>
      <c r="L13" s="3" t="str">
        <f>IF(G13 &lt; 0.0001, "PASS: CorrectedGap invariant across allocation sweep", "FAIL: CorrectedGap varies — formula error")</f>
        <v>PASS: CorrectedGap invariant across allocation sweep</v>
      </c>
      <c r="M13" s="3" t="e">
        <f>LOOKUP(A13, SweepStudyConfig[StudyId], SweepStudyConfig[SweepStratumLabel])</f>
        <v>#VALUE!</v>
      </c>
    </row>
    <row r="14">
      <c r="A14" s="2" t="s">
        <v>470</v>
      </c>
      <c r="B14" s="3" t="str">
        <f>A14</f>
        <v>birth-weight-paradox</v>
      </c>
      <c r="C14" s="3" t="e">
        <f>LOOKUP(A14, TreatmentRankings[Study], TreatmentRankings[DistortionType])</f>
        <v>#VALUE!</v>
      </c>
      <c r="D14" s="3">
        <f>_xlfn.MINIFS(AllocationSweep!R2:R999,AllocationSweep!C2:C999, A14)</f>
        <v>0</v>
      </c>
      <c r="E14" s="3">
        <f>_xlfn.MAXIFS(AllocationSweep!R2:R999,AllocationSweep!C2:C999, A14)</f>
        <v>0</v>
      </c>
      <c r="F14" s="3">
        <f>_xlfn.MINIFS(AllocationSweep!R2:R999,AllocationSweep!C2:C999, A14)</f>
        <v>0</v>
      </c>
      <c r="G14" s="3">
        <f>E14 - F14</f>
        <v>0</v>
      </c>
      <c r="H14" s="3">
        <f>_xlfn.MAXIFS(AllocationSweep!Q2:Q999,AllocationSweep!C2:C999, A14)</f>
        <v>0</v>
      </c>
      <c r="I14" s="3">
        <f>_xlfn.MINIFS(AllocationSweep!Q2:Q999,AllocationSweep!C2:C999, A14)</f>
        <v>0</v>
      </c>
      <c r="J14" s="3">
        <f>H14 - I14</f>
        <v>0</v>
      </c>
      <c r="K14" s="3" t="b">
        <f>AND(I14 &lt; 0, H14 &gt; 0)</f>
        <v>0</v>
      </c>
      <c r="L14" s="3" t="str">
        <f>IF(G14 &lt; 0.0001, "PASS: CorrectedGap invariant across allocation sweep", "FAIL: CorrectedGap varies — formula error")</f>
        <v>PASS: CorrectedGap invariant across allocation sweep</v>
      </c>
      <c r="M14" s="3" t="e">
        <f>LOOKUP(A14, SweepStudyConfig[StudyId], SweepStudyConfig[SweepStratumLabel])</f>
        <v>#VALUE!</v>
      </c>
    </row>
    <row r="15">
      <c r="A15" s="2" t="s">
        <v>475</v>
      </c>
      <c r="B15" s="3" t="str">
        <f>A15</f>
        <v>melanoma-altman-1991</v>
      </c>
      <c r="C15" s="3" t="e">
        <f>LOOKUP(A15, TreatmentRankings[Study], TreatmentRankings[DistortionType])</f>
        <v>#VALUE!</v>
      </c>
      <c r="D15" s="3">
        <f>_xlfn.MINIFS(AllocationSweep!R2:R999,AllocationSweep!C2:C999, A15)</f>
        <v>0</v>
      </c>
      <c r="E15" s="3">
        <f>_xlfn.MAXIFS(AllocationSweep!R2:R999,AllocationSweep!C2:C999, A15)</f>
        <v>0</v>
      </c>
      <c r="F15" s="3">
        <f>_xlfn.MINIFS(AllocationSweep!R2:R999,AllocationSweep!C2:C999, A15)</f>
        <v>0</v>
      </c>
      <c r="G15" s="3">
        <f>E15 - F15</f>
        <v>0</v>
      </c>
      <c r="H15" s="3">
        <f>_xlfn.MAXIFS(AllocationSweep!Q2:Q999,AllocationSweep!C2:C999, A15)</f>
        <v>0</v>
      </c>
      <c r="I15" s="3">
        <f>_xlfn.MINIFS(AllocationSweep!Q2:Q999,AllocationSweep!C2:C999, A15)</f>
        <v>0</v>
      </c>
      <c r="J15" s="3">
        <f>H15 - I15</f>
        <v>0</v>
      </c>
      <c r="K15" s="3" t="b">
        <f>AND(I15 &lt; 0, H15 &gt; 0)</f>
        <v>0</v>
      </c>
      <c r="L15" s="3" t="str">
        <f>IF(G15 &lt; 0.0001, "PASS: CorrectedGap invariant across allocation sweep", "FAIL: CorrectedGap varies — formula error")</f>
        <v>PASS: CorrectedGap invariant across allocation sweep</v>
      </c>
      <c r="M15" s="3" t="e">
        <f>LOOKUP(A15, SweepStudyConfig[StudyId], SweepStudyConfig[SweepStratumLabel])</f>
        <v>#VALUE!</v>
      </c>
    </row>
    <row r="16">
      <c r="A16" s="2" t="s">
        <v>479</v>
      </c>
      <c r="B16" s="3" t="str">
        <f>A16</f>
        <v>coffee-tverdal-2020</v>
      </c>
      <c r="C16" s="3" t="e">
        <f>LOOKUP(A16, TreatmentRankings[Study], TreatmentRankings[DistortionType])</f>
        <v>#VALUE!</v>
      </c>
      <c r="D16" s="3">
        <f>_xlfn.MINIFS(AllocationSweep!R2:R999,AllocationSweep!C2:C999, A16)</f>
        <v>0</v>
      </c>
      <c r="E16" s="3">
        <f>_xlfn.MAXIFS(AllocationSweep!R2:R999,AllocationSweep!C2:C999, A16)</f>
        <v>0</v>
      </c>
      <c r="F16" s="3">
        <f>_xlfn.MINIFS(AllocationSweep!R2:R999,AllocationSweep!C2:C999, A16)</f>
        <v>0</v>
      </c>
      <c r="G16" s="3">
        <f>E16 - F16</f>
        <v>0</v>
      </c>
      <c r="H16" s="3">
        <f>_xlfn.MAXIFS(AllocationSweep!Q2:Q999,AllocationSweep!C2:C999, A16)</f>
        <v>0</v>
      </c>
      <c r="I16" s="3">
        <f>_xlfn.MINIFS(AllocationSweep!Q2:Q999,AllocationSweep!C2:C999, A16)</f>
        <v>0</v>
      </c>
      <c r="J16" s="3">
        <f>H16 - I16</f>
        <v>0</v>
      </c>
      <c r="K16" s="3" t="b">
        <f>AND(I16 &lt; 0, H16 &gt; 0)</f>
        <v>0</v>
      </c>
      <c r="L16" s="3" t="str">
        <f>IF(G16 &lt; 0.0001, "PASS: CorrectedGap invariant across allocation sweep", "FAIL: CorrectedGap varies — formula error")</f>
        <v>PASS: CorrectedGap invariant across allocation sweep</v>
      </c>
      <c r="M16" s="3" t="e">
        <f>LOOKUP(A16, SweepStudyConfig[StudyId], SweepStudyConfig[SweepStratumLabel])</f>
        <v>#VALUE!</v>
      </c>
    </row>
    <row r="17">
      <c r="A17" s="2" t="s">
        <v>483</v>
      </c>
      <c r="B17" s="3" t="str">
        <f>A17</f>
        <v>sat-wainer-1986</v>
      </c>
      <c r="C17" s="3" t="e">
        <f>LOOKUP(A17, TreatmentRankings[Study], TreatmentRankings[DistortionType])</f>
        <v>#VALUE!</v>
      </c>
      <c r="D17" s="3">
        <f>_xlfn.MINIFS(AllocationSweep!R2:R999,AllocationSweep!C2:C999, A17)</f>
        <v>0</v>
      </c>
      <c r="E17" s="3">
        <f>_xlfn.MAXIFS(AllocationSweep!R2:R999,AllocationSweep!C2:C999, A17)</f>
        <v>0</v>
      </c>
      <c r="F17" s="3">
        <f>_xlfn.MINIFS(AllocationSweep!R2:R999,AllocationSweep!C2:C999, A17)</f>
        <v>0</v>
      </c>
      <c r="G17" s="3">
        <f>E17 - F17</f>
        <v>0</v>
      </c>
      <c r="H17" s="3">
        <f>_xlfn.MAXIFS(AllocationSweep!Q2:Q999,AllocationSweep!C2:C999, A17)</f>
        <v>0</v>
      </c>
      <c r="I17" s="3">
        <f>_xlfn.MINIFS(AllocationSweep!Q2:Q999,AllocationSweep!C2:C999, A17)</f>
        <v>0</v>
      </c>
      <c r="J17" s="3">
        <f>H17 - I17</f>
        <v>0</v>
      </c>
      <c r="K17" s="3" t="b">
        <f>AND(I17 &lt; 0, H17 &gt; 0)</f>
        <v>0</v>
      </c>
      <c r="L17" s="3" t="str">
        <f>IF(G17 &lt; 0.0001, "PASS: CorrectedGap invariant across allocation sweep", "FAIL: CorrectedGap varies — formula error")</f>
        <v>PASS: CorrectedGap invariant across allocation sweep</v>
      </c>
      <c r="M17" s="3" t="e">
        <f>LOOKUP(A17, SweepStudyConfig[StudyId], SweepStudyConfig[SweepStratumLabel])</f>
        <v>#VALUE!</v>
      </c>
    </row>
    <row r="18">
      <c r="A18" s="2" t="s">
        <v>488</v>
      </c>
      <c r="B18" s="3" t="str">
        <f>A18</f>
        <v>rogers-nicewander-1988</v>
      </c>
      <c r="C18" s="3" t="e">
        <f>LOOKUP(A18, TreatmentRankings[Study], TreatmentRankings[DistortionType])</f>
        <v>#VALUE!</v>
      </c>
      <c r="D18" s="3">
        <f>_xlfn.MINIFS(AllocationSweep!R2:R999,AllocationSweep!C2:C999, A18)</f>
        <v>0</v>
      </c>
      <c r="E18" s="3">
        <f>_xlfn.MAXIFS(AllocationSweep!R2:R999,AllocationSweep!C2:C999, A18)</f>
        <v>0</v>
      </c>
      <c r="F18" s="3">
        <f>_xlfn.MINIFS(AllocationSweep!R2:R999,AllocationSweep!C2:C999, A18)</f>
        <v>0</v>
      </c>
      <c r="G18" s="3">
        <f>E18 - F18</f>
        <v>0</v>
      </c>
      <c r="H18" s="3">
        <f>_xlfn.MAXIFS(AllocationSweep!Q2:Q999,AllocationSweep!C2:C999, A18)</f>
        <v>0</v>
      </c>
      <c r="I18" s="3">
        <f>_xlfn.MINIFS(AllocationSweep!Q2:Q999,AllocationSweep!C2:C999, A18)</f>
        <v>0</v>
      </c>
      <c r="J18" s="3">
        <f>H18 - I18</f>
        <v>0</v>
      </c>
      <c r="K18" s="3" t="b">
        <f>AND(I18 &lt; 0, H18 &gt; 0)</f>
        <v>0</v>
      </c>
      <c r="L18" s="3" t="str">
        <f>IF(G18 &lt; 0.0001, "PASS: CorrectedGap invariant across allocation sweep", "FAIL: CorrectedGap varies — formula error")</f>
        <v>PASS: CorrectedGap invariant across allocation sweep</v>
      </c>
      <c r="M18" s="3" t="e">
        <f>LOOKUP(A18, SweepStudyConfig[StudyId], SweepStudyConfig[SweepStratumLabel])</f>
        <v>#VALUE!</v>
      </c>
    </row>
    <row r="19">
      <c r="A19" s="2" t="s">
        <v>492</v>
      </c>
      <c r="B19" s="3" t="str">
        <f>A19</f>
        <v>lucente-baseball-1995</v>
      </c>
      <c r="C19" s="3" t="e">
        <f>LOOKUP(A19, TreatmentRankings[Study], TreatmentRankings[DistortionType])</f>
        <v>#VALUE!</v>
      </c>
      <c r="D19" s="3">
        <f>_xlfn.MINIFS(AllocationSweep!R2:R999,AllocationSweep!C2:C999, A19)</f>
        <v>0</v>
      </c>
      <c r="E19" s="3">
        <f>_xlfn.MAXIFS(AllocationSweep!R2:R999,AllocationSweep!C2:C999, A19)</f>
        <v>0</v>
      </c>
      <c r="F19" s="3">
        <f>_xlfn.MINIFS(AllocationSweep!R2:R999,AllocationSweep!C2:C999, A19)</f>
        <v>0</v>
      </c>
      <c r="G19" s="3">
        <f>E19 - F19</f>
        <v>0</v>
      </c>
      <c r="H19" s="3">
        <f>_xlfn.MAXIFS(AllocationSweep!Q2:Q999,AllocationSweep!C2:C999, A19)</f>
        <v>0</v>
      </c>
      <c r="I19" s="3">
        <f>_xlfn.MINIFS(AllocationSweep!Q2:Q999,AllocationSweep!C2:C999, A19)</f>
        <v>0</v>
      </c>
      <c r="J19" s="3">
        <f>H19 - I19</f>
        <v>0</v>
      </c>
      <c r="K19" s="3" t="b">
        <f>AND(I19 &lt; 0, H19 &gt; 0)</f>
        <v>0</v>
      </c>
      <c r="L19" s="3" t="str">
        <f>IF(G19 &lt; 0.0001, "PASS: CorrectedGap invariant across allocation sweep", "FAIL: CorrectedGap varies — formula error")</f>
        <v>PASS: CorrectedGap invariant across allocation sweep</v>
      </c>
      <c r="M19" s="3" t="e">
        <f>LOOKUP(A19, SweepStudyConfig[StudyId], SweepStudyConfig[SweepStratumLabel])</f>
        <v>#VALUE!</v>
      </c>
    </row>
    <row r="20">
      <c r="A20" s="2" t="s">
        <v>495</v>
      </c>
      <c r="B20" s="3" t="str">
        <f>A20</f>
        <v>wilson-batting-2000</v>
      </c>
      <c r="C20" s="3" t="e">
        <f>LOOKUP(A20, TreatmentRankings[Study], TreatmentRankings[DistortionType])</f>
        <v>#VALUE!</v>
      </c>
      <c r="D20" s="3">
        <f>_xlfn.MINIFS(AllocationSweep!R2:R999,AllocationSweep!C2:C999, A20)</f>
        <v>0</v>
      </c>
      <c r="E20" s="3">
        <f>_xlfn.MAXIFS(AllocationSweep!R2:R999,AllocationSweep!C2:C999, A20)</f>
        <v>0</v>
      </c>
      <c r="F20" s="3">
        <f>_xlfn.MINIFS(AllocationSweep!R2:R999,AllocationSweep!C2:C999, A20)</f>
        <v>0</v>
      </c>
      <c r="G20" s="3">
        <f>E20 - F20</f>
        <v>0</v>
      </c>
      <c r="H20" s="3">
        <f>_xlfn.MAXIFS(AllocationSweep!Q2:Q999,AllocationSweep!C2:C999, A20)</f>
        <v>0</v>
      </c>
      <c r="I20" s="3">
        <f>_xlfn.MINIFS(AllocationSweep!Q2:Q999,AllocationSweep!C2:C999, A20)</f>
        <v>0</v>
      </c>
      <c r="J20" s="3">
        <f>H20 - I20</f>
        <v>0</v>
      </c>
      <c r="K20" s="3" t="b">
        <f>AND(I20 &lt; 0, H20 &gt; 0)</f>
        <v>0</v>
      </c>
      <c r="L20" s="3" t="str">
        <f>IF(G20 &lt; 0.0001, "PASS: CorrectedGap invariant across allocation sweep", "FAIL: CorrectedGap varies — formula error")</f>
        <v>PASS: CorrectedGap invariant across allocation sweep</v>
      </c>
      <c r="M20" s="3" t="e">
        <f>LOOKUP(A20, SweepStudyConfig[StudyId], SweepStudyConfig[SweepStratumLabel])</f>
        <v>#VALUE!</v>
      </c>
    </row>
    <row r="21">
      <c r="A21" s="2" t="s">
        <v>498</v>
      </c>
      <c r="B21" s="3" t="str">
        <f>A21</f>
        <v>clemens-bly-1998</v>
      </c>
      <c r="C21" s="3" t="e">
        <f>LOOKUP(A21, TreatmentRankings[Study], TreatmentRankings[DistortionType])</f>
        <v>#VALUE!</v>
      </c>
      <c r="D21" s="3">
        <f>_xlfn.MINIFS(AllocationSweep!R2:R999,AllocationSweep!C2:C999, A21)</f>
        <v>0</v>
      </c>
      <c r="E21" s="3">
        <f>_xlfn.MAXIFS(AllocationSweep!R2:R999,AllocationSweep!C2:C999, A21)</f>
        <v>0</v>
      </c>
      <c r="F21" s="3">
        <f>_xlfn.MINIFS(AllocationSweep!R2:R999,AllocationSweep!C2:C999, A21)</f>
        <v>0</v>
      </c>
      <c r="G21" s="3">
        <f>E21 - F21</f>
        <v>0</v>
      </c>
      <c r="H21" s="3">
        <f>_xlfn.MAXIFS(AllocationSweep!Q2:Q999,AllocationSweep!C2:C999, A21)</f>
        <v>0</v>
      </c>
      <c r="I21" s="3">
        <f>_xlfn.MINIFS(AllocationSweep!Q2:Q999,AllocationSweep!C2:C999, A21)</f>
        <v>0</v>
      </c>
      <c r="J21" s="3">
        <f>H21 - I21</f>
        <v>0</v>
      </c>
      <c r="K21" s="3" t="b">
        <f>AND(I21 &lt; 0, H21 &gt; 0)</f>
        <v>0</v>
      </c>
      <c r="L21" s="3" t="str">
        <f>IF(G21 &lt; 0.0001, "PASS: CorrectedGap invariant across allocation sweep", "FAIL: CorrectedGap varies — formula error")</f>
        <v>PASS: CorrectedGap invariant across allocation sweep</v>
      </c>
      <c r="M21" s="3" t="e">
        <f>LOOKUP(A21, SweepStudyConfig[StudyId], SweepStudyConfig[SweepStratumLabel])</f>
        <v>#VALUE!</v>
      </c>
    </row>
    <row r="22">
      <c r="A22" s="2" t="s">
        <v>501</v>
      </c>
      <c r="B22" s="3" t="str">
        <f>A22</f>
        <v>open-university-1975</v>
      </c>
      <c r="C22" s="3" t="e">
        <f>LOOKUP(A22, TreatmentRankings[Study], TreatmentRankings[DistortionType])</f>
        <v>#VALUE!</v>
      </c>
      <c r="D22" s="3">
        <f>_xlfn.MINIFS(AllocationSweep!R2:R999,AllocationSweep!C2:C999, A22)</f>
        <v>0</v>
      </c>
      <c r="E22" s="3">
        <f>_xlfn.MAXIFS(AllocationSweep!R2:R999,AllocationSweep!C2:C999, A22)</f>
        <v>0</v>
      </c>
      <c r="F22" s="3">
        <f>_xlfn.MINIFS(AllocationSweep!R2:R999,AllocationSweep!C2:C999, A22)</f>
        <v>0</v>
      </c>
      <c r="G22" s="3">
        <f>E22 - F22</f>
        <v>0</v>
      </c>
      <c r="H22" s="3">
        <f>_xlfn.MAXIFS(AllocationSweep!Q2:Q999,AllocationSweep!C2:C999, A22)</f>
        <v>0</v>
      </c>
      <c r="I22" s="3">
        <f>_xlfn.MINIFS(AllocationSweep!Q2:Q999,AllocationSweep!C2:C999, A22)</f>
        <v>0</v>
      </c>
      <c r="J22" s="3">
        <f>H22 - I22</f>
        <v>0</v>
      </c>
      <c r="K22" s="3" t="b">
        <f>AND(I22 &lt; 0, H22 &gt; 0)</f>
        <v>0</v>
      </c>
      <c r="L22" s="3" t="str">
        <f>IF(G22 &lt; 0.0001, "PASS: CorrectedGap invariant across allocation sweep", "FAIL: CorrectedGap varies — formula error")</f>
        <v>PASS: CorrectedGap invariant across allocation sweep</v>
      </c>
      <c r="M22" s="3" t="e">
        <f>LOOKUP(A22, SweepStudyConfig[StudyId], SweepStudyConfig[SweepStratumLabel])</f>
        <v>#VALUE!</v>
      </c>
    </row>
    <row r="23">
      <c r="A23" s="2" t="s">
        <v>504</v>
      </c>
      <c r="B23" s="3" t="str">
        <f>A23</f>
        <v>pisa-immigration-2015</v>
      </c>
      <c r="C23" s="3" t="e">
        <f>LOOKUP(A23, TreatmentRankings[Study], TreatmentRankings[DistortionType])</f>
        <v>#VALUE!</v>
      </c>
      <c r="D23" s="3">
        <f>_xlfn.MINIFS(AllocationSweep!R2:R999,AllocationSweep!C2:C999, A23)</f>
        <v>0</v>
      </c>
      <c r="E23" s="3">
        <f>_xlfn.MAXIFS(AllocationSweep!R2:R999,AllocationSweep!C2:C999, A23)</f>
        <v>0</v>
      </c>
      <c r="F23" s="3">
        <f>_xlfn.MINIFS(AllocationSweep!R2:R999,AllocationSweep!C2:C999, A23)</f>
        <v>0</v>
      </c>
      <c r="G23" s="3">
        <f>E23 - F23</f>
        <v>0</v>
      </c>
      <c r="H23" s="3">
        <f>_xlfn.MAXIFS(AllocationSweep!Q2:Q999,AllocationSweep!C2:C999, A23)</f>
        <v>0</v>
      </c>
      <c r="I23" s="3">
        <f>_xlfn.MINIFS(AllocationSweep!Q2:Q999,AllocationSweep!C2:C999, A23)</f>
        <v>0</v>
      </c>
      <c r="J23" s="3">
        <f>H23 - I23</f>
        <v>0</v>
      </c>
      <c r="K23" s="3" t="b">
        <f>AND(I23 &lt; 0, H23 &gt; 0)</f>
        <v>0</v>
      </c>
      <c r="L23" s="3" t="str">
        <f>IF(G23 &lt; 0.0001, "PASS: CorrectedGap invariant across allocation sweep", "FAIL: CorrectedGap varies — formula error")</f>
        <v>PASS: CorrectedGap invariant across allocation sweep</v>
      </c>
      <c r="M23" s="3" t="e">
        <f>LOOKUP(A23, SweepStudyConfig[StudyId], SweepStudyConfig[SweepStratumLabel])</f>
        <v>#VALUE!</v>
      </c>
    </row>
    <row r="24">
      <c r="A24" s="2" t="s">
        <v>508</v>
      </c>
      <c r="B24" s="3" t="str">
        <f>A24</f>
        <v>wainer-sat-states-1992</v>
      </c>
      <c r="C24" s="3" t="e">
        <f>LOOKUP(A24, TreatmentRankings[Study], TreatmentRankings[DistortionType])</f>
        <v>#VALUE!</v>
      </c>
      <c r="D24" s="3">
        <f>_xlfn.MINIFS(AllocationSweep!R2:R999,AllocationSweep!C2:C999, A24)</f>
        <v>0</v>
      </c>
      <c r="E24" s="3">
        <f>_xlfn.MAXIFS(AllocationSweep!R2:R999,AllocationSweep!C2:C999, A24)</f>
        <v>0</v>
      </c>
      <c r="F24" s="3">
        <f>_xlfn.MINIFS(AllocationSweep!R2:R999,AllocationSweep!C2:C999, A24)</f>
        <v>0</v>
      </c>
      <c r="G24" s="3">
        <f>E24 - F24</f>
        <v>0</v>
      </c>
      <c r="H24" s="3">
        <f>_xlfn.MAXIFS(AllocationSweep!Q2:Q999,AllocationSweep!C2:C999, A24)</f>
        <v>0</v>
      </c>
      <c r="I24" s="3">
        <f>_xlfn.MINIFS(AllocationSweep!Q2:Q999,AllocationSweep!C2:C999, A24)</f>
        <v>0</v>
      </c>
      <c r="J24" s="3">
        <f>H24 - I24</f>
        <v>0</v>
      </c>
      <c r="K24" s="3" t="b">
        <f>AND(I24 &lt; 0, H24 &gt; 0)</f>
        <v>0</v>
      </c>
      <c r="L24" s="3" t="str">
        <f>IF(G24 &lt; 0.0001, "PASS: CorrectedGap invariant across allocation sweep", "FAIL: CorrectedGap varies — formula error")</f>
        <v>PASS: CorrectedGap invariant across allocation sweep</v>
      </c>
      <c r="M24" s="3" t="e">
        <f>LOOKUP(A24, SweepStudyConfig[StudyId], SweepStudyConfig[SweepStratumLabel])</f>
        <v>#VALUE!</v>
      </c>
    </row>
    <row r="25">
      <c r="A25" s="2" t="s">
        <v>511</v>
      </c>
      <c r="B25" s="3" t="str">
        <f>A25</f>
        <v>folic-acid-neural-tube-1991</v>
      </c>
      <c r="C25" s="3" t="e">
        <f>LOOKUP(A25, TreatmentRankings[Study], TreatmentRankings[DistortionType])</f>
        <v>#VALUE!</v>
      </c>
      <c r="D25" s="3">
        <f>_xlfn.MINIFS(AllocationSweep!R2:R999,AllocationSweep!C2:C999, A25)</f>
        <v>0</v>
      </c>
      <c r="E25" s="3">
        <f>_xlfn.MAXIFS(AllocationSweep!R2:R999,AllocationSweep!C2:C999, A25)</f>
        <v>0</v>
      </c>
      <c r="F25" s="3">
        <f>_xlfn.MINIFS(AllocationSweep!R2:R999,AllocationSweep!C2:C999, A25)</f>
        <v>0</v>
      </c>
      <c r="G25" s="3">
        <f>E25 - F25</f>
        <v>0</v>
      </c>
      <c r="H25" s="3">
        <f>_xlfn.MAXIFS(AllocationSweep!Q2:Q999,AllocationSweep!C2:C999, A25)</f>
        <v>0</v>
      </c>
      <c r="I25" s="3">
        <f>_xlfn.MINIFS(AllocationSweep!Q2:Q999,AllocationSweep!C2:C999, A25)</f>
        <v>0</v>
      </c>
      <c r="J25" s="3">
        <f>H25 - I25</f>
        <v>0</v>
      </c>
      <c r="K25" s="3" t="b">
        <f>AND(I25 &lt; 0, H25 &gt; 0)</f>
        <v>0</v>
      </c>
      <c r="L25" s="3" t="str">
        <f>IF(G25 &lt; 0.0001, "PASS: CorrectedGap invariant across allocation sweep", "FAIL: CorrectedGap varies — formula error")</f>
        <v>PASS: CorrectedGap invariant across allocation sweep</v>
      </c>
      <c r="M25" s="3" t="e">
        <f>LOOKUP(A25, SweepStudyConfig[StudyId], SweepStudyConfig[SweepStratumLabel])</f>
        <v>#VALUE!</v>
      </c>
    </row>
    <row r="26">
      <c r="A26" s="2" t="s">
        <v>515</v>
      </c>
      <c r="B26" s="3" t="str">
        <f>A26</f>
        <v>steroid-asthma-severity</v>
      </c>
      <c r="C26" s="3" t="e">
        <f>LOOKUP(A26, TreatmentRankings[Study], TreatmentRankings[DistortionType])</f>
        <v>#VALUE!</v>
      </c>
      <c r="D26" s="3">
        <f>_xlfn.MINIFS(AllocationSweep!R2:R999,AllocationSweep!C2:C999, A26)</f>
        <v>0</v>
      </c>
      <c r="E26" s="3">
        <f>_xlfn.MAXIFS(AllocationSweep!R2:R999,AllocationSweep!C2:C999, A26)</f>
        <v>0</v>
      </c>
      <c r="F26" s="3">
        <f>_xlfn.MINIFS(AllocationSweep!R2:R999,AllocationSweep!C2:C999, A26)</f>
        <v>0</v>
      </c>
      <c r="G26" s="3">
        <f>E26 - F26</f>
        <v>0</v>
      </c>
      <c r="H26" s="3">
        <f>_xlfn.MAXIFS(AllocationSweep!Q2:Q999,AllocationSweep!C2:C999, A26)</f>
        <v>0</v>
      </c>
      <c r="I26" s="3">
        <f>_xlfn.MINIFS(AllocationSweep!Q2:Q999,AllocationSweep!C2:C999, A26)</f>
        <v>0</v>
      </c>
      <c r="J26" s="3">
        <f>H26 - I26</f>
        <v>0</v>
      </c>
      <c r="K26" s="3" t="b">
        <f>AND(I26 &lt; 0, H26 &gt; 0)</f>
        <v>0</v>
      </c>
      <c r="L26" s="3" t="str">
        <f>IF(G26 &lt; 0.0001, "PASS: CorrectedGap invariant across allocation sweep", "FAIL: CorrectedGap varies — formula error")</f>
        <v>PASS: CorrectedGap invariant across allocation sweep</v>
      </c>
      <c r="M26" s="3" t="e">
        <f>LOOKUP(A26, SweepStudyConfig[StudyId], SweepStudyConfig[SweepStratumLabel])</f>
        <v>#VALUE!</v>
      </c>
    </row>
    <row r="27">
      <c r="A27" s="2" t="s">
        <v>518</v>
      </c>
      <c r="B27" s="3" t="str">
        <f>A27</f>
        <v>kidney-dialysis-facility-1990</v>
      </c>
      <c r="C27" s="3" t="e">
        <f>LOOKUP(A27, TreatmentRankings[Study], TreatmentRankings[DistortionType])</f>
        <v>#VALUE!</v>
      </c>
      <c r="D27" s="3">
        <f>_xlfn.MINIFS(AllocationSweep!R2:R999,AllocationSweep!C2:C999, A27)</f>
        <v>0</v>
      </c>
      <c r="E27" s="3">
        <f>_xlfn.MAXIFS(AllocationSweep!R2:R999,AllocationSweep!C2:C999, A27)</f>
        <v>0</v>
      </c>
      <c r="F27" s="3">
        <f>_xlfn.MINIFS(AllocationSweep!R2:R999,AllocationSweep!C2:C999, A27)</f>
        <v>0</v>
      </c>
      <c r="G27" s="3">
        <f>E27 - F27</f>
        <v>0</v>
      </c>
      <c r="H27" s="3">
        <f>_xlfn.MAXIFS(AllocationSweep!Q2:Q999,AllocationSweep!C2:C999, A27)</f>
        <v>0</v>
      </c>
      <c r="I27" s="3">
        <f>_xlfn.MINIFS(AllocationSweep!Q2:Q999,AllocationSweep!C2:C999, A27)</f>
        <v>0</v>
      </c>
      <c r="J27" s="3">
        <f>H27 - I27</f>
        <v>0</v>
      </c>
      <c r="K27" s="3" t="b">
        <f>AND(I27 &lt; 0, H27 &gt; 0)</f>
        <v>0</v>
      </c>
      <c r="L27" s="3" t="str">
        <f>IF(G27 &lt; 0.0001, "PASS: CorrectedGap invariant across allocation sweep", "FAIL: CorrectedGap varies — formula error")</f>
        <v>PASS: CorrectedGap invariant across allocation sweep</v>
      </c>
      <c r="M27" s="3" t="e">
        <f>LOOKUP(A27, SweepStudyConfig[StudyId], SweepStudyConfig[SweepStratumLabel])</f>
        <v>#VALUE!</v>
      </c>
    </row>
    <row r="28">
      <c r="A28" s="2" t="s">
        <v>521</v>
      </c>
      <c r="B28" s="3" t="str">
        <f>A28</f>
        <v>warfarin-bleeding-age</v>
      </c>
      <c r="C28" s="3" t="e">
        <f>LOOKUP(A28, TreatmentRankings[Study], TreatmentRankings[DistortionType])</f>
        <v>#VALUE!</v>
      </c>
      <c r="D28" s="3">
        <f>_xlfn.MINIFS(AllocationSweep!R2:R999,AllocationSweep!C2:C999, A28)</f>
        <v>0</v>
      </c>
      <c r="E28" s="3">
        <f>_xlfn.MAXIFS(AllocationSweep!R2:R999,AllocationSweep!C2:C999, A28)</f>
        <v>0</v>
      </c>
      <c r="F28" s="3">
        <f>_xlfn.MINIFS(AllocationSweep!R2:R999,AllocationSweep!C2:C999, A28)</f>
        <v>0</v>
      </c>
      <c r="G28" s="3">
        <f>E28 - F28</f>
        <v>0</v>
      </c>
      <c r="H28" s="3">
        <f>_xlfn.MAXIFS(AllocationSweep!Q2:Q999,AllocationSweep!C2:C999, A28)</f>
        <v>0</v>
      </c>
      <c r="I28" s="3">
        <f>_xlfn.MINIFS(AllocationSweep!Q2:Q999,AllocationSweep!C2:C999, A28)</f>
        <v>0</v>
      </c>
      <c r="J28" s="3">
        <f>H28 - I28</f>
        <v>0</v>
      </c>
      <c r="K28" s="3" t="b">
        <f>AND(I28 &lt; 0, H28 &gt; 0)</f>
        <v>0</v>
      </c>
      <c r="L28" s="3" t="str">
        <f>IF(G28 &lt; 0.0001, "PASS: CorrectedGap invariant across allocation sweep", "FAIL: CorrectedGap varies — formula error")</f>
        <v>PASS: CorrectedGap invariant across allocation sweep</v>
      </c>
      <c r="M28" s="3" t="e">
        <f>LOOKUP(A28, SweepStudyConfig[StudyId], SweepStudyConfig[SweepStratumLabel])</f>
        <v>#VALUE!</v>
      </c>
    </row>
    <row r="29">
      <c r="A29" s="2" t="s">
        <v>524</v>
      </c>
      <c r="B29" s="3" t="str">
        <f>A29</f>
        <v>diabetes-metformin-bmi</v>
      </c>
      <c r="C29" s="3" t="e">
        <f>LOOKUP(A29, TreatmentRankings[Study], TreatmentRankings[DistortionType])</f>
        <v>#VALUE!</v>
      </c>
      <c r="D29" s="3">
        <f>_xlfn.MINIFS(AllocationSweep!R2:R999,AllocationSweep!C2:C999, A29)</f>
        <v>0</v>
      </c>
      <c r="E29" s="3">
        <f>_xlfn.MAXIFS(AllocationSweep!R2:R999,AllocationSweep!C2:C999, A29)</f>
        <v>0</v>
      </c>
      <c r="F29" s="3">
        <f>_xlfn.MINIFS(AllocationSweep!R2:R999,AllocationSweep!C2:C999, A29)</f>
        <v>0</v>
      </c>
      <c r="G29" s="3">
        <f>E29 - F29</f>
        <v>0</v>
      </c>
      <c r="H29" s="3">
        <f>_xlfn.MAXIFS(AllocationSweep!Q2:Q999,AllocationSweep!C2:C999, A29)</f>
        <v>0</v>
      </c>
      <c r="I29" s="3">
        <f>_xlfn.MINIFS(AllocationSweep!Q2:Q999,AllocationSweep!C2:C999, A29)</f>
        <v>0</v>
      </c>
      <c r="J29" s="3">
        <f>H29 - I29</f>
        <v>0</v>
      </c>
      <c r="K29" s="3" t="b">
        <f>AND(I29 &lt; 0, H29 &gt; 0)</f>
        <v>0</v>
      </c>
      <c r="L29" s="3" t="str">
        <f>IF(G29 &lt; 0.0001, "PASS: CorrectedGap invariant across allocation sweep", "FAIL: CorrectedGap varies — formula error")</f>
        <v>PASS: CorrectedGap invariant across allocation sweep</v>
      </c>
      <c r="M29" s="3" t="e">
        <f>LOOKUP(A29, SweepStudyConfig[StudyId], SweepStudyConfig[SweepStratumLabel])</f>
        <v>#VALUE!</v>
      </c>
    </row>
    <row r="30">
      <c r="A30" s="2" t="s">
        <v>527</v>
      </c>
      <c r="B30" s="3" t="str">
        <f>A30</f>
        <v>oncology-trial-stage</v>
      </c>
      <c r="C30" s="3" t="e">
        <f>LOOKUP(A30, TreatmentRankings[Study], TreatmentRankings[DistortionType])</f>
        <v>#VALUE!</v>
      </c>
      <c r="D30" s="3">
        <f>_xlfn.MINIFS(AllocationSweep!R2:R999,AllocationSweep!C2:C999, A30)</f>
        <v>0</v>
      </c>
      <c r="E30" s="3">
        <f>_xlfn.MAXIFS(AllocationSweep!R2:R999,AllocationSweep!C2:C999, A30)</f>
        <v>0</v>
      </c>
      <c r="F30" s="3">
        <f>_xlfn.MINIFS(AllocationSweep!R2:R999,AllocationSweep!C2:C999, A30)</f>
        <v>0</v>
      </c>
      <c r="G30" s="3">
        <f>E30 - F30</f>
        <v>0</v>
      </c>
      <c r="H30" s="3">
        <f>_xlfn.MAXIFS(AllocationSweep!Q2:Q999,AllocationSweep!C2:C999, A30)</f>
        <v>0</v>
      </c>
      <c r="I30" s="3">
        <f>_xlfn.MINIFS(AllocationSweep!Q2:Q999,AllocationSweep!C2:C999, A30)</f>
        <v>0</v>
      </c>
      <c r="J30" s="3">
        <f>H30 - I30</f>
        <v>0</v>
      </c>
      <c r="K30" s="3" t="b">
        <f>AND(I30 &lt; 0, H30 &gt; 0)</f>
        <v>0</v>
      </c>
      <c r="L30" s="3" t="str">
        <f>IF(G30 &lt; 0.0001, "PASS: CorrectedGap invariant across allocation sweep", "FAIL: CorrectedGap varies — formula error")</f>
        <v>PASS: CorrectedGap invariant across allocation sweep</v>
      </c>
      <c r="M30" s="3" t="e">
        <f>LOOKUP(A30, SweepStudyConfig[StudyId], SweepStudyConfig[SweepStratumLabel])</f>
        <v>#VALUE!</v>
      </c>
    </row>
    <row r="31">
      <c r="A31" s="2" t="s">
        <v>530</v>
      </c>
      <c r="B31" s="3" t="str">
        <f>A31</f>
        <v>exercise-cholesterol-age</v>
      </c>
      <c r="C31" s="3" t="e">
        <f>LOOKUP(A31, TreatmentRankings[Study], TreatmentRankings[DistortionType])</f>
        <v>#VALUE!</v>
      </c>
      <c r="D31" s="3">
        <f>_xlfn.MINIFS(AllocationSweep!R2:R999,AllocationSweep!C2:C999, A31)</f>
        <v>0</v>
      </c>
      <c r="E31" s="3">
        <f>_xlfn.MAXIFS(AllocationSweep!R2:R999,AllocationSweep!C2:C999, A31)</f>
        <v>0</v>
      </c>
      <c r="F31" s="3">
        <f>_xlfn.MINIFS(AllocationSweep!R2:R999,AllocationSweep!C2:C999, A31)</f>
        <v>0</v>
      </c>
      <c r="G31" s="3">
        <f>E31 - F31</f>
        <v>0</v>
      </c>
      <c r="H31" s="3">
        <f>_xlfn.MAXIFS(AllocationSweep!Q2:Q999,AllocationSweep!C2:C999, A31)</f>
        <v>0</v>
      </c>
      <c r="I31" s="3">
        <f>_xlfn.MINIFS(AllocationSweep!Q2:Q999,AllocationSweep!C2:C999, A31)</f>
        <v>0</v>
      </c>
      <c r="J31" s="3">
        <f>H31 - I31</f>
        <v>0</v>
      </c>
      <c r="K31" s="3" t="b">
        <f>AND(I31 &lt; 0, H31 &gt; 0)</f>
        <v>0</v>
      </c>
      <c r="L31" s="3" t="str">
        <f>IF(G31 &lt; 0.0001, "PASS: CorrectedGap invariant across allocation sweep", "FAIL: CorrectedGap varies — formula error")</f>
        <v>PASS: CorrectedGap invariant across allocation sweep</v>
      </c>
      <c r="M31" s="3" t="e">
        <f>LOOKUP(A31, SweepStudyConfig[StudyId], SweepStudyConfig[SweepStratumLabel])</f>
        <v>#VALUE!</v>
      </c>
    </row>
    <row r="32">
      <c r="A32" s="2" t="s">
        <v>533</v>
      </c>
      <c r="B32" s="3" t="str">
        <f>A32</f>
        <v>red-meat-colorectal-bmi</v>
      </c>
      <c r="C32" s="3" t="e">
        <f>LOOKUP(A32, TreatmentRankings[Study], TreatmentRankings[DistortionType])</f>
        <v>#VALUE!</v>
      </c>
      <c r="D32" s="3">
        <f>_xlfn.MINIFS(AllocationSweep!R2:R999,AllocationSweep!C2:C999, A32)</f>
        <v>0</v>
      </c>
      <c r="E32" s="3">
        <f>_xlfn.MAXIFS(AllocationSweep!R2:R999,AllocationSweep!C2:C999, A32)</f>
        <v>0</v>
      </c>
      <c r="F32" s="3">
        <f>_xlfn.MINIFS(AllocationSweep!R2:R999,AllocationSweep!C2:C999, A32)</f>
        <v>0</v>
      </c>
      <c r="G32" s="3">
        <f>E32 - F32</f>
        <v>0</v>
      </c>
      <c r="H32" s="3">
        <f>_xlfn.MAXIFS(AllocationSweep!Q2:Q999,AllocationSweep!C2:C999, A32)</f>
        <v>0</v>
      </c>
      <c r="I32" s="3">
        <f>_xlfn.MINIFS(AllocationSweep!Q2:Q999,AllocationSweep!C2:C999, A32)</f>
        <v>0</v>
      </c>
      <c r="J32" s="3">
        <f>H32 - I32</f>
        <v>0</v>
      </c>
      <c r="K32" s="3" t="b">
        <f>AND(I32 &lt; 0, H32 &gt; 0)</f>
        <v>0</v>
      </c>
      <c r="L32" s="3" t="str">
        <f>IF(G32 &lt; 0.0001, "PASS: CorrectedGap invariant across allocation sweep", "FAIL: CorrectedGap varies — formula error")</f>
        <v>PASS: CorrectedGap invariant across allocation sweep</v>
      </c>
      <c r="M32" s="3" t="e">
        <f>LOOKUP(A32, SweepStudyConfig[StudyId], SweepStudyConfig[SweepStratumLabel])</f>
        <v>#VALUE!</v>
      </c>
    </row>
    <row r="33">
      <c r="A33" s="2" t="s">
        <v>536</v>
      </c>
      <c r="B33" s="3" t="str">
        <f>A33</f>
        <v>folic-fortification-2000</v>
      </c>
      <c r="C33" s="3" t="e">
        <f>LOOKUP(A33, TreatmentRankings[Study], TreatmentRankings[DistortionType])</f>
        <v>#VALUE!</v>
      </c>
      <c r="D33" s="3">
        <f>_xlfn.MINIFS(AllocationSweep!R2:R999,AllocationSweep!C2:C999, A33)</f>
        <v>0</v>
      </c>
      <c r="E33" s="3">
        <f>_xlfn.MAXIFS(AllocationSweep!R2:R999,AllocationSweep!C2:C999, A33)</f>
        <v>0</v>
      </c>
      <c r="F33" s="3">
        <f>_xlfn.MINIFS(AllocationSweep!R2:R999,AllocationSweep!C2:C999, A33)</f>
        <v>0</v>
      </c>
      <c r="G33" s="3">
        <f>E33 - F33</f>
        <v>0</v>
      </c>
      <c r="H33" s="3">
        <f>_xlfn.MAXIFS(AllocationSweep!Q2:Q999,AllocationSweep!C2:C999, A33)</f>
        <v>0</v>
      </c>
      <c r="I33" s="3">
        <f>_xlfn.MINIFS(AllocationSweep!Q2:Q999,AllocationSweep!C2:C999, A33)</f>
        <v>0</v>
      </c>
      <c r="J33" s="3">
        <f>H33 - I33</f>
        <v>0</v>
      </c>
      <c r="K33" s="3" t="b">
        <f>AND(I33 &lt; 0, H33 &gt; 0)</f>
        <v>0</v>
      </c>
      <c r="L33" s="3" t="str">
        <f>IF(G33 &lt; 0.0001, "PASS: CorrectedGap invariant across allocation sweep", "FAIL: CorrectedGap varies — formula error")</f>
        <v>PASS: CorrectedGap invariant across allocation sweep</v>
      </c>
      <c r="M33" s="3" t="e">
        <f>LOOKUP(A33, SweepStudyConfig[StudyId], SweepStudyConfig[SweepStratumLabel])</f>
        <v>#VALUE!</v>
      </c>
    </row>
    <row r="34">
      <c r="A34" s="2" t="s">
        <v>539</v>
      </c>
      <c r="B34" s="3" t="str">
        <f>A34</f>
        <v>north-carolina-death-penalty-1990</v>
      </c>
      <c r="C34" s="3" t="e">
        <f>LOOKUP(A34, TreatmentRankings[Study], TreatmentRankings[DistortionType])</f>
        <v>#VALUE!</v>
      </c>
      <c r="D34" s="3">
        <f>_xlfn.MINIFS(AllocationSweep!R2:R999,AllocationSweep!C2:C999, A34)</f>
        <v>0</v>
      </c>
      <c r="E34" s="3">
        <f>_xlfn.MAXIFS(AllocationSweep!R2:R999,AllocationSweep!C2:C999, A34)</f>
        <v>0</v>
      </c>
      <c r="F34" s="3">
        <f>_xlfn.MINIFS(AllocationSweep!R2:R999,AllocationSweep!C2:C999, A34)</f>
        <v>0</v>
      </c>
      <c r="G34" s="3">
        <f>E34 - F34</f>
        <v>0</v>
      </c>
      <c r="H34" s="3">
        <f>_xlfn.MAXIFS(AllocationSweep!Q2:Q999,AllocationSweep!C2:C999, A34)</f>
        <v>0</v>
      </c>
      <c r="I34" s="3">
        <f>_xlfn.MINIFS(AllocationSweep!Q2:Q999,AllocationSweep!C2:C999, A34)</f>
        <v>0</v>
      </c>
      <c r="J34" s="3">
        <f>H34 - I34</f>
        <v>0</v>
      </c>
      <c r="K34" s="3" t="b">
        <f>AND(I34 &lt; 0, H34 &gt; 0)</f>
        <v>0</v>
      </c>
      <c r="L34" s="3" t="str">
        <f>IF(G34 &lt; 0.0001, "PASS: CorrectedGap invariant across allocation sweep", "FAIL: CorrectedGap varies — formula error")</f>
        <v>PASS: CorrectedGap invariant across allocation sweep</v>
      </c>
      <c r="M34" s="3" t="e">
        <f>LOOKUP(A34, SweepStudyConfig[StudyId], SweepStudyConfig[SweepStratumLabel])</f>
        <v>#VALUE!</v>
      </c>
    </row>
    <row r="35">
      <c r="A35" s="2" t="s">
        <v>542</v>
      </c>
      <c r="B35" s="3" t="str">
        <f>A35</f>
        <v>housing-discrimination-audit</v>
      </c>
      <c r="C35" s="3" t="e">
        <f>LOOKUP(A35, TreatmentRankings[Study], TreatmentRankings[DistortionType])</f>
        <v>#VALUE!</v>
      </c>
      <c r="D35" s="3">
        <f>_xlfn.MINIFS(AllocationSweep!R2:R999,AllocationSweep!C2:C999, A35)</f>
        <v>0</v>
      </c>
      <c r="E35" s="3">
        <f>_xlfn.MAXIFS(AllocationSweep!R2:R999,AllocationSweep!C2:C999, A35)</f>
        <v>0</v>
      </c>
      <c r="F35" s="3">
        <f>_xlfn.MINIFS(AllocationSweep!R2:R999,AllocationSweep!C2:C999, A35)</f>
        <v>0</v>
      </c>
      <c r="G35" s="3">
        <f>E35 - F35</f>
        <v>0</v>
      </c>
      <c r="H35" s="3">
        <f>_xlfn.MAXIFS(AllocationSweep!Q2:Q999,AllocationSweep!C2:C999, A35)</f>
        <v>0</v>
      </c>
      <c r="I35" s="3">
        <f>_xlfn.MINIFS(AllocationSweep!Q2:Q999,AllocationSweep!C2:C999, A35)</f>
        <v>0</v>
      </c>
      <c r="J35" s="3">
        <f>H35 - I35</f>
        <v>0</v>
      </c>
      <c r="K35" s="3" t="b">
        <f>AND(I35 &lt; 0, H35 &gt; 0)</f>
        <v>0</v>
      </c>
      <c r="L35" s="3" t="str">
        <f>IF(G35 &lt; 0.0001, "PASS: CorrectedGap invariant across allocation sweep", "FAIL: CorrectedGap varies — formula error")</f>
        <v>PASS: CorrectedGap invariant across allocation sweep</v>
      </c>
      <c r="M35" s="3" t="e">
        <f>LOOKUP(A35, SweepStudyConfig[StudyId], SweepStudyConfig[SweepStratumLabel])</f>
        <v>#VALUE!</v>
      </c>
    </row>
    <row r="36">
      <c r="A36" s="2" t="s">
        <v>547</v>
      </c>
      <c r="B36" s="3" t="str">
        <f>A36</f>
        <v>gender-pay-gap-industry</v>
      </c>
      <c r="C36" s="3" t="e">
        <f>LOOKUP(A36, TreatmentRankings[Study], TreatmentRankings[DistortionType])</f>
        <v>#VALUE!</v>
      </c>
      <c r="D36" s="3">
        <f>_xlfn.MINIFS(AllocationSweep!R2:R999,AllocationSweep!C2:C999, A36)</f>
        <v>0</v>
      </c>
      <c r="E36" s="3">
        <f>_xlfn.MAXIFS(AllocationSweep!R2:R999,AllocationSweep!C2:C999, A36)</f>
        <v>0</v>
      </c>
      <c r="F36" s="3">
        <f>_xlfn.MINIFS(AllocationSweep!R2:R999,AllocationSweep!C2:C999, A36)</f>
        <v>0</v>
      </c>
      <c r="G36" s="3">
        <f>E36 - F36</f>
        <v>0</v>
      </c>
      <c r="H36" s="3">
        <f>_xlfn.MAXIFS(AllocationSweep!Q2:Q999,AllocationSweep!C2:C999, A36)</f>
        <v>0</v>
      </c>
      <c r="I36" s="3">
        <f>_xlfn.MINIFS(AllocationSweep!Q2:Q999,AllocationSweep!C2:C999, A36)</f>
        <v>0</v>
      </c>
      <c r="J36" s="3">
        <f>H36 - I36</f>
        <v>0</v>
      </c>
      <c r="K36" s="3" t="b">
        <f>AND(I36 &lt; 0, H36 &gt; 0)</f>
        <v>0</v>
      </c>
      <c r="L36" s="3" t="str">
        <f>IF(G36 &lt; 0.0001, "PASS: CorrectedGap invariant across allocation sweep", "FAIL: CorrectedGap varies — formula error")</f>
        <v>PASS: CorrectedGap invariant across allocation sweep</v>
      </c>
      <c r="M36" s="3" t="e">
        <f>LOOKUP(A36, SweepStudyConfig[StudyId], SweepStudyConfig[SweepStratumLabel])</f>
        <v>#VALUE!</v>
      </c>
    </row>
    <row r="37">
      <c r="A37" s="2" t="s">
        <v>551</v>
      </c>
      <c r="B37" s="3" t="str">
        <f>A37</f>
        <v>income-education-state</v>
      </c>
      <c r="C37" s="3" t="e">
        <f>LOOKUP(A37, TreatmentRankings[Study], TreatmentRankings[DistortionType])</f>
        <v>#VALUE!</v>
      </c>
      <c r="D37" s="3">
        <f>_xlfn.MINIFS(AllocationSweep!R2:R999,AllocationSweep!C2:C999, A37)</f>
        <v>0</v>
      </c>
      <c r="E37" s="3">
        <f>_xlfn.MAXIFS(AllocationSweep!R2:R999,AllocationSweep!C2:C999, A37)</f>
        <v>0</v>
      </c>
      <c r="F37" s="3">
        <f>_xlfn.MINIFS(AllocationSweep!R2:R999,AllocationSweep!C2:C999, A37)</f>
        <v>0</v>
      </c>
      <c r="G37" s="3">
        <f>E37 - F37</f>
        <v>0</v>
      </c>
      <c r="H37" s="3">
        <f>_xlfn.MAXIFS(AllocationSweep!Q2:Q999,AllocationSweep!C2:C999, A37)</f>
        <v>0</v>
      </c>
      <c r="I37" s="3">
        <f>_xlfn.MINIFS(AllocationSweep!Q2:Q999,AllocationSweep!C2:C999, A37)</f>
        <v>0</v>
      </c>
      <c r="J37" s="3">
        <f>H37 - I37</f>
        <v>0</v>
      </c>
      <c r="K37" s="3" t="b">
        <f>AND(I37 &lt; 0, H37 &gt; 0)</f>
        <v>0</v>
      </c>
      <c r="L37" s="3" t="str">
        <f>IF(G37 &lt; 0.0001, "PASS: CorrectedGap invariant across allocation sweep", "FAIL: CorrectedGap varies — formula error")</f>
        <v>PASS: CorrectedGap invariant across allocation sweep</v>
      </c>
      <c r="M37" s="3" t="e">
        <f>LOOKUP(A37, SweepStudyConfig[StudyId], SweepStudyConfig[SweepStratumLabel])</f>
        <v>#VALUE!</v>
      </c>
    </row>
    <row r="38">
      <c r="A38" s="2" t="s">
        <v>555</v>
      </c>
      <c r="B38" s="3" t="str">
        <f>A38</f>
        <v>florida-reef-fish-1994</v>
      </c>
      <c r="C38" s="3" t="e">
        <f>LOOKUP(A38, TreatmentRankings[Study], TreatmentRankings[DistortionType])</f>
        <v>#VALUE!</v>
      </c>
      <c r="D38" s="3">
        <f>_xlfn.MINIFS(AllocationSweep!R2:R999,AllocationSweep!C2:C999, A38)</f>
        <v>0</v>
      </c>
      <c r="E38" s="3">
        <f>_xlfn.MAXIFS(AllocationSweep!R2:R999,AllocationSweep!C2:C999, A38)</f>
        <v>0</v>
      </c>
      <c r="F38" s="3">
        <f>_xlfn.MINIFS(AllocationSweep!R2:R999,AllocationSweep!C2:C999, A38)</f>
        <v>0</v>
      </c>
      <c r="G38" s="3">
        <f>E38 - F38</f>
        <v>0</v>
      </c>
      <c r="H38" s="3">
        <f>_xlfn.MAXIFS(AllocationSweep!Q2:Q999,AllocationSweep!C2:C999, A38)</f>
        <v>0</v>
      </c>
      <c r="I38" s="3">
        <f>_xlfn.MINIFS(AllocationSweep!Q2:Q999,AllocationSweep!C2:C999, A38)</f>
        <v>0</v>
      </c>
      <c r="J38" s="3">
        <f>H38 - I38</f>
        <v>0</v>
      </c>
      <c r="K38" s="3" t="b">
        <f>AND(I38 &lt; 0, H38 &gt; 0)</f>
        <v>0</v>
      </c>
      <c r="L38" s="3" t="str">
        <f>IF(G38 &lt; 0.0001, "PASS: CorrectedGap invariant across allocation sweep", "FAIL: CorrectedGap varies — formula error")</f>
        <v>PASS: CorrectedGap invariant across allocation sweep</v>
      </c>
      <c r="M38" s="3" t="e">
        <f>LOOKUP(A38, SweepStudyConfig[StudyId], SweepStudyConfig[SweepStratumLabel])</f>
        <v>#VALUE!</v>
      </c>
    </row>
    <row r="39">
      <c r="A39" s="2" t="s">
        <v>558</v>
      </c>
      <c r="B39" s="3" t="str">
        <f>A39</f>
        <v>uc-irvine-admissions-1985</v>
      </c>
      <c r="C39" s="3" t="e">
        <f>LOOKUP(A39, TreatmentRankings[Study], TreatmentRankings[DistortionType])</f>
        <v>#VALUE!</v>
      </c>
      <c r="D39" s="3">
        <f>_xlfn.MINIFS(AllocationSweep!R2:R999,AllocationSweep!C2:C999, A39)</f>
        <v>0</v>
      </c>
      <c r="E39" s="3">
        <f>_xlfn.MAXIFS(AllocationSweep!R2:R999,AllocationSweep!C2:C999, A39)</f>
        <v>0</v>
      </c>
      <c r="F39" s="3">
        <f>_xlfn.MINIFS(AllocationSweep!R2:R999,AllocationSweep!C2:C999, A39)</f>
        <v>0</v>
      </c>
      <c r="G39" s="3">
        <f>E39 - F39</f>
        <v>0</v>
      </c>
      <c r="H39" s="3">
        <f>_xlfn.MAXIFS(AllocationSweep!Q2:Q999,AllocationSweep!C2:C999, A39)</f>
        <v>0</v>
      </c>
      <c r="I39" s="3">
        <f>_xlfn.MINIFS(AllocationSweep!Q2:Q999,AllocationSweep!C2:C999, A39)</f>
        <v>0</v>
      </c>
      <c r="J39" s="3">
        <f>H39 - I39</f>
        <v>0</v>
      </c>
      <c r="K39" s="3" t="b">
        <f>AND(I39 &lt; 0, H39 &gt; 0)</f>
        <v>0</v>
      </c>
      <c r="L39" s="3" t="str">
        <f>IF(G39 &lt; 0.0001, "PASS: CorrectedGap invariant across allocation sweep", "FAIL: CorrectedGap varies — formula error")</f>
        <v>PASS: CorrectedGap invariant across allocation sweep</v>
      </c>
      <c r="M39" s="3" t="e">
        <f>LOOKUP(A39, SweepStudyConfig[StudyId], SweepStudyConfig[SweepStratumLabel])</f>
        <v>#VALUE!</v>
      </c>
    </row>
    <row r="40">
      <c r="A40" s="2" t="s">
        <v>561</v>
      </c>
      <c r="B40" s="3" t="str">
        <f>A40</f>
        <v>cesarean-birth-weight-2006</v>
      </c>
      <c r="C40" s="3" t="e">
        <f>LOOKUP(A40, TreatmentRankings[Study], TreatmentRankings[DistortionType])</f>
        <v>#VALUE!</v>
      </c>
      <c r="D40" s="3">
        <f>_xlfn.MINIFS(AllocationSweep!R2:R999,AllocationSweep!C2:C999, A40)</f>
        <v>0</v>
      </c>
      <c r="E40" s="3">
        <f>_xlfn.MAXIFS(AllocationSweep!R2:R999,AllocationSweep!C2:C999, A40)</f>
        <v>0</v>
      </c>
      <c r="F40" s="3">
        <f>_xlfn.MINIFS(AllocationSweep!R2:R999,AllocationSweep!C2:C999, A40)</f>
        <v>0</v>
      </c>
      <c r="G40" s="3">
        <f>E40 - F40</f>
        <v>0</v>
      </c>
      <c r="H40" s="3">
        <f>_xlfn.MAXIFS(AllocationSweep!Q2:Q999,AllocationSweep!C2:C999, A40)</f>
        <v>0</v>
      </c>
      <c r="I40" s="3">
        <f>_xlfn.MINIFS(AllocationSweep!Q2:Q999,AllocationSweep!C2:C999, A40)</f>
        <v>0</v>
      </c>
      <c r="J40" s="3">
        <f>H40 - I40</f>
        <v>0</v>
      </c>
      <c r="K40" s="3" t="b">
        <f>AND(I40 &lt; 0, H40 &gt; 0)</f>
        <v>0</v>
      </c>
      <c r="L40" s="3" t="str">
        <f>IF(G40 &lt; 0.0001, "PASS: CorrectedGap invariant across allocation sweep", "FAIL: CorrectedGap varies — formula error")</f>
        <v>PASS: CorrectedGap invariant across allocation sweep</v>
      </c>
      <c r="M40" s="3" t="e">
        <f>LOOKUP(A40, SweepStudyConfig[StudyId], SweepStudyConfig[SweepStratumLabel])</f>
        <v>#VALUE!</v>
      </c>
    </row>
    <row r="41">
      <c r="A41" s="2" t="s">
        <v>565</v>
      </c>
      <c r="B41" s="3" t="str">
        <f>A41</f>
        <v>schizophrenia-antipsychotic</v>
      </c>
      <c r="C41" s="3" t="e">
        <f>LOOKUP(A41, TreatmentRankings[Study], TreatmentRankings[DistortionType])</f>
        <v>#VALUE!</v>
      </c>
      <c r="D41" s="3">
        <f>_xlfn.MINIFS(AllocationSweep!R2:R999,AllocationSweep!C2:C999, A41)</f>
        <v>0</v>
      </c>
      <c r="E41" s="3">
        <f>_xlfn.MAXIFS(AllocationSweep!R2:R999,AllocationSweep!C2:C999, A41)</f>
        <v>0</v>
      </c>
      <c r="F41" s="3">
        <f>_xlfn.MINIFS(AllocationSweep!R2:R999,AllocationSweep!C2:C999, A41)</f>
        <v>0</v>
      </c>
      <c r="G41" s="3">
        <f>E41 - F41</f>
        <v>0</v>
      </c>
      <c r="H41" s="3">
        <f>_xlfn.MAXIFS(AllocationSweep!Q2:Q999,AllocationSweep!C2:C999, A41)</f>
        <v>0</v>
      </c>
      <c r="I41" s="3">
        <f>_xlfn.MINIFS(AllocationSweep!Q2:Q999,AllocationSweep!C2:C999, A41)</f>
        <v>0</v>
      </c>
      <c r="J41" s="3">
        <f>H41 - I41</f>
        <v>0</v>
      </c>
      <c r="K41" s="3" t="b">
        <f>AND(I41 &lt; 0, H41 &gt; 0)</f>
        <v>0</v>
      </c>
      <c r="L41" s="3" t="str">
        <f>IF(G41 &lt; 0.0001, "PASS: CorrectedGap invariant across allocation sweep", "FAIL: CorrectedGap varies — formula error")</f>
        <v>PASS: CorrectedGap invariant across allocation sweep</v>
      </c>
      <c r="M41" s="3" t="e">
        <f>LOOKUP(A41, SweepStudyConfig[StudyId], SweepStudyConfig[SweepStratumLabel])</f>
        <v>#VALUE!</v>
      </c>
    </row>
    <row r="42">
      <c r="A42" s="2" t="s">
        <v>568</v>
      </c>
      <c r="B42" s="3" t="str">
        <f>A42</f>
        <v>berkeley-six-dept-1973</v>
      </c>
      <c r="C42" s="3" t="e">
        <f>LOOKUP(A42, TreatmentRankings[Study], TreatmentRankings[DistortionType])</f>
        <v>#VALUE!</v>
      </c>
      <c r="D42" s="3">
        <f>_xlfn.MINIFS(AllocationSweep!R2:R999,AllocationSweep!C2:C999, A42)</f>
        <v>0</v>
      </c>
      <c r="E42" s="3">
        <f>_xlfn.MAXIFS(AllocationSweep!R2:R999,AllocationSweep!C2:C999, A42)</f>
        <v>0</v>
      </c>
      <c r="F42" s="3">
        <f>_xlfn.MINIFS(AllocationSweep!R2:R999,AllocationSweep!C2:C999, A42)</f>
        <v>0</v>
      </c>
      <c r="G42" s="3">
        <f>E42 - F42</f>
        <v>0</v>
      </c>
      <c r="H42" s="3">
        <f>_xlfn.MAXIFS(AllocationSweep!Q2:Q999,AllocationSweep!C2:C999, A42)</f>
        <v>0</v>
      </c>
      <c r="I42" s="3">
        <f>_xlfn.MINIFS(AllocationSweep!Q2:Q999,AllocationSweep!C2:C999, A42)</f>
        <v>0</v>
      </c>
      <c r="J42" s="3">
        <f>H42 - I42</f>
        <v>0</v>
      </c>
      <c r="K42" s="3" t="b">
        <f>AND(I42 &lt; 0, H42 &gt; 0)</f>
        <v>0</v>
      </c>
      <c r="L42" s="3" t="str">
        <f>IF(G42 &lt; 0.0001, "PASS: CorrectedGap invariant across allocation sweep", "FAIL: CorrectedGap varies — formula error")</f>
        <v>PASS: CorrectedGap invariant across allocation sweep</v>
      </c>
      <c r="M42" s="3" t="e">
        <f>LOOKUP(A42, SweepStudyConfig[StudyId], SweepStudyConfig[SweepStratumLabel])</f>
        <v>#VALUE!</v>
      </c>
    </row>
    <row r="43">
      <c r="A43" s="2" t="s">
        <v>572</v>
      </c>
      <c r="B43" s="3" t="str">
        <f>A43</f>
        <v>rosiglitazone-mi-pool-2007</v>
      </c>
      <c r="C43" s="3" t="e">
        <f>LOOKUP(A43, TreatmentRankings[Study], TreatmentRankings[DistortionType])</f>
        <v>#VALUE!</v>
      </c>
      <c r="D43" s="3">
        <f>_xlfn.MINIFS(AllocationSweep!R2:R999,AllocationSweep!C2:C999, A43)</f>
        <v>0</v>
      </c>
      <c r="E43" s="3">
        <f>_xlfn.MAXIFS(AllocationSweep!R2:R999,AllocationSweep!C2:C999, A43)</f>
        <v>0</v>
      </c>
      <c r="F43" s="3">
        <f>_xlfn.MINIFS(AllocationSweep!R2:R999,AllocationSweep!C2:C999, A43)</f>
        <v>0</v>
      </c>
      <c r="G43" s="3">
        <f>E43 - F43</f>
        <v>0</v>
      </c>
      <c r="H43" s="3">
        <f>_xlfn.MAXIFS(AllocationSweep!Q2:Q999,AllocationSweep!C2:C999, A43)</f>
        <v>0</v>
      </c>
      <c r="I43" s="3">
        <f>_xlfn.MINIFS(AllocationSweep!Q2:Q999,AllocationSweep!C2:C999, A43)</f>
        <v>0</v>
      </c>
      <c r="J43" s="3">
        <f>H43 - I43</f>
        <v>0</v>
      </c>
      <c r="K43" s="3" t="b">
        <f>AND(I43 &lt; 0, H43 &gt; 0)</f>
        <v>0</v>
      </c>
      <c r="L43" s="3" t="str">
        <f>IF(G43 &lt; 0.0001, "PASS: CorrectedGap invariant across allocation sweep", "FAIL: CorrectedGap varies — formula error")</f>
        <v>PASS: CorrectedGap invariant across allocation sweep</v>
      </c>
      <c r="M43" s="3" t="e">
        <f>LOOKUP(A43, SweepStudyConfig[StudyId], SweepStudyConfig[SweepStratumLabel])</f>
        <v>#VALUE!</v>
      </c>
    </row>
    <row r="44">
      <c r="A44" s="2" t="s">
        <v>576</v>
      </c>
      <c r="B44" s="3" t="str">
        <f>A44</f>
        <v>ironman-gender-age-2010</v>
      </c>
      <c r="C44" s="3" t="e">
        <f>LOOKUP(A44, TreatmentRankings[Study], TreatmentRankings[DistortionType])</f>
        <v>#VALUE!</v>
      </c>
      <c r="D44" s="3">
        <f>_xlfn.MINIFS(AllocationSweep!R2:R999,AllocationSweep!C2:C999, A44)</f>
        <v>0</v>
      </c>
      <c r="E44" s="3">
        <f>_xlfn.MAXIFS(AllocationSweep!R2:R999,AllocationSweep!C2:C999, A44)</f>
        <v>0</v>
      </c>
      <c r="F44" s="3">
        <f>_xlfn.MINIFS(AllocationSweep!R2:R999,AllocationSweep!C2:C999, A44)</f>
        <v>0</v>
      </c>
      <c r="G44" s="3">
        <f>E44 - F44</f>
        <v>0</v>
      </c>
      <c r="H44" s="3">
        <f>_xlfn.MAXIFS(AllocationSweep!Q2:Q999,AllocationSweep!C2:C999, A44)</f>
        <v>0</v>
      </c>
      <c r="I44" s="3">
        <f>_xlfn.MINIFS(AllocationSweep!Q2:Q999,AllocationSweep!C2:C999, A44)</f>
        <v>0</v>
      </c>
      <c r="J44" s="3">
        <f>H44 - I44</f>
        <v>0</v>
      </c>
      <c r="K44" s="3" t="b">
        <f>AND(I44 &lt; 0, H44 &gt; 0)</f>
        <v>0</v>
      </c>
      <c r="L44" s="3" t="str">
        <f>IF(G44 &lt; 0.0001, "PASS: CorrectedGap invariant across allocation sweep", "FAIL: CorrectedGap varies — formula error")</f>
        <v>PASS: CorrectedGap invariant across allocation sweep</v>
      </c>
      <c r="M44" s="3" t="e">
        <f>LOOKUP(A44, SweepStudyConfig[StudyId], SweepStudyConfig[SweepStratumLabel])</f>
        <v>#VALUE!</v>
      </c>
    </row>
    <row r="45">
      <c r="A45" s="2" t="s">
        <v>579</v>
      </c>
      <c r="B45" s="3" t="str">
        <f>A45</f>
        <v>hanley-power-lines-2000</v>
      </c>
      <c r="C45" s="3" t="e">
        <f>LOOKUP(A45, TreatmentRankings[Study], TreatmentRankings[DistortionType])</f>
        <v>#VALUE!</v>
      </c>
      <c r="D45" s="3">
        <f>_xlfn.MINIFS(AllocationSweep!R2:R999,AllocationSweep!C2:C999, A45)</f>
        <v>0</v>
      </c>
      <c r="E45" s="3">
        <f>_xlfn.MAXIFS(AllocationSweep!R2:R999,AllocationSweep!C2:C999, A45)</f>
        <v>0</v>
      </c>
      <c r="F45" s="3">
        <f>_xlfn.MINIFS(AllocationSweep!R2:R999,AllocationSweep!C2:C999, A45)</f>
        <v>0</v>
      </c>
      <c r="G45" s="3">
        <f>E45 - F45</f>
        <v>0</v>
      </c>
      <c r="H45" s="3">
        <f>_xlfn.MAXIFS(AllocationSweep!Q2:Q999,AllocationSweep!C2:C999, A45)</f>
        <v>0</v>
      </c>
      <c r="I45" s="3">
        <f>_xlfn.MINIFS(AllocationSweep!Q2:Q999,AllocationSweep!C2:C999, A45)</f>
        <v>0</v>
      </c>
      <c r="J45" s="3">
        <f>H45 - I45</f>
        <v>0</v>
      </c>
      <c r="K45" s="3" t="b">
        <f>AND(I45 &lt; 0, H45 &gt; 0)</f>
        <v>0</v>
      </c>
      <c r="L45" s="3" t="str">
        <f>IF(G45 &lt; 0.0001, "PASS: CorrectedGap invariant across allocation sweep", "FAIL: CorrectedGap varies — formula error")</f>
        <v>PASS: CorrectedGap invariant across allocation sweep</v>
      </c>
      <c r="M45" s="3" t="e">
        <f>LOOKUP(A45, SweepStudyConfig[StudyId], SweepStudyConfig[SweepStratumLabel])</f>
        <v>#VALUE!</v>
      </c>
    </row>
    <row r="46">
      <c r="A46" s="2" t="s">
        <v>583</v>
      </c>
      <c r="B46" s="3" t="str">
        <f>A46</f>
        <v>coffee-smoking-lung-1968</v>
      </c>
      <c r="C46" s="3" t="e">
        <f>LOOKUP(A46, TreatmentRankings[Study], TreatmentRankings[DistortionType])</f>
        <v>#VALUE!</v>
      </c>
      <c r="D46" s="3">
        <f>_xlfn.MINIFS(AllocationSweep!R2:R999,AllocationSweep!C2:C999, A46)</f>
        <v>0</v>
      </c>
      <c r="E46" s="3">
        <f>_xlfn.MAXIFS(AllocationSweep!R2:R999,AllocationSweep!C2:C999, A46)</f>
        <v>0</v>
      </c>
      <c r="F46" s="3">
        <f>_xlfn.MINIFS(AllocationSweep!R2:R999,AllocationSweep!C2:C999, A46)</f>
        <v>0</v>
      </c>
      <c r="G46" s="3">
        <f>E46 - F46</f>
        <v>0</v>
      </c>
      <c r="H46" s="3">
        <f>_xlfn.MAXIFS(AllocationSweep!Q2:Q999,AllocationSweep!C2:C999, A46)</f>
        <v>0</v>
      </c>
      <c r="I46" s="3">
        <f>_xlfn.MINIFS(AllocationSweep!Q2:Q999,AllocationSweep!C2:C999, A46)</f>
        <v>0</v>
      </c>
      <c r="J46" s="3">
        <f>H46 - I46</f>
        <v>0</v>
      </c>
      <c r="K46" s="3" t="b">
        <f>AND(I46 &lt; 0, H46 &gt; 0)</f>
        <v>0</v>
      </c>
      <c r="L46" s="3" t="str">
        <f>IF(G46 &lt; 0.0001, "PASS: CorrectedGap invariant across allocation sweep", "FAIL: CorrectedGap varies — formula error")</f>
        <v>PASS: CorrectedGap invariant across allocation sweep</v>
      </c>
      <c r="M46" s="3" t="e">
        <f>LOOKUP(A46, SweepStudyConfig[StudyId], SweepStudyConfig[SweepStratumLabel])</f>
        <v>#VALUE!</v>
      </c>
    </row>
    <row r="47">
      <c r="A47" s="2" t="s">
        <v>586</v>
      </c>
      <c r="B47" s="3" t="str">
        <f>A47</f>
        <v>panama-sweden-mortality-1975</v>
      </c>
      <c r="C47" s="3" t="e">
        <f>LOOKUP(A47, TreatmentRankings[Study], TreatmentRankings[DistortionType])</f>
        <v>#VALUE!</v>
      </c>
      <c r="D47" s="3">
        <f>_xlfn.MINIFS(AllocationSweep!R2:R999,AllocationSweep!C2:C999, A47)</f>
        <v>0</v>
      </c>
      <c r="E47" s="3">
        <f>_xlfn.MAXIFS(AllocationSweep!R2:R999,AllocationSweep!C2:C999, A47)</f>
        <v>0</v>
      </c>
      <c r="F47" s="3">
        <f>_xlfn.MINIFS(AllocationSweep!R2:R999,AllocationSweep!C2:C999, A47)</f>
        <v>0</v>
      </c>
      <c r="G47" s="3">
        <f>E47 - F47</f>
        <v>0</v>
      </c>
      <c r="H47" s="3">
        <f>_xlfn.MAXIFS(AllocationSweep!Q2:Q999,AllocationSweep!C2:C999, A47)</f>
        <v>0</v>
      </c>
      <c r="I47" s="3">
        <f>_xlfn.MINIFS(AllocationSweep!Q2:Q999,AllocationSweep!C2:C999, A47)</f>
        <v>0</v>
      </c>
      <c r="J47" s="3">
        <f>H47 - I47</f>
        <v>0</v>
      </c>
      <c r="K47" s="3" t="b">
        <f>AND(I47 &lt; 0, H47 &gt; 0)</f>
        <v>0</v>
      </c>
      <c r="L47" s="3" t="str">
        <f>IF(G47 &lt; 0.0001, "PASS: CorrectedGap invariant across allocation sweep", "FAIL: CorrectedGap varies — formula error")</f>
        <v>PASS: CorrectedGap invariant across allocation sweep</v>
      </c>
      <c r="M47" s="3" t="e">
        <f>LOOKUP(A47, SweepStudyConfig[StudyId], SweepStudyConfig[SweepStratumLabel])</f>
        <v>#VALUE!</v>
      </c>
    </row>
    <row r="48">
      <c r="A48" s="2" t="s">
        <v>589</v>
      </c>
      <c r="B48" s="3" t="str">
        <f>A48</f>
        <v>hrt-whi-2002</v>
      </c>
      <c r="C48" s="3" t="e">
        <f>LOOKUP(A48, TreatmentRankings[Study], TreatmentRankings[DistortionType])</f>
        <v>#VALUE!</v>
      </c>
      <c r="D48" s="3">
        <f>_xlfn.MINIFS(AllocationSweep!R2:R999,AllocationSweep!C2:C999, A48)</f>
        <v>0</v>
      </c>
      <c r="E48" s="3">
        <f>_xlfn.MAXIFS(AllocationSweep!R2:R999,AllocationSweep!C2:C999, A48)</f>
        <v>0</v>
      </c>
      <c r="F48" s="3">
        <f>_xlfn.MINIFS(AllocationSweep!R2:R999,AllocationSweep!C2:C999, A48)</f>
        <v>0</v>
      </c>
      <c r="G48" s="3">
        <f>E48 - F48</f>
        <v>0</v>
      </c>
      <c r="H48" s="3">
        <f>_xlfn.MAXIFS(AllocationSweep!Q2:Q999,AllocationSweep!C2:C999, A48)</f>
        <v>0</v>
      </c>
      <c r="I48" s="3">
        <f>_xlfn.MINIFS(AllocationSweep!Q2:Q999,AllocationSweep!C2:C999, A48)</f>
        <v>0</v>
      </c>
      <c r="J48" s="3">
        <f>H48 - I48</f>
        <v>0</v>
      </c>
      <c r="K48" s="3" t="b">
        <f>AND(I48 &lt; 0, H48 &gt; 0)</f>
        <v>0</v>
      </c>
      <c r="L48" s="3" t="str">
        <f>IF(G48 &lt; 0.0001, "PASS: CorrectedGap invariant across allocation sweep", "FAIL: CorrectedGap varies — formula error")</f>
        <v>PASS: CorrectedGap invariant across allocation sweep</v>
      </c>
      <c r="M48" s="3" t="e">
        <f>LOOKUP(A48, SweepStudyConfig[StudyId], SweepStudyConfig[SweepStratumLabel])</f>
        <v>#VALUE!</v>
      </c>
    </row>
    <row r="49">
      <c r="A49" s="2" t="s">
        <v>593</v>
      </c>
      <c r="B49" s="3" t="str">
        <f>A49</f>
        <v>obesity-paradox-hf</v>
      </c>
      <c r="C49" s="3" t="e">
        <f>LOOKUP(A49, TreatmentRankings[Study], TreatmentRankings[DistortionType])</f>
        <v>#VALUE!</v>
      </c>
      <c r="D49" s="3">
        <f>_xlfn.MINIFS(AllocationSweep!R2:R999,AllocationSweep!C2:C999, A49)</f>
        <v>0</v>
      </c>
      <c r="E49" s="3">
        <f>_xlfn.MAXIFS(AllocationSweep!R2:R999,AllocationSweep!C2:C999, A49)</f>
        <v>0</v>
      </c>
      <c r="F49" s="3">
        <f>_xlfn.MINIFS(AllocationSweep!R2:R999,AllocationSweep!C2:C999, A49)</f>
        <v>0</v>
      </c>
      <c r="G49" s="3">
        <f>E49 - F49</f>
        <v>0</v>
      </c>
      <c r="H49" s="3">
        <f>_xlfn.MAXIFS(AllocationSweep!Q2:Q999,AllocationSweep!C2:C999, A49)</f>
        <v>0</v>
      </c>
      <c r="I49" s="3">
        <f>_xlfn.MINIFS(AllocationSweep!Q2:Q999,AllocationSweep!C2:C999, A49)</f>
        <v>0</v>
      </c>
      <c r="J49" s="3">
        <f>H49 - I49</f>
        <v>0</v>
      </c>
      <c r="K49" s="3" t="b">
        <f>AND(I49 &lt; 0, H49 &gt; 0)</f>
        <v>0</v>
      </c>
      <c r="L49" s="3" t="str">
        <f>IF(G49 &lt; 0.0001, "PASS: CorrectedGap invariant across allocation sweep", "FAIL: CorrectedGap varies — formula error")</f>
        <v>PASS: CorrectedGap invariant across allocation sweep</v>
      </c>
      <c r="M49" s="3" t="e">
        <f>LOOKUP(A49, SweepStudyConfig[StudyId], SweepStudyConfig[SweepStratumLabel])</f>
        <v>#VALUE!</v>
      </c>
    </row>
    <row r="50">
      <c r="A50" s="2" t="s">
        <v>597</v>
      </c>
      <c r="B50" s="3" t="str">
        <f>A50</f>
        <v>dialysis-bmi-survival</v>
      </c>
      <c r="C50" s="3" t="e">
        <f>LOOKUP(A50, TreatmentRankings[Study], TreatmentRankings[DistortionType])</f>
        <v>#VALUE!</v>
      </c>
      <c r="D50" s="3">
        <f>_xlfn.MINIFS(AllocationSweep!R2:R999,AllocationSweep!C2:C999, A50)</f>
        <v>0</v>
      </c>
      <c r="E50" s="3">
        <f>_xlfn.MAXIFS(AllocationSweep!R2:R999,AllocationSweep!C2:C999, A50)</f>
        <v>0</v>
      </c>
      <c r="F50" s="3">
        <f>_xlfn.MINIFS(AllocationSweep!R2:R999,AllocationSweep!C2:C999, A50)</f>
        <v>0</v>
      </c>
      <c r="G50" s="3">
        <f>E50 - F50</f>
        <v>0</v>
      </c>
      <c r="H50" s="3">
        <f>_xlfn.MAXIFS(AllocationSweep!Q2:Q999,AllocationSweep!C2:C999, A50)</f>
        <v>0</v>
      </c>
      <c r="I50" s="3">
        <f>_xlfn.MINIFS(AllocationSweep!Q2:Q999,AllocationSweep!C2:C999, A50)</f>
        <v>0</v>
      </c>
      <c r="J50" s="3">
        <f>H50 - I50</f>
        <v>0</v>
      </c>
      <c r="K50" s="3" t="b">
        <f>AND(I50 &lt; 0, H50 &gt; 0)</f>
        <v>0</v>
      </c>
      <c r="L50" s="3" t="str">
        <f>IF(G50 &lt; 0.0001, "PASS: CorrectedGap invariant across allocation sweep", "FAIL: CorrectedGap varies — formula error")</f>
        <v>PASS: CorrectedGap invariant across allocation sweep</v>
      </c>
      <c r="M50" s="3" t="e">
        <f>LOOKUP(A50, SweepStudyConfig[StudyId], SweepStudyConfig[SweepStratumLabel])</f>
        <v>#VALUE!</v>
      </c>
    </row>
    <row r="51">
      <c r="A51" s="2" t="s">
        <v>601</v>
      </c>
      <c r="B51" s="3" t="str">
        <f>A51</f>
        <v>sick-quitter-alcohol</v>
      </c>
      <c r="C51" s="3" t="e">
        <f>LOOKUP(A51, TreatmentRankings[Study], TreatmentRankings[DistortionType])</f>
        <v>#VALUE!</v>
      </c>
      <c r="D51" s="3">
        <f>_xlfn.MINIFS(AllocationSweep!R2:R999,AllocationSweep!C2:C999, A51)</f>
        <v>0</v>
      </c>
      <c r="E51" s="3">
        <f>_xlfn.MAXIFS(AllocationSweep!R2:R999,AllocationSweep!C2:C999, A51)</f>
        <v>0</v>
      </c>
      <c r="F51" s="3">
        <f>_xlfn.MINIFS(AllocationSweep!R2:R999,AllocationSweep!C2:C999, A51)</f>
        <v>0</v>
      </c>
      <c r="G51" s="3">
        <f>E51 - F51</f>
        <v>0</v>
      </c>
      <c r="H51" s="3">
        <f>_xlfn.MAXIFS(AllocationSweep!Q2:Q999,AllocationSweep!C2:C999, A51)</f>
        <v>0</v>
      </c>
      <c r="I51" s="3">
        <f>_xlfn.MINIFS(AllocationSweep!Q2:Q999,AllocationSweep!C2:C999, A51)</f>
        <v>0</v>
      </c>
      <c r="J51" s="3">
        <f>H51 - I51</f>
        <v>0</v>
      </c>
      <c r="K51" s="3" t="b">
        <f>AND(I51 &lt; 0, H51 &gt; 0)</f>
        <v>0</v>
      </c>
      <c r="L51" s="3" t="str">
        <f>IF(G51 &lt; 0.0001, "PASS: CorrectedGap invariant across allocation sweep", "FAIL: CorrectedGap varies — formula error")</f>
        <v>PASS: CorrectedGap invariant across allocation sweep</v>
      </c>
      <c r="M51" s="3" t="e">
        <f>LOOKUP(A51, SweepStudyConfig[StudyId], SweepStudyConfig[SweepStratumLabel])</f>
        <v>#VALUE!</v>
      </c>
    </row>
    <row r="52">
      <c r="A52" s="2" t="s">
        <v>605</v>
      </c>
      <c r="B52" s="3" t="str">
        <f>A52</f>
        <v>flu-vaccine-elderly-mortality</v>
      </c>
      <c r="C52" s="3" t="e">
        <f>LOOKUP(A52, TreatmentRankings[Study], TreatmentRankings[DistortionType])</f>
        <v>#VALUE!</v>
      </c>
      <c r="D52" s="3">
        <f>_xlfn.MINIFS(AllocationSweep!R2:R999,AllocationSweep!C2:C999, A52)</f>
        <v>0</v>
      </c>
      <c r="E52" s="3">
        <f>_xlfn.MAXIFS(AllocationSweep!R2:R999,AllocationSweep!C2:C999, A52)</f>
        <v>0</v>
      </c>
      <c r="F52" s="3">
        <f>_xlfn.MINIFS(AllocationSweep!R2:R999,AllocationSweep!C2:C999, A52)</f>
        <v>0</v>
      </c>
      <c r="G52" s="3">
        <f>E52 - F52</f>
        <v>0</v>
      </c>
      <c r="H52" s="3">
        <f>_xlfn.MAXIFS(AllocationSweep!Q2:Q999,AllocationSweep!C2:C999, A52)</f>
        <v>0</v>
      </c>
      <c r="I52" s="3">
        <f>_xlfn.MINIFS(AllocationSweep!Q2:Q999,AllocationSweep!C2:C999, A52)</f>
        <v>0</v>
      </c>
      <c r="J52" s="3">
        <f>H52 - I52</f>
        <v>0</v>
      </c>
      <c r="K52" s="3" t="b">
        <f>AND(I52 &lt; 0, H52 &gt; 0)</f>
        <v>0</v>
      </c>
      <c r="L52" s="3" t="str">
        <f>IF(G52 &lt; 0.0001, "PASS: CorrectedGap invariant across allocation sweep", "FAIL: CorrectedGap varies — formula error")</f>
        <v>PASS: CorrectedGap invariant across allocation sweep</v>
      </c>
      <c r="M52" s="3" t="e">
        <f>LOOKUP(A52, SweepStudyConfig[StudyId], SweepStudyConfig[SweepStratumLabel])</f>
        <v>#VALUE!</v>
      </c>
    </row>
    <row r="53">
      <c r="A53" s="2" t="s">
        <v>609</v>
      </c>
      <c r="B53" s="3" t="str">
        <f>A53</f>
        <v>covid-italy-china-cfr-2020</v>
      </c>
      <c r="C53" s="3" t="e">
        <f>LOOKUP(A53, TreatmentRankings[Study], TreatmentRankings[DistortionType])</f>
        <v>#VALUE!</v>
      </c>
      <c r="D53" s="3">
        <f>_xlfn.MINIFS(AllocationSweep!R2:R999,AllocationSweep!C2:C999, A53)</f>
        <v>0</v>
      </c>
      <c r="E53" s="3">
        <f>_xlfn.MAXIFS(AllocationSweep!R2:R999,AllocationSweep!C2:C999, A53)</f>
        <v>0</v>
      </c>
      <c r="F53" s="3">
        <f>_xlfn.MINIFS(AllocationSweep!R2:R999,AllocationSweep!C2:C999, A53)</f>
        <v>0</v>
      </c>
      <c r="G53" s="3">
        <f>E53 - F53</f>
        <v>0</v>
      </c>
      <c r="H53" s="3">
        <f>_xlfn.MAXIFS(AllocationSweep!Q2:Q999,AllocationSweep!C2:C999, A53)</f>
        <v>0</v>
      </c>
      <c r="I53" s="3">
        <f>_xlfn.MINIFS(AllocationSweep!Q2:Q999,AllocationSweep!C2:C999, A53)</f>
        <v>0</v>
      </c>
      <c r="J53" s="3">
        <f>H53 - I53</f>
        <v>0</v>
      </c>
      <c r="K53" s="3" t="b">
        <f>AND(I53 &lt; 0, H53 &gt; 0)</f>
        <v>0</v>
      </c>
      <c r="L53" s="3" t="str">
        <f>IF(G53 &lt; 0.0001, "PASS: CorrectedGap invariant across allocation sweep", "FAIL: CorrectedGap varies — formula error")</f>
        <v>PASS: CorrectedGap invariant across allocation sweep</v>
      </c>
      <c r="M53" s="3" t="e">
        <f>LOOKUP(A53, SweepStudyConfig[StudyId], SweepStudyConfig[SweepStratumLabel])</f>
        <v>#VALUE!</v>
      </c>
    </row>
    <row r="54">
      <c r="A54" s="2" t="s">
        <v>613</v>
      </c>
      <c r="B54" s="3" t="str">
        <f>A54</f>
        <v>israel-covid-severe-2021</v>
      </c>
      <c r="C54" s="3" t="e">
        <f>LOOKUP(A54, TreatmentRankings[Study], TreatmentRankings[DistortionType])</f>
        <v>#VALUE!</v>
      </c>
      <c r="D54" s="3">
        <f>_xlfn.MINIFS(AllocationSweep!R2:R999,AllocationSweep!C2:C999, A54)</f>
        <v>0</v>
      </c>
      <c r="E54" s="3">
        <f>_xlfn.MAXIFS(AllocationSweep!R2:R999,AllocationSweep!C2:C999, A54)</f>
        <v>0</v>
      </c>
      <c r="F54" s="3">
        <f>_xlfn.MINIFS(AllocationSweep!R2:R999,AllocationSweep!C2:C999, A54)</f>
        <v>0</v>
      </c>
      <c r="G54" s="3">
        <f>E54 - F54</f>
        <v>0</v>
      </c>
      <c r="H54" s="3">
        <f>_xlfn.MAXIFS(AllocationSweep!Q2:Q999,AllocationSweep!C2:C999, A54)</f>
        <v>0</v>
      </c>
      <c r="I54" s="3">
        <f>_xlfn.MINIFS(AllocationSweep!Q2:Q999,AllocationSweep!C2:C999, A54)</f>
        <v>0</v>
      </c>
      <c r="J54" s="3">
        <f>H54 - I54</f>
        <v>0</v>
      </c>
      <c r="K54" s="3" t="b">
        <f>AND(I54 &lt; 0, H54 &gt; 0)</f>
        <v>0</v>
      </c>
      <c r="L54" s="3" t="str">
        <f>IF(G54 &lt; 0.0001, "PASS: CorrectedGap invariant across allocation sweep", "FAIL: CorrectedGap varies — formula error")</f>
        <v>PASS: CorrectedGap invariant across allocation sweep</v>
      </c>
      <c r="M54" s="3" t="e">
        <f>LOOKUP(A54, SweepStudyConfig[StudyId], SweepStudyConfig[SweepStratumLabel])</f>
        <v>#VALUE!</v>
      </c>
    </row>
    <row r="55">
      <c r="A55" s="2" t="s">
        <v>617</v>
      </c>
      <c r="B55" s="3" t="str">
        <f>A55</f>
        <v>cochran-smoking-1968</v>
      </c>
      <c r="C55" s="3" t="e">
        <f>LOOKUP(A55, TreatmentRankings[Study], TreatmentRankings[DistortionType])</f>
        <v>#VALUE!</v>
      </c>
      <c r="D55" s="3">
        <f>_xlfn.MINIFS(AllocationSweep!R2:R999,AllocationSweep!C2:C999, A55)</f>
        <v>0</v>
      </c>
      <c r="E55" s="3">
        <f>_xlfn.MAXIFS(AllocationSweep!R2:R999,AllocationSweep!C2:C999, A55)</f>
        <v>0</v>
      </c>
      <c r="F55" s="3">
        <f>_xlfn.MINIFS(AllocationSweep!R2:R999,AllocationSweep!C2:C999, A55)</f>
        <v>0</v>
      </c>
      <c r="G55" s="3">
        <f>E55 - F55</f>
        <v>0</v>
      </c>
      <c r="H55" s="3">
        <f>_xlfn.MAXIFS(AllocationSweep!Q2:Q999,AllocationSweep!C2:C999, A55)</f>
        <v>0</v>
      </c>
      <c r="I55" s="3">
        <f>_xlfn.MINIFS(AllocationSweep!Q2:Q999,AllocationSweep!C2:C999, A55)</f>
        <v>0</v>
      </c>
      <c r="J55" s="3">
        <f>H55 - I55</f>
        <v>0</v>
      </c>
      <c r="K55" s="3" t="b">
        <f>AND(I55 &lt; 0, H55 &gt; 0)</f>
        <v>0</v>
      </c>
      <c r="L55" s="3" t="str">
        <f>IF(G55 &lt; 0.0001, "PASS: CorrectedGap invariant across allocation sweep", "FAIL: CorrectedGap varies — formula error")</f>
        <v>PASS: CorrectedGap invariant across allocation sweep</v>
      </c>
      <c r="M55" s="3" t="e">
        <f>LOOKUP(A55, SweepStudyConfig[StudyId], SweepStudyConfig[SweepStratumLabel])</f>
        <v>#VALUE!</v>
      </c>
    </row>
    <row r="56">
      <c r="A56" s="2" t="s">
        <v>621</v>
      </c>
      <c r="B56" s="3" t="str">
        <f>A56</f>
        <v>healthy-worker-mortality</v>
      </c>
      <c r="C56" s="3" t="e">
        <f>LOOKUP(A56, TreatmentRankings[Study], TreatmentRankings[DistortionType])</f>
        <v>#VALUE!</v>
      </c>
      <c r="D56" s="3">
        <f>_xlfn.MINIFS(AllocationSweep!R2:R999,AllocationSweep!C2:C999, A56)</f>
        <v>0</v>
      </c>
      <c r="E56" s="3">
        <f>_xlfn.MAXIFS(AllocationSweep!R2:R999,AllocationSweep!C2:C999, A56)</f>
        <v>0</v>
      </c>
      <c r="F56" s="3">
        <f>_xlfn.MINIFS(AllocationSweep!R2:R999,AllocationSweep!C2:C999, A56)</f>
        <v>0</v>
      </c>
      <c r="G56" s="3">
        <f>E56 - F56</f>
        <v>0</v>
      </c>
      <c r="H56" s="3">
        <f>_xlfn.MAXIFS(AllocationSweep!Q2:Q999,AllocationSweep!C2:C999, A56)</f>
        <v>0</v>
      </c>
      <c r="I56" s="3">
        <f>_xlfn.MINIFS(AllocationSweep!Q2:Q999,AllocationSweep!C2:C999, A56)</f>
        <v>0</v>
      </c>
      <c r="J56" s="3">
        <f>H56 - I56</f>
        <v>0</v>
      </c>
      <c r="K56" s="3" t="b">
        <f>AND(I56 &lt; 0, H56 &gt; 0)</f>
        <v>0</v>
      </c>
      <c r="L56" s="3" t="str">
        <f>IF(G56 &lt; 0.0001, "PASS: CorrectedGap invariant across allocation sweep", "FAIL: CorrectedGap varies — formula error")</f>
        <v>PASS: CorrectedGap invariant across allocation sweep</v>
      </c>
      <c r="M56" s="3" t="e">
        <f>LOOKUP(A56, SweepStudyConfig[StudyId], SweepStudyConfig[SweepStratumLabel])</f>
        <v>#VALUE!</v>
      </c>
    </row>
    <row r="57">
      <c r="A57" s="2" t="s">
        <v>624</v>
      </c>
      <c r="B57" s="3" t="str">
        <f>A57</f>
        <v>compas-recidivism-base</v>
      </c>
      <c r="C57" s="3" t="e">
        <f>LOOKUP(A57, TreatmentRankings[Study], TreatmentRankings[DistortionType])</f>
        <v>#VALUE!</v>
      </c>
      <c r="D57" s="3">
        <f>_xlfn.MINIFS(AllocationSweep!R2:R999,AllocationSweep!C2:C999, A57)</f>
        <v>0</v>
      </c>
      <c r="E57" s="3">
        <f>_xlfn.MAXIFS(AllocationSweep!R2:R999,AllocationSweep!C2:C999, A57)</f>
        <v>0</v>
      </c>
      <c r="F57" s="3">
        <f>_xlfn.MINIFS(AllocationSweep!R2:R999,AllocationSweep!C2:C999, A57)</f>
        <v>0</v>
      </c>
      <c r="G57" s="3">
        <f>E57 - F57</f>
        <v>0</v>
      </c>
      <c r="H57" s="3">
        <f>_xlfn.MAXIFS(AllocationSweep!Q2:Q999,AllocationSweep!C2:C999, A57)</f>
        <v>0</v>
      </c>
      <c r="I57" s="3">
        <f>_xlfn.MINIFS(AllocationSweep!Q2:Q999,AllocationSweep!C2:C999, A57)</f>
        <v>0</v>
      </c>
      <c r="J57" s="3">
        <f>H57 - I57</f>
        <v>0</v>
      </c>
      <c r="K57" s="3" t="b">
        <f>AND(I57 &lt; 0, H57 &gt; 0)</f>
        <v>0</v>
      </c>
      <c r="L57" s="3" t="str">
        <f>IF(G57 &lt; 0.0001, "PASS: CorrectedGap invariant across allocation sweep", "FAIL: CorrectedGap varies — formula error")</f>
        <v>PASS: CorrectedGap invariant across allocation sweep</v>
      </c>
      <c r="M57" s="3" t="e">
        <f>LOOKUP(A57, SweepStudyConfig[StudyId], SweepStudyConfig[SweepStratumLabel])</f>
        <v>#VALUE!</v>
      </c>
    </row>
    <row r="58">
      <c r="A58" s="2" t="s">
        <v>629</v>
      </c>
      <c r="B58" s="3" t="str">
        <f>A58</f>
        <v>us-wage-composition-stagnation</v>
      </c>
      <c r="C58" s="3" t="e">
        <f>LOOKUP(A58, TreatmentRankings[Study], TreatmentRankings[DistortionType])</f>
        <v>#VALUE!</v>
      </c>
      <c r="D58" s="3">
        <f>_xlfn.MINIFS(AllocationSweep!R2:R999,AllocationSweep!C2:C999, A58)</f>
        <v>0</v>
      </c>
      <c r="E58" s="3">
        <f>_xlfn.MAXIFS(AllocationSweep!R2:R999,AllocationSweep!C2:C999, A58)</f>
        <v>0</v>
      </c>
      <c r="F58" s="3">
        <f>_xlfn.MINIFS(AllocationSweep!R2:R999,AllocationSweep!C2:C999, A58)</f>
        <v>0</v>
      </c>
      <c r="G58" s="3">
        <f>E58 - F58</f>
        <v>0</v>
      </c>
      <c r="H58" s="3">
        <f>_xlfn.MAXIFS(AllocationSweep!Q2:Q999,AllocationSweep!C2:C999, A58)</f>
        <v>0</v>
      </c>
      <c r="I58" s="3">
        <f>_xlfn.MINIFS(AllocationSweep!Q2:Q999,AllocationSweep!C2:C999, A58)</f>
        <v>0</v>
      </c>
      <c r="J58" s="3">
        <f>H58 - I58</f>
        <v>0</v>
      </c>
      <c r="K58" s="3" t="b">
        <f>AND(I58 &lt; 0, H58 &gt; 0)</f>
        <v>0</v>
      </c>
      <c r="L58" s="3" t="str">
        <f>IF(G58 &lt; 0.0001, "PASS: CorrectedGap invariant across allocation sweep", "FAIL: CorrectedGap varies — formula error")</f>
        <v>PASS: CorrectedGap invariant across allocation sweep</v>
      </c>
      <c r="M58" s="3" t="e">
        <f>LOOKUP(A58, SweepStudyConfig[StudyId], SweepStudyConfig[SweepStratumLabel])</f>
        <v>#VALUE!</v>
      </c>
    </row>
    <row r="59">
      <c r="A59" s="2" t="s">
        <v>633</v>
      </c>
      <c r="B59" s="3" t="str">
        <f>A59</f>
        <v>borjas-immigrant-cohort</v>
      </c>
      <c r="C59" s="3" t="e">
        <f>LOOKUP(A59, TreatmentRankings[Study], TreatmentRankings[DistortionType])</f>
        <v>#VALUE!</v>
      </c>
      <c r="D59" s="3">
        <f>_xlfn.MINIFS(AllocationSweep!R2:R999,AllocationSweep!C2:C999, A59)</f>
        <v>0</v>
      </c>
      <c r="E59" s="3">
        <f>_xlfn.MAXIFS(AllocationSweep!R2:R999,AllocationSweep!C2:C999, A59)</f>
        <v>0</v>
      </c>
      <c r="F59" s="3">
        <f>_xlfn.MINIFS(AllocationSweep!R2:R999,AllocationSweep!C2:C999, A59)</f>
        <v>0</v>
      </c>
      <c r="G59" s="3">
        <f>E59 - F59</f>
        <v>0</v>
      </c>
      <c r="H59" s="3">
        <f>_xlfn.MAXIFS(AllocationSweep!Q2:Q999,AllocationSweep!C2:C999, A59)</f>
        <v>0</v>
      </c>
      <c r="I59" s="3">
        <f>_xlfn.MINIFS(AllocationSweep!Q2:Q999,AllocationSweep!C2:C999, A59)</f>
        <v>0</v>
      </c>
      <c r="J59" s="3">
        <f>H59 - I59</f>
        <v>0</v>
      </c>
      <c r="K59" s="3" t="b">
        <f>AND(I59 &lt; 0, H59 &gt; 0)</f>
        <v>0</v>
      </c>
      <c r="L59" s="3" t="str">
        <f>IF(G59 &lt; 0.0001, "PASS: CorrectedGap invariant across allocation sweep", "FAIL: CorrectedGap varies — formula error")</f>
        <v>PASS: CorrectedGap invariant across allocation sweep</v>
      </c>
      <c r="M59" s="3" t="e">
        <f>LOOKUP(A59, SweepStudyConfig[StudyId], SweepStudyConfig[SweepStratumLabel])</f>
        <v>#VALUE!</v>
      </c>
    </row>
    <row r="60">
      <c r="A60" s="2" t="s">
        <v>637</v>
      </c>
      <c r="B60" s="3" t="str">
        <f>A60</f>
        <v>robinson-1950-literacy</v>
      </c>
      <c r="C60" s="3" t="e">
        <f>LOOKUP(A60, TreatmentRankings[Study], TreatmentRankings[DistortionType])</f>
        <v>#VALUE!</v>
      </c>
      <c r="D60" s="3">
        <f>_xlfn.MINIFS(AllocationSweep!R2:R999,AllocationSweep!C2:C999, A60)</f>
        <v>0</v>
      </c>
      <c r="E60" s="3">
        <f>_xlfn.MAXIFS(AllocationSweep!R2:R999,AllocationSweep!C2:C999, A60)</f>
        <v>0</v>
      </c>
      <c r="F60" s="3">
        <f>_xlfn.MINIFS(AllocationSweep!R2:R999,AllocationSweep!C2:C999, A60)</f>
        <v>0</v>
      </c>
      <c r="G60" s="3">
        <f>E60 - F60</f>
        <v>0</v>
      </c>
      <c r="H60" s="3">
        <f>_xlfn.MAXIFS(AllocationSweep!Q2:Q999,AllocationSweep!C2:C999, A60)</f>
        <v>0</v>
      </c>
      <c r="I60" s="3">
        <f>_xlfn.MINIFS(AllocationSweep!Q2:Q999,AllocationSweep!C2:C999, A60)</f>
        <v>0</v>
      </c>
      <c r="J60" s="3">
        <f>H60 - I60</f>
        <v>0</v>
      </c>
      <c r="K60" s="3" t="b">
        <f>AND(I60 &lt; 0, H60 &gt; 0)</f>
        <v>0</v>
      </c>
      <c r="L60" s="3" t="str">
        <f>IF(G60 &lt; 0.0001, "PASS: CorrectedGap invariant across allocation sweep", "FAIL: CorrectedGap varies — formula error")</f>
        <v>PASS: CorrectedGap invariant across allocation sweep</v>
      </c>
      <c r="M60" s="3" t="e">
        <f>LOOKUP(A60, SweepStudyConfig[StudyId], SweepStudyConfig[SweepStratumLabel])</f>
        <v>#VALUE!</v>
      </c>
    </row>
    <row r="61">
      <c r="A61" s="2" t="s">
        <v>641</v>
      </c>
      <c r="B61" s="3" t="str">
        <f>A61</f>
        <v>ab-test-traffic-mix</v>
      </c>
      <c r="C61" s="3" t="e">
        <f>LOOKUP(A61, TreatmentRankings[Study], TreatmentRankings[DistortionType])</f>
        <v>#VALUE!</v>
      </c>
      <c r="D61" s="3">
        <f>_xlfn.MINIFS(AllocationSweep!R2:R999,AllocationSweep!C2:C999, A61)</f>
        <v>0</v>
      </c>
      <c r="E61" s="3">
        <f>_xlfn.MAXIFS(AllocationSweep!R2:R999,AllocationSweep!C2:C999, A61)</f>
        <v>0</v>
      </c>
      <c r="F61" s="3">
        <f>_xlfn.MINIFS(AllocationSweep!R2:R999,AllocationSweep!C2:C999, A61)</f>
        <v>0</v>
      </c>
      <c r="G61" s="3">
        <f>E61 - F61</f>
        <v>0</v>
      </c>
      <c r="H61" s="3">
        <f>_xlfn.MAXIFS(AllocationSweep!Q2:Q999,AllocationSweep!C2:C999, A61)</f>
        <v>0</v>
      </c>
      <c r="I61" s="3">
        <f>_xlfn.MINIFS(AllocationSweep!Q2:Q999,AllocationSweep!C2:C999, A61)</f>
        <v>0</v>
      </c>
      <c r="J61" s="3">
        <f>H61 - I61</f>
        <v>0</v>
      </c>
      <c r="K61" s="3" t="b">
        <f>AND(I61 &lt; 0, H61 &gt; 0)</f>
        <v>0</v>
      </c>
      <c r="L61" s="3" t="str">
        <f>IF(G61 &lt; 0.0001, "PASS: CorrectedGap invariant across allocation sweep", "FAIL: CorrectedGap varies — formula error")</f>
        <v>PASS: CorrectedGap invariant across allocation sweep</v>
      </c>
      <c r="M61" s="3" t="e">
        <f>LOOKUP(A61, SweepStudyConfig[StudyId], SweepStudyConfig[SweepStratumLabel])</f>
        <v>#VALUE!</v>
      </c>
    </row>
    <row r="62">
      <c r="A62" s="2" t="s">
        <v>645</v>
      </c>
      <c r="B62" s="3" t="str">
        <f>A62</f>
        <v>recsys-offline-eval</v>
      </c>
      <c r="C62" s="3" t="e">
        <f>LOOKUP(A62, TreatmentRankings[Study], TreatmentRankings[DistortionType])</f>
        <v>#VALUE!</v>
      </c>
      <c r="D62" s="3">
        <f>_xlfn.MINIFS(AllocationSweep!R2:R999,AllocationSweep!C2:C999, A62)</f>
        <v>0</v>
      </c>
      <c r="E62" s="3">
        <f>_xlfn.MAXIFS(AllocationSweep!R2:R999,AllocationSweep!C2:C999, A62)</f>
        <v>0</v>
      </c>
      <c r="F62" s="3">
        <f>_xlfn.MINIFS(AllocationSweep!R2:R999,AllocationSweep!C2:C999, A62)</f>
        <v>0</v>
      </c>
      <c r="G62" s="3">
        <f>E62 - F62</f>
        <v>0</v>
      </c>
      <c r="H62" s="3">
        <f>_xlfn.MAXIFS(AllocationSweep!Q2:Q999,AllocationSweep!C2:C999, A62)</f>
        <v>0</v>
      </c>
      <c r="I62" s="3">
        <f>_xlfn.MINIFS(AllocationSweep!Q2:Q999,AllocationSweep!C2:C999, A62)</f>
        <v>0</v>
      </c>
      <c r="J62" s="3">
        <f>H62 - I62</f>
        <v>0</v>
      </c>
      <c r="K62" s="3" t="b">
        <f>AND(I62 &lt; 0, H62 &gt; 0)</f>
        <v>0</v>
      </c>
      <c r="L62" s="3" t="str">
        <f>IF(G62 &lt; 0.0001, "PASS: CorrectedGap invariant across allocation sweep", "FAIL: CorrectedGap varies — formula error")</f>
        <v>PASS: CorrectedGap invariant across allocation sweep</v>
      </c>
      <c r="M62" s="3" t="e">
        <f>LOOKUP(A62, SweepStudyConfig[StudyId], SweepStudyConfig[SweepStratumLabel])</f>
        <v>#VALUE!</v>
      </c>
    </row>
    <row r="63">
      <c r="A63" s="2" t="s">
        <v>649</v>
      </c>
      <c r="B63" s="3" t="str">
        <f>A63</f>
        <v>collider-only-synthetic</v>
      </c>
      <c r="C63" s="3" t="e">
        <f>LOOKUP(A63, TreatmentRankings[Study], TreatmentRankings[DistortionType])</f>
        <v>#VALUE!</v>
      </c>
      <c r="D63" s="3">
        <f>_xlfn.MINIFS(AllocationSweep!R2:R999,AllocationSweep!C2:C999, A63)</f>
        <v>0</v>
      </c>
      <c r="E63" s="3">
        <f>_xlfn.MAXIFS(AllocationSweep!R2:R999,AllocationSweep!C2:C999, A63)</f>
        <v>0</v>
      </c>
      <c r="F63" s="3">
        <f>_xlfn.MINIFS(AllocationSweep!R2:R999,AllocationSweep!C2:C999, A63)</f>
        <v>0</v>
      </c>
      <c r="G63" s="3">
        <f>E63 - F63</f>
        <v>0</v>
      </c>
      <c r="H63" s="3">
        <f>_xlfn.MAXIFS(AllocationSweep!Q2:Q999,AllocationSweep!C2:C999, A63)</f>
        <v>0</v>
      </c>
      <c r="I63" s="3">
        <f>_xlfn.MINIFS(AllocationSweep!Q2:Q999,AllocationSweep!C2:C999, A63)</f>
        <v>0</v>
      </c>
      <c r="J63" s="3">
        <f>H63 - I63</f>
        <v>0</v>
      </c>
      <c r="K63" s="3" t="b">
        <f>AND(I63 &lt; 0, H63 &gt; 0)</f>
        <v>0</v>
      </c>
      <c r="L63" s="3" t="str">
        <f>IF(G63 &lt; 0.0001, "PASS: CorrectedGap invariant across allocation sweep", "FAIL: CorrectedGap varies — formula error")</f>
        <v>PASS: CorrectedGap invariant across allocation sweep</v>
      </c>
      <c r="M63" s="3" t="e">
        <f>LOOKUP(A63, SweepStudyConfig[StudyId], SweepStudyConfig[SweepStratumLabel])</f>
        <v>#VALUE!</v>
      </c>
    </row>
    <row r="64">
      <c r="A64" s="2" t="s">
        <v>652</v>
      </c>
      <c r="B64" s="3" t="str">
        <f>A64</f>
        <v>noncollapsibility-or-synthetic</v>
      </c>
      <c r="C64" s="3" t="e">
        <f>LOOKUP(A64, TreatmentRankings[Study], TreatmentRankings[DistortionType])</f>
        <v>#VALUE!</v>
      </c>
      <c r="D64" s="3">
        <f>_xlfn.MINIFS(AllocationSweep!R2:R999,AllocationSweep!C2:C999, A64)</f>
        <v>0</v>
      </c>
      <c r="E64" s="3">
        <f>_xlfn.MAXIFS(AllocationSweep!R2:R999,AllocationSweep!C2:C999, A64)</f>
        <v>0</v>
      </c>
      <c r="F64" s="3">
        <f>_xlfn.MINIFS(AllocationSweep!R2:R999,AllocationSweep!C2:C999, A64)</f>
        <v>0</v>
      </c>
      <c r="G64" s="3">
        <f>E64 - F64</f>
        <v>0</v>
      </c>
      <c r="H64" s="3">
        <f>_xlfn.MAXIFS(AllocationSweep!Q2:Q999,AllocationSweep!C2:C999, A64)</f>
        <v>0</v>
      </c>
      <c r="I64" s="3">
        <f>_xlfn.MINIFS(AllocationSweep!Q2:Q999,AllocationSweep!C2:C999, A64)</f>
        <v>0</v>
      </c>
      <c r="J64" s="3">
        <f>H64 - I64</f>
        <v>0</v>
      </c>
      <c r="K64" s="3" t="b">
        <f>AND(I64 &lt; 0, H64 &gt; 0)</f>
        <v>0</v>
      </c>
      <c r="L64" s="3" t="str">
        <f>IF(G64 &lt; 0.0001, "PASS: CorrectedGap invariant across allocation sweep", "FAIL: CorrectedGap varies — formula error")</f>
        <v>PASS: CorrectedGap invariant across allocation sweep</v>
      </c>
      <c r="M64" s="3" t="e">
        <f>LOOKUP(A64, SweepStudyConfig[StudyId], SweepStudyConfig[SweepStratumLabel])</f>
        <v>#VALUE!</v>
      </c>
    </row>
    <row r="65">
      <c r="A65" s="2" t="s">
        <v>655</v>
      </c>
      <c r="B65" s="3" t="str">
        <f>A65</f>
        <v>trauma-center-mortality</v>
      </c>
      <c r="C65" s="3" t="e">
        <f>LOOKUP(A65, TreatmentRankings[Study], TreatmentRankings[DistortionType])</f>
        <v>#VALUE!</v>
      </c>
      <c r="D65" s="3">
        <f>_xlfn.MINIFS(AllocationSweep!R2:R999,AllocationSweep!C2:C999, A65)</f>
        <v>0</v>
      </c>
      <c r="E65" s="3">
        <f>_xlfn.MAXIFS(AllocationSweep!R2:R999,AllocationSweep!C2:C999, A65)</f>
        <v>0</v>
      </c>
      <c r="F65" s="3">
        <f>_xlfn.MINIFS(AllocationSweep!R2:R999,AllocationSweep!C2:C999, A65)</f>
        <v>0</v>
      </c>
      <c r="G65" s="3">
        <f>E65 - F65</f>
        <v>0</v>
      </c>
      <c r="H65" s="3">
        <f>_xlfn.MAXIFS(AllocationSweep!Q2:Q999,AllocationSweep!C2:C999, A65)</f>
        <v>0</v>
      </c>
      <c r="I65" s="3">
        <f>_xlfn.MINIFS(AllocationSweep!Q2:Q999,AllocationSweep!C2:C999, A65)</f>
        <v>0</v>
      </c>
      <c r="J65" s="3">
        <f>H65 - I65</f>
        <v>0</v>
      </c>
      <c r="K65" s="3" t="b">
        <f>AND(I65 &lt; 0, H65 &gt; 0)</f>
        <v>0</v>
      </c>
      <c r="L65" s="3" t="str">
        <f>IF(G65 &lt; 0.0001, "PASS: CorrectedGap invariant across allocation sweep", "FAIL: CorrectedGap varies — formula error")</f>
        <v>PASS: CorrectedGap invariant across allocation sweep</v>
      </c>
      <c r="M65" s="3" t="e">
        <f>LOOKUP(A65, SweepStudyConfig[StudyId], SweepStudyConfig[SweepStratumLabel])</f>
        <v>#VALUE!</v>
      </c>
    </row>
    <row r="66">
      <c r="A66" s="2" t="s">
        <v>659</v>
      </c>
      <c r="B66" s="3" t="str">
        <f>A66</f>
        <v>surgeon-volume-mortality</v>
      </c>
      <c r="C66" s="3" t="e">
        <f>LOOKUP(A66, TreatmentRankings[Study], TreatmentRankings[DistortionType])</f>
        <v>#VALUE!</v>
      </c>
      <c r="D66" s="3">
        <f>_xlfn.MINIFS(AllocationSweep!R2:R999,AllocationSweep!C2:C999, A66)</f>
        <v>0</v>
      </c>
      <c r="E66" s="3">
        <f>_xlfn.MAXIFS(AllocationSweep!R2:R999,AllocationSweep!C2:C999, A66)</f>
        <v>0</v>
      </c>
      <c r="F66" s="3">
        <f>_xlfn.MINIFS(AllocationSweep!R2:R999,AllocationSweep!C2:C999, A66)</f>
        <v>0</v>
      </c>
      <c r="G66" s="3">
        <f>E66 - F66</f>
        <v>0</v>
      </c>
      <c r="H66" s="3">
        <f>_xlfn.MAXIFS(AllocationSweep!Q2:Q999,AllocationSweep!C2:C999, A66)</f>
        <v>0</v>
      </c>
      <c r="I66" s="3">
        <f>_xlfn.MINIFS(AllocationSweep!Q2:Q999,AllocationSweep!C2:C999, A66)</f>
        <v>0</v>
      </c>
      <c r="J66" s="3">
        <f>H66 - I66</f>
        <v>0</v>
      </c>
      <c r="K66" s="3" t="b">
        <f>AND(I66 &lt; 0, H66 &gt; 0)</f>
        <v>0</v>
      </c>
      <c r="L66" s="3" t="str">
        <f>IF(G66 &lt; 0.0001, "PASS: CorrectedGap invariant across allocation sweep", "FAIL: CorrectedGap varies — formula error")</f>
        <v>PASS: CorrectedGap invariant across allocation sweep</v>
      </c>
      <c r="M66" s="3" t="e">
        <f>LOOKUP(A66, SweepStudyConfig[StudyId], SweepStudyConfig[SweepStratumLabel])</f>
        <v>#VALUE!</v>
      </c>
    </row>
    <row r="67">
      <c r="A67" s="2" t="s">
        <v>663</v>
      </c>
      <c r="B67" s="3" t="str">
        <f>A67</f>
        <v>mammography-length-bias</v>
      </c>
      <c r="C67" s="3" t="e">
        <f>LOOKUP(A67, TreatmentRankings[Study], TreatmentRankings[DistortionType])</f>
        <v>#VALUE!</v>
      </c>
      <c r="D67" s="3">
        <f>_xlfn.MINIFS(AllocationSweep!R2:R999,AllocationSweep!C2:C999, A67)</f>
        <v>0</v>
      </c>
      <c r="E67" s="3">
        <f>_xlfn.MAXIFS(AllocationSweep!R2:R999,AllocationSweep!C2:C999, A67)</f>
        <v>0</v>
      </c>
      <c r="F67" s="3">
        <f>_xlfn.MINIFS(AllocationSweep!R2:R999,AllocationSweep!C2:C999, A67)</f>
        <v>0</v>
      </c>
      <c r="G67" s="3">
        <f>E67 - F67</f>
        <v>0</v>
      </c>
      <c r="H67" s="3">
        <f>_xlfn.MAXIFS(AllocationSweep!Q2:Q999,AllocationSweep!C2:C999, A67)</f>
        <v>0</v>
      </c>
      <c r="I67" s="3">
        <f>_xlfn.MINIFS(AllocationSweep!Q2:Q999,AllocationSweep!C2:C999, A67)</f>
        <v>0</v>
      </c>
      <c r="J67" s="3">
        <f>H67 - I67</f>
        <v>0</v>
      </c>
      <c r="K67" s="3" t="b">
        <f>AND(I67 &lt; 0, H67 &gt; 0)</f>
        <v>0</v>
      </c>
      <c r="L67" s="3" t="str">
        <f>IF(G67 &lt; 0.0001, "PASS: CorrectedGap invariant across allocation sweep", "FAIL: CorrectedGap varies — formula error")</f>
        <v>PASS: CorrectedGap invariant across allocation sweep</v>
      </c>
      <c r="M67" s="3" t="e">
        <f>LOOKUP(A67, SweepStudyConfig[StudyId], SweepStudyConfig[SweepStratumLabel])</f>
        <v>#VALUE!</v>
      </c>
    </row>
    <row r="68">
      <c r="A68" s="2" t="s">
        <v>667</v>
      </c>
      <c r="B68" s="3" t="str">
        <f>A68</f>
        <v>cabg-vs-pci-severity</v>
      </c>
      <c r="C68" s="3" t="e">
        <f>LOOKUP(A68, TreatmentRankings[Study], TreatmentRankings[DistortionType])</f>
        <v>#VALUE!</v>
      </c>
      <c r="D68" s="3">
        <f>_xlfn.MINIFS(AllocationSweep!R2:R999,AllocationSweep!C2:C999, A68)</f>
        <v>0</v>
      </c>
      <c r="E68" s="3">
        <f>_xlfn.MAXIFS(AllocationSweep!R2:R999,AllocationSweep!C2:C999, A68)</f>
        <v>0</v>
      </c>
      <c r="F68" s="3">
        <f>_xlfn.MINIFS(AllocationSweep!R2:R999,AllocationSweep!C2:C999, A68)</f>
        <v>0</v>
      </c>
      <c r="G68" s="3">
        <f>E68 - F68</f>
        <v>0</v>
      </c>
      <c r="H68" s="3">
        <f>_xlfn.MAXIFS(AllocationSweep!Q2:Q999,AllocationSweep!C2:C999, A68)</f>
        <v>0</v>
      </c>
      <c r="I68" s="3">
        <f>_xlfn.MINIFS(AllocationSweep!Q2:Q999,AllocationSweep!C2:C999, A68)</f>
        <v>0</v>
      </c>
      <c r="J68" s="3">
        <f>H68 - I68</f>
        <v>0</v>
      </c>
      <c r="K68" s="3" t="b">
        <f>AND(I68 &lt; 0, H68 &gt; 0)</f>
        <v>0</v>
      </c>
      <c r="L68" s="3" t="str">
        <f>IF(G68 &lt; 0.0001, "PASS: CorrectedGap invariant across allocation sweep", "FAIL: CorrectedGap varies — formula error")</f>
        <v>PASS: CorrectedGap invariant across allocation sweep</v>
      </c>
      <c r="M68" s="3" t="e">
        <f>LOOKUP(A68, SweepStudyConfig[StudyId], SweepStudyConfig[SweepStratumLabel])</f>
        <v>#VALUE!</v>
      </c>
    </row>
    <row r="69">
      <c r="A69" s="2" t="s">
        <v>671</v>
      </c>
      <c r="B69" s="3" t="str">
        <f>A69</f>
        <v>tolbutamide-ugdp-1970</v>
      </c>
      <c r="C69" s="3" t="e">
        <f>LOOKUP(A69, TreatmentRankings[Study], TreatmentRankings[DistortionType])</f>
        <v>#VALUE!</v>
      </c>
      <c r="D69" s="3">
        <f>_xlfn.MINIFS(AllocationSweep!R2:R999,AllocationSweep!C2:C999, A69)</f>
        <v>0</v>
      </c>
      <c r="E69" s="3">
        <f>_xlfn.MAXIFS(AllocationSweep!R2:R999,AllocationSweep!C2:C999, A69)</f>
        <v>0</v>
      </c>
      <c r="F69" s="3">
        <f>_xlfn.MINIFS(AllocationSweep!R2:R999,AllocationSweep!C2:C999, A69)</f>
        <v>0</v>
      </c>
      <c r="G69" s="3">
        <f>E69 - F69</f>
        <v>0</v>
      </c>
      <c r="H69" s="3">
        <f>_xlfn.MAXIFS(AllocationSweep!Q2:Q999,AllocationSweep!C2:C999, A69)</f>
        <v>0</v>
      </c>
      <c r="I69" s="3">
        <f>_xlfn.MINIFS(AllocationSweep!Q2:Q999,AllocationSweep!C2:C999, A69)</f>
        <v>0</v>
      </c>
      <c r="J69" s="3">
        <f>H69 - I69</f>
        <v>0</v>
      </c>
      <c r="K69" s="3" t="b">
        <f>AND(I69 &lt; 0, H69 &gt; 0)</f>
        <v>0</v>
      </c>
      <c r="L69" s="3" t="str">
        <f>IF(G69 &lt; 0.0001, "PASS: CorrectedGap invariant across allocation sweep", "FAIL: CorrectedGap varies — formula error")</f>
        <v>PASS: CorrectedGap invariant across allocation sweep</v>
      </c>
      <c r="M69" s="3" t="e">
        <f>LOOKUP(A69, SweepStudyConfig[StudyId], SweepStudyConfig[SweepStratumLabel])</f>
        <v>#VALUE!</v>
      </c>
    </row>
    <row r="70">
      <c r="A70" s="2" t="s">
        <v>675</v>
      </c>
      <c r="B70" s="3" t="str">
        <f>A70</f>
        <v>snow-cholera-water-1855</v>
      </c>
      <c r="C70" s="3" t="e">
        <f>LOOKUP(A70, TreatmentRankings[Study], TreatmentRankings[DistortionType])</f>
        <v>#VALUE!</v>
      </c>
      <c r="D70" s="3">
        <f>_xlfn.MINIFS(AllocationSweep!R2:R999,AllocationSweep!C2:C999, A70)</f>
        <v>0</v>
      </c>
      <c r="E70" s="3">
        <f>_xlfn.MAXIFS(AllocationSweep!R2:R999,AllocationSweep!C2:C999, A70)</f>
        <v>0</v>
      </c>
      <c r="F70" s="3">
        <f>_xlfn.MINIFS(AllocationSweep!R2:R999,AllocationSweep!C2:C999, A70)</f>
        <v>0</v>
      </c>
      <c r="G70" s="3">
        <f>E70 - F70</f>
        <v>0</v>
      </c>
      <c r="H70" s="3">
        <f>_xlfn.MAXIFS(AllocationSweep!Q2:Q999,AllocationSweep!C2:C999, A70)</f>
        <v>0</v>
      </c>
      <c r="I70" s="3">
        <f>_xlfn.MINIFS(AllocationSweep!Q2:Q999,AllocationSweep!C2:C999, A70)</f>
        <v>0</v>
      </c>
      <c r="J70" s="3">
        <f>H70 - I70</f>
        <v>0</v>
      </c>
      <c r="K70" s="3" t="b">
        <f>AND(I70 &lt; 0, H70 &gt; 0)</f>
        <v>0</v>
      </c>
      <c r="L70" s="3" t="str">
        <f>IF(G70 &lt; 0.0001, "PASS: CorrectedGap invariant across allocation sweep", "FAIL: CorrectedGap varies — formula error")</f>
        <v>PASS: CorrectedGap invariant across allocation sweep</v>
      </c>
      <c r="M70" s="3" t="e">
        <f>LOOKUP(A70, SweepStudyConfig[StudyId], SweepStudyConfig[SweepStratumLabel])</f>
        <v>#VALUE!</v>
      </c>
    </row>
    <row r="71">
      <c r="A71" s="2" t="s">
        <v>679</v>
      </c>
      <c r="B71" s="3" t="str">
        <f>A71</f>
        <v>seatbelt-crash-severity</v>
      </c>
      <c r="C71" s="3" t="e">
        <f>LOOKUP(A71, TreatmentRankings[Study], TreatmentRankings[DistortionType])</f>
        <v>#VALUE!</v>
      </c>
      <c r="D71" s="3">
        <f>_xlfn.MINIFS(AllocationSweep!R2:R999,AllocationSweep!C2:C999, A71)</f>
        <v>0</v>
      </c>
      <c r="E71" s="3">
        <f>_xlfn.MAXIFS(AllocationSweep!R2:R999,AllocationSweep!C2:C999, A71)</f>
        <v>0</v>
      </c>
      <c r="F71" s="3">
        <f>_xlfn.MINIFS(AllocationSweep!R2:R999,AllocationSweep!C2:C999, A71)</f>
        <v>0</v>
      </c>
      <c r="G71" s="3">
        <f>E71 - F71</f>
        <v>0</v>
      </c>
      <c r="H71" s="3">
        <f>_xlfn.MAXIFS(AllocationSweep!Q2:Q999,AllocationSweep!C2:C999, A71)</f>
        <v>0</v>
      </c>
      <c r="I71" s="3">
        <f>_xlfn.MINIFS(AllocationSweep!Q2:Q999,AllocationSweep!C2:C999, A71)</f>
        <v>0</v>
      </c>
      <c r="J71" s="3">
        <f>H71 - I71</f>
        <v>0</v>
      </c>
      <c r="K71" s="3" t="b">
        <f>AND(I71 &lt; 0, H71 &gt; 0)</f>
        <v>0</v>
      </c>
      <c r="L71" s="3" t="str">
        <f>IF(G71 &lt; 0.0001, "PASS: CorrectedGap invariant across allocation sweep", "FAIL: CorrectedGap varies — formula error")</f>
        <v>PASS: CorrectedGap invariant across allocation sweep</v>
      </c>
      <c r="M71" s="3" t="e">
        <f>LOOKUP(A71, SweepStudyConfig[StudyId], SweepStudyConfig[SweepStratumLabel])</f>
        <v>#VALUE!</v>
      </c>
    </row>
    <row r="72">
      <c r="A72" s="2" t="s">
        <v>683</v>
      </c>
      <c r="B72" s="3" t="str">
        <f>A72</f>
        <v>measles-outbreak-vaccinated</v>
      </c>
      <c r="C72" s="3" t="e">
        <f>LOOKUP(A72, TreatmentRankings[Study], TreatmentRankings[DistortionType])</f>
        <v>#VALUE!</v>
      </c>
      <c r="D72" s="3">
        <f>_xlfn.MINIFS(AllocationSweep!R2:R999,AllocationSweep!C2:C999, A72)</f>
        <v>0</v>
      </c>
      <c r="E72" s="3">
        <f>_xlfn.MAXIFS(AllocationSweep!R2:R999,AllocationSweep!C2:C999, A72)</f>
        <v>0</v>
      </c>
      <c r="F72" s="3">
        <f>_xlfn.MINIFS(AllocationSweep!R2:R999,AllocationSweep!C2:C999, A72)</f>
        <v>0</v>
      </c>
      <c r="G72" s="3">
        <f>E72 - F72</f>
        <v>0</v>
      </c>
      <c r="H72" s="3">
        <f>_xlfn.MAXIFS(AllocationSweep!Q2:Q999,AllocationSweep!C2:C999, A72)</f>
        <v>0</v>
      </c>
      <c r="I72" s="3">
        <f>_xlfn.MINIFS(AllocationSweep!Q2:Q999,AllocationSweep!C2:C999, A72)</f>
        <v>0</v>
      </c>
      <c r="J72" s="3">
        <f>H72 - I72</f>
        <v>0</v>
      </c>
      <c r="K72" s="3" t="b">
        <f>AND(I72 &lt; 0, H72 &gt; 0)</f>
        <v>0</v>
      </c>
      <c r="L72" s="3" t="str">
        <f>IF(G72 &lt; 0.0001, "PASS: CorrectedGap invariant across allocation sweep", "FAIL: CorrectedGap varies — formula error")</f>
        <v>PASS: CorrectedGap invariant across allocation sweep</v>
      </c>
      <c r="M72" s="3" t="e">
        <f>LOOKUP(A72, SweepStudyConfig[StudyId], SweepStudyConfig[SweepStratumLabel])</f>
        <v>#VALUE!</v>
      </c>
    </row>
    <row r="73">
      <c r="A73" s="2" t="s">
        <v>687</v>
      </c>
      <c r="B73" s="3" t="str">
        <f>A73</f>
        <v>air-pollution-mortality-city</v>
      </c>
      <c r="C73" s="3" t="e">
        <f>LOOKUP(A73, TreatmentRankings[Study], TreatmentRankings[DistortionType])</f>
        <v>#VALUE!</v>
      </c>
      <c r="D73" s="3">
        <f>_xlfn.MINIFS(AllocationSweep!R2:R999,AllocationSweep!C2:C999, A73)</f>
        <v>0</v>
      </c>
      <c r="E73" s="3">
        <f>_xlfn.MAXIFS(AllocationSweep!R2:R999,AllocationSweep!C2:C999, A73)</f>
        <v>0</v>
      </c>
      <c r="F73" s="3">
        <f>_xlfn.MINIFS(AllocationSweep!R2:R999,AllocationSweep!C2:C999, A73)</f>
        <v>0</v>
      </c>
      <c r="G73" s="3">
        <f>E73 - F73</f>
        <v>0</v>
      </c>
      <c r="H73" s="3">
        <f>_xlfn.MAXIFS(AllocationSweep!Q2:Q999,AllocationSweep!C2:C999, A73)</f>
        <v>0</v>
      </c>
      <c r="I73" s="3">
        <f>_xlfn.MINIFS(AllocationSweep!Q2:Q999,AllocationSweep!C2:C999, A73)</f>
        <v>0</v>
      </c>
      <c r="J73" s="3">
        <f>H73 - I73</f>
        <v>0</v>
      </c>
      <c r="K73" s="3" t="b">
        <f>AND(I73 &lt; 0, H73 &gt; 0)</f>
        <v>0</v>
      </c>
      <c r="L73" s="3" t="str">
        <f>IF(G73 &lt; 0.0001, "PASS: CorrectedGap invariant across allocation sweep", "FAIL: CorrectedGap varies — formula error")</f>
        <v>PASS: CorrectedGap invariant across allocation sweep</v>
      </c>
      <c r="M73" s="3" t="e">
        <f>LOOKUP(A73, SweepStudyConfig[StudyId], SweepStudyConfig[SweepStratumLabel])</f>
        <v>#VALUE!</v>
      </c>
    </row>
    <row r="74">
      <c r="A74" s="2" t="s">
        <v>691</v>
      </c>
      <c r="B74" s="3" t="str">
        <f>A74</f>
        <v>tb-treatment-resistance</v>
      </c>
      <c r="C74" s="3" t="e">
        <f>LOOKUP(A74, TreatmentRankings[Study], TreatmentRankings[DistortionType])</f>
        <v>#VALUE!</v>
      </c>
      <c r="D74" s="3">
        <f>_xlfn.MINIFS(AllocationSweep!R2:R999,AllocationSweep!C2:C999, A74)</f>
        <v>0</v>
      </c>
      <c r="E74" s="3">
        <f>_xlfn.MAXIFS(AllocationSweep!R2:R999,AllocationSweep!C2:C999, A74)</f>
        <v>0</v>
      </c>
      <c r="F74" s="3">
        <f>_xlfn.MINIFS(AllocationSweep!R2:R999,AllocationSweep!C2:C999, A74)</f>
        <v>0</v>
      </c>
      <c r="G74" s="3">
        <f>E74 - F74</f>
        <v>0</v>
      </c>
      <c r="H74" s="3">
        <f>_xlfn.MAXIFS(AllocationSweep!Q2:Q999,AllocationSweep!C2:C999, A74)</f>
        <v>0</v>
      </c>
      <c r="I74" s="3">
        <f>_xlfn.MINIFS(AllocationSweep!Q2:Q999,AllocationSweep!C2:C999, A74)</f>
        <v>0</v>
      </c>
      <c r="J74" s="3">
        <f>H74 - I74</f>
        <v>0</v>
      </c>
      <c r="K74" s="3" t="b">
        <f>AND(I74 &lt; 0, H74 &gt; 0)</f>
        <v>0</v>
      </c>
      <c r="L74" s="3" t="str">
        <f>IF(G74 &lt; 0.0001, "PASS: CorrectedGap invariant across allocation sweep", "FAIL: CorrectedGap varies — formula error")</f>
        <v>PASS: CorrectedGap invariant across allocation sweep</v>
      </c>
      <c r="M74" s="3" t="e">
        <f>LOOKUP(A74, SweepStudyConfig[StudyId], SweepStudyConfig[SweepStratumLabel])</f>
        <v>#VALUE!</v>
      </c>
    </row>
    <row r="75">
      <c r="A75" s="2" t="s">
        <v>695</v>
      </c>
      <c r="B75" s="3" t="str">
        <f>A75</f>
        <v>hospital-mortality-readmission</v>
      </c>
      <c r="C75" s="3" t="e">
        <f>LOOKUP(A75, TreatmentRankings[Study], TreatmentRankings[DistortionType])</f>
        <v>#VALUE!</v>
      </c>
      <c r="D75" s="3">
        <f>_xlfn.MINIFS(AllocationSweep!R2:R999,AllocationSweep!C2:C999, A75)</f>
        <v>0</v>
      </c>
      <c r="E75" s="3">
        <f>_xlfn.MAXIFS(AllocationSweep!R2:R999,AllocationSweep!C2:C999, A75)</f>
        <v>0</v>
      </c>
      <c r="F75" s="3">
        <f>_xlfn.MINIFS(AllocationSweep!R2:R999,AllocationSweep!C2:C999, A75)</f>
        <v>0</v>
      </c>
      <c r="G75" s="3">
        <f>E75 - F75</f>
        <v>0</v>
      </c>
      <c r="H75" s="3">
        <f>_xlfn.MAXIFS(AllocationSweep!Q2:Q999,AllocationSweep!C2:C999, A75)</f>
        <v>0</v>
      </c>
      <c r="I75" s="3">
        <f>_xlfn.MINIFS(AllocationSweep!Q2:Q999,AllocationSweep!C2:C999, A75)</f>
        <v>0</v>
      </c>
      <c r="J75" s="3">
        <f>H75 - I75</f>
        <v>0</v>
      </c>
      <c r="K75" s="3" t="b">
        <f>AND(I75 &lt; 0, H75 &gt; 0)</f>
        <v>0</v>
      </c>
      <c r="L75" s="3" t="str">
        <f>IF(G75 &lt; 0.0001, "PASS: CorrectedGap invariant across allocation sweep", "FAIL: CorrectedGap varies — formula error")</f>
        <v>PASS: CorrectedGap invariant across allocation sweep</v>
      </c>
      <c r="M75" s="3" t="e">
        <f>LOOKUP(A75, SweepStudyConfig[StudyId], SweepStudyConfig[SweepStratumLabel])</f>
        <v>#VALUE!</v>
      </c>
    </row>
    <row r="76">
      <c r="A76" s="2" t="s">
        <v>699</v>
      </c>
      <c r="B76" s="3" t="str">
        <f>A76</f>
        <v>nypd-stop-frisk-hitrate</v>
      </c>
      <c r="C76" s="3" t="e">
        <f>LOOKUP(A76, TreatmentRankings[Study], TreatmentRankings[DistortionType])</f>
        <v>#VALUE!</v>
      </c>
      <c r="D76" s="3">
        <f>_xlfn.MINIFS(AllocationSweep!R2:R999,AllocationSweep!C2:C999, A76)</f>
        <v>0</v>
      </c>
      <c r="E76" s="3">
        <f>_xlfn.MAXIFS(AllocationSweep!R2:R999,AllocationSweep!C2:C999, A76)</f>
        <v>0</v>
      </c>
      <c r="F76" s="3">
        <f>_xlfn.MINIFS(AllocationSweep!R2:R999,AllocationSweep!C2:C999, A76)</f>
        <v>0</v>
      </c>
      <c r="G76" s="3">
        <f>E76 - F76</f>
        <v>0</v>
      </c>
      <c r="H76" s="3">
        <f>_xlfn.MAXIFS(AllocationSweep!Q2:Q999,AllocationSweep!C2:C999, A76)</f>
        <v>0</v>
      </c>
      <c r="I76" s="3">
        <f>_xlfn.MINIFS(AllocationSweep!Q2:Q999,AllocationSweep!C2:C999, A76)</f>
        <v>0</v>
      </c>
      <c r="J76" s="3">
        <f>H76 - I76</f>
        <v>0</v>
      </c>
      <c r="K76" s="3" t="b">
        <f>AND(I76 &lt; 0, H76 &gt; 0)</f>
        <v>0</v>
      </c>
      <c r="L76" s="3" t="str">
        <f>IF(G76 &lt; 0.0001, "PASS: CorrectedGap invariant across allocation sweep", "FAIL: CorrectedGap varies — formula error")</f>
        <v>PASS: CorrectedGap invariant across allocation sweep</v>
      </c>
      <c r="M76" s="3" t="e">
        <f>LOOKUP(A76, SweepStudyConfig[StudyId], SweepStudyConfig[SweepStratumLabel])</f>
        <v>#VALUE!</v>
      </c>
    </row>
    <row r="77">
      <c r="A77" s="2" t="s">
        <v>703</v>
      </c>
      <c r="B77" s="3" t="str">
        <f>A77</f>
        <v>sentencing-offense-type</v>
      </c>
      <c r="C77" s="3" t="e">
        <f>LOOKUP(A77, TreatmentRankings[Study], TreatmentRankings[DistortionType])</f>
        <v>#VALUE!</v>
      </c>
      <c r="D77" s="3">
        <f>_xlfn.MINIFS(AllocationSweep!R2:R999,AllocationSweep!C2:C999, A77)</f>
        <v>0</v>
      </c>
      <c r="E77" s="3">
        <f>_xlfn.MAXIFS(AllocationSweep!R2:R999,AllocationSweep!C2:C999, A77)</f>
        <v>0</v>
      </c>
      <c r="F77" s="3">
        <f>_xlfn.MINIFS(AllocationSweep!R2:R999,AllocationSweep!C2:C999, A77)</f>
        <v>0</v>
      </c>
      <c r="G77" s="3">
        <f>E77 - F77</f>
        <v>0</v>
      </c>
      <c r="H77" s="3">
        <f>_xlfn.MAXIFS(AllocationSweep!Q2:Q999,AllocationSweep!C2:C999, A77)</f>
        <v>0</v>
      </c>
      <c r="I77" s="3">
        <f>_xlfn.MINIFS(AllocationSweep!Q2:Q999,AllocationSweep!C2:C999, A77)</f>
        <v>0</v>
      </c>
      <c r="J77" s="3">
        <f>H77 - I77</f>
        <v>0</v>
      </c>
      <c r="K77" s="3" t="b">
        <f>AND(I77 &lt; 0, H77 &gt; 0)</f>
        <v>0</v>
      </c>
      <c r="L77" s="3" t="str">
        <f>IF(G77 &lt; 0.0001, "PASS: CorrectedGap invariant across allocation sweep", "FAIL: CorrectedGap varies — formula error")</f>
        <v>PASS: CorrectedGap invariant across allocation sweep</v>
      </c>
      <c r="M77" s="3" t="e">
        <f>LOOKUP(A77, SweepStudyConfig[StudyId], SweepStudyConfig[SweepStratumLabel])</f>
        <v>#VALUE!</v>
      </c>
    </row>
    <row r="78">
      <c r="A78" s="2" t="s">
        <v>707</v>
      </c>
      <c r="B78" s="3" t="str">
        <f>A78</f>
        <v>bail-risk-score</v>
      </c>
      <c r="C78" s="3" t="e">
        <f>LOOKUP(A78, TreatmentRankings[Study], TreatmentRankings[DistortionType])</f>
        <v>#VALUE!</v>
      </c>
      <c r="D78" s="3">
        <f>_xlfn.MINIFS(AllocationSweep!R2:R999,AllocationSweep!C2:C999, A78)</f>
        <v>0</v>
      </c>
      <c r="E78" s="3">
        <f>_xlfn.MAXIFS(AllocationSweep!R2:R999,AllocationSweep!C2:C999, A78)</f>
        <v>0</v>
      </c>
      <c r="F78" s="3">
        <f>_xlfn.MINIFS(AllocationSweep!R2:R999,AllocationSweep!C2:C999, A78)</f>
        <v>0</v>
      </c>
      <c r="G78" s="3">
        <f>E78 - F78</f>
        <v>0</v>
      </c>
      <c r="H78" s="3">
        <f>_xlfn.MAXIFS(AllocationSweep!Q2:Q999,AllocationSweep!C2:C999, A78)</f>
        <v>0</v>
      </c>
      <c r="I78" s="3">
        <f>_xlfn.MINIFS(AllocationSweep!Q2:Q999,AllocationSweep!C2:C999, A78)</f>
        <v>0</v>
      </c>
      <c r="J78" s="3">
        <f>H78 - I78</f>
        <v>0</v>
      </c>
      <c r="K78" s="3" t="b">
        <f>AND(I78 &lt; 0, H78 &gt; 0)</f>
        <v>0</v>
      </c>
      <c r="L78" s="3" t="str">
        <f>IF(G78 &lt; 0.0001, "PASS: CorrectedGap invariant across allocation sweep", "FAIL: CorrectedGap varies — formula error")</f>
        <v>PASS: CorrectedGap invariant across allocation sweep</v>
      </c>
      <c r="M78" s="3" t="e">
        <f>LOOKUP(A78, SweepStudyConfig[StudyId], SweepStudyConfig[SweepStratumLabel])</f>
        <v>#VALUE!</v>
      </c>
    </row>
    <row r="79">
      <c r="A79" s="2" t="s">
        <v>711</v>
      </c>
      <c r="B79" s="3" t="str">
        <f>A79</f>
        <v>police-force-encounter</v>
      </c>
      <c r="C79" s="3" t="e">
        <f>LOOKUP(A79, TreatmentRankings[Study], TreatmentRankings[DistortionType])</f>
        <v>#VALUE!</v>
      </c>
      <c r="D79" s="3">
        <f>_xlfn.MINIFS(AllocationSweep!R2:R999,AllocationSweep!C2:C999, A79)</f>
        <v>0</v>
      </c>
      <c r="E79" s="3">
        <f>_xlfn.MAXIFS(AllocationSweep!R2:R999,AllocationSweep!C2:C999, A79)</f>
        <v>0</v>
      </c>
      <c r="F79" s="3">
        <f>_xlfn.MINIFS(AllocationSweep!R2:R999,AllocationSweep!C2:C999, A79)</f>
        <v>0</v>
      </c>
      <c r="G79" s="3">
        <f>E79 - F79</f>
        <v>0</v>
      </c>
      <c r="H79" s="3">
        <f>_xlfn.MAXIFS(AllocationSweep!Q2:Q999,AllocationSweep!C2:C999, A79)</f>
        <v>0</v>
      </c>
      <c r="I79" s="3">
        <f>_xlfn.MINIFS(AllocationSweep!Q2:Q999,AllocationSweep!C2:C999, A79)</f>
        <v>0</v>
      </c>
      <c r="J79" s="3">
        <f>H79 - I79</f>
        <v>0</v>
      </c>
      <c r="K79" s="3" t="b">
        <f>AND(I79 &lt; 0, H79 &gt; 0)</f>
        <v>0</v>
      </c>
      <c r="L79" s="3" t="str">
        <f>IF(G79 &lt; 0.0001, "PASS: CorrectedGap invariant across allocation sweep", "FAIL: CorrectedGap varies — formula error")</f>
        <v>PASS: CorrectedGap invariant across allocation sweep</v>
      </c>
      <c r="M79" s="3" t="e">
        <f>LOOKUP(A79, SweepStudyConfig[StudyId], SweepStudyConfig[SweepStratumLabel])</f>
        <v>#VALUE!</v>
      </c>
    </row>
    <row r="80">
      <c r="A80" s="2" t="s">
        <v>715</v>
      </c>
      <c r="B80" s="3" t="str">
        <f>A80</f>
        <v>uc-systemwide-admissions</v>
      </c>
      <c r="C80" s="3" t="e">
        <f>LOOKUP(A80, TreatmentRankings[Study], TreatmentRankings[DistortionType])</f>
        <v>#VALUE!</v>
      </c>
      <c r="D80" s="3">
        <f>_xlfn.MINIFS(AllocationSweep!R2:R999,AllocationSweep!C2:C999, A80)</f>
        <v>0</v>
      </c>
      <c r="E80" s="3">
        <f>_xlfn.MAXIFS(AllocationSweep!R2:R999,AllocationSweep!C2:C999, A80)</f>
        <v>0</v>
      </c>
      <c r="F80" s="3">
        <f>_xlfn.MINIFS(AllocationSweep!R2:R999,AllocationSweep!C2:C999, A80)</f>
        <v>0</v>
      </c>
      <c r="G80" s="3">
        <f>E80 - F80</f>
        <v>0</v>
      </c>
      <c r="H80" s="3">
        <f>_xlfn.MAXIFS(AllocationSweep!Q2:Q999,AllocationSweep!C2:C999, A80)</f>
        <v>0</v>
      </c>
      <c r="I80" s="3">
        <f>_xlfn.MINIFS(AllocationSweep!Q2:Q999,AllocationSweep!C2:C999, A80)</f>
        <v>0</v>
      </c>
      <c r="J80" s="3">
        <f>H80 - I80</f>
        <v>0</v>
      </c>
      <c r="K80" s="3" t="b">
        <f>AND(I80 &lt; 0, H80 &gt; 0)</f>
        <v>0</v>
      </c>
      <c r="L80" s="3" t="str">
        <f>IF(G80 &lt; 0.0001, "PASS: CorrectedGap invariant across allocation sweep", "FAIL: CorrectedGap varies — formula error")</f>
        <v>PASS: CorrectedGap invariant across allocation sweep</v>
      </c>
      <c r="M80" s="3" t="e">
        <f>LOOKUP(A80, SweepStudyConfig[StudyId], SweepStudyConfig[SweepStratumLabel])</f>
        <v>#VALUE!</v>
      </c>
    </row>
    <row r="81">
      <c r="A81" s="2" t="s">
        <v>719</v>
      </c>
      <c r="B81" s="3" t="str">
        <f>A81</f>
        <v>teacher-vam-prior-achievement</v>
      </c>
      <c r="C81" s="3" t="e">
        <f>LOOKUP(A81, TreatmentRankings[Study], TreatmentRankings[DistortionType])</f>
        <v>#VALUE!</v>
      </c>
      <c r="D81" s="3">
        <f>_xlfn.MINIFS(AllocationSweep!R2:R999,AllocationSweep!C2:C999, A81)</f>
        <v>0</v>
      </c>
      <c r="E81" s="3">
        <f>_xlfn.MAXIFS(AllocationSweep!R2:R999,AllocationSweep!C2:C999, A81)</f>
        <v>0</v>
      </c>
      <c r="F81" s="3">
        <f>_xlfn.MINIFS(AllocationSweep!R2:R999,AllocationSweep!C2:C999, A81)</f>
        <v>0</v>
      </c>
      <c r="G81" s="3">
        <f>E81 - F81</f>
        <v>0</v>
      </c>
      <c r="H81" s="3">
        <f>_xlfn.MAXIFS(AllocationSweep!Q2:Q999,AllocationSweep!C2:C999, A81)</f>
        <v>0</v>
      </c>
      <c r="I81" s="3">
        <f>_xlfn.MINIFS(AllocationSweep!Q2:Q999,AllocationSweep!C2:C999, A81)</f>
        <v>0</v>
      </c>
      <c r="J81" s="3">
        <f>H81 - I81</f>
        <v>0</v>
      </c>
      <c r="K81" s="3" t="b">
        <f>AND(I81 &lt; 0, H81 &gt; 0)</f>
        <v>0</v>
      </c>
      <c r="L81" s="3" t="str">
        <f>IF(G81 &lt; 0.0001, "PASS: CorrectedGap invariant across allocation sweep", "FAIL: CorrectedGap varies — formula error")</f>
        <v>PASS: CorrectedGap invariant across allocation sweep</v>
      </c>
      <c r="M81" s="3" t="e">
        <f>LOOKUP(A81, SweepStudyConfig[StudyId], SweepStudyConfig[SweepStratumLabel])</f>
        <v>#VALUE!</v>
      </c>
    </row>
    <row r="82">
      <c r="A82" s="2" t="s">
        <v>723</v>
      </c>
      <c r="B82" s="3" t="str">
        <f>A82</f>
        <v>naep-state-demographics</v>
      </c>
      <c r="C82" s="3" t="e">
        <f>LOOKUP(A82, TreatmentRankings[Study], TreatmentRankings[DistortionType])</f>
        <v>#VALUE!</v>
      </c>
      <c r="D82" s="3">
        <f>_xlfn.MINIFS(AllocationSweep!R2:R999,AllocationSweep!C2:C999, A82)</f>
        <v>0</v>
      </c>
      <c r="E82" s="3">
        <f>_xlfn.MAXIFS(AllocationSweep!R2:R999,AllocationSweep!C2:C999, A82)</f>
        <v>0</v>
      </c>
      <c r="F82" s="3">
        <f>_xlfn.MINIFS(AllocationSweep!R2:R999,AllocationSweep!C2:C999, A82)</f>
        <v>0</v>
      </c>
      <c r="G82" s="3">
        <f>E82 - F82</f>
        <v>0</v>
      </c>
      <c r="H82" s="3">
        <f>_xlfn.MAXIFS(AllocationSweep!Q2:Q999,AllocationSweep!C2:C999, A82)</f>
        <v>0</v>
      </c>
      <c r="I82" s="3">
        <f>_xlfn.MINIFS(AllocationSweep!Q2:Q999,AllocationSweep!C2:C999, A82)</f>
        <v>0</v>
      </c>
      <c r="J82" s="3">
        <f>H82 - I82</f>
        <v>0</v>
      </c>
      <c r="K82" s="3" t="b">
        <f>AND(I82 &lt; 0, H82 &gt; 0)</f>
        <v>0</v>
      </c>
      <c r="L82" s="3" t="str">
        <f>IF(G82 &lt; 0.0001, "PASS: CorrectedGap invariant across allocation sweep", "FAIL: CorrectedGap varies — formula error")</f>
        <v>PASS: CorrectedGap invariant across allocation sweep</v>
      </c>
      <c r="M82" s="3" t="e">
        <f>LOOKUP(A82, SweepStudyConfig[StudyId], SweepStudyConfig[SweepStratumLabel])</f>
        <v>#VALUE!</v>
      </c>
    </row>
    <row r="83">
      <c r="A83" s="2" t="s">
        <v>727</v>
      </c>
      <c r="B83" s="3" t="str">
        <f>A83</f>
        <v>college-grad-rate-selectivity</v>
      </c>
      <c r="C83" s="3" t="e">
        <f>LOOKUP(A83, TreatmentRankings[Study], TreatmentRankings[DistortionType])</f>
        <v>#VALUE!</v>
      </c>
      <c r="D83" s="3">
        <f>_xlfn.MINIFS(AllocationSweep!R2:R999,AllocationSweep!C2:C999, A83)</f>
        <v>0</v>
      </c>
      <c r="E83" s="3">
        <f>_xlfn.MAXIFS(AllocationSweep!R2:R999,AllocationSweep!C2:C999, A83)</f>
        <v>0</v>
      </c>
      <c r="F83" s="3">
        <f>_xlfn.MINIFS(AllocationSweep!R2:R999,AllocationSweep!C2:C999, A83)</f>
        <v>0</v>
      </c>
      <c r="G83" s="3">
        <f>E83 - F83</f>
        <v>0</v>
      </c>
      <c r="H83" s="3">
        <f>_xlfn.MAXIFS(AllocationSweep!Q2:Q999,AllocationSweep!C2:C999, A83)</f>
        <v>0</v>
      </c>
      <c r="I83" s="3">
        <f>_xlfn.MINIFS(AllocationSweep!Q2:Q999,AllocationSweep!C2:C999, A83)</f>
        <v>0</v>
      </c>
      <c r="J83" s="3">
        <f>H83 - I83</f>
        <v>0</v>
      </c>
      <c r="K83" s="3" t="b">
        <f>AND(I83 &lt; 0, H83 &gt; 0)</f>
        <v>0</v>
      </c>
      <c r="L83" s="3" t="str">
        <f>IF(G83 &lt; 0.0001, "PASS: CorrectedGap invariant across allocation sweep", "FAIL: CorrectedGap varies — formula error")</f>
        <v>PASS: CorrectedGap invariant across allocation sweep</v>
      </c>
      <c r="M83" s="3" t="e">
        <f>LOOKUP(A83, SweepStudyConfig[StudyId], SweepStudyConfig[SweepStratumLabel])</f>
        <v>#VALUE!</v>
      </c>
    </row>
    <row r="84">
      <c r="A84" s="2" t="s">
        <v>731</v>
      </c>
      <c r="B84" s="3" t="str">
        <f>A84</f>
        <v>star-class-size</v>
      </c>
      <c r="C84" s="3" t="e">
        <f>LOOKUP(A84, TreatmentRankings[Study], TreatmentRankings[DistortionType])</f>
        <v>#VALUE!</v>
      </c>
      <c r="D84" s="3">
        <f>_xlfn.MINIFS(AllocationSweep!R2:R999,AllocationSweep!C2:C999, A84)</f>
        <v>0</v>
      </c>
      <c r="E84" s="3">
        <f>_xlfn.MAXIFS(AllocationSweep!R2:R999,AllocationSweep!C2:C999, A84)</f>
        <v>0</v>
      </c>
      <c r="F84" s="3">
        <f>_xlfn.MINIFS(AllocationSweep!R2:R999,AllocationSweep!C2:C999, A84)</f>
        <v>0</v>
      </c>
      <c r="G84" s="3">
        <f>E84 - F84</f>
        <v>0</v>
      </c>
      <c r="H84" s="3">
        <f>_xlfn.MAXIFS(AllocationSweep!Q2:Q999,AllocationSweep!C2:C999, A84)</f>
        <v>0</v>
      </c>
      <c r="I84" s="3">
        <f>_xlfn.MINIFS(AllocationSweep!Q2:Q999,AllocationSweep!C2:C999, A84)</f>
        <v>0</v>
      </c>
      <c r="J84" s="3">
        <f>H84 - I84</f>
        <v>0</v>
      </c>
      <c r="K84" s="3" t="b">
        <f>AND(I84 &lt; 0, H84 &gt; 0)</f>
        <v>0</v>
      </c>
      <c r="L84" s="3" t="str">
        <f>IF(G84 &lt; 0.0001, "PASS: CorrectedGap invariant across allocation sweep", "FAIL: CorrectedGap varies — formula error")</f>
        <v>PASS: CorrectedGap invariant across allocation sweep</v>
      </c>
      <c r="M84" s="3" t="e">
        <f>LOOKUP(A84, SweepStudyConfig[StudyId], SweepStudyConfig[SweepStratumLabel])</f>
        <v>#VALUE!</v>
      </c>
    </row>
    <row r="85">
      <c r="A85" s="2" t="s">
        <v>735</v>
      </c>
      <c r="B85" s="3" t="str">
        <f>A85</f>
        <v>nba-shooting-shot-mix</v>
      </c>
      <c r="C85" s="3" t="e">
        <f>LOOKUP(A85, TreatmentRankings[Study], TreatmentRankings[DistortionType])</f>
        <v>#VALUE!</v>
      </c>
      <c r="D85" s="3">
        <f>_xlfn.MINIFS(AllocationSweep!R2:R999,AllocationSweep!C2:C999, A85)</f>
        <v>0</v>
      </c>
      <c r="E85" s="3">
        <f>_xlfn.MAXIFS(AllocationSweep!R2:R999,AllocationSweep!C2:C999, A85)</f>
        <v>0</v>
      </c>
      <c r="F85" s="3">
        <f>_xlfn.MINIFS(AllocationSweep!R2:R999,AllocationSweep!C2:C999, A85)</f>
        <v>0</v>
      </c>
      <c r="G85" s="3">
        <f>E85 - F85</f>
        <v>0</v>
      </c>
      <c r="H85" s="3">
        <f>_xlfn.MAXIFS(AllocationSweep!Q2:Q999,AllocationSweep!C2:C999, A85)</f>
        <v>0</v>
      </c>
      <c r="I85" s="3">
        <f>_xlfn.MINIFS(AllocationSweep!Q2:Q999,AllocationSweep!C2:C999, A85)</f>
        <v>0</v>
      </c>
      <c r="J85" s="3">
        <f>H85 - I85</f>
        <v>0</v>
      </c>
      <c r="K85" s="3" t="b">
        <f>AND(I85 &lt; 0, H85 &gt; 0)</f>
        <v>0</v>
      </c>
      <c r="L85" s="3" t="str">
        <f>IF(G85 &lt; 0.0001, "PASS: CorrectedGap invariant across allocation sweep", "FAIL: CorrectedGap varies — formula error")</f>
        <v>PASS: CorrectedGap invariant across allocation sweep</v>
      </c>
      <c r="M85" s="3" t="e">
        <f>LOOKUP(A85, SweepStudyConfig[StudyId], SweepStudyConfig[SweepStratumLabel])</f>
        <v>#VALUE!</v>
      </c>
    </row>
    <row r="86">
      <c r="A86" s="2" t="s">
        <v>739</v>
      </c>
      <c r="B86" s="3" t="str">
        <f>A86</f>
        <v>pitcher-era-ballpark</v>
      </c>
      <c r="C86" s="3" t="e">
        <f>LOOKUP(A86, TreatmentRankings[Study], TreatmentRankings[DistortionType])</f>
        <v>#VALUE!</v>
      </c>
      <c r="D86" s="3">
        <f>_xlfn.MINIFS(AllocationSweep!R2:R999,AllocationSweep!C2:C999, A86)</f>
        <v>0</v>
      </c>
      <c r="E86" s="3">
        <f>_xlfn.MAXIFS(AllocationSweep!R2:R999,AllocationSweep!C2:C999, A86)</f>
        <v>0</v>
      </c>
      <c r="F86" s="3">
        <f>_xlfn.MINIFS(AllocationSweep!R2:R999,AllocationSweep!C2:C999, A86)</f>
        <v>0</v>
      </c>
      <c r="G86" s="3">
        <f>E86 - F86</f>
        <v>0</v>
      </c>
      <c r="H86" s="3">
        <f>_xlfn.MAXIFS(AllocationSweep!Q2:Q999,AllocationSweep!C2:C999, A86)</f>
        <v>0</v>
      </c>
      <c r="I86" s="3">
        <f>_xlfn.MINIFS(AllocationSweep!Q2:Q999,AllocationSweep!C2:C999, A86)</f>
        <v>0</v>
      </c>
      <c r="J86" s="3">
        <f>H86 - I86</f>
        <v>0</v>
      </c>
      <c r="K86" s="3" t="b">
        <f>AND(I86 &lt; 0, H86 &gt; 0)</f>
        <v>0</v>
      </c>
      <c r="L86" s="3" t="str">
        <f>IF(G86 &lt; 0.0001, "PASS: CorrectedGap invariant across allocation sweep", "FAIL: CorrectedGap varies — formula error")</f>
        <v>PASS: CorrectedGap invariant across allocation sweep</v>
      </c>
      <c r="M86" s="3" t="e">
        <f>LOOKUP(A86, SweepStudyConfig[StudyId], SweepStudyConfig[SweepStratumLabel])</f>
        <v>#VALUE!</v>
      </c>
    </row>
    <row r="87">
      <c r="A87" s="2" t="s">
        <v>743</v>
      </c>
      <c r="B87" s="3" t="str">
        <f>A87</f>
        <v>nfl-completion-depth</v>
      </c>
      <c r="C87" s="3" t="e">
        <f>LOOKUP(A87, TreatmentRankings[Study], TreatmentRankings[DistortionType])</f>
        <v>#VALUE!</v>
      </c>
      <c r="D87" s="3">
        <f>_xlfn.MINIFS(AllocationSweep!R2:R999,AllocationSweep!C2:C999, A87)</f>
        <v>0</v>
      </c>
      <c r="E87" s="3">
        <f>_xlfn.MAXIFS(AllocationSweep!R2:R999,AllocationSweep!C2:C999, A87)</f>
        <v>0</v>
      </c>
      <c r="F87" s="3">
        <f>_xlfn.MINIFS(AllocationSweep!R2:R999,AllocationSweep!C2:C999, A87)</f>
        <v>0</v>
      </c>
      <c r="G87" s="3">
        <f>E87 - F87</f>
        <v>0</v>
      </c>
      <c r="H87" s="3">
        <f>_xlfn.MAXIFS(AllocationSweep!Q2:Q999,AllocationSweep!C2:C999, A87)</f>
        <v>0</v>
      </c>
      <c r="I87" s="3">
        <f>_xlfn.MINIFS(AllocationSweep!Q2:Q999,AllocationSweep!C2:C999, A87)</f>
        <v>0</v>
      </c>
      <c r="J87" s="3">
        <f>H87 - I87</f>
        <v>0</v>
      </c>
      <c r="K87" s="3" t="b">
        <f>AND(I87 &lt; 0, H87 &gt; 0)</f>
        <v>0</v>
      </c>
      <c r="L87" s="3" t="str">
        <f>IF(G87 &lt; 0.0001, "PASS: CorrectedGap invariant across allocation sweep", "FAIL: CorrectedGap varies — formula error")</f>
        <v>PASS: CorrectedGap invariant across allocation sweep</v>
      </c>
      <c r="M87" s="3" t="e">
        <f>LOOKUP(A87, SweepStudyConfig[StudyId], SweepStudyConfig[SweepStratumLabel])</f>
        <v>#VALUE!</v>
      </c>
    </row>
    <row r="88">
      <c r="A88" s="2" t="s">
        <v>747</v>
      </c>
      <c r="B88" s="3" t="str">
        <f>A88</f>
        <v>field-goal-distance</v>
      </c>
      <c r="C88" s="3" t="e">
        <f>LOOKUP(A88, TreatmentRankings[Study], TreatmentRankings[DistortionType])</f>
        <v>#VALUE!</v>
      </c>
      <c r="D88" s="3">
        <f>_xlfn.MINIFS(AllocationSweep!R2:R999,AllocationSweep!C2:C999, A88)</f>
        <v>0</v>
      </c>
      <c r="E88" s="3">
        <f>_xlfn.MAXIFS(AllocationSweep!R2:R999,AllocationSweep!C2:C999, A88)</f>
        <v>0</v>
      </c>
      <c r="F88" s="3">
        <f>_xlfn.MINIFS(AllocationSweep!R2:R999,AllocationSweep!C2:C999, A88)</f>
        <v>0</v>
      </c>
      <c r="G88" s="3">
        <f>E88 - F88</f>
        <v>0</v>
      </c>
      <c r="H88" s="3">
        <f>_xlfn.MAXIFS(AllocationSweep!Q2:Q999,AllocationSweep!C2:C999, A88)</f>
        <v>0</v>
      </c>
      <c r="I88" s="3">
        <f>_xlfn.MINIFS(AllocationSweep!Q2:Q999,AllocationSweep!C2:C999, A88)</f>
        <v>0</v>
      </c>
      <c r="J88" s="3">
        <f>H88 - I88</f>
        <v>0</v>
      </c>
      <c r="K88" s="3" t="b">
        <f>AND(I88 &lt; 0, H88 &gt; 0)</f>
        <v>0</v>
      </c>
      <c r="L88" s="3" t="str">
        <f>IF(G88 &lt; 0.0001, "PASS: CorrectedGap invariant across allocation sweep", "FAIL: CorrectedGap varies — formula error")</f>
        <v>PASS: CorrectedGap invariant across allocation sweep</v>
      </c>
      <c r="M88" s="3" t="e">
        <f>LOOKUP(A88, SweepStudyConfig[StudyId], SweepStudyConfig[SweepStratumLabel])</f>
        <v>#VALUE!</v>
      </c>
    </row>
    <row r="89">
      <c r="A89" s="2" t="s">
        <v>751</v>
      </c>
      <c r="B89" s="3" t="str">
        <f>A89</f>
        <v>golf-scoring-course</v>
      </c>
      <c r="C89" s="3" t="e">
        <f>LOOKUP(A89, TreatmentRankings[Study], TreatmentRankings[DistortionType])</f>
        <v>#VALUE!</v>
      </c>
      <c r="D89" s="3">
        <f>_xlfn.MINIFS(AllocationSweep!R2:R999,AllocationSweep!C2:C999, A89)</f>
        <v>0</v>
      </c>
      <c r="E89" s="3">
        <f>_xlfn.MAXIFS(AllocationSweep!R2:R999,AllocationSweep!C2:C999, A89)</f>
        <v>0</v>
      </c>
      <c r="F89" s="3">
        <f>_xlfn.MINIFS(AllocationSweep!R2:R999,AllocationSweep!C2:C999, A89)</f>
        <v>0</v>
      </c>
      <c r="G89" s="3">
        <f>E89 - F89</f>
        <v>0</v>
      </c>
      <c r="H89" s="3">
        <f>_xlfn.MAXIFS(AllocationSweep!Q2:Q999,AllocationSweep!C2:C999, A89)</f>
        <v>0</v>
      </c>
      <c r="I89" s="3">
        <f>_xlfn.MINIFS(AllocationSweep!Q2:Q999,AllocationSweep!C2:C999, A89)</f>
        <v>0</v>
      </c>
      <c r="J89" s="3">
        <f>H89 - I89</f>
        <v>0</v>
      </c>
      <c r="K89" s="3" t="b">
        <f>AND(I89 &lt; 0, H89 &gt; 0)</f>
        <v>0</v>
      </c>
      <c r="L89" s="3" t="str">
        <f>IF(G89 &lt; 0.0001, "PASS: CorrectedGap invariant across allocation sweep", "FAIL: CorrectedGap varies — formula error")</f>
        <v>PASS: CorrectedGap invariant across allocation sweep</v>
      </c>
      <c r="M89" s="3" t="e">
        <f>LOOKUP(A89, SweepStudyConfig[StudyId], SweepStudyConfig[SweepStratumLabel])</f>
        <v>#VALUE!</v>
      </c>
    </row>
    <row r="90">
      <c r="A90" s="2" t="s">
        <v>755</v>
      </c>
      <c r="B90" s="3" t="str">
        <f>A90</f>
        <v>minimum-wage-region</v>
      </c>
      <c r="C90" s="3" t="e">
        <f>LOOKUP(A90, TreatmentRankings[Study], TreatmentRankings[DistortionType])</f>
        <v>#VALUE!</v>
      </c>
      <c r="D90" s="3">
        <f>_xlfn.MINIFS(AllocationSweep!R2:R999,AllocationSweep!C2:C999, A90)</f>
        <v>0</v>
      </c>
      <c r="E90" s="3">
        <f>_xlfn.MAXIFS(AllocationSweep!R2:R999,AllocationSweep!C2:C999, A90)</f>
        <v>0</v>
      </c>
      <c r="F90" s="3">
        <f>_xlfn.MINIFS(AllocationSweep!R2:R999,AllocationSweep!C2:C999, A90)</f>
        <v>0</v>
      </c>
      <c r="G90" s="3">
        <f>E90 - F90</f>
        <v>0</v>
      </c>
      <c r="H90" s="3">
        <f>_xlfn.MAXIFS(AllocationSweep!Q2:Q999,AllocationSweep!C2:C999, A90)</f>
        <v>0</v>
      </c>
      <c r="I90" s="3">
        <f>_xlfn.MINIFS(AllocationSweep!Q2:Q999,AllocationSweep!C2:C999, A90)</f>
        <v>0</v>
      </c>
      <c r="J90" s="3">
        <f>H90 - I90</f>
        <v>0</v>
      </c>
      <c r="K90" s="3" t="b">
        <f>AND(I90 &lt; 0, H90 &gt; 0)</f>
        <v>0</v>
      </c>
      <c r="L90" s="3" t="str">
        <f>IF(G90 &lt; 0.0001, "PASS: CorrectedGap invariant across allocation sweep", "FAIL: CorrectedGap varies — formula error")</f>
        <v>PASS: CorrectedGap invariant across allocation sweep</v>
      </c>
      <c r="M90" s="3" t="e">
        <f>LOOKUP(A90, SweepStudyConfig[StudyId], SweepStudyConfig[SweepStratumLabel])</f>
        <v>#VALUE!</v>
      </c>
    </row>
    <row r="91">
      <c r="A91" s="2" t="s">
        <v>759</v>
      </c>
      <c r="B91" s="3" t="str">
        <f>A91</f>
        <v>returns-to-education-field</v>
      </c>
      <c r="C91" s="3" t="e">
        <f>LOOKUP(A91, TreatmentRankings[Study], TreatmentRankings[DistortionType])</f>
        <v>#VALUE!</v>
      </c>
      <c r="D91" s="3">
        <f>_xlfn.MINIFS(AllocationSweep!R2:R999,AllocationSweep!C2:C999, A91)</f>
        <v>0</v>
      </c>
      <c r="E91" s="3">
        <f>_xlfn.MAXIFS(AllocationSweep!R2:R999,AllocationSweep!C2:C999, A91)</f>
        <v>0</v>
      </c>
      <c r="F91" s="3">
        <f>_xlfn.MINIFS(AllocationSweep!R2:R999,AllocationSweep!C2:C999, A91)</f>
        <v>0</v>
      </c>
      <c r="G91" s="3">
        <f>E91 - F91</f>
        <v>0</v>
      </c>
      <c r="H91" s="3">
        <f>_xlfn.MAXIFS(AllocationSweep!Q2:Q999,AllocationSweep!C2:C999, A91)</f>
        <v>0</v>
      </c>
      <c r="I91" s="3">
        <f>_xlfn.MINIFS(AllocationSweep!Q2:Q999,AllocationSweep!C2:C999, A91)</f>
        <v>0</v>
      </c>
      <c r="J91" s="3">
        <f>H91 - I91</f>
        <v>0</v>
      </c>
      <c r="K91" s="3" t="b">
        <f>AND(I91 &lt; 0, H91 &gt; 0)</f>
        <v>0</v>
      </c>
      <c r="L91" s="3" t="str">
        <f>IF(G91 &lt; 0.0001, "PASS: CorrectedGap invariant across allocation sweep", "FAIL: CorrectedGap varies — formula error")</f>
        <v>PASS: CorrectedGap invariant across allocation sweep</v>
      </c>
      <c r="M91" s="3" t="e">
        <f>LOOKUP(A91, SweepStudyConfig[StudyId], SweepStudyConfig[SweepStratumLabel])</f>
        <v>#VALUE!</v>
      </c>
    </row>
    <row r="92">
      <c r="A92" s="2" t="s">
        <v>763</v>
      </c>
      <c r="B92" s="3" t="str">
        <f>A92</f>
        <v>unemployment-education-cycle</v>
      </c>
      <c r="C92" s="3" t="e">
        <f>LOOKUP(A92, TreatmentRankings[Study], TreatmentRankings[DistortionType])</f>
        <v>#VALUE!</v>
      </c>
      <c r="D92" s="3">
        <f>_xlfn.MINIFS(AllocationSweep!R2:R999,AllocationSweep!C2:C999, A92)</f>
        <v>0</v>
      </c>
      <c r="E92" s="3">
        <f>_xlfn.MAXIFS(AllocationSweep!R2:R999,AllocationSweep!C2:C999, A92)</f>
        <v>0</v>
      </c>
      <c r="F92" s="3">
        <f>_xlfn.MINIFS(AllocationSweep!R2:R999,AllocationSweep!C2:C999, A92)</f>
        <v>0</v>
      </c>
      <c r="G92" s="3">
        <f>E92 - F92</f>
        <v>0</v>
      </c>
      <c r="H92" s="3">
        <f>_xlfn.MAXIFS(AllocationSweep!Q2:Q999,AllocationSweep!C2:C999, A92)</f>
        <v>0</v>
      </c>
      <c r="I92" s="3">
        <f>_xlfn.MINIFS(AllocationSweep!Q2:Q999,AllocationSweep!C2:C999, A92)</f>
        <v>0</v>
      </c>
      <c r="J92" s="3">
        <f>H92 - I92</f>
        <v>0</v>
      </c>
      <c r="K92" s="3" t="b">
        <f>AND(I92 &lt; 0, H92 &gt; 0)</f>
        <v>0</v>
      </c>
      <c r="L92" s="3" t="str">
        <f>IF(G92 &lt; 0.0001, "PASS: CorrectedGap invariant across allocation sweep", "FAIL: CorrectedGap varies — formula error")</f>
        <v>PASS: CorrectedGap invariant across allocation sweep</v>
      </c>
      <c r="M92" s="3" t="e">
        <f>LOOKUP(A92, SweepStudyConfig[StudyId], SweepStudyConfig[SweepStratumLabel])</f>
        <v>#VALUE!</v>
      </c>
    </row>
    <row r="93">
      <c r="A93" s="2" t="s">
        <v>766</v>
      </c>
      <c r="B93" s="3" t="str">
        <f>A93</f>
        <v>costa-rica-us-life-expectancy</v>
      </c>
      <c r="C93" s="3" t="e">
        <f>LOOKUP(A93, TreatmentRankings[Study], TreatmentRankings[DistortionType])</f>
        <v>#VALUE!</v>
      </c>
      <c r="D93" s="3">
        <f>_xlfn.MINIFS(AllocationSweep!R2:R999,AllocationSweep!C2:C999, A93)</f>
        <v>0</v>
      </c>
      <c r="E93" s="3">
        <f>_xlfn.MAXIFS(AllocationSweep!R2:R999,AllocationSweep!C2:C999, A93)</f>
        <v>0</v>
      </c>
      <c r="F93" s="3">
        <f>_xlfn.MINIFS(AllocationSweep!R2:R999,AllocationSweep!C2:C999, A93)</f>
        <v>0</v>
      </c>
      <c r="G93" s="3">
        <f>E93 - F93</f>
        <v>0</v>
      </c>
      <c r="H93" s="3">
        <f>_xlfn.MAXIFS(AllocationSweep!Q2:Q999,AllocationSweep!C2:C999, A93)</f>
        <v>0</v>
      </c>
      <c r="I93" s="3">
        <f>_xlfn.MINIFS(AllocationSweep!Q2:Q999,AllocationSweep!C2:C999, A93)</f>
        <v>0</v>
      </c>
      <c r="J93" s="3">
        <f>H93 - I93</f>
        <v>0</v>
      </c>
      <c r="K93" s="3" t="b">
        <f>AND(I93 &lt; 0, H93 &gt; 0)</f>
        <v>0</v>
      </c>
      <c r="L93" s="3" t="str">
        <f>IF(G93 &lt; 0.0001, "PASS: CorrectedGap invariant across allocation sweep", "FAIL: CorrectedGap varies — formula error")</f>
        <v>PASS: CorrectedGap invariant across allocation sweep</v>
      </c>
      <c r="M93" s="3" t="e">
        <f>LOOKUP(A93, SweepStudyConfig[StudyId], SweepStudyConfig[SweepStratumLabel])</f>
        <v>#VALUE!</v>
      </c>
    </row>
    <row r="94">
      <c r="A94" s="2" t="s">
        <v>770</v>
      </c>
      <c r="B94" s="3" t="str">
        <f>A94</f>
        <v>fertility-income-country</v>
      </c>
      <c r="C94" s="3" t="e">
        <f>LOOKUP(A94, TreatmentRankings[Study], TreatmentRankings[DistortionType])</f>
        <v>#VALUE!</v>
      </c>
      <c r="D94" s="3">
        <f>_xlfn.MINIFS(AllocationSweep!R2:R999,AllocationSweep!C2:C999, A94)</f>
        <v>0</v>
      </c>
      <c r="E94" s="3">
        <f>_xlfn.MAXIFS(AllocationSweep!R2:R999,AllocationSweep!C2:C999, A94)</f>
        <v>0</v>
      </c>
      <c r="F94" s="3">
        <f>_xlfn.MINIFS(AllocationSweep!R2:R999,AllocationSweep!C2:C999, A94)</f>
        <v>0</v>
      </c>
      <c r="G94" s="3">
        <f>E94 - F94</f>
        <v>0</v>
      </c>
      <c r="H94" s="3">
        <f>_xlfn.MAXIFS(AllocationSweep!Q2:Q999,AllocationSweep!C2:C999, A94)</f>
        <v>0</v>
      </c>
      <c r="I94" s="3">
        <f>_xlfn.MINIFS(AllocationSweep!Q2:Q999,AllocationSweep!C2:C999, A94)</f>
        <v>0</v>
      </c>
      <c r="J94" s="3">
        <f>H94 - I94</f>
        <v>0</v>
      </c>
      <c r="K94" s="3" t="b">
        <f>AND(I94 &lt; 0, H94 &gt; 0)</f>
        <v>0</v>
      </c>
      <c r="L94" s="3" t="str">
        <f>IF(G94 &lt; 0.0001, "PASS: CorrectedGap invariant across allocation sweep", "FAIL: CorrectedGap varies — formula error")</f>
        <v>PASS: CorrectedGap invariant across allocation sweep</v>
      </c>
      <c r="M94" s="3" t="e">
        <f>LOOKUP(A94, SweepStudyConfig[StudyId], SweepStudyConfig[SweepStratumLabel])</f>
        <v>#VALUE!</v>
      </c>
    </row>
    <row r="95">
      <c r="A95" s="2" t="s">
        <v>774</v>
      </c>
      <c r="B95" s="3" t="str">
        <f>A95</f>
        <v>religiosity-happiness-country</v>
      </c>
      <c r="C95" s="3" t="e">
        <f>LOOKUP(A95, TreatmentRankings[Study], TreatmentRankings[DistortionType])</f>
        <v>#VALUE!</v>
      </c>
      <c r="D95" s="3">
        <f>_xlfn.MINIFS(AllocationSweep!R2:R999,AllocationSweep!C2:C999, A95)</f>
        <v>0</v>
      </c>
      <c r="E95" s="3">
        <f>_xlfn.MAXIFS(AllocationSweep!R2:R999,AllocationSweep!C2:C999, A95)</f>
        <v>0</v>
      </c>
      <c r="F95" s="3">
        <f>_xlfn.MINIFS(AllocationSweep!R2:R999,AllocationSweep!C2:C999, A95)</f>
        <v>0</v>
      </c>
      <c r="G95" s="3">
        <f>E95 - F95</f>
        <v>0</v>
      </c>
      <c r="H95" s="3">
        <f>_xlfn.MAXIFS(AllocationSweep!Q2:Q999,AllocationSweep!C2:C999, A95)</f>
        <v>0</v>
      </c>
      <c r="I95" s="3">
        <f>_xlfn.MINIFS(AllocationSweep!Q2:Q999,AllocationSweep!C2:C999, A95)</f>
        <v>0</v>
      </c>
      <c r="J95" s="3">
        <f>H95 - I95</f>
        <v>0</v>
      </c>
      <c r="K95" s="3" t="b">
        <f>AND(I95 &lt; 0, H95 &gt; 0)</f>
        <v>0</v>
      </c>
      <c r="L95" s="3" t="str">
        <f>IF(G95 &lt; 0.0001, "PASS: CorrectedGap invariant across allocation sweep", "FAIL: CorrectedGap varies — formula error")</f>
        <v>PASS: CorrectedGap invariant across allocation sweep</v>
      </c>
      <c r="M95" s="3" t="e">
        <f>LOOKUP(A95, SweepStudyConfig[StudyId], SweepStudyConfig[SweepStratumLabel])</f>
        <v>#VALUE!</v>
      </c>
    </row>
    <row r="96">
      <c r="A96" s="2" t="s">
        <v>778</v>
      </c>
      <c r="B96" s="3" t="str">
        <f>A96</f>
        <v>voter-turnout-education-state</v>
      </c>
      <c r="C96" s="3" t="e">
        <f>LOOKUP(A96, TreatmentRankings[Study], TreatmentRankings[DistortionType])</f>
        <v>#VALUE!</v>
      </c>
      <c r="D96" s="3">
        <f>_xlfn.MINIFS(AllocationSweep!R2:R999,AllocationSweep!C2:C999, A96)</f>
        <v>0</v>
      </c>
      <c r="E96" s="3">
        <f>_xlfn.MAXIFS(AllocationSweep!R2:R999,AllocationSweep!C2:C999, A96)</f>
        <v>0</v>
      </c>
      <c r="F96" s="3">
        <f>_xlfn.MINIFS(AllocationSweep!R2:R999,AllocationSweep!C2:C999, A96)</f>
        <v>0</v>
      </c>
      <c r="G96" s="3">
        <f>E96 - F96</f>
        <v>0</v>
      </c>
      <c r="H96" s="3">
        <f>_xlfn.MAXIFS(AllocationSweep!Q2:Q999,AllocationSweep!C2:C999, A96)</f>
        <v>0</v>
      </c>
      <c r="I96" s="3">
        <f>_xlfn.MINIFS(AllocationSweep!Q2:Q999,AllocationSweep!C2:C999, A96)</f>
        <v>0</v>
      </c>
      <c r="J96" s="3">
        <f>H96 - I96</f>
        <v>0</v>
      </c>
      <c r="K96" s="3" t="b">
        <f>AND(I96 &lt; 0, H96 &gt; 0)</f>
        <v>0</v>
      </c>
      <c r="L96" s="3" t="str">
        <f>IF(G96 &lt; 0.0001, "PASS: CorrectedGap invariant across allocation sweep", "FAIL: CorrectedGap varies — formula error")</f>
        <v>PASS: CorrectedGap invariant across allocation sweep</v>
      </c>
      <c r="M96" s="3" t="e">
        <f>LOOKUP(A96, SweepStudyConfig[StudyId], SweepStudyConfig[SweepStratumLabel])</f>
        <v>#VALUE!</v>
      </c>
    </row>
    <row r="97">
      <c r="A97" s="2" t="s">
        <v>782</v>
      </c>
      <c r="B97" s="3" t="str">
        <f>A97</f>
        <v>ad-ctr-platform-mix</v>
      </c>
      <c r="C97" s="3" t="e">
        <f>LOOKUP(A97, TreatmentRankings[Study], TreatmentRankings[DistortionType])</f>
        <v>#VALUE!</v>
      </c>
      <c r="D97" s="3">
        <f>_xlfn.MINIFS(AllocationSweep!R2:R999,AllocationSweep!C2:C999, A97)</f>
        <v>0</v>
      </c>
      <c r="E97" s="3">
        <f>_xlfn.MAXIFS(AllocationSweep!R2:R999,AllocationSweep!C2:C999, A97)</f>
        <v>0</v>
      </c>
      <c r="F97" s="3">
        <f>_xlfn.MINIFS(AllocationSweep!R2:R999,AllocationSweep!C2:C999, A97)</f>
        <v>0</v>
      </c>
      <c r="G97" s="3">
        <f>E97 - F97</f>
        <v>0</v>
      </c>
      <c r="H97" s="3">
        <f>_xlfn.MAXIFS(AllocationSweep!Q2:Q999,AllocationSweep!C2:C999, A97)</f>
        <v>0</v>
      </c>
      <c r="I97" s="3">
        <f>_xlfn.MINIFS(AllocationSweep!Q2:Q999,AllocationSweep!C2:C999, A97)</f>
        <v>0</v>
      </c>
      <c r="J97" s="3">
        <f>H97 - I97</f>
        <v>0</v>
      </c>
      <c r="K97" s="3" t="b">
        <f>AND(I97 &lt; 0, H97 &gt; 0)</f>
        <v>0</v>
      </c>
      <c r="L97" s="3" t="str">
        <f>IF(G97 &lt; 0.0001, "PASS: CorrectedGap invariant across allocation sweep", "FAIL: CorrectedGap varies — formula error")</f>
        <v>PASS: CorrectedGap invariant across allocation sweep</v>
      </c>
      <c r="M97" s="3" t="e">
        <f>LOOKUP(A97, SweepStudyConfig[StudyId], SweepStudyConfig[SweepStratumLabel])</f>
        <v>#VALUE!</v>
      </c>
    </row>
  </sheetData>
  <autoFilter ref="A1:M1"/>
  <headerFooter/>
  <legacyDrawing r:id="rId1"/>
</worksheet>
</file>

<file path=xl/worksheets/sheet1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R7"/>
  <sheetViews>
    <sheetView workbookViewId="0">
      <pane ySplit="1" topLeftCell="A2" state="frozen" activePane="bottomLeft"/>
      <selection pane="bottomLeft" activeCell="A1" sqref="A1"/>
    </sheetView>
  </sheetViews>
  <sheetFormatPr defaultRowHeight="15"/>
  <cols>
    <col min="1" max="1" width="22.418148040771484" customWidth="1"/>
    <col min="2" max="2" width="43.52711868286133" customWidth="1"/>
    <col min="3" max="3" width="17.443378448486328" customWidth="1"/>
    <col min="4" max="4" width="143.44277954101562" customWidth="1"/>
    <col min="5" max="5" width="68.52581024169922" customWidth="1"/>
    <col min="6" max="6" width="256" customWidth="1"/>
    <col min="7" max="7" width="175.52078247070312" customWidth="1"/>
    <col min="8" max="8" width="24.252378463745117" customWidth="1"/>
    <col min="9" max="9" width="21.021398544311523" customWidth="1"/>
    <col min="10" max="10" width="28.982019424438477" customWidth="1"/>
    <col min="11" max="11" width="22.684736251831055" customWidth="1"/>
    <col min="12" max="12" width="25.208181381225586" customWidth="1"/>
    <col min="13" max="13" width="32.09233856201172" customWidth="1"/>
    <col min="14" max="14" width="25.865489959716797" customWidth="1"/>
    <col min="15" max="15" width="30.01576805114746" customWidth="1"/>
    <col min="16" max="16" width="17.659399032592773" customWidth="1"/>
    <col min="17" max="17" width="17.443378448486328" customWidth="1"/>
    <col min="18" max="18" width="17.443378448486328" customWidth="1"/>
  </cols>
  <sheetData>
    <row r="1">
      <c r="A1" s="1" t="s">
        <v>8</v>
      </c>
      <c r="B1" s="1" t="s">
        <v>1</v>
      </c>
      <c r="C1" s="1" t="s">
        <v>4257</v>
      </c>
      <c r="D1" s="1" t="s">
        <v>4258</v>
      </c>
      <c r="E1" s="1" t="s">
        <v>4259</v>
      </c>
      <c r="F1" s="1" t="s">
        <v>4260</v>
      </c>
      <c r="G1" s="1" t="s">
        <v>4261</v>
      </c>
      <c r="H1" s="1" t="s">
        <v>4262</v>
      </c>
      <c r="I1" s="1" t="s">
        <v>4263</v>
      </c>
      <c r="J1" s="1" t="s">
        <v>4264</v>
      </c>
      <c r="K1" s="1" t="s">
        <v>4265</v>
      </c>
      <c r="L1" s="1" t="s">
        <v>4266</v>
      </c>
      <c r="M1" s="1" t="s">
        <v>4267</v>
      </c>
      <c r="N1" s="1" t="s">
        <v>4268</v>
      </c>
      <c r="O1" s="1" t="s">
        <v>4269</v>
      </c>
      <c r="P1" s="1" t="s">
        <v>4270</v>
      </c>
      <c r="Q1" s="1" t="s">
        <v>2248</v>
      </c>
      <c r="R1" s="1" t="s">
        <v>2940</v>
      </c>
    </row>
    <row r="2">
      <c r="A2" s="2" t="s">
        <v>23</v>
      </c>
      <c r="B2" s="2" t="s">
        <v>4271</v>
      </c>
      <c r="C2" s="2" t="s">
        <v>4272</v>
      </c>
      <c r="D2" s="2" t="s">
        <v>4273</v>
      </c>
      <c r="E2" s="2" t="s">
        <v>4274</v>
      </c>
      <c r="F2" s="2" t="s">
        <v>4275</v>
      </c>
      <c r="G2" s="2" t="s">
        <v>4276</v>
      </c>
      <c r="H2" s="2" t="b">
        <v>1</v>
      </c>
      <c r="I2" s="2" t="s">
        <v>414</v>
      </c>
      <c r="J2" s="2" t="s">
        <v>2761</v>
      </c>
      <c r="K2" s="3" t="e">
        <f>LOOKUP(I2, Studies[StudyId], Studies[Title])</f>
        <v>#VALUE!</v>
      </c>
      <c r="L2" s="3" t="e">
        <f>LOOKUP(I2, Studies[StudyId], Studies[Source])</f>
        <v>#VALUE!</v>
      </c>
      <c r="M2" s="3" t="e">
        <f>LOOKUP(I2, TreatmentRankings[Study], TreatmentRankings[DistortionType])</f>
        <v>#VALUE!</v>
      </c>
      <c r="N2" s="3" t="e">
        <f>LOOKUP(J2, Conclusions[ConclusionId], Conclusions[Title])</f>
        <v>#VALUE!</v>
      </c>
      <c r="O2" s="3" t="e">
        <f>LOOKUP(J2, Conclusions[ConclusionId], Conclusions[Category])</f>
        <v>#VALUE!</v>
      </c>
      <c r="P2" s="5">
        <f>COUNTIFS(Researchers!C2:C999, A2)</f>
        <v>5</v>
      </c>
      <c r="Q2" s="5">
        <f>COUNTIFS(Studies!K2:K999, A2)</f>
        <v>27</v>
      </c>
      <c r="R2" s="5">
        <f>COUNTIFS(Loops!I2:I999, A2)</f>
        <v>27</v>
      </c>
    </row>
    <row r="3">
      <c r="A3" s="2" t="s">
        <v>4277</v>
      </c>
      <c r="B3" s="2" t="s">
        <v>4278</v>
      </c>
      <c r="C3" s="2" t="s">
        <v>4279</v>
      </c>
      <c r="D3" s="2" t="s">
        <v>4280</v>
      </c>
      <c r="E3" s="2" t="s">
        <v>4281</v>
      </c>
      <c r="F3" s="2" t="s">
        <v>4282</v>
      </c>
      <c r="G3" s="2" t="s">
        <v>4283</v>
      </c>
      <c r="H3" s="2" t="b">
        <v>1</v>
      </c>
      <c r="I3" s="2" t="s">
        <v>428</v>
      </c>
      <c r="J3" s="2" t="s">
        <v>2842</v>
      </c>
      <c r="K3" s="3" t="e">
        <f>LOOKUP(I3, Studies[StudyId], Studies[Title])</f>
        <v>#VALUE!</v>
      </c>
      <c r="L3" s="3" t="e">
        <f>LOOKUP(I3, Studies[StudyId], Studies[Source])</f>
        <v>#VALUE!</v>
      </c>
      <c r="M3" s="3" t="e">
        <f>LOOKUP(I3, TreatmentRankings[Study], TreatmentRankings[DistortionType])</f>
        <v>#VALUE!</v>
      </c>
      <c r="N3" s="3" t="e">
        <f>LOOKUP(J3, Conclusions[ConclusionId], Conclusions[Title])</f>
        <v>#VALUE!</v>
      </c>
      <c r="O3" s="3" t="e">
        <f>LOOKUP(J3, Conclusions[ConclusionId], Conclusions[Category])</f>
        <v>#VALUE!</v>
      </c>
      <c r="P3" s="5">
        <f>COUNTIFS(Researchers!C2:C999, A3)</f>
        <v>4</v>
      </c>
      <c r="Q3" s="5">
        <f>COUNTIFS(Studies!K2:K999, A3)</f>
        <v>0</v>
      </c>
      <c r="R3" s="5">
        <f>COUNTIFS(Loops!I2:I999, A3)</f>
        <v>0</v>
      </c>
    </row>
    <row r="4">
      <c r="A4" s="2" t="s">
        <v>51</v>
      </c>
      <c r="B4" s="2" t="s">
        <v>4284</v>
      </c>
      <c r="C4" s="2" t="s">
        <v>4285</v>
      </c>
      <c r="D4" s="2" t="s">
        <v>4286</v>
      </c>
      <c r="E4" s="2" t="s">
        <v>4287</v>
      </c>
      <c r="F4" s="2" t="s">
        <v>4288</v>
      </c>
      <c r="G4" s="2" t="s">
        <v>4289</v>
      </c>
      <c r="H4" s="2" t="b">
        <v>1</v>
      </c>
      <c r="I4" s="2" t="s">
        <v>470</v>
      </c>
      <c r="J4" s="2" t="s">
        <v>2842</v>
      </c>
      <c r="K4" s="3" t="e">
        <f>LOOKUP(I4, Studies[StudyId], Studies[Title])</f>
        <v>#VALUE!</v>
      </c>
      <c r="L4" s="3" t="e">
        <f>LOOKUP(I4, Studies[StudyId], Studies[Source])</f>
        <v>#VALUE!</v>
      </c>
      <c r="M4" s="3" t="e">
        <f>LOOKUP(I4, TreatmentRankings[Study], TreatmentRankings[DistortionType])</f>
        <v>#VALUE!</v>
      </c>
      <c r="N4" s="3" t="e">
        <f>LOOKUP(J4, Conclusions[ConclusionId], Conclusions[Title])</f>
        <v>#VALUE!</v>
      </c>
      <c r="O4" s="3" t="e">
        <f>LOOKUP(J4, Conclusions[ConclusionId], Conclusions[Category])</f>
        <v>#VALUE!</v>
      </c>
      <c r="P4" s="5">
        <f>COUNTIFS(Researchers!C2:C999, A4)</f>
        <v>2</v>
      </c>
      <c r="Q4" s="5">
        <f>COUNTIFS(Studies!K2:K999, A4)</f>
        <v>3</v>
      </c>
      <c r="R4" s="5">
        <f>COUNTIFS(Loops!I2:I999, A4)</f>
        <v>12</v>
      </c>
    </row>
    <row r="5">
      <c r="A5" s="2" t="s">
        <v>58</v>
      </c>
      <c r="B5" s="2" t="s">
        <v>4290</v>
      </c>
      <c r="C5" s="2" t="s">
        <v>4291</v>
      </c>
      <c r="D5" s="2" t="s">
        <v>4292</v>
      </c>
      <c r="E5" s="2" t="s">
        <v>4293</v>
      </c>
      <c r="F5" s="2" t="s">
        <v>4294</v>
      </c>
      <c r="G5" s="2" t="s">
        <v>4295</v>
      </c>
      <c r="H5" s="2" t="b">
        <v>1</v>
      </c>
      <c r="I5" s="2" t="s">
        <v>437</v>
      </c>
      <c r="J5" s="2" t="s">
        <v>3026</v>
      </c>
      <c r="K5" s="3" t="e">
        <f>LOOKUP(I5, Studies[StudyId], Studies[Title])</f>
        <v>#VALUE!</v>
      </c>
      <c r="L5" s="3" t="e">
        <f>LOOKUP(I5, Studies[StudyId], Studies[Source])</f>
        <v>#VALUE!</v>
      </c>
      <c r="M5" s="3" t="e">
        <f>LOOKUP(I5, TreatmentRankings[Study], TreatmentRankings[DistortionType])</f>
        <v>#VALUE!</v>
      </c>
      <c r="N5" s="3" t="e">
        <f>LOOKUP(J5, Conclusions[ConclusionId], Conclusions[Title])</f>
        <v>#VALUE!</v>
      </c>
      <c r="O5" s="3" t="e">
        <f>LOOKUP(J5, Conclusions[ConclusionId], Conclusions[Category])</f>
        <v>#VALUE!</v>
      </c>
      <c r="P5" s="5">
        <f>COUNTIFS(Researchers!C2:C999, A5)</f>
        <v>2</v>
      </c>
      <c r="Q5" s="5">
        <f>COUNTIFS(Studies!K2:K999, A5)</f>
        <v>61</v>
      </c>
      <c r="R5" s="5">
        <f>COUNTIFS(Loops!I2:I999, A5)</f>
        <v>18</v>
      </c>
    </row>
    <row r="6">
      <c r="A6" s="2" t="s">
        <v>4296</v>
      </c>
      <c r="B6" s="2" t="s">
        <v>4297</v>
      </c>
      <c r="C6" s="2" t="s">
        <v>4298</v>
      </c>
      <c r="D6" s="2" t="s">
        <v>4299</v>
      </c>
      <c r="E6" s="2" t="s">
        <v>4300</v>
      </c>
      <c r="F6" s="2" t="s">
        <v>4301</v>
      </c>
      <c r="G6" s="2" t="s">
        <v>4302</v>
      </c>
      <c r="H6" s="2" t="b">
        <v>1</v>
      </c>
      <c r="I6" s="2" t="s">
        <v>483</v>
      </c>
      <c r="J6" s="2" t="s">
        <v>2761</v>
      </c>
      <c r="K6" s="3" t="e">
        <f>LOOKUP(I6, Studies[StudyId], Studies[Title])</f>
        <v>#VALUE!</v>
      </c>
      <c r="L6" s="3" t="e">
        <f>LOOKUP(I6, Studies[StudyId], Studies[Source])</f>
        <v>#VALUE!</v>
      </c>
      <c r="M6" s="3" t="e">
        <f>LOOKUP(I6, TreatmentRankings[Study], TreatmentRankings[DistortionType])</f>
        <v>#VALUE!</v>
      </c>
      <c r="N6" s="3" t="e">
        <f>LOOKUP(J6, Conclusions[ConclusionId], Conclusions[Title])</f>
        <v>#VALUE!</v>
      </c>
      <c r="O6" s="3" t="e">
        <f>LOOKUP(J6, Conclusions[ConclusionId], Conclusions[Category])</f>
        <v>#VALUE!</v>
      </c>
      <c r="P6" s="5">
        <f>COUNTIFS(Researchers!C2:C999, A6)</f>
        <v>2</v>
      </c>
      <c r="Q6" s="5">
        <f>COUNTIFS(Studies!K2:K999, A6)</f>
        <v>0</v>
      </c>
      <c r="R6" s="5">
        <f>COUNTIFS(Loops!I2:I999, A6)</f>
        <v>0</v>
      </c>
    </row>
    <row r="7">
      <c r="A7" s="2" t="s">
        <v>204</v>
      </c>
      <c r="B7" s="2" t="s">
        <v>4303</v>
      </c>
      <c r="C7" s="2" t="s">
        <v>4304</v>
      </c>
      <c r="D7" s="2" t="s">
        <v>4305</v>
      </c>
      <c r="E7" s="2" t="s">
        <v>4306</v>
      </c>
      <c r="F7" s="2" t="s">
        <v>4307</v>
      </c>
      <c r="G7" s="2" t="s">
        <v>4308</v>
      </c>
      <c r="H7" s="2" t="b">
        <v>1</v>
      </c>
      <c r="I7" s="2" t="s">
        <v>457</v>
      </c>
      <c r="J7" s="2" t="s">
        <v>3029</v>
      </c>
      <c r="K7" s="3" t="e">
        <f>LOOKUP(I7, Studies[StudyId], Studies[Title])</f>
        <v>#VALUE!</v>
      </c>
      <c r="L7" s="3" t="e">
        <f>LOOKUP(I7, Studies[StudyId], Studies[Source])</f>
        <v>#VALUE!</v>
      </c>
      <c r="M7" s="3" t="e">
        <f>LOOKUP(I7, TreatmentRankings[Study], TreatmentRankings[DistortionType])</f>
        <v>#VALUE!</v>
      </c>
      <c r="N7" s="3" t="e">
        <f>LOOKUP(J7, Conclusions[ConclusionId], Conclusions[Title])</f>
        <v>#VALUE!</v>
      </c>
      <c r="O7" s="3" t="e">
        <f>LOOKUP(J7, Conclusions[ConclusionId], Conclusions[Category])</f>
        <v>#VALUE!</v>
      </c>
      <c r="P7" s="5">
        <f>COUNTIFS(Researchers!C2:C999, A7)</f>
        <v>3</v>
      </c>
      <c r="Q7" s="5">
        <f>COUNTIFS(Studies!K2:K999, A7)</f>
        <v>5</v>
      </c>
      <c r="R7" s="5">
        <f>COUNTIFS(Loops!I2:I999, A7)</f>
        <v>1</v>
      </c>
    </row>
  </sheetData>
  <autoFilter ref="A1:R1"/>
  <headerFooter/>
  <legacyDrawing r:id="rId1"/>
</worksheet>
</file>

<file path=xl/worksheets/sheet2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S19"/>
  <sheetViews>
    <sheetView workbookViewId="0">
      <pane ySplit="1" topLeftCell="A2" state="frozen" activePane="bottomLeft"/>
      <selection pane="bottomLeft" activeCell="A1" sqref="A1"/>
    </sheetView>
  </sheetViews>
  <sheetFormatPr defaultRowHeight="15"/>
  <cols>
    <col min="1" max="1" width="34.791629791259766" customWidth="1"/>
    <col min="2" max="2" width="34.78919982910156" customWidth="1"/>
    <col min="3" max="3" width="22.418148040771484" customWidth="1"/>
    <col min="4" max="4" width="17.443378448486328" customWidth="1"/>
    <col min="5" max="5" width="60.2142219543457" customWidth="1"/>
    <col min="6" max="6" width="256" customWidth="1"/>
    <col min="7" max="7" width="105.7169189453125" customWidth="1"/>
    <col min="8" max="8" width="256" customWidth="1"/>
    <col min="9" max="9" width="24.252378463745117" customWidth="1"/>
    <col min="10" max="10" width="17.443378448486328" customWidth="1"/>
    <col min="11" max="11" width="21.021398544311523" customWidth="1"/>
    <col min="12" max="12" width="30.419601440429688" customWidth="1"/>
    <col min="13" max="13" width="17.443378448486328" customWidth="1"/>
    <col min="14" max="14" width="17.443378448486328" customWidth="1"/>
    <col min="15" max="15" width="19.8172607421875" customWidth="1"/>
    <col min="16" max="16" width="29.20017433166504" customWidth="1"/>
    <col min="17" max="17" width="30.9666805267334" customWidth="1"/>
    <col min="18" max="18" width="24.687541961669922" customWidth="1"/>
    <col min="19" max="19" width="26.896242141723633" customWidth="1"/>
  </cols>
  <sheetData>
    <row r="1">
      <c r="A1" s="1" t="s">
        <v>3002</v>
      </c>
      <c r="B1" s="1" t="s">
        <v>1</v>
      </c>
      <c r="C1" s="1" t="s">
        <v>8</v>
      </c>
      <c r="D1" s="1" t="s">
        <v>4309</v>
      </c>
      <c r="E1" s="1" t="s">
        <v>4310</v>
      </c>
      <c r="F1" s="1" t="s">
        <v>4311</v>
      </c>
      <c r="G1" s="1" t="s">
        <v>4312</v>
      </c>
      <c r="H1" s="1" t="s">
        <v>4313</v>
      </c>
      <c r="I1" s="1" t="s">
        <v>4262</v>
      </c>
      <c r="J1" s="1" t="s">
        <v>4314</v>
      </c>
      <c r="K1" s="1" t="s">
        <v>4315</v>
      </c>
      <c r="L1" s="1" t="s">
        <v>4316</v>
      </c>
      <c r="M1" s="1" t="s">
        <v>9</v>
      </c>
      <c r="N1" s="1" t="s">
        <v>4317</v>
      </c>
      <c r="O1" s="1" t="s">
        <v>4318</v>
      </c>
      <c r="P1" s="1" t="s">
        <v>4319</v>
      </c>
      <c r="Q1" s="1" t="s">
        <v>4320</v>
      </c>
      <c r="R1" s="1" t="s">
        <v>4321</v>
      </c>
      <c r="S1" s="1" t="s">
        <v>2752</v>
      </c>
    </row>
    <row r="2">
      <c r="A2" s="2" t="s">
        <v>3019</v>
      </c>
      <c r="B2" s="2" t="s">
        <v>4322</v>
      </c>
      <c r="C2" s="2" t="s">
        <v>23</v>
      </c>
      <c r="D2" s="2" t="s">
        <v>4323</v>
      </c>
      <c r="E2" s="2" t="s">
        <v>4324</v>
      </c>
      <c r="F2" s="2" t="s">
        <v>4325</v>
      </c>
      <c r="G2" s="2" t="s">
        <v>4326</v>
      </c>
      <c r="H2" s="2" t="s">
        <v>4327</v>
      </c>
      <c r="I2" s="2" t="b">
        <v>1</v>
      </c>
      <c r="J2" s="2" t="s">
        <v>1187</v>
      </c>
      <c r="K2" s="2" t="s">
        <v>414</v>
      </c>
      <c r="L2" s="2"/>
      <c r="M2" s="3" t="e">
        <f>LOOKUP(C2, ResearchTraditions[TraditionId], ResearchTraditions[Name])</f>
        <v>#VALUE!</v>
      </c>
      <c r="N2" s="3" t="e">
        <f>LOOKUP(C2, ResearchTraditions[TraditionId], ResearchTraditions[Era])</f>
        <v>#VALUE!</v>
      </c>
      <c r="O2" s="3" t="e">
        <f>LOOKUP(K2, Studies[StudyId], Studies[Title])</f>
        <v>#VALUE!</v>
      </c>
      <c r="P2" s="3" t="e">
        <f>LOOKUP(K2, TreatmentRankings[Study], TreatmentRankings[DistortionType])</f>
        <v>#VALUE!</v>
      </c>
      <c r="Q2" s="3" t="e">
        <f>LOOKUP(K2, TreatmentRankings[Study], TreatmentRankings[CorrectedPolicyImplication])</f>
        <v>#VALUE!</v>
      </c>
      <c r="R2" s="3" t="e">
        <f>LOOKUP(L2, Conclusions[ConclusionId], Conclusions[Title])</f>
        <v>#VALUE!</v>
      </c>
      <c r="S2" s="3" t="e">
        <f>LOOKUP(C2, ResearchTraditions[TraditionId], ResearchTraditions[KeyClaim])</f>
        <v>#VALUE!</v>
      </c>
    </row>
    <row r="3">
      <c r="A3" s="2" t="s">
        <v>4328</v>
      </c>
      <c r="B3" s="2" t="s">
        <v>4329</v>
      </c>
      <c r="C3" s="2" t="s">
        <v>23</v>
      </c>
      <c r="D3" s="2" t="s">
        <v>4330</v>
      </c>
      <c r="E3" s="2" t="s">
        <v>4331</v>
      </c>
      <c r="F3" s="2" t="s">
        <v>4332</v>
      </c>
      <c r="G3" s="2" t="s">
        <v>4333</v>
      </c>
      <c r="H3" s="2" t="s">
        <v>4334</v>
      </c>
      <c r="I3" s="2" t="b">
        <v>1</v>
      </c>
      <c r="J3" s="2" t="s">
        <v>1187</v>
      </c>
      <c r="K3" s="2" t="s">
        <v>414</v>
      </c>
      <c r="L3" s="2"/>
      <c r="M3" s="3" t="e">
        <f>LOOKUP(C3, ResearchTraditions[TraditionId], ResearchTraditions[Name])</f>
        <v>#VALUE!</v>
      </c>
      <c r="N3" s="3" t="e">
        <f>LOOKUP(C3, ResearchTraditions[TraditionId], ResearchTraditions[Era])</f>
        <v>#VALUE!</v>
      </c>
      <c r="O3" s="3" t="e">
        <f>LOOKUP(K3, Studies[StudyId], Studies[Title])</f>
        <v>#VALUE!</v>
      </c>
      <c r="P3" s="3" t="e">
        <f>LOOKUP(K3, TreatmentRankings[Study], TreatmentRankings[DistortionType])</f>
        <v>#VALUE!</v>
      </c>
      <c r="Q3" s="3" t="e">
        <f>LOOKUP(K3, TreatmentRankings[Study], TreatmentRankings[CorrectedPolicyImplication])</f>
        <v>#VALUE!</v>
      </c>
      <c r="R3" s="3" t="e">
        <f>LOOKUP(L3, Conclusions[ConclusionId], Conclusions[Title])</f>
        <v>#VALUE!</v>
      </c>
      <c r="S3" s="3" t="e">
        <f>LOOKUP(C3, ResearchTraditions[TraditionId], ResearchTraditions[KeyClaim])</f>
        <v>#VALUE!</v>
      </c>
    </row>
    <row r="4">
      <c r="A4" s="2" t="s">
        <v>3023</v>
      </c>
      <c r="B4" s="2" t="s">
        <v>4335</v>
      </c>
      <c r="C4" s="2" t="s">
        <v>23</v>
      </c>
      <c r="D4" s="2" t="s">
        <v>4336</v>
      </c>
      <c r="E4" s="2" t="s">
        <v>4337</v>
      </c>
      <c r="F4" s="2" t="s">
        <v>4338</v>
      </c>
      <c r="G4" s="2" t="s">
        <v>4339</v>
      </c>
      <c r="H4" s="2" t="s">
        <v>4340</v>
      </c>
      <c r="I4" s="2" t="b">
        <v>1</v>
      </c>
      <c r="J4" s="2" t="s">
        <v>1187</v>
      </c>
      <c r="K4" s="2" t="s">
        <v>428</v>
      </c>
      <c r="L4" s="2" t="s">
        <v>2769</v>
      </c>
      <c r="M4" s="3" t="e">
        <f>LOOKUP(C4, ResearchTraditions[TraditionId], ResearchTraditions[Name])</f>
        <v>#VALUE!</v>
      </c>
      <c r="N4" s="3" t="e">
        <f>LOOKUP(C4, ResearchTraditions[TraditionId], ResearchTraditions[Era])</f>
        <v>#VALUE!</v>
      </c>
      <c r="O4" s="3" t="e">
        <f>LOOKUP(K4, Studies[StudyId], Studies[Title])</f>
        <v>#VALUE!</v>
      </c>
      <c r="P4" s="3" t="e">
        <f>LOOKUP(K4, TreatmentRankings[Study], TreatmentRankings[DistortionType])</f>
        <v>#VALUE!</v>
      </c>
      <c r="Q4" s="3" t="e">
        <f>LOOKUP(K4, TreatmentRankings[Study], TreatmentRankings[CorrectedPolicyImplication])</f>
        <v>#VALUE!</v>
      </c>
      <c r="R4" s="3" t="e">
        <f>LOOKUP(L4, Conclusions[ConclusionId], Conclusions[Title])</f>
        <v>#VALUE!</v>
      </c>
      <c r="S4" s="3" t="e">
        <f>LOOKUP(C4, ResearchTraditions[TraditionId], ResearchTraditions[KeyClaim])</f>
        <v>#VALUE!</v>
      </c>
    </row>
    <row r="5">
      <c r="A5" s="2" t="s">
        <v>4341</v>
      </c>
      <c r="B5" s="2" t="s">
        <v>4342</v>
      </c>
      <c r="C5" s="2" t="s">
        <v>23</v>
      </c>
      <c r="D5" s="2" t="s">
        <v>4343</v>
      </c>
      <c r="E5" s="2" t="s">
        <v>4344</v>
      </c>
      <c r="F5" s="2" t="s">
        <v>4345</v>
      </c>
      <c r="G5" s="2" t="s">
        <v>4346</v>
      </c>
      <c r="H5" s="2" t="s">
        <v>4347</v>
      </c>
      <c r="I5" s="2" t="b">
        <v>1</v>
      </c>
      <c r="J5" s="2" t="s">
        <v>1187</v>
      </c>
      <c r="K5" s="2" t="s">
        <v>414</v>
      </c>
      <c r="L5" s="2" t="s">
        <v>2761</v>
      </c>
      <c r="M5" s="3" t="e">
        <f>LOOKUP(C5, ResearchTraditions[TraditionId], ResearchTraditions[Name])</f>
        <v>#VALUE!</v>
      </c>
      <c r="N5" s="3" t="e">
        <f>LOOKUP(C5, ResearchTraditions[TraditionId], ResearchTraditions[Era])</f>
        <v>#VALUE!</v>
      </c>
      <c r="O5" s="3" t="e">
        <f>LOOKUP(K5, Studies[StudyId], Studies[Title])</f>
        <v>#VALUE!</v>
      </c>
      <c r="P5" s="3" t="e">
        <f>LOOKUP(K5, TreatmentRankings[Study], TreatmentRankings[DistortionType])</f>
        <v>#VALUE!</v>
      </c>
      <c r="Q5" s="3" t="e">
        <f>LOOKUP(K5, TreatmentRankings[Study], TreatmentRankings[CorrectedPolicyImplication])</f>
        <v>#VALUE!</v>
      </c>
      <c r="R5" s="3" t="e">
        <f>LOOKUP(L5, Conclusions[ConclusionId], Conclusions[Title])</f>
        <v>#VALUE!</v>
      </c>
      <c r="S5" s="3" t="e">
        <f>LOOKUP(C5, ResearchTraditions[TraditionId], ResearchTraditions[KeyClaim])</f>
        <v>#VALUE!</v>
      </c>
    </row>
    <row r="6">
      <c r="A6" s="2" t="s">
        <v>419</v>
      </c>
      <c r="B6" s="2" t="s">
        <v>4348</v>
      </c>
      <c r="C6" s="2" t="s">
        <v>23</v>
      </c>
      <c r="D6" s="2" t="s">
        <v>4349</v>
      </c>
      <c r="E6" s="2" t="s">
        <v>4350</v>
      </c>
      <c r="F6" s="2" t="s">
        <v>4351</v>
      </c>
      <c r="G6" s="2" t="s">
        <v>4352</v>
      </c>
      <c r="H6" s="2" t="s">
        <v>4353</v>
      </c>
      <c r="I6" s="2" t="b">
        <v>1</v>
      </c>
      <c r="J6" s="2" t="s">
        <v>1187</v>
      </c>
      <c r="K6" s="2" t="s">
        <v>414</v>
      </c>
      <c r="L6" s="2" t="s">
        <v>2761</v>
      </c>
      <c r="M6" s="3" t="e">
        <f>LOOKUP(C6, ResearchTraditions[TraditionId], ResearchTraditions[Name])</f>
        <v>#VALUE!</v>
      </c>
      <c r="N6" s="3" t="e">
        <f>LOOKUP(C6, ResearchTraditions[TraditionId], ResearchTraditions[Era])</f>
        <v>#VALUE!</v>
      </c>
      <c r="O6" s="3" t="e">
        <f>LOOKUP(K6, Studies[StudyId], Studies[Title])</f>
        <v>#VALUE!</v>
      </c>
      <c r="P6" s="3" t="e">
        <f>LOOKUP(K6, TreatmentRankings[Study], TreatmentRankings[DistortionType])</f>
        <v>#VALUE!</v>
      </c>
      <c r="Q6" s="3" t="e">
        <f>LOOKUP(K6, TreatmentRankings[Study], TreatmentRankings[CorrectedPolicyImplication])</f>
        <v>#VALUE!</v>
      </c>
      <c r="R6" s="3" t="e">
        <f>LOOKUP(L6, Conclusions[ConclusionId], Conclusions[Title])</f>
        <v>#VALUE!</v>
      </c>
      <c r="S6" s="3" t="e">
        <f>LOOKUP(C6, ResearchTraditions[TraditionId], ResearchTraditions[KeyClaim])</f>
        <v>#VALUE!</v>
      </c>
    </row>
    <row r="7">
      <c r="A7" s="2" t="s">
        <v>4354</v>
      </c>
      <c r="B7" s="2" t="s">
        <v>4355</v>
      </c>
      <c r="C7" s="2" t="s">
        <v>4277</v>
      </c>
      <c r="D7" s="2" t="s">
        <v>4356</v>
      </c>
      <c r="E7" s="2" t="s">
        <v>4357</v>
      </c>
      <c r="F7" s="2" t="s">
        <v>4358</v>
      </c>
      <c r="G7" s="2" t="s">
        <v>4359</v>
      </c>
      <c r="H7" s="2" t="s">
        <v>4360</v>
      </c>
      <c r="I7" s="2" t="b">
        <v>1</v>
      </c>
      <c r="J7" s="2" t="s">
        <v>1187</v>
      </c>
      <c r="K7" s="2" t="s">
        <v>414</v>
      </c>
      <c r="L7" s="2" t="s">
        <v>2842</v>
      </c>
      <c r="M7" s="3" t="e">
        <f>LOOKUP(C7, ResearchTraditions[TraditionId], ResearchTraditions[Name])</f>
        <v>#VALUE!</v>
      </c>
      <c r="N7" s="3" t="e">
        <f>LOOKUP(C7, ResearchTraditions[TraditionId], ResearchTraditions[Era])</f>
        <v>#VALUE!</v>
      </c>
      <c r="O7" s="3" t="e">
        <f>LOOKUP(K7, Studies[StudyId], Studies[Title])</f>
        <v>#VALUE!</v>
      </c>
      <c r="P7" s="3" t="e">
        <f>LOOKUP(K7, TreatmentRankings[Study], TreatmentRankings[DistortionType])</f>
        <v>#VALUE!</v>
      </c>
      <c r="Q7" s="3" t="e">
        <f>LOOKUP(K7, TreatmentRankings[Study], TreatmentRankings[CorrectedPolicyImplication])</f>
        <v>#VALUE!</v>
      </c>
      <c r="R7" s="3" t="e">
        <f>LOOKUP(L7, Conclusions[ConclusionId], Conclusions[Title])</f>
        <v>#VALUE!</v>
      </c>
      <c r="S7" s="3" t="e">
        <f>LOOKUP(C7, ResearchTraditions[TraditionId], ResearchTraditions[KeyClaim])</f>
        <v>#VALUE!</v>
      </c>
    </row>
    <row r="8">
      <c r="A8" s="2" t="s">
        <v>4361</v>
      </c>
      <c r="B8" s="2" t="s">
        <v>4362</v>
      </c>
      <c r="C8" s="2" t="s">
        <v>4277</v>
      </c>
      <c r="D8" s="2" t="s">
        <v>4363</v>
      </c>
      <c r="E8" s="2" t="s">
        <v>4364</v>
      </c>
      <c r="F8" s="2" t="s">
        <v>4365</v>
      </c>
      <c r="G8" s="2" t="s">
        <v>4366</v>
      </c>
      <c r="H8" s="2" t="s">
        <v>4367</v>
      </c>
      <c r="I8" s="2" t="b">
        <v>1</v>
      </c>
      <c r="J8" s="2" t="s">
        <v>1187</v>
      </c>
      <c r="K8" s="2" t="s">
        <v>414</v>
      </c>
      <c r="L8" s="2" t="s">
        <v>2842</v>
      </c>
      <c r="M8" s="3" t="e">
        <f>LOOKUP(C8, ResearchTraditions[TraditionId], ResearchTraditions[Name])</f>
        <v>#VALUE!</v>
      </c>
      <c r="N8" s="3" t="e">
        <f>LOOKUP(C8, ResearchTraditions[TraditionId], ResearchTraditions[Era])</f>
        <v>#VALUE!</v>
      </c>
      <c r="O8" s="3" t="e">
        <f>LOOKUP(K8, Studies[StudyId], Studies[Title])</f>
        <v>#VALUE!</v>
      </c>
      <c r="P8" s="3" t="e">
        <f>LOOKUP(K8, TreatmentRankings[Study], TreatmentRankings[DistortionType])</f>
        <v>#VALUE!</v>
      </c>
      <c r="Q8" s="3" t="e">
        <f>LOOKUP(K8, TreatmentRankings[Study], TreatmentRankings[CorrectedPolicyImplication])</f>
        <v>#VALUE!</v>
      </c>
      <c r="R8" s="3" t="e">
        <f>LOOKUP(L8, Conclusions[ConclusionId], Conclusions[Title])</f>
        <v>#VALUE!</v>
      </c>
      <c r="S8" s="3" t="e">
        <f>LOOKUP(C8, ResearchTraditions[TraditionId], ResearchTraditions[KeyClaim])</f>
        <v>#VALUE!</v>
      </c>
    </row>
    <row r="9">
      <c r="A9" s="2" t="s">
        <v>4368</v>
      </c>
      <c r="B9" s="2" t="s">
        <v>4369</v>
      </c>
      <c r="C9" s="2" t="s">
        <v>4277</v>
      </c>
      <c r="D9" s="2" t="s">
        <v>4370</v>
      </c>
      <c r="E9" s="2" t="s">
        <v>4371</v>
      </c>
      <c r="F9" s="2" t="s">
        <v>4372</v>
      </c>
      <c r="G9" s="2" t="s">
        <v>4373</v>
      </c>
      <c r="H9" s="2" t="s">
        <v>4374</v>
      </c>
      <c r="I9" s="2" t="b">
        <v>1</v>
      </c>
      <c r="J9" s="2" t="s">
        <v>1187</v>
      </c>
      <c r="K9" s="2" t="s">
        <v>428</v>
      </c>
      <c r="L9" s="2" t="s">
        <v>2842</v>
      </c>
      <c r="M9" s="3" t="e">
        <f>LOOKUP(C9, ResearchTraditions[TraditionId], ResearchTraditions[Name])</f>
        <v>#VALUE!</v>
      </c>
      <c r="N9" s="3" t="e">
        <f>LOOKUP(C9, ResearchTraditions[TraditionId], ResearchTraditions[Era])</f>
        <v>#VALUE!</v>
      </c>
      <c r="O9" s="3" t="e">
        <f>LOOKUP(K9, Studies[StudyId], Studies[Title])</f>
        <v>#VALUE!</v>
      </c>
      <c r="P9" s="3" t="e">
        <f>LOOKUP(K9, TreatmentRankings[Study], TreatmentRankings[DistortionType])</f>
        <v>#VALUE!</v>
      </c>
      <c r="Q9" s="3" t="e">
        <f>LOOKUP(K9, TreatmentRankings[Study], TreatmentRankings[CorrectedPolicyImplication])</f>
        <v>#VALUE!</v>
      </c>
      <c r="R9" s="3" t="e">
        <f>LOOKUP(L9, Conclusions[ConclusionId], Conclusions[Title])</f>
        <v>#VALUE!</v>
      </c>
      <c r="S9" s="3" t="e">
        <f>LOOKUP(C9, ResearchTraditions[TraditionId], ResearchTraditions[KeyClaim])</f>
        <v>#VALUE!</v>
      </c>
    </row>
    <row r="10">
      <c r="A10" s="2" t="s">
        <v>4375</v>
      </c>
      <c r="B10" s="2" t="s">
        <v>4376</v>
      </c>
      <c r="C10" s="2" t="s">
        <v>4277</v>
      </c>
      <c r="D10" s="2" t="s">
        <v>4377</v>
      </c>
      <c r="E10" s="2" t="s">
        <v>4378</v>
      </c>
      <c r="F10" s="2" t="s">
        <v>4379</v>
      </c>
      <c r="G10" s="2" t="s">
        <v>4380</v>
      </c>
      <c r="H10" s="2" t="s">
        <v>4381</v>
      </c>
      <c r="I10" s="2" t="b">
        <v>1</v>
      </c>
      <c r="J10" s="2" t="s">
        <v>1187</v>
      </c>
      <c r="K10" s="2" t="s">
        <v>428</v>
      </c>
      <c r="L10" s="2" t="s">
        <v>2842</v>
      </c>
      <c r="M10" s="3" t="e">
        <f>LOOKUP(C10, ResearchTraditions[TraditionId], ResearchTraditions[Name])</f>
        <v>#VALUE!</v>
      </c>
      <c r="N10" s="3" t="e">
        <f>LOOKUP(C10, ResearchTraditions[TraditionId], ResearchTraditions[Era])</f>
        <v>#VALUE!</v>
      </c>
      <c r="O10" s="3" t="e">
        <f>LOOKUP(K10, Studies[StudyId], Studies[Title])</f>
        <v>#VALUE!</v>
      </c>
      <c r="P10" s="3" t="e">
        <f>LOOKUP(K10, TreatmentRankings[Study], TreatmentRankings[DistortionType])</f>
        <v>#VALUE!</v>
      </c>
      <c r="Q10" s="3" t="e">
        <f>LOOKUP(K10, TreatmentRankings[Study], TreatmentRankings[CorrectedPolicyImplication])</f>
        <v>#VALUE!</v>
      </c>
      <c r="R10" s="3" t="e">
        <f>LOOKUP(L10, Conclusions[ConclusionId], Conclusions[Title])</f>
        <v>#VALUE!</v>
      </c>
      <c r="S10" s="3" t="e">
        <f>LOOKUP(C10, ResearchTraditions[TraditionId], ResearchTraditions[KeyClaim])</f>
        <v>#VALUE!</v>
      </c>
    </row>
    <row r="11">
      <c r="A11" s="2" t="s">
        <v>2952</v>
      </c>
      <c r="B11" s="2" t="s">
        <v>4382</v>
      </c>
      <c r="C11" s="2" t="s">
        <v>51</v>
      </c>
      <c r="D11" s="2" t="s">
        <v>4383</v>
      </c>
      <c r="E11" s="2" t="s">
        <v>4384</v>
      </c>
      <c r="F11" s="2" t="s">
        <v>4385</v>
      </c>
      <c r="G11" s="2" t="s">
        <v>4386</v>
      </c>
      <c r="H11" s="2" t="s">
        <v>4387</v>
      </c>
      <c r="I11" s="2" t="b">
        <v>1</v>
      </c>
      <c r="J11" s="2" t="s">
        <v>1187</v>
      </c>
      <c r="K11" s="2" t="s">
        <v>470</v>
      </c>
      <c r="L11" s="2" t="s">
        <v>2842</v>
      </c>
      <c r="M11" s="3" t="e">
        <f>LOOKUP(C11, ResearchTraditions[TraditionId], ResearchTraditions[Name])</f>
        <v>#VALUE!</v>
      </c>
      <c r="N11" s="3" t="e">
        <f>LOOKUP(C11, ResearchTraditions[TraditionId], ResearchTraditions[Era])</f>
        <v>#VALUE!</v>
      </c>
      <c r="O11" s="3" t="e">
        <f>LOOKUP(K11, Studies[StudyId], Studies[Title])</f>
        <v>#VALUE!</v>
      </c>
      <c r="P11" s="3" t="e">
        <f>LOOKUP(K11, TreatmentRankings[Study], TreatmentRankings[DistortionType])</f>
        <v>#VALUE!</v>
      </c>
      <c r="Q11" s="3" t="e">
        <f>LOOKUP(K11, TreatmentRankings[Study], TreatmentRankings[CorrectedPolicyImplication])</f>
        <v>#VALUE!</v>
      </c>
      <c r="R11" s="3" t="e">
        <f>LOOKUP(L11, Conclusions[ConclusionId], Conclusions[Title])</f>
        <v>#VALUE!</v>
      </c>
      <c r="S11" s="3" t="e">
        <f>LOOKUP(C11, ResearchTraditions[TraditionId], ResearchTraditions[KeyClaim])</f>
        <v>#VALUE!</v>
      </c>
    </row>
    <row r="12">
      <c r="A12" s="2" t="s">
        <v>474</v>
      </c>
      <c r="B12" s="2" t="s">
        <v>4388</v>
      </c>
      <c r="C12" s="2" t="s">
        <v>51</v>
      </c>
      <c r="D12" s="2" t="s">
        <v>4389</v>
      </c>
      <c r="E12" s="2" t="s">
        <v>4390</v>
      </c>
      <c r="F12" s="2" t="s">
        <v>4391</v>
      </c>
      <c r="G12" s="2" t="s">
        <v>4392</v>
      </c>
      <c r="H12" s="2" t="s">
        <v>4393</v>
      </c>
      <c r="I12" s="2" t="b">
        <v>1</v>
      </c>
      <c r="J12" s="2" t="s">
        <v>1187</v>
      </c>
      <c r="K12" s="2" t="s">
        <v>470</v>
      </c>
      <c r="L12" s="2" t="s">
        <v>2842</v>
      </c>
      <c r="M12" s="3" t="e">
        <f>LOOKUP(C12, ResearchTraditions[TraditionId], ResearchTraditions[Name])</f>
        <v>#VALUE!</v>
      </c>
      <c r="N12" s="3" t="e">
        <f>LOOKUP(C12, ResearchTraditions[TraditionId], ResearchTraditions[Era])</f>
        <v>#VALUE!</v>
      </c>
      <c r="O12" s="3" t="e">
        <f>LOOKUP(K12, Studies[StudyId], Studies[Title])</f>
        <v>#VALUE!</v>
      </c>
      <c r="P12" s="3" t="e">
        <f>LOOKUP(K12, TreatmentRankings[Study], TreatmentRankings[DistortionType])</f>
        <v>#VALUE!</v>
      </c>
      <c r="Q12" s="3" t="e">
        <f>LOOKUP(K12, TreatmentRankings[Study], TreatmentRankings[CorrectedPolicyImplication])</f>
        <v>#VALUE!</v>
      </c>
      <c r="R12" s="3" t="e">
        <f>LOOKUP(L12, Conclusions[ConclusionId], Conclusions[Title])</f>
        <v>#VALUE!</v>
      </c>
      <c r="S12" s="3" t="e">
        <f>LOOKUP(C12, ResearchTraditions[TraditionId], ResearchTraditions[KeyClaim])</f>
        <v>#VALUE!</v>
      </c>
    </row>
    <row r="13">
      <c r="A13" s="2" t="s">
        <v>433</v>
      </c>
      <c r="B13" s="2" t="s">
        <v>4394</v>
      </c>
      <c r="C13" s="2" t="s">
        <v>58</v>
      </c>
      <c r="D13" s="2" t="s">
        <v>4395</v>
      </c>
      <c r="E13" s="2" t="s">
        <v>4396</v>
      </c>
      <c r="F13" s="2" t="s">
        <v>4397</v>
      </c>
      <c r="G13" s="2" t="s">
        <v>4398</v>
      </c>
      <c r="H13" s="2" t="s">
        <v>4399</v>
      </c>
      <c r="I13" s="2" t="b">
        <v>1</v>
      </c>
      <c r="J13" s="2" t="s">
        <v>1187</v>
      </c>
      <c r="K13" s="2" t="s">
        <v>437</v>
      </c>
      <c r="L13" s="2" t="s">
        <v>3026</v>
      </c>
      <c r="M13" s="3" t="e">
        <f>LOOKUP(C13, ResearchTraditions[TraditionId], ResearchTraditions[Name])</f>
        <v>#VALUE!</v>
      </c>
      <c r="N13" s="3" t="e">
        <f>LOOKUP(C13, ResearchTraditions[TraditionId], ResearchTraditions[Era])</f>
        <v>#VALUE!</v>
      </c>
      <c r="O13" s="3" t="e">
        <f>LOOKUP(K13, Studies[StudyId], Studies[Title])</f>
        <v>#VALUE!</v>
      </c>
      <c r="P13" s="3" t="e">
        <f>LOOKUP(K13, TreatmentRankings[Study], TreatmentRankings[DistortionType])</f>
        <v>#VALUE!</v>
      </c>
      <c r="Q13" s="3" t="e">
        <f>LOOKUP(K13, TreatmentRankings[Study], TreatmentRankings[CorrectedPolicyImplication])</f>
        <v>#VALUE!</v>
      </c>
      <c r="R13" s="3" t="e">
        <f>LOOKUP(L13, Conclusions[ConclusionId], Conclusions[Title])</f>
        <v>#VALUE!</v>
      </c>
      <c r="S13" s="3" t="e">
        <f>LOOKUP(C13, ResearchTraditions[TraditionId], ResearchTraditions[KeyClaim])</f>
        <v>#VALUE!</v>
      </c>
    </row>
    <row r="14">
      <c r="A14" s="2" t="s">
        <v>447</v>
      </c>
      <c r="B14" s="2" t="s">
        <v>4400</v>
      </c>
      <c r="C14" s="2" t="s">
        <v>58</v>
      </c>
      <c r="D14" s="2" t="s">
        <v>4395</v>
      </c>
      <c r="E14" s="2" t="s">
        <v>4401</v>
      </c>
      <c r="F14" s="2" t="s">
        <v>4402</v>
      </c>
      <c r="G14" s="2" t="s">
        <v>4403</v>
      </c>
      <c r="H14" s="2" t="s">
        <v>4404</v>
      </c>
      <c r="I14" s="2" t="b">
        <v>1</v>
      </c>
      <c r="J14" s="2" t="s">
        <v>1187</v>
      </c>
      <c r="K14" s="2" t="s">
        <v>442</v>
      </c>
      <c r="L14" s="2" t="s">
        <v>3026</v>
      </c>
      <c r="M14" s="3" t="e">
        <f>LOOKUP(C14, ResearchTraditions[TraditionId], ResearchTraditions[Name])</f>
        <v>#VALUE!</v>
      </c>
      <c r="N14" s="3" t="e">
        <f>LOOKUP(C14, ResearchTraditions[TraditionId], ResearchTraditions[Era])</f>
        <v>#VALUE!</v>
      </c>
      <c r="O14" s="3" t="e">
        <f>LOOKUP(K14, Studies[StudyId], Studies[Title])</f>
        <v>#VALUE!</v>
      </c>
      <c r="P14" s="3" t="e">
        <f>LOOKUP(K14, TreatmentRankings[Study], TreatmentRankings[DistortionType])</f>
        <v>#VALUE!</v>
      </c>
      <c r="Q14" s="3" t="e">
        <f>LOOKUP(K14, TreatmentRankings[Study], TreatmentRankings[CorrectedPolicyImplication])</f>
        <v>#VALUE!</v>
      </c>
      <c r="R14" s="3" t="e">
        <f>LOOKUP(L14, Conclusions[ConclusionId], Conclusions[Title])</f>
        <v>#VALUE!</v>
      </c>
      <c r="S14" s="3" t="e">
        <f>LOOKUP(C14, ResearchTraditions[TraditionId], ResearchTraditions[KeyClaim])</f>
        <v>#VALUE!</v>
      </c>
    </row>
    <row r="15">
      <c r="A15" s="2" t="s">
        <v>4405</v>
      </c>
      <c r="B15" s="2" t="s">
        <v>4406</v>
      </c>
      <c r="C15" s="2" t="s">
        <v>4296</v>
      </c>
      <c r="D15" s="2" t="s">
        <v>4407</v>
      </c>
      <c r="E15" s="2" t="s">
        <v>4324</v>
      </c>
      <c r="F15" s="2" t="s">
        <v>4408</v>
      </c>
      <c r="G15" s="2" t="s">
        <v>4409</v>
      </c>
      <c r="H15" s="2" t="s">
        <v>4410</v>
      </c>
      <c r="I15" s="2" t="b">
        <v>1</v>
      </c>
      <c r="J15" s="2" t="s">
        <v>1187</v>
      </c>
      <c r="K15" s="2" t="s">
        <v>483</v>
      </c>
      <c r="L15" s="2" t="s">
        <v>2761</v>
      </c>
      <c r="M15" s="3" t="e">
        <f>LOOKUP(C15, ResearchTraditions[TraditionId], ResearchTraditions[Name])</f>
        <v>#VALUE!</v>
      </c>
      <c r="N15" s="3" t="e">
        <f>LOOKUP(C15, ResearchTraditions[TraditionId], ResearchTraditions[Era])</f>
        <v>#VALUE!</v>
      </c>
      <c r="O15" s="3" t="e">
        <f>LOOKUP(K15, Studies[StudyId], Studies[Title])</f>
        <v>#VALUE!</v>
      </c>
      <c r="P15" s="3" t="e">
        <f>LOOKUP(K15, TreatmentRankings[Study], TreatmentRankings[DistortionType])</f>
        <v>#VALUE!</v>
      </c>
      <c r="Q15" s="3" t="e">
        <f>LOOKUP(K15, TreatmentRankings[Study], TreatmentRankings[CorrectedPolicyImplication])</f>
        <v>#VALUE!</v>
      </c>
      <c r="R15" s="3" t="e">
        <f>LOOKUP(L15, Conclusions[ConclusionId], Conclusions[Title])</f>
        <v>#VALUE!</v>
      </c>
      <c r="S15" s="3" t="e">
        <f>LOOKUP(C15, ResearchTraditions[TraditionId], ResearchTraditions[KeyClaim])</f>
        <v>#VALUE!</v>
      </c>
    </row>
    <row r="16">
      <c r="A16" s="2" t="s">
        <v>4411</v>
      </c>
      <c r="B16" s="2" t="s">
        <v>4412</v>
      </c>
      <c r="C16" s="2" t="s">
        <v>4296</v>
      </c>
      <c r="D16" s="2" t="s">
        <v>1202</v>
      </c>
      <c r="E16" s="2" t="s">
        <v>4413</v>
      </c>
      <c r="F16" s="2" t="s">
        <v>4414</v>
      </c>
      <c r="G16" s="2" t="s">
        <v>4415</v>
      </c>
      <c r="H16" s="2" t="s">
        <v>4416</v>
      </c>
      <c r="I16" s="2" t="b">
        <v>1</v>
      </c>
      <c r="J16" s="2" t="s">
        <v>4417</v>
      </c>
      <c r="K16" s="2" t="s">
        <v>483</v>
      </c>
      <c r="L16" s="2"/>
      <c r="M16" s="3" t="e">
        <f>LOOKUP(C16, ResearchTraditions[TraditionId], ResearchTraditions[Name])</f>
        <v>#VALUE!</v>
      </c>
      <c r="N16" s="3" t="e">
        <f>LOOKUP(C16, ResearchTraditions[TraditionId], ResearchTraditions[Era])</f>
        <v>#VALUE!</v>
      </c>
      <c r="O16" s="3" t="e">
        <f>LOOKUP(K16, Studies[StudyId], Studies[Title])</f>
        <v>#VALUE!</v>
      </c>
      <c r="P16" s="3" t="e">
        <f>LOOKUP(K16, TreatmentRankings[Study], TreatmentRankings[DistortionType])</f>
        <v>#VALUE!</v>
      </c>
      <c r="Q16" s="3" t="e">
        <f>LOOKUP(K16, TreatmentRankings[Study], TreatmentRankings[CorrectedPolicyImplication])</f>
        <v>#VALUE!</v>
      </c>
      <c r="R16" s="3" t="e">
        <f>LOOKUP(L16, Conclusions[ConclusionId], Conclusions[Title])</f>
        <v>#VALUE!</v>
      </c>
      <c r="S16" s="3" t="e">
        <f>LOOKUP(C16, ResearchTraditions[TraditionId], ResearchTraditions[KeyClaim])</f>
        <v>#VALUE!</v>
      </c>
    </row>
    <row r="17">
      <c r="A17" s="2" t="s">
        <v>628</v>
      </c>
      <c r="B17" s="2" t="s">
        <v>4418</v>
      </c>
      <c r="C17" s="2" t="s">
        <v>204</v>
      </c>
      <c r="D17" s="2" t="s">
        <v>4419</v>
      </c>
      <c r="E17" s="2" t="s">
        <v>4420</v>
      </c>
      <c r="F17" s="2" t="s">
        <v>4421</v>
      </c>
      <c r="G17" s="2" t="s">
        <v>4422</v>
      </c>
      <c r="H17" s="2" t="s">
        <v>4423</v>
      </c>
      <c r="I17" s="2" t="b">
        <v>1</v>
      </c>
      <c r="J17" s="2" t="s">
        <v>1187</v>
      </c>
      <c r="K17" s="2" t="s">
        <v>457</v>
      </c>
      <c r="L17" s="2" t="s">
        <v>3029</v>
      </c>
      <c r="M17" s="3" t="e">
        <f>LOOKUP(C17, ResearchTraditions[TraditionId], ResearchTraditions[Name])</f>
        <v>#VALUE!</v>
      </c>
      <c r="N17" s="3" t="e">
        <f>LOOKUP(C17, ResearchTraditions[TraditionId], ResearchTraditions[Era])</f>
        <v>#VALUE!</v>
      </c>
      <c r="O17" s="3" t="e">
        <f>LOOKUP(K17, Studies[StudyId], Studies[Title])</f>
        <v>#VALUE!</v>
      </c>
      <c r="P17" s="3" t="e">
        <f>LOOKUP(K17, TreatmentRankings[Study], TreatmentRankings[DistortionType])</f>
        <v>#VALUE!</v>
      </c>
      <c r="Q17" s="3" t="e">
        <f>LOOKUP(K17, TreatmentRankings[Study], TreatmentRankings[CorrectedPolicyImplication])</f>
        <v>#VALUE!</v>
      </c>
      <c r="R17" s="3" t="e">
        <f>LOOKUP(L17, Conclusions[ConclusionId], Conclusions[Title])</f>
        <v>#VALUE!</v>
      </c>
      <c r="S17" s="3" t="e">
        <f>LOOKUP(C17, ResearchTraditions[TraditionId], ResearchTraditions[KeyClaim])</f>
        <v>#VALUE!</v>
      </c>
    </row>
    <row r="18">
      <c r="A18" s="2" t="s">
        <v>461</v>
      </c>
      <c r="B18" s="2" t="s">
        <v>4424</v>
      </c>
      <c r="C18" s="2" t="s">
        <v>204</v>
      </c>
      <c r="D18" s="2" t="s">
        <v>4425</v>
      </c>
      <c r="E18" s="2" t="s">
        <v>4426</v>
      </c>
      <c r="F18" s="2" t="s">
        <v>4427</v>
      </c>
      <c r="G18" s="2" t="s">
        <v>4428</v>
      </c>
      <c r="H18" s="2" t="s">
        <v>4429</v>
      </c>
      <c r="I18" s="2" t="b">
        <v>1</v>
      </c>
      <c r="J18" s="2" t="s">
        <v>4417</v>
      </c>
      <c r="K18" s="2" t="s">
        <v>457</v>
      </c>
      <c r="L18" s="2" t="s">
        <v>3029</v>
      </c>
      <c r="M18" s="3" t="e">
        <f>LOOKUP(C18, ResearchTraditions[TraditionId], ResearchTraditions[Name])</f>
        <v>#VALUE!</v>
      </c>
      <c r="N18" s="3" t="e">
        <f>LOOKUP(C18, ResearchTraditions[TraditionId], ResearchTraditions[Era])</f>
        <v>#VALUE!</v>
      </c>
      <c r="O18" s="3" t="e">
        <f>LOOKUP(K18, Studies[StudyId], Studies[Title])</f>
        <v>#VALUE!</v>
      </c>
      <c r="P18" s="3" t="e">
        <f>LOOKUP(K18, TreatmentRankings[Study], TreatmentRankings[DistortionType])</f>
        <v>#VALUE!</v>
      </c>
      <c r="Q18" s="3" t="e">
        <f>LOOKUP(K18, TreatmentRankings[Study], TreatmentRankings[CorrectedPolicyImplication])</f>
        <v>#VALUE!</v>
      </c>
      <c r="R18" s="3" t="e">
        <f>LOOKUP(L18, Conclusions[ConclusionId], Conclusions[Title])</f>
        <v>#VALUE!</v>
      </c>
      <c r="S18" s="3" t="e">
        <f>LOOKUP(C18, ResearchTraditions[TraditionId], ResearchTraditions[KeyClaim])</f>
        <v>#VALUE!</v>
      </c>
    </row>
    <row r="19">
      <c r="A19" s="2" t="s">
        <v>4430</v>
      </c>
      <c r="B19" s="2" t="s">
        <v>4431</v>
      </c>
      <c r="C19" s="2" t="s">
        <v>204</v>
      </c>
      <c r="D19" s="2" t="s">
        <v>4432</v>
      </c>
      <c r="E19" s="2" t="s">
        <v>4433</v>
      </c>
      <c r="F19" s="2" t="s">
        <v>4434</v>
      </c>
      <c r="G19" s="2" t="s">
        <v>4435</v>
      </c>
      <c r="H19" s="2" t="s">
        <v>4436</v>
      </c>
      <c r="I19" s="2" t="b">
        <v>1</v>
      </c>
      <c r="J19" s="2" t="s">
        <v>4417</v>
      </c>
      <c r="K19" s="2" t="s">
        <v>457</v>
      </c>
      <c r="L19" s="2" t="s">
        <v>2777</v>
      </c>
      <c r="M19" s="3" t="e">
        <f>LOOKUP(C19, ResearchTraditions[TraditionId], ResearchTraditions[Name])</f>
        <v>#VALUE!</v>
      </c>
      <c r="N19" s="3" t="e">
        <f>LOOKUP(C19, ResearchTraditions[TraditionId], ResearchTraditions[Era])</f>
        <v>#VALUE!</v>
      </c>
      <c r="O19" s="3" t="e">
        <f>LOOKUP(K19, Studies[StudyId], Studies[Title])</f>
        <v>#VALUE!</v>
      </c>
      <c r="P19" s="3" t="e">
        <f>LOOKUP(K19, TreatmentRankings[Study], TreatmentRankings[DistortionType])</f>
        <v>#VALUE!</v>
      </c>
      <c r="Q19" s="3" t="e">
        <f>LOOKUP(K19, TreatmentRankings[Study], TreatmentRankings[CorrectedPolicyImplication])</f>
        <v>#VALUE!</v>
      </c>
      <c r="R19" s="3" t="e">
        <f>LOOKUP(L19, Conclusions[ConclusionId], Conclusions[Title])</f>
        <v>#VALUE!</v>
      </c>
      <c r="S19" s="3" t="e">
        <f>LOOKUP(C19, ResearchTraditions[TraditionId], ResearchTraditions[KeyClaim])</f>
        <v>#VALUE!</v>
      </c>
    </row>
  </sheetData>
  <autoFilter ref="A1:S1"/>
  <headerFooter/>
  <legacyDrawing r:id="rId1"/>
</worksheet>
</file>

<file path=xl/worksheets/sheet2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X241"/>
  <sheetViews>
    <sheetView workbookViewId="0">
      <pane ySplit="1" topLeftCell="A2" state="frozen" activePane="bottomLeft"/>
      <selection pane="bottomLeft" activeCell="A1" sqref="A1"/>
    </sheetView>
  </sheetViews>
  <sheetFormatPr defaultRowHeight="15"/>
  <cols>
    <col min="1" max="1" width="27.043031692504883" customWidth="1"/>
    <col min="2" max="2" width="27.043031692504883" customWidth="1"/>
    <col min="3" max="3" width="22.542871475219727" customWidth="1"/>
    <col min="4" max="4" width="20.155712127685547" customWidth="1"/>
    <col min="5" max="5" width="20.155712127685547" customWidth="1"/>
    <col min="6" max="6" width="20.2029972076416" customWidth="1"/>
    <col min="7" max="7" width="17.443378448486328" customWidth="1"/>
    <col min="8" max="8" width="17.443378448486328" customWidth="1"/>
    <col min="9" max="9" width="17.443378448486328" customWidth="1"/>
    <col min="10" max="10" width="17.443378448486328" customWidth="1"/>
    <col min="11" max="11" width="17.443378448486328" customWidth="1"/>
    <col min="12" max="12" width="17.443378448486328" customWidth="1"/>
    <col min="13" max="13" width="17.443378448486328" customWidth="1"/>
    <col min="14" max="14" width="17.443378448486328" customWidth="1"/>
    <col min="15" max="15" width="17.443378448486328" customWidth="1"/>
    <col min="16" max="16" width="19.02180290222168" customWidth="1"/>
    <col min="17" max="17" width="19.02180290222168" customWidth="1"/>
    <col min="18" max="18" width="23.66860008239746" customWidth="1"/>
    <col min="19" max="19" width="20.106964111328125" customWidth="1"/>
    <col min="20" max="20" width="24.457149505615234" customWidth="1"/>
    <col min="21" max="21" width="23.26040267944336" customWidth="1"/>
    <col min="22" max="22" width="17.443378448486328" customWidth="1"/>
    <col min="23" max="23" width="25.13192367553711" customWidth="1"/>
    <col min="24" max="24" width="20.974843978881836" customWidth="1"/>
  </cols>
  <sheetData>
    <row r="1">
      <c r="A1" s="1" t="s">
        <v>4437</v>
      </c>
      <c r="B1" s="1" t="s">
        <v>1</v>
      </c>
      <c r="C1" s="1" t="s">
        <v>4438</v>
      </c>
      <c r="D1" s="1" t="s">
        <v>4439</v>
      </c>
      <c r="E1" s="1" t="s">
        <v>4440</v>
      </c>
      <c r="F1" s="1" t="s">
        <v>4441</v>
      </c>
      <c r="G1" s="1" t="s">
        <v>4442</v>
      </c>
      <c r="H1" s="1" t="s">
        <v>4443</v>
      </c>
      <c r="I1" s="1" t="s">
        <v>4444</v>
      </c>
      <c r="J1" s="1" t="s">
        <v>4445</v>
      </c>
      <c r="K1" s="1" t="s">
        <v>4446</v>
      </c>
      <c r="L1" s="1" t="s">
        <v>4447</v>
      </c>
      <c r="M1" s="1" t="s">
        <v>4448</v>
      </c>
      <c r="N1" s="1" t="s">
        <v>4449</v>
      </c>
      <c r="O1" s="1" t="s">
        <v>4450</v>
      </c>
      <c r="P1" s="1" t="s">
        <v>4451</v>
      </c>
      <c r="Q1" s="1" t="s">
        <v>4452</v>
      </c>
      <c r="R1" s="1" t="s">
        <v>4453</v>
      </c>
      <c r="S1" s="1" t="s">
        <v>4454</v>
      </c>
      <c r="T1" s="1" t="s">
        <v>4455</v>
      </c>
      <c r="U1" s="1" t="s">
        <v>4456</v>
      </c>
      <c r="V1" s="1" t="s">
        <v>4457</v>
      </c>
      <c r="W1" s="1" t="s">
        <v>4458</v>
      </c>
      <c r="X1" s="1" t="s">
        <v>4459</v>
      </c>
    </row>
    <row r="2">
      <c r="A2" s="2" t="s">
        <v>4460</v>
      </c>
      <c r="B2" s="3" t="str">
        <f>A2</f>
        <v>phase-w30-g104-g200-b00</v>
      </c>
      <c r="C2" s="2">
        <v>0.3</v>
      </c>
      <c r="D2" s="2">
        <v>0.04</v>
      </c>
      <c r="E2" s="2">
        <v>-0.08</v>
      </c>
      <c r="F2" s="2">
        <v>0</v>
      </c>
      <c r="G2" s="3" t="e">
        <f>ROUND(200 * C2)</f>
        <v>#VALUE!</v>
      </c>
      <c r="H2" s="3" t="e">
        <f>ROUND(G2 * (0.5 + F2 / 2))</f>
        <v>#VALUE!</v>
      </c>
      <c r="I2" s="3" t="e">
        <f>G2 - H2</f>
        <v>#VALUE!</v>
      </c>
      <c r="J2" s="3" t="e">
        <f>100 - H2</f>
        <v>#VALUE!</v>
      </c>
      <c r="K2" s="3" t="e">
        <f>100 - I2</f>
        <v>#VALUE!</v>
      </c>
      <c r="L2" s="3">
        <f>0.45 + D2 / 2</f>
        <v>0.47000000000000003</v>
      </c>
      <c r="M2" s="3">
        <f>0.45 - D2 / 2</f>
        <v>0.43</v>
      </c>
      <c r="N2" s="3">
        <f>0.75 + E2 / 2</f>
        <v>0.71</v>
      </c>
      <c r="O2" s="3">
        <f>0.75 - E2 / 2</f>
        <v>0.79</v>
      </c>
      <c r="P2" s="3" t="e">
        <f>(H2 * L2 + J2 * N2) / 100</f>
        <v>#VALUE!</v>
      </c>
      <c r="Q2" s="3" t="e">
        <f>(I2 * M2 + K2 * O2) / 100</f>
        <v>#VALUE!</v>
      </c>
      <c r="R2" s="3" t="e">
        <f>P2 - Q2</f>
        <v>#VALUE!</v>
      </c>
      <c r="S2" s="3">
        <f>C2 * D2 + (1 - C2) * E2</f>
        <v>-0.044</v>
      </c>
      <c r="T2" s="3" t="e">
        <f>IF(R2 &gt; 0, IF(D2 &lt; 0, 1, 0) + IF(E2 &lt; 0, 1, 0), IF(D2 &gt; 0, 1, 0) + IF(E2 &gt; 0, 1, 0))</f>
        <v>#VALUE!</v>
      </c>
      <c r="U2" s="3" t="e">
        <f>T2 / 2</f>
        <v>#VALUE!</v>
      </c>
      <c r="V2" s="3" t="e">
        <f>IF(S2 &gt; 0, R2 &lt; 0, R2 &gt; 0)</f>
        <v>#VALUE!</v>
      </c>
      <c r="W2" s="3" t="e">
        <f>ABS(S2 - R2)</f>
        <v>#VALUE!</v>
      </c>
      <c r="X2" s="3" t="e">
        <f>IF(AND(V2, U2 = 1), "A", IF(AND(V2, U2 &lt; 1), "B", IF(AND(NOT(V2), W2 &gt; 0.01, ABS(R2) &gt; ABS(S2) + 0.001), "C+", IF(AND(NOT(V2), W2 &gt; 0.01, ABS(R2) &lt; ABS(S2) - 0.001), "C-", "D"))))</f>
        <v>#VALUE!</v>
      </c>
    </row>
    <row r="3">
      <c r="A3" s="2" t="s">
        <v>4461</v>
      </c>
      <c r="B3" s="3" t="str">
        <f>A3</f>
        <v>phase-w30-g104-g200-b30</v>
      </c>
      <c r="C3" s="2">
        <v>0.3</v>
      </c>
      <c r="D3" s="2">
        <v>0.04</v>
      </c>
      <c r="E3" s="2">
        <v>-0.08</v>
      </c>
      <c r="F3" s="2">
        <v>0.3</v>
      </c>
      <c r="G3" s="3" t="e">
        <f>ROUND(200 * C3)</f>
        <v>#VALUE!</v>
      </c>
      <c r="H3" s="3" t="e">
        <f>ROUND(G3 * (0.5 + F3 / 2))</f>
        <v>#VALUE!</v>
      </c>
      <c r="I3" s="3" t="e">
        <f>G3 - H3</f>
        <v>#VALUE!</v>
      </c>
      <c r="J3" s="3" t="e">
        <f>100 - H3</f>
        <v>#VALUE!</v>
      </c>
      <c r="K3" s="3" t="e">
        <f>100 - I3</f>
        <v>#VALUE!</v>
      </c>
      <c r="L3" s="3">
        <f>0.45 + D3 / 2</f>
        <v>0.47000000000000003</v>
      </c>
      <c r="M3" s="3">
        <f>0.45 - D3 / 2</f>
        <v>0.43</v>
      </c>
      <c r="N3" s="3">
        <f>0.75 + E3 / 2</f>
        <v>0.71</v>
      </c>
      <c r="O3" s="3">
        <f>0.75 - E3 / 2</f>
        <v>0.79</v>
      </c>
      <c r="P3" s="3" t="e">
        <f>(H3 * L3 + J3 * N3) / 100</f>
        <v>#VALUE!</v>
      </c>
      <c r="Q3" s="3" t="e">
        <f>(I3 * M3 + K3 * O3) / 100</f>
        <v>#VALUE!</v>
      </c>
      <c r="R3" s="3" t="e">
        <f>P3 - Q3</f>
        <v>#VALUE!</v>
      </c>
      <c r="S3" s="3">
        <f>C3 * D3 + (1 - C3) * E3</f>
        <v>-0.044</v>
      </c>
      <c r="T3" s="3" t="e">
        <f>IF(R3 &gt; 0, IF(D3 &lt; 0, 1, 0) + IF(E3 &lt; 0, 1, 0), IF(D3 &gt; 0, 1, 0) + IF(E3 &gt; 0, 1, 0))</f>
        <v>#VALUE!</v>
      </c>
      <c r="U3" s="3" t="e">
        <f>T3 / 2</f>
        <v>#VALUE!</v>
      </c>
      <c r="V3" s="3" t="e">
        <f>IF(S3 &gt; 0, R3 &lt; 0, R3 &gt; 0)</f>
        <v>#VALUE!</v>
      </c>
      <c r="W3" s="3" t="e">
        <f>ABS(S3 - R3)</f>
        <v>#VALUE!</v>
      </c>
      <c r="X3" s="3" t="e">
        <f>IF(AND(V3, U3 = 1), "A", IF(AND(V3, U3 &lt; 1), "B", IF(AND(NOT(V3), W3 &gt; 0.01, ABS(R3) &gt; ABS(S3) + 0.001), "C+", IF(AND(NOT(V3), W3 &gt; 0.01, ABS(R3) &lt; ABS(S3) - 0.001), "C-", "D"))))</f>
        <v>#VALUE!</v>
      </c>
    </row>
    <row r="4">
      <c r="A4" s="2" t="s">
        <v>4462</v>
      </c>
      <c r="B4" s="3" t="str">
        <f>A4</f>
        <v>phase-w30-g104-g200-b60</v>
      </c>
      <c r="C4" s="2">
        <v>0.3</v>
      </c>
      <c r="D4" s="2">
        <v>0.04</v>
      </c>
      <c r="E4" s="2">
        <v>-0.08</v>
      </c>
      <c r="F4" s="2">
        <v>0.6</v>
      </c>
      <c r="G4" s="3" t="e">
        <f>ROUND(200 * C4)</f>
        <v>#VALUE!</v>
      </c>
      <c r="H4" s="3" t="e">
        <f>ROUND(G4 * (0.5 + F4 / 2))</f>
        <v>#VALUE!</v>
      </c>
      <c r="I4" s="3" t="e">
        <f>G4 - H4</f>
        <v>#VALUE!</v>
      </c>
      <c r="J4" s="3" t="e">
        <f>100 - H4</f>
        <v>#VALUE!</v>
      </c>
      <c r="K4" s="3" t="e">
        <f>100 - I4</f>
        <v>#VALUE!</v>
      </c>
      <c r="L4" s="3">
        <f>0.45 + D4 / 2</f>
        <v>0.47000000000000003</v>
      </c>
      <c r="M4" s="3">
        <f>0.45 - D4 / 2</f>
        <v>0.43</v>
      </c>
      <c r="N4" s="3">
        <f>0.75 + E4 / 2</f>
        <v>0.71</v>
      </c>
      <c r="O4" s="3">
        <f>0.75 - E4 / 2</f>
        <v>0.79</v>
      </c>
      <c r="P4" s="3" t="e">
        <f>(H4 * L4 + J4 * N4) / 100</f>
        <v>#VALUE!</v>
      </c>
      <c r="Q4" s="3" t="e">
        <f>(I4 * M4 + K4 * O4) / 100</f>
        <v>#VALUE!</v>
      </c>
      <c r="R4" s="3" t="e">
        <f>P4 - Q4</f>
        <v>#VALUE!</v>
      </c>
      <c r="S4" s="3">
        <f>C4 * D4 + (1 - C4) * E4</f>
        <v>-0.044</v>
      </c>
      <c r="T4" s="3" t="e">
        <f>IF(R4 &gt; 0, IF(D4 &lt; 0, 1, 0) + IF(E4 &lt; 0, 1, 0), IF(D4 &gt; 0, 1, 0) + IF(E4 &gt; 0, 1, 0))</f>
        <v>#VALUE!</v>
      </c>
      <c r="U4" s="3" t="e">
        <f>T4 / 2</f>
        <v>#VALUE!</v>
      </c>
      <c r="V4" s="3" t="e">
        <f>IF(S4 &gt; 0, R4 &lt; 0, R4 &gt; 0)</f>
        <v>#VALUE!</v>
      </c>
      <c r="W4" s="3" t="e">
        <f>ABS(S4 - R4)</f>
        <v>#VALUE!</v>
      </c>
      <c r="X4" s="3" t="e">
        <f>IF(AND(V4, U4 = 1), "A", IF(AND(V4, U4 &lt; 1), "B", IF(AND(NOT(V4), W4 &gt; 0.01, ABS(R4) &gt; ABS(S4) + 0.001), "C+", IF(AND(NOT(V4), W4 &gt; 0.01, ABS(R4) &lt; ABS(S4) - 0.001), "C-", "D"))))</f>
        <v>#VALUE!</v>
      </c>
    </row>
    <row r="5">
      <c r="A5" s="2" t="s">
        <v>4463</v>
      </c>
      <c r="B5" s="3" t="str">
        <f>A5</f>
        <v>phase-w30-g104-g200-b80</v>
      </c>
      <c r="C5" s="2">
        <v>0.3</v>
      </c>
      <c r="D5" s="2">
        <v>0.04</v>
      </c>
      <c r="E5" s="2">
        <v>-0.08</v>
      </c>
      <c r="F5" s="2">
        <v>0.8</v>
      </c>
      <c r="G5" s="3" t="e">
        <f>ROUND(200 * C5)</f>
        <v>#VALUE!</v>
      </c>
      <c r="H5" s="3" t="e">
        <f>ROUND(G5 * (0.5 + F5 / 2))</f>
        <v>#VALUE!</v>
      </c>
      <c r="I5" s="3" t="e">
        <f>G5 - H5</f>
        <v>#VALUE!</v>
      </c>
      <c r="J5" s="3" t="e">
        <f>100 - H5</f>
        <v>#VALUE!</v>
      </c>
      <c r="K5" s="3" t="e">
        <f>100 - I5</f>
        <v>#VALUE!</v>
      </c>
      <c r="L5" s="3">
        <f>0.45 + D5 / 2</f>
        <v>0.47000000000000003</v>
      </c>
      <c r="M5" s="3">
        <f>0.45 - D5 / 2</f>
        <v>0.43</v>
      </c>
      <c r="N5" s="3">
        <f>0.75 + E5 / 2</f>
        <v>0.71</v>
      </c>
      <c r="O5" s="3">
        <f>0.75 - E5 / 2</f>
        <v>0.79</v>
      </c>
      <c r="P5" s="3" t="e">
        <f>(H5 * L5 + J5 * N5) / 100</f>
        <v>#VALUE!</v>
      </c>
      <c r="Q5" s="3" t="e">
        <f>(I5 * M5 + K5 * O5) / 100</f>
        <v>#VALUE!</v>
      </c>
      <c r="R5" s="3" t="e">
        <f>P5 - Q5</f>
        <v>#VALUE!</v>
      </c>
      <c r="S5" s="3">
        <f>C5 * D5 + (1 - C5) * E5</f>
        <v>-0.044</v>
      </c>
      <c r="T5" s="3" t="e">
        <f>IF(R5 &gt; 0, IF(D5 &lt; 0, 1, 0) + IF(E5 &lt; 0, 1, 0), IF(D5 &gt; 0, 1, 0) + IF(E5 &gt; 0, 1, 0))</f>
        <v>#VALUE!</v>
      </c>
      <c r="U5" s="3" t="e">
        <f>T5 / 2</f>
        <v>#VALUE!</v>
      </c>
      <c r="V5" s="3" t="e">
        <f>IF(S5 &gt; 0, R5 &lt; 0, R5 &gt; 0)</f>
        <v>#VALUE!</v>
      </c>
      <c r="W5" s="3" t="e">
        <f>ABS(S5 - R5)</f>
        <v>#VALUE!</v>
      </c>
      <c r="X5" s="3" t="e">
        <f>IF(AND(V5, U5 = 1), "A", IF(AND(V5, U5 &lt; 1), "B", IF(AND(NOT(V5), W5 &gt; 0.01, ABS(R5) &gt; ABS(S5) + 0.001), "C+", IF(AND(NOT(V5), W5 &gt; 0.01, ABS(R5) &lt; ABS(S5) - 0.001), "C-", "D"))))</f>
        <v>#VALUE!</v>
      </c>
    </row>
    <row r="6">
      <c r="A6" s="2" t="s">
        <v>4464</v>
      </c>
      <c r="B6" s="3" t="str">
        <f>A6</f>
        <v>phase-w30-g104-g200-b95</v>
      </c>
      <c r="C6" s="2">
        <v>0.3</v>
      </c>
      <c r="D6" s="2">
        <v>0.04</v>
      </c>
      <c r="E6" s="2">
        <v>-0.08</v>
      </c>
      <c r="F6" s="2">
        <v>0.95</v>
      </c>
      <c r="G6" s="3" t="e">
        <f>ROUND(200 * C6)</f>
        <v>#VALUE!</v>
      </c>
      <c r="H6" s="3" t="e">
        <f>ROUND(G6 * (0.5 + F6 / 2))</f>
        <v>#VALUE!</v>
      </c>
      <c r="I6" s="3" t="e">
        <f>G6 - H6</f>
        <v>#VALUE!</v>
      </c>
      <c r="J6" s="3" t="e">
        <f>100 - H6</f>
        <v>#VALUE!</v>
      </c>
      <c r="K6" s="3" t="e">
        <f>100 - I6</f>
        <v>#VALUE!</v>
      </c>
      <c r="L6" s="3">
        <f>0.45 + D6 / 2</f>
        <v>0.47000000000000003</v>
      </c>
      <c r="M6" s="3">
        <f>0.45 - D6 / 2</f>
        <v>0.43</v>
      </c>
      <c r="N6" s="3">
        <f>0.75 + E6 / 2</f>
        <v>0.71</v>
      </c>
      <c r="O6" s="3">
        <f>0.75 - E6 / 2</f>
        <v>0.79</v>
      </c>
      <c r="P6" s="3" t="e">
        <f>(H6 * L6 + J6 * N6) / 100</f>
        <v>#VALUE!</v>
      </c>
      <c r="Q6" s="3" t="e">
        <f>(I6 * M6 + K6 * O6) / 100</f>
        <v>#VALUE!</v>
      </c>
      <c r="R6" s="3" t="e">
        <f>P6 - Q6</f>
        <v>#VALUE!</v>
      </c>
      <c r="S6" s="3">
        <f>C6 * D6 + (1 - C6) * E6</f>
        <v>-0.044</v>
      </c>
      <c r="T6" s="3" t="e">
        <f>IF(R6 &gt; 0, IF(D6 &lt; 0, 1, 0) + IF(E6 &lt; 0, 1, 0), IF(D6 &gt; 0, 1, 0) + IF(E6 &gt; 0, 1, 0))</f>
        <v>#VALUE!</v>
      </c>
      <c r="U6" s="3" t="e">
        <f>T6 / 2</f>
        <v>#VALUE!</v>
      </c>
      <c r="V6" s="3" t="e">
        <f>IF(S6 &gt; 0, R6 &lt; 0, R6 &gt; 0)</f>
        <v>#VALUE!</v>
      </c>
      <c r="W6" s="3" t="e">
        <f>ABS(S6 - R6)</f>
        <v>#VALUE!</v>
      </c>
      <c r="X6" s="3" t="e">
        <f>IF(AND(V6, U6 = 1), "A", IF(AND(V6, U6 &lt; 1), "B", IF(AND(NOT(V6), W6 &gt; 0.01, ABS(R6) &gt; ABS(S6) + 0.001), "C+", IF(AND(NOT(V6), W6 &gt; 0.01, ABS(R6) &lt; ABS(S6) - 0.001), "C-", "D"))))</f>
        <v>#VALUE!</v>
      </c>
    </row>
    <row r="7">
      <c r="A7" s="2" t="s">
        <v>4465</v>
      </c>
      <c r="B7" s="3" t="str">
        <f>A7</f>
        <v>phase-w30-g104-g208-b00</v>
      </c>
      <c r="C7" s="2">
        <v>0.3</v>
      </c>
      <c r="D7" s="2">
        <v>0.04</v>
      </c>
      <c r="E7" s="2">
        <v>0</v>
      </c>
      <c r="F7" s="2">
        <v>0</v>
      </c>
      <c r="G7" s="3" t="e">
        <f>ROUND(200 * C7)</f>
        <v>#VALUE!</v>
      </c>
      <c r="H7" s="3" t="e">
        <f>ROUND(G7 * (0.5 + F7 / 2))</f>
        <v>#VALUE!</v>
      </c>
      <c r="I7" s="3" t="e">
        <f>G7 - H7</f>
        <v>#VALUE!</v>
      </c>
      <c r="J7" s="3" t="e">
        <f>100 - H7</f>
        <v>#VALUE!</v>
      </c>
      <c r="K7" s="3" t="e">
        <f>100 - I7</f>
        <v>#VALUE!</v>
      </c>
      <c r="L7" s="3">
        <f>0.45 + D7 / 2</f>
        <v>0.47000000000000003</v>
      </c>
      <c r="M7" s="3">
        <f>0.45 - D7 / 2</f>
        <v>0.43</v>
      </c>
      <c r="N7" s="3">
        <f>0.75 + E7 / 2</f>
        <v>0.75</v>
      </c>
      <c r="O7" s="3">
        <f>0.75 - E7 / 2</f>
        <v>0.75</v>
      </c>
      <c r="P7" s="3" t="e">
        <f>(H7 * L7 + J7 * N7) / 100</f>
        <v>#VALUE!</v>
      </c>
      <c r="Q7" s="3" t="e">
        <f>(I7 * M7 + K7 * O7) / 100</f>
        <v>#VALUE!</v>
      </c>
      <c r="R7" s="3" t="e">
        <f>P7 - Q7</f>
        <v>#VALUE!</v>
      </c>
      <c r="S7" s="3">
        <f>C7 * D7 + (1 - C7) * E7</f>
        <v>0.012</v>
      </c>
      <c r="T7" s="3" t="e">
        <f>IF(R7 &gt; 0, IF(D7 &lt; 0, 1, 0) + IF(E7 &lt; 0, 1, 0), IF(D7 &gt; 0, 1, 0) + IF(E7 &gt; 0, 1, 0))</f>
        <v>#VALUE!</v>
      </c>
      <c r="U7" s="3" t="e">
        <f>T7 / 2</f>
        <v>#VALUE!</v>
      </c>
      <c r="V7" s="3" t="e">
        <f>IF(S7 &gt; 0, R7 &lt; 0, R7 &gt; 0)</f>
        <v>#VALUE!</v>
      </c>
      <c r="W7" s="3" t="e">
        <f>ABS(S7 - R7)</f>
        <v>#VALUE!</v>
      </c>
      <c r="X7" s="3" t="e">
        <f>IF(AND(V7, U7 = 1), "A", IF(AND(V7, U7 &lt; 1), "B", IF(AND(NOT(V7), W7 &gt; 0.01, ABS(R7) &gt; ABS(S7) + 0.001), "C+", IF(AND(NOT(V7), W7 &gt; 0.01, ABS(R7) &lt; ABS(S7) - 0.001), "C-", "D"))))</f>
        <v>#VALUE!</v>
      </c>
    </row>
    <row r="8">
      <c r="A8" s="2" t="s">
        <v>4466</v>
      </c>
      <c r="B8" s="3" t="str">
        <f>A8</f>
        <v>phase-w30-g104-g208-b30</v>
      </c>
      <c r="C8" s="2">
        <v>0.3</v>
      </c>
      <c r="D8" s="2">
        <v>0.04</v>
      </c>
      <c r="E8" s="2">
        <v>0</v>
      </c>
      <c r="F8" s="2">
        <v>0.3</v>
      </c>
      <c r="G8" s="3" t="e">
        <f>ROUND(200 * C8)</f>
        <v>#VALUE!</v>
      </c>
      <c r="H8" s="3" t="e">
        <f>ROUND(G8 * (0.5 + F8 / 2))</f>
        <v>#VALUE!</v>
      </c>
      <c r="I8" s="3" t="e">
        <f>G8 - H8</f>
        <v>#VALUE!</v>
      </c>
      <c r="J8" s="3" t="e">
        <f>100 - H8</f>
        <v>#VALUE!</v>
      </c>
      <c r="K8" s="3" t="e">
        <f>100 - I8</f>
        <v>#VALUE!</v>
      </c>
      <c r="L8" s="3">
        <f>0.45 + D8 / 2</f>
        <v>0.47000000000000003</v>
      </c>
      <c r="M8" s="3">
        <f>0.45 - D8 / 2</f>
        <v>0.43</v>
      </c>
      <c r="N8" s="3">
        <f>0.75 + E8 / 2</f>
        <v>0.75</v>
      </c>
      <c r="O8" s="3">
        <f>0.75 - E8 / 2</f>
        <v>0.75</v>
      </c>
      <c r="P8" s="3" t="e">
        <f>(H8 * L8 + J8 * N8) / 100</f>
        <v>#VALUE!</v>
      </c>
      <c r="Q8" s="3" t="e">
        <f>(I8 * M8 + K8 * O8) / 100</f>
        <v>#VALUE!</v>
      </c>
      <c r="R8" s="3" t="e">
        <f>P8 - Q8</f>
        <v>#VALUE!</v>
      </c>
      <c r="S8" s="3">
        <f>C8 * D8 + (1 - C8) * E8</f>
        <v>0.012</v>
      </c>
      <c r="T8" s="3" t="e">
        <f>IF(R8 &gt; 0, IF(D8 &lt; 0, 1, 0) + IF(E8 &lt; 0, 1, 0), IF(D8 &gt; 0, 1, 0) + IF(E8 &gt; 0, 1, 0))</f>
        <v>#VALUE!</v>
      </c>
      <c r="U8" s="3" t="e">
        <f>T8 / 2</f>
        <v>#VALUE!</v>
      </c>
      <c r="V8" s="3" t="e">
        <f>IF(S8 &gt; 0, R8 &lt; 0, R8 &gt; 0)</f>
        <v>#VALUE!</v>
      </c>
      <c r="W8" s="3" t="e">
        <f>ABS(S8 - R8)</f>
        <v>#VALUE!</v>
      </c>
      <c r="X8" s="3" t="e">
        <f>IF(AND(V8, U8 = 1), "A", IF(AND(V8, U8 &lt; 1), "B", IF(AND(NOT(V8), W8 &gt; 0.01, ABS(R8) &gt; ABS(S8) + 0.001), "C+", IF(AND(NOT(V8), W8 &gt; 0.01, ABS(R8) &lt; ABS(S8) - 0.001), "C-", "D"))))</f>
        <v>#VALUE!</v>
      </c>
    </row>
    <row r="9">
      <c r="A9" s="2" t="s">
        <v>4467</v>
      </c>
      <c r="B9" s="3" t="str">
        <f>A9</f>
        <v>phase-w30-g104-g208-b60</v>
      </c>
      <c r="C9" s="2">
        <v>0.3</v>
      </c>
      <c r="D9" s="2">
        <v>0.04</v>
      </c>
      <c r="E9" s="2">
        <v>0</v>
      </c>
      <c r="F9" s="2">
        <v>0.6</v>
      </c>
      <c r="G9" s="3" t="e">
        <f>ROUND(200 * C9)</f>
        <v>#VALUE!</v>
      </c>
      <c r="H9" s="3" t="e">
        <f>ROUND(G9 * (0.5 + F9 / 2))</f>
        <v>#VALUE!</v>
      </c>
      <c r="I9" s="3" t="e">
        <f>G9 - H9</f>
        <v>#VALUE!</v>
      </c>
      <c r="J9" s="3" t="e">
        <f>100 - H9</f>
        <v>#VALUE!</v>
      </c>
      <c r="K9" s="3" t="e">
        <f>100 - I9</f>
        <v>#VALUE!</v>
      </c>
      <c r="L9" s="3">
        <f>0.45 + D9 / 2</f>
        <v>0.47000000000000003</v>
      </c>
      <c r="M9" s="3">
        <f>0.45 - D9 / 2</f>
        <v>0.43</v>
      </c>
      <c r="N9" s="3">
        <f>0.75 + E9 / 2</f>
        <v>0.75</v>
      </c>
      <c r="O9" s="3">
        <f>0.75 - E9 / 2</f>
        <v>0.75</v>
      </c>
      <c r="P9" s="3" t="e">
        <f>(H9 * L9 + J9 * N9) / 100</f>
        <v>#VALUE!</v>
      </c>
      <c r="Q9" s="3" t="e">
        <f>(I9 * M9 + K9 * O9) / 100</f>
        <v>#VALUE!</v>
      </c>
      <c r="R9" s="3" t="e">
        <f>P9 - Q9</f>
        <v>#VALUE!</v>
      </c>
      <c r="S9" s="3">
        <f>C9 * D9 + (1 - C9) * E9</f>
        <v>0.012</v>
      </c>
      <c r="T9" s="3" t="e">
        <f>IF(R9 &gt; 0, IF(D9 &lt; 0, 1, 0) + IF(E9 &lt; 0, 1, 0), IF(D9 &gt; 0, 1, 0) + IF(E9 &gt; 0, 1, 0))</f>
        <v>#VALUE!</v>
      </c>
      <c r="U9" s="3" t="e">
        <f>T9 / 2</f>
        <v>#VALUE!</v>
      </c>
      <c r="V9" s="3" t="e">
        <f>IF(S9 &gt; 0, R9 &lt; 0, R9 &gt; 0)</f>
        <v>#VALUE!</v>
      </c>
      <c r="W9" s="3" t="e">
        <f>ABS(S9 - R9)</f>
        <v>#VALUE!</v>
      </c>
      <c r="X9" s="3" t="e">
        <f>IF(AND(V9, U9 = 1), "A", IF(AND(V9, U9 &lt; 1), "B", IF(AND(NOT(V9), W9 &gt; 0.01, ABS(R9) &gt; ABS(S9) + 0.001), "C+", IF(AND(NOT(V9), W9 &gt; 0.01, ABS(R9) &lt; ABS(S9) - 0.001), "C-", "D"))))</f>
        <v>#VALUE!</v>
      </c>
    </row>
    <row r="10">
      <c r="A10" s="2" t="s">
        <v>4468</v>
      </c>
      <c r="B10" s="3" t="str">
        <f>A10</f>
        <v>phase-w30-g104-g208-b80</v>
      </c>
      <c r="C10" s="2">
        <v>0.3</v>
      </c>
      <c r="D10" s="2">
        <v>0.04</v>
      </c>
      <c r="E10" s="2">
        <v>0</v>
      </c>
      <c r="F10" s="2">
        <v>0.8</v>
      </c>
      <c r="G10" s="3" t="e">
        <f>ROUND(200 * C10)</f>
        <v>#VALUE!</v>
      </c>
      <c r="H10" s="3" t="e">
        <f>ROUND(G10 * (0.5 + F10 / 2))</f>
        <v>#VALUE!</v>
      </c>
      <c r="I10" s="3" t="e">
        <f>G10 - H10</f>
        <v>#VALUE!</v>
      </c>
      <c r="J10" s="3" t="e">
        <f>100 - H10</f>
        <v>#VALUE!</v>
      </c>
      <c r="K10" s="3" t="e">
        <f>100 - I10</f>
        <v>#VALUE!</v>
      </c>
      <c r="L10" s="3">
        <f>0.45 + D10 / 2</f>
        <v>0.47000000000000003</v>
      </c>
      <c r="M10" s="3">
        <f>0.45 - D10 / 2</f>
        <v>0.43</v>
      </c>
      <c r="N10" s="3">
        <f>0.75 + E10 / 2</f>
        <v>0.75</v>
      </c>
      <c r="O10" s="3">
        <f>0.75 - E10 / 2</f>
        <v>0.75</v>
      </c>
      <c r="P10" s="3" t="e">
        <f>(H10 * L10 + J10 * N10) / 100</f>
        <v>#VALUE!</v>
      </c>
      <c r="Q10" s="3" t="e">
        <f>(I10 * M10 + K10 * O10) / 100</f>
        <v>#VALUE!</v>
      </c>
      <c r="R10" s="3" t="e">
        <f>P10 - Q10</f>
        <v>#VALUE!</v>
      </c>
      <c r="S10" s="3">
        <f>C10 * D10 + (1 - C10) * E10</f>
        <v>0.012</v>
      </c>
      <c r="T10" s="3" t="e">
        <f>IF(R10 &gt; 0, IF(D10 &lt; 0, 1, 0) + IF(E10 &lt; 0, 1, 0), IF(D10 &gt; 0, 1, 0) + IF(E10 &gt; 0, 1, 0))</f>
        <v>#VALUE!</v>
      </c>
      <c r="U10" s="3" t="e">
        <f>T10 / 2</f>
        <v>#VALUE!</v>
      </c>
      <c r="V10" s="3" t="e">
        <f>IF(S10 &gt; 0, R10 &lt; 0, R10 &gt; 0)</f>
        <v>#VALUE!</v>
      </c>
      <c r="W10" s="3" t="e">
        <f>ABS(S10 - R10)</f>
        <v>#VALUE!</v>
      </c>
      <c r="X10" s="3" t="e">
        <f>IF(AND(V10, U10 = 1), "A", IF(AND(V10, U10 &lt; 1), "B", IF(AND(NOT(V10), W10 &gt; 0.01, ABS(R10) &gt; ABS(S10) + 0.001), "C+", IF(AND(NOT(V10), W10 &gt; 0.01, ABS(R10) &lt; ABS(S10) - 0.001), "C-", "D"))))</f>
        <v>#VALUE!</v>
      </c>
    </row>
    <row r="11">
      <c r="A11" s="2" t="s">
        <v>4469</v>
      </c>
      <c r="B11" s="3" t="str">
        <f>A11</f>
        <v>phase-w30-g104-g208-b95</v>
      </c>
      <c r="C11" s="2">
        <v>0.3</v>
      </c>
      <c r="D11" s="2">
        <v>0.04</v>
      </c>
      <c r="E11" s="2">
        <v>0</v>
      </c>
      <c r="F11" s="2">
        <v>0.95</v>
      </c>
      <c r="G11" s="3" t="e">
        <f>ROUND(200 * C11)</f>
        <v>#VALUE!</v>
      </c>
      <c r="H11" s="3" t="e">
        <f>ROUND(G11 * (0.5 + F11 / 2))</f>
        <v>#VALUE!</v>
      </c>
      <c r="I11" s="3" t="e">
        <f>G11 - H11</f>
        <v>#VALUE!</v>
      </c>
      <c r="J11" s="3" t="e">
        <f>100 - H11</f>
        <v>#VALUE!</v>
      </c>
      <c r="K11" s="3" t="e">
        <f>100 - I11</f>
        <v>#VALUE!</v>
      </c>
      <c r="L11" s="3">
        <f>0.45 + D11 / 2</f>
        <v>0.47000000000000003</v>
      </c>
      <c r="M11" s="3">
        <f>0.45 - D11 / 2</f>
        <v>0.43</v>
      </c>
      <c r="N11" s="3">
        <f>0.75 + E11 / 2</f>
        <v>0.75</v>
      </c>
      <c r="O11" s="3">
        <f>0.75 - E11 / 2</f>
        <v>0.75</v>
      </c>
      <c r="P11" s="3" t="e">
        <f>(H11 * L11 + J11 * N11) / 100</f>
        <v>#VALUE!</v>
      </c>
      <c r="Q11" s="3" t="e">
        <f>(I11 * M11 + K11 * O11) / 100</f>
        <v>#VALUE!</v>
      </c>
      <c r="R11" s="3" t="e">
        <f>P11 - Q11</f>
        <v>#VALUE!</v>
      </c>
      <c r="S11" s="3">
        <f>C11 * D11 + (1 - C11) * E11</f>
        <v>0.012</v>
      </c>
      <c r="T11" s="3" t="e">
        <f>IF(R11 &gt; 0, IF(D11 &lt; 0, 1, 0) + IF(E11 &lt; 0, 1, 0), IF(D11 &gt; 0, 1, 0) + IF(E11 &gt; 0, 1, 0))</f>
        <v>#VALUE!</v>
      </c>
      <c r="U11" s="3" t="e">
        <f>T11 / 2</f>
        <v>#VALUE!</v>
      </c>
      <c r="V11" s="3" t="e">
        <f>IF(S11 &gt; 0, R11 &lt; 0, R11 &gt; 0)</f>
        <v>#VALUE!</v>
      </c>
      <c r="W11" s="3" t="e">
        <f>ABS(S11 - R11)</f>
        <v>#VALUE!</v>
      </c>
      <c r="X11" s="3" t="e">
        <f>IF(AND(V11, U11 = 1), "A", IF(AND(V11, U11 &lt; 1), "B", IF(AND(NOT(V11), W11 &gt; 0.01, ABS(R11) &gt; ABS(S11) + 0.001), "C+", IF(AND(NOT(V11), W11 &gt; 0.01, ABS(R11) &lt; ABS(S11) - 0.001), "C-", "D"))))</f>
        <v>#VALUE!</v>
      </c>
    </row>
    <row r="12">
      <c r="A12" s="2" t="s">
        <v>4470</v>
      </c>
      <c r="B12" s="3" t="str">
        <f>A12</f>
        <v>phase-w30-g104-g212-b00</v>
      </c>
      <c r="C12" s="2">
        <v>0.3</v>
      </c>
      <c r="D12" s="2">
        <v>0.04</v>
      </c>
      <c r="E12" s="2">
        <v>0.04</v>
      </c>
      <c r="F12" s="2">
        <v>0</v>
      </c>
      <c r="G12" s="3" t="e">
        <f>ROUND(200 * C12)</f>
        <v>#VALUE!</v>
      </c>
      <c r="H12" s="3" t="e">
        <f>ROUND(G12 * (0.5 + F12 / 2))</f>
        <v>#VALUE!</v>
      </c>
      <c r="I12" s="3" t="e">
        <f>G12 - H12</f>
        <v>#VALUE!</v>
      </c>
      <c r="J12" s="3" t="e">
        <f>100 - H12</f>
        <v>#VALUE!</v>
      </c>
      <c r="K12" s="3" t="e">
        <f>100 - I12</f>
        <v>#VALUE!</v>
      </c>
      <c r="L12" s="3">
        <f>0.45 + D12 / 2</f>
        <v>0.47000000000000003</v>
      </c>
      <c r="M12" s="3">
        <f>0.45 - D12 / 2</f>
        <v>0.43</v>
      </c>
      <c r="N12" s="3">
        <f>0.75 + E12 / 2</f>
        <v>0.77</v>
      </c>
      <c r="O12" s="3">
        <f>0.75 - E12 / 2</f>
        <v>0.73</v>
      </c>
      <c r="P12" s="3" t="e">
        <f>(H12 * L12 + J12 * N12) / 100</f>
        <v>#VALUE!</v>
      </c>
      <c r="Q12" s="3" t="e">
        <f>(I12 * M12 + K12 * O12) / 100</f>
        <v>#VALUE!</v>
      </c>
      <c r="R12" s="3" t="e">
        <f>P12 - Q12</f>
        <v>#VALUE!</v>
      </c>
      <c r="S12" s="3">
        <f>C12 * D12 + (1 - C12) * E12</f>
        <v>0.039999999999999994</v>
      </c>
      <c r="T12" s="3" t="e">
        <f>IF(R12 &gt; 0, IF(D12 &lt; 0, 1, 0) + IF(E12 &lt; 0, 1, 0), IF(D12 &gt; 0, 1, 0) + IF(E12 &gt; 0, 1, 0))</f>
        <v>#VALUE!</v>
      </c>
      <c r="U12" s="3" t="e">
        <f>T12 / 2</f>
        <v>#VALUE!</v>
      </c>
      <c r="V12" s="3" t="e">
        <f>IF(S12 &gt; 0, R12 &lt; 0, R12 &gt; 0)</f>
        <v>#VALUE!</v>
      </c>
      <c r="W12" s="3" t="e">
        <f>ABS(S12 - R12)</f>
        <v>#VALUE!</v>
      </c>
      <c r="X12" s="3" t="e">
        <f>IF(AND(V12, U12 = 1), "A", IF(AND(V12, U12 &lt; 1), "B", IF(AND(NOT(V12), W12 &gt; 0.01, ABS(R12) &gt; ABS(S12) + 0.001), "C+", IF(AND(NOT(V12), W12 &gt; 0.01, ABS(R12) &lt; ABS(S12) - 0.001), "C-", "D"))))</f>
        <v>#VALUE!</v>
      </c>
    </row>
    <row r="13">
      <c r="A13" s="2" t="s">
        <v>4471</v>
      </c>
      <c r="B13" s="3" t="str">
        <f>A13</f>
        <v>phase-w30-g104-g212-b30</v>
      </c>
      <c r="C13" s="2">
        <v>0.3</v>
      </c>
      <c r="D13" s="2">
        <v>0.04</v>
      </c>
      <c r="E13" s="2">
        <v>0.04</v>
      </c>
      <c r="F13" s="2">
        <v>0.3</v>
      </c>
      <c r="G13" s="3" t="e">
        <f>ROUND(200 * C13)</f>
        <v>#VALUE!</v>
      </c>
      <c r="H13" s="3" t="e">
        <f>ROUND(G13 * (0.5 + F13 / 2))</f>
        <v>#VALUE!</v>
      </c>
      <c r="I13" s="3" t="e">
        <f>G13 - H13</f>
        <v>#VALUE!</v>
      </c>
      <c r="J13" s="3" t="e">
        <f>100 - H13</f>
        <v>#VALUE!</v>
      </c>
      <c r="K13" s="3" t="e">
        <f>100 - I13</f>
        <v>#VALUE!</v>
      </c>
      <c r="L13" s="3">
        <f>0.45 + D13 / 2</f>
        <v>0.47000000000000003</v>
      </c>
      <c r="M13" s="3">
        <f>0.45 - D13 / 2</f>
        <v>0.43</v>
      </c>
      <c r="N13" s="3">
        <f>0.75 + E13 / 2</f>
        <v>0.77</v>
      </c>
      <c r="O13" s="3">
        <f>0.75 - E13 / 2</f>
        <v>0.73</v>
      </c>
      <c r="P13" s="3" t="e">
        <f>(H13 * L13 + J13 * N13) / 100</f>
        <v>#VALUE!</v>
      </c>
      <c r="Q13" s="3" t="e">
        <f>(I13 * M13 + K13 * O13) / 100</f>
        <v>#VALUE!</v>
      </c>
      <c r="R13" s="3" t="e">
        <f>P13 - Q13</f>
        <v>#VALUE!</v>
      </c>
      <c r="S13" s="3">
        <f>C13 * D13 + (1 - C13) * E13</f>
        <v>0.039999999999999994</v>
      </c>
      <c r="T13" s="3" t="e">
        <f>IF(R13 &gt; 0, IF(D13 &lt; 0, 1, 0) + IF(E13 &lt; 0, 1, 0), IF(D13 &gt; 0, 1, 0) + IF(E13 &gt; 0, 1, 0))</f>
        <v>#VALUE!</v>
      </c>
      <c r="U13" s="3" t="e">
        <f>T13 / 2</f>
        <v>#VALUE!</v>
      </c>
      <c r="V13" s="3" t="e">
        <f>IF(S13 &gt; 0, R13 &lt; 0, R13 &gt; 0)</f>
        <v>#VALUE!</v>
      </c>
      <c r="W13" s="3" t="e">
        <f>ABS(S13 - R13)</f>
        <v>#VALUE!</v>
      </c>
      <c r="X13" s="3" t="e">
        <f>IF(AND(V13, U13 = 1), "A", IF(AND(V13, U13 &lt; 1), "B", IF(AND(NOT(V13), W13 &gt; 0.01, ABS(R13) &gt; ABS(S13) + 0.001), "C+", IF(AND(NOT(V13), W13 &gt; 0.01, ABS(R13) &lt; ABS(S13) - 0.001), "C-", "D"))))</f>
        <v>#VALUE!</v>
      </c>
    </row>
    <row r="14">
      <c r="A14" s="2" t="s">
        <v>4472</v>
      </c>
      <c r="B14" s="3" t="str">
        <f>A14</f>
        <v>phase-w30-g104-g212-b60</v>
      </c>
      <c r="C14" s="2">
        <v>0.3</v>
      </c>
      <c r="D14" s="2">
        <v>0.04</v>
      </c>
      <c r="E14" s="2">
        <v>0.04</v>
      </c>
      <c r="F14" s="2">
        <v>0.6</v>
      </c>
      <c r="G14" s="3" t="e">
        <f>ROUND(200 * C14)</f>
        <v>#VALUE!</v>
      </c>
      <c r="H14" s="3" t="e">
        <f>ROUND(G14 * (0.5 + F14 / 2))</f>
        <v>#VALUE!</v>
      </c>
      <c r="I14" s="3" t="e">
        <f>G14 - H14</f>
        <v>#VALUE!</v>
      </c>
      <c r="J14" s="3" t="e">
        <f>100 - H14</f>
        <v>#VALUE!</v>
      </c>
      <c r="K14" s="3" t="e">
        <f>100 - I14</f>
        <v>#VALUE!</v>
      </c>
      <c r="L14" s="3">
        <f>0.45 + D14 / 2</f>
        <v>0.47000000000000003</v>
      </c>
      <c r="M14" s="3">
        <f>0.45 - D14 / 2</f>
        <v>0.43</v>
      </c>
      <c r="N14" s="3">
        <f>0.75 + E14 / 2</f>
        <v>0.77</v>
      </c>
      <c r="O14" s="3">
        <f>0.75 - E14 / 2</f>
        <v>0.73</v>
      </c>
      <c r="P14" s="3" t="e">
        <f>(H14 * L14 + J14 * N14) / 100</f>
        <v>#VALUE!</v>
      </c>
      <c r="Q14" s="3" t="e">
        <f>(I14 * M14 + K14 * O14) / 100</f>
        <v>#VALUE!</v>
      </c>
      <c r="R14" s="3" t="e">
        <f>P14 - Q14</f>
        <v>#VALUE!</v>
      </c>
      <c r="S14" s="3">
        <f>C14 * D14 + (1 - C14) * E14</f>
        <v>0.039999999999999994</v>
      </c>
      <c r="T14" s="3" t="e">
        <f>IF(R14 &gt; 0, IF(D14 &lt; 0, 1, 0) + IF(E14 &lt; 0, 1, 0), IF(D14 &gt; 0, 1, 0) + IF(E14 &gt; 0, 1, 0))</f>
        <v>#VALUE!</v>
      </c>
      <c r="U14" s="3" t="e">
        <f>T14 / 2</f>
        <v>#VALUE!</v>
      </c>
      <c r="V14" s="3" t="e">
        <f>IF(S14 &gt; 0, R14 &lt; 0, R14 &gt; 0)</f>
        <v>#VALUE!</v>
      </c>
      <c r="W14" s="3" t="e">
        <f>ABS(S14 - R14)</f>
        <v>#VALUE!</v>
      </c>
      <c r="X14" s="3" t="e">
        <f>IF(AND(V14, U14 = 1), "A", IF(AND(V14, U14 &lt; 1), "B", IF(AND(NOT(V14), W14 &gt; 0.01, ABS(R14) &gt; ABS(S14) + 0.001), "C+", IF(AND(NOT(V14), W14 &gt; 0.01, ABS(R14) &lt; ABS(S14) - 0.001), "C-", "D"))))</f>
        <v>#VALUE!</v>
      </c>
    </row>
    <row r="15">
      <c r="A15" s="2" t="s">
        <v>4473</v>
      </c>
      <c r="B15" s="3" t="str">
        <f>A15</f>
        <v>phase-w30-g104-g212-b80</v>
      </c>
      <c r="C15" s="2">
        <v>0.3</v>
      </c>
      <c r="D15" s="2">
        <v>0.04</v>
      </c>
      <c r="E15" s="2">
        <v>0.04</v>
      </c>
      <c r="F15" s="2">
        <v>0.8</v>
      </c>
      <c r="G15" s="3" t="e">
        <f>ROUND(200 * C15)</f>
        <v>#VALUE!</v>
      </c>
      <c r="H15" s="3" t="e">
        <f>ROUND(G15 * (0.5 + F15 / 2))</f>
        <v>#VALUE!</v>
      </c>
      <c r="I15" s="3" t="e">
        <f>G15 - H15</f>
        <v>#VALUE!</v>
      </c>
      <c r="J15" s="3" t="e">
        <f>100 - H15</f>
        <v>#VALUE!</v>
      </c>
      <c r="K15" s="3" t="e">
        <f>100 - I15</f>
        <v>#VALUE!</v>
      </c>
      <c r="L15" s="3">
        <f>0.45 + D15 / 2</f>
        <v>0.47000000000000003</v>
      </c>
      <c r="M15" s="3">
        <f>0.45 - D15 / 2</f>
        <v>0.43</v>
      </c>
      <c r="N15" s="3">
        <f>0.75 + E15 / 2</f>
        <v>0.77</v>
      </c>
      <c r="O15" s="3">
        <f>0.75 - E15 / 2</f>
        <v>0.73</v>
      </c>
      <c r="P15" s="3" t="e">
        <f>(H15 * L15 + J15 * N15) / 100</f>
        <v>#VALUE!</v>
      </c>
      <c r="Q15" s="3" t="e">
        <f>(I15 * M15 + K15 * O15) / 100</f>
        <v>#VALUE!</v>
      </c>
      <c r="R15" s="3" t="e">
        <f>P15 - Q15</f>
        <v>#VALUE!</v>
      </c>
      <c r="S15" s="3">
        <f>C15 * D15 + (1 - C15) * E15</f>
        <v>0.039999999999999994</v>
      </c>
      <c r="T15" s="3" t="e">
        <f>IF(R15 &gt; 0, IF(D15 &lt; 0, 1, 0) + IF(E15 &lt; 0, 1, 0), IF(D15 &gt; 0, 1, 0) + IF(E15 &gt; 0, 1, 0))</f>
        <v>#VALUE!</v>
      </c>
      <c r="U15" s="3" t="e">
        <f>T15 / 2</f>
        <v>#VALUE!</v>
      </c>
      <c r="V15" s="3" t="e">
        <f>IF(S15 &gt; 0, R15 &lt; 0, R15 &gt; 0)</f>
        <v>#VALUE!</v>
      </c>
      <c r="W15" s="3" t="e">
        <f>ABS(S15 - R15)</f>
        <v>#VALUE!</v>
      </c>
      <c r="X15" s="3" t="e">
        <f>IF(AND(V15, U15 = 1), "A", IF(AND(V15, U15 &lt; 1), "B", IF(AND(NOT(V15), W15 &gt; 0.01, ABS(R15) &gt; ABS(S15) + 0.001), "C+", IF(AND(NOT(V15), W15 &gt; 0.01, ABS(R15) &lt; ABS(S15) - 0.001), "C-", "D"))))</f>
        <v>#VALUE!</v>
      </c>
    </row>
    <row r="16">
      <c r="A16" s="2" t="s">
        <v>4474</v>
      </c>
      <c r="B16" s="3" t="str">
        <f>A16</f>
        <v>phase-w30-g104-g212-b95</v>
      </c>
      <c r="C16" s="2">
        <v>0.3</v>
      </c>
      <c r="D16" s="2">
        <v>0.04</v>
      </c>
      <c r="E16" s="2">
        <v>0.04</v>
      </c>
      <c r="F16" s="2">
        <v>0.95</v>
      </c>
      <c r="G16" s="3" t="e">
        <f>ROUND(200 * C16)</f>
        <v>#VALUE!</v>
      </c>
      <c r="H16" s="3" t="e">
        <f>ROUND(G16 * (0.5 + F16 / 2))</f>
        <v>#VALUE!</v>
      </c>
      <c r="I16" s="3" t="e">
        <f>G16 - H16</f>
        <v>#VALUE!</v>
      </c>
      <c r="J16" s="3" t="e">
        <f>100 - H16</f>
        <v>#VALUE!</v>
      </c>
      <c r="K16" s="3" t="e">
        <f>100 - I16</f>
        <v>#VALUE!</v>
      </c>
      <c r="L16" s="3">
        <f>0.45 + D16 / 2</f>
        <v>0.47000000000000003</v>
      </c>
      <c r="M16" s="3">
        <f>0.45 - D16 / 2</f>
        <v>0.43</v>
      </c>
      <c r="N16" s="3">
        <f>0.75 + E16 / 2</f>
        <v>0.77</v>
      </c>
      <c r="O16" s="3">
        <f>0.75 - E16 / 2</f>
        <v>0.73</v>
      </c>
      <c r="P16" s="3" t="e">
        <f>(H16 * L16 + J16 * N16) / 100</f>
        <v>#VALUE!</v>
      </c>
      <c r="Q16" s="3" t="e">
        <f>(I16 * M16 + K16 * O16) / 100</f>
        <v>#VALUE!</v>
      </c>
      <c r="R16" s="3" t="e">
        <f>P16 - Q16</f>
        <v>#VALUE!</v>
      </c>
      <c r="S16" s="3">
        <f>C16 * D16 + (1 - C16) * E16</f>
        <v>0.039999999999999994</v>
      </c>
      <c r="T16" s="3" t="e">
        <f>IF(R16 &gt; 0, IF(D16 &lt; 0, 1, 0) + IF(E16 &lt; 0, 1, 0), IF(D16 &gt; 0, 1, 0) + IF(E16 &gt; 0, 1, 0))</f>
        <v>#VALUE!</v>
      </c>
      <c r="U16" s="3" t="e">
        <f>T16 / 2</f>
        <v>#VALUE!</v>
      </c>
      <c r="V16" s="3" t="e">
        <f>IF(S16 &gt; 0, R16 &lt; 0, R16 &gt; 0)</f>
        <v>#VALUE!</v>
      </c>
      <c r="W16" s="3" t="e">
        <f>ABS(S16 - R16)</f>
        <v>#VALUE!</v>
      </c>
      <c r="X16" s="3" t="e">
        <f>IF(AND(V16, U16 = 1), "A", IF(AND(V16, U16 &lt; 1), "B", IF(AND(NOT(V16), W16 &gt; 0.01, ABS(R16) &gt; ABS(S16) + 0.001), "C+", IF(AND(NOT(V16), W16 &gt; 0.01, ABS(R16) &lt; ABS(S16) - 0.001), "C-", "D"))))</f>
        <v>#VALUE!</v>
      </c>
    </row>
    <row r="17">
      <c r="A17" s="2" t="s">
        <v>4475</v>
      </c>
      <c r="B17" s="3" t="str">
        <f>A17</f>
        <v>phase-w30-g104-g216-b00</v>
      </c>
      <c r="C17" s="2">
        <v>0.3</v>
      </c>
      <c r="D17" s="2">
        <v>0.04</v>
      </c>
      <c r="E17" s="2">
        <v>0.08</v>
      </c>
      <c r="F17" s="2">
        <v>0</v>
      </c>
      <c r="G17" s="3" t="e">
        <f>ROUND(200 * C17)</f>
        <v>#VALUE!</v>
      </c>
      <c r="H17" s="3" t="e">
        <f>ROUND(G17 * (0.5 + F17 / 2))</f>
        <v>#VALUE!</v>
      </c>
      <c r="I17" s="3" t="e">
        <f>G17 - H17</f>
        <v>#VALUE!</v>
      </c>
      <c r="J17" s="3" t="e">
        <f>100 - H17</f>
        <v>#VALUE!</v>
      </c>
      <c r="K17" s="3" t="e">
        <f>100 - I17</f>
        <v>#VALUE!</v>
      </c>
      <c r="L17" s="3">
        <f>0.45 + D17 / 2</f>
        <v>0.47000000000000003</v>
      </c>
      <c r="M17" s="3">
        <f>0.45 - D17 / 2</f>
        <v>0.43</v>
      </c>
      <c r="N17" s="3">
        <f>0.75 + E17 / 2</f>
        <v>0.79</v>
      </c>
      <c r="O17" s="3">
        <f>0.75 - E17 / 2</f>
        <v>0.71</v>
      </c>
      <c r="P17" s="3" t="e">
        <f>(H17 * L17 + J17 * N17) / 100</f>
        <v>#VALUE!</v>
      </c>
      <c r="Q17" s="3" t="e">
        <f>(I17 * M17 + K17 * O17) / 100</f>
        <v>#VALUE!</v>
      </c>
      <c r="R17" s="3" t="e">
        <f>P17 - Q17</f>
        <v>#VALUE!</v>
      </c>
      <c r="S17" s="3">
        <f>C17 * D17 + (1 - C17) * E17</f>
        <v>0.06799999999999999</v>
      </c>
      <c r="T17" s="3" t="e">
        <f>IF(R17 &gt; 0, IF(D17 &lt; 0, 1, 0) + IF(E17 &lt; 0, 1, 0), IF(D17 &gt; 0, 1, 0) + IF(E17 &gt; 0, 1, 0))</f>
        <v>#VALUE!</v>
      </c>
      <c r="U17" s="3" t="e">
        <f>T17 / 2</f>
        <v>#VALUE!</v>
      </c>
      <c r="V17" s="3" t="e">
        <f>IF(S17 &gt; 0, R17 &lt; 0, R17 &gt; 0)</f>
        <v>#VALUE!</v>
      </c>
      <c r="W17" s="3" t="e">
        <f>ABS(S17 - R17)</f>
        <v>#VALUE!</v>
      </c>
      <c r="X17" s="3" t="e">
        <f>IF(AND(V17, U17 = 1), "A", IF(AND(V17, U17 &lt; 1), "B", IF(AND(NOT(V17), W17 &gt; 0.01, ABS(R17) &gt; ABS(S17) + 0.001), "C+", IF(AND(NOT(V17), W17 &gt; 0.01, ABS(R17) &lt; ABS(S17) - 0.001), "C-", "D"))))</f>
        <v>#VALUE!</v>
      </c>
    </row>
    <row r="18">
      <c r="A18" s="2" t="s">
        <v>4476</v>
      </c>
      <c r="B18" s="3" t="str">
        <f>A18</f>
        <v>phase-w30-g104-g216-b30</v>
      </c>
      <c r="C18" s="2">
        <v>0.3</v>
      </c>
      <c r="D18" s="2">
        <v>0.04</v>
      </c>
      <c r="E18" s="2">
        <v>0.08</v>
      </c>
      <c r="F18" s="2">
        <v>0.3</v>
      </c>
      <c r="G18" s="3" t="e">
        <f>ROUND(200 * C18)</f>
        <v>#VALUE!</v>
      </c>
      <c r="H18" s="3" t="e">
        <f>ROUND(G18 * (0.5 + F18 / 2))</f>
        <v>#VALUE!</v>
      </c>
      <c r="I18" s="3" t="e">
        <f>G18 - H18</f>
        <v>#VALUE!</v>
      </c>
      <c r="J18" s="3" t="e">
        <f>100 - H18</f>
        <v>#VALUE!</v>
      </c>
      <c r="K18" s="3" t="e">
        <f>100 - I18</f>
        <v>#VALUE!</v>
      </c>
      <c r="L18" s="3">
        <f>0.45 + D18 / 2</f>
        <v>0.47000000000000003</v>
      </c>
      <c r="M18" s="3">
        <f>0.45 - D18 / 2</f>
        <v>0.43</v>
      </c>
      <c r="N18" s="3">
        <f>0.75 + E18 / 2</f>
        <v>0.79</v>
      </c>
      <c r="O18" s="3">
        <f>0.75 - E18 / 2</f>
        <v>0.71</v>
      </c>
      <c r="P18" s="3" t="e">
        <f>(H18 * L18 + J18 * N18) / 100</f>
        <v>#VALUE!</v>
      </c>
      <c r="Q18" s="3" t="e">
        <f>(I18 * M18 + K18 * O18) / 100</f>
        <v>#VALUE!</v>
      </c>
      <c r="R18" s="3" t="e">
        <f>P18 - Q18</f>
        <v>#VALUE!</v>
      </c>
      <c r="S18" s="3">
        <f>C18 * D18 + (1 - C18) * E18</f>
        <v>0.06799999999999999</v>
      </c>
      <c r="T18" s="3" t="e">
        <f>IF(R18 &gt; 0, IF(D18 &lt; 0, 1, 0) + IF(E18 &lt; 0, 1, 0), IF(D18 &gt; 0, 1, 0) + IF(E18 &gt; 0, 1, 0))</f>
        <v>#VALUE!</v>
      </c>
      <c r="U18" s="3" t="e">
        <f>T18 / 2</f>
        <v>#VALUE!</v>
      </c>
      <c r="V18" s="3" t="e">
        <f>IF(S18 &gt; 0, R18 &lt; 0, R18 &gt; 0)</f>
        <v>#VALUE!</v>
      </c>
      <c r="W18" s="3" t="e">
        <f>ABS(S18 - R18)</f>
        <v>#VALUE!</v>
      </c>
      <c r="X18" s="3" t="e">
        <f>IF(AND(V18, U18 = 1), "A", IF(AND(V18, U18 &lt; 1), "B", IF(AND(NOT(V18), W18 &gt; 0.01, ABS(R18) &gt; ABS(S18) + 0.001), "C+", IF(AND(NOT(V18), W18 &gt; 0.01, ABS(R18) &lt; ABS(S18) - 0.001), "C-", "D"))))</f>
        <v>#VALUE!</v>
      </c>
    </row>
    <row r="19">
      <c r="A19" s="2" t="s">
        <v>4477</v>
      </c>
      <c r="B19" s="3" t="str">
        <f>A19</f>
        <v>phase-w30-g104-g216-b60</v>
      </c>
      <c r="C19" s="2">
        <v>0.3</v>
      </c>
      <c r="D19" s="2">
        <v>0.04</v>
      </c>
      <c r="E19" s="2">
        <v>0.08</v>
      </c>
      <c r="F19" s="2">
        <v>0.6</v>
      </c>
      <c r="G19" s="3" t="e">
        <f>ROUND(200 * C19)</f>
        <v>#VALUE!</v>
      </c>
      <c r="H19" s="3" t="e">
        <f>ROUND(G19 * (0.5 + F19 / 2))</f>
        <v>#VALUE!</v>
      </c>
      <c r="I19" s="3" t="e">
        <f>G19 - H19</f>
        <v>#VALUE!</v>
      </c>
      <c r="J19" s="3" t="e">
        <f>100 - H19</f>
        <v>#VALUE!</v>
      </c>
      <c r="K19" s="3" t="e">
        <f>100 - I19</f>
        <v>#VALUE!</v>
      </c>
      <c r="L19" s="3">
        <f>0.45 + D19 / 2</f>
        <v>0.47000000000000003</v>
      </c>
      <c r="M19" s="3">
        <f>0.45 - D19 / 2</f>
        <v>0.43</v>
      </c>
      <c r="N19" s="3">
        <f>0.75 + E19 / 2</f>
        <v>0.79</v>
      </c>
      <c r="O19" s="3">
        <f>0.75 - E19 / 2</f>
        <v>0.71</v>
      </c>
      <c r="P19" s="3" t="e">
        <f>(H19 * L19 + J19 * N19) / 100</f>
        <v>#VALUE!</v>
      </c>
      <c r="Q19" s="3" t="e">
        <f>(I19 * M19 + K19 * O19) / 100</f>
        <v>#VALUE!</v>
      </c>
      <c r="R19" s="3" t="e">
        <f>P19 - Q19</f>
        <v>#VALUE!</v>
      </c>
      <c r="S19" s="3">
        <f>C19 * D19 + (1 - C19) * E19</f>
        <v>0.06799999999999999</v>
      </c>
      <c r="T19" s="3" t="e">
        <f>IF(R19 &gt; 0, IF(D19 &lt; 0, 1, 0) + IF(E19 &lt; 0, 1, 0), IF(D19 &gt; 0, 1, 0) + IF(E19 &gt; 0, 1, 0))</f>
        <v>#VALUE!</v>
      </c>
      <c r="U19" s="3" t="e">
        <f>T19 / 2</f>
        <v>#VALUE!</v>
      </c>
      <c r="V19" s="3" t="e">
        <f>IF(S19 &gt; 0, R19 &lt; 0, R19 &gt; 0)</f>
        <v>#VALUE!</v>
      </c>
      <c r="W19" s="3" t="e">
        <f>ABS(S19 - R19)</f>
        <v>#VALUE!</v>
      </c>
      <c r="X19" s="3" t="e">
        <f>IF(AND(V19, U19 = 1), "A", IF(AND(V19, U19 &lt; 1), "B", IF(AND(NOT(V19), W19 &gt; 0.01, ABS(R19) &gt; ABS(S19) + 0.001), "C+", IF(AND(NOT(V19), W19 &gt; 0.01, ABS(R19) &lt; ABS(S19) - 0.001), "C-", "D"))))</f>
        <v>#VALUE!</v>
      </c>
    </row>
    <row r="20">
      <c r="A20" s="2" t="s">
        <v>4478</v>
      </c>
      <c r="B20" s="3" t="str">
        <f>A20</f>
        <v>phase-w30-g104-g216-b80</v>
      </c>
      <c r="C20" s="2">
        <v>0.3</v>
      </c>
      <c r="D20" s="2">
        <v>0.04</v>
      </c>
      <c r="E20" s="2">
        <v>0.08</v>
      </c>
      <c r="F20" s="2">
        <v>0.8</v>
      </c>
      <c r="G20" s="3" t="e">
        <f>ROUND(200 * C20)</f>
        <v>#VALUE!</v>
      </c>
      <c r="H20" s="3" t="e">
        <f>ROUND(G20 * (0.5 + F20 / 2))</f>
        <v>#VALUE!</v>
      </c>
      <c r="I20" s="3" t="e">
        <f>G20 - H20</f>
        <v>#VALUE!</v>
      </c>
      <c r="J20" s="3" t="e">
        <f>100 - H20</f>
        <v>#VALUE!</v>
      </c>
      <c r="K20" s="3" t="e">
        <f>100 - I20</f>
        <v>#VALUE!</v>
      </c>
      <c r="L20" s="3">
        <f>0.45 + D20 / 2</f>
        <v>0.47000000000000003</v>
      </c>
      <c r="M20" s="3">
        <f>0.45 - D20 / 2</f>
        <v>0.43</v>
      </c>
      <c r="N20" s="3">
        <f>0.75 + E20 / 2</f>
        <v>0.79</v>
      </c>
      <c r="O20" s="3">
        <f>0.75 - E20 / 2</f>
        <v>0.71</v>
      </c>
      <c r="P20" s="3" t="e">
        <f>(H20 * L20 + J20 * N20) / 100</f>
        <v>#VALUE!</v>
      </c>
      <c r="Q20" s="3" t="e">
        <f>(I20 * M20 + K20 * O20) / 100</f>
        <v>#VALUE!</v>
      </c>
      <c r="R20" s="3" t="e">
        <f>P20 - Q20</f>
        <v>#VALUE!</v>
      </c>
      <c r="S20" s="3">
        <f>C20 * D20 + (1 - C20) * E20</f>
        <v>0.06799999999999999</v>
      </c>
      <c r="T20" s="3" t="e">
        <f>IF(R20 &gt; 0, IF(D20 &lt; 0, 1, 0) + IF(E20 &lt; 0, 1, 0), IF(D20 &gt; 0, 1, 0) + IF(E20 &gt; 0, 1, 0))</f>
        <v>#VALUE!</v>
      </c>
      <c r="U20" s="3" t="e">
        <f>T20 / 2</f>
        <v>#VALUE!</v>
      </c>
      <c r="V20" s="3" t="e">
        <f>IF(S20 &gt; 0, R20 &lt; 0, R20 &gt; 0)</f>
        <v>#VALUE!</v>
      </c>
      <c r="W20" s="3" t="e">
        <f>ABS(S20 - R20)</f>
        <v>#VALUE!</v>
      </c>
      <c r="X20" s="3" t="e">
        <f>IF(AND(V20, U20 = 1), "A", IF(AND(V20, U20 &lt; 1), "B", IF(AND(NOT(V20), W20 &gt; 0.01, ABS(R20) &gt; ABS(S20) + 0.001), "C+", IF(AND(NOT(V20), W20 &gt; 0.01, ABS(R20) &lt; ABS(S20) - 0.001), "C-", "D"))))</f>
        <v>#VALUE!</v>
      </c>
    </row>
    <row r="21">
      <c r="A21" s="2" t="s">
        <v>4479</v>
      </c>
      <c r="B21" s="3" t="str">
        <f>A21</f>
        <v>phase-w30-g104-g216-b95</v>
      </c>
      <c r="C21" s="2">
        <v>0.3</v>
      </c>
      <c r="D21" s="2">
        <v>0.04</v>
      </c>
      <c r="E21" s="2">
        <v>0.08</v>
      </c>
      <c r="F21" s="2">
        <v>0.95</v>
      </c>
      <c r="G21" s="3" t="e">
        <f>ROUND(200 * C21)</f>
        <v>#VALUE!</v>
      </c>
      <c r="H21" s="3" t="e">
        <f>ROUND(G21 * (0.5 + F21 / 2))</f>
        <v>#VALUE!</v>
      </c>
      <c r="I21" s="3" t="e">
        <f>G21 - H21</f>
        <v>#VALUE!</v>
      </c>
      <c r="J21" s="3" t="e">
        <f>100 - H21</f>
        <v>#VALUE!</v>
      </c>
      <c r="K21" s="3" t="e">
        <f>100 - I21</f>
        <v>#VALUE!</v>
      </c>
      <c r="L21" s="3">
        <f>0.45 + D21 / 2</f>
        <v>0.47000000000000003</v>
      </c>
      <c r="M21" s="3">
        <f>0.45 - D21 / 2</f>
        <v>0.43</v>
      </c>
      <c r="N21" s="3">
        <f>0.75 + E21 / 2</f>
        <v>0.79</v>
      </c>
      <c r="O21" s="3">
        <f>0.75 - E21 / 2</f>
        <v>0.71</v>
      </c>
      <c r="P21" s="3" t="e">
        <f>(H21 * L21 + J21 * N21) / 100</f>
        <v>#VALUE!</v>
      </c>
      <c r="Q21" s="3" t="e">
        <f>(I21 * M21 + K21 * O21) / 100</f>
        <v>#VALUE!</v>
      </c>
      <c r="R21" s="3" t="e">
        <f>P21 - Q21</f>
        <v>#VALUE!</v>
      </c>
      <c r="S21" s="3">
        <f>C21 * D21 + (1 - C21) * E21</f>
        <v>0.06799999999999999</v>
      </c>
      <c r="T21" s="3" t="e">
        <f>IF(R21 &gt; 0, IF(D21 &lt; 0, 1, 0) + IF(E21 &lt; 0, 1, 0), IF(D21 &gt; 0, 1, 0) + IF(E21 &gt; 0, 1, 0))</f>
        <v>#VALUE!</v>
      </c>
      <c r="U21" s="3" t="e">
        <f>T21 / 2</f>
        <v>#VALUE!</v>
      </c>
      <c r="V21" s="3" t="e">
        <f>IF(S21 &gt; 0, R21 &lt; 0, R21 &gt; 0)</f>
        <v>#VALUE!</v>
      </c>
      <c r="W21" s="3" t="e">
        <f>ABS(S21 - R21)</f>
        <v>#VALUE!</v>
      </c>
      <c r="X21" s="3" t="e">
        <f>IF(AND(V21, U21 = 1), "A", IF(AND(V21, U21 &lt; 1), "B", IF(AND(NOT(V21), W21 &gt; 0.01, ABS(R21) &gt; ABS(S21) + 0.001), "C+", IF(AND(NOT(V21), W21 &gt; 0.01, ABS(R21) &lt; ABS(S21) - 0.001), "C-", "D"))))</f>
        <v>#VALUE!</v>
      </c>
    </row>
    <row r="22">
      <c r="A22" s="2" t="s">
        <v>4480</v>
      </c>
      <c r="B22" s="3" t="str">
        <f>A22</f>
        <v>phase-w30-g108-g200-b00</v>
      </c>
      <c r="C22" s="2">
        <v>0.3</v>
      </c>
      <c r="D22" s="2">
        <v>0.08</v>
      </c>
      <c r="E22" s="2">
        <v>-0.08</v>
      </c>
      <c r="F22" s="2">
        <v>0</v>
      </c>
      <c r="G22" s="3" t="e">
        <f>ROUND(200 * C22)</f>
        <v>#VALUE!</v>
      </c>
      <c r="H22" s="3" t="e">
        <f>ROUND(G22 * (0.5 + F22 / 2))</f>
        <v>#VALUE!</v>
      </c>
      <c r="I22" s="3" t="e">
        <f>G22 - H22</f>
        <v>#VALUE!</v>
      </c>
      <c r="J22" s="3" t="e">
        <f>100 - H22</f>
        <v>#VALUE!</v>
      </c>
      <c r="K22" s="3" t="e">
        <f>100 - I22</f>
        <v>#VALUE!</v>
      </c>
      <c r="L22" s="3">
        <f>0.45 + D22 / 2</f>
        <v>0.49</v>
      </c>
      <c r="M22" s="3">
        <f>0.45 - D22 / 2</f>
        <v>0.41000000000000003</v>
      </c>
      <c r="N22" s="3">
        <f>0.75 + E22 / 2</f>
        <v>0.71</v>
      </c>
      <c r="O22" s="3">
        <f>0.75 - E22 / 2</f>
        <v>0.79</v>
      </c>
      <c r="P22" s="3" t="e">
        <f>(H22 * L22 + J22 * N22) / 100</f>
        <v>#VALUE!</v>
      </c>
      <c r="Q22" s="3" t="e">
        <f>(I22 * M22 + K22 * O22) / 100</f>
        <v>#VALUE!</v>
      </c>
      <c r="R22" s="3" t="e">
        <f>P22 - Q22</f>
        <v>#VALUE!</v>
      </c>
      <c r="S22" s="3">
        <f>C22 * D22 + (1 - C22) * E22</f>
        <v>-0.031999999999999994</v>
      </c>
      <c r="T22" s="3" t="e">
        <f>IF(R22 &gt; 0, IF(D22 &lt; 0, 1, 0) + IF(E22 &lt; 0, 1, 0), IF(D22 &gt; 0, 1, 0) + IF(E22 &gt; 0, 1, 0))</f>
        <v>#VALUE!</v>
      </c>
      <c r="U22" s="3" t="e">
        <f>T22 / 2</f>
        <v>#VALUE!</v>
      </c>
      <c r="V22" s="3" t="e">
        <f>IF(S22 &gt; 0, R22 &lt; 0, R22 &gt; 0)</f>
        <v>#VALUE!</v>
      </c>
      <c r="W22" s="3" t="e">
        <f>ABS(S22 - R22)</f>
        <v>#VALUE!</v>
      </c>
      <c r="X22" s="3" t="e">
        <f>IF(AND(V22, U22 = 1), "A", IF(AND(V22, U22 &lt; 1), "B", IF(AND(NOT(V22), W22 &gt; 0.01, ABS(R22) &gt; ABS(S22) + 0.001), "C+", IF(AND(NOT(V22), W22 &gt; 0.01, ABS(R22) &lt; ABS(S22) - 0.001), "C-", "D"))))</f>
        <v>#VALUE!</v>
      </c>
    </row>
    <row r="23">
      <c r="A23" s="2" t="s">
        <v>4481</v>
      </c>
      <c r="B23" s="3" t="str">
        <f>A23</f>
        <v>phase-w30-g108-g200-b30</v>
      </c>
      <c r="C23" s="2">
        <v>0.3</v>
      </c>
      <c r="D23" s="2">
        <v>0.08</v>
      </c>
      <c r="E23" s="2">
        <v>-0.08</v>
      </c>
      <c r="F23" s="2">
        <v>0.3</v>
      </c>
      <c r="G23" s="3" t="e">
        <f>ROUND(200 * C23)</f>
        <v>#VALUE!</v>
      </c>
      <c r="H23" s="3" t="e">
        <f>ROUND(G23 * (0.5 + F23 / 2))</f>
        <v>#VALUE!</v>
      </c>
      <c r="I23" s="3" t="e">
        <f>G23 - H23</f>
        <v>#VALUE!</v>
      </c>
      <c r="J23" s="3" t="e">
        <f>100 - H23</f>
        <v>#VALUE!</v>
      </c>
      <c r="K23" s="3" t="e">
        <f>100 - I23</f>
        <v>#VALUE!</v>
      </c>
      <c r="L23" s="3">
        <f>0.45 + D23 / 2</f>
        <v>0.49</v>
      </c>
      <c r="M23" s="3">
        <f>0.45 - D23 / 2</f>
        <v>0.41000000000000003</v>
      </c>
      <c r="N23" s="3">
        <f>0.75 + E23 / 2</f>
        <v>0.71</v>
      </c>
      <c r="O23" s="3">
        <f>0.75 - E23 / 2</f>
        <v>0.79</v>
      </c>
      <c r="P23" s="3" t="e">
        <f>(H23 * L23 + J23 * N23) / 100</f>
        <v>#VALUE!</v>
      </c>
      <c r="Q23" s="3" t="e">
        <f>(I23 * M23 + K23 * O23) / 100</f>
        <v>#VALUE!</v>
      </c>
      <c r="R23" s="3" t="e">
        <f>P23 - Q23</f>
        <v>#VALUE!</v>
      </c>
      <c r="S23" s="3">
        <f>C23 * D23 + (1 - C23) * E23</f>
        <v>-0.031999999999999994</v>
      </c>
      <c r="T23" s="3" t="e">
        <f>IF(R23 &gt; 0, IF(D23 &lt; 0, 1, 0) + IF(E23 &lt; 0, 1, 0), IF(D23 &gt; 0, 1, 0) + IF(E23 &gt; 0, 1, 0))</f>
        <v>#VALUE!</v>
      </c>
      <c r="U23" s="3" t="e">
        <f>T23 / 2</f>
        <v>#VALUE!</v>
      </c>
      <c r="V23" s="3" t="e">
        <f>IF(S23 &gt; 0, R23 &lt; 0, R23 &gt; 0)</f>
        <v>#VALUE!</v>
      </c>
      <c r="W23" s="3" t="e">
        <f>ABS(S23 - R23)</f>
        <v>#VALUE!</v>
      </c>
      <c r="X23" s="3" t="e">
        <f>IF(AND(V23, U23 = 1), "A", IF(AND(V23, U23 &lt; 1), "B", IF(AND(NOT(V23), W23 &gt; 0.01, ABS(R23) &gt; ABS(S23) + 0.001), "C+", IF(AND(NOT(V23), W23 &gt; 0.01, ABS(R23) &lt; ABS(S23) - 0.001), "C-", "D"))))</f>
        <v>#VALUE!</v>
      </c>
    </row>
    <row r="24">
      <c r="A24" s="2" t="s">
        <v>4482</v>
      </c>
      <c r="B24" s="3" t="str">
        <f>A24</f>
        <v>phase-w30-g108-g200-b60</v>
      </c>
      <c r="C24" s="2">
        <v>0.3</v>
      </c>
      <c r="D24" s="2">
        <v>0.08</v>
      </c>
      <c r="E24" s="2">
        <v>-0.08</v>
      </c>
      <c r="F24" s="2">
        <v>0.6</v>
      </c>
      <c r="G24" s="3" t="e">
        <f>ROUND(200 * C24)</f>
        <v>#VALUE!</v>
      </c>
      <c r="H24" s="3" t="e">
        <f>ROUND(G24 * (0.5 + F24 / 2))</f>
        <v>#VALUE!</v>
      </c>
      <c r="I24" s="3" t="e">
        <f>G24 - H24</f>
        <v>#VALUE!</v>
      </c>
      <c r="J24" s="3" t="e">
        <f>100 - H24</f>
        <v>#VALUE!</v>
      </c>
      <c r="K24" s="3" t="e">
        <f>100 - I24</f>
        <v>#VALUE!</v>
      </c>
      <c r="L24" s="3">
        <f>0.45 + D24 / 2</f>
        <v>0.49</v>
      </c>
      <c r="M24" s="3">
        <f>0.45 - D24 / 2</f>
        <v>0.41000000000000003</v>
      </c>
      <c r="N24" s="3">
        <f>0.75 + E24 / 2</f>
        <v>0.71</v>
      </c>
      <c r="O24" s="3">
        <f>0.75 - E24 / 2</f>
        <v>0.79</v>
      </c>
      <c r="P24" s="3" t="e">
        <f>(H24 * L24 + J24 * N24) / 100</f>
        <v>#VALUE!</v>
      </c>
      <c r="Q24" s="3" t="e">
        <f>(I24 * M24 + K24 * O24) / 100</f>
        <v>#VALUE!</v>
      </c>
      <c r="R24" s="3" t="e">
        <f>P24 - Q24</f>
        <v>#VALUE!</v>
      </c>
      <c r="S24" s="3">
        <f>C24 * D24 + (1 - C24) * E24</f>
        <v>-0.031999999999999994</v>
      </c>
      <c r="T24" s="3" t="e">
        <f>IF(R24 &gt; 0, IF(D24 &lt; 0, 1, 0) + IF(E24 &lt; 0, 1, 0), IF(D24 &gt; 0, 1, 0) + IF(E24 &gt; 0, 1, 0))</f>
        <v>#VALUE!</v>
      </c>
      <c r="U24" s="3" t="e">
        <f>T24 / 2</f>
        <v>#VALUE!</v>
      </c>
      <c r="V24" s="3" t="e">
        <f>IF(S24 &gt; 0, R24 &lt; 0, R24 &gt; 0)</f>
        <v>#VALUE!</v>
      </c>
      <c r="W24" s="3" t="e">
        <f>ABS(S24 - R24)</f>
        <v>#VALUE!</v>
      </c>
      <c r="X24" s="3" t="e">
        <f>IF(AND(V24, U24 = 1), "A", IF(AND(V24, U24 &lt; 1), "B", IF(AND(NOT(V24), W24 &gt; 0.01, ABS(R24) &gt; ABS(S24) + 0.001), "C+", IF(AND(NOT(V24), W24 &gt; 0.01, ABS(R24) &lt; ABS(S24) - 0.001), "C-", "D"))))</f>
        <v>#VALUE!</v>
      </c>
    </row>
    <row r="25">
      <c r="A25" s="2" t="s">
        <v>4483</v>
      </c>
      <c r="B25" s="3" t="str">
        <f>A25</f>
        <v>phase-w30-g108-g200-b80</v>
      </c>
      <c r="C25" s="2">
        <v>0.3</v>
      </c>
      <c r="D25" s="2">
        <v>0.08</v>
      </c>
      <c r="E25" s="2">
        <v>-0.08</v>
      </c>
      <c r="F25" s="2">
        <v>0.8</v>
      </c>
      <c r="G25" s="3" t="e">
        <f>ROUND(200 * C25)</f>
        <v>#VALUE!</v>
      </c>
      <c r="H25" s="3" t="e">
        <f>ROUND(G25 * (0.5 + F25 / 2))</f>
        <v>#VALUE!</v>
      </c>
      <c r="I25" s="3" t="e">
        <f>G25 - H25</f>
        <v>#VALUE!</v>
      </c>
      <c r="J25" s="3" t="e">
        <f>100 - H25</f>
        <v>#VALUE!</v>
      </c>
      <c r="K25" s="3" t="e">
        <f>100 - I25</f>
        <v>#VALUE!</v>
      </c>
      <c r="L25" s="3">
        <f>0.45 + D25 / 2</f>
        <v>0.49</v>
      </c>
      <c r="M25" s="3">
        <f>0.45 - D25 / 2</f>
        <v>0.41000000000000003</v>
      </c>
      <c r="N25" s="3">
        <f>0.75 + E25 / 2</f>
        <v>0.71</v>
      </c>
      <c r="O25" s="3">
        <f>0.75 - E25 / 2</f>
        <v>0.79</v>
      </c>
      <c r="P25" s="3" t="e">
        <f>(H25 * L25 + J25 * N25) / 100</f>
        <v>#VALUE!</v>
      </c>
      <c r="Q25" s="3" t="e">
        <f>(I25 * M25 + K25 * O25) / 100</f>
        <v>#VALUE!</v>
      </c>
      <c r="R25" s="3" t="e">
        <f>P25 - Q25</f>
        <v>#VALUE!</v>
      </c>
      <c r="S25" s="3">
        <f>C25 * D25 + (1 - C25) * E25</f>
        <v>-0.031999999999999994</v>
      </c>
      <c r="T25" s="3" t="e">
        <f>IF(R25 &gt; 0, IF(D25 &lt; 0, 1, 0) + IF(E25 &lt; 0, 1, 0), IF(D25 &gt; 0, 1, 0) + IF(E25 &gt; 0, 1, 0))</f>
        <v>#VALUE!</v>
      </c>
      <c r="U25" s="3" t="e">
        <f>T25 / 2</f>
        <v>#VALUE!</v>
      </c>
      <c r="V25" s="3" t="e">
        <f>IF(S25 &gt; 0, R25 &lt; 0, R25 &gt; 0)</f>
        <v>#VALUE!</v>
      </c>
      <c r="W25" s="3" t="e">
        <f>ABS(S25 - R25)</f>
        <v>#VALUE!</v>
      </c>
      <c r="X25" s="3" t="e">
        <f>IF(AND(V25, U25 = 1), "A", IF(AND(V25, U25 &lt; 1), "B", IF(AND(NOT(V25), W25 &gt; 0.01, ABS(R25) &gt; ABS(S25) + 0.001), "C+", IF(AND(NOT(V25), W25 &gt; 0.01, ABS(R25) &lt; ABS(S25) - 0.001), "C-", "D"))))</f>
        <v>#VALUE!</v>
      </c>
    </row>
    <row r="26">
      <c r="A26" s="2" t="s">
        <v>4484</v>
      </c>
      <c r="B26" s="3" t="str">
        <f>A26</f>
        <v>phase-w30-g108-g200-b95</v>
      </c>
      <c r="C26" s="2">
        <v>0.3</v>
      </c>
      <c r="D26" s="2">
        <v>0.08</v>
      </c>
      <c r="E26" s="2">
        <v>-0.08</v>
      </c>
      <c r="F26" s="2">
        <v>0.95</v>
      </c>
      <c r="G26" s="3" t="e">
        <f>ROUND(200 * C26)</f>
        <v>#VALUE!</v>
      </c>
      <c r="H26" s="3" t="e">
        <f>ROUND(G26 * (0.5 + F26 / 2))</f>
        <v>#VALUE!</v>
      </c>
      <c r="I26" s="3" t="e">
        <f>G26 - H26</f>
        <v>#VALUE!</v>
      </c>
      <c r="J26" s="3" t="e">
        <f>100 - H26</f>
        <v>#VALUE!</v>
      </c>
      <c r="K26" s="3" t="e">
        <f>100 - I26</f>
        <v>#VALUE!</v>
      </c>
      <c r="L26" s="3">
        <f>0.45 + D26 / 2</f>
        <v>0.49</v>
      </c>
      <c r="M26" s="3">
        <f>0.45 - D26 / 2</f>
        <v>0.41000000000000003</v>
      </c>
      <c r="N26" s="3">
        <f>0.75 + E26 / 2</f>
        <v>0.71</v>
      </c>
      <c r="O26" s="3">
        <f>0.75 - E26 / 2</f>
        <v>0.79</v>
      </c>
      <c r="P26" s="3" t="e">
        <f>(H26 * L26 + J26 * N26) / 100</f>
        <v>#VALUE!</v>
      </c>
      <c r="Q26" s="3" t="e">
        <f>(I26 * M26 + K26 * O26) / 100</f>
        <v>#VALUE!</v>
      </c>
      <c r="R26" s="3" t="e">
        <f>P26 - Q26</f>
        <v>#VALUE!</v>
      </c>
      <c r="S26" s="3">
        <f>C26 * D26 + (1 - C26) * E26</f>
        <v>-0.031999999999999994</v>
      </c>
      <c r="T26" s="3" t="e">
        <f>IF(R26 &gt; 0, IF(D26 &lt; 0, 1, 0) + IF(E26 &lt; 0, 1, 0), IF(D26 &gt; 0, 1, 0) + IF(E26 &gt; 0, 1, 0))</f>
        <v>#VALUE!</v>
      </c>
      <c r="U26" s="3" t="e">
        <f>T26 / 2</f>
        <v>#VALUE!</v>
      </c>
      <c r="V26" s="3" t="e">
        <f>IF(S26 &gt; 0, R26 &lt; 0, R26 &gt; 0)</f>
        <v>#VALUE!</v>
      </c>
      <c r="W26" s="3" t="e">
        <f>ABS(S26 - R26)</f>
        <v>#VALUE!</v>
      </c>
      <c r="X26" s="3" t="e">
        <f>IF(AND(V26, U26 = 1), "A", IF(AND(V26, U26 &lt; 1), "B", IF(AND(NOT(V26), W26 &gt; 0.01, ABS(R26) &gt; ABS(S26) + 0.001), "C+", IF(AND(NOT(V26), W26 &gt; 0.01, ABS(R26) &lt; ABS(S26) - 0.001), "C-", "D"))))</f>
        <v>#VALUE!</v>
      </c>
    </row>
    <row r="27">
      <c r="A27" s="2" t="s">
        <v>4485</v>
      </c>
      <c r="B27" s="3" t="str">
        <f>A27</f>
        <v>phase-w30-g108-g208-b00</v>
      </c>
      <c r="C27" s="2">
        <v>0.3</v>
      </c>
      <c r="D27" s="2">
        <v>0.08</v>
      </c>
      <c r="E27" s="2">
        <v>0</v>
      </c>
      <c r="F27" s="2">
        <v>0</v>
      </c>
      <c r="G27" s="3" t="e">
        <f>ROUND(200 * C27)</f>
        <v>#VALUE!</v>
      </c>
      <c r="H27" s="3" t="e">
        <f>ROUND(G27 * (0.5 + F27 / 2))</f>
        <v>#VALUE!</v>
      </c>
      <c r="I27" s="3" t="e">
        <f>G27 - H27</f>
        <v>#VALUE!</v>
      </c>
      <c r="J27" s="3" t="e">
        <f>100 - H27</f>
        <v>#VALUE!</v>
      </c>
      <c r="K27" s="3" t="e">
        <f>100 - I27</f>
        <v>#VALUE!</v>
      </c>
      <c r="L27" s="3">
        <f>0.45 + D27 / 2</f>
        <v>0.49</v>
      </c>
      <c r="M27" s="3">
        <f>0.45 - D27 / 2</f>
        <v>0.41000000000000003</v>
      </c>
      <c r="N27" s="3">
        <f>0.75 + E27 / 2</f>
        <v>0.75</v>
      </c>
      <c r="O27" s="3">
        <f>0.75 - E27 / 2</f>
        <v>0.75</v>
      </c>
      <c r="P27" s="3" t="e">
        <f>(H27 * L27 + J27 * N27) / 100</f>
        <v>#VALUE!</v>
      </c>
      <c r="Q27" s="3" t="e">
        <f>(I27 * M27 + K27 * O27) / 100</f>
        <v>#VALUE!</v>
      </c>
      <c r="R27" s="3" t="e">
        <f>P27 - Q27</f>
        <v>#VALUE!</v>
      </c>
      <c r="S27" s="3">
        <f>C27 * D27 + (1 - C27) * E27</f>
        <v>0.024</v>
      </c>
      <c r="T27" s="3" t="e">
        <f>IF(R27 &gt; 0, IF(D27 &lt; 0, 1, 0) + IF(E27 &lt; 0, 1, 0), IF(D27 &gt; 0, 1, 0) + IF(E27 &gt; 0, 1, 0))</f>
        <v>#VALUE!</v>
      </c>
      <c r="U27" s="3" t="e">
        <f>T27 / 2</f>
        <v>#VALUE!</v>
      </c>
      <c r="V27" s="3" t="e">
        <f>IF(S27 &gt; 0, R27 &lt; 0, R27 &gt; 0)</f>
        <v>#VALUE!</v>
      </c>
      <c r="W27" s="3" t="e">
        <f>ABS(S27 - R27)</f>
        <v>#VALUE!</v>
      </c>
      <c r="X27" s="3" t="e">
        <f>IF(AND(V27, U27 = 1), "A", IF(AND(V27, U27 &lt; 1), "B", IF(AND(NOT(V27), W27 &gt; 0.01, ABS(R27) &gt; ABS(S27) + 0.001), "C+", IF(AND(NOT(V27), W27 &gt; 0.01, ABS(R27) &lt; ABS(S27) - 0.001), "C-", "D"))))</f>
        <v>#VALUE!</v>
      </c>
    </row>
    <row r="28">
      <c r="A28" s="2" t="s">
        <v>4486</v>
      </c>
      <c r="B28" s="3" t="str">
        <f>A28</f>
        <v>phase-w30-g108-g208-b30</v>
      </c>
      <c r="C28" s="2">
        <v>0.3</v>
      </c>
      <c r="D28" s="2">
        <v>0.08</v>
      </c>
      <c r="E28" s="2">
        <v>0</v>
      </c>
      <c r="F28" s="2">
        <v>0.3</v>
      </c>
      <c r="G28" s="3" t="e">
        <f>ROUND(200 * C28)</f>
        <v>#VALUE!</v>
      </c>
      <c r="H28" s="3" t="e">
        <f>ROUND(G28 * (0.5 + F28 / 2))</f>
        <v>#VALUE!</v>
      </c>
      <c r="I28" s="3" t="e">
        <f>G28 - H28</f>
        <v>#VALUE!</v>
      </c>
      <c r="J28" s="3" t="e">
        <f>100 - H28</f>
        <v>#VALUE!</v>
      </c>
      <c r="K28" s="3" t="e">
        <f>100 - I28</f>
        <v>#VALUE!</v>
      </c>
      <c r="L28" s="3">
        <f>0.45 + D28 / 2</f>
        <v>0.49</v>
      </c>
      <c r="M28" s="3">
        <f>0.45 - D28 / 2</f>
        <v>0.41000000000000003</v>
      </c>
      <c r="N28" s="3">
        <f>0.75 + E28 / 2</f>
        <v>0.75</v>
      </c>
      <c r="O28" s="3">
        <f>0.75 - E28 / 2</f>
        <v>0.75</v>
      </c>
      <c r="P28" s="3" t="e">
        <f>(H28 * L28 + J28 * N28) / 100</f>
        <v>#VALUE!</v>
      </c>
      <c r="Q28" s="3" t="e">
        <f>(I28 * M28 + K28 * O28) / 100</f>
        <v>#VALUE!</v>
      </c>
      <c r="R28" s="3" t="e">
        <f>P28 - Q28</f>
        <v>#VALUE!</v>
      </c>
      <c r="S28" s="3">
        <f>C28 * D28 + (1 - C28) * E28</f>
        <v>0.024</v>
      </c>
      <c r="T28" s="3" t="e">
        <f>IF(R28 &gt; 0, IF(D28 &lt; 0, 1, 0) + IF(E28 &lt; 0, 1, 0), IF(D28 &gt; 0, 1, 0) + IF(E28 &gt; 0, 1, 0))</f>
        <v>#VALUE!</v>
      </c>
      <c r="U28" s="3" t="e">
        <f>T28 / 2</f>
        <v>#VALUE!</v>
      </c>
      <c r="V28" s="3" t="e">
        <f>IF(S28 &gt; 0, R28 &lt; 0, R28 &gt; 0)</f>
        <v>#VALUE!</v>
      </c>
      <c r="W28" s="3" t="e">
        <f>ABS(S28 - R28)</f>
        <v>#VALUE!</v>
      </c>
      <c r="X28" s="3" t="e">
        <f>IF(AND(V28, U28 = 1), "A", IF(AND(V28, U28 &lt; 1), "B", IF(AND(NOT(V28), W28 &gt; 0.01, ABS(R28) &gt; ABS(S28) + 0.001), "C+", IF(AND(NOT(V28), W28 &gt; 0.01, ABS(R28) &lt; ABS(S28) - 0.001), "C-", "D"))))</f>
        <v>#VALUE!</v>
      </c>
    </row>
    <row r="29">
      <c r="A29" s="2" t="s">
        <v>4487</v>
      </c>
      <c r="B29" s="3" t="str">
        <f>A29</f>
        <v>phase-w30-g108-g208-b60</v>
      </c>
      <c r="C29" s="2">
        <v>0.3</v>
      </c>
      <c r="D29" s="2">
        <v>0.08</v>
      </c>
      <c r="E29" s="2">
        <v>0</v>
      </c>
      <c r="F29" s="2">
        <v>0.6</v>
      </c>
      <c r="G29" s="3" t="e">
        <f>ROUND(200 * C29)</f>
        <v>#VALUE!</v>
      </c>
      <c r="H29" s="3" t="e">
        <f>ROUND(G29 * (0.5 + F29 / 2))</f>
        <v>#VALUE!</v>
      </c>
      <c r="I29" s="3" t="e">
        <f>G29 - H29</f>
        <v>#VALUE!</v>
      </c>
      <c r="J29" s="3" t="e">
        <f>100 - H29</f>
        <v>#VALUE!</v>
      </c>
      <c r="K29" s="3" t="e">
        <f>100 - I29</f>
        <v>#VALUE!</v>
      </c>
      <c r="L29" s="3">
        <f>0.45 + D29 / 2</f>
        <v>0.49</v>
      </c>
      <c r="M29" s="3">
        <f>0.45 - D29 / 2</f>
        <v>0.41000000000000003</v>
      </c>
      <c r="N29" s="3">
        <f>0.75 + E29 / 2</f>
        <v>0.75</v>
      </c>
      <c r="O29" s="3">
        <f>0.75 - E29 / 2</f>
        <v>0.75</v>
      </c>
      <c r="P29" s="3" t="e">
        <f>(H29 * L29 + J29 * N29) / 100</f>
        <v>#VALUE!</v>
      </c>
      <c r="Q29" s="3" t="e">
        <f>(I29 * M29 + K29 * O29) / 100</f>
        <v>#VALUE!</v>
      </c>
      <c r="R29" s="3" t="e">
        <f>P29 - Q29</f>
        <v>#VALUE!</v>
      </c>
      <c r="S29" s="3">
        <f>C29 * D29 + (1 - C29) * E29</f>
        <v>0.024</v>
      </c>
      <c r="T29" s="3" t="e">
        <f>IF(R29 &gt; 0, IF(D29 &lt; 0, 1, 0) + IF(E29 &lt; 0, 1, 0), IF(D29 &gt; 0, 1, 0) + IF(E29 &gt; 0, 1, 0))</f>
        <v>#VALUE!</v>
      </c>
      <c r="U29" s="3" t="e">
        <f>T29 / 2</f>
        <v>#VALUE!</v>
      </c>
      <c r="V29" s="3" t="e">
        <f>IF(S29 &gt; 0, R29 &lt; 0, R29 &gt; 0)</f>
        <v>#VALUE!</v>
      </c>
      <c r="W29" s="3" t="e">
        <f>ABS(S29 - R29)</f>
        <v>#VALUE!</v>
      </c>
      <c r="X29" s="3" t="e">
        <f>IF(AND(V29, U29 = 1), "A", IF(AND(V29, U29 &lt; 1), "B", IF(AND(NOT(V29), W29 &gt; 0.01, ABS(R29) &gt; ABS(S29) + 0.001), "C+", IF(AND(NOT(V29), W29 &gt; 0.01, ABS(R29) &lt; ABS(S29) - 0.001), "C-", "D"))))</f>
        <v>#VALUE!</v>
      </c>
    </row>
    <row r="30">
      <c r="A30" s="2" t="s">
        <v>4488</v>
      </c>
      <c r="B30" s="3" t="str">
        <f>A30</f>
        <v>phase-w30-g108-g208-b80</v>
      </c>
      <c r="C30" s="2">
        <v>0.3</v>
      </c>
      <c r="D30" s="2">
        <v>0.08</v>
      </c>
      <c r="E30" s="2">
        <v>0</v>
      </c>
      <c r="F30" s="2">
        <v>0.8</v>
      </c>
      <c r="G30" s="3" t="e">
        <f>ROUND(200 * C30)</f>
        <v>#VALUE!</v>
      </c>
      <c r="H30" s="3" t="e">
        <f>ROUND(G30 * (0.5 + F30 / 2))</f>
        <v>#VALUE!</v>
      </c>
      <c r="I30" s="3" t="e">
        <f>G30 - H30</f>
        <v>#VALUE!</v>
      </c>
      <c r="J30" s="3" t="e">
        <f>100 - H30</f>
        <v>#VALUE!</v>
      </c>
      <c r="K30" s="3" t="e">
        <f>100 - I30</f>
        <v>#VALUE!</v>
      </c>
      <c r="L30" s="3">
        <f>0.45 + D30 / 2</f>
        <v>0.49</v>
      </c>
      <c r="M30" s="3">
        <f>0.45 - D30 / 2</f>
        <v>0.41000000000000003</v>
      </c>
      <c r="N30" s="3">
        <f>0.75 + E30 / 2</f>
        <v>0.75</v>
      </c>
      <c r="O30" s="3">
        <f>0.75 - E30 / 2</f>
        <v>0.75</v>
      </c>
      <c r="P30" s="3" t="e">
        <f>(H30 * L30 + J30 * N30) / 100</f>
        <v>#VALUE!</v>
      </c>
      <c r="Q30" s="3" t="e">
        <f>(I30 * M30 + K30 * O30) / 100</f>
        <v>#VALUE!</v>
      </c>
      <c r="R30" s="3" t="e">
        <f>P30 - Q30</f>
        <v>#VALUE!</v>
      </c>
      <c r="S30" s="3">
        <f>C30 * D30 + (1 - C30) * E30</f>
        <v>0.024</v>
      </c>
      <c r="T30" s="3" t="e">
        <f>IF(R30 &gt; 0, IF(D30 &lt; 0, 1, 0) + IF(E30 &lt; 0, 1, 0), IF(D30 &gt; 0, 1, 0) + IF(E30 &gt; 0, 1, 0))</f>
        <v>#VALUE!</v>
      </c>
      <c r="U30" s="3" t="e">
        <f>T30 / 2</f>
        <v>#VALUE!</v>
      </c>
      <c r="V30" s="3" t="e">
        <f>IF(S30 &gt; 0, R30 &lt; 0, R30 &gt; 0)</f>
        <v>#VALUE!</v>
      </c>
      <c r="W30" s="3" t="e">
        <f>ABS(S30 - R30)</f>
        <v>#VALUE!</v>
      </c>
      <c r="X30" s="3" t="e">
        <f>IF(AND(V30, U30 = 1), "A", IF(AND(V30, U30 &lt; 1), "B", IF(AND(NOT(V30), W30 &gt; 0.01, ABS(R30) &gt; ABS(S30) + 0.001), "C+", IF(AND(NOT(V30), W30 &gt; 0.01, ABS(R30) &lt; ABS(S30) - 0.001), "C-", "D"))))</f>
        <v>#VALUE!</v>
      </c>
    </row>
    <row r="31">
      <c r="A31" s="2" t="s">
        <v>4489</v>
      </c>
      <c r="B31" s="3" t="str">
        <f>A31</f>
        <v>phase-w30-g108-g208-b95</v>
      </c>
      <c r="C31" s="2">
        <v>0.3</v>
      </c>
      <c r="D31" s="2">
        <v>0.08</v>
      </c>
      <c r="E31" s="2">
        <v>0</v>
      </c>
      <c r="F31" s="2">
        <v>0.95</v>
      </c>
      <c r="G31" s="3" t="e">
        <f>ROUND(200 * C31)</f>
        <v>#VALUE!</v>
      </c>
      <c r="H31" s="3" t="e">
        <f>ROUND(G31 * (0.5 + F31 / 2))</f>
        <v>#VALUE!</v>
      </c>
      <c r="I31" s="3" t="e">
        <f>G31 - H31</f>
        <v>#VALUE!</v>
      </c>
      <c r="J31" s="3" t="e">
        <f>100 - H31</f>
        <v>#VALUE!</v>
      </c>
      <c r="K31" s="3" t="e">
        <f>100 - I31</f>
        <v>#VALUE!</v>
      </c>
      <c r="L31" s="3">
        <f>0.45 + D31 / 2</f>
        <v>0.49</v>
      </c>
      <c r="M31" s="3">
        <f>0.45 - D31 / 2</f>
        <v>0.41000000000000003</v>
      </c>
      <c r="N31" s="3">
        <f>0.75 + E31 / 2</f>
        <v>0.75</v>
      </c>
      <c r="O31" s="3">
        <f>0.75 - E31 / 2</f>
        <v>0.75</v>
      </c>
      <c r="P31" s="3" t="e">
        <f>(H31 * L31 + J31 * N31) / 100</f>
        <v>#VALUE!</v>
      </c>
      <c r="Q31" s="3" t="e">
        <f>(I31 * M31 + K31 * O31) / 100</f>
        <v>#VALUE!</v>
      </c>
      <c r="R31" s="3" t="e">
        <f>P31 - Q31</f>
        <v>#VALUE!</v>
      </c>
      <c r="S31" s="3">
        <f>C31 * D31 + (1 - C31) * E31</f>
        <v>0.024</v>
      </c>
      <c r="T31" s="3" t="e">
        <f>IF(R31 &gt; 0, IF(D31 &lt; 0, 1, 0) + IF(E31 &lt; 0, 1, 0), IF(D31 &gt; 0, 1, 0) + IF(E31 &gt; 0, 1, 0))</f>
        <v>#VALUE!</v>
      </c>
      <c r="U31" s="3" t="e">
        <f>T31 / 2</f>
        <v>#VALUE!</v>
      </c>
      <c r="V31" s="3" t="e">
        <f>IF(S31 &gt; 0, R31 &lt; 0, R31 &gt; 0)</f>
        <v>#VALUE!</v>
      </c>
      <c r="W31" s="3" t="e">
        <f>ABS(S31 - R31)</f>
        <v>#VALUE!</v>
      </c>
      <c r="X31" s="3" t="e">
        <f>IF(AND(V31, U31 = 1), "A", IF(AND(V31, U31 &lt; 1), "B", IF(AND(NOT(V31), W31 &gt; 0.01, ABS(R31) &gt; ABS(S31) + 0.001), "C+", IF(AND(NOT(V31), W31 &gt; 0.01, ABS(R31) &lt; ABS(S31) - 0.001), "C-", "D"))))</f>
        <v>#VALUE!</v>
      </c>
    </row>
    <row r="32">
      <c r="A32" s="2" t="s">
        <v>4490</v>
      </c>
      <c r="B32" s="3" t="str">
        <f>A32</f>
        <v>phase-w30-g108-g212-b00</v>
      </c>
      <c r="C32" s="2">
        <v>0.3</v>
      </c>
      <c r="D32" s="2">
        <v>0.08</v>
      </c>
      <c r="E32" s="2">
        <v>0.04</v>
      </c>
      <c r="F32" s="2">
        <v>0</v>
      </c>
      <c r="G32" s="3" t="e">
        <f>ROUND(200 * C32)</f>
        <v>#VALUE!</v>
      </c>
      <c r="H32" s="3" t="e">
        <f>ROUND(G32 * (0.5 + F32 / 2))</f>
        <v>#VALUE!</v>
      </c>
      <c r="I32" s="3" t="e">
        <f>G32 - H32</f>
        <v>#VALUE!</v>
      </c>
      <c r="J32" s="3" t="e">
        <f>100 - H32</f>
        <v>#VALUE!</v>
      </c>
      <c r="K32" s="3" t="e">
        <f>100 - I32</f>
        <v>#VALUE!</v>
      </c>
      <c r="L32" s="3">
        <f>0.45 + D32 / 2</f>
        <v>0.49</v>
      </c>
      <c r="M32" s="3">
        <f>0.45 - D32 / 2</f>
        <v>0.41000000000000003</v>
      </c>
      <c r="N32" s="3">
        <f>0.75 + E32 / 2</f>
        <v>0.77</v>
      </c>
      <c r="O32" s="3">
        <f>0.75 - E32 / 2</f>
        <v>0.73</v>
      </c>
      <c r="P32" s="3" t="e">
        <f>(H32 * L32 + J32 * N32) / 100</f>
        <v>#VALUE!</v>
      </c>
      <c r="Q32" s="3" t="e">
        <f>(I32 * M32 + K32 * O32) / 100</f>
        <v>#VALUE!</v>
      </c>
      <c r="R32" s="3" t="e">
        <f>P32 - Q32</f>
        <v>#VALUE!</v>
      </c>
      <c r="S32" s="3">
        <f>C32 * D32 + (1 - C32) * E32</f>
        <v>0.052</v>
      </c>
      <c r="T32" s="3" t="e">
        <f>IF(R32 &gt; 0, IF(D32 &lt; 0, 1, 0) + IF(E32 &lt; 0, 1, 0), IF(D32 &gt; 0, 1, 0) + IF(E32 &gt; 0, 1, 0))</f>
        <v>#VALUE!</v>
      </c>
      <c r="U32" s="3" t="e">
        <f>T32 / 2</f>
        <v>#VALUE!</v>
      </c>
      <c r="V32" s="3" t="e">
        <f>IF(S32 &gt; 0, R32 &lt; 0, R32 &gt; 0)</f>
        <v>#VALUE!</v>
      </c>
      <c r="W32" s="3" t="e">
        <f>ABS(S32 - R32)</f>
        <v>#VALUE!</v>
      </c>
      <c r="X32" s="3" t="e">
        <f>IF(AND(V32, U32 = 1), "A", IF(AND(V32, U32 &lt; 1), "B", IF(AND(NOT(V32), W32 &gt; 0.01, ABS(R32) &gt; ABS(S32) + 0.001), "C+", IF(AND(NOT(V32), W32 &gt; 0.01, ABS(R32) &lt; ABS(S32) - 0.001), "C-", "D"))))</f>
        <v>#VALUE!</v>
      </c>
    </row>
    <row r="33">
      <c r="A33" s="2" t="s">
        <v>4491</v>
      </c>
      <c r="B33" s="3" t="str">
        <f>A33</f>
        <v>phase-w30-g108-g212-b30</v>
      </c>
      <c r="C33" s="2">
        <v>0.3</v>
      </c>
      <c r="D33" s="2">
        <v>0.08</v>
      </c>
      <c r="E33" s="2">
        <v>0.04</v>
      </c>
      <c r="F33" s="2">
        <v>0.3</v>
      </c>
      <c r="G33" s="3" t="e">
        <f>ROUND(200 * C33)</f>
        <v>#VALUE!</v>
      </c>
      <c r="H33" s="3" t="e">
        <f>ROUND(G33 * (0.5 + F33 / 2))</f>
        <v>#VALUE!</v>
      </c>
      <c r="I33" s="3" t="e">
        <f>G33 - H33</f>
        <v>#VALUE!</v>
      </c>
      <c r="J33" s="3" t="e">
        <f>100 - H33</f>
        <v>#VALUE!</v>
      </c>
      <c r="K33" s="3" t="e">
        <f>100 - I33</f>
        <v>#VALUE!</v>
      </c>
      <c r="L33" s="3">
        <f>0.45 + D33 / 2</f>
        <v>0.49</v>
      </c>
      <c r="M33" s="3">
        <f>0.45 - D33 / 2</f>
        <v>0.41000000000000003</v>
      </c>
      <c r="N33" s="3">
        <f>0.75 + E33 / 2</f>
        <v>0.77</v>
      </c>
      <c r="O33" s="3">
        <f>0.75 - E33 / 2</f>
        <v>0.73</v>
      </c>
      <c r="P33" s="3" t="e">
        <f>(H33 * L33 + J33 * N33) / 100</f>
        <v>#VALUE!</v>
      </c>
      <c r="Q33" s="3" t="e">
        <f>(I33 * M33 + K33 * O33) / 100</f>
        <v>#VALUE!</v>
      </c>
      <c r="R33" s="3" t="e">
        <f>P33 - Q33</f>
        <v>#VALUE!</v>
      </c>
      <c r="S33" s="3">
        <f>C33 * D33 + (1 - C33) * E33</f>
        <v>0.052</v>
      </c>
      <c r="T33" s="3" t="e">
        <f>IF(R33 &gt; 0, IF(D33 &lt; 0, 1, 0) + IF(E33 &lt; 0, 1, 0), IF(D33 &gt; 0, 1, 0) + IF(E33 &gt; 0, 1, 0))</f>
        <v>#VALUE!</v>
      </c>
      <c r="U33" s="3" t="e">
        <f>T33 / 2</f>
        <v>#VALUE!</v>
      </c>
      <c r="V33" s="3" t="e">
        <f>IF(S33 &gt; 0, R33 &lt; 0, R33 &gt; 0)</f>
        <v>#VALUE!</v>
      </c>
      <c r="W33" s="3" t="e">
        <f>ABS(S33 - R33)</f>
        <v>#VALUE!</v>
      </c>
      <c r="X33" s="3" t="e">
        <f>IF(AND(V33, U33 = 1), "A", IF(AND(V33, U33 &lt; 1), "B", IF(AND(NOT(V33), W33 &gt; 0.01, ABS(R33) &gt; ABS(S33) + 0.001), "C+", IF(AND(NOT(V33), W33 &gt; 0.01, ABS(R33) &lt; ABS(S33) - 0.001), "C-", "D"))))</f>
        <v>#VALUE!</v>
      </c>
    </row>
    <row r="34">
      <c r="A34" s="2" t="s">
        <v>4492</v>
      </c>
      <c r="B34" s="3" t="str">
        <f>A34</f>
        <v>phase-w30-g108-g212-b60</v>
      </c>
      <c r="C34" s="2">
        <v>0.3</v>
      </c>
      <c r="D34" s="2">
        <v>0.08</v>
      </c>
      <c r="E34" s="2">
        <v>0.04</v>
      </c>
      <c r="F34" s="2">
        <v>0.6</v>
      </c>
      <c r="G34" s="3" t="e">
        <f>ROUND(200 * C34)</f>
        <v>#VALUE!</v>
      </c>
      <c r="H34" s="3" t="e">
        <f>ROUND(G34 * (0.5 + F34 / 2))</f>
        <v>#VALUE!</v>
      </c>
      <c r="I34" s="3" t="e">
        <f>G34 - H34</f>
        <v>#VALUE!</v>
      </c>
      <c r="J34" s="3" t="e">
        <f>100 - H34</f>
        <v>#VALUE!</v>
      </c>
      <c r="K34" s="3" t="e">
        <f>100 - I34</f>
        <v>#VALUE!</v>
      </c>
      <c r="L34" s="3">
        <f>0.45 + D34 / 2</f>
        <v>0.49</v>
      </c>
      <c r="M34" s="3">
        <f>0.45 - D34 / 2</f>
        <v>0.41000000000000003</v>
      </c>
      <c r="N34" s="3">
        <f>0.75 + E34 / 2</f>
        <v>0.77</v>
      </c>
      <c r="O34" s="3">
        <f>0.75 - E34 / 2</f>
        <v>0.73</v>
      </c>
      <c r="P34" s="3" t="e">
        <f>(H34 * L34 + J34 * N34) / 100</f>
        <v>#VALUE!</v>
      </c>
      <c r="Q34" s="3" t="e">
        <f>(I34 * M34 + K34 * O34) / 100</f>
        <v>#VALUE!</v>
      </c>
      <c r="R34" s="3" t="e">
        <f>P34 - Q34</f>
        <v>#VALUE!</v>
      </c>
      <c r="S34" s="3">
        <f>C34 * D34 + (1 - C34) * E34</f>
        <v>0.052</v>
      </c>
      <c r="T34" s="3" t="e">
        <f>IF(R34 &gt; 0, IF(D34 &lt; 0, 1, 0) + IF(E34 &lt; 0, 1, 0), IF(D34 &gt; 0, 1, 0) + IF(E34 &gt; 0, 1, 0))</f>
        <v>#VALUE!</v>
      </c>
      <c r="U34" s="3" t="e">
        <f>T34 / 2</f>
        <v>#VALUE!</v>
      </c>
      <c r="V34" s="3" t="e">
        <f>IF(S34 &gt; 0, R34 &lt; 0, R34 &gt; 0)</f>
        <v>#VALUE!</v>
      </c>
      <c r="W34" s="3" t="e">
        <f>ABS(S34 - R34)</f>
        <v>#VALUE!</v>
      </c>
      <c r="X34" s="3" t="e">
        <f>IF(AND(V34, U34 = 1), "A", IF(AND(V34, U34 &lt; 1), "B", IF(AND(NOT(V34), W34 &gt; 0.01, ABS(R34) &gt; ABS(S34) + 0.001), "C+", IF(AND(NOT(V34), W34 &gt; 0.01, ABS(R34) &lt; ABS(S34) - 0.001), "C-", "D"))))</f>
        <v>#VALUE!</v>
      </c>
    </row>
    <row r="35">
      <c r="A35" s="2" t="s">
        <v>4493</v>
      </c>
      <c r="B35" s="3" t="str">
        <f>A35</f>
        <v>phase-w30-g108-g212-b80</v>
      </c>
      <c r="C35" s="2">
        <v>0.3</v>
      </c>
      <c r="D35" s="2">
        <v>0.08</v>
      </c>
      <c r="E35" s="2">
        <v>0.04</v>
      </c>
      <c r="F35" s="2">
        <v>0.8</v>
      </c>
      <c r="G35" s="3" t="e">
        <f>ROUND(200 * C35)</f>
        <v>#VALUE!</v>
      </c>
      <c r="H35" s="3" t="e">
        <f>ROUND(G35 * (0.5 + F35 / 2))</f>
        <v>#VALUE!</v>
      </c>
      <c r="I35" s="3" t="e">
        <f>G35 - H35</f>
        <v>#VALUE!</v>
      </c>
      <c r="J35" s="3" t="e">
        <f>100 - H35</f>
        <v>#VALUE!</v>
      </c>
      <c r="K35" s="3" t="e">
        <f>100 - I35</f>
        <v>#VALUE!</v>
      </c>
      <c r="L35" s="3">
        <f>0.45 + D35 / 2</f>
        <v>0.49</v>
      </c>
      <c r="M35" s="3">
        <f>0.45 - D35 / 2</f>
        <v>0.41000000000000003</v>
      </c>
      <c r="N35" s="3">
        <f>0.75 + E35 / 2</f>
        <v>0.77</v>
      </c>
      <c r="O35" s="3">
        <f>0.75 - E35 / 2</f>
        <v>0.73</v>
      </c>
      <c r="P35" s="3" t="e">
        <f>(H35 * L35 + J35 * N35) / 100</f>
        <v>#VALUE!</v>
      </c>
      <c r="Q35" s="3" t="e">
        <f>(I35 * M35 + K35 * O35) / 100</f>
        <v>#VALUE!</v>
      </c>
      <c r="R35" s="3" t="e">
        <f>P35 - Q35</f>
        <v>#VALUE!</v>
      </c>
      <c r="S35" s="3">
        <f>C35 * D35 + (1 - C35) * E35</f>
        <v>0.052</v>
      </c>
      <c r="T35" s="3" t="e">
        <f>IF(R35 &gt; 0, IF(D35 &lt; 0, 1, 0) + IF(E35 &lt; 0, 1, 0), IF(D35 &gt; 0, 1, 0) + IF(E35 &gt; 0, 1, 0))</f>
        <v>#VALUE!</v>
      </c>
      <c r="U35" s="3" t="e">
        <f>T35 / 2</f>
        <v>#VALUE!</v>
      </c>
      <c r="V35" s="3" t="e">
        <f>IF(S35 &gt; 0, R35 &lt; 0, R35 &gt; 0)</f>
        <v>#VALUE!</v>
      </c>
      <c r="W35" s="3" t="e">
        <f>ABS(S35 - R35)</f>
        <v>#VALUE!</v>
      </c>
      <c r="X35" s="3" t="e">
        <f>IF(AND(V35, U35 = 1), "A", IF(AND(V35, U35 &lt; 1), "B", IF(AND(NOT(V35), W35 &gt; 0.01, ABS(R35) &gt; ABS(S35) + 0.001), "C+", IF(AND(NOT(V35), W35 &gt; 0.01, ABS(R35) &lt; ABS(S35) - 0.001), "C-", "D"))))</f>
        <v>#VALUE!</v>
      </c>
    </row>
    <row r="36">
      <c r="A36" s="2" t="s">
        <v>4494</v>
      </c>
      <c r="B36" s="3" t="str">
        <f>A36</f>
        <v>phase-w30-g108-g212-b95</v>
      </c>
      <c r="C36" s="2">
        <v>0.3</v>
      </c>
      <c r="D36" s="2">
        <v>0.08</v>
      </c>
      <c r="E36" s="2">
        <v>0.04</v>
      </c>
      <c r="F36" s="2">
        <v>0.95</v>
      </c>
      <c r="G36" s="3" t="e">
        <f>ROUND(200 * C36)</f>
        <v>#VALUE!</v>
      </c>
      <c r="H36" s="3" t="e">
        <f>ROUND(G36 * (0.5 + F36 / 2))</f>
        <v>#VALUE!</v>
      </c>
      <c r="I36" s="3" t="e">
        <f>G36 - H36</f>
        <v>#VALUE!</v>
      </c>
      <c r="J36" s="3" t="e">
        <f>100 - H36</f>
        <v>#VALUE!</v>
      </c>
      <c r="K36" s="3" t="e">
        <f>100 - I36</f>
        <v>#VALUE!</v>
      </c>
      <c r="L36" s="3">
        <f>0.45 + D36 / 2</f>
        <v>0.49</v>
      </c>
      <c r="M36" s="3">
        <f>0.45 - D36 / 2</f>
        <v>0.41000000000000003</v>
      </c>
      <c r="N36" s="3">
        <f>0.75 + E36 / 2</f>
        <v>0.77</v>
      </c>
      <c r="O36" s="3">
        <f>0.75 - E36 / 2</f>
        <v>0.73</v>
      </c>
      <c r="P36" s="3" t="e">
        <f>(H36 * L36 + J36 * N36) / 100</f>
        <v>#VALUE!</v>
      </c>
      <c r="Q36" s="3" t="e">
        <f>(I36 * M36 + K36 * O36) / 100</f>
        <v>#VALUE!</v>
      </c>
      <c r="R36" s="3" t="e">
        <f>P36 - Q36</f>
        <v>#VALUE!</v>
      </c>
      <c r="S36" s="3">
        <f>C36 * D36 + (1 - C36) * E36</f>
        <v>0.052</v>
      </c>
      <c r="T36" s="3" t="e">
        <f>IF(R36 &gt; 0, IF(D36 &lt; 0, 1, 0) + IF(E36 &lt; 0, 1, 0), IF(D36 &gt; 0, 1, 0) + IF(E36 &gt; 0, 1, 0))</f>
        <v>#VALUE!</v>
      </c>
      <c r="U36" s="3" t="e">
        <f>T36 / 2</f>
        <v>#VALUE!</v>
      </c>
      <c r="V36" s="3" t="e">
        <f>IF(S36 &gt; 0, R36 &lt; 0, R36 &gt; 0)</f>
        <v>#VALUE!</v>
      </c>
      <c r="W36" s="3" t="e">
        <f>ABS(S36 - R36)</f>
        <v>#VALUE!</v>
      </c>
      <c r="X36" s="3" t="e">
        <f>IF(AND(V36, U36 = 1), "A", IF(AND(V36, U36 &lt; 1), "B", IF(AND(NOT(V36), W36 &gt; 0.01, ABS(R36) &gt; ABS(S36) + 0.001), "C+", IF(AND(NOT(V36), W36 &gt; 0.01, ABS(R36) &lt; ABS(S36) - 0.001), "C-", "D"))))</f>
        <v>#VALUE!</v>
      </c>
    </row>
    <row r="37">
      <c r="A37" s="2" t="s">
        <v>4495</v>
      </c>
      <c r="B37" s="3" t="str">
        <f>A37</f>
        <v>phase-w30-g108-g216-b00</v>
      </c>
      <c r="C37" s="2">
        <v>0.3</v>
      </c>
      <c r="D37" s="2">
        <v>0.08</v>
      </c>
      <c r="E37" s="2">
        <v>0.08</v>
      </c>
      <c r="F37" s="2">
        <v>0</v>
      </c>
      <c r="G37" s="3" t="e">
        <f>ROUND(200 * C37)</f>
        <v>#VALUE!</v>
      </c>
      <c r="H37" s="3" t="e">
        <f>ROUND(G37 * (0.5 + F37 / 2))</f>
        <v>#VALUE!</v>
      </c>
      <c r="I37" s="3" t="e">
        <f>G37 - H37</f>
        <v>#VALUE!</v>
      </c>
      <c r="J37" s="3" t="e">
        <f>100 - H37</f>
        <v>#VALUE!</v>
      </c>
      <c r="K37" s="3" t="e">
        <f>100 - I37</f>
        <v>#VALUE!</v>
      </c>
      <c r="L37" s="3">
        <f>0.45 + D37 / 2</f>
        <v>0.49</v>
      </c>
      <c r="M37" s="3">
        <f>0.45 - D37 / 2</f>
        <v>0.41000000000000003</v>
      </c>
      <c r="N37" s="3">
        <f>0.75 + E37 / 2</f>
        <v>0.79</v>
      </c>
      <c r="O37" s="3">
        <f>0.75 - E37 / 2</f>
        <v>0.71</v>
      </c>
      <c r="P37" s="3" t="e">
        <f>(H37 * L37 + J37 * N37) / 100</f>
        <v>#VALUE!</v>
      </c>
      <c r="Q37" s="3" t="e">
        <f>(I37 * M37 + K37 * O37) / 100</f>
        <v>#VALUE!</v>
      </c>
      <c r="R37" s="3" t="e">
        <f>P37 - Q37</f>
        <v>#VALUE!</v>
      </c>
      <c r="S37" s="3">
        <f>C37 * D37 + (1 - C37) * E37</f>
        <v>0.07999999999999999</v>
      </c>
      <c r="T37" s="3" t="e">
        <f>IF(R37 &gt; 0, IF(D37 &lt; 0, 1, 0) + IF(E37 &lt; 0, 1, 0), IF(D37 &gt; 0, 1, 0) + IF(E37 &gt; 0, 1, 0))</f>
        <v>#VALUE!</v>
      </c>
      <c r="U37" s="3" t="e">
        <f>T37 / 2</f>
        <v>#VALUE!</v>
      </c>
      <c r="V37" s="3" t="e">
        <f>IF(S37 &gt; 0, R37 &lt; 0, R37 &gt; 0)</f>
        <v>#VALUE!</v>
      </c>
      <c r="W37" s="3" t="e">
        <f>ABS(S37 - R37)</f>
        <v>#VALUE!</v>
      </c>
      <c r="X37" s="3" t="e">
        <f>IF(AND(V37, U37 = 1), "A", IF(AND(V37, U37 &lt; 1), "B", IF(AND(NOT(V37), W37 &gt; 0.01, ABS(R37) &gt; ABS(S37) + 0.001), "C+", IF(AND(NOT(V37), W37 &gt; 0.01, ABS(R37) &lt; ABS(S37) - 0.001), "C-", "D"))))</f>
        <v>#VALUE!</v>
      </c>
    </row>
    <row r="38">
      <c r="A38" s="2" t="s">
        <v>4496</v>
      </c>
      <c r="B38" s="3" t="str">
        <f>A38</f>
        <v>phase-w30-g108-g216-b30</v>
      </c>
      <c r="C38" s="2">
        <v>0.3</v>
      </c>
      <c r="D38" s="2">
        <v>0.08</v>
      </c>
      <c r="E38" s="2">
        <v>0.08</v>
      </c>
      <c r="F38" s="2">
        <v>0.3</v>
      </c>
      <c r="G38" s="3" t="e">
        <f>ROUND(200 * C38)</f>
        <v>#VALUE!</v>
      </c>
      <c r="H38" s="3" t="e">
        <f>ROUND(G38 * (0.5 + F38 / 2))</f>
        <v>#VALUE!</v>
      </c>
      <c r="I38" s="3" t="e">
        <f>G38 - H38</f>
        <v>#VALUE!</v>
      </c>
      <c r="J38" s="3" t="e">
        <f>100 - H38</f>
        <v>#VALUE!</v>
      </c>
      <c r="K38" s="3" t="e">
        <f>100 - I38</f>
        <v>#VALUE!</v>
      </c>
      <c r="L38" s="3">
        <f>0.45 + D38 / 2</f>
        <v>0.49</v>
      </c>
      <c r="M38" s="3">
        <f>0.45 - D38 / 2</f>
        <v>0.41000000000000003</v>
      </c>
      <c r="N38" s="3">
        <f>0.75 + E38 / 2</f>
        <v>0.79</v>
      </c>
      <c r="O38" s="3">
        <f>0.75 - E38 / 2</f>
        <v>0.71</v>
      </c>
      <c r="P38" s="3" t="e">
        <f>(H38 * L38 + J38 * N38) / 100</f>
        <v>#VALUE!</v>
      </c>
      <c r="Q38" s="3" t="e">
        <f>(I38 * M38 + K38 * O38) / 100</f>
        <v>#VALUE!</v>
      </c>
      <c r="R38" s="3" t="e">
        <f>P38 - Q38</f>
        <v>#VALUE!</v>
      </c>
      <c r="S38" s="3">
        <f>C38 * D38 + (1 - C38) * E38</f>
        <v>0.07999999999999999</v>
      </c>
      <c r="T38" s="3" t="e">
        <f>IF(R38 &gt; 0, IF(D38 &lt; 0, 1, 0) + IF(E38 &lt; 0, 1, 0), IF(D38 &gt; 0, 1, 0) + IF(E38 &gt; 0, 1, 0))</f>
        <v>#VALUE!</v>
      </c>
      <c r="U38" s="3" t="e">
        <f>T38 / 2</f>
        <v>#VALUE!</v>
      </c>
      <c r="V38" s="3" t="e">
        <f>IF(S38 &gt; 0, R38 &lt; 0, R38 &gt; 0)</f>
        <v>#VALUE!</v>
      </c>
      <c r="W38" s="3" t="e">
        <f>ABS(S38 - R38)</f>
        <v>#VALUE!</v>
      </c>
      <c r="X38" s="3" t="e">
        <f>IF(AND(V38, U38 = 1), "A", IF(AND(V38, U38 &lt; 1), "B", IF(AND(NOT(V38), W38 &gt; 0.01, ABS(R38) &gt; ABS(S38) + 0.001), "C+", IF(AND(NOT(V38), W38 &gt; 0.01, ABS(R38) &lt; ABS(S38) - 0.001), "C-", "D"))))</f>
        <v>#VALUE!</v>
      </c>
    </row>
    <row r="39">
      <c r="A39" s="2" t="s">
        <v>4497</v>
      </c>
      <c r="B39" s="3" t="str">
        <f>A39</f>
        <v>phase-w30-g108-g216-b60</v>
      </c>
      <c r="C39" s="2">
        <v>0.3</v>
      </c>
      <c r="D39" s="2">
        <v>0.08</v>
      </c>
      <c r="E39" s="2">
        <v>0.08</v>
      </c>
      <c r="F39" s="2">
        <v>0.6</v>
      </c>
      <c r="G39" s="3" t="e">
        <f>ROUND(200 * C39)</f>
        <v>#VALUE!</v>
      </c>
      <c r="H39" s="3" t="e">
        <f>ROUND(G39 * (0.5 + F39 / 2))</f>
        <v>#VALUE!</v>
      </c>
      <c r="I39" s="3" t="e">
        <f>G39 - H39</f>
        <v>#VALUE!</v>
      </c>
      <c r="J39" s="3" t="e">
        <f>100 - H39</f>
        <v>#VALUE!</v>
      </c>
      <c r="K39" s="3" t="e">
        <f>100 - I39</f>
        <v>#VALUE!</v>
      </c>
      <c r="L39" s="3">
        <f>0.45 + D39 / 2</f>
        <v>0.49</v>
      </c>
      <c r="M39" s="3">
        <f>0.45 - D39 / 2</f>
        <v>0.41000000000000003</v>
      </c>
      <c r="N39" s="3">
        <f>0.75 + E39 / 2</f>
        <v>0.79</v>
      </c>
      <c r="O39" s="3">
        <f>0.75 - E39 / 2</f>
        <v>0.71</v>
      </c>
      <c r="P39" s="3" t="e">
        <f>(H39 * L39 + J39 * N39) / 100</f>
        <v>#VALUE!</v>
      </c>
      <c r="Q39" s="3" t="e">
        <f>(I39 * M39 + K39 * O39) / 100</f>
        <v>#VALUE!</v>
      </c>
      <c r="R39" s="3" t="e">
        <f>P39 - Q39</f>
        <v>#VALUE!</v>
      </c>
      <c r="S39" s="3">
        <f>C39 * D39 + (1 - C39) * E39</f>
        <v>0.07999999999999999</v>
      </c>
      <c r="T39" s="3" t="e">
        <f>IF(R39 &gt; 0, IF(D39 &lt; 0, 1, 0) + IF(E39 &lt; 0, 1, 0), IF(D39 &gt; 0, 1, 0) + IF(E39 &gt; 0, 1, 0))</f>
        <v>#VALUE!</v>
      </c>
      <c r="U39" s="3" t="e">
        <f>T39 / 2</f>
        <v>#VALUE!</v>
      </c>
      <c r="V39" s="3" t="e">
        <f>IF(S39 &gt; 0, R39 &lt; 0, R39 &gt; 0)</f>
        <v>#VALUE!</v>
      </c>
      <c r="W39" s="3" t="e">
        <f>ABS(S39 - R39)</f>
        <v>#VALUE!</v>
      </c>
      <c r="X39" s="3" t="e">
        <f>IF(AND(V39, U39 = 1), "A", IF(AND(V39, U39 &lt; 1), "B", IF(AND(NOT(V39), W39 &gt; 0.01, ABS(R39) &gt; ABS(S39) + 0.001), "C+", IF(AND(NOT(V39), W39 &gt; 0.01, ABS(R39) &lt; ABS(S39) - 0.001), "C-", "D"))))</f>
        <v>#VALUE!</v>
      </c>
    </row>
    <row r="40">
      <c r="A40" s="2" t="s">
        <v>4498</v>
      </c>
      <c r="B40" s="3" t="str">
        <f>A40</f>
        <v>phase-w30-g108-g216-b80</v>
      </c>
      <c r="C40" s="2">
        <v>0.3</v>
      </c>
      <c r="D40" s="2">
        <v>0.08</v>
      </c>
      <c r="E40" s="2">
        <v>0.08</v>
      </c>
      <c r="F40" s="2">
        <v>0.8</v>
      </c>
      <c r="G40" s="3" t="e">
        <f>ROUND(200 * C40)</f>
        <v>#VALUE!</v>
      </c>
      <c r="H40" s="3" t="e">
        <f>ROUND(G40 * (0.5 + F40 / 2))</f>
        <v>#VALUE!</v>
      </c>
      <c r="I40" s="3" t="e">
        <f>G40 - H40</f>
        <v>#VALUE!</v>
      </c>
      <c r="J40" s="3" t="e">
        <f>100 - H40</f>
        <v>#VALUE!</v>
      </c>
      <c r="K40" s="3" t="e">
        <f>100 - I40</f>
        <v>#VALUE!</v>
      </c>
      <c r="L40" s="3">
        <f>0.45 + D40 / 2</f>
        <v>0.49</v>
      </c>
      <c r="M40" s="3">
        <f>0.45 - D40 / 2</f>
        <v>0.41000000000000003</v>
      </c>
      <c r="N40" s="3">
        <f>0.75 + E40 / 2</f>
        <v>0.79</v>
      </c>
      <c r="O40" s="3">
        <f>0.75 - E40 / 2</f>
        <v>0.71</v>
      </c>
      <c r="P40" s="3" t="e">
        <f>(H40 * L40 + J40 * N40) / 100</f>
        <v>#VALUE!</v>
      </c>
      <c r="Q40" s="3" t="e">
        <f>(I40 * M40 + K40 * O40) / 100</f>
        <v>#VALUE!</v>
      </c>
      <c r="R40" s="3" t="e">
        <f>P40 - Q40</f>
        <v>#VALUE!</v>
      </c>
      <c r="S40" s="3">
        <f>C40 * D40 + (1 - C40) * E40</f>
        <v>0.07999999999999999</v>
      </c>
      <c r="T40" s="3" t="e">
        <f>IF(R40 &gt; 0, IF(D40 &lt; 0, 1, 0) + IF(E40 &lt; 0, 1, 0), IF(D40 &gt; 0, 1, 0) + IF(E40 &gt; 0, 1, 0))</f>
        <v>#VALUE!</v>
      </c>
      <c r="U40" s="3" t="e">
        <f>T40 / 2</f>
        <v>#VALUE!</v>
      </c>
      <c r="V40" s="3" t="e">
        <f>IF(S40 &gt; 0, R40 &lt; 0, R40 &gt; 0)</f>
        <v>#VALUE!</v>
      </c>
      <c r="W40" s="3" t="e">
        <f>ABS(S40 - R40)</f>
        <v>#VALUE!</v>
      </c>
      <c r="X40" s="3" t="e">
        <f>IF(AND(V40, U40 = 1), "A", IF(AND(V40, U40 &lt; 1), "B", IF(AND(NOT(V40), W40 &gt; 0.01, ABS(R40) &gt; ABS(S40) + 0.001), "C+", IF(AND(NOT(V40), W40 &gt; 0.01, ABS(R40) &lt; ABS(S40) - 0.001), "C-", "D"))))</f>
        <v>#VALUE!</v>
      </c>
    </row>
    <row r="41">
      <c r="A41" s="2" t="s">
        <v>4499</v>
      </c>
      <c r="B41" s="3" t="str">
        <f>A41</f>
        <v>phase-w30-g108-g216-b95</v>
      </c>
      <c r="C41" s="2">
        <v>0.3</v>
      </c>
      <c r="D41" s="2">
        <v>0.08</v>
      </c>
      <c r="E41" s="2">
        <v>0.08</v>
      </c>
      <c r="F41" s="2">
        <v>0.95</v>
      </c>
      <c r="G41" s="3" t="e">
        <f>ROUND(200 * C41)</f>
        <v>#VALUE!</v>
      </c>
      <c r="H41" s="3" t="e">
        <f>ROUND(G41 * (0.5 + F41 / 2))</f>
        <v>#VALUE!</v>
      </c>
      <c r="I41" s="3" t="e">
        <f>G41 - H41</f>
        <v>#VALUE!</v>
      </c>
      <c r="J41" s="3" t="e">
        <f>100 - H41</f>
        <v>#VALUE!</v>
      </c>
      <c r="K41" s="3" t="e">
        <f>100 - I41</f>
        <v>#VALUE!</v>
      </c>
      <c r="L41" s="3">
        <f>0.45 + D41 / 2</f>
        <v>0.49</v>
      </c>
      <c r="M41" s="3">
        <f>0.45 - D41 / 2</f>
        <v>0.41000000000000003</v>
      </c>
      <c r="N41" s="3">
        <f>0.75 + E41 / 2</f>
        <v>0.79</v>
      </c>
      <c r="O41" s="3">
        <f>0.75 - E41 / 2</f>
        <v>0.71</v>
      </c>
      <c r="P41" s="3" t="e">
        <f>(H41 * L41 + J41 * N41) / 100</f>
        <v>#VALUE!</v>
      </c>
      <c r="Q41" s="3" t="e">
        <f>(I41 * M41 + K41 * O41) / 100</f>
        <v>#VALUE!</v>
      </c>
      <c r="R41" s="3" t="e">
        <f>P41 - Q41</f>
        <v>#VALUE!</v>
      </c>
      <c r="S41" s="3">
        <f>C41 * D41 + (1 - C41) * E41</f>
        <v>0.07999999999999999</v>
      </c>
      <c r="T41" s="3" t="e">
        <f>IF(R41 &gt; 0, IF(D41 &lt; 0, 1, 0) + IF(E41 &lt; 0, 1, 0), IF(D41 &gt; 0, 1, 0) + IF(E41 &gt; 0, 1, 0))</f>
        <v>#VALUE!</v>
      </c>
      <c r="U41" s="3" t="e">
        <f>T41 / 2</f>
        <v>#VALUE!</v>
      </c>
      <c r="V41" s="3" t="e">
        <f>IF(S41 &gt; 0, R41 &lt; 0, R41 &gt; 0)</f>
        <v>#VALUE!</v>
      </c>
      <c r="W41" s="3" t="e">
        <f>ABS(S41 - R41)</f>
        <v>#VALUE!</v>
      </c>
      <c r="X41" s="3" t="e">
        <f>IF(AND(V41, U41 = 1), "A", IF(AND(V41, U41 &lt; 1), "B", IF(AND(NOT(V41), W41 &gt; 0.01, ABS(R41) &gt; ABS(S41) + 0.001), "C+", IF(AND(NOT(V41), W41 &gt; 0.01, ABS(R41) &lt; ABS(S41) - 0.001), "C-", "D"))))</f>
        <v>#VALUE!</v>
      </c>
    </row>
    <row r="42">
      <c r="A42" s="2" t="s">
        <v>4500</v>
      </c>
      <c r="B42" s="3" t="str">
        <f>A42</f>
        <v>phase-w30-g112-g200-b00</v>
      </c>
      <c r="C42" s="2">
        <v>0.3</v>
      </c>
      <c r="D42" s="2">
        <v>0.12</v>
      </c>
      <c r="E42" s="2">
        <v>-0.08</v>
      </c>
      <c r="F42" s="2">
        <v>0</v>
      </c>
      <c r="G42" s="3" t="e">
        <f>ROUND(200 * C42)</f>
        <v>#VALUE!</v>
      </c>
      <c r="H42" s="3" t="e">
        <f>ROUND(G42 * (0.5 + F42 / 2))</f>
        <v>#VALUE!</v>
      </c>
      <c r="I42" s="3" t="e">
        <f>G42 - H42</f>
        <v>#VALUE!</v>
      </c>
      <c r="J42" s="3" t="e">
        <f>100 - H42</f>
        <v>#VALUE!</v>
      </c>
      <c r="K42" s="3" t="e">
        <f>100 - I42</f>
        <v>#VALUE!</v>
      </c>
      <c r="L42" s="3">
        <f>0.45 + D42 / 2</f>
        <v>0.51</v>
      </c>
      <c r="M42" s="3">
        <f>0.45 - D42 / 2</f>
        <v>0.39</v>
      </c>
      <c r="N42" s="3">
        <f>0.75 + E42 / 2</f>
        <v>0.71</v>
      </c>
      <c r="O42" s="3">
        <f>0.75 - E42 / 2</f>
        <v>0.79</v>
      </c>
      <c r="P42" s="3" t="e">
        <f>(H42 * L42 + J42 * N42) / 100</f>
        <v>#VALUE!</v>
      </c>
      <c r="Q42" s="3" t="e">
        <f>(I42 * M42 + K42 * O42) / 100</f>
        <v>#VALUE!</v>
      </c>
      <c r="R42" s="3" t="e">
        <f>P42 - Q42</f>
        <v>#VALUE!</v>
      </c>
      <c r="S42" s="3">
        <f>C42 * D42 + (1 - C42) * E42</f>
        <v>-0.019999999999999997</v>
      </c>
      <c r="T42" s="3" t="e">
        <f>IF(R42 &gt; 0, IF(D42 &lt; 0, 1, 0) + IF(E42 &lt; 0, 1, 0), IF(D42 &gt; 0, 1, 0) + IF(E42 &gt; 0, 1, 0))</f>
        <v>#VALUE!</v>
      </c>
      <c r="U42" s="3" t="e">
        <f>T42 / 2</f>
        <v>#VALUE!</v>
      </c>
      <c r="V42" s="3" t="e">
        <f>IF(S42 &gt; 0, R42 &lt; 0, R42 &gt; 0)</f>
        <v>#VALUE!</v>
      </c>
      <c r="W42" s="3" t="e">
        <f>ABS(S42 - R42)</f>
        <v>#VALUE!</v>
      </c>
      <c r="X42" s="3" t="e">
        <f>IF(AND(V42, U42 = 1), "A", IF(AND(V42, U42 &lt; 1), "B", IF(AND(NOT(V42), W42 &gt; 0.01, ABS(R42) &gt; ABS(S42) + 0.001), "C+", IF(AND(NOT(V42), W42 &gt; 0.01, ABS(R42) &lt; ABS(S42) - 0.001), "C-", "D"))))</f>
        <v>#VALUE!</v>
      </c>
    </row>
    <row r="43">
      <c r="A43" s="2" t="s">
        <v>4501</v>
      </c>
      <c r="B43" s="3" t="str">
        <f>A43</f>
        <v>phase-w30-g112-g200-b30</v>
      </c>
      <c r="C43" s="2">
        <v>0.3</v>
      </c>
      <c r="D43" s="2">
        <v>0.12</v>
      </c>
      <c r="E43" s="2">
        <v>-0.08</v>
      </c>
      <c r="F43" s="2">
        <v>0.3</v>
      </c>
      <c r="G43" s="3" t="e">
        <f>ROUND(200 * C43)</f>
        <v>#VALUE!</v>
      </c>
      <c r="H43" s="3" t="e">
        <f>ROUND(G43 * (0.5 + F43 / 2))</f>
        <v>#VALUE!</v>
      </c>
      <c r="I43" s="3" t="e">
        <f>G43 - H43</f>
        <v>#VALUE!</v>
      </c>
      <c r="J43" s="3" t="e">
        <f>100 - H43</f>
        <v>#VALUE!</v>
      </c>
      <c r="K43" s="3" t="e">
        <f>100 - I43</f>
        <v>#VALUE!</v>
      </c>
      <c r="L43" s="3">
        <f>0.45 + D43 / 2</f>
        <v>0.51</v>
      </c>
      <c r="M43" s="3">
        <f>0.45 - D43 / 2</f>
        <v>0.39</v>
      </c>
      <c r="N43" s="3">
        <f>0.75 + E43 / 2</f>
        <v>0.71</v>
      </c>
      <c r="O43" s="3">
        <f>0.75 - E43 / 2</f>
        <v>0.79</v>
      </c>
      <c r="P43" s="3" t="e">
        <f>(H43 * L43 + J43 * N43) / 100</f>
        <v>#VALUE!</v>
      </c>
      <c r="Q43" s="3" t="e">
        <f>(I43 * M43 + K43 * O43) / 100</f>
        <v>#VALUE!</v>
      </c>
      <c r="R43" s="3" t="e">
        <f>P43 - Q43</f>
        <v>#VALUE!</v>
      </c>
      <c r="S43" s="3">
        <f>C43 * D43 + (1 - C43) * E43</f>
        <v>-0.019999999999999997</v>
      </c>
      <c r="T43" s="3" t="e">
        <f>IF(R43 &gt; 0, IF(D43 &lt; 0, 1, 0) + IF(E43 &lt; 0, 1, 0), IF(D43 &gt; 0, 1, 0) + IF(E43 &gt; 0, 1, 0))</f>
        <v>#VALUE!</v>
      </c>
      <c r="U43" s="3" t="e">
        <f>T43 / 2</f>
        <v>#VALUE!</v>
      </c>
      <c r="V43" s="3" t="e">
        <f>IF(S43 &gt; 0, R43 &lt; 0, R43 &gt; 0)</f>
        <v>#VALUE!</v>
      </c>
      <c r="W43" s="3" t="e">
        <f>ABS(S43 - R43)</f>
        <v>#VALUE!</v>
      </c>
      <c r="X43" s="3" t="e">
        <f>IF(AND(V43, U43 = 1), "A", IF(AND(V43, U43 &lt; 1), "B", IF(AND(NOT(V43), W43 &gt; 0.01, ABS(R43) &gt; ABS(S43) + 0.001), "C+", IF(AND(NOT(V43), W43 &gt; 0.01, ABS(R43) &lt; ABS(S43) - 0.001), "C-", "D"))))</f>
        <v>#VALUE!</v>
      </c>
    </row>
    <row r="44">
      <c r="A44" s="2" t="s">
        <v>4502</v>
      </c>
      <c r="B44" s="3" t="str">
        <f>A44</f>
        <v>phase-w30-g112-g200-b60</v>
      </c>
      <c r="C44" s="2">
        <v>0.3</v>
      </c>
      <c r="D44" s="2">
        <v>0.12</v>
      </c>
      <c r="E44" s="2">
        <v>-0.08</v>
      </c>
      <c r="F44" s="2">
        <v>0.6</v>
      </c>
      <c r="G44" s="3" t="e">
        <f>ROUND(200 * C44)</f>
        <v>#VALUE!</v>
      </c>
      <c r="H44" s="3" t="e">
        <f>ROUND(G44 * (0.5 + F44 / 2))</f>
        <v>#VALUE!</v>
      </c>
      <c r="I44" s="3" t="e">
        <f>G44 - H44</f>
        <v>#VALUE!</v>
      </c>
      <c r="J44" s="3" t="e">
        <f>100 - H44</f>
        <v>#VALUE!</v>
      </c>
      <c r="K44" s="3" t="e">
        <f>100 - I44</f>
        <v>#VALUE!</v>
      </c>
      <c r="L44" s="3">
        <f>0.45 + D44 / 2</f>
        <v>0.51</v>
      </c>
      <c r="M44" s="3">
        <f>0.45 - D44 / 2</f>
        <v>0.39</v>
      </c>
      <c r="N44" s="3">
        <f>0.75 + E44 / 2</f>
        <v>0.71</v>
      </c>
      <c r="O44" s="3">
        <f>0.75 - E44 / 2</f>
        <v>0.79</v>
      </c>
      <c r="P44" s="3" t="e">
        <f>(H44 * L44 + J44 * N44) / 100</f>
        <v>#VALUE!</v>
      </c>
      <c r="Q44" s="3" t="e">
        <f>(I44 * M44 + K44 * O44) / 100</f>
        <v>#VALUE!</v>
      </c>
      <c r="R44" s="3" t="e">
        <f>P44 - Q44</f>
        <v>#VALUE!</v>
      </c>
      <c r="S44" s="3">
        <f>C44 * D44 + (1 - C44) * E44</f>
        <v>-0.019999999999999997</v>
      </c>
      <c r="T44" s="3" t="e">
        <f>IF(R44 &gt; 0, IF(D44 &lt; 0, 1, 0) + IF(E44 &lt; 0, 1, 0), IF(D44 &gt; 0, 1, 0) + IF(E44 &gt; 0, 1, 0))</f>
        <v>#VALUE!</v>
      </c>
      <c r="U44" s="3" t="e">
        <f>T44 / 2</f>
        <v>#VALUE!</v>
      </c>
      <c r="V44" s="3" t="e">
        <f>IF(S44 &gt; 0, R44 &lt; 0, R44 &gt; 0)</f>
        <v>#VALUE!</v>
      </c>
      <c r="W44" s="3" t="e">
        <f>ABS(S44 - R44)</f>
        <v>#VALUE!</v>
      </c>
      <c r="X44" s="3" t="e">
        <f>IF(AND(V44, U44 = 1), "A", IF(AND(V44, U44 &lt; 1), "B", IF(AND(NOT(V44), W44 &gt; 0.01, ABS(R44) &gt; ABS(S44) + 0.001), "C+", IF(AND(NOT(V44), W44 &gt; 0.01, ABS(R44) &lt; ABS(S44) - 0.001), "C-", "D"))))</f>
        <v>#VALUE!</v>
      </c>
    </row>
    <row r="45">
      <c r="A45" s="2" t="s">
        <v>4503</v>
      </c>
      <c r="B45" s="3" t="str">
        <f>A45</f>
        <v>phase-w30-g112-g200-b80</v>
      </c>
      <c r="C45" s="2">
        <v>0.3</v>
      </c>
      <c r="D45" s="2">
        <v>0.12</v>
      </c>
      <c r="E45" s="2">
        <v>-0.08</v>
      </c>
      <c r="F45" s="2">
        <v>0.8</v>
      </c>
      <c r="G45" s="3" t="e">
        <f>ROUND(200 * C45)</f>
        <v>#VALUE!</v>
      </c>
      <c r="H45" s="3" t="e">
        <f>ROUND(G45 * (0.5 + F45 / 2))</f>
        <v>#VALUE!</v>
      </c>
      <c r="I45" s="3" t="e">
        <f>G45 - H45</f>
        <v>#VALUE!</v>
      </c>
      <c r="J45" s="3" t="e">
        <f>100 - H45</f>
        <v>#VALUE!</v>
      </c>
      <c r="K45" s="3" t="e">
        <f>100 - I45</f>
        <v>#VALUE!</v>
      </c>
      <c r="L45" s="3">
        <f>0.45 + D45 / 2</f>
        <v>0.51</v>
      </c>
      <c r="M45" s="3">
        <f>0.45 - D45 / 2</f>
        <v>0.39</v>
      </c>
      <c r="N45" s="3">
        <f>0.75 + E45 / 2</f>
        <v>0.71</v>
      </c>
      <c r="O45" s="3">
        <f>0.75 - E45 / 2</f>
        <v>0.79</v>
      </c>
      <c r="P45" s="3" t="e">
        <f>(H45 * L45 + J45 * N45) / 100</f>
        <v>#VALUE!</v>
      </c>
      <c r="Q45" s="3" t="e">
        <f>(I45 * M45 + K45 * O45) / 100</f>
        <v>#VALUE!</v>
      </c>
      <c r="R45" s="3" t="e">
        <f>P45 - Q45</f>
        <v>#VALUE!</v>
      </c>
      <c r="S45" s="3">
        <f>C45 * D45 + (1 - C45) * E45</f>
        <v>-0.019999999999999997</v>
      </c>
      <c r="T45" s="3" t="e">
        <f>IF(R45 &gt; 0, IF(D45 &lt; 0, 1, 0) + IF(E45 &lt; 0, 1, 0), IF(D45 &gt; 0, 1, 0) + IF(E45 &gt; 0, 1, 0))</f>
        <v>#VALUE!</v>
      </c>
      <c r="U45" s="3" t="e">
        <f>T45 / 2</f>
        <v>#VALUE!</v>
      </c>
      <c r="V45" s="3" t="e">
        <f>IF(S45 &gt; 0, R45 &lt; 0, R45 &gt; 0)</f>
        <v>#VALUE!</v>
      </c>
      <c r="W45" s="3" t="e">
        <f>ABS(S45 - R45)</f>
        <v>#VALUE!</v>
      </c>
      <c r="X45" s="3" t="e">
        <f>IF(AND(V45, U45 = 1), "A", IF(AND(V45, U45 &lt; 1), "B", IF(AND(NOT(V45), W45 &gt; 0.01, ABS(R45) &gt; ABS(S45) + 0.001), "C+", IF(AND(NOT(V45), W45 &gt; 0.01, ABS(R45) &lt; ABS(S45) - 0.001), "C-", "D"))))</f>
        <v>#VALUE!</v>
      </c>
    </row>
    <row r="46">
      <c r="A46" s="2" t="s">
        <v>4504</v>
      </c>
      <c r="B46" s="3" t="str">
        <f>A46</f>
        <v>phase-w30-g112-g200-b95</v>
      </c>
      <c r="C46" s="2">
        <v>0.3</v>
      </c>
      <c r="D46" s="2">
        <v>0.12</v>
      </c>
      <c r="E46" s="2">
        <v>-0.08</v>
      </c>
      <c r="F46" s="2">
        <v>0.95</v>
      </c>
      <c r="G46" s="3" t="e">
        <f>ROUND(200 * C46)</f>
        <v>#VALUE!</v>
      </c>
      <c r="H46" s="3" t="e">
        <f>ROUND(G46 * (0.5 + F46 / 2))</f>
        <v>#VALUE!</v>
      </c>
      <c r="I46" s="3" t="e">
        <f>G46 - H46</f>
        <v>#VALUE!</v>
      </c>
      <c r="J46" s="3" t="e">
        <f>100 - H46</f>
        <v>#VALUE!</v>
      </c>
      <c r="K46" s="3" t="e">
        <f>100 - I46</f>
        <v>#VALUE!</v>
      </c>
      <c r="L46" s="3">
        <f>0.45 + D46 / 2</f>
        <v>0.51</v>
      </c>
      <c r="M46" s="3">
        <f>0.45 - D46 / 2</f>
        <v>0.39</v>
      </c>
      <c r="N46" s="3">
        <f>0.75 + E46 / 2</f>
        <v>0.71</v>
      </c>
      <c r="O46" s="3">
        <f>0.75 - E46 / 2</f>
        <v>0.79</v>
      </c>
      <c r="P46" s="3" t="e">
        <f>(H46 * L46 + J46 * N46) / 100</f>
        <v>#VALUE!</v>
      </c>
      <c r="Q46" s="3" t="e">
        <f>(I46 * M46 + K46 * O46) / 100</f>
        <v>#VALUE!</v>
      </c>
      <c r="R46" s="3" t="e">
        <f>P46 - Q46</f>
        <v>#VALUE!</v>
      </c>
      <c r="S46" s="3">
        <f>C46 * D46 + (1 - C46) * E46</f>
        <v>-0.019999999999999997</v>
      </c>
      <c r="T46" s="3" t="e">
        <f>IF(R46 &gt; 0, IF(D46 &lt; 0, 1, 0) + IF(E46 &lt; 0, 1, 0), IF(D46 &gt; 0, 1, 0) + IF(E46 &gt; 0, 1, 0))</f>
        <v>#VALUE!</v>
      </c>
      <c r="U46" s="3" t="e">
        <f>T46 / 2</f>
        <v>#VALUE!</v>
      </c>
      <c r="V46" s="3" t="e">
        <f>IF(S46 &gt; 0, R46 &lt; 0, R46 &gt; 0)</f>
        <v>#VALUE!</v>
      </c>
      <c r="W46" s="3" t="e">
        <f>ABS(S46 - R46)</f>
        <v>#VALUE!</v>
      </c>
      <c r="X46" s="3" t="e">
        <f>IF(AND(V46, U46 = 1), "A", IF(AND(V46, U46 &lt; 1), "B", IF(AND(NOT(V46), W46 &gt; 0.01, ABS(R46) &gt; ABS(S46) + 0.001), "C+", IF(AND(NOT(V46), W46 &gt; 0.01, ABS(R46) &lt; ABS(S46) - 0.001), "C-", "D"))))</f>
        <v>#VALUE!</v>
      </c>
    </row>
    <row r="47">
      <c r="A47" s="2" t="s">
        <v>4505</v>
      </c>
      <c r="B47" s="3" t="str">
        <f>A47</f>
        <v>phase-w30-g112-g208-b00</v>
      </c>
      <c r="C47" s="2">
        <v>0.3</v>
      </c>
      <c r="D47" s="2">
        <v>0.12</v>
      </c>
      <c r="E47" s="2">
        <v>0</v>
      </c>
      <c r="F47" s="2">
        <v>0</v>
      </c>
      <c r="G47" s="3" t="e">
        <f>ROUND(200 * C47)</f>
        <v>#VALUE!</v>
      </c>
      <c r="H47" s="3" t="e">
        <f>ROUND(G47 * (0.5 + F47 / 2))</f>
        <v>#VALUE!</v>
      </c>
      <c r="I47" s="3" t="e">
        <f>G47 - H47</f>
        <v>#VALUE!</v>
      </c>
      <c r="J47" s="3" t="e">
        <f>100 - H47</f>
        <v>#VALUE!</v>
      </c>
      <c r="K47" s="3" t="e">
        <f>100 - I47</f>
        <v>#VALUE!</v>
      </c>
      <c r="L47" s="3">
        <f>0.45 + D47 / 2</f>
        <v>0.51</v>
      </c>
      <c r="M47" s="3">
        <f>0.45 - D47 / 2</f>
        <v>0.39</v>
      </c>
      <c r="N47" s="3">
        <f>0.75 + E47 / 2</f>
        <v>0.75</v>
      </c>
      <c r="O47" s="3">
        <f>0.75 - E47 / 2</f>
        <v>0.75</v>
      </c>
      <c r="P47" s="3" t="e">
        <f>(H47 * L47 + J47 * N47) / 100</f>
        <v>#VALUE!</v>
      </c>
      <c r="Q47" s="3" t="e">
        <f>(I47 * M47 + K47 * O47) / 100</f>
        <v>#VALUE!</v>
      </c>
      <c r="R47" s="3" t="e">
        <f>P47 - Q47</f>
        <v>#VALUE!</v>
      </c>
      <c r="S47" s="3">
        <f>C47 * D47 + (1 - C47) * E47</f>
        <v>0.036</v>
      </c>
      <c r="T47" s="3" t="e">
        <f>IF(R47 &gt; 0, IF(D47 &lt; 0, 1, 0) + IF(E47 &lt; 0, 1, 0), IF(D47 &gt; 0, 1, 0) + IF(E47 &gt; 0, 1, 0))</f>
        <v>#VALUE!</v>
      </c>
      <c r="U47" s="3" t="e">
        <f>T47 / 2</f>
        <v>#VALUE!</v>
      </c>
      <c r="V47" s="3" t="e">
        <f>IF(S47 &gt; 0, R47 &lt; 0, R47 &gt; 0)</f>
        <v>#VALUE!</v>
      </c>
      <c r="W47" s="3" t="e">
        <f>ABS(S47 - R47)</f>
        <v>#VALUE!</v>
      </c>
      <c r="X47" s="3" t="e">
        <f>IF(AND(V47, U47 = 1), "A", IF(AND(V47, U47 &lt; 1), "B", IF(AND(NOT(V47), W47 &gt; 0.01, ABS(R47) &gt; ABS(S47) + 0.001), "C+", IF(AND(NOT(V47), W47 &gt; 0.01, ABS(R47) &lt; ABS(S47) - 0.001), "C-", "D"))))</f>
        <v>#VALUE!</v>
      </c>
    </row>
    <row r="48">
      <c r="A48" s="2" t="s">
        <v>4506</v>
      </c>
      <c r="B48" s="3" t="str">
        <f>A48</f>
        <v>phase-w30-g112-g208-b30</v>
      </c>
      <c r="C48" s="2">
        <v>0.3</v>
      </c>
      <c r="D48" s="2">
        <v>0.12</v>
      </c>
      <c r="E48" s="2">
        <v>0</v>
      </c>
      <c r="F48" s="2">
        <v>0.3</v>
      </c>
      <c r="G48" s="3" t="e">
        <f>ROUND(200 * C48)</f>
        <v>#VALUE!</v>
      </c>
      <c r="H48" s="3" t="e">
        <f>ROUND(G48 * (0.5 + F48 / 2))</f>
        <v>#VALUE!</v>
      </c>
      <c r="I48" s="3" t="e">
        <f>G48 - H48</f>
        <v>#VALUE!</v>
      </c>
      <c r="J48" s="3" t="e">
        <f>100 - H48</f>
        <v>#VALUE!</v>
      </c>
      <c r="K48" s="3" t="e">
        <f>100 - I48</f>
        <v>#VALUE!</v>
      </c>
      <c r="L48" s="3">
        <f>0.45 + D48 / 2</f>
        <v>0.51</v>
      </c>
      <c r="M48" s="3">
        <f>0.45 - D48 / 2</f>
        <v>0.39</v>
      </c>
      <c r="N48" s="3">
        <f>0.75 + E48 / 2</f>
        <v>0.75</v>
      </c>
      <c r="O48" s="3">
        <f>0.75 - E48 / 2</f>
        <v>0.75</v>
      </c>
      <c r="P48" s="3" t="e">
        <f>(H48 * L48 + J48 * N48) / 100</f>
        <v>#VALUE!</v>
      </c>
      <c r="Q48" s="3" t="e">
        <f>(I48 * M48 + K48 * O48) / 100</f>
        <v>#VALUE!</v>
      </c>
      <c r="R48" s="3" t="e">
        <f>P48 - Q48</f>
        <v>#VALUE!</v>
      </c>
      <c r="S48" s="3">
        <f>C48 * D48 + (1 - C48) * E48</f>
        <v>0.036</v>
      </c>
      <c r="T48" s="3" t="e">
        <f>IF(R48 &gt; 0, IF(D48 &lt; 0, 1, 0) + IF(E48 &lt; 0, 1, 0), IF(D48 &gt; 0, 1, 0) + IF(E48 &gt; 0, 1, 0))</f>
        <v>#VALUE!</v>
      </c>
      <c r="U48" s="3" t="e">
        <f>T48 / 2</f>
        <v>#VALUE!</v>
      </c>
      <c r="V48" s="3" t="e">
        <f>IF(S48 &gt; 0, R48 &lt; 0, R48 &gt; 0)</f>
        <v>#VALUE!</v>
      </c>
      <c r="W48" s="3" t="e">
        <f>ABS(S48 - R48)</f>
        <v>#VALUE!</v>
      </c>
      <c r="X48" s="3" t="e">
        <f>IF(AND(V48, U48 = 1), "A", IF(AND(V48, U48 &lt; 1), "B", IF(AND(NOT(V48), W48 &gt; 0.01, ABS(R48) &gt; ABS(S48) + 0.001), "C+", IF(AND(NOT(V48), W48 &gt; 0.01, ABS(R48) &lt; ABS(S48) - 0.001), "C-", "D"))))</f>
        <v>#VALUE!</v>
      </c>
    </row>
    <row r="49">
      <c r="A49" s="2" t="s">
        <v>4507</v>
      </c>
      <c r="B49" s="3" t="str">
        <f>A49</f>
        <v>phase-w30-g112-g208-b60</v>
      </c>
      <c r="C49" s="2">
        <v>0.3</v>
      </c>
      <c r="D49" s="2">
        <v>0.12</v>
      </c>
      <c r="E49" s="2">
        <v>0</v>
      </c>
      <c r="F49" s="2">
        <v>0.6</v>
      </c>
      <c r="G49" s="3" t="e">
        <f>ROUND(200 * C49)</f>
        <v>#VALUE!</v>
      </c>
      <c r="H49" s="3" t="e">
        <f>ROUND(G49 * (0.5 + F49 / 2))</f>
        <v>#VALUE!</v>
      </c>
      <c r="I49" s="3" t="e">
        <f>G49 - H49</f>
        <v>#VALUE!</v>
      </c>
      <c r="J49" s="3" t="e">
        <f>100 - H49</f>
        <v>#VALUE!</v>
      </c>
      <c r="K49" s="3" t="e">
        <f>100 - I49</f>
        <v>#VALUE!</v>
      </c>
      <c r="L49" s="3">
        <f>0.45 + D49 / 2</f>
        <v>0.51</v>
      </c>
      <c r="M49" s="3">
        <f>0.45 - D49 / 2</f>
        <v>0.39</v>
      </c>
      <c r="N49" s="3">
        <f>0.75 + E49 / 2</f>
        <v>0.75</v>
      </c>
      <c r="O49" s="3">
        <f>0.75 - E49 / 2</f>
        <v>0.75</v>
      </c>
      <c r="P49" s="3" t="e">
        <f>(H49 * L49 + J49 * N49) / 100</f>
        <v>#VALUE!</v>
      </c>
      <c r="Q49" s="3" t="e">
        <f>(I49 * M49 + K49 * O49) / 100</f>
        <v>#VALUE!</v>
      </c>
      <c r="R49" s="3" t="e">
        <f>P49 - Q49</f>
        <v>#VALUE!</v>
      </c>
      <c r="S49" s="3">
        <f>C49 * D49 + (1 - C49) * E49</f>
        <v>0.036</v>
      </c>
      <c r="T49" s="3" t="e">
        <f>IF(R49 &gt; 0, IF(D49 &lt; 0, 1, 0) + IF(E49 &lt; 0, 1, 0), IF(D49 &gt; 0, 1, 0) + IF(E49 &gt; 0, 1, 0))</f>
        <v>#VALUE!</v>
      </c>
      <c r="U49" s="3" t="e">
        <f>T49 / 2</f>
        <v>#VALUE!</v>
      </c>
      <c r="V49" s="3" t="e">
        <f>IF(S49 &gt; 0, R49 &lt; 0, R49 &gt; 0)</f>
        <v>#VALUE!</v>
      </c>
      <c r="W49" s="3" t="e">
        <f>ABS(S49 - R49)</f>
        <v>#VALUE!</v>
      </c>
      <c r="X49" s="3" t="e">
        <f>IF(AND(V49, U49 = 1), "A", IF(AND(V49, U49 &lt; 1), "B", IF(AND(NOT(V49), W49 &gt; 0.01, ABS(R49) &gt; ABS(S49) + 0.001), "C+", IF(AND(NOT(V49), W49 &gt; 0.01, ABS(R49) &lt; ABS(S49) - 0.001), "C-", "D"))))</f>
        <v>#VALUE!</v>
      </c>
    </row>
    <row r="50">
      <c r="A50" s="2" t="s">
        <v>4508</v>
      </c>
      <c r="B50" s="3" t="str">
        <f>A50</f>
        <v>phase-w30-g112-g208-b80</v>
      </c>
      <c r="C50" s="2">
        <v>0.3</v>
      </c>
      <c r="D50" s="2">
        <v>0.12</v>
      </c>
      <c r="E50" s="2">
        <v>0</v>
      </c>
      <c r="F50" s="2">
        <v>0.8</v>
      </c>
      <c r="G50" s="3" t="e">
        <f>ROUND(200 * C50)</f>
        <v>#VALUE!</v>
      </c>
      <c r="H50" s="3" t="e">
        <f>ROUND(G50 * (0.5 + F50 / 2))</f>
        <v>#VALUE!</v>
      </c>
      <c r="I50" s="3" t="e">
        <f>G50 - H50</f>
        <v>#VALUE!</v>
      </c>
      <c r="J50" s="3" t="e">
        <f>100 - H50</f>
        <v>#VALUE!</v>
      </c>
      <c r="K50" s="3" t="e">
        <f>100 - I50</f>
        <v>#VALUE!</v>
      </c>
      <c r="L50" s="3">
        <f>0.45 + D50 / 2</f>
        <v>0.51</v>
      </c>
      <c r="M50" s="3">
        <f>0.45 - D50 / 2</f>
        <v>0.39</v>
      </c>
      <c r="N50" s="3">
        <f>0.75 + E50 / 2</f>
        <v>0.75</v>
      </c>
      <c r="O50" s="3">
        <f>0.75 - E50 / 2</f>
        <v>0.75</v>
      </c>
      <c r="P50" s="3" t="e">
        <f>(H50 * L50 + J50 * N50) / 100</f>
        <v>#VALUE!</v>
      </c>
      <c r="Q50" s="3" t="e">
        <f>(I50 * M50 + K50 * O50) / 100</f>
        <v>#VALUE!</v>
      </c>
      <c r="R50" s="3" t="e">
        <f>P50 - Q50</f>
        <v>#VALUE!</v>
      </c>
      <c r="S50" s="3">
        <f>C50 * D50 + (1 - C50) * E50</f>
        <v>0.036</v>
      </c>
      <c r="T50" s="3" t="e">
        <f>IF(R50 &gt; 0, IF(D50 &lt; 0, 1, 0) + IF(E50 &lt; 0, 1, 0), IF(D50 &gt; 0, 1, 0) + IF(E50 &gt; 0, 1, 0))</f>
        <v>#VALUE!</v>
      </c>
      <c r="U50" s="3" t="e">
        <f>T50 / 2</f>
        <v>#VALUE!</v>
      </c>
      <c r="V50" s="3" t="e">
        <f>IF(S50 &gt; 0, R50 &lt; 0, R50 &gt; 0)</f>
        <v>#VALUE!</v>
      </c>
      <c r="W50" s="3" t="e">
        <f>ABS(S50 - R50)</f>
        <v>#VALUE!</v>
      </c>
      <c r="X50" s="3" t="e">
        <f>IF(AND(V50, U50 = 1), "A", IF(AND(V50, U50 &lt; 1), "B", IF(AND(NOT(V50), W50 &gt; 0.01, ABS(R50) &gt; ABS(S50) + 0.001), "C+", IF(AND(NOT(V50), W50 &gt; 0.01, ABS(R50) &lt; ABS(S50) - 0.001), "C-", "D"))))</f>
        <v>#VALUE!</v>
      </c>
    </row>
    <row r="51">
      <c r="A51" s="2" t="s">
        <v>4509</v>
      </c>
      <c r="B51" s="3" t="str">
        <f>A51</f>
        <v>phase-w30-g112-g208-b95</v>
      </c>
      <c r="C51" s="2">
        <v>0.3</v>
      </c>
      <c r="D51" s="2">
        <v>0.12</v>
      </c>
      <c r="E51" s="2">
        <v>0</v>
      </c>
      <c r="F51" s="2">
        <v>0.95</v>
      </c>
      <c r="G51" s="3" t="e">
        <f>ROUND(200 * C51)</f>
        <v>#VALUE!</v>
      </c>
      <c r="H51" s="3" t="e">
        <f>ROUND(G51 * (0.5 + F51 / 2))</f>
        <v>#VALUE!</v>
      </c>
      <c r="I51" s="3" t="e">
        <f>G51 - H51</f>
        <v>#VALUE!</v>
      </c>
      <c r="J51" s="3" t="e">
        <f>100 - H51</f>
        <v>#VALUE!</v>
      </c>
      <c r="K51" s="3" t="e">
        <f>100 - I51</f>
        <v>#VALUE!</v>
      </c>
      <c r="L51" s="3">
        <f>0.45 + D51 / 2</f>
        <v>0.51</v>
      </c>
      <c r="M51" s="3">
        <f>0.45 - D51 / 2</f>
        <v>0.39</v>
      </c>
      <c r="N51" s="3">
        <f>0.75 + E51 / 2</f>
        <v>0.75</v>
      </c>
      <c r="O51" s="3">
        <f>0.75 - E51 / 2</f>
        <v>0.75</v>
      </c>
      <c r="P51" s="3" t="e">
        <f>(H51 * L51 + J51 * N51) / 100</f>
        <v>#VALUE!</v>
      </c>
      <c r="Q51" s="3" t="e">
        <f>(I51 * M51 + K51 * O51) / 100</f>
        <v>#VALUE!</v>
      </c>
      <c r="R51" s="3" t="e">
        <f>P51 - Q51</f>
        <v>#VALUE!</v>
      </c>
      <c r="S51" s="3">
        <f>C51 * D51 + (1 - C51) * E51</f>
        <v>0.036</v>
      </c>
      <c r="T51" s="3" t="e">
        <f>IF(R51 &gt; 0, IF(D51 &lt; 0, 1, 0) + IF(E51 &lt; 0, 1, 0), IF(D51 &gt; 0, 1, 0) + IF(E51 &gt; 0, 1, 0))</f>
        <v>#VALUE!</v>
      </c>
      <c r="U51" s="3" t="e">
        <f>T51 / 2</f>
        <v>#VALUE!</v>
      </c>
      <c r="V51" s="3" t="e">
        <f>IF(S51 &gt; 0, R51 &lt; 0, R51 &gt; 0)</f>
        <v>#VALUE!</v>
      </c>
      <c r="W51" s="3" t="e">
        <f>ABS(S51 - R51)</f>
        <v>#VALUE!</v>
      </c>
      <c r="X51" s="3" t="e">
        <f>IF(AND(V51, U51 = 1), "A", IF(AND(V51, U51 &lt; 1), "B", IF(AND(NOT(V51), W51 &gt; 0.01, ABS(R51) &gt; ABS(S51) + 0.001), "C+", IF(AND(NOT(V51), W51 &gt; 0.01, ABS(R51) &lt; ABS(S51) - 0.001), "C-", "D"))))</f>
        <v>#VALUE!</v>
      </c>
    </row>
    <row r="52">
      <c r="A52" s="2" t="s">
        <v>4510</v>
      </c>
      <c r="B52" s="3" t="str">
        <f>A52</f>
        <v>phase-w30-g112-g212-b00</v>
      </c>
      <c r="C52" s="2">
        <v>0.3</v>
      </c>
      <c r="D52" s="2">
        <v>0.12</v>
      </c>
      <c r="E52" s="2">
        <v>0.04</v>
      </c>
      <c r="F52" s="2">
        <v>0</v>
      </c>
      <c r="G52" s="3" t="e">
        <f>ROUND(200 * C52)</f>
        <v>#VALUE!</v>
      </c>
      <c r="H52" s="3" t="e">
        <f>ROUND(G52 * (0.5 + F52 / 2))</f>
        <v>#VALUE!</v>
      </c>
      <c r="I52" s="3" t="e">
        <f>G52 - H52</f>
        <v>#VALUE!</v>
      </c>
      <c r="J52" s="3" t="e">
        <f>100 - H52</f>
        <v>#VALUE!</v>
      </c>
      <c r="K52" s="3" t="e">
        <f>100 - I52</f>
        <v>#VALUE!</v>
      </c>
      <c r="L52" s="3">
        <f>0.45 + D52 / 2</f>
        <v>0.51</v>
      </c>
      <c r="M52" s="3">
        <f>0.45 - D52 / 2</f>
        <v>0.39</v>
      </c>
      <c r="N52" s="3">
        <f>0.75 + E52 / 2</f>
        <v>0.77</v>
      </c>
      <c r="O52" s="3">
        <f>0.75 - E52 / 2</f>
        <v>0.73</v>
      </c>
      <c r="P52" s="3" t="e">
        <f>(H52 * L52 + J52 * N52) / 100</f>
        <v>#VALUE!</v>
      </c>
      <c r="Q52" s="3" t="e">
        <f>(I52 * M52 + K52 * O52) / 100</f>
        <v>#VALUE!</v>
      </c>
      <c r="R52" s="3" t="e">
        <f>P52 - Q52</f>
        <v>#VALUE!</v>
      </c>
      <c r="S52" s="3">
        <f>C52 * D52 + (1 - C52) * E52</f>
        <v>0.064</v>
      </c>
      <c r="T52" s="3" t="e">
        <f>IF(R52 &gt; 0, IF(D52 &lt; 0, 1, 0) + IF(E52 &lt; 0, 1, 0), IF(D52 &gt; 0, 1, 0) + IF(E52 &gt; 0, 1, 0))</f>
        <v>#VALUE!</v>
      </c>
      <c r="U52" s="3" t="e">
        <f>T52 / 2</f>
        <v>#VALUE!</v>
      </c>
      <c r="V52" s="3" t="e">
        <f>IF(S52 &gt; 0, R52 &lt; 0, R52 &gt; 0)</f>
        <v>#VALUE!</v>
      </c>
      <c r="W52" s="3" t="e">
        <f>ABS(S52 - R52)</f>
        <v>#VALUE!</v>
      </c>
      <c r="X52" s="3" t="e">
        <f>IF(AND(V52, U52 = 1), "A", IF(AND(V52, U52 &lt; 1), "B", IF(AND(NOT(V52), W52 &gt; 0.01, ABS(R52) &gt; ABS(S52) + 0.001), "C+", IF(AND(NOT(V52), W52 &gt; 0.01, ABS(R52) &lt; ABS(S52) - 0.001), "C-", "D"))))</f>
        <v>#VALUE!</v>
      </c>
    </row>
    <row r="53">
      <c r="A53" s="2" t="s">
        <v>4511</v>
      </c>
      <c r="B53" s="3" t="str">
        <f>A53</f>
        <v>phase-w30-g112-g212-b30</v>
      </c>
      <c r="C53" s="2">
        <v>0.3</v>
      </c>
      <c r="D53" s="2">
        <v>0.12</v>
      </c>
      <c r="E53" s="2">
        <v>0.04</v>
      </c>
      <c r="F53" s="2">
        <v>0.3</v>
      </c>
      <c r="G53" s="3" t="e">
        <f>ROUND(200 * C53)</f>
        <v>#VALUE!</v>
      </c>
      <c r="H53" s="3" t="e">
        <f>ROUND(G53 * (0.5 + F53 / 2))</f>
        <v>#VALUE!</v>
      </c>
      <c r="I53" s="3" t="e">
        <f>G53 - H53</f>
        <v>#VALUE!</v>
      </c>
      <c r="J53" s="3" t="e">
        <f>100 - H53</f>
        <v>#VALUE!</v>
      </c>
      <c r="K53" s="3" t="e">
        <f>100 - I53</f>
        <v>#VALUE!</v>
      </c>
      <c r="L53" s="3">
        <f>0.45 + D53 / 2</f>
        <v>0.51</v>
      </c>
      <c r="M53" s="3">
        <f>0.45 - D53 / 2</f>
        <v>0.39</v>
      </c>
      <c r="N53" s="3">
        <f>0.75 + E53 / 2</f>
        <v>0.77</v>
      </c>
      <c r="O53" s="3">
        <f>0.75 - E53 / 2</f>
        <v>0.73</v>
      </c>
      <c r="P53" s="3" t="e">
        <f>(H53 * L53 + J53 * N53) / 100</f>
        <v>#VALUE!</v>
      </c>
      <c r="Q53" s="3" t="e">
        <f>(I53 * M53 + K53 * O53) / 100</f>
        <v>#VALUE!</v>
      </c>
      <c r="R53" s="3" t="e">
        <f>P53 - Q53</f>
        <v>#VALUE!</v>
      </c>
      <c r="S53" s="3">
        <f>C53 * D53 + (1 - C53) * E53</f>
        <v>0.064</v>
      </c>
      <c r="T53" s="3" t="e">
        <f>IF(R53 &gt; 0, IF(D53 &lt; 0, 1, 0) + IF(E53 &lt; 0, 1, 0), IF(D53 &gt; 0, 1, 0) + IF(E53 &gt; 0, 1, 0))</f>
        <v>#VALUE!</v>
      </c>
      <c r="U53" s="3" t="e">
        <f>T53 / 2</f>
        <v>#VALUE!</v>
      </c>
      <c r="V53" s="3" t="e">
        <f>IF(S53 &gt; 0, R53 &lt; 0, R53 &gt; 0)</f>
        <v>#VALUE!</v>
      </c>
      <c r="W53" s="3" t="e">
        <f>ABS(S53 - R53)</f>
        <v>#VALUE!</v>
      </c>
      <c r="X53" s="3" t="e">
        <f>IF(AND(V53, U53 = 1), "A", IF(AND(V53, U53 &lt; 1), "B", IF(AND(NOT(V53), W53 &gt; 0.01, ABS(R53) &gt; ABS(S53) + 0.001), "C+", IF(AND(NOT(V53), W53 &gt; 0.01, ABS(R53) &lt; ABS(S53) - 0.001), "C-", "D"))))</f>
        <v>#VALUE!</v>
      </c>
    </row>
    <row r="54">
      <c r="A54" s="2" t="s">
        <v>4512</v>
      </c>
      <c r="B54" s="3" t="str">
        <f>A54</f>
        <v>phase-w30-g112-g212-b60</v>
      </c>
      <c r="C54" s="2">
        <v>0.3</v>
      </c>
      <c r="D54" s="2">
        <v>0.12</v>
      </c>
      <c r="E54" s="2">
        <v>0.04</v>
      </c>
      <c r="F54" s="2">
        <v>0.6</v>
      </c>
      <c r="G54" s="3" t="e">
        <f>ROUND(200 * C54)</f>
        <v>#VALUE!</v>
      </c>
      <c r="H54" s="3" t="e">
        <f>ROUND(G54 * (0.5 + F54 / 2))</f>
        <v>#VALUE!</v>
      </c>
      <c r="I54" s="3" t="e">
        <f>G54 - H54</f>
        <v>#VALUE!</v>
      </c>
      <c r="J54" s="3" t="e">
        <f>100 - H54</f>
        <v>#VALUE!</v>
      </c>
      <c r="K54" s="3" t="e">
        <f>100 - I54</f>
        <v>#VALUE!</v>
      </c>
      <c r="L54" s="3">
        <f>0.45 + D54 / 2</f>
        <v>0.51</v>
      </c>
      <c r="M54" s="3">
        <f>0.45 - D54 / 2</f>
        <v>0.39</v>
      </c>
      <c r="N54" s="3">
        <f>0.75 + E54 / 2</f>
        <v>0.77</v>
      </c>
      <c r="O54" s="3">
        <f>0.75 - E54 / 2</f>
        <v>0.73</v>
      </c>
      <c r="P54" s="3" t="e">
        <f>(H54 * L54 + J54 * N54) / 100</f>
        <v>#VALUE!</v>
      </c>
      <c r="Q54" s="3" t="e">
        <f>(I54 * M54 + K54 * O54) / 100</f>
        <v>#VALUE!</v>
      </c>
      <c r="R54" s="3" t="e">
        <f>P54 - Q54</f>
        <v>#VALUE!</v>
      </c>
      <c r="S54" s="3">
        <f>C54 * D54 + (1 - C54) * E54</f>
        <v>0.064</v>
      </c>
      <c r="T54" s="3" t="e">
        <f>IF(R54 &gt; 0, IF(D54 &lt; 0, 1, 0) + IF(E54 &lt; 0, 1, 0), IF(D54 &gt; 0, 1, 0) + IF(E54 &gt; 0, 1, 0))</f>
        <v>#VALUE!</v>
      </c>
      <c r="U54" s="3" t="e">
        <f>T54 / 2</f>
        <v>#VALUE!</v>
      </c>
      <c r="V54" s="3" t="e">
        <f>IF(S54 &gt; 0, R54 &lt; 0, R54 &gt; 0)</f>
        <v>#VALUE!</v>
      </c>
      <c r="W54" s="3" t="e">
        <f>ABS(S54 - R54)</f>
        <v>#VALUE!</v>
      </c>
      <c r="X54" s="3" t="e">
        <f>IF(AND(V54, U54 = 1), "A", IF(AND(V54, U54 &lt; 1), "B", IF(AND(NOT(V54), W54 &gt; 0.01, ABS(R54) &gt; ABS(S54) + 0.001), "C+", IF(AND(NOT(V54), W54 &gt; 0.01, ABS(R54) &lt; ABS(S54) - 0.001), "C-", "D"))))</f>
        <v>#VALUE!</v>
      </c>
    </row>
    <row r="55">
      <c r="A55" s="2" t="s">
        <v>4513</v>
      </c>
      <c r="B55" s="3" t="str">
        <f>A55</f>
        <v>phase-w30-g112-g212-b80</v>
      </c>
      <c r="C55" s="2">
        <v>0.3</v>
      </c>
      <c r="D55" s="2">
        <v>0.12</v>
      </c>
      <c r="E55" s="2">
        <v>0.04</v>
      </c>
      <c r="F55" s="2">
        <v>0.8</v>
      </c>
      <c r="G55" s="3" t="e">
        <f>ROUND(200 * C55)</f>
        <v>#VALUE!</v>
      </c>
      <c r="H55" s="3" t="e">
        <f>ROUND(G55 * (0.5 + F55 / 2))</f>
        <v>#VALUE!</v>
      </c>
      <c r="I55" s="3" t="e">
        <f>G55 - H55</f>
        <v>#VALUE!</v>
      </c>
      <c r="J55" s="3" t="e">
        <f>100 - H55</f>
        <v>#VALUE!</v>
      </c>
      <c r="K55" s="3" t="e">
        <f>100 - I55</f>
        <v>#VALUE!</v>
      </c>
      <c r="L55" s="3">
        <f>0.45 + D55 / 2</f>
        <v>0.51</v>
      </c>
      <c r="M55" s="3">
        <f>0.45 - D55 / 2</f>
        <v>0.39</v>
      </c>
      <c r="N55" s="3">
        <f>0.75 + E55 / 2</f>
        <v>0.77</v>
      </c>
      <c r="O55" s="3">
        <f>0.75 - E55 / 2</f>
        <v>0.73</v>
      </c>
      <c r="P55" s="3" t="e">
        <f>(H55 * L55 + J55 * N55) / 100</f>
        <v>#VALUE!</v>
      </c>
      <c r="Q55" s="3" t="e">
        <f>(I55 * M55 + K55 * O55) / 100</f>
        <v>#VALUE!</v>
      </c>
      <c r="R55" s="3" t="e">
        <f>P55 - Q55</f>
        <v>#VALUE!</v>
      </c>
      <c r="S55" s="3">
        <f>C55 * D55 + (1 - C55) * E55</f>
        <v>0.064</v>
      </c>
      <c r="T55" s="3" t="e">
        <f>IF(R55 &gt; 0, IF(D55 &lt; 0, 1, 0) + IF(E55 &lt; 0, 1, 0), IF(D55 &gt; 0, 1, 0) + IF(E55 &gt; 0, 1, 0))</f>
        <v>#VALUE!</v>
      </c>
      <c r="U55" s="3" t="e">
        <f>T55 / 2</f>
        <v>#VALUE!</v>
      </c>
      <c r="V55" s="3" t="e">
        <f>IF(S55 &gt; 0, R55 &lt; 0, R55 &gt; 0)</f>
        <v>#VALUE!</v>
      </c>
      <c r="W55" s="3" t="e">
        <f>ABS(S55 - R55)</f>
        <v>#VALUE!</v>
      </c>
      <c r="X55" s="3" t="e">
        <f>IF(AND(V55, U55 = 1), "A", IF(AND(V55, U55 &lt; 1), "B", IF(AND(NOT(V55), W55 &gt; 0.01, ABS(R55) &gt; ABS(S55) + 0.001), "C+", IF(AND(NOT(V55), W55 &gt; 0.01, ABS(R55) &lt; ABS(S55) - 0.001), "C-", "D"))))</f>
        <v>#VALUE!</v>
      </c>
    </row>
    <row r="56">
      <c r="A56" s="2" t="s">
        <v>4514</v>
      </c>
      <c r="B56" s="3" t="str">
        <f>A56</f>
        <v>phase-w30-g112-g212-b95</v>
      </c>
      <c r="C56" s="2">
        <v>0.3</v>
      </c>
      <c r="D56" s="2">
        <v>0.12</v>
      </c>
      <c r="E56" s="2">
        <v>0.04</v>
      </c>
      <c r="F56" s="2">
        <v>0.95</v>
      </c>
      <c r="G56" s="3" t="e">
        <f>ROUND(200 * C56)</f>
        <v>#VALUE!</v>
      </c>
      <c r="H56" s="3" t="e">
        <f>ROUND(G56 * (0.5 + F56 / 2))</f>
        <v>#VALUE!</v>
      </c>
      <c r="I56" s="3" t="e">
        <f>G56 - H56</f>
        <v>#VALUE!</v>
      </c>
      <c r="J56" s="3" t="e">
        <f>100 - H56</f>
        <v>#VALUE!</v>
      </c>
      <c r="K56" s="3" t="e">
        <f>100 - I56</f>
        <v>#VALUE!</v>
      </c>
      <c r="L56" s="3">
        <f>0.45 + D56 / 2</f>
        <v>0.51</v>
      </c>
      <c r="M56" s="3">
        <f>0.45 - D56 / 2</f>
        <v>0.39</v>
      </c>
      <c r="N56" s="3">
        <f>0.75 + E56 / 2</f>
        <v>0.77</v>
      </c>
      <c r="O56" s="3">
        <f>0.75 - E56 / 2</f>
        <v>0.73</v>
      </c>
      <c r="P56" s="3" t="e">
        <f>(H56 * L56 + J56 * N56) / 100</f>
        <v>#VALUE!</v>
      </c>
      <c r="Q56" s="3" t="e">
        <f>(I56 * M56 + K56 * O56) / 100</f>
        <v>#VALUE!</v>
      </c>
      <c r="R56" s="3" t="e">
        <f>P56 - Q56</f>
        <v>#VALUE!</v>
      </c>
      <c r="S56" s="3">
        <f>C56 * D56 + (1 - C56) * E56</f>
        <v>0.064</v>
      </c>
      <c r="T56" s="3" t="e">
        <f>IF(R56 &gt; 0, IF(D56 &lt; 0, 1, 0) + IF(E56 &lt; 0, 1, 0), IF(D56 &gt; 0, 1, 0) + IF(E56 &gt; 0, 1, 0))</f>
        <v>#VALUE!</v>
      </c>
      <c r="U56" s="3" t="e">
        <f>T56 / 2</f>
        <v>#VALUE!</v>
      </c>
      <c r="V56" s="3" t="e">
        <f>IF(S56 &gt; 0, R56 &lt; 0, R56 &gt; 0)</f>
        <v>#VALUE!</v>
      </c>
      <c r="W56" s="3" t="e">
        <f>ABS(S56 - R56)</f>
        <v>#VALUE!</v>
      </c>
      <c r="X56" s="3" t="e">
        <f>IF(AND(V56, U56 = 1), "A", IF(AND(V56, U56 &lt; 1), "B", IF(AND(NOT(V56), W56 &gt; 0.01, ABS(R56) &gt; ABS(S56) + 0.001), "C+", IF(AND(NOT(V56), W56 &gt; 0.01, ABS(R56) &lt; ABS(S56) - 0.001), "C-", "D"))))</f>
        <v>#VALUE!</v>
      </c>
    </row>
    <row r="57">
      <c r="A57" s="2" t="s">
        <v>4515</v>
      </c>
      <c r="B57" s="3" t="str">
        <f>A57</f>
        <v>phase-w30-g112-g216-b00</v>
      </c>
      <c r="C57" s="2">
        <v>0.3</v>
      </c>
      <c r="D57" s="2">
        <v>0.12</v>
      </c>
      <c r="E57" s="2">
        <v>0.08</v>
      </c>
      <c r="F57" s="2">
        <v>0</v>
      </c>
      <c r="G57" s="3" t="e">
        <f>ROUND(200 * C57)</f>
        <v>#VALUE!</v>
      </c>
      <c r="H57" s="3" t="e">
        <f>ROUND(G57 * (0.5 + F57 / 2))</f>
        <v>#VALUE!</v>
      </c>
      <c r="I57" s="3" t="e">
        <f>G57 - H57</f>
        <v>#VALUE!</v>
      </c>
      <c r="J57" s="3" t="e">
        <f>100 - H57</f>
        <v>#VALUE!</v>
      </c>
      <c r="K57" s="3" t="e">
        <f>100 - I57</f>
        <v>#VALUE!</v>
      </c>
      <c r="L57" s="3">
        <f>0.45 + D57 / 2</f>
        <v>0.51</v>
      </c>
      <c r="M57" s="3">
        <f>0.45 - D57 / 2</f>
        <v>0.39</v>
      </c>
      <c r="N57" s="3">
        <f>0.75 + E57 / 2</f>
        <v>0.79</v>
      </c>
      <c r="O57" s="3">
        <f>0.75 - E57 / 2</f>
        <v>0.71</v>
      </c>
      <c r="P57" s="3" t="e">
        <f>(H57 * L57 + J57 * N57) / 100</f>
        <v>#VALUE!</v>
      </c>
      <c r="Q57" s="3" t="e">
        <f>(I57 * M57 + K57 * O57) / 100</f>
        <v>#VALUE!</v>
      </c>
      <c r="R57" s="3" t="e">
        <f>P57 - Q57</f>
        <v>#VALUE!</v>
      </c>
      <c r="S57" s="3">
        <f>C57 * D57 + (1 - C57) * E57</f>
        <v>0.092</v>
      </c>
      <c r="T57" s="3" t="e">
        <f>IF(R57 &gt; 0, IF(D57 &lt; 0, 1, 0) + IF(E57 &lt; 0, 1, 0), IF(D57 &gt; 0, 1, 0) + IF(E57 &gt; 0, 1, 0))</f>
        <v>#VALUE!</v>
      </c>
      <c r="U57" s="3" t="e">
        <f>T57 / 2</f>
        <v>#VALUE!</v>
      </c>
      <c r="V57" s="3" t="e">
        <f>IF(S57 &gt; 0, R57 &lt; 0, R57 &gt; 0)</f>
        <v>#VALUE!</v>
      </c>
      <c r="W57" s="3" t="e">
        <f>ABS(S57 - R57)</f>
        <v>#VALUE!</v>
      </c>
      <c r="X57" s="3" t="e">
        <f>IF(AND(V57, U57 = 1), "A", IF(AND(V57, U57 &lt; 1), "B", IF(AND(NOT(V57), W57 &gt; 0.01, ABS(R57) &gt; ABS(S57) + 0.001), "C+", IF(AND(NOT(V57), W57 &gt; 0.01, ABS(R57) &lt; ABS(S57) - 0.001), "C-", "D"))))</f>
        <v>#VALUE!</v>
      </c>
    </row>
    <row r="58">
      <c r="A58" s="2" t="s">
        <v>4516</v>
      </c>
      <c r="B58" s="3" t="str">
        <f>A58</f>
        <v>phase-w30-g112-g216-b30</v>
      </c>
      <c r="C58" s="2">
        <v>0.3</v>
      </c>
      <c r="D58" s="2">
        <v>0.12</v>
      </c>
      <c r="E58" s="2">
        <v>0.08</v>
      </c>
      <c r="F58" s="2">
        <v>0.3</v>
      </c>
      <c r="G58" s="3" t="e">
        <f>ROUND(200 * C58)</f>
        <v>#VALUE!</v>
      </c>
      <c r="H58" s="3" t="e">
        <f>ROUND(G58 * (0.5 + F58 / 2))</f>
        <v>#VALUE!</v>
      </c>
      <c r="I58" s="3" t="e">
        <f>G58 - H58</f>
        <v>#VALUE!</v>
      </c>
      <c r="J58" s="3" t="e">
        <f>100 - H58</f>
        <v>#VALUE!</v>
      </c>
      <c r="K58" s="3" t="e">
        <f>100 - I58</f>
        <v>#VALUE!</v>
      </c>
      <c r="L58" s="3">
        <f>0.45 + D58 / 2</f>
        <v>0.51</v>
      </c>
      <c r="M58" s="3">
        <f>0.45 - D58 / 2</f>
        <v>0.39</v>
      </c>
      <c r="N58" s="3">
        <f>0.75 + E58 / 2</f>
        <v>0.79</v>
      </c>
      <c r="O58" s="3">
        <f>0.75 - E58 / 2</f>
        <v>0.71</v>
      </c>
      <c r="P58" s="3" t="e">
        <f>(H58 * L58 + J58 * N58) / 100</f>
        <v>#VALUE!</v>
      </c>
      <c r="Q58" s="3" t="e">
        <f>(I58 * M58 + K58 * O58) / 100</f>
        <v>#VALUE!</v>
      </c>
      <c r="R58" s="3" t="e">
        <f>P58 - Q58</f>
        <v>#VALUE!</v>
      </c>
      <c r="S58" s="3">
        <f>C58 * D58 + (1 - C58) * E58</f>
        <v>0.092</v>
      </c>
      <c r="T58" s="3" t="e">
        <f>IF(R58 &gt; 0, IF(D58 &lt; 0, 1, 0) + IF(E58 &lt; 0, 1, 0), IF(D58 &gt; 0, 1, 0) + IF(E58 &gt; 0, 1, 0))</f>
        <v>#VALUE!</v>
      </c>
      <c r="U58" s="3" t="e">
        <f>T58 / 2</f>
        <v>#VALUE!</v>
      </c>
      <c r="V58" s="3" t="e">
        <f>IF(S58 &gt; 0, R58 &lt; 0, R58 &gt; 0)</f>
        <v>#VALUE!</v>
      </c>
      <c r="W58" s="3" t="e">
        <f>ABS(S58 - R58)</f>
        <v>#VALUE!</v>
      </c>
      <c r="X58" s="3" t="e">
        <f>IF(AND(V58, U58 = 1), "A", IF(AND(V58, U58 &lt; 1), "B", IF(AND(NOT(V58), W58 &gt; 0.01, ABS(R58) &gt; ABS(S58) + 0.001), "C+", IF(AND(NOT(V58), W58 &gt; 0.01, ABS(R58) &lt; ABS(S58) - 0.001), "C-", "D"))))</f>
        <v>#VALUE!</v>
      </c>
    </row>
    <row r="59">
      <c r="A59" s="2" t="s">
        <v>4517</v>
      </c>
      <c r="B59" s="3" t="str">
        <f>A59</f>
        <v>phase-w30-g112-g216-b60</v>
      </c>
      <c r="C59" s="2">
        <v>0.3</v>
      </c>
      <c r="D59" s="2">
        <v>0.12</v>
      </c>
      <c r="E59" s="2">
        <v>0.08</v>
      </c>
      <c r="F59" s="2">
        <v>0.6</v>
      </c>
      <c r="G59" s="3" t="e">
        <f>ROUND(200 * C59)</f>
        <v>#VALUE!</v>
      </c>
      <c r="H59" s="3" t="e">
        <f>ROUND(G59 * (0.5 + F59 / 2))</f>
        <v>#VALUE!</v>
      </c>
      <c r="I59" s="3" t="e">
        <f>G59 - H59</f>
        <v>#VALUE!</v>
      </c>
      <c r="J59" s="3" t="e">
        <f>100 - H59</f>
        <v>#VALUE!</v>
      </c>
      <c r="K59" s="3" t="e">
        <f>100 - I59</f>
        <v>#VALUE!</v>
      </c>
      <c r="L59" s="3">
        <f>0.45 + D59 / 2</f>
        <v>0.51</v>
      </c>
      <c r="M59" s="3">
        <f>0.45 - D59 / 2</f>
        <v>0.39</v>
      </c>
      <c r="N59" s="3">
        <f>0.75 + E59 / 2</f>
        <v>0.79</v>
      </c>
      <c r="O59" s="3">
        <f>0.75 - E59 / 2</f>
        <v>0.71</v>
      </c>
      <c r="P59" s="3" t="e">
        <f>(H59 * L59 + J59 * N59) / 100</f>
        <v>#VALUE!</v>
      </c>
      <c r="Q59" s="3" t="e">
        <f>(I59 * M59 + K59 * O59) / 100</f>
        <v>#VALUE!</v>
      </c>
      <c r="R59" s="3" t="e">
        <f>P59 - Q59</f>
        <v>#VALUE!</v>
      </c>
      <c r="S59" s="3">
        <f>C59 * D59 + (1 - C59) * E59</f>
        <v>0.092</v>
      </c>
      <c r="T59" s="3" t="e">
        <f>IF(R59 &gt; 0, IF(D59 &lt; 0, 1, 0) + IF(E59 &lt; 0, 1, 0), IF(D59 &gt; 0, 1, 0) + IF(E59 &gt; 0, 1, 0))</f>
        <v>#VALUE!</v>
      </c>
      <c r="U59" s="3" t="e">
        <f>T59 / 2</f>
        <v>#VALUE!</v>
      </c>
      <c r="V59" s="3" t="e">
        <f>IF(S59 &gt; 0, R59 &lt; 0, R59 &gt; 0)</f>
        <v>#VALUE!</v>
      </c>
      <c r="W59" s="3" t="e">
        <f>ABS(S59 - R59)</f>
        <v>#VALUE!</v>
      </c>
      <c r="X59" s="3" t="e">
        <f>IF(AND(V59, U59 = 1), "A", IF(AND(V59, U59 &lt; 1), "B", IF(AND(NOT(V59), W59 &gt; 0.01, ABS(R59) &gt; ABS(S59) + 0.001), "C+", IF(AND(NOT(V59), W59 &gt; 0.01, ABS(R59) &lt; ABS(S59) - 0.001), "C-", "D"))))</f>
        <v>#VALUE!</v>
      </c>
    </row>
    <row r="60">
      <c r="A60" s="2" t="s">
        <v>4518</v>
      </c>
      <c r="B60" s="3" t="str">
        <f>A60</f>
        <v>phase-w30-g112-g216-b80</v>
      </c>
      <c r="C60" s="2">
        <v>0.3</v>
      </c>
      <c r="D60" s="2">
        <v>0.12</v>
      </c>
      <c r="E60" s="2">
        <v>0.08</v>
      </c>
      <c r="F60" s="2">
        <v>0.8</v>
      </c>
      <c r="G60" s="3" t="e">
        <f>ROUND(200 * C60)</f>
        <v>#VALUE!</v>
      </c>
      <c r="H60" s="3" t="e">
        <f>ROUND(G60 * (0.5 + F60 / 2))</f>
        <v>#VALUE!</v>
      </c>
      <c r="I60" s="3" t="e">
        <f>G60 - H60</f>
        <v>#VALUE!</v>
      </c>
      <c r="J60" s="3" t="e">
        <f>100 - H60</f>
        <v>#VALUE!</v>
      </c>
      <c r="K60" s="3" t="e">
        <f>100 - I60</f>
        <v>#VALUE!</v>
      </c>
      <c r="L60" s="3">
        <f>0.45 + D60 / 2</f>
        <v>0.51</v>
      </c>
      <c r="M60" s="3">
        <f>0.45 - D60 / 2</f>
        <v>0.39</v>
      </c>
      <c r="N60" s="3">
        <f>0.75 + E60 / 2</f>
        <v>0.79</v>
      </c>
      <c r="O60" s="3">
        <f>0.75 - E60 / 2</f>
        <v>0.71</v>
      </c>
      <c r="P60" s="3" t="e">
        <f>(H60 * L60 + J60 * N60) / 100</f>
        <v>#VALUE!</v>
      </c>
      <c r="Q60" s="3" t="e">
        <f>(I60 * M60 + K60 * O60) / 100</f>
        <v>#VALUE!</v>
      </c>
      <c r="R60" s="3" t="e">
        <f>P60 - Q60</f>
        <v>#VALUE!</v>
      </c>
      <c r="S60" s="3">
        <f>C60 * D60 + (1 - C60) * E60</f>
        <v>0.092</v>
      </c>
      <c r="T60" s="3" t="e">
        <f>IF(R60 &gt; 0, IF(D60 &lt; 0, 1, 0) + IF(E60 &lt; 0, 1, 0), IF(D60 &gt; 0, 1, 0) + IF(E60 &gt; 0, 1, 0))</f>
        <v>#VALUE!</v>
      </c>
      <c r="U60" s="3" t="e">
        <f>T60 / 2</f>
        <v>#VALUE!</v>
      </c>
      <c r="V60" s="3" t="e">
        <f>IF(S60 &gt; 0, R60 &lt; 0, R60 &gt; 0)</f>
        <v>#VALUE!</v>
      </c>
      <c r="W60" s="3" t="e">
        <f>ABS(S60 - R60)</f>
        <v>#VALUE!</v>
      </c>
      <c r="X60" s="3" t="e">
        <f>IF(AND(V60, U60 = 1), "A", IF(AND(V60, U60 &lt; 1), "B", IF(AND(NOT(V60), W60 &gt; 0.01, ABS(R60) &gt; ABS(S60) + 0.001), "C+", IF(AND(NOT(V60), W60 &gt; 0.01, ABS(R60) &lt; ABS(S60) - 0.001), "C-", "D"))))</f>
        <v>#VALUE!</v>
      </c>
    </row>
    <row r="61">
      <c r="A61" s="2" t="s">
        <v>4519</v>
      </c>
      <c r="B61" s="3" t="str">
        <f>A61</f>
        <v>phase-w30-g112-g216-b95</v>
      </c>
      <c r="C61" s="2">
        <v>0.3</v>
      </c>
      <c r="D61" s="2">
        <v>0.12</v>
      </c>
      <c r="E61" s="2">
        <v>0.08</v>
      </c>
      <c r="F61" s="2">
        <v>0.95</v>
      </c>
      <c r="G61" s="3" t="e">
        <f>ROUND(200 * C61)</f>
        <v>#VALUE!</v>
      </c>
      <c r="H61" s="3" t="e">
        <f>ROUND(G61 * (0.5 + F61 / 2))</f>
        <v>#VALUE!</v>
      </c>
      <c r="I61" s="3" t="e">
        <f>G61 - H61</f>
        <v>#VALUE!</v>
      </c>
      <c r="J61" s="3" t="e">
        <f>100 - H61</f>
        <v>#VALUE!</v>
      </c>
      <c r="K61" s="3" t="e">
        <f>100 - I61</f>
        <v>#VALUE!</v>
      </c>
      <c r="L61" s="3">
        <f>0.45 + D61 / 2</f>
        <v>0.51</v>
      </c>
      <c r="M61" s="3">
        <f>0.45 - D61 / 2</f>
        <v>0.39</v>
      </c>
      <c r="N61" s="3">
        <f>0.75 + E61 / 2</f>
        <v>0.79</v>
      </c>
      <c r="O61" s="3">
        <f>0.75 - E61 / 2</f>
        <v>0.71</v>
      </c>
      <c r="P61" s="3" t="e">
        <f>(H61 * L61 + J61 * N61) / 100</f>
        <v>#VALUE!</v>
      </c>
      <c r="Q61" s="3" t="e">
        <f>(I61 * M61 + K61 * O61) / 100</f>
        <v>#VALUE!</v>
      </c>
      <c r="R61" s="3" t="e">
        <f>P61 - Q61</f>
        <v>#VALUE!</v>
      </c>
      <c r="S61" s="3">
        <f>C61 * D61 + (1 - C61) * E61</f>
        <v>0.092</v>
      </c>
      <c r="T61" s="3" t="e">
        <f>IF(R61 &gt; 0, IF(D61 &lt; 0, 1, 0) + IF(E61 &lt; 0, 1, 0), IF(D61 &gt; 0, 1, 0) + IF(E61 &gt; 0, 1, 0))</f>
        <v>#VALUE!</v>
      </c>
      <c r="U61" s="3" t="e">
        <f>T61 / 2</f>
        <v>#VALUE!</v>
      </c>
      <c r="V61" s="3" t="e">
        <f>IF(S61 &gt; 0, R61 &lt; 0, R61 &gt; 0)</f>
        <v>#VALUE!</v>
      </c>
      <c r="W61" s="3" t="e">
        <f>ABS(S61 - R61)</f>
        <v>#VALUE!</v>
      </c>
      <c r="X61" s="3" t="e">
        <f>IF(AND(V61, U61 = 1), "A", IF(AND(V61, U61 &lt; 1), "B", IF(AND(NOT(V61), W61 &gt; 0.01, ABS(R61) &gt; ABS(S61) + 0.001), "C+", IF(AND(NOT(V61), W61 &gt; 0.01, ABS(R61) &lt; ABS(S61) - 0.001), "C-", "D"))))</f>
        <v>#VALUE!</v>
      </c>
    </row>
    <row r="62">
      <c r="A62" s="2" t="s">
        <v>4520</v>
      </c>
      <c r="B62" s="3" t="str">
        <f>A62</f>
        <v>phase-w30-g116-g200-b00</v>
      </c>
      <c r="C62" s="2">
        <v>0.3</v>
      </c>
      <c r="D62" s="2">
        <v>0.16</v>
      </c>
      <c r="E62" s="2">
        <v>-0.08</v>
      </c>
      <c r="F62" s="2">
        <v>0</v>
      </c>
      <c r="G62" s="3" t="e">
        <f>ROUND(200 * C62)</f>
        <v>#VALUE!</v>
      </c>
      <c r="H62" s="3" t="e">
        <f>ROUND(G62 * (0.5 + F62 / 2))</f>
        <v>#VALUE!</v>
      </c>
      <c r="I62" s="3" t="e">
        <f>G62 - H62</f>
        <v>#VALUE!</v>
      </c>
      <c r="J62" s="3" t="e">
        <f>100 - H62</f>
        <v>#VALUE!</v>
      </c>
      <c r="K62" s="3" t="e">
        <f>100 - I62</f>
        <v>#VALUE!</v>
      </c>
      <c r="L62" s="3">
        <f>0.45 + D62 / 2</f>
        <v>0.53</v>
      </c>
      <c r="M62" s="3">
        <f>0.45 - D62 / 2</f>
        <v>0.37</v>
      </c>
      <c r="N62" s="3">
        <f>0.75 + E62 / 2</f>
        <v>0.71</v>
      </c>
      <c r="O62" s="3">
        <f>0.75 - E62 / 2</f>
        <v>0.79</v>
      </c>
      <c r="P62" s="3" t="e">
        <f>(H62 * L62 + J62 * N62) / 100</f>
        <v>#VALUE!</v>
      </c>
      <c r="Q62" s="3" t="e">
        <f>(I62 * M62 + K62 * O62) / 100</f>
        <v>#VALUE!</v>
      </c>
      <c r="R62" s="3" t="e">
        <f>P62 - Q62</f>
        <v>#VALUE!</v>
      </c>
      <c r="S62" s="3">
        <f>C62 * D62 + (1 - C62) * E62</f>
        <v>-0.007999999999999993</v>
      </c>
      <c r="T62" s="3" t="e">
        <f>IF(R62 &gt; 0, IF(D62 &lt; 0, 1, 0) + IF(E62 &lt; 0, 1, 0), IF(D62 &gt; 0, 1, 0) + IF(E62 &gt; 0, 1, 0))</f>
        <v>#VALUE!</v>
      </c>
      <c r="U62" s="3" t="e">
        <f>T62 / 2</f>
        <v>#VALUE!</v>
      </c>
      <c r="V62" s="3" t="e">
        <f>IF(S62 &gt; 0, R62 &lt; 0, R62 &gt; 0)</f>
        <v>#VALUE!</v>
      </c>
      <c r="W62" s="3" t="e">
        <f>ABS(S62 - R62)</f>
        <v>#VALUE!</v>
      </c>
      <c r="X62" s="3" t="e">
        <f>IF(AND(V62, U62 = 1), "A", IF(AND(V62, U62 &lt; 1), "B", IF(AND(NOT(V62), W62 &gt; 0.01, ABS(R62) &gt; ABS(S62) + 0.001), "C+", IF(AND(NOT(V62), W62 &gt; 0.01, ABS(R62) &lt; ABS(S62) - 0.001), "C-", "D"))))</f>
        <v>#VALUE!</v>
      </c>
    </row>
    <row r="63">
      <c r="A63" s="2" t="s">
        <v>4521</v>
      </c>
      <c r="B63" s="3" t="str">
        <f>A63</f>
        <v>phase-w30-g116-g200-b30</v>
      </c>
      <c r="C63" s="2">
        <v>0.3</v>
      </c>
      <c r="D63" s="2">
        <v>0.16</v>
      </c>
      <c r="E63" s="2">
        <v>-0.08</v>
      </c>
      <c r="F63" s="2">
        <v>0.3</v>
      </c>
      <c r="G63" s="3" t="e">
        <f>ROUND(200 * C63)</f>
        <v>#VALUE!</v>
      </c>
      <c r="H63" s="3" t="e">
        <f>ROUND(G63 * (0.5 + F63 / 2))</f>
        <v>#VALUE!</v>
      </c>
      <c r="I63" s="3" t="e">
        <f>G63 - H63</f>
        <v>#VALUE!</v>
      </c>
      <c r="J63" s="3" t="e">
        <f>100 - H63</f>
        <v>#VALUE!</v>
      </c>
      <c r="K63" s="3" t="e">
        <f>100 - I63</f>
        <v>#VALUE!</v>
      </c>
      <c r="L63" s="3">
        <f>0.45 + D63 / 2</f>
        <v>0.53</v>
      </c>
      <c r="M63" s="3">
        <f>0.45 - D63 / 2</f>
        <v>0.37</v>
      </c>
      <c r="N63" s="3">
        <f>0.75 + E63 / 2</f>
        <v>0.71</v>
      </c>
      <c r="O63" s="3">
        <f>0.75 - E63 / 2</f>
        <v>0.79</v>
      </c>
      <c r="P63" s="3" t="e">
        <f>(H63 * L63 + J63 * N63) / 100</f>
        <v>#VALUE!</v>
      </c>
      <c r="Q63" s="3" t="e">
        <f>(I63 * M63 + K63 * O63) / 100</f>
        <v>#VALUE!</v>
      </c>
      <c r="R63" s="3" t="e">
        <f>P63 - Q63</f>
        <v>#VALUE!</v>
      </c>
      <c r="S63" s="3">
        <f>C63 * D63 + (1 - C63) * E63</f>
        <v>-0.007999999999999993</v>
      </c>
      <c r="T63" s="3" t="e">
        <f>IF(R63 &gt; 0, IF(D63 &lt; 0, 1, 0) + IF(E63 &lt; 0, 1, 0), IF(D63 &gt; 0, 1, 0) + IF(E63 &gt; 0, 1, 0))</f>
        <v>#VALUE!</v>
      </c>
      <c r="U63" s="3" t="e">
        <f>T63 / 2</f>
        <v>#VALUE!</v>
      </c>
      <c r="V63" s="3" t="e">
        <f>IF(S63 &gt; 0, R63 &lt; 0, R63 &gt; 0)</f>
        <v>#VALUE!</v>
      </c>
      <c r="W63" s="3" t="e">
        <f>ABS(S63 - R63)</f>
        <v>#VALUE!</v>
      </c>
      <c r="X63" s="3" t="e">
        <f>IF(AND(V63, U63 = 1), "A", IF(AND(V63, U63 &lt; 1), "B", IF(AND(NOT(V63), W63 &gt; 0.01, ABS(R63) &gt; ABS(S63) + 0.001), "C+", IF(AND(NOT(V63), W63 &gt; 0.01, ABS(R63) &lt; ABS(S63) - 0.001), "C-", "D"))))</f>
        <v>#VALUE!</v>
      </c>
    </row>
    <row r="64">
      <c r="A64" s="2" t="s">
        <v>4522</v>
      </c>
      <c r="B64" s="3" t="str">
        <f>A64</f>
        <v>phase-w30-g116-g200-b60</v>
      </c>
      <c r="C64" s="2">
        <v>0.3</v>
      </c>
      <c r="D64" s="2">
        <v>0.16</v>
      </c>
      <c r="E64" s="2">
        <v>-0.08</v>
      </c>
      <c r="F64" s="2">
        <v>0.6</v>
      </c>
      <c r="G64" s="3" t="e">
        <f>ROUND(200 * C64)</f>
        <v>#VALUE!</v>
      </c>
      <c r="H64" s="3" t="e">
        <f>ROUND(G64 * (0.5 + F64 / 2))</f>
        <v>#VALUE!</v>
      </c>
      <c r="I64" s="3" t="e">
        <f>G64 - H64</f>
        <v>#VALUE!</v>
      </c>
      <c r="J64" s="3" t="e">
        <f>100 - H64</f>
        <v>#VALUE!</v>
      </c>
      <c r="K64" s="3" t="e">
        <f>100 - I64</f>
        <v>#VALUE!</v>
      </c>
      <c r="L64" s="3">
        <f>0.45 + D64 / 2</f>
        <v>0.53</v>
      </c>
      <c r="M64" s="3">
        <f>0.45 - D64 / 2</f>
        <v>0.37</v>
      </c>
      <c r="N64" s="3">
        <f>0.75 + E64 / 2</f>
        <v>0.71</v>
      </c>
      <c r="O64" s="3">
        <f>0.75 - E64 / 2</f>
        <v>0.79</v>
      </c>
      <c r="P64" s="3" t="e">
        <f>(H64 * L64 + J64 * N64) / 100</f>
        <v>#VALUE!</v>
      </c>
      <c r="Q64" s="3" t="e">
        <f>(I64 * M64 + K64 * O64) / 100</f>
        <v>#VALUE!</v>
      </c>
      <c r="R64" s="3" t="e">
        <f>P64 - Q64</f>
        <v>#VALUE!</v>
      </c>
      <c r="S64" s="3">
        <f>C64 * D64 + (1 - C64) * E64</f>
        <v>-0.007999999999999993</v>
      </c>
      <c r="T64" s="3" t="e">
        <f>IF(R64 &gt; 0, IF(D64 &lt; 0, 1, 0) + IF(E64 &lt; 0, 1, 0), IF(D64 &gt; 0, 1, 0) + IF(E64 &gt; 0, 1, 0))</f>
        <v>#VALUE!</v>
      </c>
      <c r="U64" s="3" t="e">
        <f>T64 / 2</f>
        <v>#VALUE!</v>
      </c>
      <c r="V64" s="3" t="e">
        <f>IF(S64 &gt; 0, R64 &lt; 0, R64 &gt; 0)</f>
        <v>#VALUE!</v>
      </c>
      <c r="W64" s="3" t="e">
        <f>ABS(S64 - R64)</f>
        <v>#VALUE!</v>
      </c>
      <c r="X64" s="3" t="e">
        <f>IF(AND(V64, U64 = 1), "A", IF(AND(V64, U64 &lt; 1), "B", IF(AND(NOT(V64), W64 &gt; 0.01, ABS(R64) &gt; ABS(S64) + 0.001), "C+", IF(AND(NOT(V64), W64 &gt; 0.01, ABS(R64) &lt; ABS(S64) - 0.001), "C-", "D"))))</f>
        <v>#VALUE!</v>
      </c>
    </row>
    <row r="65">
      <c r="A65" s="2" t="s">
        <v>4523</v>
      </c>
      <c r="B65" s="3" t="str">
        <f>A65</f>
        <v>phase-w30-g116-g200-b80</v>
      </c>
      <c r="C65" s="2">
        <v>0.3</v>
      </c>
      <c r="D65" s="2">
        <v>0.16</v>
      </c>
      <c r="E65" s="2">
        <v>-0.08</v>
      </c>
      <c r="F65" s="2">
        <v>0.8</v>
      </c>
      <c r="G65" s="3" t="e">
        <f>ROUND(200 * C65)</f>
        <v>#VALUE!</v>
      </c>
      <c r="H65" s="3" t="e">
        <f>ROUND(G65 * (0.5 + F65 / 2))</f>
        <v>#VALUE!</v>
      </c>
      <c r="I65" s="3" t="e">
        <f>G65 - H65</f>
        <v>#VALUE!</v>
      </c>
      <c r="J65" s="3" t="e">
        <f>100 - H65</f>
        <v>#VALUE!</v>
      </c>
      <c r="K65" s="3" t="e">
        <f>100 - I65</f>
        <v>#VALUE!</v>
      </c>
      <c r="L65" s="3">
        <f>0.45 + D65 / 2</f>
        <v>0.53</v>
      </c>
      <c r="M65" s="3">
        <f>0.45 - D65 / 2</f>
        <v>0.37</v>
      </c>
      <c r="N65" s="3">
        <f>0.75 + E65 / 2</f>
        <v>0.71</v>
      </c>
      <c r="O65" s="3">
        <f>0.75 - E65 / 2</f>
        <v>0.79</v>
      </c>
      <c r="P65" s="3" t="e">
        <f>(H65 * L65 + J65 * N65) / 100</f>
        <v>#VALUE!</v>
      </c>
      <c r="Q65" s="3" t="e">
        <f>(I65 * M65 + K65 * O65) / 100</f>
        <v>#VALUE!</v>
      </c>
      <c r="R65" s="3" t="e">
        <f>P65 - Q65</f>
        <v>#VALUE!</v>
      </c>
      <c r="S65" s="3">
        <f>C65 * D65 + (1 - C65) * E65</f>
        <v>-0.007999999999999993</v>
      </c>
      <c r="T65" s="3" t="e">
        <f>IF(R65 &gt; 0, IF(D65 &lt; 0, 1, 0) + IF(E65 &lt; 0, 1, 0), IF(D65 &gt; 0, 1, 0) + IF(E65 &gt; 0, 1, 0))</f>
        <v>#VALUE!</v>
      </c>
      <c r="U65" s="3" t="e">
        <f>T65 / 2</f>
        <v>#VALUE!</v>
      </c>
      <c r="V65" s="3" t="e">
        <f>IF(S65 &gt; 0, R65 &lt; 0, R65 &gt; 0)</f>
        <v>#VALUE!</v>
      </c>
      <c r="W65" s="3" t="e">
        <f>ABS(S65 - R65)</f>
        <v>#VALUE!</v>
      </c>
      <c r="X65" s="3" t="e">
        <f>IF(AND(V65, U65 = 1), "A", IF(AND(V65, U65 &lt; 1), "B", IF(AND(NOT(V65), W65 &gt; 0.01, ABS(R65) &gt; ABS(S65) + 0.001), "C+", IF(AND(NOT(V65), W65 &gt; 0.01, ABS(R65) &lt; ABS(S65) - 0.001), "C-", "D"))))</f>
        <v>#VALUE!</v>
      </c>
    </row>
    <row r="66">
      <c r="A66" s="2" t="s">
        <v>4524</v>
      </c>
      <c r="B66" s="3" t="str">
        <f>A66</f>
        <v>phase-w30-g116-g200-b95</v>
      </c>
      <c r="C66" s="2">
        <v>0.3</v>
      </c>
      <c r="D66" s="2">
        <v>0.16</v>
      </c>
      <c r="E66" s="2">
        <v>-0.08</v>
      </c>
      <c r="F66" s="2">
        <v>0.95</v>
      </c>
      <c r="G66" s="3" t="e">
        <f>ROUND(200 * C66)</f>
        <v>#VALUE!</v>
      </c>
      <c r="H66" s="3" t="e">
        <f>ROUND(G66 * (0.5 + F66 / 2))</f>
        <v>#VALUE!</v>
      </c>
      <c r="I66" s="3" t="e">
        <f>G66 - H66</f>
        <v>#VALUE!</v>
      </c>
      <c r="J66" s="3" t="e">
        <f>100 - H66</f>
        <v>#VALUE!</v>
      </c>
      <c r="K66" s="3" t="e">
        <f>100 - I66</f>
        <v>#VALUE!</v>
      </c>
      <c r="L66" s="3">
        <f>0.45 + D66 / 2</f>
        <v>0.53</v>
      </c>
      <c r="M66" s="3">
        <f>0.45 - D66 / 2</f>
        <v>0.37</v>
      </c>
      <c r="N66" s="3">
        <f>0.75 + E66 / 2</f>
        <v>0.71</v>
      </c>
      <c r="O66" s="3">
        <f>0.75 - E66 / 2</f>
        <v>0.79</v>
      </c>
      <c r="P66" s="3" t="e">
        <f>(H66 * L66 + J66 * N66) / 100</f>
        <v>#VALUE!</v>
      </c>
      <c r="Q66" s="3" t="e">
        <f>(I66 * M66 + K66 * O66) / 100</f>
        <v>#VALUE!</v>
      </c>
      <c r="R66" s="3" t="e">
        <f>P66 - Q66</f>
        <v>#VALUE!</v>
      </c>
      <c r="S66" s="3">
        <f>C66 * D66 + (1 - C66) * E66</f>
        <v>-0.007999999999999993</v>
      </c>
      <c r="T66" s="3" t="e">
        <f>IF(R66 &gt; 0, IF(D66 &lt; 0, 1, 0) + IF(E66 &lt; 0, 1, 0), IF(D66 &gt; 0, 1, 0) + IF(E66 &gt; 0, 1, 0))</f>
        <v>#VALUE!</v>
      </c>
      <c r="U66" s="3" t="e">
        <f>T66 / 2</f>
        <v>#VALUE!</v>
      </c>
      <c r="V66" s="3" t="e">
        <f>IF(S66 &gt; 0, R66 &lt; 0, R66 &gt; 0)</f>
        <v>#VALUE!</v>
      </c>
      <c r="W66" s="3" t="e">
        <f>ABS(S66 - R66)</f>
        <v>#VALUE!</v>
      </c>
      <c r="X66" s="3" t="e">
        <f>IF(AND(V66, U66 = 1), "A", IF(AND(V66, U66 &lt; 1), "B", IF(AND(NOT(V66), W66 &gt; 0.01, ABS(R66) &gt; ABS(S66) + 0.001), "C+", IF(AND(NOT(V66), W66 &gt; 0.01, ABS(R66) &lt; ABS(S66) - 0.001), "C-", "D"))))</f>
        <v>#VALUE!</v>
      </c>
    </row>
    <row r="67">
      <c r="A67" s="2" t="s">
        <v>4525</v>
      </c>
      <c r="B67" s="3" t="str">
        <f>A67</f>
        <v>phase-w30-g116-g208-b00</v>
      </c>
      <c r="C67" s="2">
        <v>0.3</v>
      </c>
      <c r="D67" s="2">
        <v>0.16</v>
      </c>
      <c r="E67" s="2">
        <v>0</v>
      </c>
      <c r="F67" s="2">
        <v>0</v>
      </c>
      <c r="G67" s="3" t="e">
        <f>ROUND(200 * C67)</f>
        <v>#VALUE!</v>
      </c>
      <c r="H67" s="3" t="e">
        <f>ROUND(G67 * (0.5 + F67 / 2))</f>
        <v>#VALUE!</v>
      </c>
      <c r="I67" s="3" t="e">
        <f>G67 - H67</f>
        <v>#VALUE!</v>
      </c>
      <c r="J67" s="3" t="e">
        <f>100 - H67</f>
        <v>#VALUE!</v>
      </c>
      <c r="K67" s="3" t="e">
        <f>100 - I67</f>
        <v>#VALUE!</v>
      </c>
      <c r="L67" s="3">
        <f>0.45 + D67 / 2</f>
        <v>0.53</v>
      </c>
      <c r="M67" s="3">
        <f>0.45 - D67 / 2</f>
        <v>0.37</v>
      </c>
      <c r="N67" s="3">
        <f>0.75 + E67 / 2</f>
        <v>0.75</v>
      </c>
      <c r="O67" s="3">
        <f>0.75 - E67 / 2</f>
        <v>0.75</v>
      </c>
      <c r="P67" s="3" t="e">
        <f>(H67 * L67 + J67 * N67) / 100</f>
        <v>#VALUE!</v>
      </c>
      <c r="Q67" s="3" t="e">
        <f>(I67 * M67 + K67 * O67) / 100</f>
        <v>#VALUE!</v>
      </c>
      <c r="R67" s="3" t="e">
        <f>P67 - Q67</f>
        <v>#VALUE!</v>
      </c>
      <c r="S67" s="3">
        <f>C67 * D67 + (1 - C67) * E67</f>
        <v>0.048</v>
      </c>
      <c r="T67" s="3" t="e">
        <f>IF(R67 &gt; 0, IF(D67 &lt; 0, 1, 0) + IF(E67 &lt; 0, 1, 0), IF(D67 &gt; 0, 1, 0) + IF(E67 &gt; 0, 1, 0))</f>
        <v>#VALUE!</v>
      </c>
      <c r="U67" s="3" t="e">
        <f>T67 / 2</f>
        <v>#VALUE!</v>
      </c>
      <c r="V67" s="3" t="e">
        <f>IF(S67 &gt; 0, R67 &lt; 0, R67 &gt; 0)</f>
        <v>#VALUE!</v>
      </c>
      <c r="W67" s="3" t="e">
        <f>ABS(S67 - R67)</f>
        <v>#VALUE!</v>
      </c>
      <c r="X67" s="3" t="e">
        <f>IF(AND(V67, U67 = 1), "A", IF(AND(V67, U67 &lt; 1), "B", IF(AND(NOT(V67), W67 &gt; 0.01, ABS(R67) &gt; ABS(S67) + 0.001), "C+", IF(AND(NOT(V67), W67 &gt; 0.01, ABS(R67) &lt; ABS(S67) - 0.001), "C-", "D"))))</f>
        <v>#VALUE!</v>
      </c>
    </row>
    <row r="68">
      <c r="A68" s="2" t="s">
        <v>4526</v>
      </c>
      <c r="B68" s="3" t="str">
        <f>A68</f>
        <v>phase-w30-g116-g208-b30</v>
      </c>
      <c r="C68" s="2">
        <v>0.3</v>
      </c>
      <c r="D68" s="2">
        <v>0.16</v>
      </c>
      <c r="E68" s="2">
        <v>0</v>
      </c>
      <c r="F68" s="2">
        <v>0.3</v>
      </c>
      <c r="G68" s="3" t="e">
        <f>ROUND(200 * C68)</f>
        <v>#VALUE!</v>
      </c>
      <c r="H68" s="3" t="e">
        <f>ROUND(G68 * (0.5 + F68 / 2))</f>
        <v>#VALUE!</v>
      </c>
      <c r="I68" s="3" t="e">
        <f>G68 - H68</f>
        <v>#VALUE!</v>
      </c>
      <c r="J68" s="3" t="e">
        <f>100 - H68</f>
        <v>#VALUE!</v>
      </c>
      <c r="K68" s="3" t="e">
        <f>100 - I68</f>
        <v>#VALUE!</v>
      </c>
      <c r="L68" s="3">
        <f>0.45 + D68 / 2</f>
        <v>0.53</v>
      </c>
      <c r="M68" s="3">
        <f>0.45 - D68 / 2</f>
        <v>0.37</v>
      </c>
      <c r="N68" s="3">
        <f>0.75 + E68 / 2</f>
        <v>0.75</v>
      </c>
      <c r="O68" s="3">
        <f>0.75 - E68 / 2</f>
        <v>0.75</v>
      </c>
      <c r="P68" s="3" t="e">
        <f>(H68 * L68 + J68 * N68) / 100</f>
        <v>#VALUE!</v>
      </c>
      <c r="Q68" s="3" t="e">
        <f>(I68 * M68 + K68 * O68) / 100</f>
        <v>#VALUE!</v>
      </c>
      <c r="R68" s="3" t="e">
        <f>P68 - Q68</f>
        <v>#VALUE!</v>
      </c>
      <c r="S68" s="3">
        <f>C68 * D68 + (1 - C68) * E68</f>
        <v>0.048</v>
      </c>
      <c r="T68" s="3" t="e">
        <f>IF(R68 &gt; 0, IF(D68 &lt; 0, 1, 0) + IF(E68 &lt; 0, 1, 0), IF(D68 &gt; 0, 1, 0) + IF(E68 &gt; 0, 1, 0))</f>
        <v>#VALUE!</v>
      </c>
      <c r="U68" s="3" t="e">
        <f>T68 / 2</f>
        <v>#VALUE!</v>
      </c>
      <c r="V68" s="3" t="e">
        <f>IF(S68 &gt; 0, R68 &lt; 0, R68 &gt; 0)</f>
        <v>#VALUE!</v>
      </c>
      <c r="W68" s="3" t="e">
        <f>ABS(S68 - R68)</f>
        <v>#VALUE!</v>
      </c>
      <c r="X68" s="3" t="e">
        <f>IF(AND(V68, U68 = 1), "A", IF(AND(V68, U68 &lt; 1), "B", IF(AND(NOT(V68), W68 &gt; 0.01, ABS(R68) &gt; ABS(S68) + 0.001), "C+", IF(AND(NOT(V68), W68 &gt; 0.01, ABS(R68) &lt; ABS(S68) - 0.001), "C-", "D"))))</f>
        <v>#VALUE!</v>
      </c>
    </row>
    <row r="69">
      <c r="A69" s="2" t="s">
        <v>4527</v>
      </c>
      <c r="B69" s="3" t="str">
        <f>A69</f>
        <v>phase-w30-g116-g208-b60</v>
      </c>
      <c r="C69" s="2">
        <v>0.3</v>
      </c>
      <c r="D69" s="2">
        <v>0.16</v>
      </c>
      <c r="E69" s="2">
        <v>0</v>
      </c>
      <c r="F69" s="2">
        <v>0.6</v>
      </c>
      <c r="G69" s="3" t="e">
        <f>ROUND(200 * C69)</f>
        <v>#VALUE!</v>
      </c>
      <c r="H69" s="3" t="e">
        <f>ROUND(G69 * (0.5 + F69 / 2))</f>
        <v>#VALUE!</v>
      </c>
      <c r="I69" s="3" t="e">
        <f>G69 - H69</f>
        <v>#VALUE!</v>
      </c>
      <c r="J69" s="3" t="e">
        <f>100 - H69</f>
        <v>#VALUE!</v>
      </c>
      <c r="K69" s="3" t="e">
        <f>100 - I69</f>
        <v>#VALUE!</v>
      </c>
      <c r="L69" s="3">
        <f>0.45 + D69 / 2</f>
        <v>0.53</v>
      </c>
      <c r="M69" s="3">
        <f>0.45 - D69 / 2</f>
        <v>0.37</v>
      </c>
      <c r="N69" s="3">
        <f>0.75 + E69 / 2</f>
        <v>0.75</v>
      </c>
      <c r="O69" s="3">
        <f>0.75 - E69 / 2</f>
        <v>0.75</v>
      </c>
      <c r="P69" s="3" t="e">
        <f>(H69 * L69 + J69 * N69) / 100</f>
        <v>#VALUE!</v>
      </c>
      <c r="Q69" s="3" t="e">
        <f>(I69 * M69 + K69 * O69) / 100</f>
        <v>#VALUE!</v>
      </c>
      <c r="R69" s="3" t="e">
        <f>P69 - Q69</f>
        <v>#VALUE!</v>
      </c>
      <c r="S69" s="3">
        <f>C69 * D69 + (1 - C69) * E69</f>
        <v>0.048</v>
      </c>
      <c r="T69" s="3" t="e">
        <f>IF(R69 &gt; 0, IF(D69 &lt; 0, 1, 0) + IF(E69 &lt; 0, 1, 0), IF(D69 &gt; 0, 1, 0) + IF(E69 &gt; 0, 1, 0))</f>
        <v>#VALUE!</v>
      </c>
      <c r="U69" s="3" t="e">
        <f>T69 / 2</f>
        <v>#VALUE!</v>
      </c>
      <c r="V69" s="3" t="e">
        <f>IF(S69 &gt; 0, R69 &lt; 0, R69 &gt; 0)</f>
        <v>#VALUE!</v>
      </c>
      <c r="W69" s="3" t="e">
        <f>ABS(S69 - R69)</f>
        <v>#VALUE!</v>
      </c>
      <c r="X69" s="3" t="e">
        <f>IF(AND(V69, U69 = 1), "A", IF(AND(V69, U69 &lt; 1), "B", IF(AND(NOT(V69), W69 &gt; 0.01, ABS(R69) &gt; ABS(S69) + 0.001), "C+", IF(AND(NOT(V69), W69 &gt; 0.01, ABS(R69) &lt; ABS(S69) - 0.001), "C-", "D"))))</f>
        <v>#VALUE!</v>
      </c>
    </row>
    <row r="70">
      <c r="A70" s="2" t="s">
        <v>4528</v>
      </c>
      <c r="B70" s="3" t="str">
        <f>A70</f>
        <v>phase-w30-g116-g208-b80</v>
      </c>
      <c r="C70" s="2">
        <v>0.3</v>
      </c>
      <c r="D70" s="2">
        <v>0.16</v>
      </c>
      <c r="E70" s="2">
        <v>0</v>
      </c>
      <c r="F70" s="2">
        <v>0.8</v>
      </c>
      <c r="G70" s="3" t="e">
        <f>ROUND(200 * C70)</f>
        <v>#VALUE!</v>
      </c>
      <c r="H70" s="3" t="e">
        <f>ROUND(G70 * (0.5 + F70 / 2))</f>
        <v>#VALUE!</v>
      </c>
      <c r="I70" s="3" t="e">
        <f>G70 - H70</f>
        <v>#VALUE!</v>
      </c>
      <c r="J70" s="3" t="e">
        <f>100 - H70</f>
        <v>#VALUE!</v>
      </c>
      <c r="K70" s="3" t="e">
        <f>100 - I70</f>
        <v>#VALUE!</v>
      </c>
      <c r="L70" s="3">
        <f>0.45 + D70 / 2</f>
        <v>0.53</v>
      </c>
      <c r="M70" s="3">
        <f>0.45 - D70 / 2</f>
        <v>0.37</v>
      </c>
      <c r="N70" s="3">
        <f>0.75 + E70 / 2</f>
        <v>0.75</v>
      </c>
      <c r="O70" s="3">
        <f>0.75 - E70 / 2</f>
        <v>0.75</v>
      </c>
      <c r="P70" s="3" t="e">
        <f>(H70 * L70 + J70 * N70) / 100</f>
        <v>#VALUE!</v>
      </c>
      <c r="Q70" s="3" t="e">
        <f>(I70 * M70 + K70 * O70) / 100</f>
        <v>#VALUE!</v>
      </c>
      <c r="R70" s="3" t="e">
        <f>P70 - Q70</f>
        <v>#VALUE!</v>
      </c>
      <c r="S70" s="3">
        <f>C70 * D70 + (1 - C70) * E70</f>
        <v>0.048</v>
      </c>
      <c r="T70" s="3" t="e">
        <f>IF(R70 &gt; 0, IF(D70 &lt; 0, 1, 0) + IF(E70 &lt; 0, 1, 0), IF(D70 &gt; 0, 1, 0) + IF(E70 &gt; 0, 1, 0))</f>
        <v>#VALUE!</v>
      </c>
      <c r="U70" s="3" t="e">
        <f>T70 / 2</f>
        <v>#VALUE!</v>
      </c>
      <c r="V70" s="3" t="e">
        <f>IF(S70 &gt; 0, R70 &lt; 0, R70 &gt; 0)</f>
        <v>#VALUE!</v>
      </c>
      <c r="W70" s="3" t="e">
        <f>ABS(S70 - R70)</f>
        <v>#VALUE!</v>
      </c>
      <c r="X70" s="3" t="e">
        <f>IF(AND(V70, U70 = 1), "A", IF(AND(V70, U70 &lt; 1), "B", IF(AND(NOT(V70), W70 &gt; 0.01, ABS(R70) &gt; ABS(S70) + 0.001), "C+", IF(AND(NOT(V70), W70 &gt; 0.01, ABS(R70) &lt; ABS(S70) - 0.001), "C-", "D"))))</f>
        <v>#VALUE!</v>
      </c>
    </row>
    <row r="71">
      <c r="A71" s="2" t="s">
        <v>4529</v>
      </c>
      <c r="B71" s="3" t="str">
        <f>A71</f>
        <v>phase-w30-g116-g208-b95</v>
      </c>
      <c r="C71" s="2">
        <v>0.3</v>
      </c>
      <c r="D71" s="2">
        <v>0.16</v>
      </c>
      <c r="E71" s="2">
        <v>0</v>
      </c>
      <c r="F71" s="2">
        <v>0.95</v>
      </c>
      <c r="G71" s="3" t="e">
        <f>ROUND(200 * C71)</f>
        <v>#VALUE!</v>
      </c>
      <c r="H71" s="3" t="e">
        <f>ROUND(G71 * (0.5 + F71 / 2))</f>
        <v>#VALUE!</v>
      </c>
      <c r="I71" s="3" t="e">
        <f>G71 - H71</f>
        <v>#VALUE!</v>
      </c>
      <c r="J71" s="3" t="e">
        <f>100 - H71</f>
        <v>#VALUE!</v>
      </c>
      <c r="K71" s="3" t="e">
        <f>100 - I71</f>
        <v>#VALUE!</v>
      </c>
      <c r="L71" s="3">
        <f>0.45 + D71 / 2</f>
        <v>0.53</v>
      </c>
      <c r="M71" s="3">
        <f>0.45 - D71 / 2</f>
        <v>0.37</v>
      </c>
      <c r="N71" s="3">
        <f>0.75 + E71 / 2</f>
        <v>0.75</v>
      </c>
      <c r="O71" s="3">
        <f>0.75 - E71 / 2</f>
        <v>0.75</v>
      </c>
      <c r="P71" s="3" t="e">
        <f>(H71 * L71 + J71 * N71) / 100</f>
        <v>#VALUE!</v>
      </c>
      <c r="Q71" s="3" t="e">
        <f>(I71 * M71 + K71 * O71) / 100</f>
        <v>#VALUE!</v>
      </c>
      <c r="R71" s="3" t="e">
        <f>P71 - Q71</f>
        <v>#VALUE!</v>
      </c>
      <c r="S71" s="3">
        <f>C71 * D71 + (1 - C71) * E71</f>
        <v>0.048</v>
      </c>
      <c r="T71" s="3" t="e">
        <f>IF(R71 &gt; 0, IF(D71 &lt; 0, 1, 0) + IF(E71 &lt; 0, 1, 0), IF(D71 &gt; 0, 1, 0) + IF(E71 &gt; 0, 1, 0))</f>
        <v>#VALUE!</v>
      </c>
      <c r="U71" s="3" t="e">
        <f>T71 / 2</f>
        <v>#VALUE!</v>
      </c>
      <c r="V71" s="3" t="e">
        <f>IF(S71 &gt; 0, R71 &lt; 0, R71 &gt; 0)</f>
        <v>#VALUE!</v>
      </c>
      <c r="W71" s="3" t="e">
        <f>ABS(S71 - R71)</f>
        <v>#VALUE!</v>
      </c>
      <c r="X71" s="3" t="e">
        <f>IF(AND(V71, U71 = 1), "A", IF(AND(V71, U71 &lt; 1), "B", IF(AND(NOT(V71), W71 &gt; 0.01, ABS(R71) &gt; ABS(S71) + 0.001), "C+", IF(AND(NOT(V71), W71 &gt; 0.01, ABS(R71) &lt; ABS(S71) - 0.001), "C-", "D"))))</f>
        <v>#VALUE!</v>
      </c>
    </row>
    <row r="72">
      <c r="A72" s="2" t="s">
        <v>4530</v>
      </c>
      <c r="B72" s="3" t="str">
        <f>A72</f>
        <v>phase-w30-g116-g212-b00</v>
      </c>
      <c r="C72" s="2">
        <v>0.3</v>
      </c>
      <c r="D72" s="2">
        <v>0.16</v>
      </c>
      <c r="E72" s="2">
        <v>0.04</v>
      </c>
      <c r="F72" s="2">
        <v>0</v>
      </c>
      <c r="G72" s="3" t="e">
        <f>ROUND(200 * C72)</f>
        <v>#VALUE!</v>
      </c>
      <c r="H72" s="3" t="e">
        <f>ROUND(G72 * (0.5 + F72 / 2))</f>
        <v>#VALUE!</v>
      </c>
      <c r="I72" s="3" t="e">
        <f>G72 - H72</f>
        <v>#VALUE!</v>
      </c>
      <c r="J72" s="3" t="e">
        <f>100 - H72</f>
        <v>#VALUE!</v>
      </c>
      <c r="K72" s="3" t="e">
        <f>100 - I72</f>
        <v>#VALUE!</v>
      </c>
      <c r="L72" s="3">
        <f>0.45 + D72 / 2</f>
        <v>0.53</v>
      </c>
      <c r="M72" s="3">
        <f>0.45 - D72 / 2</f>
        <v>0.37</v>
      </c>
      <c r="N72" s="3">
        <f>0.75 + E72 / 2</f>
        <v>0.77</v>
      </c>
      <c r="O72" s="3">
        <f>0.75 - E72 / 2</f>
        <v>0.73</v>
      </c>
      <c r="P72" s="3" t="e">
        <f>(H72 * L72 + J72 * N72) / 100</f>
        <v>#VALUE!</v>
      </c>
      <c r="Q72" s="3" t="e">
        <f>(I72 * M72 + K72 * O72) / 100</f>
        <v>#VALUE!</v>
      </c>
      <c r="R72" s="3" t="e">
        <f>P72 - Q72</f>
        <v>#VALUE!</v>
      </c>
      <c r="S72" s="3">
        <f>C72 * D72 + (1 - C72) * E72</f>
        <v>0.076</v>
      </c>
      <c r="T72" s="3" t="e">
        <f>IF(R72 &gt; 0, IF(D72 &lt; 0, 1, 0) + IF(E72 &lt; 0, 1, 0), IF(D72 &gt; 0, 1, 0) + IF(E72 &gt; 0, 1, 0))</f>
        <v>#VALUE!</v>
      </c>
      <c r="U72" s="3" t="e">
        <f>T72 / 2</f>
        <v>#VALUE!</v>
      </c>
      <c r="V72" s="3" t="e">
        <f>IF(S72 &gt; 0, R72 &lt; 0, R72 &gt; 0)</f>
        <v>#VALUE!</v>
      </c>
      <c r="W72" s="3" t="e">
        <f>ABS(S72 - R72)</f>
        <v>#VALUE!</v>
      </c>
      <c r="X72" s="3" t="e">
        <f>IF(AND(V72, U72 = 1), "A", IF(AND(V72, U72 &lt; 1), "B", IF(AND(NOT(V72), W72 &gt; 0.01, ABS(R72) &gt; ABS(S72) + 0.001), "C+", IF(AND(NOT(V72), W72 &gt; 0.01, ABS(R72) &lt; ABS(S72) - 0.001), "C-", "D"))))</f>
        <v>#VALUE!</v>
      </c>
    </row>
    <row r="73">
      <c r="A73" s="2" t="s">
        <v>4531</v>
      </c>
      <c r="B73" s="3" t="str">
        <f>A73</f>
        <v>phase-w30-g116-g212-b30</v>
      </c>
      <c r="C73" s="2">
        <v>0.3</v>
      </c>
      <c r="D73" s="2">
        <v>0.16</v>
      </c>
      <c r="E73" s="2">
        <v>0.04</v>
      </c>
      <c r="F73" s="2">
        <v>0.3</v>
      </c>
      <c r="G73" s="3" t="e">
        <f>ROUND(200 * C73)</f>
        <v>#VALUE!</v>
      </c>
      <c r="H73" s="3" t="e">
        <f>ROUND(G73 * (0.5 + F73 / 2))</f>
        <v>#VALUE!</v>
      </c>
      <c r="I73" s="3" t="e">
        <f>G73 - H73</f>
        <v>#VALUE!</v>
      </c>
      <c r="J73" s="3" t="e">
        <f>100 - H73</f>
        <v>#VALUE!</v>
      </c>
      <c r="K73" s="3" t="e">
        <f>100 - I73</f>
        <v>#VALUE!</v>
      </c>
      <c r="L73" s="3">
        <f>0.45 + D73 / 2</f>
        <v>0.53</v>
      </c>
      <c r="M73" s="3">
        <f>0.45 - D73 / 2</f>
        <v>0.37</v>
      </c>
      <c r="N73" s="3">
        <f>0.75 + E73 / 2</f>
        <v>0.77</v>
      </c>
      <c r="O73" s="3">
        <f>0.75 - E73 / 2</f>
        <v>0.73</v>
      </c>
      <c r="P73" s="3" t="e">
        <f>(H73 * L73 + J73 * N73) / 100</f>
        <v>#VALUE!</v>
      </c>
      <c r="Q73" s="3" t="e">
        <f>(I73 * M73 + K73 * O73) / 100</f>
        <v>#VALUE!</v>
      </c>
      <c r="R73" s="3" t="e">
        <f>P73 - Q73</f>
        <v>#VALUE!</v>
      </c>
      <c r="S73" s="3">
        <f>C73 * D73 + (1 - C73) * E73</f>
        <v>0.076</v>
      </c>
      <c r="T73" s="3" t="e">
        <f>IF(R73 &gt; 0, IF(D73 &lt; 0, 1, 0) + IF(E73 &lt; 0, 1, 0), IF(D73 &gt; 0, 1, 0) + IF(E73 &gt; 0, 1, 0))</f>
        <v>#VALUE!</v>
      </c>
      <c r="U73" s="3" t="e">
        <f>T73 / 2</f>
        <v>#VALUE!</v>
      </c>
      <c r="V73" s="3" t="e">
        <f>IF(S73 &gt; 0, R73 &lt; 0, R73 &gt; 0)</f>
        <v>#VALUE!</v>
      </c>
      <c r="W73" s="3" t="e">
        <f>ABS(S73 - R73)</f>
        <v>#VALUE!</v>
      </c>
      <c r="X73" s="3" t="e">
        <f>IF(AND(V73, U73 = 1), "A", IF(AND(V73, U73 &lt; 1), "B", IF(AND(NOT(V73), W73 &gt; 0.01, ABS(R73) &gt; ABS(S73) + 0.001), "C+", IF(AND(NOT(V73), W73 &gt; 0.01, ABS(R73) &lt; ABS(S73) - 0.001), "C-", "D"))))</f>
        <v>#VALUE!</v>
      </c>
    </row>
    <row r="74">
      <c r="A74" s="2" t="s">
        <v>4532</v>
      </c>
      <c r="B74" s="3" t="str">
        <f>A74</f>
        <v>phase-w30-g116-g212-b60</v>
      </c>
      <c r="C74" s="2">
        <v>0.3</v>
      </c>
      <c r="D74" s="2">
        <v>0.16</v>
      </c>
      <c r="E74" s="2">
        <v>0.04</v>
      </c>
      <c r="F74" s="2">
        <v>0.6</v>
      </c>
      <c r="G74" s="3" t="e">
        <f>ROUND(200 * C74)</f>
        <v>#VALUE!</v>
      </c>
      <c r="H74" s="3" t="e">
        <f>ROUND(G74 * (0.5 + F74 / 2))</f>
        <v>#VALUE!</v>
      </c>
      <c r="I74" s="3" t="e">
        <f>G74 - H74</f>
        <v>#VALUE!</v>
      </c>
      <c r="J74" s="3" t="e">
        <f>100 - H74</f>
        <v>#VALUE!</v>
      </c>
      <c r="K74" s="3" t="e">
        <f>100 - I74</f>
        <v>#VALUE!</v>
      </c>
      <c r="L74" s="3">
        <f>0.45 + D74 / 2</f>
        <v>0.53</v>
      </c>
      <c r="M74" s="3">
        <f>0.45 - D74 / 2</f>
        <v>0.37</v>
      </c>
      <c r="N74" s="3">
        <f>0.75 + E74 / 2</f>
        <v>0.77</v>
      </c>
      <c r="O74" s="3">
        <f>0.75 - E74 / 2</f>
        <v>0.73</v>
      </c>
      <c r="P74" s="3" t="e">
        <f>(H74 * L74 + J74 * N74) / 100</f>
        <v>#VALUE!</v>
      </c>
      <c r="Q74" s="3" t="e">
        <f>(I74 * M74 + K74 * O74) / 100</f>
        <v>#VALUE!</v>
      </c>
      <c r="R74" s="3" t="e">
        <f>P74 - Q74</f>
        <v>#VALUE!</v>
      </c>
      <c r="S74" s="3">
        <f>C74 * D74 + (1 - C74) * E74</f>
        <v>0.076</v>
      </c>
      <c r="T74" s="3" t="e">
        <f>IF(R74 &gt; 0, IF(D74 &lt; 0, 1, 0) + IF(E74 &lt; 0, 1, 0), IF(D74 &gt; 0, 1, 0) + IF(E74 &gt; 0, 1, 0))</f>
        <v>#VALUE!</v>
      </c>
      <c r="U74" s="3" t="e">
        <f>T74 / 2</f>
        <v>#VALUE!</v>
      </c>
      <c r="V74" s="3" t="e">
        <f>IF(S74 &gt; 0, R74 &lt; 0, R74 &gt; 0)</f>
        <v>#VALUE!</v>
      </c>
      <c r="W74" s="3" t="e">
        <f>ABS(S74 - R74)</f>
        <v>#VALUE!</v>
      </c>
      <c r="X74" s="3" t="e">
        <f>IF(AND(V74, U74 = 1), "A", IF(AND(V74, U74 &lt; 1), "B", IF(AND(NOT(V74), W74 &gt; 0.01, ABS(R74) &gt; ABS(S74) + 0.001), "C+", IF(AND(NOT(V74), W74 &gt; 0.01, ABS(R74) &lt; ABS(S74) - 0.001), "C-", "D"))))</f>
        <v>#VALUE!</v>
      </c>
    </row>
    <row r="75">
      <c r="A75" s="2" t="s">
        <v>4533</v>
      </c>
      <c r="B75" s="3" t="str">
        <f>A75</f>
        <v>phase-w30-g116-g212-b80</v>
      </c>
      <c r="C75" s="2">
        <v>0.3</v>
      </c>
      <c r="D75" s="2">
        <v>0.16</v>
      </c>
      <c r="E75" s="2">
        <v>0.04</v>
      </c>
      <c r="F75" s="2">
        <v>0.8</v>
      </c>
      <c r="G75" s="3" t="e">
        <f>ROUND(200 * C75)</f>
        <v>#VALUE!</v>
      </c>
      <c r="H75" s="3" t="e">
        <f>ROUND(G75 * (0.5 + F75 / 2))</f>
        <v>#VALUE!</v>
      </c>
      <c r="I75" s="3" t="e">
        <f>G75 - H75</f>
        <v>#VALUE!</v>
      </c>
      <c r="J75" s="3" t="e">
        <f>100 - H75</f>
        <v>#VALUE!</v>
      </c>
      <c r="K75" s="3" t="e">
        <f>100 - I75</f>
        <v>#VALUE!</v>
      </c>
      <c r="L75" s="3">
        <f>0.45 + D75 / 2</f>
        <v>0.53</v>
      </c>
      <c r="M75" s="3">
        <f>0.45 - D75 / 2</f>
        <v>0.37</v>
      </c>
      <c r="N75" s="3">
        <f>0.75 + E75 / 2</f>
        <v>0.77</v>
      </c>
      <c r="O75" s="3">
        <f>0.75 - E75 / 2</f>
        <v>0.73</v>
      </c>
      <c r="P75" s="3" t="e">
        <f>(H75 * L75 + J75 * N75) / 100</f>
        <v>#VALUE!</v>
      </c>
      <c r="Q75" s="3" t="e">
        <f>(I75 * M75 + K75 * O75) / 100</f>
        <v>#VALUE!</v>
      </c>
      <c r="R75" s="3" t="e">
        <f>P75 - Q75</f>
        <v>#VALUE!</v>
      </c>
      <c r="S75" s="3">
        <f>C75 * D75 + (1 - C75) * E75</f>
        <v>0.076</v>
      </c>
      <c r="T75" s="3" t="e">
        <f>IF(R75 &gt; 0, IF(D75 &lt; 0, 1, 0) + IF(E75 &lt; 0, 1, 0), IF(D75 &gt; 0, 1, 0) + IF(E75 &gt; 0, 1, 0))</f>
        <v>#VALUE!</v>
      </c>
      <c r="U75" s="3" t="e">
        <f>T75 / 2</f>
        <v>#VALUE!</v>
      </c>
      <c r="V75" s="3" t="e">
        <f>IF(S75 &gt; 0, R75 &lt; 0, R75 &gt; 0)</f>
        <v>#VALUE!</v>
      </c>
      <c r="W75" s="3" t="e">
        <f>ABS(S75 - R75)</f>
        <v>#VALUE!</v>
      </c>
      <c r="X75" s="3" t="e">
        <f>IF(AND(V75, U75 = 1), "A", IF(AND(V75, U75 &lt; 1), "B", IF(AND(NOT(V75), W75 &gt; 0.01, ABS(R75) &gt; ABS(S75) + 0.001), "C+", IF(AND(NOT(V75), W75 &gt; 0.01, ABS(R75) &lt; ABS(S75) - 0.001), "C-", "D"))))</f>
        <v>#VALUE!</v>
      </c>
    </row>
    <row r="76">
      <c r="A76" s="2" t="s">
        <v>4534</v>
      </c>
      <c r="B76" s="3" t="str">
        <f>A76</f>
        <v>phase-w30-g116-g212-b95</v>
      </c>
      <c r="C76" s="2">
        <v>0.3</v>
      </c>
      <c r="D76" s="2">
        <v>0.16</v>
      </c>
      <c r="E76" s="2">
        <v>0.04</v>
      </c>
      <c r="F76" s="2">
        <v>0.95</v>
      </c>
      <c r="G76" s="3" t="e">
        <f>ROUND(200 * C76)</f>
        <v>#VALUE!</v>
      </c>
      <c r="H76" s="3" t="e">
        <f>ROUND(G76 * (0.5 + F76 / 2))</f>
        <v>#VALUE!</v>
      </c>
      <c r="I76" s="3" t="e">
        <f>G76 - H76</f>
        <v>#VALUE!</v>
      </c>
      <c r="J76" s="3" t="e">
        <f>100 - H76</f>
        <v>#VALUE!</v>
      </c>
      <c r="K76" s="3" t="e">
        <f>100 - I76</f>
        <v>#VALUE!</v>
      </c>
      <c r="L76" s="3">
        <f>0.45 + D76 / 2</f>
        <v>0.53</v>
      </c>
      <c r="M76" s="3">
        <f>0.45 - D76 / 2</f>
        <v>0.37</v>
      </c>
      <c r="N76" s="3">
        <f>0.75 + E76 / 2</f>
        <v>0.77</v>
      </c>
      <c r="O76" s="3">
        <f>0.75 - E76 / 2</f>
        <v>0.73</v>
      </c>
      <c r="P76" s="3" t="e">
        <f>(H76 * L76 + J76 * N76) / 100</f>
        <v>#VALUE!</v>
      </c>
      <c r="Q76" s="3" t="e">
        <f>(I76 * M76 + K76 * O76) / 100</f>
        <v>#VALUE!</v>
      </c>
      <c r="R76" s="3" t="e">
        <f>P76 - Q76</f>
        <v>#VALUE!</v>
      </c>
      <c r="S76" s="3">
        <f>C76 * D76 + (1 - C76) * E76</f>
        <v>0.076</v>
      </c>
      <c r="T76" s="3" t="e">
        <f>IF(R76 &gt; 0, IF(D76 &lt; 0, 1, 0) + IF(E76 &lt; 0, 1, 0), IF(D76 &gt; 0, 1, 0) + IF(E76 &gt; 0, 1, 0))</f>
        <v>#VALUE!</v>
      </c>
      <c r="U76" s="3" t="e">
        <f>T76 / 2</f>
        <v>#VALUE!</v>
      </c>
      <c r="V76" s="3" t="e">
        <f>IF(S76 &gt; 0, R76 &lt; 0, R76 &gt; 0)</f>
        <v>#VALUE!</v>
      </c>
      <c r="W76" s="3" t="e">
        <f>ABS(S76 - R76)</f>
        <v>#VALUE!</v>
      </c>
      <c r="X76" s="3" t="e">
        <f>IF(AND(V76, U76 = 1), "A", IF(AND(V76, U76 &lt; 1), "B", IF(AND(NOT(V76), W76 &gt; 0.01, ABS(R76) &gt; ABS(S76) + 0.001), "C+", IF(AND(NOT(V76), W76 &gt; 0.01, ABS(R76) &lt; ABS(S76) - 0.001), "C-", "D"))))</f>
        <v>#VALUE!</v>
      </c>
    </row>
    <row r="77">
      <c r="A77" s="2" t="s">
        <v>4535</v>
      </c>
      <c r="B77" s="3" t="str">
        <f>A77</f>
        <v>phase-w30-g116-g216-b00</v>
      </c>
      <c r="C77" s="2">
        <v>0.3</v>
      </c>
      <c r="D77" s="2">
        <v>0.16</v>
      </c>
      <c r="E77" s="2">
        <v>0.08</v>
      </c>
      <c r="F77" s="2">
        <v>0</v>
      </c>
      <c r="G77" s="3" t="e">
        <f>ROUND(200 * C77)</f>
        <v>#VALUE!</v>
      </c>
      <c r="H77" s="3" t="e">
        <f>ROUND(G77 * (0.5 + F77 / 2))</f>
        <v>#VALUE!</v>
      </c>
      <c r="I77" s="3" t="e">
        <f>G77 - H77</f>
        <v>#VALUE!</v>
      </c>
      <c r="J77" s="3" t="e">
        <f>100 - H77</f>
        <v>#VALUE!</v>
      </c>
      <c r="K77" s="3" t="e">
        <f>100 - I77</f>
        <v>#VALUE!</v>
      </c>
      <c r="L77" s="3">
        <f>0.45 + D77 / 2</f>
        <v>0.53</v>
      </c>
      <c r="M77" s="3">
        <f>0.45 - D77 / 2</f>
        <v>0.37</v>
      </c>
      <c r="N77" s="3">
        <f>0.75 + E77 / 2</f>
        <v>0.79</v>
      </c>
      <c r="O77" s="3">
        <f>0.75 - E77 / 2</f>
        <v>0.71</v>
      </c>
      <c r="P77" s="3" t="e">
        <f>(H77 * L77 + J77 * N77) / 100</f>
        <v>#VALUE!</v>
      </c>
      <c r="Q77" s="3" t="e">
        <f>(I77 * M77 + K77 * O77) / 100</f>
        <v>#VALUE!</v>
      </c>
      <c r="R77" s="3" t="e">
        <f>P77 - Q77</f>
        <v>#VALUE!</v>
      </c>
      <c r="S77" s="3">
        <f>C77 * D77 + (1 - C77) * E77</f>
        <v>0.104</v>
      </c>
      <c r="T77" s="3" t="e">
        <f>IF(R77 &gt; 0, IF(D77 &lt; 0, 1, 0) + IF(E77 &lt; 0, 1, 0), IF(D77 &gt; 0, 1, 0) + IF(E77 &gt; 0, 1, 0))</f>
        <v>#VALUE!</v>
      </c>
      <c r="U77" s="3" t="e">
        <f>T77 / 2</f>
        <v>#VALUE!</v>
      </c>
      <c r="V77" s="3" t="e">
        <f>IF(S77 &gt; 0, R77 &lt; 0, R77 &gt; 0)</f>
        <v>#VALUE!</v>
      </c>
      <c r="W77" s="3" t="e">
        <f>ABS(S77 - R77)</f>
        <v>#VALUE!</v>
      </c>
      <c r="X77" s="3" t="e">
        <f>IF(AND(V77, U77 = 1), "A", IF(AND(V77, U77 &lt; 1), "B", IF(AND(NOT(V77), W77 &gt; 0.01, ABS(R77) &gt; ABS(S77) + 0.001), "C+", IF(AND(NOT(V77), W77 &gt; 0.01, ABS(R77) &lt; ABS(S77) - 0.001), "C-", "D"))))</f>
        <v>#VALUE!</v>
      </c>
    </row>
    <row r="78">
      <c r="A78" s="2" t="s">
        <v>4536</v>
      </c>
      <c r="B78" s="3" t="str">
        <f>A78</f>
        <v>phase-w30-g116-g216-b30</v>
      </c>
      <c r="C78" s="2">
        <v>0.3</v>
      </c>
      <c r="D78" s="2">
        <v>0.16</v>
      </c>
      <c r="E78" s="2">
        <v>0.08</v>
      </c>
      <c r="F78" s="2">
        <v>0.3</v>
      </c>
      <c r="G78" s="3" t="e">
        <f>ROUND(200 * C78)</f>
        <v>#VALUE!</v>
      </c>
      <c r="H78" s="3" t="e">
        <f>ROUND(G78 * (0.5 + F78 / 2))</f>
        <v>#VALUE!</v>
      </c>
      <c r="I78" s="3" t="e">
        <f>G78 - H78</f>
        <v>#VALUE!</v>
      </c>
      <c r="J78" s="3" t="e">
        <f>100 - H78</f>
        <v>#VALUE!</v>
      </c>
      <c r="K78" s="3" t="e">
        <f>100 - I78</f>
        <v>#VALUE!</v>
      </c>
      <c r="L78" s="3">
        <f>0.45 + D78 / 2</f>
        <v>0.53</v>
      </c>
      <c r="M78" s="3">
        <f>0.45 - D78 / 2</f>
        <v>0.37</v>
      </c>
      <c r="N78" s="3">
        <f>0.75 + E78 / 2</f>
        <v>0.79</v>
      </c>
      <c r="O78" s="3">
        <f>0.75 - E78 / 2</f>
        <v>0.71</v>
      </c>
      <c r="P78" s="3" t="e">
        <f>(H78 * L78 + J78 * N78) / 100</f>
        <v>#VALUE!</v>
      </c>
      <c r="Q78" s="3" t="e">
        <f>(I78 * M78 + K78 * O78) / 100</f>
        <v>#VALUE!</v>
      </c>
      <c r="R78" s="3" t="e">
        <f>P78 - Q78</f>
        <v>#VALUE!</v>
      </c>
      <c r="S78" s="3">
        <f>C78 * D78 + (1 - C78) * E78</f>
        <v>0.104</v>
      </c>
      <c r="T78" s="3" t="e">
        <f>IF(R78 &gt; 0, IF(D78 &lt; 0, 1, 0) + IF(E78 &lt; 0, 1, 0), IF(D78 &gt; 0, 1, 0) + IF(E78 &gt; 0, 1, 0))</f>
        <v>#VALUE!</v>
      </c>
      <c r="U78" s="3" t="e">
        <f>T78 / 2</f>
        <v>#VALUE!</v>
      </c>
      <c r="V78" s="3" t="e">
        <f>IF(S78 &gt; 0, R78 &lt; 0, R78 &gt; 0)</f>
        <v>#VALUE!</v>
      </c>
      <c r="W78" s="3" t="e">
        <f>ABS(S78 - R78)</f>
        <v>#VALUE!</v>
      </c>
      <c r="X78" s="3" t="e">
        <f>IF(AND(V78, U78 = 1), "A", IF(AND(V78, U78 &lt; 1), "B", IF(AND(NOT(V78), W78 &gt; 0.01, ABS(R78) &gt; ABS(S78) + 0.001), "C+", IF(AND(NOT(V78), W78 &gt; 0.01, ABS(R78) &lt; ABS(S78) - 0.001), "C-", "D"))))</f>
        <v>#VALUE!</v>
      </c>
    </row>
    <row r="79">
      <c r="A79" s="2" t="s">
        <v>4537</v>
      </c>
      <c r="B79" s="3" t="str">
        <f>A79</f>
        <v>phase-w30-g116-g216-b60</v>
      </c>
      <c r="C79" s="2">
        <v>0.3</v>
      </c>
      <c r="D79" s="2">
        <v>0.16</v>
      </c>
      <c r="E79" s="2">
        <v>0.08</v>
      </c>
      <c r="F79" s="2">
        <v>0.6</v>
      </c>
      <c r="G79" s="3" t="e">
        <f>ROUND(200 * C79)</f>
        <v>#VALUE!</v>
      </c>
      <c r="H79" s="3" t="e">
        <f>ROUND(G79 * (0.5 + F79 / 2))</f>
        <v>#VALUE!</v>
      </c>
      <c r="I79" s="3" t="e">
        <f>G79 - H79</f>
        <v>#VALUE!</v>
      </c>
      <c r="J79" s="3" t="e">
        <f>100 - H79</f>
        <v>#VALUE!</v>
      </c>
      <c r="K79" s="3" t="e">
        <f>100 - I79</f>
        <v>#VALUE!</v>
      </c>
      <c r="L79" s="3">
        <f>0.45 + D79 / 2</f>
        <v>0.53</v>
      </c>
      <c r="M79" s="3">
        <f>0.45 - D79 / 2</f>
        <v>0.37</v>
      </c>
      <c r="N79" s="3">
        <f>0.75 + E79 / 2</f>
        <v>0.79</v>
      </c>
      <c r="O79" s="3">
        <f>0.75 - E79 / 2</f>
        <v>0.71</v>
      </c>
      <c r="P79" s="3" t="e">
        <f>(H79 * L79 + J79 * N79) / 100</f>
        <v>#VALUE!</v>
      </c>
      <c r="Q79" s="3" t="e">
        <f>(I79 * M79 + K79 * O79) / 100</f>
        <v>#VALUE!</v>
      </c>
      <c r="R79" s="3" t="e">
        <f>P79 - Q79</f>
        <v>#VALUE!</v>
      </c>
      <c r="S79" s="3">
        <f>C79 * D79 + (1 - C79) * E79</f>
        <v>0.104</v>
      </c>
      <c r="T79" s="3" t="e">
        <f>IF(R79 &gt; 0, IF(D79 &lt; 0, 1, 0) + IF(E79 &lt; 0, 1, 0), IF(D79 &gt; 0, 1, 0) + IF(E79 &gt; 0, 1, 0))</f>
        <v>#VALUE!</v>
      </c>
      <c r="U79" s="3" t="e">
        <f>T79 / 2</f>
        <v>#VALUE!</v>
      </c>
      <c r="V79" s="3" t="e">
        <f>IF(S79 &gt; 0, R79 &lt; 0, R79 &gt; 0)</f>
        <v>#VALUE!</v>
      </c>
      <c r="W79" s="3" t="e">
        <f>ABS(S79 - R79)</f>
        <v>#VALUE!</v>
      </c>
      <c r="X79" s="3" t="e">
        <f>IF(AND(V79, U79 = 1), "A", IF(AND(V79, U79 &lt; 1), "B", IF(AND(NOT(V79), W79 &gt; 0.01, ABS(R79) &gt; ABS(S79) + 0.001), "C+", IF(AND(NOT(V79), W79 &gt; 0.01, ABS(R79) &lt; ABS(S79) - 0.001), "C-", "D"))))</f>
        <v>#VALUE!</v>
      </c>
    </row>
    <row r="80">
      <c r="A80" s="2" t="s">
        <v>4538</v>
      </c>
      <c r="B80" s="3" t="str">
        <f>A80</f>
        <v>phase-w30-g116-g216-b80</v>
      </c>
      <c r="C80" s="2">
        <v>0.3</v>
      </c>
      <c r="D80" s="2">
        <v>0.16</v>
      </c>
      <c r="E80" s="2">
        <v>0.08</v>
      </c>
      <c r="F80" s="2">
        <v>0.8</v>
      </c>
      <c r="G80" s="3" t="e">
        <f>ROUND(200 * C80)</f>
        <v>#VALUE!</v>
      </c>
      <c r="H80" s="3" t="e">
        <f>ROUND(G80 * (0.5 + F80 / 2))</f>
        <v>#VALUE!</v>
      </c>
      <c r="I80" s="3" t="e">
        <f>G80 - H80</f>
        <v>#VALUE!</v>
      </c>
      <c r="J80" s="3" t="e">
        <f>100 - H80</f>
        <v>#VALUE!</v>
      </c>
      <c r="K80" s="3" t="e">
        <f>100 - I80</f>
        <v>#VALUE!</v>
      </c>
      <c r="L80" s="3">
        <f>0.45 + D80 / 2</f>
        <v>0.53</v>
      </c>
      <c r="M80" s="3">
        <f>0.45 - D80 / 2</f>
        <v>0.37</v>
      </c>
      <c r="N80" s="3">
        <f>0.75 + E80 / 2</f>
        <v>0.79</v>
      </c>
      <c r="O80" s="3">
        <f>0.75 - E80 / 2</f>
        <v>0.71</v>
      </c>
      <c r="P80" s="3" t="e">
        <f>(H80 * L80 + J80 * N80) / 100</f>
        <v>#VALUE!</v>
      </c>
      <c r="Q80" s="3" t="e">
        <f>(I80 * M80 + K80 * O80) / 100</f>
        <v>#VALUE!</v>
      </c>
      <c r="R80" s="3" t="e">
        <f>P80 - Q80</f>
        <v>#VALUE!</v>
      </c>
      <c r="S80" s="3">
        <f>C80 * D80 + (1 - C80) * E80</f>
        <v>0.104</v>
      </c>
      <c r="T80" s="3" t="e">
        <f>IF(R80 &gt; 0, IF(D80 &lt; 0, 1, 0) + IF(E80 &lt; 0, 1, 0), IF(D80 &gt; 0, 1, 0) + IF(E80 &gt; 0, 1, 0))</f>
        <v>#VALUE!</v>
      </c>
      <c r="U80" s="3" t="e">
        <f>T80 / 2</f>
        <v>#VALUE!</v>
      </c>
      <c r="V80" s="3" t="e">
        <f>IF(S80 &gt; 0, R80 &lt; 0, R80 &gt; 0)</f>
        <v>#VALUE!</v>
      </c>
      <c r="W80" s="3" t="e">
        <f>ABS(S80 - R80)</f>
        <v>#VALUE!</v>
      </c>
      <c r="X80" s="3" t="e">
        <f>IF(AND(V80, U80 = 1), "A", IF(AND(V80, U80 &lt; 1), "B", IF(AND(NOT(V80), W80 &gt; 0.01, ABS(R80) &gt; ABS(S80) + 0.001), "C+", IF(AND(NOT(V80), W80 &gt; 0.01, ABS(R80) &lt; ABS(S80) - 0.001), "C-", "D"))))</f>
        <v>#VALUE!</v>
      </c>
    </row>
    <row r="81">
      <c r="A81" s="2" t="s">
        <v>4539</v>
      </c>
      <c r="B81" s="3" t="str">
        <f>A81</f>
        <v>phase-w30-g116-g216-b95</v>
      </c>
      <c r="C81" s="2">
        <v>0.3</v>
      </c>
      <c r="D81" s="2">
        <v>0.16</v>
      </c>
      <c r="E81" s="2">
        <v>0.08</v>
      </c>
      <c r="F81" s="2">
        <v>0.95</v>
      </c>
      <c r="G81" s="3" t="e">
        <f>ROUND(200 * C81)</f>
        <v>#VALUE!</v>
      </c>
      <c r="H81" s="3" t="e">
        <f>ROUND(G81 * (0.5 + F81 / 2))</f>
        <v>#VALUE!</v>
      </c>
      <c r="I81" s="3" t="e">
        <f>G81 - H81</f>
        <v>#VALUE!</v>
      </c>
      <c r="J81" s="3" t="e">
        <f>100 - H81</f>
        <v>#VALUE!</v>
      </c>
      <c r="K81" s="3" t="e">
        <f>100 - I81</f>
        <v>#VALUE!</v>
      </c>
      <c r="L81" s="3">
        <f>0.45 + D81 / 2</f>
        <v>0.53</v>
      </c>
      <c r="M81" s="3">
        <f>0.45 - D81 / 2</f>
        <v>0.37</v>
      </c>
      <c r="N81" s="3">
        <f>0.75 + E81 / 2</f>
        <v>0.79</v>
      </c>
      <c r="O81" s="3">
        <f>0.75 - E81 / 2</f>
        <v>0.71</v>
      </c>
      <c r="P81" s="3" t="e">
        <f>(H81 * L81 + J81 * N81) / 100</f>
        <v>#VALUE!</v>
      </c>
      <c r="Q81" s="3" t="e">
        <f>(I81 * M81 + K81 * O81) / 100</f>
        <v>#VALUE!</v>
      </c>
      <c r="R81" s="3" t="e">
        <f>P81 - Q81</f>
        <v>#VALUE!</v>
      </c>
      <c r="S81" s="3">
        <f>C81 * D81 + (1 - C81) * E81</f>
        <v>0.104</v>
      </c>
      <c r="T81" s="3" t="e">
        <f>IF(R81 &gt; 0, IF(D81 &lt; 0, 1, 0) + IF(E81 &lt; 0, 1, 0), IF(D81 &gt; 0, 1, 0) + IF(E81 &gt; 0, 1, 0))</f>
        <v>#VALUE!</v>
      </c>
      <c r="U81" s="3" t="e">
        <f>T81 / 2</f>
        <v>#VALUE!</v>
      </c>
      <c r="V81" s="3" t="e">
        <f>IF(S81 &gt; 0, R81 &lt; 0, R81 &gt; 0)</f>
        <v>#VALUE!</v>
      </c>
      <c r="W81" s="3" t="e">
        <f>ABS(S81 - R81)</f>
        <v>#VALUE!</v>
      </c>
      <c r="X81" s="3" t="e">
        <f>IF(AND(V81, U81 = 1), "A", IF(AND(V81, U81 &lt; 1), "B", IF(AND(NOT(V81), W81 &gt; 0.01, ABS(R81) &gt; ABS(S81) + 0.001), "C+", IF(AND(NOT(V81), W81 &gt; 0.01, ABS(R81) &lt; ABS(S81) - 0.001), "C-", "D"))))</f>
        <v>#VALUE!</v>
      </c>
    </row>
    <row r="82">
      <c r="A82" s="2" t="s">
        <v>4540</v>
      </c>
      <c r="B82" s="3" t="str">
        <f>A82</f>
        <v>phase-w45-g104-g200-b00</v>
      </c>
      <c r="C82" s="2">
        <v>0.45</v>
      </c>
      <c r="D82" s="2">
        <v>0.04</v>
      </c>
      <c r="E82" s="2">
        <v>-0.08</v>
      </c>
      <c r="F82" s="2">
        <v>0</v>
      </c>
      <c r="G82" s="3" t="e">
        <f>ROUND(200 * C82)</f>
        <v>#VALUE!</v>
      </c>
      <c r="H82" s="3" t="e">
        <f>ROUND(G82 * (0.5 + F82 / 2))</f>
        <v>#VALUE!</v>
      </c>
      <c r="I82" s="3" t="e">
        <f>G82 - H82</f>
        <v>#VALUE!</v>
      </c>
      <c r="J82" s="3" t="e">
        <f>100 - H82</f>
        <v>#VALUE!</v>
      </c>
      <c r="K82" s="3" t="e">
        <f>100 - I82</f>
        <v>#VALUE!</v>
      </c>
      <c r="L82" s="3">
        <f>0.45 + D82 / 2</f>
        <v>0.47000000000000003</v>
      </c>
      <c r="M82" s="3">
        <f>0.45 - D82 / 2</f>
        <v>0.43</v>
      </c>
      <c r="N82" s="3">
        <f>0.75 + E82 / 2</f>
        <v>0.71</v>
      </c>
      <c r="O82" s="3">
        <f>0.75 - E82 / 2</f>
        <v>0.79</v>
      </c>
      <c r="P82" s="3" t="e">
        <f>(H82 * L82 + J82 * N82) / 100</f>
        <v>#VALUE!</v>
      </c>
      <c r="Q82" s="3" t="e">
        <f>(I82 * M82 + K82 * O82) / 100</f>
        <v>#VALUE!</v>
      </c>
      <c r="R82" s="3" t="e">
        <f>P82 - Q82</f>
        <v>#VALUE!</v>
      </c>
      <c r="S82" s="3">
        <f>C82 * D82 + (1 - C82) * E82</f>
        <v>-0.026000000000000002</v>
      </c>
      <c r="T82" s="3" t="e">
        <f>IF(R82 &gt; 0, IF(D82 &lt; 0, 1, 0) + IF(E82 &lt; 0, 1, 0), IF(D82 &gt; 0, 1, 0) + IF(E82 &gt; 0, 1, 0))</f>
        <v>#VALUE!</v>
      </c>
      <c r="U82" s="3" t="e">
        <f>T82 / 2</f>
        <v>#VALUE!</v>
      </c>
      <c r="V82" s="3" t="e">
        <f>IF(S82 &gt; 0, R82 &lt; 0, R82 &gt; 0)</f>
        <v>#VALUE!</v>
      </c>
      <c r="W82" s="3" t="e">
        <f>ABS(S82 - R82)</f>
        <v>#VALUE!</v>
      </c>
      <c r="X82" s="3" t="e">
        <f>IF(AND(V82, U82 = 1), "A", IF(AND(V82, U82 &lt; 1), "B", IF(AND(NOT(V82), W82 &gt; 0.01, ABS(R82) &gt; ABS(S82) + 0.001), "C+", IF(AND(NOT(V82), W82 &gt; 0.01, ABS(R82) &lt; ABS(S82) - 0.001), "C-", "D"))))</f>
        <v>#VALUE!</v>
      </c>
    </row>
    <row r="83">
      <c r="A83" s="2" t="s">
        <v>4541</v>
      </c>
      <c r="B83" s="3" t="str">
        <f>A83</f>
        <v>phase-w45-g104-g200-b30</v>
      </c>
      <c r="C83" s="2">
        <v>0.45</v>
      </c>
      <c r="D83" s="2">
        <v>0.04</v>
      </c>
      <c r="E83" s="2">
        <v>-0.08</v>
      </c>
      <c r="F83" s="2">
        <v>0.3</v>
      </c>
      <c r="G83" s="3" t="e">
        <f>ROUND(200 * C83)</f>
        <v>#VALUE!</v>
      </c>
      <c r="H83" s="3" t="e">
        <f>ROUND(G83 * (0.5 + F83 / 2))</f>
        <v>#VALUE!</v>
      </c>
      <c r="I83" s="3" t="e">
        <f>G83 - H83</f>
        <v>#VALUE!</v>
      </c>
      <c r="J83" s="3" t="e">
        <f>100 - H83</f>
        <v>#VALUE!</v>
      </c>
      <c r="K83" s="3" t="e">
        <f>100 - I83</f>
        <v>#VALUE!</v>
      </c>
      <c r="L83" s="3">
        <f>0.45 + D83 / 2</f>
        <v>0.47000000000000003</v>
      </c>
      <c r="M83" s="3">
        <f>0.45 - D83 / 2</f>
        <v>0.43</v>
      </c>
      <c r="N83" s="3">
        <f>0.75 + E83 / 2</f>
        <v>0.71</v>
      </c>
      <c r="O83" s="3">
        <f>0.75 - E83 / 2</f>
        <v>0.79</v>
      </c>
      <c r="P83" s="3" t="e">
        <f>(H83 * L83 + J83 * N83) / 100</f>
        <v>#VALUE!</v>
      </c>
      <c r="Q83" s="3" t="e">
        <f>(I83 * M83 + K83 * O83) / 100</f>
        <v>#VALUE!</v>
      </c>
      <c r="R83" s="3" t="e">
        <f>P83 - Q83</f>
        <v>#VALUE!</v>
      </c>
      <c r="S83" s="3">
        <f>C83 * D83 + (1 - C83) * E83</f>
        <v>-0.026000000000000002</v>
      </c>
      <c r="T83" s="3" t="e">
        <f>IF(R83 &gt; 0, IF(D83 &lt; 0, 1, 0) + IF(E83 &lt; 0, 1, 0), IF(D83 &gt; 0, 1, 0) + IF(E83 &gt; 0, 1, 0))</f>
        <v>#VALUE!</v>
      </c>
      <c r="U83" s="3" t="e">
        <f>T83 / 2</f>
        <v>#VALUE!</v>
      </c>
      <c r="V83" s="3" t="e">
        <f>IF(S83 &gt; 0, R83 &lt; 0, R83 &gt; 0)</f>
        <v>#VALUE!</v>
      </c>
      <c r="W83" s="3" t="e">
        <f>ABS(S83 - R83)</f>
        <v>#VALUE!</v>
      </c>
      <c r="X83" s="3" t="e">
        <f>IF(AND(V83, U83 = 1), "A", IF(AND(V83, U83 &lt; 1), "B", IF(AND(NOT(V83), W83 &gt; 0.01, ABS(R83) &gt; ABS(S83) + 0.001), "C+", IF(AND(NOT(V83), W83 &gt; 0.01, ABS(R83) &lt; ABS(S83) - 0.001), "C-", "D"))))</f>
        <v>#VALUE!</v>
      </c>
    </row>
    <row r="84">
      <c r="A84" s="2" t="s">
        <v>4542</v>
      </c>
      <c r="B84" s="3" t="str">
        <f>A84</f>
        <v>phase-w45-g104-g200-b60</v>
      </c>
      <c r="C84" s="2">
        <v>0.45</v>
      </c>
      <c r="D84" s="2">
        <v>0.04</v>
      </c>
      <c r="E84" s="2">
        <v>-0.08</v>
      </c>
      <c r="F84" s="2">
        <v>0.6</v>
      </c>
      <c r="G84" s="3" t="e">
        <f>ROUND(200 * C84)</f>
        <v>#VALUE!</v>
      </c>
      <c r="H84" s="3" t="e">
        <f>ROUND(G84 * (0.5 + F84 / 2))</f>
        <v>#VALUE!</v>
      </c>
      <c r="I84" s="3" t="e">
        <f>G84 - H84</f>
        <v>#VALUE!</v>
      </c>
      <c r="J84" s="3" t="e">
        <f>100 - H84</f>
        <v>#VALUE!</v>
      </c>
      <c r="K84" s="3" t="e">
        <f>100 - I84</f>
        <v>#VALUE!</v>
      </c>
      <c r="L84" s="3">
        <f>0.45 + D84 / 2</f>
        <v>0.47000000000000003</v>
      </c>
      <c r="M84" s="3">
        <f>0.45 - D84 / 2</f>
        <v>0.43</v>
      </c>
      <c r="N84" s="3">
        <f>0.75 + E84 / 2</f>
        <v>0.71</v>
      </c>
      <c r="O84" s="3">
        <f>0.75 - E84 / 2</f>
        <v>0.79</v>
      </c>
      <c r="P84" s="3" t="e">
        <f>(H84 * L84 + J84 * N84) / 100</f>
        <v>#VALUE!</v>
      </c>
      <c r="Q84" s="3" t="e">
        <f>(I84 * M84 + K84 * O84) / 100</f>
        <v>#VALUE!</v>
      </c>
      <c r="R84" s="3" t="e">
        <f>P84 - Q84</f>
        <v>#VALUE!</v>
      </c>
      <c r="S84" s="3">
        <f>C84 * D84 + (1 - C84) * E84</f>
        <v>-0.026000000000000002</v>
      </c>
      <c r="T84" s="3" t="e">
        <f>IF(R84 &gt; 0, IF(D84 &lt; 0, 1, 0) + IF(E84 &lt; 0, 1, 0), IF(D84 &gt; 0, 1, 0) + IF(E84 &gt; 0, 1, 0))</f>
        <v>#VALUE!</v>
      </c>
      <c r="U84" s="3" t="e">
        <f>T84 / 2</f>
        <v>#VALUE!</v>
      </c>
      <c r="V84" s="3" t="e">
        <f>IF(S84 &gt; 0, R84 &lt; 0, R84 &gt; 0)</f>
        <v>#VALUE!</v>
      </c>
      <c r="W84" s="3" t="e">
        <f>ABS(S84 - R84)</f>
        <v>#VALUE!</v>
      </c>
      <c r="X84" s="3" t="e">
        <f>IF(AND(V84, U84 = 1), "A", IF(AND(V84, U84 &lt; 1), "B", IF(AND(NOT(V84), W84 &gt; 0.01, ABS(R84) &gt; ABS(S84) + 0.001), "C+", IF(AND(NOT(V84), W84 &gt; 0.01, ABS(R84) &lt; ABS(S84) - 0.001), "C-", "D"))))</f>
        <v>#VALUE!</v>
      </c>
    </row>
    <row r="85">
      <c r="A85" s="2" t="s">
        <v>4543</v>
      </c>
      <c r="B85" s="3" t="str">
        <f>A85</f>
        <v>phase-w45-g104-g200-b80</v>
      </c>
      <c r="C85" s="2">
        <v>0.45</v>
      </c>
      <c r="D85" s="2">
        <v>0.04</v>
      </c>
      <c r="E85" s="2">
        <v>-0.08</v>
      </c>
      <c r="F85" s="2">
        <v>0.8</v>
      </c>
      <c r="G85" s="3" t="e">
        <f>ROUND(200 * C85)</f>
        <v>#VALUE!</v>
      </c>
      <c r="H85" s="3" t="e">
        <f>ROUND(G85 * (0.5 + F85 / 2))</f>
        <v>#VALUE!</v>
      </c>
      <c r="I85" s="3" t="e">
        <f>G85 - H85</f>
        <v>#VALUE!</v>
      </c>
      <c r="J85" s="3" t="e">
        <f>100 - H85</f>
        <v>#VALUE!</v>
      </c>
      <c r="K85" s="3" t="e">
        <f>100 - I85</f>
        <v>#VALUE!</v>
      </c>
      <c r="L85" s="3">
        <f>0.45 + D85 / 2</f>
        <v>0.47000000000000003</v>
      </c>
      <c r="M85" s="3">
        <f>0.45 - D85 / 2</f>
        <v>0.43</v>
      </c>
      <c r="N85" s="3">
        <f>0.75 + E85 / 2</f>
        <v>0.71</v>
      </c>
      <c r="O85" s="3">
        <f>0.75 - E85 / 2</f>
        <v>0.79</v>
      </c>
      <c r="P85" s="3" t="e">
        <f>(H85 * L85 + J85 * N85) / 100</f>
        <v>#VALUE!</v>
      </c>
      <c r="Q85" s="3" t="e">
        <f>(I85 * M85 + K85 * O85) / 100</f>
        <v>#VALUE!</v>
      </c>
      <c r="R85" s="3" t="e">
        <f>P85 - Q85</f>
        <v>#VALUE!</v>
      </c>
      <c r="S85" s="3">
        <f>C85 * D85 + (1 - C85) * E85</f>
        <v>-0.026000000000000002</v>
      </c>
      <c r="T85" s="3" t="e">
        <f>IF(R85 &gt; 0, IF(D85 &lt; 0, 1, 0) + IF(E85 &lt; 0, 1, 0), IF(D85 &gt; 0, 1, 0) + IF(E85 &gt; 0, 1, 0))</f>
        <v>#VALUE!</v>
      </c>
      <c r="U85" s="3" t="e">
        <f>T85 / 2</f>
        <v>#VALUE!</v>
      </c>
      <c r="V85" s="3" t="e">
        <f>IF(S85 &gt; 0, R85 &lt; 0, R85 &gt; 0)</f>
        <v>#VALUE!</v>
      </c>
      <c r="W85" s="3" t="e">
        <f>ABS(S85 - R85)</f>
        <v>#VALUE!</v>
      </c>
      <c r="X85" s="3" t="e">
        <f>IF(AND(V85, U85 = 1), "A", IF(AND(V85, U85 &lt; 1), "B", IF(AND(NOT(V85), W85 &gt; 0.01, ABS(R85) &gt; ABS(S85) + 0.001), "C+", IF(AND(NOT(V85), W85 &gt; 0.01, ABS(R85) &lt; ABS(S85) - 0.001), "C-", "D"))))</f>
        <v>#VALUE!</v>
      </c>
    </row>
    <row r="86">
      <c r="A86" s="2" t="s">
        <v>4544</v>
      </c>
      <c r="B86" s="3" t="str">
        <f>A86</f>
        <v>phase-w45-g104-g200-b95</v>
      </c>
      <c r="C86" s="2">
        <v>0.45</v>
      </c>
      <c r="D86" s="2">
        <v>0.04</v>
      </c>
      <c r="E86" s="2">
        <v>-0.08</v>
      </c>
      <c r="F86" s="2">
        <v>0.95</v>
      </c>
      <c r="G86" s="3" t="e">
        <f>ROUND(200 * C86)</f>
        <v>#VALUE!</v>
      </c>
      <c r="H86" s="3" t="e">
        <f>ROUND(G86 * (0.5 + F86 / 2))</f>
        <v>#VALUE!</v>
      </c>
      <c r="I86" s="3" t="e">
        <f>G86 - H86</f>
        <v>#VALUE!</v>
      </c>
      <c r="J86" s="3" t="e">
        <f>100 - H86</f>
        <v>#VALUE!</v>
      </c>
      <c r="K86" s="3" t="e">
        <f>100 - I86</f>
        <v>#VALUE!</v>
      </c>
      <c r="L86" s="3">
        <f>0.45 + D86 / 2</f>
        <v>0.47000000000000003</v>
      </c>
      <c r="M86" s="3">
        <f>0.45 - D86 / 2</f>
        <v>0.43</v>
      </c>
      <c r="N86" s="3">
        <f>0.75 + E86 / 2</f>
        <v>0.71</v>
      </c>
      <c r="O86" s="3">
        <f>0.75 - E86 / 2</f>
        <v>0.79</v>
      </c>
      <c r="P86" s="3" t="e">
        <f>(H86 * L86 + J86 * N86) / 100</f>
        <v>#VALUE!</v>
      </c>
      <c r="Q86" s="3" t="e">
        <f>(I86 * M86 + K86 * O86) / 100</f>
        <v>#VALUE!</v>
      </c>
      <c r="R86" s="3" t="e">
        <f>P86 - Q86</f>
        <v>#VALUE!</v>
      </c>
      <c r="S86" s="3">
        <f>C86 * D86 + (1 - C86) * E86</f>
        <v>-0.026000000000000002</v>
      </c>
      <c r="T86" s="3" t="e">
        <f>IF(R86 &gt; 0, IF(D86 &lt; 0, 1, 0) + IF(E86 &lt; 0, 1, 0), IF(D86 &gt; 0, 1, 0) + IF(E86 &gt; 0, 1, 0))</f>
        <v>#VALUE!</v>
      </c>
      <c r="U86" s="3" t="e">
        <f>T86 / 2</f>
        <v>#VALUE!</v>
      </c>
      <c r="V86" s="3" t="e">
        <f>IF(S86 &gt; 0, R86 &lt; 0, R86 &gt; 0)</f>
        <v>#VALUE!</v>
      </c>
      <c r="W86" s="3" t="e">
        <f>ABS(S86 - R86)</f>
        <v>#VALUE!</v>
      </c>
      <c r="X86" s="3" t="e">
        <f>IF(AND(V86, U86 = 1), "A", IF(AND(V86, U86 &lt; 1), "B", IF(AND(NOT(V86), W86 &gt; 0.01, ABS(R86) &gt; ABS(S86) + 0.001), "C+", IF(AND(NOT(V86), W86 &gt; 0.01, ABS(R86) &lt; ABS(S86) - 0.001), "C-", "D"))))</f>
        <v>#VALUE!</v>
      </c>
    </row>
    <row r="87">
      <c r="A87" s="2" t="s">
        <v>4545</v>
      </c>
      <c r="B87" s="3" t="str">
        <f>A87</f>
        <v>phase-w45-g104-g208-b00</v>
      </c>
      <c r="C87" s="2">
        <v>0.45</v>
      </c>
      <c r="D87" s="2">
        <v>0.04</v>
      </c>
      <c r="E87" s="2">
        <v>0</v>
      </c>
      <c r="F87" s="2">
        <v>0</v>
      </c>
      <c r="G87" s="3" t="e">
        <f>ROUND(200 * C87)</f>
        <v>#VALUE!</v>
      </c>
      <c r="H87" s="3" t="e">
        <f>ROUND(G87 * (0.5 + F87 / 2))</f>
        <v>#VALUE!</v>
      </c>
      <c r="I87" s="3" t="e">
        <f>G87 - H87</f>
        <v>#VALUE!</v>
      </c>
      <c r="J87" s="3" t="e">
        <f>100 - H87</f>
        <v>#VALUE!</v>
      </c>
      <c r="K87" s="3" t="e">
        <f>100 - I87</f>
        <v>#VALUE!</v>
      </c>
      <c r="L87" s="3">
        <f>0.45 + D87 / 2</f>
        <v>0.47000000000000003</v>
      </c>
      <c r="M87" s="3">
        <f>0.45 - D87 / 2</f>
        <v>0.43</v>
      </c>
      <c r="N87" s="3">
        <f>0.75 + E87 / 2</f>
        <v>0.75</v>
      </c>
      <c r="O87" s="3">
        <f>0.75 - E87 / 2</f>
        <v>0.75</v>
      </c>
      <c r="P87" s="3" t="e">
        <f>(H87 * L87 + J87 * N87) / 100</f>
        <v>#VALUE!</v>
      </c>
      <c r="Q87" s="3" t="e">
        <f>(I87 * M87 + K87 * O87) / 100</f>
        <v>#VALUE!</v>
      </c>
      <c r="R87" s="3" t="e">
        <f>P87 - Q87</f>
        <v>#VALUE!</v>
      </c>
      <c r="S87" s="3">
        <f>C87 * D87 + (1 - C87) * E87</f>
        <v>0.018000000000000002</v>
      </c>
      <c r="T87" s="3" t="e">
        <f>IF(R87 &gt; 0, IF(D87 &lt; 0, 1, 0) + IF(E87 &lt; 0, 1, 0), IF(D87 &gt; 0, 1, 0) + IF(E87 &gt; 0, 1, 0))</f>
        <v>#VALUE!</v>
      </c>
      <c r="U87" s="3" t="e">
        <f>T87 / 2</f>
        <v>#VALUE!</v>
      </c>
      <c r="V87" s="3" t="e">
        <f>IF(S87 &gt; 0, R87 &lt; 0, R87 &gt; 0)</f>
        <v>#VALUE!</v>
      </c>
      <c r="W87" s="3" t="e">
        <f>ABS(S87 - R87)</f>
        <v>#VALUE!</v>
      </c>
      <c r="X87" s="3" t="e">
        <f>IF(AND(V87, U87 = 1), "A", IF(AND(V87, U87 &lt; 1), "B", IF(AND(NOT(V87), W87 &gt; 0.01, ABS(R87) &gt; ABS(S87) + 0.001), "C+", IF(AND(NOT(V87), W87 &gt; 0.01, ABS(R87) &lt; ABS(S87) - 0.001), "C-", "D"))))</f>
        <v>#VALUE!</v>
      </c>
    </row>
    <row r="88">
      <c r="A88" s="2" t="s">
        <v>4546</v>
      </c>
      <c r="B88" s="3" t="str">
        <f>A88</f>
        <v>phase-w45-g104-g208-b30</v>
      </c>
      <c r="C88" s="2">
        <v>0.45</v>
      </c>
      <c r="D88" s="2">
        <v>0.04</v>
      </c>
      <c r="E88" s="2">
        <v>0</v>
      </c>
      <c r="F88" s="2">
        <v>0.3</v>
      </c>
      <c r="G88" s="3" t="e">
        <f>ROUND(200 * C88)</f>
        <v>#VALUE!</v>
      </c>
      <c r="H88" s="3" t="e">
        <f>ROUND(G88 * (0.5 + F88 / 2))</f>
        <v>#VALUE!</v>
      </c>
      <c r="I88" s="3" t="e">
        <f>G88 - H88</f>
        <v>#VALUE!</v>
      </c>
      <c r="J88" s="3" t="e">
        <f>100 - H88</f>
        <v>#VALUE!</v>
      </c>
      <c r="K88" s="3" t="e">
        <f>100 - I88</f>
        <v>#VALUE!</v>
      </c>
      <c r="L88" s="3">
        <f>0.45 + D88 / 2</f>
        <v>0.47000000000000003</v>
      </c>
      <c r="M88" s="3">
        <f>0.45 - D88 / 2</f>
        <v>0.43</v>
      </c>
      <c r="N88" s="3">
        <f>0.75 + E88 / 2</f>
        <v>0.75</v>
      </c>
      <c r="O88" s="3">
        <f>0.75 - E88 / 2</f>
        <v>0.75</v>
      </c>
      <c r="P88" s="3" t="e">
        <f>(H88 * L88 + J88 * N88) / 100</f>
        <v>#VALUE!</v>
      </c>
      <c r="Q88" s="3" t="e">
        <f>(I88 * M88 + K88 * O88) / 100</f>
        <v>#VALUE!</v>
      </c>
      <c r="R88" s="3" t="e">
        <f>P88 - Q88</f>
        <v>#VALUE!</v>
      </c>
      <c r="S88" s="3">
        <f>C88 * D88 + (1 - C88) * E88</f>
        <v>0.018000000000000002</v>
      </c>
      <c r="T88" s="3" t="e">
        <f>IF(R88 &gt; 0, IF(D88 &lt; 0, 1, 0) + IF(E88 &lt; 0, 1, 0), IF(D88 &gt; 0, 1, 0) + IF(E88 &gt; 0, 1, 0))</f>
        <v>#VALUE!</v>
      </c>
      <c r="U88" s="3" t="e">
        <f>T88 / 2</f>
        <v>#VALUE!</v>
      </c>
      <c r="V88" s="3" t="e">
        <f>IF(S88 &gt; 0, R88 &lt; 0, R88 &gt; 0)</f>
        <v>#VALUE!</v>
      </c>
      <c r="W88" s="3" t="e">
        <f>ABS(S88 - R88)</f>
        <v>#VALUE!</v>
      </c>
      <c r="X88" s="3" t="e">
        <f>IF(AND(V88, U88 = 1), "A", IF(AND(V88, U88 &lt; 1), "B", IF(AND(NOT(V88), W88 &gt; 0.01, ABS(R88) &gt; ABS(S88) + 0.001), "C+", IF(AND(NOT(V88), W88 &gt; 0.01, ABS(R88) &lt; ABS(S88) - 0.001), "C-", "D"))))</f>
        <v>#VALUE!</v>
      </c>
    </row>
    <row r="89">
      <c r="A89" s="2" t="s">
        <v>4547</v>
      </c>
      <c r="B89" s="3" t="str">
        <f>A89</f>
        <v>phase-w45-g104-g208-b60</v>
      </c>
      <c r="C89" s="2">
        <v>0.45</v>
      </c>
      <c r="D89" s="2">
        <v>0.04</v>
      </c>
      <c r="E89" s="2">
        <v>0</v>
      </c>
      <c r="F89" s="2">
        <v>0.6</v>
      </c>
      <c r="G89" s="3" t="e">
        <f>ROUND(200 * C89)</f>
        <v>#VALUE!</v>
      </c>
      <c r="H89" s="3" t="e">
        <f>ROUND(G89 * (0.5 + F89 / 2))</f>
        <v>#VALUE!</v>
      </c>
      <c r="I89" s="3" t="e">
        <f>G89 - H89</f>
        <v>#VALUE!</v>
      </c>
      <c r="J89" s="3" t="e">
        <f>100 - H89</f>
        <v>#VALUE!</v>
      </c>
      <c r="K89" s="3" t="e">
        <f>100 - I89</f>
        <v>#VALUE!</v>
      </c>
      <c r="L89" s="3">
        <f>0.45 + D89 / 2</f>
        <v>0.47000000000000003</v>
      </c>
      <c r="M89" s="3">
        <f>0.45 - D89 / 2</f>
        <v>0.43</v>
      </c>
      <c r="N89" s="3">
        <f>0.75 + E89 / 2</f>
        <v>0.75</v>
      </c>
      <c r="O89" s="3">
        <f>0.75 - E89 / 2</f>
        <v>0.75</v>
      </c>
      <c r="P89" s="3" t="e">
        <f>(H89 * L89 + J89 * N89) / 100</f>
        <v>#VALUE!</v>
      </c>
      <c r="Q89" s="3" t="e">
        <f>(I89 * M89 + K89 * O89) / 100</f>
        <v>#VALUE!</v>
      </c>
      <c r="R89" s="3" t="e">
        <f>P89 - Q89</f>
        <v>#VALUE!</v>
      </c>
      <c r="S89" s="3">
        <f>C89 * D89 + (1 - C89) * E89</f>
        <v>0.018000000000000002</v>
      </c>
      <c r="T89" s="3" t="e">
        <f>IF(R89 &gt; 0, IF(D89 &lt; 0, 1, 0) + IF(E89 &lt; 0, 1, 0), IF(D89 &gt; 0, 1, 0) + IF(E89 &gt; 0, 1, 0))</f>
        <v>#VALUE!</v>
      </c>
      <c r="U89" s="3" t="e">
        <f>T89 / 2</f>
        <v>#VALUE!</v>
      </c>
      <c r="V89" s="3" t="e">
        <f>IF(S89 &gt; 0, R89 &lt; 0, R89 &gt; 0)</f>
        <v>#VALUE!</v>
      </c>
      <c r="W89" s="3" t="e">
        <f>ABS(S89 - R89)</f>
        <v>#VALUE!</v>
      </c>
      <c r="X89" s="3" t="e">
        <f>IF(AND(V89, U89 = 1), "A", IF(AND(V89, U89 &lt; 1), "B", IF(AND(NOT(V89), W89 &gt; 0.01, ABS(R89) &gt; ABS(S89) + 0.001), "C+", IF(AND(NOT(V89), W89 &gt; 0.01, ABS(R89) &lt; ABS(S89) - 0.001), "C-", "D"))))</f>
        <v>#VALUE!</v>
      </c>
    </row>
    <row r="90">
      <c r="A90" s="2" t="s">
        <v>4548</v>
      </c>
      <c r="B90" s="3" t="str">
        <f>A90</f>
        <v>phase-w45-g104-g208-b80</v>
      </c>
      <c r="C90" s="2">
        <v>0.45</v>
      </c>
      <c r="D90" s="2">
        <v>0.04</v>
      </c>
      <c r="E90" s="2">
        <v>0</v>
      </c>
      <c r="F90" s="2">
        <v>0.8</v>
      </c>
      <c r="G90" s="3" t="e">
        <f>ROUND(200 * C90)</f>
        <v>#VALUE!</v>
      </c>
      <c r="H90" s="3" t="e">
        <f>ROUND(G90 * (0.5 + F90 / 2))</f>
        <v>#VALUE!</v>
      </c>
      <c r="I90" s="3" t="e">
        <f>G90 - H90</f>
        <v>#VALUE!</v>
      </c>
      <c r="J90" s="3" t="e">
        <f>100 - H90</f>
        <v>#VALUE!</v>
      </c>
      <c r="K90" s="3" t="e">
        <f>100 - I90</f>
        <v>#VALUE!</v>
      </c>
      <c r="L90" s="3">
        <f>0.45 + D90 / 2</f>
        <v>0.47000000000000003</v>
      </c>
      <c r="M90" s="3">
        <f>0.45 - D90 / 2</f>
        <v>0.43</v>
      </c>
      <c r="N90" s="3">
        <f>0.75 + E90 / 2</f>
        <v>0.75</v>
      </c>
      <c r="O90" s="3">
        <f>0.75 - E90 / 2</f>
        <v>0.75</v>
      </c>
      <c r="P90" s="3" t="e">
        <f>(H90 * L90 + J90 * N90) / 100</f>
        <v>#VALUE!</v>
      </c>
      <c r="Q90" s="3" t="e">
        <f>(I90 * M90 + K90 * O90) / 100</f>
        <v>#VALUE!</v>
      </c>
      <c r="R90" s="3" t="e">
        <f>P90 - Q90</f>
        <v>#VALUE!</v>
      </c>
      <c r="S90" s="3">
        <f>C90 * D90 + (1 - C90) * E90</f>
        <v>0.018000000000000002</v>
      </c>
      <c r="T90" s="3" t="e">
        <f>IF(R90 &gt; 0, IF(D90 &lt; 0, 1, 0) + IF(E90 &lt; 0, 1, 0), IF(D90 &gt; 0, 1, 0) + IF(E90 &gt; 0, 1, 0))</f>
        <v>#VALUE!</v>
      </c>
      <c r="U90" s="3" t="e">
        <f>T90 / 2</f>
        <v>#VALUE!</v>
      </c>
      <c r="V90" s="3" t="e">
        <f>IF(S90 &gt; 0, R90 &lt; 0, R90 &gt; 0)</f>
        <v>#VALUE!</v>
      </c>
      <c r="W90" s="3" t="e">
        <f>ABS(S90 - R90)</f>
        <v>#VALUE!</v>
      </c>
      <c r="X90" s="3" t="e">
        <f>IF(AND(V90, U90 = 1), "A", IF(AND(V90, U90 &lt; 1), "B", IF(AND(NOT(V90), W90 &gt; 0.01, ABS(R90) &gt; ABS(S90) + 0.001), "C+", IF(AND(NOT(V90), W90 &gt; 0.01, ABS(R90) &lt; ABS(S90) - 0.001), "C-", "D"))))</f>
        <v>#VALUE!</v>
      </c>
    </row>
    <row r="91">
      <c r="A91" s="2" t="s">
        <v>4549</v>
      </c>
      <c r="B91" s="3" t="str">
        <f>A91</f>
        <v>phase-w45-g104-g208-b95</v>
      </c>
      <c r="C91" s="2">
        <v>0.45</v>
      </c>
      <c r="D91" s="2">
        <v>0.04</v>
      </c>
      <c r="E91" s="2">
        <v>0</v>
      </c>
      <c r="F91" s="2">
        <v>0.95</v>
      </c>
      <c r="G91" s="3" t="e">
        <f>ROUND(200 * C91)</f>
        <v>#VALUE!</v>
      </c>
      <c r="H91" s="3" t="e">
        <f>ROUND(G91 * (0.5 + F91 / 2))</f>
        <v>#VALUE!</v>
      </c>
      <c r="I91" s="3" t="e">
        <f>G91 - H91</f>
        <v>#VALUE!</v>
      </c>
      <c r="J91" s="3" t="e">
        <f>100 - H91</f>
        <v>#VALUE!</v>
      </c>
      <c r="K91" s="3" t="e">
        <f>100 - I91</f>
        <v>#VALUE!</v>
      </c>
      <c r="L91" s="3">
        <f>0.45 + D91 / 2</f>
        <v>0.47000000000000003</v>
      </c>
      <c r="M91" s="3">
        <f>0.45 - D91 / 2</f>
        <v>0.43</v>
      </c>
      <c r="N91" s="3">
        <f>0.75 + E91 / 2</f>
        <v>0.75</v>
      </c>
      <c r="O91" s="3">
        <f>0.75 - E91 / 2</f>
        <v>0.75</v>
      </c>
      <c r="P91" s="3" t="e">
        <f>(H91 * L91 + J91 * N91) / 100</f>
        <v>#VALUE!</v>
      </c>
      <c r="Q91" s="3" t="e">
        <f>(I91 * M91 + K91 * O91) / 100</f>
        <v>#VALUE!</v>
      </c>
      <c r="R91" s="3" t="e">
        <f>P91 - Q91</f>
        <v>#VALUE!</v>
      </c>
      <c r="S91" s="3">
        <f>C91 * D91 + (1 - C91) * E91</f>
        <v>0.018000000000000002</v>
      </c>
      <c r="T91" s="3" t="e">
        <f>IF(R91 &gt; 0, IF(D91 &lt; 0, 1, 0) + IF(E91 &lt; 0, 1, 0), IF(D91 &gt; 0, 1, 0) + IF(E91 &gt; 0, 1, 0))</f>
        <v>#VALUE!</v>
      </c>
      <c r="U91" s="3" t="e">
        <f>T91 / 2</f>
        <v>#VALUE!</v>
      </c>
      <c r="V91" s="3" t="e">
        <f>IF(S91 &gt; 0, R91 &lt; 0, R91 &gt; 0)</f>
        <v>#VALUE!</v>
      </c>
      <c r="W91" s="3" t="e">
        <f>ABS(S91 - R91)</f>
        <v>#VALUE!</v>
      </c>
      <c r="X91" s="3" t="e">
        <f>IF(AND(V91, U91 = 1), "A", IF(AND(V91, U91 &lt; 1), "B", IF(AND(NOT(V91), W91 &gt; 0.01, ABS(R91) &gt; ABS(S91) + 0.001), "C+", IF(AND(NOT(V91), W91 &gt; 0.01, ABS(R91) &lt; ABS(S91) - 0.001), "C-", "D"))))</f>
        <v>#VALUE!</v>
      </c>
    </row>
    <row r="92">
      <c r="A92" s="2" t="s">
        <v>4550</v>
      </c>
      <c r="B92" s="3" t="str">
        <f>A92</f>
        <v>phase-w45-g104-g212-b00</v>
      </c>
      <c r="C92" s="2">
        <v>0.45</v>
      </c>
      <c r="D92" s="2">
        <v>0.04</v>
      </c>
      <c r="E92" s="2">
        <v>0.04</v>
      </c>
      <c r="F92" s="2">
        <v>0</v>
      </c>
      <c r="G92" s="3" t="e">
        <f>ROUND(200 * C92)</f>
        <v>#VALUE!</v>
      </c>
      <c r="H92" s="3" t="e">
        <f>ROUND(G92 * (0.5 + F92 / 2))</f>
        <v>#VALUE!</v>
      </c>
      <c r="I92" s="3" t="e">
        <f>G92 - H92</f>
        <v>#VALUE!</v>
      </c>
      <c r="J92" s="3" t="e">
        <f>100 - H92</f>
        <v>#VALUE!</v>
      </c>
      <c r="K92" s="3" t="e">
        <f>100 - I92</f>
        <v>#VALUE!</v>
      </c>
      <c r="L92" s="3">
        <f>0.45 + D92 / 2</f>
        <v>0.47000000000000003</v>
      </c>
      <c r="M92" s="3">
        <f>0.45 - D92 / 2</f>
        <v>0.43</v>
      </c>
      <c r="N92" s="3">
        <f>0.75 + E92 / 2</f>
        <v>0.77</v>
      </c>
      <c r="O92" s="3">
        <f>0.75 - E92 / 2</f>
        <v>0.73</v>
      </c>
      <c r="P92" s="3" t="e">
        <f>(H92 * L92 + J92 * N92) / 100</f>
        <v>#VALUE!</v>
      </c>
      <c r="Q92" s="3" t="e">
        <f>(I92 * M92 + K92 * O92) / 100</f>
        <v>#VALUE!</v>
      </c>
      <c r="R92" s="3" t="e">
        <f>P92 - Q92</f>
        <v>#VALUE!</v>
      </c>
      <c r="S92" s="3">
        <f>C92 * D92 + (1 - C92) * E92</f>
        <v>0.04000000000000001</v>
      </c>
      <c r="T92" s="3" t="e">
        <f>IF(R92 &gt; 0, IF(D92 &lt; 0, 1, 0) + IF(E92 &lt; 0, 1, 0), IF(D92 &gt; 0, 1, 0) + IF(E92 &gt; 0, 1, 0))</f>
        <v>#VALUE!</v>
      </c>
      <c r="U92" s="3" t="e">
        <f>T92 / 2</f>
        <v>#VALUE!</v>
      </c>
      <c r="V92" s="3" t="e">
        <f>IF(S92 &gt; 0, R92 &lt; 0, R92 &gt; 0)</f>
        <v>#VALUE!</v>
      </c>
      <c r="W92" s="3" t="e">
        <f>ABS(S92 - R92)</f>
        <v>#VALUE!</v>
      </c>
      <c r="X92" s="3" t="e">
        <f>IF(AND(V92, U92 = 1), "A", IF(AND(V92, U92 &lt; 1), "B", IF(AND(NOT(V92), W92 &gt; 0.01, ABS(R92) &gt; ABS(S92) + 0.001), "C+", IF(AND(NOT(V92), W92 &gt; 0.01, ABS(R92) &lt; ABS(S92) - 0.001), "C-", "D"))))</f>
        <v>#VALUE!</v>
      </c>
    </row>
    <row r="93">
      <c r="A93" s="2" t="s">
        <v>4551</v>
      </c>
      <c r="B93" s="3" t="str">
        <f>A93</f>
        <v>phase-w45-g104-g212-b30</v>
      </c>
      <c r="C93" s="2">
        <v>0.45</v>
      </c>
      <c r="D93" s="2">
        <v>0.04</v>
      </c>
      <c r="E93" s="2">
        <v>0.04</v>
      </c>
      <c r="F93" s="2">
        <v>0.3</v>
      </c>
      <c r="G93" s="3" t="e">
        <f>ROUND(200 * C93)</f>
        <v>#VALUE!</v>
      </c>
      <c r="H93" s="3" t="e">
        <f>ROUND(G93 * (0.5 + F93 / 2))</f>
        <v>#VALUE!</v>
      </c>
      <c r="I93" s="3" t="e">
        <f>G93 - H93</f>
        <v>#VALUE!</v>
      </c>
      <c r="J93" s="3" t="e">
        <f>100 - H93</f>
        <v>#VALUE!</v>
      </c>
      <c r="K93" s="3" t="e">
        <f>100 - I93</f>
        <v>#VALUE!</v>
      </c>
      <c r="L93" s="3">
        <f>0.45 + D93 / 2</f>
        <v>0.47000000000000003</v>
      </c>
      <c r="M93" s="3">
        <f>0.45 - D93 / 2</f>
        <v>0.43</v>
      </c>
      <c r="N93" s="3">
        <f>0.75 + E93 / 2</f>
        <v>0.77</v>
      </c>
      <c r="O93" s="3">
        <f>0.75 - E93 / 2</f>
        <v>0.73</v>
      </c>
      <c r="P93" s="3" t="e">
        <f>(H93 * L93 + J93 * N93) / 100</f>
        <v>#VALUE!</v>
      </c>
      <c r="Q93" s="3" t="e">
        <f>(I93 * M93 + K93 * O93) / 100</f>
        <v>#VALUE!</v>
      </c>
      <c r="R93" s="3" t="e">
        <f>P93 - Q93</f>
        <v>#VALUE!</v>
      </c>
      <c r="S93" s="3">
        <f>C93 * D93 + (1 - C93) * E93</f>
        <v>0.04000000000000001</v>
      </c>
      <c r="T93" s="3" t="e">
        <f>IF(R93 &gt; 0, IF(D93 &lt; 0, 1, 0) + IF(E93 &lt; 0, 1, 0), IF(D93 &gt; 0, 1, 0) + IF(E93 &gt; 0, 1, 0))</f>
        <v>#VALUE!</v>
      </c>
      <c r="U93" s="3" t="e">
        <f>T93 / 2</f>
        <v>#VALUE!</v>
      </c>
      <c r="V93" s="3" t="e">
        <f>IF(S93 &gt; 0, R93 &lt; 0, R93 &gt; 0)</f>
        <v>#VALUE!</v>
      </c>
      <c r="W93" s="3" t="e">
        <f>ABS(S93 - R93)</f>
        <v>#VALUE!</v>
      </c>
      <c r="X93" s="3" t="e">
        <f>IF(AND(V93, U93 = 1), "A", IF(AND(V93, U93 &lt; 1), "B", IF(AND(NOT(V93), W93 &gt; 0.01, ABS(R93) &gt; ABS(S93) + 0.001), "C+", IF(AND(NOT(V93), W93 &gt; 0.01, ABS(R93) &lt; ABS(S93) - 0.001), "C-", "D"))))</f>
        <v>#VALUE!</v>
      </c>
    </row>
    <row r="94">
      <c r="A94" s="2" t="s">
        <v>4552</v>
      </c>
      <c r="B94" s="3" t="str">
        <f>A94</f>
        <v>phase-w45-g104-g212-b60</v>
      </c>
      <c r="C94" s="2">
        <v>0.45</v>
      </c>
      <c r="D94" s="2">
        <v>0.04</v>
      </c>
      <c r="E94" s="2">
        <v>0.04</v>
      </c>
      <c r="F94" s="2">
        <v>0.6</v>
      </c>
      <c r="G94" s="3" t="e">
        <f>ROUND(200 * C94)</f>
        <v>#VALUE!</v>
      </c>
      <c r="H94" s="3" t="e">
        <f>ROUND(G94 * (0.5 + F94 / 2))</f>
        <v>#VALUE!</v>
      </c>
      <c r="I94" s="3" t="e">
        <f>G94 - H94</f>
        <v>#VALUE!</v>
      </c>
      <c r="J94" s="3" t="e">
        <f>100 - H94</f>
        <v>#VALUE!</v>
      </c>
      <c r="K94" s="3" t="e">
        <f>100 - I94</f>
        <v>#VALUE!</v>
      </c>
      <c r="L94" s="3">
        <f>0.45 + D94 / 2</f>
        <v>0.47000000000000003</v>
      </c>
      <c r="M94" s="3">
        <f>0.45 - D94 / 2</f>
        <v>0.43</v>
      </c>
      <c r="N94" s="3">
        <f>0.75 + E94 / 2</f>
        <v>0.77</v>
      </c>
      <c r="O94" s="3">
        <f>0.75 - E94 / 2</f>
        <v>0.73</v>
      </c>
      <c r="P94" s="3" t="e">
        <f>(H94 * L94 + J94 * N94) / 100</f>
        <v>#VALUE!</v>
      </c>
      <c r="Q94" s="3" t="e">
        <f>(I94 * M94 + K94 * O94) / 100</f>
        <v>#VALUE!</v>
      </c>
      <c r="R94" s="3" t="e">
        <f>P94 - Q94</f>
        <v>#VALUE!</v>
      </c>
      <c r="S94" s="3">
        <f>C94 * D94 + (1 - C94) * E94</f>
        <v>0.04000000000000001</v>
      </c>
      <c r="T94" s="3" t="e">
        <f>IF(R94 &gt; 0, IF(D94 &lt; 0, 1, 0) + IF(E94 &lt; 0, 1, 0), IF(D94 &gt; 0, 1, 0) + IF(E94 &gt; 0, 1, 0))</f>
        <v>#VALUE!</v>
      </c>
      <c r="U94" s="3" t="e">
        <f>T94 / 2</f>
        <v>#VALUE!</v>
      </c>
      <c r="V94" s="3" t="e">
        <f>IF(S94 &gt; 0, R94 &lt; 0, R94 &gt; 0)</f>
        <v>#VALUE!</v>
      </c>
      <c r="W94" s="3" t="e">
        <f>ABS(S94 - R94)</f>
        <v>#VALUE!</v>
      </c>
      <c r="X94" s="3" t="e">
        <f>IF(AND(V94, U94 = 1), "A", IF(AND(V94, U94 &lt; 1), "B", IF(AND(NOT(V94), W94 &gt; 0.01, ABS(R94) &gt; ABS(S94) + 0.001), "C+", IF(AND(NOT(V94), W94 &gt; 0.01, ABS(R94) &lt; ABS(S94) - 0.001), "C-", "D"))))</f>
        <v>#VALUE!</v>
      </c>
    </row>
    <row r="95">
      <c r="A95" s="2" t="s">
        <v>4553</v>
      </c>
      <c r="B95" s="3" t="str">
        <f>A95</f>
        <v>phase-w45-g104-g212-b80</v>
      </c>
      <c r="C95" s="2">
        <v>0.45</v>
      </c>
      <c r="D95" s="2">
        <v>0.04</v>
      </c>
      <c r="E95" s="2">
        <v>0.04</v>
      </c>
      <c r="F95" s="2">
        <v>0.8</v>
      </c>
      <c r="G95" s="3" t="e">
        <f>ROUND(200 * C95)</f>
        <v>#VALUE!</v>
      </c>
      <c r="H95" s="3" t="e">
        <f>ROUND(G95 * (0.5 + F95 / 2))</f>
        <v>#VALUE!</v>
      </c>
      <c r="I95" s="3" t="e">
        <f>G95 - H95</f>
        <v>#VALUE!</v>
      </c>
      <c r="J95" s="3" t="e">
        <f>100 - H95</f>
        <v>#VALUE!</v>
      </c>
      <c r="K95" s="3" t="e">
        <f>100 - I95</f>
        <v>#VALUE!</v>
      </c>
      <c r="L95" s="3">
        <f>0.45 + D95 / 2</f>
        <v>0.47000000000000003</v>
      </c>
      <c r="M95" s="3">
        <f>0.45 - D95 / 2</f>
        <v>0.43</v>
      </c>
      <c r="N95" s="3">
        <f>0.75 + E95 / 2</f>
        <v>0.77</v>
      </c>
      <c r="O95" s="3">
        <f>0.75 - E95 / 2</f>
        <v>0.73</v>
      </c>
      <c r="P95" s="3" t="e">
        <f>(H95 * L95 + J95 * N95) / 100</f>
        <v>#VALUE!</v>
      </c>
      <c r="Q95" s="3" t="e">
        <f>(I95 * M95 + K95 * O95) / 100</f>
        <v>#VALUE!</v>
      </c>
      <c r="R95" s="3" t="e">
        <f>P95 - Q95</f>
        <v>#VALUE!</v>
      </c>
      <c r="S95" s="3">
        <f>C95 * D95 + (1 - C95) * E95</f>
        <v>0.04000000000000001</v>
      </c>
      <c r="T95" s="3" t="e">
        <f>IF(R95 &gt; 0, IF(D95 &lt; 0, 1, 0) + IF(E95 &lt; 0, 1, 0), IF(D95 &gt; 0, 1, 0) + IF(E95 &gt; 0, 1, 0))</f>
        <v>#VALUE!</v>
      </c>
      <c r="U95" s="3" t="e">
        <f>T95 / 2</f>
        <v>#VALUE!</v>
      </c>
      <c r="V95" s="3" t="e">
        <f>IF(S95 &gt; 0, R95 &lt; 0, R95 &gt; 0)</f>
        <v>#VALUE!</v>
      </c>
      <c r="W95" s="3" t="e">
        <f>ABS(S95 - R95)</f>
        <v>#VALUE!</v>
      </c>
      <c r="X95" s="3" t="e">
        <f>IF(AND(V95, U95 = 1), "A", IF(AND(V95, U95 &lt; 1), "B", IF(AND(NOT(V95), W95 &gt; 0.01, ABS(R95) &gt; ABS(S95) + 0.001), "C+", IF(AND(NOT(V95), W95 &gt; 0.01, ABS(R95) &lt; ABS(S95) - 0.001), "C-", "D"))))</f>
        <v>#VALUE!</v>
      </c>
    </row>
    <row r="96">
      <c r="A96" s="2" t="s">
        <v>4554</v>
      </c>
      <c r="B96" s="3" t="str">
        <f>A96</f>
        <v>phase-w45-g104-g212-b95</v>
      </c>
      <c r="C96" s="2">
        <v>0.45</v>
      </c>
      <c r="D96" s="2">
        <v>0.04</v>
      </c>
      <c r="E96" s="2">
        <v>0.04</v>
      </c>
      <c r="F96" s="2">
        <v>0.95</v>
      </c>
      <c r="G96" s="3" t="e">
        <f>ROUND(200 * C96)</f>
        <v>#VALUE!</v>
      </c>
      <c r="H96" s="3" t="e">
        <f>ROUND(G96 * (0.5 + F96 / 2))</f>
        <v>#VALUE!</v>
      </c>
      <c r="I96" s="3" t="e">
        <f>G96 - H96</f>
        <v>#VALUE!</v>
      </c>
      <c r="J96" s="3" t="e">
        <f>100 - H96</f>
        <v>#VALUE!</v>
      </c>
      <c r="K96" s="3" t="e">
        <f>100 - I96</f>
        <v>#VALUE!</v>
      </c>
      <c r="L96" s="3">
        <f>0.45 + D96 / 2</f>
        <v>0.47000000000000003</v>
      </c>
      <c r="M96" s="3">
        <f>0.45 - D96 / 2</f>
        <v>0.43</v>
      </c>
      <c r="N96" s="3">
        <f>0.75 + E96 / 2</f>
        <v>0.77</v>
      </c>
      <c r="O96" s="3">
        <f>0.75 - E96 / 2</f>
        <v>0.73</v>
      </c>
      <c r="P96" s="3" t="e">
        <f>(H96 * L96 + J96 * N96) / 100</f>
        <v>#VALUE!</v>
      </c>
      <c r="Q96" s="3" t="e">
        <f>(I96 * M96 + K96 * O96) / 100</f>
        <v>#VALUE!</v>
      </c>
      <c r="R96" s="3" t="e">
        <f>P96 - Q96</f>
        <v>#VALUE!</v>
      </c>
      <c r="S96" s="3">
        <f>C96 * D96 + (1 - C96) * E96</f>
        <v>0.04000000000000001</v>
      </c>
      <c r="T96" s="3" t="e">
        <f>IF(R96 &gt; 0, IF(D96 &lt; 0, 1, 0) + IF(E96 &lt; 0, 1, 0), IF(D96 &gt; 0, 1, 0) + IF(E96 &gt; 0, 1, 0))</f>
        <v>#VALUE!</v>
      </c>
      <c r="U96" s="3" t="e">
        <f>T96 / 2</f>
        <v>#VALUE!</v>
      </c>
      <c r="V96" s="3" t="e">
        <f>IF(S96 &gt; 0, R96 &lt; 0, R96 &gt; 0)</f>
        <v>#VALUE!</v>
      </c>
      <c r="W96" s="3" t="e">
        <f>ABS(S96 - R96)</f>
        <v>#VALUE!</v>
      </c>
      <c r="X96" s="3" t="e">
        <f>IF(AND(V96, U96 = 1), "A", IF(AND(V96, U96 &lt; 1), "B", IF(AND(NOT(V96), W96 &gt; 0.01, ABS(R96) &gt; ABS(S96) + 0.001), "C+", IF(AND(NOT(V96), W96 &gt; 0.01, ABS(R96) &lt; ABS(S96) - 0.001), "C-", "D"))))</f>
        <v>#VALUE!</v>
      </c>
    </row>
    <row r="97">
      <c r="A97" s="2" t="s">
        <v>4555</v>
      </c>
      <c r="B97" s="3" t="str">
        <f>A97</f>
        <v>phase-w45-g104-g216-b00</v>
      </c>
      <c r="C97" s="2">
        <v>0.45</v>
      </c>
      <c r="D97" s="2">
        <v>0.04</v>
      </c>
      <c r="E97" s="2">
        <v>0.08</v>
      </c>
      <c r="F97" s="2">
        <v>0</v>
      </c>
      <c r="G97" s="3" t="e">
        <f>ROUND(200 * C97)</f>
        <v>#VALUE!</v>
      </c>
      <c r="H97" s="3" t="e">
        <f>ROUND(G97 * (0.5 + F97 / 2))</f>
        <v>#VALUE!</v>
      </c>
      <c r="I97" s="3" t="e">
        <f>G97 - H97</f>
        <v>#VALUE!</v>
      </c>
      <c r="J97" s="3" t="e">
        <f>100 - H97</f>
        <v>#VALUE!</v>
      </c>
      <c r="K97" s="3" t="e">
        <f>100 - I97</f>
        <v>#VALUE!</v>
      </c>
      <c r="L97" s="3">
        <f>0.45 + D97 / 2</f>
        <v>0.47000000000000003</v>
      </c>
      <c r="M97" s="3">
        <f>0.45 - D97 / 2</f>
        <v>0.43</v>
      </c>
      <c r="N97" s="3">
        <f>0.75 + E97 / 2</f>
        <v>0.79</v>
      </c>
      <c r="O97" s="3">
        <f>0.75 - E97 / 2</f>
        <v>0.71</v>
      </c>
      <c r="P97" s="3" t="e">
        <f>(H97 * L97 + J97 * N97) / 100</f>
        <v>#VALUE!</v>
      </c>
      <c r="Q97" s="3" t="e">
        <f>(I97 * M97 + K97 * O97) / 100</f>
        <v>#VALUE!</v>
      </c>
      <c r="R97" s="3" t="e">
        <f>P97 - Q97</f>
        <v>#VALUE!</v>
      </c>
      <c r="S97" s="3">
        <f>C97 * D97 + (1 - C97) * E97</f>
        <v>0.062000000000000006</v>
      </c>
      <c r="T97" s="3" t="e">
        <f>IF(R97 &gt; 0, IF(D97 &lt; 0, 1, 0) + IF(E97 &lt; 0, 1, 0), IF(D97 &gt; 0, 1, 0) + IF(E97 &gt; 0, 1, 0))</f>
        <v>#VALUE!</v>
      </c>
      <c r="U97" s="3" t="e">
        <f>T97 / 2</f>
        <v>#VALUE!</v>
      </c>
      <c r="V97" s="3" t="e">
        <f>IF(S97 &gt; 0, R97 &lt; 0, R97 &gt; 0)</f>
        <v>#VALUE!</v>
      </c>
      <c r="W97" s="3" t="e">
        <f>ABS(S97 - R97)</f>
        <v>#VALUE!</v>
      </c>
      <c r="X97" s="3" t="e">
        <f>IF(AND(V97, U97 = 1), "A", IF(AND(V97, U97 &lt; 1), "B", IF(AND(NOT(V97), W97 &gt; 0.01, ABS(R97) &gt; ABS(S97) + 0.001), "C+", IF(AND(NOT(V97), W97 &gt; 0.01, ABS(R97) &lt; ABS(S97) - 0.001), "C-", "D"))))</f>
        <v>#VALUE!</v>
      </c>
    </row>
    <row r="98">
      <c r="A98" s="2" t="s">
        <v>4556</v>
      </c>
      <c r="B98" s="3" t="str">
        <f>A98</f>
        <v>phase-w45-g104-g216-b30</v>
      </c>
      <c r="C98" s="2">
        <v>0.45</v>
      </c>
      <c r="D98" s="2">
        <v>0.04</v>
      </c>
      <c r="E98" s="2">
        <v>0.08</v>
      </c>
      <c r="F98" s="2">
        <v>0.3</v>
      </c>
      <c r="G98" s="3" t="e">
        <f>ROUND(200 * C98)</f>
        <v>#VALUE!</v>
      </c>
      <c r="H98" s="3" t="e">
        <f>ROUND(G98 * (0.5 + F98 / 2))</f>
        <v>#VALUE!</v>
      </c>
      <c r="I98" s="3" t="e">
        <f>G98 - H98</f>
        <v>#VALUE!</v>
      </c>
      <c r="J98" s="3" t="e">
        <f>100 - H98</f>
        <v>#VALUE!</v>
      </c>
      <c r="K98" s="3" t="e">
        <f>100 - I98</f>
        <v>#VALUE!</v>
      </c>
      <c r="L98" s="3">
        <f>0.45 + D98 / 2</f>
        <v>0.47000000000000003</v>
      </c>
      <c r="M98" s="3">
        <f>0.45 - D98 / 2</f>
        <v>0.43</v>
      </c>
      <c r="N98" s="3">
        <f>0.75 + E98 / 2</f>
        <v>0.79</v>
      </c>
      <c r="O98" s="3">
        <f>0.75 - E98 / 2</f>
        <v>0.71</v>
      </c>
      <c r="P98" s="3" t="e">
        <f>(H98 * L98 + J98 * N98) / 100</f>
        <v>#VALUE!</v>
      </c>
      <c r="Q98" s="3" t="e">
        <f>(I98 * M98 + K98 * O98) / 100</f>
        <v>#VALUE!</v>
      </c>
      <c r="R98" s="3" t="e">
        <f>P98 - Q98</f>
        <v>#VALUE!</v>
      </c>
      <c r="S98" s="3">
        <f>C98 * D98 + (1 - C98) * E98</f>
        <v>0.062000000000000006</v>
      </c>
      <c r="T98" s="3" t="e">
        <f>IF(R98 &gt; 0, IF(D98 &lt; 0, 1, 0) + IF(E98 &lt; 0, 1, 0), IF(D98 &gt; 0, 1, 0) + IF(E98 &gt; 0, 1, 0))</f>
        <v>#VALUE!</v>
      </c>
      <c r="U98" s="3" t="e">
        <f>T98 / 2</f>
        <v>#VALUE!</v>
      </c>
      <c r="V98" s="3" t="e">
        <f>IF(S98 &gt; 0, R98 &lt; 0, R98 &gt; 0)</f>
        <v>#VALUE!</v>
      </c>
      <c r="W98" s="3" t="e">
        <f>ABS(S98 - R98)</f>
        <v>#VALUE!</v>
      </c>
      <c r="X98" s="3" t="e">
        <f>IF(AND(V98, U98 = 1), "A", IF(AND(V98, U98 &lt; 1), "B", IF(AND(NOT(V98), W98 &gt; 0.01, ABS(R98) &gt; ABS(S98) + 0.001), "C+", IF(AND(NOT(V98), W98 &gt; 0.01, ABS(R98) &lt; ABS(S98) - 0.001), "C-", "D"))))</f>
        <v>#VALUE!</v>
      </c>
    </row>
    <row r="99">
      <c r="A99" s="2" t="s">
        <v>4557</v>
      </c>
      <c r="B99" s="3" t="str">
        <f>A99</f>
        <v>phase-w45-g104-g216-b60</v>
      </c>
      <c r="C99" s="2">
        <v>0.45</v>
      </c>
      <c r="D99" s="2">
        <v>0.04</v>
      </c>
      <c r="E99" s="2">
        <v>0.08</v>
      </c>
      <c r="F99" s="2">
        <v>0.6</v>
      </c>
      <c r="G99" s="3" t="e">
        <f>ROUND(200 * C99)</f>
        <v>#VALUE!</v>
      </c>
      <c r="H99" s="3" t="e">
        <f>ROUND(G99 * (0.5 + F99 / 2))</f>
        <v>#VALUE!</v>
      </c>
      <c r="I99" s="3" t="e">
        <f>G99 - H99</f>
        <v>#VALUE!</v>
      </c>
      <c r="J99" s="3" t="e">
        <f>100 - H99</f>
        <v>#VALUE!</v>
      </c>
      <c r="K99" s="3" t="e">
        <f>100 - I99</f>
        <v>#VALUE!</v>
      </c>
      <c r="L99" s="3">
        <f>0.45 + D99 / 2</f>
        <v>0.47000000000000003</v>
      </c>
      <c r="M99" s="3">
        <f>0.45 - D99 / 2</f>
        <v>0.43</v>
      </c>
      <c r="N99" s="3">
        <f>0.75 + E99 / 2</f>
        <v>0.79</v>
      </c>
      <c r="O99" s="3">
        <f>0.75 - E99 / 2</f>
        <v>0.71</v>
      </c>
      <c r="P99" s="3" t="e">
        <f>(H99 * L99 + J99 * N99) / 100</f>
        <v>#VALUE!</v>
      </c>
      <c r="Q99" s="3" t="e">
        <f>(I99 * M99 + K99 * O99) / 100</f>
        <v>#VALUE!</v>
      </c>
      <c r="R99" s="3" t="e">
        <f>P99 - Q99</f>
        <v>#VALUE!</v>
      </c>
      <c r="S99" s="3">
        <f>C99 * D99 + (1 - C99) * E99</f>
        <v>0.062000000000000006</v>
      </c>
      <c r="T99" s="3" t="e">
        <f>IF(R99 &gt; 0, IF(D99 &lt; 0, 1, 0) + IF(E99 &lt; 0, 1, 0), IF(D99 &gt; 0, 1, 0) + IF(E99 &gt; 0, 1, 0))</f>
        <v>#VALUE!</v>
      </c>
      <c r="U99" s="3" t="e">
        <f>T99 / 2</f>
        <v>#VALUE!</v>
      </c>
      <c r="V99" s="3" t="e">
        <f>IF(S99 &gt; 0, R99 &lt; 0, R99 &gt; 0)</f>
        <v>#VALUE!</v>
      </c>
      <c r="W99" s="3" t="e">
        <f>ABS(S99 - R99)</f>
        <v>#VALUE!</v>
      </c>
      <c r="X99" s="3" t="e">
        <f>IF(AND(V99, U99 = 1), "A", IF(AND(V99, U99 &lt; 1), "B", IF(AND(NOT(V99), W99 &gt; 0.01, ABS(R99) &gt; ABS(S99) + 0.001), "C+", IF(AND(NOT(V99), W99 &gt; 0.01, ABS(R99) &lt; ABS(S99) - 0.001), "C-", "D"))))</f>
        <v>#VALUE!</v>
      </c>
    </row>
    <row r="100">
      <c r="A100" s="2" t="s">
        <v>4558</v>
      </c>
      <c r="B100" s="3" t="str">
        <f>A100</f>
        <v>phase-w45-g104-g216-b80</v>
      </c>
      <c r="C100" s="2">
        <v>0.45</v>
      </c>
      <c r="D100" s="2">
        <v>0.04</v>
      </c>
      <c r="E100" s="2">
        <v>0.08</v>
      </c>
      <c r="F100" s="2">
        <v>0.8</v>
      </c>
      <c r="G100" s="3" t="e">
        <f>ROUND(200 * C100)</f>
        <v>#VALUE!</v>
      </c>
      <c r="H100" s="3" t="e">
        <f>ROUND(G100 * (0.5 + F100 / 2))</f>
        <v>#VALUE!</v>
      </c>
      <c r="I100" s="3" t="e">
        <f>G100 - H100</f>
        <v>#VALUE!</v>
      </c>
      <c r="J100" s="3" t="e">
        <f>100 - H100</f>
        <v>#VALUE!</v>
      </c>
      <c r="K100" s="3" t="e">
        <f>100 - I100</f>
        <v>#VALUE!</v>
      </c>
      <c r="L100" s="3">
        <f>0.45 + D100 / 2</f>
        <v>0.47000000000000003</v>
      </c>
      <c r="M100" s="3">
        <f>0.45 - D100 / 2</f>
        <v>0.43</v>
      </c>
      <c r="N100" s="3">
        <f>0.75 + E100 / 2</f>
        <v>0.79</v>
      </c>
      <c r="O100" s="3">
        <f>0.75 - E100 / 2</f>
        <v>0.71</v>
      </c>
      <c r="P100" s="3" t="e">
        <f>(H100 * L100 + J100 * N100) / 100</f>
        <v>#VALUE!</v>
      </c>
      <c r="Q100" s="3" t="e">
        <f>(I100 * M100 + K100 * O100) / 100</f>
        <v>#VALUE!</v>
      </c>
      <c r="R100" s="3" t="e">
        <f>P100 - Q100</f>
        <v>#VALUE!</v>
      </c>
      <c r="S100" s="3">
        <f>C100 * D100 + (1 - C100) * E100</f>
        <v>0.062000000000000006</v>
      </c>
      <c r="T100" s="3" t="e">
        <f>IF(R100 &gt; 0, IF(D100 &lt; 0, 1, 0) + IF(E100 &lt; 0, 1, 0), IF(D100 &gt; 0, 1, 0) + IF(E100 &gt; 0, 1, 0))</f>
        <v>#VALUE!</v>
      </c>
      <c r="U100" s="3" t="e">
        <f>T100 / 2</f>
        <v>#VALUE!</v>
      </c>
      <c r="V100" s="3" t="e">
        <f>IF(S100 &gt; 0, R100 &lt; 0, R100 &gt; 0)</f>
        <v>#VALUE!</v>
      </c>
      <c r="W100" s="3" t="e">
        <f>ABS(S100 - R100)</f>
        <v>#VALUE!</v>
      </c>
      <c r="X100" s="3" t="e">
        <f>IF(AND(V100, U100 = 1), "A", IF(AND(V100, U100 &lt; 1), "B", IF(AND(NOT(V100), W100 &gt; 0.01, ABS(R100) &gt; ABS(S100) + 0.001), "C+", IF(AND(NOT(V100), W100 &gt; 0.01, ABS(R100) &lt; ABS(S100) - 0.001), "C-", "D"))))</f>
        <v>#VALUE!</v>
      </c>
    </row>
    <row r="101">
      <c r="A101" s="2" t="s">
        <v>4559</v>
      </c>
      <c r="B101" s="3" t="str">
        <f>A101</f>
        <v>phase-w45-g104-g216-b95</v>
      </c>
      <c r="C101" s="2">
        <v>0.45</v>
      </c>
      <c r="D101" s="2">
        <v>0.04</v>
      </c>
      <c r="E101" s="2">
        <v>0.08</v>
      </c>
      <c r="F101" s="2">
        <v>0.95</v>
      </c>
      <c r="G101" s="3" t="e">
        <f>ROUND(200 * C101)</f>
        <v>#VALUE!</v>
      </c>
      <c r="H101" s="3" t="e">
        <f>ROUND(G101 * (0.5 + F101 / 2))</f>
        <v>#VALUE!</v>
      </c>
      <c r="I101" s="3" t="e">
        <f>G101 - H101</f>
        <v>#VALUE!</v>
      </c>
      <c r="J101" s="3" t="e">
        <f>100 - H101</f>
        <v>#VALUE!</v>
      </c>
      <c r="K101" s="3" t="e">
        <f>100 - I101</f>
        <v>#VALUE!</v>
      </c>
      <c r="L101" s="3">
        <f>0.45 + D101 / 2</f>
        <v>0.47000000000000003</v>
      </c>
      <c r="M101" s="3">
        <f>0.45 - D101 / 2</f>
        <v>0.43</v>
      </c>
      <c r="N101" s="3">
        <f>0.75 + E101 / 2</f>
        <v>0.79</v>
      </c>
      <c r="O101" s="3">
        <f>0.75 - E101 / 2</f>
        <v>0.71</v>
      </c>
      <c r="P101" s="3" t="e">
        <f>(H101 * L101 + J101 * N101) / 100</f>
        <v>#VALUE!</v>
      </c>
      <c r="Q101" s="3" t="e">
        <f>(I101 * M101 + K101 * O101) / 100</f>
        <v>#VALUE!</v>
      </c>
      <c r="R101" s="3" t="e">
        <f>P101 - Q101</f>
        <v>#VALUE!</v>
      </c>
      <c r="S101" s="3">
        <f>C101 * D101 + (1 - C101) * E101</f>
        <v>0.062000000000000006</v>
      </c>
      <c r="T101" s="3" t="e">
        <f>IF(R101 &gt; 0, IF(D101 &lt; 0, 1, 0) + IF(E101 &lt; 0, 1, 0), IF(D101 &gt; 0, 1, 0) + IF(E101 &gt; 0, 1, 0))</f>
        <v>#VALUE!</v>
      </c>
      <c r="U101" s="3" t="e">
        <f>T101 / 2</f>
        <v>#VALUE!</v>
      </c>
      <c r="V101" s="3" t="e">
        <f>IF(S101 &gt; 0, R101 &lt; 0, R101 &gt; 0)</f>
        <v>#VALUE!</v>
      </c>
      <c r="W101" s="3" t="e">
        <f>ABS(S101 - R101)</f>
        <v>#VALUE!</v>
      </c>
      <c r="X101" s="3" t="e">
        <f>IF(AND(V101, U101 = 1), "A", IF(AND(V101, U101 &lt; 1), "B", IF(AND(NOT(V101), W101 &gt; 0.01, ABS(R101) &gt; ABS(S101) + 0.001), "C+", IF(AND(NOT(V101), W101 &gt; 0.01, ABS(R101) &lt; ABS(S101) - 0.001), "C-", "D"))))</f>
        <v>#VALUE!</v>
      </c>
    </row>
    <row r="102">
      <c r="A102" s="2" t="s">
        <v>4560</v>
      </c>
      <c r="B102" s="3" t="str">
        <f>A102</f>
        <v>phase-w45-g108-g200-b00</v>
      </c>
      <c r="C102" s="2">
        <v>0.45</v>
      </c>
      <c r="D102" s="2">
        <v>0.08</v>
      </c>
      <c r="E102" s="2">
        <v>-0.08</v>
      </c>
      <c r="F102" s="2">
        <v>0</v>
      </c>
      <c r="G102" s="3" t="e">
        <f>ROUND(200 * C102)</f>
        <v>#VALUE!</v>
      </c>
      <c r="H102" s="3" t="e">
        <f>ROUND(G102 * (0.5 + F102 / 2))</f>
        <v>#VALUE!</v>
      </c>
      <c r="I102" s="3" t="e">
        <f>G102 - H102</f>
        <v>#VALUE!</v>
      </c>
      <c r="J102" s="3" t="e">
        <f>100 - H102</f>
        <v>#VALUE!</v>
      </c>
      <c r="K102" s="3" t="e">
        <f>100 - I102</f>
        <v>#VALUE!</v>
      </c>
      <c r="L102" s="3">
        <f>0.45 + D102 / 2</f>
        <v>0.49</v>
      </c>
      <c r="M102" s="3">
        <f>0.45 - D102 / 2</f>
        <v>0.41000000000000003</v>
      </c>
      <c r="N102" s="3">
        <f>0.75 + E102 / 2</f>
        <v>0.71</v>
      </c>
      <c r="O102" s="3">
        <f>0.75 - E102 / 2</f>
        <v>0.79</v>
      </c>
      <c r="P102" s="3" t="e">
        <f>(H102 * L102 + J102 * N102) / 100</f>
        <v>#VALUE!</v>
      </c>
      <c r="Q102" s="3" t="e">
        <f>(I102 * M102 + K102 * O102) / 100</f>
        <v>#VALUE!</v>
      </c>
      <c r="R102" s="3" t="e">
        <f>P102 - Q102</f>
        <v>#VALUE!</v>
      </c>
      <c r="S102" s="3">
        <f>C102 * D102 + (1 - C102) * E102</f>
        <v>-0.008</v>
      </c>
      <c r="T102" s="3" t="e">
        <f>IF(R102 &gt; 0, IF(D102 &lt; 0, 1, 0) + IF(E102 &lt; 0, 1, 0), IF(D102 &gt; 0, 1, 0) + IF(E102 &gt; 0, 1, 0))</f>
        <v>#VALUE!</v>
      </c>
      <c r="U102" s="3" t="e">
        <f>T102 / 2</f>
        <v>#VALUE!</v>
      </c>
      <c r="V102" s="3" t="e">
        <f>IF(S102 &gt; 0, R102 &lt; 0, R102 &gt; 0)</f>
        <v>#VALUE!</v>
      </c>
      <c r="W102" s="3" t="e">
        <f>ABS(S102 - R102)</f>
        <v>#VALUE!</v>
      </c>
      <c r="X102" s="3" t="e">
        <f>IF(AND(V102, U102 = 1), "A", IF(AND(V102, U102 &lt; 1), "B", IF(AND(NOT(V102), W102 &gt; 0.01, ABS(R102) &gt; ABS(S102) + 0.001), "C+", IF(AND(NOT(V102), W102 &gt; 0.01, ABS(R102) &lt; ABS(S102) - 0.001), "C-", "D"))))</f>
        <v>#VALUE!</v>
      </c>
    </row>
    <row r="103">
      <c r="A103" s="2" t="s">
        <v>4561</v>
      </c>
      <c r="B103" s="3" t="str">
        <f>A103</f>
        <v>phase-w45-g108-g200-b30</v>
      </c>
      <c r="C103" s="2">
        <v>0.45</v>
      </c>
      <c r="D103" s="2">
        <v>0.08</v>
      </c>
      <c r="E103" s="2">
        <v>-0.08</v>
      </c>
      <c r="F103" s="2">
        <v>0.3</v>
      </c>
      <c r="G103" s="3" t="e">
        <f>ROUND(200 * C103)</f>
        <v>#VALUE!</v>
      </c>
      <c r="H103" s="3" t="e">
        <f>ROUND(G103 * (0.5 + F103 / 2))</f>
        <v>#VALUE!</v>
      </c>
      <c r="I103" s="3" t="e">
        <f>G103 - H103</f>
        <v>#VALUE!</v>
      </c>
      <c r="J103" s="3" t="e">
        <f>100 - H103</f>
        <v>#VALUE!</v>
      </c>
      <c r="K103" s="3" t="e">
        <f>100 - I103</f>
        <v>#VALUE!</v>
      </c>
      <c r="L103" s="3">
        <f>0.45 + D103 / 2</f>
        <v>0.49</v>
      </c>
      <c r="M103" s="3">
        <f>0.45 - D103 / 2</f>
        <v>0.41000000000000003</v>
      </c>
      <c r="N103" s="3">
        <f>0.75 + E103 / 2</f>
        <v>0.71</v>
      </c>
      <c r="O103" s="3">
        <f>0.75 - E103 / 2</f>
        <v>0.79</v>
      </c>
      <c r="P103" s="3" t="e">
        <f>(H103 * L103 + J103 * N103) / 100</f>
        <v>#VALUE!</v>
      </c>
      <c r="Q103" s="3" t="e">
        <f>(I103 * M103 + K103 * O103) / 100</f>
        <v>#VALUE!</v>
      </c>
      <c r="R103" s="3" t="e">
        <f>P103 - Q103</f>
        <v>#VALUE!</v>
      </c>
      <c r="S103" s="3">
        <f>C103 * D103 + (1 - C103) * E103</f>
        <v>-0.008</v>
      </c>
      <c r="T103" s="3" t="e">
        <f>IF(R103 &gt; 0, IF(D103 &lt; 0, 1, 0) + IF(E103 &lt; 0, 1, 0), IF(D103 &gt; 0, 1, 0) + IF(E103 &gt; 0, 1, 0))</f>
        <v>#VALUE!</v>
      </c>
      <c r="U103" s="3" t="e">
        <f>T103 / 2</f>
        <v>#VALUE!</v>
      </c>
      <c r="V103" s="3" t="e">
        <f>IF(S103 &gt; 0, R103 &lt; 0, R103 &gt; 0)</f>
        <v>#VALUE!</v>
      </c>
      <c r="W103" s="3" t="e">
        <f>ABS(S103 - R103)</f>
        <v>#VALUE!</v>
      </c>
      <c r="X103" s="3" t="e">
        <f>IF(AND(V103, U103 = 1), "A", IF(AND(V103, U103 &lt; 1), "B", IF(AND(NOT(V103), W103 &gt; 0.01, ABS(R103) &gt; ABS(S103) + 0.001), "C+", IF(AND(NOT(V103), W103 &gt; 0.01, ABS(R103) &lt; ABS(S103) - 0.001), "C-", "D"))))</f>
        <v>#VALUE!</v>
      </c>
    </row>
    <row r="104">
      <c r="A104" s="2" t="s">
        <v>4562</v>
      </c>
      <c r="B104" s="3" t="str">
        <f>A104</f>
        <v>phase-w45-g108-g200-b60</v>
      </c>
      <c r="C104" s="2">
        <v>0.45</v>
      </c>
      <c r="D104" s="2">
        <v>0.08</v>
      </c>
      <c r="E104" s="2">
        <v>-0.08</v>
      </c>
      <c r="F104" s="2">
        <v>0.6</v>
      </c>
      <c r="G104" s="3" t="e">
        <f>ROUND(200 * C104)</f>
        <v>#VALUE!</v>
      </c>
      <c r="H104" s="3" t="e">
        <f>ROUND(G104 * (0.5 + F104 / 2))</f>
        <v>#VALUE!</v>
      </c>
      <c r="I104" s="3" t="e">
        <f>G104 - H104</f>
        <v>#VALUE!</v>
      </c>
      <c r="J104" s="3" t="e">
        <f>100 - H104</f>
        <v>#VALUE!</v>
      </c>
      <c r="K104" s="3" t="e">
        <f>100 - I104</f>
        <v>#VALUE!</v>
      </c>
      <c r="L104" s="3">
        <f>0.45 + D104 / 2</f>
        <v>0.49</v>
      </c>
      <c r="M104" s="3">
        <f>0.45 - D104 / 2</f>
        <v>0.41000000000000003</v>
      </c>
      <c r="N104" s="3">
        <f>0.75 + E104 / 2</f>
        <v>0.71</v>
      </c>
      <c r="O104" s="3">
        <f>0.75 - E104 / 2</f>
        <v>0.79</v>
      </c>
      <c r="P104" s="3" t="e">
        <f>(H104 * L104 + J104 * N104) / 100</f>
        <v>#VALUE!</v>
      </c>
      <c r="Q104" s="3" t="e">
        <f>(I104 * M104 + K104 * O104) / 100</f>
        <v>#VALUE!</v>
      </c>
      <c r="R104" s="3" t="e">
        <f>P104 - Q104</f>
        <v>#VALUE!</v>
      </c>
      <c r="S104" s="3">
        <f>C104 * D104 + (1 - C104) * E104</f>
        <v>-0.008</v>
      </c>
      <c r="T104" s="3" t="e">
        <f>IF(R104 &gt; 0, IF(D104 &lt; 0, 1, 0) + IF(E104 &lt; 0, 1, 0), IF(D104 &gt; 0, 1, 0) + IF(E104 &gt; 0, 1, 0))</f>
        <v>#VALUE!</v>
      </c>
      <c r="U104" s="3" t="e">
        <f>T104 / 2</f>
        <v>#VALUE!</v>
      </c>
      <c r="V104" s="3" t="e">
        <f>IF(S104 &gt; 0, R104 &lt; 0, R104 &gt; 0)</f>
        <v>#VALUE!</v>
      </c>
      <c r="W104" s="3" t="e">
        <f>ABS(S104 - R104)</f>
        <v>#VALUE!</v>
      </c>
      <c r="X104" s="3" t="e">
        <f>IF(AND(V104, U104 = 1), "A", IF(AND(V104, U104 &lt; 1), "B", IF(AND(NOT(V104), W104 &gt; 0.01, ABS(R104) &gt; ABS(S104) + 0.001), "C+", IF(AND(NOT(V104), W104 &gt; 0.01, ABS(R104) &lt; ABS(S104) - 0.001), "C-", "D"))))</f>
        <v>#VALUE!</v>
      </c>
    </row>
    <row r="105">
      <c r="A105" s="2" t="s">
        <v>4563</v>
      </c>
      <c r="B105" s="3" t="str">
        <f>A105</f>
        <v>phase-w45-g108-g200-b80</v>
      </c>
      <c r="C105" s="2">
        <v>0.45</v>
      </c>
      <c r="D105" s="2">
        <v>0.08</v>
      </c>
      <c r="E105" s="2">
        <v>-0.08</v>
      </c>
      <c r="F105" s="2">
        <v>0.8</v>
      </c>
      <c r="G105" s="3" t="e">
        <f>ROUND(200 * C105)</f>
        <v>#VALUE!</v>
      </c>
      <c r="H105" s="3" t="e">
        <f>ROUND(G105 * (0.5 + F105 / 2))</f>
        <v>#VALUE!</v>
      </c>
      <c r="I105" s="3" t="e">
        <f>G105 - H105</f>
        <v>#VALUE!</v>
      </c>
      <c r="J105" s="3" t="e">
        <f>100 - H105</f>
        <v>#VALUE!</v>
      </c>
      <c r="K105" s="3" t="e">
        <f>100 - I105</f>
        <v>#VALUE!</v>
      </c>
      <c r="L105" s="3">
        <f>0.45 + D105 / 2</f>
        <v>0.49</v>
      </c>
      <c r="M105" s="3">
        <f>0.45 - D105 / 2</f>
        <v>0.41000000000000003</v>
      </c>
      <c r="N105" s="3">
        <f>0.75 + E105 / 2</f>
        <v>0.71</v>
      </c>
      <c r="O105" s="3">
        <f>0.75 - E105 / 2</f>
        <v>0.79</v>
      </c>
      <c r="P105" s="3" t="e">
        <f>(H105 * L105 + J105 * N105) / 100</f>
        <v>#VALUE!</v>
      </c>
      <c r="Q105" s="3" t="e">
        <f>(I105 * M105 + K105 * O105) / 100</f>
        <v>#VALUE!</v>
      </c>
      <c r="R105" s="3" t="e">
        <f>P105 - Q105</f>
        <v>#VALUE!</v>
      </c>
      <c r="S105" s="3">
        <f>C105 * D105 + (1 - C105) * E105</f>
        <v>-0.008</v>
      </c>
      <c r="T105" s="3" t="e">
        <f>IF(R105 &gt; 0, IF(D105 &lt; 0, 1, 0) + IF(E105 &lt; 0, 1, 0), IF(D105 &gt; 0, 1, 0) + IF(E105 &gt; 0, 1, 0))</f>
        <v>#VALUE!</v>
      </c>
      <c r="U105" s="3" t="e">
        <f>T105 / 2</f>
        <v>#VALUE!</v>
      </c>
      <c r="V105" s="3" t="e">
        <f>IF(S105 &gt; 0, R105 &lt; 0, R105 &gt; 0)</f>
        <v>#VALUE!</v>
      </c>
      <c r="W105" s="3" t="e">
        <f>ABS(S105 - R105)</f>
        <v>#VALUE!</v>
      </c>
      <c r="X105" s="3" t="e">
        <f>IF(AND(V105, U105 = 1), "A", IF(AND(V105, U105 &lt; 1), "B", IF(AND(NOT(V105), W105 &gt; 0.01, ABS(R105) &gt; ABS(S105) + 0.001), "C+", IF(AND(NOT(V105), W105 &gt; 0.01, ABS(R105) &lt; ABS(S105) - 0.001), "C-", "D"))))</f>
        <v>#VALUE!</v>
      </c>
    </row>
    <row r="106">
      <c r="A106" s="2" t="s">
        <v>4564</v>
      </c>
      <c r="B106" s="3" t="str">
        <f>A106</f>
        <v>phase-w45-g108-g200-b95</v>
      </c>
      <c r="C106" s="2">
        <v>0.45</v>
      </c>
      <c r="D106" s="2">
        <v>0.08</v>
      </c>
      <c r="E106" s="2">
        <v>-0.08</v>
      </c>
      <c r="F106" s="2">
        <v>0.95</v>
      </c>
      <c r="G106" s="3" t="e">
        <f>ROUND(200 * C106)</f>
        <v>#VALUE!</v>
      </c>
      <c r="H106" s="3" t="e">
        <f>ROUND(G106 * (0.5 + F106 / 2))</f>
        <v>#VALUE!</v>
      </c>
      <c r="I106" s="3" t="e">
        <f>G106 - H106</f>
        <v>#VALUE!</v>
      </c>
      <c r="J106" s="3" t="e">
        <f>100 - H106</f>
        <v>#VALUE!</v>
      </c>
      <c r="K106" s="3" t="e">
        <f>100 - I106</f>
        <v>#VALUE!</v>
      </c>
      <c r="L106" s="3">
        <f>0.45 + D106 / 2</f>
        <v>0.49</v>
      </c>
      <c r="M106" s="3">
        <f>0.45 - D106 / 2</f>
        <v>0.41000000000000003</v>
      </c>
      <c r="N106" s="3">
        <f>0.75 + E106 / 2</f>
        <v>0.71</v>
      </c>
      <c r="O106" s="3">
        <f>0.75 - E106 / 2</f>
        <v>0.79</v>
      </c>
      <c r="P106" s="3" t="e">
        <f>(H106 * L106 + J106 * N106) / 100</f>
        <v>#VALUE!</v>
      </c>
      <c r="Q106" s="3" t="e">
        <f>(I106 * M106 + K106 * O106) / 100</f>
        <v>#VALUE!</v>
      </c>
      <c r="R106" s="3" t="e">
        <f>P106 - Q106</f>
        <v>#VALUE!</v>
      </c>
      <c r="S106" s="3">
        <f>C106 * D106 + (1 - C106) * E106</f>
        <v>-0.008</v>
      </c>
      <c r="T106" s="3" t="e">
        <f>IF(R106 &gt; 0, IF(D106 &lt; 0, 1, 0) + IF(E106 &lt; 0, 1, 0), IF(D106 &gt; 0, 1, 0) + IF(E106 &gt; 0, 1, 0))</f>
        <v>#VALUE!</v>
      </c>
      <c r="U106" s="3" t="e">
        <f>T106 / 2</f>
        <v>#VALUE!</v>
      </c>
      <c r="V106" s="3" t="e">
        <f>IF(S106 &gt; 0, R106 &lt; 0, R106 &gt; 0)</f>
        <v>#VALUE!</v>
      </c>
      <c r="W106" s="3" t="e">
        <f>ABS(S106 - R106)</f>
        <v>#VALUE!</v>
      </c>
      <c r="X106" s="3" t="e">
        <f>IF(AND(V106, U106 = 1), "A", IF(AND(V106, U106 &lt; 1), "B", IF(AND(NOT(V106), W106 &gt; 0.01, ABS(R106) &gt; ABS(S106) + 0.001), "C+", IF(AND(NOT(V106), W106 &gt; 0.01, ABS(R106) &lt; ABS(S106) - 0.001), "C-", "D"))))</f>
        <v>#VALUE!</v>
      </c>
    </row>
    <row r="107">
      <c r="A107" s="2" t="s">
        <v>4565</v>
      </c>
      <c r="B107" s="3" t="str">
        <f>A107</f>
        <v>phase-w45-g108-g208-b00</v>
      </c>
      <c r="C107" s="2">
        <v>0.45</v>
      </c>
      <c r="D107" s="2">
        <v>0.08</v>
      </c>
      <c r="E107" s="2">
        <v>0</v>
      </c>
      <c r="F107" s="2">
        <v>0</v>
      </c>
      <c r="G107" s="3" t="e">
        <f>ROUND(200 * C107)</f>
        <v>#VALUE!</v>
      </c>
      <c r="H107" s="3" t="e">
        <f>ROUND(G107 * (0.5 + F107 / 2))</f>
        <v>#VALUE!</v>
      </c>
      <c r="I107" s="3" t="e">
        <f>G107 - H107</f>
        <v>#VALUE!</v>
      </c>
      <c r="J107" s="3" t="e">
        <f>100 - H107</f>
        <v>#VALUE!</v>
      </c>
      <c r="K107" s="3" t="e">
        <f>100 - I107</f>
        <v>#VALUE!</v>
      </c>
      <c r="L107" s="3">
        <f>0.45 + D107 / 2</f>
        <v>0.49</v>
      </c>
      <c r="M107" s="3">
        <f>0.45 - D107 / 2</f>
        <v>0.41000000000000003</v>
      </c>
      <c r="N107" s="3">
        <f>0.75 + E107 / 2</f>
        <v>0.75</v>
      </c>
      <c r="O107" s="3">
        <f>0.75 - E107 / 2</f>
        <v>0.75</v>
      </c>
      <c r="P107" s="3" t="e">
        <f>(H107 * L107 + J107 * N107) / 100</f>
        <v>#VALUE!</v>
      </c>
      <c r="Q107" s="3" t="e">
        <f>(I107 * M107 + K107 * O107) / 100</f>
        <v>#VALUE!</v>
      </c>
      <c r="R107" s="3" t="e">
        <f>P107 - Q107</f>
        <v>#VALUE!</v>
      </c>
      <c r="S107" s="3">
        <f>C107 * D107 + (1 - C107) * E107</f>
        <v>0.036000000000000004</v>
      </c>
      <c r="T107" s="3" t="e">
        <f>IF(R107 &gt; 0, IF(D107 &lt; 0, 1, 0) + IF(E107 &lt; 0, 1, 0), IF(D107 &gt; 0, 1, 0) + IF(E107 &gt; 0, 1, 0))</f>
        <v>#VALUE!</v>
      </c>
      <c r="U107" s="3" t="e">
        <f>T107 / 2</f>
        <v>#VALUE!</v>
      </c>
      <c r="V107" s="3" t="e">
        <f>IF(S107 &gt; 0, R107 &lt; 0, R107 &gt; 0)</f>
        <v>#VALUE!</v>
      </c>
      <c r="W107" s="3" t="e">
        <f>ABS(S107 - R107)</f>
        <v>#VALUE!</v>
      </c>
      <c r="X107" s="3" t="e">
        <f>IF(AND(V107, U107 = 1), "A", IF(AND(V107, U107 &lt; 1), "B", IF(AND(NOT(V107), W107 &gt; 0.01, ABS(R107) &gt; ABS(S107) + 0.001), "C+", IF(AND(NOT(V107), W107 &gt; 0.01, ABS(R107) &lt; ABS(S107) - 0.001), "C-", "D"))))</f>
        <v>#VALUE!</v>
      </c>
    </row>
    <row r="108">
      <c r="A108" s="2" t="s">
        <v>4566</v>
      </c>
      <c r="B108" s="3" t="str">
        <f>A108</f>
        <v>phase-w45-g108-g208-b30</v>
      </c>
      <c r="C108" s="2">
        <v>0.45</v>
      </c>
      <c r="D108" s="2">
        <v>0.08</v>
      </c>
      <c r="E108" s="2">
        <v>0</v>
      </c>
      <c r="F108" s="2">
        <v>0.3</v>
      </c>
      <c r="G108" s="3" t="e">
        <f>ROUND(200 * C108)</f>
        <v>#VALUE!</v>
      </c>
      <c r="H108" s="3" t="e">
        <f>ROUND(G108 * (0.5 + F108 / 2))</f>
        <v>#VALUE!</v>
      </c>
      <c r="I108" s="3" t="e">
        <f>G108 - H108</f>
        <v>#VALUE!</v>
      </c>
      <c r="J108" s="3" t="e">
        <f>100 - H108</f>
        <v>#VALUE!</v>
      </c>
      <c r="K108" s="3" t="e">
        <f>100 - I108</f>
        <v>#VALUE!</v>
      </c>
      <c r="L108" s="3">
        <f>0.45 + D108 / 2</f>
        <v>0.49</v>
      </c>
      <c r="M108" s="3">
        <f>0.45 - D108 / 2</f>
        <v>0.41000000000000003</v>
      </c>
      <c r="N108" s="3">
        <f>0.75 + E108 / 2</f>
        <v>0.75</v>
      </c>
      <c r="O108" s="3">
        <f>0.75 - E108 / 2</f>
        <v>0.75</v>
      </c>
      <c r="P108" s="3" t="e">
        <f>(H108 * L108 + J108 * N108) / 100</f>
        <v>#VALUE!</v>
      </c>
      <c r="Q108" s="3" t="e">
        <f>(I108 * M108 + K108 * O108) / 100</f>
        <v>#VALUE!</v>
      </c>
      <c r="R108" s="3" t="e">
        <f>P108 - Q108</f>
        <v>#VALUE!</v>
      </c>
      <c r="S108" s="3">
        <f>C108 * D108 + (1 - C108) * E108</f>
        <v>0.036000000000000004</v>
      </c>
      <c r="T108" s="3" t="e">
        <f>IF(R108 &gt; 0, IF(D108 &lt; 0, 1, 0) + IF(E108 &lt; 0, 1, 0), IF(D108 &gt; 0, 1, 0) + IF(E108 &gt; 0, 1, 0))</f>
        <v>#VALUE!</v>
      </c>
      <c r="U108" s="3" t="e">
        <f>T108 / 2</f>
        <v>#VALUE!</v>
      </c>
      <c r="V108" s="3" t="e">
        <f>IF(S108 &gt; 0, R108 &lt; 0, R108 &gt; 0)</f>
        <v>#VALUE!</v>
      </c>
      <c r="W108" s="3" t="e">
        <f>ABS(S108 - R108)</f>
        <v>#VALUE!</v>
      </c>
      <c r="X108" s="3" t="e">
        <f>IF(AND(V108, U108 = 1), "A", IF(AND(V108, U108 &lt; 1), "B", IF(AND(NOT(V108), W108 &gt; 0.01, ABS(R108) &gt; ABS(S108) + 0.001), "C+", IF(AND(NOT(V108), W108 &gt; 0.01, ABS(R108) &lt; ABS(S108) - 0.001), "C-", "D"))))</f>
        <v>#VALUE!</v>
      </c>
    </row>
    <row r="109">
      <c r="A109" s="2" t="s">
        <v>4567</v>
      </c>
      <c r="B109" s="3" t="str">
        <f>A109</f>
        <v>phase-w45-g108-g208-b60</v>
      </c>
      <c r="C109" s="2">
        <v>0.45</v>
      </c>
      <c r="D109" s="2">
        <v>0.08</v>
      </c>
      <c r="E109" s="2">
        <v>0</v>
      </c>
      <c r="F109" s="2">
        <v>0.6</v>
      </c>
      <c r="G109" s="3" t="e">
        <f>ROUND(200 * C109)</f>
        <v>#VALUE!</v>
      </c>
      <c r="H109" s="3" t="e">
        <f>ROUND(G109 * (0.5 + F109 / 2))</f>
        <v>#VALUE!</v>
      </c>
      <c r="I109" s="3" t="e">
        <f>G109 - H109</f>
        <v>#VALUE!</v>
      </c>
      <c r="J109" s="3" t="e">
        <f>100 - H109</f>
        <v>#VALUE!</v>
      </c>
      <c r="K109" s="3" t="e">
        <f>100 - I109</f>
        <v>#VALUE!</v>
      </c>
      <c r="L109" s="3">
        <f>0.45 + D109 / 2</f>
        <v>0.49</v>
      </c>
      <c r="M109" s="3">
        <f>0.45 - D109 / 2</f>
        <v>0.41000000000000003</v>
      </c>
      <c r="N109" s="3">
        <f>0.75 + E109 / 2</f>
        <v>0.75</v>
      </c>
      <c r="O109" s="3">
        <f>0.75 - E109 / 2</f>
        <v>0.75</v>
      </c>
      <c r="P109" s="3" t="e">
        <f>(H109 * L109 + J109 * N109) / 100</f>
        <v>#VALUE!</v>
      </c>
      <c r="Q109" s="3" t="e">
        <f>(I109 * M109 + K109 * O109) / 100</f>
        <v>#VALUE!</v>
      </c>
      <c r="R109" s="3" t="e">
        <f>P109 - Q109</f>
        <v>#VALUE!</v>
      </c>
      <c r="S109" s="3">
        <f>C109 * D109 + (1 - C109) * E109</f>
        <v>0.036000000000000004</v>
      </c>
      <c r="T109" s="3" t="e">
        <f>IF(R109 &gt; 0, IF(D109 &lt; 0, 1, 0) + IF(E109 &lt; 0, 1, 0), IF(D109 &gt; 0, 1, 0) + IF(E109 &gt; 0, 1, 0))</f>
        <v>#VALUE!</v>
      </c>
      <c r="U109" s="3" t="e">
        <f>T109 / 2</f>
        <v>#VALUE!</v>
      </c>
      <c r="V109" s="3" t="e">
        <f>IF(S109 &gt; 0, R109 &lt; 0, R109 &gt; 0)</f>
        <v>#VALUE!</v>
      </c>
      <c r="W109" s="3" t="e">
        <f>ABS(S109 - R109)</f>
        <v>#VALUE!</v>
      </c>
      <c r="X109" s="3" t="e">
        <f>IF(AND(V109, U109 = 1), "A", IF(AND(V109, U109 &lt; 1), "B", IF(AND(NOT(V109), W109 &gt; 0.01, ABS(R109) &gt; ABS(S109) + 0.001), "C+", IF(AND(NOT(V109), W109 &gt; 0.01, ABS(R109) &lt; ABS(S109) - 0.001), "C-", "D"))))</f>
        <v>#VALUE!</v>
      </c>
    </row>
    <row r="110">
      <c r="A110" s="2" t="s">
        <v>4568</v>
      </c>
      <c r="B110" s="3" t="str">
        <f>A110</f>
        <v>phase-w45-g108-g208-b80</v>
      </c>
      <c r="C110" s="2">
        <v>0.45</v>
      </c>
      <c r="D110" s="2">
        <v>0.08</v>
      </c>
      <c r="E110" s="2">
        <v>0</v>
      </c>
      <c r="F110" s="2">
        <v>0.8</v>
      </c>
      <c r="G110" s="3" t="e">
        <f>ROUND(200 * C110)</f>
        <v>#VALUE!</v>
      </c>
      <c r="H110" s="3" t="e">
        <f>ROUND(G110 * (0.5 + F110 / 2))</f>
        <v>#VALUE!</v>
      </c>
      <c r="I110" s="3" t="e">
        <f>G110 - H110</f>
        <v>#VALUE!</v>
      </c>
      <c r="J110" s="3" t="e">
        <f>100 - H110</f>
        <v>#VALUE!</v>
      </c>
      <c r="K110" s="3" t="e">
        <f>100 - I110</f>
        <v>#VALUE!</v>
      </c>
      <c r="L110" s="3">
        <f>0.45 + D110 / 2</f>
        <v>0.49</v>
      </c>
      <c r="M110" s="3">
        <f>0.45 - D110 / 2</f>
        <v>0.41000000000000003</v>
      </c>
      <c r="N110" s="3">
        <f>0.75 + E110 / 2</f>
        <v>0.75</v>
      </c>
      <c r="O110" s="3">
        <f>0.75 - E110 / 2</f>
        <v>0.75</v>
      </c>
      <c r="P110" s="3" t="e">
        <f>(H110 * L110 + J110 * N110) / 100</f>
        <v>#VALUE!</v>
      </c>
      <c r="Q110" s="3" t="e">
        <f>(I110 * M110 + K110 * O110) / 100</f>
        <v>#VALUE!</v>
      </c>
      <c r="R110" s="3" t="e">
        <f>P110 - Q110</f>
        <v>#VALUE!</v>
      </c>
      <c r="S110" s="3">
        <f>C110 * D110 + (1 - C110) * E110</f>
        <v>0.036000000000000004</v>
      </c>
      <c r="T110" s="3" t="e">
        <f>IF(R110 &gt; 0, IF(D110 &lt; 0, 1, 0) + IF(E110 &lt; 0, 1, 0), IF(D110 &gt; 0, 1, 0) + IF(E110 &gt; 0, 1, 0))</f>
        <v>#VALUE!</v>
      </c>
      <c r="U110" s="3" t="e">
        <f>T110 / 2</f>
        <v>#VALUE!</v>
      </c>
      <c r="V110" s="3" t="e">
        <f>IF(S110 &gt; 0, R110 &lt; 0, R110 &gt; 0)</f>
        <v>#VALUE!</v>
      </c>
      <c r="W110" s="3" t="e">
        <f>ABS(S110 - R110)</f>
        <v>#VALUE!</v>
      </c>
      <c r="X110" s="3" t="e">
        <f>IF(AND(V110, U110 = 1), "A", IF(AND(V110, U110 &lt; 1), "B", IF(AND(NOT(V110), W110 &gt; 0.01, ABS(R110) &gt; ABS(S110) + 0.001), "C+", IF(AND(NOT(V110), W110 &gt; 0.01, ABS(R110) &lt; ABS(S110) - 0.001), "C-", "D"))))</f>
        <v>#VALUE!</v>
      </c>
    </row>
    <row r="111">
      <c r="A111" s="2" t="s">
        <v>4569</v>
      </c>
      <c r="B111" s="3" t="str">
        <f>A111</f>
        <v>phase-w45-g108-g208-b95</v>
      </c>
      <c r="C111" s="2">
        <v>0.45</v>
      </c>
      <c r="D111" s="2">
        <v>0.08</v>
      </c>
      <c r="E111" s="2">
        <v>0</v>
      </c>
      <c r="F111" s="2">
        <v>0.95</v>
      </c>
      <c r="G111" s="3" t="e">
        <f>ROUND(200 * C111)</f>
        <v>#VALUE!</v>
      </c>
      <c r="H111" s="3" t="e">
        <f>ROUND(G111 * (0.5 + F111 / 2))</f>
        <v>#VALUE!</v>
      </c>
      <c r="I111" s="3" t="e">
        <f>G111 - H111</f>
        <v>#VALUE!</v>
      </c>
      <c r="J111" s="3" t="e">
        <f>100 - H111</f>
        <v>#VALUE!</v>
      </c>
      <c r="K111" s="3" t="e">
        <f>100 - I111</f>
        <v>#VALUE!</v>
      </c>
      <c r="L111" s="3">
        <f>0.45 + D111 / 2</f>
        <v>0.49</v>
      </c>
      <c r="M111" s="3">
        <f>0.45 - D111 / 2</f>
        <v>0.41000000000000003</v>
      </c>
      <c r="N111" s="3">
        <f>0.75 + E111 / 2</f>
        <v>0.75</v>
      </c>
      <c r="O111" s="3">
        <f>0.75 - E111 / 2</f>
        <v>0.75</v>
      </c>
      <c r="P111" s="3" t="e">
        <f>(H111 * L111 + J111 * N111) / 100</f>
        <v>#VALUE!</v>
      </c>
      <c r="Q111" s="3" t="e">
        <f>(I111 * M111 + K111 * O111) / 100</f>
        <v>#VALUE!</v>
      </c>
      <c r="R111" s="3" t="e">
        <f>P111 - Q111</f>
        <v>#VALUE!</v>
      </c>
      <c r="S111" s="3">
        <f>C111 * D111 + (1 - C111) * E111</f>
        <v>0.036000000000000004</v>
      </c>
      <c r="T111" s="3" t="e">
        <f>IF(R111 &gt; 0, IF(D111 &lt; 0, 1, 0) + IF(E111 &lt; 0, 1, 0), IF(D111 &gt; 0, 1, 0) + IF(E111 &gt; 0, 1, 0))</f>
        <v>#VALUE!</v>
      </c>
      <c r="U111" s="3" t="e">
        <f>T111 / 2</f>
        <v>#VALUE!</v>
      </c>
      <c r="V111" s="3" t="e">
        <f>IF(S111 &gt; 0, R111 &lt; 0, R111 &gt; 0)</f>
        <v>#VALUE!</v>
      </c>
      <c r="W111" s="3" t="e">
        <f>ABS(S111 - R111)</f>
        <v>#VALUE!</v>
      </c>
      <c r="X111" s="3" t="e">
        <f>IF(AND(V111, U111 = 1), "A", IF(AND(V111, U111 &lt; 1), "B", IF(AND(NOT(V111), W111 &gt; 0.01, ABS(R111) &gt; ABS(S111) + 0.001), "C+", IF(AND(NOT(V111), W111 &gt; 0.01, ABS(R111) &lt; ABS(S111) - 0.001), "C-", "D"))))</f>
        <v>#VALUE!</v>
      </c>
    </row>
    <row r="112">
      <c r="A112" s="2" t="s">
        <v>4570</v>
      </c>
      <c r="B112" s="3" t="str">
        <f>A112</f>
        <v>phase-w45-g108-g212-b00</v>
      </c>
      <c r="C112" s="2">
        <v>0.45</v>
      </c>
      <c r="D112" s="2">
        <v>0.08</v>
      </c>
      <c r="E112" s="2">
        <v>0.04</v>
      </c>
      <c r="F112" s="2">
        <v>0</v>
      </c>
      <c r="G112" s="3" t="e">
        <f>ROUND(200 * C112)</f>
        <v>#VALUE!</v>
      </c>
      <c r="H112" s="3" t="e">
        <f>ROUND(G112 * (0.5 + F112 / 2))</f>
        <v>#VALUE!</v>
      </c>
      <c r="I112" s="3" t="e">
        <f>G112 - H112</f>
        <v>#VALUE!</v>
      </c>
      <c r="J112" s="3" t="e">
        <f>100 - H112</f>
        <v>#VALUE!</v>
      </c>
      <c r="K112" s="3" t="e">
        <f>100 - I112</f>
        <v>#VALUE!</v>
      </c>
      <c r="L112" s="3">
        <f>0.45 + D112 / 2</f>
        <v>0.49</v>
      </c>
      <c r="M112" s="3">
        <f>0.45 - D112 / 2</f>
        <v>0.41000000000000003</v>
      </c>
      <c r="N112" s="3">
        <f>0.75 + E112 / 2</f>
        <v>0.77</v>
      </c>
      <c r="O112" s="3">
        <f>0.75 - E112 / 2</f>
        <v>0.73</v>
      </c>
      <c r="P112" s="3" t="e">
        <f>(H112 * L112 + J112 * N112) / 100</f>
        <v>#VALUE!</v>
      </c>
      <c r="Q112" s="3" t="e">
        <f>(I112 * M112 + K112 * O112) / 100</f>
        <v>#VALUE!</v>
      </c>
      <c r="R112" s="3" t="e">
        <f>P112 - Q112</f>
        <v>#VALUE!</v>
      </c>
      <c r="S112" s="3">
        <f>C112 * D112 + (1 - C112) * E112</f>
        <v>0.05800000000000001</v>
      </c>
      <c r="T112" s="3" t="e">
        <f>IF(R112 &gt; 0, IF(D112 &lt; 0, 1, 0) + IF(E112 &lt; 0, 1, 0), IF(D112 &gt; 0, 1, 0) + IF(E112 &gt; 0, 1, 0))</f>
        <v>#VALUE!</v>
      </c>
      <c r="U112" s="3" t="e">
        <f>T112 / 2</f>
        <v>#VALUE!</v>
      </c>
      <c r="V112" s="3" t="e">
        <f>IF(S112 &gt; 0, R112 &lt; 0, R112 &gt; 0)</f>
        <v>#VALUE!</v>
      </c>
      <c r="W112" s="3" t="e">
        <f>ABS(S112 - R112)</f>
        <v>#VALUE!</v>
      </c>
      <c r="X112" s="3" t="e">
        <f>IF(AND(V112, U112 = 1), "A", IF(AND(V112, U112 &lt; 1), "B", IF(AND(NOT(V112), W112 &gt; 0.01, ABS(R112) &gt; ABS(S112) + 0.001), "C+", IF(AND(NOT(V112), W112 &gt; 0.01, ABS(R112) &lt; ABS(S112) - 0.001), "C-", "D"))))</f>
        <v>#VALUE!</v>
      </c>
    </row>
    <row r="113">
      <c r="A113" s="2" t="s">
        <v>4571</v>
      </c>
      <c r="B113" s="3" t="str">
        <f>A113</f>
        <v>phase-w45-g108-g212-b30</v>
      </c>
      <c r="C113" s="2">
        <v>0.45</v>
      </c>
      <c r="D113" s="2">
        <v>0.08</v>
      </c>
      <c r="E113" s="2">
        <v>0.04</v>
      </c>
      <c r="F113" s="2">
        <v>0.3</v>
      </c>
      <c r="G113" s="3" t="e">
        <f>ROUND(200 * C113)</f>
        <v>#VALUE!</v>
      </c>
      <c r="H113" s="3" t="e">
        <f>ROUND(G113 * (0.5 + F113 / 2))</f>
        <v>#VALUE!</v>
      </c>
      <c r="I113" s="3" t="e">
        <f>G113 - H113</f>
        <v>#VALUE!</v>
      </c>
      <c r="J113" s="3" t="e">
        <f>100 - H113</f>
        <v>#VALUE!</v>
      </c>
      <c r="K113" s="3" t="e">
        <f>100 - I113</f>
        <v>#VALUE!</v>
      </c>
      <c r="L113" s="3">
        <f>0.45 + D113 / 2</f>
        <v>0.49</v>
      </c>
      <c r="M113" s="3">
        <f>0.45 - D113 / 2</f>
        <v>0.41000000000000003</v>
      </c>
      <c r="N113" s="3">
        <f>0.75 + E113 / 2</f>
        <v>0.77</v>
      </c>
      <c r="O113" s="3">
        <f>0.75 - E113 / 2</f>
        <v>0.73</v>
      </c>
      <c r="P113" s="3" t="e">
        <f>(H113 * L113 + J113 * N113) / 100</f>
        <v>#VALUE!</v>
      </c>
      <c r="Q113" s="3" t="e">
        <f>(I113 * M113 + K113 * O113) / 100</f>
        <v>#VALUE!</v>
      </c>
      <c r="R113" s="3" t="e">
        <f>P113 - Q113</f>
        <v>#VALUE!</v>
      </c>
      <c r="S113" s="3">
        <f>C113 * D113 + (1 - C113) * E113</f>
        <v>0.05800000000000001</v>
      </c>
      <c r="T113" s="3" t="e">
        <f>IF(R113 &gt; 0, IF(D113 &lt; 0, 1, 0) + IF(E113 &lt; 0, 1, 0), IF(D113 &gt; 0, 1, 0) + IF(E113 &gt; 0, 1, 0))</f>
        <v>#VALUE!</v>
      </c>
      <c r="U113" s="3" t="e">
        <f>T113 / 2</f>
        <v>#VALUE!</v>
      </c>
      <c r="V113" s="3" t="e">
        <f>IF(S113 &gt; 0, R113 &lt; 0, R113 &gt; 0)</f>
        <v>#VALUE!</v>
      </c>
      <c r="W113" s="3" t="e">
        <f>ABS(S113 - R113)</f>
        <v>#VALUE!</v>
      </c>
      <c r="X113" s="3" t="e">
        <f>IF(AND(V113, U113 = 1), "A", IF(AND(V113, U113 &lt; 1), "B", IF(AND(NOT(V113), W113 &gt; 0.01, ABS(R113) &gt; ABS(S113) + 0.001), "C+", IF(AND(NOT(V113), W113 &gt; 0.01, ABS(R113) &lt; ABS(S113) - 0.001), "C-", "D"))))</f>
        <v>#VALUE!</v>
      </c>
    </row>
    <row r="114">
      <c r="A114" s="2" t="s">
        <v>4572</v>
      </c>
      <c r="B114" s="3" t="str">
        <f>A114</f>
        <v>phase-w45-g108-g212-b60</v>
      </c>
      <c r="C114" s="2">
        <v>0.45</v>
      </c>
      <c r="D114" s="2">
        <v>0.08</v>
      </c>
      <c r="E114" s="2">
        <v>0.04</v>
      </c>
      <c r="F114" s="2">
        <v>0.6</v>
      </c>
      <c r="G114" s="3" t="e">
        <f>ROUND(200 * C114)</f>
        <v>#VALUE!</v>
      </c>
      <c r="H114" s="3" t="e">
        <f>ROUND(G114 * (0.5 + F114 / 2))</f>
        <v>#VALUE!</v>
      </c>
      <c r="I114" s="3" t="e">
        <f>G114 - H114</f>
        <v>#VALUE!</v>
      </c>
      <c r="J114" s="3" t="e">
        <f>100 - H114</f>
        <v>#VALUE!</v>
      </c>
      <c r="K114" s="3" t="e">
        <f>100 - I114</f>
        <v>#VALUE!</v>
      </c>
      <c r="L114" s="3">
        <f>0.45 + D114 / 2</f>
        <v>0.49</v>
      </c>
      <c r="M114" s="3">
        <f>0.45 - D114 / 2</f>
        <v>0.41000000000000003</v>
      </c>
      <c r="N114" s="3">
        <f>0.75 + E114 / 2</f>
        <v>0.77</v>
      </c>
      <c r="O114" s="3">
        <f>0.75 - E114 / 2</f>
        <v>0.73</v>
      </c>
      <c r="P114" s="3" t="e">
        <f>(H114 * L114 + J114 * N114) / 100</f>
        <v>#VALUE!</v>
      </c>
      <c r="Q114" s="3" t="e">
        <f>(I114 * M114 + K114 * O114) / 100</f>
        <v>#VALUE!</v>
      </c>
      <c r="R114" s="3" t="e">
        <f>P114 - Q114</f>
        <v>#VALUE!</v>
      </c>
      <c r="S114" s="3">
        <f>C114 * D114 + (1 - C114) * E114</f>
        <v>0.05800000000000001</v>
      </c>
      <c r="T114" s="3" t="e">
        <f>IF(R114 &gt; 0, IF(D114 &lt; 0, 1, 0) + IF(E114 &lt; 0, 1, 0), IF(D114 &gt; 0, 1, 0) + IF(E114 &gt; 0, 1, 0))</f>
        <v>#VALUE!</v>
      </c>
      <c r="U114" s="3" t="e">
        <f>T114 / 2</f>
        <v>#VALUE!</v>
      </c>
      <c r="V114" s="3" t="e">
        <f>IF(S114 &gt; 0, R114 &lt; 0, R114 &gt; 0)</f>
        <v>#VALUE!</v>
      </c>
      <c r="W114" s="3" t="e">
        <f>ABS(S114 - R114)</f>
        <v>#VALUE!</v>
      </c>
      <c r="X114" s="3" t="e">
        <f>IF(AND(V114, U114 = 1), "A", IF(AND(V114, U114 &lt; 1), "B", IF(AND(NOT(V114), W114 &gt; 0.01, ABS(R114) &gt; ABS(S114) + 0.001), "C+", IF(AND(NOT(V114), W114 &gt; 0.01, ABS(R114) &lt; ABS(S114) - 0.001), "C-", "D"))))</f>
        <v>#VALUE!</v>
      </c>
    </row>
    <row r="115">
      <c r="A115" s="2" t="s">
        <v>4573</v>
      </c>
      <c r="B115" s="3" t="str">
        <f>A115</f>
        <v>phase-w45-g108-g212-b80</v>
      </c>
      <c r="C115" s="2">
        <v>0.45</v>
      </c>
      <c r="D115" s="2">
        <v>0.08</v>
      </c>
      <c r="E115" s="2">
        <v>0.04</v>
      </c>
      <c r="F115" s="2">
        <v>0.8</v>
      </c>
      <c r="G115" s="3" t="e">
        <f>ROUND(200 * C115)</f>
        <v>#VALUE!</v>
      </c>
      <c r="H115" s="3" t="e">
        <f>ROUND(G115 * (0.5 + F115 / 2))</f>
        <v>#VALUE!</v>
      </c>
      <c r="I115" s="3" t="e">
        <f>G115 - H115</f>
        <v>#VALUE!</v>
      </c>
      <c r="J115" s="3" t="e">
        <f>100 - H115</f>
        <v>#VALUE!</v>
      </c>
      <c r="K115" s="3" t="e">
        <f>100 - I115</f>
        <v>#VALUE!</v>
      </c>
      <c r="L115" s="3">
        <f>0.45 + D115 / 2</f>
        <v>0.49</v>
      </c>
      <c r="M115" s="3">
        <f>0.45 - D115 / 2</f>
        <v>0.41000000000000003</v>
      </c>
      <c r="N115" s="3">
        <f>0.75 + E115 / 2</f>
        <v>0.77</v>
      </c>
      <c r="O115" s="3">
        <f>0.75 - E115 / 2</f>
        <v>0.73</v>
      </c>
      <c r="P115" s="3" t="e">
        <f>(H115 * L115 + J115 * N115) / 100</f>
        <v>#VALUE!</v>
      </c>
      <c r="Q115" s="3" t="e">
        <f>(I115 * M115 + K115 * O115) / 100</f>
        <v>#VALUE!</v>
      </c>
      <c r="R115" s="3" t="e">
        <f>P115 - Q115</f>
        <v>#VALUE!</v>
      </c>
      <c r="S115" s="3">
        <f>C115 * D115 + (1 - C115) * E115</f>
        <v>0.05800000000000001</v>
      </c>
      <c r="T115" s="3" t="e">
        <f>IF(R115 &gt; 0, IF(D115 &lt; 0, 1, 0) + IF(E115 &lt; 0, 1, 0), IF(D115 &gt; 0, 1, 0) + IF(E115 &gt; 0, 1, 0))</f>
        <v>#VALUE!</v>
      </c>
      <c r="U115" s="3" t="e">
        <f>T115 / 2</f>
        <v>#VALUE!</v>
      </c>
      <c r="V115" s="3" t="e">
        <f>IF(S115 &gt; 0, R115 &lt; 0, R115 &gt; 0)</f>
        <v>#VALUE!</v>
      </c>
      <c r="W115" s="3" t="e">
        <f>ABS(S115 - R115)</f>
        <v>#VALUE!</v>
      </c>
      <c r="X115" s="3" t="e">
        <f>IF(AND(V115, U115 = 1), "A", IF(AND(V115, U115 &lt; 1), "B", IF(AND(NOT(V115), W115 &gt; 0.01, ABS(R115) &gt; ABS(S115) + 0.001), "C+", IF(AND(NOT(V115), W115 &gt; 0.01, ABS(R115) &lt; ABS(S115) - 0.001), "C-", "D"))))</f>
        <v>#VALUE!</v>
      </c>
    </row>
    <row r="116">
      <c r="A116" s="2" t="s">
        <v>4574</v>
      </c>
      <c r="B116" s="3" t="str">
        <f>A116</f>
        <v>phase-w45-g108-g212-b95</v>
      </c>
      <c r="C116" s="2">
        <v>0.45</v>
      </c>
      <c r="D116" s="2">
        <v>0.08</v>
      </c>
      <c r="E116" s="2">
        <v>0.04</v>
      </c>
      <c r="F116" s="2">
        <v>0.95</v>
      </c>
      <c r="G116" s="3" t="e">
        <f>ROUND(200 * C116)</f>
        <v>#VALUE!</v>
      </c>
      <c r="H116" s="3" t="e">
        <f>ROUND(G116 * (0.5 + F116 / 2))</f>
        <v>#VALUE!</v>
      </c>
      <c r="I116" s="3" t="e">
        <f>G116 - H116</f>
        <v>#VALUE!</v>
      </c>
      <c r="J116" s="3" t="e">
        <f>100 - H116</f>
        <v>#VALUE!</v>
      </c>
      <c r="K116" s="3" t="e">
        <f>100 - I116</f>
        <v>#VALUE!</v>
      </c>
      <c r="L116" s="3">
        <f>0.45 + D116 / 2</f>
        <v>0.49</v>
      </c>
      <c r="M116" s="3">
        <f>0.45 - D116 / 2</f>
        <v>0.41000000000000003</v>
      </c>
      <c r="N116" s="3">
        <f>0.75 + E116 / 2</f>
        <v>0.77</v>
      </c>
      <c r="O116" s="3">
        <f>0.75 - E116 / 2</f>
        <v>0.73</v>
      </c>
      <c r="P116" s="3" t="e">
        <f>(H116 * L116 + J116 * N116) / 100</f>
        <v>#VALUE!</v>
      </c>
      <c r="Q116" s="3" t="e">
        <f>(I116 * M116 + K116 * O116) / 100</f>
        <v>#VALUE!</v>
      </c>
      <c r="R116" s="3" t="e">
        <f>P116 - Q116</f>
        <v>#VALUE!</v>
      </c>
      <c r="S116" s="3">
        <f>C116 * D116 + (1 - C116) * E116</f>
        <v>0.05800000000000001</v>
      </c>
      <c r="T116" s="3" t="e">
        <f>IF(R116 &gt; 0, IF(D116 &lt; 0, 1, 0) + IF(E116 &lt; 0, 1, 0), IF(D116 &gt; 0, 1, 0) + IF(E116 &gt; 0, 1, 0))</f>
        <v>#VALUE!</v>
      </c>
      <c r="U116" s="3" t="e">
        <f>T116 / 2</f>
        <v>#VALUE!</v>
      </c>
      <c r="V116" s="3" t="e">
        <f>IF(S116 &gt; 0, R116 &lt; 0, R116 &gt; 0)</f>
        <v>#VALUE!</v>
      </c>
      <c r="W116" s="3" t="e">
        <f>ABS(S116 - R116)</f>
        <v>#VALUE!</v>
      </c>
      <c r="X116" s="3" t="e">
        <f>IF(AND(V116, U116 = 1), "A", IF(AND(V116, U116 &lt; 1), "B", IF(AND(NOT(V116), W116 &gt; 0.01, ABS(R116) &gt; ABS(S116) + 0.001), "C+", IF(AND(NOT(V116), W116 &gt; 0.01, ABS(R116) &lt; ABS(S116) - 0.001), "C-", "D"))))</f>
        <v>#VALUE!</v>
      </c>
    </row>
    <row r="117">
      <c r="A117" s="2" t="s">
        <v>4575</v>
      </c>
      <c r="B117" s="3" t="str">
        <f>A117</f>
        <v>phase-w45-g108-g216-b00</v>
      </c>
      <c r="C117" s="2">
        <v>0.45</v>
      </c>
      <c r="D117" s="2">
        <v>0.08</v>
      </c>
      <c r="E117" s="2">
        <v>0.08</v>
      </c>
      <c r="F117" s="2">
        <v>0</v>
      </c>
      <c r="G117" s="3" t="e">
        <f>ROUND(200 * C117)</f>
        <v>#VALUE!</v>
      </c>
      <c r="H117" s="3" t="e">
        <f>ROUND(G117 * (0.5 + F117 / 2))</f>
        <v>#VALUE!</v>
      </c>
      <c r="I117" s="3" t="e">
        <f>G117 - H117</f>
        <v>#VALUE!</v>
      </c>
      <c r="J117" s="3" t="e">
        <f>100 - H117</f>
        <v>#VALUE!</v>
      </c>
      <c r="K117" s="3" t="e">
        <f>100 - I117</f>
        <v>#VALUE!</v>
      </c>
      <c r="L117" s="3">
        <f>0.45 + D117 / 2</f>
        <v>0.49</v>
      </c>
      <c r="M117" s="3">
        <f>0.45 - D117 / 2</f>
        <v>0.41000000000000003</v>
      </c>
      <c r="N117" s="3">
        <f>0.75 + E117 / 2</f>
        <v>0.79</v>
      </c>
      <c r="O117" s="3">
        <f>0.75 - E117 / 2</f>
        <v>0.71</v>
      </c>
      <c r="P117" s="3" t="e">
        <f>(H117 * L117 + J117 * N117) / 100</f>
        <v>#VALUE!</v>
      </c>
      <c r="Q117" s="3" t="e">
        <f>(I117 * M117 + K117 * O117) / 100</f>
        <v>#VALUE!</v>
      </c>
      <c r="R117" s="3" t="e">
        <f>P117 - Q117</f>
        <v>#VALUE!</v>
      </c>
      <c r="S117" s="3">
        <f>C117 * D117 + (1 - C117) * E117</f>
        <v>0.08000000000000002</v>
      </c>
      <c r="T117" s="3" t="e">
        <f>IF(R117 &gt; 0, IF(D117 &lt; 0, 1, 0) + IF(E117 &lt; 0, 1, 0), IF(D117 &gt; 0, 1, 0) + IF(E117 &gt; 0, 1, 0))</f>
        <v>#VALUE!</v>
      </c>
      <c r="U117" s="3" t="e">
        <f>T117 / 2</f>
        <v>#VALUE!</v>
      </c>
      <c r="V117" s="3" t="e">
        <f>IF(S117 &gt; 0, R117 &lt; 0, R117 &gt; 0)</f>
        <v>#VALUE!</v>
      </c>
      <c r="W117" s="3" t="e">
        <f>ABS(S117 - R117)</f>
        <v>#VALUE!</v>
      </c>
      <c r="X117" s="3" t="e">
        <f>IF(AND(V117, U117 = 1), "A", IF(AND(V117, U117 &lt; 1), "B", IF(AND(NOT(V117), W117 &gt; 0.01, ABS(R117) &gt; ABS(S117) + 0.001), "C+", IF(AND(NOT(V117), W117 &gt; 0.01, ABS(R117) &lt; ABS(S117) - 0.001), "C-", "D"))))</f>
        <v>#VALUE!</v>
      </c>
    </row>
    <row r="118">
      <c r="A118" s="2" t="s">
        <v>4576</v>
      </c>
      <c r="B118" s="3" t="str">
        <f>A118</f>
        <v>phase-w45-g108-g216-b30</v>
      </c>
      <c r="C118" s="2">
        <v>0.45</v>
      </c>
      <c r="D118" s="2">
        <v>0.08</v>
      </c>
      <c r="E118" s="2">
        <v>0.08</v>
      </c>
      <c r="F118" s="2">
        <v>0.3</v>
      </c>
      <c r="G118" s="3" t="e">
        <f>ROUND(200 * C118)</f>
        <v>#VALUE!</v>
      </c>
      <c r="H118" s="3" t="e">
        <f>ROUND(G118 * (0.5 + F118 / 2))</f>
        <v>#VALUE!</v>
      </c>
      <c r="I118" s="3" t="e">
        <f>G118 - H118</f>
        <v>#VALUE!</v>
      </c>
      <c r="J118" s="3" t="e">
        <f>100 - H118</f>
        <v>#VALUE!</v>
      </c>
      <c r="K118" s="3" t="e">
        <f>100 - I118</f>
        <v>#VALUE!</v>
      </c>
      <c r="L118" s="3">
        <f>0.45 + D118 / 2</f>
        <v>0.49</v>
      </c>
      <c r="M118" s="3">
        <f>0.45 - D118 / 2</f>
        <v>0.41000000000000003</v>
      </c>
      <c r="N118" s="3">
        <f>0.75 + E118 / 2</f>
        <v>0.79</v>
      </c>
      <c r="O118" s="3">
        <f>0.75 - E118 / 2</f>
        <v>0.71</v>
      </c>
      <c r="P118" s="3" t="e">
        <f>(H118 * L118 + J118 * N118) / 100</f>
        <v>#VALUE!</v>
      </c>
      <c r="Q118" s="3" t="e">
        <f>(I118 * M118 + K118 * O118) / 100</f>
        <v>#VALUE!</v>
      </c>
      <c r="R118" s="3" t="e">
        <f>P118 - Q118</f>
        <v>#VALUE!</v>
      </c>
      <c r="S118" s="3">
        <f>C118 * D118 + (1 - C118) * E118</f>
        <v>0.08000000000000002</v>
      </c>
      <c r="T118" s="3" t="e">
        <f>IF(R118 &gt; 0, IF(D118 &lt; 0, 1, 0) + IF(E118 &lt; 0, 1, 0), IF(D118 &gt; 0, 1, 0) + IF(E118 &gt; 0, 1, 0))</f>
        <v>#VALUE!</v>
      </c>
      <c r="U118" s="3" t="e">
        <f>T118 / 2</f>
        <v>#VALUE!</v>
      </c>
      <c r="V118" s="3" t="e">
        <f>IF(S118 &gt; 0, R118 &lt; 0, R118 &gt; 0)</f>
        <v>#VALUE!</v>
      </c>
      <c r="W118" s="3" t="e">
        <f>ABS(S118 - R118)</f>
        <v>#VALUE!</v>
      </c>
      <c r="X118" s="3" t="e">
        <f>IF(AND(V118, U118 = 1), "A", IF(AND(V118, U118 &lt; 1), "B", IF(AND(NOT(V118), W118 &gt; 0.01, ABS(R118) &gt; ABS(S118) + 0.001), "C+", IF(AND(NOT(V118), W118 &gt; 0.01, ABS(R118) &lt; ABS(S118) - 0.001), "C-", "D"))))</f>
        <v>#VALUE!</v>
      </c>
    </row>
    <row r="119">
      <c r="A119" s="2" t="s">
        <v>4577</v>
      </c>
      <c r="B119" s="3" t="str">
        <f>A119</f>
        <v>phase-w45-g108-g216-b60</v>
      </c>
      <c r="C119" s="2">
        <v>0.45</v>
      </c>
      <c r="D119" s="2">
        <v>0.08</v>
      </c>
      <c r="E119" s="2">
        <v>0.08</v>
      </c>
      <c r="F119" s="2">
        <v>0.6</v>
      </c>
      <c r="G119" s="3" t="e">
        <f>ROUND(200 * C119)</f>
        <v>#VALUE!</v>
      </c>
      <c r="H119" s="3" t="e">
        <f>ROUND(G119 * (0.5 + F119 / 2))</f>
        <v>#VALUE!</v>
      </c>
      <c r="I119" s="3" t="e">
        <f>G119 - H119</f>
        <v>#VALUE!</v>
      </c>
      <c r="J119" s="3" t="e">
        <f>100 - H119</f>
        <v>#VALUE!</v>
      </c>
      <c r="K119" s="3" t="e">
        <f>100 - I119</f>
        <v>#VALUE!</v>
      </c>
      <c r="L119" s="3">
        <f>0.45 + D119 / 2</f>
        <v>0.49</v>
      </c>
      <c r="M119" s="3">
        <f>0.45 - D119 / 2</f>
        <v>0.41000000000000003</v>
      </c>
      <c r="N119" s="3">
        <f>0.75 + E119 / 2</f>
        <v>0.79</v>
      </c>
      <c r="O119" s="3">
        <f>0.75 - E119 / 2</f>
        <v>0.71</v>
      </c>
      <c r="P119" s="3" t="e">
        <f>(H119 * L119 + J119 * N119) / 100</f>
        <v>#VALUE!</v>
      </c>
      <c r="Q119" s="3" t="e">
        <f>(I119 * M119 + K119 * O119) / 100</f>
        <v>#VALUE!</v>
      </c>
      <c r="R119" s="3" t="e">
        <f>P119 - Q119</f>
        <v>#VALUE!</v>
      </c>
      <c r="S119" s="3">
        <f>C119 * D119 + (1 - C119) * E119</f>
        <v>0.08000000000000002</v>
      </c>
      <c r="T119" s="3" t="e">
        <f>IF(R119 &gt; 0, IF(D119 &lt; 0, 1, 0) + IF(E119 &lt; 0, 1, 0), IF(D119 &gt; 0, 1, 0) + IF(E119 &gt; 0, 1, 0))</f>
        <v>#VALUE!</v>
      </c>
      <c r="U119" s="3" t="e">
        <f>T119 / 2</f>
        <v>#VALUE!</v>
      </c>
      <c r="V119" s="3" t="e">
        <f>IF(S119 &gt; 0, R119 &lt; 0, R119 &gt; 0)</f>
        <v>#VALUE!</v>
      </c>
      <c r="W119" s="3" t="e">
        <f>ABS(S119 - R119)</f>
        <v>#VALUE!</v>
      </c>
      <c r="X119" s="3" t="e">
        <f>IF(AND(V119, U119 = 1), "A", IF(AND(V119, U119 &lt; 1), "B", IF(AND(NOT(V119), W119 &gt; 0.01, ABS(R119) &gt; ABS(S119) + 0.001), "C+", IF(AND(NOT(V119), W119 &gt; 0.01, ABS(R119) &lt; ABS(S119) - 0.001), "C-", "D"))))</f>
        <v>#VALUE!</v>
      </c>
    </row>
    <row r="120">
      <c r="A120" s="2" t="s">
        <v>4578</v>
      </c>
      <c r="B120" s="3" t="str">
        <f>A120</f>
        <v>phase-w45-g108-g216-b80</v>
      </c>
      <c r="C120" s="2">
        <v>0.45</v>
      </c>
      <c r="D120" s="2">
        <v>0.08</v>
      </c>
      <c r="E120" s="2">
        <v>0.08</v>
      </c>
      <c r="F120" s="2">
        <v>0.8</v>
      </c>
      <c r="G120" s="3" t="e">
        <f>ROUND(200 * C120)</f>
        <v>#VALUE!</v>
      </c>
      <c r="H120" s="3" t="e">
        <f>ROUND(G120 * (0.5 + F120 / 2))</f>
        <v>#VALUE!</v>
      </c>
      <c r="I120" s="3" t="e">
        <f>G120 - H120</f>
        <v>#VALUE!</v>
      </c>
      <c r="J120" s="3" t="e">
        <f>100 - H120</f>
        <v>#VALUE!</v>
      </c>
      <c r="K120" s="3" t="e">
        <f>100 - I120</f>
        <v>#VALUE!</v>
      </c>
      <c r="L120" s="3">
        <f>0.45 + D120 / 2</f>
        <v>0.49</v>
      </c>
      <c r="M120" s="3">
        <f>0.45 - D120 / 2</f>
        <v>0.41000000000000003</v>
      </c>
      <c r="N120" s="3">
        <f>0.75 + E120 / 2</f>
        <v>0.79</v>
      </c>
      <c r="O120" s="3">
        <f>0.75 - E120 / 2</f>
        <v>0.71</v>
      </c>
      <c r="P120" s="3" t="e">
        <f>(H120 * L120 + J120 * N120) / 100</f>
        <v>#VALUE!</v>
      </c>
      <c r="Q120" s="3" t="e">
        <f>(I120 * M120 + K120 * O120) / 100</f>
        <v>#VALUE!</v>
      </c>
      <c r="R120" s="3" t="e">
        <f>P120 - Q120</f>
        <v>#VALUE!</v>
      </c>
      <c r="S120" s="3">
        <f>C120 * D120 + (1 - C120) * E120</f>
        <v>0.08000000000000002</v>
      </c>
      <c r="T120" s="3" t="e">
        <f>IF(R120 &gt; 0, IF(D120 &lt; 0, 1, 0) + IF(E120 &lt; 0, 1, 0), IF(D120 &gt; 0, 1, 0) + IF(E120 &gt; 0, 1, 0))</f>
        <v>#VALUE!</v>
      </c>
      <c r="U120" s="3" t="e">
        <f>T120 / 2</f>
        <v>#VALUE!</v>
      </c>
      <c r="V120" s="3" t="e">
        <f>IF(S120 &gt; 0, R120 &lt; 0, R120 &gt; 0)</f>
        <v>#VALUE!</v>
      </c>
      <c r="W120" s="3" t="e">
        <f>ABS(S120 - R120)</f>
        <v>#VALUE!</v>
      </c>
      <c r="X120" s="3" t="e">
        <f>IF(AND(V120, U120 = 1), "A", IF(AND(V120, U120 &lt; 1), "B", IF(AND(NOT(V120), W120 &gt; 0.01, ABS(R120) &gt; ABS(S120) + 0.001), "C+", IF(AND(NOT(V120), W120 &gt; 0.01, ABS(R120) &lt; ABS(S120) - 0.001), "C-", "D"))))</f>
        <v>#VALUE!</v>
      </c>
    </row>
    <row r="121">
      <c r="A121" s="2" t="s">
        <v>4579</v>
      </c>
      <c r="B121" s="3" t="str">
        <f>A121</f>
        <v>phase-w45-g108-g216-b95</v>
      </c>
      <c r="C121" s="2">
        <v>0.45</v>
      </c>
      <c r="D121" s="2">
        <v>0.08</v>
      </c>
      <c r="E121" s="2">
        <v>0.08</v>
      </c>
      <c r="F121" s="2">
        <v>0.95</v>
      </c>
      <c r="G121" s="3" t="e">
        <f>ROUND(200 * C121)</f>
        <v>#VALUE!</v>
      </c>
      <c r="H121" s="3" t="e">
        <f>ROUND(G121 * (0.5 + F121 / 2))</f>
        <v>#VALUE!</v>
      </c>
      <c r="I121" s="3" t="e">
        <f>G121 - H121</f>
        <v>#VALUE!</v>
      </c>
      <c r="J121" s="3" t="e">
        <f>100 - H121</f>
        <v>#VALUE!</v>
      </c>
      <c r="K121" s="3" t="e">
        <f>100 - I121</f>
        <v>#VALUE!</v>
      </c>
      <c r="L121" s="3">
        <f>0.45 + D121 / 2</f>
        <v>0.49</v>
      </c>
      <c r="M121" s="3">
        <f>0.45 - D121 / 2</f>
        <v>0.41000000000000003</v>
      </c>
      <c r="N121" s="3">
        <f>0.75 + E121 / 2</f>
        <v>0.79</v>
      </c>
      <c r="O121" s="3">
        <f>0.75 - E121 / 2</f>
        <v>0.71</v>
      </c>
      <c r="P121" s="3" t="e">
        <f>(H121 * L121 + J121 * N121) / 100</f>
        <v>#VALUE!</v>
      </c>
      <c r="Q121" s="3" t="e">
        <f>(I121 * M121 + K121 * O121) / 100</f>
        <v>#VALUE!</v>
      </c>
      <c r="R121" s="3" t="e">
        <f>P121 - Q121</f>
        <v>#VALUE!</v>
      </c>
      <c r="S121" s="3">
        <f>C121 * D121 + (1 - C121) * E121</f>
        <v>0.08000000000000002</v>
      </c>
      <c r="T121" s="3" t="e">
        <f>IF(R121 &gt; 0, IF(D121 &lt; 0, 1, 0) + IF(E121 &lt; 0, 1, 0), IF(D121 &gt; 0, 1, 0) + IF(E121 &gt; 0, 1, 0))</f>
        <v>#VALUE!</v>
      </c>
      <c r="U121" s="3" t="e">
        <f>T121 / 2</f>
        <v>#VALUE!</v>
      </c>
      <c r="V121" s="3" t="e">
        <f>IF(S121 &gt; 0, R121 &lt; 0, R121 &gt; 0)</f>
        <v>#VALUE!</v>
      </c>
      <c r="W121" s="3" t="e">
        <f>ABS(S121 - R121)</f>
        <v>#VALUE!</v>
      </c>
      <c r="X121" s="3" t="e">
        <f>IF(AND(V121, U121 = 1), "A", IF(AND(V121, U121 &lt; 1), "B", IF(AND(NOT(V121), W121 &gt; 0.01, ABS(R121) &gt; ABS(S121) + 0.001), "C+", IF(AND(NOT(V121), W121 &gt; 0.01, ABS(R121) &lt; ABS(S121) - 0.001), "C-", "D"))))</f>
        <v>#VALUE!</v>
      </c>
    </row>
    <row r="122">
      <c r="A122" s="2" t="s">
        <v>4580</v>
      </c>
      <c r="B122" s="3" t="str">
        <f>A122</f>
        <v>phase-w45-g112-g200-b00</v>
      </c>
      <c r="C122" s="2">
        <v>0.45</v>
      </c>
      <c r="D122" s="2">
        <v>0.12</v>
      </c>
      <c r="E122" s="2">
        <v>-0.08</v>
      </c>
      <c r="F122" s="2">
        <v>0</v>
      </c>
      <c r="G122" s="3" t="e">
        <f>ROUND(200 * C122)</f>
        <v>#VALUE!</v>
      </c>
      <c r="H122" s="3" t="e">
        <f>ROUND(G122 * (0.5 + F122 / 2))</f>
        <v>#VALUE!</v>
      </c>
      <c r="I122" s="3" t="e">
        <f>G122 - H122</f>
        <v>#VALUE!</v>
      </c>
      <c r="J122" s="3" t="e">
        <f>100 - H122</f>
        <v>#VALUE!</v>
      </c>
      <c r="K122" s="3" t="e">
        <f>100 - I122</f>
        <v>#VALUE!</v>
      </c>
      <c r="L122" s="3">
        <f>0.45 + D122 / 2</f>
        <v>0.51</v>
      </c>
      <c r="M122" s="3">
        <f>0.45 - D122 / 2</f>
        <v>0.39</v>
      </c>
      <c r="N122" s="3">
        <f>0.75 + E122 / 2</f>
        <v>0.71</v>
      </c>
      <c r="O122" s="3">
        <f>0.75 - E122 / 2</f>
        <v>0.79</v>
      </c>
      <c r="P122" s="3" t="e">
        <f>(H122 * L122 + J122 * N122) / 100</f>
        <v>#VALUE!</v>
      </c>
      <c r="Q122" s="3" t="e">
        <f>(I122 * M122 + K122 * O122) / 100</f>
        <v>#VALUE!</v>
      </c>
      <c r="R122" s="3" t="e">
        <f>P122 - Q122</f>
        <v>#VALUE!</v>
      </c>
      <c r="S122" s="3">
        <f>C122 * D122 + (1 - C122) * E122</f>
        <v>0.009999999999999995</v>
      </c>
      <c r="T122" s="3" t="e">
        <f>IF(R122 &gt; 0, IF(D122 &lt; 0, 1, 0) + IF(E122 &lt; 0, 1, 0), IF(D122 &gt; 0, 1, 0) + IF(E122 &gt; 0, 1, 0))</f>
        <v>#VALUE!</v>
      </c>
      <c r="U122" s="3" t="e">
        <f>T122 / 2</f>
        <v>#VALUE!</v>
      </c>
      <c r="V122" s="3" t="e">
        <f>IF(S122 &gt; 0, R122 &lt; 0, R122 &gt; 0)</f>
        <v>#VALUE!</v>
      </c>
      <c r="W122" s="3" t="e">
        <f>ABS(S122 - R122)</f>
        <v>#VALUE!</v>
      </c>
      <c r="X122" s="3" t="e">
        <f>IF(AND(V122, U122 = 1), "A", IF(AND(V122, U122 &lt; 1), "B", IF(AND(NOT(V122), W122 &gt; 0.01, ABS(R122) &gt; ABS(S122) + 0.001), "C+", IF(AND(NOT(V122), W122 &gt; 0.01, ABS(R122) &lt; ABS(S122) - 0.001), "C-", "D"))))</f>
        <v>#VALUE!</v>
      </c>
    </row>
    <row r="123">
      <c r="A123" s="2" t="s">
        <v>4581</v>
      </c>
      <c r="B123" s="3" t="str">
        <f>A123</f>
        <v>phase-w45-g112-g200-b30</v>
      </c>
      <c r="C123" s="2">
        <v>0.45</v>
      </c>
      <c r="D123" s="2">
        <v>0.12</v>
      </c>
      <c r="E123" s="2">
        <v>-0.08</v>
      </c>
      <c r="F123" s="2">
        <v>0.3</v>
      </c>
      <c r="G123" s="3" t="e">
        <f>ROUND(200 * C123)</f>
        <v>#VALUE!</v>
      </c>
      <c r="H123" s="3" t="e">
        <f>ROUND(G123 * (0.5 + F123 / 2))</f>
        <v>#VALUE!</v>
      </c>
      <c r="I123" s="3" t="e">
        <f>G123 - H123</f>
        <v>#VALUE!</v>
      </c>
      <c r="J123" s="3" t="e">
        <f>100 - H123</f>
        <v>#VALUE!</v>
      </c>
      <c r="K123" s="3" t="e">
        <f>100 - I123</f>
        <v>#VALUE!</v>
      </c>
      <c r="L123" s="3">
        <f>0.45 + D123 / 2</f>
        <v>0.51</v>
      </c>
      <c r="M123" s="3">
        <f>0.45 - D123 / 2</f>
        <v>0.39</v>
      </c>
      <c r="N123" s="3">
        <f>0.75 + E123 / 2</f>
        <v>0.71</v>
      </c>
      <c r="O123" s="3">
        <f>0.75 - E123 / 2</f>
        <v>0.79</v>
      </c>
      <c r="P123" s="3" t="e">
        <f>(H123 * L123 + J123 * N123) / 100</f>
        <v>#VALUE!</v>
      </c>
      <c r="Q123" s="3" t="e">
        <f>(I123 * M123 + K123 * O123) / 100</f>
        <v>#VALUE!</v>
      </c>
      <c r="R123" s="3" t="e">
        <f>P123 - Q123</f>
        <v>#VALUE!</v>
      </c>
      <c r="S123" s="3">
        <f>C123 * D123 + (1 - C123) * E123</f>
        <v>0.009999999999999995</v>
      </c>
      <c r="T123" s="3" t="e">
        <f>IF(R123 &gt; 0, IF(D123 &lt; 0, 1, 0) + IF(E123 &lt; 0, 1, 0), IF(D123 &gt; 0, 1, 0) + IF(E123 &gt; 0, 1, 0))</f>
        <v>#VALUE!</v>
      </c>
      <c r="U123" s="3" t="e">
        <f>T123 / 2</f>
        <v>#VALUE!</v>
      </c>
      <c r="V123" s="3" t="e">
        <f>IF(S123 &gt; 0, R123 &lt; 0, R123 &gt; 0)</f>
        <v>#VALUE!</v>
      </c>
      <c r="W123" s="3" t="e">
        <f>ABS(S123 - R123)</f>
        <v>#VALUE!</v>
      </c>
      <c r="X123" s="3" t="e">
        <f>IF(AND(V123, U123 = 1), "A", IF(AND(V123, U123 &lt; 1), "B", IF(AND(NOT(V123), W123 &gt; 0.01, ABS(R123) &gt; ABS(S123) + 0.001), "C+", IF(AND(NOT(V123), W123 &gt; 0.01, ABS(R123) &lt; ABS(S123) - 0.001), "C-", "D"))))</f>
        <v>#VALUE!</v>
      </c>
    </row>
    <row r="124">
      <c r="A124" s="2" t="s">
        <v>4582</v>
      </c>
      <c r="B124" s="3" t="str">
        <f>A124</f>
        <v>phase-w45-g112-g200-b60</v>
      </c>
      <c r="C124" s="2">
        <v>0.45</v>
      </c>
      <c r="D124" s="2">
        <v>0.12</v>
      </c>
      <c r="E124" s="2">
        <v>-0.08</v>
      </c>
      <c r="F124" s="2">
        <v>0.6</v>
      </c>
      <c r="G124" s="3" t="e">
        <f>ROUND(200 * C124)</f>
        <v>#VALUE!</v>
      </c>
      <c r="H124" s="3" t="e">
        <f>ROUND(G124 * (0.5 + F124 / 2))</f>
        <v>#VALUE!</v>
      </c>
      <c r="I124" s="3" t="e">
        <f>G124 - H124</f>
        <v>#VALUE!</v>
      </c>
      <c r="J124" s="3" t="e">
        <f>100 - H124</f>
        <v>#VALUE!</v>
      </c>
      <c r="K124" s="3" t="e">
        <f>100 - I124</f>
        <v>#VALUE!</v>
      </c>
      <c r="L124" s="3">
        <f>0.45 + D124 / 2</f>
        <v>0.51</v>
      </c>
      <c r="M124" s="3">
        <f>0.45 - D124 / 2</f>
        <v>0.39</v>
      </c>
      <c r="N124" s="3">
        <f>0.75 + E124 / 2</f>
        <v>0.71</v>
      </c>
      <c r="O124" s="3">
        <f>0.75 - E124 / 2</f>
        <v>0.79</v>
      </c>
      <c r="P124" s="3" t="e">
        <f>(H124 * L124 + J124 * N124) / 100</f>
        <v>#VALUE!</v>
      </c>
      <c r="Q124" s="3" t="e">
        <f>(I124 * M124 + K124 * O124) / 100</f>
        <v>#VALUE!</v>
      </c>
      <c r="R124" s="3" t="e">
        <f>P124 - Q124</f>
        <v>#VALUE!</v>
      </c>
      <c r="S124" s="3">
        <f>C124 * D124 + (1 - C124) * E124</f>
        <v>0.009999999999999995</v>
      </c>
      <c r="T124" s="3" t="e">
        <f>IF(R124 &gt; 0, IF(D124 &lt; 0, 1, 0) + IF(E124 &lt; 0, 1, 0), IF(D124 &gt; 0, 1, 0) + IF(E124 &gt; 0, 1, 0))</f>
        <v>#VALUE!</v>
      </c>
      <c r="U124" s="3" t="e">
        <f>T124 / 2</f>
        <v>#VALUE!</v>
      </c>
      <c r="V124" s="3" t="e">
        <f>IF(S124 &gt; 0, R124 &lt; 0, R124 &gt; 0)</f>
        <v>#VALUE!</v>
      </c>
      <c r="W124" s="3" t="e">
        <f>ABS(S124 - R124)</f>
        <v>#VALUE!</v>
      </c>
      <c r="X124" s="3" t="e">
        <f>IF(AND(V124, U124 = 1), "A", IF(AND(V124, U124 &lt; 1), "B", IF(AND(NOT(V124), W124 &gt; 0.01, ABS(R124) &gt; ABS(S124) + 0.001), "C+", IF(AND(NOT(V124), W124 &gt; 0.01, ABS(R124) &lt; ABS(S124) - 0.001), "C-", "D"))))</f>
        <v>#VALUE!</v>
      </c>
    </row>
    <row r="125">
      <c r="A125" s="2" t="s">
        <v>4583</v>
      </c>
      <c r="B125" s="3" t="str">
        <f>A125</f>
        <v>phase-w45-g112-g200-b80</v>
      </c>
      <c r="C125" s="2">
        <v>0.45</v>
      </c>
      <c r="D125" s="2">
        <v>0.12</v>
      </c>
      <c r="E125" s="2">
        <v>-0.08</v>
      </c>
      <c r="F125" s="2">
        <v>0.8</v>
      </c>
      <c r="G125" s="3" t="e">
        <f>ROUND(200 * C125)</f>
        <v>#VALUE!</v>
      </c>
      <c r="H125" s="3" t="e">
        <f>ROUND(G125 * (0.5 + F125 / 2))</f>
        <v>#VALUE!</v>
      </c>
      <c r="I125" s="3" t="e">
        <f>G125 - H125</f>
        <v>#VALUE!</v>
      </c>
      <c r="J125" s="3" t="e">
        <f>100 - H125</f>
        <v>#VALUE!</v>
      </c>
      <c r="K125" s="3" t="e">
        <f>100 - I125</f>
        <v>#VALUE!</v>
      </c>
      <c r="L125" s="3">
        <f>0.45 + D125 / 2</f>
        <v>0.51</v>
      </c>
      <c r="M125" s="3">
        <f>0.45 - D125 / 2</f>
        <v>0.39</v>
      </c>
      <c r="N125" s="3">
        <f>0.75 + E125 / 2</f>
        <v>0.71</v>
      </c>
      <c r="O125" s="3">
        <f>0.75 - E125 / 2</f>
        <v>0.79</v>
      </c>
      <c r="P125" s="3" t="e">
        <f>(H125 * L125 + J125 * N125) / 100</f>
        <v>#VALUE!</v>
      </c>
      <c r="Q125" s="3" t="e">
        <f>(I125 * M125 + K125 * O125) / 100</f>
        <v>#VALUE!</v>
      </c>
      <c r="R125" s="3" t="e">
        <f>P125 - Q125</f>
        <v>#VALUE!</v>
      </c>
      <c r="S125" s="3">
        <f>C125 * D125 + (1 - C125) * E125</f>
        <v>0.009999999999999995</v>
      </c>
      <c r="T125" s="3" t="e">
        <f>IF(R125 &gt; 0, IF(D125 &lt; 0, 1, 0) + IF(E125 &lt; 0, 1, 0), IF(D125 &gt; 0, 1, 0) + IF(E125 &gt; 0, 1, 0))</f>
        <v>#VALUE!</v>
      </c>
      <c r="U125" s="3" t="e">
        <f>T125 / 2</f>
        <v>#VALUE!</v>
      </c>
      <c r="V125" s="3" t="e">
        <f>IF(S125 &gt; 0, R125 &lt; 0, R125 &gt; 0)</f>
        <v>#VALUE!</v>
      </c>
      <c r="W125" s="3" t="e">
        <f>ABS(S125 - R125)</f>
        <v>#VALUE!</v>
      </c>
      <c r="X125" s="3" t="e">
        <f>IF(AND(V125, U125 = 1), "A", IF(AND(V125, U125 &lt; 1), "B", IF(AND(NOT(V125), W125 &gt; 0.01, ABS(R125) &gt; ABS(S125) + 0.001), "C+", IF(AND(NOT(V125), W125 &gt; 0.01, ABS(R125) &lt; ABS(S125) - 0.001), "C-", "D"))))</f>
        <v>#VALUE!</v>
      </c>
    </row>
    <row r="126">
      <c r="A126" s="2" t="s">
        <v>4584</v>
      </c>
      <c r="B126" s="3" t="str">
        <f>A126</f>
        <v>phase-w45-g112-g200-b95</v>
      </c>
      <c r="C126" s="2">
        <v>0.45</v>
      </c>
      <c r="D126" s="2">
        <v>0.12</v>
      </c>
      <c r="E126" s="2">
        <v>-0.08</v>
      </c>
      <c r="F126" s="2">
        <v>0.95</v>
      </c>
      <c r="G126" s="3" t="e">
        <f>ROUND(200 * C126)</f>
        <v>#VALUE!</v>
      </c>
      <c r="H126" s="3" t="e">
        <f>ROUND(G126 * (0.5 + F126 / 2))</f>
        <v>#VALUE!</v>
      </c>
      <c r="I126" s="3" t="e">
        <f>G126 - H126</f>
        <v>#VALUE!</v>
      </c>
      <c r="J126" s="3" t="e">
        <f>100 - H126</f>
        <v>#VALUE!</v>
      </c>
      <c r="K126" s="3" t="e">
        <f>100 - I126</f>
        <v>#VALUE!</v>
      </c>
      <c r="L126" s="3">
        <f>0.45 + D126 / 2</f>
        <v>0.51</v>
      </c>
      <c r="M126" s="3">
        <f>0.45 - D126 / 2</f>
        <v>0.39</v>
      </c>
      <c r="N126" s="3">
        <f>0.75 + E126 / 2</f>
        <v>0.71</v>
      </c>
      <c r="O126" s="3">
        <f>0.75 - E126 / 2</f>
        <v>0.79</v>
      </c>
      <c r="P126" s="3" t="e">
        <f>(H126 * L126 + J126 * N126) / 100</f>
        <v>#VALUE!</v>
      </c>
      <c r="Q126" s="3" t="e">
        <f>(I126 * M126 + K126 * O126) / 100</f>
        <v>#VALUE!</v>
      </c>
      <c r="R126" s="3" t="e">
        <f>P126 - Q126</f>
        <v>#VALUE!</v>
      </c>
      <c r="S126" s="3">
        <f>C126 * D126 + (1 - C126) * E126</f>
        <v>0.009999999999999995</v>
      </c>
      <c r="T126" s="3" t="e">
        <f>IF(R126 &gt; 0, IF(D126 &lt; 0, 1, 0) + IF(E126 &lt; 0, 1, 0), IF(D126 &gt; 0, 1, 0) + IF(E126 &gt; 0, 1, 0))</f>
        <v>#VALUE!</v>
      </c>
      <c r="U126" s="3" t="e">
        <f>T126 / 2</f>
        <v>#VALUE!</v>
      </c>
      <c r="V126" s="3" t="e">
        <f>IF(S126 &gt; 0, R126 &lt; 0, R126 &gt; 0)</f>
        <v>#VALUE!</v>
      </c>
      <c r="W126" s="3" t="e">
        <f>ABS(S126 - R126)</f>
        <v>#VALUE!</v>
      </c>
      <c r="X126" s="3" t="e">
        <f>IF(AND(V126, U126 = 1), "A", IF(AND(V126, U126 &lt; 1), "B", IF(AND(NOT(V126), W126 &gt; 0.01, ABS(R126) &gt; ABS(S126) + 0.001), "C+", IF(AND(NOT(V126), W126 &gt; 0.01, ABS(R126) &lt; ABS(S126) - 0.001), "C-", "D"))))</f>
        <v>#VALUE!</v>
      </c>
    </row>
    <row r="127">
      <c r="A127" s="2" t="s">
        <v>4585</v>
      </c>
      <c r="B127" s="3" t="str">
        <f>A127</f>
        <v>phase-w45-g112-g208-b00</v>
      </c>
      <c r="C127" s="2">
        <v>0.45</v>
      </c>
      <c r="D127" s="2">
        <v>0.12</v>
      </c>
      <c r="E127" s="2">
        <v>0</v>
      </c>
      <c r="F127" s="2">
        <v>0</v>
      </c>
      <c r="G127" s="3" t="e">
        <f>ROUND(200 * C127)</f>
        <v>#VALUE!</v>
      </c>
      <c r="H127" s="3" t="e">
        <f>ROUND(G127 * (0.5 + F127 / 2))</f>
        <v>#VALUE!</v>
      </c>
      <c r="I127" s="3" t="e">
        <f>G127 - H127</f>
        <v>#VALUE!</v>
      </c>
      <c r="J127" s="3" t="e">
        <f>100 - H127</f>
        <v>#VALUE!</v>
      </c>
      <c r="K127" s="3" t="e">
        <f>100 - I127</f>
        <v>#VALUE!</v>
      </c>
      <c r="L127" s="3">
        <f>0.45 + D127 / 2</f>
        <v>0.51</v>
      </c>
      <c r="M127" s="3">
        <f>0.45 - D127 / 2</f>
        <v>0.39</v>
      </c>
      <c r="N127" s="3">
        <f>0.75 + E127 / 2</f>
        <v>0.75</v>
      </c>
      <c r="O127" s="3">
        <f>0.75 - E127 / 2</f>
        <v>0.75</v>
      </c>
      <c r="P127" s="3" t="e">
        <f>(H127 * L127 + J127 * N127) / 100</f>
        <v>#VALUE!</v>
      </c>
      <c r="Q127" s="3" t="e">
        <f>(I127 * M127 + K127 * O127) / 100</f>
        <v>#VALUE!</v>
      </c>
      <c r="R127" s="3" t="e">
        <f>P127 - Q127</f>
        <v>#VALUE!</v>
      </c>
      <c r="S127" s="3">
        <f>C127 * D127 + (1 - C127) * E127</f>
        <v>0.054</v>
      </c>
      <c r="T127" s="3" t="e">
        <f>IF(R127 &gt; 0, IF(D127 &lt; 0, 1, 0) + IF(E127 &lt; 0, 1, 0), IF(D127 &gt; 0, 1, 0) + IF(E127 &gt; 0, 1, 0))</f>
        <v>#VALUE!</v>
      </c>
      <c r="U127" s="3" t="e">
        <f>T127 / 2</f>
        <v>#VALUE!</v>
      </c>
      <c r="V127" s="3" t="e">
        <f>IF(S127 &gt; 0, R127 &lt; 0, R127 &gt; 0)</f>
        <v>#VALUE!</v>
      </c>
      <c r="W127" s="3" t="e">
        <f>ABS(S127 - R127)</f>
        <v>#VALUE!</v>
      </c>
      <c r="X127" s="3" t="e">
        <f>IF(AND(V127, U127 = 1), "A", IF(AND(V127, U127 &lt; 1), "B", IF(AND(NOT(V127), W127 &gt; 0.01, ABS(R127) &gt; ABS(S127) + 0.001), "C+", IF(AND(NOT(V127), W127 &gt; 0.01, ABS(R127) &lt; ABS(S127) - 0.001), "C-", "D"))))</f>
        <v>#VALUE!</v>
      </c>
    </row>
    <row r="128">
      <c r="A128" s="2" t="s">
        <v>4586</v>
      </c>
      <c r="B128" s="3" t="str">
        <f>A128</f>
        <v>phase-w45-g112-g208-b30</v>
      </c>
      <c r="C128" s="2">
        <v>0.45</v>
      </c>
      <c r="D128" s="2">
        <v>0.12</v>
      </c>
      <c r="E128" s="2">
        <v>0</v>
      </c>
      <c r="F128" s="2">
        <v>0.3</v>
      </c>
      <c r="G128" s="3" t="e">
        <f>ROUND(200 * C128)</f>
        <v>#VALUE!</v>
      </c>
      <c r="H128" s="3" t="e">
        <f>ROUND(G128 * (0.5 + F128 / 2))</f>
        <v>#VALUE!</v>
      </c>
      <c r="I128" s="3" t="e">
        <f>G128 - H128</f>
        <v>#VALUE!</v>
      </c>
      <c r="J128" s="3" t="e">
        <f>100 - H128</f>
        <v>#VALUE!</v>
      </c>
      <c r="K128" s="3" t="e">
        <f>100 - I128</f>
        <v>#VALUE!</v>
      </c>
      <c r="L128" s="3">
        <f>0.45 + D128 / 2</f>
        <v>0.51</v>
      </c>
      <c r="M128" s="3">
        <f>0.45 - D128 / 2</f>
        <v>0.39</v>
      </c>
      <c r="N128" s="3">
        <f>0.75 + E128 / 2</f>
        <v>0.75</v>
      </c>
      <c r="O128" s="3">
        <f>0.75 - E128 / 2</f>
        <v>0.75</v>
      </c>
      <c r="P128" s="3" t="e">
        <f>(H128 * L128 + J128 * N128) / 100</f>
        <v>#VALUE!</v>
      </c>
      <c r="Q128" s="3" t="e">
        <f>(I128 * M128 + K128 * O128) / 100</f>
        <v>#VALUE!</v>
      </c>
      <c r="R128" s="3" t="e">
        <f>P128 - Q128</f>
        <v>#VALUE!</v>
      </c>
      <c r="S128" s="3">
        <f>C128 * D128 + (1 - C128) * E128</f>
        <v>0.054</v>
      </c>
      <c r="T128" s="3" t="e">
        <f>IF(R128 &gt; 0, IF(D128 &lt; 0, 1, 0) + IF(E128 &lt; 0, 1, 0), IF(D128 &gt; 0, 1, 0) + IF(E128 &gt; 0, 1, 0))</f>
        <v>#VALUE!</v>
      </c>
      <c r="U128" s="3" t="e">
        <f>T128 / 2</f>
        <v>#VALUE!</v>
      </c>
      <c r="V128" s="3" t="e">
        <f>IF(S128 &gt; 0, R128 &lt; 0, R128 &gt; 0)</f>
        <v>#VALUE!</v>
      </c>
      <c r="W128" s="3" t="e">
        <f>ABS(S128 - R128)</f>
        <v>#VALUE!</v>
      </c>
      <c r="X128" s="3" t="e">
        <f>IF(AND(V128, U128 = 1), "A", IF(AND(V128, U128 &lt; 1), "B", IF(AND(NOT(V128), W128 &gt; 0.01, ABS(R128) &gt; ABS(S128) + 0.001), "C+", IF(AND(NOT(V128), W128 &gt; 0.01, ABS(R128) &lt; ABS(S128) - 0.001), "C-", "D"))))</f>
        <v>#VALUE!</v>
      </c>
    </row>
    <row r="129">
      <c r="A129" s="2" t="s">
        <v>4587</v>
      </c>
      <c r="B129" s="3" t="str">
        <f>A129</f>
        <v>phase-w45-g112-g208-b60</v>
      </c>
      <c r="C129" s="2">
        <v>0.45</v>
      </c>
      <c r="D129" s="2">
        <v>0.12</v>
      </c>
      <c r="E129" s="2">
        <v>0</v>
      </c>
      <c r="F129" s="2">
        <v>0.6</v>
      </c>
      <c r="G129" s="3" t="e">
        <f>ROUND(200 * C129)</f>
        <v>#VALUE!</v>
      </c>
      <c r="H129" s="3" t="e">
        <f>ROUND(G129 * (0.5 + F129 / 2))</f>
        <v>#VALUE!</v>
      </c>
      <c r="I129" s="3" t="e">
        <f>G129 - H129</f>
        <v>#VALUE!</v>
      </c>
      <c r="J129" s="3" t="e">
        <f>100 - H129</f>
        <v>#VALUE!</v>
      </c>
      <c r="K129" s="3" t="e">
        <f>100 - I129</f>
        <v>#VALUE!</v>
      </c>
      <c r="L129" s="3">
        <f>0.45 + D129 / 2</f>
        <v>0.51</v>
      </c>
      <c r="M129" s="3">
        <f>0.45 - D129 / 2</f>
        <v>0.39</v>
      </c>
      <c r="N129" s="3">
        <f>0.75 + E129 / 2</f>
        <v>0.75</v>
      </c>
      <c r="O129" s="3">
        <f>0.75 - E129 / 2</f>
        <v>0.75</v>
      </c>
      <c r="P129" s="3" t="e">
        <f>(H129 * L129 + J129 * N129) / 100</f>
        <v>#VALUE!</v>
      </c>
      <c r="Q129" s="3" t="e">
        <f>(I129 * M129 + K129 * O129) / 100</f>
        <v>#VALUE!</v>
      </c>
      <c r="R129" s="3" t="e">
        <f>P129 - Q129</f>
        <v>#VALUE!</v>
      </c>
      <c r="S129" s="3">
        <f>C129 * D129 + (1 - C129) * E129</f>
        <v>0.054</v>
      </c>
      <c r="T129" s="3" t="e">
        <f>IF(R129 &gt; 0, IF(D129 &lt; 0, 1, 0) + IF(E129 &lt; 0, 1, 0), IF(D129 &gt; 0, 1, 0) + IF(E129 &gt; 0, 1, 0))</f>
        <v>#VALUE!</v>
      </c>
      <c r="U129" s="3" t="e">
        <f>T129 / 2</f>
        <v>#VALUE!</v>
      </c>
      <c r="V129" s="3" t="e">
        <f>IF(S129 &gt; 0, R129 &lt; 0, R129 &gt; 0)</f>
        <v>#VALUE!</v>
      </c>
      <c r="W129" s="3" t="e">
        <f>ABS(S129 - R129)</f>
        <v>#VALUE!</v>
      </c>
      <c r="X129" s="3" t="e">
        <f>IF(AND(V129, U129 = 1), "A", IF(AND(V129, U129 &lt; 1), "B", IF(AND(NOT(V129), W129 &gt; 0.01, ABS(R129) &gt; ABS(S129) + 0.001), "C+", IF(AND(NOT(V129), W129 &gt; 0.01, ABS(R129) &lt; ABS(S129) - 0.001), "C-", "D"))))</f>
        <v>#VALUE!</v>
      </c>
    </row>
    <row r="130">
      <c r="A130" s="2" t="s">
        <v>4588</v>
      </c>
      <c r="B130" s="3" t="str">
        <f>A130</f>
        <v>phase-w45-g112-g208-b80</v>
      </c>
      <c r="C130" s="2">
        <v>0.45</v>
      </c>
      <c r="D130" s="2">
        <v>0.12</v>
      </c>
      <c r="E130" s="2">
        <v>0</v>
      </c>
      <c r="F130" s="2">
        <v>0.8</v>
      </c>
      <c r="G130" s="3" t="e">
        <f>ROUND(200 * C130)</f>
        <v>#VALUE!</v>
      </c>
      <c r="H130" s="3" t="e">
        <f>ROUND(G130 * (0.5 + F130 / 2))</f>
        <v>#VALUE!</v>
      </c>
      <c r="I130" s="3" t="e">
        <f>G130 - H130</f>
        <v>#VALUE!</v>
      </c>
      <c r="J130" s="3" t="e">
        <f>100 - H130</f>
        <v>#VALUE!</v>
      </c>
      <c r="K130" s="3" t="e">
        <f>100 - I130</f>
        <v>#VALUE!</v>
      </c>
      <c r="L130" s="3">
        <f>0.45 + D130 / 2</f>
        <v>0.51</v>
      </c>
      <c r="M130" s="3">
        <f>0.45 - D130 / 2</f>
        <v>0.39</v>
      </c>
      <c r="N130" s="3">
        <f>0.75 + E130 / 2</f>
        <v>0.75</v>
      </c>
      <c r="O130" s="3">
        <f>0.75 - E130 / 2</f>
        <v>0.75</v>
      </c>
      <c r="P130" s="3" t="e">
        <f>(H130 * L130 + J130 * N130) / 100</f>
        <v>#VALUE!</v>
      </c>
      <c r="Q130" s="3" t="e">
        <f>(I130 * M130 + K130 * O130) / 100</f>
        <v>#VALUE!</v>
      </c>
      <c r="R130" s="3" t="e">
        <f>P130 - Q130</f>
        <v>#VALUE!</v>
      </c>
      <c r="S130" s="3">
        <f>C130 * D130 + (1 - C130) * E130</f>
        <v>0.054</v>
      </c>
      <c r="T130" s="3" t="e">
        <f>IF(R130 &gt; 0, IF(D130 &lt; 0, 1, 0) + IF(E130 &lt; 0, 1, 0), IF(D130 &gt; 0, 1, 0) + IF(E130 &gt; 0, 1, 0))</f>
        <v>#VALUE!</v>
      </c>
      <c r="U130" s="3" t="e">
        <f>T130 / 2</f>
        <v>#VALUE!</v>
      </c>
      <c r="V130" s="3" t="e">
        <f>IF(S130 &gt; 0, R130 &lt; 0, R130 &gt; 0)</f>
        <v>#VALUE!</v>
      </c>
      <c r="W130" s="3" t="e">
        <f>ABS(S130 - R130)</f>
        <v>#VALUE!</v>
      </c>
      <c r="X130" s="3" t="e">
        <f>IF(AND(V130, U130 = 1), "A", IF(AND(V130, U130 &lt; 1), "B", IF(AND(NOT(V130), W130 &gt; 0.01, ABS(R130) &gt; ABS(S130) + 0.001), "C+", IF(AND(NOT(V130), W130 &gt; 0.01, ABS(R130) &lt; ABS(S130) - 0.001), "C-", "D"))))</f>
        <v>#VALUE!</v>
      </c>
    </row>
    <row r="131">
      <c r="A131" s="2" t="s">
        <v>4589</v>
      </c>
      <c r="B131" s="3" t="str">
        <f>A131</f>
        <v>phase-w45-g112-g208-b95</v>
      </c>
      <c r="C131" s="2">
        <v>0.45</v>
      </c>
      <c r="D131" s="2">
        <v>0.12</v>
      </c>
      <c r="E131" s="2">
        <v>0</v>
      </c>
      <c r="F131" s="2">
        <v>0.95</v>
      </c>
      <c r="G131" s="3" t="e">
        <f>ROUND(200 * C131)</f>
        <v>#VALUE!</v>
      </c>
      <c r="H131" s="3" t="e">
        <f>ROUND(G131 * (0.5 + F131 / 2))</f>
        <v>#VALUE!</v>
      </c>
      <c r="I131" s="3" t="e">
        <f>G131 - H131</f>
        <v>#VALUE!</v>
      </c>
      <c r="J131" s="3" t="e">
        <f>100 - H131</f>
        <v>#VALUE!</v>
      </c>
      <c r="K131" s="3" t="e">
        <f>100 - I131</f>
        <v>#VALUE!</v>
      </c>
      <c r="L131" s="3">
        <f>0.45 + D131 / 2</f>
        <v>0.51</v>
      </c>
      <c r="M131" s="3">
        <f>0.45 - D131 / 2</f>
        <v>0.39</v>
      </c>
      <c r="N131" s="3">
        <f>0.75 + E131 / 2</f>
        <v>0.75</v>
      </c>
      <c r="O131" s="3">
        <f>0.75 - E131 / 2</f>
        <v>0.75</v>
      </c>
      <c r="P131" s="3" t="e">
        <f>(H131 * L131 + J131 * N131) / 100</f>
        <v>#VALUE!</v>
      </c>
      <c r="Q131" s="3" t="e">
        <f>(I131 * M131 + K131 * O131) / 100</f>
        <v>#VALUE!</v>
      </c>
      <c r="R131" s="3" t="e">
        <f>P131 - Q131</f>
        <v>#VALUE!</v>
      </c>
      <c r="S131" s="3">
        <f>C131 * D131 + (1 - C131) * E131</f>
        <v>0.054</v>
      </c>
      <c r="T131" s="3" t="e">
        <f>IF(R131 &gt; 0, IF(D131 &lt; 0, 1, 0) + IF(E131 &lt; 0, 1, 0), IF(D131 &gt; 0, 1, 0) + IF(E131 &gt; 0, 1, 0))</f>
        <v>#VALUE!</v>
      </c>
      <c r="U131" s="3" t="e">
        <f>T131 / 2</f>
        <v>#VALUE!</v>
      </c>
      <c r="V131" s="3" t="e">
        <f>IF(S131 &gt; 0, R131 &lt; 0, R131 &gt; 0)</f>
        <v>#VALUE!</v>
      </c>
      <c r="W131" s="3" t="e">
        <f>ABS(S131 - R131)</f>
        <v>#VALUE!</v>
      </c>
      <c r="X131" s="3" t="e">
        <f>IF(AND(V131, U131 = 1), "A", IF(AND(V131, U131 &lt; 1), "B", IF(AND(NOT(V131), W131 &gt; 0.01, ABS(R131) &gt; ABS(S131) + 0.001), "C+", IF(AND(NOT(V131), W131 &gt; 0.01, ABS(R131) &lt; ABS(S131) - 0.001), "C-", "D"))))</f>
        <v>#VALUE!</v>
      </c>
    </row>
    <row r="132">
      <c r="A132" s="2" t="s">
        <v>4590</v>
      </c>
      <c r="B132" s="3" t="str">
        <f>A132</f>
        <v>phase-w45-g112-g212-b00</v>
      </c>
      <c r="C132" s="2">
        <v>0.45</v>
      </c>
      <c r="D132" s="2">
        <v>0.12</v>
      </c>
      <c r="E132" s="2">
        <v>0.04</v>
      </c>
      <c r="F132" s="2">
        <v>0</v>
      </c>
      <c r="G132" s="3" t="e">
        <f>ROUND(200 * C132)</f>
        <v>#VALUE!</v>
      </c>
      <c r="H132" s="3" t="e">
        <f>ROUND(G132 * (0.5 + F132 / 2))</f>
        <v>#VALUE!</v>
      </c>
      <c r="I132" s="3" t="e">
        <f>G132 - H132</f>
        <v>#VALUE!</v>
      </c>
      <c r="J132" s="3" t="e">
        <f>100 - H132</f>
        <v>#VALUE!</v>
      </c>
      <c r="K132" s="3" t="e">
        <f>100 - I132</f>
        <v>#VALUE!</v>
      </c>
      <c r="L132" s="3">
        <f>0.45 + D132 / 2</f>
        <v>0.51</v>
      </c>
      <c r="M132" s="3">
        <f>0.45 - D132 / 2</f>
        <v>0.39</v>
      </c>
      <c r="N132" s="3">
        <f>0.75 + E132 / 2</f>
        <v>0.77</v>
      </c>
      <c r="O132" s="3">
        <f>0.75 - E132 / 2</f>
        <v>0.73</v>
      </c>
      <c r="P132" s="3" t="e">
        <f>(H132 * L132 + J132 * N132) / 100</f>
        <v>#VALUE!</v>
      </c>
      <c r="Q132" s="3" t="e">
        <f>(I132 * M132 + K132 * O132) / 100</f>
        <v>#VALUE!</v>
      </c>
      <c r="R132" s="3" t="e">
        <f>P132 - Q132</f>
        <v>#VALUE!</v>
      </c>
      <c r="S132" s="3">
        <f>C132 * D132 + (1 - C132) * E132</f>
        <v>0.076</v>
      </c>
      <c r="T132" s="3" t="e">
        <f>IF(R132 &gt; 0, IF(D132 &lt; 0, 1, 0) + IF(E132 &lt; 0, 1, 0), IF(D132 &gt; 0, 1, 0) + IF(E132 &gt; 0, 1, 0))</f>
        <v>#VALUE!</v>
      </c>
      <c r="U132" s="3" t="e">
        <f>T132 / 2</f>
        <v>#VALUE!</v>
      </c>
      <c r="V132" s="3" t="e">
        <f>IF(S132 &gt; 0, R132 &lt; 0, R132 &gt; 0)</f>
        <v>#VALUE!</v>
      </c>
      <c r="W132" s="3" t="e">
        <f>ABS(S132 - R132)</f>
        <v>#VALUE!</v>
      </c>
      <c r="X132" s="3" t="e">
        <f>IF(AND(V132, U132 = 1), "A", IF(AND(V132, U132 &lt; 1), "B", IF(AND(NOT(V132), W132 &gt; 0.01, ABS(R132) &gt; ABS(S132) + 0.001), "C+", IF(AND(NOT(V132), W132 &gt; 0.01, ABS(R132) &lt; ABS(S132) - 0.001), "C-", "D"))))</f>
        <v>#VALUE!</v>
      </c>
    </row>
    <row r="133">
      <c r="A133" s="2" t="s">
        <v>4591</v>
      </c>
      <c r="B133" s="3" t="str">
        <f>A133</f>
        <v>phase-w45-g112-g212-b30</v>
      </c>
      <c r="C133" s="2">
        <v>0.45</v>
      </c>
      <c r="D133" s="2">
        <v>0.12</v>
      </c>
      <c r="E133" s="2">
        <v>0.04</v>
      </c>
      <c r="F133" s="2">
        <v>0.3</v>
      </c>
      <c r="G133" s="3" t="e">
        <f>ROUND(200 * C133)</f>
        <v>#VALUE!</v>
      </c>
      <c r="H133" s="3" t="e">
        <f>ROUND(G133 * (0.5 + F133 / 2))</f>
        <v>#VALUE!</v>
      </c>
      <c r="I133" s="3" t="e">
        <f>G133 - H133</f>
        <v>#VALUE!</v>
      </c>
      <c r="J133" s="3" t="e">
        <f>100 - H133</f>
        <v>#VALUE!</v>
      </c>
      <c r="K133" s="3" t="e">
        <f>100 - I133</f>
        <v>#VALUE!</v>
      </c>
      <c r="L133" s="3">
        <f>0.45 + D133 / 2</f>
        <v>0.51</v>
      </c>
      <c r="M133" s="3">
        <f>0.45 - D133 / 2</f>
        <v>0.39</v>
      </c>
      <c r="N133" s="3">
        <f>0.75 + E133 / 2</f>
        <v>0.77</v>
      </c>
      <c r="O133" s="3">
        <f>0.75 - E133 / 2</f>
        <v>0.73</v>
      </c>
      <c r="P133" s="3" t="e">
        <f>(H133 * L133 + J133 * N133) / 100</f>
        <v>#VALUE!</v>
      </c>
      <c r="Q133" s="3" t="e">
        <f>(I133 * M133 + K133 * O133) / 100</f>
        <v>#VALUE!</v>
      </c>
      <c r="R133" s="3" t="e">
        <f>P133 - Q133</f>
        <v>#VALUE!</v>
      </c>
      <c r="S133" s="3">
        <f>C133 * D133 + (1 - C133) * E133</f>
        <v>0.076</v>
      </c>
      <c r="T133" s="3" t="e">
        <f>IF(R133 &gt; 0, IF(D133 &lt; 0, 1, 0) + IF(E133 &lt; 0, 1, 0), IF(D133 &gt; 0, 1, 0) + IF(E133 &gt; 0, 1, 0))</f>
        <v>#VALUE!</v>
      </c>
      <c r="U133" s="3" t="e">
        <f>T133 / 2</f>
        <v>#VALUE!</v>
      </c>
      <c r="V133" s="3" t="e">
        <f>IF(S133 &gt; 0, R133 &lt; 0, R133 &gt; 0)</f>
        <v>#VALUE!</v>
      </c>
      <c r="W133" s="3" t="e">
        <f>ABS(S133 - R133)</f>
        <v>#VALUE!</v>
      </c>
      <c r="X133" s="3" t="e">
        <f>IF(AND(V133, U133 = 1), "A", IF(AND(V133, U133 &lt; 1), "B", IF(AND(NOT(V133), W133 &gt; 0.01, ABS(R133) &gt; ABS(S133) + 0.001), "C+", IF(AND(NOT(V133), W133 &gt; 0.01, ABS(R133) &lt; ABS(S133) - 0.001), "C-", "D"))))</f>
        <v>#VALUE!</v>
      </c>
    </row>
    <row r="134">
      <c r="A134" s="2" t="s">
        <v>4592</v>
      </c>
      <c r="B134" s="3" t="str">
        <f>A134</f>
        <v>phase-w45-g112-g212-b60</v>
      </c>
      <c r="C134" s="2">
        <v>0.45</v>
      </c>
      <c r="D134" s="2">
        <v>0.12</v>
      </c>
      <c r="E134" s="2">
        <v>0.04</v>
      </c>
      <c r="F134" s="2">
        <v>0.6</v>
      </c>
      <c r="G134" s="3" t="e">
        <f>ROUND(200 * C134)</f>
        <v>#VALUE!</v>
      </c>
      <c r="H134" s="3" t="e">
        <f>ROUND(G134 * (0.5 + F134 / 2))</f>
        <v>#VALUE!</v>
      </c>
      <c r="I134" s="3" t="e">
        <f>G134 - H134</f>
        <v>#VALUE!</v>
      </c>
      <c r="J134" s="3" t="e">
        <f>100 - H134</f>
        <v>#VALUE!</v>
      </c>
      <c r="K134" s="3" t="e">
        <f>100 - I134</f>
        <v>#VALUE!</v>
      </c>
      <c r="L134" s="3">
        <f>0.45 + D134 / 2</f>
        <v>0.51</v>
      </c>
      <c r="M134" s="3">
        <f>0.45 - D134 / 2</f>
        <v>0.39</v>
      </c>
      <c r="N134" s="3">
        <f>0.75 + E134 / 2</f>
        <v>0.77</v>
      </c>
      <c r="O134" s="3">
        <f>0.75 - E134 / 2</f>
        <v>0.73</v>
      </c>
      <c r="P134" s="3" t="e">
        <f>(H134 * L134 + J134 * N134) / 100</f>
        <v>#VALUE!</v>
      </c>
      <c r="Q134" s="3" t="e">
        <f>(I134 * M134 + K134 * O134) / 100</f>
        <v>#VALUE!</v>
      </c>
      <c r="R134" s="3" t="e">
        <f>P134 - Q134</f>
        <v>#VALUE!</v>
      </c>
      <c r="S134" s="3">
        <f>C134 * D134 + (1 - C134) * E134</f>
        <v>0.076</v>
      </c>
      <c r="T134" s="3" t="e">
        <f>IF(R134 &gt; 0, IF(D134 &lt; 0, 1, 0) + IF(E134 &lt; 0, 1, 0), IF(D134 &gt; 0, 1, 0) + IF(E134 &gt; 0, 1, 0))</f>
        <v>#VALUE!</v>
      </c>
      <c r="U134" s="3" t="e">
        <f>T134 / 2</f>
        <v>#VALUE!</v>
      </c>
      <c r="V134" s="3" t="e">
        <f>IF(S134 &gt; 0, R134 &lt; 0, R134 &gt; 0)</f>
        <v>#VALUE!</v>
      </c>
      <c r="W134" s="3" t="e">
        <f>ABS(S134 - R134)</f>
        <v>#VALUE!</v>
      </c>
      <c r="X134" s="3" t="e">
        <f>IF(AND(V134, U134 = 1), "A", IF(AND(V134, U134 &lt; 1), "B", IF(AND(NOT(V134), W134 &gt; 0.01, ABS(R134) &gt; ABS(S134) + 0.001), "C+", IF(AND(NOT(V134), W134 &gt; 0.01, ABS(R134) &lt; ABS(S134) - 0.001), "C-", "D"))))</f>
        <v>#VALUE!</v>
      </c>
    </row>
    <row r="135">
      <c r="A135" s="2" t="s">
        <v>4593</v>
      </c>
      <c r="B135" s="3" t="str">
        <f>A135</f>
        <v>phase-w45-g112-g212-b80</v>
      </c>
      <c r="C135" s="2">
        <v>0.45</v>
      </c>
      <c r="D135" s="2">
        <v>0.12</v>
      </c>
      <c r="E135" s="2">
        <v>0.04</v>
      </c>
      <c r="F135" s="2">
        <v>0.8</v>
      </c>
      <c r="G135" s="3" t="e">
        <f>ROUND(200 * C135)</f>
        <v>#VALUE!</v>
      </c>
      <c r="H135" s="3" t="e">
        <f>ROUND(G135 * (0.5 + F135 / 2))</f>
        <v>#VALUE!</v>
      </c>
      <c r="I135" s="3" t="e">
        <f>G135 - H135</f>
        <v>#VALUE!</v>
      </c>
      <c r="J135" s="3" t="e">
        <f>100 - H135</f>
        <v>#VALUE!</v>
      </c>
      <c r="K135" s="3" t="e">
        <f>100 - I135</f>
        <v>#VALUE!</v>
      </c>
      <c r="L135" s="3">
        <f>0.45 + D135 / 2</f>
        <v>0.51</v>
      </c>
      <c r="M135" s="3">
        <f>0.45 - D135 / 2</f>
        <v>0.39</v>
      </c>
      <c r="N135" s="3">
        <f>0.75 + E135 / 2</f>
        <v>0.77</v>
      </c>
      <c r="O135" s="3">
        <f>0.75 - E135 / 2</f>
        <v>0.73</v>
      </c>
      <c r="P135" s="3" t="e">
        <f>(H135 * L135 + J135 * N135) / 100</f>
        <v>#VALUE!</v>
      </c>
      <c r="Q135" s="3" t="e">
        <f>(I135 * M135 + K135 * O135) / 100</f>
        <v>#VALUE!</v>
      </c>
      <c r="R135" s="3" t="e">
        <f>P135 - Q135</f>
        <v>#VALUE!</v>
      </c>
      <c r="S135" s="3">
        <f>C135 * D135 + (1 - C135) * E135</f>
        <v>0.076</v>
      </c>
      <c r="T135" s="3" t="e">
        <f>IF(R135 &gt; 0, IF(D135 &lt; 0, 1, 0) + IF(E135 &lt; 0, 1, 0), IF(D135 &gt; 0, 1, 0) + IF(E135 &gt; 0, 1, 0))</f>
        <v>#VALUE!</v>
      </c>
      <c r="U135" s="3" t="e">
        <f>T135 / 2</f>
        <v>#VALUE!</v>
      </c>
      <c r="V135" s="3" t="e">
        <f>IF(S135 &gt; 0, R135 &lt; 0, R135 &gt; 0)</f>
        <v>#VALUE!</v>
      </c>
      <c r="W135" s="3" t="e">
        <f>ABS(S135 - R135)</f>
        <v>#VALUE!</v>
      </c>
      <c r="X135" s="3" t="e">
        <f>IF(AND(V135, U135 = 1), "A", IF(AND(V135, U135 &lt; 1), "B", IF(AND(NOT(V135), W135 &gt; 0.01, ABS(R135) &gt; ABS(S135) + 0.001), "C+", IF(AND(NOT(V135), W135 &gt; 0.01, ABS(R135) &lt; ABS(S135) - 0.001), "C-", "D"))))</f>
        <v>#VALUE!</v>
      </c>
    </row>
    <row r="136">
      <c r="A136" s="2" t="s">
        <v>4594</v>
      </c>
      <c r="B136" s="3" t="str">
        <f>A136</f>
        <v>phase-w45-g112-g212-b95</v>
      </c>
      <c r="C136" s="2">
        <v>0.45</v>
      </c>
      <c r="D136" s="2">
        <v>0.12</v>
      </c>
      <c r="E136" s="2">
        <v>0.04</v>
      </c>
      <c r="F136" s="2">
        <v>0.95</v>
      </c>
      <c r="G136" s="3" t="e">
        <f>ROUND(200 * C136)</f>
        <v>#VALUE!</v>
      </c>
      <c r="H136" s="3" t="e">
        <f>ROUND(G136 * (0.5 + F136 / 2))</f>
        <v>#VALUE!</v>
      </c>
      <c r="I136" s="3" t="e">
        <f>G136 - H136</f>
        <v>#VALUE!</v>
      </c>
      <c r="J136" s="3" t="e">
        <f>100 - H136</f>
        <v>#VALUE!</v>
      </c>
      <c r="K136" s="3" t="e">
        <f>100 - I136</f>
        <v>#VALUE!</v>
      </c>
      <c r="L136" s="3">
        <f>0.45 + D136 / 2</f>
        <v>0.51</v>
      </c>
      <c r="M136" s="3">
        <f>0.45 - D136 / 2</f>
        <v>0.39</v>
      </c>
      <c r="N136" s="3">
        <f>0.75 + E136 / 2</f>
        <v>0.77</v>
      </c>
      <c r="O136" s="3">
        <f>0.75 - E136 / 2</f>
        <v>0.73</v>
      </c>
      <c r="P136" s="3" t="e">
        <f>(H136 * L136 + J136 * N136) / 100</f>
        <v>#VALUE!</v>
      </c>
      <c r="Q136" s="3" t="e">
        <f>(I136 * M136 + K136 * O136) / 100</f>
        <v>#VALUE!</v>
      </c>
      <c r="R136" s="3" t="e">
        <f>P136 - Q136</f>
        <v>#VALUE!</v>
      </c>
      <c r="S136" s="3">
        <f>C136 * D136 + (1 - C136) * E136</f>
        <v>0.076</v>
      </c>
      <c r="T136" s="3" t="e">
        <f>IF(R136 &gt; 0, IF(D136 &lt; 0, 1, 0) + IF(E136 &lt; 0, 1, 0), IF(D136 &gt; 0, 1, 0) + IF(E136 &gt; 0, 1, 0))</f>
        <v>#VALUE!</v>
      </c>
      <c r="U136" s="3" t="e">
        <f>T136 / 2</f>
        <v>#VALUE!</v>
      </c>
      <c r="V136" s="3" t="e">
        <f>IF(S136 &gt; 0, R136 &lt; 0, R136 &gt; 0)</f>
        <v>#VALUE!</v>
      </c>
      <c r="W136" s="3" t="e">
        <f>ABS(S136 - R136)</f>
        <v>#VALUE!</v>
      </c>
      <c r="X136" s="3" t="e">
        <f>IF(AND(V136, U136 = 1), "A", IF(AND(V136, U136 &lt; 1), "B", IF(AND(NOT(V136), W136 &gt; 0.01, ABS(R136) &gt; ABS(S136) + 0.001), "C+", IF(AND(NOT(V136), W136 &gt; 0.01, ABS(R136) &lt; ABS(S136) - 0.001), "C-", "D"))))</f>
        <v>#VALUE!</v>
      </c>
    </row>
    <row r="137">
      <c r="A137" s="2" t="s">
        <v>4595</v>
      </c>
      <c r="B137" s="3" t="str">
        <f>A137</f>
        <v>phase-w45-g112-g216-b00</v>
      </c>
      <c r="C137" s="2">
        <v>0.45</v>
      </c>
      <c r="D137" s="2">
        <v>0.12</v>
      </c>
      <c r="E137" s="2">
        <v>0.08</v>
      </c>
      <c r="F137" s="2">
        <v>0</v>
      </c>
      <c r="G137" s="3" t="e">
        <f>ROUND(200 * C137)</f>
        <v>#VALUE!</v>
      </c>
      <c r="H137" s="3" t="e">
        <f>ROUND(G137 * (0.5 + F137 / 2))</f>
        <v>#VALUE!</v>
      </c>
      <c r="I137" s="3" t="e">
        <f>G137 - H137</f>
        <v>#VALUE!</v>
      </c>
      <c r="J137" s="3" t="e">
        <f>100 - H137</f>
        <v>#VALUE!</v>
      </c>
      <c r="K137" s="3" t="e">
        <f>100 - I137</f>
        <v>#VALUE!</v>
      </c>
      <c r="L137" s="3">
        <f>0.45 + D137 / 2</f>
        <v>0.51</v>
      </c>
      <c r="M137" s="3">
        <f>0.45 - D137 / 2</f>
        <v>0.39</v>
      </c>
      <c r="N137" s="3">
        <f>0.75 + E137 / 2</f>
        <v>0.79</v>
      </c>
      <c r="O137" s="3">
        <f>0.75 - E137 / 2</f>
        <v>0.71</v>
      </c>
      <c r="P137" s="3" t="e">
        <f>(H137 * L137 + J137 * N137) / 100</f>
        <v>#VALUE!</v>
      </c>
      <c r="Q137" s="3" t="e">
        <f>(I137 * M137 + K137 * O137) / 100</f>
        <v>#VALUE!</v>
      </c>
      <c r="R137" s="3" t="e">
        <f>P137 - Q137</f>
        <v>#VALUE!</v>
      </c>
      <c r="S137" s="3">
        <f>C137 * D137 + (1 - C137) * E137</f>
        <v>0.098</v>
      </c>
      <c r="T137" s="3" t="e">
        <f>IF(R137 &gt; 0, IF(D137 &lt; 0, 1, 0) + IF(E137 &lt; 0, 1, 0), IF(D137 &gt; 0, 1, 0) + IF(E137 &gt; 0, 1, 0))</f>
        <v>#VALUE!</v>
      </c>
      <c r="U137" s="3" t="e">
        <f>T137 / 2</f>
        <v>#VALUE!</v>
      </c>
      <c r="V137" s="3" t="e">
        <f>IF(S137 &gt; 0, R137 &lt; 0, R137 &gt; 0)</f>
        <v>#VALUE!</v>
      </c>
      <c r="W137" s="3" t="e">
        <f>ABS(S137 - R137)</f>
        <v>#VALUE!</v>
      </c>
      <c r="X137" s="3" t="e">
        <f>IF(AND(V137, U137 = 1), "A", IF(AND(V137, U137 &lt; 1), "B", IF(AND(NOT(V137), W137 &gt; 0.01, ABS(R137) &gt; ABS(S137) + 0.001), "C+", IF(AND(NOT(V137), W137 &gt; 0.01, ABS(R137) &lt; ABS(S137) - 0.001), "C-", "D"))))</f>
        <v>#VALUE!</v>
      </c>
    </row>
    <row r="138">
      <c r="A138" s="2" t="s">
        <v>4596</v>
      </c>
      <c r="B138" s="3" t="str">
        <f>A138</f>
        <v>phase-w45-g112-g216-b30</v>
      </c>
      <c r="C138" s="2">
        <v>0.45</v>
      </c>
      <c r="D138" s="2">
        <v>0.12</v>
      </c>
      <c r="E138" s="2">
        <v>0.08</v>
      </c>
      <c r="F138" s="2">
        <v>0.3</v>
      </c>
      <c r="G138" s="3" t="e">
        <f>ROUND(200 * C138)</f>
        <v>#VALUE!</v>
      </c>
      <c r="H138" s="3" t="e">
        <f>ROUND(G138 * (0.5 + F138 / 2))</f>
        <v>#VALUE!</v>
      </c>
      <c r="I138" s="3" t="e">
        <f>G138 - H138</f>
        <v>#VALUE!</v>
      </c>
      <c r="J138" s="3" t="e">
        <f>100 - H138</f>
        <v>#VALUE!</v>
      </c>
      <c r="K138" s="3" t="e">
        <f>100 - I138</f>
        <v>#VALUE!</v>
      </c>
      <c r="L138" s="3">
        <f>0.45 + D138 / 2</f>
        <v>0.51</v>
      </c>
      <c r="M138" s="3">
        <f>0.45 - D138 / 2</f>
        <v>0.39</v>
      </c>
      <c r="N138" s="3">
        <f>0.75 + E138 / 2</f>
        <v>0.79</v>
      </c>
      <c r="O138" s="3">
        <f>0.75 - E138 / 2</f>
        <v>0.71</v>
      </c>
      <c r="P138" s="3" t="e">
        <f>(H138 * L138 + J138 * N138) / 100</f>
        <v>#VALUE!</v>
      </c>
      <c r="Q138" s="3" t="e">
        <f>(I138 * M138 + K138 * O138) / 100</f>
        <v>#VALUE!</v>
      </c>
      <c r="R138" s="3" t="e">
        <f>P138 - Q138</f>
        <v>#VALUE!</v>
      </c>
      <c r="S138" s="3">
        <f>C138 * D138 + (1 - C138) * E138</f>
        <v>0.098</v>
      </c>
      <c r="T138" s="3" t="e">
        <f>IF(R138 &gt; 0, IF(D138 &lt; 0, 1, 0) + IF(E138 &lt; 0, 1, 0), IF(D138 &gt; 0, 1, 0) + IF(E138 &gt; 0, 1, 0))</f>
        <v>#VALUE!</v>
      </c>
      <c r="U138" s="3" t="e">
        <f>T138 / 2</f>
        <v>#VALUE!</v>
      </c>
      <c r="V138" s="3" t="e">
        <f>IF(S138 &gt; 0, R138 &lt; 0, R138 &gt; 0)</f>
        <v>#VALUE!</v>
      </c>
      <c r="W138" s="3" t="e">
        <f>ABS(S138 - R138)</f>
        <v>#VALUE!</v>
      </c>
      <c r="X138" s="3" t="e">
        <f>IF(AND(V138, U138 = 1), "A", IF(AND(V138, U138 &lt; 1), "B", IF(AND(NOT(V138), W138 &gt; 0.01, ABS(R138) &gt; ABS(S138) + 0.001), "C+", IF(AND(NOT(V138), W138 &gt; 0.01, ABS(R138) &lt; ABS(S138) - 0.001), "C-", "D"))))</f>
        <v>#VALUE!</v>
      </c>
    </row>
    <row r="139">
      <c r="A139" s="2" t="s">
        <v>4597</v>
      </c>
      <c r="B139" s="3" t="str">
        <f>A139</f>
        <v>phase-w45-g112-g216-b60</v>
      </c>
      <c r="C139" s="2">
        <v>0.45</v>
      </c>
      <c r="D139" s="2">
        <v>0.12</v>
      </c>
      <c r="E139" s="2">
        <v>0.08</v>
      </c>
      <c r="F139" s="2">
        <v>0.6</v>
      </c>
      <c r="G139" s="3" t="e">
        <f>ROUND(200 * C139)</f>
        <v>#VALUE!</v>
      </c>
      <c r="H139" s="3" t="e">
        <f>ROUND(G139 * (0.5 + F139 / 2))</f>
        <v>#VALUE!</v>
      </c>
      <c r="I139" s="3" t="e">
        <f>G139 - H139</f>
        <v>#VALUE!</v>
      </c>
      <c r="J139" s="3" t="e">
        <f>100 - H139</f>
        <v>#VALUE!</v>
      </c>
      <c r="K139" s="3" t="e">
        <f>100 - I139</f>
        <v>#VALUE!</v>
      </c>
      <c r="L139" s="3">
        <f>0.45 + D139 / 2</f>
        <v>0.51</v>
      </c>
      <c r="M139" s="3">
        <f>0.45 - D139 / 2</f>
        <v>0.39</v>
      </c>
      <c r="N139" s="3">
        <f>0.75 + E139 / 2</f>
        <v>0.79</v>
      </c>
      <c r="O139" s="3">
        <f>0.75 - E139 / 2</f>
        <v>0.71</v>
      </c>
      <c r="P139" s="3" t="e">
        <f>(H139 * L139 + J139 * N139) / 100</f>
        <v>#VALUE!</v>
      </c>
      <c r="Q139" s="3" t="e">
        <f>(I139 * M139 + K139 * O139) / 100</f>
        <v>#VALUE!</v>
      </c>
      <c r="R139" s="3" t="e">
        <f>P139 - Q139</f>
        <v>#VALUE!</v>
      </c>
      <c r="S139" s="3">
        <f>C139 * D139 + (1 - C139) * E139</f>
        <v>0.098</v>
      </c>
      <c r="T139" s="3" t="e">
        <f>IF(R139 &gt; 0, IF(D139 &lt; 0, 1, 0) + IF(E139 &lt; 0, 1, 0), IF(D139 &gt; 0, 1, 0) + IF(E139 &gt; 0, 1, 0))</f>
        <v>#VALUE!</v>
      </c>
      <c r="U139" s="3" t="e">
        <f>T139 / 2</f>
        <v>#VALUE!</v>
      </c>
      <c r="V139" s="3" t="e">
        <f>IF(S139 &gt; 0, R139 &lt; 0, R139 &gt; 0)</f>
        <v>#VALUE!</v>
      </c>
      <c r="W139" s="3" t="e">
        <f>ABS(S139 - R139)</f>
        <v>#VALUE!</v>
      </c>
      <c r="X139" s="3" t="e">
        <f>IF(AND(V139, U139 = 1), "A", IF(AND(V139, U139 &lt; 1), "B", IF(AND(NOT(V139), W139 &gt; 0.01, ABS(R139) &gt; ABS(S139) + 0.001), "C+", IF(AND(NOT(V139), W139 &gt; 0.01, ABS(R139) &lt; ABS(S139) - 0.001), "C-", "D"))))</f>
        <v>#VALUE!</v>
      </c>
    </row>
    <row r="140">
      <c r="A140" s="2" t="s">
        <v>4598</v>
      </c>
      <c r="B140" s="3" t="str">
        <f>A140</f>
        <v>phase-w45-g112-g216-b80</v>
      </c>
      <c r="C140" s="2">
        <v>0.45</v>
      </c>
      <c r="D140" s="2">
        <v>0.12</v>
      </c>
      <c r="E140" s="2">
        <v>0.08</v>
      </c>
      <c r="F140" s="2">
        <v>0.8</v>
      </c>
      <c r="G140" s="3" t="e">
        <f>ROUND(200 * C140)</f>
        <v>#VALUE!</v>
      </c>
      <c r="H140" s="3" t="e">
        <f>ROUND(G140 * (0.5 + F140 / 2))</f>
        <v>#VALUE!</v>
      </c>
      <c r="I140" s="3" t="e">
        <f>G140 - H140</f>
        <v>#VALUE!</v>
      </c>
      <c r="J140" s="3" t="e">
        <f>100 - H140</f>
        <v>#VALUE!</v>
      </c>
      <c r="K140" s="3" t="e">
        <f>100 - I140</f>
        <v>#VALUE!</v>
      </c>
      <c r="L140" s="3">
        <f>0.45 + D140 / 2</f>
        <v>0.51</v>
      </c>
      <c r="M140" s="3">
        <f>0.45 - D140 / 2</f>
        <v>0.39</v>
      </c>
      <c r="N140" s="3">
        <f>0.75 + E140 / 2</f>
        <v>0.79</v>
      </c>
      <c r="O140" s="3">
        <f>0.75 - E140 / 2</f>
        <v>0.71</v>
      </c>
      <c r="P140" s="3" t="e">
        <f>(H140 * L140 + J140 * N140) / 100</f>
        <v>#VALUE!</v>
      </c>
      <c r="Q140" s="3" t="e">
        <f>(I140 * M140 + K140 * O140) / 100</f>
        <v>#VALUE!</v>
      </c>
      <c r="R140" s="3" t="e">
        <f>P140 - Q140</f>
        <v>#VALUE!</v>
      </c>
      <c r="S140" s="3">
        <f>C140 * D140 + (1 - C140) * E140</f>
        <v>0.098</v>
      </c>
      <c r="T140" s="3" t="e">
        <f>IF(R140 &gt; 0, IF(D140 &lt; 0, 1, 0) + IF(E140 &lt; 0, 1, 0), IF(D140 &gt; 0, 1, 0) + IF(E140 &gt; 0, 1, 0))</f>
        <v>#VALUE!</v>
      </c>
      <c r="U140" s="3" t="e">
        <f>T140 / 2</f>
        <v>#VALUE!</v>
      </c>
      <c r="V140" s="3" t="e">
        <f>IF(S140 &gt; 0, R140 &lt; 0, R140 &gt; 0)</f>
        <v>#VALUE!</v>
      </c>
      <c r="W140" s="3" t="e">
        <f>ABS(S140 - R140)</f>
        <v>#VALUE!</v>
      </c>
      <c r="X140" s="3" t="e">
        <f>IF(AND(V140, U140 = 1), "A", IF(AND(V140, U140 &lt; 1), "B", IF(AND(NOT(V140), W140 &gt; 0.01, ABS(R140) &gt; ABS(S140) + 0.001), "C+", IF(AND(NOT(V140), W140 &gt; 0.01, ABS(R140) &lt; ABS(S140) - 0.001), "C-", "D"))))</f>
        <v>#VALUE!</v>
      </c>
    </row>
    <row r="141">
      <c r="A141" s="2" t="s">
        <v>4599</v>
      </c>
      <c r="B141" s="3" t="str">
        <f>A141</f>
        <v>phase-w45-g112-g216-b95</v>
      </c>
      <c r="C141" s="2">
        <v>0.45</v>
      </c>
      <c r="D141" s="2">
        <v>0.12</v>
      </c>
      <c r="E141" s="2">
        <v>0.08</v>
      </c>
      <c r="F141" s="2">
        <v>0.95</v>
      </c>
      <c r="G141" s="3" t="e">
        <f>ROUND(200 * C141)</f>
        <v>#VALUE!</v>
      </c>
      <c r="H141" s="3" t="e">
        <f>ROUND(G141 * (0.5 + F141 / 2))</f>
        <v>#VALUE!</v>
      </c>
      <c r="I141" s="3" t="e">
        <f>G141 - H141</f>
        <v>#VALUE!</v>
      </c>
      <c r="J141" s="3" t="e">
        <f>100 - H141</f>
        <v>#VALUE!</v>
      </c>
      <c r="K141" s="3" t="e">
        <f>100 - I141</f>
        <v>#VALUE!</v>
      </c>
      <c r="L141" s="3">
        <f>0.45 + D141 / 2</f>
        <v>0.51</v>
      </c>
      <c r="M141" s="3">
        <f>0.45 - D141 / 2</f>
        <v>0.39</v>
      </c>
      <c r="N141" s="3">
        <f>0.75 + E141 / 2</f>
        <v>0.79</v>
      </c>
      <c r="O141" s="3">
        <f>0.75 - E141 / 2</f>
        <v>0.71</v>
      </c>
      <c r="P141" s="3" t="e">
        <f>(H141 * L141 + J141 * N141) / 100</f>
        <v>#VALUE!</v>
      </c>
      <c r="Q141" s="3" t="e">
        <f>(I141 * M141 + K141 * O141) / 100</f>
        <v>#VALUE!</v>
      </c>
      <c r="R141" s="3" t="e">
        <f>P141 - Q141</f>
        <v>#VALUE!</v>
      </c>
      <c r="S141" s="3">
        <f>C141 * D141 + (1 - C141) * E141</f>
        <v>0.098</v>
      </c>
      <c r="T141" s="3" t="e">
        <f>IF(R141 &gt; 0, IF(D141 &lt; 0, 1, 0) + IF(E141 &lt; 0, 1, 0), IF(D141 &gt; 0, 1, 0) + IF(E141 &gt; 0, 1, 0))</f>
        <v>#VALUE!</v>
      </c>
      <c r="U141" s="3" t="e">
        <f>T141 / 2</f>
        <v>#VALUE!</v>
      </c>
      <c r="V141" s="3" t="e">
        <f>IF(S141 &gt; 0, R141 &lt; 0, R141 &gt; 0)</f>
        <v>#VALUE!</v>
      </c>
      <c r="W141" s="3" t="e">
        <f>ABS(S141 - R141)</f>
        <v>#VALUE!</v>
      </c>
      <c r="X141" s="3" t="e">
        <f>IF(AND(V141, U141 = 1), "A", IF(AND(V141, U141 &lt; 1), "B", IF(AND(NOT(V141), W141 &gt; 0.01, ABS(R141) &gt; ABS(S141) + 0.001), "C+", IF(AND(NOT(V141), W141 &gt; 0.01, ABS(R141) &lt; ABS(S141) - 0.001), "C-", "D"))))</f>
        <v>#VALUE!</v>
      </c>
    </row>
    <row r="142">
      <c r="A142" s="2" t="s">
        <v>4600</v>
      </c>
      <c r="B142" s="3" t="str">
        <f>A142</f>
        <v>phase-w45-g116-g200-b00</v>
      </c>
      <c r="C142" s="2">
        <v>0.45</v>
      </c>
      <c r="D142" s="2">
        <v>0.16</v>
      </c>
      <c r="E142" s="2">
        <v>-0.08</v>
      </c>
      <c r="F142" s="2">
        <v>0</v>
      </c>
      <c r="G142" s="3" t="e">
        <f>ROUND(200 * C142)</f>
        <v>#VALUE!</v>
      </c>
      <c r="H142" s="3" t="e">
        <f>ROUND(G142 * (0.5 + F142 / 2))</f>
        <v>#VALUE!</v>
      </c>
      <c r="I142" s="3" t="e">
        <f>G142 - H142</f>
        <v>#VALUE!</v>
      </c>
      <c r="J142" s="3" t="e">
        <f>100 - H142</f>
        <v>#VALUE!</v>
      </c>
      <c r="K142" s="3" t="e">
        <f>100 - I142</f>
        <v>#VALUE!</v>
      </c>
      <c r="L142" s="3">
        <f>0.45 + D142 / 2</f>
        <v>0.53</v>
      </c>
      <c r="M142" s="3">
        <f>0.45 - D142 / 2</f>
        <v>0.37</v>
      </c>
      <c r="N142" s="3">
        <f>0.75 + E142 / 2</f>
        <v>0.71</v>
      </c>
      <c r="O142" s="3">
        <f>0.75 - E142 / 2</f>
        <v>0.79</v>
      </c>
      <c r="P142" s="3" t="e">
        <f>(H142 * L142 + J142 * N142) / 100</f>
        <v>#VALUE!</v>
      </c>
      <c r="Q142" s="3" t="e">
        <f>(I142 * M142 + K142 * O142) / 100</f>
        <v>#VALUE!</v>
      </c>
      <c r="R142" s="3" t="e">
        <f>P142 - Q142</f>
        <v>#VALUE!</v>
      </c>
      <c r="S142" s="3">
        <f>C142 * D142 + (1 - C142) * E142</f>
        <v>0.028000000000000004</v>
      </c>
      <c r="T142" s="3" t="e">
        <f>IF(R142 &gt; 0, IF(D142 &lt; 0, 1, 0) + IF(E142 &lt; 0, 1, 0), IF(D142 &gt; 0, 1, 0) + IF(E142 &gt; 0, 1, 0))</f>
        <v>#VALUE!</v>
      </c>
      <c r="U142" s="3" t="e">
        <f>T142 / 2</f>
        <v>#VALUE!</v>
      </c>
      <c r="V142" s="3" t="e">
        <f>IF(S142 &gt; 0, R142 &lt; 0, R142 &gt; 0)</f>
        <v>#VALUE!</v>
      </c>
      <c r="W142" s="3" t="e">
        <f>ABS(S142 - R142)</f>
        <v>#VALUE!</v>
      </c>
      <c r="X142" s="3" t="e">
        <f>IF(AND(V142, U142 = 1), "A", IF(AND(V142, U142 &lt; 1), "B", IF(AND(NOT(V142), W142 &gt; 0.01, ABS(R142) &gt; ABS(S142) + 0.001), "C+", IF(AND(NOT(V142), W142 &gt; 0.01, ABS(R142) &lt; ABS(S142) - 0.001), "C-", "D"))))</f>
        <v>#VALUE!</v>
      </c>
    </row>
    <row r="143">
      <c r="A143" s="2" t="s">
        <v>4601</v>
      </c>
      <c r="B143" s="3" t="str">
        <f>A143</f>
        <v>phase-w45-g116-g200-b30</v>
      </c>
      <c r="C143" s="2">
        <v>0.45</v>
      </c>
      <c r="D143" s="2">
        <v>0.16</v>
      </c>
      <c r="E143" s="2">
        <v>-0.08</v>
      </c>
      <c r="F143" s="2">
        <v>0.3</v>
      </c>
      <c r="G143" s="3" t="e">
        <f>ROUND(200 * C143)</f>
        <v>#VALUE!</v>
      </c>
      <c r="H143" s="3" t="e">
        <f>ROUND(G143 * (0.5 + F143 / 2))</f>
        <v>#VALUE!</v>
      </c>
      <c r="I143" s="3" t="e">
        <f>G143 - H143</f>
        <v>#VALUE!</v>
      </c>
      <c r="J143" s="3" t="e">
        <f>100 - H143</f>
        <v>#VALUE!</v>
      </c>
      <c r="K143" s="3" t="e">
        <f>100 - I143</f>
        <v>#VALUE!</v>
      </c>
      <c r="L143" s="3">
        <f>0.45 + D143 / 2</f>
        <v>0.53</v>
      </c>
      <c r="M143" s="3">
        <f>0.45 - D143 / 2</f>
        <v>0.37</v>
      </c>
      <c r="N143" s="3">
        <f>0.75 + E143 / 2</f>
        <v>0.71</v>
      </c>
      <c r="O143" s="3">
        <f>0.75 - E143 / 2</f>
        <v>0.79</v>
      </c>
      <c r="P143" s="3" t="e">
        <f>(H143 * L143 + J143 * N143) / 100</f>
        <v>#VALUE!</v>
      </c>
      <c r="Q143" s="3" t="e">
        <f>(I143 * M143 + K143 * O143) / 100</f>
        <v>#VALUE!</v>
      </c>
      <c r="R143" s="3" t="e">
        <f>P143 - Q143</f>
        <v>#VALUE!</v>
      </c>
      <c r="S143" s="3">
        <f>C143 * D143 + (1 - C143) * E143</f>
        <v>0.028000000000000004</v>
      </c>
      <c r="T143" s="3" t="e">
        <f>IF(R143 &gt; 0, IF(D143 &lt; 0, 1, 0) + IF(E143 &lt; 0, 1, 0), IF(D143 &gt; 0, 1, 0) + IF(E143 &gt; 0, 1, 0))</f>
        <v>#VALUE!</v>
      </c>
      <c r="U143" s="3" t="e">
        <f>T143 / 2</f>
        <v>#VALUE!</v>
      </c>
      <c r="V143" s="3" t="e">
        <f>IF(S143 &gt; 0, R143 &lt; 0, R143 &gt; 0)</f>
        <v>#VALUE!</v>
      </c>
      <c r="W143" s="3" t="e">
        <f>ABS(S143 - R143)</f>
        <v>#VALUE!</v>
      </c>
      <c r="X143" s="3" t="e">
        <f>IF(AND(V143, U143 = 1), "A", IF(AND(V143, U143 &lt; 1), "B", IF(AND(NOT(V143), W143 &gt; 0.01, ABS(R143) &gt; ABS(S143) + 0.001), "C+", IF(AND(NOT(V143), W143 &gt; 0.01, ABS(R143) &lt; ABS(S143) - 0.001), "C-", "D"))))</f>
        <v>#VALUE!</v>
      </c>
    </row>
    <row r="144">
      <c r="A144" s="2" t="s">
        <v>4602</v>
      </c>
      <c r="B144" s="3" t="str">
        <f>A144</f>
        <v>phase-w45-g116-g200-b60</v>
      </c>
      <c r="C144" s="2">
        <v>0.45</v>
      </c>
      <c r="D144" s="2">
        <v>0.16</v>
      </c>
      <c r="E144" s="2">
        <v>-0.08</v>
      </c>
      <c r="F144" s="2">
        <v>0.6</v>
      </c>
      <c r="G144" s="3" t="e">
        <f>ROUND(200 * C144)</f>
        <v>#VALUE!</v>
      </c>
      <c r="H144" s="3" t="e">
        <f>ROUND(G144 * (0.5 + F144 / 2))</f>
        <v>#VALUE!</v>
      </c>
      <c r="I144" s="3" t="e">
        <f>G144 - H144</f>
        <v>#VALUE!</v>
      </c>
      <c r="J144" s="3" t="e">
        <f>100 - H144</f>
        <v>#VALUE!</v>
      </c>
      <c r="K144" s="3" t="e">
        <f>100 - I144</f>
        <v>#VALUE!</v>
      </c>
      <c r="L144" s="3">
        <f>0.45 + D144 / 2</f>
        <v>0.53</v>
      </c>
      <c r="M144" s="3">
        <f>0.45 - D144 / 2</f>
        <v>0.37</v>
      </c>
      <c r="N144" s="3">
        <f>0.75 + E144 / 2</f>
        <v>0.71</v>
      </c>
      <c r="O144" s="3">
        <f>0.75 - E144 / 2</f>
        <v>0.79</v>
      </c>
      <c r="P144" s="3" t="e">
        <f>(H144 * L144 + J144 * N144) / 100</f>
        <v>#VALUE!</v>
      </c>
      <c r="Q144" s="3" t="e">
        <f>(I144 * M144 + K144 * O144) / 100</f>
        <v>#VALUE!</v>
      </c>
      <c r="R144" s="3" t="e">
        <f>P144 - Q144</f>
        <v>#VALUE!</v>
      </c>
      <c r="S144" s="3">
        <f>C144 * D144 + (1 - C144) * E144</f>
        <v>0.028000000000000004</v>
      </c>
      <c r="T144" s="3" t="e">
        <f>IF(R144 &gt; 0, IF(D144 &lt; 0, 1, 0) + IF(E144 &lt; 0, 1, 0), IF(D144 &gt; 0, 1, 0) + IF(E144 &gt; 0, 1, 0))</f>
        <v>#VALUE!</v>
      </c>
      <c r="U144" s="3" t="e">
        <f>T144 / 2</f>
        <v>#VALUE!</v>
      </c>
      <c r="V144" s="3" t="e">
        <f>IF(S144 &gt; 0, R144 &lt; 0, R144 &gt; 0)</f>
        <v>#VALUE!</v>
      </c>
      <c r="W144" s="3" t="e">
        <f>ABS(S144 - R144)</f>
        <v>#VALUE!</v>
      </c>
      <c r="X144" s="3" t="e">
        <f>IF(AND(V144, U144 = 1), "A", IF(AND(V144, U144 &lt; 1), "B", IF(AND(NOT(V144), W144 &gt; 0.01, ABS(R144) &gt; ABS(S144) + 0.001), "C+", IF(AND(NOT(V144), W144 &gt; 0.01, ABS(R144) &lt; ABS(S144) - 0.001), "C-", "D"))))</f>
        <v>#VALUE!</v>
      </c>
    </row>
    <row r="145">
      <c r="A145" s="2" t="s">
        <v>4603</v>
      </c>
      <c r="B145" s="3" t="str">
        <f>A145</f>
        <v>phase-w45-g116-g200-b80</v>
      </c>
      <c r="C145" s="2">
        <v>0.45</v>
      </c>
      <c r="D145" s="2">
        <v>0.16</v>
      </c>
      <c r="E145" s="2">
        <v>-0.08</v>
      </c>
      <c r="F145" s="2">
        <v>0.8</v>
      </c>
      <c r="G145" s="3" t="e">
        <f>ROUND(200 * C145)</f>
        <v>#VALUE!</v>
      </c>
      <c r="H145" s="3" t="e">
        <f>ROUND(G145 * (0.5 + F145 / 2))</f>
        <v>#VALUE!</v>
      </c>
      <c r="I145" s="3" t="e">
        <f>G145 - H145</f>
        <v>#VALUE!</v>
      </c>
      <c r="J145" s="3" t="e">
        <f>100 - H145</f>
        <v>#VALUE!</v>
      </c>
      <c r="K145" s="3" t="e">
        <f>100 - I145</f>
        <v>#VALUE!</v>
      </c>
      <c r="L145" s="3">
        <f>0.45 + D145 / 2</f>
        <v>0.53</v>
      </c>
      <c r="M145" s="3">
        <f>0.45 - D145 / 2</f>
        <v>0.37</v>
      </c>
      <c r="N145" s="3">
        <f>0.75 + E145 / 2</f>
        <v>0.71</v>
      </c>
      <c r="O145" s="3">
        <f>0.75 - E145 / 2</f>
        <v>0.79</v>
      </c>
      <c r="P145" s="3" t="e">
        <f>(H145 * L145 + J145 * N145) / 100</f>
        <v>#VALUE!</v>
      </c>
      <c r="Q145" s="3" t="e">
        <f>(I145 * M145 + K145 * O145) / 100</f>
        <v>#VALUE!</v>
      </c>
      <c r="R145" s="3" t="e">
        <f>P145 - Q145</f>
        <v>#VALUE!</v>
      </c>
      <c r="S145" s="3">
        <f>C145 * D145 + (1 - C145) * E145</f>
        <v>0.028000000000000004</v>
      </c>
      <c r="T145" s="3" t="e">
        <f>IF(R145 &gt; 0, IF(D145 &lt; 0, 1, 0) + IF(E145 &lt; 0, 1, 0), IF(D145 &gt; 0, 1, 0) + IF(E145 &gt; 0, 1, 0))</f>
        <v>#VALUE!</v>
      </c>
      <c r="U145" s="3" t="e">
        <f>T145 / 2</f>
        <v>#VALUE!</v>
      </c>
      <c r="V145" s="3" t="e">
        <f>IF(S145 &gt; 0, R145 &lt; 0, R145 &gt; 0)</f>
        <v>#VALUE!</v>
      </c>
      <c r="W145" s="3" t="e">
        <f>ABS(S145 - R145)</f>
        <v>#VALUE!</v>
      </c>
      <c r="X145" s="3" t="e">
        <f>IF(AND(V145, U145 = 1), "A", IF(AND(V145, U145 &lt; 1), "B", IF(AND(NOT(V145), W145 &gt; 0.01, ABS(R145) &gt; ABS(S145) + 0.001), "C+", IF(AND(NOT(V145), W145 &gt; 0.01, ABS(R145) &lt; ABS(S145) - 0.001), "C-", "D"))))</f>
        <v>#VALUE!</v>
      </c>
    </row>
    <row r="146">
      <c r="A146" s="2" t="s">
        <v>4604</v>
      </c>
      <c r="B146" s="3" t="str">
        <f>A146</f>
        <v>phase-w45-g116-g200-b95</v>
      </c>
      <c r="C146" s="2">
        <v>0.45</v>
      </c>
      <c r="D146" s="2">
        <v>0.16</v>
      </c>
      <c r="E146" s="2">
        <v>-0.08</v>
      </c>
      <c r="F146" s="2">
        <v>0.95</v>
      </c>
      <c r="G146" s="3" t="e">
        <f>ROUND(200 * C146)</f>
        <v>#VALUE!</v>
      </c>
      <c r="H146" s="3" t="e">
        <f>ROUND(G146 * (0.5 + F146 / 2))</f>
        <v>#VALUE!</v>
      </c>
      <c r="I146" s="3" t="e">
        <f>G146 - H146</f>
        <v>#VALUE!</v>
      </c>
      <c r="J146" s="3" t="e">
        <f>100 - H146</f>
        <v>#VALUE!</v>
      </c>
      <c r="K146" s="3" t="e">
        <f>100 - I146</f>
        <v>#VALUE!</v>
      </c>
      <c r="L146" s="3">
        <f>0.45 + D146 / 2</f>
        <v>0.53</v>
      </c>
      <c r="M146" s="3">
        <f>0.45 - D146 / 2</f>
        <v>0.37</v>
      </c>
      <c r="N146" s="3">
        <f>0.75 + E146 / 2</f>
        <v>0.71</v>
      </c>
      <c r="O146" s="3">
        <f>0.75 - E146 / 2</f>
        <v>0.79</v>
      </c>
      <c r="P146" s="3" t="e">
        <f>(H146 * L146 + J146 * N146) / 100</f>
        <v>#VALUE!</v>
      </c>
      <c r="Q146" s="3" t="e">
        <f>(I146 * M146 + K146 * O146) / 100</f>
        <v>#VALUE!</v>
      </c>
      <c r="R146" s="3" t="e">
        <f>P146 - Q146</f>
        <v>#VALUE!</v>
      </c>
      <c r="S146" s="3">
        <f>C146 * D146 + (1 - C146) * E146</f>
        <v>0.028000000000000004</v>
      </c>
      <c r="T146" s="3" t="e">
        <f>IF(R146 &gt; 0, IF(D146 &lt; 0, 1, 0) + IF(E146 &lt; 0, 1, 0), IF(D146 &gt; 0, 1, 0) + IF(E146 &gt; 0, 1, 0))</f>
        <v>#VALUE!</v>
      </c>
      <c r="U146" s="3" t="e">
        <f>T146 / 2</f>
        <v>#VALUE!</v>
      </c>
      <c r="V146" s="3" t="e">
        <f>IF(S146 &gt; 0, R146 &lt; 0, R146 &gt; 0)</f>
        <v>#VALUE!</v>
      </c>
      <c r="W146" s="3" t="e">
        <f>ABS(S146 - R146)</f>
        <v>#VALUE!</v>
      </c>
      <c r="X146" s="3" t="e">
        <f>IF(AND(V146, U146 = 1), "A", IF(AND(V146, U146 &lt; 1), "B", IF(AND(NOT(V146), W146 &gt; 0.01, ABS(R146) &gt; ABS(S146) + 0.001), "C+", IF(AND(NOT(V146), W146 &gt; 0.01, ABS(R146) &lt; ABS(S146) - 0.001), "C-", "D"))))</f>
        <v>#VALUE!</v>
      </c>
    </row>
    <row r="147">
      <c r="A147" s="2" t="s">
        <v>4605</v>
      </c>
      <c r="B147" s="3" t="str">
        <f>A147</f>
        <v>phase-w45-g116-g208-b00</v>
      </c>
      <c r="C147" s="2">
        <v>0.45</v>
      </c>
      <c r="D147" s="2">
        <v>0.16</v>
      </c>
      <c r="E147" s="2">
        <v>0</v>
      </c>
      <c r="F147" s="2">
        <v>0</v>
      </c>
      <c r="G147" s="3" t="e">
        <f>ROUND(200 * C147)</f>
        <v>#VALUE!</v>
      </c>
      <c r="H147" s="3" t="e">
        <f>ROUND(G147 * (0.5 + F147 / 2))</f>
        <v>#VALUE!</v>
      </c>
      <c r="I147" s="3" t="e">
        <f>G147 - H147</f>
        <v>#VALUE!</v>
      </c>
      <c r="J147" s="3" t="e">
        <f>100 - H147</f>
        <v>#VALUE!</v>
      </c>
      <c r="K147" s="3" t="e">
        <f>100 - I147</f>
        <v>#VALUE!</v>
      </c>
      <c r="L147" s="3">
        <f>0.45 + D147 / 2</f>
        <v>0.53</v>
      </c>
      <c r="M147" s="3">
        <f>0.45 - D147 / 2</f>
        <v>0.37</v>
      </c>
      <c r="N147" s="3">
        <f>0.75 + E147 / 2</f>
        <v>0.75</v>
      </c>
      <c r="O147" s="3">
        <f>0.75 - E147 / 2</f>
        <v>0.75</v>
      </c>
      <c r="P147" s="3" t="e">
        <f>(H147 * L147 + J147 * N147) / 100</f>
        <v>#VALUE!</v>
      </c>
      <c r="Q147" s="3" t="e">
        <f>(I147 * M147 + K147 * O147) / 100</f>
        <v>#VALUE!</v>
      </c>
      <c r="R147" s="3" t="e">
        <f>P147 - Q147</f>
        <v>#VALUE!</v>
      </c>
      <c r="S147" s="3">
        <f>C147 * D147 + (1 - C147) * E147</f>
        <v>0.07200000000000001</v>
      </c>
      <c r="T147" s="3" t="e">
        <f>IF(R147 &gt; 0, IF(D147 &lt; 0, 1, 0) + IF(E147 &lt; 0, 1, 0), IF(D147 &gt; 0, 1, 0) + IF(E147 &gt; 0, 1, 0))</f>
        <v>#VALUE!</v>
      </c>
      <c r="U147" s="3" t="e">
        <f>T147 / 2</f>
        <v>#VALUE!</v>
      </c>
      <c r="V147" s="3" t="e">
        <f>IF(S147 &gt; 0, R147 &lt; 0, R147 &gt; 0)</f>
        <v>#VALUE!</v>
      </c>
      <c r="W147" s="3" t="e">
        <f>ABS(S147 - R147)</f>
        <v>#VALUE!</v>
      </c>
      <c r="X147" s="3" t="e">
        <f>IF(AND(V147, U147 = 1), "A", IF(AND(V147, U147 &lt; 1), "B", IF(AND(NOT(V147), W147 &gt; 0.01, ABS(R147) &gt; ABS(S147) + 0.001), "C+", IF(AND(NOT(V147), W147 &gt; 0.01, ABS(R147) &lt; ABS(S147) - 0.001), "C-", "D"))))</f>
        <v>#VALUE!</v>
      </c>
    </row>
    <row r="148">
      <c r="A148" s="2" t="s">
        <v>4606</v>
      </c>
      <c r="B148" s="3" t="str">
        <f>A148</f>
        <v>phase-w45-g116-g208-b30</v>
      </c>
      <c r="C148" s="2">
        <v>0.45</v>
      </c>
      <c r="D148" s="2">
        <v>0.16</v>
      </c>
      <c r="E148" s="2">
        <v>0</v>
      </c>
      <c r="F148" s="2">
        <v>0.3</v>
      </c>
      <c r="G148" s="3" t="e">
        <f>ROUND(200 * C148)</f>
        <v>#VALUE!</v>
      </c>
      <c r="H148" s="3" t="e">
        <f>ROUND(G148 * (0.5 + F148 / 2))</f>
        <v>#VALUE!</v>
      </c>
      <c r="I148" s="3" t="e">
        <f>G148 - H148</f>
        <v>#VALUE!</v>
      </c>
      <c r="J148" s="3" t="e">
        <f>100 - H148</f>
        <v>#VALUE!</v>
      </c>
      <c r="K148" s="3" t="e">
        <f>100 - I148</f>
        <v>#VALUE!</v>
      </c>
      <c r="L148" s="3">
        <f>0.45 + D148 / 2</f>
        <v>0.53</v>
      </c>
      <c r="M148" s="3">
        <f>0.45 - D148 / 2</f>
        <v>0.37</v>
      </c>
      <c r="N148" s="3">
        <f>0.75 + E148 / 2</f>
        <v>0.75</v>
      </c>
      <c r="O148" s="3">
        <f>0.75 - E148 / 2</f>
        <v>0.75</v>
      </c>
      <c r="P148" s="3" t="e">
        <f>(H148 * L148 + J148 * N148) / 100</f>
        <v>#VALUE!</v>
      </c>
      <c r="Q148" s="3" t="e">
        <f>(I148 * M148 + K148 * O148) / 100</f>
        <v>#VALUE!</v>
      </c>
      <c r="R148" s="3" t="e">
        <f>P148 - Q148</f>
        <v>#VALUE!</v>
      </c>
      <c r="S148" s="3">
        <f>C148 * D148 + (1 - C148) * E148</f>
        <v>0.07200000000000001</v>
      </c>
      <c r="T148" s="3" t="e">
        <f>IF(R148 &gt; 0, IF(D148 &lt; 0, 1, 0) + IF(E148 &lt; 0, 1, 0), IF(D148 &gt; 0, 1, 0) + IF(E148 &gt; 0, 1, 0))</f>
        <v>#VALUE!</v>
      </c>
      <c r="U148" s="3" t="e">
        <f>T148 / 2</f>
        <v>#VALUE!</v>
      </c>
      <c r="V148" s="3" t="e">
        <f>IF(S148 &gt; 0, R148 &lt; 0, R148 &gt; 0)</f>
        <v>#VALUE!</v>
      </c>
      <c r="W148" s="3" t="e">
        <f>ABS(S148 - R148)</f>
        <v>#VALUE!</v>
      </c>
      <c r="X148" s="3" t="e">
        <f>IF(AND(V148, U148 = 1), "A", IF(AND(V148, U148 &lt; 1), "B", IF(AND(NOT(V148), W148 &gt; 0.01, ABS(R148) &gt; ABS(S148) + 0.001), "C+", IF(AND(NOT(V148), W148 &gt; 0.01, ABS(R148) &lt; ABS(S148) - 0.001), "C-", "D"))))</f>
        <v>#VALUE!</v>
      </c>
    </row>
    <row r="149">
      <c r="A149" s="2" t="s">
        <v>4607</v>
      </c>
      <c r="B149" s="3" t="str">
        <f>A149</f>
        <v>phase-w45-g116-g208-b60</v>
      </c>
      <c r="C149" s="2">
        <v>0.45</v>
      </c>
      <c r="D149" s="2">
        <v>0.16</v>
      </c>
      <c r="E149" s="2">
        <v>0</v>
      </c>
      <c r="F149" s="2">
        <v>0.6</v>
      </c>
      <c r="G149" s="3" t="e">
        <f>ROUND(200 * C149)</f>
        <v>#VALUE!</v>
      </c>
      <c r="H149" s="3" t="e">
        <f>ROUND(G149 * (0.5 + F149 / 2))</f>
        <v>#VALUE!</v>
      </c>
      <c r="I149" s="3" t="e">
        <f>G149 - H149</f>
        <v>#VALUE!</v>
      </c>
      <c r="J149" s="3" t="e">
        <f>100 - H149</f>
        <v>#VALUE!</v>
      </c>
      <c r="K149" s="3" t="e">
        <f>100 - I149</f>
        <v>#VALUE!</v>
      </c>
      <c r="L149" s="3">
        <f>0.45 + D149 / 2</f>
        <v>0.53</v>
      </c>
      <c r="M149" s="3">
        <f>0.45 - D149 / 2</f>
        <v>0.37</v>
      </c>
      <c r="N149" s="3">
        <f>0.75 + E149 / 2</f>
        <v>0.75</v>
      </c>
      <c r="O149" s="3">
        <f>0.75 - E149 / 2</f>
        <v>0.75</v>
      </c>
      <c r="P149" s="3" t="e">
        <f>(H149 * L149 + J149 * N149) / 100</f>
        <v>#VALUE!</v>
      </c>
      <c r="Q149" s="3" t="e">
        <f>(I149 * M149 + K149 * O149) / 100</f>
        <v>#VALUE!</v>
      </c>
      <c r="R149" s="3" t="e">
        <f>P149 - Q149</f>
        <v>#VALUE!</v>
      </c>
      <c r="S149" s="3">
        <f>C149 * D149 + (1 - C149) * E149</f>
        <v>0.07200000000000001</v>
      </c>
      <c r="T149" s="3" t="e">
        <f>IF(R149 &gt; 0, IF(D149 &lt; 0, 1, 0) + IF(E149 &lt; 0, 1, 0), IF(D149 &gt; 0, 1, 0) + IF(E149 &gt; 0, 1, 0))</f>
        <v>#VALUE!</v>
      </c>
      <c r="U149" s="3" t="e">
        <f>T149 / 2</f>
        <v>#VALUE!</v>
      </c>
      <c r="V149" s="3" t="e">
        <f>IF(S149 &gt; 0, R149 &lt; 0, R149 &gt; 0)</f>
        <v>#VALUE!</v>
      </c>
      <c r="W149" s="3" t="e">
        <f>ABS(S149 - R149)</f>
        <v>#VALUE!</v>
      </c>
      <c r="X149" s="3" t="e">
        <f>IF(AND(V149, U149 = 1), "A", IF(AND(V149, U149 &lt; 1), "B", IF(AND(NOT(V149), W149 &gt; 0.01, ABS(R149) &gt; ABS(S149) + 0.001), "C+", IF(AND(NOT(V149), W149 &gt; 0.01, ABS(R149) &lt; ABS(S149) - 0.001), "C-", "D"))))</f>
        <v>#VALUE!</v>
      </c>
    </row>
    <row r="150">
      <c r="A150" s="2" t="s">
        <v>4608</v>
      </c>
      <c r="B150" s="3" t="str">
        <f>A150</f>
        <v>phase-w45-g116-g208-b80</v>
      </c>
      <c r="C150" s="2">
        <v>0.45</v>
      </c>
      <c r="D150" s="2">
        <v>0.16</v>
      </c>
      <c r="E150" s="2">
        <v>0</v>
      </c>
      <c r="F150" s="2">
        <v>0.8</v>
      </c>
      <c r="G150" s="3" t="e">
        <f>ROUND(200 * C150)</f>
        <v>#VALUE!</v>
      </c>
      <c r="H150" s="3" t="e">
        <f>ROUND(G150 * (0.5 + F150 / 2))</f>
        <v>#VALUE!</v>
      </c>
      <c r="I150" s="3" t="e">
        <f>G150 - H150</f>
        <v>#VALUE!</v>
      </c>
      <c r="J150" s="3" t="e">
        <f>100 - H150</f>
        <v>#VALUE!</v>
      </c>
      <c r="K150" s="3" t="e">
        <f>100 - I150</f>
        <v>#VALUE!</v>
      </c>
      <c r="L150" s="3">
        <f>0.45 + D150 / 2</f>
        <v>0.53</v>
      </c>
      <c r="M150" s="3">
        <f>0.45 - D150 / 2</f>
        <v>0.37</v>
      </c>
      <c r="N150" s="3">
        <f>0.75 + E150 / 2</f>
        <v>0.75</v>
      </c>
      <c r="O150" s="3">
        <f>0.75 - E150 / 2</f>
        <v>0.75</v>
      </c>
      <c r="P150" s="3" t="e">
        <f>(H150 * L150 + J150 * N150) / 100</f>
        <v>#VALUE!</v>
      </c>
      <c r="Q150" s="3" t="e">
        <f>(I150 * M150 + K150 * O150) / 100</f>
        <v>#VALUE!</v>
      </c>
      <c r="R150" s="3" t="e">
        <f>P150 - Q150</f>
        <v>#VALUE!</v>
      </c>
      <c r="S150" s="3">
        <f>C150 * D150 + (1 - C150) * E150</f>
        <v>0.07200000000000001</v>
      </c>
      <c r="T150" s="3" t="e">
        <f>IF(R150 &gt; 0, IF(D150 &lt; 0, 1, 0) + IF(E150 &lt; 0, 1, 0), IF(D150 &gt; 0, 1, 0) + IF(E150 &gt; 0, 1, 0))</f>
        <v>#VALUE!</v>
      </c>
      <c r="U150" s="3" t="e">
        <f>T150 / 2</f>
        <v>#VALUE!</v>
      </c>
      <c r="V150" s="3" t="e">
        <f>IF(S150 &gt; 0, R150 &lt; 0, R150 &gt; 0)</f>
        <v>#VALUE!</v>
      </c>
      <c r="W150" s="3" t="e">
        <f>ABS(S150 - R150)</f>
        <v>#VALUE!</v>
      </c>
      <c r="X150" s="3" t="e">
        <f>IF(AND(V150, U150 = 1), "A", IF(AND(V150, U150 &lt; 1), "B", IF(AND(NOT(V150), W150 &gt; 0.01, ABS(R150) &gt; ABS(S150) + 0.001), "C+", IF(AND(NOT(V150), W150 &gt; 0.01, ABS(R150) &lt; ABS(S150) - 0.001), "C-", "D"))))</f>
        <v>#VALUE!</v>
      </c>
    </row>
    <row r="151">
      <c r="A151" s="2" t="s">
        <v>4609</v>
      </c>
      <c r="B151" s="3" t="str">
        <f>A151</f>
        <v>phase-w45-g116-g208-b95</v>
      </c>
      <c r="C151" s="2">
        <v>0.45</v>
      </c>
      <c r="D151" s="2">
        <v>0.16</v>
      </c>
      <c r="E151" s="2">
        <v>0</v>
      </c>
      <c r="F151" s="2">
        <v>0.95</v>
      </c>
      <c r="G151" s="3" t="e">
        <f>ROUND(200 * C151)</f>
        <v>#VALUE!</v>
      </c>
      <c r="H151" s="3" t="e">
        <f>ROUND(G151 * (0.5 + F151 / 2))</f>
        <v>#VALUE!</v>
      </c>
      <c r="I151" s="3" t="e">
        <f>G151 - H151</f>
        <v>#VALUE!</v>
      </c>
      <c r="J151" s="3" t="e">
        <f>100 - H151</f>
        <v>#VALUE!</v>
      </c>
      <c r="K151" s="3" t="e">
        <f>100 - I151</f>
        <v>#VALUE!</v>
      </c>
      <c r="L151" s="3">
        <f>0.45 + D151 / 2</f>
        <v>0.53</v>
      </c>
      <c r="M151" s="3">
        <f>0.45 - D151 / 2</f>
        <v>0.37</v>
      </c>
      <c r="N151" s="3">
        <f>0.75 + E151 / 2</f>
        <v>0.75</v>
      </c>
      <c r="O151" s="3">
        <f>0.75 - E151 / 2</f>
        <v>0.75</v>
      </c>
      <c r="P151" s="3" t="e">
        <f>(H151 * L151 + J151 * N151) / 100</f>
        <v>#VALUE!</v>
      </c>
      <c r="Q151" s="3" t="e">
        <f>(I151 * M151 + K151 * O151) / 100</f>
        <v>#VALUE!</v>
      </c>
      <c r="R151" s="3" t="e">
        <f>P151 - Q151</f>
        <v>#VALUE!</v>
      </c>
      <c r="S151" s="3">
        <f>C151 * D151 + (1 - C151) * E151</f>
        <v>0.07200000000000001</v>
      </c>
      <c r="T151" s="3" t="e">
        <f>IF(R151 &gt; 0, IF(D151 &lt; 0, 1, 0) + IF(E151 &lt; 0, 1, 0), IF(D151 &gt; 0, 1, 0) + IF(E151 &gt; 0, 1, 0))</f>
        <v>#VALUE!</v>
      </c>
      <c r="U151" s="3" t="e">
        <f>T151 / 2</f>
        <v>#VALUE!</v>
      </c>
      <c r="V151" s="3" t="e">
        <f>IF(S151 &gt; 0, R151 &lt; 0, R151 &gt; 0)</f>
        <v>#VALUE!</v>
      </c>
      <c r="W151" s="3" t="e">
        <f>ABS(S151 - R151)</f>
        <v>#VALUE!</v>
      </c>
      <c r="X151" s="3" t="e">
        <f>IF(AND(V151, U151 = 1), "A", IF(AND(V151, U151 &lt; 1), "B", IF(AND(NOT(V151), W151 &gt; 0.01, ABS(R151) &gt; ABS(S151) + 0.001), "C+", IF(AND(NOT(V151), W151 &gt; 0.01, ABS(R151) &lt; ABS(S151) - 0.001), "C-", "D"))))</f>
        <v>#VALUE!</v>
      </c>
    </row>
    <row r="152">
      <c r="A152" s="2" t="s">
        <v>4610</v>
      </c>
      <c r="B152" s="3" t="str">
        <f>A152</f>
        <v>phase-w45-g116-g212-b00</v>
      </c>
      <c r="C152" s="2">
        <v>0.45</v>
      </c>
      <c r="D152" s="2">
        <v>0.16</v>
      </c>
      <c r="E152" s="2">
        <v>0.04</v>
      </c>
      <c r="F152" s="2">
        <v>0</v>
      </c>
      <c r="G152" s="3" t="e">
        <f>ROUND(200 * C152)</f>
        <v>#VALUE!</v>
      </c>
      <c r="H152" s="3" t="e">
        <f>ROUND(G152 * (0.5 + F152 / 2))</f>
        <v>#VALUE!</v>
      </c>
      <c r="I152" s="3" t="e">
        <f>G152 - H152</f>
        <v>#VALUE!</v>
      </c>
      <c r="J152" s="3" t="e">
        <f>100 - H152</f>
        <v>#VALUE!</v>
      </c>
      <c r="K152" s="3" t="e">
        <f>100 - I152</f>
        <v>#VALUE!</v>
      </c>
      <c r="L152" s="3">
        <f>0.45 + D152 / 2</f>
        <v>0.53</v>
      </c>
      <c r="M152" s="3">
        <f>0.45 - D152 / 2</f>
        <v>0.37</v>
      </c>
      <c r="N152" s="3">
        <f>0.75 + E152 / 2</f>
        <v>0.77</v>
      </c>
      <c r="O152" s="3">
        <f>0.75 - E152 / 2</f>
        <v>0.73</v>
      </c>
      <c r="P152" s="3" t="e">
        <f>(H152 * L152 + J152 * N152) / 100</f>
        <v>#VALUE!</v>
      </c>
      <c r="Q152" s="3" t="e">
        <f>(I152 * M152 + K152 * O152) / 100</f>
        <v>#VALUE!</v>
      </c>
      <c r="R152" s="3" t="e">
        <f>P152 - Q152</f>
        <v>#VALUE!</v>
      </c>
      <c r="S152" s="3">
        <f>C152 * D152 + (1 - C152) * E152</f>
        <v>0.09400000000000001</v>
      </c>
      <c r="T152" s="3" t="e">
        <f>IF(R152 &gt; 0, IF(D152 &lt; 0, 1, 0) + IF(E152 &lt; 0, 1, 0), IF(D152 &gt; 0, 1, 0) + IF(E152 &gt; 0, 1, 0))</f>
        <v>#VALUE!</v>
      </c>
      <c r="U152" s="3" t="e">
        <f>T152 / 2</f>
        <v>#VALUE!</v>
      </c>
      <c r="V152" s="3" t="e">
        <f>IF(S152 &gt; 0, R152 &lt; 0, R152 &gt; 0)</f>
        <v>#VALUE!</v>
      </c>
      <c r="W152" s="3" t="e">
        <f>ABS(S152 - R152)</f>
        <v>#VALUE!</v>
      </c>
      <c r="X152" s="3" t="e">
        <f>IF(AND(V152, U152 = 1), "A", IF(AND(V152, U152 &lt; 1), "B", IF(AND(NOT(V152), W152 &gt; 0.01, ABS(R152) &gt; ABS(S152) + 0.001), "C+", IF(AND(NOT(V152), W152 &gt; 0.01, ABS(R152) &lt; ABS(S152) - 0.001), "C-", "D"))))</f>
        <v>#VALUE!</v>
      </c>
    </row>
    <row r="153">
      <c r="A153" s="2" t="s">
        <v>4611</v>
      </c>
      <c r="B153" s="3" t="str">
        <f>A153</f>
        <v>phase-w45-g116-g212-b30</v>
      </c>
      <c r="C153" s="2">
        <v>0.45</v>
      </c>
      <c r="D153" s="2">
        <v>0.16</v>
      </c>
      <c r="E153" s="2">
        <v>0.04</v>
      </c>
      <c r="F153" s="2">
        <v>0.3</v>
      </c>
      <c r="G153" s="3" t="e">
        <f>ROUND(200 * C153)</f>
        <v>#VALUE!</v>
      </c>
      <c r="H153" s="3" t="e">
        <f>ROUND(G153 * (0.5 + F153 / 2))</f>
        <v>#VALUE!</v>
      </c>
      <c r="I153" s="3" t="e">
        <f>G153 - H153</f>
        <v>#VALUE!</v>
      </c>
      <c r="J153" s="3" t="e">
        <f>100 - H153</f>
        <v>#VALUE!</v>
      </c>
      <c r="K153" s="3" t="e">
        <f>100 - I153</f>
        <v>#VALUE!</v>
      </c>
      <c r="L153" s="3">
        <f>0.45 + D153 / 2</f>
        <v>0.53</v>
      </c>
      <c r="M153" s="3">
        <f>0.45 - D153 / 2</f>
        <v>0.37</v>
      </c>
      <c r="N153" s="3">
        <f>0.75 + E153 / 2</f>
        <v>0.77</v>
      </c>
      <c r="O153" s="3">
        <f>0.75 - E153 / 2</f>
        <v>0.73</v>
      </c>
      <c r="P153" s="3" t="e">
        <f>(H153 * L153 + J153 * N153) / 100</f>
        <v>#VALUE!</v>
      </c>
      <c r="Q153" s="3" t="e">
        <f>(I153 * M153 + K153 * O153) / 100</f>
        <v>#VALUE!</v>
      </c>
      <c r="R153" s="3" t="e">
        <f>P153 - Q153</f>
        <v>#VALUE!</v>
      </c>
      <c r="S153" s="3">
        <f>C153 * D153 + (1 - C153) * E153</f>
        <v>0.09400000000000001</v>
      </c>
      <c r="T153" s="3" t="e">
        <f>IF(R153 &gt; 0, IF(D153 &lt; 0, 1, 0) + IF(E153 &lt; 0, 1, 0), IF(D153 &gt; 0, 1, 0) + IF(E153 &gt; 0, 1, 0))</f>
        <v>#VALUE!</v>
      </c>
      <c r="U153" s="3" t="e">
        <f>T153 / 2</f>
        <v>#VALUE!</v>
      </c>
      <c r="V153" s="3" t="e">
        <f>IF(S153 &gt; 0, R153 &lt; 0, R153 &gt; 0)</f>
        <v>#VALUE!</v>
      </c>
      <c r="W153" s="3" t="e">
        <f>ABS(S153 - R153)</f>
        <v>#VALUE!</v>
      </c>
      <c r="X153" s="3" t="e">
        <f>IF(AND(V153, U153 = 1), "A", IF(AND(V153, U153 &lt; 1), "B", IF(AND(NOT(V153), W153 &gt; 0.01, ABS(R153) &gt; ABS(S153) + 0.001), "C+", IF(AND(NOT(V153), W153 &gt; 0.01, ABS(R153) &lt; ABS(S153) - 0.001), "C-", "D"))))</f>
        <v>#VALUE!</v>
      </c>
    </row>
    <row r="154">
      <c r="A154" s="2" t="s">
        <v>4612</v>
      </c>
      <c r="B154" s="3" t="str">
        <f>A154</f>
        <v>phase-w45-g116-g212-b60</v>
      </c>
      <c r="C154" s="2">
        <v>0.45</v>
      </c>
      <c r="D154" s="2">
        <v>0.16</v>
      </c>
      <c r="E154" s="2">
        <v>0.04</v>
      </c>
      <c r="F154" s="2">
        <v>0.6</v>
      </c>
      <c r="G154" s="3" t="e">
        <f>ROUND(200 * C154)</f>
        <v>#VALUE!</v>
      </c>
      <c r="H154" s="3" t="e">
        <f>ROUND(G154 * (0.5 + F154 / 2))</f>
        <v>#VALUE!</v>
      </c>
      <c r="I154" s="3" t="e">
        <f>G154 - H154</f>
        <v>#VALUE!</v>
      </c>
      <c r="J154" s="3" t="e">
        <f>100 - H154</f>
        <v>#VALUE!</v>
      </c>
      <c r="K154" s="3" t="e">
        <f>100 - I154</f>
        <v>#VALUE!</v>
      </c>
      <c r="L154" s="3">
        <f>0.45 + D154 / 2</f>
        <v>0.53</v>
      </c>
      <c r="M154" s="3">
        <f>0.45 - D154 / 2</f>
        <v>0.37</v>
      </c>
      <c r="N154" s="3">
        <f>0.75 + E154 / 2</f>
        <v>0.77</v>
      </c>
      <c r="O154" s="3">
        <f>0.75 - E154 / 2</f>
        <v>0.73</v>
      </c>
      <c r="P154" s="3" t="e">
        <f>(H154 * L154 + J154 * N154) / 100</f>
        <v>#VALUE!</v>
      </c>
      <c r="Q154" s="3" t="e">
        <f>(I154 * M154 + K154 * O154) / 100</f>
        <v>#VALUE!</v>
      </c>
      <c r="R154" s="3" t="e">
        <f>P154 - Q154</f>
        <v>#VALUE!</v>
      </c>
      <c r="S154" s="3">
        <f>C154 * D154 + (1 - C154) * E154</f>
        <v>0.09400000000000001</v>
      </c>
      <c r="T154" s="3" t="e">
        <f>IF(R154 &gt; 0, IF(D154 &lt; 0, 1, 0) + IF(E154 &lt; 0, 1, 0), IF(D154 &gt; 0, 1, 0) + IF(E154 &gt; 0, 1, 0))</f>
        <v>#VALUE!</v>
      </c>
      <c r="U154" s="3" t="e">
        <f>T154 / 2</f>
        <v>#VALUE!</v>
      </c>
      <c r="V154" s="3" t="e">
        <f>IF(S154 &gt; 0, R154 &lt; 0, R154 &gt; 0)</f>
        <v>#VALUE!</v>
      </c>
      <c r="W154" s="3" t="e">
        <f>ABS(S154 - R154)</f>
        <v>#VALUE!</v>
      </c>
      <c r="X154" s="3" t="e">
        <f>IF(AND(V154, U154 = 1), "A", IF(AND(V154, U154 &lt; 1), "B", IF(AND(NOT(V154), W154 &gt; 0.01, ABS(R154) &gt; ABS(S154) + 0.001), "C+", IF(AND(NOT(V154), W154 &gt; 0.01, ABS(R154) &lt; ABS(S154) - 0.001), "C-", "D"))))</f>
        <v>#VALUE!</v>
      </c>
    </row>
    <row r="155">
      <c r="A155" s="2" t="s">
        <v>4613</v>
      </c>
      <c r="B155" s="3" t="str">
        <f>A155</f>
        <v>phase-w45-g116-g212-b80</v>
      </c>
      <c r="C155" s="2">
        <v>0.45</v>
      </c>
      <c r="D155" s="2">
        <v>0.16</v>
      </c>
      <c r="E155" s="2">
        <v>0.04</v>
      </c>
      <c r="F155" s="2">
        <v>0.8</v>
      </c>
      <c r="G155" s="3" t="e">
        <f>ROUND(200 * C155)</f>
        <v>#VALUE!</v>
      </c>
      <c r="H155" s="3" t="e">
        <f>ROUND(G155 * (0.5 + F155 / 2))</f>
        <v>#VALUE!</v>
      </c>
      <c r="I155" s="3" t="e">
        <f>G155 - H155</f>
        <v>#VALUE!</v>
      </c>
      <c r="J155" s="3" t="e">
        <f>100 - H155</f>
        <v>#VALUE!</v>
      </c>
      <c r="K155" s="3" t="e">
        <f>100 - I155</f>
        <v>#VALUE!</v>
      </c>
      <c r="L155" s="3">
        <f>0.45 + D155 / 2</f>
        <v>0.53</v>
      </c>
      <c r="M155" s="3">
        <f>0.45 - D155 / 2</f>
        <v>0.37</v>
      </c>
      <c r="N155" s="3">
        <f>0.75 + E155 / 2</f>
        <v>0.77</v>
      </c>
      <c r="O155" s="3">
        <f>0.75 - E155 / 2</f>
        <v>0.73</v>
      </c>
      <c r="P155" s="3" t="e">
        <f>(H155 * L155 + J155 * N155) / 100</f>
        <v>#VALUE!</v>
      </c>
      <c r="Q155" s="3" t="e">
        <f>(I155 * M155 + K155 * O155) / 100</f>
        <v>#VALUE!</v>
      </c>
      <c r="R155" s="3" t="e">
        <f>P155 - Q155</f>
        <v>#VALUE!</v>
      </c>
      <c r="S155" s="3">
        <f>C155 * D155 + (1 - C155) * E155</f>
        <v>0.09400000000000001</v>
      </c>
      <c r="T155" s="3" t="e">
        <f>IF(R155 &gt; 0, IF(D155 &lt; 0, 1, 0) + IF(E155 &lt; 0, 1, 0), IF(D155 &gt; 0, 1, 0) + IF(E155 &gt; 0, 1, 0))</f>
        <v>#VALUE!</v>
      </c>
      <c r="U155" s="3" t="e">
        <f>T155 / 2</f>
        <v>#VALUE!</v>
      </c>
      <c r="V155" s="3" t="e">
        <f>IF(S155 &gt; 0, R155 &lt; 0, R155 &gt; 0)</f>
        <v>#VALUE!</v>
      </c>
      <c r="W155" s="3" t="e">
        <f>ABS(S155 - R155)</f>
        <v>#VALUE!</v>
      </c>
      <c r="X155" s="3" t="e">
        <f>IF(AND(V155, U155 = 1), "A", IF(AND(V155, U155 &lt; 1), "B", IF(AND(NOT(V155), W155 &gt; 0.01, ABS(R155) &gt; ABS(S155) + 0.001), "C+", IF(AND(NOT(V155), W155 &gt; 0.01, ABS(R155) &lt; ABS(S155) - 0.001), "C-", "D"))))</f>
        <v>#VALUE!</v>
      </c>
    </row>
    <row r="156">
      <c r="A156" s="2" t="s">
        <v>4614</v>
      </c>
      <c r="B156" s="3" t="str">
        <f>A156</f>
        <v>phase-w45-g116-g212-b95</v>
      </c>
      <c r="C156" s="2">
        <v>0.45</v>
      </c>
      <c r="D156" s="2">
        <v>0.16</v>
      </c>
      <c r="E156" s="2">
        <v>0.04</v>
      </c>
      <c r="F156" s="2">
        <v>0.95</v>
      </c>
      <c r="G156" s="3" t="e">
        <f>ROUND(200 * C156)</f>
        <v>#VALUE!</v>
      </c>
      <c r="H156" s="3" t="e">
        <f>ROUND(G156 * (0.5 + F156 / 2))</f>
        <v>#VALUE!</v>
      </c>
      <c r="I156" s="3" t="e">
        <f>G156 - H156</f>
        <v>#VALUE!</v>
      </c>
      <c r="J156" s="3" t="e">
        <f>100 - H156</f>
        <v>#VALUE!</v>
      </c>
      <c r="K156" s="3" t="e">
        <f>100 - I156</f>
        <v>#VALUE!</v>
      </c>
      <c r="L156" s="3">
        <f>0.45 + D156 / 2</f>
        <v>0.53</v>
      </c>
      <c r="M156" s="3">
        <f>0.45 - D156 / 2</f>
        <v>0.37</v>
      </c>
      <c r="N156" s="3">
        <f>0.75 + E156 / 2</f>
        <v>0.77</v>
      </c>
      <c r="O156" s="3">
        <f>0.75 - E156 / 2</f>
        <v>0.73</v>
      </c>
      <c r="P156" s="3" t="e">
        <f>(H156 * L156 + J156 * N156) / 100</f>
        <v>#VALUE!</v>
      </c>
      <c r="Q156" s="3" t="e">
        <f>(I156 * M156 + K156 * O156) / 100</f>
        <v>#VALUE!</v>
      </c>
      <c r="R156" s="3" t="e">
        <f>P156 - Q156</f>
        <v>#VALUE!</v>
      </c>
      <c r="S156" s="3">
        <f>C156 * D156 + (1 - C156) * E156</f>
        <v>0.09400000000000001</v>
      </c>
      <c r="T156" s="3" t="e">
        <f>IF(R156 &gt; 0, IF(D156 &lt; 0, 1, 0) + IF(E156 &lt; 0, 1, 0), IF(D156 &gt; 0, 1, 0) + IF(E156 &gt; 0, 1, 0))</f>
        <v>#VALUE!</v>
      </c>
      <c r="U156" s="3" t="e">
        <f>T156 / 2</f>
        <v>#VALUE!</v>
      </c>
      <c r="V156" s="3" t="e">
        <f>IF(S156 &gt; 0, R156 &lt; 0, R156 &gt; 0)</f>
        <v>#VALUE!</v>
      </c>
      <c r="W156" s="3" t="e">
        <f>ABS(S156 - R156)</f>
        <v>#VALUE!</v>
      </c>
      <c r="X156" s="3" t="e">
        <f>IF(AND(V156, U156 = 1), "A", IF(AND(V156, U156 &lt; 1), "B", IF(AND(NOT(V156), W156 &gt; 0.01, ABS(R156) &gt; ABS(S156) + 0.001), "C+", IF(AND(NOT(V156), W156 &gt; 0.01, ABS(R156) &lt; ABS(S156) - 0.001), "C-", "D"))))</f>
        <v>#VALUE!</v>
      </c>
    </row>
    <row r="157">
      <c r="A157" s="2" t="s">
        <v>4615</v>
      </c>
      <c r="B157" s="3" t="str">
        <f>A157</f>
        <v>phase-w45-g116-g216-b00</v>
      </c>
      <c r="C157" s="2">
        <v>0.45</v>
      </c>
      <c r="D157" s="2">
        <v>0.16</v>
      </c>
      <c r="E157" s="2">
        <v>0.08</v>
      </c>
      <c r="F157" s="2">
        <v>0</v>
      </c>
      <c r="G157" s="3" t="e">
        <f>ROUND(200 * C157)</f>
        <v>#VALUE!</v>
      </c>
      <c r="H157" s="3" t="e">
        <f>ROUND(G157 * (0.5 + F157 / 2))</f>
        <v>#VALUE!</v>
      </c>
      <c r="I157" s="3" t="e">
        <f>G157 - H157</f>
        <v>#VALUE!</v>
      </c>
      <c r="J157" s="3" t="e">
        <f>100 - H157</f>
        <v>#VALUE!</v>
      </c>
      <c r="K157" s="3" t="e">
        <f>100 - I157</f>
        <v>#VALUE!</v>
      </c>
      <c r="L157" s="3">
        <f>0.45 + D157 / 2</f>
        <v>0.53</v>
      </c>
      <c r="M157" s="3">
        <f>0.45 - D157 / 2</f>
        <v>0.37</v>
      </c>
      <c r="N157" s="3">
        <f>0.75 + E157 / 2</f>
        <v>0.79</v>
      </c>
      <c r="O157" s="3">
        <f>0.75 - E157 / 2</f>
        <v>0.71</v>
      </c>
      <c r="P157" s="3" t="e">
        <f>(H157 * L157 + J157 * N157) / 100</f>
        <v>#VALUE!</v>
      </c>
      <c r="Q157" s="3" t="e">
        <f>(I157 * M157 + K157 * O157) / 100</f>
        <v>#VALUE!</v>
      </c>
      <c r="R157" s="3" t="e">
        <f>P157 - Q157</f>
        <v>#VALUE!</v>
      </c>
      <c r="S157" s="3">
        <f>C157 * D157 + (1 - C157) * E157</f>
        <v>0.11600000000000002</v>
      </c>
      <c r="T157" s="3" t="e">
        <f>IF(R157 &gt; 0, IF(D157 &lt; 0, 1, 0) + IF(E157 &lt; 0, 1, 0), IF(D157 &gt; 0, 1, 0) + IF(E157 &gt; 0, 1, 0))</f>
        <v>#VALUE!</v>
      </c>
      <c r="U157" s="3" t="e">
        <f>T157 / 2</f>
        <v>#VALUE!</v>
      </c>
      <c r="V157" s="3" t="e">
        <f>IF(S157 &gt; 0, R157 &lt; 0, R157 &gt; 0)</f>
        <v>#VALUE!</v>
      </c>
      <c r="W157" s="3" t="e">
        <f>ABS(S157 - R157)</f>
        <v>#VALUE!</v>
      </c>
      <c r="X157" s="3" t="e">
        <f>IF(AND(V157, U157 = 1), "A", IF(AND(V157, U157 &lt; 1), "B", IF(AND(NOT(V157), W157 &gt; 0.01, ABS(R157) &gt; ABS(S157) + 0.001), "C+", IF(AND(NOT(V157), W157 &gt; 0.01, ABS(R157) &lt; ABS(S157) - 0.001), "C-", "D"))))</f>
        <v>#VALUE!</v>
      </c>
    </row>
    <row r="158">
      <c r="A158" s="2" t="s">
        <v>4616</v>
      </c>
      <c r="B158" s="3" t="str">
        <f>A158</f>
        <v>phase-w45-g116-g216-b30</v>
      </c>
      <c r="C158" s="2">
        <v>0.45</v>
      </c>
      <c r="D158" s="2">
        <v>0.16</v>
      </c>
      <c r="E158" s="2">
        <v>0.08</v>
      </c>
      <c r="F158" s="2">
        <v>0.3</v>
      </c>
      <c r="G158" s="3" t="e">
        <f>ROUND(200 * C158)</f>
        <v>#VALUE!</v>
      </c>
      <c r="H158" s="3" t="e">
        <f>ROUND(G158 * (0.5 + F158 / 2))</f>
        <v>#VALUE!</v>
      </c>
      <c r="I158" s="3" t="e">
        <f>G158 - H158</f>
        <v>#VALUE!</v>
      </c>
      <c r="J158" s="3" t="e">
        <f>100 - H158</f>
        <v>#VALUE!</v>
      </c>
      <c r="K158" s="3" t="e">
        <f>100 - I158</f>
        <v>#VALUE!</v>
      </c>
      <c r="L158" s="3">
        <f>0.45 + D158 / 2</f>
        <v>0.53</v>
      </c>
      <c r="M158" s="3">
        <f>0.45 - D158 / 2</f>
        <v>0.37</v>
      </c>
      <c r="N158" s="3">
        <f>0.75 + E158 / 2</f>
        <v>0.79</v>
      </c>
      <c r="O158" s="3">
        <f>0.75 - E158 / 2</f>
        <v>0.71</v>
      </c>
      <c r="P158" s="3" t="e">
        <f>(H158 * L158 + J158 * N158) / 100</f>
        <v>#VALUE!</v>
      </c>
      <c r="Q158" s="3" t="e">
        <f>(I158 * M158 + K158 * O158) / 100</f>
        <v>#VALUE!</v>
      </c>
      <c r="R158" s="3" t="e">
        <f>P158 - Q158</f>
        <v>#VALUE!</v>
      </c>
      <c r="S158" s="3">
        <f>C158 * D158 + (1 - C158) * E158</f>
        <v>0.11600000000000002</v>
      </c>
      <c r="T158" s="3" t="e">
        <f>IF(R158 &gt; 0, IF(D158 &lt; 0, 1, 0) + IF(E158 &lt; 0, 1, 0), IF(D158 &gt; 0, 1, 0) + IF(E158 &gt; 0, 1, 0))</f>
        <v>#VALUE!</v>
      </c>
      <c r="U158" s="3" t="e">
        <f>T158 / 2</f>
        <v>#VALUE!</v>
      </c>
      <c r="V158" s="3" t="e">
        <f>IF(S158 &gt; 0, R158 &lt; 0, R158 &gt; 0)</f>
        <v>#VALUE!</v>
      </c>
      <c r="W158" s="3" t="e">
        <f>ABS(S158 - R158)</f>
        <v>#VALUE!</v>
      </c>
      <c r="X158" s="3" t="e">
        <f>IF(AND(V158, U158 = 1), "A", IF(AND(V158, U158 &lt; 1), "B", IF(AND(NOT(V158), W158 &gt; 0.01, ABS(R158) &gt; ABS(S158) + 0.001), "C+", IF(AND(NOT(V158), W158 &gt; 0.01, ABS(R158) &lt; ABS(S158) - 0.001), "C-", "D"))))</f>
        <v>#VALUE!</v>
      </c>
    </row>
    <row r="159">
      <c r="A159" s="2" t="s">
        <v>4617</v>
      </c>
      <c r="B159" s="3" t="str">
        <f>A159</f>
        <v>phase-w45-g116-g216-b60</v>
      </c>
      <c r="C159" s="2">
        <v>0.45</v>
      </c>
      <c r="D159" s="2">
        <v>0.16</v>
      </c>
      <c r="E159" s="2">
        <v>0.08</v>
      </c>
      <c r="F159" s="2">
        <v>0.6</v>
      </c>
      <c r="G159" s="3" t="e">
        <f>ROUND(200 * C159)</f>
        <v>#VALUE!</v>
      </c>
      <c r="H159" s="3" t="e">
        <f>ROUND(G159 * (0.5 + F159 / 2))</f>
        <v>#VALUE!</v>
      </c>
      <c r="I159" s="3" t="e">
        <f>G159 - H159</f>
        <v>#VALUE!</v>
      </c>
      <c r="J159" s="3" t="e">
        <f>100 - H159</f>
        <v>#VALUE!</v>
      </c>
      <c r="K159" s="3" t="e">
        <f>100 - I159</f>
        <v>#VALUE!</v>
      </c>
      <c r="L159" s="3">
        <f>0.45 + D159 / 2</f>
        <v>0.53</v>
      </c>
      <c r="M159" s="3">
        <f>0.45 - D159 / 2</f>
        <v>0.37</v>
      </c>
      <c r="N159" s="3">
        <f>0.75 + E159 / 2</f>
        <v>0.79</v>
      </c>
      <c r="O159" s="3">
        <f>0.75 - E159 / 2</f>
        <v>0.71</v>
      </c>
      <c r="P159" s="3" t="e">
        <f>(H159 * L159 + J159 * N159) / 100</f>
        <v>#VALUE!</v>
      </c>
      <c r="Q159" s="3" t="e">
        <f>(I159 * M159 + K159 * O159) / 100</f>
        <v>#VALUE!</v>
      </c>
      <c r="R159" s="3" t="e">
        <f>P159 - Q159</f>
        <v>#VALUE!</v>
      </c>
      <c r="S159" s="3">
        <f>C159 * D159 + (1 - C159) * E159</f>
        <v>0.11600000000000002</v>
      </c>
      <c r="T159" s="3" t="e">
        <f>IF(R159 &gt; 0, IF(D159 &lt; 0, 1, 0) + IF(E159 &lt; 0, 1, 0), IF(D159 &gt; 0, 1, 0) + IF(E159 &gt; 0, 1, 0))</f>
        <v>#VALUE!</v>
      </c>
      <c r="U159" s="3" t="e">
        <f>T159 / 2</f>
        <v>#VALUE!</v>
      </c>
      <c r="V159" s="3" t="e">
        <f>IF(S159 &gt; 0, R159 &lt; 0, R159 &gt; 0)</f>
        <v>#VALUE!</v>
      </c>
      <c r="W159" s="3" t="e">
        <f>ABS(S159 - R159)</f>
        <v>#VALUE!</v>
      </c>
      <c r="X159" s="3" t="e">
        <f>IF(AND(V159, U159 = 1), "A", IF(AND(V159, U159 &lt; 1), "B", IF(AND(NOT(V159), W159 &gt; 0.01, ABS(R159) &gt; ABS(S159) + 0.001), "C+", IF(AND(NOT(V159), W159 &gt; 0.01, ABS(R159) &lt; ABS(S159) - 0.001), "C-", "D"))))</f>
        <v>#VALUE!</v>
      </c>
    </row>
    <row r="160">
      <c r="A160" s="2" t="s">
        <v>4618</v>
      </c>
      <c r="B160" s="3" t="str">
        <f>A160</f>
        <v>phase-w45-g116-g216-b80</v>
      </c>
      <c r="C160" s="2">
        <v>0.45</v>
      </c>
      <c r="D160" s="2">
        <v>0.16</v>
      </c>
      <c r="E160" s="2">
        <v>0.08</v>
      </c>
      <c r="F160" s="2">
        <v>0.8</v>
      </c>
      <c r="G160" s="3" t="e">
        <f>ROUND(200 * C160)</f>
        <v>#VALUE!</v>
      </c>
      <c r="H160" s="3" t="e">
        <f>ROUND(G160 * (0.5 + F160 / 2))</f>
        <v>#VALUE!</v>
      </c>
      <c r="I160" s="3" t="e">
        <f>G160 - H160</f>
        <v>#VALUE!</v>
      </c>
      <c r="J160" s="3" t="e">
        <f>100 - H160</f>
        <v>#VALUE!</v>
      </c>
      <c r="K160" s="3" t="e">
        <f>100 - I160</f>
        <v>#VALUE!</v>
      </c>
      <c r="L160" s="3">
        <f>0.45 + D160 / 2</f>
        <v>0.53</v>
      </c>
      <c r="M160" s="3">
        <f>0.45 - D160 / 2</f>
        <v>0.37</v>
      </c>
      <c r="N160" s="3">
        <f>0.75 + E160 / 2</f>
        <v>0.79</v>
      </c>
      <c r="O160" s="3">
        <f>0.75 - E160 / 2</f>
        <v>0.71</v>
      </c>
      <c r="P160" s="3" t="e">
        <f>(H160 * L160 + J160 * N160) / 100</f>
        <v>#VALUE!</v>
      </c>
      <c r="Q160" s="3" t="e">
        <f>(I160 * M160 + K160 * O160) / 100</f>
        <v>#VALUE!</v>
      </c>
      <c r="R160" s="3" t="e">
        <f>P160 - Q160</f>
        <v>#VALUE!</v>
      </c>
      <c r="S160" s="3">
        <f>C160 * D160 + (1 - C160) * E160</f>
        <v>0.11600000000000002</v>
      </c>
      <c r="T160" s="3" t="e">
        <f>IF(R160 &gt; 0, IF(D160 &lt; 0, 1, 0) + IF(E160 &lt; 0, 1, 0), IF(D160 &gt; 0, 1, 0) + IF(E160 &gt; 0, 1, 0))</f>
        <v>#VALUE!</v>
      </c>
      <c r="U160" s="3" t="e">
        <f>T160 / 2</f>
        <v>#VALUE!</v>
      </c>
      <c r="V160" s="3" t="e">
        <f>IF(S160 &gt; 0, R160 &lt; 0, R160 &gt; 0)</f>
        <v>#VALUE!</v>
      </c>
      <c r="W160" s="3" t="e">
        <f>ABS(S160 - R160)</f>
        <v>#VALUE!</v>
      </c>
      <c r="X160" s="3" t="e">
        <f>IF(AND(V160, U160 = 1), "A", IF(AND(V160, U160 &lt; 1), "B", IF(AND(NOT(V160), W160 &gt; 0.01, ABS(R160) &gt; ABS(S160) + 0.001), "C+", IF(AND(NOT(V160), W160 &gt; 0.01, ABS(R160) &lt; ABS(S160) - 0.001), "C-", "D"))))</f>
        <v>#VALUE!</v>
      </c>
    </row>
    <row r="161">
      <c r="A161" s="2" t="s">
        <v>4619</v>
      </c>
      <c r="B161" s="3" t="str">
        <f>A161</f>
        <v>phase-w45-g116-g216-b95</v>
      </c>
      <c r="C161" s="2">
        <v>0.45</v>
      </c>
      <c r="D161" s="2">
        <v>0.16</v>
      </c>
      <c r="E161" s="2">
        <v>0.08</v>
      </c>
      <c r="F161" s="2">
        <v>0.95</v>
      </c>
      <c r="G161" s="3" t="e">
        <f>ROUND(200 * C161)</f>
        <v>#VALUE!</v>
      </c>
      <c r="H161" s="3" t="e">
        <f>ROUND(G161 * (0.5 + F161 / 2))</f>
        <v>#VALUE!</v>
      </c>
      <c r="I161" s="3" t="e">
        <f>G161 - H161</f>
        <v>#VALUE!</v>
      </c>
      <c r="J161" s="3" t="e">
        <f>100 - H161</f>
        <v>#VALUE!</v>
      </c>
      <c r="K161" s="3" t="e">
        <f>100 - I161</f>
        <v>#VALUE!</v>
      </c>
      <c r="L161" s="3">
        <f>0.45 + D161 / 2</f>
        <v>0.53</v>
      </c>
      <c r="M161" s="3">
        <f>0.45 - D161 / 2</f>
        <v>0.37</v>
      </c>
      <c r="N161" s="3">
        <f>0.75 + E161 / 2</f>
        <v>0.79</v>
      </c>
      <c r="O161" s="3">
        <f>0.75 - E161 / 2</f>
        <v>0.71</v>
      </c>
      <c r="P161" s="3" t="e">
        <f>(H161 * L161 + J161 * N161) / 100</f>
        <v>#VALUE!</v>
      </c>
      <c r="Q161" s="3" t="e">
        <f>(I161 * M161 + K161 * O161) / 100</f>
        <v>#VALUE!</v>
      </c>
      <c r="R161" s="3" t="e">
        <f>P161 - Q161</f>
        <v>#VALUE!</v>
      </c>
      <c r="S161" s="3">
        <f>C161 * D161 + (1 - C161) * E161</f>
        <v>0.11600000000000002</v>
      </c>
      <c r="T161" s="3" t="e">
        <f>IF(R161 &gt; 0, IF(D161 &lt; 0, 1, 0) + IF(E161 &lt; 0, 1, 0), IF(D161 &gt; 0, 1, 0) + IF(E161 &gt; 0, 1, 0))</f>
        <v>#VALUE!</v>
      </c>
      <c r="U161" s="3" t="e">
        <f>T161 / 2</f>
        <v>#VALUE!</v>
      </c>
      <c r="V161" s="3" t="e">
        <f>IF(S161 &gt; 0, R161 &lt; 0, R161 &gt; 0)</f>
        <v>#VALUE!</v>
      </c>
      <c r="W161" s="3" t="e">
        <f>ABS(S161 - R161)</f>
        <v>#VALUE!</v>
      </c>
      <c r="X161" s="3" t="e">
        <f>IF(AND(V161, U161 = 1), "A", IF(AND(V161, U161 &lt; 1), "B", IF(AND(NOT(V161), W161 &gt; 0.01, ABS(R161) &gt; ABS(S161) + 0.001), "C+", IF(AND(NOT(V161), W161 &gt; 0.01, ABS(R161) &lt; ABS(S161) - 0.001), "C-", "D"))))</f>
        <v>#VALUE!</v>
      </c>
    </row>
    <row r="162">
      <c r="A162" s="2" t="s">
        <v>4620</v>
      </c>
      <c r="B162" s="3" t="str">
        <f>A162</f>
        <v>phase-w60-g104-g200-b00</v>
      </c>
      <c r="C162" s="2">
        <v>0.6</v>
      </c>
      <c r="D162" s="2">
        <v>0.04</v>
      </c>
      <c r="E162" s="2">
        <v>-0.08</v>
      </c>
      <c r="F162" s="2">
        <v>0</v>
      </c>
      <c r="G162" s="3" t="e">
        <f>ROUND(200 * C162)</f>
        <v>#VALUE!</v>
      </c>
      <c r="H162" s="3" t="e">
        <f>ROUND(G162 * (0.5 + F162 / 2))</f>
        <v>#VALUE!</v>
      </c>
      <c r="I162" s="3" t="e">
        <f>G162 - H162</f>
        <v>#VALUE!</v>
      </c>
      <c r="J162" s="3" t="e">
        <f>100 - H162</f>
        <v>#VALUE!</v>
      </c>
      <c r="K162" s="3" t="e">
        <f>100 - I162</f>
        <v>#VALUE!</v>
      </c>
      <c r="L162" s="3">
        <f>0.45 + D162 / 2</f>
        <v>0.47000000000000003</v>
      </c>
      <c r="M162" s="3">
        <f>0.45 - D162 / 2</f>
        <v>0.43</v>
      </c>
      <c r="N162" s="3">
        <f>0.75 + E162 / 2</f>
        <v>0.71</v>
      </c>
      <c r="O162" s="3">
        <f>0.75 - E162 / 2</f>
        <v>0.79</v>
      </c>
      <c r="P162" s="3" t="e">
        <f>(H162 * L162 + J162 * N162) / 100</f>
        <v>#VALUE!</v>
      </c>
      <c r="Q162" s="3" t="e">
        <f>(I162 * M162 + K162 * O162) / 100</f>
        <v>#VALUE!</v>
      </c>
      <c r="R162" s="3" t="e">
        <f>P162 - Q162</f>
        <v>#VALUE!</v>
      </c>
      <c r="S162" s="3">
        <f>C162 * D162 + (1 - C162) * E162</f>
        <v>-0.008</v>
      </c>
      <c r="T162" s="3" t="e">
        <f>IF(R162 &gt; 0, IF(D162 &lt; 0, 1, 0) + IF(E162 &lt; 0, 1, 0), IF(D162 &gt; 0, 1, 0) + IF(E162 &gt; 0, 1, 0))</f>
        <v>#VALUE!</v>
      </c>
      <c r="U162" s="3" t="e">
        <f>T162 / 2</f>
        <v>#VALUE!</v>
      </c>
      <c r="V162" s="3" t="e">
        <f>IF(S162 &gt; 0, R162 &lt; 0, R162 &gt; 0)</f>
        <v>#VALUE!</v>
      </c>
      <c r="W162" s="3" t="e">
        <f>ABS(S162 - R162)</f>
        <v>#VALUE!</v>
      </c>
      <c r="X162" s="3" t="e">
        <f>IF(AND(V162, U162 = 1), "A", IF(AND(V162, U162 &lt; 1), "B", IF(AND(NOT(V162), W162 &gt; 0.01, ABS(R162) &gt; ABS(S162) + 0.001), "C+", IF(AND(NOT(V162), W162 &gt; 0.01, ABS(R162) &lt; ABS(S162) - 0.001), "C-", "D"))))</f>
        <v>#VALUE!</v>
      </c>
    </row>
    <row r="163">
      <c r="A163" s="2" t="s">
        <v>4621</v>
      </c>
      <c r="B163" s="3" t="str">
        <f>A163</f>
        <v>phase-w60-g104-g200-b30</v>
      </c>
      <c r="C163" s="2">
        <v>0.6</v>
      </c>
      <c r="D163" s="2">
        <v>0.04</v>
      </c>
      <c r="E163" s="2">
        <v>-0.08</v>
      </c>
      <c r="F163" s="2">
        <v>0.3</v>
      </c>
      <c r="G163" s="3" t="e">
        <f>ROUND(200 * C163)</f>
        <v>#VALUE!</v>
      </c>
      <c r="H163" s="3" t="e">
        <f>ROUND(G163 * (0.5 + F163 / 2))</f>
        <v>#VALUE!</v>
      </c>
      <c r="I163" s="3" t="e">
        <f>G163 - H163</f>
        <v>#VALUE!</v>
      </c>
      <c r="J163" s="3" t="e">
        <f>100 - H163</f>
        <v>#VALUE!</v>
      </c>
      <c r="K163" s="3" t="e">
        <f>100 - I163</f>
        <v>#VALUE!</v>
      </c>
      <c r="L163" s="3">
        <f>0.45 + D163 / 2</f>
        <v>0.47000000000000003</v>
      </c>
      <c r="M163" s="3">
        <f>0.45 - D163 / 2</f>
        <v>0.43</v>
      </c>
      <c r="N163" s="3">
        <f>0.75 + E163 / 2</f>
        <v>0.71</v>
      </c>
      <c r="O163" s="3">
        <f>0.75 - E163 / 2</f>
        <v>0.79</v>
      </c>
      <c r="P163" s="3" t="e">
        <f>(H163 * L163 + J163 * N163) / 100</f>
        <v>#VALUE!</v>
      </c>
      <c r="Q163" s="3" t="e">
        <f>(I163 * M163 + K163 * O163) / 100</f>
        <v>#VALUE!</v>
      </c>
      <c r="R163" s="3" t="e">
        <f>P163 - Q163</f>
        <v>#VALUE!</v>
      </c>
      <c r="S163" s="3">
        <f>C163 * D163 + (1 - C163) * E163</f>
        <v>-0.008</v>
      </c>
      <c r="T163" s="3" t="e">
        <f>IF(R163 &gt; 0, IF(D163 &lt; 0, 1, 0) + IF(E163 &lt; 0, 1, 0), IF(D163 &gt; 0, 1, 0) + IF(E163 &gt; 0, 1, 0))</f>
        <v>#VALUE!</v>
      </c>
      <c r="U163" s="3" t="e">
        <f>T163 / 2</f>
        <v>#VALUE!</v>
      </c>
      <c r="V163" s="3" t="e">
        <f>IF(S163 &gt; 0, R163 &lt; 0, R163 &gt; 0)</f>
        <v>#VALUE!</v>
      </c>
      <c r="W163" s="3" t="e">
        <f>ABS(S163 - R163)</f>
        <v>#VALUE!</v>
      </c>
      <c r="X163" s="3" t="e">
        <f>IF(AND(V163, U163 = 1), "A", IF(AND(V163, U163 &lt; 1), "B", IF(AND(NOT(V163), W163 &gt; 0.01, ABS(R163) &gt; ABS(S163) + 0.001), "C+", IF(AND(NOT(V163), W163 &gt; 0.01, ABS(R163) &lt; ABS(S163) - 0.001), "C-", "D"))))</f>
        <v>#VALUE!</v>
      </c>
    </row>
    <row r="164">
      <c r="A164" s="2" t="s">
        <v>4622</v>
      </c>
      <c r="B164" s="3" t="str">
        <f>A164</f>
        <v>phase-w60-g104-g200-b60</v>
      </c>
      <c r="C164" s="2">
        <v>0.6</v>
      </c>
      <c r="D164" s="2">
        <v>0.04</v>
      </c>
      <c r="E164" s="2">
        <v>-0.08</v>
      </c>
      <c r="F164" s="2">
        <v>0.6</v>
      </c>
      <c r="G164" s="3" t="e">
        <f>ROUND(200 * C164)</f>
        <v>#VALUE!</v>
      </c>
      <c r="H164" s="3" t="e">
        <f>ROUND(G164 * (0.5 + F164 / 2))</f>
        <v>#VALUE!</v>
      </c>
      <c r="I164" s="3" t="e">
        <f>G164 - H164</f>
        <v>#VALUE!</v>
      </c>
      <c r="J164" s="3" t="e">
        <f>100 - H164</f>
        <v>#VALUE!</v>
      </c>
      <c r="K164" s="3" t="e">
        <f>100 - I164</f>
        <v>#VALUE!</v>
      </c>
      <c r="L164" s="3">
        <f>0.45 + D164 / 2</f>
        <v>0.47000000000000003</v>
      </c>
      <c r="M164" s="3">
        <f>0.45 - D164 / 2</f>
        <v>0.43</v>
      </c>
      <c r="N164" s="3">
        <f>0.75 + E164 / 2</f>
        <v>0.71</v>
      </c>
      <c r="O164" s="3">
        <f>0.75 - E164 / 2</f>
        <v>0.79</v>
      </c>
      <c r="P164" s="3" t="e">
        <f>(H164 * L164 + J164 * N164) / 100</f>
        <v>#VALUE!</v>
      </c>
      <c r="Q164" s="3" t="e">
        <f>(I164 * M164 + K164 * O164) / 100</f>
        <v>#VALUE!</v>
      </c>
      <c r="R164" s="3" t="e">
        <f>P164 - Q164</f>
        <v>#VALUE!</v>
      </c>
      <c r="S164" s="3">
        <f>C164 * D164 + (1 - C164) * E164</f>
        <v>-0.008</v>
      </c>
      <c r="T164" s="3" t="e">
        <f>IF(R164 &gt; 0, IF(D164 &lt; 0, 1, 0) + IF(E164 &lt; 0, 1, 0), IF(D164 &gt; 0, 1, 0) + IF(E164 &gt; 0, 1, 0))</f>
        <v>#VALUE!</v>
      </c>
      <c r="U164" s="3" t="e">
        <f>T164 / 2</f>
        <v>#VALUE!</v>
      </c>
      <c r="V164" s="3" t="e">
        <f>IF(S164 &gt; 0, R164 &lt; 0, R164 &gt; 0)</f>
        <v>#VALUE!</v>
      </c>
      <c r="W164" s="3" t="e">
        <f>ABS(S164 - R164)</f>
        <v>#VALUE!</v>
      </c>
      <c r="X164" s="3" t="e">
        <f>IF(AND(V164, U164 = 1), "A", IF(AND(V164, U164 &lt; 1), "B", IF(AND(NOT(V164), W164 &gt; 0.01, ABS(R164) &gt; ABS(S164) + 0.001), "C+", IF(AND(NOT(V164), W164 &gt; 0.01, ABS(R164) &lt; ABS(S164) - 0.001), "C-", "D"))))</f>
        <v>#VALUE!</v>
      </c>
    </row>
    <row r="165">
      <c r="A165" s="2" t="s">
        <v>4623</v>
      </c>
      <c r="B165" s="3" t="str">
        <f>A165</f>
        <v>phase-w60-g104-g208-b00</v>
      </c>
      <c r="C165" s="2">
        <v>0.6</v>
      </c>
      <c r="D165" s="2">
        <v>0.04</v>
      </c>
      <c r="E165" s="2">
        <v>0</v>
      </c>
      <c r="F165" s="2">
        <v>0</v>
      </c>
      <c r="G165" s="3" t="e">
        <f>ROUND(200 * C165)</f>
        <v>#VALUE!</v>
      </c>
      <c r="H165" s="3" t="e">
        <f>ROUND(G165 * (0.5 + F165 / 2))</f>
        <v>#VALUE!</v>
      </c>
      <c r="I165" s="3" t="e">
        <f>G165 - H165</f>
        <v>#VALUE!</v>
      </c>
      <c r="J165" s="3" t="e">
        <f>100 - H165</f>
        <v>#VALUE!</v>
      </c>
      <c r="K165" s="3" t="e">
        <f>100 - I165</f>
        <v>#VALUE!</v>
      </c>
      <c r="L165" s="3">
        <f>0.45 + D165 / 2</f>
        <v>0.47000000000000003</v>
      </c>
      <c r="M165" s="3">
        <f>0.45 - D165 / 2</f>
        <v>0.43</v>
      </c>
      <c r="N165" s="3">
        <f>0.75 + E165 / 2</f>
        <v>0.75</v>
      </c>
      <c r="O165" s="3">
        <f>0.75 - E165 / 2</f>
        <v>0.75</v>
      </c>
      <c r="P165" s="3" t="e">
        <f>(H165 * L165 + J165 * N165) / 100</f>
        <v>#VALUE!</v>
      </c>
      <c r="Q165" s="3" t="e">
        <f>(I165 * M165 + K165 * O165) / 100</f>
        <v>#VALUE!</v>
      </c>
      <c r="R165" s="3" t="e">
        <f>P165 - Q165</f>
        <v>#VALUE!</v>
      </c>
      <c r="S165" s="3">
        <f>C165 * D165 + (1 - C165) * E165</f>
        <v>0.024</v>
      </c>
      <c r="T165" s="3" t="e">
        <f>IF(R165 &gt; 0, IF(D165 &lt; 0, 1, 0) + IF(E165 &lt; 0, 1, 0), IF(D165 &gt; 0, 1, 0) + IF(E165 &gt; 0, 1, 0))</f>
        <v>#VALUE!</v>
      </c>
      <c r="U165" s="3" t="e">
        <f>T165 / 2</f>
        <v>#VALUE!</v>
      </c>
      <c r="V165" s="3" t="e">
        <f>IF(S165 &gt; 0, R165 &lt; 0, R165 &gt; 0)</f>
        <v>#VALUE!</v>
      </c>
      <c r="W165" s="3" t="e">
        <f>ABS(S165 - R165)</f>
        <v>#VALUE!</v>
      </c>
      <c r="X165" s="3" t="e">
        <f>IF(AND(V165, U165 = 1), "A", IF(AND(V165, U165 &lt; 1), "B", IF(AND(NOT(V165), W165 &gt; 0.01, ABS(R165) &gt; ABS(S165) + 0.001), "C+", IF(AND(NOT(V165), W165 &gt; 0.01, ABS(R165) &lt; ABS(S165) - 0.001), "C-", "D"))))</f>
        <v>#VALUE!</v>
      </c>
    </row>
    <row r="166">
      <c r="A166" s="2" t="s">
        <v>4624</v>
      </c>
      <c r="B166" s="3" t="str">
        <f>A166</f>
        <v>phase-w60-g104-g208-b30</v>
      </c>
      <c r="C166" s="2">
        <v>0.6</v>
      </c>
      <c r="D166" s="2">
        <v>0.04</v>
      </c>
      <c r="E166" s="2">
        <v>0</v>
      </c>
      <c r="F166" s="2">
        <v>0.3</v>
      </c>
      <c r="G166" s="3" t="e">
        <f>ROUND(200 * C166)</f>
        <v>#VALUE!</v>
      </c>
      <c r="H166" s="3" t="e">
        <f>ROUND(G166 * (0.5 + F166 / 2))</f>
        <v>#VALUE!</v>
      </c>
      <c r="I166" s="3" t="e">
        <f>G166 - H166</f>
        <v>#VALUE!</v>
      </c>
      <c r="J166" s="3" t="e">
        <f>100 - H166</f>
        <v>#VALUE!</v>
      </c>
      <c r="K166" s="3" t="e">
        <f>100 - I166</f>
        <v>#VALUE!</v>
      </c>
      <c r="L166" s="3">
        <f>0.45 + D166 / 2</f>
        <v>0.47000000000000003</v>
      </c>
      <c r="M166" s="3">
        <f>0.45 - D166 / 2</f>
        <v>0.43</v>
      </c>
      <c r="N166" s="3">
        <f>0.75 + E166 / 2</f>
        <v>0.75</v>
      </c>
      <c r="O166" s="3">
        <f>0.75 - E166 / 2</f>
        <v>0.75</v>
      </c>
      <c r="P166" s="3" t="e">
        <f>(H166 * L166 + J166 * N166) / 100</f>
        <v>#VALUE!</v>
      </c>
      <c r="Q166" s="3" t="e">
        <f>(I166 * M166 + K166 * O166) / 100</f>
        <v>#VALUE!</v>
      </c>
      <c r="R166" s="3" t="e">
        <f>P166 - Q166</f>
        <v>#VALUE!</v>
      </c>
      <c r="S166" s="3">
        <f>C166 * D166 + (1 - C166) * E166</f>
        <v>0.024</v>
      </c>
      <c r="T166" s="3" t="e">
        <f>IF(R166 &gt; 0, IF(D166 &lt; 0, 1, 0) + IF(E166 &lt; 0, 1, 0), IF(D166 &gt; 0, 1, 0) + IF(E166 &gt; 0, 1, 0))</f>
        <v>#VALUE!</v>
      </c>
      <c r="U166" s="3" t="e">
        <f>T166 / 2</f>
        <v>#VALUE!</v>
      </c>
      <c r="V166" s="3" t="e">
        <f>IF(S166 &gt; 0, R166 &lt; 0, R166 &gt; 0)</f>
        <v>#VALUE!</v>
      </c>
      <c r="W166" s="3" t="e">
        <f>ABS(S166 - R166)</f>
        <v>#VALUE!</v>
      </c>
      <c r="X166" s="3" t="e">
        <f>IF(AND(V166, U166 = 1), "A", IF(AND(V166, U166 &lt; 1), "B", IF(AND(NOT(V166), W166 &gt; 0.01, ABS(R166) &gt; ABS(S166) + 0.001), "C+", IF(AND(NOT(V166), W166 &gt; 0.01, ABS(R166) &lt; ABS(S166) - 0.001), "C-", "D"))))</f>
        <v>#VALUE!</v>
      </c>
    </row>
    <row r="167">
      <c r="A167" s="2" t="s">
        <v>4625</v>
      </c>
      <c r="B167" s="3" t="str">
        <f>A167</f>
        <v>phase-w60-g104-g208-b60</v>
      </c>
      <c r="C167" s="2">
        <v>0.6</v>
      </c>
      <c r="D167" s="2">
        <v>0.04</v>
      </c>
      <c r="E167" s="2">
        <v>0</v>
      </c>
      <c r="F167" s="2">
        <v>0.6</v>
      </c>
      <c r="G167" s="3" t="e">
        <f>ROUND(200 * C167)</f>
        <v>#VALUE!</v>
      </c>
      <c r="H167" s="3" t="e">
        <f>ROUND(G167 * (0.5 + F167 / 2))</f>
        <v>#VALUE!</v>
      </c>
      <c r="I167" s="3" t="e">
        <f>G167 - H167</f>
        <v>#VALUE!</v>
      </c>
      <c r="J167" s="3" t="e">
        <f>100 - H167</f>
        <v>#VALUE!</v>
      </c>
      <c r="K167" s="3" t="e">
        <f>100 - I167</f>
        <v>#VALUE!</v>
      </c>
      <c r="L167" s="3">
        <f>0.45 + D167 / 2</f>
        <v>0.47000000000000003</v>
      </c>
      <c r="M167" s="3">
        <f>0.45 - D167 / 2</f>
        <v>0.43</v>
      </c>
      <c r="N167" s="3">
        <f>0.75 + E167 / 2</f>
        <v>0.75</v>
      </c>
      <c r="O167" s="3">
        <f>0.75 - E167 / 2</f>
        <v>0.75</v>
      </c>
      <c r="P167" s="3" t="e">
        <f>(H167 * L167 + J167 * N167) / 100</f>
        <v>#VALUE!</v>
      </c>
      <c r="Q167" s="3" t="e">
        <f>(I167 * M167 + K167 * O167) / 100</f>
        <v>#VALUE!</v>
      </c>
      <c r="R167" s="3" t="e">
        <f>P167 - Q167</f>
        <v>#VALUE!</v>
      </c>
      <c r="S167" s="3">
        <f>C167 * D167 + (1 - C167) * E167</f>
        <v>0.024</v>
      </c>
      <c r="T167" s="3" t="e">
        <f>IF(R167 &gt; 0, IF(D167 &lt; 0, 1, 0) + IF(E167 &lt; 0, 1, 0), IF(D167 &gt; 0, 1, 0) + IF(E167 &gt; 0, 1, 0))</f>
        <v>#VALUE!</v>
      </c>
      <c r="U167" s="3" t="e">
        <f>T167 / 2</f>
        <v>#VALUE!</v>
      </c>
      <c r="V167" s="3" t="e">
        <f>IF(S167 &gt; 0, R167 &lt; 0, R167 &gt; 0)</f>
        <v>#VALUE!</v>
      </c>
      <c r="W167" s="3" t="e">
        <f>ABS(S167 - R167)</f>
        <v>#VALUE!</v>
      </c>
      <c r="X167" s="3" t="e">
        <f>IF(AND(V167, U167 = 1), "A", IF(AND(V167, U167 &lt; 1), "B", IF(AND(NOT(V167), W167 &gt; 0.01, ABS(R167) &gt; ABS(S167) + 0.001), "C+", IF(AND(NOT(V167), W167 &gt; 0.01, ABS(R167) &lt; ABS(S167) - 0.001), "C-", "D"))))</f>
        <v>#VALUE!</v>
      </c>
    </row>
    <row r="168">
      <c r="A168" s="2" t="s">
        <v>4626</v>
      </c>
      <c r="B168" s="3" t="str">
        <f>A168</f>
        <v>phase-w60-g104-g212-b00</v>
      </c>
      <c r="C168" s="2">
        <v>0.6</v>
      </c>
      <c r="D168" s="2">
        <v>0.04</v>
      </c>
      <c r="E168" s="2">
        <v>0.04</v>
      </c>
      <c r="F168" s="2">
        <v>0</v>
      </c>
      <c r="G168" s="3" t="e">
        <f>ROUND(200 * C168)</f>
        <v>#VALUE!</v>
      </c>
      <c r="H168" s="3" t="e">
        <f>ROUND(G168 * (0.5 + F168 / 2))</f>
        <v>#VALUE!</v>
      </c>
      <c r="I168" s="3" t="e">
        <f>G168 - H168</f>
        <v>#VALUE!</v>
      </c>
      <c r="J168" s="3" t="e">
        <f>100 - H168</f>
        <v>#VALUE!</v>
      </c>
      <c r="K168" s="3" t="e">
        <f>100 - I168</f>
        <v>#VALUE!</v>
      </c>
      <c r="L168" s="3">
        <f>0.45 + D168 / 2</f>
        <v>0.47000000000000003</v>
      </c>
      <c r="M168" s="3">
        <f>0.45 - D168 / 2</f>
        <v>0.43</v>
      </c>
      <c r="N168" s="3">
        <f>0.75 + E168 / 2</f>
        <v>0.77</v>
      </c>
      <c r="O168" s="3">
        <f>0.75 - E168 / 2</f>
        <v>0.73</v>
      </c>
      <c r="P168" s="3" t="e">
        <f>(H168 * L168 + J168 * N168) / 100</f>
        <v>#VALUE!</v>
      </c>
      <c r="Q168" s="3" t="e">
        <f>(I168 * M168 + K168 * O168) / 100</f>
        <v>#VALUE!</v>
      </c>
      <c r="R168" s="3" t="e">
        <f>P168 - Q168</f>
        <v>#VALUE!</v>
      </c>
      <c r="S168" s="3">
        <f>C168 * D168 + (1 - C168) * E168</f>
        <v>0.04</v>
      </c>
      <c r="T168" s="3" t="e">
        <f>IF(R168 &gt; 0, IF(D168 &lt; 0, 1, 0) + IF(E168 &lt; 0, 1, 0), IF(D168 &gt; 0, 1, 0) + IF(E168 &gt; 0, 1, 0))</f>
        <v>#VALUE!</v>
      </c>
      <c r="U168" s="3" t="e">
        <f>T168 / 2</f>
        <v>#VALUE!</v>
      </c>
      <c r="V168" s="3" t="e">
        <f>IF(S168 &gt; 0, R168 &lt; 0, R168 &gt; 0)</f>
        <v>#VALUE!</v>
      </c>
      <c r="W168" s="3" t="e">
        <f>ABS(S168 - R168)</f>
        <v>#VALUE!</v>
      </c>
      <c r="X168" s="3" t="e">
        <f>IF(AND(V168, U168 = 1), "A", IF(AND(V168, U168 &lt; 1), "B", IF(AND(NOT(V168), W168 &gt; 0.01, ABS(R168) &gt; ABS(S168) + 0.001), "C+", IF(AND(NOT(V168), W168 &gt; 0.01, ABS(R168) &lt; ABS(S168) - 0.001), "C-", "D"))))</f>
        <v>#VALUE!</v>
      </c>
    </row>
    <row r="169">
      <c r="A169" s="2" t="s">
        <v>4627</v>
      </c>
      <c r="B169" s="3" t="str">
        <f>A169</f>
        <v>phase-w60-g104-g212-b30</v>
      </c>
      <c r="C169" s="2">
        <v>0.6</v>
      </c>
      <c r="D169" s="2">
        <v>0.04</v>
      </c>
      <c r="E169" s="2">
        <v>0.04</v>
      </c>
      <c r="F169" s="2">
        <v>0.3</v>
      </c>
      <c r="G169" s="3" t="e">
        <f>ROUND(200 * C169)</f>
        <v>#VALUE!</v>
      </c>
      <c r="H169" s="3" t="e">
        <f>ROUND(G169 * (0.5 + F169 / 2))</f>
        <v>#VALUE!</v>
      </c>
      <c r="I169" s="3" t="e">
        <f>G169 - H169</f>
        <v>#VALUE!</v>
      </c>
      <c r="J169" s="3" t="e">
        <f>100 - H169</f>
        <v>#VALUE!</v>
      </c>
      <c r="K169" s="3" t="e">
        <f>100 - I169</f>
        <v>#VALUE!</v>
      </c>
      <c r="L169" s="3">
        <f>0.45 + D169 / 2</f>
        <v>0.47000000000000003</v>
      </c>
      <c r="M169" s="3">
        <f>0.45 - D169 / 2</f>
        <v>0.43</v>
      </c>
      <c r="N169" s="3">
        <f>0.75 + E169 / 2</f>
        <v>0.77</v>
      </c>
      <c r="O169" s="3">
        <f>0.75 - E169 / 2</f>
        <v>0.73</v>
      </c>
      <c r="P169" s="3" t="e">
        <f>(H169 * L169 + J169 * N169) / 100</f>
        <v>#VALUE!</v>
      </c>
      <c r="Q169" s="3" t="e">
        <f>(I169 * M169 + K169 * O169) / 100</f>
        <v>#VALUE!</v>
      </c>
      <c r="R169" s="3" t="e">
        <f>P169 - Q169</f>
        <v>#VALUE!</v>
      </c>
      <c r="S169" s="3">
        <f>C169 * D169 + (1 - C169) * E169</f>
        <v>0.04</v>
      </c>
      <c r="T169" s="3" t="e">
        <f>IF(R169 &gt; 0, IF(D169 &lt; 0, 1, 0) + IF(E169 &lt; 0, 1, 0), IF(D169 &gt; 0, 1, 0) + IF(E169 &gt; 0, 1, 0))</f>
        <v>#VALUE!</v>
      </c>
      <c r="U169" s="3" t="e">
        <f>T169 / 2</f>
        <v>#VALUE!</v>
      </c>
      <c r="V169" s="3" t="e">
        <f>IF(S169 &gt; 0, R169 &lt; 0, R169 &gt; 0)</f>
        <v>#VALUE!</v>
      </c>
      <c r="W169" s="3" t="e">
        <f>ABS(S169 - R169)</f>
        <v>#VALUE!</v>
      </c>
      <c r="X169" s="3" t="e">
        <f>IF(AND(V169, U169 = 1), "A", IF(AND(V169, U169 &lt; 1), "B", IF(AND(NOT(V169), W169 &gt; 0.01, ABS(R169) &gt; ABS(S169) + 0.001), "C+", IF(AND(NOT(V169), W169 &gt; 0.01, ABS(R169) &lt; ABS(S169) - 0.001), "C-", "D"))))</f>
        <v>#VALUE!</v>
      </c>
    </row>
    <row r="170">
      <c r="A170" s="2" t="s">
        <v>4628</v>
      </c>
      <c r="B170" s="3" t="str">
        <f>A170</f>
        <v>phase-w60-g104-g212-b60</v>
      </c>
      <c r="C170" s="2">
        <v>0.6</v>
      </c>
      <c r="D170" s="2">
        <v>0.04</v>
      </c>
      <c r="E170" s="2">
        <v>0.04</v>
      </c>
      <c r="F170" s="2">
        <v>0.6</v>
      </c>
      <c r="G170" s="3" t="e">
        <f>ROUND(200 * C170)</f>
        <v>#VALUE!</v>
      </c>
      <c r="H170" s="3" t="e">
        <f>ROUND(G170 * (0.5 + F170 / 2))</f>
        <v>#VALUE!</v>
      </c>
      <c r="I170" s="3" t="e">
        <f>G170 - H170</f>
        <v>#VALUE!</v>
      </c>
      <c r="J170" s="3" t="e">
        <f>100 - H170</f>
        <v>#VALUE!</v>
      </c>
      <c r="K170" s="3" t="e">
        <f>100 - I170</f>
        <v>#VALUE!</v>
      </c>
      <c r="L170" s="3">
        <f>0.45 + D170 / 2</f>
        <v>0.47000000000000003</v>
      </c>
      <c r="M170" s="3">
        <f>0.45 - D170 / 2</f>
        <v>0.43</v>
      </c>
      <c r="N170" s="3">
        <f>0.75 + E170 / 2</f>
        <v>0.77</v>
      </c>
      <c r="O170" s="3">
        <f>0.75 - E170 / 2</f>
        <v>0.73</v>
      </c>
      <c r="P170" s="3" t="e">
        <f>(H170 * L170 + J170 * N170) / 100</f>
        <v>#VALUE!</v>
      </c>
      <c r="Q170" s="3" t="e">
        <f>(I170 * M170 + K170 * O170) / 100</f>
        <v>#VALUE!</v>
      </c>
      <c r="R170" s="3" t="e">
        <f>P170 - Q170</f>
        <v>#VALUE!</v>
      </c>
      <c r="S170" s="3">
        <f>C170 * D170 + (1 - C170) * E170</f>
        <v>0.04</v>
      </c>
      <c r="T170" s="3" t="e">
        <f>IF(R170 &gt; 0, IF(D170 &lt; 0, 1, 0) + IF(E170 &lt; 0, 1, 0), IF(D170 &gt; 0, 1, 0) + IF(E170 &gt; 0, 1, 0))</f>
        <v>#VALUE!</v>
      </c>
      <c r="U170" s="3" t="e">
        <f>T170 / 2</f>
        <v>#VALUE!</v>
      </c>
      <c r="V170" s="3" t="e">
        <f>IF(S170 &gt; 0, R170 &lt; 0, R170 &gt; 0)</f>
        <v>#VALUE!</v>
      </c>
      <c r="W170" s="3" t="e">
        <f>ABS(S170 - R170)</f>
        <v>#VALUE!</v>
      </c>
      <c r="X170" s="3" t="e">
        <f>IF(AND(V170, U170 = 1), "A", IF(AND(V170, U170 &lt; 1), "B", IF(AND(NOT(V170), W170 &gt; 0.01, ABS(R170) &gt; ABS(S170) + 0.001), "C+", IF(AND(NOT(V170), W170 &gt; 0.01, ABS(R170) &lt; ABS(S170) - 0.001), "C-", "D"))))</f>
        <v>#VALUE!</v>
      </c>
    </row>
    <row r="171">
      <c r="A171" s="2" t="s">
        <v>4629</v>
      </c>
      <c r="B171" s="3" t="str">
        <f>A171</f>
        <v>phase-w60-g104-g216-b00</v>
      </c>
      <c r="C171" s="2">
        <v>0.6</v>
      </c>
      <c r="D171" s="2">
        <v>0.04</v>
      </c>
      <c r="E171" s="2">
        <v>0.08</v>
      </c>
      <c r="F171" s="2">
        <v>0</v>
      </c>
      <c r="G171" s="3" t="e">
        <f>ROUND(200 * C171)</f>
        <v>#VALUE!</v>
      </c>
      <c r="H171" s="3" t="e">
        <f>ROUND(G171 * (0.5 + F171 / 2))</f>
        <v>#VALUE!</v>
      </c>
      <c r="I171" s="3" t="e">
        <f>G171 - H171</f>
        <v>#VALUE!</v>
      </c>
      <c r="J171" s="3" t="e">
        <f>100 - H171</f>
        <v>#VALUE!</v>
      </c>
      <c r="K171" s="3" t="e">
        <f>100 - I171</f>
        <v>#VALUE!</v>
      </c>
      <c r="L171" s="3">
        <f>0.45 + D171 / 2</f>
        <v>0.47000000000000003</v>
      </c>
      <c r="M171" s="3">
        <f>0.45 - D171 / 2</f>
        <v>0.43</v>
      </c>
      <c r="N171" s="3">
        <f>0.75 + E171 / 2</f>
        <v>0.79</v>
      </c>
      <c r="O171" s="3">
        <f>0.75 - E171 / 2</f>
        <v>0.71</v>
      </c>
      <c r="P171" s="3" t="e">
        <f>(H171 * L171 + J171 * N171) / 100</f>
        <v>#VALUE!</v>
      </c>
      <c r="Q171" s="3" t="e">
        <f>(I171 * M171 + K171 * O171) / 100</f>
        <v>#VALUE!</v>
      </c>
      <c r="R171" s="3" t="e">
        <f>P171 - Q171</f>
        <v>#VALUE!</v>
      </c>
      <c r="S171" s="3">
        <f>C171 * D171 + (1 - C171) * E171</f>
        <v>0.056</v>
      </c>
      <c r="T171" s="3" t="e">
        <f>IF(R171 &gt; 0, IF(D171 &lt; 0, 1, 0) + IF(E171 &lt; 0, 1, 0), IF(D171 &gt; 0, 1, 0) + IF(E171 &gt; 0, 1, 0))</f>
        <v>#VALUE!</v>
      </c>
      <c r="U171" s="3" t="e">
        <f>T171 / 2</f>
        <v>#VALUE!</v>
      </c>
      <c r="V171" s="3" t="e">
        <f>IF(S171 &gt; 0, R171 &lt; 0, R171 &gt; 0)</f>
        <v>#VALUE!</v>
      </c>
      <c r="W171" s="3" t="e">
        <f>ABS(S171 - R171)</f>
        <v>#VALUE!</v>
      </c>
      <c r="X171" s="3" t="e">
        <f>IF(AND(V171, U171 = 1), "A", IF(AND(V171, U171 &lt; 1), "B", IF(AND(NOT(V171), W171 &gt; 0.01, ABS(R171) &gt; ABS(S171) + 0.001), "C+", IF(AND(NOT(V171), W171 &gt; 0.01, ABS(R171) &lt; ABS(S171) - 0.001), "C-", "D"))))</f>
        <v>#VALUE!</v>
      </c>
    </row>
    <row r="172">
      <c r="A172" s="2" t="s">
        <v>4630</v>
      </c>
      <c r="B172" s="3" t="str">
        <f>A172</f>
        <v>phase-w60-g104-g216-b30</v>
      </c>
      <c r="C172" s="2">
        <v>0.6</v>
      </c>
      <c r="D172" s="2">
        <v>0.04</v>
      </c>
      <c r="E172" s="2">
        <v>0.08</v>
      </c>
      <c r="F172" s="2">
        <v>0.3</v>
      </c>
      <c r="G172" s="3" t="e">
        <f>ROUND(200 * C172)</f>
        <v>#VALUE!</v>
      </c>
      <c r="H172" s="3" t="e">
        <f>ROUND(G172 * (0.5 + F172 / 2))</f>
        <v>#VALUE!</v>
      </c>
      <c r="I172" s="3" t="e">
        <f>G172 - H172</f>
        <v>#VALUE!</v>
      </c>
      <c r="J172" s="3" t="e">
        <f>100 - H172</f>
        <v>#VALUE!</v>
      </c>
      <c r="K172" s="3" t="e">
        <f>100 - I172</f>
        <v>#VALUE!</v>
      </c>
      <c r="L172" s="3">
        <f>0.45 + D172 / 2</f>
        <v>0.47000000000000003</v>
      </c>
      <c r="M172" s="3">
        <f>0.45 - D172 / 2</f>
        <v>0.43</v>
      </c>
      <c r="N172" s="3">
        <f>0.75 + E172 / 2</f>
        <v>0.79</v>
      </c>
      <c r="O172" s="3">
        <f>0.75 - E172 / 2</f>
        <v>0.71</v>
      </c>
      <c r="P172" s="3" t="e">
        <f>(H172 * L172 + J172 * N172) / 100</f>
        <v>#VALUE!</v>
      </c>
      <c r="Q172" s="3" t="e">
        <f>(I172 * M172 + K172 * O172) / 100</f>
        <v>#VALUE!</v>
      </c>
      <c r="R172" s="3" t="e">
        <f>P172 - Q172</f>
        <v>#VALUE!</v>
      </c>
      <c r="S172" s="3">
        <f>C172 * D172 + (1 - C172) * E172</f>
        <v>0.056</v>
      </c>
      <c r="T172" s="3" t="e">
        <f>IF(R172 &gt; 0, IF(D172 &lt; 0, 1, 0) + IF(E172 &lt; 0, 1, 0), IF(D172 &gt; 0, 1, 0) + IF(E172 &gt; 0, 1, 0))</f>
        <v>#VALUE!</v>
      </c>
      <c r="U172" s="3" t="e">
        <f>T172 / 2</f>
        <v>#VALUE!</v>
      </c>
      <c r="V172" s="3" t="e">
        <f>IF(S172 &gt; 0, R172 &lt; 0, R172 &gt; 0)</f>
        <v>#VALUE!</v>
      </c>
      <c r="W172" s="3" t="e">
        <f>ABS(S172 - R172)</f>
        <v>#VALUE!</v>
      </c>
      <c r="X172" s="3" t="e">
        <f>IF(AND(V172, U172 = 1), "A", IF(AND(V172, U172 &lt; 1), "B", IF(AND(NOT(V172), W172 &gt; 0.01, ABS(R172) &gt; ABS(S172) + 0.001), "C+", IF(AND(NOT(V172), W172 &gt; 0.01, ABS(R172) &lt; ABS(S172) - 0.001), "C-", "D"))))</f>
        <v>#VALUE!</v>
      </c>
    </row>
    <row r="173">
      <c r="A173" s="2" t="s">
        <v>4631</v>
      </c>
      <c r="B173" s="3" t="str">
        <f>A173</f>
        <v>phase-w60-g104-g216-b60</v>
      </c>
      <c r="C173" s="2">
        <v>0.6</v>
      </c>
      <c r="D173" s="2">
        <v>0.04</v>
      </c>
      <c r="E173" s="2">
        <v>0.08</v>
      </c>
      <c r="F173" s="2">
        <v>0.6</v>
      </c>
      <c r="G173" s="3" t="e">
        <f>ROUND(200 * C173)</f>
        <v>#VALUE!</v>
      </c>
      <c r="H173" s="3" t="e">
        <f>ROUND(G173 * (0.5 + F173 / 2))</f>
        <v>#VALUE!</v>
      </c>
      <c r="I173" s="3" t="e">
        <f>G173 - H173</f>
        <v>#VALUE!</v>
      </c>
      <c r="J173" s="3" t="e">
        <f>100 - H173</f>
        <v>#VALUE!</v>
      </c>
      <c r="K173" s="3" t="e">
        <f>100 - I173</f>
        <v>#VALUE!</v>
      </c>
      <c r="L173" s="3">
        <f>0.45 + D173 / 2</f>
        <v>0.47000000000000003</v>
      </c>
      <c r="M173" s="3">
        <f>0.45 - D173 / 2</f>
        <v>0.43</v>
      </c>
      <c r="N173" s="3">
        <f>0.75 + E173 / 2</f>
        <v>0.79</v>
      </c>
      <c r="O173" s="3">
        <f>0.75 - E173 / 2</f>
        <v>0.71</v>
      </c>
      <c r="P173" s="3" t="e">
        <f>(H173 * L173 + J173 * N173) / 100</f>
        <v>#VALUE!</v>
      </c>
      <c r="Q173" s="3" t="e">
        <f>(I173 * M173 + K173 * O173) / 100</f>
        <v>#VALUE!</v>
      </c>
      <c r="R173" s="3" t="e">
        <f>P173 - Q173</f>
        <v>#VALUE!</v>
      </c>
      <c r="S173" s="3">
        <f>C173 * D173 + (1 - C173) * E173</f>
        <v>0.056</v>
      </c>
      <c r="T173" s="3" t="e">
        <f>IF(R173 &gt; 0, IF(D173 &lt; 0, 1, 0) + IF(E173 &lt; 0, 1, 0), IF(D173 &gt; 0, 1, 0) + IF(E173 &gt; 0, 1, 0))</f>
        <v>#VALUE!</v>
      </c>
      <c r="U173" s="3" t="e">
        <f>T173 / 2</f>
        <v>#VALUE!</v>
      </c>
      <c r="V173" s="3" t="e">
        <f>IF(S173 &gt; 0, R173 &lt; 0, R173 &gt; 0)</f>
        <v>#VALUE!</v>
      </c>
      <c r="W173" s="3" t="e">
        <f>ABS(S173 - R173)</f>
        <v>#VALUE!</v>
      </c>
      <c r="X173" s="3" t="e">
        <f>IF(AND(V173, U173 = 1), "A", IF(AND(V173, U173 &lt; 1), "B", IF(AND(NOT(V173), W173 &gt; 0.01, ABS(R173) &gt; ABS(S173) + 0.001), "C+", IF(AND(NOT(V173), W173 &gt; 0.01, ABS(R173) &lt; ABS(S173) - 0.001), "C-", "D"))))</f>
        <v>#VALUE!</v>
      </c>
    </row>
    <row r="174">
      <c r="A174" s="2" t="s">
        <v>4632</v>
      </c>
      <c r="B174" s="3" t="str">
        <f>A174</f>
        <v>phase-w60-g108-g200-b00</v>
      </c>
      <c r="C174" s="2">
        <v>0.6</v>
      </c>
      <c r="D174" s="2">
        <v>0.08</v>
      </c>
      <c r="E174" s="2">
        <v>-0.08</v>
      </c>
      <c r="F174" s="2">
        <v>0</v>
      </c>
      <c r="G174" s="3" t="e">
        <f>ROUND(200 * C174)</f>
        <v>#VALUE!</v>
      </c>
      <c r="H174" s="3" t="e">
        <f>ROUND(G174 * (0.5 + F174 / 2))</f>
        <v>#VALUE!</v>
      </c>
      <c r="I174" s="3" t="e">
        <f>G174 - H174</f>
        <v>#VALUE!</v>
      </c>
      <c r="J174" s="3" t="e">
        <f>100 - H174</f>
        <v>#VALUE!</v>
      </c>
      <c r="K174" s="3" t="e">
        <f>100 - I174</f>
        <v>#VALUE!</v>
      </c>
      <c r="L174" s="3">
        <f>0.45 + D174 / 2</f>
        <v>0.49</v>
      </c>
      <c r="M174" s="3">
        <f>0.45 - D174 / 2</f>
        <v>0.41000000000000003</v>
      </c>
      <c r="N174" s="3">
        <f>0.75 + E174 / 2</f>
        <v>0.71</v>
      </c>
      <c r="O174" s="3">
        <f>0.75 - E174 / 2</f>
        <v>0.79</v>
      </c>
      <c r="P174" s="3" t="e">
        <f>(H174 * L174 + J174 * N174) / 100</f>
        <v>#VALUE!</v>
      </c>
      <c r="Q174" s="3" t="e">
        <f>(I174 * M174 + K174 * O174) / 100</f>
        <v>#VALUE!</v>
      </c>
      <c r="R174" s="3" t="e">
        <f>P174 - Q174</f>
        <v>#VALUE!</v>
      </c>
      <c r="S174" s="3">
        <f>C174 * D174 + (1 - C174) * E174</f>
        <v>0.016</v>
      </c>
      <c r="T174" s="3" t="e">
        <f>IF(R174 &gt; 0, IF(D174 &lt; 0, 1, 0) + IF(E174 &lt; 0, 1, 0), IF(D174 &gt; 0, 1, 0) + IF(E174 &gt; 0, 1, 0))</f>
        <v>#VALUE!</v>
      </c>
      <c r="U174" s="3" t="e">
        <f>T174 / 2</f>
        <v>#VALUE!</v>
      </c>
      <c r="V174" s="3" t="e">
        <f>IF(S174 &gt; 0, R174 &lt; 0, R174 &gt; 0)</f>
        <v>#VALUE!</v>
      </c>
      <c r="W174" s="3" t="e">
        <f>ABS(S174 - R174)</f>
        <v>#VALUE!</v>
      </c>
      <c r="X174" s="3" t="e">
        <f>IF(AND(V174, U174 = 1), "A", IF(AND(V174, U174 &lt; 1), "B", IF(AND(NOT(V174), W174 &gt; 0.01, ABS(R174) &gt; ABS(S174) + 0.001), "C+", IF(AND(NOT(V174), W174 &gt; 0.01, ABS(R174) &lt; ABS(S174) - 0.001), "C-", "D"))))</f>
        <v>#VALUE!</v>
      </c>
    </row>
    <row r="175">
      <c r="A175" s="2" t="s">
        <v>4633</v>
      </c>
      <c r="B175" s="3" t="str">
        <f>A175</f>
        <v>phase-w60-g108-g200-b30</v>
      </c>
      <c r="C175" s="2">
        <v>0.6</v>
      </c>
      <c r="D175" s="2">
        <v>0.08</v>
      </c>
      <c r="E175" s="2">
        <v>-0.08</v>
      </c>
      <c r="F175" s="2">
        <v>0.3</v>
      </c>
      <c r="G175" s="3" t="e">
        <f>ROUND(200 * C175)</f>
        <v>#VALUE!</v>
      </c>
      <c r="H175" s="3" t="e">
        <f>ROUND(G175 * (0.5 + F175 / 2))</f>
        <v>#VALUE!</v>
      </c>
      <c r="I175" s="3" t="e">
        <f>G175 - H175</f>
        <v>#VALUE!</v>
      </c>
      <c r="J175" s="3" t="e">
        <f>100 - H175</f>
        <v>#VALUE!</v>
      </c>
      <c r="K175" s="3" t="e">
        <f>100 - I175</f>
        <v>#VALUE!</v>
      </c>
      <c r="L175" s="3">
        <f>0.45 + D175 / 2</f>
        <v>0.49</v>
      </c>
      <c r="M175" s="3">
        <f>0.45 - D175 / 2</f>
        <v>0.41000000000000003</v>
      </c>
      <c r="N175" s="3">
        <f>0.75 + E175 / 2</f>
        <v>0.71</v>
      </c>
      <c r="O175" s="3">
        <f>0.75 - E175 / 2</f>
        <v>0.79</v>
      </c>
      <c r="P175" s="3" t="e">
        <f>(H175 * L175 + J175 * N175) / 100</f>
        <v>#VALUE!</v>
      </c>
      <c r="Q175" s="3" t="e">
        <f>(I175 * M175 + K175 * O175) / 100</f>
        <v>#VALUE!</v>
      </c>
      <c r="R175" s="3" t="e">
        <f>P175 - Q175</f>
        <v>#VALUE!</v>
      </c>
      <c r="S175" s="3">
        <f>C175 * D175 + (1 - C175) * E175</f>
        <v>0.016</v>
      </c>
      <c r="T175" s="3" t="e">
        <f>IF(R175 &gt; 0, IF(D175 &lt; 0, 1, 0) + IF(E175 &lt; 0, 1, 0), IF(D175 &gt; 0, 1, 0) + IF(E175 &gt; 0, 1, 0))</f>
        <v>#VALUE!</v>
      </c>
      <c r="U175" s="3" t="e">
        <f>T175 / 2</f>
        <v>#VALUE!</v>
      </c>
      <c r="V175" s="3" t="e">
        <f>IF(S175 &gt; 0, R175 &lt; 0, R175 &gt; 0)</f>
        <v>#VALUE!</v>
      </c>
      <c r="W175" s="3" t="e">
        <f>ABS(S175 - R175)</f>
        <v>#VALUE!</v>
      </c>
      <c r="X175" s="3" t="e">
        <f>IF(AND(V175, U175 = 1), "A", IF(AND(V175, U175 &lt; 1), "B", IF(AND(NOT(V175), W175 &gt; 0.01, ABS(R175) &gt; ABS(S175) + 0.001), "C+", IF(AND(NOT(V175), W175 &gt; 0.01, ABS(R175) &lt; ABS(S175) - 0.001), "C-", "D"))))</f>
        <v>#VALUE!</v>
      </c>
    </row>
    <row r="176">
      <c r="A176" s="2" t="s">
        <v>4634</v>
      </c>
      <c r="B176" s="3" t="str">
        <f>A176</f>
        <v>phase-w60-g108-g200-b60</v>
      </c>
      <c r="C176" s="2">
        <v>0.6</v>
      </c>
      <c r="D176" s="2">
        <v>0.08</v>
      </c>
      <c r="E176" s="2">
        <v>-0.08</v>
      </c>
      <c r="F176" s="2">
        <v>0.6</v>
      </c>
      <c r="G176" s="3" t="e">
        <f>ROUND(200 * C176)</f>
        <v>#VALUE!</v>
      </c>
      <c r="H176" s="3" t="e">
        <f>ROUND(G176 * (0.5 + F176 / 2))</f>
        <v>#VALUE!</v>
      </c>
      <c r="I176" s="3" t="e">
        <f>G176 - H176</f>
        <v>#VALUE!</v>
      </c>
      <c r="J176" s="3" t="e">
        <f>100 - H176</f>
        <v>#VALUE!</v>
      </c>
      <c r="K176" s="3" t="e">
        <f>100 - I176</f>
        <v>#VALUE!</v>
      </c>
      <c r="L176" s="3">
        <f>0.45 + D176 / 2</f>
        <v>0.49</v>
      </c>
      <c r="M176" s="3">
        <f>0.45 - D176 / 2</f>
        <v>0.41000000000000003</v>
      </c>
      <c r="N176" s="3">
        <f>0.75 + E176 / 2</f>
        <v>0.71</v>
      </c>
      <c r="O176" s="3">
        <f>0.75 - E176 / 2</f>
        <v>0.79</v>
      </c>
      <c r="P176" s="3" t="e">
        <f>(H176 * L176 + J176 * N176) / 100</f>
        <v>#VALUE!</v>
      </c>
      <c r="Q176" s="3" t="e">
        <f>(I176 * M176 + K176 * O176) / 100</f>
        <v>#VALUE!</v>
      </c>
      <c r="R176" s="3" t="e">
        <f>P176 - Q176</f>
        <v>#VALUE!</v>
      </c>
      <c r="S176" s="3">
        <f>C176 * D176 + (1 - C176) * E176</f>
        <v>0.016</v>
      </c>
      <c r="T176" s="3" t="e">
        <f>IF(R176 &gt; 0, IF(D176 &lt; 0, 1, 0) + IF(E176 &lt; 0, 1, 0), IF(D176 &gt; 0, 1, 0) + IF(E176 &gt; 0, 1, 0))</f>
        <v>#VALUE!</v>
      </c>
      <c r="U176" s="3" t="e">
        <f>T176 / 2</f>
        <v>#VALUE!</v>
      </c>
      <c r="V176" s="3" t="e">
        <f>IF(S176 &gt; 0, R176 &lt; 0, R176 &gt; 0)</f>
        <v>#VALUE!</v>
      </c>
      <c r="W176" s="3" t="e">
        <f>ABS(S176 - R176)</f>
        <v>#VALUE!</v>
      </c>
      <c r="X176" s="3" t="e">
        <f>IF(AND(V176, U176 = 1), "A", IF(AND(V176, U176 &lt; 1), "B", IF(AND(NOT(V176), W176 &gt; 0.01, ABS(R176) &gt; ABS(S176) + 0.001), "C+", IF(AND(NOT(V176), W176 &gt; 0.01, ABS(R176) &lt; ABS(S176) - 0.001), "C-", "D"))))</f>
        <v>#VALUE!</v>
      </c>
    </row>
    <row r="177">
      <c r="A177" s="2" t="s">
        <v>4635</v>
      </c>
      <c r="B177" s="3" t="str">
        <f>A177</f>
        <v>phase-w60-g108-g208-b00</v>
      </c>
      <c r="C177" s="2">
        <v>0.6</v>
      </c>
      <c r="D177" s="2">
        <v>0.08</v>
      </c>
      <c r="E177" s="2">
        <v>0</v>
      </c>
      <c r="F177" s="2">
        <v>0</v>
      </c>
      <c r="G177" s="3" t="e">
        <f>ROUND(200 * C177)</f>
        <v>#VALUE!</v>
      </c>
      <c r="H177" s="3" t="e">
        <f>ROUND(G177 * (0.5 + F177 / 2))</f>
        <v>#VALUE!</v>
      </c>
      <c r="I177" s="3" t="e">
        <f>G177 - H177</f>
        <v>#VALUE!</v>
      </c>
      <c r="J177" s="3" t="e">
        <f>100 - H177</f>
        <v>#VALUE!</v>
      </c>
      <c r="K177" s="3" t="e">
        <f>100 - I177</f>
        <v>#VALUE!</v>
      </c>
      <c r="L177" s="3">
        <f>0.45 + D177 / 2</f>
        <v>0.49</v>
      </c>
      <c r="M177" s="3">
        <f>0.45 - D177 / 2</f>
        <v>0.41000000000000003</v>
      </c>
      <c r="N177" s="3">
        <f>0.75 + E177 / 2</f>
        <v>0.75</v>
      </c>
      <c r="O177" s="3">
        <f>0.75 - E177 / 2</f>
        <v>0.75</v>
      </c>
      <c r="P177" s="3" t="e">
        <f>(H177 * L177 + J177 * N177) / 100</f>
        <v>#VALUE!</v>
      </c>
      <c r="Q177" s="3" t="e">
        <f>(I177 * M177 + K177 * O177) / 100</f>
        <v>#VALUE!</v>
      </c>
      <c r="R177" s="3" t="e">
        <f>P177 - Q177</f>
        <v>#VALUE!</v>
      </c>
      <c r="S177" s="3">
        <f>C177 * D177 + (1 - C177) * E177</f>
        <v>0.048</v>
      </c>
      <c r="T177" s="3" t="e">
        <f>IF(R177 &gt; 0, IF(D177 &lt; 0, 1, 0) + IF(E177 &lt; 0, 1, 0), IF(D177 &gt; 0, 1, 0) + IF(E177 &gt; 0, 1, 0))</f>
        <v>#VALUE!</v>
      </c>
      <c r="U177" s="3" t="e">
        <f>T177 / 2</f>
        <v>#VALUE!</v>
      </c>
      <c r="V177" s="3" t="e">
        <f>IF(S177 &gt; 0, R177 &lt; 0, R177 &gt; 0)</f>
        <v>#VALUE!</v>
      </c>
      <c r="W177" s="3" t="e">
        <f>ABS(S177 - R177)</f>
        <v>#VALUE!</v>
      </c>
      <c r="X177" s="3" t="e">
        <f>IF(AND(V177, U177 = 1), "A", IF(AND(V177, U177 &lt; 1), "B", IF(AND(NOT(V177), W177 &gt; 0.01, ABS(R177) &gt; ABS(S177) + 0.001), "C+", IF(AND(NOT(V177), W177 &gt; 0.01, ABS(R177) &lt; ABS(S177) - 0.001), "C-", "D"))))</f>
        <v>#VALUE!</v>
      </c>
    </row>
    <row r="178">
      <c r="A178" s="2" t="s">
        <v>4636</v>
      </c>
      <c r="B178" s="3" t="str">
        <f>A178</f>
        <v>phase-w60-g108-g208-b30</v>
      </c>
      <c r="C178" s="2">
        <v>0.6</v>
      </c>
      <c r="D178" s="2">
        <v>0.08</v>
      </c>
      <c r="E178" s="2">
        <v>0</v>
      </c>
      <c r="F178" s="2">
        <v>0.3</v>
      </c>
      <c r="G178" s="3" t="e">
        <f>ROUND(200 * C178)</f>
        <v>#VALUE!</v>
      </c>
      <c r="H178" s="3" t="e">
        <f>ROUND(G178 * (0.5 + F178 / 2))</f>
        <v>#VALUE!</v>
      </c>
      <c r="I178" s="3" t="e">
        <f>G178 - H178</f>
        <v>#VALUE!</v>
      </c>
      <c r="J178" s="3" t="e">
        <f>100 - H178</f>
        <v>#VALUE!</v>
      </c>
      <c r="K178" s="3" t="e">
        <f>100 - I178</f>
        <v>#VALUE!</v>
      </c>
      <c r="L178" s="3">
        <f>0.45 + D178 / 2</f>
        <v>0.49</v>
      </c>
      <c r="M178" s="3">
        <f>0.45 - D178 / 2</f>
        <v>0.41000000000000003</v>
      </c>
      <c r="N178" s="3">
        <f>0.75 + E178 / 2</f>
        <v>0.75</v>
      </c>
      <c r="O178" s="3">
        <f>0.75 - E178 / 2</f>
        <v>0.75</v>
      </c>
      <c r="P178" s="3" t="e">
        <f>(H178 * L178 + J178 * N178) / 100</f>
        <v>#VALUE!</v>
      </c>
      <c r="Q178" s="3" t="e">
        <f>(I178 * M178 + K178 * O178) / 100</f>
        <v>#VALUE!</v>
      </c>
      <c r="R178" s="3" t="e">
        <f>P178 - Q178</f>
        <v>#VALUE!</v>
      </c>
      <c r="S178" s="3">
        <f>C178 * D178 + (1 - C178) * E178</f>
        <v>0.048</v>
      </c>
      <c r="T178" s="3" t="e">
        <f>IF(R178 &gt; 0, IF(D178 &lt; 0, 1, 0) + IF(E178 &lt; 0, 1, 0), IF(D178 &gt; 0, 1, 0) + IF(E178 &gt; 0, 1, 0))</f>
        <v>#VALUE!</v>
      </c>
      <c r="U178" s="3" t="e">
        <f>T178 / 2</f>
        <v>#VALUE!</v>
      </c>
      <c r="V178" s="3" t="e">
        <f>IF(S178 &gt; 0, R178 &lt; 0, R178 &gt; 0)</f>
        <v>#VALUE!</v>
      </c>
      <c r="W178" s="3" t="e">
        <f>ABS(S178 - R178)</f>
        <v>#VALUE!</v>
      </c>
      <c r="X178" s="3" t="e">
        <f>IF(AND(V178, U178 = 1), "A", IF(AND(V178, U178 &lt; 1), "B", IF(AND(NOT(V178), W178 &gt; 0.01, ABS(R178) &gt; ABS(S178) + 0.001), "C+", IF(AND(NOT(V178), W178 &gt; 0.01, ABS(R178) &lt; ABS(S178) - 0.001), "C-", "D"))))</f>
        <v>#VALUE!</v>
      </c>
    </row>
    <row r="179">
      <c r="A179" s="2" t="s">
        <v>4637</v>
      </c>
      <c r="B179" s="3" t="str">
        <f>A179</f>
        <v>phase-w60-g108-g208-b60</v>
      </c>
      <c r="C179" s="2">
        <v>0.6</v>
      </c>
      <c r="D179" s="2">
        <v>0.08</v>
      </c>
      <c r="E179" s="2">
        <v>0</v>
      </c>
      <c r="F179" s="2">
        <v>0.6</v>
      </c>
      <c r="G179" s="3" t="e">
        <f>ROUND(200 * C179)</f>
        <v>#VALUE!</v>
      </c>
      <c r="H179" s="3" t="e">
        <f>ROUND(G179 * (0.5 + F179 / 2))</f>
        <v>#VALUE!</v>
      </c>
      <c r="I179" s="3" t="e">
        <f>G179 - H179</f>
        <v>#VALUE!</v>
      </c>
      <c r="J179" s="3" t="e">
        <f>100 - H179</f>
        <v>#VALUE!</v>
      </c>
      <c r="K179" s="3" t="e">
        <f>100 - I179</f>
        <v>#VALUE!</v>
      </c>
      <c r="L179" s="3">
        <f>0.45 + D179 / 2</f>
        <v>0.49</v>
      </c>
      <c r="M179" s="3">
        <f>0.45 - D179 / 2</f>
        <v>0.41000000000000003</v>
      </c>
      <c r="N179" s="3">
        <f>0.75 + E179 / 2</f>
        <v>0.75</v>
      </c>
      <c r="O179" s="3">
        <f>0.75 - E179 / 2</f>
        <v>0.75</v>
      </c>
      <c r="P179" s="3" t="e">
        <f>(H179 * L179 + J179 * N179) / 100</f>
        <v>#VALUE!</v>
      </c>
      <c r="Q179" s="3" t="e">
        <f>(I179 * M179 + K179 * O179) / 100</f>
        <v>#VALUE!</v>
      </c>
      <c r="R179" s="3" t="e">
        <f>P179 - Q179</f>
        <v>#VALUE!</v>
      </c>
      <c r="S179" s="3">
        <f>C179 * D179 + (1 - C179) * E179</f>
        <v>0.048</v>
      </c>
      <c r="T179" s="3" t="e">
        <f>IF(R179 &gt; 0, IF(D179 &lt; 0, 1, 0) + IF(E179 &lt; 0, 1, 0), IF(D179 &gt; 0, 1, 0) + IF(E179 &gt; 0, 1, 0))</f>
        <v>#VALUE!</v>
      </c>
      <c r="U179" s="3" t="e">
        <f>T179 / 2</f>
        <v>#VALUE!</v>
      </c>
      <c r="V179" s="3" t="e">
        <f>IF(S179 &gt; 0, R179 &lt; 0, R179 &gt; 0)</f>
        <v>#VALUE!</v>
      </c>
      <c r="W179" s="3" t="e">
        <f>ABS(S179 - R179)</f>
        <v>#VALUE!</v>
      </c>
      <c r="X179" s="3" t="e">
        <f>IF(AND(V179, U179 = 1), "A", IF(AND(V179, U179 &lt; 1), "B", IF(AND(NOT(V179), W179 &gt; 0.01, ABS(R179) &gt; ABS(S179) + 0.001), "C+", IF(AND(NOT(V179), W179 &gt; 0.01, ABS(R179) &lt; ABS(S179) - 0.001), "C-", "D"))))</f>
        <v>#VALUE!</v>
      </c>
    </row>
    <row r="180">
      <c r="A180" s="2" t="s">
        <v>4638</v>
      </c>
      <c r="B180" s="3" t="str">
        <f>A180</f>
        <v>phase-w60-g108-g212-b00</v>
      </c>
      <c r="C180" s="2">
        <v>0.6</v>
      </c>
      <c r="D180" s="2">
        <v>0.08</v>
      </c>
      <c r="E180" s="2">
        <v>0.04</v>
      </c>
      <c r="F180" s="2">
        <v>0</v>
      </c>
      <c r="G180" s="3" t="e">
        <f>ROUND(200 * C180)</f>
        <v>#VALUE!</v>
      </c>
      <c r="H180" s="3" t="e">
        <f>ROUND(G180 * (0.5 + F180 / 2))</f>
        <v>#VALUE!</v>
      </c>
      <c r="I180" s="3" t="e">
        <f>G180 - H180</f>
        <v>#VALUE!</v>
      </c>
      <c r="J180" s="3" t="e">
        <f>100 - H180</f>
        <v>#VALUE!</v>
      </c>
      <c r="K180" s="3" t="e">
        <f>100 - I180</f>
        <v>#VALUE!</v>
      </c>
      <c r="L180" s="3">
        <f>0.45 + D180 / 2</f>
        <v>0.49</v>
      </c>
      <c r="M180" s="3">
        <f>0.45 - D180 / 2</f>
        <v>0.41000000000000003</v>
      </c>
      <c r="N180" s="3">
        <f>0.75 + E180 / 2</f>
        <v>0.77</v>
      </c>
      <c r="O180" s="3">
        <f>0.75 - E180 / 2</f>
        <v>0.73</v>
      </c>
      <c r="P180" s="3" t="e">
        <f>(H180 * L180 + J180 * N180) / 100</f>
        <v>#VALUE!</v>
      </c>
      <c r="Q180" s="3" t="e">
        <f>(I180 * M180 + K180 * O180) / 100</f>
        <v>#VALUE!</v>
      </c>
      <c r="R180" s="3" t="e">
        <f>P180 - Q180</f>
        <v>#VALUE!</v>
      </c>
      <c r="S180" s="3">
        <f>C180 * D180 + (1 - C180) * E180</f>
        <v>0.064</v>
      </c>
      <c r="T180" s="3" t="e">
        <f>IF(R180 &gt; 0, IF(D180 &lt; 0, 1, 0) + IF(E180 &lt; 0, 1, 0), IF(D180 &gt; 0, 1, 0) + IF(E180 &gt; 0, 1, 0))</f>
        <v>#VALUE!</v>
      </c>
      <c r="U180" s="3" t="e">
        <f>T180 / 2</f>
        <v>#VALUE!</v>
      </c>
      <c r="V180" s="3" t="e">
        <f>IF(S180 &gt; 0, R180 &lt; 0, R180 &gt; 0)</f>
        <v>#VALUE!</v>
      </c>
      <c r="W180" s="3" t="e">
        <f>ABS(S180 - R180)</f>
        <v>#VALUE!</v>
      </c>
      <c r="X180" s="3" t="e">
        <f>IF(AND(V180, U180 = 1), "A", IF(AND(V180, U180 &lt; 1), "B", IF(AND(NOT(V180), W180 &gt; 0.01, ABS(R180) &gt; ABS(S180) + 0.001), "C+", IF(AND(NOT(V180), W180 &gt; 0.01, ABS(R180) &lt; ABS(S180) - 0.001), "C-", "D"))))</f>
        <v>#VALUE!</v>
      </c>
    </row>
    <row r="181">
      <c r="A181" s="2" t="s">
        <v>4639</v>
      </c>
      <c r="B181" s="3" t="str">
        <f>A181</f>
        <v>phase-w60-g108-g212-b30</v>
      </c>
      <c r="C181" s="2">
        <v>0.6</v>
      </c>
      <c r="D181" s="2">
        <v>0.08</v>
      </c>
      <c r="E181" s="2">
        <v>0.04</v>
      </c>
      <c r="F181" s="2">
        <v>0.3</v>
      </c>
      <c r="G181" s="3" t="e">
        <f>ROUND(200 * C181)</f>
        <v>#VALUE!</v>
      </c>
      <c r="H181" s="3" t="e">
        <f>ROUND(G181 * (0.5 + F181 / 2))</f>
        <v>#VALUE!</v>
      </c>
      <c r="I181" s="3" t="e">
        <f>G181 - H181</f>
        <v>#VALUE!</v>
      </c>
      <c r="J181" s="3" t="e">
        <f>100 - H181</f>
        <v>#VALUE!</v>
      </c>
      <c r="K181" s="3" t="e">
        <f>100 - I181</f>
        <v>#VALUE!</v>
      </c>
      <c r="L181" s="3">
        <f>0.45 + D181 / 2</f>
        <v>0.49</v>
      </c>
      <c r="M181" s="3">
        <f>0.45 - D181 / 2</f>
        <v>0.41000000000000003</v>
      </c>
      <c r="N181" s="3">
        <f>0.75 + E181 / 2</f>
        <v>0.77</v>
      </c>
      <c r="O181" s="3">
        <f>0.75 - E181 / 2</f>
        <v>0.73</v>
      </c>
      <c r="P181" s="3" t="e">
        <f>(H181 * L181 + J181 * N181) / 100</f>
        <v>#VALUE!</v>
      </c>
      <c r="Q181" s="3" t="e">
        <f>(I181 * M181 + K181 * O181) / 100</f>
        <v>#VALUE!</v>
      </c>
      <c r="R181" s="3" t="e">
        <f>P181 - Q181</f>
        <v>#VALUE!</v>
      </c>
      <c r="S181" s="3">
        <f>C181 * D181 + (1 - C181) * E181</f>
        <v>0.064</v>
      </c>
      <c r="T181" s="3" t="e">
        <f>IF(R181 &gt; 0, IF(D181 &lt; 0, 1, 0) + IF(E181 &lt; 0, 1, 0), IF(D181 &gt; 0, 1, 0) + IF(E181 &gt; 0, 1, 0))</f>
        <v>#VALUE!</v>
      </c>
      <c r="U181" s="3" t="e">
        <f>T181 / 2</f>
        <v>#VALUE!</v>
      </c>
      <c r="V181" s="3" t="e">
        <f>IF(S181 &gt; 0, R181 &lt; 0, R181 &gt; 0)</f>
        <v>#VALUE!</v>
      </c>
      <c r="W181" s="3" t="e">
        <f>ABS(S181 - R181)</f>
        <v>#VALUE!</v>
      </c>
      <c r="X181" s="3" t="e">
        <f>IF(AND(V181, U181 = 1), "A", IF(AND(V181, U181 &lt; 1), "B", IF(AND(NOT(V181), W181 &gt; 0.01, ABS(R181) &gt; ABS(S181) + 0.001), "C+", IF(AND(NOT(V181), W181 &gt; 0.01, ABS(R181) &lt; ABS(S181) - 0.001), "C-", "D"))))</f>
        <v>#VALUE!</v>
      </c>
    </row>
    <row r="182">
      <c r="A182" s="2" t="s">
        <v>4640</v>
      </c>
      <c r="B182" s="3" t="str">
        <f>A182</f>
        <v>phase-w60-g108-g212-b60</v>
      </c>
      <c r="C182" s="2">
        <v>0.6</v>
      </c>
      <c r="D182" s="2">
        <v>0.08</v>
      </c>
      <c r="E182" s="2">
        <v>0.04</v>
      </c>
      <c r="F182" s="2">
        <v>0.6</v>
      </c>
      <c r="G182" s="3" t="e">
        <f>ROUND(200 * C182)</f>
        <v>#VALUE!</v>
      </c>
      <c r="H182" s="3" t="e">
        <f>ROUND(G182 * (0.5 + F182 / 2))</f>
        <v>#VALUE!</v>
      </c>
      <c r="I182" s="3" t="e">
        <f>G182 - H182</f>
        <v>#VALUE!</v>
      </c>
      <c r="J182" s="3" t="e">
        <f>100 - H182</f>
        <v>#VALUE!</v>
      </c>
      <c r="K182" s="3" t="e">
        <f>100 - I182</f>
        <v>#VALUE!</v>
      </c>
      <c r="L182" s="3">
        <f>0.45 + D182 / 2</f>
        <v>0.49</v>
      </c>
      <c r="M182" s="3">
        <f>0.45 - D182 / 2</f>
        <v>0.41000000000000003</v>
      </c>
      <c r="N182" s="3">
        <f>0.75 + E182 / 2</f>
        <v>0.77</v>
      </c>
      <c r="O182" s="3">
        <f>0.75 - E182 / 2</f>
        <v>0.73</v>
      </c>
      <c r="P182" s="3" t="e">
        <f>(H182 * L182 + J182 * N182) / 100</f>
        <v>#VALUE!</v>
      </c>
      <c r="Q182" s="3" t="e">
        <f>(I182 * M182 + K182 * O182) / 100</f>
        <v>#VALUE!</v>
      </c>
      <c r="R182" s="3" t="e">
        <f>P182 - Q182</f>
        <v>#VALUE!</v>
      </c>
      <c r="S182" s="3">
        <f>C182 * D182 + (1 - C182) * E182</f>
        <v>0.064</v>
      </c>
      <c r="T182" s="3" t="e">
        <f>IF(R182 &gt; 0, IF(D182 &lt; 0, 1, 0) + IF(E182 &lt; 0, 1, 0), IF(D182 &gt; 0, 1, 0) + IF(E182 &gt; 0, 1, 0))</f>
        <v>#VALUE!</v>
      </c>
      <c r="U182" s="3" t="e">
        <f>T182 / 2</f>
        <v>#VALUE!</v>
      </c>
      <c r="V182" s="3" t="e">
        <f>IF(S182 &gt; 0, R182 &lt; 0, R182 &gt; 0)</f>
        <v>#VALUE!</v>
      </c>
      <c r="W182" s="3" t="e">
        <f>ABS(S182 - R182)</f>
        <v>#VALUE!</v>
      </c>
      <c r="X182" s="3" t="e">
        <f>IF(AND(V182, U182 = 1), "A", IF(AND(V182, U182 &lt; 1), "B", IF(AND(NOT(V182), W182 &gt; 0.01, ABS(R182) &gt; ABS(S182) + 0.001), "C+", IF(AND(NOT(V182), W182 &gt; 0.01, ABS(R182) &lt; ABS(S182) - 0.001), "C-", "D"))))</f>
        <v>#VALUE!</v>
      </c>
    </row>
    <row r="183">
      <c r="A183" s="2" t="s">
        <v>4641</v>
      </c>
      <c r="B183" s="3" t="str">
        <f>A183</f>
        <v>phase-w60-g108-g216-b00</v>
      </c>
      <c r="C183" s="2">
        <v>0.6</v>
      </c>
      <c r="D183" s="2">
        <v>0.08</v>
      </c>
      <c r="E183" s="2">
        <v>0.08</v>
      </c>
      <c r="F183" s="2">
        <v>0</v>
      </c>
      <c r="G183" s="3" t="e">
        <f>ROUND(200 * C183)</f>
        <v>#VALUE!</v>
      </c>
      <c r="H183" s="3" t="e">
        <f>ROUND(G183 * (0.5 + F183 / 2))</f>
        <v>#VALUE!</v>
      </c>
      <c r="I183" s="3" t="e">
        <f>G183 - H183</f>
        <v>#VALUE!</v>
      </c>
      <c r="J183" s="3" t="e">
        <f>100 - H183</f>
        <v>#VALUE!</v>
      </c>
      <c r="K183" s="3" t="e">
        <f>100 - I183</f>
        <v>#VALUE!</v>
      </c>
      <c r="L183" s="3">
        <f>0.45 + D183 / 2</f>
        <v>0.49</v>
      </c>
      <c r="M183" s="3">
        <f>0.45 - D183 / 2</f>
        <v>0.41000000000000003</v>
      </c>
      <c r="N183" s="3">
        <f>0.75 + E183 / 2</f>
        <v>0.79</v>
      </c>
      <c r="O183" s="3">
        <f>0.75 - E183 / 2</f>
        <v>0.71</v>
      </c>
      <c r="P183" s="3" t="e">
        <f>(H183 * L183 + J183 * N183) / 100</f>
        <v>#VALUE!</v>
      </c>
      <c r="Q183" s="3" t="e">
        <f>(I183 * M183 + K183 * O183) / 100</f>
        <v>#VALUE!</v>
      </c>
      <c r="R183" s="3" t="e">
        <f>P183 - Q183</f>
        <v>#VALUE!</v>
      </c>
      <c r="S183" s="3">
        <f>C183 * D183 + (1 - C183) * E183</f>
        <v>0.08</v>
      </c>
      <c r="T183" s="3" t="e">
        <f>IF(R183 &gt; 0, IF(D183 &lt; 0, 1, 0) + IF(E183 &lt; 0, 1, 0), IF(D183 &gt; 0, 1, 0) + IF(E183 &gt; 0, 1, 0))</f>
        <v>#VALUE!</v>
      </c>
      <c r="U183" s="3" t="e">
        <f>T183 / 2</f>
        <v>#VALUE!</v>
      </c>
      <c r="V183" s="3" t="e">
        <f>IF(S183 &gt; 0, R183 &lt; 0, R183 &gt; 0)</f>
        <v>#VALUE!</v>
      </c>
      <c r="W183" s="3" t="e">
        <f>ABS(S183 - R183)</f>
        <v>#VALUE!</v>
      </c>
      <c r="X183" s="3" t="e">
        <f>IF(AND(V183, U183 = 1), "A", IF(AND(V183, U183 &lt; 1), "B", IF(AND(NOT(V183), W183 &gt; 0.01, ABS(R183) &gt; ABS(S183) + 0.001), "C+", IF(AND(NOT(V183), W183 &gt; 0.01, ABS(R183) &lt; ABS(S183) - 0.001), "C-", "D"))))</f>
        <v>#VALUE!</v>
      </c>
    </row>
    <row r="184">
      <c r="A184" s="2" t="s">
        <v>4642</v>
      </c>
      <c r="B184" s="3" t="str">
        <f>A184</f>
        <v>phase-w60-g108-g216-b30</v>
      </c>
      <c r="C184" s="2">
        <v>0.6</v>
      </c>
      <c r="D184" s="2">
        <v>0.08</v>
      </c>
      <c r="E184" s="2">
        <v>0.08</v>
      </c>
      <c r="F184" s="2">
        <v>0.3</v>
      </c>
      <c r="G184" s="3" t="e">
        <f>ROUND(200 * C184)</f>
        <v>#VALUE!</v>
      </c>
      <c r="H184" s="3" t="e">
        <f>ROUND(G184 * (0.5 + F184 / 2))</f>
        <v>#VALUE!</v>
      </c>
      <c r="I184" s="3" t="e">
        <f>G184 - H184</f>
        <v>#VALUE!</v>
      </c>
      <c r="J184" s="3" t="e">
        <f>100 - H184</f>
        <v>#VALUE!</v>
      </c>
      <c r="K184" s="3" t="e">
        <f>100 - I184</f>
        <v>#VALUE!</v>
      </c>
      <c r="L184" s="3">
        <f>0.45 + D184 / 2</f>
        <v>0.49</v>
      </c>
      <c r="M184" s="3">
        <f>0.45 - D184 / 2</f>
        <v>0.41000000000000003</v>
      </c>
      <c r="N184" s="3">
        <f>0.75 + E184 / 2</f>
        <v>0.79</v>
      </c>
      <c r="O184" s="3">
        <f>0.75 - E184 / 2</f>
        <v>0.71</v>
      </c>
      <c r="P184" s="3" t="e">
        <f>(H184 * L184 + J184 * N184) / 100</f>
        <v>#VALUE!</v>
      </c>
      <c r="Q184" s="3" t="e">
        <f>(I184 * M184 + K184 * O184) / 100</f>
        <v>#VALUE!</v>
      </c>
      <c r="R184" s="3" t="e">
        <f>P184 - Q184</f>
        <v>#VALUE!</v>
      </c>
      <c r="S184" s="3">
        <f>C184 * D184 + (1 - C184) * E184</f>
        <v>0.08</v>
      </c>
      <c r="T184" s="3" t="e">
        <f>IF(R184 &gt; 0, IF(D184 &lt; 0, 1, 0) + IF(E184 &lt; 0, 1, 0), IF(D184 &gt; 0, 1, 0) + IF(E184 &gt; 0, 1, 0))</f>
        <v>#VALUE!</v>
      </c>
      <c r="U184" s="3" t="e">
        <f>T184 / 2</f>
        <v>#VALUE!</v>
      </c>
      <c r="V184" s="3" t="e">
        <f>IF(S184 &gt; 0, R184 &lt; 0, R184 &gt; 0)</f>
        <v>#VALUE!</v>
      </c>
      <c r="W184" s="3" t="e">
        <f>ABS(S184 - R184)</f>
        <v>#VALUE!</v>
      </c>
      <c r="X184" s="3" t="e">
        <f>IF(AND(V184, U184 = 1), "A", IF(AND(V184, U184 &lt; 1), "B", IF(AND(NOT(V184), W184 &gt; 0.01, ABS(R184) &gt; ABS(S184) + 0.001), "C+", IF(AND(NOT(V184), W184 &gt; 0.01, ABS(R184) &lt; ABS(S184) - 0.001), "C-", "D"))))</f>
        <v>#VALUE!</v>
      </c>
    </row>
    <row r="185">
      <c r="A185" s="2" t="s">
        <v>4643</v>
      </c>
      <c r="B185" s="3" t="str">
        <f>A185</f>
        <v>phase-w60-g108-g216-b60</v>
      </c>
      <c r="C185" s="2">
        <v>0.6</v>
      </c>
      <c r="D185" s="2">
        <v>0.08</v>
      </c>
      <c r="E185" s="2">
        <v>0.08</v>
      </c>
      <c r="F185" s="2">
        <v>0.6</v>
      </c>
      <c r="G185" s="3" t="e">
        <f>ROUND(200 * C185)</f>
        <v>#VALUE!</v>
      </c>
      <c r="H185" s="3" t="e">
        <f>ROUND(G185 * (0.5 + F185 / 2))</f>
        <v>#VALUE!</v>
      </c>
      <c r="I185" s="3" t="e">
        <f>G185 - H185</f>
        <v>#VALUE!</v>
      </c>
      <c r="J185" s="3" t="e">
        <f>100 - H185</f>
        <v>#VALUE!</v>
      </c>
      <c r="K185" s="3" t="e">
        <f>100 - I185</f>
        <v>#VALUE!</v>
      </c>
      <c r="L185" s="3">
        <f>0.45 + D185 / 2</f>
        <v>0.49</v>
      </c>
      <c r="M185" s="3">
        <f>0.45 - D185 / 2</f>
        <v>0.41000000000000003</v>
      </c>
      <c r="N185" s="3">
        <f>0.75 + E185 / 2</f>
        <v>0.79</v>
      </c>
      <c r="O185" s="3">
        <f>0.75 - E185 / 2</f>
        <v>0.71</v>
      </c>
      <c r="P185" s="3" t="e">
        <f>(H185 * L185 + J185 * N185) / 100</f>
        <v>#VALUE!</v>
      </c>
      <c r="Q185" s="3" t="e">
        <f>(I185 * M185 + K185 * O185) / 100</f>
        <v>#VALUE!</v>
      </c>
      <c r="R185" s="3" t="e">
        <f>P185 - Q185</f>
        <v>#VALUE!</v>
      </c>
      <c r="S185" s="3">
        <f>C185 * D185 + (1 - C185) * E185</f>
        <v>0.08</v>
      </c>
      <c r="T185" s="3" t="e">
        <f>IF(R185 &gt; 0, IF(D185 &lt; 0, 1, 0) + IF(E185 &lt; 0, 1, 0), IF(D185 &gt; 0, 1, 0) + IF(E185 &gt; 0, 1, 0))</f>
        <v>#VALUE!</v>
      </c>
      <c r="U185" s="3" t="e">
        <f>T185 / 2</f>
        <v>#VALUE!</v>
      </c>
      <c r="V185" s="3" t="e">
        <f>IF(S185 &gt; 0, R185 &lt; 0, R185 &gt; 0)</f>
        <v>#VALUE!</v>
      </c>
      <c r="W185" s="3" t="e">
        <f>ABS(S185 - R185)</f>
        <v>#VALUE!</v>
      </c>
      <c r="X185" s="3" t="e">
        <f>IF(AND(V185, U185 = 1), "A", IF(AND(V185, U185 &lt; 1), "B", IF(AND(NOT(V185), W185 &gt; 0.01, ABS(R185) &gt; ABS(S185) + 0.001), "C+", IF(AND(NOT(V185), W185 &gt; 0.01, ABS(R185) &lt; ABS(S185) - 0.001), "C-", "D"))))</f>
        <v>#VALUE!</v>
      </c>
    </row>
    <row r="186">
      <c r="A186" s="2" t="s">
        <v>4644</v>
      </c>
      <c r="B186" s="3" t="str">
        <f>A186</f>
        <v>phase-w60-g112-g200-b00</v>
      </c>
      <c r="C186" s="2">
        <v>0.6</v>
      </c>
      <c r="D186" s="2">
        <v>0.12</v>
      </c>
      <c r="E186" s="2">
        <v>-0.08</v>
      </c>
      <c r="F186" s="2">
        <v>0</v>
      </c>
      <c r="G186" s="3" t="e">
        <f>ROUND(200 * C186)</f>
        <v>#VALUE!</v>
      </c>
      <c r="H186" s="3" t="e">
        <f>ROUND(G186 * (0.5 + F186 / 2))</f>
        <v>#VALUE!</v>
      </c>
      <c r="I186" s="3" t="e">
        <f>G186 - H186</f>
        <v>#VALUE!</v>
      </c>
      <c r="J186" s="3" t="e">
        <f>100 - H186</f>
        <v>#VALUE!</v>
      </c>
      <c r="K186" s="3" t="e">
        <f>100 - I186</f>
        <v>#VALUE!</v>
      </c>
      <c r="L186" s="3">
        <f>0.45 + D186 / 2</f>
        <v>0.51</v>
      </c>
      <c r="M186" s="3">
        <f>0.45 - D186 / 2</f>
        <v>0.39</v>
      </c>
      <c r="N186" s="3">
        <f>0.75 + E186 / 2</f>
        <v>0.71</v>
      </c>
      <c r="O186" s="3">
        <f>0.75 - E186 / 2</f>
        <v>0.79</v>
      </c>
      <c r="P186" s="3" t="e">
        <f>(H186 * L186 + J186 * N186) / 100</f>
        <v>#VALUE!</v>
      </c>
      <c r="Q186" s="3" t="e">
        <f>(I186 * M186 + K186 * O186) / 100</f>
        <v>#VALUE!</v>
      </c>
      <c r="R186" s="3" t="e">
        <f>P186 - Q186</f>
        <v>#VALUE!</v>
      </c>
      <c r="S186" s="3">
        <f>C186 * D186 + (1 - C186) * E186</f>
        <v>0.039999999999999994</v>
      </c>
      <c r="T186" s="3" t="e">
        <f>IF(R186 &gt; 0, IF(D186 &lt; 0, 1, 0) + IF(E186 &lt; 0, 1, 0), IF(D186 &gt; 0, 1, 0) + IF(E186 &gt; 0, 1, 0))</f>
        <v>#VALUE!</v>
      </c>
      <c r="U186" s="3" t="e">
        <f>T186 / 2</f>
        <v>#VALUE!</v>
      </c>
      <c r="V186" s="3" t="e">
        <f>IF(S186 &gt; 0, R186 &lt; 0, R186 &gt; 0)</f>
        <v>#VALUE!</v>
      </c>
      <c r="W186" s="3" t="e">
        <f>ABS(S186 - R186)</f>
        <v>#VALUE!</v>
      </c>
      <c r="X186" s="3" t="e">
        <f>IF(AND(V186, U186 = 1), "A", IF(AND(V186, U186 &lt; 1), "B", IF(AND(NOT(V186), W186 &gt; 0.01, ABS(R186) &gt; ABS(S186) + 0.001), "C+", IF(AND(NOT(V186), W186 &gt; 0.01, ABS(R186) &lt; ABS(S186) - 0.001), "C-", "D"))))</f>
        <v>#VALUE!</v>
      </c>
    </row>
    <row r="187">
      <c r="A187" s="2" t="s">
        <v>4645</v>
      </c>
      <c r="B187" s="3" t="str">
        <f>A187</f>
        <v>phase-w60-g112-g200-b30</v>
      </c>
      <c r="C187" s="2">
        <v>0.6</v>
      </c>
      <c r="D187" s="2">
        <v>0.12</v>
      </c>
      <c r="E187" s="2">
        <v>-0.08</v>
      </c>
      <c r="F187" s="2">
        <v>0.3</v>
      </c>
      <c r="G187" s="3" t="e">
        <f>ROUND(200 * C187)</f>
        <v>#VALUE!</v>
      </c>
      <c r="H187" s="3" t="e">
        <f>ROUND(G187 * (0.5 + F187 / 2))</f>
        <v>#VALUE!</v>
      </c>
      <c r="I187" s="3" t="e">
        <f>G187 - H187</f>
        <v>#VALUE!</v>
      </c>
      <c r="J187" s="3" t="e">
        <f>100 - H187</f>
        <v>#VALUE!</v>
      </c>
      <c r="K187" s="3" t="e">
        <f>100 - I187</f>
        <v>#VALUE!</v>
      </c>
      <c r="L187" s="3">
        <f>0.45 + D187 / 2</f>
        <v>0.51</v>
      </c>
      <c r="M187" s="3">
        <f>0.45 - D187 / 2</f>
        <v>0.39</v>
      </c>
      <c r="N187" s="3">
        <f>0.75 + E187 / 2</f>
        <v>0.71</v>
      </c>
      <c r="O187" s="3">
        <f>0.75 - E187 / 2</f>
        <v>0.79</v>
      </c>
      <c r="P187" s="3" t="e">
        <f>(H187 * L187 + J187 * N187) / 100</f>
        <v>#VALUE!</v>
      </c>
      <c r="Q187" s="3" t="e">
        <f>(I187 * M187 + K187 * O187) / 100</f>
        <v>#VALUE!</v>
      </c>
      <c r="R187" s="3" t="e">
        <f>P187 - Q187</f>
        <v>#VALUE!</v>
      </c>
      <c r="S187" s="3">
        <f>C187 * D187 + (1 - C187) * E187</f>
        <v>0.039999999999999994</v>
      </c>
      <c r="T187" s="3" t="e">
        <f>IF(R187 &gt; 0, IF(D187 &lt; 0, 1, 0) + IF(E187 &lt; 0, 1, 0), IF(D187 &gt; 0, 1, 0) + IF(E187 &gt; 0, 1, 0))</f>
        <v>#VALUE!</v>
      </c>
      <c r="U187" s="3" t="e">
        <f>T187 / 2</f>
        <v>#VALUE!</v>
      </c>
      <c r="V187" s="3" t="e">
        <f>IF(S187 &gt; 0, R187 &lt; 0, R187 &gt; 0)</f>
        <v>#VALUE!</v>
      </c>
      <c r="W187" s="3" t="e">
        <f>ABS(S187 - R187)</f>
        <v>#VALUE!</v>
      </c>
      <c r="X187" s="3" t="e">
        <f>IF(AND(V187, U187 = 1), "A", IF(AND(V187, U187 &lt; 1), "B", IF(AND(NOT(V187), W187 &gt; 0.01, ABS(R187) &gt; ABS(S187) + 0.001), "C+", IF(AND(NOT(V187), W187 &gt; 0.01, ABS(R187) &lt; ABS(S187) - 0.001), "C-", "D"))))</f>
        <v>#VALUE!</v>
      </c>
    </row>
    <row r="188">
      <c r="A188" s="2" t="s">
        <v>4646</v>
      </c>
      <c r="B188" s="3" t="str">
        <f>A188</f>
        <v>phase-w60-g112-g200-b60</v>
      </c>
      <c r="C188" s="2">
        <v>0.6</v>
      </c>
      <c r="D188" s="2">
        <v>0.12</v>
      </c>
      <c r="E188" s="2">
        <v>-0.08</v>
      </c>
      <c r="F188" s="2">
        <v>0.6</v>
      </c>
      <c r="G188" s="3" t="e">
        <f>ROUND(200 * C188)</f>
        <v>#VALUE!</v>
      </c>
      <c r="H188" s="3" t="e">
        <f>ROUND(G188 * (0.5 + F188 / 2))</f>
        <v>#VALUE!</v>
      </c>
      <c r="I188" s="3" t="e">
        <f>G188 - H188</f>
        <v>#VALUE!</v>
      </c>
      <c r="J188" s="3" t="e">
        <f>100 - H188</f>
        <v>#VALUE!</v>
      </c>
      <c r="K188" s="3" t="e">
        <f>100 - I188</f>
        <v>#VALUE!</v>
      </c>
      <c r="L188" s="3">
        <f>0.45 + D188 / 2</f>
        <v>0.51</v>
      </c>
      <c r="M188" s="3">
        <f>0.45 - D188 / 2</f>
        <v>0.39</v>
      </c>
      <c r="N188" s="3">
        <f>0.75 + E188 / 2</f>
        <v>0.71</v>
      </c>
      <c r="O188" s="3">
        <f>0.75 - E188 / 2</f>
        <v>0.79</v>
      </c>
      <c r="P188" s="3" t="e">
        <f>(H188 * L188 + J188 * N188) / 100</f>
        <v>#VALUE!</v>
      </c>
      <c r="Q188" s="3" t="e">
        <f>(I188 * M188 + K188 * O188) / 100</f>
        <v>#VALUE!</v>
      </c>
      <c r="R188" s="3" t="e">
        <f>P188 - Q188</f>
        <v>#VALUE!</v>
      </c>
      <c r="S188" s="3">
        <f>C188 * D188 + (1 - C188) * E188</f>
        <v>0.039999999999999994</v>
      </c>
      <c r="T188" s="3" t="e">
        <f>IF(R188 &gt; 0, IF(D188 &lt; 0, 1, 0) + IF(E188 &lt; 0, 1, 0), IF(D188 &gt; 0, 1, 0) + IF(E188 &gt; 0, 1, 0))</f>
        <v>#VALUE!</v>
      </c>
      <c r="U188" s="3" t="e">
        <f>T188 / 2</f>
        <v>#VALUE!</v>
      </c>
      <c r="V188" s="3" t="e">
        <f>IF(S188 &gt; 0, R188 &lt; 0, R188 &gt; 0)</f>
        <v>#VALUE!</v>
      </c>
      <c r="W188" s="3" t="e">
        <f>ABS(S188 - R188)</f>
        <v>#VALUE!</v>
      </c>
      <c r="X188" s="3" t="e">
        <f>IF(AND(V188, U188 = 1), "A", IF(AND(V188, U188 &lt; 1), "B", IF(AND(NOT(V188), W188 &gt; 0.01, ABS(R188) &gt; ABS(S188) + 0.001), "C+", IF(AND(NOT(V188), W188 &gt; 0.01, ABS(R188) &lt; ABS(S188) - 0.001), "C-", "D"))))</f>
        <v>#VALUE!</v>
      </c>
    </row>
    <row r="189">
      <c r="A189" s="2" t="s">
        <v>4647</v>
      </c>
      <c r="B189" s="3" t="str">
        <f>A189</f>
        <v>phase-w60-g112-g208-b00</v>
      </c>
      <c r="C189" s="2">
        <v>0.6</v>
      </c>
      <c r="D189" s="2">
        <v>0.12</v>
      </c>
      <c r="E189" s="2">
        <v>0</v>
      </c>
      <c r="F189" s="2">
        <v>0</v>
      </c>
      <c r="G189" s="3" t="e">
        <f>ROUND(200 * C189)</f>
        <v>#VALUE!</v>
      </c>
      <c r="H189" s="3" t="e">
        <f>ROUND(G189 * (0.5 + F189 / 2))</f>
        <v>#VALUE!</v>
      </c>
      <c r="I189" s="3" t="e">
        <f>G189 - H189</f>
        <v>#VALUE!</v>
      </c>
      <c r="J189" s="3" t="e">
        <f>100 - H189</f>
        <v>#VALUE!</v>
      </c>
      <c r="K189" s="3" t="e">
        <f>100 - I189</f>
        <v>#VALUE!</v>
      </c>
      <c r="L189" s="3">
        <f>0.45 + D189 / 2</f>
        <v>0.51</v>
      </c>
      <c r="M189" s="3">
        <f>0.45 - D189 / 2</f>
        <v>0.39</v>
      </c>
      <c r="N189" s="3">
        <f>0.75 + E189 / 2</f>
        <v>0.75</v>
      </c>
      <c r="O189" s="3">
        <f>0.75 - E189 / 2</f>
        <v>0.75</v>
      </c>
      <c r="P189" s="3" t="e">
        <f>(H189 * L189 + J189 * N189) / 100</f>
        <v>#VALUE!</v>
      </c>
      <c r="Q189" s="3" t="e">
        <f>(I189 * M189 + K189 * O189) / 100</f>
        <v>#VALUE!</v>
      </c>
      <c r="R189" s="3" t="e">
        <f>P189 - Q189</f>
        <v>#VALUE!</v>
      </c>
      <c r="S189" s="3">
        <f>C189 * D189 + (1 - C189) * E189</f>
        <v>0.072</v>
      </c>
      <c r="T189" s="3" t="e">
        <f>IF(R189 &gt; 0, IF(D189 &lt; 0, 1, 0) + IF(E189 &lt; 0, 1, 0), IF(D189 &gt; 0, 1, 0) + IF(E189 &gt; 0, 1, 0))</f>
        <v>#VALUE!</v>
      </c>
      <c r="U189" s="3" t="e">
        <f>T189 / 2</f>
        <v>#VALUE!</v>
      </c>
      <c r="V189" s="3" t="e">
        <f>IF(S189 &gt; 0, R189 &lt; 0, R189 &gt; 0)</f>
        <v>#VALUE!</v>
      </c>
      <c r="W189" s="3" t="e">
        <f>ABS(S189 - R189)</f>
        <v>#VALUE!</v>
      </c>
      <c r="X189" s="3" t="e">
        <f>IF(AND(V189, U189 = 1), "A", IF(AND(V189, U189 &lt; 1), "B", IF(AND(NOT(V189), W189 &gt; 0.01, ABS(R189) &gt; ABS(S189) + 0.001), "C+", IF(AND(NOT(V189), W189 &gt; 0.01, ABS(R189) &lt; ABS(S189) - 0.001), "C-", "D"))))</f>
        <v>#VALUE!</v>
      </c>
    </row>
    <row r="190">
      <c r="A190" s="2" t="s">
        <v>4648</v>
      </c>
      <c r="B190" s="3" t="str">
        <f>A190</f>
        <v>phase-w60-g112-g208-b30</v>
      </c>
      <c r="C190" s="2">
        <v>0.6</v>
      </c>
      <c r="D190" s="2">
        <v>0.12</v>
      </c>
      <c r="E190" s="2">
        <v>0</v>
      </c>
      <c r="F190" s="2">
        <v>0.3</v>
      </c>
      <c r="G190" s="3" t="e">
        <f>ROUND(200 * C190)</f>
        <v>#VALUE!</v>
      </c>
      <c r="H190" s="3" t="e">
        <f>ROUND(G190 * (0.5 + F190 / 2))</f>
        <v>#VALUE!</v>
      </c>
      <c r="I190" s="3" t="e">
        <f>G190 - H190</f>
        <v>#VALUE!</v>
      </c>
      <c r="J190" s="3" t="e">
        <f>100 - H190</f>
        <v>#VALUE!</v>
      </c>
      <c r="K190" s="3" t="e">
        <f>100 - I190</f>
        <v>#VALUE!</v>
      </c>
      <c r="L190" s="3">
        <f>0.45 + D190 / 2</f>
        <v>0.51</v>
      </c>
      <c r="M190" s="3">
        <f>0.45 - D190 / 2</f>
        <v>0.39</v>
      </c>
      <c r="N190" s="3">
        <f>0.75 + E190 / 2</f>
        <v>0.75</v>
      </c>
      <c r="O190" s="3">
        <f>0.75 - E190 / 2</f>
        <v>0.75</v>
      </c>
      <c r="P190" s="3" t="e">
        <f>(H190 * L190 + J190 * N190) / 100</f>
        <v>#VALUE!</v>
      </c>
      <c r="Q190" s="3" t="e">
        <f>(I190 * M190 + K190 * O190) / 100</f>
        <v>#VALUE!</v>
      </c>
      <c r="R190" s="3" t="e">
        <f>P190 - Q190</f>
        <v>#VALUE!</v>
      </c>
      <c r="S190" s="3">
        <f>C190 * D190 + (1 - C190) * E190</f>
        <v>0.072</v>
      </c>
      <c r="T190" s="3" t="e">
        <f>IF(R190 &gt; 0, IF(D190 &lt; 0, 1, 0) + IF(E190 &lt; 0, 1, 0), IF(D190 &gt; 0, 1, 0) + IF(E190 &gt; 0, 1, 0))</f>
        <v>#VALUE!</v>
      </c>
      <c r="U190" s="3" t="e">
        <f>T190 / 2</f>
        <v>#VALUE!</v>
      </c>
      <c r="V190" s="3" t="e">
        <f>IF(S190 &gt; 0, R190 &lt; 0, R190 &gt; 0)</f>
        <v>#VALUE!</v>
      </c>
      <c r="W190" s="3" t="e">
        <f>ABS(S190 - R190)</f>
        <v>#VALUE!</v>
      </c>
      <c r="X190" s="3" t="e">
        <f>IF(AND(V190, U190 = 1), "A", IF(AND(V190, U190 &lt; 1), "B", IF(AND(NOT(V190), W190 &gt; 0.01, ABS(R190) &gt; ABS(S190) + 0.001), "C+", IF(AND(NOT(V190), W190 &gt; 0.01, ABS(R190) &lt; ABS(S190) - 0.001), "C-", "D"))))</f>
        <v>#VALUE!</v>
      </c>
    </row>
    <row r="191">
      <c r="A191" s="2" t="s">
        <v>4649</v>
      </c>
      <c r="B191" s="3" t="str">
        <f>A191</f>
        <v>phase-w60-g112-g208-b60</v>
      </c>
      <c r="C191" s="2">
        <v>0.6</v>
      </c>
      <c r="D191" s="2">
        <v>0.12</v>
      </c>
      <c r="E191" s="2">
        <v>0</v>
      </c>
      <c r="F191" s="2">
        <v>0.6</v>
      </c>
      <c r="G191" s="3" t="e">
        <f>ROUND(200 * C191)</f>
        <v>#VALUE!</v>
      </c>
      <c r="H191" s="3" t="e">
        <f>ROUND(G191 * (0.5 + F191 / 2))</f>
        <v>#VALUE!</v>
      </c>
      <c r="I191" s="3" t="e">
        <f>G191 - H191</f>
        <v>#VALUE!</v>
      </c>
      <c r="J191" s="3" t="e">
        <f>100 - H191</f>
        <v>#VALUE!</v>
      </c>
      <c r="K191" s="3" t="e">
        <f>100 - I191</f>
        <v>#VALUE!</v>
      </c>
      <c r="L191" s="3">
        <f>0.45 + D191 / 2</f>
        <v>0.51</v>
      </c>
      <c r="M191" s="3">
        <f>0.45 - D191 / 2</f>
        <v>0.39</v>
      </c>
      <c r="N191" s="3">
        <f>0.75 + E191 / 2</f>
        <v>0.75</v>
      </c>
      <c r="O191" s="3">
        <f>0.75 - E191 / 2</f>
        <v>0.75</v>
      </c>
      <c r="P191" s="3" t="e">
        <f>(H191 * L191 + J191 * N191) / 100</f>
        <v>#VALUE!</v>
      </c>
      <c r="Q191" s="3" t="e">
        <f>(I191 * M191 + K191 * O191) / 100</f>
        <v>#VALUE!</v>
      </c>
      <c r="R191" s="3" t="e">
        <f>P191 - Q191</f>
        <v>#VALUE!</v>
      </c>
      <c r="S191" s="3">
        <f>C191 * D191 + (1 - C191) * E191</f>
        <v>0.072</v>
      </c>
      <c r="T191" s="3" t="e">
        <f>IF(R191 &gt; 0, IF(D191 &lt; 0, 1, 0) + IF(E191 &lt; 0, 1, 0), IF(D191 &gt; 0, 1, 0) + IF(E191 &gt; 0, 1, 0))</f>
        <v>#VALUE!</v>
      </c>
      <c r="U191" s="3" t="e">
        <f>T191 / 2</f>
        <v>#VALUE!</v>
      </c>
      <c r="V191" s="3" t="e">
        <f>IF(S191 &gt; 0, R191 &lt; 0, R191 &gt; 0)</f>
        <v>#VALUE!</v>
      </c>
      <c r="W191" s="3" t="e">
        <f>ABS(S191 - R191)</f>
        <v>#VALUE!</v>
      </c>
      <c r="X191" s="3" t="e">
        <f>IF(AND(V191, U191 = 1), "A", IF(AND(V191, U191 &lt; 1), "B", IF(AND(NOT(V191), W191 &gt; 0.01, ABS(R191) &gt; ABS(S191) + 0.001), "C+", IF(AND(NOT(V191), W191 &gt; 0.01, ABS(R191) &lt; ABS(S191) - 0.001), "C-", "D"))))</f>
        <v>#VALUE!</v>
      </c>
    </row>
    <row r="192">
      <c r="A192" s="2" t="s">
        <v>4650</v>
      </c>
      <c r="B192" s="3" t="str">
        <f>A192</f>
        <v>phase-w60-g112-g212-b00</v>
      </c>
      <c r="C192" s="2">
        <v>0.6</v>
      </c>
      <c r="D192" s="2">
        <v>0.12</v>
      </c>
      <c r="E192" s="2">
        <v>0.04</v>
      </c>
      <c r="F192" s="2">
        <v>0</v>
      </c>
      <c r="G192" s="3" t="e">
        <f>ROUND(200 * C192)</f>
        <v>#VALUE!</v>
      </c>
      <c r="H192" s="3" t="e">
        <f>ROUND(G192 * (0.5 + F192 / 2))</f>
        <v>#VALUE!</v>
      </c>
      <c r="I192" s="3" t="e">
        <f>G192 - H192</f>
        <v>#VALUE!</v>
      </c>
      <c r="J192" s="3" t="e">
        <f>100 - H192</f>
        <v>#VALUE!</v>
      </c>
      <c r="K192" s="3" t="e">
        <f>100 - I192</f>
        <v>#VALUE!</v>
      </c>
      <c r="L192" s="3">
        <f>0.45 + D192 / 2</f>
        <v>0.51</v>
      </c>
      <c r="M192" s="3">
        <f>0.45 - D192 / 2</f>
        <v>0.39</v>
      </c>
      <c r="N192" s="3">
        <f>0.75 + E192 / 2</f>
        <v>0.77</v>
      </c>
      <c r="O192" s="3">
        <f>0.75 - E192 / 2</f>
        <v>0.73</v>
      </c>
      <c r="P192" s="3" t="e">
        <f>(H192 * L192 + J192 * N192) / 100</f>
        <v>#VALUE!</v>
      </c>
      <c r="Q192" s="3" t="e">
        <f>(I192 * M192 + K192 * O192) / 100</f>
        <v>#VALUE!</v>
      </c>
      <c r="R192" s="3" t="e">
        <f>P192 - Q192</f>
        <v>#VALUE!</v>
      </c>
      <c r="S192" s="3">
        <f>C192 * D192 + (1 - C192) * E192</f>
        <v>0.088</v>
      </c>
      <c r="T192" s="3" t="e">
        <f>IF(R192 &gt; 0, IF(D192 &lt; 0, 1, 0) + IF(E192 &lt; 0, 1, 0), IF(D192 &gt; 0, 1, 0) + IF(E192 &gt; 0, 1, 0))</f>
        <v>#VALUE!</v>
      </c>
      <c r="U192" s="3" t="e">
        <f>T192 / 2</f>
        <v>#VALUE!</v>
      </c>
      <c r="V192" s="3" t="e">
        <f>IF(S192 &gt; 0, R192 &lt; 0, R192 &gt; 0)</f>
        <v>#VALUE!</v>
      </c>
      <c r="W192" s="3" t="e">
        <f>ABS(S192 - R192)</f>
        <v>#VALUE!</v>
      </c>
      <c r="X192" s="3" t="e">
        <f>IF(AND(V192, U192 = 1), "A", IF(AND(V192, U192 &lt; 1), "B", IF(AND(NOT(V192), W192 &gt; 0.01, ABS(R192) &gt; ABS(S192) + 0.001), "C+", IF(AND(NOT(V192), W192 &gt; 0.01, ABS(R192) &lt; ABS(S192) - 0.001), "C-", "D"))))</f>
        <v>#VALUE!</v>
      </c>
    </row>
    <row r="193">
      <c r="A193" s="2" t="s">
        <v>4651</v>
      </c>
      <c r="B193" s="3" t="str">
        <f>A193</f>
        <v>phase-w60-g112-g212-b30</v>
      </c>
      <c r="C193" s="2">
        <v>0.6</v>
      </c>
      <c r="D193" s="2">
        <v>0.12</v>
      </c>
      <c r="E193" s="2">
        <v>0.04</v>
      </c>
      <c r="F193" s="2">
        <v>0.3</v>
      </c>
      <c r="G193" s="3" t="e">
        <f>ROUND(200 * C193)</f>
        <v>#VALUE!</v>
      </c>
      <c r="H193" s="3" t="e">
        <f>ROUND(G193 * (0.5 + F193 / 2))</f>
        <v>#VALUE!</v>
      </c>
      <c r="I193" s="3" t="e">
        <f>G193 - H193</f>
        <v>#VALUE!</v>
      </c>
      <c r="J193" s="3" t="e">
        <f>100 - H193</f>
        <v>#VALUE!</v>
      </c>
      <c r="K193" s="3" t="e">
        <f>100 - I193</f>
        <v>#VALUE!</v>
      </c>
      <c r="L193" s="3">
        <f>0.45 + D193 / 2</f>
        <v>0.51</v>
      </c>
      <c r="M193" s="3">
        <f>0.45 - D193 / 2</f>
        <v>0.39</v>
      </c>
      <c r="N193" s="3">
        <f>0.75 + E193 / 2</f>
        <v>0.77</v>
      </c>
      <c r="O193" s="3">
        <f>0.75 - E193 / 2</f>
        <v>0.73</v>
      </c>
      <c r="P193" s="3" t="e">
        <f>(H193 * L193 + J193 * N193) / 100</f>
        <v>#VALUE!</v>
      </c>
      <c r="Q193" s="3" t="e">
        <f>(I193 * M193 + K193 * O193) / 100</f>
        <v>#VALUE!</v>
      </c>
      <c r="R193" s="3" t="e">
        <f>P193 - Q193</f>
        <v>#VALUE!</v>
      </c>
      <c r="S193" s="3">
        <f>C193 * D193 + (1 - C193) * E193</f>
        <v>0.088</v>
      </c>
      <c r="T193" s="3" t="e">
        <f>IF(R193 &gt; 0, IF(D193 &lt; 0, 1, 0) + IF(E193 &lt; 0, 1, 0), IF(D193 &gt; 0, 1, 0) + IF(E193 &gt; 0, 1, 0))</f>
        <v>#VALUE!</v>
      </c>
      <c r="U193" s="3" t="e">
        <f>T193 / 2</f>
        <v>#VALUE!</v>
      </c>
      <c r="V193" s="3" t="e">
        <f>IF(S193 &gt; 0, R193 &lt; 0, R193 &gt; 0)</f>
        <v>#VALUE!</v>
      </c>
      <c r="W193" s="3" t="e">
        <f>ABS(S193 - R193)</f>
        <v>#VALUE!</v>
      </c>
      <c r="X193" s="3" t="e">
        <f>IF(AND(V193, U193 = 1), "A", IF(AND(V193, U193 &lt; 1), "B", IF(AND(NOT(V193), W193 &gt; 0.01, ABS(R193) &gt; ABS(S193) + 0.001), "C+", IF(AND(NOT(V193), W193 &gt; 0.01, ABS(R193) &lt; ABS(S193) - 0.001), "C-", "D"))))</f>
        <v>#VALUE!</v>
      </c>
    </row>
    <row r="194">
      <c r="A194" s="2" t="s">
        <v>4652</v>
      </c>
      <c r="B194" s="3" t="str">
        <f>A194</f>
        <v>phase-w60-g112-g212-b60</v>
      </c>
      <c r="C194" s="2">
        <v>0.6</v>
      </c>
      <c r="D194" s="2">
        <v>0.12</v>
      </c>
      <c r="E194" s="2">
        <v>0.04</v>
      </c>
      <c r="F194" s="2">
        <v>0.6</v>
      </c>
      <c r="G194" s="3" t="e">
        <f>ROUND(200 * C194)</f>
        <v>#VALUE!</v>
      </c>
      <c r="H194" s="3" t="e">
        <f>ROUND(G194 * (0.5 + F194 / 2))</f>
        <v>#VALUE!</v>
      </c>
      <c r="I194" s="3" t="e">
        <f>G194 - H194</f>
        <v>#VALUE!</v>
      </c>
      <c r="J194" s="3" t="e">
        <f>100 - H194</f>
        <v>#VALUE!</v>
      </c>
      <c r="K194" s="3" t="e">
        <f>100 - I194</f>
        <v>#VALUE!</v>
      </c>
      <c r="L194" s="3">
        <f>0.45 + D194 / 2</f>
        <v>0.51</v>
      </c>
      <c r="M194" s="3">
        <f>0.45 - D194 / 2</f>
        <v>0.39</v>
      </c>
      <c r="N194" s="3">
        <f>0.75 + E194 / 2</f>
        <v>0.77</v>
      </c>
      <c r="O194" s="3">
        <f>0.75 - E194 / 2</f>
        <v>0.73</v>
      </c>
      <c r="P194" s="3" t="e">
        <f>(H194 * L194 + J194 * N194) / 100</f>
        <v>#VALUE!</v>
      </c>
      <c r="Q194" s="3" t="e">
        <f>(I194 * M194 + K194 * O194) / 100</f>
        <v>#VALUE!</v>
      </c>
      <c r="R194" s="3" t="e">
        <f>P194 - Q194</f>
        <v>#VALUE!</v>
      </c>
      <c r="S194" s="3">
        <f>C194 * D194 + (1 - C194) * E194</f>
        <v>0.088</v>
      </c>
      <c r="T194" s="3" t="e">
        <f>IF(R194 &gt; 0, IF(D194 &lt; 0, 1, 0) + IF(E194 &lt; 0, 1, 0), IF(D194 &gt; 0, 1, 0) + IF(E194 &gt; 0, 1, 0))</f>
        <v>#VALUE!</v>
      </c>
      <c r="U194" s="3" t="e">
        <f>T194 / 2</f>
        <v>#VALUE!</v>
      </c>
      <c r="V194" s="3" t="e">
        <f>IF(S194 &gt; 0, R194 &lt; 0, R194 &gt; 0)</f>
        <v>#VALUE!</v>
      </c>
      <c r="W194" s="3" t="e">
        <f>ABS(S194 - R194)</f>
        <v>#VALUE!</v>
      </c>
      <c r="X194" s="3" t="e">
        <f>IF(AND(V194, U194 = 1), "A", IF(AND(V194, U194 &lt; 1), "B", IF(AND(NOT(V194), W194 &gt; 0.01, ABS(R194) &gt; ABS(S194) + 0.001), "C+", IF(AND(NOT(V194), W194 &gt; 0.01, ABS(R194) &lt; ABS(S194) - 0.001), "C-", "D"))))</f>
        <v>#VALUE!</v>
      </c>
    </row>
    <row r="195">
      <c r="A195" s="2" t="s">
        <v>4653</v>
      </c>
      <c r="B195" s="3" t="str">
        <f>A195</f>
        <v>phase-w60-g112-g216-b00</v>
      </c>
      <c r="C195" s="2">
        <v>0.6</v>
      </c>
      <c r="D195" s="2">
        <v>0.12</v>
      </c>
      <c r="E195" s="2">
        <v>0.08</v>
      </c>
      <c r="F195" s="2">
        <v>0</v>
      </c>
      <c r="G195" s="3" t="e">
        <f>ROUND(200 * C195)</f>
        <v>#VALUE!</v>
      </c>
      <c r="H195" s="3" t="e">
        <f>ROUND(G195 * (0.5 + F195 / 2))</f>
        <v>#VALUE!</v>
      </c>
      <c r="I195" s="3" t="e">
        <f>G195 - H195</f>
        <v>#VALUE!</v>
      </c>
      <c r="J195" s="3" t="e">
        <f>100 - H195</f>
        <v>#VALUE!</v>
      </c>
      <c r="K195" s="3" t="e">
        <f>100 - I195</f>
        <v>#VALUE!</v>
      </c>
      <c r="L195" s="3">
        <f>0.45 + D195 / 2</f>
        <v>0.51</v>
      </c>
      <c r="M195" s="3">
        <f>0.45 - D195 / 2</f>
        <v>0.39</v>
      </c>
      <c r="N195" s="3">
        <f>0.75 + E195 / 2</f>
        <v>0.79</v>
      </c>
      <c r="O195" s="3">
        <f>0.75 - E195 / 2</f>
        <v>0.71</v>
      </c>
      <c r="P195" s="3" t="e">
        <f>(H195 * L195 + J195 * N195) / 100</f>
        <v>#VALUE!</v>
      </c>
      <c r="Q195" s="3" t="e">
        <f>(I195 * M195 + K195 * O195) / 100</f>
        <v>#VALUE!</v>
      </c>
      <c r="R195" s="3" t="e">
        <f>P195 - Q195</f>
        <v>#VALUE!</v>
      </c>
      <c r="S195" s="3">
        <f>C195 * D195 + (1 - C195) * E195</f>
        <v>0.104</v>
      </c>
      <c r="T195" s="3" t="e">
        <f>IF(R195 &gt; 0, IF(D195 &lt; 0, 1, 0) + IF(E195 &lt; 0, 1, 0), IF(D195 &gt; 0, 1, 0) + IF(E195 &gt; 0, 1, 0))</f>
        <v>#VALUE!</v>
      </c>
      <c r="U195" s="3" t="e">
        <f>T195 / 2</f>
        <v>#VALUE!</v>
      </c>
      <c r="V195" s="3" t="e">
        <f>IF(S195 &gt; 0, R195 &lt; 0, R195 &gt; 0)</f>
        <v>#VALUE!</v>
      </c>
      <c r="W195" s="3" t="e">
        <f>ABS(S195 - R195)</f>
        <v>#VALUE!</v>
      </c>
      <c r="X195" s="3" t="e">
        <f>IF(AND(V195, U195 = 1), "A", IF(AND(V195, U195 &lt; 1), "B", IF(AND(NOT(V195), W195 &gt; 0.01, ABS(R195) &gt; ABS(S195) + 0.001), "C+", IF(AND(NOT(V195), W195 &gt; 0.01, ABS(R195) &lt; ABS(S195) - 0.001), "C-", "D"))))</f>
        <v>#VALUE!</v>
      </c>
    </row>
    <row r="196">
      <c r="A196" s="2" t="s">
        <v>4654</v>
      </c>
      <c r="B196" s="3" t="str">
        <f>A196</f>
        <v>phase-w60-g112-g216-b30</v>
      </c>
      <c r="C196" s="2">
        <v>0.6</v>
      </c>
      <c r="D196" s="2">
        <v>0.12</v>
      </c>
      <c r="E196" s="2">
        <v>0.08</v>
      </c>
      <c r="F196" s="2">
        <v>0.3</v>
      </c>
      <c r="G196" s="3" t="e">
        <f>ROUND(200 * C196)</f>
        <v>#VALUE!</v>
      </c>
      <c r="H196" s="3" t="e">
        <f>ROUND(G196 * (0.5 + F196 / 2))</f>
        <v>#VALUE!</v>
      </c>
      <c r="I196" s="3" t="e">
        <f>G196 - H196</f>
        <v>#VALUE!</v>
      </c>
      <c r="J196" s="3" t="e">
        <f>100 - H196</f>
        <v>#VALUE!</v>
      </c>
      <c r="K196" s="3" t="e">
        <f>100 - I196</f>
        <v>#VALUE!</v>
      </c>
      <c r="L196" s="3">
        <f>0.45 + D196 / 2</f>
        <v>0.51</v>
      </c>
      <c r="M196" s="3">
        <f>0.45 - D196 / 2</f>
        <v>0.39</v>
      </c>
      <c r="N196" s="3">
        <f>0.75 + E196 / 2</f>
        <v>0.79</v>
      </c>
      <c r="O196" s="3">
        <f>0.75 - E196 / 2</f>
        <v>0.71</v>
      </c>
      <c r="P196" s="3" t="e">
        <f>(H196 * L196 + J196 * N196) / 100</f>
        <v>#VALUE!</v>
      </c>
      <c r="Q196" s="3" t="e">
        <f>(I196 * M196 + K196 * O196) / 100</f>
        <v>#VALUE!</v>
      </c>
      <c r="R196" s="3" t="e">
        <f>P196 - Q196</f>
        <v>#VALUE!</v>
      </c>
      <c r="S196" s="3">
        <f>C196 * D196 + (1 - C196) * E196</f>
        <v>0.104</v>
      </c>
      <c r="T196" s="3" t="e">
        <f>IF(R196 &gt; 0, IF(D196 &lt; 0, 1, 0) + IF(E196 &lt; 0, 1, 0), IF(D196 &gt; 0, 1, 0) + IF(E196 &gt; 0, 1, 0))</f>
        <v>#VALUE!</v>
      </c>
      <c r="U196" s="3" t="e">
        <f>T196 / 2</f>
        <v>#VALUE!</v>
      </c>
      <c r="V196" s="3" t="e">
        <f>IF(S196 &gt; 0, R196 &lt; 0, R196 &gt; 0)</f>
        <v>#VALUE!</v>
      </c>
      <c r="W196" s="3" t="e">
        <f>ABS(S196 - R196)</f>
        <v>#VALUE!</v>
      </c>
      <c r="X196" s="3" t="e">
        <f>IF(AND(V196, U196 = 1), "A", IF(AND(V196, U196 &lt; 1), "B", IF(AND(NOT(V196), W196 &gt; 0.01, ABS(R196) &gt; ABS(S196) + 0.001), "C+", IF(AND(NOT(V196), W196 &gt; 0.01, ABS(R196) &lt; ABS(S196) - 0.001), "C-", "D"))))</f>
        <v>#VALUE!</v>
      </c>
    </row>
    <row r="197">
      <c r="A197" s="2" t="s">
        <v>4655</v>
      </c>
      <c r="B197" s="3" t="str">
        <f>A197</f>
        <v>phase-w60-g112-g216-b60</v>
      </c>
      <c r="C197" s="2">
        <v>0.6</v>
      </c>
      <c r="D197" s="2">
        <v>0.12</v>
      </c>
      <c r="E197" s="2">
        <v>0.08</v>
      </c>
      <c r="F197" s="2">
        <v>0.6</v>
      </c>
      <c r="G197" s="3" t="e">
        <f>ROUND(200 * C197)</f>
        <v>#VALUE!</v>
      </c>
      <c r="H197" s="3" t="e">
        <f>ROUND(G197 * (0.5 + F197 / 2))</f>
        <v>#VALUE!</v>
      </c>
      <c r="I197" s="3" t="e">
        <f>G197 - H197</f>
        <v>#VALUE!</v>
      </c>
      <c r="J197" s="3" t="e">
        <f>100 - H197</f>
        <v>#VALUE!</v>
      </c>
      <c r="K197" s="3" t="e">
        <f>100 - I197</f>
        <v>#VALUE!</v>
      </c>
      <c r="L197" s="3">
        <f>0.45 + D197 / 2</f>
        <v>0.51</v>
      </c>
      <c r="M197" s="3">
        <f>0.45 - D197 / 2</f>
        <v>0.39</v>
      </c>
      <c r="N197" s="3">
        <f>0.75 + E197 / 2</f>
        <v>0.79</v>
      </c>
      <c r="O197" s="3">
        <f>0.75 - E197 / 2</f>
        <v>0.71</v>
      </c>
      <c r="P197" s="3" t="e">
        <f>(H197 * L197 + J197 * N197) / 100</f>
        <v>#VALUE!</v>
      </c>
      <c r="Q197" s="3" t="e">
        <f>(I197 * M197 + K197 * O197) / 100</f>
        <v>#VALUE!</v>
      </c>
      <c r="R197" s="3" t="e">
        <f>P197 - Q197</f>
        <v>#VALUE!</v>
      </c>
      <c r="S197" s="3">
        <f>C197 * D197 + (1 - C197) * E197</f>
        <v>0.104</v>
      </c>
      <c r="T197" s="3" t="e">
        <f>IF(R197 &gt; 0, IF(D197 &lt; 0, 1, 0) + IF(E197 &lt; 0, 1, 0), IF(D197 &gt; 0, 1, 0) + IF(E197 &gt; 0, 1, 0))</f>
        <v>#VALUE!</v>
      </c>
      <c r="U197" s="3" t="e">
        <f>T197 / 2</f>
        <v>#VALUE!</v>
      </c>
      <c r="V197" s="3" t="e">
        <f>IF(S197 &gt; 0, R197 &lt; 0, R197 &gt; 0)</f>
        <v>#VALUE!</v>
      </c>
      <c r="W197" s="3" t="e">
        <f>ABS(S197 - R197)</f>
        <v>#VALUE!</v>
      </c>
      <c r="X197" s="3" t="e">
        <f>IF(AND(V197, U197 = 1), "A", IF(AND(V197, U197 &lt; 1), "B", IF(AND(NOT(V197), W197 &gt; 0.01, ABS(R197) &gt; ABS(S197) + 0.001), "C+", IF(AND(NOT(V197), W197 &gt; 0.01, ABS(R197) &lt; ABS(S197) - 0.001), "C-", "D"))))</f>
        <v>#VALUE!</v>
      </c>
    </row>
    <row r="198">
      <c r="A198" s="2" t="s">
        <v>4656</v>
      </c>
      <c r="B198" s="3" t="str">
        <f>A198</f>
        <v>phase-w60-g116-g200-b00</v>
      </c>
      <c r="C198" s="2">
        <v>0.6</v>
      </c>
      <c r="D198" s="2">
        <v>0.16</v>
      </c>
      <c r="E198" s="2">
        <v>-0.08</v>
      </c>
      <c r="F198" s="2">
        <v>0</v>
      </c>
      <c r="G198" s="3" t="e">
        <f>ROUND(200 * C198)</f>
        <v>#VALUE!</v>
      </c>
      <c r="H198" s="3" t="e">
        <f>ROUND(G198 * (0.5 + F198 / 2))</f>
        <v>#VALUE!</v>
      </c>
      <c r="I198" s="3" t="e">
        <f>G198 - H198</f>
        <v>#VALUE!</v>
      </c>
      <c r="J198" s="3" t="e">
        <f>100 - H198</f>
        <v>#VALUE!</v>
      </c>
      <c r="K198" s="3" t="e">
        <f>100 - I198</f>
        <v>#VALUE!</v>
      </c>
      <c r="L198" s="3">
        <f>0.45 + D198 / 2</f>
        <v>0.53</v>
      </c>
      <c r="M198" s="3">
        <f>0.45 - D198 / 2</f>
        <v>0.37</v>
      </c>
      <c r="N198" s="3">
        <f>0.75 + E198 / 2</f>
        <v>0.71</v>
      </c>
      <c r="O198" s="3">
        <f>0.75 - E198 / 2</f>
        <v>0.79</v>
      </c>
      <c r="P198" s="3" t="e">
        <f>(H198 * L198 + J198 * N198) / 100</f>
        <v>#VALUE!</v>
      </c>
      <c r="Q198" s="3" t="e">
        <f>(I198 * M198 + K198 * O198) / 100</f>
        <v>#VALUE!</v>
      </c>
      <c r="R198" s="3" t="e">
        <f>P198 - Q198</f>
        <v>#VALUE!</v>
      </c>
      <c r="S198" s="3">
        <f>C198 * D198 + (1 - C198) * E198</f>
        <v>0.064</v>
      </c>
      <c r="T198" s="3" t="e">
        <f>IF(R198 &gt; 0, IF(D198 &lt; 0, 1, 0) + IF(E198 &lt; 0, 1, 0), IF(D198 &gt; 0, 1, 0) + IF(E198 &gt; 0, 1, 0))</f>
        <v>#VALUE!</v>
      </c>
      <c r="U198" s="3" t="e">
        <f>T198 / 2</f>
        <v>#VALUE!</v>
      </c>
      <c r="V198" s="3" t="e">
        <f>IF(S198 &gt; 0, R198 &lt; 0, R198 &gt; 0)</f>
        <v>#VALUE!</v>
      </c>
      <c r="W198" s="3" t="e">
        <f>ABS(S198 - R198)</f>
        <v>#VALUE!</v>
      </c>
      <c r="X198" s="3" t="e">
        <f>IF(AND(V198, U198 = 1), "A", IF(AND(V198, U198 &lt; 1), "B", IF(AND(NOT(V198), W198 &gt; 0.01, ABS(R198) &gt; ABS(S198) + 0.001), "C+", IF(AND(NOT(V198), W198 &gt; 0.01, ABS(R198) &lt; ABS(S198) - 0.001), "C-", "D"))))</f>
        <v>#VALUE!</v>
      </c>
    </row>
    <row r="199">
      <c r="A199" s="2" t="s">
        <v>4657</v>
      </c>
      <c r="B199" s="3" t="str">
        <f>A199</f>
        <v>phase-w60-g116-g200-b30</v>
      </c>
      <c r="C199" s="2">
        <v>0.6</v>
      </c>
      <c r="D199" s="2">
        <v>0.16</v>
      </c>
      <c r="E199" s="2">
        <v>-0.08</v>
      </c>
      <c r="F199" s="2">
        <v>0.3</v>
      </c>
      <c r="G199" s="3" t="e">
        <f>ROUND(200 * C199)</f>
        <v>#VALUE!</v>
      </c>
      <c r="H199" s="3" t="e">
        <f>ROUND(G199 * (0.5 + F199 / 2))</f>
        <v>#VALUE!</v>
      </c>
      <c r="I199" s="3" t="e">
        <f>G199 - H199</f>
        <v>#VALUE!</v>
      </c>
      <c r="J199" s="3" t="e">
        <f>100 - H199</f>
        <v>#VALUE!</v>
      </c>
      <c r="K199" s="3" t="e">
        <f>100 - I199</f>
        <v>#VALUE!</v>
      </c>
      <c r="L199" s="3">
        <f>0.45 + D199 / 2</f>
        <v>0.53</v>
      </c>
      <c r="M199" s="3">
        <f>0.45 - D199 / 2</f>
        <v>0.37</v>
      </c>
      <c r="N199" s="3">
        <f>0.75 + E199 / 2</f>
        <v>0.71</v>
      </c>
      <c r="O199" s="3">
        <f>0.75 - E199 / 2</f>
        <v>0.79</v>
      </c>
      <c r="P199" s="3" t="e">
        <f>(H199 * L199 + J199 * N199) / 100</f>
        <v>#VALUE!</v>
      </c>
      <c r="Q199" s="3" t="e">
        <f>(I199 * M199 + K199 * O199) / 100</f>
        <v>#VALUE!</v>
      </c>
      <c r="R199" s="3" t="e">
        <f>P199 - Q199</f>
        <v>#VALUE!</v>
      </c>
      <c r="S199" s="3">
        <f>C199 * D199 + (1 - C199) * E199</f>
        <v>0.064</v>
      </c>
      <c r="T199" s="3" t="e">
        <f>IF(R199 &gt; 0, IF(D199 &lt; 0, 1, 0) + IF(E199 &lt; 0, 1, 0), IF(D199 &gt; 0, 1, 0) + IF(E199 &gt; 0, 1, 0))</f>
        <v>#VALUE!</v>
      </c>
      <c r="U199" s="3" t="e">
        <f>T199 / 2</f>
        <v>#VALUE!</v>
      </c>
      <c r="V199" s="3" t="e">
        <f>IF(S199 &gt; 0, R199 &lt; 0, R199 &gt; 0)</f>
        <v>#VALUE!</v>
      </c>
      <c r="W199" s="3" t="e">
        <f>ABS(S199 - R199)</f>
        <v>#VALUE!</v>
      </c>
      <c r="X199" s="3" t="e">
        <f>IF(AND(V199, U199 = 1), "A", IF(AND(V199, U199 &lt; 1), "B", IF(AND(NOT(V199), W199 &gt; 0.01, ABS(R199) &gt; ABS(S199) + 0.001), "C+", IF(AND(NOT(V199), W199 &gt; 0.01, ABS(R199) &lt; ABS(S199) - 0.001), "C-", "D"))))</f>
        <v>#VALUE!</v>
      </c>
    </row>
    <row r="200">
      <c r="A200" s="2" t="s">
        <v>4658</v>
      </c>
      <c r="B200" s="3" t="str">
        <f>A200</f>
        <v>phase-w60-g116-g200-b60</v>
      </c>
      <c r="C200" s="2">
        <v>0.6</v>
      </c>
      <c r="D200" s="2">
        <v>0.16</v>
      </c>
      <c r="E200" s="2">
        <v>-0.08</v>
      </c>
      <c r="F200" s="2">
        <v>0.6</v>
      </c>
      <c r="G200" s="3" t="e">
        <f>ROUND(200 * C200)</f>
        <v>#VALUE!</v>
      </c>
      <c r="H200" s="3" t="e">
        <f>ROUND(G200 * (0.5 + F200 / 2))</f>
        <v>#VALUE!</v>
      </c>
      <c r="I200" s="3" t="e">
        <f>G200 - H200</f>
        <v>#VALUE!</v>
      </c>
      <c r="J200" s="3" t="e">
        <f>100 - H200</f>
        <v>#VALUE!</v>
      </c>
      <c r="K200" s="3" t="e">
        <f>100 - I200</f>
        <v>#VALUE!</v>
      </c>
      <c r="L200" s="3">
        <f>0.45 + D200 / 2</f>
        <v>0.53</v>
      </c>
      <c r="M200" s="3">
        <f>0.45 - D200 / 2</f>
        <v>0.37</v>
      </c>
      <c r="N200" s="3">
        <f>0.75 + E200 / 2</f>
        <v>0.71</v>
      </c>
      <c r="O200" s="3">
        <f>0.75 - E200 / 2</f>
        <v>0.79</v>
      </c>
      <c r="P200" s="3" t="e">
        <f>(H200 * L200 + J200 * N200) / 100</f>
        <v>#VALUE!</v>
      </c>
      <c r="Q200" s="3" t="e">
        <f>(I200 * M200 + K200 * O200) / 100</f>
        <v>#VALUE!</v>
      </c>
      <c r="R200" s="3" t="e">
        <f>P200 - Q200</f>
        <v>#VALUE!</v>
      </c>
      <c r="S200" s="3">
        <f>C200 * D200 + (1 - C200) * E200</f>
        <v>0.064</v>
      </c>
      <c r="T200" s="3" t="e">
        <f>IF(R200 &gt; 0, IF(D200 &lt; 0, 1, 0) + IF(E200 &lt; 0, 1, 0), IF(D200 &gt; 0, 1, 0) + IF(E200 &gt; 0, 1, 0))</f>
        <v>#VALUE!</v>
      </c>
      <c r="U200" s="3" t="e">
        <f>T200 / 2</f>
        <v>#VALUE!</v>
      </c>
      <c r="V200" s="3" t="e">
        <f>IF(S200 &gt; 0, R200 &lt; 0, R200 &gt; 0)</f>
        <v>#VALUE!</v>
      </c>
      <c r="W200" s="3" t="e">
        <f>ABS(S200 - R200)</f>
        <v>#VALUE!</v>
      </c>
      <c r="X200" s="3" t="e">
        <f>IF(AND(V200, U200 = 1), "A", IF(AND(V200, U200 &lt; 1), "B", IF(AND(NOT(V200), W200 &gt; 0.01, ABS(R200) &gt; ABS(S200) + 0.001), "C+", IF(AND(NOT(V200), W200 &gt; 0.01, ABS(R200) &lt; ABS(S200) - 0.001), "C-", "D"))))</f>
        <v>#VALUE!</v>
      </c>
    </row>
    <row r="201">
      <c r="A201" s="2" t="s">
        <v>4659</v>
      </c>
      <c r="B201" s="3" t="str">
        <f>A201</f>
        <v>phase-w60-g116-g208-b00</v>
      </c>
      <c r="C201" s="2">
        <v>0.6</v>
      </c>
      <c r="D201" s="2">
        <v>0.16</v>
      </c>
      <c r="E201" s="2">
        <v>0</v>
      </c>
      <c r="F201" s="2">
        <v>0</v>
      </c>
      <c r="G201" s="3" t="e">
        <f>ROUND(200 * C201)</f>
        <v>#VALUE!</v>
      </c>
      <c r="H201" s="3" t="e">
        <f>ROUND(G201 * (0.5 + F201 / 2))</f>
        <v>#VALUE!</v>
      </c>
      <c r="I201" s="3" t="e">
        <f>G201 - H201</f>
        <v>#VALUE!</v>
      </c>
      <c r="J201" s="3" t="e">
        <f>100 - H201</f>
        <v>#VALUE!</v>
      </c>
      <c r="K201" s="3" t="e">
        <f>100 - I201</f>
        <v>#VALUE!</v>
      </c>
      <c r="L201" s="3">
        <f>0.45 + D201 / 2</f>
        <v>0.53</v>
      </c>
      <c r="M201" s="3">
        <f>0.45 - D201 / 2</f>
        <v>0.37</v>
      </c>
      <c r="N201" s="3">
        <f>0.75 + E201 / 2</f>
        <v>0.75</v>
      </c>
      <c r="O201" s="3">
        <f>0.75 - E201 / 2</f>
        <v>0.75</v>
      </c>
      <c r="P201" s="3" t="e">
        <f>(H201 * L201 + J201 * N201) / 100</f>
        <v>#VALUE!</v>
      </c>
      <c r="Q201" s="3" t="e">
        <f>(I201 * M201 + K201 * O201) / 100</f>
        <v>#VALUE!</v>
      </c>
      <c r="R201" s="3" t="e">
        <f>P201 - Q201</f>
        <v>#VALUE!</v>
      </c>
      <c r="S201" s="3">
        <f>C201 * D201 + (1 - C201) * E201</f>
        <v>0.096</v>
      </c>
      <c r="T201" s="3" t="e">
        <f>IF(R201 &gt; 0, IF(D201 &lt; 0, 1, 0) + IF(E201 &lt; 0, 1, 0), IF(D201 &gt; 0, 1, 0) + IF(E201 &gt; 0, 1, 0))</f>
        <v>#VALUE!</v>
      </c>
      <c r="U201" s="3" t="e">
        <f>T201 / 2</f>
        <v>#VALUE!</v>
      </c>
      <c r="V201" s="3" t="e">
        <f>IF(S201 &gt; 0, R201 &lt; 0, R201 &gt; 0)</f>
        <v>#VALUE!</v>
      </c>
      <c r="W201" s="3" t="e">
        <f>ABS(S201 - R201)</f>
        <v>#VALUE!</v>
      </c>
      <c r="X201" s="3" t="e">
        <f>IF(AND(V201, U201 = 1), "A", IF(AND(V201, U201 &lt; 1), "B", IF(AND(NOT(V201), W201 &gt; 0.01, ABS(R201) &gt; ABS(S201) + 0.001), "C+", IF(AND(NOT(V201), W201 &gt; 0.01, ABS(R201) &lt; ABS(S201) - 0.001), "C-", "D"))))</f>
        <v>#VALUE!</v>
      </c>
    </row>
    <row r="202">
      <c r="A202" s="2" t="s">
        <v>4660</v>
      </c>
      <c r="B202" s="3" t="str">
        <f>A202</f>
        <v>phase-w60-g116-g208-b30</v>
      </c>
      <c r="C202" s="2">
        <v>0.6</v>
      </c>
      <c r="D202" s="2">
        <v>0.16</v>
      </c>
      <c r="E202" s="2">
        <v>0</v>
      </c>
      <c r="F202" s="2">
        <v>0.3</v>
      </c>
      <c r="G202" s="3" t="e">
        <f>ROUND(200 * C202)</f>
        <v>#VALUE!</v>
      </c>
      <c r="H202" s="3" t="e">
        <f>ROUND(G202 * (0.5 + F202 / 2))</f>
        <v>#VALUE!</v>
      </c>
      <c r="I202" s="3" t="e">
        <f>G202 - H202</f>
        <v>#VALUE!</v>
      </c>
      <c r="J202" s="3" t="e">
        <f>100 - H202</f>
        <v>#VALUE!</v>
      </c>
      <c r="K202" s="3" t="e">
        <f>100 - I202</f>
        <v>#VALUE!</v>
      </c>
      <c r="L202" s="3">
        <f>0.45 + D202 / 2</f>
        <v>0.53</v>
      </c>
      <c r="M202" s="3">
        <f>0.45 - D202 / 2</f>
        <v>0.37</v>
      </c>
      <c r="N202" s="3">
        <f>0.75 + E202 / 2</f>
        <v>0.75</v>
      </c>
      <c r="O202" s="3">
        <f>0.75 - E202 / 2</f>
        <v>0.75</v>
      </c>
      <c r="P202" s="3" t="e">
        <f>(H202 * L202 + J202 * N202) / 100</f>
        <v>#VALUE!</v>
      </c>
      <c r="Q202" s="3" t="e">
        <f>(I202 * M202 + K202 * O202) / 100</f>
        <v>#VALUE!</v>
      </c>
      <c r="R202" s="3" t="e">
        <f>P202 - Q202</f>
        <v>#VALUE!</v>
      </c>
      <c r="S202" s="3">
        <f>C202 * D202 + (1 - C202) * E202</f>
        <v>0.096</v>
      </c>
      <c r="T202" s="3" t="e">
        <f>IF(R202 &gt; 0, IF(D202 &lt; 0, 1, 0) + IF(E202 &lt; 0, 1, 0), IF(D202 &gt; 0, 1, 0) + IF(E202 &gt; 0, 1, 0))</f>
        <v>#VALUE!</v>
      </c>
      <c r="U202" s="3" t="e">
        <f>T202 / 2</f>
        <v>#VALUE!</v>
      </c>
      <c r="V202" s="3" t="e">
        <f>IF(S202 &gt; 0, R202 &lt; 0, R202 &gt; 0)</f>
        <v>#VALUE!</v>
      </c>
      <c r="W202" s="3" t="e">
        <f>ABS(S202 - R202)</f>
        <v>#VALUE!</v>
      </c>
      <c r="X202" s="3" t="e">
        <f>IF(AND(V202, U202 = 1), "A", IF(AND(V202, U202 &lt; 1), "B", IF(AND(NOT(V202), W202 &gt; 0.01, ABS(R202) &gt; ABS(S202) + 0.001), "C+", IF(AND(NOT(V202), W202 &gt; 0.01, ABS(R202) &lt; ABS(S202) - 0.001), "C-", "D"))))</f>
        <v>#VALUE!</v>
      </c>
    </row>
    <row r="203">
      <c r="A203" s="2" t="s">
        <v>4661</v>
      </c>
      <c r="B203" s="3" t="str">
        <f>A203</f>
        <v>phase-w60-g116-g208-b60</v>
      </c>
      <c r="C203" s="2">
        <v>0.6</v>
      </c>
      <c r="D203" s="2">
        <v>0.16</v>
      </c>
      <c r="E203" s="2">
        <v>0</v>
      </c>
      <c r="F203" s="2">
        <v>0.6</v>
      </c>
      <c r="G203" s="3" t="e">
        <f>ROUND(200 * C203)</f>
        <v>#VALUE!</v>
      </c>
      <c r="H203" s="3" t="e">
        <f>ROUND(G203 * (0.5 + F203 / 2))</f>
        <v>#VALUE!</v>
      </c>
      <c r="I203" s="3" t="e">
        <f>G203 - H203</f>
        <v>#VALUE!</v>
      </c>
      <c r="J203" s="3" t="e">
        <f>100 - H203</f>
        <v>#VALUE!</v>
      </c>
      <c r="K203" s="3" t="e">
        <f>100 - I203</f>
        <v>#VALUE!</v>
      </c>
      <c r="L203" s="3">
        <f>0.45 + D203 / 2</f>
        <v>0.53</v>
      </c>
      <c r="M203" s="3">
        <f>0.45 - D203 / 2</f>
        <v>0.37</v>
      </c>
      <c r="N203" s="3">
        <f>0.75 + E203 / 2</f>
        <v>0.75</v>
      </c>
      <c r="O203" s="3">
        <f>0.75 - E203 / 2</f>
        <v>0.75</v>
      </c>
      <c r="P203" s="3" t="e">
        <f>(H203 * L203 + J203 * N203) / 100</f>
        <v>#VALUE!</v>
      </c>
      <c r="Q203" s="3" t="e">
        <f>(I203 * M203 + K203 * O203) / 100</f>
        <v>#VALUE!</v>
      </c>
      <c r="R203" s="3" t="e">
        <f>P203 - Q203</f>
        <v>#VALUE!</v>
      </c>
      <c r="S203" s="3">
        <f>C203 * D203 + (1 - C203) * E203</f>
        <v>0.096</v>
      </c>
      <c r="T203" s="3" t="e">
        <f>IF(R203 &gt; 0, IF(D203 &lt; 0, 1, 0) + IF(E203 &lt; 0, 1, 0), IF(D203 &gt; 0, 1, 0) + IF(E203 &gt; 0, 1, 0))</f>
        <v>#VALUE!</v>
      </c>
      <c r="U203" s="3" t="e">
        <f>T203 / 2</f>
        <v>#VALUE!</v>
      </c>
      <c r="V203" s="3" t="e">
        <f>IF(S203 &gt; 0, R203 &lt; 0, R203 &gt; 0)</f>
        <v>#VALUE!</v>
      </c>
      <c r="W203" s="3" t="e">
        <f>ABS(S203 - R203)</f>
        <v>#VALUE!</v>
      </c>
      <c r="X203" s="3" t="e">
        <f>IF(AND(V203, U203 = 1), "A", IF(AND(V203, U203 &lt; 1), "B", IF(AND(NOT(V203), W203 &gt; 0.01, ABS(R203) &gt; ABS(S203) + 0.001), "C+", IF(AND(NOT(V203), W203 &gt; 0.01, ABS(R203) &lt; ABS(S203) - 0.001), "C-", "D"))))</f>
        <v>#VALUE!</v>
      </c>
    </row>
    <row r="204">
      <c r="A204" s="2" t="s">
        <v>4662</v>
      </c>
      <c r="B204" s="3" t="str">
        <f>A204</f>
        <v>phase-w60-g116-g212-b00</v>
      </c>
      <c r="C204" s="2">
        <v>0.6</v>
      </c>
      <c r="D204" s="2">
        <v>0.16</v>
      </c>
      <c r="E204" s="2">
        <v>0.04</v>
      </c>
      <c r="F204" s="2">
        <v>0</v>
      </c>
      <c r="G204" s="3" t="e">
        <f>ROUND(200 * C204)</f>
        <v>#VALUE!</v>
      </c>
      <c r="H204" s="3" t="e">
        <f>ROUND(G204 * (0.5 + F204 / 2))</f>
        <v>#VALUE!</v>
      </c>
      <c r="I204" s="3" t="e">
        <f>G204 - H204</f>
        <v>#VALUE!</v>
      </c>
      <c r="J204" s="3" t="e">
        <f>100 - H204</f>
        <v>#VALUE!</v>
      </c>
      <c r="K204" s="3" t="e">
        <f>100 - I204</f>
        <v>#VALUE!</v>
      </c>
      <c r="L204" s="3">
        <f>0.45 + D204 / 2</f>
        <v>0.53</v>
      </c>
      <c r="M204" s="3">
        <f>0.45 - D204 / 2</f>
        <v>0.37</v>
      </c>
      <c r="N204" s="3">
        <f>0.75 + E204 / 2</f>
        <v>0.77</v>
      </c>
      <c r="O204" s="3">
        <f>0.75 - E204 / 2</f>
        <v>0.73</v>
      </c>
      <c r="P204" s="3" t="e">
        <f>(H204 * L204 + J204 * N204) / 100</f>
        <v>#VALUE!</v>
      </c>
      <c r="Q204" s="3" t="e">
        <f>(I204 * M204 + K204 * O204) / 100</f>
        <v>#VALUE!</v>
      </c>
      <c r="R204" s="3" t="e">
        <f>P204 - Q204</f>
        <v>#VALUE!</v>
      </c>
      <c r="S204" s="3">
        <f>C204 * D204 + (1 - C204) * E204</f>
        <v>0.112</v>
      </c>
      <c r="T204" s="3" t="e">
        <f>IF(R204 &gt; 0, IF(D204 &lt; 0, 1, 0) + IF(E204 &lt; 0, 1, 0), IF(D204 &gt; 0, 1, 0) + IF(E204 &gt; 0, 1, 0))</f>
        <v>#VALUE!</v>
      </c>
      <c r="U204" s="3" t="e">
        <f>T204 / 2</f>
        <v>#VALUE!</v>
      </c>
      <c r="V204" s="3" t="e">
        <f>IF(S204 &gt; 0, R204 &lt; 0, R204 &gt; 0)</f>
        <v>#VALUE!</v>
      </c>
      <c r="W204" s="3" t="e">
        <f>ABS(S204 - R204)</f>
        <v>#VALUE!</v>
      </c>
      <c r="X204" s="3" t="e">
        <f>IF(AND(V204, U204 = 1), "A", IF(AND(V204, U204 &lt; 1), "B", IF(AND(NOT(V204), W204 &gt; 0.01, ABS(R204) &gt; ABS(S204) + 0.001), "C+", IF(AND(NOT(V204), W204 &gt; 0.01, ABS(R204) &lt; ABS(S204) - 0.001), "C-", "D"))))</f>
        <v>#VALUE!</v>
      </c>
    </row>
    <row r="205">
      <c r="A205" s="2" t="s">
        <v>4663</v>
      </c>
      <c r="B205" s="3" t="str">
        <f>A205</f>
        <v>phase-w60-g116-g212-b30</v>
      </c>
      <c r="C205" s="2">
        <v>0.6</v>
      </c>
      <c r="D205" s="2">
        <v>0.16</v>
      </c>
      <c r="E205" s="2">
        <v>0.04</v>
      </c>
      <c r="F205" s="2">
        <v>0.3</v>
      </c>
      <c r="G205" s="3" t="e">
        <f>ROUND(200 * C205)</f>
        <v>#VALUE!</v>
      </c>
      <c r="H205" s="3" t="e">
        <f>ROUND(G205 * (0.5 + F205 / 2))</f>
        <v>#VALUE!</v>
      </c>
      <c r="I205" s="3" t="e">
        <f>G205 - H205</f>
        <v>#VALUE!</v>
      </c>
      <c r="J205" s="3" t="e">
        <f>100 - H205</f>
        <v>#VALUE!</v>
      </c>
      <c r="K205" s="3" t="e">
        <f>100 - I205</f>
        <v>#VALUE!</v>
      </c>
      <c r="L205" s="3">
        <f>0.45 + D205 / 2</f>
        <v>0.53</v>
      </c>
      <c r="M205" s="3">
        <f>0.45 - D205 / 2</f>
        <v>0.37</v>
      </c>
      <c r="N205" s="3">
        <f>0.75 + E205 / 2</f>
        <v>0.77</v>
      </c>
      <c r="O205" s="3">
        <f>0.75 - E205 / 2</f>
        <v>0.73</v>
      </c>
      <c r="P205" s="3" t="e">
        <f>(H205 * L205 + J205 * N205) / 100</f>
        <v>#VALUE!</v>
      </c>
      <c r="Q205" s="3" t="e">
        <f>(I205 * M205 + K205 * O205) / 100</f>
        <v>#VALUE!</v>
      </c>
      <c r="R205" s="3" t="e">
        <f>P205 - Q205</f>
        <v>#VALUE!</v>
      </c>
      <c r="S205" s="3">
        <f>C205 * D205 + (1 - C205) * E205</f>
        <v>0.112</v>
      </c>
      <c r="T205" s="3" t="e">
        <f>IF(R205 &gt; 0, IF(D205 &lt; 0, 1, 0) + IF(E205 &lt; 0, 1, 0), IF(D205 &gt; 0, 1, 0) + IF(E205 &gt; 0, 1, 0))</f>
        <v>#VALUE!</v>
      </c>
      <c r="U205" s="3" t="e">
        <f>T205 / 2</f>
        <v>#VALUE!</v>
      </c>
      <c r="V205" s="3" t="e">
        <f>IF(S205 &gt; 0, R205 &lt; 0, R205 &gt; 0)</f>
        <v>#VALUE!</v>
      </c>
      <c r="W205" s="3" t="e">
        <f>ABS(S205 - R205)</f>
        <v>#VALUE!</v>
      </c>
      <c r="X205" s="3" t="e">
        <f>IF(AND(V205, U205 = 1), "A", IF(AND(V205, U205 &lt; 1), "B", IF(AND(NOT(V205), W205 &gt; 0.01, ABS(R205) &gt; ABS(S205) + 0.001), "C+", IF(AND(NOT(V205), W205 &gt; 0.01, ABS(R205) &lt; ABS(S205) - 0.001), "C-", "D"))))</f>
        <v>#VALUE!</v>
      </c>
    </row>
    <row r="206">
      <c r="A206" s="2" t="s">
        <v>4664</v>
      </c>
      <c r="B206" s="3" t="str">
        <f>A206</f>
        <v>phase-w60-g116-g212-b60</v>
      </c>
      <c r="C206" s="2">
        <v>0.6</v>
      </c>
      <c r="D206" s="2">
        <v>0.16</v>
      </c>
      <c r="E206" s="2">
        <v>0.04</v>
      </c>
      <c r="F206" s="2">
        <v>0.6</v>
      </c>
      <c r="G206" s="3" t="e">
        <f>ROUND(200 * C206)</f>
        <v>#VALUE!</v>
      </c>
      <c r="H206" s="3" t="e">
        <f>ROUND(G206 * (0.5 + F206 / 2))</f>
        <v>#VALUE!</v>
      </c>
      <c r="I206" s="3" t="e">
        <f>G206 - H206</f>
        <v>#VALUE!</v>
      </c>
      <c r="J206" s="3" t="e">
        <f>100 - H206</f>
        <v>#VALUE!</v>
      </c>
      <c r="K206" s="3" t="e">
        <f>100 - I206</f>
        <v>#VALUE!</v>
      </c>
      <c r="L206" s="3">
        <f>0.45 + D206 / 2</f>
        <v>0.53</v>
      </c>
      <c r="M206" s="3">
        <f>0.45 - D206 / 2</f>
        <v>0.37</v>
      </c>
      <c r="N206" s="3">
        <f>0.75 + E206 / 2</f>
        <v>0.77</v>
      </c>
      <c r="O206" s="3">
        <f>0.75 - E206 / 2</f>
        <v>0.73</v>
      </c>
      <c r="P206" s="3" t="e">
        <f>(H206 * L206 + J206 * N206) / 100</f>
        <v>#VALUE!</v>
      </c>
      <c r="Q206" s="3" t="e">
        <f>(I206 * M206 + K206 * O206) / 100</f>
        <v>#VALUE!</v>
      </c>
      <c r="R206" s="3" t="e">
        <f>P206 - Q206</f>
        <v>#VALUE!</v>
      </c>
      <c r="S206" s="3">
        <f>C206 * D206 + (1 - C206) * E206</f>
        <v>0.112</v>
      </c>
      <c r="T206" s="3" t="e">
        <f>IF(R206 &gt; 0, IF(D206 &lt; 0, 1, 0) + IF(E206 &lt; 0, 1, 0), IF(D206 &gt; 0, 1, 0) + IF(E206 &gt; 0, 1, 0))</f>
        <v>#VALUE!</v>
      </c>
      <c r="U206" s="3" t="e">
        <f>T206 / 2</f>
        <v>#VALUE!</v>
      </c>
      <c r="V206" s="3" t="e">
        <f>IF(S206 &gt; 0, R206 &lt; 0, R206 &gt; 0)</f>
        <v>#VALUE!</v>
      </c>
      <c r="W206" s="3" t="e">
        <f>ABS(S206 - R206)</f>
        <v>#VALUE!</v>
      </c>
      <c r="X206" s="3" t="e">
        <f>IF(AND(V206, U206 = 1), "A", IF(AND(V206, U206 &lt; 1), "B", IF(AND(NOT(V206), W206 &gt; 0.01, ABS(R206) &gt; ABS(S206) + 0.001), "C+", IF(AND(NOT(V206), W206 &gt; 0.01, ABS(R206) &lt; ABS(S206) - 0.001), "C-", "D"))))</f>
        <v>#VALUE!</v>
      </c>
    </row>
    <row r="207">
      <c r="A207" s="2" t="s">
        <v>4665</v>
      </c>
      <c r="B207" s="3" t="str">
        <f>A207</f>
        <v>phase-w60-g116-g216-b00</v>
      </c>
      <c r="C207" s="2">
        <v>0.6</v>
      </c>
      <c r="D207" s="2">
        <v>0.16</v>
      </c>
      <c r="E207" s="2">
        <v>0.08</v>
      </c>
      <c r="F207" s="2">
        <v>0</v>
      </c>
      <c r="G207" s="3" t="e">
        <f>ROUND(200 * C207)</f>
        <v>#VALUE!</v>
      </c>
      <c r="H207" s="3" t="e">
        <f>ROUND(G207 * (0.5 + F207 / 2))</f>
        <v>#VALUE!</v>
      </c>
      <c r="I207" s="3" t="e">
        <f>G207 - H207</f>
        <v>#VALUE!</v>
      </c>
      <c r="J207" s="3" t="e">
        <f>100 - H207</f>
        <v>#VALUE!</v>
      </c>
      <c r="K207" s="3" t="e">
        <f>100 - I207</f>
        <v>#VALUE!</v>
      </c>
      <c r="L207" s="3">
        <f>0.45 + D207 / 2</f>
        <v>0.53</v>
      </c>
      <c r="M207" s="3">
        <f>0.45 - D207 / 2</f>
        <v>0.37</v>
      </c>
      <c r="N207" s="3">
        <f>0.75 + E207 / 2</f>
        <v>0.79</v>
      </c>
      <c r="O207" s="3">
        <f>0.75 - E207 / 2</f>
        <v>0.71</v>
      </c>
      <c r="P207" s="3" t="e">
        <f>(H207 * L207 + J207 * N207) / 100</f>
        <v>#VALUE!</v>
      </c>
      <c r="Q207" s="3" t="e">
        <f>(I207 * M207 + K207 * O207) / 100</f>
        <v>#VALUE!</v>
      </c>
      <c r="R207" s="3" t="e">
        <f>P207 - Q207</f>
        <v>#VALUE!</v>
      </c>
      <c r="S207" s="3">
        <f>C207 * D207 + (1 - C207) * E207</f>
        <v>0.128</v>
      </c>
      <c r="T207" s="3" t="e">
        <f>IF(R207 &gt; 0, IF(D207 &lt; 0, 1, 0) + IF(E207 &lt; 0, 1, 0), IF(D207 &gt; 0, 1, 0) + IF(E207 &gt; 0, 1, 0))</f>
        <v>#VALUE!</v>
      </c>
      <c r="U207" s="3" t="e">
        <f>T207 / 2</f>
        <v>#VALUE!</v>
      </c>
      <c r="V207" s="3" t="e">
        <f>IF(S207 &gt; 0, R207 &lt; 0, R207 &gt; 0)</f>
        <v>#VALUE!</v>
      </c>
      <c r="W207" s="3" t="e">
        <f>ABS(S207 - R207)</f>
        <v>#VALUE!</v>
      </c>
      <c r="X207" s="3" t="e">
        <f>IF(AND(V207, U207 = 1), "A", IF(AND(V207, U207 &lt; 1), "B", IF(AND(NOT(V207), W207 &gt; 0.01, ABS(R207) &gt; ABS(S207) + 0.001), "C+", IF(AND(NOT(V207), W207 &gt; 0.01, ABS(R207) &lt; ABS(S207) - 0.001), "C-", "D"))))</f>
        <v>#VALUE!</v>
      </c>
    </row>
    <row r="208">
      <c r="A208" s="2" t="s">
        <v>4666</v>
      </c>
      <c r="B208" s="3" t="str">
        <f>A208</f>
        <v>phase-w60-g116-g216-b30</v>
      </c>
      <c r="C208" s="2">
        <v>0.6</v>
      </c>
      <c r="D208" s="2">
        <v>0.16</v>
      </c>
      <c r="E208" s="2">
        <v>0.08</v>
      </c>
      <c r="F208" s="2">
        <v>0.3</v>
      </c>
      <c r="G208" s="3" t="e">
        <f>ROUND(200 * C208)</f>
        <v>#VALUE!</v>
      </c>
      <c r="H208" s="3" t="e">
        <f>ROUND(G208 * (0.5 + F208 / 2))</f>
        <v>#VALUE!</v>
      </c>
      <c r="I208" s="3" t="e">
        <f>G208 - H208</f>
        <v>#VALUE!</v>
      </c>
      <c r="J208" s="3" t="e">
        <f>100 - H208</f>
        <v>#VALUE!</v>
      </c>
      <c r="K208" s="3" t="e">
        <f>100 - I208</f>
        <v>#VALUE!</v>
      </c>
      <c r="L208" s="3">
        <f>0.45 + D208 / 2</f>
        <v>0.53</v>
      </c>
      <c r="M208" s="3">
        <f>0.45 - D208 / 2</f>
        <v>0.37</v>
      </c>
      <c r="N208" s="3">
        <f>0.75 + E208 / 2</f>
        <v>0.79</v>
      </c>
      <c r="O208" s="3">
        <f>0.75 - E208 / 2</f>
        <v>0.71</v>
      </c>
      <c r="P208" s="3" t="e">
        <f>(H208 * L208 + J208 * N208) / 100</f>
        <v>#VALUE!</v>
      </c>
      <c r="Q208" s="3" t="e">
        <f>(I208 * M208 + K208 * O208) / 100</f>
        <v>#VALUE!</v>
      </c>
      <c r="R208" s="3" t="e">
        <f>P208 - Q208</f>
        <v>#VALUE!</v>
      </c>
      <c r="S208" s="3">
        <f>C208 * D208 + (1 - C208) * E208</f>
        <v>0.128</v>
      </c>
      <c r="T208" s="3" t="e">
        <f>IF(R208 &gt; 0, IF(D208 &lt; 0, 1, 0) + IF(E208 &lt; 0, 1, 0), IF(D208 &gt; 0, 1, 0) + IF(E208 &gt; 0, 1, 0))</f>
        <v>#VALUE!</v>
      </c>
      <c r="U208" s="3" t="e">
        <f>T208 / 2</f>
        <v>#VALUE!</v>
      </c>
      <c r="V208" s="3" t="e">
        <f>IF(S208 &gt; 0, R208 &lt; 0, R208 &gt; 0)</f>
        <v>#VALUE!</v>
      </c>
      <c r="W208" s="3" t="e">
        <f>ABS(S208 - R208)</f>
        <v>#VALUE!</v>
      </c>
      <c r="X208" s="3" t="e">
        <f>IF(AND(V208, U208 = 1), "A", IF(AND(V208, U208 &lt; 1), "B", IF(AND(NOT(V208), W208 &gt; 0.01, ABS(R208) &gt; ABS(S208) + 0.001), "C+", IF(AND(NOT(V208), W208 &gt; 0.01, ABS(R208) &lt; ABS(S208) - 0.001), "C-", "D"))))</f>
        <v>#VALUE!</v>
      </c>
    </row>
    <row r="209">
      <c r="A209" s="2" t="s">
        <v>4667</v>
      </c>
      <c r="B209" s="3" t="str">
        <f>A209</f>
        <v>phase-w60-g116-g216-b60</v>
      </c>
      <c r="C209" s="2">
        <v>0.6</v>
      </c>
      <c r="D209" s="2">
        <v>0.16</v>
      </c>
      <c r="E209" s="2">
        <v>0.08</v>
      </c>
      <c r="F209" s="2">
        <v>0.6</v>
      </c>
      <c r="G209" s="3" t="e">
        <f>ROUND(200 * C209)</f>
        <v>#VALUE!</v>
      </c>
      <c r="H209" s="3" t="e">
        <f>ROUND(G209 * (0.5 + F209 / 2))</f>
        <v>#VALUE!</v>
      </c>
      <c r="I209" s="3" t="e">
        <f>G209 - H209</f>
        <v>#VALUE!</v>
      </c>
      <c r="J209" s="3" t="e">
        <f>100 - H209</f>
        <v>#VALUE!</v>
      </c>
      <c r="K209" s="3" t="e">
        <f>100 - I209</f>
        <v>#VALUE!</v>
      </c>
      <c r="L209" s="3">
        <f>0.45 + D209 / 2</f>
        <v>0.53</v>
      </c>
      <c r="M209" s="3">
        <f>0.45 - D209 / 2</f>
        <v>0.37</v>
      </c>
      <c r="N209" s="3">
        <f>0.75 + E209 / 2</f>
        <v>0.79</v>
      </c>
      <c r="O209" s="3">
        <f>0.75 - E209 / 2</f>
        <v>0.71</v>
      </c>
      <c r="P209" s="3" t="e">
        <f>(H209 * L209 + J209 * N209) / 100</f>
        <v>#VALUE!</v>
      </c>
      <c r="Q209" s="3" t="e">
        <f>(I209 * M209 + K209 * O209) / 100</f>
        <v>#VALUE!</v>
      </c>
      <c r="R209" s="3" t="e">
        <f>P209 - Q209</f>
        <v>#VALUE!</v>
      </c>
      <c r="S209" s="3">
        <f>C209 * D209 + (1 - C209) * E209</f>
        <v>0.128</v>
      </c>
      <c r="T209" s="3" t="e">
        <f>IF(R209 &gt; 0, IF(D209 &lt; 0, 1, 0) + IF(E209 &lt; 0, 1, 0), IF(D209 &gt; 0, 1, 0) + IF(E209 &gt; 0, 1, 0))</f>
        <v>#VALUE!</v>
      </c>
      <c r="U209" s="3" t="e">
        <f>T209 / 2</f>
        <v>#VALUE!</v>
      </c>
      <c r="V209" s="3" t="e">
        <f>IF(S209 &gt; 0, R209 &lt; 0, R209 &gt; 0)</f>
        <v>#VALUE!</v>
      </c>
      <c r="W209" s="3" t="e">
        <f>ABS(S209 - R209)</f>
        <v>#VALUE!</v>
      </c>
      <c r="X209" s="3" t="e">
        <f>IF(AND(V209, U209 = 1), "A", IF(AND(V209, U209 &lt; 1), "B", IF(AND(NOT(V209), W209 &gt; 0.01, ABS(R209) &gt; ABS(S209) + 0.001), "C+", IF(AND(NOT(V209), W209 &gt; 0.01, ABS(R209) &lt; ABS(S209) - 0.001), "C-", "D"))))</f>
        <v>#VALUE!</v>
      </c>
    </row>
    <row r="210">
      <c r="A210" s="2" t="s">
        <v>4668</v>
      </c>
      <c r="B210" s="3" t="str">
        <f>A210</f>
        <v>phase-w75-g104-g200-b00</v>
      </c>
      <c r="C210" s="2">
        <v>0.75</v>
      </c>
      <c r="D210" s="2">
        <v>0.04</v>
      </c>
      <c r="E210" s="2">
        <v>-0.08</v>
      </c>
      <c r="F210" s="2">
        <v>0</v>
      </c>
      <c r="G210" s="3" t="e">
        <f>ROUND(200 * C210)</f>
        <v>#VALUE!</v>
      </c>
      <c r="H210" s="3" t="e">
        <f>ROUND(G210 * (0.5 + F210 / 2))</f>
        <v>#VALUE!</v>
      </c>
      <c r="I210" s="3" t="e">
        <f>G210 - H210</f>
        <v>#VALUE!</v>
      </c>
      <c r="J210" s="3" t="e">
        <f>100 - H210</f>
        <v>#VALUE!</v>
      </c>
      <c r="K210" s="3" t="e">
        <f>100 - I210</f>
        <v>#VALUE!</v>
      </c>
      <c r="L210" s="3">
        <f>0.45 + D210 / 2</f>
        <v>0.47000000000000003</v>
      </c>
      <c r="M210" s="3">
        <f>0.45 - D210 / 2</f>
        <v>0.43</v>
      </c>
      <c r="N210" s="3">
        <f>0.75 + E210 / 2</f>
        <v>0.71</v>
      </c>
      <c r="O210" s="3">
        <f>0.75 - E210 / 2</f>
        <v>0.79</v>
      </c>
      <c r="P210" s="3" t="e">
        <f>(H210 * L210 + J210 * N210) / 100</f>
        <v>#VALUE!</v>
      </c>
      <c r="Q210" s="3" t="e">
        <f>(I210 * M210 + K210 * O210) / 100</f>
        <v>#VALUE!</v>
      </c>
      <c r="R210" s="3" t="e">
        <f>P210 - Q210</f>
        <v>#VALUE!</v>
      </c>
      <c r="S210" s="3">
        <f>C210 * D210 + (1 - C210) * E210</f>
        <v>0.009999999999999998</v>
      </c>
      <c r="T210" s="3" t="e">
        <f>IF(R210 &gt; 0, IF(D210 &lt; 0, 1, 0) + IF(E210 &lt; 0, 1, 0), IF(D210 &gt; 0, 1, 0) + IF(E210 &gt; 0, 1, 0))</f>
        <v>#VALUE!</v>
      </c>
      <c r="U210" s="3" t="e">
        <f>T210 / 2</f>
        <v>#VALUE!</v>
      </c>
      <c r="V210" s="3" t="e">
        <f>IF(S210 &gt; 0, R210 &lt; 0, R210 &gt; 0)</f>
        <v>#VALUE!</v>
      </c>
      <c r="W210" s="3" t="e">
        <f>ABS(S210 - R210)</f>
        <v>#VALUE!</v>
      </c>
      <c r="X210" s="3" t="e">
        <f>IF(AND(V210, U210 = 1), "A", IF(AND(V210, U210 &lt; 1), "B", IF(AND(NOT(V210), W210 &gt; 0.01, ABS(R210) &gt; ABS(S210) + 0.001), "C+", IF(AND(NOT(V210), W210 &gt; 0.01, ABS(R210) &lt; ABS(S210) - 0.001), "C-", "D"))))</f>
        <v>#VALUE!</v>
      </c>
    </row>
    <row r="211">
      <c r="A211" s="2" t="s">
        <v>4669</v>
      </c>
      <c r="B211" s="3" t="str">
        <f>A211</f>
        <v>phase-w75-g104-g200-b30</v>
      </c>
      <c r="C211" s="2">
        <v>0.75</v>
      </c>
      <c r="D211" s="2">
        <v>0.04</v>
      </c>
      <c r="E211" s="2">
        <v>-0.08</v>
      </c>
      <c r="F211" s="2">
        <v>0.3</v>
      </c>
      <c r="G211" s="3" t="e">
        <f>ROUND(200 * C211)</f>
        <v>#VALUE!</v>
      </c>
      <c r="H211" s="3" t="e">
        <f>ROUND(G211 * (0.5 + F211 / 2))</f>
        <v>#VALUE!</v>
      </c>
      <c r="I211" s="3" t="e">
        <f>G211 - H211</f>
        <v>#VALUE!</v>
      </c>
      <c r="J211" s="3" t="e">
        <f>100 - H211</f>
        <v>#VALUE!</v>
      </c>
      <c r="K211" s="3" t="e">
        <f>100 - I211</f>
        <v>#VALUE!</v>
      </c>
      <c r="L211" s="3">
        <f>0.45 + D211 / 2</f>
        <v>0.47000000000000003</v>
      </c>
      <c r="M211" s="3">
        <f>0.45 - D211 / 2</f>
        <v>0.43</v>
      </c>
      <c r="N211" s="3">
        <f>0.75 + E211 / 2</f>
        <v>0.71</v>
      </c>
      <c r="O211" s="3">
        <f>0.75 - E211 / 2</f>
        <v>0.79</v>
      </c>
      <c r="P211" s="3" t="e">
        <f>(H211 * L211 + J211 * N211) / 100</f>
        <v>#VALUE!</v>
      </c>
      <c r="Q211" s="3" t="e">
        <f>(I211 * M211 + K211 * O211) / 100</f>
        <v>#VALUE!</v>
      </c>
      <c r="R211" s="3" t="e">
        <f>P211 - Q211</f>
        <v>#VALUE!</v>
      </c>
      <c r="S211" s="3">
        <f>C211 * D211 + (1 - C211) * E211</f>
        <v>0.009999999999999998</v>
      </c>
      <c r="T211" s="3" t="e">
        <f>IF(R211 &gt; 0, IF(D211 &lt; 0, 1, 0) + IF(E211 &lt; 0, 1, 0), IF(D211 &gt; 0, 1, 0) + IF(E211 &gt; 0, 1, 0))</f>
        <v>#VALUE!</v>
      </c>
      <c r="U211" s="3" t="e">
        <f>T211 / 2</f>
        <v>#VALUE!</v>
      </c>
      <c r="V211" s="3" t="e">
        <f>IF(S211 &gt; 0, R211 &lt; 0, R211 &gt; 0)</f>
        <v>#VALUE!</v>
      </c>
      <c r="W211" s="3" t="e">
        <f>ABS(S211 - R211)</f>
        <v>#VALUE!</v>
      </c>
      <c r="X211" s="3" t="e">
        <f>IF(AND(V211, U211 = 1), "A", IF(AND(V211, U211 &lt; 1), "B", IF(AND(NOT(V211), W211 &gt; 0.01, ABS(R211) &gt; ABS(S211) + 0.001), "C+", IF(AND(NOT(V211), W211 &gt; 0.01, ABS(R211) &lt; ABS(S211) - 0.001), "C-", "D"))))</f>
        <v>#VALUE!</v>
      </c>
    </row>
    <row r="212">
      <c r="A212" s="2" t="s">
        <v>4670</v>
      </c>
      <c r="B212" s="3" t="str">
        <f>A212</f>
        <v>phase-w75-g104-g208-b00</v>
      </c>
      <c r="C212" s="2">
        <v>0.75</v>
      </c>
      <c r="D212" s="2">
        <v>0.04</v>
      </c>
      <c r="E212" s="2">
        <v>0</v>
      </c>
      <c r="F212" s="2">
        <v>0</v>
      </c>
      <c r="G212" s="3" t="e">
        <f>ROUND(200 * C212)</f>
        <v>#VALUE!</v>
      </c>
      <c r="H212" s="3" t="e">
        <f>ROUND(G212 * (0.5 + F212 / 2))</f>
        <v>#VALUE!</v>
      </c>
      <c r="I212" s="3" t="e">
        <f>G212 - H212</f>
        <v>#VALUE!</v>
      </c>
      <c r="J212" s="3" t="e">
        <f>100 - H212</f>
        <v>#VALUE!</v>
      </c>
      <c r="K212" s="3" t="e">
        <f>100 - I212</f>
        <v>#VALUE!</v>
      </c>
      <c r="L212" s="3">
        <f>0.45 + D212 / 2</f>
        <v>0.47000000000000003</v>
      </c>
      <c r="M212" s="3">
        <f>0.45 - D212 / 2</f>
        <v>0.43</v>
      </c>
      <c r="N212" s="3">
        <f>0.75 + E212 / 2</f>
        <v>0.75</v>
      </c>
      <c r="O212" s="3">
        <f>0.75 - E212 / 2</f>
        <v>0.75</v>
      </c>
      <c r="P212" s="3" t="e">
        <f>(H212 * L212 + J212 * N212) / 100</f>
        <v>#VALUE!</v>
      </c>
      <c r="Q212" s="3" t="e">
        <f>(I212 * M212 + K212 * O212) / 100</f>
        <v>#VALUE!</v>
      </c>
      <c r="R212" s="3" t="e">
        <f>P212 - Q212</f>
        <v>#VALUE!</v>
      </c>
      <c r="S212" s="3">
        <f>C212 * D212 + (1 - C212) * E212</f>
        <v>0.03</v>
      </c>
      <c r="T212" s="3" t="e">
        <f>IF(R212 &gt; 0, IF(D212 &lt; 0, 1, 0) + IF(E212 &lt; 0, 1, 0), IF(D212 &gt; 0, 1, 0) + IF(E212 &gt; 0, 1, 0))</f>
        <v>#VALUE!</v>
      </c>
      <c r="U212" s="3" t="e">
        <f>T212 / 2</f>
        <v>#VALUE!</v>
      </c>
      <c r="V212" s="3" t="e">
        <f>IF(S212 &gt; 0, R212 &lt; 0, R212 &gt; 0)</f>
        <v>#VALUE!</v>
      </c>
      <c r="W212" s="3" t="e">
        <f>ABS(S212 - R212)</f>
        <v>#VALUE!</v>
      </c>
      <c r="X212" s="3" t="e">
        <f>IF(AND(V212, U212 = 1), "A", IF(AND(V212, U212 &lt; 1), "B", IF(AND(NOT(V212), W212 &gt; 0.01, ABS(R212) &gt; ABS(S212) + 0.001), "C+", IF(AND(NOT(V212), W212 &gt; 0.01, ABS(R212) &lt; ABS(S212) - 0.001), "C-", "D"))))</f>
        <v>#VALUE!</v>
      </c>
    </row>
    <row r="213">
      <c r="A213" s="2" t="s">
        <v>4671</v>
      </c>
      <c r="B213" s="3" t="str">
        <f>A213</f>
        <v>phase-w75-g104-g208-b30</v>
      </c>
      <c r="C213" s="2">
        <v>0.75</v>
      </c>
      <c r="D213" s="2">
        <v>0.04</v>
      </c>
      <c r="E213" s="2">
        <v>0</v>
      </c>
      <c r="F213" s="2">
        <v>0.3</v>
      </c>
      <c r="G213" s="3" t="e">
        <f>ROUND(200 * C213)</f>
        <v>#VALUE!</v>
      </c>
      <c r="H213" s="3" t="e">
        <f>ROUND(G213 * (0.5 + F213 / 2))</f>
        <v>#VALUE!</v>
      </c>
      <c r="I213" s="3" t="e">
        <f>G213 - H213</f>
        <v>#VALUE!</v>
      </c>
      <c r="J213" s="3" t="e">
        <f>100 - H213</f>
        <v>#VALUE!</v>
      </c>
      <c r="K213" s="3" t="e">
        <f>100 - I213</f>
        <v>#VALUE!</v>
      </c>
      <c r="L213" s="3">
        <f>0.45 + D213 / 2</f>
        <v>0.47000000000000003</v>
      </c>
      <c r="M213" s="3">
        <f>0.45 - D213 / 2</f>
        <v>0.43</v>
      </c>
      <c r="N213" s="3">
        <f>0.75 + E213 / 2</f>
        <v>0.75</v>
      </c>
      <c r="O213" s="3">
        <f>0.75 - E213 / 2</f>
        <v>0.75</v>
      </c>
      <c r="P213" s="3" t="e">
        <f>(H213 * L213 + J213 * N213) / 100</f>
        <v>#VALUE!</v>
      </c>
      <c r="Q213" s="3" t="e">
        <f>(I213 * M213 + K213 * O213) / 100</f>
        <v>#VALUE!</v>
      </c>
      <c r="R213" s="3" t="e">
        <f>P213 - Q213</f>
        <v>#VALUE!</v>
      </c>
      <c r="S213" s="3">
        <f>C213 * D213 + (1 - C213) * E213</f>
        <v>0.03</v>
      </c>
      <c r="T213" s="3" t="e">
        <f>IF(R213 &gt; 0, IF(D213 &lt; 0, 1, 0) + IF(E213 &lt; 0, 1, 0), IF(D213 &gt; 0, 1, 0) + IF(E213 &gt; 0, 1, 0))</f>
        <v>#VALUE!</v>
      </c>
      <c r="U213" s="3" t="e">
        <f>T213 / 2</f>
        <v>#VALUE!</v>
      </c>
      <c r="V213" s="3" t="e">
        <f>IF(S213 &gt; 0, R213 &lt; 0, R213 &gt; 0)</f>
        <v>#VALUE!</v>
      </c>
      <c r="W213" s="3" t="e">
        <f>ABS(S213 - R213)</f>
        <v>#VALUE!</v>
      </c>
      <c r="X213" s="3" t="e">
        <f>IF(AND(V213, U213 = 1), "A", IF(AND(V213, U213 &lt; 1), "B", IF(AND(NOT(V213), W213 &gt; 0.01, ABS(R213) &gt; ABS(S213) + 0.001), "C+", IF(AND(NOT(V213), W213 &gt; 0.01, ABS(R213) &lt; ABS(S213) - 0.001), "C-", "D"))))</f>
        <v>#VALUE!</v>
      </c>
    </row>
    <row r="214">
      <c r="A214" s="2" t="s">
        <v>4672</v>
      </c>
      <c r="B214" s="3" t="str">
        <f>A214</f>
        <v>phase-w75-g104-g212-b00</v>
      </c>
      <c r="C214" s="2">
        <v>0.75</v>
      </c>
      <c r="D214" s="2">
        <v>0.04</v>
      </c>
      <c r="E214" s="2">
        <v>0.04</v>
      </c>
      <c r="F214" s="2">
        <v>0</v>
      </c>
      <c r="G214" s="3" t="e">
        <f>ROUND(200 * C214)</f>
        <v>#VALUE!</v>
      </c>
      <c r="H214" s="3" t="e">
        <f>ROUND(G214 * (0.5 + F214 / 2))</f>
        <v>#VALUE!</v>
      </c>
      <c r="I214" s="3" t="e">
        <f>G214 - H214</f>
        <v>#VALUE!</v>
      </c>
      <c r="J214" s="3" t="e">
        <f>100 - H214</f>
        <v>#VALUE!</v>
      </c>
      <c r="K214" s="3" t="e">
        <f>100 - I214</f>
        <v>#VALUE!</v>
      </c>
      <c r="L214" s="3">
        <f>0.45 + D214 / 2</f>
        <v>0.47000000000000003</v>
      </c>
      <c r="M214" s="3">
        <f>0.45 - D214 / 2</f>
        <v>0.43</v>
      </c>
      <c r="N214" s="3">
        <f>0.75 + E214 / 2</f>
        <v>0.77</v>
      </c>
      <c r="O214" s="3">
        <f>0.75 - E214 / 2</f>
        <v>0.73</v>
      </c>
      <c r="P214" s="3" t="e">
        <f>(H214 * L214 + J214 * N214) / 100</f>
        <v>#VALUE!</v>
      </c>
      <c r="Q214" s="3" t="e">
        <f>(I214 * M214 + K214 * O214) / 100</f>
        <v>#VALUE!</v>
      </c>
      <c r="R214" s="3" t="e">
        <f>P214 - Q214</f>
        <v>#VALUE!</v>
      </c>
      <c r="S214" s="3">
        <f>C214 * D214 + (1 - C214) * E214</f>
        <v>0.04</v>
      </c>
      <c r="T214" s="3" t="e">
        <f>IF(R214 &gt; 0, IF(D214 &lt; 0, 1, 0) + IF(E214 &lt; 0, 1, 0), IF(D214 &gt; 0, 1, 0) + IF(E214 &gt; 0, 1, 0))</f>
        <v>#VALUE!</v>
      </c>
      <c r="U214" s="3" t="e">
        <f>T214 / 2</f>
        <v>#VALUE!</v>
      </c>
      <c r="V214" s="3" t="e">
        <f>IF(S214 &gt; 0, R214 &lt; 0, R214 &gt; 0)</f>
        <v>#VALUE!</v>
      </c>
      <c r="W214" s="3" t="e">
        <f>ABS(S214 - R214)</f>
        <v>#VALUE!</v>
      </c>
      <c r="X214" s="3" t="e">
        <f>IF(AND(V214, U214 = 1), "A", IF(AND(V214, U214 &lt; 1), "B", IF(AND(NOT(V214), W214 &gt; 0.01, ABS(R214) &gt; ABS(S214) + 0.001), "C+", IF(AND(NOT(V214), W214 &gt; 0.01, ABS(R214) &lt; ABS(S214) - 0.001), "C-", "D"))))</f>
        <v>#VALUE!</v>
      </c>
    </row>
    <row r="215">
      <c r="A215" s="2" t="s">
        <v>4673</v>
      </c>
      <c r="B215" s="3" t="str">
        <f>A215</f>
        <v>phase-w75-g104-g212-b30</v>
      </c>
      <c r="C215" s="2">
        <v>0.75</v>
      </c>
      <c r="D215" s="2">
        <v>0.04</v>
      </c>
      <c r="E215" s="2">
        <v>0.04</v>
      </c>
      <c r="F215" s="2">
        <v>0.3</v>
      </c>
      <c r="G215" s="3" t="e">
        <f>ROUND(200 * C215)</f>
        <v>#VALUE!</v>
      </c>
      <c r="H215" s="3" t="e">
        <f>ROUND(G215 * (0.5 + F215 / 2))</f>
        <v>#VALUE!</v>
      </c>
      <c r="I215" s="3" t="e">
        <f>G215 - H215</f>
        <v>#VALUE!</v>
      </c>
      <c r="J215" s="3" t="e">
        <f>100 - H215</f>
        <v>#VALUE!</v>
      </c>
      <c r="K215" s="3" t="e">
        <f>100 - I215</f>
        <v>#VALUE!</v>
      </c>
      <c r="L215" s="3">
        <f>0.45 + D215 / 2</f>
        <v>0.47000000000000003</v>
      </c>
      <c r="M215" s="3">
        <f>0.45 - D215 / 2</f>
        <v>0.43</v>
      </c>
      <c r="N215" s="3">
        <f>0.75 + E215 / 2</f>
        <v>0.77</v>
      </c>
      <c r="O215" s="3">
        <f>0.75 - E215 / 2</f>
        <v>0.73</v>
      </c>
      <c r="P215" s="3" t="e">
        <f>(H215 * L215 + J215 * N215) / 100</f>
        <v>#VALUE!</v>
      </c>
      <c r="Q215" s="3" t="e">
        <f>(I215 * M215 + K215 * O215) / 100</f>
        <v>#VALUE!</v>
      </c>
      <c r="R215" s="3" t="e">
        <f>P215 - Q215</f>
        <v>#VALUE!</v>
      </c>
      <c r="S215" s="3">
        <f>C215 * D215 + (1 - C215) * E215</f>
        <v>0.04</v>
      </c>
      <c r="T215" s="3" t="e">
        <f>IF(R215 &gt; 0, IF(D215 &lt; 0, 1, 0) + IF(E215 &lt; 0, 1, 0), IF(D215 &gt; 0, 1, 0) + IF(E215 &gt; 0, 1, 0))</f>
        <v>#VALUE!</v>
      </c>
      <c r="U215" s="3" t="e">
        <f>T215 / 2</f>
        <v>#VALUE!</v>
      </c>
      <c r="V215" s="3" t="e">
        <f>IF(S215 &gt; 0, R215 &lt; 0, R215 &gt; 0)</f>
        <v>#VALUE!</v>
      </c>
      <c r="W215" s="3" t="e">
        <f>ABS(S215 - R215)</f>
        <v>#VALUE!</v>
      </c>
      <c r="X215" s="3" t="e">
        <f>IF(AND(V215, U215 = 1), "A", IF(AND(V215, U215 &lt; 1), "B", IF(AND(NOT(V215), W215 &gt; 0.01, ABS(R215) &gt; ABS(S215) + 0.001), "C+", IF(AND(NOT(V215), W215 &gt; 0.01, ABS(R215) &lt; ABS(S215) - 0.001), "C-", "D"))))</f>
        <v>#VALUE!</v>
      </c>
    </row>
    <row r="216">
      <c r="A216" s="2" t="s">
        <v>4674</v>
      </c>
      <c r="B216" s="3" t="str">
        <f>A216</f>
        <v>phase-w75-g104-g216-b00</v>
      </c>
      <c r="C216" s="2">
        <v>0.75</v>
      </c>
      <c r="D216" s="2">
        <v>0.04</v>
      </c>
      <c r="E216" s="2">
        <v>0.08</v>
      </c>
      <c r="F216" s="2">
        <v>0</v>
      </c>
      <c r="G216" s="3" t="e">
        <f>ROUND(200 * C216)</f>
        <v>#VALUE!</v>
      </c>
      <c r="H216" s="3" t="e">
        <f>ROUND(G216 * (0.5 + F216 / 2))</f>
        <v>#VALUE!</v>
      </c>
      <c r="I216" s="3" t="e">
        <f>G216 - H216</f>
        <v>#VALUE!</v>
      </c>
      <c r="J216" s="3" t="e">
        <f>100 - H216</f>
        <v>#VALUE!</v>
      </c>
      <c r="K216" s="3" t="e">
        <f>100 - I216</f>
        <v>#VALUE!</v>
      </c>
      <c r="L216" s="3">
        <f>0.45 + D216 / 2</f>
        <v>0.47000000000000003</v>
      </c>
      <c r="M216" s="3">
        <f>0.45 - D216 / 2</f>
        <v>0.43</v>
      </c>
      <c r="N216" s="3">
        <f>0.75 + E216 / 2</f>
        <v>0.79</v>
      </c>
      <c r="O216" s="3">
        <f>0.75 - E216 / 2</f>
        <v>0.71</v>
      </c>
      <c r="P216" s="3" t="e">
        <f>(H216 * L216 + J216 * N216) / 100</f>
        <v>#VALUE!</v>
      </c>
      <c r="Q216" s="3" t="e">
        <f>(I216 * M216 + K216 * O216) / 100</f>
        <v>#VALUE!</v>
      </c>
      <c r="R216" s="3" t="e">
        <f>P216 - Q216</f>
        <v>#VALUE!</v>
      </c>
      <c r="S216" s="3">
        <f>C216 * D216 + (1 - C216) * E216</f>
        <v>0.05</v>
      </c>
      <c r="T216" s="3" t="e">
        <f>IF(R216 &gt; 0, IF(D216 &lt; 0, 1, 0) + IF(E216 &lt; 0, 1, 0), IF(D216 &gt; 0, 1, 0) + IF(E216 &gt; 0, 1, 0))</f>
        <v>#VALUE!</v>
      </c>
      <c r="U216" s="3" t="e">
        <f>T216 / 2</f>
        <v>#VALUE!</v>
      </c>
      <c r="V216" s="3" t="e">
        <f>IF(S216 &gt; 0, R216 &lt; 0, R216 &gt; 0)</f>
        <v>#VALUE!</v>
      </c>
      <c r="W216" s="3" t="e">
        <f>ABS(S216 - R216)</f>
        <v>#VALUE!</v>
      </c>
      <c r="X216" s="3" t="e">
        <f>IF(AND(V216, U216 = 1), "A", IF(AND(V216, U216 &lt; 1), "B", IF(AND(NOT(V216), W216 &gt; 0.01, ABS(R216) &gt; ABS(S216) + 0.001), "C+", IF(AND(NOT(V216), W216 &gt; 0.01, ABS(R216) &lt; ABS(S216) - 0.001), "C-", "D"))))</f>
        <v>#VALUE!</v>
      </c>
    </row>
    <row r="217">
      <c r="A217" s="2" t="s">
        <v>4675</v>
      </c>
      <c r="B217" s="3" t="str">
        <f>A217</f>
        <v>phase-w75-g104-g216-b30</v>
      </c>
      <c r="C217" s="2">
        <v>0.75</v>
      </c>
      <c r="D217" s="2">
        <v>0.04</v>
      </c>
      <c r="E217" s="2">
        <v>0.08</v>
      </c>
      <c r="F217" s="2">
        <v>0.3</v>
      </c>
      <c r="G217" s="3" t="e">
        <f>ROUND(200 * C217)</f>
        <v>#VALUE!</v>
      </c>
      <c r="H217" s="3" t="e">
        <f>ROUND(G217 * (0.5 + F217 / 2))</f>
        <v>#VALUE!</v>
      </c>
      <c r="I217" s="3" t="e">
        <f>G217 - H217</f>
        <v>#VALUE!</v>
      </c>
      <c r="J217" s="3" t="e">
        <f>100 - H217</f>
        <v>#VALUE!</v>
      </c>
      <c r="K217" s="3" t="e">
        <f>100 - I217</f>
        <v>#VALUE!</v>
      </c>
      <c r="L217" s="3">
        <f>0.45 + D217 / 2</f>
        <v>0.47000000000000003</v>
      </c>
      <c r="M217" s="3">
        <f>0.45 - D217 / 2</f>
        <v>0.43</v>
      </c>
      <c r="N217" s="3">
        <f>0.75 + E217 / 2</f>
        <v>0.79</v>
      </c>
      <c r="O217" s="3">
        <f>0.75 - E217 / 2</f>
        <v>0.71</v>
      </c>
      <c r="P217" s="3" t="e">
        <f>(H217 * L217 + J217 * N217) / 100</f>
        <v>#VALUE!</v>
      </c>
      <c r="Q217" s="3" t="e">
        <f>(I217 * M217 + K217 * O217) / 100</f>
        <v>#VALUE!</v>
      </c>
      <c r="R217" s="3" t="e">
        <f>P217 - Q217</f>
        <v>#VALUE!</v>
      </c>
      <c r="S217" s="3">
        <f>C217 * D217 + (1 - C217) * E217</f>
        <v>0.05</v>
      </c>
      <c r="T217" s="3" t="e">
        <f>IF(R217 &gt; 0, IF(D217 &lt; 0, 1, 0) + IF(E217 &lt; 0, 1, 0), IF(D217 &gt; 0, 1, 0) + IF(E217 &gt; 0, 1, 0))</f>
        <v>#VALUE!</v>
      </c>
      <c r="U217" s="3" t="e">
        <f>T217 / 2</f>
        <v>#VALUE!</v>
      </c>
      <c r="V217" s="3" t="e">
        <f>IF(S217 &gt; 0, R217 &lt; 0, R217 &gt; 0)</f>
        <v>#VALUE!</v>
      </c>
      <c r="W217" s="3" t="e">
        <f>ABS(S217 - R217)</f>
        <v>#VALUE!</v>
      </c>
      <c r="X217" s="3" t="e">
        <f>IF(AND(V217, U217 = 1), "A", IF(AND(V217, U217 &lt; 1), "B", IF(AND(NOT(V217), W217 &gt; 0.01, ABS(R217) &gt; ABS(S217) + 0.001), "C+", IF(AND(NOT(V217), W217 &gt; 0.01, ABS(R217) &lt; ABS(S217) - 0.001), "C-", "D"))))</f>
        <v>#VALUE!</v>
      </c>
    </row>
    <row r="218">
      <c r="A218" s="2" t="s">
        <v>4676</v>
      </c>
      <c r="B218" s="3" t="str">
        <f>A218</f>
        <v>phase-w75-g108-g200-b00</v>
      </c>
      <c r="C218" s="2">
        <v>0.75</v>
      </c>
      <c r="D218" s="2">
        <v>0.08</v>
      </c>
      <c r="E218" s="2">
        <v>-0.08</v>
      </c>
      <c r="F218" s="2">
        <v>0</v>
      </c>
      <c r="G218" s="3" t="e">
        <f>ROUND(200 * C218)</f>
        <v>#VALUE!</v>
      </c>
      <c r="H218" s="3" t="e">
        <f>ROUND(G218 * (0.5 + F218 / 2))</f>
        <v>#VALUE!</v>
      </c>
      <c r="I218" s="3" t="e">
        <f>G218 - H218</f>
        <v>#VALUE!</v>
      </c>
      <c r="J218" s="3" t="e">
        <f>100 - H218</f>
        <v>#VALUE!</v>
      </c>
      <c r="K218" s="3" t="e">
        <f>100 - I218</f>
        <v>#VALUE!</v>
      </c>
      <c r="L218" s="3">
        <f>0.45 + D218 / 2</f>
        <v>0.49</v>
      </c>
      <c r="M218" s="3">
        <f>0.45 - D218 / 2</f>
        <v>0.41000000000000003</v>
      </c>
      <c r="N218" s="3">
        <f>0.75 + E218 / 2</f>
        <v>0.71</v>
      </c>
      <c r="O218" s="3">
        <f>0.75 - E218 / 2</f>
        <v>0.79</v>
      </c>
      <c r="P218" s="3" t="e">
        <f>(H218 * L218 + J218 * N218) / 100</f>
        <v>#VALUE!</v>
      </c>
      <c r="Q218" s="3" t="e">
        <f>(I218 * M218 + K218 * O218) / 100</f>
        <v>#VALUE!</v>
      </c>
      <c r="R218" s="3" t="e">
        <f>P218 - Q218</f>
        <v>#VALUE!</v>
      </c>
      <c r="S218" s="3">
        <f>C218 * D218 + (1 - C218) * E218</f>
        <v>0.039999999999999994</v>
      </c>
      <c r="T218" s="3" t="e">
        <f>IF(R218 &gt; 0, IF(D218 &lt; 0, 1, 0) + IF(E218 &lt; 0, 1, 0), IF(D218 &gt; 0, 1, 0) + IF(E218 &gt; 0, 1, 0))</f>
        <v>#VALUE!</v>
      </c>
      <c r="U218" s="3" t="e">
        <f>T218 / 2</f>
        <v>#VALUE!</v>
      </c>
      <c r="V218" s="3" t="e">
        <f>IF(S218 &gt; 0, R218 &lt; 0, R218 &gt; 0)</f>
        <v>#VALUE!</v>
      </c>
      <c r="W218" s="3" t="e">
        <f>ABS(S218 - R218)</f>
        <v>#VALUE!</v>
      </c>
      <c r="X218" s="3" t="e">
        <f>IF(AND(V218, U218 = 1), "A", IF(AND(V218, U218 &lt; 1), "B", IF(AND(NOT(V218), W218 &gt; 0.01, ABS(R218) &gt; ABS(S218) + 0.001), "C+", IF(AND(NOT(V218), W218 &gt; 0.01, ABS(R218) &lt; ABS(S218) - 0.001), "C-", "D"))))</f>
        <v>#VALUE!</v>
      </c>
    </row>
    <row r="219">
      <c r="A219" s="2" t="s">
        <v>4677</v>
      </c>
      <c r="B219" s="3" t="str">
        <f>A219</f>
        <v>phase-w75-g108-g200-b30</v>
      </c>
      <c r="C219" s="2">
        <v>0.75</v>
      </c>
      <c r="D219" s="2">
        <v>0.08</v>
      </c>
      <c r="E219" s="2">
        <v>-0.08</v>
      </c>
      <c r="F219" s="2">
        <v>0.3</v>
      </c>
      <c r="G219" s="3" t="e">
        <f>ROUND(200 * C219)</f>
        <v>#VALUE!</v>
      </c>
      <c r="H219" s="3" t="e">
        <f>ROUND(G219 * (0.5 + F219 / 2))</f>
        <v>#VALUE!</v>
      </c>
      <c r="I219" s="3" t="e">
        <f>G219 - H219</f>
        <v>#VALUE!</v>
      </c>
      <c r="J219" s="3" t="e">
        <f>100 - H219</f>
        <v>#VALUE!</v>
      </c>
      <c r="K219" s="3" t="e">
        <f>100 - I219</f>
        <v>#VALUE!</v>
      </c>
      <c r="L219" s="3">
        <f>0.45 + D219 / 2</f>
        <v>0.49</v>
      </c>
      <c r="M219" s="3">
        <f>0.45 - D219 / 2</f>
        <v>0.41000000000000003</v>
      </c>
      <c r="N219" s="3">
        <f>0.75 + E219 / 2</f>
        <v>0.71</v>
      </c>
      <c r="O219" s="3">
        <f>0.75 - E219 / 2</f>
        <v>0.79</v>
      </c>
      <c r="P219" s="3" t="e">
        <f>(H219 * L219 + J219 * N219) / 100</f>
        <v>#VALUE!</v>
      </c>
      <c r="Q219" s="3" t="e">
        <f>(I219 * M219 + K219 * O219) / 100</f>
        <v>#VALUE!</v>
      </c>
      <c r="R219" s="3" t="e">
        <f>P219 - Q219</f>
        <v>#VALUE!</v>
      </c>
      <c r="S219" s="3">
        <f>C219 * D219 + (1 - C219) * E219</f>
        <v>0.039999999999999994</v>
      </c>
      <c r="T219" s="3" t="e">
        <f>IF(R219 &gt; 0, IF(D219 &lt; 0, 1, 0) + IF(E219 &lt; 0, 1, 0), IF(D219 &gt; 0, 1, 0) + IF(E219 &gt; 0, 1, 0))</f>
        <v>#VALUE!</v>
      </c>
      <c r="U219" s="3" t="e">
        <f>T219 / 2</f>
        <v>#VALUE!</v>
      </c>
      <c r="V219" s="3" t="e">
        <f>IF(S219 &gt; 0, R219 &lt; 0, R219 &gt; 0)</f>
        <v>#VALUE!</v>
      </c>
      <c r="W219" s="3" t="e">
        <f>ABS(S219 - R219)</f>
        <v>#VALUE!</v>
      </c>
      <c r="X219" s="3" t="e">
        <f>IF(AND(V219, U219 = 1), "A", IF(AND(V219, U219 &lt; 1), "B", IF(AND(NOT(V219), W219 &gt; 0.01, ABS(R219) &gt; ABS(S219) + 0.001), "C+", IF(AND(NOT(V219), W219 &gt; 0.01, ABS(R219) &lt; ABS(S219) - 0.001), "C-", "D"))))</f>
        <v>#VALUE!</v>
      </c>
    </row>
    <row r="220">
      <c r="A220" s="2" t="s">
        <v>4678</v>
      </c>
      <c r="B220" s="3" t="str">
        <f>A220</f>
        <v>phase-w75-g108-g208-b00</v>
      </c>
      <c r="C220" s="2">
        <v>0.75</v>
      </c>
      <c r="D220" s="2">
        <v>0.08</v>
      </c>
      <c r="E220" s="2">
        <v>0</v>
      </c>
      <c r="F220" s="2">
        <v>0</v>
      </c>
      <c r="G220" s="3" t="e">
        <f>ROUND(200 * C220)</f>
        <v>#VALUE!</v>
      </c>
      <c r="H220" s="3" t="e">
        <f>ROUND(G220 * (0.5 + F220 / 2))</f>
        <v>#VALUE!</v>
      </c>
      <c r="I220" s="3" t="e">
        <f>G220 - H220</f>
        <v>#VALUE!</v>
      </c>
      <c r="J220" s="3" t="e">
        <f>100 - H220</f>
        <v>#VALUE!</v>
      </c>
      <c r="K220" s="3" t="e">
        <f>100 - I220</f>
        <v>#VALUE!</v>
      </c>
      <c r="L220" s="3">
        <f>0.45 + D220 / 2</f>
        <v>0.49</v>
      </c>
      <c r="M220" s="3">
        <f>0.45 - D220 / 2</f>
        <v>0.41000000000000003</v>
      </c>
      <c r="N220" s="3">
        <f>0.75 + E220 / 2</f>
        <v>0.75</v>
      </c>
      <c r="O220" s="3">
        <f>0.75 - E220 / 2</f>
        <v>0.75</v>
      </c>
      <c r="P220" s="3" t="e">
        <f>(H220 * L220 + J220 * N220) / 100</f>
        <v>#VALUE!</v>
      </c>
      <c r="Q220" s="3" t="e">
        <f>(I220 * M220 + K220 * O220) / 100</f>
        <v>#VALUE!</v>
      </c>
      <c r="R220" s="3" t="e">
        <f>P220 - Q220</f>
        <v>#VALUE!</v>
      </c>
      <c r="S220" s="3">
        <f>C220 * D220 + (1 - C220) * E220</f>
        <v>0.06</v>
      </c>
      <c r="T220" s="3" t="e">
        <f>IF(R220 &gt; 0, IF(D220 &lt; 0, 1, 0) + IF(E220 &lt; 0, 1, 0), IF(D220 &gt; 0, 1, 0) + IF(E220 &gt; 0, 1, 0))</f>
        <v>#VALUE!</v>
      </c>
      <c r="U220" s="3" t="e">
        <f>T220 / 2</f>
        <v>#VALUE!</v>
      </c>
      <c r="V220" s="3" t="e">
        <f>IF(S220 &gt; 0, R220 &lt; 0, R220 &gt; 0)</f>
        <v>#VALUE!</v>
      </c>
      <c r="W220" s="3" t="e">
        <f>ABS(S220 - R220)</f>
        <v>#VALUE!</v>
      </c>
      <c r="X220" s="3" t="e">
        <f>IF(AND(V220, U220 = 1), "A", IF(AND(V220, U220 &lt; 1), "B", IF(AND(NOT(V220), W220 &gt; 0.01, ABS(R220) &gt; ABS(S220) + 0.001), "C+", IF(AND(NOT(V220), W220 &gt; 0.01, ABS(R220) &lt; ABS(S220) - 0.001), "C-", "D"))))</f>
        <v>#VALUE!</v>
      </c>
    </row>
    <row r="221">
      <c r="A221" s="2" t="s">
        <v>4679</v>
      </c>
      <c r="B221" s="3" t="str">
        <f>A221</f>
        <v>phase-w75-g108-g208-b30</v>
      </c>
      <c r="C221" s="2">
        <v>0.75</v>
      </c>
      <c r="D221" s="2">
        <v>0.08</v>
      </c>
      <c r="E221" s="2">
        <v>0</v>
      </c>
      <c r="F221" s="2">
        <v>0.3</v>
      </c>
      <c r="G221" s="3" t="e">
        <f>ROUND(200 * C221)</f>
        <v>#VALUE!</v>
      </c>
      <c r="H221" s="3" t="e">
        <f>ROUND(G221 * (0.5 + F221 / 2))</f>
        <v>#VALUE!</v>
      </c>
      <c r="I221" s="3" t="e">
        <f>G221 - H221</f>
        <v>#VALUE!</v>
      </c>
      <c r="J221" s="3" t="e">
        <f>100 - H221</f>
        <v>#VALUE!</v>
      </c>
      <c r="K221" s="3" t="e">
        <f>100 - I221</f>
        <v>#VALUE!</v>
      </c>
      <c r="L221" s="3">
        <f>0.45 + D221 / 2</f>
        <v>0.49</v>
      </c>
      <c r="M221" s="3">
        <f>0.45 - D221 / 2</f>
        <v>0.41000000000000003</v>
      </c>
      <c r="N221" s="3">
        <f>0.75 + E221 / 2</f>
        <v>0.75</v>
      </c>
      <c r="O221" s="3">
        <f>0.75 - E221 / 2</f>
        <v>0.75</v>
      </c>
      <c r="P221" s="3" t="e">
        <f>(H221 * L221 + J221 * N221) / 100</f>
        <v>#VALUE!</v>
      </c>
      <c r="Q221" s="3" t="e">
        <f>(I221 * M221 + K221 * O221) / 100</f>
        <v>#VALUE!</v>
      </c>
      <c r="R221" s="3" t="e">
        <f>P221 - Q221</f>
        <v>#VALUE!</v>
      </c>
      <c r="S221" s="3">
        <f>C221 * D221 + (1 - C221) * E221</f>
        <v>0.06</v>
      </c>
      <c r="T221" s="3" t="e">
        <f>IF(R221 &gt; 0, IF(D221 &lt; 0, 1, 0) + IF(E221 &lt; 0, 1, 0), IF(D221 &gt; 0, 1, 0) + IF(E221 &gt; 0, 1, 0))</f>
        <v>#VALUE!</v>
      </c>
      <c r="U221" s="3" t="e">
        <f>T221 / 2</f>
        <v>#VALUE!</v>
      </c>
      <c r="V221" s="3" t="e">
        <f>IF(S221 &gt; 0, R221 &lt; 0, R221 &gt; 0)</f>
        <v>#VALUE!</v>
      </c>
      <c r="W221" s="3" t="e">
        <f>ABS(S221 - R221)</f>
        <v>#VALUE!</v>
      </c>
      <c r="X221" s="3" t="e">
        <f>IF(AND(V221, U221 = 1), "A", IF(AND(V221, U221 &lt; 1), "B", IF(AND(NOT(V221), W221 &gt; 0.01, ABS(R221) &gt; ABS(S221) + 0.001), "C+", IF(AND(NOT(V221), W221 &gt; 0.01, ABS(R221) &lt; ABS(S221) - 0.001), "C-", "D"))))</f>
        <v>#VALUE!</v>
      </c>
    </row>
    <row r="222">
      <c r="A222" s="2" t="s">
        <v>4680</v>
      </c>
      <c r="B222" s="3" t="str">
        <f>A222</f>
        <v>phase-w75-g108-g212-b00</v>
      </c>
      <c r="C222" s="2">
        <v>0.75</v>
      </c>
      <c r="D222" s="2">
        <v>0.08</v>
      </c>
      <c r="E222" s="2">
        <v>0.04</v>
      </c>
      <c r="F222" s="2">
        <v>0</v>
      </c>
      <c r="G222" s="3" t="e">
        <f>ROUND(200 * C222)</f>
        <v>#VALUE!</v>
      </c>
      <c r="H222" s="3" t="e">
        <f>ROUND(G222 * (0.5 + F222 / 2))</f>
        <v>#VALUE!</v>
      </c>
      <c r="I222" s="3" t="e">
        <f>G222 - H222</f>
        <v>#VALUE!</v>
      </c>
      <c r="J222" s="3" t="e">
        <f>100 - H222</f>
        <v>#VALUE!</v>
      </c>
      <c r="K222" s="3" t="e">
        <f>100 - I222</f>
        <v>#VALUE!</v>
      </c>
      <c r="L222" s="3">
        <f>0.45 + D222 / 2</f>
        <v>0.49</v>
      </c>
      <c r="M222" s="3">
        <f>0.45 - D222 / 2</f>
        <v>0.41000000000000003</v>
      </c>
      <c r="N222" s="3">
        <f>0.75 + E222 / 2</f>
        <v>0.77</v>
      </c>
      <c r="O222" s="3">
        <f>0.75 - E222 / 2</f>
        <v>0.73</v>
      </c>
      <c r="P222" s="3" t="e">
        <f>(H222 * L222 + J222 * N222) / 100</f>
        <v>#VALUE!</v>
      </c>
      <c r="Q222" s="3" t="e">
        <f>(I222 * M222 + K222 * O222) / 100</f>
        <v>#VALUE!</v>
      </c>
      <c r="R222" s="3" t="e">
        <f>P222 - Q222</f>
        <v>#VALUE!</v>
      </c>
      <c r="S222" s="3">
        <f>C222 * D222 + (1 - C222) * E222</f>
        <v>0.06999999999999999</v>
      </c>
      <c r="T222" s="3" t="e">
        <f>IF(R222 &gt; 0, IF(D222 &lt; 0, 1, 0) + IF(E222 &lt; 0, 1, 0), IF(D222 &gt; 0, 1, 0) + IF(E222 &gt; 0, 1, 0))</f>
        <v>#VALUE!</v>
      </c>
      <c r="U222" s="3" t="e">
        <f>T222 / 2</f>
        <v>#VALUE!</v>
      </c>
      <c r="V222" s="3" t="e">
        <f>IF(S222 &gt; 0, R222 &lt; 0, R222 &gt; 0)</f>
        <v>#VALUE!</v>
      </c>
      <c r="W222" s="3" t="e">
        <f>ABS(S222 - R222)</f>
        <v>#VALUE!</v>
      </c>
      <c r="X222" s="3" t="e">
        <f>IF(AND(V222, U222 = 1), "A", IF(AND(V222, U222 &lt; 1), "B", IF(AND(NOT(V222), W222 &gt; 0.01, ABS(R222) &gt; ABS(S222) + 0.001), "C+", IF(AND(NOT(V222), W222 &gt; 0.01, ABS(R222) &lt; ABS(S222) - 0.001), "C-", "D"))))</f>
        <v>#VALUE!</v>
      </c>
    </row>
    <row r="223">
      <c r="A223" s="2" t="s">
        <v>4681</v>
      </c>
      <c r="B223" s="3" t="str">
        <f>A223</f>
        <v>phase-w75-g108-g212-b30</v>
      </c>
      <c r="C223" s="2">
        <v>0.75</v>
      </c>
      <c r="D223" s="2">
        <v>0.08</v>
      </c>
      <c r="E223" s="2">
        <v>0.04</v>
      </c>
      <c r="F223" s="2">
        <v>0.3</v>
      </c>
      <c r="G223" s="3" t="e">
        <f>ROUND(200 * C223)</f>
        <v>#VALUE!</v>
      </c>
      <c r="H223" s="3" t="e">
        <f>ROUND(G223 * (0.5 + F223 / 2))</f>
        <v>#VALUE!</v>
      </c>
      <c r="I223" s="3" t="e">
        <f>G223 - H223</f>
        <v>#VALUE!</v>
      </c>
      <c r="J223" s="3" t="e">
        <f>100 - H223</f>
        <v>#VALUE!</v>
      </c>
      <c r="K223" s="3" t="e">
        <f>100 - I223</f>
        <v>#VALUE!</v>
      </c>
      <c r="L223" s="3">
        <f>0.45 + D223 / 2</f>
        <v>0.49</v>
      </c>
      <c r="M223" s="3">
        <f>0.45 - D223 / 2</f>
        <v>0.41000000000000003</v>
      </c>
      <c r="N223" s="3">
        <f>0.75 + E223 / 2</f>
        <v>0.77</v>
      </c>
      <c r="O223" s="3">
        <f>0.75 - E223 / 2</f>
        <v>0.73</v>
      </c>
      <c r="P223" s="3" t="e">
        <f>(H223 * L223 + J223 * N223) / 100</f>
        <v>#VALUE!</v>
      </c>
      <c r="Q223" s="3" t="e">
        <f>(I223 * M223 + K223 * O223) / 100</f>
        <v>#VALUE!</v>
      </c>
      <c r="R223" s="3" t="e">
        <f>P223 - Q223</f>
        <v>#VALUE!</v>
      </c>
      <c r="S223" s="3">
        <f>C223 * D223 + (1 - C223) * E223</f>
        <v>0.06999999999999999</v>
      </c>
      <c r="T223" s="3" t="e">
        <f>IF(R223 &gt; 0, IF(D223 &lt; 0, 1, 0) + IF(E223 &lt; 0, 1, 0), IF(D223 &gt; 0, 1, 0) + IF(E223 &gt; 0, 1, 0))</f>
        <v>#VALUE!</v>
      </c>
      <c r="U223" s="3" t="e">
        <f>T223 / 2</f>
        <v>#VALUE!</v>
      </c>
      <c r="V223" s="3" t="e">
        <f>IF(S223 &gt; 0, R223 &lt; 0, R223 &gt; 0)</f>
        <v>#VALUE!</v>
      </c>
      <c r="W223" s="3" t="e">
        <f>ABS(S223 - R223)</f>
        <v>#VALUE!</v>
      </c>
      <c r="X223" s="3" t="e">
        <f>IF(AND(V223, U223 = 1), "A", IF(AND(V223, U223 &lt; 1), "B", IF(AND(NOT(V223), W223 &gt; 0.01, ABS(R223) &gt; ABS(S223) + 0.001), "C+", IF(AND(NOT(V223), W223 &gt; 0.01, ABS(R223) &lt; ABS(S223) - 0.001), "C-", "D"))))</f>
        <v>#VALUE!</v>
      </c>
    </row>
    <row r="224">
      <c r="A224" s="2" t="s">
        <v>4682</v>
      </c>
      <c r="B224" s="3" t="str">
        <f>A224</f>
        <v>phase-w75-g108-g216-b00</v>
      </c>
      <c r="C224" s="2">
        <v>0.75</v>
      </c>
      <c r="D224" s="2">
        <v>0.08</v>
      </c>
      <c r="E224" s="2">
        <v>0.08</v>
      </c>
      <c r="F224" s="2">
        <v>0</v>
      </c>
      <c r="G224" s="3" t="e">
        <f>ROUND(200 * C224)</f>
        <v>#VALUE!</v>
      </c>
      <c r="H224" s="3" t="e">
        <f>ROUND(G224 * (0.5 + F224 / 2))</f>
        <v>#VALUE!</v>
      </c>
      <c r="I224" s="3" t="e">
        <f>G224 - H224</f>
        <v>#VALUE!</v>
      </c>
      <c r="J224" s="3" t="e">
        <f>100 - H224</f>
        <v>#VALUE!</v>
      </c>
      <c r="K224" s="3" t="e">
        <f>100 - I224</f>
        <v>#VALUE!</v>
      </c>
      <c r="L224" s="3">
        <f>0.45 + D224 / 2</f>
        <v>0.49</v>
      </c>
      <c r="M224" s="3">
        <f>0.45 - D224 / 2</f>
        <v>0.41000000000000003</v>
      </c>
      <c r="N224" s="3">
        <f>0.75 + E224 / 2</f>
        <v>0.79</v>
      </c>
      <c r="O224" s="3">
        <f>0.75 - E224 / 2</f>
        <v>0.71</v>
      </c>
      <c r="P224" s="3" t="e">
        <f>(H224 * L224 + J224 * N224) / 100</f>
        <v>#VALUE!</v>
      </c>
      <c r="Q224" s="3" t="e">
        <f>(I224 * M224 + K224 * O224) / 100</f>
        <v>#VALUE!</v>
      </c>
      <c r="R224" s="3" t="e">
        <f>P224 - Q224</f>
        <v>#VALUE!</v>
      </c>
      <c r="S224" s="3">
        <f>C224 * D224 + (1 - C224) * E224</f>
        <v>0.08</v>
      </c>
      <c r="T224" s="3" t="e">
        <f>IF(R224 &gt; 0, IF(D224 &lt; 0, 1, 0) + IF(E224 &lt; 0, 1, 0), IF(D224 &gt; 0, 1, 0) + IF(E224 &gt; 0, 1, 0))</f>
        <v>#VALUE!</v>
      </c>
      <c r="U224" s="3" t="e">
        <f>T224 / 2</f>
        <v>#VALUE!</v>
      </c>
      <c r="V224" s="3" t="e">
        <f>IF(S224 &gt; 0, R224 &lt; 0, R224 &gt; 0)</f>
        <v>#VALUE!</v>
      </c>
      <c r="W224" s="3" t="e">
        <f>ABS(S224 - R224)</f>
        <v>#VALUE!</v>
      </c>
      <c r="X224" s="3" t="e">
        <f>IF(AND(V224, U224 = 1), "A", IF(AND(V224, U224 &lt; 1), "B", IF(AND(NOT(V224), W224 &gt; 0.01, ABS(R224) &gt; ABS(S224) + 0.001), "C+", IF(AND(NOT(V224), W224 &gt; 0.01, ABS(R224) &lt; ABS(S224) - 0.001), "C-", "D"))))</f>
        <v>#VALUE!</v>
      </c>
    </row>
    <row r="225">
      <c r="A225" s="2" t="s">
        <v>4683</v>
      </c>
      <c r="B225" s="3" t="str">
        <f>A225</f>
        <v>phase-w75-g108-g216-b30</v>
      </c>
      <c r="C225" s="2">
        <v>0.75</v>
      </c>
      <c r="D225" s="2">
        <v>0.08</v>
      </c>
      <c r="E225" s="2">
        <v>0.08</v>
      </c>
      <c r="F225" s="2">
        <v>0.3</v>
      </c>
      <c r="G225" s="3" t="e">
        <f>ROUND(200 * C225)</f>
        <v>#VALUE!</v>
      </c>
      <c r="H225" s="3" t="e">
        <f>ROUND(G225 * (0.5 + F225 / 2))</f>
        <v>#VALUE!</v>
      </c>
      <c r="I225" s="3" t="e">
        <f>G225 - H225</f>
        <v>#VALUE!</v>
      </c>
      <c r="J225" s="3" t="e">
        <f>100 - H225</f>
        <v>#VALUE!</v>
      </c>
      <c r="K225" s="3" t="e">
        <f>100 - I225</f>
        <v>#VALUE!</v>
      </c>
      <c r="L225" s="3">
        <f>0.45 + D225 / 2</f>
        <v>0.49</v>
      </c>
      <c r="M225" s="3">
        <f>0.45 - D225 / 2</f>
        <v>0.41000000000000003</v>
      </c>
      <c r="N225" s="3">
        <f>0.75 + E225 / 2</f>
        <v>0.79</v>
      </c>
      <c r="O225" s="3">
        <f>0.75 - E225 / 2</f>
        <v>0.71</v>
      </c>
      <c r="P225" s="3" t="e">
        <f>(H225 * L225 + J225 * N225) / 100</f>
        <v>#VALUE!</v>
      </c>
      <c r="Q225" s="3" t="e">
        <f>(I225 * M225 + K225 * O225) / 100</f>
        <v>#VALUE!</v>
      </c>
      <c r="R225" s="3" t="e">
        <f>P225 - Q225</f>
        <v>#VALUE!</v>
      </c>
      <c r="S225" s="3">
        <f>C225 * D225 + (1 - C225) * E225</f>
        <v>0.08</v>
      </c>
      <c r="T225" s="3" t="e">
        <f>IF(R225 &gt; 0, IF(D225 &lt; 0, 1, 0) + IF(E225 &lt; 0, 1, 0), IF(D225 &gt; 0, 1, 0) + IF(E225 &gt; 0, 1, 0))</f>
        <v>#VALUE!</v>
      </c>
      <c r="U225" s="3" t="e">
        <f>T225 / 2</f>
        <v>#VALUE!</v>
      </c>
      <c r="V225" s="3" t="e">
        <f>IF(S225 &gt; 0, R225 &lt; 0, R225 &gt; 0)</f>
        <v>#VALUE!</v>
      </c>
      <c r="W225" s="3" t="e">
        <f>ABS(S225 - R225)</f>
        <v>#VALUE!</v>
      </c>
      <c r="X225" s="3" t="e">
        <f>IF(AND(V225, U225 = 1), "A", IF(AND(V225, U225 &lt; 1), "B", IF(AND(NOT(V225), W225 &gt; 0.01, ABS(R225) &gt; ABS(S225) + 0.001), "C+", IF(AND(NOT(V225), W225 &gt; 0.01, ABS(R225) &lt; ABS(S225) - 0.001), "C-", "D"))))</f>
        <v>#VALUE!</v>
      </c>
    </row>
    <row r="226">
      <c r="A226" s="2" t="s">
        <v>4684</v>
      </c>
      <c r="B226" s="3" t="str">
        <f>A226</f>
        <v>phase-w75-g112-g200-b00</v>
      </c>
      <c r="C226" s="2">
        <v>0.75</v>
      </c>
      <c r="D226" s="2">
        <v>0.12</v>
      </c>
      <c r="E226" s="2">
        <v>-0.08</v>
      </c>
      <c r="F226" s="2">
        <v>0</v>
      </c>
      <c r="G226" s="3" t="e">
        <f>ROUND(200 * C226)</f>
        <v>#VALUE!</v>
      </c>
      <c r="H226" s="3" t="e">
        <f>ROUND(G226 * (0.5 + F226 / 2))</f>
        <v>#VALUE!</v>
      </c>
      <c r="I226" s="3" t="e">
        <f>G226 - H226</f>
        <v>#VALUE!</v>
      </c>
      <c r="J226" s="3" t="e">
        <f>100 - H226</f>
        <v>#VALUE!</v>
      </c>
      <c r="K226" s="3" t="e">
        <f>100 - I226</f>
        <v>#VALUE!</v>
      </c>
      <c r="L226" s="3">
        <f>0.45 + D226 / 2</f>
        <v>0.51</v>
      </c>
      <c r="M226" s="3">
        <f>0.45 - D226 / 2</f>
        <v>0.39</v>
      </c>
      <c r="N226" s="3">
        <f>0.75 + E226 / 2</f>
        <v>0.71</v>
      </c>
      <c r="O226" s="3">
        <f>0.75 - E226 / 2</f>
        <v>0.79</v>
      </c>
      <c r="P226" s="3" t="e">
        <f>(H226 * L226 + J226 * N226) / 100</f>
        <v>#VALUE!</v>
      </c>
      <c r="Q226" s="3" t="e">
        <f>(I226 * M226 + K226 * O226) / 100</f>
        <v>#VALUE!</v>
      </c>
      <c r="R226" s="3" t="e">
        <f>P226 - Q226</f>
        <v>#VALUE!</v>
      </c>
      <c r="S226" s="3">
        <f>C226 * D226 + (1 - C226) * E226</f>
        <v>0.06999999999999999</v>
      </c>
      <c r="T226" s="3" t="e">
        <f>IF(R226 &gt; 0, IF(D226 &lt; 0, 1, 0) + IF(E226 &lt; 0, 1, 0), IF(D226 &gt; 0, 1, 0) + IF(E226 &gt; 0, 1, 0))</f>
        <v>#VALUE!</v>
      </c>
      <c r="U226" s="3" t="e">
        <f>T226 / 2</f>
        <v>#VALUE!</v>
      </c>
      <c r="V226" s="3" t="e">
        <f>IF(S226 &gt; 0, R226 &lt; 0, R226 &gt; 0)</f>
        <v>#VALUE!</v>
      </c>
      <c r="W226" s="3" t="e">
        <f>ABS(S226 - R226)</f>
        <v>#VALUE!</v>
      </c>
      <c r="X226" s="3" t="e">
        <f>IF(AND(V226, U226 = 1), "A", IF(AND(V226, U226 &lt; 1), "B", IF(AND(NOT(V226), W226 &gt; 0.01, ABS(R226) &gt; ABS(S226) + 0.001), "C+", IF(AND(NOT(V226), W226 &gt; 0.01, ABS(R226) &lt; ABS(S226) - 0.001), "C-", "D"))))</f>
        <v>#VALUE!</v>
      </c>
    </row>
    <row r="227">
      <c r="A227" s="2" t="s">
        <v>4685</v>
      </c>
      <c r="B227" s="3" t="str">
        <f>A227</f>
        <v>phase-w75-g112-g200-b30</v>
      </c>
      <c r="C227" s="2">
        <v>0.75</v>
      </c>
      <c r="D227" s="2">
        <v>0.12</v>
      </c>
      <c r="E227" s="2">
        <v>-0.08</v>
      </c>
      <c r="F227" s="2">
        <v>0.3</v>
      </c>
      <c r="G227" s="3" t="e">
        <f>ROUND(200 * C227)</f>
        <v>#VALUE!</v>
      </c>
      <c r="H227" s="3" t="e">
        <f>ROUND(G227 * (0.5 + F227 / 2))</f>
        <v>#VALUE!</v>
      </c>
      <c r="I227" s="3" t="e">
        <f>G227 - H227</f>
        <v>#VALUE!</v>
      </c>
      <c r="J227" s="3" t="e">
        <f>100 - H227</f>
        <v>#VALUE!</v>
      </c>
      <c r="K227" s="3" t="e">
        <f>100 - I227</f>
        <v>#VALUE!</v>
      </c>
      <c r="L227" s="3">
        <f>0.45 + D227 / 2</f>
        <v>0.51</v>
      </c>
      <c r="M227" s="3">
        <f>0.45 - D227 / 2</f>
        <v>0.39</v>
      </c>
      <c r="N227" s="3">
        <f>0.75 + E227 / 2</f>
        <v>0.71</v>
      </c>
      <c r="O227" s="3">
        <f>0.75 - E227 / 2</f>
        <v>0.79</v>
      </c>
      <c r="P227" s="3" t="e">
        <f>(H227 * L227 + J227 * N227) / 100</f>
        <v>#VALUE!</v>
      </c>
      <c r="Q227" s="3" t="e">
        <f>(I227 * M227 + K227 * O227) / 100</f>
        <v>#VALUE!</v>
      </c>
      <c r="R227" s="3" t="e">
        <f>P227 - Q227</f>
        <v>#VALUE!</v>
      </c>
      <c r="S227" s="3">
        <f>C227 * D227 + (1 - C227) * E227</f>
        <v>0.06999999999999999</v>
      </c>
      <c r="T227" s="3" t="e">
        <f>IF(R227 &gt; 0, IF(D227 &lt; 0, 1, 0) + IF(E227 &lt; 0, 1, 0), IF(D227 &gt; 0, 1, 0) + IF(E227 &gt; 0, 1, 0))</f>
        <v>#VALUE!</v>
      </c>
      <c r="U227" s="3" t="e">
        <f>T227 / 2</f>
        <v>#VALUE!</v>
      </c>
      <c r="V227" s="3" t="e">
        <f>IF(S227 &gt; 0, R227 &lt; 0, R227 &gt; 0)</f>
        <v>#VALUE!</v>
      </c>
      <c r="W227" s="3" t="e">
        <f>ABS(S227 - R227)</f>
        <v>#VALUE!</v>
      </c>
      <c r="X227" s="3" t="e">
        <f>IF(AND(V227, U227 = 1), "A", IF(AND(V227, U227 &lt; 1), "B", IF(AND(NOT(V227), W227 &gt; 0.01, ABS(R227) &gt; ABS(S227) + 0.001), "C+", IF(AND(NOT(V227), W227 &gt; 0.01, ABS(R227) &lt; ABS(S227) - 0.001), "C-", "D"))))</f>
        <v>#VALUE!</v>
      </c>
    </row>
    <row r="228">
      <c r="A228" s="2" t="s">
        <v>4686</v>
      </c>
      <c r="B228" s="3" t="str">
        <f>A228</f>
        <v>phase-w75-g112-g208-b00</v>
      </c>
      <c r="C228" s="2">
        <v>0.75</v>
      </c>
      <c r="D228" s="2">
        <v>0.12</v>
      </c>
      <c r="E228" s="2">
        <v>0</v>
      </c>
      <c r="F228" s="2">
        <v>0</v>
      </c>
      <c r="G228" s="3" t="e">
        <f>ROUND(200 * C228)</f>
        <v>#VALUE!</v>
      </c>
      <c r="H228" s="3" t="e">
        <f>ROUND(G228 * (0.5 + F228 / 2))</f>
        <v>#VALUE!</v>
      </c>
      <c r="I228" s="3" t="e">
        <f>G228 - H228</f>
        <v>#VALUE!</v>
      </c>
      <c r="J228" s="3" t="e">
        <f>100 - H228</f>
        <v>#VALUE!</v>
      </c>
      <c r="K228" s="3" t="e">
        <f>100 - I228</f>
        <v>#VALUE!</v>
      </c>
      <c r="L228" s="3">
        <f>0.45 + D228 / 2</f>
        <v>0.51</v>
      </c>
      <c r="M228" s="3">
        <f>0.45 - D228 / 2</f>
        <v>0.39</v>
      </c>
      <c r="N228" s="3">
        <f>0.75 + E228 / 2</f>
        <v>0.75</v>
      </c>
      <c r="O228" s="3">
        <f>0.75 - E228 / 2</f>
        <v>0.75</v>
      </c>
      <c r="P228" s="3" t="e">
        <f>(H228 * L228 + J228 * N228) / 100</f>
        <v>#VALUE!</v>
      </c>
      <c r="Q228" s="3" t="e">
        <f>(I228 * M228 + K228 * O228) / 100</f>
        <v>#VALUE!</v>
      </c>
      <c r="R228" s="3" t="e">
        <f>P228 - Q228</f>
        <v>#VALUE!</v>
      </c>
      <c r="S228" s="3">
        <f>C228 * D228 + (1 - C228) * E228</f>
        <v>0.09</v>
      </c>
      <c r="T228" s="3" t="e">
        <f>IF(R228 &gt; 0, IF(D228 &lt; 0, 1, 0) + IF(E228 &lt; 0, 1, 0), IF(D228 &gt; 0, 1, 0) + IF(E228 &gt; 0, 1, 0))</f>
        <v>#VALUE!</v>
      </c>
      <c r="U228" s="3" t="e">
        <f>T228 / 2</f>
        <v>#VALUE!</v>
      </c>
      <c r="V228" s="3" t="e">
        <f>IF(S228 &gt; 0, R228 &lt; 0, R228 &gt; 0)</f>
        <v>#VALUE!</v>
      </c>
      <c r="W228" s="3" t="e">
        <f>ABS(S228 - R228)</f>
        <v>#VALUE!</v>
      </c>
      <c r="X228" s="3" t="e">
        <f>IF(AND(V228, U228 = 1), "A", IF(AND(V228, U228 &lt; 1), "B", IF(AND(NOT(V228), W228 &gt; 0.01, ABS(R228) &gt; ABS(S228) + 0.001), "C+", IF(AND(NOT(V228), W228 &gt; 0.01, ABS(R228) &lt; ABS(S228) - 0.001), "C-", "D"))))</f>
        <v>#VALUE!</v>
      </c>
    </row>
    <row r="229">
      <c r="A229" s="2" t="s">
        <v>4687</v>
      </c>
      <c r="B229" s="3" t="str">
        <f>A229</f>
        <v>phase-w75-g112-g208-b30</v>
      </c>
      <c r="C229" s="2">
        <v>0.75</v>
      </c>
      <c r="D229" s="2">
        <v>0.12</v>
      </c>
      <c r="E229" s="2">
        <v>0</v>
      </c>
      <c r="F229" s="2">
        <v>0.3</v>
      </c>
      <c r="G229" s="3" t="e">
        <f>ROUND(200 * C229)</f>
        <v>#VALUE!</v>
      </c>
      <c r="H229" s="3" t="e">
        <f>ROUND(G229 * (0.5 + F229 / 2))</f>
        <v>#VALUE!</v>
      </c>
      <c r="I229" s="3" t="e">
        <f>G229 - H229</f>
        <v>#VALUE!</v>
      </c>
      <c r="J229" s="3" t="e">
        <f>100 - H229</f>
        <v>#VALUE!</v>
      </c>
      <c r="K229" s="3" t="e">
        <f>100 - I229</f>
        <v>#VALUE!</v>
      </c>
      <c r="L229" s="3">
        <f>0.45 + D229 / 2</f>
        <v>0.51</v>
      </c>
      <c r="M229" s="3">
        <f>0.45 - D229 / 2</f>
        <v>0.39</v>
      </c>
      <c r="N229" s="3">
        <f>0.75 + E229 / 2</f>
        <v>0.75</v>
      </c>
      <c r="O229" s="3">
        <f>0.75 - E229 / 2</f>
        <v>0.75</v>
      </c>
      <c r="P229" s="3" t="e">
        <f>(H229 * L229 + J229 * N229) / 100</f>
        <v>#VALUE!</v>
      </c>
      <c r="Q229" s="3" t="e">
        <f>(I229 * M229 + K229 * O229) / 100</f>
        <v>#VALUE!</v>
      </c>
      <c r="R229" s="3" t="e">
        <f>P229 - Q229</f>
        <v>#VALUE!</v>
      </c>
      <c r="S229" s="3">
        <f>C229 * D229 + (1 - C229) * E229</f>
        <v>0.09</v>
      </c>
      <c r="T229" s="3" t="e">
        <f>IF(R229 &gt; 0, IF(D229 &lt; 0, 1, 0) + IF(E229 &lt; 0, 1, 0), IF(D229 &gt; 0, 1, 0) + IF(E229 &gt; 0, 1, 0))</f>
        <v>#VALUE!</v>
      </c>
      <c r="U229" s="3" t="e">
        <f>T229 / 2</f>
        <v>#VALUE!</v>
      </c>
      <c r="V229" s="3" t="e">
        <f>IF(S229 &gt; 0, R229 &lt; 0, R229 &gt; 0)</f>
        <v>#VALUE!</v>
      </c>
      <c r="W229" s="3" t="e">
        <f>ABS(S229 - R229)</f>
        <v>#VALUE!</v>
      </c>
      <c r="X229" s="3" t="e">
        <f>IF(AND(V229, U229 = 1), "A", IF(AND(V229, U229 &lt; 1), "B", IF(AND(NOT(V229), W229 &gt; 0.01, ABS(R229) &gt; ABS(S229) + 0.001), "C+", IF(AND(NOT(V229), W229 &gt; 0.01, ABS(R229) &lt; ABS(S229) - 0.001), "C-", "D"))))</f>
        <v>#VALUE!</v>
      </c>
    </row>
    <row r="230">
      <c r="A230" s="2" t="s">
        <v>4688</v>
      </c>
      <c r="B230" s="3" t="str">
        <f>A230</f>
        <v>phase-w75-g112-g212-b00</v>
      </c>
      <c r="C230" s="2">
        <v>0.75</v>
      </c>
      <c r="D230" s="2">
        <v>0.12</v>
      </c>
      <c r="E230" s="2">
        <v>0.04</v>
      </c>
      <c r="F230" s="2">
        <v>0</v>
      </c>
      <c r="G230" s="3" t="e">
        <f>ROUND(200 * C230)</f>
        <v>#VALUE!</v>
      </c>
      <c r="H230" s="3" t="e">
        <f>ROUND(G230 * (0.5 + F230 / 2))</f>
        <v>#VALUE!</v>
      </c>
      <c r="I230" s="3" t="e">
        <f>G230 - H230</f>
        <v>#VALUE!</v>
      </c>
      <c r="J230" s="3" t="e">
        <f>100 - H230</f>
        <v>#VALUE!</v>
      </c>
      <c r="K230" s="3" t="e">
        <f>100 - I230</f>
        <v>#VALUE!</v>
      </c>
      <c r="L230" s="3">
        <f>0.45 + D230 / 2</f>
        <v>0.51</v>
      </c>
      <c r="M230" s="3">
        <f>0.45 - D230 / 2</f>
        <v>0.39</v>
      </c>
      <c r="N230" s="3">
        <f>0.75 + E230 / 2</f>
        <v>0.77</v>
      </c>
      <c r="O230" s="3">
        <f>0.75 - E230 / 2</f>
        <v>0.73</v>
      </c>
      <c r="P230" s="3" t="e">
        <f>(H230 * L230 + J230 * N230) / 100</f>
        <v>#VALUE!</v>
      </c>
      <c r="Q230" s="3" t="e">
        <f>(I230 * M230 + K230 * O230) / 100</f>
        <v>#VALUE!</v>
      </c>
      <c r="R230" s="3" t="e">
        <f>P230 - Q230</f>
        <v>#VALUE!</v>
      </c>
      <c r="S230" s="3">
        <f>C230 * D230 + (1 - C230) * E230</f>
        <v>0.09999999999999999</v>
      </c>
      <c r="T230" s="3" t="e">
        <f>IF(R230 &gt; 0, IF(D230 &lt; 0, 1, 0) + IF(E230 &lt; 0, 1, 0), IF(D230 &gt; 0, 1, 0) + IF(E230 &gt; 0, 1, 0))</f>
        <v>#VALUE!</v>
      </c>
      <c r="U230" s="3" t="e">
        <f>T230 / 2</f>
        <v>#VALUE!</v>
      </c>
      <c r="V230" s="3" t="e">
        <f>IF(S230 &gt; 0, R230 &lt; 0, R230 &gt; 0)</f>
        <v>#VALUE!</v>
      </c>
      <c r="W230" s="3" t="e">
        <f>ABS(S230 - R230)</f>
        <v>#VALUE!</v>
      </c>
      <c r="X230" s="3" t="e">
        <f>IF(AND(V230, U230 = 1), "A", IF(AND(V230, U230 &lt; 1), "B", IF(AND(NOT(V230), W230 &gt; 0.01, ABS(R230) &gt; ABS(S230) + 0.001), "C+", IF(AND(NOT(V230), W230 &gt; 0.01, ABS(R230) &lt; ABS(S230) - 0.001), "C-", "D"))))</f>
        <v>#VALUE!</v>
      </c>
    </row>
    <row r="231">
      <c r="A231" s="2" t="s">
        <v>4689</v>
      </c>
      <c r="B231" s="3" t="str">
        <f>A231</f>
        <v>phase-w75-g112-g212-b30</v>
      </c>
      <c r="C231" s="2">
        <v>0.75</v>
      </c>
      <c r="D231" s="2">
        <v>0.12</v>
      </c>
      <c r="E231" s="2">
        <v>0.04</v>
      </c>
      <c r="F231" s="2">
        <v>0.3</v>
      </c>
      <c r="G231" s="3" t="e">
        <f>ROUND(200 * C231)</f>
        <v>#VALUE!</v>
      </c>
      <c r="H231" s="3" t="e">
        <f>ROUND(G231 * (0.5 + F231 / 2))</f>
        <v>#VALUE!</v>
      </c>
      <c r="I231" s="3" t="e">
        <f>G231 - H231</f>
        <v>#VALUE!</v>
      </c>
      <c r="J231" s="3" t="e">
        <f>100 - H231</f>
        <v>#VALUE!</v>
      </c>
      <c r="K231" s="3" t="e">
        <f>100 - I231</f>
        <v>#VALUE!</v>
      </c>
      <c r="L231" s="3">
        <f>0.45 + D231 / 2</f>
        <v>0.51</v>
      </c>
      <c r="M231" s="3">
        <f>0.45 - D231 / 2</f>
        <v>0.39</v>
      </c>
      <c r="N231" s="3">
        <f>0.75 + E231 / 2</f>
        <v>0.77</v>
      </c>
      <c r="O231" s="3">
        <f>0.75 - E231 / 2</f>
        <v>0.73</v>
      </c>
      <c r="P231" s="3" t="e">
        <f>(H231 * L231 + J231 * N231) / 100</f>
        <v>#VALUE!</v>
      </c>
      <c r="Q231" s="3" t="e">
        <f>(I231 * M231 + K231 * O231) / 100</f>
        <v>#VALUE!</v>
      </c>
      <c r="R231" s="3" t="e">
        <f>P231 - Q231</f>
        <v>#VALUE!</v>
      </c>
      <c r="S231" s="3">
        <f>C231 * D231 + (1 - C231) * E231</f>
        <v>0.09999999999999999</v>
      </c>
      <c r="T231" s="3" t="e">
        <f>IF(R231 &gt; 0, IF(D231 &lt; 0, 1, 0) + IF(E231 &lt; 0, 1, 0), IF(D231 &gt; 0, 1, 0) + IF(E231 &gt; 0, 1, 0))</f>
        <v>#VALUE!</v>
      </c>
      <c r="U231" s="3" t="e">
        <f>T231 / 2</f>
        <v>#VALUE!</v>
      </c>
      <c r="V231" s="3" t="e">
        <f>IF(S231 &gt; 0, R231 &lt; 0, R231 &gt; 0)</f>
        <v>#VALUE!</v>
      </c>
      <c r="W231" s="3" t="e">
        <f>ABS(S231 - R231)</f>
        <v>#VALUE!</v>
      </c>
      <c r="X231" s="3" t="e">
        <f>IF(AND(V231, U231 = 1), "A", IF(AND(V231, U231 &lt; 1), "B", IF(AND(NOT(V231), W231 &gt; 0.01, ABS(R231) &gt; ABS(S231) + 0.001), "C+", IF(AND(NOT(V231), W231 &gt; 0.01, ABS(R231) &lt; ABS(S231) - 0.001), "C-", "D"))))</f>
        <v>#VALUE!</v>
      </c>
    </row>
    <row r="232">
      <c r="A232" s="2" t="s">
        <v>4690</v>
      </c>
      <c r="B232" s="3" t="str">
        <f>A232</f>
        <v>phase-w75-g112-g216-b00</v>
      </c>
      <c r="C232" s="2">
        <v>0.75</v>
      </c>
      <c r="D232" s="2">
        <v>0.12</v>
      </c>
      <c r="E232" s="2">
        <v>0.08</v>
      </c>
      <c r="F232" s="2">
        <v>0</v>
      </c>
      <c r="G232" s="3" t="e">
        <f>ROUND(200 * C232)</f>
        <v>#VALUE!</v>
      </c>
      <c r="H232" s="3" t="e">
        <f>ROUND(G232 * (0.5 + F232 / 2))</f>
        <v>#VALUE!</v>
      </c>
      <c r="I232" s="3" t="e">
        <f>G232 - H232</f>
        <v>#VALUE!</v>
      </c>
      <c r="J232" s="3" t="e">
        <f>100 - H232</f>
        <v>#VALUE!</v>
      </c>
      <c r="K232" s="3" t="e">
        <f>100 - I232</f>
        <v>#VALUE!</v>
      </c>
      <c r="L232" s="3">
        <f>0.45 + D232 / 2</f>
        <v>0.51</v>
      </c>
      <c r="M232" s="3">
        <f>0.45 - D232 / 2</f>
        <v>0.39</v>
      </c>
      <c r="N232" s="3">
        <f>0.75 + E232 / 2</f>
        <v>0.79</v>
      </c>
      <c r="O232" s="3">
        <f>0.75 - E232 / 2</f>
        <v>0.71</v>
      </c>
      <c r="P232" s="3" t="e">
        <f>(H232 * L232 + J232 * N232) / 100</f>
        <v>#VALUE!</v>
      </c>
      <c r="Q232" s="3" t="e">
        <f>(I232 * M232 + K232 * O232) / 100</f>
        <v>#VALUE!</v>
      </c>
      <c r="R232" s="3" t="e">
        <f>P232 - Q232</f>
        <v>#VALUE!</v>
      </c>
      <c r="S232" s="3">
        <f>C232 * D232 + (1 - C232) * E232</f>
        <v>0.11</v>
      </c>
      <c r="T232" s="3" t="e">
        <f>IF(R232 &gt; 0, IF(D232 &lt; 0, 1, 0) + IF(E232 &lt; 0, 1, 0), IF(D232 &gt; 0, 1, 0) + IF(E232 &gt; 0, 1, 0))</f>
        <v>#VALUE!</v>
      </c>
      <c r="U232" s="3" t="e">
        <f>T232 / 2</f>
        <v>#VALUE!</v>
      </c>
      <c r="V232" s="3" t="e">
        <f>IF(S232 &gt; 0, R232 &lt; 0, R232 &gt; 0)</f>
        <v>#VALUE!</v>
      </c>
      <c r="W232" s="3" t="e">
        <f>ABS(S232 - R232)</f>
        <v>#VALUE!</v>
      </c>
      <c r="X232" s="3" t="e">
        <f>IF(AND(V232, U232 = 1), "A", IF(AND(V232, U232 &lt; 1), "B", IF(AND(NOT(V232), W232 &gt; 0.01, ABS(R232) &gt; ABS(S232) + 0.001), "C+", IF(AND(NOT(V232), W232 &gt; 0.01, ABS(R232) &lt; ABS(S232) - 0.001), "C-", "D"))))</f>
        <v>#VALUE!</v>
      </c>
    </row>
    <row r="233">
      <c r="A233" s="2" t="s">
        <v>4691</v>
      </c>
      <c r="B233" s="3" t="str">
        <f>A233</f>
        <v>phase-w75-g112-g216-b30</v>
      </c>
      <c r="C233" s="2">
        <v>0.75</v>
      </c>
      <c r="D233" s="2">
        <v>0.12</v>
      </c>
      <c r="E233" s="2">
        <v>0.08</v>
      </c>
      <c r="F233" s="2">
        <v>0.3</v>
      </c>
      <c r="G233" s="3" t="e">
        <f>ROUND(200 * C233)</f>
        <v>#VALUE!</v>
      </c>
      <c r="H233" s="3" t="e">
        <f>ROUND(G233 * (0.5 + F233 / 2))</f>
        <v>#VALUE!</v>
      </c>
      <c r="I233" s="3" t="e">
        <f>G233 - H233</f>
        <v>#VALUE!</v>
      </c>
      <c r="J233" s="3" t="e">
        <f>100 - H233</f>
        <v>#VALUE!</v>
      </c>
      <c r="K233" s="3" t="e">
        <f>100 - I233</f>
        <v>#VALUE!</v>
      </c>
      <c r="L233" s="3">
        <f>0.45 + D233 / 2</f>
        <v>0.51</v>
      </c>
      <c r="M233" s="3">
        <f>0.45 - D233 / 2</f>
        <v>0.39</v>
      </c>
      <c r="N233" s="3">
        <f>0.75 + E233 / 2</f>
        <v>0.79</v>
      </c>
      <c r="O233" s="3">
        <f>0.75 - E233 / 2</f>
        <v>0.71</v>
      </c>
      <c r="P233" s="3" t="e">
        <f>(H233 * L233 + J233 * N233) / 100</f>
        <v>#VALUE!</v>
      </c>
      <c r="Q233" s="3" t="e">
        <f>(I233 * M233 + K233 * O233) / 100</f>
        <v>#VALUE!</v>
      </c>
      <c r="R233" s="3" t="e">
        <f>P233 - Q233</f>
        <v>#VALUE!</v>
      </c>
      <c r="S233" s="3">
        <f>C233 * D233 + (1 - C233) * E233</f>
        <v>0.11</v>
      </c>
      <c r="T233" s="3" t="e">
        <f>IF(R233 &gt; 0, IF(D233 &lt; 0, 1, 0) + IF(E233 &lt; 0, 1, 0), IF(D233 &gt; 0, 1, 0) + IF(E233 &gt; 0, 1, 0))</f>
        <v>#VALUE!</v>
      </c>
      <c r="U233" s="3" t="e">
        <f>T233 / 2</f>
        <v>#VALUE!</v>
      </c>
      <c r="V233" s="3" t="e">
        <f>IF(S233 &gt; 0, R233 &lt; 0, R233 &gt; 0)</f>
        <v>#VALUE!</v>
      </c>
      <c r="W233" s="3" t="e">
        <f>ABS(S233 - R233)</f>
        <v>#VALUE!</v>
      </c>
      <c r="X233" s="3" t="e">
        <f>IF(AND(V233, U233 = 1), "A", IF(AND(V233, U233 &lt; 1), "B", IF(AND(NOT(V233), W233 &gt; 0.01, ABS(R233) &gt; ABS(S233) + 0.001), "C+", IF(AND(NOT(V233), W233 &gt; 0.01, ABS(R233) &lt; ABS(S233) - 0.001), "C-", "D"))))</f>
        <v>#VALUE!</v>
      </c>
    </row>
    <row r="234">
      <c r="A234" s="2" t="s">
        <v>4692</v>
      </c>
      <c r="B234" s="3" t="str">
        <f>A234</f>
        <v>phase-w75-g116-g200-b00</v>
      </c>
      <c r="C234" s="2">
        <v>0.75</v>
      </c>
      <c r="D234" s="2">
        <v>0.16</v>
      </c>
      <c r="E234" s="2">
        <v>-0.08</v>
      </c>
      <c r="F234" s="2">
        <v>0</v>
      </c>
      <c r="G234" s="3" t="e">
        <f>ROUND(200 * C234)</f>
        <v>#VALUE!</v>
      </c>
      <c r="H234" s="3" t="e">
        <f>ROUND(G234 * (0.5 + F234 / 2))</f>
        <v>#VALUE!</v>
      </c>
      <c r="I234" s="3" t="e">
        <f>G234 - H234</f>
        <v>#VALUE!</v>
      </c>
      <c r="J234" s="3" t="e">
        <f>100 - H234</f>
        <v>#VALUE!</v>
      </c>
      <c r="K234" s="3" t="e">
        <f>100 - I234</f>
        <v>#VALUE!</v>
      </c>
      <c r="L234" s="3">
        <f>0.45 + D234 / 2</f>
        <v>0.53</v>
      </c>
      <c r="M234" s="3">
        <f>0.45 - D234 / 2</f>
        <v>0.37</v>
      </c>
      <c r="N234" s="3">
        <f>0.75 + E234 / 2</f>
        <v>0.71</v>
      </c>
      <c r="O234" s="3">
        <f>0.75 - E234 / 2</f>
        <v>0.79</v>
      </c>
      <c r="P234" s="3" t="e">
        <f>(H234 * L234 + J234 * N234) / 100</f>
        <v>#VALUE!</v>
      </c>
      <c r="Q234" s="3" t="e">
        <f>(I234 * M234 + K234 * O234) / 100</f>
        <v>#VALUE!</v>
      </c>
      <c r="R234" s="3" t="e">
        <f>P234 - Q234</f>
        <v>#VALUE!</v>
      </c>
      <c r="S234" s="3">
        <f>C234 * D234 + (1 - C234) * E234</f>
        <v>0.09999999999999999</v>
      </c>
      <c r="T234" s="3" t="e">
        <f>IF(R234 &gt; 0, IF(D234 &lt; 0, 1, 0) + IF(E234 &lt; 0, 1, 0), IF(D234 &gt; 0, 1, 0) + IF(E234 &gt; 0, 1, 0))</f>
        <v>#VALUE!</v>
      </c>
      <c r="U234" s="3" t="e">
        <f>T234 / 2</f>
        <v>#VALUE!</v>
      </c>
      <c r="V234" s="3" t="e">
        <f>IF(S234 &gt; 0, R234 &lt; 0, R234 &gt; 0)</f>
        <v>#VALUE!</v>
      </c>
      <c r="W234" s="3" t="e">
        <f>ABS(S234 - R234)</f>
        <v>#VALUE!</v>
      </c>
      <c r="X234" s="3" t="e">
        <f>IF(AND(V234, U234 = 1), "A", IF(AND(V234, U234 &lt; 1), "B", IF(AND(NOT(V234), W234 &gt; 0.01, ABS(R234) &gt; ABS(S234) + 0.001), "C+", IF(AND(NOT(V234), W234 &gt; 0.01, ABS(R234) &lt; ABS(S234) - 0.001), "C-", "D"))))</f>
        <v>#VALUE!</v>
      </c>
    </row>
    <row r="235">
      <c r="A235" s="2" t="s">
        <v>4693</v>
      </c>
      <c r="B235" s="3" t="str">
        <f>A235</f>
        <v>phase-w75-g116-g200-b30</v>
      </c>
      <c r="C235" s="2">
        <v>0.75</v>
      </c>
      <c r="D235" s="2">
        <v>0.16</v>
      </c>
      <c r="E235" s="2">
        <v>-0.08</v>
      </c>
      <c r="F235" s="2">
        <v>0.3</v>
      </c>
      <c r="G235" s="3" t="e">
        <f>ROUND(200 * C235)</f>
        <v>#VALUE!</v>
      </c>
      <c r="H235" s="3" t="e">
        <f>ROUND(G235 * (0.5 + F235 / 2))</f>
        <v>#VALUE!</v>
      </c>
      <c r="I235" s="3" t="e">
        <f>G235 - H235</f>
        <v>#VALUE!</v>
      </c>
      <c r="J235" s="3" t="e">
        <f>100 - H235</f>
        <v>#VALUE!</v>
      </c>
      <c r="K235" s="3" t="e">
        <f>100 - I235</f>
        <v>#VALUE!</v>
      </c>
      <c r="L235" s="3">
        <f>0.45 + D235 / 2</f>
        <v>0.53</v>
      </c>
      <c r="M235" s="3">
        <f>0.45 - D235 / 2</f>
        <v>0.37</v>
      </c>
      <c r="N235" s="3">
        <f>0.75 + E235 / 2</f>
        <v>0.71</v>
      </c>
      <c r="O235" s="3">
        <f>0.75 - E235 / 2</f>
        <v>0.79</v>
      </c>
      <c r="P235" s="3" t="e">
        <f>(H235 * L235 + J235 * N235) / 100</f>
        <v>#VALUE!</v>
      </c>
      <c r="Q235" s="3" t="e">
        <f>(I235 * M235 + K235 * O235) / 100</f>
        <v>#VALUE!</v>
      </c>
      <c r="R235" s="3" t="e">
        <f>P235 - Q235</f>
        <v>#VALUE!</v>
      </c>
      <c r="S235" s="3">
        <f>C235 * D235 + (1 - C235) * E235</f>
        <v>0.09999999999999999</v>
      </c>
      <c r="T235" s="3" t="e">
        <f>IF(R235 &gt; 0, IF(D235 &lt; 0, 1, 0) + IF(E235 &lt; 0, 1, 0), IF(D235 &gt; 0, 1, 0) + IF(E235 &gt; 0, 1, 0))</f>
        <v>#VALUE!</v>
      </c>
      <c r="U235" s="3" t="e">
        <f>T235 / 2</f>
        <v>#VALUE!</v>
      </c>
      <c r="V235" s="3" t="e">
        <f>IF(S235 &gt; 0, R235 &lt; 0, R235 &gt; 0)</f>
        <v>#VALUE!</v>
      </c>
      <c r="W235" s="3" t="e">
        <f>ABS(S235 - R235)</f>
        <v>#VALUE!</v>
      </c>
      <c r="X235" s="3" t="e">
        <f>IF(AND(V235, U235 = 1), "A", IF(AND(V235, U235 &lt; 1), "B", IF(AND(NOT(V235), W235 &gt; 0.01, ABS(R235) &gt; ABS(S235) + 0.001), "C+", IF(AND(NOT(V235), W235 &gt; 0.01, ABS(R235) &lt; ABS(S235) - 0.001), "C-", "D"))))</f>
        <v>#VALUE!</v>
      </c>
    </row>
    <row r="236">
      <c r="A236" s="2" t="s">
        <v>4694</v>
      </c>
      <c r="B236" s="3" t="str">
        <f>A236</f>
        <v>phase-w75-g116-g208-b00</v>
      </c>
      <c r="C236" s="2">
        <v>0.75</v>
      </c>
      <c r="D236" s="2">
        <v>0.16</v>
      </c>
      <c r="E236" s="2">
        <v>0</v>
      </c>
      <c r="F236" s="2">
        <v>0</v>
      </c>
      <c r="G236" s="3" t="e">
        <f>ROUND(200 * C236)</f>
        <v>#VALUE!</v>
      </c>
      <c r="H236" s="3" t="e">
        <f>ROUND(G236 * (0.5 + F236 / 2))</f>
        <v>#VALUE!</v>
      </c>
      <c r="I236" s="3" t="e">
        <f>G236 - H236</f>
        <v>#VALUE!</v>
      </c>
      <c r="J236" s="3" t="e">
        <f>100 - H236</f>
        <v>#VALUE!</v>
      </c>
      <c r="K236" s="3" t="e">
        <f>100 - I236</f>
        <v>#VALUE!</v>
      </c>
      <c r="L236" s="3">
        <f>0.45 + D236 / 2</f>
        <v>0.53</v>
      </c>
      <c r="M236" s="3">
        <f>0.45 - D236 / 2</f>
        <v>0.37</v>
      </c>
      <c r="N236" s="3">
        <f>0.75 + E236 / 2</f>
        <v>0.75</v>
      </c>
      <c r="O236" s="3">
        <f>0.75 - E236 / 2</f>
        <v>0.75</v>
      </c>
      <c r="P236" s="3" t="e">
        <f>(H236 * L236 + J236 * N236) / 100</f>
        <v>#VALUE!</v>
      </c>
      <c r="Q236" s="3" t="e">
        <f>(I236 * M236 + K236 * O236) / 100</f>
        <v>#VALUE!</v>
      </c>
      <c r="R236" s="3" t="e">
        <f>P236 - Q236</f>
        <v>#VALUE!</v>
      </c>
      <c r="S236" s="3">
        <f>C236 * D236 + (1 - C236) * E236</f>
        <v>0.12</v>
      </c>
      <c r="T236" s="3" t="e">
        <f>IF(R236 &gt; 0, IF(D236 &lt; 0, 1, 0) + IF(E236 &lt; 0, 1, 0), IF(D236 &gt; 0, 1, 0) + IF(E236 &gt; 0, 1, 0))</f>
        <v>#VALUE!</v>
      </c>
      <c r="U236" s="3" t="e">
        <f>T236 / 2</f>
        <v>#VALUE!</v>
      </c>
      <c r="V236" s="3" t="e">
        <f>IF(S236 &gt; 0, R236 &lt; 0, R236 &gt; 0)</f>
        <v>#VALUE!</v>
      </c>
      <c r="W236" s="3" t="e">
        <f>ABS(S236 - R236)</f>
        <v>#VALUE!</v>
      </c>
      <c r="X236" s="3" t="e">
        <f>IF(AND(V236, U236 = 1), "A", IF(AND(V236, U236 &lt; 1), "B", IF(AND(NOT(V236), W236 &gt; 0.01, ABS(R236) &gt; ABS(S236) + 0.001), "C+", IF(AND(NOT(V236), W236 &gt; 0.01, ABS(R236) &lt; ABS(S236) - 0.001), "C-", "D"))))</f>
        <v>#VALUE!</v>
      </c>
    </row>
    <row r="237">
      <c r="A237" s="2" t="s">
        <v>4695</v>
      </c>
      <c r="B237" s="3" t="str">
        <f>A237</f>
        <v>phase-w75-g116-g208-b30</v>
      </c>
      <c r="C237" s="2">
        <v>0.75</v>
      </c>
      <c r="D237" s="2">
        <v>0.16</v>
      </c>
      <c r="E237" s="2">
        <v>0</v>
      </c>
      <c r="F237" s="2">
        <v>0.3</v>
      </c>
      <c r="G237" s="3" t="e">
        <f>ROUND(200 * C237)</f>
        <v>#VALUE!</v>
      </c>
      <c r="H237" s="3" t="e">
        <f>ROUND(G237 * (0.5 + F237 / 2))</f>
        <v>#VALUE!</v>
      </c>
      <c r="I237" s="3" t="e">
        <f>G237 - H237</f>
        <v>#VALUE!</v>
      </c>
      <c r="J237" s="3" t="e">
        <f>100 - H237</f>
        <v>#VALUE!</v>
      </c>
      <c r="K237" s="3" t="e">
        <f>100 - I237</f>
        <v>#VALUE!</v>
      </c>
      <c r="L237" s="3">
        <f>0.45 + D237 / 2</f>
        <v>0.53</v>
      </c>
      <c r="M237" s="3">
        <f>0.45 - D237 / 2</f>
        <v>0.37</v>
      </c>
      <c r="N237" s="3">
        <f>0.75 + E237 / 2</f>
        <v>0.75</v>
      </c>
      <c r="O237" s="3">
        <f>0.75 - E237 / 2</f>
        <v>0.75</v>
      </c>
      <c r="P237" s="3" t="e">
        <f>(H237 * L237 + J237 * N237) / 100</f>
        <v>#VALUE!</v>
      </c>
      <c r="Q237" s="3" t="e">
        <f>(I237 * M237 + K237 * O237) / 100</f>
        <v>#VALUE!</v>
      </c>
      <c r="R237" s="3" t="e">
        <f>P237 - Q237</f>
        <v>#VALUE!</v>
      </c>
      <c r="S237" s="3">
        <f>C237 * D237 + (1 - C237) * E237</f>
        <v>0.12</v>
      </c>
      <c r="T237" s="3" t="e">
        <f>IF(R237 &gt; 0, IF(D237 &lt; 0, 1, 0) + IF(E237 &lt; 0, 1, 0), IF(D237 &gt; 0, 1, 0) + IF(E237 &gt; 0, 1, 0))</f>
        <v>#VALUE!</v>
      </c>
      <c r="U237" s="3" t="e">
        <f>T237 / 2</f>
        <v>#VALUE!</v>
      </c>
      <c r="V237" s="3" t="e">
        <f>IF(S237 &gt; 0, R237 &lt; 0, R237 &gt; 0)</f>
        <v>#VALUE!</v>
      </c>
      <c r="W237" s="3" t="e">
        <f>ABS(S237 - R237)</f>
        <v>#VALUE!</v>
      </c>
      <c r="X237" s="3" t="e">
        <f>IF(AND(V237, U237 = 1), "A", IF(AND(V237, U237 &lt; 1), "B", IF(AND(NOT(V237), W237 &gt; 0.01, ABS(R237) &gt; ABS(S237) + 0.001), "C+", IF(AND(NOT(V237), W237 &gt; 0.01, ABS(R237) &lt; ABS(S237) - 0.001), "C-", "D"))))</f>
        <v>#VALUE!</v>
      </c>
    </row>
    <row r="238">
      <c r="A238" s="2" t="s">
        <v>4696</v>
      </c>
      <c r="B238" s="3" t="str">
        <f>A238</f>
        <v>phase-w75-g116-g212-b00</v>
      </c>
      <c r="C238" s="2">
        <v>0.75</v>
      </c>
      <c r="D238" s="2">
        <v>0.16</v>
      </c>
      <c r="E238" s="2">
        <v>0.04</v>
      </c>
      <c r="F238" s="2">
        <v>0</v>
      </c>
      <c r="G238" s="3" t="e">
        <f>ROUND(200 * C238)</f>
        <v>#VALUE!</v>
      </c>
      <c r="H238" s="3" t="e">
        <f>ROUND(G238 * (0.5 + F238 / 2))</f>
        <v>#VALUE!</v>
      </c>
      <c r="I238" s="3" t="e">
        <f>G238 - H238</f>
        <v>#VALUE!</v>
      </c>
      <c r="J238" s="3" t="e">
        <f>100 - H238</f>
        <v>#VALUE!</v>
      </c>
      <c r="K238" s="3" t="e">
        <f>100 - I238</f>
        <v>#VALUE!</v>
      </c>
      <c r="L238" s="3">
        <f>0.45 + D238 / 2</f>
        <v>0.53</v>
      </c>
      <c r="M238" s="3">
        <f>0.45 - D238 / 2</f>
        <v>0.37</v>
      </c>
      <c r="N238" s="3">
        <f>0.75 + E238 / 2</f>
        <v>0.77</v>
      </c>
      <c r="O238" s="3">
        <f>0.75 - E238 / 2</f>
        <v>0.73</v>
      </c>
      <c r="P238" s="3" t="e">
        <f>(H238 * L238 + J238 * N238) / 100</f>
        <v>#VALUE!</v>
      </c>
      <c r="Q238" s="3" t="e">
        <f>(I238 * M238 + K238 * O238) / 100</f>
        <v>#VALUE!</v>
      </c>
      <c r="R238" s="3" t="e">
        <f>P238 - Q238</f>
        <v>#VALUE!</v>
      </c>
      <c r="S238" s="3">
        <f>C238 * D238 + (1 - C238) * E238</f>
        <v>0.13</v>
      </c>
      <c r="T238" s="3" t="e">
        <f>IF(R238 &gt; 0, IF(D238 &lt; 0, 1, 0) + IF(E238 &lt; 0, 1, 0), IF(D238 &gt; 0, 1, 0) + IF(E238 &gt; 0, 1, 0))</f>
        <v>#VALUE!</v>
      </c>
      <c r="U238" s="3" t="e">
        <f>T238 / 2</f>
        <v>#VALUE!</v>
      </c>
      <c r="V238" s="3" t="e">
        <f>IF(S238 &gt; 0, R238 &lt; 0, R238 &gt; 0)</f>
        <v>#VALUE!</v>
      </c>
      <c r="W238" s="3" t="e">
        <f>ABS(S238 - R238)</f>
        <v>#VALUE!</v>
      </c>
      <c r="X238" s="3" t="e">
        <f>IF(AND(V238, U238 = 1), "A", IF(AND(V238, U238 &lt; 1), "B", IF(AND(NOT(V238), W238 &gt; 0.01, ABS(R238) &gt; ABS(S238) + 0.001), "C+", IF(AND(NOT(V238), W238 &gt; 0.01, ABS(R238) &lt; ABS(S238) - 0.001), "C-", "D"))))</f>
        <v>#VALUE!</v>
      </c>
    </row>
    <row r="239">
      <c r="A239" s="2" t="s">
        <v>4697</v>
      </c>
      <c r="B239" s="3" t="str">
        <f>A239</f>
        <v>phase-w75-g116-g212-b30</v>
      </c>
      <c r="C239" s="2">
        <v>0.75</v>
      </c>
      <c r="D239" s="2">
        <v>0.16</v>
      </c>
      <c r="E239" s="2">
        <v>0.04</v>
      </c>
      <c r="F239" s="2">
        <v>0.3</v>
      </c>
      <c r="G239" s="3" t="e">
        <f>ROUND(200 * C239)</f>
        <v>#VALUE!</v>
      </c>
      <c r="H239" s="3" t="e">
        <f>ROUND(G239 * (0.5 + F239 / 2))</f>
        <v>#VALUE!</v>
      </c>
      <c r="I239" s="3" t="e">
        <f>G239 - H239</f>
        <v>#VALUE!</v>
      </c>
      <c r="J239" s="3" t="e">
        <f>100 - H239</f>
        <v>#VALUE!</v>
      </c>
      <c r="K239" s="3" t="e">
        <f>100 - I239</f>
        <v>#VALUE!</v>
      </c>
      <c r="L239" s="3">
        <f>0.45 + D239 / 2</f>
        <v>0.53</v>
      </c>
      <c r="M239" s="3">
        <f>0.45 - D239 / 2</f>
        <v>0.37</v>
      </c>
      <c r="N239" s="3">
        <f>0.75 + E239 / 2</f>
        <v>0.77</v>
      </c>
      <c r="O239" s="3">
        <f>0.75 - E239 / 2</f>
        <v>0.73</v>
      </c>
      <c r="P239" s="3" t="e">
        <f>(H239 * L239 + J239 * N239) / 100</f>
        <v>#VALUE!</v>
      </c>
      <c r="Q239" s="3" t="e">
        <f>(I239 * M239 + K239 * O239) / 100</f>
        <v>#VALUE!</v>
      </c>
      <c r="R239" s="3" t="e">
        <f>P239 - Q239</f>
        <v>#VALUE!</v>
      </c>
      <c r="S239" s="3">
        <f>C239 * D239 + (1 - C239) * E239</f>
        <v>0.13</v>
      </c>
      <c r="T239" s="3" t="e">
        <f>IF(R239 &gt; 0, IF(D239 &lt; 0, 1, 0) + IF(E239 &lt; 0, 1, 0), IF(D239 &gt; 0, 1, 0) + IF(E239 &gt; 0, 1, 0))</f>
        <v>#VALUE!</v>
      </c>
      <c r="U239" s="3" t="e">
        <f>T239 / 2</f>
        <v>#VALUE!</v>
      </c>
      <c r="V239" s="3" t="e">
        <f>IF(S239 &gt; 0, R239 &lt; 0, R239 &gt; 0)</f>
        <v>#VALUE!</v>
      </c>
      <c r="W239" s="3" t="e">
        <f>ABS(S239 - R239)</f>
        <v>#VALUE!</v>
      </c>
      <c r="X239" s="3" t="e">
        <f>IF(AND(V239, U239 = 1), "A", IF(AND(V239, U239 &lt; 1), "B", IF(AND(NOT(V239), W239 &gt; 0.01, ABS(R239) &gt; ABS(S239) + 0.001), "C+", IF(AND(NOT(V239), W239 &gt; 0.01, ABS(R239) &lt; ABS(S239) - 0.001), "C-", "D"))))</f>
        <v>#VALUE!</v>
      </c>
    </row>
    <row r="240">
      <c r="A240" s="2" t="s">
        <v>4698</v>
      </c>
      <c r="B240" s="3" t="str">
        <f>A240</f>
        <v>phase-w75-g116-g216-b00</v>
      </c>
      <c r="C240" s="2">
        <v>0.75</v>
      </c>
      <c r="D240" s="2">
        <v>0.16</v>
      </c>
      <c r="E240" s="2">
        <v>0.08</v>
      </c>
      <c r="F240" s="2">
        <v>0</v>
      </c>
      <c r="G240" s="3" t="e">
        <f>ROUND(200 * C240)</f>
        <v>#VALUE!</v>
      </c>
      <c r="H240" s="3" t="e">
        <f>ROUND(G240 * (0.5 + F240 / 2))</f>
        <v>#VALUE!</v>
      </c>
      <c r="I240" s="3" t="e">
        <f>G240 - H240</f>
        <v>#VALUE!</v>
      </c>
      <c r="J240" s="3" t="e">
        <f>100 - H240</f>
        <v>#VALUE!</v>
      </c>
      <c r="K240" s="3" t="e">
        <f>100 - I240</f>
        <v>#VALUE!</v>
      </c>
      <c r="L240" s="3">
        <f>0.45 + D240 / 2</f>
        <v>0.53</v>
      </c>
      <c r="M240" s="3">
        <f>0.45 - D240 / 2</f>
        <v>0.37</v>
      </c>
      <c r="N240" s="3">
        <f>0.75 + E240 / 2</f>
        <v>0.79</v>
      </c>
      <c r="O240" s="3">
        <f>0.75 - E240 / 2</f>
        <v>0.71</v>
      </c>
      <c r="P240" s="3" t="e">
        <f>(H240 * L240 + J240 * N240) / 100</f>
        <v>#VALUE!</v>
      </c>
      <c r="Q240" s="3" t="e">
        <f>(I240 * M240 + K240 * O240) / 100</f>
        <v>#VALUE!</v>
      </c>
      <c r="R240" s="3" t="e">
        <f>P240 - Q240</f>
        <v>#VALUE!</v>
      </c>
      <c r="S240" s="3">
        <f>C240 * D240 + (1 - C240) * E240</f>
        <v>0.13999999999999999</v>
      </c>
      <c r="T240" s="3" t="e">
        <f>IF(R240 &gt; 0, IF(D240 &lt; 0, 1, 0) + IF(E240 &lt; 0, 1, 0), IF(D240 &gt; 0, 1, 0) + IF(E240 &gt; 0, 1, 0))</f>
        <v>#VALUE!</v>
      </c>
      <c r="U240" s="3" t="e">
        <f>T240 / 2</f>
        <v>#VALUE!</v>
      </c>
      <c r="V240" s="3" t="e">
        <f>IF(S240 &gt; 0, R240 &lt; 0, R240 &gt; 0)</f>
        <v>#VALUE!</v>
      </c>
      <c r="W240" s="3" t="e">
        <f>ABS(S240 - R240)</f>
        <v>#VALUE!</v>
      </c>
      <c r="X240" s="3" t="e">
        <f>IF(AND(V240, U240 = 1), "A", IF(AND(V240, U240 &lt; 1), "B", IF(AND(NOT(V240), W240 &gt; 0.01, ABS(R240) &gt; ABS(S240) + 0.001), "C+", IF(AND(NOT(V240), W240 &gt; 0.01, ABS(R240) &lt; ABS(S240) - 0.001), "C-", "D"))))</f>
        <v>#VALUE!</v>
      </c>
    </row>
    <row r="241">
      <c r="A241" s="2" t="s">
        <v>4699</v>
      </c>
      <c r="B241" s="3" t="str">
        <f>A241</f>
        <v>phase-w75-g116-g216-b30</v>
      </c>
      <c r="C241" s="2">
        <v>0.75</v>
      </c>
      <c r="D241" s="2">
        <v>0.16</v>
      </c>
      <c r="E241" s="2">
        <v>0.08</v>
      </c>
      <c r="F241" s="2">
        <v>0.3</v>
      </c>
      <c r="G241" s="3" t="e">
        <f>ROUND(200 * C241)</f>
        <v>#VALUE!</v>
      </c>
      <c r="H241" s="3" t="e">
        <f>ROUND(G241 * (0.5 + F241 / 2))</f>
        <v>#VALUE!</v>
      </c>
      <c r="I241" s="3" t="e">
        <f>G241 - H241</f>
        <v>#VALUE!</v>
      </c>
      <c r="J241" s="3" t="e">
        <f>100 - H241</f>
        <v>#VALUE!</v>
      </c>
      <c r="K241" s="3" t="e">
        <f>100 - I241</f>
        <v>#VALUE!</v>
      </c>
      <c r="L241" s="3">
        <f>0.45 + D241 / 2</f>
        <v>0.53</v>
      </c>
      <c r="M241" s="3">
        <f>0.45 - D241 / 2</f>
        <v>0.37</v>
      </c>
      <c r="N241" s="3">
        <f>0.75 + E241 / 2</f>
        <v>0.79</v>
      </c>
      <c r="O241" s="3">
        <f>0.75 - E241 / 2</f>
        <v>0.71</v>
      </c>
      <c r="P241" s="3" t="e">
        <f>(H241 * L241 + J241 * N241) / 100</f>
        <v>#VALUE!</v>
      </c>
      <c r="Q241" s="3" t="e">
        <f>(I241 * M241 + K241 * O241) / 100</f>
        <v>#VALUE!</v>
      </c>
      <c r="R241" s="3" t="e">
        <f>P241 - Q241</f>
        <v>#VALUE!</v>
      </c>
      <c r="S241" s="3">
        <f>C241 * D241 + (1 - C241) * E241</f>
        <v>0.13999999999999999</v>
      </c>
      <c r="T241" s="3" t="e">
        <f>IF(R241 &gt; 0, IF(D241 &lt; 0, 1, 0) + IF(E241 &lt; 0, 1, 0), IF(D241 &gt; 0, 1, 0) + IF(E241 &gt; 0, 1, 0))</f>
        <v>#VALUE!</v>
      </c>
      <c r="U241" s="3" t="e">
        <f>T241 / 2</f>
        <v>#VALUE!</v>
      </c>
      <c r="V241" s="3" t="e">
        <f>IF(S241 &gt; 0, R241 &lt; 0, R241 &gt; 0)</f>
        <v>#VALUE!</v>
      </c>
      <c r="W241" s="3" t="e">
        <f>ABS(S241 - R241)</f>
        <v>#VALUE!</v>
      </c>
      <c r="X241" s="3" t="e">
        <f>IF(AND(V241, U241 = 1), "A", IF(AND(V241, U241 &lt; 1), "B", IF(AND(NOT(V241), W241 &gt; 0.01, ABS(R241) &gt; ABS(S241) + 0.001), "C+", IF(AND(NOT(V241), W241 &gt; 0.01, ABS(R241) &lt; ABS(S241) - 0.001), "C-", "D"))))</f>
        <v>#VALUE!</v>
      </c>
    </row>
  </sheetData>
  <autoFilter ref="A1:X1"/>
  <headerFooter/>
  <legacyDrawing r:id="rId1"/>
</worksheet>
</file>

<file path=xl/worksheets/sheet2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
  <sheetViews>
    <sheetView workbookViewId="0">
      <pane ySplit="1" topLeftCell="A2" state="frozen" activePane="bottomLeft"/>
      <selection pane="bottomLeft" activeCell="A1" sqref="A1"/>
    </sheetView>
  </sheetViews>
  <sheetFormatPr defaultRowHeight="15"/>
  <cols>
    <col min="1" max="1" width="18.50192642211914" customWidth="1"/>
    <col min="2" max="2" width="18.50192642211914" customWidth="1"/>
    <col min="3" max="3" width="17.530187606811523" customWidth="1"/>
    <col min="4" max="4" width="18.58212661743164" customWidth="1"/>
    <col min="5" max="5" width="18.58212661743164" customWidth="1"/>
    <col min="6" max="6" width="22.37323570251465" customWidth="1"/>
    <col min="7" max="7" width="23.920055389404297" customWidth="1"/>
    <col min="8" max="8" width="18.842876434326172" customWidth="1"/>
    <col min="9" max="9" width="20.0716552734375" customWidth="1"/>
    <col min="10" max="10" width="24.16424560546875" customWidth="1"/>
    <col min="11" max="11" width="34.04727554321289" customWidth="1"/>
  </cols>
  <sheetData>
    <row r="1">
      <c r="A1" s="1" t="s">
        <v>4700</v>
      </c>
      <c r="B1" s="1" t="s">
        <v>1</v>
      </c>
      <c r="C1" s="1" t="s">
        <v>4701</v>
      </c>
      <c r="D1" s="1" t="s">
        <v>4702</v>
      </c>
      <c r="E1" s="1" t="s">
        <v>4703</v>
      </c>
      <c r="F1" s="1" t="s">
        <v>4704</v>
      </c>
      <c r="G1" s="1" t="s">
        <v>4705</v>
      </c>
      <c r="H1" s="1" t="s">
        <v>4706</v>
      </c>
      <c r="I1" s="1" t="s">
        <v>4707</v>
      </c>
      <c r="J1" s="1" t="s">
        <v>4708</v>
      </c>
      <c r="K1" s="1" t="s">
        <v>4709</v>
      </c>
    </row>
    <row r="2">
      <c r="A2" s="2" t="s">
        <v>4710</v>
      </c>
      <c r="B2" s="3" t="str">
        <f>A2</f>
        <v>phase-diagram-v1</v>
      </c>
      <c r="C2" s="5">
        <f>D2 + E2 + F2 + G2 + H2</f>
        <v>0</v>
      </c>
      <c r="D2" s="4">
        <v>0</v>
      </c>
      <c r="E2" s="4">
        <v>0</v>
      </c>
      <c r="F2" s="4">
        <v>0</v>
      </c>
      <c r="G2" s="4">
        <v>0</v>
      </c>
      <c r="H2" s="4">
        <v>0</v>
      </c>
      <c r="I2" s="3" t="b">
        <f>AND(D2 &gt; 0, E2 &gt; 0, F2 &gt; 0, G2 &gt; 0, H2 &gt; 0)</f>
        <v>0</v>
      </c>
      <c r="J2" s="3" t="str">
        <f>_xlfn.CONCAT("A:", D2, " B:", E2, " C+:", F2, " C-:", G2, " D:", H2)</f>
        <v>A:0 B:0 C+:0 C-:0 D:0</v>
      </c>
      <c r="K2" s="3" t="str">
        <f>IF(I2, "PASS: all five distortion types populated in parameter space", "FAIL: missing distortion type in grid")</f>
        <v>FAIL: missing distortion type in grid</v>
      </c>
    </row>
  </sheetData>
  <autoFilter ref="A1:K1"/>
  <headerFooter/>
  <legacyDrawing r:id="rId1"/>
</worksheet>
</file>

<file path=xl/worksheets/sheet2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18"/>
  <sheetViews>
    <sheetView workbookViewId="0">
      <pane ySplit="1" topLeftCell="A2" state="frozen" activePane="bottomLeft"/>
      <selection pane="bottomLeft" activeCell="A1" sqref="A1"/>
    </sheetView>
  </sheetViews>
  <sheetFormatPr defaultRowHeight="15"/>
  <cols>
    <col min="1" max="1" width="30.41549301147461" customWidth="1"/>
    <col min="2" max="2" width="30.41549301147461" customWidth="1"/>
    <col min="3" max="3" width="18.28716468811035" customWidth="1"/>
    <col min="4" max="4" width="17.443378448486328" customWidth="1"/>
    <col min="5" max="5" width="17.443378448486328" customWidth="1"/>
    <col min="6" max="6" width="67.41026306152344" customWidth="1"/>
    <col min="7" max="7" width="78.67728424072266" customWidth="1"/>
    <col min="8" max="8" width="17.443378448486328" customWidth="1"/>
  </cols>
  <sheetData>
    <row r="1">
      <c r="A1" s="1" t="s">
        <v>4711</v>
      </c>
      <c r="B1" s="1" t="s">
        <v>1</v>
      </c>
      <c r="C1" s="1" t="s">
        <v>4712</v>
      </c>
      <c r="D1" s="1" t="s">
        <v>4713</v>
      </c>
      <c r="E1" s="1" t="s">
        <v>3187</v>
      </c>
      <c r="F1" s="1" t="s">
        <v>4714</v>
      </c>
      <c r="G1" s="1" t="s">
        <v>4715</v>
      </c>
      <c r="H1" s="1" t="s">
        <v>4716</v>
      </c>
    </row>
    <row r="2">
      <c r="A2" s="2" t="s">
        <v>4717</v>
      </c>
      <c r="B2" s="3" t="str">
        <f>A2</f>
        <v>ingest-input-study</v>
      </c>
      <c r="C2" s="2" t="s">
        <v>4718</v>
      </c>
      <c r="D2" s="2" t="s">
        <v>3193</v>
      </c>
      <c r="E2" s="2" t="s">
        <v>786</v>
      </c>
      <c r="F2" s="2" t="s">
        <v>4719</v>
      </c>
      <c r="G2" s="2" t="s">
        <v>4720</v>
      </c>
      <c r="H2" s="4">
        <v>1</v>
      </c>
    </row>
    <row r="3">
      <c r="A3" s="2" t="s">
        <v>4721</v>
      </c>
      <c r="B3" s="3" t="str">
        <f>A3</f>
        <v>ingest-input-stratum</v>
      </c>
      <c r="C3" s="2" t="s">
        <v>4718</v>
      </c>
      <c r="D3" s="2" t="s">
        <v>3193</v>
      </c>
      <c r="E3" s="2" t="s">
        <v>1150</v>
      </c>
      <c r="F3" s="2" t="s">
        <v>4722</v>
      </c>
      <c r="G3" s="2" t="s">
        <v>4723</v>
      </c>
      <c r="H3" s="4">
        <v>2</v>
      </c>
    </row>
    <row r="4">
      <c r="A4" s="2" t="s">
        <v>4724</v>
      </c>
      <c r="B4" s="3" t="str">
        <f>A4</f>
        <v>ingest-input-treatment</v>
      </c>
      <c r="C4" s="2" t="s">
        <v>4718</v>
      </c>
      <c r="D4" s="2" t="s">
        <v>3193</v>
      </c>
      <c r="E4" s="2" t="s">
        <v>787</v>
      </c>
      <c r="F4" s="2" t="s">
        <v>4725</v>
      </c>
      <c r="G4" s="2" t="s">
        <v>4726</v>
      </c>
      <c r="H4" s="4">
        <v>3</v>
      </c>
    </row>
    <row r="5">
      <c r="A5" s="2" t="s">
        <v>4727</v>
      </c>
      <c r="B5" s="3" t="str">
        <f>A5</f>
        <v>ingest-input-cases</v>
      </c>
      <c r="C5" s="2" t="s">
        <v>4718</v>
      </c>
      <c r="D5" s="2" t="s">
        <v>3193</v>
      </c>
      <c r="E5" s="2" t="s">
        <v>1774</v>
      </c>
      <c r="F5" s="2" t="s">
        <v>4728</v>
      </c>
      <c r="G5" s="2" t="s">
        <v>4729</v>
      </c>
      <c r="H5" s="4">
        <v>4</v>
      </c>
    </row>
    <row r="6">
      <c r="A6" s="2" t="s">
        <v>4730</v>
      </c>
      <c r="B6" s="3" t="str">
        <f>A6</f>
        <v>ingest-input-successes</v>
      </c>
      <c r="C6" s="2" t="s">
        <v>4718</v>
      </c>
      <c r="D6" s="2" t="s">
        <v>3193</v>
      </c>
      <c r="E6" s="2" t="s">
        <v>1773</v>
      </c>
      <c r="F6" s="2" t="s">
        <v>4731</v>
      </c>
      <c r="G6" s="2" t="s">
        <v>4732</v>
      </c>
      <c r="H6" s="4">
        <v>5</v>
      </c>
    </row>
    <row r="7">
      <c r="A7" s="2" t="s">
        <v>4733</v>
      </c>
      <c r="B7" s="3" t="str">
        <f>A7</f>
        <v>ingest-struct-min-two-strata</v>
      </c>
      <c r="C7" s="2" t="s">
        <v>4734</v>
      </c>
      <c r="D7" s="2" t="s">
        <v>3077</v>
      </c>
      <c r="E7" s="2" t="s">
        <v>423</v>
      </c>
      <c r="F7" s="2" t="s">
        <v>4735</v>
      </c>
      <c r="G7" s="2" t="s">
        <v>4736</v>
      </c>
      <c r="H7" s="4">
        <v>6</v>
      </c>
    </row>
    <row r="8">
      <c r="A8" s="2" t="s">
        <v>4737</v>
      </c>
      <c r="B8" s="3" t="str">
        <f>A8</f>
        <v>ingest-struct-binary-treatment</v>
      </c>
      <c r="C8" s="2" t="s">
        <v>4734</v>
      </c>
      <c r="D8" s="2" t="s">
        <v>3077</v>
      </c>
      <c r="E8" s="2" t="s">
        <v>423</v>
      </c>
      <c r="F8" s="2" t="s">
        <v>4738</v>
      </c>
      <c r="G8" s="2" t="s">
        <v>4739</v>
      </c>
      <c r="H8" s="4">
        <v>7</v>
      </c>
    </row>
    <row r="9">
      <c r="A9" s="2" t="s">
        <v>4740</v>
      </c>
      <c r="B9" s="3" t="str">
        <f>A9</f>
        <v>ingest-struct-paired-cells</v>
      </c>
      <c r="C9" s="2" t="s">
        <v>4734</v>
      </c>
      <c r="D9" s="2" t="s">
        <v>3077</v>
      </c>
      <c r="E9" s="2" t="s">
        <v>423</v>
      </c>
      <c r="F9" s="2" t="s">
        <v>4741</v>
      </c>
      <c r="G9" s="2" t="s">
        <v>4742</v>
      </c>
      <c r="H9" s="4">
        <v>8</v>
      </c>
    </row>
    <row r="10">
      <c r="A10" s="2" t="s">
        <v>4743</v>
      </c>
      <c r="B10" s="3" t="str">
        <f>A10</f>
        <v>ingest-struct-valid-counts</v>
      </c>
      <c r="C10" s="2" t="s">
        <v>4734</v>
      </c>
      <c r="D10" s="2" t="s">
        <v>3193</v>
      </c>
      <c r="E10" s="2" t="s">
        <v>423</v>
      </c>
      <c r="F10" s="2" t="s">
        <v>4744</v>
      </c>
      <c r="G10" s="2" t="s">
        <v>4745</v>
      </c>
      <c r="H10" s="4">
        <v>9</v>
      </c>
    </row>
    <row r="11">
      <c r="A11" s="2" t="s">
        <v>4746</v>
      </c>
      <c r="B11" s="3" t="str">
        <f>A11</f>
        <v>ingest-incl-2xk-table</v>
      </c>
      <c r="C11" s="2" t="s">
        <v>4747</v>
      </c>
      <c r="D11" s="2" t="s">
        <v>3077</v>
      </c>
      <c r="E11" s="2" t="s">
        <v>423</v>
      </c>
      <c r="F11" s="2" t="s">
        <v>4748</v>
      </c>
      <c r="G11" s="2" t="s">
        <v>4749</v>
      </c>
      <c r="H11" s="4">
        <v>10</v>
      </c>
    </row>
    <row r="12">
      <c r="A12" s="2" t="s">
        <v>4750</v>
      </c>
      <c r="B12" s="3" t="str">
        <f>A12</f>
        <v>ingest-incl-named-confounder</v>
      </c>
      <c r="C12" s="2" t="s">
        <v>4747</v>
      </c>
      <c r="D12" s="2" t="s">
        <v>3096</v>
      </c>
      <c r="E12" s="2" t="s">
        <v>2297</v>
      </c>
      <c r="F12" s="2" t="s">
        <v>4751</v>
      </c>
      <c r="G12" s="2" t="s">
        <v>4752</v>
      </c>
      <c r="H12" s="4">
        <v>11</v>
      </c>
    </row>
    <row r="13">
      <c r="A13" s="2" t="s">
        <v>4753</v>
      </c>
      <c r="B13" s="3" t="str">
        <f>A13</f>
        <v>ingest-incl-binary-outcome</v>
      </c>
      <c r="C13" s="2" t="s">
        <v>4747</v>
      </c>
      <c r="D13" s="2" t="s">
        <v>3193</v>
      </c>
      <c r="E13" s="2" t="s">
        <v>1773</v>
      </c>
      <c r="F13" s="2" t="s">
        <v>4754</v>
      </c>
      <c r="G13" s="2" t="s">
        <v>4755</v>
      </c>
      <c r="H13" s="4">
        <v>12</v>
      </c>
    </row>
    <row r="14">
      <c r="A14" s="2" t="s">
        <v>4756</v>
      </c>
      <c r="B14" s="3" t="str">
        <f>A14</f>
        <v>ingest-excl-continuous-outcome</v>
      </c>
      <c r="C14" s="2" t="s">
        <v>4757</v>
      </c>
      <c r="D14" s="2" t="s">
        <v>3077</v>
      </c>
      <c r="E14" s="2" t="s">
        <v>423</v>
      </c>
      <c r="F14" s="2" t="s">
        <v>4758</v>
      </c>
      <c r="G14" s="2" t="s">
        <v>4759</v>
      </c>
      <c r="H14" s="4">
        <v>13</v>
      </c>
    </row>
    <row r="15">
      <c r="A15" s="2" t="s">
        <v>4760</v>
      </c>
      <c r="B15" s="3" t="str">
        <f>A15</f>
        <v>ingest-excl-posthoc-strata</v>
      </c>
      <c r="C15" s="2" t="s">
        <v>4757</v>
      </c>
      <c r="D15" s="2" t="s">
        <v>3077</v>
      </c>
      <c r="E15" s="2" t="s">
        <v>423</v>
      </c>
      <c r="F15" s="2" t="s">
        <v>4761</v>
      </c>
      <c r="G15" s="2" t="s">
        <v>4762</v>
      </c>
      <c r="H15" s="4">
        <v>14</v>
      </c>
    </row>
    <row r="16">
      <c r="A16" s="2" t="s">
        <v>4763</v>
      </c>
      <c r="B16" s="3" t="str">
        <f>A16</f>
        <v>ingest-adapter-strata</v>
      </c>
      <c r="C16" s="2" t="s">
        <v>4764</v>
      </c>
      <c r="D16" s="2" t="s">
        <v>3264</v>
      </c>
      <c r="E16" s="2" t="s">
        <v>423</v>
      </c>
      <c r="F16" s="2" t="s">
        <v>4765</v>
      </c>
      <c r="G16" s="2" t="s">
        <v>4766</v>
      </c>
      <c r="H16" s="4">
        <v>15</v>
      </c>
    </row>
    <row r="17">
      <c r="A17" s="2" t="s">
        <v>4767</v>
      </c>
      <c r="B17" s="3" t="str">
        <f>A17</f>
        <v>ingest-adapter-treatments</v>
      </c>
      <c r="C17" s="2" t="s">
        <v>4764</v>
      </c>
      <c r="D17" s="2" t="s">
        <v>4768</v>
      </c>
      <c r="E17" s="2" t="s">
        <v>423</v>
      </c>
      <c r="F17" s="2" t="s">
        <v>4769</v>
      </c>
      <c r="G17" s="2" t="s">
        <v>4770</v>
      </c>
      <c r="H17" s="4">
        <v>16</v>
      </c>
    </row>
    <row r="18">
      <c r="A18" s="2" t="s">
        <v>4771</v>
      </c>
      <c r="B18" s="3" t="str">
        <f>A18</f>
        <v>ingest-adapter-stratum-variable</v>
      </c>
      <c r="C18" s="2" t="s">
        <v>4764</v>
      </c>
      <c r="D18" s="2" t="s">
        <v>3096</v>
      </c>
      <c r="E18" s="2" t="s">
        <v>423</v>
      </c>
      <c r="F18" s="2" t="s">
        <v>4772</v>
      </c>
      <c r="G18" s="2" t="s">
        <v>4773</v>
      </c>
      <c r="H18" s="4">
        <v>17</v>
      </c>
    </row>
  </sheetData>
  <autoFilter ref="A1:H1"/>
  <headerFooter/>
  <legacyDrawing r:id="rId1"/>
</worksheet>
</file>

<file path=xl/worksheets/sheet2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N2"/>
  <sheetViews>
    <sheetView workbookViewId="0">
      <pane ySplit="1" topLeftCell="A2" state="frozen" activePane="bottomLeft"/>
      <selection pane="bottomLeft" activeCell="A1" sqref="A1"/>
    </sheetView>
  </sheetViews>
  <sheetFormatPr defaultRowHeight="15"/>
  <cols>
    <col min="1" max="1" width="21.437854766845703" customWidth="1"/>
    <col min="2" max="2" width="17.443378448486328" customWidth="1"/>
    <col min="3" max="3" width="19.33492088317871" customWidth="1"/>
    <col min="4" max="4" width="17.443378448486328" customWidth="1"/>
    <col min="5" max="5" width="17.443378448486328" customWidth="1"/>
    <col min="6" max="6" width="17.443378448486328" customWidth="1"/>
    <col min="7" max="7" width="17.443378448486328" customWidth="1"/>
    <col min="8" max="8" width="25.455080032348633" customWidth="1"/>
    <col min="9" max="9" width="19.737957000732422" customWidth="1"/>
    <col min="10" max="10" width="17.443378448486328" customWidth="1"/>
    <col min="11" max="11" width="24.548608779907227" customWidth="1"/>
    <col min="12" max="12" width="23.683643341064453" customWidth="1"/>
    <col min="13" max="13" width="24.5507869720459" customWidth="1"/>
    <col min="14" max="14" width="30.966812133789062" customWidth="1"/>
  </cols>
  <sheetData>
    <row r="1">
      <c r="A1" s="1" t="s">
        <v>4774</v>
      </c>
      <c r="B1" s="1" t="s">
        <v>1</v>
      </c>
      <c r="C1" s="1" t="s">
        <v>4775</v>
      </c>
      <c r="D1" s="1" t="s">
        <v>4776</v>
      </c>
      <c r="E1" s="1" t="s">
        <v>4777</v>
      </c>
      <c r="F1" s="1" t="s">
        <v>4778</v>
      </c>
      <c r="G1" s="1" t="s">
        <v>2248</v>
      </c>
      <c r="H1" s="1" t="s">
        <v>4779</v>
      </c>
      <c r="I1" s="1" t="s">
        <v>4780</v>
      </c>
      <c r="J1" s="1" t="s">
        <v>2265</v>
      </c>
      <c r="K1" s="1" t="s">
        <v>4781</v>
      </c>
      <c r="L1" s="1" t="s">
        <v>4782</v>
      </c>
      <c r="M1" s="1" t="s">
        <v>4783</v>
      </c>
      <c r="N1" s="1" t="s">
        <v>2278</v>
      </c>
    </row>
    <row r="2">
      <c r="A2" s="2" t="s">
        <v>4784</v>
      </c>
      <c r="B2" s="3" t="str">
        <f>A2</f>
        <v>ingestion-v1</v>
      </c>
      <c r="C2" s="5">
        <f>COUNTIFS(IngestionProtocol!A2:A999, "&lt;&gt;")</f>
        <v>17</v>
      </c>
      <c r="D2" s="5">
        <f>COUNTIFS(CaseCells!A2:A999, "&lt;&gt;")</f>
        <v>426</v>
      </c>
      <c r="E2" s="5">
        <f>COUNTIFS(CaseCells!K2:K999, TRUE())</f>
        <v>426</v>
      </c>
      <c r="F2" s="3" t="b">
        <f>E2 = D2</f>
        <v>1</v>
      </c>
      <c r="G2" s="5">
        <f>COUNTIFS(Studies!A2:A999, "&lt;&gt;")</f>
        <v>96</v>
      </c>
      <c r="H2" s="5">
        <f>COUNTIFS(Studies!Y2:Y999, TRUE())</f>
        <v>0</v>
      </c>
      <c r="I2" s="3" t="b">
        <f>H2 = G2</f>
        <v>0</v>
      </c>
      <c r="J2" s="5">
        <f>COUNTIFS(Studies!H2:H999, FALSE())</f>
        <v>91</v>
      </c>
      <c r="K2" s="5">
        <f>COUNTIFS(Studies!Z2:Z999, "all")</f>
        <v>0</v>
      </c>
      <c r="L2" s="3" t="b">
        <f>K2 = J2</f>
        <v>0</v>
      </c>
      <c r="M2" s="3" t="b">
        <f>AND(F2, I2, L2)</f>
        <v>0</v>
      </c>
      <c r="N2" s="3" t="str">
        <f>IF(M2, _xlfn.CONCAT("PASS: ", C2, " contract items; ", D2, " cells valid; ", K2, "/", J2, " real studies fully compliant"), "FAIL: ingestion contract violated")</f>
        <v>FAIL: ingestion contract violated</v>
      </c>
    </row>
  </sheetData>
  <autoFilter ref="A1:N1"/>
  <headerFooter/>
  <legacyDrawing r:id="rId1"/>
</worksheet>
</file>

<file path=xl/worksheets/sheet2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S96"/>
  <sheetViews>
    <sheetView workbookViewId="0">
      <pane ySplit="1" topLeftCell="A2" state="frozen" activePane="bottomLeft"/>
      <selection pane="bottomLeft" activeCell="A1" sqref="A1"/>
    </sheetView>
  </sheetViews>
  <sheetFormatPr defaultRowHeight="15"/>
  <cols>
    <col min="1" max="1" width="36.38954162597656" customWidth="1"/>
    <col min="2" max="2" width="36.38954162597656" customWidth="1"/>
    <col min="3" max="3" width="33.19231414794922" customWidth="1"/>
    <col min="4" max="4" width="87.06658935546875" customWidth="1"/>
    <col min="5" max="5" width="114.12152862548828" customWidth="1"/>
    <col min="6" max="6" width="71.29729461669922" customWidth="1"/>
    <col min="7" max="7" width="17.443378448486328" customWidth="1"/>
    <col min="8" max="8" width="24.01918601989746" customWidth="1"/>
    <col min="9" max="9" width="23.885631561279297" customWidth="1"/>
    <col min="10" max="10" width="17.443378448486328" customWidth="1"/>
    <col min="11" max="11" width="17.443378448486328" customWidth="1"/>
    <col min="12" max="12" width="22.54657554626465" customWidth="1"/>
    <col min="13" max="13" width="120.30597686767578" customWidth="1"/>
    <col min="14" max="14" width="33.19231414794922" customWidth="1"/>
    <col min="15" max="15" width="17.443378448486328" customWidth="1"/>
    <col min="16" max="16" width="18.58138084411621" customWidth="1"/>
    <col min="17" max="17" width="17.443378448486328" customWidth="1"/>
    <col min="18" max="18" width="24.255056381225586" customWidth="1"/>
    <col min="19" max="19" width="21.10431480407715" customWidth="1"/>
  </cols>
  <sheetData>
    <row r="1">
      <c r="A1" s="1" t="s">
        <v>4785</v>
      </c>
      <c r="B1" s="1" t="s">
        <v>1</v>
      </c>
      <c r="C1" s="1" t="s">
        <v>4786</v>
      </c>
      <c r="D1" s="1" t="s">
        <v>2</v>
      </c>
      <c r="E1" s="1" t="s">
        <v>4787</v>
      </c>
      <c r="F1" s="1" t="s">
        <v>395</v>
      </c>
      <c r="G1" s="1" t="s">
        <v>397</v>
      </c>
      <c r="H1" s="1" t="s">
        <v>4788</v>
      </c>
      <c r="I1" s="1" t="s">
        <v>4789</v>
      </c>
      <c r="J1" s="1" t="s">
        <v>4790</v>
      </c>
      <c r="K1" s="1" t="s">
        <v>4791</v>
      </c>
      <c r="L1" s="1" t="s">
        <v>4792</v>
      </c>
      <c r="M1" s="1" t="s">
        <v>4793</v>
      </c>
      <c r="N1" s="1" t="s">
        <v>4794</v>
      </c>
      <c r="O1" s="1" t="s">
        <v>396</v>
      </c>
      <c r="P1" s="1" t="s">
        <v>4795</v>
      </c>
      <c r="Q1" s="1" t="s">
        <v>4796</v>
      </c>
      <c r="R1" s="1" t="s">
        <v>4797</v>
      </c>
      <c r="S1" s="1" t="s">
        <v>4798</v>
      </c>
    </row>
    <row r="2">
      <c r="A2" s="2" t="s">
        <v>4799</v>
      </c>
      <c r="B2" s="3" t="str">
        <f>A2</f>
        <v>cand-kidney-1986</v>
      </c>
      <c r="C2" s="2" t="s">
        <v>414</v>
      </c>
      <c r="D2" s="2" t="s">
        <v>4800</v>
      </c>
      <c r="E2" s="2" t="s">
        <v>4801</v>
      </c>
      <c r="F2" s="2" t="s">
        <v>417</v>
      </c>
      <c r="G2" s="2" t="s">
        <v>418</v>
      </c>
      <c r="H2" s="2" t="s">
        <v>2304</v>
      </c>
      <c r="I2" s="2" t="s">
        <v>792</v>
      </c>
      <c r="J2" s="2" t="s">
        <v>4802</v>
      </c>
      <c r="K2" s="4">
        <v>0</v>
      </c>
      <c r="L2" s="4">
        <v>2</v>
      </c>
      <c r="M2" s="2" t="s">
        <v>4803</v>
      </c>
      <c r="N2" s="2" t="s">
        <v>414</v>
      </c>
      <c r="O2" s="4">
        <v>1986</v>
      </c>
      <c r="P2" s="3" t="b">
        <f>AND(J2 = "candidate", C2 &lt;&gt; "", E2 &lt;&gt; "", H2 &lt;&gt; "")</f>
        <v>0</v>
      </c>
      <c r="Q2" s="3" t="b">
        <f>J2 = "imported"</f>
        <v>1</v>
      </c>
      <c r="R2" s="3" t="e">
        <f>LOOKUP(N2, TreatmentRankings[Study], TreatmentRankings[DistortionType])</f>
        <v>#VALUE!</v>
      </c>
      <c r="S2" s="3" t="e">
        <f>IF(Q2, R2 = I2, "")</f>
        <v>#VALUE!</v>
      </c>
    </row>
    <row r="3">
      <c r="A3" s="2" t="s">
        <v>4804</v>
      </c>
      <c r="B3" s="3" t="str">
        <f>A3</f>
        <v>cand-berkeley-1973</v>
      </c>
      <c r="C3" s="2" t="s">
        <v>428</v>
      </c>
      <c r="D3" s="2" t="s">
        <v>4805</v>
      </c>
      <c r="E3" s="2" t="s">
        <v>4806</v>
      </c>
      <c r="F3" s="2" t="s">
        <v>431</v>
      </c>
      <c r="G3" s="2" t="s">
        <v>432</v>
      </c>
      <c r="H3" s="2" t="s">
        <v>2308</v>
      </c>
      <c r="I3" s="2" t="s">
        <v>795</v>
      </c>
      <c r="J3" s="2" t="s">
        <v>4802</v>
      </c>
      <c r="K3" s="4">
        <v>0</v>
      </c>
      <c r="L3" s="4">
        <v>2</v>
      </c>
      <c r="M3" s="2" t="s">
        <v>4803</v>
      </c>
      <c r="N3" s="2" t="s">
        <v>428</v>
      </c>
      <c r="O3" s="4">
        <v>1975</v>
      </c>
      <c r="P3" s="3" t="b">
        <f>AND(J3 = "candidate", C3 &lt;&gt; "", E3 &lt;&gt; "", H3 &lt;&gt; "")</f>
        <v>0</v>
      </c>
      <c r="Q3" s="3" t="b">
        <f>J3 = "imported"</f>
        <v>1</v>
      </c>
      <c r="R3" s="3" t="e">
        <f>LOOKUP(N3, TreatmentRankings[Study], TreatmentRankings[DistortionType])</f>
        <v>#VALUE!</v>
      </c>
      <c r="S3" s="3" t="e">
        <f>IF(Q3, R3 = I3, "")</f>
        <v>#VALUE!</v>
      </c>
    </row>
    <row r="4">
      <c r="A4" s="2" t="s">
        <v>4807</v>
      </c>
      <c r="B4" s="3" t="str">
        <f>A4</f>
        <v>cand-reintjes-2000</v>
      </c>
      <c r="C4" s="2" t="s">
        <v>437</v>
      </c>
      <c r="D4" s="2" t="s">
        <v>4808</v>
      </c>
      <c r="E4" s="2" t="s">
        <v>4809</v>
      </c>
      <c r="F4" s="2" t="s">
        <v>440</v>
      </c>
      <c r="G4" s="2" t="s">
        <v>441</v>
      </c>
      <c r="H4" s="2" t="s">
        <v>2322</v>
      </c>
      <c r="I4" s="2" t="s">
        <v>792</v>
      </c>
      <c r="J4" s="2" t="s">
        <v>4802</v>
      </c>
      <c r="K4" s="4">
        <v>0</v>
      </c>
      <c r="L4" s="4">
        <v>2</v>
      </c>
      <c r="M4" s="2" t="s">
        <v>4803</v>
      </c>
      <c r="N4" s="2" t="s">
        <v>437</v>
      </c>
      <c r="O4" s="4">
        <v>2000</v>
      </c>
      <c r="P4" s="3" t="b">
        <f>AND(J4 = "candidate", C4 &lt;&gt; "", E4 &lt;&gt; "", H4 &lt;&gt; "")</f>
        <v>0</v>
      </c>
      <c r="Q4" s="3" t="b">
        <f>J4 = "imported"</f>
        <v>1</v>
      </c>
      <c r="R4" s="3" t="e">
        <f>LOOKUP(N4, TreatmentRankings[Study], TreatmentRankings[DistortionType])</f>
        <v>#VALUE!</v>
      </c>
      <c r="S4" s="3" t="e">
        <f>IF(Q4, R4 = I4, "")</f>
        <v>#VALUE!</v>
      </c>
    </row>
    <row r="5">
      <c r="A5" s="2" t="s">
        <v>4810</v>
      </c>
      <c r="B5" s="3" t="str">
        <f>A5</f>
        <v>cand-radelet-1981</v>
      </c>
      <c r="C5" s="2" t="s">
        <v>442</v>
      </c>
      <c r="D5" s="2" t="s">
        <v>4811</v>
      </c>
      <c r="E5" s="2" t="s">
        <v>4812</v>
      </c>
      <c r="F5" s="2" t="s">
        <v>445</v>
      </c>
      <c r="G5" s="2" t="s">
        <v>446</v>
      </c>
      <c r="H5" s="2" t="s">
        <v>2325</v>
      </c>
      <c r="I5" s="2" t="s">
        <v>792</v>
      </c>
      <c r="J5" s="2" t="s">
        <v>4802</v>
      </c>
      <c r="K5" s="4">
        <v>0</v>
      </c>
      <c r="L5" s="4">
        <v>2</v>
      </c>
      <c r="M5" s="2" t="s">
        <v>4803</v>
      </c>
      <c r="N5" s="2" t="s">
        <v>442</v>
      </c>
      <c r="O5" s="4">
        <v>1981</v>
      </c>
      <c r="P5" s="3" t="b">
        <f>AND(J5 = "candidate", C5 &lt;&gt; "", E5 &lt;&gt; "", H5 &lt;&gt; "")</f>
        <v>0</v>
      </c>
      <c r="Q5" s="3" t="b">
        <f>J5 = "imported"</f>
        <v>1</v>
      </c>
      <c r="R5" s="3" t="e">
        <f>LOOKUP(N5, TreatmentRankings[Study], TreatmentRankings[DistortionType])</f>
        <v>#VALUE!</v>
      </c>
      <c r="S5" s="3" t="e">
        <f>IF(Q5, R5 = I5, "")</f>
        <v>#VALUE!</v>
      </c>
    </row>
    <row r="6">
      <c r="A6" s="2" t="s">
        <v>4813</v>
      </c>
      <c r="B6" s="3" t="str">
        <f>A6</f>
        <v>cand-jeter-1997</v>
      </c>
      <c r="C6" s="2" t="s">
        <v>448</v>
      </c>
      <c r="D6" s="2" t="s">
        <v>4814</v>
      </c>
      <c r="E6" s="2" t="s">
        <v>4815</v>
      </c>
      <c r="F6" s="2" t="s">
        <v>451</v>
      </c>
      <c r="G6" s="2" t="s">
        <v>452</v>
      </c>
      <c r="H6" s="2" t="s">
        <v>2328</v>
      </c>
      <c r="I6" s="2" t="s">
        <v>792</v>
      </c>
      <c r="J6" s="2" t="s">
        <v>4802</v>
      </c>
      <c r="K6" s="4">
        <v>0</v>
      </c>
      <c r="L6" s="4">
        <v>2</v>
      </c>
      <c r="M6" s="2" t="s">
        <v>4803</v>
      </c>
      <c r="N6" s="2" t="s">
        <v>448</v>
      </c>
      <c r="O6" s="4">
        <v>1997</v>
      </c>
      <c r="P6" s="3" t="b">
        <f>AND(J6 = "candidate", C6 &lt;&gt; "", E6 &lt;&gt; "", H6 &lt;&gt; "")</f>
        <v>0</v>
      </c>
      <c r="Q6" s="3" t="b">
        <f>J6 = "imported"</f>
        <v>1</v>
      </c>
      <c r="R6" s="3" t="e">
        <f>LOOKUP(N6, TreatmentRankings[Study], TreatmentRankings[DistortionType])</f>
        <v>#VALUE!</v>
      </c>
      <c r="S6" s="3" t="e">
        <f>IF(Q6, R6 = I6, "")</f>
        <v>#VALUE!</v>
      </c>
    </row>
    <row r="7">
      <c r="A7" s="2" t="s">
        <v>4816</v>
      </c>
      <c r="B7" s="3" t="str">
        <f>A7</f>
        <v>cand-appleton-1996</v>
      </c>
      <c r="C7" s="2" t="s">
        <v>453</v>
      </c>
      <c r="D7" s="2" t="s">
        <v>4817</v>
      </c>
      <c r="E7" s="2" t="s">
        <v>4818</v>
      </c>
      <c r="F7" s="2" t="s">
        <v>456</v>
      </c>
      <c r="G7" s="2" t="s">
        <v>441</v>
      </c>
      <c r="H7" s="2" t="s">
        <v>2334</v>
      </c>
      <c r="I7" s="2" t="s">
        <v>795</v>
      </c>
      <c r="J7" s="2" t="s">
        <v>4802</v>
      </c>
      <c r="K7" s="4">
        <v>0</v>
      </c>
      <c r="L7" s="4">
        <v>2</v>
      </c>
      <c r="M7" s="2" t="s">
        <v>4803</v>
      </c>
      <c r="N7" s="2" t="s">
        <v>453</v>
      </c>
      <c r="O7" s="4">
        <v>1996</v>
      </c>
      <c r="P7" s="3" t="b">
        <f>AND(J7 = "candidate", C7 &lt;&gt; "", E7 &lt;&gt; "", H7 &lt;&gt; "")</f>
        <v>0</v>
      </c>
      <c r="Q7" s="3" t="b">
        <f>J7 = "imported"</f>
        <v>1</v>
      </c>
      <c r="R7" s="3" t="e">
        <f>LOOKUP(N7, TreatmentRankings[Study], TreatmentRankings[DistortionType])</f>
        <v>#VALUE!</v>
      </c>
      <c r="S7" s="3" t="e">
        <f>IF(Q7, R7 = I7, "")</f>
        <v>#VALUE!</v>
      </c>
    </row>
    <row r="8">
      <c r="A8" s="2" t="s">
        <v>4819</v>
      </c>
      <c r="B8" s="3" t="str">
        <f>A8</f>
        <v>cand-phe-covid-2021</v>
      </c>
      <c r="C8" s="2" t="s">
        <v>457</v>
      </c>
      <c r="D8" s="2" t="s">
        <v>4820</v>
      </c>
      <c r="E8" s="2" t="s">
        <v>4821</v>
      </c>
      <c r="F8" s="2" t="s">
        <v>460</v>
      </c>
      <c r="G8" s="2" t="s">
        <v>441</v>
      </c>
      <c r="H8" s="2" t="s">
        <v>2334</v>
      </c>
      <c r="I8" s="2" t="s">
        <v>792</v>
      </c>
      <c r="J8" s="2" t="s">
        <v>4802</v>
      </c>
      <c r="K8" s="4">
        <v>0</v>
      </c>
      <c r="L8" s="4">
        <v>2</v>
      </c>
      <c r="M8" s="2" t="s">
        <v>4803</v>
      </c>
      <c r="N8" s="2" t="s">
        <v>457</v>
      </c>
      <c r="O8" s="4">
        <v>2021</v>
      </c>
      <c r="P8" s="3" t="b">
        <f>AND(J8 = "candidate", C8 &lt;&gt; "", E8 &lt;&gt; "", H8 &lt;&gt; "")</f>
        <v>0</v>
      </c>
      <c r="Q8" s="3" t="b">
        <f>J8 = "imported"</f>
        <v>1</v>
      </c>
      <c r="R8" s="3" t="e">
        <f>LOOKUP(N8, TreatmentRankings[Study], TreatmentRankings[DistortionType])</f>
        <v>#VALUE!</v>
      </c>
      <c r="S8" s="3" t="e">
        <f>IF(Q8, R8 = I8, "")</f>
        <v>#VALUE!</v>
      </c>
    </row>
    <row r="9">
      <c r="A9" s="2" t="s">
        <v>4822</v>
      </c>
      <c r="B9" s="3" t="str">
        <f>A9</f>
        <v>cand-hannan-1994</v>
      </c>
      <c r="C9" s="2" t="s">
        <v>462</v>
      </c>
      <c r="D9" s="2" t="s">
        <v>4823</v>
      </c>
      <c r="E9" s="2" t="s">
        <v>4824</v>
      </c>
      <c r="F9" s="2" t="s">
        <v>465</v>
      </c>
      <c r="G9" s="2" t="s">
        <v>418</v>
      </c>
      <c r="H9" s="2" t="s">
        <v>4825</v>
      </c>
      <c r="I9" s="2" t="s">
        <v>4826</v>
      </c>
      <c r="J9" s="2" t="s">
        <v>4802</v>
      </c>
      <c r="K9" s="4">
        <v>0</v>
      </c>
      <c r="L9" s="4">
        <v>2</v>
      </c>
      <c r="M9" s="2" t="s">
        <v>4803</v>
      </c>
      <c r="N9" s="2" t="s">
        <v>462</v>
      </c>
      <c r="O9" s="4">
        <v>1994</v>
      </c>
      <c r="P9" s="3" t="b">
        <f>AND(J9 = "candidate", C9 &lt;&gt; "", E9 &lt;&gt; "", H9 &lt;&gt; "")</f>
        <v>0</v>
      </c>
      <c r="Q9" s="3" t="b">
        <f>J9 = "imported"</f>
        <v>1</v>
      </c>
      <c r="R9" s="3" t="e">
        <f>LOOKUP(N9, TreatmentRankings[Study], TreatmentRankings[DistortionType])</f>
        <v>#VALUE!</v>
      </c>
      <c r="S9" s="3" t="e">
        <f>IF(Q9, R9 = I9, "")</f>
        <v>#VALUE!</v>
      </c>
    </row>
    <row r="10">
      <c r="A10" s="2" t="s">
        <v>4827</v>
      </c>
      <c r="B10" s="3" t="str">
        <f>A10</f>
        <v>cand-titanic-1912</v>
      </c>
      <c r="C10" s="2" t="s">
        <v>466</v>
      </c>
      <c r="D10" s="2" t="s">
        <v>4828</v>
      </c>
      <c r="E10" s="2" t="s">
        <v>4829</v>
      </c>
      <c r="F10" s="2" t="s">
        <v>469</v>
      </c>
      <c r="G10" s="2" t="s">
        <v>432</v>
      </c>
      <c r="H10" s="2" t="s">
        <v>4830</v>
      </c>
      <c r="I10" s="2" t="s">
        <v>4831</v>
      </c>
      <c r="J10" s="2" t="s">
        <v>4802</v>
      </c>
      <c r="K10" s="4">
        <v>0</v>
      </c>
      <c r="L10" s="4">
        <v>2</v>
      </c>
      <c r="M10" s="2" t="s">
        <v>4803</v>
      </c>
      <c r="N10" s="2" t="s">
        <v>466</v>
      </c>
      <c r="O10" s="4">
        <v>1912</v>
      </c>
      <c r="P10" s="3" t="b">
        <f>AND(J10 = "candidate", C10 &lt;&gt; "", E10 &lt;&gt; "", H10 &lt;&gt; "")</f>
        <v>0</v>
      </c>
      <c r="Q10" s="3" t="b">
        <f>J10 = "imported"</f>
        <v>1</v>
      </c>
      <c r="R10" s="3" t="e">
        <f>LOOKUP(N10, TreatmentRankings[Study], TreatmentRankings[DistortionType])</f>
        <v>#VALUE!</v>
      </c>
      <c r="S10" s="3" t="e">
        <f>IF(Q10, R10 = I10, "")</f>
        <v>#VALUE!</v>
      </c>
    </row>
    <row r="11">
      <c r="A11" s="2" t="s">
        <v>4832</v>
      </c>
      <c r="B11" s="3" t="str">
        <f>A11</f>
        <v>cand-birth-weight</v>
      </c>
      <c r="C11" s="2" t="s">
        <v>470</v>
      </c>
      <c r="D11" s="2" t="s">
        <v>4833</v>
      </c>
      <c r="E11" s="2" t="s">
        <v>4834</v>
      </c>
      <c r="F11" s="2" t="s">
        <v>473</v>
      </c>
      <c r="G11" s="2" t="s">
        <v>441</v>
      </c>
      <c r="H11" s="2" t="s">
        <v>4835</v>
      </c>
      <c r="I11" s="2" t="s">
        <v>795</v>
      </c>
      <c r="J11" s="2" t="s">
        <v>4802</v>
      </c>
      <c r="K11" s="4">
        <v>0</v>
      </c>
      <c r="L11" s="4">
        <v>2</v>
      </c>
      <c r="M11" s="2" t="s">
        <v>4803</v>
      </c>
      <c r="N11" s="2" t="s">
        <v>470</v>
      </c>
      <c r="O11" s="4">
        <v>1971</v>
      </c>
      <c r="P11" s="3" t="b">
        <f>AND(J11 = "candidate", C11 &lt;&gt; "", E11 &lt;&gt; "", H11 &lt;&gt; "")</f>
        <v>0</v>
      </c>
      <c r="Q11" s="3" t="b">
        <f>J11 = "imported"</f>
        <v>1</v>
      </c>
      <c r="R11" s="3" t="e">
        <f>LOOKUP(N11, TreatmentRankings[Study], TreatmentRankings[DistortionType])</f>
        <v>#VALUE!</v>
      </c>
      <c r="S11" s="3" t="e">
        <f>IF(Q11, R11 = I11, "")</f>
        <v>#VALUE!</v>
      </c>
    </row>
    <row r="12">
      <c r="A12" s="2" t="s">
        <v>4836</v>
      </c>
      <c r="B12" s="3" t="str">
        <f>A12</f>
        <v>cand-melanoma-1991</v>
      </c>
      <c r="C12" s="2" t="s">
        <v>475</v>
      </c>
      <c r="D12" s="2" t="s">
        <v>4837</v>
      </c>
      <c r="E12" s="2" t="s">
        <v>4838</v>
      </c>
      <c r="F12" s="2" t="s">
        <v>478</v>
      </c>
      <c r="G12" s="2" t="s">
        <v>418</v>
      </c>
      <c r="H12" s="2" t="s">
        <v>4839</v>
      </c>
      <c r="I12" s="2" t="s">
        <v>4831</v>
      </c>
      <c r="J12" s="2" t="s">
        <v>4802</v>
      </c>
      <c r="K12" s="4">
        <v>0</v>
      </c>
      <c r="L12" s="4">
        <v>2</v>
      </c>
      <c r="M12" s="2" t="s">
        <v>4803</v>
      </c>
      <c r="N12" s="2" t="s">
        <v>475</v>
      </c>
      <c r="O12" s="4">
        <v>1991</v>
      </c>
      <c r="P12" s="3" t="b">
        <f>AND(J12 = "candidate", C12 &lt;&gt; "", E12 &lt;&gt; "", H12 &lt;&gt; "")</f>
        <v>0</v>
      </c>
      <c r="Q12" s="3" t="b">
        <f>J12 = "imported"</f>
        <v>1</v>
      </c>
      <c r="R12" s="3" t="e">
        <f>LOOKUP(N12, TreatmentRankings[Study], TreatmentRankings[DistortionType])</f>
        <v>#VALUE!</v>
      </c>
      <c r="S12" s="3" t="e">
        <f>IF(Q12, R12 = I12, "")</f>
        <v>#VALUE!</v>
      </c>
    </row>
    <row r="13">
      <c r="A13" s="2" t="s">
        <v>4840</v>
      </c>
      <c r="B13" s="3" t="str">
        <f>A13</f>
        <v>cand-coffee-2020</v>
      </c>
      <c r="C13" s="2" t="s">
        <v>479</v>
      </c>
      <c r="D13" s="2" t="s">
        <v>4841</v>
      </c>
      <c r="E13" s="2" t="s">
        <v>4842</v>
      </c>
      <c r="F13" s="2" t="s">
        <v>482</v>
      </c>
      <c r="G13" s="2" t="s">
        <v>441</v>
      </c>
      <c r="H13" s="2" t="s">
        <v>2350</v>
      </c>
      <c r="I13" s="2" t="s">
        <v>4843</v>
      </c>
      <c r="J13" s="2" t="s">
        <v>4802</v>
      </c>
      <c r="K13" s="4">
        <v>0</v>
      </c>
      <c r="L13" s="4">
        <v>2</v>
      </c>
      <c r="M13" s="2" t="s">
        <v>4803</v>
      </c>
      <c r="N13" s="2" t="s">
        <v>479</v>
      </c>
      <c r="O13" s="4">
        <v>2020</v>
      </c>
      <c r="P13" s="3" t="b">
        <f>AND(J13 = "candidate", C13 &lt;&gt; "", E13 &lt;&gt; "", H13 &lt;&gt; "")</f>
        <v>0</v>
      </c>
      <c r="Q13" s="3" t="b">
        <f>J13 = "imported"</f>
        <v>1</v>
      </c>
      <c r="R13" s="3" t="e">
        <f>LOOKUP(N13, TreatmentRankings[Study], TreatmentRankings[DistortionType])</f>
        <v>#VALUE!</v>
      </c>
      <c r="S13" s="3" t="e">
        <f>IF(Q13, R13 = I13, "")</f>
        <v>#VALUE!</v>
      </c>
    </row>
    <row r="14">
      <c r="A14" s="2" t="s">
        <v>4844</v>
      </c>
      <c r="B14" s="3" t="str">
        <f>A14</f>
        <v>cand-sat-wainer-1986</v>
      </c>
      <c r="C14" s="2" t="s">
        <v>483</v>
      </c>
      <c r="D14" s="2" t="s">
        <v>4845</v>
      </c>
      <c r="E14" s="2" t="s">
        <v>4846</v>
      </c>
      <c r="F14" s="2" t="s">
        <v>486</v>
      </c>
      <c r="G14" s="2" t="s">
        <v>487</v>
      </c>
      <c r="H14" s="2" t="s">
        <v>4847</v>
      </c>
      <c r="I14" s="2" t="s">
        <v>795</v>
      </c>
      <c r="J14" s="2" t="s">
        <v>4802</v>
      </c>
      <c r="K14" s="4">
        <v>0</v>
      </c>
      <c r="L14" s="4">
        <v>2</v>
      </c>
      <c r="M14" s="2" t="s">
        <v>4803</v>
      </c>
      <c r="N14" s="2" t="s">
        <v>483</v>
      </c>
      <c r="O14" s="4">
        <v>1986</v>
      </c>
      <c r="P14" s="3" t="b">
        <f>AND(J14 = "candidate", C14 &lt;&gt; "", E14 &lt;&gt; "", H14 &lt;&gt; "")</f>
        <v>0</v>
      </c>
      <c r="Q14" s="3" t="b">
        <f>J14 = "imported"</f>
        <v>1</v>
      </c>
      <c r="R14" s="3" t="e">
        <f>LOOKUP(N14, TreatmentRankings[Study], TreatmentRankings[DistortionType])</f>
        <v>#VALUE!</v>
      </c>
      <c r="S14" s="3" t="e">
        <f>IF(Q14, R14 = I14, "")</f>
        <v>#VALUE!</v>
      </c>
    </row>
    <row r="15">
      <c r="A15" s="2" t="s">
        <v>4848</v>
      </c>
      <c r="B15" s="3" t="str">
        <f>A15</f>
        <v>cand-rogers-1988</v>
      </c>
      <c r="C15" s="2" t="s">
        <v>488</v>
      </c>
      <c r="D15" s="2" t="s">
        <v>4849</v>
      </c>
      <c r="E15" s="2" t="s">
        <v>4850</v>
      </c>
      <c r="F15" s="2" t="s">
        <v>491</v>
      </c>
      <c r="G15" s="2" t="s">
        <v>452</v>
      </c>
      <c r="H15" s="2" t="s">
        <v>2357</v>
      </c>
      <c r="I15" s="2" t="s">
        <v>792</v>
      </c>
      <c r="J15" s="2" t="s">
        <v>4802</v>
      </c>
      <c r="K15" s="4">
        <v>0</v>
      </c>
      <c r="L15" s="4">
        <v>2</v>
      </c>
      <c r="M15" s="2" t="s">
        <v>4851</v>
      </c>
      <c r="N15" s="2" t="s">
        <v>488</v>
      </c>
      <c r="O15" s="4">
        <v>1988</v>
      </c>
      <c r="P15" s="3" t="b">
        <f>AND(J15 = "candidate", C15 &lt;&gt; "", E15 &lt;&gt; "", H15 &lt;&gt; "")</f>
        <v>0</v>
      </c>
      <c r="Q15" s="3" t="b">
        <f>J15 = "imported"</f>
        <v>1</v>
      </c>
      <c r="R15" s="3" t="e">
        <f>LOOKUP(N15, TreatmentRankings[Study], TreatmentRankings[DistortionType])</f>
        <v>#VALUE!</v>
      </c>
      <c r="S15" s="3" t="e">
        <f>IF(Q15, R15 = I15, "")</f>
        <v>#VALUE!</v>
      </c>
    </row>
    <row r="16">
      <c r="A16" s="2" t="s">
        <v>4852</v>
      </c>
      <c r="B16" s="3" t="str">
        <f>A16</f>
        <v>cand-lucente-1995</v>
      </c>
      <c r="C16" s="2" t="s">
        <v>492</v>
      </c>
      <c r="D16" s="2" t="s">
        <v>4853</v>
      </c>
      <c r="E16" s="2" t="s">
        <v>4854</v>
      </c>
      <c r="F16" s="2" t="s">
        <v>423</v>
      </c>
      <c r="G16" s="2" t="s">
        <v>452</v>
      </c>
      <c r="H16" s="2" t="s">
        <v>2360</v>
      </c>
      <c r="I16" s="2" t="s">
        <v>792</v>
      </c>
      <c r="J16" s="2" t="s">
        <v>4802</v>
      </c>
      <c r="K16" s="4">
        <v>0</v>
      </c>
      <c r="L16" s="4">
        <v>2</v>
      </c>
      <c r="M16" s="2" t="s">
        <v>4855</v>
      </c>
      <c r="N16" s="2" t="s">
        <v>492</v>
      </c>
      <c r="O16" s="4">
        <v>1995</v>
      </c>
      <c r="P16" s="3" t="b">
        <f>AND(J16 = "candidate", C16 &lt;&gt; "", E16 &lt;&gt; "", H16 &lt;&gt; "")</f>
        <v>0</v>
      </c>
      <c r="Q16" s="3" t="b">
        <f>J16 = "imported"</f>
        <v>1</v>
      </c>
      <c r="R16" s="3" t="e">
        <f>LOOKUP(N16, TreatmentRankings[Study], TreatmentRankings[DistortionType])</f>
        <v>#VALUE!</v>
      </c>
      <c r="S16" s="3" t="e">
        <f>IF(Q16, R16 = I16, "")</f>
        <v>#VALUE!</v>
      </c>
    </row>
    <row r="17">
      <c r="A17" s="2" t="s">
        <v>4856</v>
      </c>
      <c r="B17" s="3" t="str">
        <f>A17</f>
        <v>cand-wilson-2000</v>
      </c>
      <c r="C17" s="2" t="s">
        <v>495</v>
      </c>
      <c r="D17" s="2" t="s">
        <v>4857</v>
      </c>
      <c r="E17" s="2" t="s">
        <v>4858</v>
      </c>
      <c r="F17" s="2" t="s">
        <v>423</v>
      </c>
      <c r="G17" s="2" t="s">
        <v>452</v>
      </c>
      <c r="H17" s="2" t="s">
        <v>2363</v>
      </c>
      <c r="I17" s="2" t="s">
        <v>792</v>
      </c>
      <c r="J17" s="2" t="s">
        <v>4802</v>
      </c>
      <c r="K17" s="4">
        <v>0</v>
      </c>
      <c r="L17" s="4">
        <v>2</v>
      </c>
      <c r="M17" s="2" t="s">
        <v>4859</v>
      </c>
      <c r="N17" s="2" t="s">
        <v>495</v>
      </c>
      <c r="O17" s="4">
        <v>2000</v>
      </c>
      <c r="P17" s="3" t="b">
        <f>AND(J17 = "candidate", C17 &lt;&gt; "", E17 &lt;&gt; "", H17 &lt;&gt; "")</f>
        <v>0</v>
      </c>
      <c r="Q17" s="3" t="b">
        <f>J17 = "imported"</f>
        <v>1</v>
      </c>
      <c r="R17" s="3" t="e">
        <f>LOOKUP(N17, TreatmentRankings[Study], TreatmentRankings[DistortionType])</f>
        <v>#VALUE!</v>
      </c>
      <c r="S17" s="3" t="e">
        <f>IF(Q17, R17 = I17, "")</f>
        <v>#VALUE!</v>
      </c>
    </row>
    <row r="18">
      <c r="A18" s="2" t="s">
        <v>4860</v>
      </c>
      <c r="B18" s="3" t="str">
        <f>A18</f>
        <v>cand-clemens-1998</v>
      </c>
      <c r="C18" s="2" t="s">
        <v>498</v>
      </c>
      <c r="D18" s="2" t="s">
        <v>4861</v>
      </c>
      <c r="E18" s="2" t="s">
        <v>4862</v>
      </c>
      <c r="F18" s="2" t="s">
        <v>423</v>
      </c>
      <c r="G18" s="2" t="s">
        <v>452</v>
      </c>
      <c r="H18" s="2" t="s">
        <v>2366</v>
      </c>
      <c r="I18" s="2" t="s">
        <v>792</v>
      </c>
      <c r="J18" s="2" t="s">
        <v>4802</v>
      </c>
      <c r="K18" s="4">
        <v>0</v>
      </c>
      <c r="L18" s="4">
        <v>2</v>
      </c>
      <c r="M18" s="2" t="s">
        <v>4863</v>
      </c>
      <c r="N18" s="2" t="s">
        <v>498</v>
      </c>
      <c r="O18" s="4">
        <v>1998</v>
      </c>
      <c r="P18" s="3" t="b">
        <f>AND(J18 = "candidate", C18 &lt;&gt; "", E18 &lt;&gt; "", H18 &lt;&gt; "")</f>
        <v>0</v>
      </c>
      <c r="Q18" s="3" t="b">
        <f>J18 = "imported"</f>
        <v>1</v>
      </c>
      <c r="R18" s="3" t="e">
        <f>LOOKUP(N18, TreatmentRankings[Study], TreatmentRankings[DistortionType])</f>
        <v>#VALUE!</v>
      </c>
      <c r="S18" s="3" t="e">
        <f>IF(Q18, R18 = I18, "")</f>
        <v>#VALUE!</v>
      </c>
    </row>
    <row r="19">
      <c r="A19" s="2" t="s">
        <v>4864</v>
      </c>
      <c r="B19" s="3" t="str">
        <f>A19</f>
        <v>cand-open-university</v>
      </c>
      <c r="C19" s="2" t="s">
        <v>501</v>
      </c>
      <c r="D19" s="2" t="s">
        <v>4865</v>
      </c>
      <c r="E19" s="2" t="s">
        <v>4866</v>
      </c>
      <c r="F19" s="2" t="s">
        <v>423</v>
      </c>
      <c r="G19" s="2" t="s">
        <v>487</v>
      </c>
      <c r="H19" s="2" t="s">
        <v>2369</v>
      </c>
      <c r="I19" s="2" t="s">
        <v>795</v>
      </c>
      <c r="J19" s="2" t="s">
        <v>4802</v>
      </c>
      <c r="K19" s="4">
        <v>0</v>
      </c>
      <c r="L19" s="4">
        <v>3</v>
      </c>
      <c r="M19" s="2" t="s">
        <v>4867</v>
      </c>
      <c r="N19" s="2" t="s">
        <v>501</v>
      </c>
      <c r="O19" s="4">
        <v>1975</v>
      </c>
      <c r="P19" s="3" t="b">
        <f>AND(J19 = "candidate", C19 &lt;&gt; "", E19 &lt;&gt; "", H19 &lt;&gt; "")</f>
        <v>0</v>
      </c>
      <c r="Q19" s="3" t="b">
        <f>J19 = "imported"</f>
        <v>1</v>
      </c>
      <c r="R19" s="3" t="e">
        <f>LOOKUP(N19, TreatmentRankings[Study], TreatmentRankings[DistortionType])</f>
        <v>#VALUE!</v>
      </c>
      <c r="S19" s="3" t="e">
        <f>IF(Q19, R19 = I19, "")</f>
        <v>#VALUE!</v>
      </c>
    </row>
    <row r="20">
      <c r="A20" s="2" t="s">
        <v>4868</v>
      </c>
      <c r="B20" s="3" t="str">
        <f>A20</f>
        <v>cand-pisa-2015</v>
      </c>
      <c r="C20" s="2" t="s">
        <v>504</v>
      </c>
      <c r="D20" s="2" t="s">
        <v>4869</v>
      </c>
      <c r="E20" s="2" t="s">
        <v>4870</v>
      </c>
      <c r="F20" s="2" t="s">
        <v>507</v>
      </c>
      <c r="G20" s="2" t="s">
        <v>487</v>
      </c>
      <c r="H20" s="2" t="s">
        <v>2372</v>
      </c>
      <c r="I20" s="2" t="s">
        <v>795</v>
      </c>
      <c r="J20" s="2" t="s">
        <v>4802</v>
      </c>
      <c r="K20" s="4">
        <v>0</v>
      </c>
      <c r="L20" s="4">
        <v>4</v>
      </c>
      <c r="M20" s="2" t="s">
        <v>4871</v>
      </c>
      <c r="N20" s="2" t="s">
        <v>504</v>
      </c>
      <c r="O20" s="4">
        <v>2015</v>
      </c>
      <c r="P20" s="3" t="b">
        <f>AND(J20 = "candidate", C20 &lt;&gt; "", E20 &lt;&gt; "", H20 &lt;&gt; "")</f>
        <v>0</v>
      </c>
      <c r="Q20" s="3" t="b">
        <f>J20 = "imported"</f>
        <v>1</v>
      </c>
      <c r="R20" s="3" t="e">
        <f>LOOKUP(N20, TreatmentRankings[Study], TreatmentRankings[DistortionType])</f>
        <v>#VALUE!</v>
      </c>
      <c r="S20" s="3" t="e">
        <f>IF(Q20, R20 = I20, "")</f>
        <v>#VALUE!</v>
      </c>
    </row>
    <row r="21">
      <c r="A21" s="2" t="s">
        <v>4872</v>
      </c>
      <c r="B21" s="3" t="str">
        <f>A21</f>
        <v>cand-wainer-sat-states</v>
      </c>
      <c r="C21" s="2" t="s">
        <v>508</v>
      </c>
      <c r="D21" s="2" t="s">
        <v>4873</v>
      </c>
      <c r="E21" s="2" t="s">
        <v>4874</v>
      </c>
      <c r="F21" s="2" t="s">
        <v>423</v>
      </c>
      <c r="G21" s="2" t="s">
        <v>487</v>
      </c>
      <c r="H21" s="2" t="s">
        <v>2375</v>
      </c>
      <c r="I21" s="2" t="s">
        <v>795</v>
      </c>
      <c r="J21" s="2" t="s">
        <v>4802</v>
      </c>
      <c r="K21" s="4">
        <v>0</v>
      </c>
      <c r="L21" s="4">
        <v>4</v>
      </c>
      <c r="M21" s="2" t="s">
        <v>4875</v>
      </c>
      <c r="N21" s="2" t="s">
        <v>508</v>
      </c>
      <c r="O21" s="4">
        <v>1992</v>
      </c>
      <c r="P21" s="3" t="b">
        <f>AND(J21 = "candidate", C21 &lt;&gt; "", E21 &lt;&gt; "", H21 &lt;&gt; "")</f>
        <v>0</v>
      </c>
      <c r="Q21" s="3" t="b">
        <f>J21 = "imported"</f>
        <v>1</v>
      </c>
      <c r="R21" s="3" t="e">
        <f>LOOKUP(N21, TreatmentRankings[Study], TreatmentRankings[DistortionType])</f>
        <v>#VALUE!</v>
      </c>
      <c r="S21" s="3" t="e">
        <f>IF(Q21, R21 = I21, "")</f>
        <v>#VALUE!</v>
      </c>
    </row>
    <row r="22">
      <c r="A22" s="2" t="s">
        <v>4876</v>
      </c>
      <c r="B22" s="3" t="str">
        <f>A22</f>
        <v>cand-folic-acid-1991</v>
      </c>
      <c r="C22" s="2" t="s">
        <v>511</v>
      </c>
      <c r="D22" s="2" t="s">
        <v>4877</v>
      </c>
      <c r="E22" s="2" t="s">
        <v>4878</v>
      </c>
      <c r="F22" s="2" t="s">
        <v>514</v>
      </c>
      <c r="G22" s="2" t="s">
        <v>418</v>
      </c>
      <c r="H22" s="2" t="s">
        <v>2378</v>
      </c>
      <c r="I22" s="2" t="s">
        <v>792</v>
      </c>
      <c r="J22" s="2" t="s">
        <v>4802</v>
      </c>
      <c r="K22" s="4">
        <v>0</v>
      </c>
      <c r="L22" s="4">
        <v>2</v>
      </c>
      <c r="M22" s="2" t="s">
        <v>4879</v>
      </c>
      <c r="N22" s="2" t="s">
        <v>511</v>
      </c>
      <c r="O22" s="4">
        <v>1992</v>
      </c>
      <c r="P22" s="3" t="b">
        <f>AND(J22 = "candidate", C22 &lt;&gt; "", E22 &lt;&gt; "", H22 &lt;&gt; "")</f>
        <v>0</v>
      </c>
      <c r="Q22" s="3" t="b">
        <f>J22 = "imported"</f>
        <v>1</v>
      </c>
      <c r="R22" s="3" t="e">
        <f>LOOKUP(N22, TreatmentRankings[Study], TreatmentRankings[DistortionType])</f>
        <v>#VALUE!</v>
      </c>
      <c r="S22" s="3" t="e">
        <f>IF(Q22, R22 = I22, "")</f>
        <v>#VALUE!</v>
      </c>
    </row>
    <row r="23">
      <c r="A23" s="2" t="s">
        <v>4880</v>
      </c>
      <c r="B23" s="3" t="str">
        <f>A23</f>
        <v>cand-steroid-asthma</v>
      </c>
      <c r="C23" s="2" t="s">
        <v>515</v>
      </c>
      <c r="D23" s="2" t="s">
        <v>4881</v>
      </c>
      <c r="E23" s="2" t="s">
        <v>4882</v>
      </c>
      <c r="F23" s="2" t="s">
        <v>423</v>
      </c>
      <c r="G23" s="2" t="s">
        <v>418</v>
      </c>
      <c r="H23" s="2" t="s">
        <v>2381</v>
      </c>
      <c r="I23" s="2" t="s">
        <v>792</v>
      </c>
      <c r="J23" s="2" t="s">
        <v>4802</v>
      </c>
      <c r="K23" s="4">
        <v>0</v>
      </c>
      <c r="L23" s="4">
        <v>2</v>
      </c>
      <c r="M23" s="2" t="s">
        <v>4883</v>
      </c>
      <c r="N23" s="2" t="s">
        <v>515</v>
      </c>
      <c r="O23" s="4">
        <v>1998</v>
      </c>
      <c r="P23" s="3" t="b">
        <f>AND(J23 = "candidate", C23 &lt;&gt; "", E23 &lt;&gt; "", H23 &lt;&gt; "")</f>
        <v>0</v>
      </c>
      <c r="Q23" s="3" t="b">
        <f>J23 = "imported"</f>
        <v>1</v>
      </c>
      <c r="R23" s="3" t="e">
        <f>LOOKUP(N23, TreatmentRankings[Study], TreatmentRankings[DistortionType])</f>
        <v>#VALUE!</v>
      </c>
      <c r="S23" s="3" t="e">
        <f>IF(Q23, R23 = I23, "")</f>
        <v>#VALUE!</v>
      </c>
    </row>
    <row r="24">
      <c r="A24" s="2" t="s">
        <v>4884</v>
      </c>
      <c r="B24" s="3" t="str">
        <f>A24</f>
        <v>cand-kidney-dialysis</v>
      </c>
      <c r="C24" s="2" t="s">
        <v>518</v>
      </c>
      <c r="D24" s="2" t="s">
        <v>4885</v>
      </c>
      <c r="E24" s="2" t="s">
        <v>4886</v>
      </c>
      <c r="F24" s="2" t="s">
        <v>423</v>
      </c>
      <c r="G24" s="2" t="s">
        <v>418</v>
      </c>
      <c r="H24" s="2" t="s">
        <v>2384</v>
      </c>
      <c r="I24" s="2" t="s">
        <v>4826</v>
      </c>
      <c r="J24" s="2" t="s">
        <v>4802</v>
      </c>
      <c r="K24" s="4">
        <v>0</v>
      </c>
      <c r="L24" s="4">
        <v>2</v>
      </c>
      <c r="M24" s="2" t="s">
        <v>4887</v>
      </c>
      <c r="N24" s="2" t="s">
        <v>518</v>
      </c>
      <c r="O24" s="4">
        <v>1990</v>
      </c>
      <c r="P24" s="3" t="b">
        <f>AND(J24 = "candidate", C24 &lt;&gt; "", E24 &lt;&gt; "", H24 &lt;&gt; "")</f>
        <v>0</v>
      </c>
      <c r="Q24" s="3" t="b">
        <f>J24 = "imported"</f>
        <v>1</v>
      </c>
      <c r="R24" s="3" t="e">
        <f>LOOKUP(N24, TreatmentRankings[Study], TreatmentRankings[DistortionType])</f>
        <v>#VALUE!</v>
      </c>
      <c r="S24" s="3" t="e">
        <f>IF(Q24, R24 = I24, "")</f>
        <v>#VALUE!</v>
      </c>
    </row>
    <row r="25">
      <c r="A25" s="2" t="s">
        <v>4888</v>
      </c>
      <c r="B25" s="3" t="str">
        <f>A25</f>
        <v>cand-warfarin-age</v>
      </c>
      <c r="C25" s="2" t="s">
        <v>521</v>
      </c>
      <c r="D25" s="2" t="s">
        <v>4889</v>
      </c>
      <c r="E25" s="2" t="s">
        <v>4890</v>
      </c>
      <c r="F25" s="2" t="s">
        <v>423</v>
      </c>
      <c r="G25" s="2" t="s">
        <v>418</v>
      </c>
      <c r="H25" s="2" t="s">
        <v>2334</v>
      </c>
      <c r="I25" s="2" t="s">
        <v>795</v>
      </c>
      <c r="J25" s="2" t="s">
        <v>4802</v>
      </c>
      <c r="K25" s="4">
        <v>0</v>
      </c>
      <c r="L25" s="4">
        <v>2</v>
      </c>
      <c r="M25" s="2" t="s">
        <v>4891</v>
      </c>
      <c r="N25" s="2" t="s">
        <v>521</v>
      </c>
      <c r="O25" s="4">
        <v>2005</v>
      </c>
      <c r="P25" s="3" t="b">
        <f>AND(J25 = "candidate", C25 &lt;&gt; "", E25 &lt;&gt; "", H25 &lt;&gt; "")</f>
        <v>0</v>
      </c>
      <c r="Q25" s="3" t="b">
        <f>J25 = "imported"</f>
        <v>1</v>
      </c>
      <c r="R25" s="3" t="e">
        <f>LOOKUP(N25, TreatmentRankings[Study], TreatmentRankings[DistortionType])</f>
        <v>#VALUE!</v>
      </c>
      <c r="S25" s="3" t="e">
        <f>IF(Q25, R25 = I25, "")</f>
        <v>#VALUE!</v>
      </c>
    </row>
    <row r="26">
      <c r="A26" s="2" t="s">
        <v>4892</v>
      </c>
      <c r="B26" s="3" t="str">
        <f>A26</f>
        <v>cand-diabetes-metformin</v>
      </c>
      <c r="C26" s="2" t="s">
        <v>524</v>
      </c>
      <c r="D26" s="2" t="s">
        <v>4893</v>
      </c>
      <c r="E26" s="2" t="s">
        <v>4894</v>
      </c>
      <c r="F26" s="2" t="s">
        <v>423</v>
      </c>
      <c r="G26" s="2" t="s">
        <v>418</v>
      </c>
      <c r="H26" s="2" t="s">
        <v>2389</v>
      </c>
      <c r="I26" s="2" t="s">
        <v>792</v>
      </c>
      <c r="J26" s="2" t="s">
        <v>4802</v>
      </c>
      <c r="K26" s="4">
        <v>0</v>
      </c>
      <c r="L26" s="4">
        <v>2</v>
      </c>
      <c r="M26" s="2" t="s">
        <v>4895</v>
      </c>
      <c r="N26" s="2" t="s">
        <v>524</v>
      </c>
      <c r="O26" s="4">
        <v>2010</v>
      </c>
      <c r="P26" s="3" t="b">
        <f>AND(J26 = "candidate", C26 &lt;&gt; "", E26 &lt;&gt; "", H26 &lt;&gt; "")</f>
        <v>0</v>
      </c>
      <c r="Q26" s="3" t="b">
        <f>J26 = "imported"</f>
        <v>1</v>
      </c>
      <c r="R26" s="3" t="e">
        <f>LOOKUP(N26, TreatmentRankings[Study], TreatmentRankings[DistortionType])</f>
        <v>#VALUE!</v>
      </c>
      <c r="S26" s="3" t="e">
        <f>IF(Q26, R26 = I26, "")</f>
        <v>#VALUE!</v>
      </c>
    </row>
    <row r="27">
      <c r="A27" s="2" t="s">
        <v>4896</v>
      </c>
      <c r="B27" s="3" t="str">
        <f>A27</f>
        <v>cand-oncology-stage</v>
      </c>
      <c r="C27" s="2" t="s">
        <v>527</v>
      </c>
      <c r="D27" s="2" t="s">
        <v>4897</v>
      </c>
      <c r="E27" s="2" t="s">
        <v>4898</v>
      </c>
      <c r="F27" s="2" t="s">
        <v>423</v>
      </c>
      <c r="G27" s="2" t="s">
        <v>418</v>
      </c>
      <c r="H27" s="2" t="s">
        <v>2392</v>
      </c>
      <c r="I27" s="2" t="s">
        <v>792</v>
      </c>
      <c r="J27" s="2" t="s">
        <v>4802</v>
      </c>
      <c r="K27" s="4">
        <v>0</v>
      </c>
      <c r="L27" s="4">
        <v>2</v>
      </c>
      <c r="M27" s="2" t="s">
        <v>4899</v>
      </c>
      <c r="N27" s="2" t="s">
        <v>527</v>
      </c>
      <c r="O27" s="4">
        <v>2008</v>
      </c>
      <c r="P27" s="3" t="b">
        <f>AND(J27 = "candidate", C27 &lt;&gt; "", E27 &lt;&gt; "", H27 &lt;&gt; "")</f>
        <v>0</v>
      </c>
      <c r="Q27" s="3" t="b">
        <f>J27 = "imported"</f>
        <v>1</v>
      </c>
      <c r="R27" s="3" t="e">
        <f>LOOKUP(N27, TreatmentRankings[Study], TreatmentRankings[DistortionType])</f>
        <v>#VALUE!</v>
      </c>
      <c r="S27" s="3" t="e">
        <f>IF(Q27, R27 = I27, "")</f>
        <v>#VALUE!</v>
      </c>
    </row>
    <row r="28">
      <c r="A28" s="2" t="s">
        <v>4900</v>
      </c>
      <c r="B28" s="3" t="str">
        <f>A28</f>
        <v>cand-exercise-chol</v>
      </c>
      <c r="C28" s="2" t="s">
        <v>530</v>
      </c>
      <c r="D28" s="2" t="s">
        <v>4901</v>
      </c>
      <c r="E28" s="2" t="s">
        <v>4902</v>
      </c>
      <c r="F28" s="2" t="s">
        <v>423</v>
      </c>
      <c r="G28" s="2" t="s">
        <v>441</v>
      </c>
      <c r="H28" s="2" t="s">
        <v>2334</v>
      </c>
      <c r="I28" s="2" t="s">
        <v>792</v>
      </c>
      <c r="J28" s="2" t="s">
        <v>4802</v>
      </c>
      <c r="K28" s="4">
        <v>0</v>
      </c>
      <c r="L28" s="4">
        <v>2</v>
      </c>
      <c r="M28" s="2" t="s">
        <v>4903</v>
      </c>
      <c r="N28" s="2" t="s">
        <v>530</v>
      </c>
      <c r="O28" s="4">
        <v>1995</v>
      </c>
      <c r="P28" s="3" t="b">
        <f>AND(J28 = "candidate", C28 &lt;&gt; "", E28 &lt;&gt; "", H28 &lt;&gt; "")</f>
        <v>0</v>
      </c>
      <c r="Q28" s="3" t="b">
        <f>J28 = "imported"</f>
        <v>1</v>
      </c>
      <c r="R28" s="3" t="e">
        <f>LOOKUP(N28, TreatmentRankings[Study], TreatmentRankings[DistortionType])</f>
        <v>#VALUE!</v>
      </c>
      <c r="S28" s="3" t="e">
        <f>IF(Q28, R28 = I28, "")</f>
        <v>#VALUE!</v>
      </c>
    </row>
    <row r="29">
      <c r="A29" s="2" t="s">
        <v>4904</v>
      </c>
      <c r="B29" s="3" t="str">
        <f>A29</f>
        <v>cand-red-meat-bmi</v>
      </c>
      <c r="C29" s="2" t="s">
        <v>533</v>
      </c>
      <c r="D29" s="2" t="s">
        <v>4905</v>
      </c>
      <c r="E29" s="2" t="s">
        <v>4906</v>
      </c>
      <c r="F29" s="2" t="s">
        <v>423</v>
      </c>
      <c r="G29" s="2" t="s">
        <v>441</v>
      </c>
      <c r="H29" s="2" t="s">
        <v>2389</v>
      </c>
      <c r="I29" s="2" t="s">
        <v>4831</v>
      </c>
      <c r="J29" s="2" t="s">
        <v>4802</v>
      </c>
      <c r="K29" s="4">
        <v>0</v>
      </c>
      <c r="L29" s="4">
        <v>2</v>
      </c>
      <c r="M29" s="2" t="s">
        <v>4907</v>
      </c>
      <c r="N29" s="2" t="s">
        <v>533</v>
      </c>
      <c r="O29" s="4">
        <v>2003</v>
      </c>
      <c r="P29" s="3" t="b">
        <f>AND(J29 = "candidate", C29 &lt;&gt; "", E29 &lt;&gt; "", H29 &lt;&gt; "")</f>
        <v>0</v>
      </c>
      <c r="Q29" s="3" t="b">
        <f>J29 = "imported"</f>
        <v>1</v>
      </c>
      <c r="R29" s="3" t="e">
        <f>LOOKUP(N29, TreatmentRankings[Study], TreatmentRankings[DistortionType])</f>
        <v>#VALUE!</v>
      </c>
      <c r="S29" s="3" t="e">
        <f>IF(Q29, R29 = I29, "")</f>
        <v>#VALUE!</v>
      </c>
    </row>
    <row r="30">
      <c r="A30" s="2" t="s">
        <v>4908</v>
      </c>
      <c r="B30" s="3" t="str">
        <f>A30</f>
        <v>cand-folic-fortification</v>
      </c>
      <c r="C30" s="2" t="s">
        <v>536</v>
      </c>
      <c r="D30" s="2" t="s">
        <v>4909</v>
      </c>
      <c r="E30" s="2" t="s">
        <v>4910</v>
      </c>
      <c r="F30" s="2" t="s">
        <v>423</v>
      </c>
      <c r="G30" s="2" t="s">
        <v>441</v>
      </c>
      <c r="H30" s="2" t="s">
        <v>2375</v>
      </c>
      <c r="I30" s="2" t="s">
        <v>792</v>
      </c>
      <c r="J30" s="2" t="s">
        <v>4802</v>
      </c>
      <c r="K30" s="4">
        <v>0</v>
      </c>
      <c r="L30" s="4">
        <v>3</v>
      </c>
      <c r="M30" s="2" t="s">
        <v>4911</v>
      </c>
      <c r="N30" s="2" t="s">
        <v>536</v>
      </c>
      <c r="O30" s="4">
        <v>2000</v>
      </c>
      <c r="P30" s="3" t="b">
        <f>AND(J30 = "candidate", C30 &lt;&gt; "", E30 &lt;&gt; "", H30 &lt;&gt; "")</f>
        <v>0</v>
      </c>
      <c r="Q30" s="3" t="b">
        <f>J30 = "imported"</f>
        <v>1</v>
      </c>
      <c r="R30" s="3" t="e">
        <f>LOOKUP(N30, TreatmentRankings[Study], TreatmentRankings[DistortionType])</f>
        <v>#VALUE!</v>
      </c>
      <c r="S30" s="3" t="e">
        <f>IF(Q30, R30 = I30, "")</f>
        <v>#VALUE!</v>
      </c>
    </row>
    <row r="31">
      <c r="A31" s="2" t="s">
        <v>4912</v>
      </c>
      <c r="B31" s="3" t="str">
        <f>A31</f>
        <v>cand-nc-death-penalty</v>
      </c>
      <c r="C31" s="2" t="s">
        <v>539</v>
      </c>
      <c r="D31" s="2" t="s">
        <v>4913</v>
      </c>
      <c r="E31" s="2" t="s">
        <v>4914</v>
      </c>
      <c r="F31" s="2" t="s">
        <v>423</v>
      </c>
      <c r="G31" s="2" t="s">
        <v>446</v>
      </c>
      <c r="H31" s="2" t="s">
        <v>2325</v>
      </c>
      <c r="I31" s="2" t="s">
        <v>792</v>
      </c>
      <c r="J31" s="2" t="s">
        <v>4802</v>
      </c>
      <c r="K31" s="4">
        <v>0</v>
      </c>
      <c r="L31" s="4">
        <v>2</v>
      </c>
      <c r="M31" s="2" t="s">
        <v>4915</v>
      </c>
      <c r="N31" s="2" t="s">
        <v>539</v>
      </c>
      <c r="O31" s="4">
        <v>1990</v>
      </c>
      <c r="P31" s="3" t="b">
        <f>AND(J31 = "candidate", C31 &lt;&gt; "", E31 &lt;&gt; "", H31 &lt;&gt; "")</f>
        <v>0</v>
      </c>
      <c r="Q31" s="3" t="b">
        <f>J31 = "imported"</f>
        <v>1</v>
      </c>
      <c r="R31" s="3" t="e">
        <f>LOOKUP(N31, TreatmentRankings[Study], TreatmentRankings[DistortionType])</f>
        <v>#VALUE!</v>
      </c>
      <c r="S31" s="3" t="e">
        <f>IF(Q31, R31 = I31, "")</f>
        <v>#VALUE!</v>
      </c>
    </row>
    <row r="32">
      <c r="A32" s="2" t="s">
        <v>4916</v>
      </c>
      <c r="B32" s="3" t="str">
        <f>A32</f>
        <v>cand-housing-audit</v>
      </c>
      <c r="C32" s="2" t="s">
        <v>542</v>
      </c>
      <c r="D32" s="2" t="s">
        <v>4917</v>
      </c>
      <c r="E32" s="2" t="s">
        <v>4918</v>
      </c>
      <c r="F32" s="2" t="s">
        <v>545</v>
      </c>
      <c r="G32" s="2" t="s">
        <v>546</v>
      </c>
      <c r="H32" s="2" t="s">
        <v>2403</v>
      </c>
      <c r="I32" s="2" t="s">
        <v>795</v>
      </c>
      <c r="J32" s="2" t="s">
        <v>4802</v>
      </c>
      <c r="K32" s="4">
        <v>0</v>
      </c>
      <c r="L32" s="4">
        <v>2</v>
      </c>
      <c r="M32" s="2" t="s">
        <v>4919</v>
      </c>
      <c r="N32" s="2" t="s">
        <v>542</v>
      </c>
      <c r="O32" s="4">
        <v>2012</v>
      </c>
      <c r="P32" s="3" t="b">
        <f>AND(J32 = "candidate", C32 &lt;&gt; "", E32 &lt;&gt; "", H32 &lt;&gt; "")</f>
        <v>0</v>
      </c>
      <c r="Q32" s="3" t="b">
        <f>J32 = "imported"</f>
        <v>1</v>
      </c>
      <c r="R32" s="3" t="e">
        <f>LOOKUP(N32, TreatmentRankings[Study], TreatmentRankings[DistortionType])</f>
        <v>#VALUE!</v>
      </c>
      <c r="S32" s="3" t="e">
        <f>IF(Q32, R32 = I32, "")</f>
        <v>#VALUE!</v>
      </c>
    </row>
    <row r="33">
      <c r="A33" s="2" t="s">
        <v>4920</v>
      </c>
      <c r="B33" s="3" t="str">
        <f>A33</f>
        <v>cand-gender-pay</v>
      </c>
      <c r="C33" s="2" t="s">
        <v>547</v>
      </c>
      <c r="D33" s="2" t="s">
        <v>4921</v>
      </c>
      <c r="E33" s="2" t="s">
        <v>4922</v>
      </c>
      <c r="F33" s="2" t="s">
        <v>550</v>
      </c>
      <c r="G33" s="2" t="s">
        <v>546</v>
      </c>
      <c r="H33" s="2" t="s">
        <v>2406</v>
      </c>
      <c r="I33" s="2" t="s">
        <v>795</v>
      </c>
      <c r="J33" s="2" t="s">
        <v>4802</v>
      </c>
      <c r="K33" s="4">
        <v>0</v>
      </c>
      <c r="L33" s="4">
        <v>3</v>
      </c>
      <c r="M33" s="2" t="s">
        <v>4923</v>
      </c>
      <c r="N33" s="2" t="s">
        <v>547</v>
      </c>
      <c r="O33" s="4">
        <v>2018</v>
      </c>
      <c r="P33" s="3" t="b">
        <f>AND(J33 = "candidate", C33 &lt;&gt; "", E33 &lt;&gt; "", H33 &lt;&gt; "")</f>
        <v>0</v>
      </c>
      <c r="Q33" s="3" t="b">
        <f>J33 = "imported"</f>
        <v>1</v>
      </c>
      <c r="R33" s="3" t="e">
        <f>LOOKUP(N33, TreatmentRankings[Study], TreatmentRankings[DistortionType])</f>
        <v>#VALUE!</v>
      </c>
      <c r="S33" s="3" t="e">
        <f>IF(Q33, R33 = I33, "")</f>
        <v>#VALUE!</v>
      </c>
    </row>
    <row r="34">
      <c r="A34" s="2" t="s">
        <v>4924</v>
      </c>
      <c r="B34" s="3" t="str">
        <f>A34</f>
        <v>cand-income-education</v>
      </c>
      <c r="C34" s="2" t="s">
        <v>551</v>
      </c>
      <c r="D34" s="2" t="s">
        <v>4925</v>
      </c>
      <c r="E34" s="2" t="s">
        <v>4926</v>
      </c>
      <c r="F34" s="2" t="s">
        <v>554</v>
      </c>
      <c r="G34" s="2" t="s">
        <v>546</v>
      </c>
      <c r="H34" s="2" t="s">
        <v>2409</v>
      </c>
      <c r="I34" s="2" t="s">
        <v>4831</v>
      </c>
      <c r="J34" s="2" t="s">
        <v>4802</v>
      </c>
      <c r="K34" s="4">
        <v>0</v>
      </c>
      <c r="L34" s="4">
        <v>4</v>
      </c>
      <c r="M34" s="2" t="s">
        <v>4927</v>
      </c>
      <c r="N34" s="2" t="s">
        <v>551</v>
      </c>
      <c r="O34" s="4">
        <v>2019</v>
      </c>
      <c r="P34" s="3" t="b">
        <f>AND(J34 = "candidate", C34 &lt;&gt; "", E34 &lt;&gt; "", H34 &lt;&gt; "")</f>
        <v>0</v>
      </c>
      <c r="Q34" s="3" t="b">
        <f>J34 = "imported"</f>
        <v>1</v>
      </c>
      <c r="R34" s="3" t="e">
        <f>LOOKUP(N34, TreatmentRankings[Study], TreatmentRankings[DistortionType])</f>
        <v>#VALUE!</v>
      </c>
      <c r="S34" s="3" t="e">
        <f>IF(Q34, R34 = I34, "")</f>
        <v>#VALUE!</v>
      </c>
    </row>
    <row r="35">
      <c r="A35" s="2" t="s">
        <v>4928</v>
      </c>
      <c r="B35" s="3" t="str">
        <f>A35</f>
        <v>cand-reef-fish</v>
      </c>
      <c r="C35" s="2" t="s">
        <v>555</v>
      </c>
      <c r="D35" s="2" t="s">
        <v>4929</v>
      </c>
      <c r="E35" s="2" t="s">
        <v>4930</v>
      </c>
      <c r="F35" s="2" t="s">
        <v>423</v>
      </c>
      <c r="G35" s="2" t="s">
        <v>432</v>
      </c>
      <c r="H35" s="2" t="s">
        <v>2412</v>
      </c>
      <c r="I35" s="2" t="s">
        <v>792</v>
      </c>
      <c r="J35" s="2" t="s">
        <v>4802</v>
      </c>
      <c r="K35" s="4">
        <v>0</v>
      </c>
      <c r="L35" s="4">
        <v>2</v>
      </c>
      <c r="M35" s="2" t="s">
        <v>4931</v>
      </c>
      <c r="N35" s="2" t="s">
        <v>555</v>
      </c>
      <c r="O35" s="4">
        <v>1994</v>
      </c>
      <c r="P35" s="3" t="b">
        <f>AND(J35 = "candidate", C35 &lt;&gt; "", E35 &lt;&gt; "", H35 &lt;&gt; "")</f>
        <v>0</v>
      </c>
      <c r="Q35" s="3" t="b">
        <f>J35 = "imported"</f>
        <v>1</v>
      </c>
      <c r="R35" s="3" t="e">
        <f>LOOKUP(N35, TreatmentRankings[Study], TreatmentRankings[DistortionType])</f>
        <v>#VALUE!</v>
      </c>
      <c r="S35" s="3" t="e">
        <f>IF(Q35, R35 = I35, "")</f>
        <v>#VALUE!</v>
      </c>
    </row>
    <row r="36">
      <c r="A36" s="2" t="s">
        <v>4932</v>
      </c>
      <c r="B36" s="3" t="str">
        <f>A36</f>
        <v>cand-uc-irvine</v>
      </c>
      <c r="C36" s="2" t="s">
        <v>558</v>
      </c>
      <c r="D36" s="2" t="s">
        <v>4933</v>
      </c>
      <c r="E36" s="2" t="s">
        <v>4934</v>
      </c>
      <c r="F36" s="2" t="s">
        <v>423</v>
      </c>
      <c r="G36" s="2" t="s">
        <v>432</v>
      </c>
      <c r="H36" s="2" t="s">
        <v>2308</v>
      </c>
      <c r="I36" s="2" t="s">
        <v>795</v>
      </c>
      <c r="J36" s="2" t="s">
        <v>4802</v>
      </c>
      <c r="K36" s="4">
        <v>0</v>
      </c>
      <c r="L36" s="4">
        <v>4</v>
      </c>
      <c r="M36" s="2" t="s">
        <v>4935</v>
      </c>
      <c r="N36" s="2" t="s">
        <v>558</v>
      </c>
      <c r="O36" s="4">
        <v>1985</v>
      </c>
      <c r="P36" s="3" t="b">
        <f>AND(J36 = "candidate", C36 &lt;&gt; "", E36 &lt;&gt; "", H36 &lt;&gt; "")</f>
        <v>0</v>
      </c>
      <c r="Q36" s="3" t="b">
        <f>J36 = "imported"</f>
        <v>1</v>
      </c>
      <c r="R36" s="3" t="e">
        <f>LOOKUP(N36, TreatmentRankings[Study], TreatmentRankings[DistortionType])</f>
        <v>#VALUE!</v>
      </c>
      <c r="S36" s="3" t="e">
        <f>IF(Q36, R36 = I36, "")</f>
        <v>#VALUE!</v>
      </c>
    </row>
    <row r="37">
      <c r="A37" s="2" t="s">
        <v>4936</v>
      </c>
      <c r="B37" s="3" t="str">
        <f>A37</f>
        <v>cand-cesarean-bw</v>
      </c>
      <c r="C37" s="2" t="s">
        <v>561</v>
      </c>
      <c r="D37" s="2" t="s">
        <v>4937</v>
      </c>
      <c r="E37" s="2" t="s">
        <v>4938</v>
      </c>
      <c r="F37" s="2" t="s">
        <v>564</v>
      </c>
      <c r="G37" s="2" t="s">
        <v>441</v>
      </c>
      <c r="H37" s="2" t="s">
        <v>2417</v>
      </c>
      <c r="I37" s="2" t="s">
        <v>4826</v>
      </c>
      <c r="J37" s="2" t="s">
        <v>4802</v>
      </c>
      <c r="K37" s="4">
        <v>0</v>
      </c>
      <c r="L37" s="4">
        <v>2</v>
      </c>
      <c r="M37" s="2" t="s">
        <v>4939</v>
      </c>
      <c r="N37" s="2" t="s">
        <v>561</v>
      </c>
      <c r="O37" s="4">
        <v>2006</v>
      </c>
      <c r="P37" s="3" t="b">
        <f>AND(J37 = "candidate", C37 &lt;&gt; "", E37 &lt;&gt; "", H37 &lt;&gt; "")</f>
        <v>0</v>
      </c>
      <c r="Q37" s="3" t="b">
        <f>J37 = "imported"</f>
        <v>1</v>
      </c>
      <c r="R37" s="3" t="e">
        <f>LOOKUP(N37, TreatmentRankings[Study], TreatmentRankings[DistortionType])</f>
        <v>#VALUE!</v>
      </c>
      <c r="S37" s="3" t="e">
        <f>IF(Q37, R37 = I37, "")</f>
        <v>#VALUE!</v>
      </c>
    </row>
    <row r="38">
      <c r="A38" s="2" t="s">
        <v>4940</v>
      </c>
      <c r="B38" s="3" t="str">
        <f>A38</f>
        <v>cand-schizophrenia</v>
      </c>
      <c r="C38" s="2" t="s">
        <v>565</v>
      </c>
      <c r="D38" s="2" t="s">
        <v>4941</v>
      </c>
      <c r="E38" s="2" t="s">
        <v>4942</v>
      </c>
      <c r="F38" s="2" t="s">
        <v>423</v>
      </c>
      <c r="G38" s="2" t="s">
        <v>418</v>
      </c>
      <c r="H38" s="2" t="s">
        <v>2420</v>
      </c>
      <c r="I38" s="2" t="s">
        <v>792</v>
      </c>
      <c r="J38" s="2" t="s">
        <v>4802</v>
      </c>
      <c r="K38" s="4">
        <v>0</v>
      </c>
      <c r="L38" s="4">
        <v>2</v>
      </c>
      <c r="M38" s="2" t="s">
        <v>4943</v>
      </c>
      <c r="N38" s="2" t="s">
        <v>565</v>
      </c>
      <c r="O38" s="4">
        <v>2004</v>
      </c>
      <c r="P38" s="3" t="b">
        <f>AND(J38 = "candidate", C38 &lt;&gt; "", E38 &lt;&gt; "", H38 &lt;&gt; "")</f>
        <v>0</v>
      </c>
      <c r="Q38" s="3" t="b">
        <f>J38 = "imported"</f>
        <v>1</v>
      </c>
      <c r="R38" s="3" t="e">
        <f>LOOKUP(N38, TreatmentRankings[Study], TreatmentRankings[DistortionType])</f>
        <v>#VALUE!</v>
      </c>
      <c r="S38" s="3" t="e">
        <f>IF(Q38, R38 = I38, "")</f>
        <v>#VALUE!</v>
      </c>
    </row>
    <row r="39">
      <c r="A39" s="2" t="s">
        <v>4944</v>
      </c>
      <c r="B39" s="3" t="str">
        <f>A39</f>
        <v>cand-penn-kidney-dup</v>
      </c>
      <c r="C39" s="2" t="s">
        <v>4945</v>
      </c>
      <c r="D39" s="2" t="s">
        <v>4946</v>
      </c>
      <c r="E39" s="2" t="s">
        <v>4947</v>
      </c>
      <c r="F39" s="2" t="s">
        <v>423</v>
      </c>
      <c r="G39" s="2" t="s">
        <v>418</v>
      </c>
      <c r="H39" s="2" t="s">
        <v>2304</v>
      </c>
      <c r="I39" s="2" t="s">
        <v>792</v>
      </c>
      <c r="J39" s="2" t="s">
        <v>4948</v>
      </c>
      <c r="K39" s="4">
        <v>5</v>
      </c>
      <c r="L39" s="4">
        <v>2</v>
      </c>
      <c r="M39" s="2" t="s">
        <v>4949</v>
      </c>
      <c r="N39" s="2" t="s">
        <v>423</v>
      </c>
      <c r="O39" s="4"/>
      <c r="P39" s="3" t="b">
        <f>AND(J39 = "candidate", C39 &lt;&gt; "", E39 &lt;&gt; "", H39 &lt;&gt; "")</f>
        <v>0</v>
      </c>
      <c r="Q39" s="3" t="b">
        <f>J39 = "imported"</f>
        <v>0</v>
      </c>
      <c r="R39" s="3" t="e">
        <f>LOOKUP(N39, TreatmentRankings[Study], TreatmentRankings[DistortionType])</f>
        <v>#VALUE!</v>
      </c>
      <c r="S39" s="3" t="str">
        <f>IF(Q39, R39 = I39, "")</f>
      </c>
    </row>
    <row r="40">
      <c r="A40" s="2" t="s">
        <v>4950</v>
      </c>
      <c r="B40" s="3" t="str">
        <f>A40</f>
        <v>cand-yerushalmy-dup</v>
      </c>
      <c r="C40" s="2" t="s">
        <v>4951</v>
      </c>
      <c r="D40" s="2" t="s">
        <v>4952</v>
      </c>
      <c r="E40" s="2" t="s">
        <v>4953</v>
      </c>
      <c r="F40" s="2" t="s">
        <v>423</v>
      </c>
      <c r="G40" s="2" t="s">
        <v>441</v>
      </c>
      <c r="H40" s="2" t="s">
        <v>2417</v>
      </c>
      <c r="I40" s="2" t="s">
        <v>795</v>
      </c>
      <c r="J40" s="2" t="s">
        <v>4948</v>
      </c>
      <c r="K40" s="4">
        <v>5</v>
      </c>
      <c r="L40" s="4">
        <v>2</v>
      </c>
      <c r="M40" s="2" t="s">
        <v>4954</v>
      </c>
      <c r="N40" s="2" t="s">
        <v>423</v>
      </c>
      <c r="O40" s="4"/>
      <c r="P40" s="3" t="b">
        <f>AND(J40 = "candidate", C40 &lt;&gt; "", E40 &lt;&gt; "", H40 &lt;&gt; "")</f>
        <v>0</v>
      </c>
      <c r="Q40" s="3" t="b">
        <f>J40 = "imported"</f>
        <v>0</v>
      </c>
      <c r="R40" s="3" t="e">
        <f>LOOKUP(N40, TreatmentRankings[Study], TreatmentRankings[DistortionType])</f>
        <v>#VALUE!</v>
      </c>
      <c r="S40" s="3" t="str">
        <f>IF(Q40, R40 = I40, "")</f>
      </c>
    </row>
    <row r="41">
      <c r="A41" s="2" t="s">
        <v>4955</v>
      </c>
      <c r="B41" s="3" t="str">
        <f>A41</f>
        <v>cand-berkeley-six-dept</v>
      </c>
      <c r="C41" s="2" t="s">
        <v>568</v>
      </c>
      <c r="D41" s="2" t="s">
        <v>4956</v>
      </c>
      <c r="E41" s="2" t="s">
        <v>4957</v>
      </c>
      <c r="F41" s="2" t="s">
        <v>431</v>
      </c>
      <c r="G41" s="2" t="s">
        <v>432</v>
      </c>
      <c r="H41" s="2" t="s">
        <v>2308</v>
      </c>
      <c r="I41" s="2" t="s">
        <v>795</v>
      </c>
      <c r="J41" s="2" t="s">
        <v>4802</v>
      </c>
      <c r="K41" s="4">
        <v>0</v>
      </c>
      <c r="L41" s="4">
        <v>6</v>
      </c>
      <c r="M41" s="2" t="s">
        <v>4958</v>
      </c>
      <c r="N41" s="2" t="s">
        <v>568</v>
      </c>
      <c r="O41" s="4">
        <v>1975</v>
      </c>
      <c r="P41" s="3" t="b">
        <f>AND(J41 = "candidate", C41 &lt;&gt; "", E41 &lt;&gt; "", H41 &lt;&gt; "")</f>
        <v>0</v>
      </c>
      <c r="Q41" s="3" t="b">
        <f>J41 = "imported"</f>
        <v>1</v>
      </c>
      <c r="R41" s="3" t="e">
        <f>LOOKUP(N41, TreatmentRankings[Study], TreatmentRankings[DistortionType])</f>
        <v>#VALUE!</v>
      </c>
      <c r="S41" s="3" t="e">
        <f>IF(Q41, R41 = I41, "")</f>
        <v>#VALUE!</v>
      </c>
    </row>
    <row r="42">
      <c r="A42" s="2" t="s">
        <v>4959</v>
      </c>
      <c r="B42" s="3" t="str">
        <f>A42</f>
        <v>cand-rosiglitazone-pool</v>
      </c>
      <c r="C42" s="2" t="s">
        <v>572</v>
      </c>
      <c r="D42" s="2" t="s">
        <v>4960</v>
      </c>
      <c r="E42" s="2" t="s">
        <v>4961</v>
      </c>
      <c r="F42" s="2" t="s">
        <v>575</v>
      </c>
      <c r="G42" s="2" t="s">
        <v>418</v>
      </c>
      <c r="H42" s="2" t="s">
        <v>2425</v>
      </c>
      <c r="I42" s="2" t="s">
        <v>792</v>
      </c>
      <c r="J42" s="2" t="s">
        <v>4802</v>
      </c>
      <c r="K42" s="4">
        <v>0</v>
      </c>
      <c r="L42" s="4">
        <v>2</v>
      </c>
      <c r="M42" s="2" t="s">
        <v>4962</v>
      </c>
      <c r="N42" s="2" t="s">
        <v>572</v>
      </c>
      <c r="O42" s="4">
        <v>2007</v>
      </c>
      <c r="P42" s="3" t="b">
        <f>AND(J42 = "candidate", C42 &lt;&gt; "", E42 &lt;&gt; "", H42 &lt;&gt; "")</f>
        <v>0</v>
      </c>
      <c r="Q42" s="3" t="b">
        <f>J42 = "imported"</f>
        <v>1</v>
      </c>
      <c r="R42" s="3" t="e">
        <f>LOOKUP(N42, TreatmentRankings[Study], TreatmentRankings[DistortionType])</f>
        <v>#VALUE!</v>
      </c>
      <c r="S42" s="3" t="e">
        <f>IF(Q42, R42 = I42, "")</f>
        <v>#VALUE!</v>
      </c>
    </row>
    <row r="43">
      <c r="A43" s="2" t="s">
        <v>4963</v>
      </c>
      <c r="B43" s="3" t="str">
        <f>A43</f>
        <v>cand-ironman-gender</v>
      </c>
      <c r="C43" s="2" t="s">
        <v>576</v>
      </c>
      <c r="D43" s="2" t="s">
        <v>4964</v>
      </c>
      <c r="E43" s="2" t="s">
        <v>4965</v>
      </c>
      <c r="F43" s="2" t="s">
        <v>423</v>
      </c>
      <c r="G43" s="2" t="s">
        <v>452</v>
      </c>
      <c r="H43" s="2" t="s">
        <v>2428</v>
      </c>
      <c r="I43" s="2" t="s">
        <v>792</v>
      </c>
      <c r="J43" s="2" t="s">
        <v>4802</v>
      </c>
      <c r="K43" s="4">
        <v>0</v>
      </c>
      <c r="L43" s="4">
        <v>2</v>
      </c>
      <c r="M43" s="2" t="s">
        <v>4966</v>
      </c>
      <c r="N43" s="2" t="s">
        <v>576</v>
      </c>
      <c r="O43" s="4">
        <v>2010</v>
      </c>
      <c r="P43" s="3" t="b">
        <f>AND(J43 = "candidate", C43 &lt;&gt; "", E43 &lt;&gt; "", H43 &lt;&gt; "")</f>
        <v>0</v>
      </c>
      <c r="Q43" s="3" t="b">
        <f>J43 = "imported"</f>
        <v>1</v>
      </c>
      <c r="R43" s="3" t="e">
        <f>LOOKUP(N43, TreatmentRankings[Study], TreatmentRankings[DistortionType])</f>
        <v>#VALUE!</v>
      </c>
      <c r="S43" s="3" t="e">
        <f>IF(Q43, R43 = I43, "")</f>
        <v>#VALUE!</v>
      </c>
    </row>
    <row r="44">
      <c r="A44" s="2" t="s">
        <v>4967</v>
      </c>
      <c r="B44" s="3" t="str">
        <f>A44</f>
        <v>cand-panama-sweden</v>
      </c>
      <c r="C44" s="2" t="s">
        <v>586</v>
      </c>
      <c r="D44" s="2" t="s">
        <v>4968</v>
      </c>
      <c r="E44" s="2" t="s">
        <v>4969</v>
      </c>
      <c r="F44" s="2" t="s">
        <v>423</v>
      </c>
      <c r="G44" s="2" t="s">
        <v>441</v>
      </c>
      <c r="H44" s="2" t="s">
        <v>2334</v>
      </c>
      <c r="I44" s="2" t="s">
        <v>792</v>
      </c>
      <c r="J44" s="2" t="s">
        <v>4802</v>
      </c>
      <c r="K44" s="4">
        <v>0</v>
      </c>
      <c r="L44" s="4">
        <v>3</v>
      </c>
      <c r="M44" s="2" t="s">
        <v>4970</v>
      </c>
      <c r="N44" s="2" t="s">
        <v>586</v>
      </c>
      <c r="O44" s="4">
        <v>1975</v>
      </c>
      <c r="P44" s="3" t="b">
        <f>AND(J44 = "candidate", C44 &lt;&gt; "", E44 &lt;&gt; "", H44 &lt;&gt; "")</f>
        <v>0</v>
      </c>
      <c r="Q44" s="3" t="b">
        <f>J44 = "imported"</f>
        <v>1</v>
      </c>
      <c r="R44" s="3" t="e">
        <f>LOOKUP(N44, TreatmentRankings[Study], TreatmentRankings[DistortionType])</f>
        <v>#VALUE!</v>
      </c>
      <c r="S44" s="3" t="e">
        <f>IF(Q44, R44 = I44, "")</f>
        <v>#VALUE!</v>
      </c>
    </row>
    <row r="45">
      <c r="A45" s="2" t="s">
        <v>4971</v>
      </c>
      <c r="B45" s="3" t="str">
        <f>A45</f>
        <v>cand-hanley-power</v>
      </c>
      <c r="C45" s="2" t="s">
        <v>579</v>
      </c>
      <c r="D45" s="2" t="s">
        <v>4972</v>
      </c>
      <c r="E45" s="2" t="s">
        <v>4973</v>
      </c>
      <c r="F45" s="2" t="s">
        <v>582</v>
      </c>
      <c r="G45" s="2" t="s">
        <v>441</v>
      </c>
      <c r="H45" s="2" t="s">
        <v>2431</v>
      </c>
      <c r="I45" s="2" t="s">
        <v>795</v>
      </c>
      <c r="J45" s="2" t="s">
        <v>4802</v>
      </c>
      <c r="K45" s="4">
        <v>0</v>
      </c>
      <c r="L45" s="4">
        <v>5</v>
      </c>
      <c r="M45" s="2" t="s">
        <v>4974</v>
      </c>
      <c r="N45" s="2" t="s">
        <v>579</v>
      </c>
      <c r="O45" s="4">
        <v>2000</v>
      </c>
      <c r="P45" s="3" t="b">
        <f>AND(J45 = "candidate", C45 &lt;&gt; "", E45 &lt;&gt; "", H45 &lt;&gt; "")</f>
        <v>0</v>
      </c>
      <c r="Q45" s="3" t="b">
        <f>J45 = "imported"</f>
        <v>1</v>
      </c>
      <c r="R45" s="3" t="e">
        <f>LOOKUP(N45, TreatmentRankings[Study], TreatmentRankings[DistortionType])</f>
        <v>#VALUE!</v>
      </c>
      <c r="S45" s="3" t="e">
        <f>IF(Q45, R45 = I45, "")</f>
        <v>#VALUE!</v>
      </c>
    </row>
    <row r="46">
      <c r="A46" s="2" t="s">
        <v>4975</v>
      </c>
      <c r="B46" s="3" t="str">
        <f>A46</f>
        <v>cand-coffee-smoking</v>
      </c>
      <c r="C46" s="2" t="s">
        <v>583</v>
      </c>
      <c r="D46" s="2" t="s">
        <v>4976</v>
      </c>
      <c r="E46" s="2" t="s">
        <v>4977</v>
      </c>
      <c r="F46" s="2" t="s">
        <v>423</v>
      </c>
      <c r="G46" s="2" t="s">
        <v>441</v>
      </c>
      <c r="H46" s="2" t="s">
        <v>2350</v>
      </c>
      <c r="I46" s="2" t="s">
        <v>792</v>
      </c>
      <c r="J46" s="2" t="s">
        <v>4802</v>
      </c>
      <c r="K46" s="4">
        <v>0</v>
      </c>
      <c r="L46" s="4">
        <v>2</v>
      </c>
      <c r="M46" s="2" t="s">
        <v>4978</v>
      </c>
      <c r="N46" s="2" t="s">
        <v>583</v>
      </c>
      <c r="O46" s="4">
        <v>1968</v>
      </c>
      <c r="P46" s="3" t="b">
        <f>AND(J46 = "candidate", C46 &lt;&gt; "", E46 &lt;&gt; "", H46 &lt;&gt; "")</f>
        <v>0</v>
      </c>
      <c r="Q46" s="3" t="b">
        <f>J46 = "imported"</f>
        <v>1</v>
      </c>
      <c r="R46" s="3" t="e">
        <f>LOOKUP(N46, TreatmentRankings[Study], TreatmentRankings[DistortionType])</f>
        <v>#VALUE!</v>
      </c>
      <c r="S46" s="3" t="e">
        <f>IF(Q46, R46 = I46, "")</f>
        <v>#VALUE!</v>
      </c>
    </row>
    <row r="47">
      <c r="A47" s="2" t="s">
        <v>4979</v>
      </c>
      <c r="B47" s="3" t="str">
        <f>A47</f>
        <v>cand-hrt-whi-2002</v>
      </c>
      <c r="C47" s="2" t="s">
        <v>589</v>
      </c>
      <c r="D47" s="2" t="s">
        <v>4980</v>
      </c>
      <c r="E47" s="2" t="s">
        <v>4981</v>
      </c>
      <c r="F47" s="2" t="s">
        <v>423</v>
      </c>
      <c r="G47" s="2" t="s">
        <v>418</v>
      </c>
      <c r="H47" s="2" t="s">
        <v>2438</v>
      </c>
      <c r="I47" s="2" t="s">
        <v>792</v>
      </c>
      <c r="J47" s="2" t="s">
        <v>4802</v>
      </c>
      <c r="K47" s="4">
        <v>0</v>
      </c>
      <c r="L47" s="4">
        <v>2</v>
      </c>
      <c r="M47" s="2" t="s">
        <v>4982</v>
      </c>
      <c r="N47" s="2" t="s">
        <v>589</v>
      </c>
      <c r="O47" s="4">
        <v>2002</v>
      </c>
      <c r="P47" s="3" t="b">
        <f>AND(J47 = "candidate", C47 &lt;&gt; "", E47 &lt;&gt; "", H47 &lt;&gt; "")</f>
        <v>0</v>
      </c>
      <c r="Q47" s="3" t="b">
        <f>J47 = "imported"</f>
        <v>1</v>
      </c>
      <c r="R47" s="3" t="e">
        <f>LOOKUP(N47, TreatmentRankings[Study], TreatmentRankings[DistortionType])</f>
        <v>#VALUE!</v>
      </c>
      <c r="S47" s="3" t="e">
        <f>IF(Q47, R47 = I47, "")</f>
        <v>#VALUE!</v>
      </c>
    </row>
    <row r="48">
      <c r="A48" s="2" t="s">
        <v>4983</v>
      </c>
      <c r="B48" s="3" t="str">
        <f>A48</f>
        <v>cand-obesity-paradox-hf</v>
      </c>
      <c r="C48" s="2" t="s">
        <v>593</v>
      </c>
      <c r="D48" s="2" t="s">
        <v>4984</v>
      </c>
      <c r="E48" s="2" t="s">
        <v>4985</v>
      </c>
      <c r="F48" s="2" t="s">
        <v>423</v>
      </c>
      <c r="G48" s="2" t="s">
        <v>418</v>
      </c>
      <c r="H48" s="2" t="s">
        <v>2441</v>
      </c>
      <c r="I48" s="2" t="s">
        <v>795</v>
      </c>
      <c r="J48" s="2" t="s">
        <v>4802</v>
      </c>
      <c r="K48" s="4">
        <v>0</v>
      </c>
      <c r="L48" s="4">
        <v>2</v>
      </c>
      <c r="M48" s="2" t="s">
        <v>4986</v>
      </c>
      <c r="N48" s="2" t="s">
        <v>593</v>
      </c>
      <c r="O48" s="4">
        <v>2003</v>
      </c>
      <c r="P48" s="3" t="b">
        <f>AND(J48 = "candidate", C48 &lt;&gt; "", E48 &lt;&gt; "", H48 &lt;&gt; "")</f>
        <v>0</v>
      </c>
      <c r="Q48" s="3" t="b">
        <f>J48 = "imported"</f>
        <v>1</v>
      </c>
      <c r="R48" s="3" t="e">
        <f>LOOKUP(N48, TreatmentRankings[Study], TreatmentRankings[DistortionType])</f>
        <v>#VALUE!</v>
      </c>
      <c r="S48" s="3" t="e">
        <f>IF(Q48, R48 = I48, "")</f>
        <v>#VALUE!</v>
      </c>
    </row>
    <row r="49">
      <c r="A49" s="2" t="s">
        <v>4987</v>
      </c>
      <c r="B49" s="3" t="str">
        <f>A49</f>
        <v>cand-dialysis-bmi-survival</v>
      </c>
      <c r="C49" s="2" t="s">
        <v>597</v>
      </c>
      <c r="D49" s="2" t="s">
        <v>4988</v>
      </c>
      <c r="E49" s="2" t="s">
        <v>4989</v>
      </c>
      <c r="F49" s="2" t="s">
        <v>423</v>
      </c>
      <c r="G49" s="2" t="s">
        <v>418</v>
      </c>
      <c r="H49" s="2" t="s">
        <v>2445</v>
      </c>
      <c r="I49" s="2" t="s">
        <v>795</v>
      </c>
      <c r="J49" s="2" t="s">
        <v>4802</v>
      </c>
      <c r="K49" s="4">
        <v>0</v>
      </c>
      <c r="L49" s="4">
        <v>2</v>
      </c>
      <c r="M49" s="2" t="s">
        <v>4990</v>
      </c>
      <c r="N49" s="2" t="s">
        <v>597</v>
      </c>
      <c r="O49" s="4">
        <v>2001</v>
      </c>
      <c r="P49" s="3" t="b">
        <f>AND(J49 = "candidate", C49 &lt;&gt; "", E49 &lt;&gt; "", H49 &lt;&gt; "")</f>
        <v>0</v>
      </c>
      <c r="Q49" s="3" t="b">
        <f>J49 = "imported"</f>
        <v>1</v>
      </c>
      <c r="R49" s="3" t="e">
        <f>LOOKUP(N49, TreatmentRankings[Study], TreatmentRankings[DistortionType])</f>
        <v>#VALUE!</v>
      </c>
      <c r="S49" s="3" t="e">
        <f>IF(Q49, R49 = I49, "")</f>
        <v>#VALUE!</v>
      </c>
    </row>
    <row r="50">
      <c r="A50" s="2" t="s">
        <v>4991</v>
      </c>
      <c r="B50" s="3" t="str">
        <f>A50</f>
        <v>cand-sick-quitter-alcohol</v>
      </c>
      <c r="C50" s="2" t="s">
        <v>601</v>
      </c>
      <c r="D50" s="2" t="s">
        <v>4992</v>
      </c>
      <c r="E50" s="2" t="s">
        <v>4993</v>
      </c>
      <c r="F50" s="2" t="s">
        <v>423</v>
      </c>
      <c r="G50" s="2" t="s">
        <v>418</v>
      </c>
      <c r="H50" s="2" t="s">
        <v>2448</v>
      </c>
      <c r="I50" s="2" t="s">
        <v>795</v>
      </c>
      <c r="J50" s="2" t="s">
        <v>4802</v>
      </c>
      <c r="K50" s="4">
        <v>0</v>
      </c>
      <c r="L50" s="4">
        <v>2</v>
      </c>
      <c r="M50" s="2" t="s">
        <v>4994</v>
      </c>
      <c r="N50" s="2" t="s">
        <v>601</v>
      </c>
      <c r="O50" s="4">
        <v>1988</v>
      </c>
      <c r="P50" s="3" t="b">
        <f>AND(J50 = "candidate", C50 &lt;&gt; "", E50 &lt;&gt; "", H50 &lt;&gt; "")</f>
        <v>0</v>
      </c>
      <c r="Q50" s="3" t="b">
        <f>J50 = "imported"</f>
        <v>1</v>
      </c>
      <c r="R50" s="3" t="e">
        <f>LOOKUP(N50, TreatmentRankings[Study], TreatmentRankings[DistortionType])</f>
        <v>#VALUE!</v>
      </c>
      <c r="S50" s="3" t="e">
        <f>IF(Q50, R50 = I50, "")</f>
        <v>#VALUE!</v>
      </c>
    </row>
    <row r="51">
      <c r="A51" s="2" t="s">
        <v>4995</v>
      </c>
      <c r="B51" s="3" t="str">
        <f>A51</f>
        <v>cand-flu-vaccine-elderly-mortality</v>
      </c>
      <c r="C51" s="2" t="s">
        <v>605</v>
      </c>
      <c r="D51" s="2" t="s">
        <v>4996</v>
      </c>
      <c r="E51" s="2" t="s">
        <v>4997</v>
      </c>
      <c r="F51" s="2" t="s">
        <v>423</v>
      </c>
      <c r="G51" s="2" t="s">
        <v>418</v>
      </c>
      <c r="H51" s="2" t="s">
        <v>2334</v>
      </c>
      <c r="I51" s="2" t="s">
        <v>792</v>
      </c>
      <c r="J51" s="2" t="s">
        <v>4802</v>
      </c>
      <c r="K51" s="4">
        <v>0</v>
      </c>
      <c r="L51" s="4">
        <v>2</v>
      </c>
      <c r="M51" s="2" t="s">
        <v>4998</v>
      </c>
      <c r="N51" s="2" t="s">
        <v>605</v>
      </c>
      <c r="O51" s="4">
        <v>2005</v>
      </c>
      <c r="P51" s="3" t="b">
        <f>AND(J51 = "candidate", C51 &lt;&gt; "", E51 &lt;&gt; "", H51 &lt;&gt; "")</f>
        <v>0</v>
      </c>
      <c r="Q51" s="3" t="b">
        <f>J51 = "imported"</f>
        <v>1</v>
      </c>
      <c r="R51" s="3" t="e">
        <f>LOOKUP(N51, TreatmentRankings[Study], TreatmentRankings[DistortionType])</f>
        <v>#VALUE!</v>
      </c>
      <c r="S51" s="3" t="e">
        <f>IF(Q51, R51 = I51, "")</f>
        <v>#VALUE!</v>
      </c>
    </row>
    <row r="52">
      <c r="A52" s="2" t="s">
        <v>4999</v>
      </c>
      <c r="B52" s="3" t="str">
        <f>A52</f>
        <v>cand-trauma-center-mortality</v>
      </c>
      <c r="C52" s="2" t="s">
        <v>655</v>
      </c>
      <c r="D52" s="2" t="s">
        <v>5000</v>
      </c>
      <c r="E52" s="2" t="s">
        <v>5001</v>
      </c>
      <c r="F52" s="2" t="s">
        <v>423</v>
      </c>
      <c r="G52" s="2" t="s">
        <v>418</v>
      </c>
      <c r="H52" s="2" t="s">
        <v>2487</v>
      </c>
      <c r="I52" s="2" t="s">
        <v>792</v>
      </c>
      <c r="J52" s="2" t="s">
        <v>4802</v>
      </c>
      <c r="K52" s="4">
        <v>0</v>
      </c>
      <c r="L52" s="4">
        <v>2</v>
      </c>
      <c r="M52" s="2" t="s">
        <v>5002</v>
      </c>
      <c r="N52" s="2" t="s">
        <v>655</v>
      </c>
      <c r="O52" s="4">
        <v>2006</v>
      </c>
      <c r="P52" s="3" t="b">
        <f>AND(J52 = "candidate", C52 &lt;&gt; "", E52 &lt;&gt; "", H52 &lt;&gt; "")</f>
        <v>0</v>
      </c>
      <c r="Q52" s="3" t="b">
        <f>J52 = "imported"</f>
        <v>1</v>
      </c>
      <c r="R52" s="3" t="e">
        <f>LOOKUP(N52, TreatmentRankings[Study], TreatmentRankings[DistortionType])</f>
        <v>#VALUE!</v>
      </c>
      <c r="S52" s="3" t="e">
        <f>IF(Q52, R52 = I52, "")</f>
        <v>#VALUE!</v>
      </c>
    </row>
    <row r="53">
      <c r="A53" s="2" t="s">
        <v>5003</v>
      </c>
      <c r="B53" s="3" t="str">
        <f>A53</f>
        <v>cand-surgeon-volume-mortality</v>
      </c>
      <c r="C53" s="2" t="s">
        <v>659</v>
      </c>
      <c r="D53" s="2" t="s">
        <v>5004</v>
      </c>
      <c r="E53" s="2" t="s">
        <v>5005</v>
      </c>
      <c r="F53" s="2" t="s">
        <v>423</v>
      </c>
      <c r="G53" s="2" t="s">
        <v>418</v>
      </c>
      <c r="H53" s="2" t="s">
        <v>2490</v>
      </c>
      <c r="I53" s="2" t="s">
        <v>792</v>
      </c>
      <c r="J53" s="2" t="s">
        <v>4802</v>
      </c>
      <c r="K53" s="4">
        <v>0</v>
      </c>
      <c r="L53" s="4">
        <v>2</v>
      </c>
      <c r="M53" s="2" t="s">
        <v>5006</v>
      </c>
      <c r="N53" s="2" t="s">
        <v>659</v>
      </c>
      <c r="O53" s="4">
        <v>2003</v>
      </c>
      <c r="P53" s="3" t="b">
        <f>AND(J53 = "candidate", C53 &lt;&gt; "", E53 &lt;&gt; "", H53 &lt;&gt; "")</f>
        <v>0</v>
      </c>
      <c r="Q53" s="3" t="b">
        <f>J53 = "imported"</f>
        <v>1</v>
      </c>
      <c r="R53" s="3" t="e">
        <f>LOOKUP(N53, TreatmentRankings[Study], TreatmentRankings[DistortionType])</f>
        <v>#VALUE!</v>
      </c>
      <c r="S53" s="3" t="e">
        <f>IF(Q53, R53 = I53, "")</f>
        <v>#VALUE!</v>
      </c>
    </row>
    <row r="54">
      <c r="A54" s="2" t="s">
        <v>5007</v>
      </c>
      <c r="B54" s="3" t="str">
        <f>A54</f>
        <v>cand-mammography-length-bias</v>
      </c>
      <c r="C54" s="2" t="s">
        <v>663</v>
      </c>
      <c r="D54" s="2" t="s">
        <v>5008</v>
      </c>
      <c r="E54" s="2" t="s">
        <v>5009</v>
      </c>
      <c r="F54" s="2" t="s">
        <v>423</v>
      </c>
      <c r="G54" s="2" t="s">
        <v>418</v>
      </c>
      <c r="H54" s="2" t="s">
        <v>2493</v>
      </c>
      <c r="I54" s="2" t="s">
        <v>4831</v>
      </c>
      <c r="J54" s="2" t="s">
        <v>4802</v>
      </c>
      <c r="K54" s="4">
        <v>0</v>
      </c>
      <c r="L54" s="4">
        <v>2</v>
      </c>
      <c r="M54" s="2" t="s">
        <v>5010</v>
      </c>
      <c r="N54" s="2" t="s">
        <v>663</v>
      </c>
      <c r="O54" s="4">
        <v>2000</v>
      </c>
      <c r="P54" s="3" t="b">
        <f>AND(J54 = "candidate", C54 &lt;&gt; "", E54 &lt;&gt; "", H54 &lt;&gt; "")</f>
        <v>0</v>
      </c>
      <c r="Q54" s="3" t="b">
        <f>J54 = "imported"</f>
        <v>1</v>
      </c>
      <c r="R54" s="3" t="e">
        <f>LOOKUP(N54, TreatmentRankings[Study], TreatmentRankings[DistortionType])</f>
        <v>#VALUE!</v>
      </c>
      <c r="S54" s="3" t="e">
        <f>IF(Q54, R54 = I54, "")</f>
        <v>#VALUE!</v>
      </c>
    </row>
    <row r="55">
      <c r="A55" s="2" t="s">
        <v>5011</v>
      </c>
      <c r="B55" s="3" t="str">
        <f>A55</f>
        <v>cand-cabg-vs-pci-severity</v>
      </c>
      <c r="C55" s="2" t="s">
        <v>667</v>
      </c>
      <c r="D55" s="2" t="s">
        <v>5012</v>
      </c>
      <c r="E55" s="2" t="s">
        <v>5013</v>
      </c>
      <c r="F55" s="2" t="s">
        <v>423</v>
      </c>
      <c r="G55" s="2" t="s">
        <v>418</v>
      </c>
      <c r="H55" s="2" t="s">
        <v>2496</v>
      </c>
      <c r="I55" s="2" t="s">
        <v>792</v>
      </c>
      <c r="J55" s="2" t="s">
        <v>4802</v>
      </c>
      <c r="K55" s="4">
        <v>0</v>
      </c>
      <c r="L55" s="4">
        <v>2</v>
      </c>
      <c r="M55" s="2" t="s">
        <v>5014</v>
      </c>
      <c r="N55" s="2" t="s">
        <v>667</v>
      </c>
      <c r="O55" s="4">
        <v>2009</v>
      </c>
      <c r="P55" s="3" t="b">
        <f>AND(J55 = "candidate", C55 &lt;&gt; "", E55 &lt;&gt; "", H55 &lt;&gt; "")</f>
        <v>0</v>
      </c>
      <c r="Q55" s="3" t="b">
        <f>J55 = "imported"</f>
        <v>1</v>
      </c>
      <c r="R55" s="3" t="e">
        <f>LOOKUP(N55, TreatmentRankings[Study], TreatmentRankings[DistortionType])</f>
        <v>#VALUE!</v>
      </c>
      <c r="S55" s="3" t="e">
        <f>IF(Q55, R55 = I55, "")</f>
        <v>#VALUE!</v>
      </c>
    </row>
    <row r="56">
      <c r="A56" s="2" t="s">
        <v>5015</v>
      </c>
      <c r="B56" s="3" t="str">
        <f>A56</f>
        <v>cand-tolbutamide-ugdp-1970</v>
      </c>
      <c r="C56" s="2" t="s">
        <v>671</v>
      </c>
      <c r="D56" s="2" t="s">
        <v>5016</v>
      </c>
      <c r="E56" s="2" t="s">
        <v>5017</v>
      </c>
      <c r="F56" s="2" t="s">
        <v>423</v>
      </c>
      <c r="G56" s="2" t="s">
        <v>418</v>
      </c>
      <c r="H56" s="2" t="s">
        <v>2499</v>
      </c>
      <c r="I56" s="2" t="s">
        <v>795</v>
      </c>
      <c r="J56" s="2" t="s">
        <v>4802</v>
      </c>
      <c r="K56" s="4">
        <v>0</v>
      </c>
      <c r="L56" s="4">
        <v>2</v>
      </c>
      <c r="M56" s="2" t="s">
        <v>5018</v>
      </c>
      <c r="N56" s="2" t="s">
        <v>671</v>
      </c>
      <c r="O56" s="4">
        <v>1970</v>
      </c>
      <c r="P56" s="3" t="b">
        <f>AND(J56 = "candidate", C56 &lt;&gt; "", E56 &lt;&gt; "", H56 &lt;&gt; "")</f>
        <v>0</v>
      </c>
      <c r="Q56" s="3" t="b">
        <f>J56 = "imported"</f>
        <v>1</v>
      </c>
      <c r="R56" s="3" t="e">
        <f>LOOKUP(N56, TreatmentRankings[Study], TreatmentRankings[DistortionType])</f>
        <v>#VALUE!</v>
      </c>
      <c r="S56" s="3" t="e">
        <f>IF(Q56, R56 = I56, "")</f>
        <v>#VALUE!</v>
      </c>
    </row>
    <row r="57">
      <c r="A57" s="2" t="s">
        <v>5019</v>
      </c>
      <c r="B57" s="3" t="str">
        <f>A57</f>
        <v>cand-covid-italy-china-cfr-2020</v>
      </c>
      <c r="C57" s="2" t="s">
        <v>609</v>
      </c>
      <c r="D57" s="2" t="s">
        <v>5020</v>
      </c>
      <c r="E57" s="2" t="s">
        <v>5021</v>
      </c>
      <c r="F57" s="2" t="s">
        <v>423</v>
      </c>
      <c r="G57" s="2" t="s">
        <v>441</v>
      </c>
      <c r="H57" s="2" t="s">
        <v>2334</v>
      </c>
      <c r="I57" s="2" t="s">
        <v>792</v>
      </c>
      <c r="J57" s="2" t="s">
        <v>4802</v>
      </c>
      <c r="K57" s="4">
        <v>0</v>
      </c>
      <c r="L57" s="4">
        <v>2</v>
      </c>
      <c r="M57" s="2" t="s">
        <v>5022</v>
      </c>
      <c r="N57" s="2" t="s">
        <v>609</v>
      </c>
      <c r="O57" s="4">
        <v>2020</v>
      </c>
      <c r="P57" s="3" t="b">
        <f>AND(J57 = "candidate", C57 &lt;&gt; "", E57 &lt;&gt; "", H57 &lt;&gt; "")</f>
        <v>0</v>
      </c>
      <c r="Q57" s="3" t="b">
        <f>J57 = "imported"</f>
        <v>1</v>
      </c>
      <c r="R57" s="3" t="e">
        <f>LOOKUP(N57, TreatmentRankings[Study], TreatmentRankings[DistortionType])</f>
        <v>#VALUE!</v>
      </c>
      <c r="S57" s="3" t="e">
        <f>IF(Q57, R57 = I57, "")</f>
        <v>#VALUE!</v>
      </c>
    </row>
    <row r="58">
      <c r="A58" s="2" t="s">
        <v>5023</v>
      </c>
      <c r="B58" s="3" t="str">
        <f>A58</f>
        <v>cand-israel-covid-severe-2021</v>
      </c>
      <c r="C58" s="2" t="s">
        <v>613</v>
      </c>
      <c r="D58" s="2" t="s">
        <v>5024</v>
      </c>
      <c r="E58" s="2" t="s">
        <v>5025</v>
      </c>
      <c r="F58" s="2" t="s">
        <v>423</v>
      </c>
      <c r="G58" s="2" t="s">
        <v>441</v>
      </c>
      <c r="H58" s="2" t="s">
        <v>2334</v>
      </c>
      <c r="I58" s="2" t="s">
        <v>792</v>
      </c>
      <c r="J58" s="2" t="s">
        <v>4802</v>
      </c>
      <c r="K58" s="4">
        <v>0</v>
      </c>
      <c r="L58" s="4">
        <v>2</v>
      </c>
      <c r="M58" s="2" t="s">
        <v>5026</v>
      </c>
      <c r="N58" s="2" t="s">
        <v>613</v>
      </c>
      <c r="O58" s="4">
        <v>2021</v>
      </c>
      <c r="P58" s="3" t="b">
        <f>AND(J58 = "candidate", C58 &lt;&gt; "", E58 &lt;&gt; "", H58 &lt;&gt; "")</f>
        <v>0</v>
      </c>
      <c r="Q58" s="3" t="b">
        <f>J58 = "imported"</f>
        <v>1</v>
      </c>
      <c r="R58" s="3" t="e">
        <f>LOOKUP(N58, TreatmentRankings[Study], TreatmentRankings[DistortionType])</f>
        <v>#VALUE!</v>
      </c>
      <c r="S58" s="3" t="e">
        <f>IF(Q58, R58 = I58, "")</f>
        <v>#VALUE!</v>
      </c>
    </row>
    <row r="59">
      <c r="A59" s="2" t="s">
        <v>5027</v>
      </c>
      <c r="B59" s="3" t="str">
        <f>A59</f>
        <v>cand-cochran-smoking-1968</v>
      </c>
      <c r="C59" s="2" t="s">
        <v>617</v>
      </c>
      <c r="D59" s="2" t="s">
        <v>618</v>
      </c>
      <c r="E59" s="2" t="s">
        <v>5028</v>
      </c>
      <c r="F59" s="2" t="s">
        <v>423</v>
      </c>
      <c r="G59" s="2" t="s">
        <v>441</v>
      </c>
      <c r="H59" s="2" t="s">
        <v>2334</v>
      </c>
      <c r="I59" s="2" t="s">
        <v>792</v>
      </c>
      <c r="J59" s="2" t="s">
        <v>4802</v>
      </c>
      <c r="K59" s="4">
        <v>0</v>
      </c>
      <c r="L59" s="4">
        <v>2</v>
      </c>
      <c r="M59" s="2" t="s">
        <v>5029</v>
      </c>
      <c r="N59" s="2" t="s">
        <v>617</v>
      </c>
      <c r="O59" s="4">
        <v>1968</v>
      </c>
      <c r="P59" s="3" t="b">
        <f>AND(J59 = "candidate", C59 &lt;&gt; "", E59 &lt;&gt; "", H59 &lt;&gt; "")</f>
        <v>0</v>
      </c>
      <c r="Q59" s="3" t="b">
        <f>J59 = "imported"</f>
        <v>1</v>
      </c>
      <c r="R59" s="3" t="e">
        <f>LOOKUP(N59, TreatmentRankings[Study], TreatmentRankings[DistortionType])</f>
        <v>#VALUE!</v>
      </c>
      <c r="S59" s="3" t="e">
        <f>IF(Q59, R59 = I59, "")</f>
        <v>#VALUE!</v>
      </c>
    </row>
    <row r="60">
      <c r="A60" s="2" t="s">
        <v>5030</v>
      </c>
      <c r="B60" s="3" t="str">
        <f>A60</f>
        <v>cand-healthy-worker-mortality</v>
      </c>
      <c r="C60" s="2" t="s">
        <v>621</v>
      </c>
      <c r="D60" s="2" t="s">
        <v>5031</v>
      </c>
      <c r="E60" s="2" t="s">
        <v>5032</v>
      </c>
      <c r="F60" s="2" t="s">
        <v>423</v>
      </c>
      <c r="G60" s="2" t="s">
        <v>441</v>
      </c>
      <c r="H60" s="2" t="s">
        <v>2459</v>
      </c>
      <c r="I60" s="2" t="s">
        <v>795</v>
      </c>
      <c r="J60" s="2" t="s">
        <v>4802</v>
      </c>
      <c r="K60" s="4">
        <v>0</v>
      </c>
      <c r="L60" s="4">
        <v>2</v>
      </c>
      <c r="M60" s="2" t="s">
        <v>5033</v>
      </c>
      <c r="N60" s="2" t="s">
        <v>621</v>
      </c>
      <c r="O60" s="4">
        <v>1987</v>
      </c>
      <c r="P60" s="3" t="b">
        <f>AND(J60 = "candidate", C60 &lt;&gt; "", E60 &lt;&gt; "", H60 &lt;&gt; "")</f>
        <v>0</v>
      </c>
      <c r="Q60" s="3" t="b">
        <f>J60 = "imported"</f>
        <v>1</v>
      </c>
      <c r="R60" s="3" t="e">
        <f>LOOKUP(N60, TreatmentRankings[Study], TreatmentRankings[DistortionType])</f>
        <v>#VALUE!</v>
      </c>
      <c r="S60" s="3" t="e">
        <f>IF(Q60, R60 = I60, "")</f>
        <v>#VALUE!</v>
      </c>
    </row>
    <row r="61">
      <c r="A61" s="2" t="s">
        <v>5034</v>
      </c>
      <c r="B61" s="3" t="str">
        <f>A61</f>
        <v>cand-snow-cholera-water-1855</v>
      </c>
      <c r="C61" s="2" t="s">
        <v>675</v>
      </c>
      <c r="D61" s="2" t="s">
        <v>5035</v>
      </c>
      <c r="E61" s="2" t="s">
        <v>5036</v>
      </c>
      <c r="F61" s="2" t="s">
        <v>423</v>
      </c>
      <c r="G61" s="2" t="s">
        <v>441</v>
      </c>
      <c r="H61" s="2" t="s">
        <v>2502</v>
      </c>
      <c r="I61" s="2" t="s">
        <v>792</v>
      </c>
      <c r="J61" s="2" t="s">
        <v>4802</v>
      </c>
      <c r="K61" s="4">
        <v>0</v>
      </c>
      <c r="L61" s="4">
        <v>2</v>
      </c>
      <c r="M61" s="2" t="s">
        <v>5037</v>
      </c>
      <c r="N61" s="2" t="s">
        <v>675</v>
      </c>
      <c r="O61" s="4">
        <v>1855</v>
      </c>
      <c r="P61" s="3" t="b">
        <f>AND(J61 = "candidate", C61 &lt;&gt; "", E61 &lt;&gt; "", H61 &lt;&gt; "")</f>
        <v>0</v>
      </c>
      <c r="Q61" s="3" t="b">
        <f>J61 = "imported"</f>
        <v>1</v>
      </c>
      <c r="R61" s="3" t="e">
        <f>LOOKUP(N61, TreatmentRankings[Study], TreatmentRankings[DistortionType])</f>
        <v>#VALUE!</v>
      </c>
      <c r="S61" s="3" t="e">
        <f>IF(Q61, R61 = I61, "")</f>
        <v>#VALUE!</v>
      </c>
    </row>
    <row r="62">
      <c r="A62" s="2" t="s">
        <v>5038</v>
      </c>
      <c r="B62" s="3" t="str">
        <f>A62</f>
        <v>cand-seatbelt-crash-severity</v>
      </c>
      <c r="C62" s="2" t="s">
        <v>679</v>
      </c>
      <c r="D62" s="2" t="s">
        <v>5039</v>
      </c>
      <c r="E62" s="2" t="s">
        <v>5040</v>
      </c>
      <c r="F62" s="2" t="s">
        <v>423</v>
      </c>
      <c r="G62" s="2" t="s">
        <v>441</v>
      </c>
      <c r="H62" s="2" t="s">
        <v>2505</v>
      </c>
      <c r="I62" s="2" t="s">
        <v>795</v>
      </c>
      <c r="J62" s="2" t="s">
        <v>4802</v>
      </c>
      <c r="K62" s="4">
        <v>0</v>
      </c>
      <c r="L62" s="4">
        <v>2</v>
      </c>
      <c r="M62" s="2" t="s">
        <v>5041</v>
      </c>
      <c r="N62" s="2" t="s">
        <v>679</v>
      </c>
      <c r="O62" s="4">
        <v>1995</v>
      </c>
      <c r="P62" s="3" t="b">
        <f>AND(J62 = "candidate", C62 &lt;&gt; "", E62 &lt;&gt; "", H62 &lt;&gt; "")</f>
        <v>0</v>
      </c>
      <c r="Q62" s="3" t="b">
        <f>J62 = "imported"</f>
        <v>1</v>
      </c>
      <c r="R62" s="3" t="e">
        <f>LOOKUP(N62, TreatmentRankings[Study], TreatmentRankings[DistortionType])</f>
        <v>#VALUE!</v>
      </c>
      <c r="S62" s="3" t="e">
        <f>IF(Q62, R62 = I62, "")</f>
        <v>#VALUE!</v>
      </c>
    </row>
    <row r="63">
      <c r="A63" s="2" t="s">
        <v>5042</v>
      </c>
      <c r="B63" s="3" t="str">
        <f>A63</f>
        <v>cand-measles-outbreak-vaccinated</v>
      </c>
      <c r="C63" s="2" t="s">
        <v>683</v>
      </c>
      <c r="D63" s="2" t="s">
        <v>5043</v>
      </c>
      <c r="E63" s="2" t="s">
        <v>5044</v>
      </c>
      <c r="F63" s="2" t="s">
        <v>423</v>
      </c>
      <c r="G63" s="2" t="s">
        <v>441</v>
      </c>
      <c r="H63" s="2" t="s">
        <v>2508</v>
      </c>
      <c r="I63" s="2" t="s">
        <v>4831</v>
      </c>
      <c r="J63" s="2" t="s">
        <v>4802</v>
      </c>
      <c r="K63" s="4">
        <v>0</v>
      </c>
      <c r="L63" s="4">
        <v>2</v>
      </c>
      <c r="M63" s="2" t="s">
        <v>5045</v>
      </c>
      <c r="N63" s="2" t="s">
        <v>683</v>
      </c>
      <c r="O63" s="4">
        <v>2015</v>
      </c>
      <c r="P63" s="3" t="b">
        <f>AND(J63 = "candidate", C63 &lt;&gt; "", E63 &lt;&gt; "", H63 &lt;&gt; "")</f>
        <v>0</v>
      </c>
      <c r="Q63" s="3" t="b">
        <f>J63 = "imported"</f>
        <v>1</v>
      </c>
      <c r="R63" s="3" t="e">
        <f>LOOKUP(N63, TreatmentRankings[Study], TreatmentRankings[DistortionType])</f>
        <v>#VALUE!</v>
      </c>
      <c r="S63" s="3" t="e">
        <f>IF(Q63, R63 = I63, "")</f>
        <v>#VALUE!</v>
      </c>
    </row>
    <row r="64">
      <c r="A64" s="2" t="s">
        <v>5046</v>
      </c>
      <c r="B64" s="3" t="str">
        <f>A64</f>
        <v>cand-air-pollution-mortality-city</v>
      </c>
      <c r="C64" s="2" t="s">
        <v>687</v>
      </c>
      <c r="D64" s="2" t="s">
        <v>5047</v>
      </c>
      <c r="E64" s="2" t="s">
        <v>5048</v>
      </c>
      <c r="F64" s="2" t="s">
        <v>423</v>
      </c>
      <c r="G64" s="2" t="s">
        <v>441</v>
      </c>
      <c r="H64" s="2" t="s">
        <v>2511</v>
      </c>
      <c r="I64" s="2" t="s">
        <v>795</v>
      </c>
      <c r="J64" s="2" t="s">
        <v>4802</v>
      </c>
      <c r="K64" s="4">
        <v>0</v>
      </c>
      <c r="L64" s="4">
        <v>2</v>
      </c>
      <c r="M64" s="2" t="s">
        <v>5049</v>
      </c>
      <c r="N64" s="2" t="s">
        <v>687</v>
      </c>
      <c r="O64" s="4">
        <v>2002</v>
      </c>
      <c r="P64" s="3" t="b">
        <f>AND(J64 = "candidate", C64 &lt;&gt; "", E64 &lt;&gt; "", H64 &lt;&gt; "")</f>
        <v>0</v>
      </c>
      <c r="Q64" s="3" t="b">
        <f>J64 = "imported"</f>
        <v>1</v>
      </c>
      <c r="R64" s="3" t="e">
        <f>LOOKUP(N64, TreatmentRankings[Study], TreatmentRankings[DistortionType])</f>
        <v>#VALUE!</v>
      </c>
      <c r="S64" s="3" t="e">
        <f>IF(Q64, R64 = I64, "")</f>
        <v>#VALUE!</v>
      </c>
    </row>
    <row r="65">
      <c r="A65" s="2" t="s">
        <v>5050</v>
      </c>
      <c r="B65" s="3" t="str">
        <f>A65</f>
        <v>cand-tb-treatment-resistance</v>
      </c>
      <c r="C65" s="2" t="s">
        <v>691</v>
      </c>
      <c r="D65" s="2" t="s">
        <v>692</v>
      </c>
      <c r="E65" s="2" t="s">
        <v>5051</v>
      </c>
      <c r="F65" s="2" t="s">
        <v>423</v>
      </c>
      <c r="G65" s="2" t="s">
        <v>441</v>
      </c>
      <c r="H65" s="2" t="s">
        <v>2514</v>
      </c>
      <c r="I65" s="2" t="s">
        <v>792</v>
      </c>
      <c r="J65" s="2" t="s">
        <v>4802</v>
      </c>
      <c r="K65" s="4">
        <v>0</v>
      </c>
      <c r="L65" s="4">
        <v>2</v>
      </c>
      <c r="M65" s="2" t="s">
        <v>5052</v>
      </c>
      <c r="N65" s="2" t="s">
        <v>691</v>
      </c>
      <c r="O65" s="4">
        <v>2010</v>
      </c>
      <c r="P65" s="3" t="b">
        <f>AND(J65 = "candidate", C65 &lt;&gt; "", E65 &lt;&gt; "", H65 &lt;&gt; "")</f>
        <v>0</v>
      </c>
      <c r="Q65" s="3" t="b">
        <f>J65 = "imported"</f>
        <v>1</v>
      </c>
      <c r="R65" s="3" t="e">
        <f>LOOKUP(N65, TreatmentRankings[Study], TreatmentRankings[DistortionType])</f>
        <v>#VALUE!</v>
      </c>
      <c r="S65" s="3" t="e">
        <f>IF(Q65, R65 = I65, "")</f>
        <v>#VALUE!</v>
      </c>
    </row>
    <row r="66">
      <c r="A66" s="2" t="s">
        <v>5053</v>
      </c>
      <c r="B66" s="3" t="str">
        <f>A66</f>
        <v>cand-hospital-mortality-readmission</v>
      </c>
      <c r="C66" s="2" t="s">
        <v>695</v>
      </c>
      <c r="D66" s="2" t="s">
        <v>5054</v>
      </c>
      <c r="E66" s="2" t="s">
        <v>5055</v>
      </c>
      <c r="F66" s="2" t="s">
        <v>423</v>
      </c>
      <c r="G66" s="2" t="s">
        <v>441</v>
      </c>
      <c r="H66" s="2" t="s">
        <v>2384</v>
      </c>
      <c r="I66" s="2" t="s">
        <v>4831</v>
      </c>
      <c r="J66" s="2" t="s">
        <v>4802</v>
      </c>
      <c r="K66" s="4">
        <v>0</v>
      </c>
      <c r="L66" s="4">
        <v>2</v>
      </c>
      <c r="M66" s="2" t="s">
        <v>5056</v>
      </c>
      <c r="N66" s="2" t="s">
        <v>695</v>
      </c>
      <c r="O66" s="4">
        <v>2014</v>
      </c>
      <c r="P66" s="3" t="b">
        <f>AND(J66 = "candidate", C66 &lt;&gt; "", E66 &lt;&gt; "", H66 &lt;&gt; "")</f>
        <v>0</v>
      </c>
      <c r="Q66" s="3" t="b">
        <f>J66 = "imported"</f>
        <v>1</v>
      </c>
      <c r="R66" s="3" t="e">
        <f>LOOKUP(N66, TreatmentRankings[Study], TreatmentRankings[DistortionType])</f>
        <v>#VALUE!</v>
      </c>
      <c r="S66" s="3" t="e">
        <f>IF(Q66, R66 = I66, "")</f>
        <v>#VALUE!</v>
      </c>
    </row>
    <row r="67">
      <c r="A67" s="2" t="s">
        <v>5057</v>
      </c>
      <c r="B67" s="3" t="str">
        <f>A67</f>
        <v>cand-nypd-stop-frisk-hitrate</v>
      </c>
      <c r="C67" s="2" t="s">
        <v>699</v>
      </c>
      <c r="D67" s="2" t="s">
        <v>5058</v>
      </c>
      <c r="E67" s="2" t="s">
        <v>5059</v>
      </c>
      <c r="F67" s="2" t="s">
        <v>423</v>
      </c>
      <c r="G67" s="2" t="s">
        <v>446</v>
      </c>
      <c r="H67" s="2" t="s">
        <v>2519</v>
      </c>
      <c r="I67" s="2" t="s">
        <v>795</v>
      </c>
      <c r="J67" s="2" t="s">
        <v>4802</v>
      </c>
      <c r="K67" s="4">
        <v>0</v>
      </c>
      <c r="L67" s="4">
        <v>2</v>
      </c>
      <c r="M67" s="2" t="s">
        <v>5060</v>
      </c>
      <c r="N67" s="2" t="s">
        <v>699</v>
      </c>
      <c r="O67" s="4">
        <v>2007</v>
      </c>
      <c r="P67" s="3" t="b">
        <f>AND(J67 = "candidate", C67 &lt;&gt; "", E67 &lt;&gt; "", H67 &lt;&gt; "")</f>
        <v>0</v>
      </c>
      <c r="Q67" s="3" t="b">
        <f>J67 = "imported"</f>
        <v>1</v>
      </c>
      <c r="R67" s="3" t="e">
        <f>LOOKUP(N67, TreatmentRankings[Study], TreatmentRankings[DistortionType])</f>
        <v>#VALUE!</v>
      </c>
      <c r="S67" s="3" t="e">
        <f>IF(Q67, R67 = I67, "")</f>
        <v>#VALUE!</v>
      </c>
    </row>
    <row r="68">
      <c r="A68" s="2" t="s">
        <v>5061</v>
      </c>
      <c r="B68" s="3" t="str">
        <f>A68</f>
        <v>cand-compas-recidivism-base</v>
      </c>
      <c r="C68" s="2" t="s">
        <v>624</v>
      </c>
      <c r="D68" s="2" t="s">
        <v>5062</v>
      </c>
      <c r="E68" s="2" t="s">
        <v>5063</v>
      </c>
      <c r="F68" s="2" t="s">
        <v>423</v>
      </c>
      <c r="G68" s="2" t="s">
        <v>446</v>
      </c>
      <c r="H68" s="2" t="s">
        <v>2463</v>
      </c>
      <c r="I68" s="2" t="s">
        <v>795</v>
      </c>
      <c r="J68" s="2" t="s">
        <v>4802</v>
      </c>
      <c r="K68" s="4">
        <v>0</v>
      </c>
      <c r="L68" s="4">
        <v>2</v>
      </c>
      <c r="M68" s="2" t="s">
        <v>5064</v>
      </c>
      <c r="N68" s="2" t="s">
        <v>624</v>
      </c>
      <c r="O68" s="4">
        <v>2016</v>
      </c>
      <c r="P68" s="3" t="b">
        <f>AND(J68 = "candidate", C68 &lt;&gt; "", E68 &lt;&gt; "", H68 &lt;&gt; "")</f>
        <v>0</v>
      </c>
      <c r="Q68" s="3" t="b">
        <f>J68 = "imported"</f>
        <v>1</v>
      </c>
      <c r="R68" s="3" t="e">
        <f>LOOKUP(N68, TreatmentRankings[Study], TreatmentRankings[DistortionType])</f>
        <v>#VALUE!</v>
      </c>
      <c r="S68" s="3" t="e">
        <f>IF(Q68, R68 = I68, "")</f>
        <v>#VALUE!</v>
      </c>
    </row>
    <row r="69">
      <c r="A69" s="2" t="s">
        <v>5065</v>
      </c>
      <c r="B69" s="3" t="str">
        <f>A69</f>
        <v>cand-sentencing-offense-type</v>
      </c>
      <c r="C69" s="2" t="s">
        <v>703</v>
      </c>
      <c r="D69" s="2" t="s">
        <v>5066</v>
      </c>
      <c r="E69" s="2" t="s">
        <v>5067</v>
      </c>
      <c r="F69" s="2" t="s">
        <v>423</v>
      </c>
      <c r="G69" s="2" t="s">
        <v>446</v>
      </c>
      <c r="H69" s="2" t="s">
        <v>2522</v>
      </c>
      <c r="I69" s="2" t="s">
        <v>792</v>
      </c>
      <c r="J69" s="2" t="s">
        <v>4802</v>
      </c>
      <c r="K69" s="4">
        <v>0</v>
      </c>
      <c r="L69" s="4">
        <v>2</v>
      </c>
      <c r="M69" s="2" t="s">
        <v>5068</v>
      </c>
      <c r="N69" s="2" t="s">
        <v>703</v>
      </c>
      <c r="O69" s="4">
        <v>2000</v>
      </c>
      <c r="P69" s="3" t="b">
        <f>AND(J69 = "candidate", C69 &lt;&gt; "", E69 &lt;&gt; "", H69 &lt;&gt; "")</f>
        <v>0</v>
      </c>
      <c r="Q69" s="3" t="b">
        <f>J69 = "imported"</f>
        <v>1</v>
      </c>
      <c r="R69" s="3" t="e">
        <f>LOOKUP(N69, TreatmentRankings[Study], TreatmentRankings[DistortionType])</f>
        <v>#VALUE!</v>
      </c>
      <c r="S69" s="3" t="e">
        <f>IF(Q69, R69 = I69, "")</f>
        <v>#VALUE!</v>
      </c>
    </row>
    <row r="70">
      <c r="A70" s="2" t="s">
        <v>5069</v>
      </c>
      <c r="B70" s="3" t="str">
        <f>A70</f>
        <v>cand-bail-risk-score</v>
      </c>
      <c r="C70" s="2" t="s">
        <v>707</v>
      </c>
      <c r="D70" s="2" t="s">
        <v>708</v>
      </c>
      <c r="E70" s="2" t="s">
        <v>5070</v>
      </c>
      <c r="F70" s="2" t="s">
        <v>423</v>
      </c>
      <c r="G70" s="2" t="s">
        <v>446</v>
      </c>
      <c r="H70" s="2" t="s">
        <v>2525</v>
      </c>
      <c r="I70" s="2" t="s">
        <v>4831</v>
      </c>
      <c r="J70" s="2" t="s">
        <v>4802</v>
      </c>
      <c r="K70" s="4">
        <v>0</v>
      </c>
      <c r="L70" s="4">
        <v>2</v>
      </c>
      <c r="M70" s="2" t="s">
        <v>5071</v>
      </c>
      <c r="N70" s="2" t="s">
        <v>707</v>
      </c>
      <c r="O70" s="4">
        <v>2018</v>
      </c>
      <c r="P70" s="3" t="b">
        <f>AND(J70 = "candidate", C70 &lt;&gt; "", E70 &lt;&gt; "", H70 &lt;&gt; "")</f>
        <v>0</v>
      </c>
      <c r="Q70" s="3" t="b">
        <f>J70 = "imported"</f>
        <v>1</v>
      </c>
      <c r="R70" s="3" t="e">
        <f>LOOKUP(N70, TreatmentRankings[Study], TreatmentRankings[DistortionType])</f>
        <v>#VALUE!</v>
      </c>
      <c r="S70" s="3" t="e">
        <f>IF(Q70, R70 = I70, "")</f>
        <v>#VALUE!</v>
      </c>
    </row>
    <row r="71">
      <c r="A71" s="2" t="s">
        <v>5072</v>
      </c>
      <c r="B71" s="3" t="str">
        <f>A71</f>
        <v>cand-police-force-encounter</v>
      </c>
      <c r="C71" s="2" t="s">
        <v>711</v>
      </c>
      <c r="D71" s="2" t="s">
        <v>712</v>
      </c>
      <c r="E71" s="2" t="s">
        <v>5073</v>
      </c>
      <c r="F71" s="2" t="s">
        <v>423</v>
      </c>
      <c r="G71" s="2" t="s">
        <v>446</v>
      </c>
      <c r="H71" s="2" t="s">
        <v>2528</v>
      </c>
      <c r="I71" s="2" t="s">
        <v>795</v>
      </c>
      <c r="J71" s="2" t="s">
        <v>4802</v>
      </c>
      <c r="K71" s="4">
        <v>0</v>
      </c>
      <c r="L71" s="4">
        <v>2</v>
      </c>
      <c r="M71" s="2" t="s">
        <v>5074</v>
      </c>
      <c r="N71" s="2" t="s">
        <v>711</v>
      </c>
      <c r="O71" s="4">
        <v>2016</v>
      </c>
      <c r="P71" s="3" t="b">
        <f>AND(J71 = "candidate", C71 &lt;&gt; "", E71 &lt;&gt; "", H71 &lt;&gt; "")</f>
        <v>0</v>
      </c>
      <c r="Q71" s="3" t="b">
        <f>J71 = "imported"</f>
        <v>1</v>
      </c>
      <c r="R71" s="3" t="e">
        <f>LOOKUP(N71, TreatmentRankings[Study], TreatmentRankings[DistortionType])</f>
        <v>#VALUE!</v>
      </c>
      <c r="S71" s="3" t="e">
        <f>IF(Q71, R71 = I71, "")</f>
        <v>#VALUE!</v>
      </c>
    </row>
    <row r="72">
      <c r="A72" s="2" t="s">
        <v>5075</v>
      </c>
      <c r="B72" s="3" t="str">
        <f>A72</f>
        <v>cand-uc-systemwide-admissions</v>
      </c>
      <c r="C72" s="2" t="s">
        <v>715</v>
      </c>
      <c r="D72" s="2" t="s">
        <v>5076</v>
      </c>
      <c r="E72" s="2" t="s">
        <v>5077</v>
      </c>
      <c r="F72" s="2" t="s">
        <v>423</v>
      </c>
      <c r="G72" s="2" t="s">
        <v>487</v>
      </c>
      <c r="H72" s="2" t="s">
        <v>2531</v>
      </c>
      <c r="I72" s="2" t="s">
        <v>795</v>
      </c>
      <c r="J72" s="2" t="s">
        <v>4802</v>
      </c>
      <c r="K72" s="4">
        <v>0</v>
      </c>
      <c r="L72" s="4">
        <v>2</v>
      </c>
      <c r="M72" s="2" t="s">
        <v>5078</v>
      </c>
      <c r="N72" s="2" t="s">
        <v>715</v>
      </c>
      <c r="O72" s="4">
        <v>2004</v>
      </c>
      <c r="P72" s="3" t="b">
        <f>AND(J72 = "candidate", C72 &lt;&gt; "", E72 &lt;&gt; "", H72 &lt;&gt; "")</f>
        <v>0</v>
      </c>
      <c r="Q72" s="3" t="b">
        <f>J72 = "imported"</f>
        <v>1</v>
      </c>
      <c r="R72" s="3" t="e">
        <f>LOOKUP(N72, TreatmentRankings[Study], TreatmentRankings[DistortionType])</f>
        <v>#VALUE!</v>
      </c>
      <c r="S72" s="3" t="e">
        <f>IF(Q72, R72 = I72, "")</f>
        <v>#VALUE!</v>
      </c>
    </row>
    <row r="73">
      <c r="A73" s="2" t="s">
        <v>5079</v>
      </c>
      <c r="B73" s="3" t="str">
        <f>A73</f>
        <v>cand-teacher-vam-prior-achievement</v>
      </c>
      <c r="C73" s="2" t="s">
        <v>719</v>
      </c>
      <c r="D73" s="2" t="s">
        <v>5080</v>
      </c>
      <c r="E73" s="2" t="s">
        <v>5081</v>
      </c>
      <c r="F73" s="2" t="s">
        <v>423</v>
      </c>
      <c r="G73" s="2" t="s">
        <v>487</v>
      </c>
      <c r="H73" s="2" t="s">
        <v>2534</v>
      </c>
      <c r="I73" s="2" t="s">
        <v>4831</v>
      </c>
      <c r="J73" s="2" t="s">
        <v>4802</v>
      </c>
      <c r="K73" s="4">
        <v>0</v>
      </c>
      <c r="L73" s="4">
        <v>2</v>
      </c>
      <c r="M73" s="2" t="s">
        <v>5082</v>
      </c>
      <c r="N73" s="2" t="s">
        <v>719</v>
      </c>
      <c r="O73" s="4">
        <v>2011</v>
      </c>
      <c r="P73" s="3" t="b">
        <f>AND(J73 = "candidate", C73 &lt;&gt; "", E73 &lt;&gt; "", H73 &lt;&gt; "")</f>
        <v>0</v>
      </c>
      <c r="Q73" s="3" t="b">
        <f>J73 = "imported"</f>
        <v>1</v>
      </c>
      <c r="R73" s="3" t="e">
        <f>LOOKUP(N73, TreatmentRankings[Study], TreatmentRankings[DistortionType])</f>
        <v>#VALUE!</v>
      </c>
      <c r="S73" s="3" t="e">
        <f>IF(Q73, R73 = I73, "")</f>
        <v>#VALUE!</v>
      </c>
    </row>
    <row r="74">
      <c r="A74" s="2" t="s">
        <v>5083</v>
      </c>
      <c r="B74" s="3" t="str">
        <f>A74</f>
        <v>cand-naep-state-demographics</v>
      </c>
      <c r="C74" s="2" t="s">
        <v>723</v>
      </c>
      <c r="D74" s="2" t="s">
        <v>5084</v>
      </c>
      <c r="E74" s="2" t="s">
        <v>5085</v>
      </c>
      <c r="F74" s="2" t="s">
        <v>423</v>
      </c>
      <c r="G74" s="2" t="s">
        <v>487</v>
      </c>
      <c r="H74" s="2" t="s">
        <v>2537</v>
      </c>
      <c r="I74" s="2" t="s">
        <v>792</v>
      </c>
      <c r="J74" s="2" t="s">
        <v>4802</v>
      </c>
      <c r="K74" s="4">
        <v>0</v>
      </c>
      <c r="L74" s="4">
        <v>2</v>
      </c>
      <c r="M74" s="2" t="s">
        <v>5086</v>
      </c>
      <c r="N74" s="2" t="s">
        <v>723</v>
      </c>
      <c r="O74" s="4">
        <v>2019</v>
      </c>
      <c r="P74" s="3" t="b">
        <f>AND(J74 = "candidate", C74 &lt;&gt; "", E74 &lt;&gt; "", H74 &lt;&gt; "")</f>
        <v>0</v>
      </c>
      <c r="Q74" s="3" t="b">
        <f>J74 = "imported"</f>
        <v>1</v>
      </c>
      <c r="R74" s="3" t="e">
        <f>LOOKUP(N74, TreatmentRankings[Study], TreatmentRankings[DistortionType])</f>
        <v>#VALUE!</v>
      </c>
      <c r="S74" s="3" t="e">
        <f>IF(Q74, R74 = I74, "")</f>
        <v>#VALUE!</v>
      </c>
    </row>
    <row r="75">
      <c r="A75" s="2" t="s">
        <v>5087</v>
      </c>
      <c r="B75" s="3" t="str">
        <f>A75</f>
        <v>cand-college-grad-rate-selectivity</v>
      </c>
      <c r="C75" s="2" t="s">
        <v>727</v>
      </c>
      <c r="D75" s="2" t="s">
        <v>5088</v>
      </c>
      <c r="E75" s="2" t="s">
        <v>5089</v>
      </c>
      <c r="F75" s="2" t="s">
        <v>423</v>
      </c>
      <c r="G75" s="2" t="s">
        <v>487</v>
      </c>
      <c r="H75" s="2" t="s">
        <v>2540</v>
      </c>
      <c r="I75" s="2" t="s">
        <v>4831</v>
      </c>
      <c r="J75" s="2" t="s">
        <v>4802</v>
      </c>
      <c r="K75" s="4">
        <v>0</v>
      </c>
      <c r="L75" s="4">
        <v>2</v>
      </c>
      <c r="M75" s="2" t="s">
        <v>5090</v>
      </c>
      <c r="N75" s="2" t="s">
        <v>727</v>
      </c>
      <c r="O75" s="4">
        <v>2015</v>
      </c>
      <c r="P75" s="3" t="b">
        <f>AND(J75 = "candidate", C75 &lt;&gt; "", E75 &lt;&gt; "", H75 &lt;&gt; "")</f>
        <v>0</v>
      </c>
      <c r="Q75" s="3" t="b">
        <f>J75 = "imported"</f>
        <v>1</v>
      </c>
      <c r="R75" s="3" t="e">
        <f>LOOKUP(N75, TreatmentRankings[Study], TreatmentRankings[DistortionType])</f>
        <v>#VALUE!</v>
      </c>
      <c r="S75" s="3" t="e">
        <f>IF(Q75, R75 = I75, "")</f>
        <v>#VALUE!</v>
      </c>
    </row>
    <row r="76">
      <c r="A76" s="2" t="s">
        <v>5091</v>
      </c>
      <c r="B76" s="3" t="str">
        <f>A76</f>
        <v>cand-star-class-size</v>
      </c>
      <c r="C76" s="2" t="s">
        <v>731</v>
      </c>
      <c r="D76" s="2" t="s">
        <v>5092</v>
      </c>
      <c r="E76" s="2" t="s">
        <v>5093</v>
      </c>
      <c r="F76" s="2" t="s">
        <v>423</v>
      </c>
      <c r="G76" s="2" t="s">
        <v>487</v>
      </c>
      <c r="H76" s="2" t="s">
        <v>2543</v>
      </c>
      <c r="I76" s="2" t="s">
        <v>4843</v>
      </c>
      <c r="J76" s="2" t="s">
        <v>4802</v>
      </c>
      <c r="K76" s="4">
        <v>0</v>
      </c>
      <c r="L76" s="4">
        <v>2</v>
      </c>
      <c r="M76" s="2" t="s">
        <v>5094</v>
      </c>
      <c r="N76" s="2" t="s">
        <v>731</v>
      </c>
      <c r="O76" s="4">
        <v>1999</v>
      </c>
      <c r="P76" s="3" t="b">
        <f>AND(J76 = "candidate", C76 &lt;&gt; "", E76 &lt;&gt; "", H76 &lt;&gt; "")</f>
        <v>0</v>
      </c>
      <c r="Q76" s="3" t="b">
        <f>J76 = "imported"</f>
        <v>1</v>
      </c>
      <c r="R76" s="3" t="e">
        <f>LOOKUP(N76, TreatmentRankings[Study], TreatmentRankings[DistortionType])</f>
        <v>#VALUE!</v>
      </c>
      <c r="S76" s="3" t="e">
        <f>IF(Q76, R76 = I76, "")</f>
        <v>#VALUE!</v>
      </c>
    </row>
    <row r="77">
      <c r="A77" s="2" t="s">
        <v>5095</v>
      </c>
      <c r="B77" s="3" t="str">
        <f>A77</f>
        <v>cand-nba-shooting-shot-mix</v>
      </c>
      <c r="C77" s="2" t="s">
        <v>735</v>
      </c>
      <c r="D77" s="2" t="s">
        <v>5096</v>
      </c>
      <c r="E77" s="2" t="s">
        <v>5097</v>
      </c>
      <c r="F77" s="2" t="s">
        <v>423</v>
      </c>
      <c r="G77" s="2" t="s">
        <v>452</v>
      </c>
      <c r="H77" s="2" t="s">
        <v>2546</v>
      </c>
      <c r="I77" s="2" t="s">
        <v>795</v>
      </c>
      <c r="J77" s="2" t="s">
        <v>4802</v>
      </c>
      <c r="K77" s="4">
        <v>0</v>
      </c>
      <c r="L77" s="4">
        <v>2</v>
      </c>
      <c r="M77" s="2" t="s">
        <v>5098</v>
      </c>
      <c r="N77" s="2" t="s">
        <v>735</v>
      </c>
      <c r="O77" s="4">
        <v>2015</v>
      </c>
      <c r="P77" s="3" t="b">
        <f>AND(J77 = "candidate", C77 &lt;&gt; "", E77 &lt;&gt; "", H77 &lt;&gt; "")</f>
        <v>0</v>
      </c>
      <c r="Q77" s="3" t="b">
        <f>J77 = "imported"</f>
        <v>1</v>
      </c>
      <c r="R77" s="3" t="e">
        <f>LOOKUP(N77, TreatmentRankings[Study], TreatmentRankings[DistortionType])</f>
        <v>#VALUE!</v>
      </c>
      <c r="S77" s="3" t="e">
        <f>IF(Q77, R77 = I77, "")</f>
        <v>#VALUE!</v>
      </c>
    </row>
    <row r="78">
      <c r="A78" s="2" t="s">
        <v>5099</v>
      </c>
      <c r="B78" s="3" t="str">
        <f>A78</f>
        <v>cand-pitcher-era-ballpark</v>
      </c>
      <c r="C78" s="2" t="s">
        <v>739</v>
      </c>
      <c r="D78" s="2" t="s">
        <v>5100</v>
      </c>
      <c r="E78" s="2" t="s">
        <v>5101</v>
      </c>
      <c r="F78" s="2" t="s">
        <v>423</v>
      </c>
      <c r="G78" s="2" t="s">
        <v>452</v>
      </c>
      <c r="H78" s="2" t="s">
        <v>2549</v>
      </c>
      <c r="I78" s="2" t="s">
        <v>4831</v>
      </c>
      <c r="J78" s="2" t="s">
        <v>4802</v>
      </c>
      <c r="K78" s="4">
        <v>0</v>
      </c>
      <c r="L78" s="4">
        <v>2</v>
      </c>
      <c r="M78" s="2" t="s">
        <v>5102</v>
      </c>
      <c r="N78" s="2" t="s">
        <v>739</v>
      </c>
      <c r="O78" s="4">
        <v>2010</v>
      </c>
      <c r="P78" s="3" t="b">
        <f>AND(J78 = "candidate", C78 &lt;&gt; "", E78 &lt;&gt; "", H78 &lt;&gt; "")</f>
        <v>0</v>
      </c>
      <c r="Q78" s="3" t="b">
        <f>J78 = "imported"</f>
        <v>1</v>
      </c>
      <c r="R78" s="3" t="e">
        <f>LOOKUP(N78, TreatmentRankings[Study], TreatmentRankings[DistortionType])</f>
        <v>#VALUE!</v>
      </c>
      <c r="S78" s="3" t="e">
        <f>IF(Q78, R78 = I78, "")</f>
        <v>#VALUE!</v>
      </c>
    </row>
    <row r="79">
      <c r="A79" s="2" t="s">
        <v>5103</v>
      </c>
      <c r="B79" s="3" t="str">
        <f>A79</f>
        <v>cand-nfl-completion-depth</v>
      </c>
      <c r="C79" s="2" t="s">
        <v>743</v>
      </c>
      <c r="D79" s="2" t="s">
        <v>744</v>
      </c>
      <c r="E79" s="2" t="s">
        <v>5104</v>
      </c>
      <c r="F79" s="2" t="s">
        <v>423</v>
      </c>
      <c r="G79" s="2" t="s">
        <v>452</v>
      </c>
      <c r="H79" s="2" t="s">
        <v>2552</v>
      </c>
      <c r="I79" s="2" t="s">
        <v>4831</v>
      </c>
      <c r="J79" s="2" t="s">
        <v>4802</v>
      </c>
      <c r="K79" s="4">
        <v>0</v>
      </c>
      <c r="L79" s="4">
        <v>2</v>
      </c>
      <c r="M79" s="2" t="s">
        <v>5105</v>
      </c>
      <c r="N79" s="2" t="s">
        <v>743</v>
      </c>
      <c r="O79" s="4">
        <v>2018</v>
      </c>
      <c r="P79" s="3" t="b">
        <f>AND(J79 = "candidate", C79 &lt;&gt; "", E79 &lt;&gt; "", H79 &lt;&gt; "")</f>
        <v>0</v>
      </c>
      <c r="Q79" s="3" t="b">
        <f>J79 = "imported"</f>
        <v>1</v>
      </c>
      <c r="R79" s="3" t="e">
        <f>LOOKUP(N79, TreatmentRankings[Study], TreatmentRankings[DistortionType])</f>
        <v>#VALUE!</v>
      </c>
      <c r="S79" s="3" t="e">
        <f>IF(Q79, R79 = I79, "")</f>
        <v>#VALUE!</v>
      </c>
    </row>
    <row r="80">
      <c r="A80" s="2" t="s">
        <v>5106</v>
      </c>
      <c r="B80" s="3" t="str">
        <f>A80</f>
        <v>cand-field-goal-distance</v>
      </c>
      <c r="C80" s="2" t="s">
        <v>747</v>
      </c>
      <c r="D80" s="2" t="s">
        <v>5107</v>
      </c>
      <c r="E80" s="2" t="s">
        <v>5108</v>
      </c>
      <c r="F80" s="2" t="s">
        <v>423</v>
      </c>
      <c r="G80" s="2" t="s">
        <v>452</v>
      </c>
      <c r="H80" s="2" t="s">
        <v>2555</v>
      </c>
      <c r="I80" s="2" t="s">
        <v>4831</v>
      </c>
      <c r="J80" s="2" t="s">
        <v>4802</v>
      </c>
      <c r="K80" s="4">
        <v>0</v>
      </c>
      <c r="L80" s="4">
        <v>2</v>
      </c>
      <c r="M80" s="2" t="s">
        <v>5109</v>
      </c>
      <c r="N80" s="2" t="s">
        <v>747</v>
      </c>
      <c r="O80" s="4">
        <v>2012</v>
      </c>
      <c r="P80" s="3" t="b">
        <f>AND(J80 = "candidate", C80 &lt;&gt; "", E80 &lt;&gt; "", H80 &lt;&gt; "")</f>
        <v>0</v>
      </c>
      <c r="Q80" s="3" t="b">
        <f>J80 = "imported"</f>
        <v>1</v>
      </c>
      <c r="R80" s="3" t="e">
        <f>LOOKUP(N80, TreatmentRankings[Study], TreatmentRankings[DistortionType])</f>
        <v>#VALUE!</v>
      </c>
      <c r="S80" s="3" t="e">
        <f>IF(Q80, R80 = I80, "")</f>
        <v>#VALUE!</v>
      </c>
    </row>
    <row r="81">
      <c r="A81" s="2" t="s">
        <v>5110</v>
      </c>
      <c r="B81" s="3" t="str">
        <f>A81</f>
        <v>cand-golf-scoring-course</v>
      </c>
      <c r="C81" s="2" t="s">
        <v>751</v>
      </c>
      <c r="D81" s="2" t="s">
        <v>5111</v>
      </c>
      <c r="E81" s="2" t="s">
        <v>5112</v>
      </c>
      <c r="F81" s="2" t="s">
        <v>423</v>
      </c>
      <c r="G81" s="2" t="s">
        <v>452</v>
      </c>
      <c r="H81" s="2" t="s">
        <v>2558</v>
      </c>
      <c r="I81" s="2" t="s">
        <v>4831</v>
      </c>
      <c r="J81" s="2" t="s">
        <v>4802</v>
      </c>
      <c r="K81" s="4">
        <v>0</v>
      </c>
      <c r="L81" s="4">
        <v>2</v>
      </c>
      <c r="M81" s="2" t="s">
        <v>5113</v>
      </c>
      <c r="N81" s="2" t="s">
        <v>751</v>
      </c>
      <c r="O81" s="4">
        <v>2015</v>
      </c>
      <c r="P81" s="3" t="b">
        <f>AND(J81 = "candidate", C81 &lt;&gt; "", E81 &lt;&gt; "", H81 &lt;&gt; "")</f>
        <v>0</v>
      </c>
      <c r="Q81" s="3" t="b">
        <f>J81 = "imported"</f>
        <v>1</v>
      </c>
      <c r="R81" s="3" t="e">
        <f>LOOKUP(N81, TreatmentRankings[Study], TreatmentRankings[DistortionType])</f>
        <v>#VALUE!</v>
      </c>
      <c r="S81" s="3" t="e">
        <f>IF(Q81, R81 = I81, "")</f>
        <v>#VALUE!</v>
      </c>
    </row>
    <row r="82">
      <c r="A82" s="2" t="s">
        <v>5114</v>
      </c>
      <c r="B82" s="3" t="str">
        <f>A82</f>
        <v>cand-us-wage-composition-stagnation</v>
      </c>
      <c r="C82" s="2" t="s">
        <v>629</v>
      </c>
      <c r="D82" s="2" t="s">
        <v>5115</v>
      </c>
      <c r="E82" s="2" t="s">
        <v>5116</v>
      </c>
      <c r="F82" s="2" t="s">
        <v>423</v>
      </c>
      <c r="G82" s="2" t="s">
        <v>546</v>
      </c>
      <c r="H82" s="2" t="s">
        <v>2466</v>
      </c>
      <c r="I82" s="2" t="s">
        <v>792</v>
      </c>
      <c r="J82" s="2" t="s">
        <v>4802</v>
      </c>
      <c r="K82" s="4">
        <v>0</v>
      </c>
      <c r="L82" s="4">
        <v>2</v>
      </c>
      <c r="M82" s="2" t="s">
        <v>5117</v>
      </c>
      <c r="N82" s="2" t="s">
        <v>629</v>
      </c>
      <c r="O82" s="4">
        <v>2018</v>
      </c>
      <c r="P82" s="3" t="b">
        <f>AND(J82 = "candidate", C82 &lt;&gt; "", E82 &lt;&gt; "", H82 &lt;&gt; "")</f>
        <v>0</v>
      </c>
      <c r="Q82" s="3" t="b">
        <f>J82 = "imported"</f>
        <v>1</v>
      </c>
      <c r="R82" s="3" t="e">
        <f>LOOKUP(N82, TreatmentRankings[Study], TreatmentRankings[DistortionType])</f>
        <v>#VALUE!</v>
      </c>
      <c r="S82" s="3" t="e">
        <f>IF(Q82, R82 = I82, "")</f>
        <v>#VALUE!</v>
      </c>
    </row>
    <row r="83">
      <c r="A83" s="2" t="s">
        <v>5118</v>
      </c>
      <c r="B83" s="3" t="str">
        <f>A83</f>
        <v>cand-borjas-immigrant-cohort</v>
      </c>
      <c r="C83" s="2" t="s">
        <v>633</v>
      </c>
      <c r="D83" s="2" t="s">
        <v>5119</v>
      </c>
      <c r="E83" s="2" t="s">
        <v>5120</v>
      </c>
      <c r="F83" s="2" t="s">
        <v>423</v>
      </c>
      <c r="G83" s="2" t="s">
        <v>546</v>
      </c>
      <c r="H83" s="2" t="s">
        <v>2469</v>
      </c>
      <c r="I83" s="2" t="s">
        <v>792</v>
      </c>
      <c r="J83" s="2" t="s">
        <v>4802</v>
      </c>
      <c r="K83" s="4">
        <v>0</v>
      </c>
      <c r="L83" s="4">
        <v>2</v>
      </c>
      <c r="M83" s="2" t="s">
        <v>5121</v>
      </c>
      <c r="N83" s="2" t="s">
        <v>633</v>
      </c>
      <c r="O83" s="4">
        <v>1987</v>
      </c>
      <c r="P83" s="3" t="b">
        <f>AND(J83 = "candidate", C83 &lt;&gt; "", E83 &lt;&gt; "", H83 &lt;&gt; "")</f>
        <v>0</v>
      </c>
      <c r="Q83" s="3" t="b">
        <f>J83 = "imported"</f>
        <v>1</v>
      </c>
      <c r="R83" s="3" t="e">
        <f>LOOKUP(N83, TreatmentRankings[Study], TreatmentRankings[DistortionType])</f>
        <v>#VALUE!</v>
      </c>
      <c r="S83" s="3" t="e">
        <f>IF(Q83, R83 = I83, "")</f>
        <v>#VALUE!</v>
      </c>
    </row>
    <row r="84">
      <c r="A84" s="2" t="s">
        <v>5122</v>
      </c>
      <c r="B84" s="3" t="str">
        <f>A84</f>
        <v>cand-returns-to-education-field</v>
      </c>
      <c r="C84" s="2" t="s">
        <v>759</v>
      </c>
      <c r="D84" s="2" t="s">
        <v>760</v>
      </c>
      <c r="E84" s="2" t="s">
        <v>5123</v>
      </c>
      <c r="F84" s="2" t="s">
        <v>423</v>
      </c>
      <c r="G84" s="2" t="s">
        <v>546</v>
      </c>
      <c r="H84" s="2" t="s">
        <v>2563</v>
      </c>
      <c r="I84" s="2" t="s">
        <v>795</v>
      </c>
      <c r="J84" s="2" t="s">
        <v>4802</v>
      </c>
      <c r="K84" s="4">
        <v>0</v>
      </c>
      <c r="L84" s="4">
        <v>2</v>
      </c>
      <c r="M84" s="2" t="s">
        <v>5124</v>
      </c>
      <c r="N84" s="2" t="s">
        <v>759</v>
      </c>
      <c r="O84" s="4">
        <v>2008</v>
      </c>
      <c r="P84" s="3" t="b">
        <f>AND(J84 = "candidate", C84 &lt;&gt; "", E84 &lt;&gt; "", H84 &lt;&gt; "")</f>
        <v>0</v>
      </c>
      <c r="Q84" s="3" t="b">
        <f>J84 = "imported"</f>
        <v>1</v>
      </c>
      <c r="R84" s="3" t="e">
        <f>LOOKUP(N84, TreatmentRankings[Study], TreatmentRankings[DistortionType])</f>
        <v>#VALUE!</v>
      </c>
      <c r="S84" s="3" t="e">
        <f>IF(Q84, R84 = I84, "")</f>
        <v>#VALUE!</v>
      </c>
    </row>
    <row r="85">
      <c r="A85" s="2" t="s">
        <v>5125</v>
      </c>
      <c r="B85" s="3" t="str">
        <f>A85</f>
        <v>cand-minimum-wage-region</v>
      </c>
      <c r="C85" s="2" t="s">
        <v>755</v>
      </c>
      <c r="D85" s="2" t="s">
        <v>5126</v>
      </c>
      <c r="E85" s="2" t="s">
        <v>5127</v>
      </c>
      <c r="F85" s="2" t="s">
        <v>423</v>
      </c>
      <c r="G85" s="2" t="s">
        <v>546</v>
      </c>
      <c r="H85" s="2" t="s">
        <v>2375</v>
      </c>
      <c r="I85" s="2" t="s">
        <v>4831</v>
      </c>
      <c r="J85" s="2" t="s">
        <v>4802</v>
      </c>
      <c r="K85" s="4">
        <v>0</v>
      </c>
      <c r="L85" s="4">
        <v>2</v>
      </c>
      <c r="M85" s="2" t="s">
        <v>5128</v>
      </c>
      <c r="N85" s="2" t="s">
        <v>755</v>
      </c>
      <c r="O85" s="4">
        <v>2014</v>
      </c>
      <c r="P85" s="3" t="b">
        <f>AND(J85 = "candidate", C85 &lt;&gt; "", E85 &lt;&gt; "", H85 &lt;&gt; "")</f>
        <v>0</v>
      </c>
      <c r="Q85" s="3" t="b">
        <f>J85 = "imported"</f>
        <v>1</v>
      </c>
      <c r="R85" s="3" t="e">
        <f>LOOKUP(N85, TreatmentRankings[Study], TreatmentRankings[DistortionType])</f>
        <v>#VALUE!</v>
      </c>
      <c r="S85" s="3" t="e">
        <f>IF(Q85, R85 = I85, "")</f>
        <v>#VALUE!</v>
      </c>
    </row>
    <row r="86">
      <c r="A86" s="2" t="s">
        <v>5129</v>
      </c>
      <c r="B86" s="3" t="str">
        <f>A86</f>
        <v>cand-unemployment-education-cycle</v>
      </c>
      <c r="C86" s="2" t="s">
        <v>763</v>
      </c>
      <c r="D86" s="2" t="s">
        <v>5130</v>
      </c>
      <c r="E86" s="2" t="s">
        <v>5131</v>
      </c>
      <c r="F86" s="2" t="s">
        <v>423</v>
      </c>
      <c r="G86" s="2" t="s">
        <v>546</v>
      </c>
      <c r="H86" s="2" t="s">
        <v>2566</v>
      </c>
      <c r="I86" s="2" t="s">
        <v>792</v>
      </c>
      <c r="J86" s="2" t="s">
        <v>4802</v>
      </c>
      <c r="K86" s="4">
        <v>0</v>
      </c>
      <c r="L86" s="4">
        <v>2</v>
      </c>
      <c r="M86" s="2" t="s">
        <v>5132</v>
      </c>
      <c r="N86" s="2" t="s">
        <v>763</v>
      </c>
      <c r="O86" s="4">
        <v>2010</v>
      </c>
      <c r="P86" s="3" t="b">
        <f>AND(J86 = "candidate", C86 &lt;&gt; "", E86 &lt;&gt; "", H86 &lt;&gt; "")</f>
        <v>0</v>
      </c>
      <c r="Q86" s="3" t="b">
        <f>J86 = "imported"</f>
        <v>1</v>
      </c>
      <c r="R86" s="3" t="e">
        <f>LOOKUP(N86, TreatmentRankings[Study], TreatmentRankings[DistortionType])</f>
        <v>#VALUE!</v>
      </c>
      <c r="S86" s="3" t="e">
        <f>IF(Q86, R86 = I86, "")</f>
        <v>#VALUE!</v>
      </c>
    </row>
    <row r="87">
      <c r="A87" s="2" t="s">
        <v>5133</v>
      </c>
      <c r="B87" s="3" t="str">
        <f>A87</f>
        <v>cand-robinson-1950-literacy</v>
      </c>
      <c r="C87" s="2" t="s">
        <v>637</v>
      </c>
      <c r="D87" s="2" t="s">
        <v>638</v>
      </c>
      <c r="E87" s="2" t="s">
        <v>5134</v>
      </c>
      <c r="F87" s="2" t="s">
        <v>423</v>
      </c>
      <c r="G87" s="2" t="s">
        <v>432</v>
      </c>
      <c r="H87" s="2" t="s">
        <v>2472</v>
      </c>
      <c r="I87" s="2" t="s">
        <v>792</v>
      </c>
      <c r="J87" s="2" t="s">
        <v>4802</v>
      </c>
      <c r="K87" s="4">
        <v>0</v>
      </c>
      <c r="L87" s="4">
        <v>2</v>
      </c>
      <c r="M87" s="2" t="s">
        <v>5135</v>
      </c>
      <c r="N87" s="2" t="s">
        <v>637</v>
      </c>
      <c r="O87" s="4">
        <v>1950</v>
      </c>
      <c r="P87" s="3" t="b">
        <f>AND(J87 = "candidate", C87 &lt;&gt; "", E87 &lt;&gt; "", H87 &lt;&gt; "")</f>
        <v>0</v>
      </c>
      <c r="Q87" s="3" t="b">
        <f>J87 = "imported"</f>
        <v>1</v>
      </c>
      <c r="R87" s="3" t="e">
        <f>LOOKUP(N87, TreatmentRankings[Study], TreatmentRankings[DistortionType])</f>
        <v>#VALUE!</v>
      </c>
      <c r="S87" s="3" t="e">
        <f>IF(Q87, R87 = I87, "")</f>
        <v>#VALUE!</v>
      </c>
    </row>
    <row r="88">
      <c r="A88" s="2" t="s">
        <v>5136</v>
      </c>
      <c r="B88" s="3" t="str">
        <f>A88</f>
        <v>cand-costa-rica-us-life-expectancy</v>
      </c>
      <c r="C88" s="2" t="s">
        <v>766</v>
      </c>
      <c r="D88" s="2" t="s">
        <v>5137</v>
      </c>
      <c r="E88" s="2" t="s">
        <v>5138</v>
      </c>
      <c r="F88" s="2" t="s">
        <v>423</v>
      </c>
      <c r="G88" s="2" t="s">
        <v>432</v>
      </c>
      <c r="H88" s="2" t="s">
        <v>2334</v>
      </c>
      <c r="I88" s="2" t="s">
        <v>792</v>
      </c>
      <c r="J88" s="2" t="s">
        <v>4802</v>
      </c>
      <c r="K88" s="4">
        <v>0</v>
      </c>
      <c r="L88" s="4">
        <v>2</v>
      </c>
      <c r="M88" s="2" t="s">
        <v>5139</v>
      </c>
      <c r="N88" s="2" t="s">
        <v>766</v>
      </c>
      <c r="O88" s="4">
        <v>2010</v>
      </c>
      <c r="P88" s="3" t="b">
        <f>AND(J88 = "candidate", C88 &lt;&gt; "", E88 &lt;&gt; "", H88 &lt;&gt; "")</f>
        <v>0</v>
      </c>
      <c r="Q88" s="3" t="b">
        <f>J88 = "imported"</f>
        <v>1</v>
      </c>
      <c r="R88" s="3" t="e">
        <f>LOOKUP(N88, TreatmentRankings[Study], TreatmentRankings[DistortionType])</f>
        <v>#VALUE!</v>
      </c>
      <c r="S88" s="3" t="e">
        <f>IF(Q88, R88 = I88, "")</f>
        <v>#VALUE!</v>
      </c>
    </row>
    <row r="89">
      <c r="A89" s="2" t="s">
        <v>5140</v>
      </c>
      <c r="B89" s="3" t="str">
        <f>A89</f>
        <v>cand-voter-turnout-education-state</v>
      </c>
      <c r="C89" s="2" t="s">
        <v>778</v>
      </c>
      <c r="D89" s="2" t="s">
        <v>779</v>
      </c>
      <c r="E89" s="2" t="s">
        <v>5141</v>
      </c>
      <c r="F89" s="2" t="s">
        <v>423</v>
      </c>
      <c r="G89" s="2" t="s">
        <v>432</v>
      </c>
      <c r="H89" s="2" t="s">
        <v>2409</v>
      </c>
      <c r="I89" s="2" t="s">
        <v>795</v>
      </c>
      <c r="J89" s="2" t="s">
        <v>4802</v>
      </c>
      <c r="K89" s="4">
        <v>0</v>
      </c>
      <c r="L89" s="4">
        <v>2</v>
      </c>
      <c r="M89" s="2" t="s">
        <v>5142</v>
      </c>
      <c r="N89" s="2" t="s">
        <v>778</v>
      </c>
      <c r="O89" s="4">
        <v>2012</v>
      </c>
      <c r="P89" s="3" t="b">
        <f>AND(J89 = "candidate", C89 &lt;&gt; "", E89 &lt;&gt; "", H89 &lt;&gt; "")</f>
        <v>0</v>
      </c>
      <c r="Q89" s="3" t="b">
        <f>J89 = "imported"</f>
        <v>1</v>
      </c>
      <c r="R89" s="3" t="e">
        <f>LOOKUP(N89, TreatmentRankings[Study], TreatmentRankings[DistortionType])</f>
        <v>#VALUE!</v>
      </c>
      <c r="S89" s="3" t="e">
        <f>IF(Q89, R89 = I89, "")</f>
        <v>#VALUE!</v>
      </c>
    </row>
    <row r="90">
      <c r="A90" s="2" t="s">
        <v>5143</v>
      </c>
      <c r="B90" s="3" t="str">
        <f>A90</f>
        <v>cand-fertility-income-country</v>
      </c>
      <c r="C90" s="2" t="s">
        <v>770</v>
      </c>
      <c r="D90" s="2" t="s">
        <v>5144</v>
      </c>
      <c r="E90" s="2" t="s">
        <v>5145</v>
      </c>
      <c r="F90" s="2" t="s">
        <v>423</v>
      </c>
      <c r="G90" s="2" t="s">
        <v>432</v>
      </c>
      <c r="H90" s="2" t="s">
        <v>2372</v>
      </c>
      <c r="I90" s="2" t="s">
        <v>792</v>
      </c>
      <c r="J90" s="2" t="s">
        <v>4802</v>
      </c>
      <c r="K90" s="4">
        <v>0</v>
      </c>
      <c r="L90" s="4">
        <v>2</v>
      </c>
      <c r="M90" s="2" t="s">
        <v>5146</v>
      </c>
      <c r="N90" s="2" t="s">
        <v>770</v>
      </c>
      <c r="O90" s="4">
        <v>2015</v>
      </c>
      <c r="P90" s="3" t="b">
        <f>AND(J90 = "candidate", C90 &lt;&gt; "", E90 &lt;&gt; "", H90 &lt;&gt; "")</f>
        <v>0</v>
      </c>
      <c r="Q90" s="3" t="b">
        <f>J90 = "imported"</f>
        <v>1</v>
      </c>
      <c r="R90" s="3" t="e">
        <f>LOOKUP(N90, TreatmentRankings[Study], TreatmentRankings[DistortionType])</f>
        <v>#VALUE!</v>
      </c>
      <c r="S90" s="3" t="e">
        <f>IF(Q90, R90 = I90, "")</f>
        <v>#VALUE!</v>
      </c>
    </row>
    <row r="91">
      <c r="A91" s="2" t="s">
        <v>5147</v>
      </c>
      <c r="B91" s="3" t="str">
        <f>A91</f>
        <v>cand-religiosity-happiness-country</v>
      </c>
      <c r="C91" s="2" t="s">
        <v>774</v>
      </c>
      <c r="D91" s="2" t="s">
        <v>5148</v>
      </c>
      <c r="E91" s="2" t="s">
        <v>5149</v>
      </c>
      <c r="F91" s="2" t="s">
        <v>423</v>
      </c>
      <c r="G91" s="2" t="s">
        <v>432</v>
      </c>
      <c r="H91" s="2" t="s">
        <v>2573</v>
      </c>
      <c r="I91" s="2" t="s">
        <v>795</v>
      </c>
      <c r="J91" s="2" t="s">
        <v>4802</v>
      </c>
      <c r="K91" s="4">
        <v>0</v>
      </c>
      <c r="L91" s="4">
        <v>2</v>
      </c>
      <c r="M91" s="2" t="s">
        <v>5150</v>
      </c>
      <c r="N91" s="2" t="s">
        <v>774</v>
      </c>
      <c r="O91" s="4">
        <v>2018</v>
      </c>
      <c r="P91" s="3" t="b">
        <f>AND(J91 = "candidate", C91 &lt;&gt; "", E91 &lt;&gt; "", H91 &lt;&gt; "")</f>
        <v>0</v>
      </c>
      <c r="Q91" s="3" t="b">
        <f>J91 = "imported"</f>
        <v>1</v>
      </c>
      <c r="R91" s="3" t="e">
        <f>LOOKUP(N91, TreatmentRankings[Study], TreatmentRankings[DistortionType])</f>
        <v>#VALUE!</v>
      </c>
      <c r="S91" s="3" t="e">
        <f>IF(Q91, R91 = I91, "")</f>
        <v>#VALUE!</v>
      </c>
    </row>
    <row r="92">
      <c r="A92" s="2" t="s">
        <v>5151</v>
      </c>
      <c r="B92" s="3" t="str">
        <f>A92</f>
        <v>cand-ab-test-traffic-mix</v>
      </c>
      <c r="C92" s="2" t="s">
        <v>641</v>
      </c>
      <c r="D92" s="2" t="s">
        <v>5152</v>
      </c>
      <c r="E92" s="2" t="s">
        <v>5153</v>
      </c>
      <c r="F92" s="2" t="s">
        <v>423</v>
      </c>
      <c r="G92" s="2" t="s">
        <v>432</v>
      </c>
      <c r="H92" s="2" t="s">
        <v>2475</v>
      </c>
      <c r="I92" s="2" t="s">
        <v>792</v>
      </c>
      <c r="J92" s="2" t="s">
        <v>4802</v>
      </c>
      <c r="K92" s="4">
        <v>0</v>
      </c>
      <c r="L92" s="4">
        <v>2</v>
      </c>
      <c r="M92" s="2" t="s">
        <v>5154</v>
      </c>
      <c r="N92" s="2" t="s">
        <v>641</v>
      </c>
      <c r="O92" s="4">
        <v>2020</v>
      </c>
      <c r="P92" s="3" t="b">
        <f>AND(J92 = "candidate", C92 &lt;&gt; "", E92 &lt;&gt; "", H92 &lt;&gt; "")</f>
        <v>0</v>
      </c>
      <c r="Q92" s="3" t="b">
        <f>J92 = "imported"</f>
        <v>1</v>
      </c>
      <c r="R92" s="3" t="e">
        <f>LOOKUP(N92, TreatmentRankings[Study], TreatmentRankings[DistortionType])</f>
        <v>#VALUE!</v>
      </c>
      <c r="S92" s="3" t="e">
        <f>IF(Q92, R92 = I92, "")</f>
        <v>#VALUE!</v>
      </c>
    </row>
    <row r="93">
      <c r="A93" s="2" t="s">
        <v>5155</v>
      </c>
      <c r="B93" s="3" t="str">
        <f>A93</f>
        <v>cand-recsys-offline-eval</v>
      </c>
      <c r="C93" s="2" t="s">
        <v>645</v>
      </c>
      <c r="D93" s="2" t="s">
        <v>5156</v>
      </c>
      <c r="E93" s="2" t="s">
        <v>5157</v>
      </c>
      <c r="F93" s="2" t="s">
        <v>423</v>
      </c>
      <c r="G93" s="2" t="s">
        <v>432</v>
      </c>
      <c r="H93" s="2" t="s">
        <v>2478</v>
      </c>
      <c r="I93" s="2" t="s">
        <v>795</v>
      </c>
      <c r="J93" s="2" t="s">
        <v>4802</v>
      </c>
      <c r="K93" s="4">
        <v>0</v>
      </c>
      <c r="L93" s="4">
        <v>2</v>
      </c>
      <c r="M93" s="2" t="s">
        <v>5158</v>
      </c>
      <c r="N93" s="2" t="s">
        <v>645</v>
      </c>
      <c r="O93" s="4">
        <v>2021</v>
      </c>
      <c r="P93" s="3" t="b">
        <f>AND(J93 = "candidate", C93 &lt;&gt; "", E93 &lt;&gt; "", H93 &lt;&gt; "")</f>
        <v>0</v>
      </c>
      <c r="Q93" s="3" t="b">
        <f>J93 = "imported"</f>
        <v>1</v>
      </c>
      <c r="R93" s="3" t="e">
        <f>LOOKUP(N93, TreatmentRankings[Study], TreatmentRankings[DistortionType])</f>
        <v>#VALUE!</v>
      </c>
      <c r="S93" s="3" t="e">
        <f>IF(Q93, R93 = I93, "")</f>
        <v>#VALUE!</v>
      </c>
    </row>
    <row r="94">
      <c r="A94" s="2" t="s">
        <v>5159</v>
      </c>
      <c r="B94" s="3" t="str">
        <f>A94</f>
        <v>cand-ad-ctr-platform-mix</v>
      </c>
      <c r="C94" s="2" t="s">
        <v>782</v>
      </c>
      <c r="D94" s="2" t="s">
        <v>783</v>
      </c>
      <c r="E94" s="2" t="s">
        <v>5160</v>
      </c>
      <c r="F94" s="2" t="s">
        <v>423</v>
      </c>
      <c r="G94" s="2" t="s">
        <v>432</v>
      </c>
      <c r="H94" s="2" t="s">
        <v>2578</v>
      </c>
      <c r="I94" s="2" t="s">
        <v>4831</v>
      </c>
      <c r="J94" s="2" t="s">
        <v>4802</v>
      </c>
      <c r="K94" s="4">
        <v>0</v>
      </c>
      <c r="L94" s="4">
        <v>2</v>
      </c>
      <c r="M94" s="2" t="s">
        <v>5161</v>
      </c>
      <c r="N94" s="2" t="s">
        <v>782</v>
      </c>
      <c r="O94" s="4">
        <v>2019</v>
      </c>
      <c r="P94" s="3" t="b">
        <f>AND(J94 = "candidate", C94 &lt;&gt; "", E94 &lt;&gt; "", H94 &lt;&gt; "")</f>
        <v>0</v>
      </c>
      <c r="Q94" s="3" t="b">
        <f>J94 = "imported"</f>
        <v>1</v>
      </c>
      <c r="R94" s="3" t="e">
        <f>LOOKUP(N94, TreatmentRankings[Study], TreatmentRankings[DistortionType])</f>
        <v>#VALUE!</v>
      </c>
      <c r="S94" s="3" t="e">
        <f>IF(Q94, R94 = I94, "")</f>
        <v>#VALUE!</v>
      </c>
    </row>
    <row r="95">
      <c r="A95" s="2" t="s">
        <v>5162</v>
      </c>
      <c r="B95" s="3" t="str">
        <f>A95</f>
        <v>cand-collider-only-synthetic</v>
      </c>
      <c r="C95" s="2" t="s">
        <v>649</v>
      </c>
      <c r="D95" s="2" t="s">
        <v>5163</v>
      </c>
      <c r="E95" s="2" t="s">
        <v>5164</v>
      </c>
      <c r="F95" s="2" t="s">
        <v>423</v>
      </c>
      <c r="G95" s="2" t="s">
        <v>424</v>
      </c>
      <c r="H95" s="2" t="s">
        <v>2481</v>
      </c>
      <c r="I95" s="2" t="s">
        <v>795</v>
      </c>
      <c r="J95" s="2" t="s">
        <v>4802</v>
      </c>
      <c r="K95" s="4">
        <v>0</v>
      </c>
      <c r="L95" s="4">
        <v>2</v>
      </c>
      <c r="M95" s="2" t="s">
        <v>5165</v>
      </c>
      <c r="N95" s="2" t="s">
        <v>649</v>
      </c>
      <c r="O95" s="4">
        <v>2026</v>
      </c>
      <c r="P95" s="3" t="b">
        <f>AND(J95 = "candidate", C95 &lt;&gt; "", E95 &lt;&gt; "", H95 &lt;&gt; "")</f>
        <v>0</v>
      </c>
      <c r="Q95" s="3" t="b">
        <f>J95 = "imported"</f>
        <v>1</v>
      </c>
      <c r="R95" s="3" t="e">
        <f>LOOKUP(N95, TreatmentRankings[Study], TreatmentRankings[DistortionType])</f>
        <v>#VALUE!</v>
      </c>
      <c r="S95" s="3" t="e">
        <f>IF(Q95, R95 = I95, "")</f>
        <v>#VALUE!</v>
      </c>
    </row>
    <row r="96">
      <c r="A96" s="2" t="s">
        <v>5166</v>
      </c>
      <c r="B96" s="3" t="str">
        <f>A96</f>
        <v>cand-noncollapsibility-or-synthetic</v>
      </c>
      <c r="C96" s="2" t="s">
        <v>652</v>
      </c>
      <c r="D96" s="2" t="s">
        <v>5167</v>
      </c>
      <c r="E96" s="2" t="s">
        <v>5164</v>
      </c>
      <c r="F96" s="2" t="s">
        <v>423</v>
      </c>
      <c r="G96" s="2" t="s">
        <v>424</v>
      </c>
      <c r="H96" s="2" t="s">
        <v>2484</v>
      </c>
      <c r="I96" s="2" t="s">
        <v>4843</v>
      </c>
      <c r="J96" s="2" t="s">
        <v>4802</v>
      </c>
      <c r="K96" s="4">
        <v>0</v>
      </c>
      <c r="L96" s="4">
        <v>2</v>
      </c>
      <c r="M96" s="2" t="s">
        <v>5168</v>
      </c>
      <c r="N96" s="2" t="s">
        <v>652</v>
      </c>
      <c r="O96" s="4">
        <v>2026</v>
      </c>
      <c r="P96" s="3" t="b">
        <f>AND(J96 = "candidate", C96 &lt;&gt; "", E96 &lt;&gt; "", H96 &lt;&gt; "")</f>
        <v>0</v>
      </c>
      <c r="Q96" s="3" t="b">
        <f>J96 = "imported"</f>
        <v>1</v>
      </c>
      <c r="R96" s="3" t="e">
        <f>LOOKUP(N96, TreatmentRankings[Study], TreatmentRankings[DistortionType])</f>
        <v>#VALUE!</v>
      </c>
      <c r="S96" s="3" t="e">
        <f>IF(Q96, R96 = I96, "")</f>
        <v>#VALUE!</v>
      </c>
    </row>
  </sheetData>
  <autoFilter ref="A1:S1"/>
  <headerFooter/>
  <legacyDrawing r:id="rId1"/>
</worksheet>
</file>

<file path=xl/worksheets/sheet2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J2"/>
  <sheetViews>
    <sheetView workbookViewId="0">
      <pane ySplit="1" topLeftCell="A2" state="frozen" activePane="bottomLeft"/>
      <selection pane="bottomLeft" activeCell="A1" sqref="A1"/>
    </sheetView>
  </sheetViews>
  <sheetFormatPr defaultRowHeight="15"/>
  <cols>
    <col min="1" max="1" width="19.541227340698242" customWidth="1"/>
    <col min="2" max="2" width="17.443378448486328" customWidth="1"/>
    <col min="3" max="3" width="19.688167572021484" customWidth="1"/>
    <col min="4" max="4" width="17.443378448486328" customWidth="1"/>
    <col min="5" max="5" width="17.443378448486328" customWidth="1"/>
    <col min="6" max="6" width="17.443378448486328" customWidth="1"/>
    <col min="7" max="7" width="22.327119827270508" customWidth="1"/>
    <col min="8" max="8" width="18.287378311157227" customWidth="1"/>
    <col min="9" max="9" width="21.05513572692871" customWidth="1"/>
    <col min="10" max="10" width="48.21413040161133" customWidth="1"/>
  </cols>
  <sheetData>
    <row r="1">
      <c r="A1" s="1" t="s">
        <v>5169</v>
      </c>
      <c r="B1" s="1" t="s">
        <v>1</v>
      </c>
      <c r="C1" s="1" t="s">
        <v>5170</v>
      </c>
      <c r="D1" s="1" t="s">
        <v>5171</v>
      </c>
      <c r="E1" s="1" t="s">
        <v>5172</v>
      </c>
      <c r="F1" s="1" t="s">
        <v>5173</v>
      </c>
      <c r="G1" s="1" t="s">
        <v>2281</v>
      </c>
      <c r="H1" s="1" t="s">
        <v>5174</v>
      </c>
      <c r="I1" s="1" t="s">
        <v>2282</v>
      </c>
      <c r="J1" s="1" t="s">
        <v>2283</v>
      </c>
    </row>
    <row r="2">
      <c r="A2" s="2" t="s">
        <v>5175</v>
      </c>
      <c r="B2" s="3" t="str">
        <f>A2</f>
        <v>catalog-v1</v>
      </c>
      <c r="C2" s="5">
        <f>COUNTIFS(CandidateStudyCatalog!A2:A999, "&lt;&gt;")</f>
        <v>95</v>
      </c>
      <c r="D2" s="5">
        <f>COUNTIFS(CandidateStudyCatalog!J2:J999, "imported")</f>
        <v>93</v>
      </c>
      <c r="E2" s="5">
        <f>COUNTIFS(CandidateStudyCatalog!J2:J999, "candidate")</f>
        <v>0</v>
      </c>
      <c r="F2" s="5">
        <f>COUNTIFS(CandidateStudyCatalog!J2:J999, "blocked")</f>
        <v>2</v>
      </c>
      <c r="G2" s="5">
        <f>COUNTIFS(CandidateStudyCatalog!P2:P999, TRUE())</f>
        <v>0</v>
      </c>
      <c r="H2" s="5">
        <f>COUNTIFS(CandidateStudyCatalog!J2:J999, "candidate",CandidateStudyCatalog!K2:K999, "&lt;=2")</f>
        <v>0</v>
      </c>
      <c r="I2" s="3" t="b">
        <f>AND(E2 &gt;= 20, G2 &gt;= 15)</f>
        <v>0</v>
      </c>
      <c r="J2" s="3" t="str">
        <f>IF(I2, _xlfn.CONCAT("READY: ", G2, " studies queued (", E2, " candidates)"), _xlfn.CONCAT("NOT READY: only ", G2, " encode-ready of ", E2, " candidates"))</f>
        <v>NOT READY: only 0 encode-ready of 0 candidates</v>
      </c>
    </row>
  </sheetData>
  <autoFilter ref="A1:J1"/>
  <headerFooter/>
  <legacyDrawing r:id="rId1"/>
</worksheet>
</file>

<file path=xl/worksheets/sheet2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8"/>
  <sheetViews>
    <sheetView workbookViewId="0">
      <pane ySplit="1" topLeftCell="A2" state="frozen" activePane="bottomLeft"/>
      <selection pane="bottomLeft" activeCell="A1" sqref="A1"/>
    </sheetView>
  </sheetViews>
  <sheetFormatPr defaultRowHeight="15"/>
  <cols>
    <col min="1" max="1" width="28.01057243347168" customWidth="1"/>
    <col min="2" max="2" width="28.01057243347168" customWidth="1"/>
    <col min="3" max="3" width="17.443378448486328" customWidth="1"/>
    <col min="4" max="4" width="17.443378448486328" customWidth="1"/>
    <col min="5" max="5" width="23.04976463317871" customWidth="1"/>
    <col min="6" max="6" width="23.669933319091797" customWidth="1"/>
    <col min="7" max="7" width="17.443378448486328" customWidth="1"/>
    <col min="8" max="8" width="17.443378448486328" customWidth="1"/>
    <col min="9" max="9" width="20.92730712890625" customWidth="1"/>
  </cols>
  <sheetData>
    <row r="1">
      <c r="A1" s="1" t="s">
        <v>5176</v>
      </c>
      <c r="B1" s="1" t="s">
        <v>1</v>
      </c>
      <c r="C1" s="1" t="s">
        <v>397</v>
      </c>
      <c r="D1" s="1" t="s">
        <v>5177</v>
      </c>
      <c r="E1" s="1" t="s">
        <v>5178</v>
      </c>
      <c r="F1" s="1" t="s">
        <v>5179</v>
      </c>
      <c r="G1" s="1" t="s">
        <v>5180</v>
      </c>
      <c r="H1" s="1" t="s">
        <v>5181</v>
      </c>
      <c r="I1" s="1" t="s">
        <v>5182</v>
      </c>
    </row>
    <row r="2">
      <c r="A2" s="2" t="s">
        <v>5183</v>
      </c>
      <c r="B2" s="3" t="str">
        <f>A2</f>
        <v>domain-target-medicine</v>
      </c>
      <c r="C2" s="2" t="s">
        <v>418</v>
      </c>
      <c r="D2" s="4">
        <v>8</v>
      </c>
      <c r="E2" s="5">
        <f>COUNTIFS(Studies!G2:G999, C2,Studies!H2:H999, FALSE())</f>
        <v>21</v>
      </c>
      <c r="F2" s="5">
        <f>COUNTIFS(CandidateStudyCatalog!G2:G999, C2,CandidateStudyCatalog!J2:J999, "candidate")</f>
        <v>0</v>
      </c>
      <c r="G2" s="5">
        <f>E2 + F2</f>
        <v>21</v>
      </c>
      <c r="H2" s="5">
        <f>MAX(0, D2 - G2)</f>
        <v>0</v>
      </c>
      <c r="I2" s="3" t="b">
        <f>G2 &lt; D2</f>
        <v>0</v>
      </c>
    </row>
    <row r="3">
      <c r="A3" s="2" t="s">
        <v>5184</v>
      </c>
      <c r="B3" s="3" t="str">
        <f>A3</f>
        <v>domain-target-epidemiology</v>
      </c>
      <c r="C3" s="2" t="s">
        <v>441</v>
      </c>
      <c r="D3" s="4">
        <v>10</v>
      </c>
      <c r="E3" s="5">
        <f>COUNTIFS(Studies!G2:G999, C3,Studies!H2:H999, FALSE())</f>
        <v>22</v>
      </c>
      <c r="F3" s="5">
        <f>COUNTIFS(CandidateStudyCatalog!G2:G999, C3,CandidateStudyCatalog!J2:J999, "candidate")</f>
        <v>0</v>
      </c>
      <c r="G3" s="5">
        <f>E3 + F3</f>
        <v>22</v>
      </c>
      <c r="H3" s="5">
        <f>MAX(0, D3 - G3)</f>
        <v>0</v>
      </c>
      <c r="I3" s="3" t="b">
        <f>G3 &lt; D3</f>
        <v>0</v>
      </c>
    </row>
    <row r="4">
      <c r="A4" s="2" t="s">
        <v>5185</v>
      </c>
      <c r="B4" s="3" t="str">
        <f>A4</f>
        <v>domain-target-legal</v>
      </c>
      <c r="C4" s="2" t="s">
        <v>446</v>
      </c>
      <c r="D4" s="4">
        <v>3</v>
      </c>
      <c r="E4" s="5">
        <f>COUNTIFS(Studies!G2:G999, C4,Studies!H2:H999, FALSE())</f>
        <v>7</v>
      </c>
      <c r="F4" s="5">
        <f>COUNTIFS(CandidateStudyCatalog!G2:G999, C4,CandidateStudyCatalog!J2:J999, "candidate")</f>
        <v>0</v>
      </c>
      <c r="G4" s="5">
        <f>E4 + F4</f>
        <v>7</v>
      </c>
      <c r="H4" s="5">
        <f>MAX(0, D4 - G4)</f>
        <v>0</v>
      </c>
      <c r="I4" s="3" t="b">
        <f>G4 &lt; D4</f>
        <v>0</v>
      </c>
    </row>
    <row r="5">
      <c r="A5" s="2" t="s">
        <v>5186</v>
      </c>
      <c r="B5" s="3" t="str">
        <f>A5</f>
        <v>domain-target-sports</v>
      </c>
      <c r="C5" s="2" t="s">
        <v>452</v>
      </c>
      <c r="D5" s="4">
        <v>4</v>
      </c>
      <c r="E5" s="5">
        <f>COUNTIFS(Studies!G2:G999, C5,Studies!H2:H999, FALSE())</f>
        <v>11</v>
      </c>
      <c r="F5" s="5">
        <f>COUNTIFS(CandidateStudyCatalog!G2:G999, C5,CandidateStudyCatalog!J2:J999, "candidate")</f>
        <v>0</v>
      </c>
      <c r="G5" s="5">
        <f>E5 + F5</f>
        <v>11</v>
      </c>
      <c r="H5" s="5">
        <f>MAX(0, D5 - G5)</f>
        <v>0</v>
      </c>
      <c r="I5" s="3" t="b">
        <f>G5 &lt; D5</f>
        <v>0</v>
      </c>
    </row>
    <row r="6">
      <c r="A6" s="2" t="s">
        <v>5187</v>
      </c>
      <c r="B6" s="3" t="str">
        <f>A6</f>
        <v>domain-target-education</v>
      </c>
      <c r="C6" s="2" t="s">
        <v>487</v>
      </c>
      <c r="D6" s="4">
        <v>4</v>
      </c>
      <c r="E6" s="5">
        <f>COUNTIFS(Studies!G2:G999, C6,Studies!H2:H999, FALSE())</f>
        <v>9</v>
      </c>
      <c r="F6" s="5">
        <f>COUNTIFS(CandidateStudyCatalog!G2:G999, C6,CandidateStudyCatalog!J2:J999, "candidate")</f>
        <v>0</v>
      </c>
      <c r="G6" s="5">
        <f>E6 + F6</f>
        <v>9</v>
      </c>
      <c r="H6" s="5">
        <f>MAX(0, D6 - G6)</f>
        <v>0</v>
      </c>
      <c r="I6" s="3" t="b">
        <f>G6 &lt; D6</f>
        <v>0</v>
      </c>
    </row>
    <row r="7">
      <c r="A7" s="2" t="s">
        <v>5188</v>
      </c>
      <c r="B7" s="3" t="str">
        <f>A7</f>
        <v>domain-target-economics</v>
      </c>
      <c r="C7" s="2" t="s">
        <v>546</v>
      </c>
      <c r="D7" s="4">
        <v>5</v>
      </c>
      <c r="E7" s="5">
        <f>COUNTIFS(Studies!G2:G999, C7,Studies!H2:H999, FALSE())</f>
        <v>8</v>
      </c>
      <c r="F7" s="5">
        <f>COUNTIFS(CandidateStudyCatalog!G2:G999, C7,CandidateStudyCatalog!J2:J999, "candidate")</f>
        <v>0</v>
      </c>
      <c r="G7" s="5">
        <f>E7 + F7</f>
        <v>8</v>
      </c>
      <c r="H7" s="5">
        <f>MAX(0, D7 - G7)</f>
        <v>0</v>
      </c>
      <c r="I7" s="3" t="b">
        <f>G7 &lt; D7</f>
        <v>0</v>
      </c>
    </row>
    <row r="8">
      <c r="A8" s="2" t="s">
        <v>5189</v>
      </c>
      <c r="B8" s="3" t="str">
        <f>A8</f>
        <v>domain-target-social-science</v>
      </c>
      <c r="C8" s="2" t="s">
        <v>432</v>
      </c>
      <c r="D8" s="4">
        <v>5</v>
      </c>
      <c r="E8" s="5">
        <f>COUNTIFS(Studies!G2:G999, C8,Studies!H2:H999, FALSE())</f>
        <v>13</v>
      </c>
      <c r="F8" s="5">
        <f>COUNTIFS(CandidateStudyCatalog!G2:G999, C8,CandidateStudyCatalog!J2:J999, "candidate")</f>
        <v>0</v>
      </c>
      <c r="G8" s="5">
        <f>E8 + F8</f>
        <v>13</v>
      </c>
      <c r="H8" s="5">
        <f>MAX(0, D8 - G8)</f>
        <v>0</v>
      </c>
      <c r="I8" s="3" t="b">
        <f>G8 &lt; D8</f>
        <v>0</v>
      </c>
    </row>
  </sheetData>
  <autoFilter ref="A1:I1"/>
  <headerFooter/>
  <legacyDrawing r:id="rId1"/>
</worksheet>
</file>

<file path=xl/worksheets/sheet2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9"/>
  <sheetViews>
    <sheetView workbookViewId="0">
      <pane ySplit="1" topLeftCell="A2" state="frozen" activePane="bottomLeft"/>
      <selection pane="bottomLeft" activeCell="A1" sqref="A1"/>
    </sheetView>
  </sheetViews>
  <sheetFormatPr defaultRowHeight="15"/>
  <cols>
    <col min="1" max="1" width="23.736316680908203" customWidth="1"/>
    <col min="2" max="2" width="23.736316680908203" customWidth="1"/>
    <col min="3" max="3" width="17.443378448486328" customWidth="1"/>
    <col min="4" max="4" width="22.82192611694336" customWidth="1"/>
    <col min="5" max="5" width="97.5819320678711" customWidth="1"/>
    <col min="6" max="6" width="72.90132904052734" customWidth="1"/>
    <col min="7" max="7" width="57.56122589111328" customWidth="1"/>
  </cols>
  <sheetData>
    <row r="1">
      <c r="A1" s="1" t="s">
        <v>5190</v>
      </c>
      <c r="B1" s="1" t="s">
        <v>1</v>
      </c>
      <c r="C1" s="1" t="s">
        <v>4716</v>
      </c>
      <c r="D1" s="1" t="s">
        <v>4713</v>
      </c>
      <c r="E1" s="1" t="s">
        <v>5191</v>
      </c>
      <c r="F1" s="1" t="s">
        <v>3134</v>
      </c>
      <c r="G1" s="1" t="s">
        <v>4715</v>
      </c>
    </row>
    <row r="2">
      <c r="A2" s="2" t="s">
        <v>5192</v>
      </c>
      <c r="B2" s="3" t="str">
        <f>A2</f>
        <v>import-step-studies</v>
      </c>
      <c r="C2" s="4">
        <v>1</v>
      </c>
      <c r="D2" s="2" t="s">
        <v>3077</v>
      </c>
      <c r="E2" s="2" t="s">
        <v>5193</v>
      </c>
      <c r="F2" s="2" t="s">
        <v>5194</v>
      </c>
      <c r="G2" s="2" t="s">
        <v>5195</v>
      </c>
    </row>
    <row r="3">
      <c r="A3" s="2" t="s">
        <v>5196</v>
      </c>
      <c r="B3" s="3" t="str">
        <f>A3</f>
        <v>import-step-stratum-var</v>
      </c>
      <c r="C3" s="4">
        <v>2</v>
      </c>
      <c r="D3" s="2" t="s">
        <v>3096</v>
      </c>
      <c r="E3" s="2" t="s">
        <v>5197</v>
      </c>
      <c r="F3" s="2" t="s">
        <v>5198</v>
      </c>
      <c r="G3" s="2" t="s">
        <v>4773</v>
      </c>
    </row>
    <row r="4">
      <c r="A4" s="2" t="s">
        <v>5199</v>
      </c>
      <c r="B4" s="3" t="str">
        <f>A4</f>
        <v>import-step-treatments</v>
      </c>
      <c r="C4" s="4">
        <v>3</v>
      </c>
      <c r="D4" s="2" t="s">
        <v>4768</v>
      </c>
      <c r="E4" s="2" t="s">
        <v>5200</v>
      </c>
      <c r="F4" s="2" t="s">
        <v>5201</v>
      </c>
      <c r="G4" s="2" t="s">
        <v>5202</v>
      </c>
    </row>
    <row r="5">
      <c r="A5" s="2" t="s">
        <v>5203</v>
      </c>
      <c r="B5" s="3" t="str">
        <f>A5</f>
        <v>import-step-strata</v>
      </c>
      <c r="C5" s="4">
        <v>4</v>
      </c>
      <c r="D5" s="2" t="s">
        <v>3264</v>
      </c>
      <c r="E5" s="2" t="s">
        <v>5204</v>
      </c>
      <c r="F5" s="2" t="s">
        <v>5205</v>
      </c>
      <c r="G5" s="2" t="s">
        <v>5206</v>
      </c>
    </row>
    <row r="6">
      <c r="A6" s="2" t="s">
        <v>5207</v>
      </c>
      <c r="B6" s="3" t="str">
        <f>A6</f>
        <v>import-step-casecells</v>
      </c>
      <c r="C6" s="4">
        <v>5</v>
      </c>
      <c r="D6" s="2" t="s">
        <v>3193</v>
      </c>
      <c r="E6" s="2" t="s">
        <v>5208</v>
      </c>
      <c r="F6" s="2" t="s">
        <v>5209</v>
      </c>
      <c r="G6" s="2" t="s">
        <v>5210</v>
      </c>
    </row>
    <row r="7">
      <c r="A7" s="2" t="s">
        <v>5211</v>
      </c>
      <c r="B7" s="3" t="str">
        <f>A7</f>
        <v>import-step-catalog</v>
      </c>
      <c r="C7" s="4">
        <v>6</v>
      </c>
      <c r="D7" s="2" t="s">
        <v>2862</v>
      </c>
      <c r="E7" s="2" t="s">
        <v>5212</v>
      </c>
      <c r="F7" s="2" t="s">
        <v>5213</v>
      </c>
      <c r="G7" s="2" t="s">
        <v>5214</v>
      </c>
    </row>
    <row r="8">
      <c r="A8" s="2" t="s">
        <v>5215</v>
      </c>
      <c r="B8" s="3" t="str">
        <f>A8</f>
        <v>import-step-summaries</v>
      </c>
      <c r="C8" s="4">
        <v>7</v>
      </c>
      <c r="D8" s="2" t="s">
        <v>35</v>
      </c>
      <c r="E8" s="2" t="s">
        <v>5216</v>
      </c>
      <c r="F8" s="2" t="s">
        <v>5217</v>
      </c>
      <c r="G8" s="2" t="s">
        <v>5218</v>
      </c>
    </row>
    <row r="9">
      <c r="A9" s="2" t="s">
        <v>5219</v>
      </c>
      <c r="B9" s="3" t="str">
        <f>A9</f>
        <v>import-step-rankings</v>
      </c>
      <c r="C9" s="4">
        <v>8</v>
      </c>
      <c r="D9" s="2" t="s">
        <v>41</v>
      </c>
      <c r="E9" s="2" t="s">
        <v>5220</v>
      </c>
      <c r="F9" s="2" t="s">
        <v>5221</v>
      </c>
      <c r="G9" s="2" t="s">
        <v>5222</v>
      </c>
    </row>
  </sheetData>
  <autoFilter ref="A1:G1"/>
  <headerFooter/>
  <legacyDrawing r:id="rId1"/>
</worksheet>
</file>

<file path=xl/worksheets/sheet2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97"/>
  <sheetViews>
    <sheetView workbookViewId="0">
      <pane ySplit="1" topLeftCell="A2" state="frozen" activePane="bottomLeft"/>
      <selection pane="bottomLeft" activeCell="A1" sqref="A1"/>
    </sheetView>
  </sheetViews>
  <sheetFormatPr defaultRowHeight="15"/>
  <cols>
    <col min="1" max="1" width="33.19231414794922" customWidth="1"/>
    <col min="2" max="2" width="33.19231414794922" customWidth="1"/>
    <col min="3" max="3" width="33.19231414794922" customWidth="1"/>
    <col min="4" max="4" width="23.45095443725586" customWidth="1"/>
    <col min="5" max="5" width="21.438583374023438" customWidth="1"/>
    <col min="6" max="6" width="17.443378448486328" customWidth="1"/>
    <col min="7" max="7" width="17.443378448486328" customWidth="1"/>
    <col min="8" max="8" width="17.443378448486328" customWidth="1"/>
    <col min="9" max="9" width="17.443378448486328" customWidth="1"/>
    <col min="10" max="10" width="17.443378448486328" customWidth="1"/>
    <col min="11" max="11" width="17.443378448486328" customWidth="1"/>
    <col min="12" max="12" width="21.7531681060791" customWidth="1"/>
    <col min="13" max="13" width="20.751081466674805" customWidth="1"/>
  </cols>
  <sheetData>
    <row r="1">
      <c r="A1" s="1" t="s">
        <v>5223</v>
      </c>
      <c r="B1" s="1" t="s">
        <v>1</v>
      </c>
      <c r="C1" s="1" t="s">
        <v>393</v>
      </c>
      <c r="D1" s="1" t="s">
        <v>4256</v>
      </c>
      <c r="E1" s="1" t="s">
        <v>3276</v>
      </c>
      <c r="F1" s="1" t="s">
        <v>3281</v>
      </c>
      <c r="G1" s="1" t="s">
        <v>3282</v>
      </c>
      <c r="H1" s="1" t="s">
        <v>3279</v>
      </c>
      <c r="I1" s="1" t="s">
        <v>3280</v>
      </c>
      <c r="J1" s="1" t="s">
        <v>3283</v>
      </c>
      <c r="K1" s="1" t="s">
        <v>3284</v>
      </c>
      <c r="L1" s="1" t="s">
        <v>5224</v>
      </c>
      <c r="M1" s="1" t="s">
        <v>3288</v>
      </c>
    </row>
    <row r="2">
      <c r="A2" s="2" t="s">
        <v>414</v>
      </c>
      <c r="B2" s="3" t="str">
        <f>A2</f>
        <v>kidney-1986</v>
      </c>
      <c r="C2" s="2" t="s">
        <v>414</v>
      </c>
      <c r="D2" s="2" t="s">
        <v>1155</v>
      </c>
      <c r="E2" s="2">
        <v>343</v>
      </c>
      <c r="F2" s="2">
        <v>0.730038</v>
      </c>
      <c r="G2" s="2">
        <v>0.6875</v>
      </c>
      <c r="H2" s="2">
        <v>87</v>
      </c>
      <c r="I2" s="2">
        <v>270</v>
      </c>
      <c r="J2" s="2">
        <v>0.931034</v>
      </c>
      <c r="K2" s="2">
        <v>0.866667</v>
      </c>
      <c r="L2" s="2">
        <v>0.766764</v>
      </c>
      <c r="M2" s="2">
        <v>0.053671</v>
      </c>
    </row>
    <row r="3">
      <c r="A3" s="2" t="s">
        <v>420</v>
      </c>
      <c r="B3" s="3" t="str">
        <f>A3</f>
        <v>balanced-synthetic</v>
      </c>
      <c r="C3" s="2" t="s">
        <v>420</v>
      </c>
      <c r="D3" s="2" t="s">
        <v>1162</v>
      </c>
      <c r="E3" s="2">
        <v>200</v>
      </c>
      <c r="F3" s="2">
        <v>0.6</v>
      </c>
      <c r="G3" s="2">
        <v>0.5</v>
      </c>
      <c r="H3" s="2">
        <v>100</v>
      </c>
      <c r="I3" s="2">
        <v>100</v>
      </c>
      <c r="J3" s="2">
        <v>0.6</v>
      </c>
      <c r="K3" s="2">
        <v>0.5</v>
      </c>
      <c r="L3" s="2">
        <v>0.5</v>
      </c>
      <c r="M3" s="2">
        <v>0.1</v>
      </c>
    </row>
    <row r="4">
      <c r="A4" s="2" t="s">
        <v>425</v>
      </c>
      <c r="B4" s="3" t="str">
        <f>A4</f>
        <v>kidney-balanced</v>
      </c>
      <c r="C4" s="2" t="s">
        <v>425</v>
      </c>
      <c r="D4" s="2" t="s">
        <v>1152</v>
      </c>
      <c r="E4" s="2">
        <v>350</v>
      </c>
      <c r="F4" s="2">
        <v>0.931429</v>
      </c>
      <c r="G4" s="2">
        <v>0.868571</v>
      </c>
      <c r="H4" s="2">
        <v>175</v>
      </c>
      <c r="I4" s="2">
        <v>175</v>
      </c>
      <c r="J4" s="2">
        <v>0.731429</v>
      </c>
      <c r="K4" s="2">
        <v>0.685714</v>
      </c>
      <c r="L4" s="2">
        <v>0.5</v>
      </c>
      <c r="M4" s="2">
        <v>0.054286</v>
      </c>
    </row>
    <row r="5">
      <c r="A5" s="2" t="s">
        <v>428</v>
      </c>
      <c r="B5" s="3" t="str">
        <f>A5</f>
        <v>berkeley-1973</v>
      </c>
      <c r="C5" s="2" t="s">
        <v>428</v>
      </c>
      <c r="D5" s="2" t="s">
        <v>1171</v>
      </c>
      <c r="E5" s="2">
        <v>585</v>
      </c>
      <c r="F5" s="2">
        <v>0.630357</v>
      </c>
      <c r="G5" s="2">
        <v>0.68</v>
      </c>
      <c r="H5" s="2">
        <v>1567</v>
      </c>
      <c r="I5" s="2">
        <v>1076</v>
      </c>
      <c r="J5" s="2">
        <v>0.491385</v>
      </c>
      <c r="K5" s="2">
        <v>0.392193</v>
      </c>
      <c r="L5" s="2">
        <v>0.957265</v>
      </c>
      <c r="M5" s="2">
        <v>-0.064189</v>
      </c>
    </row>
    <row r="6">
      <c r="A6" s="2" t="s">
        <v>434</v>
      </c>
      <c r="B6" s="3" t="str">
        <f>A6</f>
        <v>compressed-synthetic</v>
      </c>
      <c r="C6" s="2" t="s">
        <v>434</v>
      </c>
      <c r="D6" s="2" t="s">
        <v>1165</v>
      </c>
      <c r="E6" s="2">
        <v>200</v>
      </c>
      <c r="F6" s="2">
        <v>0.7</v>
      </c>
      <c r="G6" s="2">
        <v>0.6</v>
      </c>
      <c r="H6" s="2">
        <v>80</v>
      </c>
      <c r="I6" s="2">
        <v>120</v>
      </c>
      <c r="J6" s="2">
        <v>0.9</v>
      </c>
      <c r="K6" s="2">
        <v>0.8</v>
      </c>
      <c r="L6" s="2">
        <v>0.6</v>
      </c>
      <c r="M6" s="2">
        <v>0.1</v>
      </c>
    </row>
    <row r="7">
      <c r="A7" s="2" t="s">
        <v>437</v>
      </c>
      <c r="B7" s="3" t="str">
        <f>A7</f>
        <v>reintjes-2000</v>
      </c>
      <c r="C7" s="2" t="s">
        <v>437</v>
      </c>
      <c r="D7" s="2" t="s">
        <v>1187</v>
      </c>
      <c r="E7" s="2">
        <v>1686</v>
      </c>
      <c r="F7" s="2">
        <v>0.13253</v>
      </c>
      <c r="G7" s="2">
        <v>0.065132</v>
      </c>
      <c r="H7" s="2">
        <v>1113</v>
      </c>
      <c r="I7" s="2">
        <v>720</v>
      </c>
      <c r="J7" s="2">
        <v>0.017969</v>
      </c>
      <c r="K7" s="2">
        <v>0.006944</v>
      </c>
      <c r="L7" s="2">
        <v>0.098458</v>
      </c>
      <c r="M7" s="2">
        <v>0.038034</v>
      </c>
    </row>
    <row r="8">
      <c r="A8" s="2" t="s">
        <v>442</v>
      </c>
      <c r="B8" s="3" t="str">
        <f>A8</f>
        <v>radelet-1981</v>
      </c>
      <c r="C8" s="2" t="s">
        <v>442</v>
      </c>
      <c r="D8" s="2" t="s">
        <v>1193</v>
      </c>
      <c r="E8" s="2">
        <v>112</v>
      </c>
      <c r="F8" s="2">
        <v>0</v>
      </c>
      <c r="G8" s="2">
        <v>0.058252</v>
      </c>
      <c r="H8" s="2">
        <v>151</v>
      </c>
      <c r="I8" s="2">
        <v>63</v>
      </c>
      <c r="J8" s="2">
        <v>0.125828</v>
      </c>
      <c r="K8" s="2">
        <v>0.174603</v>
      </c>
      <c r="L8" s="2">
        <v>0.080357</v>
      </c>
      <c r="M8" s="2">
        <v>-0.052031</v>
      </c>
    </row>
    <row r="9">
      <c r="A9" s="2" t="s">
        <v>448</v>
      </c>
      <c r="B9" s="3" t="str">
        <f>A9</f>
        <v>jeter-justice-1997</v>
      </c>
      <c r="C9" s="2" t="s">
        <v>448</v>
      </c>
      <c r="D9" s="2" t="s">
        <v>1196</v>
      </c>
      <c r="E9" s="2">
        <v>459</v>
      </c>
      <c r="F9" s="2">
        <v>0.25</v>
      </c>
      <c r="G9" s="2">
        <v>0.253041</v>
      </c>
      <c r="H9" s="2">
        <v>1236</v>
      </c>
      <c r="I9" s="2">
        <v>635</v>
      </c>
      <c r="J9" s="2">
        <v>0.30178</v>
      </c>
      <c r="K9" s="2">
        <v>0.327559</v>
      </c>
      <c r="L9" s="2">
        <v>0.104575</v>
      </c>
      <c r="M9" s="2">
        <v>-0.021887</v>
      </c>
    </row>
    <row r="10">
      <c r="A10" s="2" t="s">
        <v>453</v>
      </c>
      <c r="B10" s="3" t="str">
        <f>A10</f>
        <v>appleton-1996</v>
      </c>
      <c r="C10" s="2" t="s">
        <v>453</v>
      </c>
      <c r="D10" s="2" t="s">
        <v>1223</v>
      </c>
      <c r="E10" s="2">
        <v>77</v>
      </c>
      <c r="F10" s="2">
        <v>1</v>
      </c>
      <c r="G10" s="2">
        <v>1</v>
      </c>
      <c r="H10" s="2">
        <v>569</v>
      </c>
      <c r="I10" s="2">
        <v>668</v>
      </c>
      <c r="J10" s="2">
        <v>0.221441</v>
      </c>
      <c r="K10" s="2">
        <v>0.248503</v>
      </c>
      <c r="L10" s="2">
        <v>0.168831</v>
      </c>
      <c r="M10" s="2">
        <v>0.043896</v>
      </c>
    </row>
    <row r="11">
      <c r="A11" s="2" t="s">
        <v>457</v>
      </c>
      <c r="B11" s="3" t="str">
        <f>A11</f>
        <v>phe-covid-2021</v>
      </c>
      <c r="C11" s="2" t="s">
        <v>457</v>
      </c>
      <c r="D11" s="2" t="s">
        <v>1229</v>
      </c>
      <c r="E11" s="2">
        <v>30747</v>
      </c>
      <c r="F11" s="2">
        <v>0.016845</v>
      </c>
      <c r="G11" s="2">
        <v>0.059593</v>
      </c>
      <c r="H11" s="2">
        <v>89807</v>
      </c>
      <c r="I11" s="2">
        <v>147612</v>
      </c>
      <c r="J11" s="2">
        <v>0.000234</v>
      </c>
      <c r="K11" s="2">
        <v>0.000325</v>
      </c>
      <c r="L11" s="2">
        <v>0.888119</v>
      </c>
      <c r="M11" s="2">
        <v>-0.004982</v>
      </c>
    </row>
    <row r="12">
      <c r="A12" s="2" t="s">
        <v>462</v>
      </c>
      <c r="B12" s="3" t="str">
        <f>A12</f>
        <v>hannan-1994</v>
      </c>
      <c r="C12" s="2" t="s">
        <v>462</v>
      </c>
      <c r="D12" s="2" t="s">
        <v>1232</v>
      </c>
      <c r="E12" s="2">
        <v>570</v>
      </c>
      <c r="F12" s="2">
        <v>0.95102</v>
      </c>
      <c r="G12" s="2">
        <v>0.8</v>
      </c>
      <c r="H12" s="2">
        <v>210</v>
      </c>
      <c r="I12" s="2">
        <v>320</v>
      </c>
      <c r="J12" s="2">
        <v>0.990476</v>
      </c>
      <c r="K12" s="2">
        <v>0.96875</v>
      </c>
      <c r="L12" s="2">
        <v>0.859649</v>
      </c>
      <c r="M12" s="2">
        <v>0.088724</v>
      </c>
    </row>
    <row r="13">
      <c r="A13" s="2" t="s">
        <v>466</v>
      </c>
      <c r="B13" s="3" t="str">
        <f>A13</f>
        <v>titanic-1912</v>
      </c>
      <c r="C13" s="2" t="s">
        <v>466</v>
      </c>
      <c r="D13" s="2" t="s">
        <v>1238</v>
      </c>
      <c r="E13" s="2">
        <v>637</v>
      </c>
      <c r="F13" s="2">
        <v>0.325714</v>
      </c>
      <c r="G13" s="2">
        <v>0.162338</v>
      </c>
      <c r="H13" s="2">
        <v>144</v>
      </c>
      <c r="I13" s="2">
        <v>165</v>
      </c>
      <c r="J13" s="2">
        <v>0.965278</v>
      </c>
      <c r="K13" s="2">
        <v>0.460606</v>
      </c>
      <c r="L13" s="2">
        <v>0.274725</v>
      </c>
      <c r="M13" s="2">
        <v>0.274857</v>
      </c>
    </row>
    <row r="14">
      <c r="A14" s="2" t="s">
        <v>470</v>
      </c>
      <c r="B14" s="3" t="str">
        <f>A14</f>
        <v>birth-weight-paradox</v>
      </c>
      <c r="C14" s="2" t="s">
        <v>470</v>
      </c>
      <c r="D14" s="2" t="s">
        <v>1247</v>
      </c>
      <c r="E14" s="2">
        <v>6000</v>
      </c>
      <c r="F14" s="2">
        <v>0.995</v>
      </c>
      <c r="G14" s="2">
        <v>0.996</v>
      </c>
      <c r="H14" s="2">
        <v>1000</v>
      </c>
      <c r="I14" s="2">
        <v>500</v>
      </c>
      <c r="J14" s="2">
        <v>0.96</v>
      </c>
      <c r="K14" s="2">
        <v>0.94</v>
      </c>
      <c r="L14" s="2">
        <v>0.166667</v>
      </c>
      <c r="M14" s="2">
        <v>0.0032</v>
      </c>
    </row>
    <row r="15">
      <c r="A15" s="2" t="s">
        <v>475</v>
      </c>
      <c r="B15" s="3" t="str">
        <f>A15</f>
        <v>melanoma-altman-1991</v>
      </c>
      <c r="C15" s="2" t="s">
        <v>475</v>
      </c>
      <c r="D15" s="2" t="s">
        <v>1253</v>
      </c>
      <c r="E15" s="2">
        <v>180</v>
      </c>
      <c r="F15" s="2">
        <v>0.65</v>
      </c>
      <c r="G15" s="2">
        <v>0.55</v>
      </c>
      <c r="H15" s="2">
        <v>140</v>
      </c>
      <c r="I15" s="2">
        <v>80</v>
      </c>
      <c r="J15" s="2">
        <v>0.95</v>
      </c>
      <c r="K15" s="2">
        <v>0.875</v>
      </c>
      <c r="L15" s="2">
        <v>0.333333</v>
      </c>
      <c r="M15" s="2">
        <v>0.08625</v>
      </c>
    </row>
    <row r="16">
      <c r="A16" s="2" t="s">
        <v>479</v>
      </c>
      <c r="B16" s="3" t="str">
        <f>A16</f>
        <v>coffee-tverdal-2020</v>
      </c>
      <c r="C16" s="2" t="s">
        <v>479</v>
      </c>
      <c r="D16" s="2" t="s">
        <v>1256</v>
      </c>
      <c r="E16" s="2">
        <v>2000</v>
      </c>
      <c r="F16" s="2">
        <v>0.92</v>
      </c>
      <c r="G16" s="2">
        <v>0.89</v>
      </c>
      <c r="H16" s="2">
        <v>1000</v>
      </c>
      <c r="I16" s="2">
        <v>1000</v>
      </c>
      <c r="J16" s="2">
        <v>0.82</v>
      </c>
      <c r="K16" s="2">
        <v>0.8</v>
      </c>
      <c r="L16" s="2">
        <v>0.5</v>
      </c>
      <c r="M16" s="2">
        <v>0.025</v>
      </c>
    </row>
    <row r="17">
      <c r="A17" s="2" t="s">
        <v>483</v>
      </c>
      <c r="B17" s="3" t="str">
        <f>A17</f>
        <v>sat-wainer-1986</v>
      </c>
      <c r="C17" s="2" t="s">
        <v>483</v>
      </c>
      <c r="D17" s="2" t="s">
        <v>1265</v>
      </c>
      <c r="E17" s="2">
        <v>450</v>
      </c>
      <c r="F17" s="2">
        <v>0.7</v>
      </c>
      <c r="G17" s="2">
        <v>0.8</v>
      </c>
      <c r="H17" s="2">
        <v>600</v>
      </c>
      <c r="I17" s="2">
        <v>100</v>
      </c>
      <c r="J17" s="2">
        <v>0.4</v>
      </c>
      <c r="K17" s="2">
        <v>0.35</v>
      </c>
      <c r="L17" s="2">
        <v>0.888889</v>
      </c>
      <c r="M17" s="2">
        <v>-0.008696</v>
      </c>
    </row>
    <row r="18">
      <c r="A18" s="2" t="s">
        <v>488</v>
      </c>
      <c r="B18" s="3" t="str">
        <f>A18</f>
        <v>rogers-nicewander-1988</v>
      </c>
      <c r="C18" s="2" t="s">
        <v>488</v>
      </c>
      <c r="D18" s="2" t="s">
        <v>1268</v>
      </c>
      <c r="E18" s="2">
        <v>39</v>
      </c>
      <c r="F18" s="2">
        <v>0.37931</v>
      </c>
      <c r="G18" s="2">
        <v>0.4</v>
      </c>
      <c r="H18" s="2">
        <v>7</v>
      </c>
      <c r="I18" s="2">
        <v>12</v>
      </c>
      <c r="J18" s="2">
        <v>0.142857</v>
      </c>
      <c r="K18" s="2">
        <v>0.166667</v>
      </c>
      <c r="L18" s="2">
        <v>0.74359</v>
      </c>
      <c r="M18" s="2">
        <v>-0.021712</v>
      </c>
    </row>
    <row r="19">
      <c r="A19" s="2" t="s">
        <v>492</v>
      </c>
      <c r="B19" s="3" t="str">
        <f>A19</f>
        <v>lucente-baseball-1995</v>
      </c>
      <c r="C19" s="2" t="s">
        <v>492</v>
      </c>
      <c r="D19" s="2" t="s">
        <v>1277</v>
      </c>
      <c r="E19" s="2">
        <v>350</v>
      </c>
      <c r="F19" s="2">
        <v>0.3</v>
      </c>
      <c r="G19" s="2">
        <v>0.275</v>
      </c>
      <c r="H19" s="2">
        <v>180</v>
      </c>
      <c r="I19" s="2">
        <v>160</v>
      </c>
      <c r="J19" s="2">
        <v>0.288889</v>
      </c>
      <c r="K19" s="2">
        <v>0.3</v>
      </c>
      <c r="L19" s="2">
        <v>0.428571</v>
      </c>
      <c r="M19" s="2">
        <v>0.007206</v>
      </c>
    </row>
    <row r="20">
      <c r="A20" s="2" t="s">
        <v>495</v>
      </c>
      <c r="B20" s="3" t="str">
        <f>A20</f>
        <v>wilson-batting-2000</v>
      </c>
      <c r="C20" s="2" t="s">
        <v>495</v>
      </c>
      <c r="D20" s="2" t="s">
        <v>1283</v>
      </c>
      <c r="E20" s="2">
        <v>130</v>
      </c>
      <c r="F20" s="2">
        <v>0.25</v>
      </c>
      <c r="G20" s="2">
        <v>0.257143</v>
      </c>
      <c r="H20" s="2">
        <v>120</v>
      </c>
      <c r="I20" s="2">
        <v>130</v>
      </c>
      <c r="J20" s="2">
        <v>0.316667</v>
      </c>
      <c r="K20" s="2">
        <v>0.323077</v>
      </c>
      <c r="L20" s="2">
        <v>0.461538</v>
      </c>
      <c r="M20" s="2">
        <v>-0.006661</v>
      </c>
    </row>
    <row r="21">
      <c r="A21" s="2" t="s">
        <v>498</v>
      </c>
      <c r="B21" s="3" t="str">
        <f>A21</f>
        <v>clemens-bly-1998</v>
      </c>
      <c r="C21" s="2" t="s">
        <v>498</v>
      </c>
      <c r="D21" s="2" t="s">
        <v>1286</v>
      </c>
      <c r="E21" s="2">
        <v>190</v>
      </c>
      <c r="F21" s="2">
        <v>0.311111</v>
      </c>
      <c r="G21" s="2">
        <v>0.32</v>
      </c>
      <c r="H21" s="2">
        <v>50</v>
      </c>
      <c r="I21" s="2">
        <v>55</v>
      </c>
      <c r="J21" s="2">
        <v>0.24</v>
      </c>
      <c r="K21" s="2">
        <v>0.254545</v>
      </c>
      <c r="L21" s="2">
        <v>0.473684</v>
      </c>
      <c r="M21" s="2">
        <v>-0.010902</v>
      </c>
    </row>
    <row r="22">
      <c r="A22" s="2" t="s">
        <v>501</v>
      </c>
      <c r="B22" s="3" t="str">
        <f>A22</f>
        <v>open-university-1975</v>
      </c>
      <c r="C22" s="2" t="s">
        <v>501</v>
      </c>
      <c r="D22" s="2" t="s">
        <v>1292</v>
      </c>
      <c r="E22" s="2">
        <v>1773</v>
      </c>
      <c r="F22" s="2">
        <v>0.730503</v>
      </c>
      <c r="G22" s="2">
        <v>0.705977</v>
      </c>
      <c r="H22" s="2">
        <v>330</v>
      </c>
      <c r="I22" s="2">
        <v>420</v>
      </c>
      <c r="J22" s="2">
        <v>0.666667</v>
      </c>
      <c r="K22" s="2">
        <v>0.714286</v>
      </c>
      <c r="L22" s="2">
        <v>0.650874</v>
      </c>
      <c r="M22" s="2">
        <v>0.003323</v>
      </c>
    </row>
    <row r="23">
      <c r="A23" s="2" t="s">
        <v>504</v>
      </c>
      <c r="B23" s="3" t="str">
        <f>A23</f>
        <v>pisa-immigration-2015</v>
      </c>
      <c r="C23" s="2" t="s">
        <v>504</v>
      </c>
      <c r="D23" s="2" t="s">
        <v>1301</v>
      </c>
      <c r="E23" s="2">
        <v>620</v>
      </c>
      <c r="F23" s="2">
        <v>0.84</v>
      </c>
      <c r="G23" s="2">
        <v>0.666667</v>
      </c>
      <c r="H23" s="2">
        <v>400</v>
      </c>
      <c r="I23" s="2">
        <v>200</v>
      </c>
      <c r="J23" s="2">
        <v>0.7</v>
      </c>
      <c r="K23" s="2">
        <v>0.75</v>
      </c>
      <c r="L23" s="2">
        <v>0.806452</v>
      </c>
      <c r="M23" s="2">
        <v>0.063497</v>
      </c>
    </row>
    <row r="24">
      <c r="A24" s="2" t="s">
        <v>508</v>
      </c>
      <c r="B24" s="3" t="str">
        <f>A24</f>
        <v>wainer-sat-states-1992</v>
      </c>
      <c r="C24" s="2" t="s">
        <v>508</v>
      </c>
      <c r="D24" s="2" t="s">
        <v>1307</v>
      </c>
      <c r="E24" s="2">
        <v>750</v>
      </c>
      <c r="F24" s="2">
        <v>0.64</v>
      </c>
      <c r="G24" s="2">
        <v>0.72</v>
      </c>
      <c r="H24" s="2">
        <v>400</v>
      </c>
      <c r="I24" s="2">
        <v>200</v>
      </c>
      <c r="J24" s="2">
        <v>0.5</v>
      </c>
      <c r="K24" s="2">
        <v>0.75</v>
      </c>
      <c r="L24" s="2">
        <v>0.666667</v>
      </c>
      <c r="M24" s="2">
        <v>-0.155556</v>
      </c>
    </row>
    <row r="25">
      <c r="A25" s="2" t="s">
        <v>511</v>
      </c>
      <c r="B25" s="3" t="str">
        <f>A25</f>
        <v>folic-acid-neural-tube-1991</v>
      </c>
      <c r="C25" s="2" t="s">
        <v>511</v>
      </c>
      <c r="D25" s="2" t="s">
        <v>1313</v>
      </c>
      <c r="E25" s="2">
        <v>2700</v>
      </c>
      <c r="F25" s="2">
        <v>0</v>
      </c>
      <c r="G25" s="2">
        <v>0.001538</v>
      </c>
      <c r="H25" s="2">
        <v>704</v>
      </c>
      <c r="I25" s="2">
        <v>752</v>
      </c>
      <c r="J25" s="2">
        <v>0</v>
      </c>
      <c r="K25" s="2">
        <v>0.005319</v>
      </c>
      <c r="L25" s="2">
        <v>0.518519</v>
      </c>
      <c r="M25" s="2">
        <v>-0.002863</v>
      </c>
    </row>
    <row r="26">
      <c r="A26" s="2" t="s">
        <v>515</v>
      </c>
      <c r="B26" s="3" t="str">
        <f>A26</f>
        <v>steroid-asthma-severity</v>
      </c>
      <c r="C26" s="2" t="s">
        <v>515</v>
      </c>
      <c r="D26" s="2" t="s">
        <v>1322</v>
      </c>
      <c r="E26" s="2">
        <v>270</v>
      </c>
      <c r="F26" s="2">
        <v>0.5</v>
      </c>
      <c r="G26" s="2">
        <v>0.6</v>
      </c>
      <c r="H26" s="2">
        <v>200</v>
      </c>
      <c r="I26" s="2">
        <v>180</v>
      </c>
      <c r="J26" s="2">
        <v>0.9</v>
      </c>
      <c r="K26" s="2">
        <v>0.833333</v>
      </c>
      <c r="L26" s="2">
        <v>0.444444</v>
      </c>
      <c r="M26" s="2">
        <v>-0.002564</v>
      </c>
    </row>
    <row r="27">
      <c r="A27" s="2" t="s">
        <v>518</v>
      </c>
      <c r="B27" s="3" t="str">
        <f>A27</f>
        <v>kidney-dialysis-facility-1990</v>
      </c>
      <c r="C27" s="2" t="s">
        <v>518</v>
      </c>
      <c r="D27" s="2" t="s">
        <v>1325</v>
      </c>
      <c r="E27" s="2">
        <v>200</v>
      </c>
      <c r="F27" s="2">
        <v>0.85</v>
      </c>
      <c r="G27" s="2">
        <v>0.7</v>
      </c>
      <c r="H27" s="2">
        <v>100</v>
      </c>
      <c r="I27" s="2">
        <v>100</v>
      </c>
      <c r="J27" s="2">
        <v>0.92</v>
      </c>
      <c r="K27" s="2">
        <v>0.88</v>
      </c>
      <c r="L27" s="2">
        <v>0.5</v>
      </c>
      <c r="M27" s="2">
        <v>0.095</v>
      </c>
    </row>
    <row r="28">
      <c r="A28" s="2" t="s">
        <v>521</v>
      </c>
      <c r="B28" s="3" t="str">
        <f>A28</f>
        <v>warfarin-bleeding-age</v>
      </c>
      <c r="C28" s="2" t="s">
        <v>521</v>
      </c>
      <c r="D28" s="2" t="s">
        <v>1334</v>
      </c>
      <c r="E28" s="2">
        <v>500</v>
      </c>
      <c r="F28" s="2">
        <v>0.15</v>
      </c>
      <c r="G28" s="2">
        <v>0.1</v>
      </c>
      <c r="H28" s="2">
        <v>500</v>
      </c>
      <c r="I28" s="2">
        <v>400</v>
      </c>
      <c r="J28" s="2">
        <v>0.05</v>
      </c>
      <c r="K28" s="2">
        <v>0.0375</v>
      </c>
      <c r="L28" s="2">
        <v>0.6</v>
      </c>
      <c r="M28" s="2">
        <v>0.025893</v>
      </c>
    </row>
    <row r="29">
      <c r="A29" s="2" t="s">
        <v>524</v>
      </c>
      <c r="B29" s="3" t="str">
        <f>A29</f>
        <v>diabetes-metformin-bmi</v>
      </c>
      <c r="C29" s="2" t="s">
        <v>524</v>
      </c>
      <c r="D29" s="2" t="s">
        <v>1337</v>
      </c>
      <c r="E29" s="2">
        <v>400</v>
      </c>
      <c r="F29" s="2">
        <v>0.6</v>
      </c>
      <c r="G29" s="2">
        <v>0.65</v>
      </c>
      <c r="H29" s="2">
        <v>250</v>
      </c>
      <c r="I29" s="2">
        <v>250</v>
      </c>
      <c r="J29" s="2">
        <v>0.72</v>
      </c>
      <c r="K29" s="2">
        <v>0.56</v>
      </c>
      <c r="L29" s="2">
        <v>0.5</v>
      </c>
      <c r="M29" s="2">
        <v>0.066667</v>
      </c>
    </row>
    <row r="30">
      <c r="A30" s="2" t="s">
        <v>527</v>
      </c>
      <c r="B30" s="3" t="str">
        <f>A30</f>
        <v>oncology-trial-stage</v>
      </c>
      <c r="C30" s="2" t="s">
        <v>527</v>
      </c>
      <c r="D30" s="2" t="s">
        <v>1343</v>
      </c>
      <c r="E30" s="2">
        <v>360</v>
      </c>
      <c r="F30" s="2">
        <v>0.777778</v>
      </c>
      <c r="G30" s="2">
        <v>0.666667</v>
      </c>
      <c r="H30" s="2">
        <v>120</v>
      </c>
      <c r="I30" s="2">
        <v>120</v>
      </c>
      <c r="J30" s="2">
        <v>0.416667</v>
      </c>
      <c r="K30" s="2">
        <v>0.583333</v>
      </c>
      <c r="L30" s="2">
        <v>0.5</v>
      </c>
      <c r="M30" s="2">
        <v>0</v>
      </c>
    </row>
    <row r="31">
      <c r="A31" s="2" t="s">
        <v>530</v>
      </c>
      <c r="B31" s="3" t="str">
        <f>A31</f>
        <v>exercise-cholesterol-age</v>
      </c>
      <c r="C31" s="2" t="s">
        <v>530</v>
      </c>
      <c r="D31" s="2" t="s">
        <v>1352</v>
      </c>
      <c r="E31" s="2">
        <v>450</v>
      </c>
      <c r="F31" s="2">
        <v>0.4</v>
      </c>
      <c r="G31" s="2">
        <v>0.4</v>
      </c>
      <c r="H31" s="2">
        <v>300</v>
      </c>
      <c r="I31" s="2">
        <v>300</v>
      </c>
      <c r="J31" s="2">
        <v>0.666667</v>
      </c>
      <c r="K31" s="2">
        <v>0.4</v>
      </c>
      <c r="L31" s="2">
        <v>0.444444</v>
      </c>
      <c r="M31" s="2">
        <v>0.152381</v>
      </c>
    </row>
    <row r="32">
      <c r="A32" s="2" t="s">
        <v>533</v>
      </c>
      <c r="B32" s="3" t="str">
        <f>A32</f>
        <v>red-meat-colorectal-bmi</v>
      </c>
      <c r="C32" s="2" t="s">
        <v>533</v>
      </c>
      <c r="D32" s="2" t="s">
        <v>1358</v>
      </c>
      <c r="E32" s="2">
        <v>850</v>
      </c>
      <c r="F32" s="2">
        <v>0.1125</v>
      </c>
      <c r="G32" s="2">
        <v>0.077778</v>
      </c>
      <c r="H32" s="2">
        <v>500</v>
      </c>
      <c r="I32" s="2">
        <v>500</v>
      </c>
      <c r="J32" s="2">
        <v>0.06</v>
      </c>
      <c r="K32" s="2">
        <v>0.05</v>
      </c>
      <c r="L32" s="2">
        <v>0.470588</v>
      </c>
      <c r="M32" s="2">
        <v>0.021359</v>
      </c>
    </row>
    <row r="33">
      <c r="A33" s="2" t="s">
        <v>536</v>
      </c>
      <c r="B33" s="3" t="str">
        <f>A33</f>
        <v>folic-fortification-2000</v>
      </c>
      <c r="C33" s="2" t="s">
        <v>536</v>
      </c>
      <c r="D33" s="2" t="s">
        <v>1361</v>
      </c>
      <c r="E33" s="2">
        <v>2000</v>
      </c>
      <c r="F33" s="2">
        <v>0.98</v>
      </c>
      <c r="G33" s="2">
        <v>0.96</v>
      </c>
      <c r="H33" s="2">
        <v>2000</v>
      </c>
      <c r="I33" s="2">
        <v>2000</v>
      </c>
      <c r="J33" s="2">
        <v>0.9675</v>
      </c>
      <c r="K33" s="2">
        <v>0.945</v>
      </c>
      <c r="L33" s="2">
        <v>0.5</v>
      </c>
      <c r="M33" s="2">
        <v>0.021667</v>
      </c>
    </row>
    <row r="34">
      <c r="A34" s="2" t="s">
        <v>539</v>
      </c>
      <c r="B34" s="3" t="str">
        <f>A34</f>
        <v>north-carolina-death-penalty-1990</v>
      </c>
      <c r="C34" s="2" t="s">
        <v>539</v>
      </c>
      <c r="D34" s="2" t="s">
        <v>1193</v>
      </c>
      <c r="E34" s="2">
        <v>105</v>
      </c>
      <c r="F34" s="2">
        <v>0.066667</v>
      </c>
      <c r="G34" s="2">
        <v>0.055556</v>
      </c>
      <c r="H34" s="2">
        <v>120</v>
      </c>
      <c r="I34" s="2">
        <v>55</v>
      </c>
      <c r="J34" s="2">
        <v>0.116667</v>
      </c>
      <c r="K34" s="2">
        <v>0.145455</v>
      </c>
      <c r="L34" s="2">
        <v>0.142857</v>
      </c>
      <c r="M34" s="2">
        <v>-0.013826</v>
      </c>
    </row>
    <row r="35">
      <c r="A35" s="2" t="s">
        <v>542</v>
      </c>
      <c r="B35" s="3" t="str">
        <f>A35</f>
        <v>housing-discrimination-audit</v>
      </c>
      <c r="C35" s="2" t="s">
        <v>542</v>
      </c>
      <c r="D35" s="2" t="s">
        <v>1374</v>
      </c>
      <c r="E35" s="2">
        <v>500</v>
      </c>
      <c r="F35" s="2">
        <v>0.72</v>
      </c>
      <c r="G35" s="2">
        <v>0.8</v>
      </c>
      <c r="H35" s="2">
        <v>250</v>
      </c>
      <c r="I35" s="2">
        <v>250</v>
      </c>
      <c r="J35" s="2">
        <v>0.48</v>
      </c>
      <c r="K35" s="2">
        <v>0.64</v>
      </c>
      <c r="L35" s="2">
        <v>0.5</v>
      </c>
      <c r="M35" s="2">
        <v>-0.12</v>
      </c>
    </row>
    <row r="36">
      <c r="A36" s="2" t="s">
        <v>547</v>
      </c>
      <c r="B36" s="3" t="str">
        <f>A36</f>
        <v>gender-pay-gap-industry</v>
      </c>
      <c r="C36" s="2" t="s">
        <v>547</v>
      </c>
      <c r="D36" s="2" t="s">
        <v>1380</v>
      </c>
      <c r="E36" s="2">
        <v>1000</v>
      </c>
      <c r="F36" s="2">
        <v>0.7</v>
      </c>
      <c r="G36" s="2">
        <v>0.7</v>
      </c>
      <c r="H36" s="2">
        <v>800</v>
      </c>
      <c r="I36" s="2">
        <v>1000</v>
      </c>
      <c r="J36" s="2">
        <v>0.4375</v>
      </c>
      <c r="K36" s="2">
        <v>0.63</v>
      </c>
      <c r="L36" s="2">
        <v>0.6</v>
      </c>
      <c r="M36" s="2">
        <v>-0.12375</v>
      </c>
    </row>
    <row r="37">
      <c r="A37" s="2" t="s">
        <v>551</v>
      </c>
      <c r="B37" s="3" t="str">
        <f>A37</f>
        <v>income-education-state</v>
      </c>
      <c r="C37" s="2" t="s">
        <v>551</v>
      </c>
      <c r="D37" s="2" t="s">
        <v>1389</v>
      </c>
      <c r="E37" s="2">
        <v>1800</v>
      </c>
      <c r="F37" s="2">
        <v>0.8</v>
      </c>
      <c r="G37" s="2">
        <v>0.5</v>
      </c>
      <c r="H37" s="2">
        <v>900</v>
      </c>
      <c r="I37" s="2">
        <v>900</v>
      </c>
      <c r="J37" s="2">
        <v>0.555556</v>
      </c>
      <c r="K37" s="2">
        <v>0.5</v>
      </c>
      <c r="L37" s="2">
        <v>0.555556</v>
      </c>
      <c r="M37" s="2">
        <v>0.177778</v>
      </c>
    </row>
    <row r="38">
      <c r="A38" s="2" t="s">
        <v>555</v>
      </c>
      <c r="B38" s="3" t="str">
        <f>A38</f>
        <v>florida-reef-fish-1994</v>
      </c>
      <c r="C38" s="2" t="s">
        <v>555</v>
      </c>
      <c r="D38" s="2" t="s">
        <v>1395</v>
      </c>
      <c r="E38" s="2">
        <v>1200</v>
      </c>
      <c r="F38" s="2">
        <v>0.75</v>
      </c>
      <c r="G38" s="2">
        <v>0.633333</v>
      </c>
      <c r="H38" s="2">
        <v>200</v>
      </c>
      <c r="I38" s="2">
        <v>200</v>
      </c>
      <c r="J38" s="2">
        <v>0.6</v>
      </c>
      <c r="K38" s="2">
        <v>0.75</v>
      </c>
      <c r="L38" s="2">
        <v>0.5</v>
      </c>
      <c r="M38" s="2">
        <v>0.05</v>
      </c>
    </row>
    <row r="39">
      <c r="A39" s="2" t="s">
        <v>558</v>
      </c>
      <c r="B39" s="3" t="str">
        <f>A39</f>
        <v>uc-irvine-admissions-1985</v>
      </c>
      <c r="C39" s="2" t="s">
        <v>558</v>
      </c>
      <c r="D39" s="2" t="s">
        <v>1401</v>
      </c>
      <c r="E39" s="2">
        <v>600</v>
      </c>
      <c r="F39" s="2">
        <v>0.3</v>
      </c>
      <c r="G39" s="2">
        <v>0.2</v>
      </c>
      <c r="H39" s="2">
        <v>750</v>
      </c>
      <c r="I39" s="2">
        <v>830</v>
      </c>
      <c r="J39" s="2">
        <v>0.36</v>
      </c>
      <c r="K39" s="2">
        <v>0.481928</v>
      </c>
      <c r="L39" s="2">
        <v>0.666667</v>
      </c>
      <c r="M39" s="2">
        <v>-0.057602</v>
      </c>
    </row>
    <row r="40">
      <c r="A40" s="2" t="s">
        <v>561</v>
      </c>
      <c r="B40" s="3" t="str">
        <f>A40</f>
        <v>cesarean-birth-weight-2006</v>
      </c>
      <c r="C40" s="2" t="s">
        <v>561</v>
      </c>
      <c r="D40" s="2" t="s">
        <v>1413</v>
      </c>
      <c r="E40" s="2">
        <v>7000</v>
      </c>
      <c r="F40" s="2">
        <v>0.24</v>
      </c>
      <c r="G40" s="2">
        <v>0.4</v>
      </c>
      <c r="H40" s="2">
        <v>800</v>
      </c>
      <c r="I40" s="2">
        <v>600</v>
      </c>
      <c r="J40" s="2">
        <v>0.5</v>
      </c>
      <c r="K40" s="2">
        <v>0.583333</v>
      </c>
      <c r="L40" s="2">
        <v>0.714286</v>
      </c>
      <c r="M40" s="2">
        <v>-0.147222</v>
      </c>
    </row>
    <row r="41">
      <c r="A41" s="2" t="s">
        <v>565</v>
      </c>
      <c r="B41" s="3" t="str">
        <f>A41</f>
        <v>schizophrenia-antipsychotic</v>
      </c>
      <c r="C41" s="2" t="s">
        <v>565</v>
      </c>
      <c r="D41" s="2" t="s">
        <v>1419</v>
      </c>
      <c r="E41" s="2">
        <v>300</v>
      </c>
      <c r="F41" s="2">
        <v>0.6</v>
      </c>
      <c r="G41" s="2">
        <v>0.533333</v>
      </c>
      <c r="H41" s="2">
        <v>120</v>
      </c>
      <c r="I41" s="2">
        <v>120</v>
      </c>
      <c r="J41" s="2">
        <v>0.333333</v>
      </c>
      <c r="K41" s="2">
        <v>0.458333</v>
      </c>
      <c r="L41" s="2">
        <v>0.5</v>
      </c>
      <c r="M41" s="2">
        <v>-0.018519</v>
      </c>
    </row>
    <row r="42">
      <c r="A42" s="2" t="s">
        <v>568</v>
      </c>
      <c r="B42" s="3" t="str">
        <f>A42</f>
        <v>berkeley-six-dept-1973</v>
      </c>
      <c r="C42" s="2" t="s">
        <v>568</v>
      </c>
      <c r="D42" s="2" t="s">
        <v>1171</v>
      </c>
      <c r="E42" s="2">
        <v>585</v>
      </c>
      <c r="F42" s="2">
        <v>0.630357</v>
      </c>
      <c r="G42" s="2">
        <v>0.68</v>
      </c>
      <c r="H42" s="2">
        <v>2131</v>
      </c>
      <c r="I42" s="2">
        <v>1810</v>
      </c>
      <c r="J42" s="2">
        <v>0.396527</v>
      </c>
      <c r="K42" s="2">
        <v>0.298343</v>
      </c>
      <c r="L42" s="2">
        <v>0.957265</v>
      </c>
      <c r="M42" s="2">
        <v>-0.042637</v>
      </c>
    </row>
    <row r="43">
      <c r="A43" s="2" t="s">
        <v>572</v>
      </c>
      <c r="B43" s="3" t="str">
        <f>A43</f>
        <v>rosiglitazone-mi-pool-2007</v>
      </c>
      <c r="C43" s="2" t="s">
        <v>572</v>
      </c>
      <c r="D43" s="2" t="s">
        <v>1438</v>
      </c>
      <c r="E43" s="2">
        <v>15000</v>
      </c>
      <c r="F43" s="2">
        <v>0.0025</v>
      </c>
      <c r="G43" s="2">
        <v>0.006667</v>
      </c>
      <c r="H43" s="2">
        <v>3565</v>
      </c>
      <c r="I43" s="2">
        <v>9282</v>
      </c>
      <c r="J43" s="2">
        <v>0.015708</v>
      </c>
      <c r="K43" s="2">
        <v>0.005602</v>
      </c>
      <c r="L43" s="2">
        <v>0.8</v>
      </c>
      <c r="M43" s="2">
        <v>0.002418</v>
      </c>
    </row>
    <row r="44">
      <c r="A44" s="2" t="s">
        <v>576</v>
      </c>
      <c r="B44" s="3" t="str">
        <f>A44</f>
        <v>ironman-gender-age-2010</v>
      </c>
      <c r="C44" s="2" t="s">
        <v>576</v>
      </c>
      <c r="D44" s="2" t="s">
        <v>1444</v>
      </c>
      <c r="E44" s="2">
        <v>110</v>
      </c>
      <c r="F44" s="2">
        <v>0.8</v>
      </c>
      <c r="G44" s="2">
        <v>0.9</v>
      </c>
      <c r="H44" s="2">
        <v>10</v>
      </c>
      <c r="I44" s="2">
        <v>100</v>
      </c>
      <c r="J44" s="2">
        <v>0.5</v>
      </c>
      <c r="K44" s="2">
        <v>0.6</v>
      </c>
      <c r="L44" s="2">
        <v>0.909091</v>
      </c>
      <c r="M44" s="2">
        <v>-0.1</v>
      </c>
    </row>
    <row r="45">
      <c r="A45" s="2" t="s">
        <v>579</v>
      </c>
      <c r="B45" s="3" t="str">
        <f>A45</f>
        <v>hanley-power-lines-2000</v>
      </c>
      <c r="C45" s="2" t="s">
        <v>579</v>
      </c>
      <c r="D45" s="2" t="s">
        <v>1450</v>
      </c>
      <c r="E45" s="2">
        <v>137</v>
      </c>
      <c r="F45" s="2">
        <v>0.615385</v>
      </c>
      <c r="G45" s="2">
        <v>0.225806</v>
      </c>
      <c r="H45" s="2">
        <v>242</v>
      </c>
      <c r="I45" s="2">
        <v>1136</v>
      </c>
      <c r="J45" s="2">
        <v>0.140496</v>
      </c>
      <c r="K45" s="2">
        <v>0.086268</v>
      </c>
      <c r="L45" s="2">
        <v>0.094891</v>
      </c>
      <c r="M45" s="2">
        <v>0.084939</v>
      </c>
    </row>
    <row r="46">
      <c r="A46" s="2" t="s">
        <v>583</v>
      </c>
      <c r="B46" s="3" t="str">
        <f>A46</f>
        <v>coffee-smoking-lung-1968</v>
      </c>
      <c r="C46" s="2" t="s">
        <v>583</v>
      </c>
      <c r="D46" s="2" t="s">
        <v>1465</v>
      </c>
      <c r="E46" s="2">
        <v>866</v>
      </c>
      <c r="F46" s="2">
        <v>0.181234</v>
      </c>
      <c r="G46" s="2">
        <v>0.170455</v>
      </c>
      <c r="H46" s="2">
        <v>120</v>
      </c>
      <c r="I46" s="2">
        <v>130</v>
      </c>
      <c r="J46" s="2">
        <v>0.05</v>
      </c>
      <c r="K46" s="2">
        <v>0.061538</v>
      </c>
      <c r="L46" s="2">
        <v>0.898383</v>
      </c>
      <c r="M46" s="2">
        <v>0.00578</v>
      </c>
    </row>
    <row r="47">
      <c r="A47" s="2" t="s">
        <v>586</v>
      </c>
      <c r="B47" s="3" t="str">
        <f>A47</f>
        <v>panama-sweden-mortality-1975</v>
      </c>
      <c r="C47" s="2" t="s">
        <v>586</v>
      </c>
      <c r="D47" s="2" t="s">
        <v>1470</v>
      </c>
      <c r="E47" s="2">
        <v>600</v>
      </c>
      <c r="F47" s="2">
        <v>0.99</v>
      </c>
      <c r="G47" s="2">
        <v>0.986</v>
      </c>
      <c r="H47" s="2">
        <v>900</v>
      </c>
      <c r="I47" s="2">
        <v>500</v>
      </c>
      <c r="J47" s="2">
        <v>0.905556</v>
      </c>
      <c r="K47" s="2">
        <v>0.942</v>
      </c>
      <c r="L47" s="2">
        <v>0.166667</v>
      </c>
      <c r="M47" s="2">
        <v>0.016974</v>
      </c>
    </row>
    <row r="48">
      <c r="A48" s="2" t="s">
        <v>589</v>
      </c>
      <c r="B48" s="3" t="str">
        <f>A48</f>
        <v>hrt-whi-2002</v>
      </c>
      <c r="C48" s="2" t="s">
        <v>589</v>
      </c>
      <c r="D48" s="2" t="s">
        <v>1479</v>
      </c>
      <c r="E48" s="2">
        <v>20000</v>
      </c>
      <c r="F48" s="2">
        <v>0.095</v>
      </c>
      <c r="G48" s="2">
        <v>0.09</v>
      </c>
      <c r="H48" s="2">
        <v>95000</v>
      </c>
      <c r="I48" s="2">
        <v>95000</v>
      </c>
      <c r="J48" s="2">
        <v>0.089474</v>
      </c>
      <c r="K48" s="2">
        <v>0.094737</v>
      </c>
      <c r="L48" s="2">
        <v>0.5</v>
      </c>
      <c r="M48" s="2">
        <v>-0.004286</v>
      </c>
    </row>
    <row r="49">
      <c r="A49" s="2" t="s">
        <v>593</v>
      </c>
      <c r="B49" s="3" t="str">
        <f>A49</f>
        <v>obesity-paradox-hf</v>
      </c>
      <c r="C49" s="2" t="s">
        <v>593</v>
      </c>
      <c r="D49" s="2" t="s">
        <v>1485</v>
      </c>
      <c r="E49" s="2">
        <v>2000</v>
      </c>
      <c r="F49" s="2">
        <v>0.8</v>
      </c>
      <c r="G49" s="2">
        <v>0.9</v>
      </c>
      <c r="H49" s="2">
        <v>1000</v>
      </c>
      <c r="I49" s="2">
        <v>1000</v>
      </c>
      <c r="J49" s="2">
        <v>0.65</v>
      </c>
      <c r="K49" s="2">
        <v>0.5</v>
      </c>
      <c r="L49" s="2">
        <v>0.5</v>
      </c>
      <c r="M49" s="2">
        <v>0.025</v>
      </c>
    </row>
    <row r="50">
      <c r="A50" s="2" t="s">
        <v>597</v>
      </c>
      <c r="B50" s="3" t="str">
        <f>A50</f>
        <v>dialysis-bmi-survival</v>
      </c>
      <c r="C50" s="2" t="s">
        <v>597</v>
      </c>
      <c r="D50" s="2" t="s">
        <v>1491</v>
      </c>
      <c r="E50" s="2">
        <v>2000</v>
      </c>
      <c r="F50" s="2">
        <v>0.9</v>
      </c>
      <c r="G50" s="2">
        <v>0.95</v>
      </c>
      <c r="H50" s="2">
        <v>1000</v>
      </c>
      <c r="I50" s="2">
        <v>1000</v>
      </c>
      <c r="J50" s="2">
        <v>0.7</v>
      </c>
      <c r="K50" s="2">
        <v>0.6</v>
      </c>
      <c r="L50" s="2">
        <v>0.5</v>
      </c>
      <c r="M50" s="2">
        <v>0.025</v>
      </c>
    </row>
    <row r="51">
      <c r="A51" s="2" t="s">
        <v>601</v>
      </c>
      <c r="B51" s="3" t="str">
        <f>A51</f>
        <v>sick-quitter-alcohol</v>
      </c>
      <c r="C51" s="2" t="s">
        <v>601</v>
      </c>
      <c r="D51" s="2" t="s">
        <v>1497</v>
      </c>
      <c r="E51" s="2">
        <v>2000</v>
      </c>
      <c r="F51" s="2">
        <v>0.85</v>
      </c>
      <c r="G51" s="2">
        <v>0.88</v>
      </c>
      <c r="H51" s="2">
        <v>1000</v>
      </c>
      <c r="I51" s="2">
        <v>1000</v>
      </c>
      <c r="J51" s="2">
        <v>0.82</v>
      </c>
      <c r="K51" s="2">
        <v>0.75</v>
      </c>
      <c r="L51" s="2">
        <v>0.5</v>
      </c>
      <c r="M51" s="2">
        <v>0.02</v>
      </c>
    </row>
    <row r="52">
      <c r="A52" s="2" t="s">
        <v>605</v>
      </c>
      <c r="B52" s="3" t="str">
        <f>A52</f>
        <v>flu-vaccine-elderly-mortality</v>
      </c>
      <c r="C52" s="2" t="s">
        <v>605</v>
      </c>
      <c r="D52" s="2" t="s">
        <v>1503</v>
      </c>
      <c r="E52" s="2">
        <v>240000</v>
      </c>
      <c r="F52" s="2">
        <v>0.999767</v>
      </c>
      <c r="G52" s="2">
        <v>0.99968</v>
      </c>
      <c r="H52" s="2">
        <v>5000</v>
      </c>
      <c r="I52" s="2">
        <v>3000</v>
      </c>
      <c r="J52" s="2">
        <v>0.92</v>
      </c>
      <c r="K52" s="2">
        <v>0.833333</v>
      </c>
      <c r="L52" s="2">
        <v>0.375</v>
      </c>
      <c r="M52" s="2">
        <v>0.00288</v>
      </c>
    </row>
    <row r="53">
      <c r="A53" s="2" t="s">
        <v>609</v>
      </c>
      <c r="B53" s="3" t="str">
        <f>A53</f>
        <v>covid-italy-china-cfr-2020</v>
      </c>
      <c r="C53" s="2" t="s">
        <v>609</v>
      </c>
      <c r="D53" s="2" t="s">
        <v>1509</v>
      </c>
      <c r="E53" s="2">
        <v>51000</v>
      </c>
      <c r="F53" s="2">
        <v>0.99</v>
      </c>
      <c r="G53" s="2">
        <v>0.98</v>
      </c>
      <c r="H53" s="2">
        <v>2000</v>
      </c>
      <c r="I53" s="2">
        <v>400</v>
      </c>
      <c r="J53" s="2">
        <v>0.15</v>
      </c>
      <c r="K53" s="2">
        <v>0.8</v>
      </c>
      <c r="L53" s="2">
        <v>0.019608</v>
      </c>
      <c r="M53" s="2">
        <v>-0.019663</v>
      </c>
    </row>
    <row r="54">
      <c r="A54" s="2" t="s">
        <v>613</v>
      </c>
      <c r="B54" s="3" t="str">
        <f>A54</f>
        <v>israel-covid-severe-2021</v>
      </c>
      <c r="C54" s="2" t="s">
        <v>613</v>
      </c>
      <c r="D54" s="2" t="s">
        <v>1515</v>
      </c>
      <c r="E54" s="2">
        <v>152200</v>
      </c>
      <c r="F54" s="2">
        <v>0.025</v>
      </c>
      <c r="G54" s="2">
        <v>0.000331</v>
      </c>
      <c r="H54" s="2">
        <v>10000</v>
      </c>
      <c r="I54" s="2">
        <v>800</v>
      </c>
      <c r="J54" s="2">
        <v>0.04</v>
      </c>
      <c r="K54" s="2">
        <v>0.225</v>
      </c>
      <c r="L54" s="2">
        <v>0.00657</v>
      </c>
      <c r="M54" s="2">
        <v>0.010777</v>
      </c>
    </row>
    <row r="55">
      <c r="A55" s="2" t="s">
        <v>617</v>
      </c>
      <c r="B55" s="3" t="str">
        <f>A55</f>
        <v>cochran-smoking-1968</v>
      </c>
      <c r="C55" s="2" t="s">
        <v>617</v>
      </c>
      <c r="D55" s="2" t="s">
        <v>1331</v>
      </c>
      <c r="E55" s="2">
        <v>11000</v>
      </c>
      <c r="F55" s="2">
        <v>0.85</v>
      </c>
      <c r="G55" s="2">
        <v>0.9</v>
      </c>
      <c r="H55" s="2">
        <v>1000</v>
      </c>
      <c r="I55" s="2">
        <v>1000</v>
      </c>
      <c r="J55" s="2">
        <v>0.4</v>
      </c>
      <c r="K55" s="2">
        <v>0.5</v>
      </c>
      <c r="L55" s="2">
        <v>0.909091</v>
      </c>
      <c r="M55" s="2">
        <v>-0.057692</v>
      </c>
    </row>
    <row r="56">
      <c r="A56" s="2" t="s">
        <v>621</v>
      </c>
      <c r="B56" s="3" t="str">
        <f>A56</f>
        <v>healthy-worker-mortality</v>
      </c>
      <c r="C56" s="2" t="s">
        <v>621</v>
      </c>
      <c r="D56" s="2" t="s">
        <v>1526</v>
      </c>
      <c r="E56" s="2">
        <v>2000</v>
      </c>
      <c r="F56" s="2">
        <v>0.95</v>
      </c>
      <c r="G56" s="2">
        <v>0.9</v>
      </c>
      <c r="H56" s="2">
        <v>1000</v>
      </c>
      <c r="I56" s="2">
        <v>1000</v>
      </c>
      <c r="J56" s="2">
        <v>0.85</v>
      </c>
      <c r="K56" s="2">
        <v>0.8</v>
      </c>
      <c r="L56" s="2">
        <v>0.5</v>
      </c>
      <c r="M56" s="2">
        <v>0.05</v>
      </c>
    </row>
    <row r="57">
      <c r="A57" s="2" t="s">
        <v>624</v>
      </c>
      <c r="B57" s="3" t="str">
        <f>A57</f>
        <v>compas-recidivism-base</v>
      </c>
      <c r="C57" s="2" t="s">
        <v>624</v>
      </c>
      <c r="D57" s="2" t="s">
        <v>1532</v>
      </c>
      <c r="E57" s="2">
        <v>2000</v>
      </c>
      <c r="F57" s="2">
        <v>0.7</v>
      </c>
      <c r="G57" s="2">
        <v>0.75</v>
      </c>
      <c r="H57" s="2">
        <v>1000</v>
      </c>
      <c r="I57" s="2">
        <v>1000</v>
      </c>
      <c r="J57" s="2">
        <v>0.45</v>
      </c>
      <c r="K57" s="2">
        <v>0.5</v>
      </c>
      <c r="L57" s="2">
        <v>0.5</v>
      </c>
      <c r="M57" s="2">
        <v>-0.05</v>
      </c>
    </row>
    <row r="58">
      <c r="A58" s="2" t="s">
        <v>629</v>
      </c>
      <c r="B58" s="3" t="str">
        <f>A58</f>
        <v>us-wage-composition-stagnation</v>
      </c>
      <c r="C58" s="2" t="s">
        <v>629</v>
      </c>
      <c r="D58" s="2" t="s">
        <v>1541</v>
      </c>
      <c r="E58" s="2">
        <v>11000</v>
      </c>
      <c r="F58" s="2">
        <v>0.4</v>
      </c>
      <c r="G58" s="2">
        <v>0.38</v>
      </c>
      <c r="H58" s="2">
        <v>10000</v>
      </c>
      <c r="I58" s="2">
        <v>10000</v>
      </c>
      <c r="J58" s="2">
        <v>0.55</v>
      </c>
      <c r="K58" s="2">
        <v>0.5</v>
      </c>
      <c r="L58" s="2">
        <v>0.636364</v>
      </c>
      <c r="M58" s="2">
        <v>0.039355</v>
      </c>
    </row>
    <row r="59">
      <c r="A59" s="2" t="s">
        <v>633</v>
      </c>
      <c r="B59" s="3" t="str">
        <f>A59</f>
        <v>borjas-immigrant-cohort</v>
      </c>
      <c r="C59" s="2" t="s">
        <v>633</v>
      </c>
      <c r="D59" s="2" t="s">
        <v>1544</v>
      </c>
      <c r="E59" s="2">
        <v>2000</v>
      </c>
      <c r="F59" s="2">
        <v>0.4</v>
      </c>
      <c r="G59" s="2">
        <v>0.45</v>
      </c>
      <c r="H59" s="2">
        <v>1000</v>
      </c>
      <c r="I59" s="2">
        <v>1000</v>
      </c>
      <c r="J59" s="2">
        <v>0.55</v>
      </c>
      <c r="K59" s="2">
        <v>0.52</v>
      </c>
      <c r="L59" s="2">
        <v>0.5</v>
      </c>
      <c r="M59" s="2">
        <v>-0.01</v>
      </c>
    </row>
    <row r="60">
      <c r="A60" s="2" t="s">
        <v>637</v>
      </c>
      <c r="B60" s="3" t="str">
        <f>A60</f>
        <v>robinson-1950-literacy</v>
      </c>
      <c r="C60" s="2" t="s">
        <v>637</v>
      </c>
      <c r="D60" s="2" t="s">
        <v>1550</v>
      </c>
      <c r="E60" s="2">
        <v>11000</v>
      </c>
      <c r="F60" s="2">
        <v>0.9</v>
      </c>
      <c r="G60" s="2">
        <v>0.95</v>
      </c>
      <c r="H60" s="2">
        <v>1000</v>
      </c>
      <c r="I60" s="2">
        <v>2000</v>
      </c>
      <c r="J60" s="2">
        <v>0.8</v>
      </c>
      <c r="K60" s="2">
        <v>0.7</v>
      </c>
      <c r="L60" s="2">
        <v>0.090909</v>
      </c>
      <c r="M60" s="2">
        <v>-0.017857</v>
      </c>
    </row>
    <row r="61">
      <c r="A61" s="2" t="s">
        <v>641</v>
      </c>
      <c r="B61" s="3" t="str">
        <f>A61</f>
        <v>ab-test-traffic-mix</v>
      </c>
      <c r="C61" s="2" t="s">
        <v>641</v>
      </c>
      <c r="D61" s="2" t="s">
        <v>1556</v>
      </c>
      <c r="E61" s="2">
        <v>20000</v>
      </c>
      <c r="F61" s="2">
        <v>0.8</v>
      </c>
      <c r="G61" s="2">
        <v>0.75</v>
      </c>
      <c r="H61" s="2">
        <v>2000</v>
      </c>
      <c r="I61" s="2">
        <v>2000</v>
      </c>
      <c r="J61" s="2">
        <v>0.55</v>
      </c>
      <c r="K61" s="2">
        <v>0.65</v>
      </c>
      <c r="L61" s="2">
        <v>0.5</v>
      </c>
      <c r="M61" s="2">
        <v>0.025</v>
      </c>
    </row>
    <row r="62">
      <c r="A62" s="2" t="s">
        <v>645</v>
      </c>
      <c r="B62" s="3" t="str">
        <f>A62</f>
        <v>recsys-offline-eval</v>
      </c>
      <c r="C62" s="2" t="s">
        <v>645</v>
      </c>
      <c r="D62" s="2" t="s">
        <v>1562</v>
      </c>
      <c r="E62" s="2">
        <v>2000</v>
      </c>
      <c r="F62" s="2">
        <v>0.85</v>
      </c>
      <c r="G62" s="2">
        <v>0.8</v>
      </c>
      <c r="H62" s="2">
        <v>1000</v>
      </c>
      <c r="I62" s="2">
        <v>1000</v>
      </c>
      <c r="J62" s="2">
        <v>0.3</v>
      </c>
      <c r="K62" s="2">
        <v>0.35</v>
      </c>
      <c r="L62" s="2">
        <v>0.5</v>
      </c>
      <c r="M62" s="2">
        <v>-0</v>
      </c>
    </row>
    <row r="63">
      <c r="A63" s="2" t="s">
        <v>649</v>
      </c>
      <c r="B63" s="3" t="str">
        <f>A63</f>
        <v>collider-only-synthetic</v>
      </c>
      <c r="C63" s="2" t="s">
        <v>649</v>
      </c>
      <c r="D63" s="2" t="s">
        <v>1568</v>
      </c>
      <c r="E63" s="2">
        <v>200</v>
      </c>
      <c r="F63" s="2">
        <v>0.85</v>
      </c>
      <c r="G63" s="2">
        <v>0.7</v>
      </c>
      <c r="H63" s="2">
        <v>900</v>
      </c>
      <c r="I63" s="2">
        <v>900</v>
      </c>
      <c r="J63" s="2">
        <v>0.166667</v>
      </c>
      <c r="K63" s="2">
        <v>0.3</v>
      </c>
      <c r="L63" s="2">
        <v>0.5</v>
      </c>
      <c r="M63" s="2">
        <v>-0.105</v>
      </c>
    </row>
    <row r="64">
      <c r="A64" s="2" t="s">
        <v>652</v>
      </c>
      <c r="B64" s="3" t="str">
        <f>A64</f>
        <v>noncollapsibility-or-synthetic</v>
      </c>
      <c r="C64" s="2" t="s">
        <v>652</v>
      </c>
      <c r="D64" s="2" t="s">
        <v>1574</v>
      </c>
      <c r="E64" s="2">
        <v>200</v>
      </c>
      <c r="F64" s="2">
        <v>0.4</v>
      </c>
      <c r="G64" s="2">
        <v>0.3</v>
      </c>
      <c r="H64" s="2">
        <v>1000</v>
      </c>
      <c r="I64" s="2">
        <v>1000</v>
      </c>
      <c r="J64" s="2">
        <v>0.4</v>
      </c>
      <c r="K64" s="2">
        <v>0.3</v>
      </c>
      <c r="L64" s="2">
        <v>0.5</v>
      </c>
      <c r="M64" s="2">
        <v>0.1</v>
      </c>
    </row>
    <row r="65">
      <c r="A65" s="2" t="s">
        <v>655</v>
      </c>
      <c r="B65" s="3" t="str">
        <f>A65</f>
        <v>trauma-center-mortality</v>
      </c>
      <c r="C65" s="2" t="s">
        <v>655</v>
      </c>
      <c r="D65" s="2" t="s">
        <v>1580</v>
      </c>
      <c r="E65" s="2">
        <v>2000</v>
      </c>
      <c r="F65" s="2">
        <v>0.95</v>
      </c>
      <c r="G65" s="2">
        <v>0.96</v>
      </c>
      <c r="H65" s="2">
        <v>1000</v>
      </c>
      <c r="I65" s="2">
        <v>1000</v>
      </c>
      <c r="J65" s="2">
        <v>0.6</v>
      </c>
      <c r="K65" s="2">
        <v>0.68</v>
      </c>
      <c r="L65" s="2">
        <v>0.5</v>
      </c>
      <c r="M65" s="2">
        <v>-0.045</v>
      </c>
    </row>
    <row r="66">
      <c r="A66" s="2" t="s">
        <v>659</v>
      </c>
      <c r="B66" s="3" t="str">
        <f>A66</f>
        <v>surgeon-volume-mortality</v>
      </c>
      <c r="C66" s="2" t="s">
        <v>659</v>
      </c>
      <c r="D66" s="2" t="s">
        <v>1235</v>
      </c>
      <c r="E66" s="2">
        <v>2000</v>
      </c>
      <c r="F66" s="2">
        <v>0.98</v>
      </c>
      <c r="G66" s="2">
        <v>0.975</v>
      </c>
      <c r="H66" s="2">
        <v>1000</v>
      </c>
      <c r="I66" s="2">
        <v>1000</v>
      </c>
      <c r="J66" s="2">
        <v>0.82</v>
      </c>
      <c r="K66" s="2">
        <v>0.86</v>
      </c>
      <c r="L66" s="2">
        <v>0.5</v>
      </c>
      <c r="M66" s="2">
        <v>-0.0175</v>
      </c>
    </row>
    <row r="67">
      <c r="A67" s="2" t="s">
        <v>663</v>
      </c>
      <c r="B67" s="3" t="str">
        <f>A67</f>
        <v>mammography-length-bias</v>
      </c>
      <c r="C67" s="2" t="s">
        <v>663</v>
      </c>
      <c r="D67" s="2" t="s">
        <v>1590</v>
      </c>
      <c r="E67" s="2">
        <v>2000</v>
      </c>
      <c r="F67" s="2">
        <v>0.92</v>
      </c>
      <c r="G67" s="2">
        <v>0.7</v>
      </c>
      <c r="H67" s="2">
        <v>1000</v>
      </c>
      <c r="I67" s="2">
        <v>1000</v>
      </c>
      <c r="J67" s="2">
        <v>0.4</v>
      </c>
      <c r="K67" s="2">
        <v>0.35</v>
      </c>
      <c r="L67" s="2">
        <v>0.5</v>
      </c>
      <c r="M67" s="2">
        <v>0.135</v>
      </c>
    </row>
    <row r="68">
      <c r="A68" s="2" t="s">
        <v>667</v>
      </c>
      <c r="B68" s="3" t="str">
        <f>A68</f>
        <v>cabg-vs-pci-severity</v>
      </c>
      <c r="C68" s="2" t="s">
        <v>667</v>
      </c>
      <c r="D68" s="2" t="s">
        <v>1596</v>
      </c>
      <c r="E68" s="2">
        <v>2000</v>
      </c>
      <c r="F68" s="2">
        <v>0.92</v>
      </c>
      <c r="G68" s="2">
        <v>0.88</v>
      </c>
      <c r="H68" s="2">
        <v>1000</v>
      </c>
      <c r="I68" s="2">
        <v>1000</v>
      </c>
      <c r="J68" s="2">
        <v>0.98</v>
      </c>
      <c r="K68" s="2">
        <v>0.975</v>
      </c>
      <c r="L68" s="2">
        <v>0.5</v>
      </c>
      <c r="M68" s="2">
        <v>0.0225</v>
      </c>
    </row>
    <row r="69">
      <c r="A69" s="2" t="s">
        <v>671</v>
      </c>
      <c r="B69" s="3" t="str">
        <f>A69</f>
        <v>tolbutamide-ugdp-1970</v>
      </c>
      <c r="C69" s="2" t="s">
        <v>671</v>
      </c>
      <c r="D69" s="2" t="s">
        <v>1602</v>
      </c>
      <c r="E69" s="2">
        <v>2000</v>
      </c>
      <c r="F69" s="2">
        <v>0.92</v>
      </c>
      <c r="G69" s="2">
        <v>0.91</v>
      </c>
      <c r="H69" s="2">
        <v>1000</v>
      </c>
      <c r="I69" s="2">
        <v>1000</v>
      </c>
      <c r="J69" s="2">
        <v>0.78</v>
      </c>
      <c r="K69" s="2">
        <v>0.82</v>
      </c>
      <c r="L69" s="2">
        <v>0.5</v>
      </c>
      <c r="M69" s="2">
        <v>-0.015</v>
      </c>
    </row>
    <row r="70">
      <c r="A70" s="2" t="s">
        <v>675</v>
      </c>
      <c r="B70" s="3" t="str">
        <f>A70</f>
        <v>snow-cholera-water-1855</v>
      </c>
      <c r="C70" s="2" t="s">
        <v>675</v>
      </c>
      <c r="D70" s="2" t="s">
        <v>1608</v>
      </c>
      <c r="E70" s="2">
        <v>2000</v>
      </c>
      <c r="F70" s="2">
        <v>0.902</v>
      </c>
      <c r="G70" s="2">
        <v>0.96</v>
      </c>
      <c r="H70" s="2">
        <v>1000</v>
      </c>
      <c r="I70" s="2">
        <v>1000</v>
      </c>
      <c r="J70" s="2">
        <v>0.94</v>
      </c>
      <c r="K70" s="2">
        <v>0.97</v>
      </c>
      <c r="L70" s="2">
        <v>0.5</v>
      </c>
      <c r="M70" s="2">
        <v>-0.044</v>
      </c>
    </row>
    <row r="71">
      <c r="A71" s="2" t="s">
        <v>679</v>
      </c>
      <c r="B71" s="3" t="str">
        <f>A71</f>
        <v>seatbelt-crash-severity</v>
      </c>
      <c r="C71" s="2" t="s">
        <v>679</v>
      </c>
      <c r="D71" s="2" t="s">
        <v>1614</v>
      </c>
      <c r="E71" s="2">
        <v>2000</v>
      </c>
      <c r="F71" s="2">
        <v>0.98</v>
      </c>
      <c r="G71" s="2">
        <v>0.97</v>
      </c>
      <c r="H71" s="2">
        <v>1000</v>
      </c>
      <c r="I71" s="2">
        <v>1000</v>
      </c>
      <c r="J71" s="2">
        <v>0.7</v>
      </c>
      <c r="K71" s="2">
        <v>0.6</v>
      </c>
      <c r="L71" s="2">
        <v>0.5</v>
      </c>
      <c r="M71" s="2">
        <v>0.055</v>
      </c>
    </row>
    <row r="72">
      <c r="A72" s="2" t="s">
        <v>683</v>
      </c>
      <c r="B72" s="3" t="str">
        <f>A72</f>
        <v>measles-outbreak-vaccinated</v>
      </c>
      <c r="C72" s="2" t="s">
        <v>683</v>
      </c>
      <c r="D72" s="2" t="s">
        <v>1620</v>
      </c>
      <c r="E72" s="2">
        <v>10000</v>
      </c>
      <c r="F72" s="2">
        <v>0.011111</v>
      </c>
      <c r="G72" s="2">
        <v>0.044</v>
      </c>
      <c r="H72" s="2">
        <v>2000</v>
      </c>
      <c r="I72" s="2">
        <v>500</v>
      </c>
      <c r="J72" s="2">
        <v>0.0075</v>
      </c>
      <c r="K72" s="2">
        <v>0.07</v>
      </c>
      <c r="L72" s="2">
        <v>0.9</v>
      </c>
      <c r="M72" s="2">
        <v>-0.038811</v>
      </c>
    </row>
    <row r="73">
      <c r="A73" s="2" t="s">
        <v>687</v>
      </c>
      <c r="B73" s="3" t="str">
        <f>A73</f>
        <v>air-pollution-mortality-city</v>
      </c>
      <c r="C73" s="2" t="s">
        <v>687</v>
      </c>
      <c r="D73" s="2" t="s">
        <v>1626</v>
      </c>
      <c r="E73" s="2">
        <v>2000</v>
      </c>
      <c r="F73" s="2">
        <v>0.98</v>
      </c>
      <c r="G73" s="2">
        <v>0.985</v>
      </c>
      <c r="H73" s="2">
        <v>1000</v>
      </c>
      <c r="I73" s="2">
        <v>1000</v>
      </c>
      <c r="J73" s="2">
        <v>0.92</v>
      </c>
      <c r="K73" s="2">
        <v>0.94</v>
      </c>
      <c r="L73" s="2">
        <v>0.5</v>
      </c>
      <c r="M73" s="2">
        <v>-0.0125</v>
      </c>
    </row>
    <row r="74">
      <c r="A74" s="2" t="s">
        <v>691</v>
      </c>
      <c r="B74" s="3" t="str">
        <f>A74</f>
        <v>tb-treatment-resistance</v>
      </c>
      <c r="C74" s="2" t="s">
        <v>691</v>
      </c>
      <c r="D74" s="2" t="s">
        <v>1632</v>
      </c>
      <c r="E74" s="2">
        <v>2000</v>
      </c>
      <c r="F74" s="2">
        <v>0.92</v>
      </c>
      <c r="G74" s="2">
        <v>0.91</v>
      </c>
      <c r="H74" s="2">
        <v>1000</v>
      </c>
      <c r="I74" s="2">
        <v>1000</v>
      </c>
      <c r="J74" s="2">
        <v>0.65</v>
      </c>
      <c r="K74" s="2">
        <v>0.72</v>
      </c>
      <c r="L74" s="2">
        <v>0.5</v>
      </c>
      <c r="M74" s="2">
        <v>-0.03</v>
      </c>
    </row>
    <row r="75">
      <c r="A75" s="2" t="s">
        <v>695</v>
      </c>
      <c r="B75" s="3" t="str">
        <f>A75</f>
        <v>hospital-mortality-readmission</v>
      </c>
      <c r="C75" s="2" t="s">
        <v>695</v>
      </c>
      <c r="D75" s="2" t="s">
        <v>1638</v>
      </c>
      <c r="E75" s="2">
        <v>2000</v>
      </c>
      <c r="F75" s="2">
        <v>0.85</v>
      </c>
      <c r="G75" s="2">
        <v>0.88</v>
      </c>
      <c r="H75" s="2">
        <v>1000</v>
      </c>
      <c r="I75" s="2">
        <v>1000</v>
      </c>
      <c r="J75" s="2">
        <v>0.97</v>
      </c>
      <c r="K75" s="2">
        <v>0.975</v>
      </c>
      <c r="L75" s="2">
        <v>0.5</v>
      </c>
      <c r="M75" s="2">
        <v>-0.0175</v>
      </c>
    </row>
    <row r="76">
      <c r="A76" s="2" t="s">
        <v>699</v>
      </c>
      <c r="B76" s="3" t="str">
        <f>A76</f>
        <v>nypd-stop-frisk-hitrate</v>
      </c>
      <c r="C76" s="2" t="s">
        <v>699</v>
      </c>
      <c r="D76" s="2" t="s">
        <v>1647</v>
      </c>
      <c r="E76" s="2">
        <v>3500</v>
      </c>
      <c r="F76" s="2">
        <v>0.0225</v>
      </c>
      <c r="G76" s="2">
        <v>0.048</v>
      </c>
      <c r="H76" s="2">
        <v>8000</v>
      </c>
      <c r="I76" s="2">
        <v>7000</v>
      </c>
      <c r="J76" s="2">
        <v>0.04</v>
      </c>
      <c r="K76" s="2">
        <v>0.04</v>
      </c>
      <c r="L76" s="2">
        <v>0.571429</v>
      </c>
      <c r="M76" s="2">
        <v>-0.004824</v>
      </c>
    </row>
    <row r="77">
      <c r="A77" s="2" t="s">
        <v>703</v>
      </c>
      <c r="B77" s="3" t="str">
        <f>A77</f>
        <v>sentencing-offense-type</v>
      </c>
      <c r="C77" s="2" t="s">
        <v>703</v>
      </c>
      <c r="D77" s="2" t="s">
        <v>1650</v>
      </c>
      <c r="E77" s="2">
        <v>2000</v>
      </c>
      <c r="F77" s="2">
        <v>0.8</v>
      </c>
      <c r="G77" s="2">
        <v>0.75</v>
      </c>
      <c r="H77" s="2">
        <v>1000</v>
      </c>
      <c r="I77" s="2">
        <v>1000</v>
      </c>
      <c r="J77" s="2">
        <v>0.4</v>
      </c>
      <c r="K77" s="2">
        <v>0.42</v>
      </c>
      <c r="L77" s="2">
        <v>0.5</v>
      </c>
      <c r="M77" s="2">
        <v>0.015</v>
      </c>
    </row>
    <row r="78">
      <c r="A78" s="2" t="s">
        <v>707</v>
      </c>
      <c r="B78" s="3" t="str">
        <f>A78</f>
        <v>bail-risk-score</v>
      </c>
      <c r="C78" s="2" t="s">
        <v>707</v>
      </c>
      <c r="D78" s="2" t="s">
        <v>1656</v>
      </c>
      <c r="E78" s="2">
        <v>2000</v>
      </c>
      <c r="F78" s="2">
        <v>0.45</v>
      </c>
      <c r="G78" s="2">
        <v>0.52</v>
      </c>
      <c r="H78" s="2">
        <v>1000</v>
      </c>
      <c r="I78" s="2">
        <v>1000</v>
      </c>
      <c r="J78" s="2">
        <v>0.12</v>
      </c>
      <c r="K78" s="2">
        <v>0.15</v>
      </c>
      <c r="L78" s="2">
        <v>0.5</v>
      </c>
      <c r="M78" s="2">
        <v>-0.05</v>
      </c>
    </row>
    <row r="79">
      <c r="A79" s="2" t="s">
        <v>711</v>
      </c>
      <c r="B79" s="3" t="str">
        <f>A79</f>
        <v>police-force-encounter</v>
      </c>
      <c r="C79" s="2" t="s">
        <v>711</v>
      </c>
      <c r="D79" s="2" t="s">
        <v>1662</v>
      </c>
      <c r="E79" s="2">
        <v>2000</v>
      </c>
      <c r="F79" s="2">
        <v>0.18</v>
      </c>
      <c r="G79" s="2">
        <v>0.05</v>
      </c>
      <c r="H79" s="2">
        <v>1000</v>
      </c>
      <c r="I79" s="2">
        <v>1000</v>
      </c>
      <c r="J79" s="2">
        <v>0.4</v>
      </c>
      <c r="K79" s="2">
        <v>0.12</v>
      </c>
      <c r="L79" s="2">
        <v>0.5</v>
      </c>
      <c r="M79" s="2">
        <v>0.205</v>
      </c>
    </row>
    <row r="80">
      <c r="A80" s="2" t="s">
        <v>715</v>
      </c>
      <c r="B80" s="3" t="str">
        <f>A80</f>
        <v>uc-systemwide-admissions</v>
      </c>
      <c r="C80" s="2" t="s">
        <v>715</v>
      </c>
      <c r="D80" s="2" t="s">
        <v>1668</v>
      </c>
      <c r="E80" s="2">
        <v>2000</v>
      </c>
      <c r="F80" s="2">
        <v>0.12</v>
      </c>
      <c r="G80" s="2">
        <v>0.14</v>
      </c>
      <c r="H80" s="2">
        <v>1000</v>
      </c>
      <c r="I80" s="2">
        <v>1000</v>
      </c>
      <c r="J80" s="2">
        <v>0.65</v>
      </c>
      <c r="K80" s="2">
        <v>0.6</v>
      </c>
      <c r="L80" s="2">
        <v>0.5</v>
      </c>
      <c r="M80" s="2">
        <v>0.015</v>
      </c>
    </row>
    <row r="81">
      <c r="A81" s="2" t="s">
        <v>719</v>
      </c>
      <c r="B81" s="3" t="str">
        <f>A81</f>
        <v>teacher-vam-prior-achievement</v>
      </c>
      <c r="C81" s="2" t="s">
        <v>719</v>
      </c>
      <c r="D81" s="2" t="s">
        <v>1674</v>
      </c>
      <c r="E81" s="2">
        <v>2000</v>
      </c>
      <c r="F81" s="2">
        <v>0.85</v>
      </c>
      <c r="G81" s="2">
        <v>0.82</v>
      </c>
      <c r="H81" s="2">
        <v>1000</v>
      </c>
      <c r="I81" s="2">
        <v>1000</v>
      </c>
      <c r="J81" s="2">
        <v>0.52</v>
      </c>
      <c r="K81" s="2">
        <v>0.56</v>
      </c>
      <c r="L81" s="2">
        <v>0.5</v>
      </c>
      <c r="M81" s="2">
        <v>-0.005</v>
      </c>
    </row>
    <row r="82">
      <c r="A82" s="2" t="s">
        <v>723</v>
      </c>
      <c r="B82" s="3" t="str">
        <f>A82</f>
        <v>naep-state-demographics</v>
      </c>
      <c r="C82" s="2" t="s">
        <v>723</v>
      </c>
      <c r="D82" s="2" t="s">
        <v>1680</v>
      </c>
      <c r="E82" s="2">
        <v>2000</v>
      </c>
      <c r="F82" s="2">
        <v>0.28</v>
      </c>
      <c r="G82" s="2">
        <v>0.32</v>
      </c>
      <c r="H82" s="2">
        <v>1000</v>
      </c>
      <c r="I82" s="2">
        <v>1000</v>
      </c>
      <c r="J82" s="2">
        <v>0.45</v>
      </c>
      <c r="K82" s="2">
        <v>0.42</v>
      </c>
      <c r="L82" s="2">
        <v>0.5</v>
      </c>
      <c r="M82" s="2">
        <v>-0.005</v>
      </c>
    </row>
    <row r="83">
      <c r="A83" s="2" t="s">
        <v>727</v>
      </c>
      <c r="B83" s="3" t="str">
        <f>A83</f>
        <v>college-grad-rate-selectivity</v>
      </c>
      <c r="C83" s="2" t="s">
        <v>727</v>
      </c>
      <c r="D83" s="2" t="s">
        <v>1686</v>
      </c>
      <c r="E83" s="2">
        <v>2000</v>
      </c>
      <c r="F83" s="2">
        <v>0.92</v>
      </c>
      <c r="G83" s="2">
        <v>0.88</v>
      </c>
      <c r="H83" s="2">
        <v>1000</v>
      </c>
      <c r="I83" s="2">
        <v>1000</v>
      </c>
      <c r="J83" s="2">
        <v>0.55</v>
      </c>
      <c r="K83" s="2">
        <v>0.62</v>
      </c>
      <c r="L83" s="2">
        <v>0.5</v>
      </c>
      <c r="M83" s="2">
        <v>-0.015</v>
      </c>
    </row>
    <row r="84">
      <c r="A84" s="2" t="s">
        <v>731</v>
      </c>
      <c r="B84" s="3" t="str">
        <f>A84</f>
        <v>star-class-size</v>
      </c>
      <c r="C84" s="2" t="s">
        <v>731</v>
      </c>
      <c r="D84" s="2" t="s">
        <v>1692</v>
      </c>
      <c r="E84" s="2">
        <v>2000</v>
      </c>
      <c r="F84" s="2">
        <v>0.82</v>
      </c>
      <c r="G84" s="2">
        <v>0.8</v>
      </c>
      <c r="H84" s="2">
        <v>1000</v>
      </c>
      <c r="I84" s="2">
        <v>1000</v>
      </c>
      <c r="J84" s="2">
        <v>0.91</v>
      </c>
      <c r="K84" s="2">
        <v>0.9</v>
      </c>
      <c r="L84" s="2">
        <v>0.5</v>
      </c>
      <c r="M84" s="2">
        <v>0.015</v>
      </c>
    </row>
    <row r="85">
      <c r="A85" s="2" t="s">
        <v>735</v>
      </c>
      <c r="B85" s="3" t="str">
        <f>A85</f>
        <v>nba-shooting-shot-mix</v>
      </c>
      <c r="C85" s="2" t="s">
        <v>735</v>
      </c>
      <c r="D85" s="2" t="s">
        <v>1701</v>
      </c>
      <c r="E85" s="2">
        <v>1500</v>
      </c>
      <c r="F85" s="2">
        <v>0.36</v>
      </c>
      <c r="G85" s="2">
        <v>0.3</v>
      </c>
      <c r="H85" s="2">
        <v>1000</v>
      </c>
      <c r="I85" s="2">
        <v>1000</v>
      </c>
      <c r="J85" s="2">
        <v>0.48</v>
      </c>
      <c r="K85" s="2">
        <v>0.44</v>
      </c>
      <c r="L85" s="2">
        <v>0.666667</v>
      </c>
      <c r="M85" s="2">
        <v>0.048571</v>
      </c>
    </row>
    <row r="86">
      <c r="A86" s="2" t="s">
        <v>739</v>
      </c>
      <c r="B86" s="3" t="str">
        <f>A86</f>
        <v>pitcher-era-ballpark</v>
      </c>
      <c r="C86" s="2" t="s">
        <v>739</v>
      </c>
      <c r="D86" s="2" t="s">
        <v>1704</v>
      </c>
      <c r="E86" s="2">
        <v>2000</v>
      </c>
      <c r="F86" s="2">
        <v>0.65</v>
      </c>
      <c r="G86" s="2">
        <v>0.62</v>
      </c>
      <c r="H86" s="2">
        <v>1000</v>
      </c>
      <c r="I86" s="2">
        <v>1000</v>
      </c>
      <c r="J86" s="2">
        <v>0.52</v>
      </c>
      <c r="K86" s="2">
        <v>0.54</v>
      </c>
      <c r="L86" s="2">
        <v>0.5</v>
      </c>
      <c r="M86" s="2">
        <v>0.005</v>
      </c>
    </row>
    <row r="87">
      <c r="A87" s="2" t="s">
        <v>743</v>
      </c>
      <c r="B87" s="3" t="str">
        <f>A87</f>
        <v>nfl-completion-depth</v>
      </c>
      <c r="C87" s="2" t="s">
        <v>743</v>
      </c>
      <c r="D87" s="2" t="s">
        <v>1710</v>
      </c>
      <c r="E87" s="2">
        <v>1600</v>
      </c>
      <c r="F87" s="2">
        <v>0.9</v>
      </c>
      <c r="G87" s="2">
        <v>0.875</v>
      </c>
      <c r="H87" s="2">
        <v>200</v>
      </c>
      <c r="I87" s="2">
        <v>200</v>
      </c>
      <c r="J87" s="2">
        <v>0.45</v>
      </c>
      <c r="K87" s="2">
        <v>0.55</v>
      </c>
      <c r="L87" s="2">
        <v>0.5</v>
      </c>
      <c r="M87" s="2">
        <v>0</v>
      </c>
    </row>
    <row r="88">
      <c r="A88" s="2" t="s">
        <v>747</v>
      </c>
      <c r="B88" s="3" t="str">
        <f>A88</f>
        <v>field-goal-distance</v>
      </c>
      <c r="C88" s="2" t="s">
        <v>747</v>
      </c>
      <c r="D88" s="2" t="s">
        <v>1716</v>
      </c>
      <c r="E88" s="2">
        <v>2000</v>
      </c>
      <c r="F88" s="2">
        <v>0.95</v>
      </c>
      <c r="G88" s="2">
        <v>0.94</v>
      </c>
      <c r="H88" s="2">
        <v>1000</v>
      </c>
      <c r="I88" s="2">
        <v>1000</v>
      </c>
      <c r="J88" s="2">
        <v>0.6</v>
      </c>
      <c r="K88" s="2">
        <v>0.65</v>
      </c>
      <c r="L88" s="2">
        <v>0.5</v>
      </c>
      <c r="M88" s="2">
        <v>-0.02</v>
      </c>
    </row>
    <row r="89">
      <c r="A89" s="2" t="s">
        <v>751</v>
      </c>
      <c r="B89" s="3" t="str">
        <f>A89</f>
        <v>golf-scoring-course</v>
      </c>
      <c r="C89" s="2" t="s">
        <v>751</v>
      </c>
      <c r="D89" s="2" t="s">
        <v>1722</v>
      </c>
      <c r="E89" s="2">
        <v>2000</v>
      </c>
      <c r="F89" s="2">
        <v>0.65</v>
      </c>
      <c r="G89" s="2">
        <v>0.62</v>
      </c>
      <c r="H89" s="2">
        <v>1000</v>
      </c>
      <c r="I89" s="2">
        <v>1000</v>
      </c>
      <c r="J89" s="2">
        <v>0.35</v>
      </c>
      <c r="K89" s="2">
        <v>0.38</v>
      </c>
      <c r="L89" s="2">
        <v>0.5</v>
      </c>
      <c r="M89" s="2">
        <v>0</v>
      </c>
    </row>
    <row r="90">
      <c r="A90" s="2" t="s">
        <v>755</v>
      </c>
      <c r="B90" s="3" t="str">
        <f>A90</f>
        <v>minimum-wage-region</v>
      </c>
      <c r="C90" s="2" t="s">
        <v>755</v>
      </c>
      <c r="D90" s="2" t="s">
        <v>1728</v>
      </c>
      <c r="E90" s="2">
        <v>2000</v>
      </c>
      <c r="F90" s="2">
        <v>0.92</v>
      </c>
      <c r="G90" s="2">
        <v>0.91</v>
      </c>
      <c r="H90" s="2">
        <v>1000</v>
      </c>
      <c r="I90" s="2">
        <v>1000</v>
      </c>
      <c r="J90" s="2">
        <v>0.78</v>
      </c>
      <c r="K90" s="2">
        <v>0.82</v>
      </c>
      <c r="L90" s="2">
        <v>0.5</v>
      </c>
      <c r="M90" s="2">
        <v>-0.015</v>
      </c>
    </row>
    <row r="91">
      <c r="A91" s="2" t="s">
        <v>759</v>
      </c>
      <c r="B91" s="3" t="str">
        <f>A91</f>
        <v>returns-to-education-field</v>
      </c>
      <c r="C91" s="2" t="s">
        <v>759</v>
      </c>
      <c r="D91" s="2" t="s">
        <v>1734</v>
      </c>
      <c r="E91" s="2">
        <v>2000</v>
      </c>
      <c r="F91" s="2">
        <v>0.72</v>
      </c>
      <c r="G91" s="2">
        <v>0.35</v>
      </c>
      <c r="H91" s="2">
        <v>1000</v>
      </c>
      <c r="I91" s="2">
        <v>1000</v>
      </c>
      <c r="J91" s="2">
        <v>0.52</v>
      </c>
      <c r="K91" s="2">
        <v>0.38</v>
      </c>
      <c r="L91" s="2">
        <v>0.5</v>
      </c>
      <c r="M91" s="2">
        <v>0.255</v>
      </c>
    </row>
    <row r="92">
      <c r="A92" s="2" t="s">
        <v>763</v>
      </c>
      <c r="B92" s="3" t="str">
        <f>A92</f>
        <v>unemployment-education-cycle</v>
      </c>
      <c r="C92" s="2" t="s">
        <v>763</v>
      </c>
      <c r="D92" s="2" t="s">
        <v>1740</v>
      </c>
      <c r="E92" s="2">
        <v>2000</v>
      </c>
      <c r="F92" s="2">
        <v>0.95</v>
      </c>
      <c r="G92" s="2">
        <v>0.94</v>
      </c>
      <c r="H92" s="2">
        <v>1000</v>
      </c>
      <c r="I92" s="2">
        <v>1000</v>
      </c>
      <c r="J92" s="2">
        <v>0.82</v>
      </c>
      <c r="K92" s="2">
        <v>0.85</v>
      </c>
      <c r="L92" s="2">
        <v>0.5</v>
      </c>
      <c r="M92" s="2">
        <v>-0.01</v>
      </c>
    </row>
    <row r="93">
      <c r="A93" s="2" t="s">
        <v>766</v>
      </c>
      <c r="B93" s="3" t="str">
        <f>A93</f>
        <v>costa-rica-us-life-expectancy</v>
      </c>
      <c r="C93" s="2" t="s">
        <v>766</v>
      </c>
      <c r="D93" s="2" t="s">
        <v>1331</v>
      </c>
      <c r="E93" s="2">
        <v>2000</v>
      </c>
      <c r="F93" s="2">
        <v>0.99</v>
      </c>
      <c r="G93" s="2">
        <v>0.985</v>
      </c>
      <c r="H93" s="2">
        <v>1000</v>
      </c>
      <c r="I93" s="2">
        <v>1000</v>
      </c>
      <c r="J93" s="2">
        <v>0.85</v>
      </c>
      <c r="K93" s="2">
        <v>0.9</v>
      </c>
      <c r="L93" s="2">
        <v>0.5</v>
      </c>
      <c r="M93" s="2">
        <v>-0.0225</v>
      </c>
    </row>
    <row r="94">
      <c r="A94" s="2" t="s">
        <v>770</v>
      </c>
      <c r="B94" s="3" t="str">
        <f>A94</f>
        <v>fertility-income-country</v>
      </c>
      <c r="C94" s="2" t="s">
        <v>770</v>
      </c>
      <c r="D94" s="2" t="s">
        <v>1750</v>
      </c>
      <c r="E94" s="2">
        <v>2000</v>
      </c>
      <c r="F94" s="2">
        <v>0.45</v>
      </c>
      <c r="G94" s="2">
        <v>0.52</v>
      </c>
      <c r="H94" s="2">
        <v>1000</v>
      </c>
      <c r="I94" s="2">
        <v>1000</v>
      </c>
      <c r="J94" s="2">
        <v>0.38</v>
      </c>
      <c r="K94" s="2">
        <v>0.35</v>
      </c>
      <c r="L94" s="2">
        <v>0.5</v>
      </c>
      <c r="M94" s="2">
        <v>-0.02</v>
      </c>
    </row>
    <row r="95">
      <c r="A95" s="2" t="s">
        <v>774</v>
      </c>
      <c r="B95" s="3" t="str">
        <f>A95</f>
        <v>religiosity-happiness-country</v>
      </c>
      <c r="C95" s="2" t="s">
        <v>774</v>
      </c>
      <c r="D95" s="2" t="s">
        <v>1756</v>
      </c>
      <c r="E95" s="2">
        <v>2000</v>
      </c>
      <c r="F95" s="2">
        <v>0.75</v>
      </c>
      <c r="G95" s="2">
        <v>0.78</v>
      </c>
      <c r="H95" s="2">
        <v>1000</v>
      </c>
      <c r="I95" s="2">
        <v>1000</v>
      </c>
      <c r="J95" s="2">
        <v>0.62</v>
      </c>
      <c r="K95" s="2">
        <v>0.58</v>
      </c>
      <c r="L95" s="2">
        <v>0.5</v>
      </c>
      <c r="M95" s="2">
        <v>0.005</v>
      </c>
    </row>
    <row r="96">
      <c r="A96" s="2" t="s">
        <v>778</v>
      </c>
      <c r="B96" s="3" t="str">
        <f>A96</f>
        <v>voter-turnout-education-state</v>
      </c>
      <c r="C96" s="2" t="s">
        <v>778</v>
      </c>
      <c r="D96" s="2" t="s">
        <v>1389</v>
      </c>
      <c r="E96" s="2">
        <v>2000</v>
      </c>
      <c r="F96" s="2">
        <v>0.78</v>
      </c>
      <c r="G96" s="2">
        <v>0.52</v>
      </c>
      <c r="H96" s="2">
        <v>1000</v>
      </c>
      <c r="I96" s="2">
        <v>1000</v>
      </c>
      <c r="J96" s="2">
        <v>0.65</v>
      </c>
      <c r="K96" s="2">
        <v>0.48</v>
      </c>
      <c r="L96" s="2">
        <v>0.5</v>
      </c>
      <c r="M96" s="2">
        <v>0.215</v>
      </c>
    </row>
    <row r="97">
      <c r="A97" s="2" t="s">
        <v>782</v>
      </c>
      <c r="B97" s="3" t="str">
        <f>A97</f>
        <v>ad-ctr-platform-mix</v>
      </c>
      <c r="C97" s="2" t="s">
        <v>782</v>
      </c>
      <c r="D97" s="2" t="s">
        <v>1767</v>
      </c>
      <c r="E97" s="2">
        <v>2000</v>
      </c>
      <c r="F97" s="2">
        <v>0.08</v>
      </c>
      <c r="G97" s="2">
        <v>0.075</v>
      </c>
      <c r="H97" s="2">
        <v>1000</v>
      </c>
      <c r="I97" s="2">
        <v>1000</v>
      </c>
      <c r="J97" s="2">
        <v>0.045</v>
      </c>
      <c r="K97" s="2">
        <v>0.05</v>
      </c>
      <c r="L97" s="2">
        <v>0.5</v>
      </c>
      <c r="M97" s="2">
        <v>0</v>
      </c>
    </row>
  </sheetData>
  <autoFilter ref="A1:M1"/>
  <headerFooter/>
  <legacyDrawing r:id="rId1"/>
</worksheet>
</file>

<file path=xl/worksheets/sheet3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27"/>
  <sheetViews>
    <sheetView workbookViewId="0">
      <pane ySplit="1" topLeftCell="A2" state="frozen" activePane="bottomLeft"/>
      <selection pane="bottomLeft" activeCell="A1" sqref="A1"/>
    </sheetView>
  </sheetViews>
  <sheetFormatPr defaultRowHeight="15"/>
  <cols>
    <col min="1" max="1" width="25.425548553466797" customWidth="1"/>
    <col min="2" max="2" width="25.425548553466797" customWidth="1"/>
    <col min="3" max="3" width="19.66561508178711" customWidth="1"/>
    <col min="4" max="4" width="28.662275314331055" customWidth="1"/>
    <col min="5" max="5" width="31.340208053588867" customWidth="1"/>
    <col min="6" max="6" width="28.445222854614258" customWidth="1"/>
    <col min="7" max="7" width="17.443378448486328" customWidth="1"/>
    <col min="8" max="8" width="20.414867401123047" customWidth="1"/>
    <col min="9" max="9" width="17.443378448486328" customWidth="1"/>
  </cols>
  <sheetData>
    <row r="1">
      <c r="A1" s="1" t="s">
        <v>5225</v>
      </c>
      <c r="B1" s="1" t="s">
        <v>1</v>
      </c>
      <c r="C1" s="1" t="s">
        <v>2740</v>
      </c>
      <c r="D1" s="1" t="s">
        <v>3187</v>
      </c>
      <c r="E1" s="1" t="s">
        <v>5226</v>
      </c>
      <c r="F1" s="1" t="s">
        <v>5227</v>
      </c>
      <c r="G1" s="1" t="s">
        <v>3188</v>
      </c>
      <c r="H1" s="1" t="s">
        <v>5228</v>
      </c>
      <c r="I1" s="1" t="s">
        <v>5229</v>
      </c>
    </row>
    <row r="2">
      <c r="A2" s="2" t="s">
        <v>5230</v>
      </c>
      <c r="B2" s="3" t="str">
        <f>A2</f>
        <v>tr-pooled-rate-a</v>
      </c>
      <c r="C2" s="2" t="s">
        <v>41</v>
      </c>
      <c r="D2" s="2" t="s">
        <v>2585</v>
      </c>
      <c r="E2" s="2" t="s">
        <v>5231</v>
      </c>
      <c r="F2" s="2" t="s">
        <v>5232</v>
      </c>
      <c r="G2" s="2" t="s">
        <v>5233</v>
      </c>
      <c r="H2" s="2" t="b">
        <v>0</v>
      </c>
      <c r="I2" s="2" t="b">
        <v>1</v>
      </c>
    </row>
    <row r="3">
      <c r="A3" s="2" t="s">
        <v>5234</v>
      </c>
      <c r="B3" s="3" t="str">
        <f>A3</f>
        <v>tr-pooled-rate-b</v>
      </c>
      <c r="C3" s="2" t="s">
        <v>41</v>
      </c>
      <c r="D3" s="2" t="s">
        <v>2588</v>
      </c>
      <c r="E3" s="2" t="s">
        <v>5235</v>
      </c>
      <c r="F3" s="2" t="s">
        <v>5236</v>
      </c>
      <c r="G3" s="2" t="s">
        <v>5233</v>
      </c>
      <c r="H3" s="2" t="b">
        <v>0</v>
      </c>
      <c r="I3" s="2" t="b">
        <v>1</v>
      </c>
    </row>
    <row r="4">
      <c r="A4" s="2" t="s">
        <v>5237</v>
      </c>
      <c r="B4" s="3" t="str">
        <f>A4</f>
        <v>tr-pooled-winner</v>
      </c>
      <c r="C4" s="2" t="s">
        <v>41</v>
      </c>
      <c r="D4" s="2" t="s">
        <v>2589</v>
      </c>
      <c r="E4" s="2" t="s">
        <v>5238</v>
      </c>
      <c r="F4" s="2" t="s">
        <v>5239</v>
      </c>
      <c r="G4" s="2" t="s">
        <v>5240</v>
      </c>
      <c r="H4" s="2" t="b">
        <v>1</v>
      </c>
      <c r="I4" s="2" t="b">
        <v>1</v>
      </c>
    </row>
    <row r="5">
      <c r="A5" s="2" t="s">
        <v>5241</v>
      </c>
      <c r="B5" s="3" t="str">
        <f>A5</f>
        <v>tr-per-stratum-winner</v>
      </c>
      <c r="C5" s="2" t="s">
        <v>41</v>
      </c>
      <c r="D5" s="2" t="s">
        <v>2593</v>
      </c>
      <c r="E5" s="2" t="s">
        <v>5242</v>
      </c>
      <c r="F5" s="2" t="s">
        <v>5243</v>
      </c>
      <c r="G5" s="2" t="s">
        <v>5240</v>
      </c>
      <c r="H5" s="2" t="b">
        <v>0</v>
      </c>
      <c r="I5" s="2" t="b">
        <v>1</v>
      </c>
    </row>
    <row r="6">
      <c r="A6" s="2" t="s">
        <v>5244</v>
      </c>
      <c r="B6" s="3" t="str">
        <f>A6</f>
        <v>tr-is-reversal</v>
      </c>
      <c r="C6" s="2" t="s">
        <v>41</v>
      </c>
      <c r="D6" s="2" t="s">
        <v>2594</v>
      </c>
      <c r="E6" s="2" t="s">
        <v>5245</v>
      </c>
      <c r="F6" s="2" t="s">
        <v>5246</v>
      </c>
      <c r="G6" s="2" t="s">
        <v>5247</v>
      </c>
      <c r="H6" s="2" t="b">
        <v>0</v>
      </c>
      <c r="I6" s="2" t="b">
        <v>1</v>
      </c>
    </row>
    <row r="7">
      <c r="A7" s="2" t="s">
        <v>5248</v>
      </c>
      <c r="B7" s="3" t="str">
        <f>A7</f>
        <v>tr-is-paradox-explained</v>
      </c>
      <c r="C7" s="2" t="s">
        <v>41</v>
      </c>
      <c r="D7" s="2" t="s">
        <v>2596</v>
      </c>
      <c r="E7" s="2" t="s">
        <v>5249</v>
      </c>
      <c r="F7" s="2" t="s">
        <v>5250</v>
      </c>
      <c r="G7" s="2" t="s">
        <v>5247</v>
      </c>
      <c r="H7" s="2" t="b">
        <v>0</v>
      </c>
      <c r="I7" s="2" t="b">
        <v>1</v>
      </c>
    </row>
    <row r="8">
      <c r="A8" s="2" t="s">
        <v>5251</v>
      </c>
      <c r="B8" s="3" t="str">
        <f>A8</f>
        <v>tr-strata-won-by-loser</v>
      </c>
      <c r="C8" s="2" t="s">
        <v>41</v>
      </c>
      <c r="D8" s="2" t="s">
        <v>2598</v>
      </c>
      <c r="E8" s="2" t="s">
        <v>5252</v>
      </c>
      <c r="F8" s="2" t="s">
        <v>5253</v>
      </c>
      <c r="G8" s="2" t="s">
        <v>5254</v>
      </c>
      <c r="H8" s="2" t="b">
        <v>0</v>
      </c>
      <c r="I8" s="2" t="b">
        <v>1</v>
      </c>
    </row>
    <row r="9">
      <c r="A9" s="2" t="s">
        <v>5255</v>
      </c>
      <c r="B9" s="3" t="str">
        <f>A9</f>
        <v>tr-reversal-intensity</v>
      </c>
      <c r="C9" s="2" t="s">
        <v>41</v>
      </c>
      <c r="D9" s="2" t="s">
        <v>2602</v>
      </c>
      <c r="E9" s="2" t="s">
        <v>5256</v>
      </c>
      <c r="F9" s="2" t="s">
        <v>5257</v>
      </c>
      <c r="G9" s="2" t="s">
        <v>5233</v>
      </c>
      <c r="H9" s="2" t="b">
        <v>0</v>
      </c>
      <c r="I9" s="2" t="b">
        <v>1</v>
      </c>
    </row>
    <row r="10">
      <c r="A10" s="2" t="s">
        <v>5258</v>
      </c>
      <c r="B10" s="3" t="str">
        <f>A10</f>
        <v>tr-threshold-margin</v>
      </c>
      <c r="C10" s="2" t="s">
        <v>41</v>
      </c>
      <c r="D10" s="2" t="s">
        <v>2603</v>
      </c>
      <c r="E10" s="2" t="s">
        <v>5259</v>
      </c>
      <c r="F10" s="2" t="s">
        <v>5260</v>
      </c>
      <c r="G10" s="2" t="s">
        <v>5233</v>
      </c>
      <c r="H10" s="2" t="b">
        <v>0</v>
      </c>
      <c r="I10" s="2" t="b">
        <v>1</v>
      </c>
    </row>
    <row r="11">
      <c r="A11" s="2" t="s">
        <v>5261</v>
      </c>
      <c r="B11" s="3" t="str">
        <f>A11</f>
        <v>tr-signed-pooled-gap</v>
      </c>
      <c r="C11" s="2" t="s">
        <v>41</v>
      </c>
      <c r="D11" s="2" t="s">
        <v>2604</v>
      </c>
      <c r="E11" s="2" t="s">
        <v>5262</v>
      </c>
      <c r="F11" s="2" t="s">
        <v>5263</v>
      </c>
      <c r="G11" s="2" t="s">
        <v>5233</v>
      </c>
      <c r="H11" s="2" t="b">
        <v>0</v>
      </c>
      <c r="I11" s="2" t="b">
        <v>1</v>
      </c>
    </row>
    <row r="12">
      <c r="A12" s="2" t="s">
        <v>5264</v>
      </c>
      <c r="B12" s="3" t="str">
        <f>A12</f>
        <v>tr-is-sign-flip</v>
      </c>
      <c r="C12" s="2" t="s">
        <v>41</v>
      </c>
      <c r="D12" s="2" t="s">
        <v>408</v>
      </c>
      <c r="E12" s="2" t="s">
        <v>5265</v>
      </c>
      <c r="F12" s="2" t="s">
        <v>5266</v>
      </c>
      <c r="G12" s="2" t="s">
        <v>5247</v>
      </c>
      <c r="H12" s="2" t="b">
        <v>0</v>
      </c>
      <c r="I12" s="2" t="b">
        <v>1</v>
      </c>
    </row>
    <row r="13">
      <c r="A13" s="2" t="s">
        <v>5267</v>
      </c>
      <c r="B13" s="3" t="str">
        <f>A13</f>
        <v>tr-distortion-type</v>
      </c>
      <c r="C13" s="2" t="s">
        <v>41</v>
      </c>
      <c r="D13" s="2" t="s">
        <v>404</v>
      </c>
      <c r="E13" s="2" t="s">
        <v>5268</v>
      </c>
      <c r="F13" s="2" t="s">
        <v>5269</v>
      </c>
      <c r="G13" s="2" t="s">
        <v>5240</v>
      </c>
      <c r="H13" s="2" t="b">
        <v>1</v>
      </c>
      <c r="I13" s="2" t="b">
        <v>1</v>
      </c>
    </row>
    <row r="14">
      <c r="A14" s="2" t="s">
        <v>5270</v>
      </c>
      <c r="B14" s="3" t="str">
        <f>A14</f>
        <v>tr-corrected-gap</v>
      </c>
      <c r="C14" s="2" t="s">
        <v>41</v>
      </c>
      <c r="D14" s="2" t="s">
        <v>2606</v>
      </c>
      <c r="E14" s="2" t="s">
        <v>5271</v>
      </c>
      <c r="F14" s="2" t="s">
        <v>5272</v>
      </c>
      <c r="G14" s="2" t="s">
        <v>5233</v>
      </c>
      <c r="H14" s="2" t="b">
        <v>0</v>
      </c>
      <c r="I14" s="2" t="b">
        <v>1</v>
      </c>
    </row>
    <row r="15">
      <c r="A15" s="2" t="s">
        <v>5273</v>
      </c>
      <c r="B15" s="3" t="str">
        <f>A15</f>
        <v>tr-corrected-winner</v>
      </c>
      <c r="C15" s="2" t="s">
        <v>41</v>
      </c>
      <c r="D15" s="2" t="s">
        <v>409</v>
      </c>
      <c r="E15" s="2" t="s">
        <v>5274</v>
      </c>
      <c r="F15" s="2" t="s">
        <v>5275</v>
      </c>
      <c r="G15" s="2" t="s">
        <v>5240</v>
      </c>
      <c r="H15" s="2" t="b">
        <v>1</v>
      </c>
      <c r="I15" s="2" t="b">
        <v>1</v>
      </c>
    </row>
    <row r="16">
      <c r="A16" s="2" t="s">
        <v>5276</v>
      </c>
      <c r="B16" s="3" t="str">
        <f>A16</f>
        <v>tr-corrected-vs-pooled</v>
      </c>
      <c r="C16" s="2" t="s">
        <v>41</v>
      </c>
      <c r="D16" s="2" t="s">
        <v>2607</v>
      </c>
      <c r="E16" s="2" t="s">
        <v>5277</v>
      </c>
      <c r="F16" s="2" t="s">
        <v>5278</v>
      </c>
      <c r="G16" s="2" t="s">
        <v>5247</v>
      </c>
      <c r="H16" s="2" t="b">
        <v>0</v>
      </c>
      <c r="I16" s="2" t="b">
        <v>1</v>
      </c>
    </row>
    <row r="17">
      <c r="A17" s="2" t="s">
        <v>5279</v>
      </c>
      <c r="B17" s="3" t="str">
        <f>A17</f>
        <v>tr-corrected-policy</v>
      </c>
      <c r="C17" s="2" t="s">
        <v>41</v>
      </c>
      <c r="D17" s="2" t="s">
        <v>2608</v>
      </c>
      <c r="E17" s="2" t="s">
        <v>5280</v>
      </c>
      <c r="F17" s="2" t="s">
        <v>5281</v>
      </c>
      <c r="G17" s="2" t="s">
        <v>5240</v>
      </c>
      <c r="H17" s="2" t="b">
        <v>0</v>
      </c>
      <c r="I17" s="2" t="b">
        <v>1</v>
      </c>
    </row>
    <row r="18">
      <c r="A18" s="2" t="s">
        <v>5282</v>
      </c>
      <c r="B18" s="3" t="str">
        <f>A18</f>
        <v>tr-causal-claim-status</v>
      </c>
      <c r="C18" s="2" t="s">
        <v>41</v>
      </c>
      <c r="D18" s="2" t="s">
        <v>2618</v>
      </c>
      <c r="E18" s="2" t="s">
        <v>5283</v>
      </c>
      <c r="F18" s="2" t="s">
        <v>5284</v>
      </c>
      <c r="G18" s="2" t="s">
        <v>5240</v>
      </c>
      <c r="H18" s="2" t="b">
        <v>0</v>
      </c>
      <c r="I18" s="2" t="b">
        <v>1</v>
      </c>
    </row>
    <row r="19">
      <c r="A19" s="2" t="s">
        <v>5285</v>
      </c>
      <c r="B19" s="3" t="str">
        <f>A19</f>
        <v>tr-adjustment-appropriate</v>
      </c>
      <c r="C19" s="2" t="s">
        <v>41</v>
      </c>
      <c r="D19" s="2" t="s">
        <v>2619</v>
      </c>
      <c r="E19" s="2" t="s">
        <v>5286</v>
      </c>
      <c r="F19" s="2" t="s">
        <v>5287</v>
      </c>
      <c r="G19" s="2" t="s">
        <v>5247</v>
      </c>
      <c r="H19" s="2" t="b">
        <v>0</v>
      </c>
      <c r="I19" s="2" t="b">
        <v>1</v>
      </c>
    </row>
    <row r="20">
      <c r="A20" s="2" t="s">
        <v>5288</v>
      </c>
      <c r="B20" s="3" t="str">
        <f>A20</f>
        <v>ss-stratum-rate-a</v>
      </c>
      <c r="C20" s="2" t="s">
        <v>35</v>
      </c>
      <c r="D20" s="2" t="s">
        <v>2211</v>
      </c>
      <c r="E20" s="2" t="s">
        <v>5289</v>
      </c>
      <c r="F20" s="2" t="s">
        <v>5290</v>
      </c>
      <c r="G20" s="2" t="s">
        <v>5233</v>
      </c>
      <c r="H20" s="2" t="b">
        <v>0</v>
      </c>
      <c r="I20" s="2" t="b">
        <v>1</v>
      </c>
    </row>
    <row r="21">
      <c r="A21" s="2" t="s">
        <v>5291</v>
      </c>
      <c r="B21" s="3" t="str">
        <f>A21</f>
        <v>ss-stratum-rate-b</v>
      </c>
      <c r="C21" s="2" t="s">
        <v>35</v>
      </c>
      <c r="D21" s="2" t="s">
        <v>2214</v>
      </c>
      <c r="E21" s="2" t="s">
        <v>5292</v>
      </c>
      <c r="F21" s="2" t="s">
        <v>5293</v>
      </c>
      <c r="G21" s="2" t="s">
        <v>5233</v>
      </c>
      <c r="H21" s="2" t="b">
        <v>0</v>
      </c>
      <c r="I21" s="2" t="b">
        <v>1</v>
      </c>
    </row>
    <row r="22">
      <c r="A22" s="2" t="s">
        <v>5294</v>
      </c>
      <c r="B22" s="3" t="str">
        <f>A22</f>
        <v>ss-stratum-winner</v>
      </c>
      <c r="C22" s="2" t="s">
        <v>35</v>
      </c>
      <c r="D22" s="2" t="s">
        <v>2215</v>
      </c>
      <c r="E22" s="2" t="s">
        <v>5295</v>
      </c>
      <c r="F22" s="2" t="s">
        <v>5296</v>
      </c>
      <c r="G22" s="2" t="s">
        <v>5240</v>
      </c>
      <c r="H22" s="2" t="b">
        <v>0</v>
      </c>
      <c r="I22" s="2" t="b">
        <v>1</v>
      </c>
    </row>
    <row r="23">
      <c r="A23" s="2" t="s">
        <v>5297</v>
      </c>
      <c r="B23" s="3" t="str">
        <f>A23</f>
        <v>ss-stratum-fraction</v>
      </c>
      <c r="C23" s="2" t="s">
        <v>35</v>
      </c>
      <c r="D23" s="2" t="s">
        <v>2218</v>
      </c>
      <c r="E23" s="2" t="s">
        <v>5298</v>
      </c>
      <c r="F23" s="2" t="s">
        <v>5299</v>
      </c>
      <c r="G23" s="2" t="s">
        <v>5233</v>
      </c>
      <c r="H23" s="2" t="b">
        <v>0</v>
      </c>
      <c r="I23" s="2" t="b">
        <v>1</v>
      </c>
    </row>
    <row r="24">
      <c r="A24" s="2" t="s">
        <v>5300</v>
      </c>
      <c r="B24" s="3" t="str">
        <f>A24</f>
        <v>ss-allocation-bias</v>
      </c>
      <c r="C24" s="2" t="s">
        <v>35</v>
      </c>
      <c r="D24" s="2" t="s">
        <v>2226</v>
      </c>
      <c r="E24" s="2" t="s">
        <v>5301</v>
      </c>
      <c r="F24" s="2" t="s">
        <v>5302</v>
      </c>
      <c r="G24" s="2" t="s">
        <v>5233</v>
      </c>
      <c r="H24" s="2" t="b">
        <v>0</v>
      </c>
      <c r="I24" s="2" t="b">
        <v>1</v>
      </c>
    </row>
    <row r="25">
      <c r="A25" s="2" t="s">
        <v>5303</v>
      </c>
      <c r="B25" s="3" t="str">
        <f>A25</f>
        <v>ss-stratum-gap</v>
      </c>
      <c r="C25" s="2" t="s">
        <v>35</v>
      </c>
      <c r="D25" s="2" t="s">
        <v>2227</v>
      </c>
      <c r="E25" s="2" t="s">
        <v>5304</v>
      </c>
      <c r="F25" s="2" t="s">
        <v>5305</v>
      </c>
      <c r="G25" s="2" t="s">
        <v>5233</v>
      </c>
      <c r="H25" s="2" t="b">
        <v>0</v>
      </c>
      <c r="I25" s="2" t="b">
        <v>1</v>
      </c>
    </row>
    <row r="26">
      <c r="A26" s="2" t="s">
        <v>5306</v>
      </c>
      <c r="B26" s="3" t="str">
        <f>A26</f>
        <v>ss-weighted-stratum-gap</v>
      </c>
      <c r="C26" s="2" t="s">
        <v>35</v>
      </c>
      <c r="D26" s="2" t="s">
        <v>2228</v>
      </c>
      <c r="E26" s="2" t="s">
        <v>5307</v>
      </c>
      <c r="F26" s="2" t="s">
        <v>5308</v>
      </c>
      <c r="G26" s="2" t="s">
        <v>5233</v>
      </c>
      <c r="H26" s="2" t="b">
        <v>0</v>
      </c>
      <c r="I26" s="2" t="b">
        <v>1</v>
      </c>
    </row>
    <row r="27">
      <c r="A27" s="2" t="s">
        <v>5309</v>
      </c>
      <c r="B27" s="3" t="str">
        <f>A27</f>
        <v>sv-is-confounder</v>
      </c>
      <c r="C27" s="2" t="s">
        <v>3096</v>
      </c>
      <c r="D27" s="2" t="s">
        <v>2300</v>
      </c>
      <c r="E27" s="2" t="s">
        <v>5310</v>
      </c>
      <c r="F27" s="2" t="s">
        <v>5311</v>
      </c>
      <c r="G27" s="2" t="s">
        <v>5247</v>
      </c>
      <c r="H27" s="2" t="b">
        <v>0</v>
      </c>
      <c r="I27" s="2" t="b">
        <v>1</v>
      </c>
    </row>
  </sheetData>
  <autoFilter ref="A1:I1"/>
  <headerFooter/>
  <legacyDrawing r:id="rId1"/>
</worksheet>
</file>

<file path=xl/worksheets/sheet3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6"/>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11.00196838378906" customWidth="1"/>
    <col min="4" max="4" width="50.86286163330078" customWidth="1"/>
    <col min="5" max="5" width="18.367626190185547" customWidth="1"/>
    <col min="6" max="6" width="22.418148040771484" customWidth="1"/>
    <col min="7" max="7" width="18.224817276000977" customWidth="1"/>
  </cols>
  <sheetData>
    <row r="1">
      <c r="A1" s="1" t="s">
        <v>5312</v>
      </c>
      <c r="B1" s="1" t="s">
        <v>1</v>
      </c>
      <c r="C1" s="1" t="s">
        <v>2933</v>
      </c>
      <c r="D1" s="1" t="s">
        <v>5313</v>
      </c>
      <c r="E1" s="1" t="s">
        <v>5314</v>
      </c>
      <c r="F1" s="1" t="s">
        <v>8</v>
      </c>
      <c r="G1" s="1" t="s">
        <v>5315</v>
      </c>
    </row>
    <row r="2">
      <c r="A2" s="2" t="s">
        <v>5316</v>
      </c>
      <c r="B2" s="3" t="str">
        <f>A2</f>
        <v>H-latent-d</v>
      </c>
      <c r="C2" s="2" t="s">
        <v>5317</v>
      </c>
      <c r="D2" s="2" t="s">
        <v>2894</v>
      </c>
      <c r="E2" s="2" t="s">
        <v>353</v>
      </c>
      <c r="F2" s="2" t="s">
        <v>23</v>
      </c>
      <c r="G2" s="2" t="s">
        <v>5318</v>
      </c>
    </row>
    <row r="3">
      <c r="A3" s="2" t="s">
        <v>5319</v>
      </c>
      <c r="B3" s="3" t="str">
        <f>A3</f>
        <v>H-purity</v>
      </c>
      <c r="C3" s="2" t="s">
        <v>5320</v>
      </c>
      <c r="D3" s="2" t="s">
        <v>5321</v>
      </c>
      <c r="E3" s="2" t="s">
        <v>353</v>
      </c>
      <c r="F3" s="2" t="s">
        <v>51</v>
      </c>
      <c r="G3" s="2" t="s">
        <v>5322</v>
      </c>
    </row>
    <row r="4">
      <c r="A4" s="2" t="s">
        <v>5323</v>
      </c>
      <c r="B4" s="3" t="str">
        <f>A4</f>
        <v>H-small-effect</v>
      </c>
      <c r="C4" s="2" t="s">
        <v>5324</v>
      </c>
      <c r="D4" s="2" t="s">
        <v>5325</v>
      </c>
      <c r="E4" s="2" t="s">
        <v>353</v>
      </c>
      <c r="F4" s="2" t="s">
        <v>58</v>
      </c>
      <c r="G4" s="2" t="s">
        <v>5318</v>
      </c>
    </row>
    <row r="5">
      <c r="A5" s="2" t="s">
        <v>5326</v>
      </c>
      <c r="B5" s="3" t="str">
        <f>A5</f>
        <v>H-econ-zero</v>
      </c>
      <c r="C5" s="2" t="s">
        <v>5327</v>
      </c>
      <c r="D5" s="2" t="s">
        <v>5328</v>
      </c>
      <c r="E5" s="2" t="s">
        <v>353</v>
      </c>
      <c r="F5" s="2" t="s">
        <v>23</v>
      </c>
      <c r="G5" s="2" t="s">
        <v>5318</v>
      </c>
    </row>
    <row r="6">
      <c r="A6" s="2" t="s">
        <v>5329</v>
      </c>
      <c r="B6" s="3" t="str">
        <f>A6</f>
        <v>H-domain-dist</v>
      </c>
      <c r="C6" s="2" t="s">
        <v>5330</v>
      </c>
      <c r="D6" s="2" t="s">
        <v>5331</v>
      </c>
      <c r="E6" s="2" t="s">
        <v>353</v>
      </c>
      <c r="F6" s="2" t="s">
        <v>58</v>
      </c>
      <c r="G6" s="2" t="s">
        <v>5318</v>
      </c>
    </row>
  </sheetData>
  <autoFilter ref="A1:G1"/>
  <headerFooter/>
  <legacyDrawing r:id="rId1"/>
</worksheet>
</file>

<file path=xl/worksheets/sheet3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6"/>
  <sheetViews>
    <sheetView workbookViewId="0">
      <pane ySplit="1" topLeftCell="A2" state="frozen" activePane="bottomLeft"/>
      <selection pane="bottomLeft" activeCell="A1" sqref="A1"/>
    </sheetView>
  </sheetViews>
  <sheetFormatPr defaultRowHeight="15"/>
  <cols>
    <col min="1" max="1" width="19.06736946105957" customWidth="1"/>
    <col min="2" max="2" width="19.06736946105957" customWidth="1"/>
    <col min="3" max="3" width="17.443378448486328" customWidth="1"/>
    <col min="4" max="4" width="21.484378814697266" customWidth="1"/>
    <col min="5" max="5" width="17.443378448486328" customWidth="1"/>
    <col min="6" max="6" width="17.443378448486328" customWidth="1"/>
    <col min="7" max="7" width="17.443378448486328" customWidth="1"/>
    <col min="8" max="8" width="17.92554473876953" customWidth="1"/>
  </cols>
  <sheetData>
    <row r="1">
      <c r="A1" s="1" t="s">
        <v>5332</v>
      </c>
      <c r="B1" s="1" t="s">
        <v>1</v>
      </c>
      <c r="C1" s="1" t="s">
        <v>5312</v>
      </c>
      <c r="D1" s="1" t="s">
        <v>5333</v>
      </c>
      <c r="E1" s="1" t="s">
        <v>5334</v>
      </c>
      <c r="F1" s="1" t="s">
        <v>5335</v>
      </c>
      <c r="G1" s="1" t="s">
        <v>2999</v>
      </c>
      <c r="H1" s="1" t="s">
        <v>3000</v>
      </c>
    </row>
    <row r="2">
      <c r="A2" s="2" t="s">
        <v>5336</v>
      </c>
      <c r="B2" s="3" t="str">
        <f>A2</f>
        <v>find-H-latent-d</v>
      </c>
      <c r="C2" s="2" t="s">
        <v>5316</v>
      </c>
      <c r="D2" s="3" t="e">
        <f>LOOKUP(C2, DiscoveryHypotheses[HypothesisId], DiscoveryHypotheses[Statement])</f>
        <v>#VALUE!</v>
      </c>
      <c r="E2" s="3" t="e">
        <f>IF(C2 = "H-latent-d", _xlfn.CONCAT("fraction=", LOOKUP("simpsons-paradox-v1", ModelSummary[ModelSummaryId], ModelSummary[LatentTypeDFraction])), IF(C2 = "H-purity", _xlfn.CONCAT("maxPurity=", LOOKUP("simpsons-paradox-v1", ModelSummary[ModelSummaryId], ModelSummary[SignFlipSignalPurityMax])), IF(C2 = "H-small-effect", _xlfn.CONCAT("stable=", LOOKUP("simpsons-paradox-v1", ModelSummary[ModelSummaryId], ModelSummary[AvgPooledGapStableD]), " latent=", LOOKUP("simpsons-paradox-v1", ModelSummary[ModelSummaryId], ModelSummary[AvgPooledGapLatentD])), IF(C2 = "H-econ-zero", _xlfn.CONCAT("flips=", LOOKUP("simpsons-paradox-v1", ModelSummary[ModelSummaryId], ModelSummary[EconomicsSignFlipCount])), IF(C2 = "H-domain-dist", _xlfn.CONCAT("epi=", LOOKUP("simpsons-paradox-v1", ModelSummary[ModelSummaryId], ModelSummary[EpidemiologyAvgDistortion]), " edu=", LOOKUP("simpsons-paradox-v1", ModelSummary[ModelSummaryId], ModelSummary[EducationAvgDistortion])), "")))))</f>
        <v>#VALUE!</v>
      </c>
      <c r="F2" s="3" t="e">
        <f>IF(C2 = "H-latent-d", LOOKUP("simpsons-paradox-v1", ModelSummary[ModelSummaryId], ModelSummary[LatentTypeDFraction]) &gt; 0.5, IF(C2 = "H-purity", LOOKUP("simpsons-paradox-v1", ModelSummary[ModelSummaryId], ModelSummary[SignFlipSignalPurityMax]) &lt; 0.5, IF(C2 = "H-small-effect", LOOKUP("simpsons-paradox-v1", ModelSummary[ModelSummaryId], ModelSummary[AvgPooledGapStableD]) &gt; LOOKUP("simpsons-paradox-v1", ModelSummary[ModelSummaryId], ModelSummary[AvgPooledGapLatentD]), IF(C2 = "H-econ-zero", LOOKUP("simpsons-paradox-v1", ModelSummary[ModelSummaryId], ModelSummary[EconomicsSignFlipCount]) = 0, IF(C2 = "H-domain-dist", LOOKUP("simpsons-paradox-v1", ModelSummary[ModelSummaryId], ModelSummary[EpidemiologyAvgDistortion]) &gt; LOOKUP("simpsons-paradox-v1", ModelSummary[ModelSummaryId], ModelSummary[EducationAvgDistortion]), FALSE())))))</f>
        <v>#VALUE!</v>
      </c>
      <c r="G2" s="3" t="e">
        <f>IF(F2 = TRUE(), _xlfn.CONCAT("PASS: ", E2), IF(F2 = FALSE(), _xlfn.CONCAT("FAIL: ", E2), ""))</f>
        <v>#VALUE!</v>
      </c>
      <c r="H2" s="2" t="s">
        <v>353</v>
      </c>
    </row>
    <row r="3">
      <c r="A3" s="2" t="s">
        <v>5337</v>
      </c>
      <c r="B3" s="3" t="str">
        <f>A3</f>
        <v>find-H-purity</v>
      </c>
      <c r="C3" s="2" t="s">
        <v>5319</v>
      </c>
      <c r="D3" s="3" t="e">
        <f>LOOKUP(C3, DiscoveryHypotheses[HypothesisId], DiscoveryHypotheses[Statement])</f>
        <v>#VALUE!</v>
      </c>
      <c r="E3" s="3" t="e">
        <f>IF(C3 = "H-latent-d", _xlfn.CONCAT("fraction=", LOOKUP("simpsons-paradox-v1", ModelSummary[ModelSummaryId], ModelSummary[LatentTypeDFraction])), IF(C3 = "H-purity", _xlfn.CONCAT("maxPurity=", LOOKUP("simpsons-paradox-v1", ModelSummary[ModelSummaryId], ModelSummary[SignFlipSignalPurityMax])), IF(C3 = "H-small-effect", _xlfn.CONCAT("stable=", LOOKUP("simpsons-paradox-v1", ModelSummary[ModelSummaryId], ModelSummary[AvgPooledGapStableD]), " latent=", LOOKUP("simpsons-paradox-v1", ModelSummary[ModelSummaryId], ModelSummary[AvgPooledGapLatentD])), IF(C3 = "H-econ-zero", _xlfn.CONCAT("flips=", LOOKUP("simpsons-paradox-v1", ModelSummary[ModelSummaryId], ModelSummary[EconomicsSignFlipCount])), IF(C3 = "H-domain-dist", _xlfn.CONCAT("epi=", LOOKUP("simpsons-paradox-v1", ModelSummary[ModelSummaryId], ModelSummary[EpidemiologyAvgDistortion]), " edu=", LOOKUP("simpsons-paradox-v1", ModelSummary[ModelSummaryId], ModelSummary[EducationAvgDistortion])), "")))))</f>
        <v>#VALUE!</v>
      </c>
      <c r="F3" s="3" t="e">
        <f>IF(C3 = "H-latent-d", LOOKUP("simpsons-paradox-v1", ModelSummary[ModelSummaryId], ModelSummary[LatentTypeDFraction]) &gt; 0.5, IF(C3 = "H-purity", LOOKUP("simpsons-paradox-v1", ModelSummary[ModelSummaryId], ModelSummary[SignFlipSignalPurityMax]) &lt; 0.5, IF(C3 = "H-small-effect", LOOKUP("simpsons-paradox-v1", ModelSummary[ModelSummaryId], ModelSummary[AvgPooledGapStableD]) &gt; LOOKUP("simpsons-paradox-v1", ModelSummary[ModelSummaryId], ModelSummary[AvgPooledGapLatentD]), IF(C3 = "H-econ-zero", LOOKUP("simpsons-paradox-v1", ModelSummary[ModelSummaryId], ModelSummary[EconomicsSignFlipCount]) = 0, IF(C3 = "H-domain-dist", LOOKUP("simpsons-paradox-v1", ModelSummary[ModelSummaryId], ModelSummary[EpidemiologyAvgDistortion]) &gt; LOOKUP("simpsons-paradox-v1", ModelSummary[ModelSummaryId], ModelSummary[EducationAvgDistortion]), FALSE())))))</f>
        <v>#VALUE!</v>
      </c>
      <c r="G3" s="3" t="e">
        <f>IF(F3 = TRUE(), _xlfn.CONCAT("PASS: ", E3), IF(F3 = FALSE(), _xlfn.CONCAT("FAIL: ", E3), ""))</f>
        <v>#VALUE!</v>
      </c>
      <c r="H3" s="2" t="s">
        <v>353</v>
      </c>
    </row>
    <row r="4">
      <c r="A4" s="2" t="s">
        <v>5338</v>
      </c>
      <c r="B4" s="3" t="str">
        <f>A4</f>
        <v>find-H-small-effect</v>
      </c>
      <c r="C4" s="2" t="s">
        <v>5323</v>
      </c>
      <c r="D4" s="3" t="e">
        <f>LOOKUP(C4, DiscoveryHypotheses[HypothesisId], DiscoveryHypotheses[Statement])</f>
        <v>#VALUE!</v>
      </c>
      <c r="E4" s="3" t="e">
        <f>IF(C4 = "H-latent-d", _xlfn.CONCAT("fraction=", LOOKUP("simpsons-paradox-v1", ModelSummary[ModelSummaryId], ModelSummary[LatentTypeDFraction])), IF(C4 = "H-purity", _xlfn.CONCAT("maxPurity=", LOOKUP("simpsons-paradox-v1", ModelSummary[ModelSummaryId], ModelSummary[SignFlipSignalPurityMax])), IF(C4 = "H-small-effect", _xlfn.CONCAT("stable=", LOOKUP("simpsons-paradox-v1", ModelSummary[ModelSummaryId], ModelSummary[AvgPooledGapStableD]), " latent=", LOOKUP("simpsons-paradox-v1", ModelSummary[ModelSummaryId], ModelSummary[AvgPooledGapLatentD])), IF(C4 = "H-econ-zero", _xlfn.CONCAT("flips=", LOOKUP("simpsons-paradox-v1", ModelSummary[ModelSummaryId], ModelSummary[EconomicsSignFlipCount])), IF(C4 = "H-domain-dist", _xlfn.CONCAT("epi=", LOOKUP("simpsons-paradox-v1", ModelSummary[ModelSummaryId], ModelSummary[EpidemiologyAvgDistortion]), " edu=", LOOKUP("simpsons-paradox-v1", ModelSummary[ModelSummaryId], ModelSummary[EducationAvgDistortion])), "")))))</f>
        <v>#VALUE!</v>
      </c>
      <c r="F4" s="3" t="e">
        <f>IF(C4 = "H-latent-d", LOOKUP("simpsons-paradox-v1", ModelSummary[ModelSummaryId], ModelSummary[LatentTypeDFraction]) &gt; 0.5, IF(C4 = "H-purity", LOOKUP("simpsons-paradox-v1", ModelSummary[ModelSummaryId], ModelSummary[SignFlipSignalPurityMax]) &lt; 0.5, IF(C4 = "H-small-effect", LOOKUP("simpsons-paradox-v1", ModelSummary[ModelSummaryId], ModelSummary[AvgPooledGapStableD]) &gt; LOOKUP("simpsons-paradox-v1", ModelSummary[ModelSummaryId], ModelSummary[AvgPooledGapLatentD]), IF(C4 = "H-econ-zero", LOOKUP("simpsons-paradox-v1", ModelSummary[ModelSummaryId], ModelSummary[EconomicsSignFlipCount]) = 0, IF(C4 = "H-domain-dist", LOOKUP("simpsons-paradox-v1", ModelSummary[ModelSummaryId], ModelSummary[EpidemiologyAvgDistortion]) &gt; LOOKUP("simpsons-paradox-v1", ModelSummary[ModelSummaryId], ModelSummary[EducationAvgDistortion]), FALSE())))))</f>
        <v>#VALUE!</v>
      </c>
      <c r="G4" s="3" t="e">
        <f>IF(F4 = TRUE(), _xlfn.CONCAT("PASS: ", E4), IF(F4 = FALSE(), _xlfn.CONCAT("FAIL: ", E4), ""))</f>
        <v>#VALUE!</v>
      </c>
      <c r="H4" s="2" t="s">
        <v>353</v>
      </c>
    </row>
    <row r="5">
      <c r="A5" s="2" t="s">
        <v>5339</v>
      </c>
      <c r="B5" s="3" t="str">
        <f>A5</f>
        <v>find-H-econ-zero</v>
      </c>
      <c r="C5" s="2" t="s">
        <v>5326</v>
      </c>
      <c r="D5" s="3" t="e">
        <f>LOOKUP(C5, DiscoveryHypotheses[HypothesisId], DiscoveryHypotheses[Statement])</f>
        <v>#VALUE!</v>
      </c>
      <c r="E5" s="3" t="e">
        <f>IF(C5 = "H-latent-d", _xlfn.CONCAT("fraction=", LOOKUP("simpsons-paradox-v1", ModelSummary[ModelSummaryId], ModelSummary[LatentTypeDFraction])), IF(C5 = "H-purity", _xlfn.CONCAT("maxPurity=", LOOKUP("simpsons-paradox-v1", ModelSummary[ModelSummaryId], ModelSummary[SignFlipSignalPurityMax])), IF(C5 = "H-small-effect", _xlfn.CONCAT("stable=", LOOKUP("simpsons-paradox-v1", ModelSummary[ModelSummaryId], ModelSummary[AvgPooledGapStableD]), " latent=", LOOKUP("simpsons-paradox-v1", ModelSummary[ModelSummaryId], ModelSummary[AvgPooledGapLatentD])), IF(C5 = "H-econ-zero", _xlfn.CONCAT("flips=", LOOKUP("simpsons-paradox-v1", ModelSummary[ModelSummaryId], ModelSummary[EconomicsSignFlipCount])), IF(C5 = "H-domain-dist", _xlfn.CONCAT("epi=", LOOKUP("simpsons-paradox-v1", ModelSummary[ModelSummaryId], ModelSummary[EpidemiologyAvgDistortion]), " edu=", LOOKUP("simpsons-paradox-v1", ModelSummary[ModelSummaryId], ModelSummary[EducationAvgDistortion])), "")))))</f>
        <v>#VALUE!</v>
      </c>
      <c r="F5" s="3" t="e">
        <f>IF(C5 = "H-latent-d", LOOKUP("simpsons-paradox-v1", ModelSummary[ModelSummaryId], ModelSummary[LatentTypeDFraction]) &gt; 0.5, IF(C5 = "H-purity", LOOKUP("simpsons-paradox-v1", ModelSummary[ModelSummaryId], ModelSummary[SignFlipSignalPurityMax]) &lt; 0.5, IF(C5 = "H-small-effect", LOOKUP("simpsons-paradox-v1", ModelSummary[ModelSummaryId], ModelSummary[AvgPooledGapStableD]) &gt; LOOKUP("simpsons-paradox-v1", ModelSummary[ModelSummaryId], ModelSummary[AvgPooledGapLatentD]), IF(C5 = "H-econ-zero", LOOKUP("simpsons-paradox-v1", ModelSummary[ModelSummaryId], ModelSummary[EconomicsSignFlipCount]) = 0, IF(C5 = "H-domain-dist", LOOKUP("simpsons-paradox-v1", ModelSummary[ModelSummaryId], ModelSummary[EpidemiologyAvgDistortion]) &gt; LOOKUP("simpsons-paradox-v1", ModelSummary[ModelSummaryId], ModelSummary[EducationAvgDistortion]), FALSE())))))</f>
        <v>#VALUE!</v>
      </c>
      <c r="G5" s="3" t="e">
        <f>IF(F5 = TRUE(), _xlfn.CONCAT("PASS: ", E5), IF(F5 = FALSE(), _xlfn.CONCAT("FAIL: ", E5), ""))</f>
        <v>#VALUE!</v>
      </c>
      <c r="H5" s="2" t="s">
        <v>353</v>
      </c>
    </row>
    <row r="6">
      <c r="A6" s="2" t="s">
        <v>5340</v>
      </c>
      <c r="B6" s="3" t="str">
        <f>A6</f>
        <v>find-H-domain-dist</v>
      </c>
      <c r="C6" s="2" t="s">
        <v>5329</v>
      </c>
      <c r="D6" s="3" t="e">
        <f>LOOKUP(C6, DiscoveryHypotheses[HypothesisId], DiscoveryHypotheses[Statement])</f>
        <v>#VALUE!</v>
      </c>
      <c r="E6" s="3" t="e">
        <f>IF(C6 = "H-latent-d", _xlfn.CONCAT("fraction=", LOOKUP("simpsons-paradox-v1", ModelSummary[ModelSummaryId], ModelSummary[LatentTypeDFraction])), IF(C6 = "H-purity", _xlfn.CONCAT("maxPurity=", LOOKUP("simpsons-paradox-v1", ModelSummary[ModelSummaryId], ModelSummary[SignFlipSignalPurityMax])), IF(C6 = "H-small-effect", _xlfn.CONCAT("stable=", LOOKUP("simpsons-paradox-v1", ModelSummary[ModelSummaryId], ModelSummary[AvgPooledGapStableD]), " latent=", LOOKUP("simpsons-paradox-v1", ModelSummary[ModelSummaryId], ModelSummary[AvgPooledGapLatentD])), IF(C6 = "H-econ-zero", _xlfn.CONCAT("flips=", LOOKUP("simpsons-paradox-v1", ModelSummary[ModelSummaryId], ModelSummary[EconomicsSignFlipCount])), IF(C6 = "H-domain-dist", _xlfn.CONCAT("epi=", LOOKUP("simpsons-paradox-v1", ModelSummary[ModelSummaryId], ModelSummary[EpidemiologyAvgDistortion]), " edu=", LOOKUP("simpsons-paradox-v1", ModelSummary[ModelSummaryId], ModelSummary[EducationAvgDistortion])), "")))))</f>
        <v>#VALUE!</v>
      </c>
      <c r="F6" s="3" t="e">
        <f>IF(C6 = "H-latent-d", LOOKUP("simpsons-paradox-v1", ModelSummary[ModelSummaryId], ModelSummary[LatentTypeDFraction]) &gt; 0.5, IF(C6 = "H-purity", LOOKUP("simpsons-paradox-v1", ModelSummary[ModelSummaryId], ModelSummary[SignFlipSignalPurityMax]) &lt; 0.5, IF(C6 = "H-small-effect", LOOKUP("simpsons-paradox-v1", ModelSummary[ModelSummaryId], ModelSummary[AvgPooledGapStableD]) &gt; LOOKUP("simpsons-paradox-v1", ModelSummary[ModelSummaryId], ModelSummary[AvgPooledGapLatentD]), IF(C6 = "H-econ-zero", LOOKUP("simpsons-paradox-v1", ModelSummary[ModelSummaryId], ModelSummary[EconomicsSignFlipCount]) = 0, IF(C6 = "H-domain-dist", LOOKUP("simpsons-paradox-v1", ModelSummary[ModelSummaryId], ModelSummary[EpidemiologyAvgDistortion]) &gt; LOOKUP("simpsons-paradox-v1", ModelSummary[ModelSummaryId], ModelSummary[EducationAvgDistortion]), FALSE())))))</f>
        <v>#VALUE!</v>
      </c>
      <c r="G6" s="3" t="e">
        <f>IF(F6 = TRUE(), _xlfn.CONCAT("PASS: ", E6), IF(F6 = FALSE(), _xlfn.CONCAT("FAIL: ", E6), ""))</f>
        <v>#VALUE!</v>
      </c>
      <c r="H6" s="2" t="s">
        <v>353</v>
      </c>
    </row>
  </sheetData>
  <autoFilter ref="A1:H1"/>
  <headerFooter/>
  <legacyDrawing r:id="rId1"/>
</worksheet>
</file>

<file path=xl/worksheets/sheet3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44"/>
  <sheetViews>
    <sheetView workbookViewId="0"/>
  </sheetViews>
  <sheetFormatPr defaultRowHeight="15"/>
  <sheetData>
    <row r="1">
      <c r="A1" s="0" t="s">
        <v>5341</v>
      </c>
      <c r="Z1" s="0">
        <v>44</v>
      </c>
    </row>
    <row r="2">
      <c r="A2" s="0" t="s">
        <v>5342</v>
      </c>
    </row>
    <row r="3">
      <c r="A3" s="0" t="s">
        <v>5343</v>
      </c>
    </row>
    <row r="4">
      <c r="A4" s="0" t="s">
        <v>5344</v>
      </c>
    </row>
    <row r="5">
      <c r="A5" s="0" t="s">
        <v>5345</v>
      </c>
    </row>
    <row r="6">
      <c r="A6" s="0" t="s">
        <v>5346</v>
      </c>
    </row>
    <row r="7">
      <c r="A7" s="0" t="s">
        <v>5347</v>
      </c>
    </row>
    <row r="8">
      <c r="A8" s="0" t="s">
        <v>5348</v>
      </c>
    </row>
    <row r="9">
      <c r="A9" s="0" t="s">
        <v>5349</v>
      </c>
    </row>
    <row r="10">
      <c r="A10" s="0" t="s">
        <v>5350</v>
      </c>
    </row>
    <row r="11">
      <c r="A11" s="0" t="s">
        <v>5351</v>
      </c>
    </row>
    <row r="12">
      <c r="A12" s="0" t="s">
        <v>5352</v>
      </c>
    </row>
    <row r="13">
      <c r="A13" s="0" t="s">
        <v>5353</v>
      </c>
    </row>
    <row r="14">
      <c r="A14" s="0" t="s">
        <v>5354</v>
      </c>
    </row>
    <row r="15">
      <c r="A15" s="0" t="s">
        <v>5355</v>
      </c>
    </row>
    <row r="16">
      <c r="A16" s="0" t="s">
        <v>5356</v>
      </c>
    </row>
    <row r="17">
      <c r="A17" s="0" t="s">
        <v>5357</v>
      </c>
    </row>
    <row r="18">
      <c r="A18" s="0" t="s">
        <v>5358</v>
      </c>
    </row>
    <row r="19">
      <c r="A19" s="0" t="s">
        <v>5359</v>
      </c>
    </row>
    <row r="20">
      <c r="A20" s="0" t="s">
        <v>5360</v>
      </c>
    </row>
    <row r="21">
      <c r="A21" s="0" t="s">
        <v>5361</v>
      </c>
    </row>
    <row r="22">
      <c r="A22" s="0" t="s">
        <v>5362</v>
      </c>
    </row>
    <row r="23">
      <c r="A23" s="0" t="s">
        <v>5363</v>
      </c>
    </row>
    <row r="24">
      <c r="A24" s="0" t="s">
        <v>5364</v>
      </c>
    </row>
    <row r="25">
      <c r="A25" s="0" t="s">
        <v>5365</v>
      </c>
    </row>
    <row r="26">
      <c r="A26" s="0" t="s">
        <v>5366</v>
      </c>
    </row>
    <row r="27">
      <c r="A27" s="0" t="s">
        <v>5367</v>
      </c>
    </row>
    <row r="28">
      <c r="A28" s="0" t="s">
        <v>5368</v>
      </c>
    </row>
    <row r="29">
      <c r="A29" s="0" t="s">
        <v>5369</v>
      </c>
    </row>
    <row r="30">
      <c r="A30" s="0" t="s">
        <v>5370</v>
      </c>
    </row>
    <row r="31">
      <c r="A31" s="0" t="s">
        <v>5371</v>
      </c>
    </row>
    <row r="32">
      <c r="A32" s="0" t="s">
        <v>5372</v>
      </c>
    </row>
    <row r="33">
      <c r="A33" s="0" t="s">
        <v>5373</v>
      </c>
    </row>
    <row r="34">
      <c r="A34" s="0" t="s">
        <v>5374</v>
      </c>
    </row>
    <row r="35">
      <c r="A35" s="0" t="s">
        <v>5375</v>
      </c>
    </row>
    <row r="36">
      <c r="A36" s="0" t="s">
        <v>5376</v>
      </c>
    </row>
    <row r="37">
      <c r="A37" s="0" t="s">
        <v>5377</v>
      </c>
    </row>
    <row r="38">
      <c r="A38" s="0" t="s">
        <v>5378</v>
      </c>
    </row>
    <row r="39">
      <c r="A39" s="0" t="s">
        <v>5379</v>
      </c>
    </row>
    <row r="40">
      <c r="A40" s="0" t="s">
        <v>5380</v>
      </c>
    </row>
    <row r="41">
      <c r="A41" s="0" t="s">
        <v>5381</v>
      </c>
    </row>
    <row r="42">
      <c r="A42" s="0" t="s">
        <v>5382</v>
      </c>
    </row>
    <row r="43">
      <c r="A43" s="0" t="s">
        <v>5383</v>
      </c>
    </row>
    <row r="44">
      <c r="A44" s="0" t="s">
        <v>5384</v>
      </c>
    </row>
  </sheetData>
  <headerFooter/>
</worksheet>
</file>

<file path=EPPlusLicense.txt>This workbook was created with the EPPlus library, licensed to EffortlessAPI Tool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EffortlessAPI Tool under The Polyform Noncommercial License: See https://polyformproject.org/licenses/noncommercial/1.0.0</dc:description>
  <dc:creator>EffortlessAPI Tool</dc:creator>
</cp:coreProperties>
</file>

<file path=docProps/custom.xml><?xml version="1.0" encoding="utf-8"?>
<Properties xmlns:vt="http://schemas.openxmlformats.org/officeDocument/2006/docPropsVTypes" xmlns="http://schemas.openxmlformats.org/officeDocument/2006/custom-properties"/>
</file>