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vmlDrawing" PartName="/xl/drawings/vmlDrawing2.vml"/>
  <Override ContentType="application/vnd.openxmlformats-officedocument.spreadsheetml.worksheet+xml" PartName="/xl/worksheets/sheet3.xml"/>
  <Override ContentType="application/vnd.openxmlformats-officedocument.vmlDrawing" PartName="/xl/drawings/vmlDrawing3.vml"/>
  <Override ContentType="application/vnd.openxmlformats-officedocument.spreadsheetml.worksheet+xml" PartName="/xl/worksheets/sheet4.xml"/>
  <Override ContentType="application/vnd.openxmlformats-officedocument.vmlDrawing" PartName="/xl/drawings/vmlDrawing4.vml"/>
  <Override ContentType="application/vnd.openxmlformats-officedocument.spreadsheetml.worksheet+xml" PartName="/xl/worksheets/sheet5.xml"/>
  <Override ContentType="application/vnd.openxmlformats-officedocument.vmlDrawing" PartName="/xl/drawings/vmlDrawing5.vml"/>
  <Override ContentType="application/vnd.openxmlformats-officedocument.spreadsheetml.worksheet+xml" PartName="/xl/worksheets/sheet6.xml"/>
  <Override ContentType="application/vnd.openxmlformats-officedocument.vmlDrawing" PartName="/xl/drawings/vmlDrawing6.vml"/>
  <Override ContentType="application/vnd.openxmlformats-officedocument.spreadsheetml.worksheet+xml" PartName="/xl/worksheets/sheet7.xml"/>
  <Override ContentType="application/vnd.openxmlformats-officedocument.vmlDrawing" PartName="/xl/drawings/vmlDrawing7.vml"/>
  <Override ContentType="application/vnd.openxmlformats-officedocument.spreadsheetml.worksheet+xml" PartName="/xl/worksheets/sheet8.xml"/>
  <Override ContentType="application/vnd.openxmlformats-officedocument.vmlDrawing" PartName="/xl/drawings/vmlDrawing8.vml"/>
  <Override ContentType="application/vnd.openxmlformats-officedocument.spreadsheetml.worksheet+xml" PartName="/xl/worksheets/sheet9.xml"/>
  <Override ContentType="application/vnd.openxmlformats-officedocument.vmlDrawing" PartName="/xl/drawings/vmlDrawing9.vml"/>
  <Override ContentType="application/vnd.openxmlformats-officedocument.spreadsheetml.worksheet+xml" PartName="/xl/worksheets/sheet10.xml"/>
  <Override ContentType="application/vnd.openxmlformats-officedocument.vmlDrawing" PartName="/xl/drawings/vmlDrawing10.vml"/>
  <Override ContentType="application/vnd.openxmlformats-officedocument.spreadsheetml.worksheet+xml" PartName="/xl/worksheets/sheet1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JobBoards" sheetId="1" r:id="rId1"/>
    <sheet name="SearchUrls" sheetId="2" r:id="rId3"/>
    <sheet name="RoleArchetypes" sheetId="3" r:id="rId4"/>
    <sheet name="RubricDimensions" sheetId="4" r:id="rId5"/>
    <sheet name="Resumes" sheetId="5" r:id="rId6"/>
    <sheet name="ResumeSections" sheetId="6" r:id="rId7"/>
    <sheet name="SearchRuns" sheetId="7" r:id="rId8"/>
    <sheet name="JobListings" sheetId="8" r:id="rId9"/>
    <sheet name="ScoreResults" sheetId="9" r:id="rId10"/>
    <sheet name="Decisions" sheetId="10" r:id="rId11"/>
    <sheet name="_original_json" sheetId="11" r:id="rId12" state="hidden"/>
  </sheets>
  <definedNames>
    <definedName name="_xlnm._FilterDatabase" localSheetId="9" hidden="1">Decisions!$A$1:$J$1</definedName>
    <definedName name="_xlnm._FilterDatabase" localSheetId="0" hidden="1">JobBoards!$A$1:$H$1</definedName>
    <definedName name="_xlnm._FilterDatabase" localSheetId="7" hidden="1">JobListings!$A$1:$P$1</definedName>
    <definedName name="_xlnm._FilterDatabase" localSheetId="4" hidden="1">Resumes!$A$1:$G$1</definedName>
    <definedName name="_xlnm._FilterDatabase" localSheetId="5" hidden="1">ResumeSections!$A$1:$G$1</definedName>
    <definedName name="_xlnm._FilterDatabase" localSheetId="2" hidden="1">RoleArchetypes!$A$1:$E$1</definedName>
    <definedName name="_xlnm._FilterDatabase" localSheetId="3" hidden="1">RubricDimensions!$A$1:$E$1</definedName>
    <definedName name="_xlnm._FilterDatabase" localSheetId="8" hidden="1">ScoreResults!$A$1:$Q$1</definedName>
    <definedName name="_xlnm._FilterDatabase" localSheetId="6" hidden="1">SearchRuns!$A$1:$T$1</definedName>
    <definedName name="_xlnm._FilterDatabase" localSheetId="1" hidden="1">SearchUrls!$A$1:$F$1</definedName>
  </definedName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job boards.</t>
        </r>
      </text>
    </comment>
    <comment ref="C1" authorId="0">
      <text>
        <r>
          <rPr>
            <rFont val="Aptos Narrow"/>
            <b/>
            <color rgb="FFFFFFFF"/>
            <sz val="11"/>
          </rPr>
          <t>Notes about this board's behavior, rate limits, or special handling requirements.</t>
        </r>
      </text>
    </comment>
    <comment ref="D1" authorId="0">
      <text>
        <r>
          <rPr>
            <rFont val="Aptos Narrow"/>
            <b/>
            <color rgb="FFFFFFFF"/>
            <sz val="11"/>
          </rPr>
          <t>Whether this board is active for search runs.</t>
        </r>
      </text>
    </comment>
    <comment ref="E1" authorId="0">
      <text>
        <r>
          <rPr>
            <rFont val="Aptos Narrow"/>
            <b/>
            <color rgb="FFFFFFFF"/>
            <sz val="11"/>
          </rPr>
          <t>Maximum number of result pages to crawl per search URL. Default is 3.</t>
        </r>
      </text>
    </comment>
    <comment ref="F1" authorId="0">
      <text>
        <r>
          <rPr>
            <rFont val="Aptos Narrow"/>
            <b/>
            <color rgb="FFFFFFFF"/>
            <sz val="11"/>
          </rPr>
          <t>Whether to run the Playwright browser in headless mode for this board.</t>
        </r>
      </text>
    </comment>
    <comment ref="G1" authorId="0">
      <text>
        <r>
          <rPr>
            <rFont val="Aptos Narrow"/>
            <b/>
            <color rgb="FFFFFFFF"/>
            <sz val="11"/>
          </rPr>
          <t>Optional browser variant to use (e.g., msedge). NULL means default Chromium.</t>
        </r>
      </text>
    </comment>
    <comment ref="H1" authorId="0">
      <text>
        <r>
          <rPr>
            <rFont val="Aptos Narrow"/>
            <b/>
            <color rgb="FFFFFFFF"/>
            <sz val="11"/>
          </rPr>
          <t>Count of job listings scraped from this board.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name of the job board (e.g., ZipRecruiter, Indeed, LinkedIn, WeWorkRemotely).</t>
        </r>
      </text>
    </comment>
  </commentList>
</comments>
</file>

<file path=xl/comments2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search URLs.</t>
        </r>
      </text>
    </comment>
    <comment ref="C1" authorId="0">
      <text>
        <r>
          <rPr>
            <rFont val="Aptos Narrow"/>
            <b/>
            <color rgb="FFFFFFFF"/>
            <sz val="11"/>
          </rPr>
          <t>Which job board this search URL belongs to.</t>
        </r>
      </text>
    </comment>
    <comment ref="D1" authorId="0">
      <text>
        <r>
          <rPr>
            <rFont val="Aptos Narrow"/>
            <b/>
            <color rgb="FFFFFFFF"/>
            <sz val="11"/>
          </rPr>
          <t>The full search URL to crawl on this board.</t>
        </r>
      </text>
    </comment>
    <comment ref="E1" authorId="0">
      <text>
        <r>
          <rPr>
            <rFont val="Aptos Narrow"/>
            <b/>
            <color rgb="FFFFFFFF"/>
            <sz val="11"/>
          </rPr>
          <t>Whether this search URL is active for crawling.</t>
        </r>
      </text>
    </comment>
    <comment ref="F1" authorId="0">
      <text>
        <r>
          <rPr>
            <rFont val="Aptos Narrow"/>
            <b/>
            <color rgb="FFFFFFFF"/>
            <sz val="11"/>
          </rPr>
          <t>Display name of the parent job board.</t>
        </r>
      </text>
    </comment>
    <comment ref="B1" authorId="0">
      <text>
        <r>
          <rPr>
            <rFont val="Aptos Narrow"/>
            <b/>
            <color rgb="FFFFFFFF"/>
            <sz val="11"/>
          </rPr>
          <t>Descriptive label for this search query (e.g., 'Staff Engineer - Remote').</t>
        </r>
      </text>
    </comment>
  </commentList>
</comments>
</file>

<file path=xl/comments3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role archetypes.</t>
        </r>
      </text>
    </comment>
    <comment ref="C1" authorId="0">
      <text>
        <r>
          <rPr>
            <rFont val="Aptos Narrow"/>
            <b/>
            <color rgb="FFFFFFFF"/>
            <sz val="11"/>
          </rPr>
          <t>Natural language description of this ideal role type. Embedded into ChromaDB for archetype scoring.</t>
        </r>
      </text>
    </comment>
    <comment ref="D1" authorId="0">
      <text>
        <r>
          <rPr>
            <rFont val="Aptos Narrow"/>
            <b/>
            <color rgb="FFFFFFFF"/>
            <sz val="11"/>
          </rPr>
          <t>Comma-separated keywords or phrases indicating strong fit for this archetype.</t>
        </r>
      </text>
    </comment>
    <comment ref="E1" authorId="0">
      <text>
        <r>
          <rPr>
            <rFont val="Aptos Narrow"/>
            <b/>
            <color rgb="FFFFFFFF"/>
            <sz val="11"/>
          </rPr>
          <t>Comma-separated keywords or phrases indicating misfit for this archetype.</t>
        </r>
      </text>
    </comment>
    <comment ref="B1" authorId="0">
      <text>
        <r>
          <rPr>
            <rFont val="Aptos Narrow"/>
            <b/>
            <color rgb="FFFFFFFF"/>
            <sz val="11"/>
          </rPr>
          <t>Archetype title (e.g., 'Staff Platform Architect', 'AI Systems Engineer').</t>
        </r>
      </text>
    </comment>
  </commentList>
</comments>
</file>

<file path=xl/comments4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rubric dimensions.</t>
        </r>
      </text>
    </comment>
    <comment ref="C1" authorId="0">
      <text>
        <r>
          <rPr>
            <rFont val="Aptos Narrow"/>
            <b/>
            <color rgb="FFFFFFFF"/>
            <sz val="11"/>
          </rPr>
          <t>What this dimension evaluates and why it matters.</t>
        </r>
      </text>
    </comment>
    <comment ref="D1" authorId="0">
      <text>
        <r>
          <rPr>
            <rFont val="Aptos Narrow"/>
            <b/>
            <color rgb="FFFFFFFF"/>
            <sz val="11"/>
          </rPr>
          <t>Comma-separated positive indicators for this dimension. Embedded into global_positive_signals collection.</t>
        </r>
      </text>
    </comment>
    <comment ref="E1" authorId="0">
      <text>
        <r>
          <rPr>
            <rFont val="Aptos Narrow"/>
            <b/>
            <color rgb="FFFFFFFF"/>
            <sz val="11"/>
          </rPr>
          <t>Comma-separated red flags for this dimension. Embedded into negative_signals collection.</t>
        </r>
      </text>
    </comment>
    <comment ref="B1" authorId="0">
      <text>
        <r>
          <rPr>
            <rFont val="Aptos Narrow"/>
            <b/>
            <color rgb="FFFFFFFF"/>
            <sz val="11"/>
          </rPr>
          <t>Dimension name (e.g., 'Role Scope', 'Technical Depth').</t>
        </r>
      </text>
    </comment>
  </commentList>
</comments>
</file>

<file path=xl/comments5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resumes.</t>
        </r>
      </text>
    </comment>
    <comment ref="C1" authorId="0">
      <text>
        <r>
          <rPr>
            <rFont val="Aptos Narrow"/>
            <b/>
            <color rgb="FFFFFFFF"/>
            <sz val="11"/>
          </rPr>
          <t>Notes about what this resume version emphasizes or targets.</t>
        </r>
      </text>
    </comment>
    <comment ref="D1" authorId="0">
      <text>
        <r>
          <rPr>
            <rFont val="Aptos Narrow"/>
            <b/>
            <color rgb="FFFFFFFF"/>
            <sz val="11"/>
          </rPr>
          <t>Path to the resume markdown file relative to project root (e.g., 'data/resume.md').</t>
        </r>
      </text>
    </comment>
    <comment ref="E1" authorId="0">
      <text>
        <r>
          <rPr>
            <rFont val="Aptos Narrow"/>
            <b/>
            <color rgb="FFFFFFFF"/>
            <sz val="11"/>
          </rPr>
          <t>When this resume was last chunked and embedded into ChromaDB. NULL means not yet indexed.</t>
        </r>
      </text>
    </comment>
    <comment ref="F1" authorId="0">
      <text>
        <r>
          <rPr>
            <rFont val="Aptos Narrow"/>
            <b/>
            <color rgb="FFFFFFFF"/>
            <sz val="11"/>
          </rPr>
          <t>Count of sections (## heading chunks) extracted from this resume.</t>
        </r>
      </text>
    </comment>
    <comment ref="G1" authorId="0">
      <text>
        <r>
          <rPr>
            <rFont val="Aptos Narrow"/>
            <b/>
            <color rgb="FFFFFFFF"/>
            <sz val="11"/>
          </rPr>
          <t>Count of search runs that scored against this resume.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name for this resume version (e.g., 'Platform Engineer - 2026Q1').</t>
        </r>
      </text>
    </comment>
  </commentList>
</comments>
</file>

<file path=xl/comments6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key. Slug of the section heading (e.g., 'resume-core-strengths').</t>
        </r>
      </text>
    </comment>
    <comment ref="C1" authorId="0">
      <text>
        <r>
          <rPr>
            <rFont val="Aptos Narrow"/>
            <b/>
            <color rgb="FFFFFFFF"/>
            <sz val="11"/>
          </rPr>
          <t>Which resume this section belongs to.</t>
        </r>
      </text>
    </comment>
    <comment ref="D1" authorId="0">
      <text>
        <r>
          <rPr>
            <rFont val="Aptos Narrow"/>
            <b/>
            <color rgb="FFFFFFFF"/>
            <sz val="11"/>
          </rPr>
          <t>Order of this section within the resume (1-based). Preserves document structure.</t>
        </r>
      </text>
    </comment>
    <comment ref="E1" authorId="0">
      <text>
        <r>
          <rPr>
            <rFont val="Aptos Narrow"/>
            <b/>
            <color rgb="FFFFFFFF"/>
            <sz val="11"/>
          </rPr>
          <t>Full text of this section including the ## heading and all body content up to the next ## heading. This is the document embedded into ChromaDB.</t>
        </r>
      </text>
    </comment>
    <comment ref="F1" authorId="0">
      <text>
        <r>
          <rPr>
            <rFont val="Aptos Narrow"/>
            <b/>
            <color rgb="FFFFFFFF"/>
            <sz val="11"/>
          </rPr>
          <t>Document ID in the ChromaDB resume collection (e.g., 'resume-core-strengths'). Used for idempotent upserts.</t>
        </r>
      </text>
    </comment>
    <comment ref="G1" authorId="0">
      <text>
        <r>
          <rPr>
            <rFont val="Aptos Narrow"/>
            <b/>
            <color rgb="FFFFFFFF"/>
            <sz val="11"/>
          </rPr>
          <t>Display name of the parent resume.</t>
        </r>
      </text>
    </comment>
    <comment ref="B1" authorId="0">
      <text>
        <r>
          <rPr>
            <rFont val="Aptos Narrow"/>
            <b/>
            <color rgb="FFFFFFFF"/>
            <sz val="11"/>
          </rPr>
          <t>Section heading text (e.g., 'Core Strengths', 'Experience').</t>
        </r>
      </text>
    </comment>
  </commentList>
</comments>
</file>

<file path=xl/comments7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search runs.</t>
        </r>
      </text>
    </comment>
    <comment ref="C1" authorId="0">
      <text>
        <r>
          <rPr>
            <rFont val="Aptos Narrow"/>
            <b/>
            <color rgb="FFFFFFFF"/>
            <sz val="11"/>
          </rPr>
          <t>Which resume was used for fit_score computation in this run. The central link in the RAG pipeline.</t>
        </r>
      </text>
    </comment>
    <comment ref="D1" authorId="0">
      <text>
        <r>
          <rPr>
            <rFont val="Aptos Narrow"/>
            <b/>
            <color rgb="FFFFFFFF"/>
            <sz val="11"/>
          </rPr>
          <t>When this search run was executed.</t>
        </r>
      </text>
    </comment>
    <comment ref="E1" authorId="0">
      <text>
        <r>
          <rPr>
            <rFont val="Aptos Narrow"/>
            <b/>
            <color rgb="FFFFFFFF"/>
            <sz val="11"/>
          </rPr>
          <t>Weight applied to archetype match score (0.0 - 1.0).</t>
        </r>
      </text>
    </comment>
    <comment ref="F1" authorId="0">
      <text>
        <r>
          <rPr>
            <rFont val="Aptos Narrow"/>
            <b/>
            <color rgb="FFFFFFFF"/>
            <sz val="11"/>
          </rPr>
          <t>Weight applied to resume fit score (0.0 - 1.0).</t>
        </r>
      </text>
    </comment>
    <comment ref="G1" authorId="0">
      <text>
        <r>
          <rPr>
            <rFont val="Aptos Narrow"/>
            <b/>
            <color rgb="FFFFFFFF"/>
            <sz val="11"/>
          </rPr>
          <t>Weight applied to decision history score (0.0 - 1.0).</t>
        </r>
      </text>
    </comment>
    <comment ref="H1" authorId="0">
      <text>
        <r>
          <rPr>
            <rFont val="Aptos Narrow"/>
            <b/>
            <color rgb="FFFFFFFF"/>
            <sz val="11"/>
          </rPr>
          <t>Weight applied to compensation alignment score (0.0 - 1.0).</t>
        </r>
      </text>
    </comment>
    <comment ref="I1" authorId="0">
      <text>
        <r>
          <rPr>
            <rFont val="Aptos Narrow"/>
            <b/>
            <color rgb="FFFFFFFF"/>
            <sz val="11"/>
          </rPr>
          <t>Penalty multiplier for negative signal score (0.0 - 1.0).</t>
        </r>
      </text>
    </comment>
    <comment ref="J1" authorId="0">
      <text>
        <r>
          <rPr>
            <rFont val="Aptos Narrow"/>
            <b/>
            <color rgb="FFFFFFFF"/>
            <sz val="11"/>
          </rPr>
          <t>Weight applied to culture/quality dimension score (0.0 - 1.0).</t>
        </r>
      </text>
    </comment>
    <comment ref="K1" authorId="0">
      <text>
        <r>
          <rPr>
            <rFont val="Aptos Narrow"/>
            <b/>
            <color rgb="FFFFFFFF"/>
            <sz val="11"/>
          </rPr>
          <t>Target annual salary for compensation scoring. Default $220,000.</t>
        </r>
      </text>
    </comment>
    <comment ref="L1" authorId="0">
      <text>
        <r>
          <rPr>
            <rFont val="Aptos Narrow"/>
            <b/>
            <color rgb="FFFFFFFF"/>
            <sz val="11"/>
          </rPr>
          <t>Minimum final score to include in results (0.0 - 1.0). Default 0.45.</t>
        </r>
      </text>
    </comment>
    <comment ref="M1" authorId="0">
      <text>
        <r>
          <rPr>
            <rFont val="Aptos Narrow"/>
            <b/>
            <color rgb="FFFFFFFF"/>
            <sz val="11"/>
          </rPr>
          <t>Whether to run the LLM disqualifier pass on listings.</t>
        </r>
      </text>
    </comment>
    <comment ref="N1" authorId="0">
      <text>
        <r>
          <rPr>
            <rFont val="Aptos Narrow"/>
            <b/>
            <color rgb="FFFFFFFF"/>
            <sz val="11"/>
          </rPr>
          <t>Total listings collected from boards in this run.</t>
        </r>
      </text>
    </comment>
    <comment ref="O1" authorId="0">
      <text>
        <r>
          <rPr>
            <rFont val="Aptos Narrow"/>
            <b/>
            <color rgb="FFFFFFFF"/>
            <sz val="11"/>
          </rPr>
          <t>Total listings that passed through the scorer.</t>
        </r>
      </text>
    </comment>
    <comment ref="P1" authorId="0">
      <text>
        <r>
          <rPr>
            <rFont val="Aptos Narrow"/>
            <b/>
            <color rgb="FFFFFFFF"/>
            <sz val="11"/>
          </rPr>
          <t>Listings filtered below min_score_threshold.</t>
        </r>
      </text>
    </comment>
    <comment ref="Q1" authorId="0">
      <text>
        <r>
          <rPr>
            <rFont val="Aptos Narrow"/>
            <b/>
            <color rgb="FFFFFFFF"/>
            <sz val="11"/>
          </rPr>
          <t>Duplicate listings collapsed during this run.</t>
        </r>
      </text>
    </comment>
    <comment ref="R1" authorId="0">
      <text>
        <r>
          <rPr>
            <rFont val="Aptos Narrow"/>
            <b/>
            <color rgb="FFFFFFFF"/>
            <sz val="11"/>
          </rPr>
          <t>Count of listings that failed scoring.</t>
        </r>
      </text>
    </comment>
    <comment ref="S1" authorId="0">
      <text>
        <r>
          <rPr>
            <rFont val="Aptos Narrow"/>
            <b/>
            <color rgb="FFFFFFFF"/>
            <sz val="11"/>
          </rPr>
          <t>Display name of the resume used for this run.</t>
        </r>
      </text>
    </comment>
    <comment ref="T1" authorId="0">
      <text>
        <r>
          <rPr>
            <rFont val="Aptos Narrow"/>
            <b/>
            <color rgb="FFFFFFFF"/>
            <sz val="11"/>
          </rPr>
          <t>Count of score results produced in this run.</t>
        </r>
      </text>
    </comment>
    <comment ref="B1" authorId="0">
      <text>
        <r>
          <rPr>
            <rFont val="Aptos Narrow"/>
            <b/>
            <color rgb="FFFFFFFF"/>
            <sz val="11"/>
          </rPr>
          <t>Human-readable run label (typically date + time).</t>
        </r>
      </text>
    </comment>
  </commentList>
</comments>
</file>

<file path=xl/comments8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key. Composite of board and external ID (e.g., 'ziprecruiter-abc123').</t>
        </r>
      </text>
    </comment>
    <comment ref="C1" authorId="0">
      <text>
        <r>
          <rPr>
            <rFont val="Aptos Narrow"/>
            <b/>
            <color rgb="FFFFFFFF"/>
            <sz val="11"/>
          </rPr>
          <t>Which job board this listing was scraped from.</t>
        </r>
      </text>
    </comment>
    <comment ref="D1" authorId="0">
      <text>
        <r>
          <rPr>
            <rFont val="Aptos Narrow"/>
            <b/>
            <color rgb="FFFFFFFF"/>
            <sz val="11"/>
          </rPr>
          <t>The job board's unique identifier for this posting.</t>
        </r>
      </text>
    </comment>
    <comment ref="E1" authorId="0">
      <text>
        <r>
          <rPr>
            <rFont val="Aptos Narrow"/>
            <b/>
            <color rgb="FFFFFFFF"/>
            <sz val="11"/>
          </rPr>
          <t>Company name, sanitized for filesystem safety.</t>
        </r>
      </text>
    </comment>
    <comment ref="F1" authorId="0">
      <text>
        <r>
          <rPr>
            <rFont val="Aptos Narrow"/>
            <b/>
            <color rgb="FFFFFFFF"/>
            <sz val="11"/>
          </rPr>
          <t>Job location (city, state, remote, hybrid, etc.).</t>
        </r>
      </text>
    </comment>
    <comment ref="G1" authorId="0">
      <text>
        <r>
          <rPr>
            <rFont val="Aptos Narrow"/>
            <b/>
            <color rgb="FFFFFFFF"/>
            <sz val="11"/>
          </rPr>
          <t>Direct URL link to the job posting on the board.</t>
        </r>
      </text>
    </comment>
    <comment ref="H1" authorId="0">
      <text>
        <r>
          <rPr>
            <rFont val="Aptos Narrow"/>
            <b/>
            <color rgb="FFFFFFFF"/>
            <sz val="11"/>
          </rPr>
          <t>Complete job description text. Max 250,000 characters. Embedded into ChromaDB for scoring.</t>
        </r>
      </text>
    </comment>
    <comment ref="I1" authorId="0">
      <text>
        <r>
          <rPr>
            <rFont val="Aptos Narrow"/>
            <b/>
            <color rgb="FFFFFFFF"/>
            <sz val="11"/>
          </rPr>
          <t>When the job was posted on the board.</t>
        </r>
      </text>
    </comment>
    <comment ref="J1" authorId="0">
      <text>
        <r>
          <rPr>
            <rFont val="Aptos Narrow"/>
            <b/>
            <color rgb="FFFFFFFF"/>
            <sz val="11"/>
          </rPr>
          <t>Minimum compensation in USD, parsed from job description.</t>
        </r>
      </text>
    </comment>
    <comment ref="K1" authorId="0">
      <text>
        <r>
          <rPr>
            <rFont val="Aptos Narrow"/>
            <b/>
            <color rgb="FFFFFFFF"/>
            <sz val="11"/>
          </rPr>
          <t>Maximum compensation in USD, parsed from job description.</t>
        </r>
      </text>
    </comment>
    <comment ref="L1" authorId="0">
      <text>
        <r>
          <rPr>
            <rFont val="Aptos Narrow"/>
            <b/>
            <color rgb="FFFFFFFF"/>
            <sz val="11"/>
          </rPr>
          <t>Source of compensation data: 'employer' (from JD) or 'estimated' (board-generated).</t>
        </r>
      </text>
    </comment>
    <comment ref="M1" authorId="0">
      <text>
        <r>
          <rPr>
            <rFont val="Aptos Narrow"/>
            <b/>
            <color rgb="FFFFFFFF"/>
            <sz val="11"/>
          </rPr>
          <t>Raw compensation text matched from the job description (e.g., '$180,000 - $220,000/year').</t>
        </r>
      </text>
    </comment>
    <comment ref="N1" authorId="0">
      <text>
        <r>
          <rPr>
            <rFont val="Aptos Narrow"/>
            <b/>
            <color rgb="FFFFFFFF"/>
            <sz val="11"/>
          </rPr>
          <t>Display name of the source job board.</t>
        </r>
      </text>
    </comment>
    <comment ref="O1" authorId="0">
      <text>
        <r>
          <rPr>
            <rFont val="Aptos Narrow"/>
            <b/>
            <color rgb="FFFFFFFF"/>
            <sz val="11"/>
          </rPr>
          <t>Number of times this listing has been scored across search runs.</t>
        </r>
      </text>
    </comment>
    <comment ref="P1" authorId="0">
      <text>
        <r>
          <rPr>
            <rFont val="Aptos Narrow"/>
            <b/>
            <color rgb="FFFFFFFF"/>
            <sz val="11"/>
          </rPr>
          <t>Number of decisions recorded for this listing.</t>
        </r>
      </text>
    </comment>
    <comment ref="B1" authorId="0">
      <text>
        <r>
          <rPr>
            <rFont val="Aptos Narrow"/>
            <b/>
            <color rgb="FFFFFFFF"/>
            <sz val="11"/>
          </rPr>
          <t>Job title as listed on the board, sanitized for filesystem safety.</t>
        </r>
      </text>
    </comment>
  </commentList>
</comments>
</file>

<file path=xl/comments9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score results.</t>
        </r>
      </text>
    </comment>
    <comment ref="C1" authorId="0">
      <text>
        <r>
          <rPr>
            <rFont val="Aptos Narrow"/>
            <b/>
            <color rgb="FFFFFFFF"/>
            <sz val="11"/>
          </rPr>
          <t>The job listing that was scored.</t>
        </r>
      </text>
    </comment>
    <comment ref="D1" authorId="0">
      <text>
        <r>
          <rPr>
            <rFont val="Aptos Narrow"/>
            <b/>
            <color rgb="FFFFFFFF"/>
            <sz val="11"/>
          </rPr>
          <t>The search run during which this score was produced.</t>
        </r>
      </text>
    </comment>
    <comment ref="E1" authorId="0">
      <text>
        <r>
          <rPr>
            <rFont val="Aptos Narrow"/>
            <b/>
            <color rgb="FFFFFFFF"/>
            <sz val="11"/>
          </rPr>
          <t>Semantic similarity to resume (0.0 - 1.0). Based on cosine distance in resume ChromaDB collection.</t>
        </r>
      </text>
    </comment>
    <comment ref="F1" authorId="0">
      <text>
        <r>
          <rPr>
            <rFont val="Aptos Narrow"/>
            <b/>
            <color rgb="FFFFFFFF"/>
            <sz val="11"/>
          </rPr>
          <t>Match to role archetypes (0.0 - 1.0). Based on cosine distance in role_archetypes collection.</t>
        </r>
      </text>
    </comment>
    <comment ref="G1" authorId="0">
      <text>
        <r>
          <rPr>
            <rFont val="Aptos Narrow"/>
            <b/>
            <color rgb="FFFFFFFF"/>
            <sz val="11"/>
          </rPr>
          <t>Match to past accepted decisions (0.0 - 1.0). Only 'yes' verdicts contribute.</t>
        </r>
      </text>
    </comment>
    <comment ref="H1" authorId="0">
      <text>
        <r>
          <rPr>
            <rFont val="Aptos Narrow"/>
            <b/>
            <color rgb="FFFFFFFF"/>
            <sz val="11"/>
          </rPr>
          <t>Compensation alignment with base salary (0.0 - 1.0). Non-linear curve; 0.5 when comp is missing.</t>
        </r>
      </text>
    </comment>
    <comment ref="I1" authorId="0">
      <text>
        <r>
          <rPr>
            <rFont val="Aptos Narrow"/>
            <b/>
            <color rgb="FFFFFFFF"/>
            <sz val="11"/>
          </rPr>
          <t>Penalty score from negative signal matches (0.0 - 1.0). Subtracted from positive scores.</t>
        </r>
      </text>
    </comment>
    <comment ref="J1" authorId="0">
      <text>
        <r>
          <rPr>
            <rFont val="Aptos Narrow"/>
            <b/>
            <color rgb="FFFFFFFF"/>
            <sz val="11"/>
          </rPr>
          <t>Match to positive culture/quality dimensions (0.0 - 1.0).</t>
        </r>
      </text>
    </comment>
    <comment ref="K1" authorId="0">
      <text>
        <r>
          <rPr>
            <rFont val="Aptos Narrow"/>
            <b/>
            <color rgb="FFFFFFFF"/>
            <sz val="11"/>
          </rPr>
          <t>Whether the LLM disqualifier flagged this listing. If true, final score is forced to 0.0.</t>
        </r>
      </text>
    </comment>
    <comment ref="L1" authorId="0">
      <text>
        <r>
          <rPr>
            <rFont val="Aptos Narrow"/>
            <b/>
            <color rgb="FFFFFFFF"/>
            <sz val="11"/>
          </rPr>
          <t>Free-text explanation from the LLM disqualifier about why the role was flagged.</t>
        </r>
      </text>
    </comment>
    <comment ref="M1" authorId="0">
      <text>
        <r>
          <rPr>
            <rFont val="Aptos Narrow"/>
            <b/>
            <color rgb="FFFFFFFF"/>
            <sz val="11"/>
          </rPr>
          <t>Weighted fusion of all component scores. Zeroed if disqualified. Formula: max(0, positive_sum - negative_weight * negative_score).</t>
        </r>
      </text>
    </comment>
    <comment ref="N1" authorId="0">
      <text>
        <r>
          <rPr>
            <rFont val="Aptos Narrow"/>
            <b/>
            <color rgb="FFFFFFFF"/>
            <sz val="11"/>
          </rPr>
          <t>Comma-separated list of other boards where this same job appeared (cross-board deduplication).</t>
        </r>
      </text>
    </comment>
    <comment ref="O1" authorId="0">
      <text>
        <r>
          <rPr>
            <rFont val="Aptos Narrow"/>
            <b/>
            <color rgb="FFFFFFFF"/>
            <sz val="11"/>
          </rPr>
          <t>Title of the scored job listing.</t>
        </r>
      </text>
    </comment>
    <comment ref="P1" authorId="0">
      <text>
        <r>
          <rPr>
            <rFont val="Aptos Narrow"/>
            <b/>
            <color rgb="FFFFFFFF"/>
            <sz val="11"/>
          </rPr>
          <t>Label of the parent search run.</t>
        </r>
      </text>
    </comment>
    <comment ref="Q1" authorId="0">
      <text>
        <r>
          <rPr>
            <rFont val="Aptos Narrow"/>
            <b/>
            <color rgb="FFFFFFFF"/>
            <sz val="11"/>
          </rPr>
          <t>Company name from the scored listing.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label combining job title and search run.</t>
        </r>
      </text>
    </comment>
  </commentList>
</comments>
</file>

<file path=xl/comments10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Primary key for decisions.</t>
        </r>
      </text>
    </comment>
    <comment ref="C1" authorId="0">
      <text>
        <r>
          <rPr>
            <rFont val="Aptos Narrow"/>
            <b/>
            <color rgb="FFFFFFFF"/>
            <sz val="11"/>
          </rPr>
          <t>The job listing this decision is about.</t>
        </r>
      </text>
    </comment>
    <comment ref="D1" authorId="0">
      <text>
        <r>
          <rPr>
            <rFont val="Aptos Narrow"/>
            <b/>
            <color rgb="FFFFFFFF"/>
            <sz val="11"/>
          </rPr>
          <t>Operator's judgment: 'yes' (interested), 'no' (rejected), 'maybe' (uncertain), or 'removed' (retracted).</t>
        </r>
      </text>
    </comment>
    <comment ref="E1" authorId="0">
      <text>
        <r>
          <rPr>
            <rFont val="Aptos Narrow"/>
            <b/>
            <color rgb="FFFFFFFF"/>
            <sz val="11"/>
          </rPr>
          <t>Free-text explanation for the verdict. Stored for audit purposes.</t>
        </r>
      </text>
    </comment>
    <comment ref="F1" authorId="0">
      <text>
        <r>
          <rPr>
            <rFont val="Aptos Narrow"/>
            <b/>
            <color rgb="FFFFFFFF"/>
            <sz val="11"/>
          </rPr>
          <t>Timestamp when this decision was recorded.</t>
        </r>
      </text>
    </comment>
    <comment ref="G1" authorId="0">
      <text>
        <r>
          <rPr>
            <rFont val="Aptos Narrow"/>
            <b/>
            <color rgb="FFFFFFFF"/>
            <sz val="11"/>
          </rPr>
          <t>Whether this verdict contributes to history_score. Only 'yes' verdicts are scoring signals.</t>
        </r>
      </text>
    </comment>
    <comment ref="H1" authorId="0">
      <text>
        <r>
          <rPr>
            <rFont val="Aptos Narrow"/>
            <b/>
            <color rgb="FFFFFFFF"/>
            <sz val="11"/>
          </rPr>
          <t>Title of the decided job listing.</t>
        </r>
      </text>
    </comment>
    <comment ref="I1" authorId="0">
      <text>
        <r>
          <rPr>
            <rFont val="Aptos Narrow"/>
            <b/>
            <color rgb="FFFFFFFF"/>
            <sz val="11"/>
          </rPr>
          <t>Company name from the decided listing.</t>
        </r>
      </text>
    </comment>
    <comment ref="J1" authorId="0">
      <text>
        <r>
          <rPr>
            <rFont val="Aptos Narrow"/>
            <b/>
            <color rgb="FFFFFFFF"/>
            <sz val="11"/>
          </rPr>
          <t>Job board the decided listing came from.</t>
        </r>
      </text>
    </comment>
    <comment ref="B1" authorId="0">
      <text>
        <r>
          <rPr>
            <rFont val="Aptos Narrow"/>
            <b/>
            <color rgb="FFFFFFFF"/>
            <sz val="11"/>
          </rPr>
          <t>Display label combining verdict and job title.</t>
        </r>
      </text>
    </comment>
  </commentList>
</comments>
</file>

<file path=xl/sharedStrings.xml><?xml version="1.0" encoding="utf-8"?>
<sst xmlns="http://schemas.openxmlformats.org/spreadsheetml/2006/main" count="202" uniqueCount="202">
  <si>
    <t>JobBoardId</t>
  </si>
  <si>
    <t>Name</t>
  </si>
  <si>
    <t>Description</t>
  </si>
  <si>
    <t>IsEnabled</t>
  </si>
  <si>
    <t>MaxPages</t>
  </si>
  <si>
    <t>IsHeadless</t>
  </si>
  <si>
    <t>BrowserChannel</t>
  </si>
  <si>
    <t>JobListings</t>
  </si>
  <si>
    <t>ziprecruiter</t>
  </si>
  <si>
    <t>ZipRecruiter</t>
  </si>
  <si>
    <t>Primary board. Uses Next.js SERP structure. Full adapter implemented.</t>
  </si>
  <si>
    <t>indeed</t>
  </si>
  <si>
    <t>Indeed</t>
  </si>
  <si>
    <t>High-volume general board. Adapter planned.</t>
  </si>
  <si>
    <t>linkedin</t>
  </si>
  <si>
    <t>LinkedIn</t>
  </si>
  <si>
    <t>Overnight mode recommended. Stealth browsing, throttled requests. Stricter bot detection.</t>
  </si>
  <si>
    <t>msedge</t>
  </si>
  <si>
    <t>weworkremotely</t>
  </si>
  <si>
    <t>WeWorkRemotely</t>
  </si>
  <si>
    <t>Remote-focused board. Smaller volume, higher signal for remote roles.</t>
  </si>
  <si>
    <t>SearchUrlId</t>
  </si>
  <si>
    <t>JobBoard</t>
  </si>
  <si>
    <t>Url</t>
  </si>
  <si>
    <t>JobBoardName</t>
  </si>
  <si>
    <t>zr-staff-platform-architect</t>
  </si>
  <si>
    <t>Staff Platform Architect - Remote</t>
  </si>
  <si>
    <t>https://www.ziprecruiter.com/jobs-search?search=staff+platform+architect&amp;location=Remote+(USA)</t>
  </si>
  <si>
    <t>zr-principal-data-platform</t>
  </si>
  <si>
    <t>Principal Engineer Data Platform - Remote</t>
  </si>
  <si>
    <t>https://www.ziprecruiter.com/jobs-search?search=principal+engineer+data+platform&amp;location=Remote+(USA)</t>
  </si>
  <si>
    <t>zr-devrel-engineer</t>
  </si>
  <si>
    <t>Developer Relations Engineer - Remote</t>
  </si>
  <si>
    <t>https://www.ziprecruiter.com/jobs-search?search=developer+relations+engineer&amp;location=Remote+(USA)</t>
  </si>
  <si>
    <t>indeed-staff-platform-architect</t>
  </si>
  <si>
    <t>https://www.indeed.com/jobs?q=staff+platform+architect&amp;l=Remote&amp;sc=0kf%3Aattr%28DSQF7%29%3B</t>
  </si>
  <si>
    <t>indeed-principal-data-platform</t>
  </si>
  <si>
    <t>https://www.indeed.com/jobs?q=principal+engineer+data+platform&amp;l=Remote&amp;sc=0kf%3Aattr%28DSQF7%29%3B</t>
  </si>
  <si>
    <t>wwr-staff-engineer</t>
  </si>
  <si>
    <t>Staff Engineer</t>
  </si>
  <si>
    <t>https://weworkremotely.com/remote-jobs/search?term=staff+engineer</t>
  </si>
  <si>
    <t>wwr-principal-architect</t>
  </si>
  <si>
    <t>Principal Architect</t>
  </si>
  <si>
    <t>https://weworkremotely.com/remote-jobs/search?term=principal+architect</t>
  </si>
  <si>
    <t>li-staff-platform-architect</t>
  </si>
  <si>
    <t>https://www.linkedin.com/jobs/search/?keywords=staff+platform+architect&amp;f_WT=2</t>
  </si>
  <si>
    <t>RoleArchetypeId</t>
  </si>
  <si>
    <t>SignalsPositive</t>
  </si>
  <si>
    <t>SignalsNegative</t>
  </si>
  <si>
    <t>ai-systems-engineer</t>
  </si>
  <si>
    <t>AI Systems Engineer / AI Platform Architect</t>
  </si>
  <si>
    <t>Designs and builds production ML/AI infrastructure: model serving, training pipelines, vector stores, embedding services, and LLM orchestration layers.</t>
  </si>
  <si>
    <t>ML infrastructure, model serving, training pipeline, vector database, LLM orchestration, embedding service, MLOps, GPU cluster</t>
  </si>
  <si>
    <t>frontend only, marketing automation, junior data analyst, manual QA</t>
  </si>
  <si>
    <t>staff-platform-architect</t>
  </si>
  <si>
    <t>Staff Platform Architect</t>
  </si>
  <si>
    <t>Cross-team technical leadership for platform and infrastructure. Drives architectural decisions, defines system boundaries, and mentors engineering teams.</t>
  </si>
  <si>
    <t>platform architecture, system design, cross-team influence, technical strategy, API design, distributed systems, mentorship</t>
  </si>
  <si>
    <t>individual contributor only, no architecture scope, ticket taker, single-team</t>
  </si>
  <si>
    <t>principal-data-platform</t>
  </si>
  <si>
    <t>Principal Data Platform Engineer</t>
  </si>
  <si>
    <t>Owns data infrastructure at scale: data pipelines, warehousing, streaming, and analytical platform services.</t>
  </si>
  <si>
    <t>data platform, data pipeline, streaming, data warehouse, Spark, Kafka, Flink, dbt, analytical infrastructure</t>
  </si>
  <si>
    <t>BI analyst, dashboard builder, Excel reporting, entry-level data</t>
  </si>
  <si>
    <t>devrel-evangelist</t>
  </si>
  <si>
    <t>Developer Relations / Technical Evangelist</t>
  </si>
  <si>
    <t>External-facing technical role bridging engineering and developer community. Produces technical content, speaks at conferences, and drives API/SDK adoption.</t>
  </si>
  <si>
    <t>developer relations, developer advocacy, technical writing, conference speaking, SDK adoption, API evangelism, community building</t>
  </si>
  <si>
    <t>sales quota, cold calling, non-technical marketing, pure product management</t>
  </si>
  <si>
    <t>RubricDimensionId</t>
  </si>
  <si>
    <t>role-scope</t>
  </si>
  <si>
    <t>Role Scope</t>
  </si>
  <si>
    <t>Cross-team influence and architectural reach vs. narrow single-team execution.</t>
  </si>
  <si>
    <t>cross-team, architectural influence, system design ownership, technical strategy</t>
  </si>
  <si>
    <t>ticket taker, narrow scope, single feature team, no design authority</t>
  </si>
  <si>
    <t>technical-depth</t>
  </si>
  <si>
    <t>Technical Depth</t>
  </si>
  <si>
    <t>Infrastructure and platform work vs. web/feature dev.</t>
  </si>
  <si>
    <t>infrastructure, platform, distributed systems, systems programming, performance engineering</t>
  </si>
  <si>
    <t>WordPress, Squarespace, basic CRUD, landing pages, no-code</t>
  </si>
  <si>
    <t>operational-burden</t>
  </si>
  <si>
    <t>Operational Burden</t>
  </si>
  <si>
    <t>On-call/SRE load vs. platform engineering focus.</t>
  </si>
  <si>
    <t>platform engineering, build tools, developer experience, automation</t>
  </si>
  <si>
    <t>24/7 on-call, pager duty primary, incident commander rotation, SRE-heavy</t>
  </si>
  <si>
    <t>industry-alignment</t>
  </si>
  <si>
    <t>Industry Alignment</t>
  </si>
  <si>
    <t>Company mission and product category alignment with candidate interests.</t>
  </si>
  <si>
    <t>developer tools, AI/ML, data infrastructure, open source, cloud platform</t>
  </si>
  <si>
    <t>adtech, gambling, payday lending, surveillance</t>
  </si>
  <si>
    <t>employment-structure</t>
  </si>
  <si>
    <t>Employment Structure</t>
  </si>
  <si>
    <t>Direct hire vs. staffing agency/contract positions.</t>
  </si>
  <si>
    <t>direct hire, full-time, equity, benefits</t>
  </si>
  <si>
    <t>staffing agency, contract-to-hire, vendor chain, W2 through third party, corp-to-corp</t>
  </si>
  <si>
    <t>seniority-mismatch</t>
  </si>
  <si>
    <t>Seniority Mismatch</t>
  </si>
  <si>
    <t>Role level vs. candidate expectations for staff+ positions.</t>
  </si>
  <si>
    <t>staff, principal, distinguished, fellow, architect, VP engineering, director</t>
  </si>
  <si>
    <t>junior, entry-level, associate, new grad, 0-2 years experience, intern</t>
  </si>
  <si>
    <t>compensation-red-flags</t>
  </si>
  <si>
    <t>Compensation Red Flags</t>
  </si>
  <si>
    <t>Compensation transparency and alignment with staff/principal market expectations.</t>
  </si>
  <si>
    <t>transparent compensation range, top-of-range meets target minimum, staff/principal market rate</t>
  </si>
  <si>
    <t>equity-only compensation, unpaid or volunteer, below market for principal-level, hourly contractor rate far below salary</t>
  </si>
  <si>
    <t>culture-work-model</t>
  </si>
  <si>
    <t>Culture &amp; Work Model</t>
  </si>
  <si>
    <t>Remote-first culture, work-life balance, and engineering autonomy indicators.</t>
  </si>
  <si>
    <t>remote-first, async-first, work-life balance, engineering autonomy, written communication culture, high-trust low-chaos</t>
  </si>
  <si>
    <t>mandatory return-to-office, 4+ days on-site, 60+ hour weeks, military-style command, fast-paced high-pressure, ambiguous expectations</t>
  </si>
  <si>
    <t>ethical-alignment</t>
  </si>
  <si>
    <t>Ethical Alignment</t>
  </si>
  <si>
    <t>Company mission alignment with humane and privacy-respecting values.</t>
  </si>
  <si>
    <t>mission-driven, humane impact, privacy-respecting, healthcare, education, public-good</t>
  </si>
  <si>
    <t>weapons manufacturing, military contracting, surveillance technology, behavioral profiling, predatory lending</t>
  </si>
  <si>
    <t>neurodivergence-compatibility</t>
  </si>
  <si>
    <t>Neurodivergence Compatibility</t>
  </si>
  <si>
    <t>Structured processes, predictable workflows, and low-meeting culture for neurodivergent-friendly work environments.</t>
  </si>
  <si>
    <t>clear communication norms, structured processes, predictable workflows, low-meeting culture, async-first, psychological safety</t>
  </si>
  <si>
    <t>constant context switching, interrupt-driven, ambiguity without support, high-meeting culture, synchronous dependency, chaotic environment</t>
  </si>
  <si>
    <t>ResumeId</t>
  </si>
  <si>
    <t>FilePath</t>
  </si>
  <si>
    <t>IndexedAt</t>
  </si>
  <si>
    <t>ResumeSections</t>
  </si>
  <si>
    <t>SearchRuns</t>
  </si>
  <si>
    <t>resume-platform-2026q1</t>
  </si>
  <si>
    <t>Platform Engineer - 2026 Q1</t>
  </si>
  <si>
    <t>Emphasizes distributed systems, platform architecture, and AI/ML infrastructure. Targets staff+ IC and architect roles.</t>
  </si>
  <si>
    <t>data/resume.md</t>
  </si>
  <si>
    <t>ResumeSectionId</t>
  </si>
  <si>
    <t>Resume</t>
  </si>
  <si>
    <t>SectionOrder</t>
  </si>
  <si>
    <t>Content</t>
  </si>
  <si>
    <t>ChromaDocId</t>
  </si>
  <si>
    <t>ResumeName</t>
  </si>
  <si>
    <t>resume-platform-2026q1-summary</t>
  </si>
  <si>
    <t>Summary</t>
  </si>
  <si>
    <t xml:space="preserve">## Summary
Senior platform engineer with 15+ years building distributed systems, data pipelines, and AI/ML infrastructure. Track record of cross-team technical leadership at scale.</t>
  </si>
  <si>
    <t>resume-summary</t>
  </si>
  <si>
    <t>resume-platform-2026q1-core-strengths</t>
  </si>
  <si>
    <t>Core Strengths</t>
  </si>
  <si>
    <t xml:space="preserve">## Core Strengths
- Distributed systems architecture (Kubernetes, gRPC, service mesh)
- ML/AI platform engineering (model serving, training pipelines, vector stores)
- Technical strategy and mentorship across 50+ engineer orgs
- Data infrastructure (Kafka, Spark, Flink, dbt)</t>
  </si>
  <si>
    <t>resume-core-strengths</t>
  </si>
  <si>
    <t>resume-platform-2026q1-experience</t>
  </si>
  <si>
    <t>Experience</t>
  </si>
  <si>
    <t xml:space="preserve">## Experience
### Staff Platform Engineer — CloudScale Inc (2022-2026)
Led platform architecture for ML serving infrastructure. Designed multi-region Kubernetes deployment strategy. Reduced model inference latency 40%.
### Senior Engineer — DataForge (2018-2022)
Built real-time data pipelines processing 2M events/sec. Migrated monolith to event-driven microservices.</t>
  </si>
  <si>
    <t>resume-experience</t>
  </si>
  <si>
    <t>resume-platform-2026q1-earlier-roles</t>
  </si>
  <si>
    <t>Earlier Roles</t>
  </si>
  <si>
    <t xml:space="preserve">## Earlier Roles
### Software Engineer — StartupCo (2014-2018)
Full-stack development, API design, early DevOps adoption.
### Junior Developer — Agency LLC (2011-2014)
Web application development, client projects, learned software engineering fundamentals.</t>
  </si>
  <si>
    <t>resume-earlier-roles</t>
  </si>
  <si>
    <t>SearchRunId</t>
  </si>
  <si>
    <t>RunDate</t>
  </si>
  <si>
    <t>ArchetypeWeight</t>
  </si>
  <si>
    <t>FitWeight</t>
  </si>
  <si>
    <t>HistoryWeight</t>
  </si>
  <si>
    <t>CompWeight</t>
  </si>
  <si>
    <t>NegativeWeight</t>
  </si>
  <si>
    <t>CultureWeight</t>
  </si>
  <si>
    <t>BaseSalary</t>
  </si>
  <si>
    <t>MinScoreThreshold</t>
  </si>
  <si>
    <t>DisqualifyOnLlmFlag</t>
  </si>
  <si>
    <t>TotalFound</t>
  </si>
  <si>
    <t>TotalScored</t>
  </si>
  <si>
    <t>TotalExcluded</t>
  </si>
  <si>
    <t>TotalDeduplicated</t>
  </si>
  <si>
    <t>FailedListings</t>
  </si>
  <si>
    <t>ScoreResults</t>
  </si>
  <si>
    <t>JobListingId</t>
  </si>
  <si>
    <t>ExternalId</t>
  </si>
  <si>
    <t>Company</t>
  </si>
  <si>
    <t>Location</t>
  </si>
  <si>
    <t>FullText</t>
  </si>
  <si>
    <t>PostedAt</t>
  </si>
  <si>
    <t>CompMin</t>
  </si>
  <si>
    <t>CompMax</t>
  </si>
  <si>
    <t>CompSource</t>
  </si>
  <si>
    <t>CompText</t>
  </si>
  <si>
    <t>Decisions</t>
  </si>
  <si>
    <t>ScoreResultId</t>
  </si>
  <si>
    <t>JobListing</t>
  </si>
  <si>
    <t>SearchRun</t>
  </si>
  <si>
    <t>FitScore</t>
  </si>
  <si>
    <t>ArchetypeScore</t>
  </si>
  <si>
    <t>HistoryScore</t>
  </si>
  <si>
    <t>CompScore</t>
  </si>
  <si>
    <t>NegativeScore</t>
  </si>
  <si>
    <t>CultureScore</t>
  </si>
  <si>
    <t>IsDisqualified</t>
  </si>
  <si>
    <t>DisqualifierReason</t>
  </si>
  <si>
    <t>FinalScore</t>
  </si>
  <si>
    <t>DuplicateBoards</t>
  </si>
  <si>
    <t>JobListingName</t>
  </si>
  <si>
    <t>SearchRunName</t>
  </si>
  <si>
    <t>DecisionId</t>
  </si>
  <si>
    <t>Verdict</t>
  </si>
  <si>
    <t>Reason</t>
  </si>
  <si>
    <t>RecordedAt</t>
  </si>
  <si>
    <t>IsScoringSignal</t>
  </si>
  <si>
    <t>Board</t>
  </si>
  <si>
    <t xml:space="preserve">{
  "$schema": "https://example.com/cmcc-schema/v1",
  "Name": "Job Search RAG",
  "Description": "Rulebook for a local LLM + RAG pipeline that automates intelligent job filtering across multiple job boards using semantic search.",
  "JobBoards": {
    "Description": "Table: JobBoards - Configured job board sources that can be crawled for listings.",
    "schema": [
      {
        "name": "JobBoardId",
        "datatype": "string",
        "type": "raw",
        "nullable": false,
        "Description": "Primary key for job boards."
      },
      {
        "name": "Name",
        "datatype": "string",
        "type": "raw",
        "nullable": false,
        "Description": "Display name of the job board (e.g., ZipRecruiter, Indeed, LinkedIn, WeWorkRemotely)."
      },
      {
        "name": "Description",
        "datatype": "string",
        "type": "raw",
        "nullable": true,
        "Description": "Notes about this board's behavior, rate limits, or special handling requirements."
      },
      {
        "name": "IsEnabled",
        "datatype": "boolean",
        "type": "raw",
        "nullable": false,
        "Description": "Whether this board is active for search runs."
      },
      {
        "name": "MaxPages",
        "datatype": "integer",
        "type": "raw",
        "nullable": false,
        "Description": "Maximum number of result pages to crawl per search URL. Default is 3."
      },
      {
        "name": "IsHeadless",
        "datatype": "boolean",
        "type": "raw",
        "nullable": false,
        "Description": "Whether to run the Playwright browser in headless mode for this board."
      },
      {
        "name": "BrowserChannel",
        "datatype": "string",
        "type": "raw",
        "nullable": true,
        "Description": "Optional browser variant to use (e.g., msedge). NULL means default Chromium."
      },
      {
        "name": "JobListings",
        "datatype": "integer",
        "type": "aggregation",
        "nullable": true,
        "Description": "Count of job listings scraped from this board.",
        "formula": "=COUNTIFS(JobListings!{{JobBoard}}, JobBoards!{{JobBoardId}})"
      }
    ],
    "data": [
      {
        "JobBoardId": "ziprecruiter",
        "Name": "ZipRecruiter",
        "Description": "Primary board. Uses Next.js SERP structure. Full adapter implemented.",
        "IsEnabled": true,
        "MaxPages": 3,
        "IsHeadless": true,
        "BrowserChannel": null
      },
      {
        "JobBoardId": "indeed",
        "Name": "Indeed",
        "Description": "High-volume general board. Adapter planned.",
        "IsEnabled": false,
        "MaxPages": 3,
        "IsHeadless": true,
        "BrowserChannel": null
      },
      {
        "JobBoardId": "linkedin",
        "Name": "LinkedIn",
        "Description": "Overnight mode recommended. Stealth browsing, throttled requests. Stricter bot detection.",
        "IsEnabled": false,
        "MaxPages": 2,
        "IsHeadless": false,
        "BrowserChannel": "msedge"
      },
      {
        "JobBoardId": "weworkremotely",
        "Name": "WeWorkRemotely",
        "Description": "Remote-focused board. Smaller volume, higher signal for remote roles.",
        "IsEnabled": false,
        "MaxPages": 3,
        "IsHeadless": true,
        "BrowserChannel": null
      }
    ]
  },
  "SearchUrls": {
    "Description": "Table: SearchUrls - Individual search URLs configured per board, each representing a specific query to crawl.",
    "schema": [
      {
        "name": "SearchUrlId",
        "datatype": "string",
        "type": "raw",
        "nullable": false,
        "Description": "Primary key for search URLs."
      },
      {
        "name": "Name",
        "datatype": "string",
        "type": "raw",
        "nullable": false,
        "Description": "Descriptive label for this search query (e.g., 'Staff Engineer - Remote')."
      },
      {
        "name": "JobBoard",
        "datatype": "string",
        "type": "relationship",
        "nullable": false,
        "Description": "Which job board this search URL belongs to.",
        "RelatedTo": "JobBoards"
      },
      {
        "name": "Url",
        "datatype": "string",
        "type": "raw",
        "nullable": false,
        "Description": "The full search URL to crawl on this board."
      },
      {
        "name": "IsEnabled",
        "datatype": "boolean",
        "type": "raw",
        "nullable": false,
        "Description": "Whether this search URL is active for crawling."
      },
      {
        "name": "JobBoardName",
        "datatype": "string",
        "type": "lookup",
        "nullable": true,
        "Description": "Display name of the parent job board.",
        "formula": "=INDEX(JobBoards!{{Name}}, MATCH({{JobBoard}}, JobBoards!{{JobBoardId}}, 0))"
      }
    ],
    "data": [
      {
        "SearchUrlId": "zr-staff-platform-architect",
        "Name": "Staff Platform Architect - Remote",
        "JobBoard": "ziprecruiter",
        "Url": "https://www.ziprecruiter.com/jobs-search?search=staff+platform+architect&amp;location=Remote+(USA)",
        "IsEnabled": true
      },
      {
        "SearchUrlId": "zr-principal-data-platform",
        "Name": "Principal Engineer Data Platform - Remote",
        "JobBoard": "ziprecruiter",
        "Url": "https://www.ziprecruiter.com/jobs-search?search=principal+engineer+data+platform&amp;location=Remote+(USA)",
        "IsEnabled": true
      },
      {
        "SearchUrlId": "zr-devrel-engineer",
        "Name": "Developer Relations Engineer - Remote",
        "JobBoard": "ziprecruiter",
        "Url": "https://www.ziprecruiter.com/jobs-search?search=developer+relations+engineer&amp;location=Remote+(USA)",
        "IsEnabled": true
      },
      {
        "SearchUrlId": "indeed-staff-platform-architect",
        "Name": "Staff Platform Architect - Remote",
        "JobBoard": "indeed",
        "Url": "https://www.indeed.com/jobs?q=staff+platform+architect&amp;l=Remote&amp;sc=0kf%3Aattr%28DSQF7%29%3B",
        "IsEnabled": true
      },
      {
        "SearchUrlId": "indeed-principal-data-platform",
        "Name": "Principal Engineer Data Platform - Remote",
        "JobBoard": "indeed",
        "Url": "https://www.indeed.com/jobs?q=principal+engineer+data+platform&amp;l=Remote&amp;sc=0kf%3Aattr%28DSQF7%29%3B",
        "IsEnabled": true
      },
      {
        "SearchUrlId": "wwr-staff-engineer",
        "Name": "Staff Engineer",
        "JobBoard": "weworkremotely",
        "Url": "https://weworkremotely.com/remote-jobs/search?term=staff+engineer",
        "IsEnabled": true
      },
      {
        "SearchUrlId": "wwr-principal-architect",
        "Name": "Principal Architect",
        "JobBoard": "weworkremotely",
        "Url": "https://weworkremotely.com/remote-jobs/search?term=principal+architect",
        "IsEnabled": true
      },
      {
        "SearchUrlId": "li-staff-platform-architect",
        "Name": "Staff Platform Architect - Remote",
        "JobBoard": "linkedin",
        "Url": "https://www.linkedin.com/jobs/search/?keywords=staff+platform+architect&amp;f_WT=2",
        "IsEnabled": true
      }
    ]
  },
  "RoleArchetypes": {
    "Description": "Table: RoleArchetypes - Target role descriptions that define ideal job types for semantic matching.",
    "schema": [
      {
        "name": "RoleArchetypeId",
        "datatype": "string",
        "type": "raw",
        "nullable": false,
        "Description": "Primary key for role archetypes."
      },
      {
        "name": "Name",
        "datatype": "string",
        "type": "raw",
        "nullable": false,
        "Description": "Archetype title (e.g., 'Staff Platform Architect', 'AI Systems Engineer')."
      },
      {
        "name": "Description",
        "datatype": "string",
        "type": "raw",
        "nullable": false,
        "Description": "Natural language description of this ideal role type. Embedded into ChromaDB for archetype scoring."
      },
      {
        "name": "SignalsPositive",
        "datatype": "string",
        "type": "raw",
        "nullable": true,
        "Description": "Comma-separated keywords or phrases indicating strong fit for this archetype."
      },
      {
        "name": "SignalsNegative",
        "datatype": "string",
        "type": "raw",
        "nullable": true,
        "Description": "Comma-separated keywords or phrases indicating misfit for this archetype."
      }
    ],
    "data": [
      {
        "RoleArchetypeId": "ai-systems-engineer",
        "Name": "AI Systems Engineer / AI Platform Architect",
        "Description": "Designs and builds production ML/AI infrastructure: model serving, training pipelines, vector stores, embedding services, and LLM orchestration layers.",
        "SignalsPositive": "ML infrastructure, model serving, training pipeline, vector database, LLM orchestration, embedding service, MLOps, GPU cluster",
        "SignalsNegative": "frontend only, marketing automation, junior data analyst, manual QA"
      },
      {
        "RoleArchetypeId": "staff-platform-architect",
        "Name": "Staff Platform Architect",
        "Description": "Cross-team technical leadership for platform and infrastructure. Drives architectural decisions, defines system boundaries, and mentors engineering teams.",
        "SignalsPositive": "platform architecture, system design, cross-team influence, technical strategy, API design, distributed systems, mentorship",
        "SignalsNegative": "individual contributor only, no architecture scope, ticket taker, single-team"
      },
      {
        "RoleArchetypeId": "principal-data-platform",
        "Name": "Principal Data Platform Engineer",
        "Description": "Owns data infrastructure at scale: data pipelines, warehousing, streaming, and analytical platform services.",
        "SignalsPositive": "data platform, data pipeline, streaming, data warehouse, Spark, Kafka, Flink, dbt, analytical infrastructure",
        "SignalsNegative": "BI analyst, dashboard builder, Excel reporting, entry-level data"
      },
      {
        "RoleArchetypeId": "devrel-evangelist",
        "Name": "Developer Relations / Technical Evangelist",
        "Description": "External-facing technical role bridging engineering and developer community. Produces technical content, speaks at conferences, and drives API/SDK adoption.",
        "SignalsPositive": "developer relations, developer advocacy, technical writing, conference speaking, SDK adoption, API evangelism, community building",
        "SignalsNegative": "sales quota, cold calling, non-technical marketing, pure product management"
      }
    ]
  },
  "RubricDimensions": {
    "Description": "Table: RubricDimensions - Universal evaluation criteria applied to all listings for culture and quality scoring.",
    "schema": [
      {
        "name": "RubricDimensionId",
        "datatype": "string",
        "type": "raw",
        "nullable": false,
        "Description": "Primary key for rubric dimensions."
      },
      {
        "name": "Name",
        "datatype": "string",
        "type": "raw",
        "nullable": false,
        "Description": "Dimension name (e.g., 'Role Scope', 'Technical Depth')."
      },
      {
        "name": "Description",
        "datatype": "string",
        "type": "raw",
        "nullable": true,
        "Description": "What this dimension evaluates and why it matters."
      },
      {
        "name": "SignalsPositive",
        "datatype": "string",
        "type": "raw",
        "nullable": true,
        "Description": "Comma-separated positive indicators for this dimension. Embedded into global_positive_signals collection."
      },
      {
        "name": "SignalsNegative",
        "datatype": "string",
        "type": "raw",
        "nullable": true,
        "Description": "Comma-separated red flags for this dimension. Embedded into negative_signals collection."
      }
    ],
    "data": [
      {
        "RubricDimensionId": "role-scope",
        "Name": "Role Scope",
        "Description": "Cross-team influence and architectural reach vs. narrow single-team execution.",
        "SignalsPositive": "cross-team, architectural influence, system design ownership, technical strategy",
        "SignalsNegative": "ticket taker, narrow scope, single feature team, no design authority"
      },
      {
        "RubricDimensionId": "technical-depth",
        "Name": "Technical Depth",
        "Description": "Infrastructure and platform work vs. web/feature dev.",
        "SignalsPositive": "infrastructure, platform, distributed systems, systems programming, performance engineering",
        "SignalsNegative": "WordPress, Squarespace, basic CRUD, landing pages, no-code"
      },
      {
        "RubricDimensionId": "operational-burden",
        "Name": "Operational Burden",
        "Description": "On-call/SRE load vs. platform engineering focus.",
        "SignalsPositive": "platform engineering, build tools, developer experience, automation",
        "SignalsNegative": "24/7 on-call, pager duty primary, incident commander rotation, SRE-heavy"
      },
      {
        "RubricDimensionId": "industry-alignment",
        "Name": "Industry Alignment",
        "Description": "Company mission and product category alignment with candidate interests.",
        "SignalsPositive": "developer tools, AI/ML, data infrastructure, open source, cloud platform",
        "SignalsNegative": "adtech, gambling, payday lending, surveillance"
      },
      {
        "RubricDimensionId": "employment-structure",
        "Name": "Employment Structure",
        "Description": "Direct hire vs. staffing agency/contract positions.",
        "SignalsPositive": "direct hire, full-time, equity, benefits",
        "SignalsNegative": "staffing agency, contract-to-hire, vendor chain, W2 through third party, corp-to-corp"
      },
      {
        "RubricDimensionId": "seniority-mismatch",
        "Name": "Seniority Mismatch",
        "Description": "Role level vs. candidate expectations for staff+ positions.",
        "SignalsPositive": "staff, principal, distinguished, fellow, architect, VP engineering, director",
        "SignalsNegative": "junior, entry-level, associate, new grad, 0-2 years experience, intern"
      },
      {
        "RubricDimensionId": "compensation-red-flags",
        "Name": "Compensation Red Flags",
        "Description": "Compensation transparency and alignment with staff/principal market expectations.",
        "SignalsPositive": "transparent compensation range, top-of-range meets target minimum, staff/principal market rate",
        "SignalsNegative": "equity-only compensation, unpaid or volunteer, below market for principal-level, hourly contractor rate far below salary"
      },
      {
        "RubricDimensionId": "culture-work-model",
        "Name": "Culture &amp; Work Model",
        "Description": "Remote-first culture, work-life balance, and engineering autonomy indicators.",
        "SignalsPositive": "remote-first, async-first, work-life balance, engineering autonomy, written communication culture, high-trust low-chaos",
        "SignalsNegative": "mandatory return-to-office, 4+ days on-site, 60+ hour weeks, military-style command, fast-paced high-pressure, ambiguous expectations"
      },
      {
        "RubricDimensionId": "ethical-alignment",
        "Name": "Ethical Alignment",
        "Description": "Company mission alignment with humane and privacy-respecting values.",
        "SignalsPositive": "mission-driven, humane impact, privacy-respecting, healthcare, education, public-good",
        "SignalsNegative": "weapons manufacturing, military contracting, surveillance technology, behavioral profiling, predatory lending"
      },
      {
        "RubricDimensionId": "neurodivergence-compatibility",
        "Name": "Neurodivergence Compatibility",
        "Description": "Structured processes, predictable workflows, and low-meeting culture for neurodivergent-friendly work environments.",
        "SignalsPositive": "clear communication norms, structured processes, predictable workflows, low-meeting culture, async-first, psychological safety",
        "SignalsNegative": "constant context switching, interrupt-driven, ambiguity without support, high-meeting culture, synchronous dependency, chaotic environment"
      }
    ]
  },
  "Resumes": {
    "Description": "Table: Resumes - Candidate resumes that anchor the entire RAG scoring pipeline. Every search run scores job listings against a specific resume's embeddings.",
    "schema": [
      {
        "name": "ResumeId",
        "datatype": "string",
        "type": "raw",
        "nullable": false,
        "Description": "Primary key for resumes."
      },
      {
        "name": "Name",
        "datatype": "string",
        "type": "raw",
        "nullable": false,
        "Description": "Display name for this resume version (e.g., 'Platform Engineer - 2026Q1')."
      },
      {
        "name": "Description",
        "datatype": "string",
        "type": "raw",
        "nullable": true,
        "Description": "Notes about what this resume version emphasizes or targets."
      },
      {
        "name": "FilePath",
        "datatype": "string",
        "type": "raw",
        "nullable": false,
        "Description": "Path to the resume markdown file relative to project root (e.g., 'data/resume.md')."
      },
      {
        "name": "IndexedAt",
        "datatype": "datetime",
        "type": "raw",
        "nullable": true,
        "Description": "When this resume was last chunked and embedded into ChromaDB. NULL means not yet indexed."
      },
      {
        "name": "ResumeSections",
        "datatype": "integer",
        "type": "aggregation",
        "nullable": true,
        "Description": "Count of sections (## heading chunks) extracted from this resume.",
        "formula": "=COUNTIFS(ResumeSections!{{Resume}}, Resumes!{{ResumeId}})"
      },
      {
        "name": "SearchRuns",
        "datatype": "integer",
        "type": "aggregation",
        "nullable": true,
        "Description": "Count of search runs that scored against this resume.",
        "formula": "=COUNTIFS(SearchRuns!{{Resume}}, Resumes!{{ResumeId}})"
      }
    ],
    "data": [
      {
        "ResumeId": "resume-platform-2026q1",
        "Name": "Platform Engineer - 2026 Q1",
        "Description": "Emphasizes distributed systems, platform architecture, and AI/ML infrastructure. Targets staff+ IC and architect roles.",
        "FilePath": "data/resume.md",
        "IndexedAt": "2026-04-01T07:45:00Z"
      }
    ]
  },
  "ResumeSections": {
    "Description": "Table: ResumeSections - Individual chunks of a resume, split by ## headings. Each section is embedded separately into ChromaDB for granular semantic matching against job descriptions.",
    "schema": [
      {
        "name": "ResumeSectionId",
        "datatype": "string",
        "type": "raw",
        "nullable": false,
        "Description": "Primary key. Slug of the section heading (e.g., 'resume-core-strengths')."
      },
      {
        "name": "Name",
        "datatype": "string",
        "type": "raw",
        "nullable": false,
        "Description": "Section heading text (e.g., 'Core Strengths', 'Experience')."
      },
      {
        "name": "Resume",
        "datatype": "string",
        "type": "relationship",
        "nullable": false,
        "Description": "Which resume this section belongs to.",
        "RelatedTo": "Resumes"
      },
      {
        "name": "SectionOrder",
        "datatype": "integer",
        "type": "raw",
        "nullable": false,
        "Description": "Order of this section within the resume (1-based). Preserves document structure."
      },
      {
        "name": "Content",
        "datatype": "string",
        "type": "raw",
        "nullable": false,
        "Description": "Full text of this section including the ## heading and all body content up to the next ## heading. This is the document embedded into ChromaDB."
      },
      {
        "name": "ChromaDocId",
        "datatype": "string",
        "type": "raw",
        "nullable": false,
        "Description": "Document ID in the ChromaDB resume collection (e.g., 'resume-core-strengths'). Used for idempotent upserts."
      },
      {
        "name": "ResumeName",
        "datatype": "string",
        "type": "lookup",
        "nullable": true,
        "Description": "Display name of the parent resume.",
        "formula": "=INDEX(Resumes!{{Name}}, MATCH({{Resume}}, Resumes!{{ResumeId}}, 0))"
      }
    ],
    "data": [
      {
        "ResumeSectionId": "resume-platform-2026q1-summary",
        "Name": "Summary",
        "Resume": "resume-platform-2026q1",
        "SectionOrder": 1,
        "Content": "## Summary\nSenior platform engineer with 15+ years building distributed systems, data pipelines, and AI/ML infrastructure. Track record of cross-team technical leadership at scale.",
        "ChromaDocId": "resume-summary"
      },
      {
        "ResumeSectionId": "resume-platform-2026q1-core-strengths",
        "Name": "Core Strengths",
        "Resume": "resume-platform-2026q1",
        "SectionOrder": 2,
        "Content": "## Core Strengths\n- Distributed systems architecture (Kubernetes, gRPC, service mesh)\n- ML/AI platform engineering (model serving, training pipelines, vector stores)\n- Technical strategy and mentorship across 50+ engineer orgs\n- Data infrastructure (Kafka, Spark, Flink, dbt)",
        "ChromaDocId": "resume-core-strengths"
      },
      {
        "ResumeSectionId": "resume-platform-2026q1-experience",
        "Name": "Experience",
        "Resume": "resume-platform-2026q1",
        "SectionOrder": 3,
        "Content": "## Experience\n### Staff Platform Engineer — CloudScale Inc (2022-2026)\nLed platform architecture for ML serving infrastructure. Designed multi-region Kubernetes deployment strategy. Reduced model inference latency 40%.\n### Senior Engineer — DataForge (2018-2022)\nBuilt real-time data pipelines processing 2M events/sec. Migrated monolith to event-driven microservices.",
        "ChromaDocId": "resume-experience"
      },
      {
        "ResumeSectionId": "resume-platform-2026q1-earlier-roles",
        "Name": "Earlier Roles",
        "Resume": "resume-platform-2026q1",
        "SectionOrder": 4,
        "Content": "## Earlier Roles\n### Software Engineer — StartupCo (2014-2018)\nFull-stack development, API design, early DevOps adoption.\n### Junior Developer — Agency LLC (2011-2014)\nWeb application development, client projects, learned software engineering fundamentals.",
        "ChromaDocId": "resume-earlier-roles"
      }
    ]
  },
  "SearchRuns": {
    "Description": "Table: SearchRuns - Individual pipeline execution runs that crawl boards, score listings, and produce ranked results. Each run scores against a specific resume.",
    "schema": [
      {
        "name": "SearchRunId",
        "datatype": "string",
        "type": "raw",
        "nullable": false,
        "Description": "Primary key for search runs."
      },
      {
        "name": "Name",
        "datatype": "string",
        "type": "raw",
        "nullable": false,
        "Description": "Human-readable run label (typically date + time)."
      },
      {
        "name": "Resume",
        "datatype": "string",
        "type": "relationship",
        "nullable": false,
        "Description": "Which resume was used for fit_score computation in this run. The central link in the RAG pipeline.",
        "RelatedTo": "Resumes"
      },
      {
        "name": "RunDate",
        "datatype": "datetime",
        "type": "raw",
        "nullable": false,
        "Description": "When this search run was executed."
      },
      {
        "name": "ArchetypeWeight",
        "datatype": "number",
        "type": "raw",
        "nullable": false,
        "Description": "Weight applied to archetype match score (0.0 - 1.0)."
      },
      {
        "name": "FitWeight",
        "datatype": "number",
        "type": "raw",
        "nullable": false,
        "Description": "Weight applied to resume fit score (0.0 - 1.0)."
      },
      {
        "name": "HistoryWeight",
        "datatype": "number",
        "type": "raw",
        "nullable": false,
        "Description": "Weight applied to decision history score (0.0 - 1.0)."
      },
      {
        "name": "CompWeight",
        "datatype": "number",
        "type": "raw",
        "nullable": false,
        "Description": "Weight applied to compensation alignment score (0.0 - 1.0)."
      },
      {
        "name": "NegativeWeight",
        "datatype": "number",
        "type": "raw",
        "nullable": false,
        "Description": "Penalty multiplier for negative signal score (0.0 - 1.0)."
      },
      {
        "name": "CultureWeight",
        "datatype": "number",
        "type": "raw",
        "nullable": false,
        "Description": "Weight applied to culture/quality dimension score (0.0 - 1.0)."
      },
      {
        "name": "BaseSalary",
        "datatype": "number",
        "type": "raw",
        "nullable": false,
        "Description": "Target annual salary for compensation scoring. Default $220,000."
      },
      {
        "name": "MinScoreThreshold",
        "datatype": "number",
        "type": "raw",
        "nullable": false,
        "Description": "Minimum final score to include in results (0.0 - 1.0). Default 0.45."
      },
      {
        "name": "DisqualifyOnLlmFlag",
        "datatype": "boolean",
        "type": "raw",
        "nullable": false,
        "Description": "Whether to run the LLM disqualifier pass on listings."
      },
      {
        "name": "TotalFound",
        "datatype": "integer",
        "type": "raw",
        "nullable": true,
        "Description": "Total listings collected from boards in this run."
      },
      {
        "name": "TotalScored",
        "datatype": "integer",
        "type": "raw",
        "nullable": true,
        "Description": "Total listings that passed through the scorer."
      },
      {
        "name": "TotalExcluded",
        "datatype": "integer",
        "type": "raw",
        "nullable": true,
        "Description": "Listings filtered below min_score_threshold."
      },
      {
        "name": "TotalDeduplicated",
        "datatype": "integer",
        "type": "raw",
        "nullable": true,
        "Description": "Duplicate listings collapsed during this run."
      },
      {
        "name": "FailedListings",
        "datatype": "integer",
        "type": "raw",
        "nullable": true,
        "Description": "Count of listings that failed scoring."
      },
      {
        "name": "ResumeName",
        "datatype": "string",
        "type": "lookup",
        "nullable": true,
        "Description": "Display name of the resume used for this run.",
        "formula": "=INDEX(Resumes!{{Name}}, MATCH({{Resume}}, Resumes!{{ResumeId}}, 0))"
      },
      {
        "name": "ScoreResults",
        "datatype": "integer",
        "type": "aggregation",
        "nullable": true,
        "Description": "Count of score results produced in this run.",
        "formula": "=COUNTIFS(ScoreResults!{{SearchRun}}, SearchRuns!{{SearchRunId}})"
      }
    ],
    "data": []
  },
  "JobListings": {
    "Description": "Table: JobListings - Individual job postings scraped from job boards, normalized to a common data contract.",
    "schema": [
      {
        "name": "JobListingId",
        "datatype": "string",
        "type": "raw",
        "nullable": false,
        "Description": "Primary key. Composite of board and external ID (e.g., 'ziprecruiter-abc123')."
      },
      {
        "name": "Name",
        "datatype": "string",
        "type": "raw",
        "nullable": false,
        "Description": "Job title as listed on the board, sanitized for filesystem safety."
      },
      {
        "name": "JobBoard",
        "datatype": "string",
        "type": "relationship",
        "nullable": false,
        "Description": "Which job board this listing was scraped from.",
        "RelatedTo": "JobBoards"
      },
      {
        "name": "ExternalId",
        "datatype": "string",
        "type": "raw",
        "nullable": false,
        "Description": "The job board's unique identifier for this posting."
      },
      {
        "name": "Company",
        "datatype": "string",
        "type": "raw",
        "nullable": false,
        "Description": "Company name, sanitized for filesystem safety."
      },
      {
        "name": "Location",
        "datatype": "string",
        "type": "raw",
        "nullable": true,
        "Description": "Job location (city, state, remote, hybrid, etc.)."
      },
      {
        "name": "Url",
        "datatype": "string",
        "type": "raw",
        "nullable": false,
        "Description": "Direct URL link to the job posting on the board."
      },
      {
        "name": "FullText",
        "datatype": "string",
        "type": "raw",
        "nullable": false,
        "Description": "Complete job description text. Max 250,000 characters. Embedded into ChromaDB for scoring."
      },
      {
        "name": "PostedAt",
        "datatype": "datetime",
        "type": "raw",
        "nullable": true,
        "Description": "When the job was posted on the board."
      },
      {
        "name": "CompMin",
        "datatype": "number",
        "type": "raw",
        "nullable": true,
        "Description": "Minimum compensation in USD, parsed from job description."
      },
      {
        "name": "CompMax",
        "datatype": "number",
        "type": "raw",
        "nullable": true,
        "Description": "Maximum compensation in USD, parsed from job description."
      },
      {
        "name": "CompSource",
        "datatype": "string",
        "type": "raw",
        "nullable": true,
        "Description": "Source of compensation data: 'employer' (from JD) or 'estimated' (board-generated)."
      },
      {
        "name": "CompText",
        "datatype": "string",
        "type": "raw",
        "nullable": true,
        "Description": "Raw compensation text matched from the job description (e.g., '$180,000 - $220,000/year')."
      },
      {
        "name": "JobBoardName",
        "datatype": "string",
        "type": "lookup",
        "nullable": true,
        "Description": "Display name of the source job board.",
        "formula": "=INDEX(JobBoards!{{Name}}, MATCH({{JobBoard}}, JobBoards!{{JobBoardId}}, 0))"
      },
      {
        "name": "ScoreResults",
        "datatype": "integer",
        "type": "aggregation",
        "nullable": true,
        "Description": "Number of times this listing has been scored across search runs.",
        "formula": "=COUNTIFS(ScoreResults!{{JobListing}}, JobListings!{{JobListingId}})"
      },
      {
        "name": "Decisions",
        "datatype": "integer",
        "type": "aggregation",
        "nullable": true,
        "Description": "Number of decisions recorded for this listing.",
        "formula": "=COUNTIFS(Decisions!{{JobListing}}, JobListings!{{JobListingId}})"
      }
    ],
    "data": []
  },
  "ScoreResults": {
    "Description": "Table: ScoreResults - Component and final scores for a job listing within a specific search run.",
    "schema": [
      {
        "name": "ScoreResultId",
        "datatype": "string",
        "type": "raw",
        "nullable": false,
        "Description": "Primary key for score results."
      },
      {
        "name": "Name",
        "datatype": "string",
        "type": "calculated",
        "nullable": false,
        "Description": "Display label combining job title and search run.",
        "formula": "=CONCAT({{JobListingName}}, \" - \", {{SearchRunName}})"
      },
      {
        "name": "JobListing",
        "datatype": "string",
        "type": "relationship",
        "nullable": false,
        "Description": "The job listing that was scored.",
        "RelatedTo": "JobListings"
      },
      {
        "name": "SearchRun",
        "datatype": "string",
        "type": "relationship",
        "nullable": false,
        "Description": "The search run during which this score was produced.",
        "RelatedTo": "SearchRuns"
      },
      {
        "name": "FitScore",
        "datatype": "number",
        "type": "raw",
        "nullable": false,
        "Description": "Semantic similarity to resume (0.0 - 1.0). Based on cosine distance in resume ChromaDB collection."
      },
      {
        "name": "ArchetypeScore",
        "datatype": "number",
        "type": "raw",
        "nullable": false,
        "Description": "Match to</t>
  </si>
  <si>
    <t xml:space="preserve"> role archetypes (0.0 - 1.0). Based on cosine distance in role_archetypes collection."
      },
      {
        "name": "HistoryScore",
        "datatype": "number",
        "type": "raw",
        "nullable": false,
        "Description": "Match to past accepted decisions (0.0 - 1.0). Only 'yes' verdicts contribute."
      },
      {
        "name": "CompScore",
        "datatype": "number",
        "type": "raw",
        "nullable": false,
        "Description": "Compensation alignment with base salary (0.0 - 1.0). Non-linear curve; 0.5 when comp is missing."
      },
      {
        "name": "NegativeScore",
        "datatype": "number",
        "type": "raw",
        "nullable": false,
        "Description": "Penalty score from negative signal matches (0.0 - 1.0). Subtracted from positive scores."
      },
      {
        "name": "CultureScore",
        "datatype": "number",
        "type": "raw",
        "nullable": false,
        "Description": "Match to positive culture/quality dimensions (0.0 - 1.0)."
      },
      {
        "name": "IsDisqualified",
        "datatype": "boolean",
        "type": "raw",
        "nullable": false,
        "Description": "Whether the LLM disqualifier flagged this listing. If true, final score is forced to 0.0."
      },
      {
        "name": "DisqualifierReason",
        "datatype": "string",
        "type": "raw",
        "nullable": true,
        "Description": "Free-text explanation from the LLM disqualifier about why the role was flagged."
      },
      {
        "name": "FinalScore",
        "datatype": "number",
        "type": "calculated",
        "nullable": false,
        "Description": "Weighted fusion of all component scores. Zeroed if disqualified. Formula: max(0, positive_sum - negative_weight * negative_score).",
        "formula": "=IF({{IsDisqualified}}, 0, MAX(0, {{FitScore}} + {{ArchetypeScore}} + {{HistoryScore}} + {{CompScore}} + {{CultureScore}} - {{NegativeScore}}))"
      },
      {
        "name": "DuplicateBoards",
        "datatype": "string",
        "type": "raw",
        "nullable": true,
        "Description": "Comma-separated list of other boards where this same job appeared (cross-board deduplication)."
      },
      {
        "name": "JobListingName",
        "datatype": "string",
        "type": "lookup",
        "nullable": true,
        "Description": "Title of the scored job listing.",
        "formula": "=INDEX(JobListings!{{Name}}, MATCH({{JobListing}}, JobListings!{{JobListingId}}, 0))"
      },
      {
        "name": "SearchRunName",
        "datatype": "string",
        "type": "lookup",
        "nullable": true,
        "Description": "Label of the parent search run.",
        "formula": "=INDEX(SearchRuns!{{Name}}, MATCH({{SearchRun}}, SearchRuns!{{SearchRunId}}, 0))"
      },
      {
        "name": "Company",
        "datatype": "string",
        "type": "lookup",
        "nullable": true,
        "Description": "Company name from the scored listing.",
        "formula": "=INDEX(JobListings!{{Company}}, MATCH({{JobListing}}, JobListings!{{JobListingId}}, 0))"
      }
    ],
    "data": []
  },
  "Decisions": {
    "Description": "Table: Decisions - Operator verdicts on reviewed job listings, used as training signal for future scoring.",
    "schema": [
      {
        "name": "DecisionId",
        "datatype": "string",
        "type": "raw",
        "nullable": false,
        "Description": "Primary key for decisions."
      },
      {
        "name": "Name",
        "datatype": "string",
        "type": "calculated",
        "nullable": false,
        "Description": "Display label combining verdict and job title.",
        "formula": "=CONCAT(UPPER({{Verdict}}), \": \", {{JobListingName}})"
      },
      {
        "name": "JobListing",
        "datatype": "string",
        "type": "relationship",
        "nullable": false,
        "Description": "The job listing this decision is about.",
        "RelatedTo": "JobListings"
      },
      {
        "name": "Verdict",
        "datatype": "string",
        "type": "raw",
        "nullable": false,
        "Description": "Operator's judgment: 'yes' (interested), 'no' (rejected), 'maybe' (uncertain), or 'removed' (retracted)."
      },
      {
        "name": "Reason",
        "datatype": "string",
        "type": "raw",
        "nullable": true,
        "Description": "Free-text explanation for the verdict. Stored for audit purposes."
      },
      {
        "name": "RecordedAt",
        "datatype": "datetime",
        "type": "raw",
        "nullable": false,
        "Description": "Timestamp when this decision was recorded."
      },
      {
        "name": "IsScoringSignal",
        "datatype": "boolean",
        "type": "calculated",
        "nullable": false,
        "Description": "Whether this verdict contributes to history_score. Only 'yes' verdicts are scoring signals.",
        "formula": "=IF({{Verdict}} = \"yes\", TRUE(), FALSE())"
      },
      {
        "name": "JobListingName",
        "datatype": "string",
        "type": "lookup",
        "nullable": true,
        "Description": "Title of the decided job listing.",
        "formula": "=INDEX(JobListings!{{Name}}, MATCH({{JobListing}}, JobListings!{{JobListingId}}, 0))"
      },
      {
        "name": "Company",
        "datatype": "string",
        "type": "lookup",
        "nullable": true,
        "Description": "Company name from the decided listing.",
        "formula": "=INDEX(JobListings!{{Company}}, MATCH({{JobListing}}, JobListings!{{JobListingId}}, 0))"
      },
      {
        "name": "Board",
        "datatype": "string",
        "type": "lookup",
        "nullable": true,
        "Description": "Job board the decided listing came from.",
        "formula": "=INDEX(JobListings!{{JobBoard}}, MATCH({{JobListing}}, JobListings!{{JobListingId}}, 0))"
      }
    ],
    "data": []
  },
  "_meta": {
    "_CMCC_Summary": "Rulebook for Job Search RAG - a local LLM + RAG pipeline for intelligent job filtering using semantic search across multiple job boards.",
    "_conversion_metadata": {
      "source_base_id": "manual",
      "table_count": 9,
      "tool_version": "2.0.0",
      "field_type_mapping": "manual schema design from domain model analysis",
      "export_mode": "schema_first_type_mapping",
      "type_inference": {
        "priority": "manual domain analysis",
        "error_value_handling": "#NUM!, #ERROR!, #N/A, #REF!, #DIV/0!, #VALUE!, #NAME? are treated as NULL"
      }
    }
  }
}
</t>
  </si>
</sst>
</file>

<file path=xl/styles.xml><?xml version="1.0" encoding="utf-8"?>
<styleSheet xmlns="http://schemas.openxmlformats.org/spreadsheetml/2006/main">
  <numFmts count="1">
    <numFmt numFmtId="164" formatCode="m/d/yyyy h:mm:ss AM/PM"/>
  </numFmts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 fillId="2" applyFill="1"/>
    <xf numFmtId="0" fontId="0" fillId="3" applyFill="1"/>
    <xf numFmtId="1" applyNumberFormat="1" fontId="0" fillId="3" applyFill="1"/>
    <xf numFmtId="0" fontId="0" fillId="4" applyFill="1"/>
    <xf numFmtId="1" applyNumberFormat="1" fontId="0" fillId="4" applyFill="1"/>
    <xf numFmtId="164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8.40892219543457" customWidth="1"/>
    <col min="3" max="3" width="87.35497283935547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b">
        <v>1</v>
      </c>
      <c r="E2" s="3">
        <v>3</v>
      </c>
      <c r="F2" s="2" t="b">
        <v>1</v>
      </c>
      <c r="G2" s="2"/>
      <c r="H2" s="5">
        <f>COUNTIFS(JobListings!C2:C999,A2)</f>
        <v>0</v>
      </c>
    </row>
    <row r="3">
      <c r="A3" s="2" t="s">
        <v>11</v>
      </c>
      <c r="B3" s="2" t="s">
        <v>12</v>
      </c>
      <c r="C3" s="2" t="s">
        <v>13</v>
      </c>
      <c r="D3" s="2" t="b">
        <v>0</v>
      </c>
      <c r="E3" s="3">
        <v>3</v>
      </c>
      <c r="F3" s="2" t="b">
        <v>1</v>
      </c>
      <c r="G3" s="2"/>
      <c r="H3" s="5">
        <f>COUNTIFS(JobListings!C2:C999,A3)</f>
        <v>0</v>
      </c>
    </row>
    <row r="4">
      <c r="A4" s="2" t="s">
        <v>14</v>
      </c>
      <c r="B4" s="2" t="s">
        <v>15</v>
      </c>
      <c r="C4" s="2" t="s">
        <v>16</v>
      </c>
      <c r="D4" s="2" t="b">
        <v>0</v>
      </c>
      <c r="E4" s="3">
        <v>2</v>
      </c>
      <c r="F4" s="2" t="b">
        <v>0</v>
      </c>
      <c r="G4" s="2" t="s">
        <v>17</v>
      </c>
      <c r="H4" s="5">
        <f>COUNTIFS(JobListings!C2:C999,A4)</f>
        <v>0</v>
      </c>
    </row>
    <row r="5">
      <c r="A5" s="2" t="s">
        <v>18</v>
      </c>
      <c r="B5" s="2" t="s">
        <v>19</v>
      </c>
      <c r="C5" s="2" t="s">
        <v>20</v>
      </c>
      <c r="D5" s="2" t="b">
        <v>0</v>
      </c>
      <c r="E5" s="3">
        <v>3</v>
      </c>
      <c r="F5" s="2" t="b">
        <v>1</v>
      </c>
      <c r="G5" s="2"/>
      <c r="H5" s="5">
        <f>COUNTIFS(JobListings!C2:C999,A5)</f>
        <v>0</v>
      </c>
    </row>
  </sheetData>
  <autoFilter ref="A1:H1"/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455114364624023" customWidth="1"/>
    <col min="2" max="2" width="41.06731033325195" customWidth="1"/>
    <col min="3" max="3" width="17.443378448486328" customWidth="1"/>
    <col min="4" max="4" width="114.60072326660156" customWidth="1"/>
    <col min="5" max="5" width="17.443378448486328" customWidth="1"/>
    <col min="6" max="6" width="18.40892219543457" customWidth="1"/>
  </cols>
  <sheetData>
    <row r="1">
      <c r="A1" s="1" t="s">
        <v>21</v>
      </c>
      <c r="B1" s="1" t="s">
        <v>1</v>
      </c>
      <c r="C1" s="1" t="s">
        <v>22</v>
      </c>
      <c r="D1" s="1" t="s">
        <v>23</v>
      </c>
      <c r="E1" s="1" t="s">
        <v>3</v>
      </c>
      <c r="F1" s="1" t="s">
        <v>24</v>
      </c>
    </row>
    <row r="2">
      <c r="A2" s="2" t="s">
        <v>25</v>
      </c>
      <c r="B2" s="2" t="s">
        <v>26</v>
      </c>
      <c r="C2" s="2" t="s">
        <v>8</v>
      </c>
      <c r="D2" s="2" t="s">
        <v>27</v>
      </c>
      <c r="E2" s="2" t="b">
        <v>1</v>
      </c>
      <c r="F2" s="4" t="str">
        <f>INDEX(JobBoards!B2:B999, MATCH(C2,JobBoards!A2:A999, 0))</f>
        <v>ZipRecruiter</v>
      </c>
    </row>
    <row r="3">
      <c r="A3" s="2" t="s">
        <v>28</v>
      </c>
      <c r="B3" s="2" t="s">
        <v>29</v>
      </c>
      <c r="C3" s="2" t="s">
        <v>8</v>
      </c>
      <c r="D3" s="2" t="s">
        <v>30</v>
      </c>
      <c r="E3" s="2" t="b">
        <v>1</v>
      </c>
      <c r="F3" s="4" t="str">
        <f>INDEX(JobBoards!B2:B999, MATCH(C3,JobBoards!A2:A999, 0))</f>
        <v>ZipRecruiter</v>
      </c>
    </row>
    <row r="4">
      <c r="A4" s="2" t="s">
        <v>31</v>
      </c>
      <c r="B4" s="2" t="s">
        <v>32</v>
      </c>
      <c r="C4" s="2" t="s">
        <v>8</v>
      </c>
      <c r="D4" s="2" t="s">
        <v>33</v>
      </c>
      <c r="E4" s="2" t="b">
        <v>1</v>
      </c>
      <c r="F4" s="4" t="str">
        <f>INDEX(JobBoards!B2:B999, MATCH(C4,JobBoards!A2:A999, 0))</f>
        <v>ZipRecruiter</v>
      </c>
    </row>
    <row r="5">
      <c r="A5" s="2" t="s">
        <v>34</v>
      </c>
      <c r="B5" s="2" t="s">
        <v>26</v>
      </c>
      <c r="C5" s="2" t="s">
        <v>11</v>
      </c>
      <c r="D5" s="2" t="s">
        <v>35</v>
      </c>
      <c r="E5" s="2" t="b">
        <v>1</v>
      </c>
      <c r="F5" s="4" t="str">
        <f>INDEX(JobBoards!B2:B999, MATCH(C5,JobBoards!A2:A999, 0))</f>
        <v>Indeed</v>
      </c>
    </row>
    <row r="6">
      <c r="A6" s="2" t="s">
        <v>36</v>
      </c>
      <c r="B6" s="2" t="s">
        <v>29</v>
      </c>
      <c r="C6" s="2" t="s">
        <v>11</v>
      </c>
      <c r="D6" s="2" t="s">
        <v>37</v>
      </c>
      <c r="E6" s="2" t="b">
        <v>1</v>
      </c>
      <c r="F6" s="4" t="str">
        <f>INDEX(JobBoards!B2:B999, MATCH(C6,JobBoards!A2:A999, 0))</f>
        <v>Indeed</v>
      </c>
    </row>
    <row r="7">
      <c r="A7" s="2" t="s">
        <v>38</v>
      </c>
      <c r="B7" s="2" t="s">
        <v>39</v>
      </c>
      <c r="C7" s="2" t="s">
        <v>18</v>
      </c>
      <c r="D7" s="2" t="s">
        <v>40</v>
      </c>
      <c r="E7" s="2" t="b">
        <v>1</v>
      </c>
      <c r="F7" s="4" t="str">
        <f>INDEX(JobBoards!B2:B999, MATCH(C7,JobBoards!A2:A999, 0))</f>
        <v>WeWorkRemotely</v>
      </c>
    </row>
    <row r="8">
      <c r="A8" s="2" t="s">
        <v>41</v>
      </c>
      <c r="B8" s="2" t="s">
        <v>42</v>
      </c>
      <c r="C8" s="2" t="s">
        <v>18</v>
      </c>
      <c r="D8" s="2" t="s">
        <v>43</v>
      </c>
      <c r="E8" s="2" t="b">
        <v>1</v>
      </c>
      <c r="F8" s="4" t="str">
        <f>INDEX(JobBoards!B2:B999, MATCH(C8,JobBoards!A2:A999, 0))</f>
        <v>WeWorkRemotely</v>
      </c>
    </row>
    <row r="9">
      <c r="A9" s="2" t="s">
        <v>44</v>
      </c>
      <c r="B9" s="2" t="s">
        <v>26</v>
      </c>
      <c r="C9" s="2" t="s">
        <v>14</v>
      </c>
      <c r="D9" s="2" t="s">
        <v>45</v>
      </c>
      <c r="E9" s="2" t="b">
        <v>1</v>
      </c>
      <c r="F9" s="4" t="str">
        <f>INDEX(JobBoards!B2:B999, MATCH(C9,JobBoards!A2:A999, 0))</f>
        <v>LinkedIn</v>
      </c>
    </row>
  </sheetData>
  <autoFilter ref="A1:F1"/>
  <headerFooter/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988971710205078" customWidth="1"/>
    <col min="2" max="2" width="41.93191146850586" customWidth="1"/>
    <col min="3" max="3" width="153.0513916015625" customWidth="1"/>
    <col min="4" max="4" width="127.3782958984375" customWidth="1"/>
    <col min="5" max="5" width="74.43079376220703" customWidth="1"/>
  </cols>
  <sheetData>
    <row r="1">
      <c r="A1" s="1" t="s">
        <v>46</v>
      </c>
      <c r="B1" s="1" t="s">
        <v>1</v>
      </c>
      <c r="C1" s="1" t="s">
        <v>2</v>
      </c>
      <c r="D1" s="1" t="s">
        <v>47</v>
      </c>
      <c r="E1" s="1" t="s">
        <v>48</v>
      </c>
    </row>
    <row r="2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</row>
    <row r="3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</row>
    <row r="4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</row>
    <row r="5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</row>
  </sheetData>
  <autoFilter ref="A1:E1"/>
  <headerFooter/>
  <legacyDrawing r:id="rId1"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138471603393555" customWidth="1"/>
    <col min="2" max="2" width="29.45882225036621" customWidth="1"/>
    <col min="3" max="3" width="112.97090148925781" customWidth="1"/>
    <col min="4" max="4" width="122.26395416259766" customWidth="1"/>
    <col min="5" max="5" width="135.1879119873047" customWidth="1"/>
  </cols>
  <sheetData>
    <row r="1">
      <c r="A1" s="1" t="s">
        <v>69</v>
      </c>
      <c r="B1" s="1" t="s">
        <v>1</v>
      </c>
      <c r="C1" s="1" t="s">
        <v>2</v>
      </c>
      <c r="D1" s="1" t="s">
        <v>47</v>
      </c>
      <c r="E1" s="1" t="s">
        <v>48</v>
      </c>
    </row>
    <row r="2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</row>
    <row r="3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</row>
    <row r="4">
      <c r="A4" s="2" t="s">
        <v>80</v>
      </c>
      <c r="B4" s="2" t="s">
        <v>81</v>
      </c>
      <c r="C4" s="2" t="s">
        <v>82</v>
      </c>
      <c r="D4" s="2" t="s">
        <v>83</v>
      </c>
      <c r="E4" s="2" t="s">
        <v>84</v>
      </c>
    </row>
    <row r="5">
      <c r="A5" s="2" t="s">
        <v>85</v>
      </c>
      <c r="B5" s="2" t="s">
        <v>86</v>
      </c>
      <c r="C5" s="2" t="s">
        <v>87</v>
      </c>
      <c r="D5" s="2" t="s">
        <v>88</v>
      </c>
      <c r="E5" s="2" t="s">
        <v>89</v>
      </c>
    </row>
    <row r="6">
      <c r="A6" s="2" t="s">
        <v>90</v>
      </c>
      <c r="B6" s="2" t="s">
        <v>91</v>
      </c>
      <c r="C6" s="2" t="s">
        <v>92</v>
      </c>
      <c r="D6" s="2" t="s">
        <v>93</v>
      </c>
      <c r="E6" s="2" t="s">
        <v>94</v>
      </c>
    </row>
    <row r="7">
      <c r="A7" s="2" t="s">
        <v>95</v>
      </c>
      <c r="B7" s="2" t="s">
        <v>96</v>
      </c>
      <c r="C7" s="2" t="s">
        <v>97</v>
      </c>
      <c r="D7" s="2" t="s">
        <v>98</v>
      </c>
      <c r="E7" s="2" t="s">
        <v>99</v>
      </c>
    </row>
    <row r="8">
      <c r="A8" s="2" t="s">
        <v>100</v>
      </c>
      <c r="B8" s="2" t="s">
        <v>101</v>
      </c>
      <c r="C8" s="2" t="s">
        <v>102</v>
      </c>
      <c r="D8" s="2" t="s">
        <v>103</v>
      </c>
      <c r="E8" s="2" t="s">
        <v>104</v>
      </c>
    </row>
    <row r="9">
      <c r="A9" s="2" t="s">
        <v>105</v>
      </c>
      <c r="B9" s="2" t="s">
        <v>106</v>
      </c>
      <c r="C9" s="2" t="s">
        <v>107</v>
      </c>
      <c r="D9" s="2" t="s">
        <v>108</v>
      </c>
      <c r="E9" s="2" t="s">
        <v>109</v>
      </c>
    </row>
    <row r="10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</row>
    <row r="11">
      <c r="A11" s="2" t="s">
        <v>115</v>
      </c>
      <c r="B11" s="2" t="s">
        <v>116</v>
      </c>
      <c r="C11" s="2" t="s">
        <v>117</v>
      </c>
      <c r="D11" s="2" t="s">
        <v>118</v>
      </c>
      <c r="E11" s="2" t="s">
        <v>119</v>
      </c>
    </row>
  </sheetData>
  <autoFilter ref="A1:E1"/>
  <headerFooter/>
  <legacyDrawing r:id="rId1"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014631271362305" customWidth="1"/>
    <col min="2" max="2" width="28.258420944213867" customWidth="1"/>
    <col min="3" max="3" width="113.33977508544922" customWidth="1"/>
    <col min="4" max="4" width="17.443378448486328" customWidth="1"/>
    <col min="5" max="5" width="22.287551879882812" customWidth="1"/>
    <col min="6" max="6" width="17.443378448486328" customWidth="1"/>
    <col min="7" max="7" width="17.443378448486328" customWidth="1"/>
  </cols>
  <sheetData>
    <row r="1">
      <c r="A1" s="1" t="s">
        <v>120</v>
      </c>
      <c r="B1" s="1" t="s">
        <v>1</v>
      </c>
      <c r="C1" s="1" t="s">
        <v>2</v>
      </c>
      <c r="D1" s="1" t="s">
        <v>121</v>
      </c>
      <c r="E1" s="1" t="s">
        <v>122</v>
      </c>
      <c r="F1" s="1" t="s">
        <v>123</v>
      </c>
      <c r="G1" s="1" t="s">
        <v>124</v>
      </c>
    </row>
    <row r="2">
      <c r="A2" s="2" t="s">
        <v>125</v>
      </c>
      <c r="B2" s="2" t="s">
        <v>126</v>
      </c>
      <c r="C2" s="2" t="s">
        <v>127</v>
      </c>
      <c r="D2" s="2" t="s">
        <v>128</v>
      </c>
      <c r="E2" s="6">
        <v>46113.322916666664</v>
      </c>
      <c r="F2" s="5">
        <f>COUNTIFS(ResumeSections!C2:C999,A2)</f>
        <v>4</v>
      </c>
      <c r="G2" s="5">
        <f>COUNTIFS(SearchRuns!C2:C999,A2)</f>
        <v>0</v>
      </c>
    </row>
  </sheetData>
  <autoFilter ref="A1:G1"/>
  <headerFooter/>
  <legacyDrawing r:id="rId1"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2954025268555" customWidth="1"/>
    <col min="2" max="2" width="17.443378448486328" customWidth="1"/>
    <col min="3" max="3" width="25.014631271362305" customWidth="1"/>
    <col min="4" max="4" width="17.443378448486328" customWidth="1"/>
    <col min="5" max="5" width="256" customWidth="1"/>
    <col min="6" max="6" width="22.476261138916016" customWidth="1"/>
    <col min="7" max="7" width="28.258420944213867" customWidth="1"/>
  </cols>
  <sheetData>
    <row r="1">
      <c r="A1" s="1" t="s">
        <v>129</v>
      </c>
      <c r="B1" s="1" t="s">
        <v>1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</row>
    <row r="2">
      <c r="A2" s="2" t="s">
        <v>135</v>
      </c>
      <c r="B2" s="2" t="s">
        <v>136</v>
      </c>
      <c r="C2" s="2" t="s">
        <v>125</v>
      </c>
      <c r="D2" s="3">
        <v>1</v>
      </c>
      <c r="E2" s="2" t="s">
        <v>137</v>
      </c>
      <c r="F2" s="2" t="s">
        <v>138</v>
      </c>
      <c r="G2" s="4" t="str">
        <f>INDEX(Resumes!B2:B999, MATCH(C2,Resumes!A2:A999, 0))</f>
        <v>Platform Engineer - 2026 Q1</v>
      </c>
    </row>
    <row r="3">
      <c r="A3" s="2" t="s">
        <v>139</v>
      </c>
      <c r="B3" s="2" t="s">
        <v>140</v>
      </c>
      <c r="C3" s="2" t="s">
        <v>125</v>
      </c>
      <c r="D3" s="3">
        <v>2</v>
      </c>
      <c r="E3" s="2" t="s">
        <v>141</v>
      </c>
      <c r="F3" s="2" t="s">
        <v>142</v>
      </c>
      <c r="G3" s="4" t="str">
        <f>INDEX(Resumes!B2:B999, MATCH(C3,Resumes!A2:A999, 0))</f>
        <v>Platform Engineer - 2026 Q1</v>
      </c>
    </row>
    <row r="4">
      <c r="A4" s="2" t="s">
        <v>143</v>
      </c>
      <c r="B4" s="2" t="s">
        <v>144</v>
      </c>
      <c r="C4" s="2" t="s">
        <v>125</v>
      </c>
      <c r="D4" s="3">
        <v>3</v>
      </c>
      <c r="E4" s="2" t="s">
        <v>145</v>
      </c>
      <c r="F4" s="2" t="s">
        <v>146</v>
      </c>
      <c r="G4" s="4" t="str">
        <f>INDEX(Resumes!B2:B999, MATCH(C4,Resumes!A2:A999, 0))</f>
        <v>Platform Engineer - 2026 Q1</v>
      </c>
    </row>
    <row r="5">
      <c r="A5" s="2" t="s">
        <v>147</v>
      </c>
      <c r="B5" s="2" t="s">
        <v>148</v>
      </c>
      <c r="C5" s="2" t="s">
        <v>125</v>
      </c>
      <c r="D5" s="3">
        <v>4</v>
      </c>
      <c r="E5" s="2" t="s">
        <v>149</v>
      </c>
      <c r="F5" s="2" t="s">
        <v>150</v>
      </c>
      <c r="G5" s="4" t="str">
        <f>INDEX(Resumes!B2:B999, MATCH(C5,Resumes!A2:A999, 0))</f>
        <v>Platform Engineer - 2026 Q1</v>
      </c>
    </row>
  </sheetData>
  <autoFilter ref="A1:G1"/>
  <headerFooter/>
  <legacyDrawing r:id="rId1"/>
</worksheet>
</file>

<file path=xl/worksheets/sheet7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5281925201416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9.5933895111084" customWidth="1"/>
    <col min="13" max="13" width="20.457246780395508" customWidth="1"/>
    <col min="14" max="14" width="17.443378448486328" customWidth="1"/>
    <col min="15" max="15" width="17.443378448486328" customWidth="1"/>
    <col min="16" max="16" width="17.443378448486328" customWidth="1"/>
    <col min="17" max="17" width="18.415328979492188" customWidth="1"/>
    <col min="18" max="18" width="17.443378448486328" customWidth="1"/>
    <col min="19" max="19" width="17.443378448486328" customWidth="1"/>
    <col min="20" max="20" width="17.443378448486328" customWidth="1"/>
  </cols>
  <sheetData>
    <row r="1">
      <c r="A1" s="1" t="s">
        <v>151</v>
      </c>
      <c r="B1" s="1" t="s">
        <v>1</v>
      </c>
      <c r="C1" s="1" t="s">
        <v>130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  <c r="S1" s="1" t="s">
        <v>134</v>
      </c>
      <c r="T1" s="1" t="s">
        <v>167</v>
      </c>
    </row>
  </sheetData>
  <autoFilter ref="A1:T1"/>
  <headerFooter/>
  <legacyDrawing r:id="rId1"/>
</worksheet>
</file>

<file path=xl/worksheets/sheet8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7.443378448486328" customWidth="1"/>
    <col min="13" max="13" width="17.443378448486328" customWidth="1"/>
    <col min="14" max="14" width="17.443378448486328" customWidth="1"/>
    <col min="15" max="15" width="17.443378448486328" customWidth="1"/>
    <col min="16" max="16" width="17.443378448486328" customWidth="1"/>
  </cols>
  <sheetData>
    <row r="1">
      <c r="A1" s="1" t="s">
        <v>168</v>
      </c>
      <c r="B1" s="1" t="s">
        <v>1</v>
      </c>
      <c r="C1" s="1" t="s">
        <v>22</v>
      </c>
      <c r="D1" s="1" t="s">
        <v>169</v>
      </c>
      <c r="E1" s="1" t="s">
        <v>170</v>
      </c>
      <c r="F1" s="1" t="s">
        <v>171</v>
      </c>
      <c r="G1" s="1" t="s">
        <v>23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24</v>
      </c>
      <c r="O1" s="1" t="s">
        <v>167</v>
      </c>
      <c r="P1" s="1" t="s">
        <v>178</v>
      </c>
    </row>
  </sheetData>
  <autoFilter ref="A1:P1"/>
  <headerFooter/>
  <legacyDrawing r:id="rId1"/>
</worksheet>
</file>

<file path=xl/worksheets/sheet9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8.856081008911133" customWidth="1"/>
    <col min="13" max="13" width="17.443378448486328" customWidth="1"/>
    <col min="14" max="14" width="17.443378448486328" customWidth="1"/>
    <col min="15" max="15" width="17.443378448486328" customWidth="1"/>
    <col min="16" max="16" width="17.443378448486328" customWidth="1"/>
    <col min="17" max="17" width="17.443378448486328" customWidth="1"/>
  </cols>
  <sheetData>
    <row r="1">
      <c r="A1" s="1" t="s">
        <v>179</v>
      </c>
      <c r="B1" s="1" t="s">
        <v>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170</v>
      </c>
    </row>
  </sheetData>
  <autoFilter ref="A1:Q1"/>
  <headerFooter/>
  <legacyDrawing r:id="rId1"/>
</worksheet>
</file>

<file path=xl/worksheets/sheet10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  <col min="8" max="8" width="17.443378448486328" customWidth="1"/>
    <col min="9" max="9" width="17.443378448486328" customWidth="1"/>
    <col min="10" max="10" width="17.443378448486328" customWidth="1"/>
  </cols>
  <sheetData>
    <row r="1">
      <c r="A1" s="1" t="s">
        <v>194</v>
      </c>
      <c r="B1" s="1" t="s">
        <v>1</v>
      </c>
      <c r="C1" s="1" t="s">
        <v>180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192</v>
      </c>
      <c r="I1" s="1" t="s">
        <v>170</v>
      </c>
      <c r="J1" s="1" t="s">
        <v>199</v>
      </c>
    </row>
  </sheetData>
  <autoFilter ref="A1:J1"/>
  <headerFooter/>
  <legacyDrawing r:id="rId1"/>
</worksheet>
</file>

<file path=xl/worksheets/sheet1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2"/>
  <sheetViews>
    <sheetView workbookViewId="0"/>
  </sheetViews>
  <sheetFormatPr defaultRowHeight="15"/>
  <sheetData>
    <row r="1">
      <c r="A1" s="0" t="s">
        <v>200</v>
      </c>
      <c r="Z1" s="0">
        <v>2</v>
      </c>
    </row>
    <row r="2">
      <c r="A2" s="0" t="s">
        <v>201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