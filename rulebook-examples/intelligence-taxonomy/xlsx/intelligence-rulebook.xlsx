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ejai42/effortlessapi-app-root/users/user_ee42ai73-18a9-47d5-8f99-954b00f6c041/my-projects/demos/mark-acosta-demo/xlsx/"/>
    </mc:Choice>
  </mc:AlternateContent>
  <xr:revisionPtr revIDLastSave="0" documentId="13_ncr:1_{2E9814DA-4C82-4244-9A98-E7B7E86E7AD4}" xr6:coauthVersionLast="47" xr6:coauthVersionMax="47" xr10:uidLastSave="{00000000-0000-0000-0000-000000000000}"/>
  <bookViews>
    <workbookView xWindow="0" yWindow="680" windowWidth="29920" windowHeight="18660" activeTab="2" xr2:uid="{00000000-000D-0000-FFFF-FFFF00000000}"/>
  </bookViews>
  <sheets>
    <sheet name="Capabilities" sheetId="1" r:id="rId1"/>
    <sheet name="Intelligences" sheetId="2" r:id="rId2"/>
    <sheet name="Assessments" sheetId="3" r:id="rId3"/>
    <sheet name="_original_json" sheetId="4" state="hidden" r:id="rId4"/>
  </sheets>
  <definedNames>
    <definedName name="_xlnm._FilterDatabase" localSheetId="2" hidden="1">Assessments!$A$1:$J$1</definedName>
    <definedName name="_xlnm._FilterDatabase" localSheetId="0" hidden="1">Capabilities!$A$1:$E$1</definedName>
    <definedName name="_xlnm._FilterDatabase" localSheetId="1" hidden="1">Intelligences!$A$1:$G$1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2" i="3"/>
  <c r="I18" i="3"/>
  <c r="H18" i="3"/>
  <c r="G18" i="3"/>
  <c r="B18" i="3"/>
  <c r="I17" i="3"/>
  <c r="H17" i="3"/>
  <c r="B17" i="3"/>
  <c r="I16" i="3"/>
  <c r="H16" i="3"/>
  <c r="B16" i="3"/>
  <c r="I15" i="3"/>
  <c r="H15" i="3"/>
  <c r="B15" i="3"/>
  <c r="I14" i="3"/>
  <c r="H14" i="3"/>
  <c r="B14" i="3"/>
  <c r="I13" i="3"/>
  <c r="H13" i="3"/>
  <c r="B13" i="3"/>
  <c r="I12" i="3"/>
  <c r="H12" i="3"/>
  <c r="B12" i="3"/>
  <c r="I11" i="3"/>
  <c r="H11" i="3"/>
  <c r="B11" i="3"/>
  <c r="I10" i="3"/>
  <c r="H10" i="3"/>
  <c r="B10" i="3"/>
  <c r="J9" i="3"/>
  <c r="I9" i="3"/>
  <c r="H9" i="3"/>
  <c r="B9" i="3"/>
  <c r="I8" i="3"/>
  <c r="H8" i="3"/>
  <c r="B8" i="3"/>
  <c r="I7" i="3"/>
  <c r="H7" i="3"/>
  <c r="B7" i="3"/>
  <c r="I6" i="3"/>
  <c r="H6" i="3"/>
  <c r="B6" i="3"/>
  <c r="I5" i="3"/>
  <c r="H5" i="3"/>
  <c r="B5" i="3"/>
  <c r="I4" i="3"/>
  <c r="H4" i="3"/>
  <c r="B4" i="3"/>
  <c r="I3" i="3"/>
  <c r="H3" i="3"/>
  <c r="B3" i="3"/>
  <c r="J2" i="3"/>
  <c r="I2" i="3"/>
  <c r="H2" i="3"/>
  <c r="B2" i="3"/>
  <c r="E5" i="2"/>
  <c r="B5" i="2"/>
  <c r="E4" i="2"/>
  <c r="B4" i="2"/>
  <c r="E3" i="2"/>
  <c r="B3" i="2"/>
  <c r="E2" i="2"/>
  <c r="B2" i="2"/>
  <c r="B5" i="1"/>
  <c r="B4" i="1"/>
  <c r="B3" i="1"/>
  <c r="B2" i="1"/>
  <c r="J18" i="3" l="1"/>
  <c r="J17" i="3"/>
  <c r="G17" i="3"/>
  <c r="G16" i="3"/>
  <c r="J15" i="3"/>
  <c r="G15" i="3"/>
  <c r="J16" i="3"/>
  <c r="J14" i="3"/>
  <c r="G14" i="3"/>
  <c r="J12" i="3"/>
  <c r="J11" i="3"/>
  <c r="G11" i="3"/>
  <c r="J13" i="3"/>
  <c r="G13" i="3"/>
  <c r="G12" i="3"/>
  <c r="J10" i="3"/>
  <c r="F4" i="2" s="1"/>
  <c r="G10" i="3"/>
  <c r="J8" i="3"/>
  <c r="G8" i="3"/>
  <c r="G6" i="3"/>
  <c r="J5" i="3"/>
  <c r="J4" i="3"/>
  <c r="G9" i="3"/>
  <c r="G4" i="3"/>
  <c r="J7" i="3"/>
  <c r="G7" i="3"/>
  <c r="J6" i="3"/>
  <c r="G5" i="3"/>
  <c r="J3" i="3"/>
  <c r="G3" i="3"/>
  <c r="G2" i="3"/>
  <c r="F2" i="2" l="1"/>
  <c r="F5" i="2"/>
  <c r="G5" i="2" s="1"/>
  <c r="G4" i="2"/>
  <c r="F3" i="2"/>
  <c r="G3" i="2" s="1"/>
  <c r="G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CMCC</author>
  </authors>
  <commentList>
    <comment ref="A1" authorId="0" shapeId="0" xr:uid="{00000000-0006-0000-0000-000001000000}">
      <text>
        <r>
          <rPr>
            <b/>
            <sz val="11"/>
            <color rgb="FFFFFFFF"/>
            <rFont val="Aptos Narrow"/>
          </rPr>
          <t>Slug for the capability (e.g. 'reasoning'). First raw field is the PK.</t>
        </r>
      </text>
    </comment>
    <comment ref="B1" authorId="0" shapeId="0" xr:uid="{00000000-0006-0000-0000-000005000000}">
      <text>
        <r>
          <rPr>
            <b/>
            <sz val="11"/>
            <color rgb="FFFFFFFF"/>
            <rFont val="Aptos Narrow"/>
          </rPr>
          <t>Display name (derived from PK).</t>
        </r>
      </text>
    </comment>
    <comment ref="C1" authorId="0" shapeId="0" xr:uid="{00000000-0006-0000-0000-000002000000}">
      <text>
        <r>
          <rPr>
            <b/>
            <sz val="11"/>
            <color rgb="FFFFFFFF"/>
            <rFont val="Aptos Narrow"/>
          </rPr>
          <t>Short prose describing the capability.</t>
        </r>
      </text>
    </comment>
    <comment ref="D1" authorId="0" shapeId="0" xr:uid="{00000000-0006-0000-0000-000003000000}">
      <text>
        <r>
          <rPr>
            <b/>
            <sz val="11"/>
            <color rgb="FFFFFFFF"/>
            <rFont val="Aptos Narrow"/>
          </rPr>
          <t>Capability tier: foundational, composite, or emergent.</t>
        </r>
      </text>
    </comment>
    <comment ref="E1" authorId="0" shapeId="0" xr:uid="{00000000-0006-0000-0000-000004000000}">
      <text>
        <r>
          <rPr>
            <b/>
            <sz val="11"/>
            <color rgb="FFFFFFFF"/>
            <rFont val="Aptos Narrow"/>
          </rPr>
          <t>Importance multiplier used when computing WeightedScore on each Assessment.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CMCC</author>
  </authors>
  <commentList>
    <comment ref="A1" authorId="0" shapeId="0" xr:uid="{00000000-0006-0000-0100-000001000000}">
      <text>
        <r>
          <rPr>
            <b/>
            <sz val="11"/>
            <color rgb="FFFFFFFF"/>
            <rFont val="Aptos Narrow"/>
          </rPr>
          <t>Slug for the intelligence (e.g. 'human'). First raw field is the PK.</t>
        </r>
      </text>
    </comment>
    <comment ref="B1" authorId="0" shapeId="0" xr:uid="{00000000-0006-0000-0100-000007000000}">
      <text>
        <r>
          <rPr>
            <b/>
            <sz val="11"/>
            <color rgb="FFFFFFFF"/>
            <rFont val="Aptos Narrow"/>
          </rPr>
          <t>Display name (derived from PK).</t>
        </r>
      </text>
    </comment>
    <comment ref="C1" authorId="0" shapeId="0" xr:uid="{00000000-0006-0000-0100-000002000000}">
      <text>
        <r>
          <rPr>
            <b/>
            <sz val="11"/>
            <color rgb="FFFFFFFF"/>
            <rFont val="Aptos Narrow"/>
          </rPr>
          <t>Short prose describing what this intelligence is.</t>
        </r>
      </text>
    </comment>
    <comment ref="D1" authorId="0" shapeId="0" xr:uid="{00000000-0006-0000-0100-000003000000}">
      <text>
        <r>
          <rPr>
            <b/>
            <sz val="11"/>
            <color rgb="FFFFFFFF"/>
            <rFont val="Aptos Narrow"/>
          </rPr>
          <t>Substrate kind: biological, digital, or collective.</t>
        </r>
      </text>
    </comment>
    <comment ref="E1" authorId="0" shapeId="0" xr:uid="{00000000-0006-0000-0100-000004000000}">
      <text>
        <r>
          <rPr>
            <b/>
            <sz val="11"/>
            <color rgb="FFFFFFFF"/>
            <rFont val="Aptos Narrow"/>
          </rPr>
          <t>How many capabilities this intelligence has been assessed on.</t>
        </r>
      </text>
    </comment>
    <comment ref="F1" authorId="0" shapeId="0" xr:uid="{00000000-0006-0000-0100-000005000000}">
      <text>
        <r>
          <rPr>
            <b/>
            <sz val="11"/>
            <color rgb="FFFFFFFF"/>
            <rFont val="Aptos Narrow"/>
          </rPr>
          <t>Sum of WeightedScore across all this intelligence's assessments. Second hop in the DAG.</t>
        </r>
      </text>
    </comment>
    <comment ref="G1" authorId="0" shapeId="0" xr:uid="{00000000-0006-0000-0100-000006000000}">
      <text>
        <r>
          <rPr>
            <b/>
            <sz val="11"/>
            <color rgb="FFFFFFFF"/>
            <rFont val="Aptos Narrow"/>
          </rPr>
          <t>Taxonomic bucket derived from TotalWeightedScore. Third hop in the DAG.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CMCC</author>
  </authors>
  <commentList>
    <comment ref="A1" authorId="0" shapeId="0" xr:uid="{00000000-0006-0000-0200-000001000000}">
      <text>
        <r>
          <rPr>
            <b/>
            <sz val="11"/>
            <color rgb="FFFFFFFF"/>
            <rFont val="Aptos Narrow"/>
          </rPr>
          <t>Slug encoding the intelligence-capability pair (e.g. 'human-reasoning'). First raw field is the PK.</t>
        </r>
      </text>
    </comment>
    <comment ref="B1" authorId="0" shapeId="0" xr:uid="{00000000-0006-0000-0200-00000A000000}">
      <text>
        <r>
          <rPr>
            <b/>
            <sz val="11"/>
            <color rgb="FFFFFFFF"/>
            <rFont val="Aptos Narrow"/>
          </rPr>
          <t>Display name (derived from PK).</t>
        </r>
      </text>
    </comment>
    <comment ref="C1" authorId="0" shapeId="0" xr:uid="{00000000-0006-0000-0200-000002000000}">
      <text>
        <r>
          <rPr>
            <b/>
            <sz val="11"/>
            <color rgb="FFFFFFFF"/>
            <rFont val="Aptos Narrow"/>
          </rPr>
          <t>FK to Intelligences. Holds the value of Intelligences.IntelligencesId.</t>
        </r>
      </text>
    </comment>
    <comment ref="D1" authorId="0" shapeId="0" xr:uid="{00000000-0006-0000-0200-000003000000}">
      <text>
        <r>
          <rPr>
            <b/>
            <sz val="11"/>
            <color rgb="FFFFFFFF"/>
            <rFont val="Aptos Narrow"/>
          </rPr>
          <t>FK to Capabilities. Holds the value of Capabilities.CapabilitiesId.</t>
        </r>
      </text>
    </comment>
    <comment ref="E1" authorId="0" shapeId="0" xr:uid="{00000000-0006-0000-0200-000004000000}">
      <text>
        <r>
          <rPr>
            <b/>
            <sz val="11"/>
            <color rgb="FFFFFFFF"/>
            <rFont val="Aptos Narrow"/>
          </rPr>
          <t>User-editable assessment score from 0 to 100. Edit this in the UI to watch the cascade.</t>
        </r>
      </text>
    </comment>
    <comment ref="F1" authorId="0" shapeId="0" xr:uid="{00000000-0006-0000-0200-000005000000}">
      <text>
        <r>
          <rPr>
            <b/>
            <sz val="11"/>
            <color rgb="FFFFFFFF"/>
            <rFont val="Aptos Narrow"/>
          </rPr>
          <t>Display name pulled from the related Intelligences row.</t>
        </r>
      </text>
    </comment>
    <comment ref="G1" authorId="0" shapeId="0" xr:uid="{00000000-0006-0000-0200-000006000000}">
      <text>
        <r>
          <rPr>
            <b/>
            <sz val="11"/>
            <color rgb="FFFFFFFF"/>
            <rFont val="Aptos Narrow"/>
          </rPr>
          <t>Display name pulled from the related Capabilities row.</t>
        </r>
      </text>
    </comment>
    <comment ref="H1" authorId="0" shapeId="0" xr:uid="{00000000-0006-0000-0200-000007000000}">
      <text>
        <r>
          <rPr>
            <b/>
            <sz val="11"/>
            <color rgb="FFFFFFFF"/>
            <rFont val="Aptos Narrow"/>
          </rPr>
          <t>Tier (foundational/composite/emergent) pulled from the related Capabilities row.</t>
        </r>
      </text>
    </comment>
    <comment ref="I1" authorId="0" shapeId="0" xr:uid="{00000000-0006-0000-0200-000008000000}">
      <text>
        <r>
          <rPr>
            <b/>
            <sz val="11"/>
            <color rgb="FFFFFFFF"/>
            <rFont val="Aptos Narrow"/>
          </rPr>
          <t>Importance multiplier pulled from the related Capabilities row.</t>
        </r>
      </text>
    </comment>
    <comment ref="J1" authorId="0" shapeId="0" xr:uid="{00000000-0006-0000-0200-000009000000}">
      <text>
        <r>
          <rPr>
            <b/>
            <sz val="11"/>
            <color rgb="FFFFFFFF"/>
            <rFont val="Aptos Narrow"/>
          </rPr>
          <t>RawScore scaled by the capability's Weight. First hop in the DAG.</t>
        </r>
      </text>
    </comment>
  </commentList>
</comments>
</file>

<file path=xl/sharedStrings.xml><?xml version="1.0" encoding="utf-8"?>
<sst xmlns="http://schemas.openxmlformats.org/spreadsheetml/2006/main" count="98" uniqueCount="57">
  <si>
    <t>CapabilitiesId</t>
  </si>
  <si>
    <t>Name</t>
  </si>
  <si>
    <t>Description</t>
  </si>
  <si>
    <t>Tier</t>
  </si>
  <si>
    <t>Weight</t>
  </si>
  <si>
    <t>memory</t>
  </si>
  <si>
    <t>Storing, retaining, and recalling information across time.</t>
  </si>
  <si>
    <t>foundational</t>
  </si>
  <si>
    <t>perception</t>
  </si>
  <si>
    <t>Sensing the environment and interpreting raw input into structure.</t>
  </si>
  <si>
    <t>reasoning</t>
  </si>
  <si>
    <t>Inference, deduction, and structured problem-solving.</t>
  </si>
  <si>
    <t>composite</t>
  </si>
  <si>
    <t>creativity</t>
  </si>
  <si>
    <t>Novel synthesis, divergent thinking, and open-ended generation.</t>
  </si>
  <si>
    <t>emergent</t>
  </si>
  <si>
    <t>IntelligencesId</t>
  </si>
  <si>
    <t>Substrate</t>
  </si>
  <si>
    <t>AssessmentCount</t>
  </si>
  <si>
    <t>TotalWeightedScore</t>
  </si>
  <si>
    <t>TaxonomyClass</t>
  </si>
  <si>
    <t>human</t>
  </si>
  <si>
    <t>A neurotypical human adult.</t>
  </si>
  <si>
    <t>biological</t>
  </si>
  <si>
    <t>octopus</t>
  </si>
  <si>
    <t>A cephalopod problem-solver with distributed cognition.</t>
  </si>
  <si>
    <t>gpt-5</t>
  </si>
  <si>
    <t>A large language model trained on broad text.</t>
  </si>
  <si>
    <t>digital</t>
  </si>
  <si>
    <t>calculator</t>
  </si>
  <si>
    <t>A pocket arithmetic device.</t>
  </si>
  <si>
    <t>AssessmentsId</t>
  </si>
  <si>
    <t>Intelligence</t>
  </si>
  <si>
    <t>Capability</t>
  </si>
  <si>
    <t>RawScore</t>
  </si>
  <si>
    <t>IntelligenceName</t>
  </si>
  <si>
    <t>CapabilityName</t>
  </si>
  <si>
    <t>CapabilityTier</t>
  </si>
  <si>
    <t>CapabilityWeight</t>
  </si>
  <si>
    <t>WeightedScore</t>
  </si>
  <si>
    <t>human-memory</t>
  </si>
  <si>
    <t>human-perception</t>
  </si>
  <si>
    <t>human-reasoning</t>
  </si>
  <si>
    <t>human-creativity</t>
  </si>
  <si>
    <t>octopus-memory</t>
  </si>
  <si>
    <t>octopus-perception</t>
  </si>
  <si>
    <t>octopus-reasoning</t>
  </si>
  <si>
    <t>octopus-creativity</t>
  </si>
  <si>
    <t>gpt-5-memory</t>
  </si>
  <si>
    <t>gpt-5-perception</t>
  </si>
  <si>
    <t>gpt-5-reasoning</t>
  </si>
  <si>
    <t>gpt-5-creativity</t>
  </si>
  <si>
    <t>calculator-memory</t>
  </si>
  <si>
    <t>calculator-perception</t>
  </si>
  <si>
    <t>calculator-reasoning</t>
  </si>
  <si>
    <t>calculator-creativity</t>
  </si>
  <si>
    <t xml:space="preserve">{
  "$schema": "https://example.com/cmcc-schema/v1",
  "Name": "Taxonomy of Intelligence",
  "Description": "A minimal Effortless demo that classifies intelligences (humans, animals, AI systems) by aggregating per-capability assessments through a multi-hop calculated-field DAG.",
  "Capabilities": {
    "Description": "Cognitive capabilities being assessed. Tiered foundational/composite/emergent and weighted by importance.",
    "schema": [
      {
        "name": "CapabilitiesId",
        "datatype": "string",
        "type": "raw",
        "nullable": false,
        "Description": "Slug for the capability (e.g. 'reasoning'). First raw field is the PK."
      },
      {
        "name": "Name",
        "datatype": "string",
        "type": "calculated",
        "nullable": false,
        "formula": "={{CapabilitiesId}}",
        "Description": "Display name (derived from PK)."
      },
      {
        "name": "Description",
        "datatype": "string",
        "type": "raw",
        "nullable": true,
        "Description": "Short prose describing the capability."
      },
      {
        "name": "Tier",
        "datatype": "string",
        "type": "raw",
        "nullable": false,
        "Description": "Capability tier: foundational, composite, or emergent."
      },
      {
        "name": "Weight",
        "datatype": "number",
        "type": "raw",
        "nullable": false,
        "Description": "Importance multiplier used when computing WeightedScore on each Assessment."
      }
    ],
    "data": [
      {
        "CapabilitiesId": "memory",
        "Description": "Storing, retaining, and recalling information across time.",
        "Tier": "foundational",
        "Weight": 1.0
      },
      {
        "CapabilitiesId": "perception",
        "Description": "Sensing the environment and interpreting raw input into structure.",
        "Tier": "foundational",
        "Weight": 1.0
      },
      {
        "CapabilitiesId": "reasoning",
        "Description": "Inference, deduction, and structured problem-solving.",
        "Tier": "composite",
        "Weight": 1.3
      },
      {
        "CapabilitiesId": "creativity",
        "Description": "Novel synthesis, divergent thinking, and open-ended generation.",
        "Tier": "emergent",
        "Weight": 1.5
      }
    ]
  },
  "Intelligences": {
    "Description": "Agents being classified by the taxonomy. Each Intelligence's TaxonomyClass is derived from the rollup of its Assessments.",
    "schema": [
      {
        "name": "IntelligencesId",
        "datatype": "string",
        "type": "raw",
        "nullable": false,
        "Description": "Slug for the intelligence (e.g. 'human'). First raw field is the PK."
      },
      {
        "name": "Name",
        "datatype": "string",
        "type": "calculated",
        "nullable": false,
        "formula": "={{IntelligencesId}}",
        "Description": "Display name (derived from PK)."
      },
      {
        "name": "Description",
        "datatype": "string",
        "type": "raw",
        "nullable": true,
        "Description": "Short prose describing what this intelligence is."
      },
      {
        "name": "Substrate",
        "datatype": "string",
        "type": "raw",
        "nullable": false,
        "Description": "Substrate kind: biological, digital, or collective."
      },
      {
        "name": "AssessmentCount",
        "datatype": "integer",
        "type": "aggregation",
        "nullable": false,
        "formula": "=COUNTIFS(Assessments!{{Intelligence}}, {{IntelligencesId}})",
        "Description": "How many capabilities this intelligence has been assessed on."
      },
      {
        "name": "TotalWeightedScore",
        "datatype": "number",
        "type": "aggregation",
        "nullable": false,
        "formula": "=SUMIFS(Assessments!{{WeightedScore}}, Assessments!{{Intelligence}}, {{IntelligencesId}})",
        "Description": "Sum of WeightedScore across all this intelligence's assessments. Second hop in the DAG."
      },
      {
        "name": "TaxonomyClass",
        "datatype": "string",
        "type": "calculated",
        "nullable": false,
        "formula": "=IF({{TotalWeightedScore}}&gt;=350, \"Generalist\", IF({{TotalWeightedScore}}&gt;=220, \"Broad\", \"Narrow\"))",
        "Description": "Taxonomic bucket derived from TotalWeightedScore. Third hop in the DAG."
      }
    ],
    "data": [
      {
        "IntelligencesId": "human",
        "Description": "A neurotypical human adult.",
        "Substrate": "biological"
      },
      {
        "IntelligencesId": "octopus",
        "Description": "A cephalopod problem-solver with distributed cognition.",
        "Substrate": "biological"
      },
      {
        "IntelligencesId": "gpt-5",
        "Description": "A large language model trained on broad text.",
        "Substrate": "digital"
      },
      {
        "IntelligencesId": "calculator",
        "Description": "A pocket arithmetic device.",
        "Substrate": "digital"
      }
    ]
  },
  "Assessments": {
    "Description": "Per-capability scores for each intelligence. The junction table whose calculated WeightedScore feeds the rollup on Intelligences.",
    "schema": [
      {
        "name": "AssessmentsId",
        "datatype": "string",
        "type": "raw",
        "nullable": false,
        "Description": "Slug encoding the intelligence-capability pair (e.g. 'human-reasoning'). First raw field is the PK."
      },
      {
        "name": "Name",
        "datatype": "string",
        "type": "calculated",
        "nullable": false,
        "formula": "={{AssessmentsId}}",
        "Description": "Display name (derived from PK)."
      },
      {
        "name": "Intelligence",
        "datatype": "string",
        "type": "relationship",
        "RelatedTo": "Intelligences",
        "nullable": false,
        "Description": "FK to Intelligences. Holds the value of Intelligences.IntelligencesId."
      },
      {
        "name": "Capability",
        "datatype": "string",
        "type": "relationship",
        "RelatedTo": "Capabilities",
        "nullable": false,
        "Description": "FK to Capabilities. Holds the value of Capabilities.CapabilitiesId."
      },
      {
        "name": "RawScore",
        "datatype": "integer",
        "type": "raw",
        "nullable": false,
        "Description": "User-editable assessment score from 0 to 100. Edit this in the UI to watch the cascade."
      },
      {
        "name": "IntelligenceName",
        "datatype": "string",
        "type": "lookup",
        "nullable": true,
        "formula": "=INDEX(Intelligences!{{Name}}, MATCH({{Intelligence}}, Intelligences!{{IntelligencesId}}, 0))",
        "Description": "Display name pulled from the related Intelligences row."
      },
      {
        "name": "CapabilityName",
        "datatype": "string",
        "type": "lookup",
        "nullable": true,
        "formula": "=INDEX(Capabilities!{{Name}}, MATCH({{Capability}}, Capabilities!{{CapabilitiesId}}, 0))",
        "Description": "Display name pulled from the related Capabilities row."
      },
      {
        "name": "CapabilityTier",
        "datatype": "string",
        "type": "lookup",
        "nullable": true,
        "formula": "=INDEX(Capabilities!{{Tier}}, MATCH({{Capability}}, Capabilities!{{CapabilitiesId}}, 0))",
        "Description": "Tier (foundational/composite/emergent) pulled from the related Capabilities row."
      },
      {
        "name": "CapabilityWeight",
        "datatype": "number",
        "type": "lookup",
        "nullable": true,
        "formula": "=INDEX(Capabilities!{{Weight}}, MATCH({{Capability}}, Capabilities!{{CapabilitiesId}}, 0))",
        "Description": "Importance multiplier pulled from the related Capabilities row."
      },
      {
        "name": "WeightedScore",
        "datatype": "number",
        "type": "calculated",
        "nullable": false,
        "formula": "={{RawScore}}*{{CapabilityWeight}}",
        "Description": "RawScore scaled by the capability's Weight. First hop in the DAG."
      }
    ],
    "data": [
      { "AssessmentsId": "human-memory",        "Intelligence": "human",      "Capability": "memory",     "RawScore": 80 },
      { "AssessmentsId": "human-perception",    "Intelligence": "human",      "Capability": "perception", "RawScore": 85 },
      { "AssessmentsId": "human-reasoning",     "Intelligence": "human",      "Capability": "reasoning",  "RawScore": 85 },
      { "AssessmentsId": "human-creativity",    "Intelligence": "human",      "Capability": "creativity", "RawScore": 80 },
      { "AssessmentsId": "octopus-memory",      "Intelligence": "octopus",    "Capability": "memory",     "RawScore": 60 },
      { "AssessmentsId": "octopus-perception",  "Intelligence": "octopus",    "Capability": "perception", "RawScore": 90 },
      { "AssessmentsId": "octopus-reasoning",   "Intelligence": "octopus",    "Capability": "reasoning",  "RawScore": 65 },
      { "AssessmentsId": "octopus-creativity",  "Intelligence": "octopus",    "Capability": "creativity", "RawScore": 70 },
      { "AssessmentsId": "gpt-5-memory",        "Intelligence": "gpt-5",      "Capability": "memory",     "RawScore": 95 },
      { "AssessmentsId": "gpt-5-perception",    "Intelligence": "gpt-5",      "Capability": "perception", "RawScore": 30 },
      { "AssessmentsId": "gpt-5-reasoning",     "Intelligence": "gpt-5",      "Capability": "reasoning",  "RawScore": 80 },
      { "AssessmentsId": "gpt-5-creativity",    "Intelligence": "gpt-5",      "Capability": "creativity", "RawScore": 65 },
      { "AssessmentsId": "calculator-memory",     "Intelligence": "calculator", "Capability": "memory",     "RawScore": 50 },
      { "AssessmentsId": "calculator-perception", "Intelligence": "calculator", "Capability": "perception", "RawScore": 10 },
      { "AssessmentsId": "calculator-reasoning",  "Intelligence": "calculator", "Capability": "reasoning",  "RawScore": 95 },
      { "AssessmentsId": "calculator-creativity", "Intelligence": "calculator", "Capability": "creativity", "RawScore": 0 }
    ]
  },
  "_meta": {
    "_CMCC_Summary": "Hand-authored rulebook for a minimal taxonomy-of-intelligence demo.",
    "_conversion_metadata": {
      "tool_version": "demo-app-skill",
      "export_mode": "hand_authored"
    }
  }
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</si>
</sst>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</font>
    <font>
      <b/>
      <sz val="11"/>
      <color rgb="FFFFFF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E7E6E6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1" fontId="0" fillId="4" borderId="0" xfId="0" applyNumberFormat="1" applyFill="1"/>
    <xf numFmtId="1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7.5" customWidth="1"/>
    <col min="3" max="3" width="63.33203125" customWidth="1"/>
    <col min="4" max="5" width="17.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3" t="str">
        <f>A2</f>
        <v>memory</v>
      </c>
      <c r="C2" s="2" t="s">
        <v>6</v>
      </c>
      <c r="D2" s="2" t="s">
        <v>7</v>
      </c>
      <c r="E2" s="2">
        <v>1</v>
      </c>
    </row>
    <row r="3" spans="1:5" x14ac:dyDescent="0.2">
      <c r="A3" s="2" t="s">
        <v>8</v>
      </c>
      <c r="B3" s="3" t="str">
        <f>A3</f>
        <v>perception</v>
      </c>
      <c r="C3" s="2" t="s">
        <v>9</v>
      </c>
      <c r="D3" s="2" t="s">
        <v>7</v>
      </c>
      <c r="E3" s="2">
        <v>1</v>
      </c>
    </row>
    <row r="4" spans="1:5" x14ac:dyDescent="0.2">
      <c r="A4" s="2" t="s">
        <v>10</v>
      </c>
      <c r="B4" s="3" t="str">
        <f>A4</f>
        <v>reasoning</v>
      </c>
      <c r="C4" s="2" t="s">
        <v>11</v>
      </c>
      <c r="D4" s="2" t="s">
        <v>12</v>
      </c>
      <c r="E4" s="2">
        <v>1.3</v>
      </c>
    </row>
    <row r="5" spans="1:5" x14ac:dyDescent="0.2">
      <c r="A5" s="2" t="s">
        <v>13</v>
      </c>
      <c r="B5" s="3" t="str">
        <f>A5</f>
        <v>creativity</v>
      </c>
      <c r="C5" s="2" t="s">
        <v>14</v>
      </c>
      <c r="D5" s="2" t="s">
        <v>15</v>
      </c>
      <c r="E5" s="2">
        <v>1.5</v>
      </c>
    </row>
  </sheetData>
  <autoFilter ref="A1:E1" xr:uid="{00000000-0009-0000-0000-000000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pane ySplit="1" topLeftCell="A2" activePane="bottomLeft" state="frozen"/>
      <selection pane="bottomLeft" activeCell="A6" sqref="A6"/>
    </sheetView>
  </sheetViews>
  <sheetFormatPr baseColWidth="10" defaultColWidth="8.83203125" defaultRowHeight="15" x14ac:dyDescent="0.2"/>
  <cols>
    <col min="1" max="2" width="17.5" customWidth="1"/>
    <col min="3" max="3" width="53.5" customWidth="1"/>
    <col min="4" max="4" width="17.5" customWidth="1"/>
    <col min="5" max="5" width="18" customWidth="1"/>
    <col min="6" max="6" width="20.33203125" customWidth="1"/>
    <col min="7" max="7" width="17.5" customWidth="1"/>
  </cols>
  <sheetData>
    <row r="1" spans="1:7" x14ac:dyDescent="0.2">
      <c r="A1" s="1" t="s">
        <v>16</v>
      </c>
      <c r="B1" s="1" t="s">
        <v>1</v>
      </c>
      <c r="C1" s="1" t="s">
        <v>2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2">
      <c r="A2" s="2" t="s">
        <v>21</v>
      </c>
      <c r="B2" s="3" t="str">
        <f>A2</f>
        <v>human</v>
      </c>
      <c r="C2" s="2" t="s">
        <v>22</v>
      </c>
      <c r="D2" s="2" t="s">
        <v>23</v>
      </c>
      <c r="E2" s="4">
        <f>COUNTIFS(Assessments!C2:C999, A2)</f>
        <v>5</v>
      </c>
      <c r="F2" s="3">
        <f>SUMIFS(Assessments!J2:J999,Assessments!C2:C999, A2)</f>
        <v>395.5</v>
      </c>
      <c r="G2" s="3" t="str">
        <f>IF(F2&gt;=350, "Generalist", IF(F2&gt;=220, "Broad", "Narrow"))</f>
        <v>Generalist</v>
      </c>
    </row>
    <row r="3" spans="1:7" x14ac:dyDescent="0.2">
      <c r="A3" s="2" t="s">
        <v>24</v>
      </c>
      <c r="B3" s="3" t="str">
        <f>A3</f>
        <v>octopus</v>
      </c>
      <c r="C3" s="2" t="s">
        <v>25</v>
      </c>
      <c r="D3" s="2" t="s">
        <v>23</v>
      </c>
      <c r="E3" s="4">
        <f>COUNTIFS(Assessments!C2:C999, A3)</f>
        <v>4</v>
      </c>
      <c r="F3" s="3">
        <f>SUMIFS(Assessments!J2:J999,Assessments!C2:C999, A3)</f>
        <v>339.5</v>
      </c>
      <c r="G3" s="3" t="str">
        <f>IF(F3&gt;=350, "Generalist", IF(F3&gt;=220, "Broad", "Narrow"))</f>
        <v>Broad</v>
      </c>
    </row>
    <row r="4" spans="1:7" x14ac:dyDescent="0.2">
      <c r="A4" s="2" t="s">
        <v>26</v>
      </c>
      <c r="B4" s="3" t="str">
        <f>A4</f>
        <v>gpt-5</v>
      </c>
      <c r="C4" s="2" t="s">
        <v>27</v>
      </c>
      <c r="D4" s="2" t="s">
        <v>28</v>
      </c>
      <c r="E4" s="4">
        <f>COUNTIFS(Assessments!C2:C999, A4)</f>
        <v>4</v>
      </c>
      <c r="F4" s="3">
        <f>SUMIFS(Assessments!J2:J999,Assessments!C2:C999, A4)</f>
        <v>326.5</v>
      </c>
      <c r="G4" s="3" t="str">
        <f>IF(F4&gt;=350, "Generalist", IF(F4&gt;=220, "Broad", "Narrow"))</f>
        <v>Broad</v>
      </c>
    </row>
    <row r="5" spans="1:7" x14ac:dyDescent="0.2">
      <c r="A5" s="2" t="s">
        <v>29</v>
      </c>
      <c r="B5" s="3" t="str">
        <f>A5</f>
        <v>calculator</v>
      </c>
      <c r="C5" s="2" t="s">
        <v>30</v>
      </c>
      <c r="D5" s="2" t="s">
        <v>28</v>
      </c>
      <c r="E5" s="4">
        <f>COUNTIFS(Assessments!C2:C999, A5)</f>
        <v>4</v>
      </c>
      <c r="F5" s="3">
        <f>SUMIFS(Assessments!J2:J999,Assessments!C2:C999, A5)</f>
        <v>183.5</v>
      </c>
      <c r="G5" s="3" t="str">
        <f>IF(F5&gt;=350, "Generalist", IF(F5&gt;=220, "Broad", "Narrow"))</f>
        <v>Narrow</v>
      </c>
    </row>
  </sheetData>
  <autoFilter ref="A1:G1" xr:uid="{00000000-0009-0000-0000-000001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tabSelected="1" workbookViewId="0">
      <pane ySplit="1" topLeftCell="A2" activePane="bottomLeft" state="frozen"/>
      <selection pane="bottomLeft" activeCell="G18" sqref="G18"/>
    </sheetView>
  </sheetViews>
  <sheetFormatPr baseColWidth="10" defaultColWidth="8.83203125" defaultRowHeight="15" x14ac:dyDescent="0.2"/>
  <cols>
    <col min="1" max="2" width="21.1640625" customWidth="1"/>
    <col min="3" max="5" width="17.5" customWidth="1"/>
    <col min="6" max="6" width="17.6640625" customWidth="1"/>
    <col min="7" max="10" width="17.5" customWidth="1"/>
  </cols>
  <sheetData>
    <row r="1" spans="1:10" x14ac:dyDescent="0.2">
      <c r="A1" s="1" t="s">
        <v>31</v>
      </c>
      <c r="B1" s="1" t="s">
        <v>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</row>
    <row r="2" spans="1:10" x14ac:dyDescent="0.2">
      <c r="A2" s="2" t="s">
        <v>40</v>
      </c>
      <c r="B2" s="3" t="str">
        <f t="shared" ref="B2:B18" si="0">A2</f>
        <v>human-memory</v>
      </c>
      <c r="C2" s="2" t="s">
        <v>21</v>
      </c>
      <c r="D2" s="2" t="s">
        <v>5</v>
      </c>
      <c r="E2" s="5">
        <v>80</v>
      </c>
      <c r="F2" s="3" t="str">
        <f>INDEX(Intelligences!B$2:B984, MATCH(C2,Intelligences!A$2:A984, 0))</f>
        <v>human</v>
      </c>
      <c r="G2" s="3" t="str">
        <f>INDEX(Capabilities!B2:B999, MATCH(D2,Capabilities!A2:A999, 0))</f>
        <v>memory</v>
      </c>
      <c r="H2" s="3" t="str">
        <f>INDEX(Capabilities!D2:D999, MATCH(D2,Capabilities!A2:A999, 0))</f>
        <v>foundational</v>
      </c>
      <c r="I2" s="3">
        <f>INDEX(Capabilities!E2:E999, MATCH(D2,Capabilities!A2:A999, 0))</f>
        <v>1</v>
      </c>
      <c r="J2" s="3">
        <f t="shared" ref="J2:J17" si="1">E2*I2</f>
        <v>80</v>
      </c>
    </row>
    <row r="3" spans="1:10" x14ac:dyDescent="0.2">
      <c r="A3" s="2" t="s">
        <v>41</v>
      </c>
      <c r="B3" s="3" t="str">
        <f t="shared" si="0"/>
        <v>human-perception</v>
      </c>
      <c r="C3" s="2" t="s">
        <v>21</v>
      </c>
      <c r="D3" s="2" t="s">
        <v>8</v>
      </c>
      <c r="E3" s="5">
        <v>85</v>
      </c>
      <c r="F3" s="3" t="str">
        <f>INDEX(Intelligences!B$2:B985, MATCH(C3,Intelligences!A$2:A985, 0))</f>
        <v>human</v>
      </c>
      <c r="G3" s="3" t="str">
        <f>INDEX(Capabilities!B2:B999, MATCH(D3,Capabilities!A2:A999, 0))</f>
        <v>perception</v>
      </c>
      <c r="H3" s="3" t="str">
        <f>INDEX(Capabilities!D2:D999, MATCH(D3,Capabilities!A2:A999, 0))</f>
        <v>foundational</v>
      </c>
      <c r="I3" s="3">
        <f>INDEX(Capabilities!E2:E999, MATCH(D3,Capabilities!A2:A999, 0))</f>
        <v>1</v>
      </c>
      <c r="J3" s="3">
        <f t="shared" si="1"/>
        <v>85</v>
      </c>
    </row>
    <row r="4" spans="1:10" x14ac:dyDescent="0.2">
      <c r="A4" s="2" t="s">
        <v>42</v>
      </c>
      <c r="B4" s="3" t="str">
        <f t="shared" si="0"/>
        <v>human-reasoning</v>
      </c>
      <c r="C4" s="2" t="s">
        <v>21</v>
      </c>
      <c r="D4" s="2" t="s">
        <v>10</v>
      </c>
      <c r="E4" s="5">
        <v>85</v>
      </c>
      <c r="F4" s="3" t="str">
        <f>INDEX(Intelligences!B$2:B986, MATCH(C4,Intelligences!A$2:A986, 0))</f>
        <v>human</v>
      </c>
      <c r="G4" s="3" t="str">
        <f>INDEX(Capabilities!B2:B999, MATCH(D4,Capabilities!A2:A999, 0))</f>
        <v>reasoning</v>
      </c>
      <c r="H4" s="3" t="str">
        <f>INDEX(Capabilities!D2:D999, MATCH(D4,Capabilities!A2:A999, 0))</f>
        <v>composite</v>
      </c>
      <c r="I4" s="3">
        <f>INDEX(Capabilities!E2:E999, MATCH(D4,Capabilities!A2:A999, 0))</f>
        <v>1.3</v>
      </c>
      <c r="J4" s="3">
        <f t="shared" si="1"/>
        <v>110.5</v>
      </c>
    </row>
    <row r="5" spans="1:10" x14ac:dyDescent="0.2">
      <c r="A5" s="2" t="s">
        <v>43</v>
      </c>
      <c r="B5" s="3" t="str">
        <f t="shared" si="0"/>
        <v>human-creativity</v>
      </c>
      <c r="C5" s="2" t="s">
        <v>21</v>
      </c>
      <c r="D5" s="2" t="s">
        <v>13</v>
      </c>
      <c r="E5" s="5">
        <v>80</v>
      </c>
      <c r="F5" s="3" t="str">
        <f>INDEX(Intelligences!B$2:B987, MATCH(C5,Intelligences!A$2:A987, 0))</f>
        <v>human</v>
      </c>
      <c r="G5" s="3" t="str">
        <f>INDEX(Capabilities!B2:B999, MATCH(D5,Capabilities!A2:A999, 0))</f>
        <v>creativity</v>
      </c>
      <c r="H5" s="3" t="str">
        <f>INDEX(Capabilities!D2:D999, MATCH(D5,Capabilities!A2:A999, 0))</f>
        <v>emergent</v>
      </c>
      <c r="I5" s="3">
        <f>INDEX(Capabilities!E2:E999, MATCH(D5,Capabilities!A2:A999, 0))</f>
        <v>1.5</v>
      </c>
      <c r="J5" s="3">
        <f t="shared" si="1"/>
        <v>120</v>
      </c>
    </row>
    <row r="6" spans="1:10" x14ac:dyDescent="0.2">
      <c r="A6" s="2" t="s">
        <v>44</v>
      </c>
      <c r="B6" s="3" t="str">
        <f t="shared" si="0"/>
        <v>octopus-memory</v>
      </c>
      <c r="C6" s="2" t="s">
        <v>24</v>
      </c>
      <c r="D6" s="2" t="s">
        <v>5</v>
      </c>
      <c r="E6" s="5">
        <v>60</v>
      </c>
      <c r="F6" s="3" t="str">
        <f>INDEX(Intelligences!B$2:B988, MATCH(C6,Intelligences!A$2:A988, 0))</f>
        <v>octopus</v>
      </c>
      <c r="G6" s="3" t="str">
        <f>INDEX(Capabilities!B2:B999, MATCH(D6,Capabilities!A2:A999, 0))</f>
        <v>memory</v>
      </c>
      <c r="H6" s="3" t="str">
        <f>INDEX(Capabilities!D2:D999, MATCH(D6,Capabilities!A2:A999, 0))</f>
        <v>foundational</v>
      </c>
      <c r="I6" s="3">
        <f>INDEX(Capabilities!E2:E999, MATCH(D6,Capabilities!A2:A999, 0))</f>
        <v>1</v>
      </c>
      <c r="J6" s="3">
        <f t="shared" si="1"/>
        <v>60</v>
      </c>
    </row>
    <row r="7" spans="1:10" x14ac:dyDescent="0.2">
      <c r="A7" s="2" t="s">
        <v>45</v>
      </c>
      <c r="B7" s="3" t="str">
        <f t="shared" si="0"/>
        <v>octopus-perception</v>
      </c>
      <c r="C7" s="2" t="s">
        <v>24</v>
      </c>
      <c r="D7" s="2" t="s">
        <v>8</v>
      </c>
      <c r="E7" s="5">
        <v>90</v>
      </c>
      <c r="F7" s="3" t="str">
        <f>INDEX(Intelligences!B$2:B989, MATCH(C7,Intelligences!A$2:A989, 0))</f>
        <v>octopus</v>
      </c>
      <c r="G7" s="3" t="str">
        <f>INDEX(Capabilities!B2:B999, MATCH(D7,Capabilities!A2:A999, 0))</f>
        <v>perception</v>
      </c>
      <c r="H7" s="3" t="str">
        <f>INDEX(Capabilities!D2:D999, MATCH(D7,Capabilities!A2:A999, 0))</f>
        <v>foundational</v>
      </c>
      <c r="I7" s="3">
        <f>INDEX(Capabilities!E2:E999, MATCH(D7,Capabilities!A2:A999, 0))</f>
        <v>1</v>
      </c>
      <c r="J7" s="3">
        <f t="shared" si="1"/>
        <v>90</v>
      </c>
    </row>
    <row r="8" spans="1:10" x14ac:dyDescent="0.2">
      <c r="A8" s="2" t="s">
        <v>46</v>
      </c>
      <c r="B8" s="3" t="str">
        <f t="shared" si="0"/>
        <v>octopus-reasoning</v>
      </c>
      <c r="C8" s="2" t="s">
        <v>24</v>
      </c>
      <c r="D8" s="2" t="s">
        <v>10</v>
      </c>
      <c r="E8" s="5">
        <v>65</v>
      </c>
      <c r="F8" s="3" t="str">
        <f>INDEX(Intelligences!B$2:B990, MATCH(C8,Intelligences!A$2:A990, 0))</f>
        <v>octopus</v>
      </c>
      <c r="G8" s="3" t="str">
        <f>INDEX(Capabilities!B2:B999, MATCH(D8,Capabilities!A2:A999, 0))</f>
        <v>reasoning</v>
      </c>
      <c r="H8" s="3" t="str">
        <f>INDEX(Capabilities!D2:D999, MATCH(D8,Capabilities!A2:A999, 0))</f>
        <v>composite</v>
      </c>
      <c r="I8" s="3">
        <f>INDEX(Capabilities!E2:E999, MATCH(D8,Capabilities!A2:A999, 0))</f>
        <v>1.3</v>
      </c>
      <c r="J8" s="3">
        <f t="shared" si="1"/>
        <v>84.5</v>
      </c>
    </row>
    <row r="9" spans="1:10" x14ac:dyDescent="0.2">
      <c r="A9" s="2" t="s">
        <v>47</v>
      </c>
      <c r="B9" s="3" t="str">
        <f t="shared" si="0"/>
        <v>octopus-creativity</v>
      </c>
      <c r="C9" s="2" t="s">
        <v>24</v>
      </c>
      <c r="D9" s="2" t="s">
        <v>13</v>
      </c>
      <c r="E9" s="5">
        <v>70</v>
      </c>
      <c r="F9" s="3" t="str">
        <f>INDEX(Intelligences!B$2:B991, MATCH(C9,Intelligences!A$2:A991, 0))</f>
        <v>octopus</v>
      </c>
      <c r="G9" s="3" t="str">
        <f>INDEX(Capabilities!B2:B999, MATCH(D9,Capabilities!A2:A999, 0))</f>
        <v>creativity</v>
      </c>
      <c r="H9" s="3" t="str">
        <f>INDEX(Capabilities!D2:D999, MATCH(D9,Capabilities!A2:A999, 0))</f>
        <v>emergent</v>
      </c>
      <c r="I9" s="3">
        <f>INDEX(Capabilities!E2:E999, MATCH(D9,Capabilities!A2:A999, 0))</f>
        <v>1.5</v>
      </c>
      <c r="J9" s="3">
        <f t="shared" si="1"/>
        <v>105</v>
      </c>
    </row>
    <row r="10" spans="1:10" x14ac:dyDescent="0.2">
      <c r="A10" s="2" t="s">
        <v>48</v>
      </c>
      <c r="B10" s="3" t="str">
        <f t="shared" si="0"/>
        <v>gpt-5-memory</v>
      </c>
      <c r="C10" s="2" t="s">
        <v>26</v>
      </c>
      <c r="D10" s="2" t="s">
        <v>5</v>
      </c>
      <c r="E10" s="5">
        <v>95</v>
      </c>
      <c r="F10" s="3" t="str">
        <f>INDEX(Intelligences!B$2:B992, MATCH(C10,Intelligences!A$2:A992, 0))</f>
        <v>gpt-5</v>
      </c>
      <c r="G10" s="3" t="str">
        <f>INDEX(Capabilities!B2:B999, MATCH(D10,Capabilities!A2:A999, 0))</f>
        <v>memory</v>
      </c>
      <c r="H10" s="3" t="str">
        <f>INDEX(Capabilities!D2:D999, MATCH(D10,Capabilities!A2:A999, 0))</f>
        <v>foundational</v>
      </c>
      <c r="I10" s="3">
        <f>INDEX(Capabilities!E2:E999, MATCH(D10,Capabilities!A2:A999, 0))</f>
        <v>1</v>
      </c>
      <c r="J10" s="3">
        <f t="shared" si="1"/>
        <v>95</v>
      </c>
    </row>
    <row r="11" spans="1:10" x14ac:dyDescent="0.2">
      <c r="A11" s="2" t="s">
        <v>49</v>
      </c>
      <c r="B11" s="3" t="str">
        <f t="shared" si="0"/>
        <v>gpt-5-perception</v>
      </c>
      <c r="C11" s="2" t="s">
        <v>26</v>
      </c>
      <c r="D11" s="2" t="s">
        <v>8</v>
      </c>
      <c r="E11" s="5">
        <v>30</v>
      </c>
      <c r="F11" s="3" t="str">
        <f>INDEX(Intelligences!B$2:B993, MATCH(C11,Intelligences!A$2:A993, 0))</f>
        <v>gpt-5</v>
      </c>
      <c r="G11" s="3" t="str">
        <f>INDEX(Capabilities!B2:B999, MATCH(D11,Capabilities!A2:A999, 0))</f>
        <v>perception</v>
      </c>
      <c r="H11" s="3" t="str">
        <f>INDEX(Capabilities!D2:D999, MATCH(D11,Capabilities!A2:A999, 0))</f>
        <v>foundational</v>
      </c>
      <c r="I11" s="3">
        <f>INDEX(Capabilities!E2:E999, MATCH(D11,Capabilities!A2:A999, 0))</f>
        <v>1</v>
      </c>
      <c r="J11" s="3">
        <f t="shared" si="1"/>
        <v>30</v>
      </c>
    </row>
    <row r="12" spans="1:10" x14ac:dyDescent="0.2">
      <c r="A12" s="2" t="s">
        <v>50</v>
      </c>
      <c r="B12" s="3" t="str">
        <f t="shared" si="0"/>
        <v>gpt-5-reasoning</v>
      </c>
      <c r="C12" s="2" t="s">
        <v>26</v>
      </c>
      <c r="D12" s="2" t="s">
        <v>10</v>
      </c>
      <c r="E12" s="5">
        <v>80</v>
      </c>
      <c r="F12" s="3" t="str">
        <f>INDEX(Intelligences!B$2:B994, MATCH(C12,Intelligences!A$2:A994, 0))</f>
        <v>gpt-5</v>
      </c>
      <c r="G12" s="3" t="str">
        <f>INDEX(Capabilities!B2:B999, MATCH(D12,Capabilities!A2:A999, 0))</f>
        <v>reasoning</v>
      </c>
      <c r="H12" s="3" t="str">
        <f>INDEX(Capabilities!D2:D999, MATCH(D12,Capabilities!A2:A999, 0))</f>
        <v>composite</v>
      </c>
      <c r="I12" s="3">
        <f>INDEX(Capabilities!E2:E999, MATCH(D12,Capabilities!A2:A999, 0))</f>
        <v>1.3</v>
      </c>
      <c r="J12" s="3">
        <f t="shared" si="1"/>
        <v>104</v>
      </c>
    </row>
    <row r="13" spans="1:10" x14ac:dyDescent="0.2">
      <c r="A13" s="2" t="s">
        <v>51</v>
      </c>
      <c r="B13" s="3" t="str">
        <f t="shared" si="0"/>
        <v>gpt-5-creativity</v>
      </c>
      <c r="C13" s="2" t="s">
        <v>26</v>
      </c>
      <c r="D13" s="2" t="s">
        <v>13</v>
      </c>
      <c r="E13" s="5">
        <v>65</v>
      </c>
      <c r="F13" s="3" t="str">
        <f>INDEX(Intelligences!B$2:B995, MATCH(C13,Intelligences!A$2:A995, 0))</f>
        <v>gpt-5</v>
      </c>
      <c r="G13" s="3" t="str">
        <f>INDEX(Capabilities!B2:B999, MATCH(D13,Capabilities!A2:A999, 0))</f>
        <v>creativity</v>
      </c>
      <c r="H13" s="3" t="str">
        <f>INDEX(Capabilities!D2:D999, MATCH(D13,Capabilities!A2:A999, 0))</f>
        <v>emergent</v>
      </c>
      <c r="I13" s="3">
        <f>INDEX(Capabilities!E2:E999, MATCH(D13,Capabilities!A2:A999, 0))</f>
        <v>1.5</v>
      </c>
      <c r="J13" s="3">
        <f t="shared" si="1"/>
        <v>97.5</v>
      </c>
    </row>
    <row r="14" spans="1:10" x14ac:dyDescent="0.2">
      <c r="A14" s="2" t="s">
        <v>52</v>
      </c>
      <c r="B14" s="3" t="str">
        <f t="shared" si="0"/>
        <v>calculator-memory</v>
      </c>
      <c r="C14" s="2" t="s">
        <v>29</v>
      </c>
      <c r="D14" s="2" t="s">
        <v>5</v>
      </c>
      <c r="E14" s="5">
        <v>50</v>
      </c>
      <c r="F14" s="3" t="str">
        <f>INDEX(Intelligences!B$2:B996, MATCH(C14,Intelligences!A$2:A996, 0))</f>
        <v>calculator</v>
      </c>
      <c r="G14" s="3" t="str">
        <f>INDEX(Capabilities!B2:B999, MATCH(D14,Capabilities!A2:A999, 0))</f>
        <v>memory</v>
      </c>
      <c r="H14" s="3" t="str">
        <f>INDEX(Capabilities!D2:D999, MATCH(D14,Capabilities!A2:A999, 0))</f>
        <v>foundational</v>
      </c>
      <c r="I14" s="3">
        <f>INDEX(Capabilities!E2:E999, MATCH(D14,Capabilities!A2:A999, 0))</f>
        <v>1</v>
      </c>
      <c r="J14" s="3">
        <f t="shared" si="1"/>
        <v>50</v>
      </c>
    </row>
    <row r="15" spans="1:10" x14ac:dyDescent="0.2">
      <c r="A15" s="2" t="s">
        <v>53</v>
      </c>
      <c r="B15" s="3" t="str">
        <f t="shared" si="0"/>
        <v>calculator-perception</v>
      </c>
      <c r="C15" s="2" t="s">
        <v>29</v>
      </c>
      <c r="D15" s="2" t="s">
        <v>8</v>
      </c>
      <c r="E15" s="5">
        <v>10</v>
      </c>
      <c r="F15" s="3" t="str">
        <f>INDEX(Intelligences!B$2:B997, MATCH(C15,Intelligences!A$2:A997, 0))</f>
        <v>calculator</v>
      </c>
      <c r="G15" s="3" t="str">
        <f>INDEX(Capabilities!B2:B999, MATCH(D15,Capabilities!A2:A999, 0))</f>
        <v>perception</v>
      </c>
      <c r="H15" s="3" t="str">
        <f>INDEX(Capabilities!D2:D999, MATCH(D15,Capabilities!A2:A999, 0))</f>
        <v>foundational</v>
      </c>
      <c r="I15" s="3">
        <f>INDEX(Capabilities!E2:E999, MATCH(D15,Capabilities!A2:A999, 0))</f>
        <v>1</v>
      </c>
      <c r="J15" s="3">
        <f t="shared" si="1"/>
        <v>10</v>
      </c>
    </row>
    <row r="16" spans="1:10" x14ac:dyDescent="0.2">
      <c r="A16" s="2" t="s">
        <v>54</v>
      </c>
      <c r="B16" s="3" t="str">
        <f t="shared" si="0"/>
        <v>calculator-reasoning</v>
      </c>
      <c r="C16" s="2" t="s">
        <v>29</v>
      </c>
      <c r="D16" s="2" t="s">
        <v>10</v>
      </c>
      <c r="E16" s="5">
        <v>95</v>
      </c>
      <c r="F16" s="3" t="str">
        <f>INDEX(Intelligences!B$2:B998, MATCH(C16,Intelligences!A$2:A998, 0))</f>
        <v>calculator</v>
      </c>
      <c r="G16" s="3" t="str">
        <f>INDEX(Capabilities!B2:B999, MATCH(D16,Capabilities!A2:A999, 0))</f>
        <v>reasoning</v>
      </c>
      <c r="H16" s="3" t="str">
        <f>INDEX(Capabilities!D2:D999, MATCH(D16,Capabilities!A2:A999, 0))</f>
        <v>composite</v>
      </c>
      <c r="I16" s="3">
        <f>INDEX(Capabilities!E2:E999, MATCH(D16,Capabilities!A2:A999, 0))</f>
        <v>1.3</v>
      </c>
      <c r="J16" s="3">
        <f t="shared" si="1"/>
        <v>123.5</v>
      </c>
    </row>
    <row r="17" spans="1:10" x14ac:dyDescent="0.2">
      <c r="A17" s="2" t="s">
        <v>55</v>
      </c>
      <c r="B17" s="3" t="str">
        <f t="shared" si="0"/>
        <v>calculator-creativity</v>
      </c>
      <c r="C17" s="2" t="s">
        <v>29</v>
      </c>
      <c r="D17" s="2" t="s">
        <v>13</v>
      </c>
      <c r="E17" s="5">
        <v>0</v>
      </c>
      <c r="F17" s="3" t="str">
        <f>INDEX(Intelligences!B$2:B999, MATCH(C17,Intelligences!A$2:A999, 0))</f>
        <v>calculator</v>
      </c>
      <c r="G17" s="3" t="str">
        <f>INDEX(Capabilities!B2:B999, MATCH(D17,Capabilities!A2:A999, 0))</f>
        <v>creativity</v>
      </c>
      <c r="H17" s="3" t="str">
        <f>INDEX(Capabilities!D2:D999, MATCH(D17,Capabilities!A2:A999, 0))</f>
        <v>emergent</v>
      </c>
      <c r="I17" s="3">
        <f>INDEX(Capabilities!E2:E999, MATCH(D17,Capabilities!A2:A999, 0))</f>
        <v>1.5</v>
      </c>
      <c r="J17" s="3">
        <f t="shared" si="1"/>
        <v>0</v>
      </c>
    </row>
    <row r="18" spans="1:10" x14ac:dyDescent="0.2">
      <c r="A18" s="2" t="s">
        <v>55</v>
      </c>
      <c r="B18" s="3" t="str">
        <f t="shared" si="0"/>
        <v>calculator-creativity</v>
      </c>
      <c r="C18" s="2" t="s">
        <v>21</v>
      </c>
      <c r="D18" s="2" t="s">
        <v>13</v>
      </c>
      <c r="E18" s="5">
        <v>0</v>
      </c>
      <c r="F18" s="3" t="str">
        <f>INDEX(Intelligences!B$2:B1000, MATCH(C18,Intelligences!A$2:A1000, 0))</f>
        <v>human</v>
      </c>
      <c r="G18" s="3" t="str">
        <f>INDEX(Capabilities!B3:B1000, MATCH(D18,Capabilities!A3:A1000, 0))</f>
        <v>creativity</v>
      </c>
      <c r="H18" s="3" t="str">
        <f>INDEX(Capabilities!D3:D1000, MATCH(D18,Capabilities!A3:A1000, 0))</f>
        <v>emergent</v>
      </c>
      <c r="I18" s="3">
        <f>INDEX(Capabilities!E3:E1000, MATCH(D18,Capabilities!A3:A1000, 0))</f>
        <v>1.5</v>
      </c>
      <c r="J18" s="3">
        <f t="shared" ref="J18" si="2">E18*I18</f>
        <v>0</v>
      </c>
    </row>
  </sheetData>
  <autoFilter ref="A1:J1" xr:uid="{00000000-0009-0000-0000-000002000000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Capabilities</vt:lpstr>
      <vt:lpstr>Intelligences</vt:lpstr>
      <vt:lpstr>Assessments</vt:lpstr>
      <vt:lpstr>_original_json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EffortlessAPI Tool</dc:creator>
  <cp:keywords>EPPlus noncommercial use</cp:keywords>
  <dc:description>This workbook has been created with EPPlus licensed to EffortlessAPI Tool under The Polyform Noncommercial License: See https://polyformproject.org/licenses/noncommercial/1.0.0</dc:description>
  <cp:lastModifiedBy>EJ Alexandra</cp:lastModifiedBy>
  <dcterms:modified xsi:type="dcterms:W3CDTF">2026-05-22T21:15:50Z</dcterms:modified>
</cp:coreProperties>
</file>