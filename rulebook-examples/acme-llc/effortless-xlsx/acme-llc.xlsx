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vmlDrawing" PartName="/xl/drawings/vmlDrawing4.vml"/>
  <Override ContentType="application/vnd.openxmlformats-officedocument.spreadsheetml.worksheet+xml" PartName="/xl/worksheets/sheet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Id1"/>
    <sheet name="ERBVersions" sheetId="2" r:id="rId3"/>
    <sheet name="ERBCustomizations" sheetId="3" r:id="rId4"/>
    <sheet name="__meta__" sheetId="4" r:id="rId5"/>
    <sheet name="_original_json" sheetId="5" r:id="rId6" state="hidden"/>
  </sheets>
  <definedNames>
    <definedName name="_xlnm._FilterDatabase" localSheetId="3" hidden="1">__meta__!$A$1:$E$1</definedName>
    <definedName name="_xlnm._FilterDatabase" localSheetId="0" hidden="1">Customers!$A$1:$G$1</definedName>
    <definedName name="_xlnm._FilterDatabase" localSheetId="2" hidden="1">ERBCustomizations!$A$1:$F$1</definedName>
    <definedName name="_xlnm._FilterDatabase" localSheetId="1" hidden="1">ERBVersions!$A$1:$G$1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Customer initials — the first letter of FirstName followed by the first letter of LastName.</t>
        </r>
      </text>
    </comment>
    <comment ref="F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G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 customer's email address</t>
        </r>
      </text>
    </comment>
  </commentList>
</comments>
</file>

<file path=xl/comments4.xml><?xml version="1.0" encoding="utf-8"?>
<comments xmlns="http://schemas.openxmlformats.org/spreadsheetml/2006/main">
  <authors>
    <d:author xmlns:d="http://schemas.openxmlformats.org/spreadsheetml/2006/main">CMCC</d:author>
  </authors>
  <commentList>
    <comment ref="A1" authorId="0">
      <text>
        <r>
          <rPr>
            <rFont val="Aptos Narrow"/>
            <b/>
            <color rgb="FFFFFFFF"/>
            <sz val="11"/>
          </rPr>
          <t>The metadata key (e.g. 'tagline', 'motif_palette', 'substrates'). Unique within the table.</t>
        </r>
      </text>
    </comment>
    <comment ref="C1" authorId="0">
      <text>
        <r>
          <rPr>
            <rFont val="Aptos Narrow"/>
            <b/>
            <color rgb="FFFFFFFF"/>
            <sz val="11"/>
          </rPr>
          <t>How to interpret the value columns: 'string' (use StringValue), 'object' (parse JsonValue as JSON object), 'array' (parse JsonValue as JSON array).</t>
        </r>
      </text>
    </comment>
    <comment ref="D1" authorId="0">
      <text>
        <r>
          <rPr>
            <rFont val="Aptos Narrow"/>
            <b/>
            <color rgb="FFFFFFFF"/>
            <sz val="11"/>
          </rPr>
          <t>Plain string value. Populated when ValueType == 'string'; null otherwise.</t>
        </r>
      </text>
    </comment>
    <comment ref="E1" authorId="0">
      <text>
        <r>
          <rPr>
            <rFont val="Aptos Narrow"/>
            <b/>
            <color rgb="FFFFFFFF"/>
            <sz val="11"/>
          </rPr>
          <t>JSON-encoded value. Populated when ValueType == 'object' or 'array'; null when ValueType == 'string'.</t>
        </r>
      </text>
    </comment>
    <comment ref="B1" authorId="0">
      <text>
        <r>
          <rPr>
            <rFont val="Aptos Narrow"/>
            <b/>
            <color rgb="FFFFFFFF"/>
            <sz val="11"/>
          </rPr>
          <t>Identifier for this metadata entry. Mirrors MetaKey so the row is addressable by Name like every other table.</t>
        </r>
      </text>
    </comment>
  </commentList>
</comments>
</file>

<file path=xl/sharedStrings.xml><?xml version="1.0" encoding="utf-8"?>
<sst xmlns="http://schemas.openxmlformats.org/spreadsheetml/2006/main" count="86" uniqueCount="86">
  <si>
    <t>CustomerId</t>
  </si>
  <si>
    <t>Name</t>
  </si>
  <si>
    <t>EmailAddress</t>
  </si>
  <si>
    <t>FirstName</t>
  </si>
  <si>
    <t>Initials</t>
  </si>
  <si>
    <t>LastName</t>
  </si>
  <si>
    <t>FullName</t>
  </si>
  <si>
    <t>jane-smith-email-com</t>
  </si>
  <si>
    <t>jane.smith@email.com</t>
  </si>
  <si>
    <t>Bobby</t>
  </si>
  <si>
    <t>Smith</t>
  </si>
  <si>
    <t>john-doe-email-com</t>
  </si>
  <si>
    <t>john.doe@email.com</t>
  </si>
  <si>
    <t>Jimmy</t>
  </si>
  <si>
    <t>Doe</t>
  </si>
  <si>
    <t>emily-jones-email-com</t>
  </si>
  <si>
    <t>emily.jones@email.com</t>
  </si>
  <si>
    <t>Mary</t>
  </si>
  <si>
    <t>Jones</t>
  </si>
  <si>
    <t>ERBVersionId</t>
  </si>
  <si>
    <t>BaseId</t>
  </si>
  <si>
    <t>Message</t>
  </si>
  <si>
    <t>Notes</t>
  </si>
  <si>
    <t>CommitDate</t>
  </si>
  <si>
    <t>IsPublished</t>
  </si>
  <si>
    <t>ERBCustomizationId</t>
  </si>
  <si>
    <t>Title</t>
  </si>
  <si>
    <t>SQLCode</t>
  </si>
  <si>
    <t>SQLTarget</t>
  </si>
  <si>
    <t>CustomizationType</t>
  </si>
  <si>
    <t>03a-customize-schema-sql</t>
  </si>
  <si>
    <t>03a-customize-schema.sql</t>
  </si>
  <si>
    <t>Customize Schema</t>
  </si>
  <si>
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</si>
  <si>
    <t>Postgres</t>
  </si>
  <si>
    <t>Schema</t>
  </si>
  <si>
    <t>03b-customize-functions-sql</t>
  </si>
  <si>
    <t>03b-customize-functions.sql</t>
  </si>
  <si>
    <t>Customize Functions</t>
  </si>
  <si>
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IMPORTANT:
--   - This file runs AFTER 02-create-functions.sql
--   - Base ERB calc functions already exist when this runs
--   - This file will NOT be overwritten by ERB regeneration
--
-- ============================================================================
-- Your custom functions go here:
</t>
  </si>
  <si>
    <t>Functions</t>
  </si>
  <si>
    <t>03c-customize-views-sql</t>
  </si>
  <si>
    <t>03c-customize-views.sql</t>
  </si>
  <si>
    <t>Customize Views</t>
  </si>
  <si>
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</si>
  <si>
    <t>Views</t>
  </si>
  <si>
    <t>03d-customize-rls-sql</t>
  </si>
  <si>
    <t>03d-customize-rls.sql</t>
  </si>
  <si>
    <t>Customize Policies (RLS)</t>
  </si>
  <si>
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</si>
  <si>
    <t>RLS</t>
  </si>
  <si>
    <t>03e-customize-data-sql</t>
  </si>
  <si>
    <t>03e-customize-data.sql</t>
  </si>
  <si>
    <t>Customize Data (Seeds / Migrations)</t>
  </si>
  <si>
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</si>
  <si>
    <t>Data</t>
  </si>
  <si>
    <t>MetaKey</t>
  </si>
  <si>
    <t>ValueType</t>
  </si>
  <si>
    <t>StringValue</t>
  </si>
  <si>
    <t>JsonValue</t>
  </si>
  <si>
    <t>tagline</t>
  </si>
  <si>
    <t>string</t>
  </si>
  <si>
    <t>A one-table customer ledger, filed last-name-first.</t>
  </si>
  <si>
    <t>motif</t>
  </si>
  <si>
    <t>legal-pad</t>
  </si>
  <si>
    <t>motif_palette</t>
  </si>
  <si>
    <t>object</t>
  </si>
  <si>
    <t>{"primary": "#a8941f", "accent": "#4a6741", "ink": "#1f1c0a"}</t>
  </si>
  <si>
    <t>description_rich</t>
  </si>
  <si>
    <t>ACME, LLC is the **leanest possible rulebook with real wiring** — a single business table (`Customers`) and two calculated fields that re-derive themselves from raw inputs. Unlike its larger cousin ACME Corporation, there are no projects, no roles, no approval workflows: just a client ledger where every customer carries *two* identifiers at once. `Name` is a slug minted from the email address; `FullName` is the same person reformatted last-name-first, courtroom-style. Edit one raw field and both derived labels rewrite themselves in every substrate — Postgres view, Python class, Excel cell, OWL ontology — with zero application code.</t>
  </si>
  <si>
    <t>use_cases</t>
  </si>
  <si>
    <t>array</t>
  </si>
  <si>
    <t>["**Rename a customer.** Change `jane-smith-email-com`'s `FirstName` from `Bobby` to `Robert` and watch `FullName` recompute to `Smith, Robert` on the next read — same row, same id, new label.", "**Update an email address.** Edit `john.doe@email.com` to `j.doe@example.com`; the `Name` slug re-derives to `j.doe-example.com` automatically in every substrate.", "**Add a new customer with just the three raw fields** (`EmailAddress`, `FirstName`, `LastName`) and let the rulebook fill in `Name` and `FullName` — no insert triggers, no application logic.", "**Ask the same question of two substrates.** *\"Sort customers alphabetically by surname.\"* The Postgres view and the Python module both return Doe, Jones, Smith — without anyone writing a sort key.", "**Flip the formula in the rulebook** from `LastName &amp; \", \" &amp; FirstName` to `FirstName &amp; \" \" &amp; LastName` and re-run `effortless build`; every substrate now prints western-style names instead of legal-style, with no migration."]</t>
  </si>
  <si>
    <t>signature_rows</t>
  </si>
  <si>
    <t>[{"entity": "Customers", "ids": ["jane-smith-email-com", "john-doe-email-com", "emily-jones-email-com"]}]</t>
  </si>
  <si>
    <t>journal_seed</t>
  </si>
  <si>
    <t>Three customers on file. Each one filed twice — once by email-slug, once by surname-first — and both labels stay in lockstep with the raw fields.</t>
  </si>
  <si>
    <t>substrates</t>
  </si>
  <si>
    <t>[{"key": "postgres", "important": true, "chip_label": "Postgres"}, {"key": "excel", "important": true, "chip_label": "Excel"}, {"key": "python", "important": false, "chip_label": "Python"}, {"key": "owl", "important": false, "chip_label": "OWL"}, {"key": "csv", "important": false, "chip_label": "CSV"}]</t>
  </si>
  <si>
    <t>CMCC_Summary</t>
  </si>
  <si>
    <t>Airtable export with schema-first type mapping. This lean rulebook is a single business table (Customers) of raw fields plus Calculated fields (formulas in Excel dialect); it uses no Relationships, Lookups, or Aggregations. Field types are determined from Airtable's schema metadata FIRST (no coercion); the build FAILS if metadata is unavailable rather than silently inferring from formula/data analysis.</t>
  </si>
  <si>
    <t>conversion_metadata</t>
  </si>
  <si>
    <t>{"source_base_id": "appWrXPvXbkgQGOxt", "table_count": 4, "tool_version": "2.0.0", "field_type_mapping": "checkbox→boolean, number→number/integer, multipleRecordLinks→relationship, multipleLookupValues→lookup, rollup→aggregation, count→aggregation, formula→calculated", "export_mode": "schema_first_type_mapping", "type_inference": {"enabled": true, "priority": "airtable_metadata (NO COERCION) → formula_analysis → reference_resolution → data_analysis (last-resort inference; build SHOULD FAIL rather than silently use this)", "airtable_type_mapping": "checkbox→boolean, singleLineText→string, multilineText→string, number→number/integer, datetime→datetime, singleSelect→string, email→string, url→string, phoneNumber→string", "data_coercion_hierarchy": "Only invoked when Airtable schema is unavailable (which SHOULD make the build fail). Coercion order: datetime → number → integer → boolean → base64 → json → string", "nullable_support": true, "error_value_handling": "#NUM!, #ERROR!, #N/A, #REF!, #DIV/0!, #VALUE!, #NAME? are treated as NULL"}}</t>
  </si>
  <si>
    <t>narrative_drift_lesson</t>
  </si>
  <si>
    <t>**The point of this demo is the asymmetry between code and prose.** Flip `FullName` from `LastName &amp; ", " &amp; FirstName` (legal-style, surname-first) to `FirstName &amp; " " &amp; LastName` (western order) and re-run `effortless build`: every *executable* artifact follows along instantly and for free — the Postgres view, Python class, Go SDK, Excel/CSV, OWL, the rendered RuleSpeak DRs and section-4 expression all re-derive from the single formula and stay correct. But every *hand-written* narrative about the rules goes stale from one moment to the next — `description_rich`, `explanation_rich`, `journal_seed`, the seed `FullName` values baked into the Customers rows, and any prose README still say "Smith, Bobby / courtroom-style" even though the formula now computes "Bobby Smith". That staleness is INTENTIONAL and left in place on purpose: it is the live exhibit. Computed code follows the SSoT; comments and narrative cannot. The only narrative that can keep up is one that is itself regenerated from the rulebook (e.g. an LLM-generated README), not hand-maintained. Do not "fix" the stale narrative or seed values to match the formula — doing so erases the demonstration.</t>
  </si>
  <si>
    <t xml:space="preserve">{
  "$schema": "https://example.com/cmcc-schema/v1",
  "Name": "ACME, LLC",
  "Description": "Smallest viable rulebook with a calculated field — the \"Hello, formulas\" tutorial.",
  "Customers": {
    "Description": "Table: Customers",
    "important": true,
    "summary_rich": "The **client ledger** of ACME, LLC. Every customer is identified two different ways at the same time — a slugified handle derived from their email (`Name`), and a last-name-first legal-style label (`FullName`). Edit either the email or the name parts and both identifiers re-derive themselves the next time any substrate is read.",
    "important_fields": [
      "Name",
      "FullName",
      "EmailAddress",
      "LastName"
    ],
    "schema": [
      {
        "name": "CustomerId",
        "datatype": "string",
        "type": "raw",
        "nullable": false
      },
      {
        "name": "Name",
        "datatype": "string",
        "type": "calculated",
        "nullable": true,
        "Description": "Identifier for the customer.",
        "formula": "=SUBSTITUTE({{EmailAddress}}, \"@\", \"-\")",
        "important": true,
        "explanation_rich": "**A handle derived from the email, not the name.** `Name = SUBSTITUTE(EmailAddress, \"@\", \"-\")` — a single character swap turns an address into a slug. Worked example: `jane.smith@email.com` becomes `jane.smith-email.com`, which is what shows up as `Name` in every substrate. Change the customer's email and the handle re-derives itself in Postgres, Python, Excel, and OWL the next read — no application code, no migration."
      },
      {
        "name": "EmailAddress",
        "datatype": "string",
        "type": "raw",
        "nullable": true,
        "Description": "The customer's email address"
      },
      {
        "name": "FirstName",
        "datatype": "string",
        "type": "raw",
        "nullable": true,
        "Description": "First Name of the customer - used to make the full name"
      },
      {
        "name": "Initials",
        "datatype": "string",
        "type": "calculated",
        "nullable": true,
        "Description": "Customer initials — the first letter of FirstName followed by the first letter of LastName.",
        "formula": "=LEFT({{FirstName}}, 1) &amp; LEFT({{LastName}}, 1)"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"={{FirstName}} &amp; \" \" &amp; {{LastName}}",
        "important": true,
        "explanation_rich": "**Last name first, courtroom-style.** `FullName = LastName &amp; \", \" &amp; FirstName` — the formula is trivial, but the *order* is the point. ACME, LLC files its customers the way a paralegal would: surname, comma, given name. Worked example: `LastName=\"Smith\"` and `FirstName=\"Bobby\"` resolves to `\"Smith, Bobby\"`. Flip the order in the rulebook and every substrate sorts and prints alphabetically by surname on the next read."
      }
    ],
    "data": [
      {
        "CustomerId": "jane-smith-email-com",
        "EmailAddress": "jane.smith@email.com",
        "LastName": "Smith",
        "Name": "jane.smith-email.com",
        "FirstName": "Bobby",
        "FullName": "Smith, Bobby"
      },
      {
        "CustomerId": "john-doe-email-com",
        "EmailAddress": "john.doe@email.com",
        "LastName": "Doe",
        "Name": "john.doe-email.com",
        "FirstName": "Jimmy",
        "FullName": "Doe, Jimmy"
      },
      {
        "CustomerId": "emily-jones-email-com",
        "EmailAddress": "emily.jones@email.com",
        "LastName": "Jones",
        "Name": "emily.jones-email.com",
        "FirstName": "Mary",
        "FullName": "Jones, Mary"
      }
    ]
  },
  "ERBVersions": {
    "Description": "Table: ERBVersions",
    "schema": [
      {
        "name": "ERBVersionId",
        "datatype": "string",
        "type": "raw",
        "nullable": false
      },
      {
        "name": "BaseId",
        "datatype": "string",
        "type": "raw",
        "nullable": true
      },
      {
        "name": "Name",
        "datatype": "string",
        "type": "raw",
        "nullable": true
      },
      {
        "name": "Message",
        "datatype": "string",
        "type": "raw",
        "nullable": true
      },
      {
        "name": "Notes",
        "datatype": "string",
        "type": "raw",
        "nullable": true
      },
      {
        "name": "CommitDate",
        "datatype": "datetime",
        "type": "raw",
        "nullable": true
      },
      {
        "name": "IsPublished",
        "datatype": "boolean",
        "type": "raw",
        "nullable": true
      }
    ],
    "data": []
  },
  "ERBCustomizations": {
    "Description": "Table: ERBCustomizations",
    "schema": [
      {
        "name": "ERBCustomizationId",
        "datatype": "string",
        "type": "raw",
        "nullable": false
      },
      {
        "name": "Name",
        "datatype": "string",
        "type": "raw",
        "nullable": true
      },
      {
        "name": "Title",
        "datatype": "string",
        "type": "raw",
        "nullable": true
      },
      {
        "name": "SQLCode",
        "datatype": "string",
        "type": "raw",
        "nullable": true
      },
      {
        "name": "SQLTarget",
        "datatype": "string",
        "type": "raw",
        "nullable": true
      },
      {
        "name": "CustomizationType",
        "datatype": "string",
        "type": "raw",
        "nullable": true
      }
    ],
    "data": [
      {
        "ERBCustomizationId": "03a-customize-schema-sql",
        "Title": "Customize Schema",
        "SQLTarget": "Postgres",
        "Name": "03a-customize-schema.sql",
        "SQLCode": "-- ============================================================================\n-- CUSTOMIZE SCHEMA - User-defined tables and schema modifications\n-- ============================================================================\n-- This file is for YOUR custom schema changes that should persist across\n-- regeneration of the base ERB files.\n--\n-- USE THIS FILE FOR:\n--   - Additional tables not defined in the rulebook\n--   - Extra columns on existing tables (ALTER TABLE)\n--   - Custom indexes for performance tuning\n--   - Custom constraints or triggers\n--\n-- IMPORTANT:\n--   - This file runs AFTER 01-drop-and-create-tables.sql\n--   - The base tables already exist when this runs\n--   - This file will NOT be overwritten by ERB regeneration\n--\n-- ============================================================================\n\n-- Your custom schema changes go here:\n",
        "CustomizationType": "Schema"
      },
      {
        "ERBCustomizationId": "03b-customize-functions-sql",
        "Title": "Customize Functions",
        "SQLTarget": "Postgres",
        "Name": "03b-customize-functions.sql",
        "SQLCode": "-- ============================================================================\n-- CUSTOMIZE FUNCTIONS - User-defined calculation functions\n-- ============================================================================\n-- This file is for YOUR custom PostgreSQL functions that should persist\n-- across regeneration of the base ERB files.\n--\n-- IMPORTANT:\n--   - This file runs AFTER 02-create-functions.sql\n--   - Base ERB calc functions already exist when this runs\n--   - This file will NOT be overwritten by ERB regeneration\n--\n-- ============================================================================\n\n-- Your custom functions go here:\n",
        "CustomizationType": "Functions"
      },
      {
        "ERBCustomizationId": "03c-customize-views-sql",
        "Title": "Customize Views",
        "SQLTarget": "Postgres",
        "Name": "03c-customize-views.sql",
        "SQLCode": "-- ============================================================================\n-- CUSTOMIZE VIEWS - User-defined views and view extensions\n-- ============================================================================\n-- This file is for YOUR custom views that should persist across\n-- regeneration of the base ERB files.\n--\n-- IMPORTANT:\n--   - This file runs AFTER 03-create-views.sql\n--   - All base vw_* views already exist when this runs\n--   - This file will NOT be overwritten by ERB regeneration\n--\n-- ============================================================================\n\n-- Your custom views go here:\n",
        "CustomizationType": "Views"
      },
      {
        "ERBCustomizationId": "03d-customize-rls-sql",
        "Title": "Customize Policies (RLS)",
        "SQLTarget": "Postgres",
        "Name": "03d-customize-rls.sql",
        "SQLCode": "-- ============================================================================\n-- CUSTOMIZE POLICIES - User-defined Row Level Security policies\n-- ============================================================================\n-- This file is for YOUR custom RLS policies that should persist across\n-- regeneration of the base ERB files.\n--\n-- IMPORTANT:\n--   - This file runs AFTER 04-create-policies.sql\n--   - Base RLS policies already exist when this runs\n--   - This file will NOT be overwritten by ERB regeneration\n--\n-- ============================================================================\n\n-- Your custom policies go here:\n",
        "CustomizationType": "RLS"
      },
      {
        "ERBCustomizationId": "03e-customize-data-sql",
        "Title": "Customize Data (Seeds / Migrations)",
        "SQLTarget": "Postgres",
        "Name": "03e-customize-data.sql",
        "SQLCode": "-- ============================================================================\n-- CUSTOMIZE DATA - User-defined seed data and data migrations\n-- ============================================================================\n-- This file is for YOUR custom seed data that should persist across\n-- regeneration of the base ERB files.\n--\n-- IMPORTANT:\n--   - This file runs AFTER 05-insert-data.sql\n--   - Base seed data already exists when this runs\n--   - This file will NOT be overwritten by ERB regeneration\n--\n-- ============================================================================\n\n-- Your custom data inserts go here:\n",
        "CustomizationType": "Data"
      }
    ]
  },
  "__meta__": {
    "Description": "Project-level metadata that travels with the rulebook: tagline, motif, narrative descriptions, substrate list, signature rows, etc. One row per metadata key. Use ValueType to interpret StringValue vs JsonValue.",
    "important": false,
    "schema": [
      {
        "name": "MetaKey",
        "datatype": "string",
        "type": "raw",
        "nullable": false,
        "Description": "The metadata key (e.g. 'tagline', 'motif_palette', 'substrates'). Unique within the table."
      },
      {
        "name": "Name",
        "datatype": "string",
        "type": "calculated",
        "nullable": false,
        "formula": "={{MetaKey}}",
        "Description": "Identifier for this metadata entry. Mirrors MetaKey so the row is addressable by Name like every other table."
      },
      {
        "name": "ValueType",
        "datatype": "string",
        "type": "raw",
        "nullable": false,
        "Description": "How to interpret the value columns: 'string' (use StringValue), 'object' (parse JsonValue as JSON object), 'array' (parse JsonValue as JSON array)."
      },
      {
        "name": "StringValue",
        "datatype": "string",
        "type": "raw",
        "nullable": true,
        "Description": "Plain string value. Populated when ValueType == 'string'; null otherwise."
      },
      {
        "name": "JsonValue",
        "datatype": "string",
        "type": "raw",
        "nullable": true,
        "Description": "JSON-encoded value. Populated when ValueType == 'object' or 'array'; null when ValueType == 'string'."
      }
    ],
    "data": [
      {
        "MetaKey": "tagline",
        "Name": "tagline",
        "ValueType": "string",
        "StringValue": "A one-table customer ledger, filed last-name-first.",
        "JsonValue": null
      },
      {
        "MetaKey": "motif",
        "Name": "motif",
        "ValueType": "string",
        "StringValue": "legal-pad",
        "JsonValue": null
      },
      {
        "MetaKey": "motif_palette",
        "Name": "motif_palette",
        "ValueType": "object",
        "StringValue": null,
        "JsonValue": "{\"primary\": \"#a8941f\", \"accent\": \"#4a6741\", \"ink\": \"#1f1c0a\"}"
      },
      {
        "MetaKey": "description_rich",
        "Name": "description_rich",
        "ValueType": "string",
        "StringValue": "ACME, LLC is the **leanest possible rulebook with real wiring** — a single business table (`Customers`) and two calculated fields that re-derive themselves from raw inputs. Unlike its larger cousin ACME Corporation, there are no projects, no roles, no approval workflows: just a client ledger where every customer carries *two* identifiers at once. `Name` is a slug minted from the email address; `FullName` is the same person reformatted last-name-first, courtroom-style. Edit one raw field and both derived labels rewrite themselves in every substrate — Postgres view, Python class, Excel cell, OWL ontology — with zero application code.",
        "JsonValue": null
      },
      {
        "MetaKey": "use_cases",
        "Name": "use_cases",
        "ValueType": "array",
        "StringValue": null,
        "JsonValue": "[\"**Rename a customer.** Change `jane-smith-email-com`'s `FirstName` from `Bobby` to `Robert` and watch `FullName` recompute to `Smith, Robert` on the next read — same row, same id, new label.\", \"**Update an email address.** Edit `john.doe@email.com` to `j.doe@example.com`; the `Name` slug re-derives to `j.doe-example.com` automatically in every substrate.\", \"**Add a new customer with just the three raw fields** (`EmailAddress`, `FirstName`, `LastName`) and let the rulebook fill in `Name` and `FullName` — no insert triggers, no application logic.\", \"**Ask the same question of two substrates.** *\\\"Sort customers alphabetically by surname.\\\"* The Postgres view and the Python module both return Doe, Jones, Smith — without anyone writing a sort key.\", \"**Flip the formula in the rulebook** from `LastName &amp; \\\", \\\" &amp; FirstName` to `FirstName &amp; \\\" \\\" &amp; LastName` and re-run `effortless build`; every substrate now prints western-style names instead of legal-style, with no migration.\"]"
      },
      {
        "MetaKey": "signature_rows",
        "Name": "signature_rows",
        "ValueType": "array",
        "StringValue": null,
        "JsonValue": "[{\"entity\": \"Customers\", \"ids\": [\"jane-smith-email-com\", \"john-doe-email-com\", \"emily-jones-email-com\"]}]"
      },
      {
        "MetaKey": "journal_seed",
        "Name": "journal_seed",
        "ValueType": "string",
        "StringValue": "Three customers on file. Each one filed twice — once by email-slug, once by surname-first — and both labels stay in lockstep with the raw fields.",
        "JsonValue": null
      },
      {
        "MetaKey": "substrates",
        "Name": "substrates",
        "ValueType": "array",
        "StringValue": null,
        "JsonValue": "[{\"key\": \"postgres\", \"important\": true, \"chip_label\": \"Postgres\"}, {\"key\": \"excel\", \"important\": true, \"chip_label\": \"Excel\"}, {\"key\": \"python\", \"important\": false, \"chip_label\": \"Python\"}, {\"key\": \"owl\", \"important\": false, \"chip_label\": \"OWL\"}, {\"key\": \"csv\", \"important\": false, \"chip_label\": \"CSV\"}]"
      },
      {
        "MetaKey": "CMCC_Summary",
        "Name": "CMCC_Summary",
        "ValueType": "string",
        "StringValue": "Airtable export with schema-first type mapping. This lean rulebook is a single business table (Customers) of raw fields plus Calculated fields (formulas in Excel dialect); it uses no Relationships, Lookups, or Aggregations. Field types are determined from Airtable's schema metadata FIRST (no coercion); the build FAILS if metadata is unavailable rather than silently inferring from formula/data analysis.",
        "JsonValue": null
      },
      {
        "MetaKey": "conversion_metadata",
        "Name": "conversion_metadata",
        "ValueType": "object",
        "StringValue": null,
        "JsonValue": "{\"source_base_id\": \"appWrXPvXbkgQGOxt\", \"table_count\": 4, \"tool_version\": \"2.0.0\", \"field_type_mapping\": \"checkbox→boolean, number→number/integer, multipleRecordLinks→relationship, multipleLookupValues→lookup, rollup→aggregation, count→aggregation, formula→calculated\", \"export_mode\": \"schema_first_type_mapping\", \"type_inference\": {\"enabled\": true, \"priority\": \"airtable_metadata (NO COERCION) → formula_analysis → reference_resolution → data_analysis (last-resort inference; build SHOULD FAIL rather than silently use this)\", \"airtable_type_mapping\": \"checkbox→boolean, singleLineText→string, multilineText→string, number→number/integer, datetime→datetime, singleSelect→string, email→string, url→string, phoneNumber→string\", \"data_coercion_hierarchy\": \"Only invoked when Airtable schema is unavailable (which SHOULD make the build fail). Coercion order: datetime → number → integer → boolean → base64 → json → string\", \"nullable_support\": true, \"error_value_handling\": \"#NUM!, #ERROR!, #N/A, #REF!, #DIV/0!, #VALUE!, #NAME? are treated as NULL\"}}"
      },
      {
        "MetaKey": "narrative_drift_lesson",
        "Name": "narrative_drift_lesson",
        "ValueType": "string",
        "StringValue": "**The point of this demo is the asymmetry between code and prose.** Flip `FullName` from `LastName &amp; \", \" &amp; FirstName` (legal-style, surname-first) to `FirstName &amp; \" \" &amp; LastName` (western order) and re-run `effortless build`: every *executable* artifact follows along instantly and for free — the Postgres view, Python class, Go SDK, Excel/CSV, OWL, the rendered RuleSpeak DRs and section-4 expression all re-derive from the single formula and stay correct. But every *hand-written* narrative about the rules goes stale from one moment to the next — `description_rich`, `explanation_rich`, `journal_seed`, the seed `FullName` values baked into the Customers rows, and any prose README still say \"Smith, Bobby / courtroom-style\" even though the formula now computes \"Bobby Smith\". That staleness is INTENTIONAL and left in place on purpose: it is the live exhibit. Computed code follows the SSoT; comments and narrative cannot. The only narrative that can keep up is one that is itself regenerated from the rulebook (e.g. an LLM-generated README), not hand-maintained. Do not \"fix\" the stale narrative or seed values to match the formula — doing so erases the demonstration.",
        "JsonValue": null
      }
    ]
  }
}
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</si>
</sst>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53359985351562" customWidth="1"/>
    <col min="2" max="2" width="22.821292877197266" customWidth="1"/>
    <col min="3" max="3" width="23.963666915893555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tr">
        <f>SUBSTITUTE(C2, "@", "-")</f>
        <v>jane.smith-email.com</v>
      </c>
      <c r="C2" s="2" t="s">
        <v>8</v>
      </c>
      <c r="D2" s="2" t="s">
        <v>9</v>
      </c>
      <c r="E2" s="3" t="str">
        <f>LEFT(D2, 1) &amp; LEFT(F2, 1)</f>
        <v>BS</v>
      </c>
      <c r="F2" s="2" t="s">
        <v>10</v>
      </c>
      <c r="G2" s="3" t="str">
        <f>D2 &amp; " " &amp; F2</f>
        <v>Bobby Smith</v>
      </c>
    </row>
    <row r="3">
      <c r="A3" s="2" t="s">
        <v>11</v>
      </c>
      <c r="B3" s="3" t="str">
        <f>SUBSTITUTE(C3, "@", "-")</f>
        <v>john.doe-email.com</v>
      </c>
      <c r="C3" s="2" t="s">
        <v>12</v>
      </c>
      <c r="D3" s="2" t="s">
        <v>13</v>
      </c>
      <c r="E3" s="3" t="str">
        <f>LEFT(D3, 1) &amp; LEFT(F3, 1)</f>
        <v>JD</v>
      </c>
      <c r="F3" s="2" t="s">
        <v>14</v>
      </c>
      <c r="G3" s="3" t="str">
        <f>D3 &amp; " " &amp; F3</f>
        <v>Jimmy Doe</v>
      </c>
    </row>
    <row r="4">
      <c r="A4" s="2" t="s">
        <v>15</v>
      </c>
      <c r="B4" s="3" t="str">
        <f>SUBSTITUTE(C4, "@", "-")</f>
        <v>emily.jones-email.com</v>
      </c>
      <c r="C4" s="2" t="s">
        <v>16</v>
      </c>
      <c r="D4" s="2" t="s">
        <v>17</v>
      </c>
      <c r="E4" s="3" t="str">
        <f>LEFT(D4, 1) &amp; LEFT(F4, 1)</f>
        <v>MJ</v>
      </c>
      <c r="F4" s="2" t="s">
        <v>18</v>
      </c>
      <c r="G4" s="3" t="str">
        <f>D4 &amp; " " &amp; F4</f>
        <v>Mary Jones</v>
      </c>
    </row>
  </sheetData>
  <autoFilter ref="A1:G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1" t="s">
        <v>19</v>
      </c>
      <c r="B1" s="1" t="s">
        <v>20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</row>
  </sheetData>
  <autoFilter ref="A1:G1"/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50761032104492" customWidth="1"/>
    <col min="2" max="2" width="27.14027214050293" customWidth="1"/>
    <col min="3" max="3" width="34.911231994628906" customWidth="1"/>
    <col min="4" max="4" width="256" customWidth="1"/>
    <col min="5" max="5" width="17.443378448486328" customWidth="1"/>
    <col min="6" max="6" width="19.331968307495117" customWidth="1"/>
  </cols>
  <sheetData>
    <row r="1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34</v>
      </c>
      <c r="F3" s="2" t="s">
        <v>40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34</v>
      </c>
      <c r="F4" s="2" t="s">
        <v>45</v>
      </c>
    </row>
    <row r="5">
      <c r="A5" s="2" t="s">
        <v>46</v>
      </c>
      <c r="B5" s="2" t="s">
        <v>47</v>
      </c>
      <c r="C5" s="2" t="s">
        <v>48</v>
      </c>
      <c r="D5" s="2" t="s">
        <v>49</v>
      </c>
      <c r="E5" s="2" t="s">
        <v>34</v>
      </c>
      <c r="F5" s="2" t="s">
        <v>50</v>
      </c>
    </row>
    <row r="6">
      <c r="A6" s="2" t="s">
        <v>51</v>
      </c>
      <c r="B6" s="2" t="s">
        <v>52</v>
      </c>
      <c r="C6" s="2" t="s">
        <v>53</v>
      </c>
      <c r="D6" s="2" t="s">
        <v>54</v>
      </c>
      <c r="E6" s="2" t="s">
        <v>34</v>
      </c>
      <c r="F6" s="2" t="s">
        <v>55</v>
      </c>
    </row>
  </sheetData>
  <autoFilter ref="A1:F1"/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2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56</v>
      </c>
      <c r="B1" s="1" t="s">
        <v>1</v>
      </c>
      <c r="C1" s="1" t="s">
        <v>57</v>
      </c>
      <c r="D1" s="1" t="s">
        <v>58</v>
      </c>
      <c r="E1" s="1" t="s">
        <v>59</v>
      </c>
    </row>
    <row r="2">
      <c r="A2" s="2" t="s">
        <v>60</v>
      </c>
      <c r="B2" s="3" t="str">
        <f>A2</f>
        <v>tagline</v>
      </c>
      <c r="C2" s="2" t="s">
        <v>61</v>
      </c>
      <c r="D2" s="2" t="s">
        <v>62</v>
      </c>
      <c r="E2" s="2"/>
    </row>
    <row r="3">
      <c r="A3" s="2" t="s">
        <v>63</v>
      </c>
      <c r="B3" s="3" t="str">
        <f>A3</f>
        <v>motif</v>
      </c>
      <c r="C3" s="2" t="s">
        <v>61</v>
      </c>
      <c r="D3" s="2" t="s">
        <v>64</v>
      </c>
      <c r="E3" s="2"/>
    </row>
    <row r="4">
      <c r="A4" s="2" t="s">
        <v>65</v>
      </c>
      <c r="B4" s="3" t="str">
        <f>A4</f>
        <v>motif_palette</v>
      </c>
      <c r="C4" s="2" t="s">
        <v>66</v>
      </c>
      <c r="D4" s="2"/>
      <c r="E4" s="2" t="s">
        <v>67</v>
      </c>
    </row>
    <row r="5">
      <c r="A5" s="2" t="s">
        <v>68</v>
      </c>
      <c r="B5" s="3" t="str">
        <f>A5</f>
        <v>description_rich</v>
      </c>
      <c r="C5" s="2" t="s">
        <v>61</v>
      </c>
      <c r="D5" s="2" t="s">
        <v>69</v>
      </c>
      <c r="E5" s="2"/>
    </row>
    <row r="6">
      <c r="A6" s="2" t="s">
        <v>70</v>
      </c>
      <c r="B6" s="3" t="str">
        <f>A6</f>
        <v>use_cases</v>
      </c>
      <c r="C6" s="2" t="s">
        <v>71</v>
      </c>
      <c r="D6" s="2"/>
      <c r="E6" s="2" t="s">
        <v>72</v>
      </c>
    </row>
    <row r="7">
      <c r="A7" s="2" t="s">
        <v>73</v>
      </c>
      <c r="B7" s="3" t="str">
        <f>A7</f>
        <v>signature_rows</v>
      </c>
      <c r="C7" s="2" t="s">
        <v>71</v>
      </c>
      <c r="D7" s="2"/>
      <c r="E7" s="2" t="s">
        <v>74</v>
      </c>
    </row>
    <row r="8">
      <c r="A8" s="2" t="s">
        <v>75</v>
      </c>
      <c r="B8" s="3" t="str">
        <f>A8</f>
        <v>journal_seed</v>
      </c>
      <c r="C8" s="2" t="s">
        <v>61</v>
      </c>
      <c r="D8" s="2" t="s">
        <v>76</v>
      </c>
      <c r="E8" s="2"/>
    </row>
    <row r="9">
      <c r="A9" s="2" t="s">
        <v>77</v>
      </c>
      <c r="B9" s="3" t="str">
        <f>A9</f>
        <v>substrates</v>
      </c>
      <c r="C9" s="2" t="s">
        <v>71</v>
      </c>
      <c r="D9" s="2"/>
      <c r="E9" s="2" t="s">
        <v>78</v>
      </c>
    </row>
    <row r="10">
      <c r="A10" s="2" t="s">
        <v>79</v>
      </c>
      <c r="B10" s="3" t="str">
        <f>A10</f>
        <v>CMCC_Summary</v>
      </c>
      <c r="C10" s="2" t="s">
        <v>61</v>
      </c>
      <c r="D10" s="2" t="s">
        <v>80</v>
      </c>
      <c r="E10" s="2"/>
    </row>
    <row r="11">
      <c r="A11" s="2" t="s">
        <v>81</v>
      </c>
      <c r="B11" s="3" t="str">
        <f>A11</f>
        <v>conversion_metadata</v>
      </c>
      <c r="C11" s="2" t="s">
        <v>66</v>
      </c>
      <c r="D11" s="2"/>
      <c r="E11" s="2" t="s">
        <v>82</v>
      </c>
    </row>
    <row r="12">
      <c r="A12" s="2" t="s">
        <v>83</v>
      </c>
      <c r="B12" s="3" t="str">
        <f>A12</f>
        <v>narrative_drift_lesson</v>
      </c>
      <c r="C12" s="2" t="s">
        <v>61</v>
      </c>
      <c r="D12" s="2" t="s">
        <v>84</v>
      </c>
      <c r="E12" s="2"/>
    </row>
  </sheetData>
  <autoFilter ref="A1:E1"/>
  <headerFooter/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85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