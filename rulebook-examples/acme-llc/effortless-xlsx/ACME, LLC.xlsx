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vmlDrawing" PartName="/xl/drawings/vmlDrawing4.vml"/>
  <Override ContentType="application/vnd.openxmlformats-officedocument.spreadsheetml.worksheet+xml" PartName="/xl/worksheets/sheet5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_meta__" sheetId="4" r:id="rId5"/>
    <sheet name="_original_json" sheetId="5" r:id="rId6" state="hidden"/>
  </sheets>
  <definedNames>
    <definedName name="_xlnm._FilterDatabase" localSheetId="3" hidden="1">__meta__!$A$1:$E$1</definedName>
    <definedName name="_xlnm._FilterDatabase" localSheetId="0" hidden="1">Customers!$A$1:$G$1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cusfdsfdstomers.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G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The metadata key (e.g. 'tagline', 'motif_palette', 'substrates'). Unique within the table.</t>
        </r>
      </text>
    </comment>
    <comment ref="C1" authorId="0">
      <text>
        <r>
          <rPr>
            <rFont val="Aptos Narrow"/>
            <b/>
            <color rgb="FFFFFFFF"/>
            <sz val="11"/>
          </rPr>
          <t>How to interpret the value columns: 'string' (use StringValue), 'object' (parse JsonValue as JSON object), 'array' (parse JsonValue as JSON array).</t>
        </r>
      </text>
    </comment>
    <comment ref="D1" authorId="0">
      <text>
        <r>
          <rPr>
            <rFont val="Aptos Narrow"/>
            <b/>
            <color rgb="FFFFFFFF"/>
            <sz val="11"/>
          </rPr>
          <t>Plain string value. Populated when ValueType == 'string'; null otherwise.</t>
        </r>
      </text>
    </comment>
    <comment ref="E1" authorId="0">
      <text>
        <r>
          <rPr>
            <rFont val="Aptos Narrow"/>
            <b/>
            <color rgb="FFFFFFFF"/>
            <sz val="11"/>
          </rPr>
          <t>JSON-encoded value. Populated when ValueType == 'object' or 'array'; null when ValueType == 'string'.</t>
        </r>
      </text>
    </comment>
    <comment ref="B1" authorId="0">
      <text>
        <r>
          <rPr>
            <rFont val="Aptos Narrow"/>
            <b/>
            <color rgb="FFFFFFFF"/>
            <sz val="11"/>
          </rPr>
          <t>Identifier for this metadata entry. Mirrors MetaKey so the row is addressable by Name like every other table.</t>
        </r>
      </text>
    </comment>
  </commentList>
</comments>
</file>

<file path=xl/sharedStrings.xml><?xml version="1.0" encoding="utf-8"?>
<sst xmlns="http://schemas.openxmlformats.org/spreadsheetml/2006/main" count="86" uniqueCount="86">
  <si>
    <t>CustomerId</t>
  </si>
  <si>
    <t>Name</t>
  </si>
  <si>
    <t>EmailAddress</t>
  </si>
  <si>
    <t>FirstName</t>
  </si>
  <si>
    <t>Initials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</si>
  <si>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</si>
  <si>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</si>
  <si>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</si>
  <si>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</si>
  <si>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</si>
  <si>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</si>
  <si>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</si>
  <si>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</si>
  <si>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</si>
  <si>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</si>
  <si>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</si>
  <si>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</si>
  <si>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</si>
  <si>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</si>
  <si>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</si>
  <si>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</si>
  <si>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</si>
  <si>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</si>
  <si>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</si>
  <si>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</si>
  <si>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</si>
  <si>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</si>
  <si>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</si>
  <si>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</si>
  <si>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</si>
  <si>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</si>
  <si>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</si>
  <si>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</si>
  <si>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</si>
  <si>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</si>
  <si>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</si>
  <si>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</si>
  <si>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</si>
  <si>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</si>
  <si>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</si>
  <si>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</si>
  <si>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</si>
  <si>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</si>
  <si>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</si>
  <si>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</si>
  <si>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</si>
  <si>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</si>
  <si>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</si>
  <si>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</si>
  <si>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</si>
  <si>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</si>
  <si>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</si>
  <si>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</si>
  <si>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</si>
  <si>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</si>
  <si>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</si>
  <si>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>MetaKey</t>
  </si>
  <si>
    <t>ValueType</t>
  </si>
  <si>
    <t>StringValue</t>
  </si>
  <si>
    <t>JsonValue</t>
  </si>
  <si>
    <t>tagline</t>
  </si>
  <si>
    <t>string</t>
  </si>
  <si>
    <t>A one-table customer ledger, filed last-name-first.</t>
  </si>
  <si>
    <t>motif</t>
  </si>
  <si>
    <t>legal-pad</t>
  </si>
  <si>
    <t>motif_palette</t>
  </si>
  <si>
    <t>object</t>
  </si>
  <si>
    <t>{"primary": "#a8941f", "accent": "#4a6741", "ink": "#1f1c0a"}</t>
  </si>
  <si>
    <t>description_rich</t>
  </si>
  <si>
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</si>
  <si>
    <t>use_cases</t>
  </si>
  <si>
    <t>array</t>
  </si>
  <si>
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</si>
  <si>
    <t>signature_rows</t>
  </si>
  <si>
    <t>[{"entity": "Customers", "ids": ["jane-smith-email-com", "john-doe-email-com", "emily-jones-email-com"]}]</t>
  </si>
  <si>
    <t>journal_seed</t>
  </si>
  <si>
    <t>Three customers on file. Each one filed twice — once by email-slug, once by surname-first — and both labels stay in lockstep with the raw fields.</t>
  </si>
  <si>
    <t>substrates</t>
  </si>
  <si>
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</si>
  <si>
    <t>CMCC_Summary</t>
  </si>
  <si>
    <t>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</t>
  </si>
  <si>
    <t>conversion_metadata</t>
  </si>
  <si>
    <t>{"source_base_id": "appWrXPvXbkgQGOxt", "table_count": 3,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</si>
  <si>
    <t>narrative_drift_lesson</t>
  </si>
  <si>
    <t>**The point of this demo is the asymmetry between code and prose.** Flip `FullName` from `LastName &amp; ", " &amp; FirstName` (legal-style, surname-first) to `FirstName &amp; " 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"Smith, Bobby / courtroom-style" even though the formula now computes "Bobby Smith".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"fix" the stale narrative or seed values to match the formula — doing so erases the demonstration.</t>
  </si>
  <si>
    <t xml:space="preserve">{
  "$schema": "https://example.com/cmcc-schema/v1",
  "Name": "ACME, LLC",
  "Description": "Smallest viable rulebook with a calculated field — the \"Hello, formulas\" tutorial.",
  "Customers": {
    "Description": "Table: Customers",
    "important": true,
    "summary_rich": "The **client ledger** of ACME, LLC. Every customer is identified two different ways at the same time — a slugified handle derived from their email (`Name`), and a last-name-first legal-style label (`FullName`). Edit either the email or the name parts and both identifiers re-derive themselves the next time any substrate is read.",
    "important_fields": [
      "Name",
      "FullName",
      "EmailAddress",
      "LastName"
    ],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cusfdsfdstomers.",
        "formula": "=SUBSTITUTE({{EmailAddress}}, \"@\", \"-\")",
        "important": true,
        "explanation_rich": "**A handle derived from the email, not the name.** `Name = SUBSTITUTE(EmailAddress, \"@\", \"-\")` — a single character swap turns an address into a slug. Worked example: `jane.smith@email.com` becomes `jane.smith-email.com`, which is what shows up as `Name` in every substrate. Change the customer's email and the handle re-derives itself in Postgres, Python, Excel, and OWL the next read — no application code, no migration."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"Initials",
        "datatype": "string",
        "type": "calculated",
        "formula": "=LEFT({{FirstName}}, 1) &amp; LEFT({{LastName}}, 1)"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&amp; \" \" &amp; {{LastName}}",
        "important": true,
        "explanation_rich": "**Last name first, courtroom-style.** `FullName = LastName &amp; \", \" &amp; FirstName` — the formula is trivial, but the *order* is the point. ACME, LLC files its customers the way a paralegal would: surname, comma, given name. Worked example: `LastName=\"Smith\"` and `FirstName=\"Bobby\"` resolves to `\"Smith, Bobby\"`. Flip the order in the rulebook and every substrate sorts and prints alphabetically by surname on the next read."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"__meta__": {
    "Description": "Project-level metadata that travels with the rulebook: tagline, motif, narrative descriptions, substrate list, signature rows, etc. One row per metadata key. Use ValueType to interpret StringValue vs JsonValue.",
    "important": false,
    "schema": [
      {
        "name": "MetaKey",
        "datatype": "string",
        "type": "raw",
        "nullable": false,
        "Description": "The metadata key (e.g. 'tagline', 'motif_palette', 'substrates'). Unique within the table."
      },
      {
        "name": "Name",
        "datatype": "string",
        "type": "calculated",
        "nullable": false,
        "formula": "={{MetaKey}}",
        "Description": "Identifier for this metadata entry. Mirrors MetaKey so the row is addressable by Name like every other table."
      },
      {
        "name": "ValueType",
        "datatype": "string",
        "type": "raw",
        "nullable": false,
        "Description": "How to interpret the value columns: 'string' (use StringValue), 'object' (parse JsonValue as JSON object), 'array' (parse JsonValue as JSON array)."
      },
      {
        "name": "StringValue",
        "datatype": "string",
        "type": "raw",
        "nullable": true,
        "Description": "Plain string value. Populated when ValueType == 'string'; null otherwise."
      },
      {
        "name": "JsonValue",
        "datatype": "string",
        "type": "raw",
        "nullable": true,
        "Description": "JSON-encoded value. Populated when ValueType == 'object' or 'array'; null when ValueType == 'string'."
      }
    ],
    "data": [
      {
        "MetaKey": "tagline",
        "Name": "tagline",
        "ValueType": "string",
        "StringValue": "A one-table customer ledger, filed last-name-first.",
        "JsonValue": null
      },
      {
        "MetaKey": "motif",
        "Name": "motif",
        "ValueType": "string",
        "StringValue": "legal-pad",
        "JsonValue": null
      },
      {
        "MetaKey": "motif_palette",
        "Name": "motif_palette",
        "ValueType": "object",
        "StringValue": null,
        "JsonValue": "{\"primary\": \"#a8941f\", \"accent\": \"#4a6741\", \"ink\": \"#1f1c0a\"}"
      },
      {
        "MetaKey": "description_rich",
        "Name": "description_rich",
        "ValueType": "string",
        "StringValue": "ACME,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code.",
        "JsonValue": null
      },
      {
        "MetaKey": "use_cases",
        "Name": "use_cases",
        "ValueType": "array",
        "StringValue": null,
        "JsonValue": "[\"**Rename a customer.** Change `jane-smith-email-com`'s `FirstName` from `Bobby` to `Robert` and watch `FullName` recompute to `Smith, Robert` on the next read — same row, same id, new label.\", \"**Update an email address.** Edit `john.doe@email.com` to `j.doe@example.com`; the `Name` slug re-derives to `j.doe-example.com` automatically in every substrate.\", \"**Add a new customer with just the three raw fields** (`EmailAddress`, `FirstName`, `LastName`) and let the rulebook fill in `Name` and `FullName` — no insert triggers, no application logic.\", \"**Ask the same question of two substrates.** *\\\"Sort customers alphabetically by surname.\\\"* The Postgres view and the Python module both return Doe, Jones, Smith — without anyone writing a sort key.\", \"**Flip the formula in the rulebook** from `LastName &amp; \\\", \\\" &amp; FirstName` to `FirstName &amp; \\\" \\\" &amp; LastName` and re-run `effortless build`; every substrate now prints western-style names instead of legal-style, with no migration.\"]"
      },
      {
        "MetaKey": "signature_rows",
        "Name": "signature_rows",
        "ValueType": "array",
        "StringValue": null,
        "JsonValue": "[{\"entity\": \"Customers\", \"ids\": [\"jane-smith-email-com\", \"john-doe-email-com\", \"emily-jones-email-com\"]}]"
      },
      {
        "MetaKey": "journal_seed",
        "Name": "journal_seed",
        "ValueType": "string",
        "StringValue": "Three customers on file. Each one filed twice — once by email-slug, once by surname-first — and both labels stay in lockstep with the raw fields.",
        "JsonValue": null
      },
      {
        "MetaKey": "substrates",
        "Name": "substrates",
        "ValueType": "array",
        "StringValue": null,
        "JsonValue": "[{\"key\": \"postgres\", \"important\": true, \"chip_label\": \"Postgres\"}, {\"key\": \"excel\", \"important\": true, \"chip_label\": \"Excel\"}, {\"key\": \"python\", \"important\": false, \"chip_label\": \"Python\"}, {\"key\": \"owl\", \"important\": false, \"chip_label\": \"OWL\"}, {\"key\": \"csv\", \"important\": false, \"chip_label\": \"CSV\"}]"
      },
      {
        "MetaKey": "CMCC_Summary",
        "Name": "CMCC_Summary",
        "ValueType": "string",
        "StringValue": "Airtable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analysis.",
        "JsonValue": null
      },
      {
        "MetaKey": "conversion_metadata",
        "Name": "conversion_metadata",
        "ValueType": "object",
        "StringValue": null,
        "JsonValue": "{\"source_base_id\": \"appWrXPvXbkgQGOxt\", \"table_count\": 3, \"tool_version\": \"2.0.0\", \"field_type_mapping\": \"checkbox→boolean, number→number/integer, multipleRecordLinks→relationship, multipleLookupValues→lookup, rollup→aggregation, count→aggregation, formula→calculated\", \"export_mode\": \"schema_first_type_mapping\", \"type_inference\": {\"enabled\": true, \"priority\": \"airtable_metadata (NO COERCION) → formula_analysis → reference_resolution → data_analysis (last-resort inference; build SHOULD FAIL rather than silently use this)\", \"airtable_type_mapping\": \"checkbox→boolean, singleLineText→string, multilineText→string, number→number/integer, datetime→datetime, singleSelect→string, email→string, url→string, phoneNumber→string\", \"data_coercion_hierarchy\": \"Only invoked when Airtable schema is unavailable (which SHOULD make the build fail). Coercion order: datetime → number → integer → boolean → base64 → json → string\", \"nullable_support\": true, \"error_value_handling\": \"#NUM!, #ERROR!, #N/A, #REF!, #DIV/0!, #VALUE!, #NAME? are treated as NULL\"}}"
      },
      {
        "MetaKey": "narrative_drift_lesson",
        "Name": "narrative_drift_lesson",
        "ValueType": "string",
        "StringValue": "**The point of this demo is the asymmetry between code and prose.** Flip `FullName` from `LastName &amp; \", \" &amp; FirstName` (legal-style, surname-first) to `FirstName &amp; \" \"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\"Smith, Bobby / courtroom-style\" even though the formula now computes \"Bobby Smith\".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\"fix\" the stale narrative or seed values to match the formula — doing so erases the demonstration.",
        "JsonValue": null
      }
    ]
  }
}
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</si>
</sst>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3" t="str">
        <f>SUBSTITUTE(C2, "@", "-")</f>
        <v>jane.smith-email.com</v>
      </c>
      <c r="C2" s="2" t="s">
        <v>8</v>
      </c>
      <c r="D2" s="2" t="s">
        <v>9</v>
      </c>
      <c r="E2" s="3" t="str">
        <f>LEFT(D2, 1) &amp; LEFT(F2, 1)</f>
        <v>BS</v>
      </c>
      <c r="F2" s="2" t="s">
        <v>10</v>
      </c>
      <c r="G2" s="3" t="str">
        <f>D2 &amp; " " &amp; F2</f>
        <v>Bobby Smith</v>
      </c>
    </row>
    <row r="3">
      <c r="A3" s="2" t="s">
        <v>11</v>
      </c>
      <c r="B3" s="3" t="str">
        <f>SUBSTITUTE(C3, "@", "-")</f>
        <v>john.doe-email.com</v>
      </c>
      <c r="C3" s="2" t="s">
        <v>12</v>
      </c>
      <c r="D3" s="2" t="s">
        <v>13</v>
      </c>
      <c r="E3" s="3" t="str">
        <f>LEFT(D3, 1) &amp; LEFT(F3, 1)</f>
        <v>JD</v>
      </c>
      <c r="F3" s="2" t="s">
        <v>14</v>
      </c>
      <c r="G3" s="3" t="str">
        <f>D3 &amp; " " &amp; F3</f>
        <v>Jimmy Doe</v>
      </c>
    </row>
    <row r="4">
      <c r="A4" s="2" t="s">
        <v>15</v>
      </c>
      <c r="B4" s="3" t="str">
        <f>SUBSTITUTE(C4, "@", "-")</f>
        <v>emily.jones-email.com</v>
      </c>
      <c r="C4" s="2" t="s">
        <v>16</v>
      </c>
      <c r="D4" s="2" t="s">
        <v>17</v>
      </c>
      <c r="E4" s="3" t="str">
        <f>LEFT(D4, 1) &amp; LEFT(F4, 1)</f>
        <v>MJ</v>
      </c>
      <c r="F4" s="2" t="s">
        <v>18</v>
      </c>
      <c r="G4" s="3" t="str">
        <f>D4 &amp; " " &amp; F4</f>
        <v>Mary Jones</v>
      </c>
    </row>
  </sheetData>
  <autoFilter ref="A1:G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19</v>
      </c>
      <c r="B1" s="1" t="s">
        <v>20</v>
      </c>
      <c r="C1" s="1" t="s">
        <v>1</v>
      </c>
      <c r="D1" s="1" t="s">
        <v>21</v>
      </c>
      <c r="E1" s="1" t="s">
        <v>22</v>
      </c>
      <c r="F1" s="1" t="s">
        <v>23</v>
      </c>
      <c r="G1" s="1" t="s">
        <v>24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25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</row>
    <row r="3">
      <c r="A3" s="2" t="s">
        <v>36</v>
      </c>
      <c r="B3" s="2" t="s">
        <v>37</v>
      </c>
      <c r="C3" s="2" t="s">
        <v>38</v>
      </c>
      <c r="D3" s="2" t="s">
        <v>39</v>
      </c>
      <c r="E3" s="2" t="s">
        <v>34</v>
      </c>
      <c r="F3" s="2" t="s">
        <v>40</v>
      </c>
    </row>
    <row r="4">
      <c r="A4" s="2" t="s">
        <v>41</v>
      </c>
      <c r="B4" s="2" t="s">
        <v>42</v>
      </c>
      <c r="C4" s="2" t="s">
        <v>43</v>
      </c>
      <c r="D4" s="2" t="s">
        <v>44</v>
      </c>
      <c r="E4" s="2" t="s">
        <v>34</v>
      </c>
      <c r="F4" s="2" t="s">
        <v>45</v>
      </c>
    </row>
    <row r="5">
      <c r="A5" s="2" t="s">
        <v>46</v>
      </c>
      <c r="B5" s="2" t="s">
        <v>47</v>
      </c>
      <c r="C5" s="2" t="s">
        <v>48</v>
      </c>
      <c r="D5" s="2" t="s">
        <v>49</v>
      </c>
      <c r="E5" s="2" t="s">
        <v>34</v>
      </c>
      <c r="F5" s="2" t="s">
        <v>50</v>
      </c>
    </row>
    <row r="6">
      <c r="A6" s="2" t="s">
        <v>51</v>
      </c>
      <c r="B6" s="2" t="s">
        <v>52</v>
      </c>
      <c r="C6" s="2" t="s">
        <v>53</v>
      </c>
      <c r="D6" s="2" t="s">
        <v>54</v>
      </c>
      <c r="E6" s="2" t="s">
        <v>34</v>
      </c>
      <c r="F6" s="2" t="s">
        <v>55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56</v>
      </c>
      <c r="B1" s="1" t="s">
        <v>1</v>
      </c>
      <c r="C1" s="1" t="s">
        <v>57</v>
      </c>
      <c r="D1" s="1" t="s">
        <v>58</v>
      </c>
      <c r="E1" s="1" t="s">
        <v>59</v>
      </c>
    </row>
    <row r="2">
      <c r="A2" s="2" t="s">
        <v>60</v>
      </c>
      <c r="B2" s="3" t="str">
        <f>A2</f>
        <v>tagline</v>
      </c>
      <c r="C2" s="2" t="s">
        <v>61</v>
      </c>
      <c r="D2" s="2" t="s">
        <v>62</v>
      </c>
      <c r="E2" s="2"/>
    </row>
    <row r="3">
      <c r="A3" s="2" t="s">
        <v>63</v>
      </c>
      <c r="B3" s="3" t="str">
        <f>A3</f>
        <v>motif</v>
      </c>
      <c r="C3" s="2" t="s">
        <v>61</v>
      </c>
      <c r="D3" s="2" t="s">
        <v>64</v>
      </c>
      <c r="E3" s="2"/>
    </row>
    <row r="4">
      <c r="A4" s="2" t="s">
        <v>65</v>
      </c>
      <c r="B4" s="3" t="str">
        <f>A4</f>
        <v>motif_palette</v>
      </c>
      <c r="C4" s="2" t="s">
        <v>66</v>
      </c>
      <c r="D4" s="2"/>
      <c r="E4" s="2" t="s">
        <v>67</v>
      </c>
    </row>
    <row r="5">
      <c r="A5" s="2" t="s">
        <v>68</v>
      </c>
      <c r="B5" s="3" t="str">
        <f>A5</f>
        <v>description_rich</v>
      </c>
      <c r="C5" s="2" t="s">
        <v>61</v>
      </c>
      <c r="D5" s="2" t="s">
        <v>69</v>
      </c>
      <c r="E5" s="2"/>
    </row>
    <row r="6">
      <c r="A6" s="2" t="s">
        <v>70</v>
      </c>
      <c r="B6" s="3" t="str">
        <f>A6</f>
        <v>use_cases</v>
      </c>
      <c r="C6" s="2" t="s">
        <v>71</v>
      </c>
      <c r="D6" s="2"/>
      <c r="E6" s="2" t="s">
        <v>72</v>
      </c>
    </row>
    <row r="7">
      <c r="A7" s="2" t="s">
        <v>73</v>
      </c>
      <c r="B7" s="3" t="str">
        <f>A7</f>
        <v>signature_rows</v>
      </c>
      <c r="C7" s="2" t="s">
        <v>71</v>
      </c>
      <c r="D7" s="2"/>
      <c r="E7" s="2" t="s">
        <v>74</v>
      </c>
    </row>
    <row r="8">
      <c r="A8" s="2" t="s">
        <v>75</v>
      </c>
      <c r="B8" s="3" t="str">
        <f>A8</f>
        <v>journal_seed</v>
      </c>
      <c r="C8" s="2" t="s">
        <v>61</v>
      </c>
      <c r="D8" s="2" t="s">
        <v>76</v>
      </c>
      <c r="E8" s="2"/>
    </row>
    <row r="9">
      <c r="A9" s="2" t="s">
        <v>77</v>
      </c>
      <c r="B9" s="3" t="str">
        <f>A9</f>
        <v>substrates</v>
      </c>
      <c r="C9" s="2" t="s">
        <v>71</v>
      </c>
      <c r="D9" s="2"/>
      <c r="E9" s="2" t="s">
        <v>78</v>
      </c>
    </row>
    <row r="10">
      <c r="A10" s="2" t="s">
        <v>79</v>
      </c>
      <c r="B10" s="3" t="str">
        <f>A10</f>
        <v>CMCC_Summary</v>
      </c>
      <c r="C10" s="2" t="s">
        <v>61</v>
      </c>
      <c r="D10" s="2" t="s">
        <v>80</v>
      </c>
      <c r="E10" s="2"/>
    </row>
    <row r="11">
      <c r="A11" s="2" t="s">
        <v>81</v>
      </c>
      <c r="B11" s="3" t="str">
        <f>A11</f>
        <v>conversion_metadata</v>
      </c>
      <c r="C11" s="2" t="s">
        <v>66</v>
      </c>
      <c r="D11" s="2"/>
      <c r="E11" s="2" t="s">
        <v>82</v>
      </c>
    </row>
    <row r="12">
      <c r="A12" s="2" t="s">
        <v>83</v>
      </c>
      <c r="B12" s="3" t="str">
        <f>A12</f>
        <v>narrative_drift_lesson</v>
      </c>
      <c r="C12" s="2" t="s">
        <v>61</v>
      </c>
      <c r="D12" s="2" t="s">
        <v>84</v>
      </c>
      <c r="E12" s="2"/>
    </row>
  </sheetData>
  <autoFilter ref="A1:E1"/>
  <headerFooter/>
  <legacyDrawing r:id="rId1"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85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