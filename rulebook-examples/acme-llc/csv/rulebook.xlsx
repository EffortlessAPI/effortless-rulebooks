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ERBVersions" sheetId="2" state="visible" r:id="rId2"/>
    <sheet xmlns:r="http://schemas.openxmlformats.org/officeDocument/2006/relationships" name="ERBCustomizations" sheetId="3" state="visible" r:id="rId3"/>
    <sheet xmlns:r="http://schemas.openxmlformats.org/officeDocument/2006/relationships" name="__meta__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ERB Rulebook</author>
  </authors>
  <commentList>
    <comment ref="B1" authorId="0" shapeId="0">
      <text>
        <t>Identifier for the cusfdsfdstomers.</t>
      </text>
    </comment>
    <comment ref="C1" authorId="0" shapeId="0">
      <text>
        <t>Thec ustomers email address</t>
      </text>
    </comment>
    <comment ref="D1" authorId="0" shapeId="0">
      <text>
        <t>First Name of the customer - used to make the full name</t>
      </text>
    </comment>
    <comment ref="F1" authorId="0" shapeId="0">
      <text>
        <t>Last Name of the customer - used to make the full name</t>
      </text>
    </comment>
    <comment ref="G1" authorId="0" shapeId="0">
      <text>
        <t>Full name is computed from the first and last name of the customer</t>
      </text>
    </comment>
  </commentList>
</comments>
</file>

<file path=xl/comments/comment2.xml><?xml version="1.0" encoding="utf-8"?>
<comments xmlns="http://schemas.openxmlformats.org/spreadsheetml/2006/main">
  <authors>
    <author>ERB Rulebook</author>
  </authors>
  <commentList>
    <comment ref="A1" authorId="0" shapeId="0">
      <text>
        <t>The metadata key (e.g. 'tagline', 'motif_palette', 'substrates'). Unique within the table.</t>
      </text>
    </comment>
    <comment ref="B1" authorId="0" shapeId="0">
      <text>
        <t>Identifier for this metadata entry. Mirrors MetaKey so the row is addressable by Name like every other table.</t>
      </text>
    </comment>
    <comment ref="C1" authorId="0" shapeId="0">
      <text>
        <t>How to interpret the value columns: 'string' (use StringValue), 'object' (parse JsonValue as JSON object), 'array' (parse JsonValue as JSON array).</t>
      </text>
    </comment>
    <comment ref="D1" authorId="0" shapeId="0">
      <text>
        <t>Plain string value. Populated when ValueType == 'string'; null otherwise.</t>
      </text>
    </comment>
    <comment ref="E1" authorId="0" shapeId="0">
      <text>
        <t>JSON-encoded value. Populated when ValueType == 'object' or 'array'; null when ValueType == 'string'.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CustomerId</t>
        </is>
      </c>
      <c r="B1" s="1" t="inlineStr">
        <is>
          <t>Name</t>
        </is>
      </c>
      <c r="C1" s="1" t="inlineStr">
        <is>
          <t>EmailAddress</t>
        </is>
      </c>
      <c r="D1" s="1" t="inlineStr">
        <is>
          <t>FirstName</t>
        </is>
      </c>
      <c r="E1" s="1" t="inlineStr">
        <is>
          <t>Initials</t>
        </is>
      </c>
      <c r="F1" s="1" t="inlineStr">
        <is>
          <t>LastName</t>
        </is>
      </c>
      <c r="G1" s="1" t="inlineStr">
        <is>
          <t>FullName</t>
        </is>
      </c>
    </row>
    <row r="2">
      <c r="A2" s="2" t="inlineStr">
        <is>
          <t>jane-smith-email-com</t>
        </is>
      </c>
      <c r="B2" s="3">
        <f>SUBSTITUTE($C2, "@", "-")</f>
        <v/>
      </c>
      <c r="C2" s="2" t="inlineStr">
        <is>
          <t>jane.smith@email.com</t>
        </is>
      </c>
      <c r="D2" s="2" t="inlineStr">
        <is>
          <t>Bobby</t>
        </is>
      </c>
      <c r="E2" s="3">
        <f>LEFT($D2, 1) &amp; LEFT($F2, 1)</f>
        <v/>
      </c>
      <c r="F2" s="2" t="inlineStr">
        <is>
          <t>Smith</t>
        </is>
      </c>
      <c r="G2" s="3">
        <f>$D2 &amp; " " &amp; $F2</f>
        <v/>
      </c>
    </row>
    <row r="3">
      <c r="A3" s="2" t="inlineStr">
        <is>
          <t>john-doe-email-com</t>
        </is>
      </c>
      <c r="B3" s="3">
        <f>SUBSTITUTE($C3, "@", "-")</f>
        <v/>
      </c>
      <c r="C3" s="2" t="inlineStr">
        <is>
          <t>john.doe@email.com</t>
        </is>
      </c>
      <c r="D3" s="2" t="inlineStr">
        <is>
          <t>Jimmy</t>
        </is>
      </c>
      <c r="E3" s="3">
        <f>LEFT($D3, 1) &amp; LEFT($F3, 1)</f>
        <v/>
      </c>
      <c r="F3" s="2" t="inlineStr">
        <is>
          <t>Doe</t>
        </is>
      </c>
      <c r="G3" s="3">
        <f>$D3 &amp; " " &amp; $F3</f>
        <v/>
      </c>
    </row>
    <row r="4">
      <c r="A4" s="2" t="inlineStr">
        <is>
          <t>emily-jones-email-com</t>
        </is>
      </c>
      <c r="B4" s="3">
        <f>SUBSTITUTE($C4, "@", "-")</f>
        <v/>
      </c>
      <c r="C4" s="2" t="inlineStr">
        <is>
          <t>emily.jones@email.com</t>
        </is>
      </c>
      <c r="D4" s="2" t="inlineStr">
        <is>
          <t>Mary</t>
        </is>
      </c>
      <c r="E4" s="3">
        <f>LEFT($D4, 1) &amp; LEFT($F4, 1)</f>
        <v/>
      </c>
      <c r="F4" s="2" t="inlineStr">
        <is>
          <t>Jones</t>
        </is>
      </c>
      <c r="G4" s="3">
        <f>$D4 &amp; " " &amp; $F4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</cols>
  <sheetData>
    <row r="1">
      <c r="A1" s="1" t="inlineStr">
        <is>
          <t>ERBVersionId</t>
        </is>
      </c>
      <c r="B1" s="1" t="inlineStr">
        <is>
          <t>BaseId</t>
        </is>
      </c>
      <c r="C1" s="1" t="inlineStr">
        <is>
          <t>Name</t>
        </is>
      </c>
      <c r="D1" s="1" t="inlineStr">
        <is>
          <t>Message</t>
        </is>
      </c>
      <c r="E1" s="1" t="inlineStr">
        <is>
          <t>Notes</t>
        </is>
      </c>
      <c r="F1" s="1" t="inlineStr">
        <is>
          <t>CommitDate</t>
        </is>
      </c>
      <c r="G1" s="1" t="inlineStr">
        <is>
          <t>IsPublished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9" customWidth="1" min="6" max="6"/>
  </cols>
  <sheetData>
    <row r="1">
      <c r="A1" s="1" t="inlineStr">
        <is>
          <t>ERBCustomizationId</t>
        </is>
      </c>
      <c r="B1" s="1" t="inlineStr">
        <is>
          <t>Name</t>
        </is>
      </c>
      <c r="C1" s="1" t="inlineStr">
        <is>
          <t>Title</t>
        </is>
      </c>
      <c r="D1" s="1" t="inlineStr">
        <is>
          <t>SQLCode</t>
        </is>
      </c>
      <c r="E1" s="1" t="inlineStr">
        <is>
          <t>SQLTarget</t>
        </is>
      </c>
      <c r="F1" s="1" t="inlineStr">
        <is>
          <t>CustomizationType</t>
        </is>
      </c>
    </row>
    <row r="2">
      <c r="A2" s="2" t="inlineStr">
        <is>
          <t>03a-customize-schema-sql</t>
        </is>
      </c>
      <c r="B2" s="2" t="inlineStr">
        <is>
          <t>03a-customize-schema.sql</t>
        </is>
      </c>
      <c r="C2" s="2" t="inlineStr">
        <is>
          <t>Customize Schema</t>
        </is>
      </c>
      <c r="D2" s="2" t="inlineStr">
        <is>
          <t xml:space="preserve">-- ============================================================================
-- CUSTOMIZE SCHEMA - User-defined tables and schema modifications
-- ============================================================================
-- This file is for YOUR custom schema changes that should persist across
-- regeneration of the base ERB files.
--
-- USE THIS FILE FOR:
--   - Additional tables not defined in the rulebook
--   - Extra columns on existing tables (ALTER TABLE)
--   - Custom indexes for performance tuning
--   - Custom constraints or triggers
--
-- IMPORTANT:
--   - This file runs AFTER 01-drop-and-create-tables.sql
--   - The base tables already exist when this runs
--   - This file will NOT be overwritten by ERB regeneration
--
-- ============================================================================
-- Your custom schema changes go here:
</t>
        </is>
      </c>
      <c r="E2" s="2" t="inlineStr">
        <is>
          <t>Postgres</t>
        </is>
      </c>
      <c r="F2" s="2" t="inlineStr">
        <is>
          <t>Schema</t>
        </is>
      </c>
    </row>
    <row r="3">
      <c r="A3" s="2" t="inlineStr">
        <is>
          <t>03b-customize-functions-sql</t>
        </is>
      </c>
      <c r="B3" s="2" t="inlineStr">
        <is>
          <t>03b-customize-functions.sql</t>
        </is>
      </c>
      <c r="C3" s="2" t="inlineStr">
        <is>
          <t>Customize Functions</t>
        </is>
      </c>
      <c r="D3" s="2" t="inlineStr">
        <is>
          <t xml:space="preserve">-- ============================================================================
-- CUSTOMIZE FUNCTIONS - User-defined calculation functions
-- ============================================================================
-- This file is for YOUR custom PostgreSQL functions that should persist
-- across regeneration of the base ERB files.
--
-- IMPORTANT:
--   - This file runs AFTER 02-create-functions.sql
--   - Base ERB calc functions already exist when this runs
--   - This file will NOT be overwritten by ERB regeneration
--
-- ============================================================================
-- Your custom functions go here:
</t>
        </is>
      </c>
      <c r="E3" s="2" t="inlineStr">
        <is>
          <t>Postgres</t>
        </is>
      </c>
      <c r="F3" s="2" t="inlineStr">
        <is>
          <t>Functions</t>
        </is>
      </c>
    </row>
    <row r="4">
      <c r="A4" s="2" t="inlineStr">
        <is>
          <t>03c-customize-views-sql</t>
        </is>
      </c>
      <c r="B4" s="2" t="inlineStr">
        <is>
          <t>03c-customize-views.sql</t>
        </is>
      </c>
      <c r="C4" s="2" t="inlineStr">
        <is>
          <t>Customize Views</t>
        </is>
      </c>
      <c r="D4" s="2" t="inlineStr">
        <is>
          <t xml:space="preserve">-- ============================================================================
-- CUSTOMIZE VIEWS - User-defined views and view extensions
-- ============================================================================
-- This file is for YOUR custom views that should persist across
-- regeneration of the base ERB files.
--
-- IMPORTANT:
--   - This file runs AFTER 03-create-views.sql
--   - All base vw_* views already exist when this runs
--   - This file will NOT be overwritten by ERB regeneration
--
-- ============================================================================
-- Your custom views go here:
</t>
        </is>
      </c>
      <c r="E4" s="2" t="inlineStr">
        <is>
          <t>Postgres</t>
        </is>
      </c>
      <c r="F4" s="2" t="inlineStr">
        <is>
          <t>Views</t>
        </is>
      </c>
    </row>
    <row r="5">
      <c r="A5" s="2" t="inlineStr">
        <is>
          <t>03d-customize-rls-sql</t>
        </is>
      </c>
      <c r="B5" s="2" t="inlineStr">
        <is>
          <t>03d-customize-rls.sql</t>
        </is>
      </c>
      <c r="C5" s="2" t="inlineStr">
        <is>
          <t>Customize Policies (RLS)</t>
        </is>
      </c>
      <c r="D5" s="2" t="inlineStr">
        <is>
          <t xml:space="preserve">-- ============================================================================
-- CUSTOMIZE POLICIES - User-defined Row Level Security policies
-- ============================================================================
-- This file is for YOUR custom RLS policies that should persist across
-- regeneration of the base ERB files.
--
-- IMPORTANT:
--   - This file runs AFTER 04-create-policies.sql
--   - Base RLS policies already exist when this runs
--   - This file will NOT be overwritten by ERB regeneration
--
-- ============================================================================
-- Your custom policies go here:
</t>
        </is>
      </c>
      <c r="E5" s="2" t="inlineStr">
        <is>
          <t>Postgres</t>
        </is>
      </c>
      <c r="F5" s="2" t="inlineStr">
        <is>
          <t>RLS</t>
        </is>
      </c>
    </row>
    <row r="6">
      <c r="A6" s="2" t="inlineStr">
        <is>
          <t>03e-customize-data-sql</t>
        </is>
      </c>
      <c r="B6" s="2" t="inlineStr">
        <is>
          <t>03e-customize-data.sql</t>
        </is>
      </c>
      <c r="C6" s="2" t="inlineStr">
        <is>
          <t>Customize Data (Seeds / Migrations)</t>
        </is>
      </c>
      <c r="D6" s="2" t="inlineStr">
        <is>
          <t xml:space="preserve">-- ============================================================================
-- CUSTOMIZE DATA - User-defined seed data and data migrations
-- ============================================================================
-- This file is for YOUR custom seed data that should persist across
-- regeneration of the base ERB files.
--
-- IMPORTANT:
--   - This file runs AFTER 05-insert-data.sql
--   - Base seed data already exists when this runs
--   - This file will NOT be overwritten by ERB regeneration
--
-- ============================================================================
-- Your custom data inserts go here:
</t>
        </is>
      </c>
      <c r="E6" s="2" t="inlineStr">
        <is>
          <t>Postgres</t>
        </is>
      </c>
      <c r="F6" s="2" t="inlineStr">
        <is>
          <t>Data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</cols>
  <sheetData>
    <row r="1">
      <c r="A1" s="1" t="inlineStr">
        <is>
          <t>MetaKey</t>
        </is>
      </c>
      <c r="B1" s="1" t="inlineStr">
        <is>
          <t>Name</t>
        </is>
      </c>
      <c r="C1" s="1" t="inlineStr">
        <is>
          <t>ValueType</t>
        </is>
      </c>
      <c r="D1" s="1" t="inlineStr">
        <is>
          <t>StringValue</t>
        </is>
      </c>
      <c r="E1" s="1" t="inlineStr">
        <is>
          <t>JsonValue</t>
        </is>
      </c>
    </row>
    <row r="2">
      <c r="A2" s="2" t="inlineStr">
        <is>
          <t>tagline</t>
        </is>
      </c>
      <c r="B2" s="3">
        <f>$A2</f>
        <v/>
      </c>
      <c r="C2" s="2" t="inlineStr">
        <is>
          <t>string</t>
        </is>
      </c>
      <c r="D2" s="2" t="inlineStr">
        <is>
          <t>A one-table customer ledger, filed last-name-first.</t>
        </is>
      </c>
      <c r="E2" s="2" t="inlineStr"/>
    </row>
    <row r="3">
      <c r="A3" s="2" t="inlineStr">
        <is>
          <t>motif</t>
        </is>
      </c>
      <c r="B3" s="3">
        <f>$A3</f>
        <v/>
      </c>
      <c r="C3" s="2" t="inlineStr">
        <is>
          <t>string</t>
        </is>
      </c>
      <c r="D3" s="2" t="inlineStr">
        <is>
          <t>legal-pad</t>
        </is>
      </c>
      <c r="E3" s="2" t="inlineStr"/>
    </row>
    <row r="4">
      <c r="A4" s="2" t="inlineStr">
        <is>
          <t>motif_palette</t>
        </is>
      </c>
      <c r="B4" s="3">
        <f>$A4</f>
        <v/>
      </c>
      <c r="C4" s="2" t="inlineStr">
        <is>
          <t>object</t>
        </is>
      </c>
      <c r="D4" s="2" t="inlineStr"/>
      <c r="E4" s="2" t="inlineStr">
        <is>
          <t>{"primary": "#a8941f", "accent": "#4a6741", "ink": "#1f1c0a"}</t>
        </is>
      </c>
    </row>
    <row r="5">
      <c r="A5" s="2" t="inlineStr">
        <is>
          <t>description_rich</t>
        </is>
      </c>
      <c r="B5" s="3">
        <f>$A5</f>
        <v/>
      </c>
      <c r="C5" s="2" t="inlineStr">
        <is>
          <t>string</t>
        </is>
      </c>
      <c r="D5" s="2" t="inlineStr">
        <is>
          <t>ACME, LLC is the **leanest possible rulebook with real wiring** — a single business table (`Customers`) and two calculated fields that re-derive themselves from raw inputs. Unlike its larger cousin ACME Corporation, there are no projects, no roles, no approval workflows: just a client ledger where every customer carries *two* identifiers at once. `Name` is a slug minted from the email address; `FullName` is the same person reformatted last-name-first, courtroom-style. Edit one raw field and both derived labels rewrite themselves in every substrate — Postgres view, Python class, Excel cell, OWL ontology — with zero application code.</t>
        </is>
      </c>
      <c r="E5" s="2" t="inlineStr"/>
    </row>
    <row r="6">
      <c r="A6" s="2" t="inlineStr">
        <is>
          <t>use_cases</t>
        </is>
      </c>
      <c r="B6" s="3">
        <f>$A6</f>
        <v/>
      </c>
      <c r="C6" s="2" t="inlineStr">
        <is>
          <t>array</t>
        </is>
      </c>
      <c r="D6" s="2" t="inlineStr"/>
      <c r="E6" s="2" t="inlineStr">
        <is>
          <t>["**Rename a customer.** Change `jane-smith-email-com`'s `FirstName` from `Bobby` to `Robert` and watch `FullName` recompute to `Smith, Robert` on the next read — same row, same id, new label.", "**Update an email address.** Edit `john.doe@email.com` to `j.doe@example.com`; the `Name` slug re-derives to `j.doe-example.com` automatically in every substrate.", "**Add a new customer with just the three raw fields** (`EmailAddress`, `FirstName`, `LastName`) and let the rulebook fill in `Name` and `FullName` — no insert triggers, no application logic.", "**Ask the same question of two substrates.** *\"Sort customers alphabetically by surname.\"* The Postgres view and the Python module both return Doe, Jones, Smith — without anyone writing a sort key.", "**Flip the formula in the rulebook** from `LastName &amp; \", \" &amp; FirstName` to `FirstName &amp; \" \" &amp; LastName` and re-run `effortless build`; every substrate now prints western-style names instead of legal-style, with no migration."]</t>
        </is>
      </c>
    </row>
    <row r="7">
      <c r="A7" s="2" t="inlineStr">
        <is>
          <t>signature_rows</t>
        </is>
      </c>
      <c r="B7" s="3">
        <f>$A7</f>
        <v/>
      </c>
      <c r="C7" s="2" t="inlineStr">
        <is>
          <t>array</t>
        </is>
      </c>
      <c r="D7" s="2" t="inlineStr"/>
      <c r="E7" s="2" t="inlineStr">
        <is>
          <t>[{"entity": "Customers", "ids": ["jane-smith-email-com", "john-doe-email-com", "emily-jones-email-com"]}]</t>
        </is>
      </c>
    </row>
    <row r="8">
      <c r="A8" s="2" t="inlineStr">
        <is>
          <t>journal_seed</t>
        </is>
      </c>
      <c r="B8" s="3">
        <f>$A8</f>
        <v/>
      </c>
      <c r="C8" s="2" t="inlineStr">
        <is>
          <t>string</t>
        </is>
      </c>
      <c r="D8" s="2" t="inlineStr">
        <is>
          <t>Three customers on file. Each one filed twice — once by email-slug, once by surname-first — and both labels stay in lockstep with the raw fields.</t>
        </is>
      </c>
      <c r="E8" s="2" t="inlineStr"/>
    </row>
    <row r="9">
      <c r="A9" s="2" t="inlineStr">
        <is>
          <t>substrates</t>
        </is>
      </c>
      <c r="B9" s="3">
        <f>$A9</f>
        <v/>
      </c>
      <c r="C9" s="2" t="inlineStr">
        <is>
          <t>array</t>
        </is>
      </c>
      <c r="D9" s="2" t="inlineStr"/>
      <c r="E9" s="2" t="inlineStr">
        <is>
          <t>[{"key": "postgres", "important": true, "chip_label": "Postgres"}, {"key": "excel", "important": true, "chip_label": "Excel"}, {"key": "python", "important": false, "chip_label": "Python"}, {"key": "owl", "important": false, "chip_label": "OWL"}, {"key": "csv", "important": false, "chip_label": "CSV"}]</t>
        </is>
      </c>
    </row>
    <row r="10">
      <c r="A10" s="2" t="inlineStr">
        <is>
          <t>CMCC_Summary</t>
        </is>
      </c>
      <c r="B10" s="3">
        <f>$A10</f>
        <v/>
      </c>
      <c r="C10" s="2" t="inlineStr">
        <is>
          <t>string</t>
        </is>
      </c>
      <c r="D10" s="2" t="inlineStr">
        <is>
          <t>Airtable export with schema-first type mapping: Schemas, Data, Relationships (FK links), Lookups (INDEX/MATCH), Aggregations (SUMIFS/COUNTIFS/Rollups), and Calculated fields (formulas) in Excel dialect. Field types are determined from Airtable's schema metadata FIRST (no coercion); the build FAILS if metadata is unavailable rather than silently inferring from formula/data analysis.</t>
        </is>
      </c>
      <c r="E10" s="2" t="inlineStr"/>
    </row>
    <row r="11">
      <c r="A11" s="2" t="inlineStr">
        <is>
          <t>conversion_metadata</t>
        </is>
      </c>
      <c r="B11" s="3">
        <f>$A11</f>
        <v/>
      </c>
      <c r="C11" s="2" t="inlineStr">
        <is>
          <t>object</t>
        </is>
      </c>
      <c r="D11" s="2" t="inlineStr"/>
      <c r="E11" s="2" t="inlineStr">
        <is>
          <t>{"source_base_id": "appWrXPvXbkgQGOxt", "table_count": 3, "tool_version": "2.0.0", "field_type_mapping": "checkbox→boolean, number→number/integer, multipleRecordLinks→relationship, multipleLookupValues→lookup, rollup→aggregation, count→aggregation, formula→calculated", "export_mode": "schema_first_type_mapping", "type_inference": {"enabled": true, "priority": "airtable_metadata (NO COERCION) → formula_analysis → reference_resolution → data_analysis (last-resort inference; build SHOULD FAIL rather than silently use this)", "airtable_type_mapping": "checkbox→boolean, singleLineText→string, multilineText→string, number→number/integer, datetime→datetime, singleSelect→string, email→string, url→string, phoneNumber→string", "data_coercion_hierarchy": "Only invoked when Airtable schema is unavailable (which SHOULD make the build fail). Coercion order: datetime → number → integer → boolean → base64 → json → string", "nullable_support": true, "error_value_handling": "#NUM!, #ERROR!, #N/A, #REF!, #DIV/0!, #VALUE!, #NAME? are treated as NULL"}}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2026-06-06T07:53:59Z</dcterms:created>
  <dcterms:modified xmlns:dcterms="http://purl.org/dc/terms/" xmlns:xsi="http://www.w3.org/2001/XMLSchema-instance" xsi:type="dcterms:W3CDTF">2026-06-06T07:53:59Z</dcterms:modified>
</cp:coreProperties>
</file>